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 de Pagamento" sheetId="1" r:id="rId5"/>
    <sheet state="visible" name="Jobmatch" sheetId="2" r:id="rId6"/>
    <sheet state="visible" name="Cálculos Comparativos" sheetId="3" r:id="rId7"/>
    <sheet state="visible" name="Painel Geral" sheetId="4" r:id="rId8"/>
    <sheet state="visible" name="Painel Áreas" sheetId="5" r:id="rId9"/>
    <sheet state="visible" name="Comparativo por Funcionário" sheetId="6" r:id="rId10"/>
    <sheet state="visible" name="Informações Relevantes Pesquisa" sheetId="7" r:id="rId11"/>
    <sheet state="visible" name="Pesquisa" sheetId="8" r:id="rId12"/>
  </sheets>
  <definedNames>
    <definedName hidden="1" localSheetId="0" name="_xlnm._FilterDatabase">'Folha de Pagamento'!$A$3:$Q$63</definedName>
    <definedName hidden="1" localSheetId="1" name="_xlnm._FilterDatabase">Jobmatch!$A$3:$O$96</definedName>
    <definedName hidden="1" localSheetId="2" name="_xlnm._FilterDatabase">'Cálculos Comparativos'!$A$3:$T$56</definedName>
    <definedName hidden="1" localSheetId="5" name="_xlnm._FilterDatabase">'Comparativo por Funcionário'!$A$3:$V$63</definedName>
    <definedName hidden="1" localSheetId="7" name="_xlnm._FilterDatabase">Pesquisa!$A$1:$L$283</definedName>
    <definedName hidden="1" localSheetId="2" name="Z_5EBBA192_B43E_4744_94AF_C3BDF2F8E462_.wvu.FilterData">'Cálculos Comparativos'!$A$3:$T$56</definedName>
    <definedName hidden="1" localSheetId="5" name="Z_5EBBA192_B43E_4744_94AF_C3BDF2F8E462_.wvu.FilterData">'Comparativo por Funcionário'!$A$3:$U$3</definedName>
    <definedName hidden="1" localSheetId="1" name="Z_AE1C2DCB_8E38_4814_A2B6_4FA835707C99_.wvu.FilterData">Jobmatch!$A$3:$I$122</definedName>
    <definedName hidden="1" localSheetId="2" name="Z_AE1C2DCB_8E38_4814_A2B6_4FA835707C99_.wvu.FilterData">'Cálculos Comparativos'!$A$3:$T$56</definedName>
    <definedName hidden="1" localSheetId="5" name="Z_AE1C2DCB_8E38_4814_A2B6_4FA835707C99_.wvu.FilterData">'Comparativo por Funcionário'!$A$3:$U$3</definedName>
    <definedName hidden="1" localSheetId="2" name="Z_7C473F8E_1B31_49FD_B5F2_1539E03894A9_.wvu.FilterData">'Cálculos Comparativos'!$A$3:$T$56</definedName>
    <definedName hidden="1" localSheetId="5" name="Z_7C473F8E_1B31_49FD_B5F2_1539E03894A9_.wvu.FilterData">'Comparativo por Funcionário'!$A$3:$U$3</definedName>
    <definedName hidden="1" localSheetId="2" name="Z_7DBD2873_1FB4_4346_896D_CDDDC2D6B4AF_.wvu.FilterData">'Cálculos Comparativos'!$A$3:$T$56</definedName>
    <definedName hidden="1" localSheetId="5" name="Z_7DBD2873_1FB4_4346_896D_CDDDC2D6B4AF_.wvu.FilterData">'Comparativo por Funcionário'!$A$3:$U$3</definedName>
    <definedName hidden="1" localSheetId="2" name="Z_E0832F40_2690_46BF_9034_7DB179939A00_.wvu.FilterData">'Cálculos Comparativos'!$B$1:$T$1</definedName>
    <definedName hidden="1" localSheetId="5" name="Z_E0832F40_2690_46BF_9034_7DB179939A00_.wvu.FilterData">'Comparativo por Funcionário'!$A$1:$U$1</definedName>
    <definedName hidden="1" localSheetId="2" name="Z_07AAE2C7_D387_425E_A12F_32B6DFFC4CAF_.wvu.FilterData">'Cálculos Comparativos'!$A$3:$T$56</definedName>
    <definedName hidden="1" localSheetId="5" name="Z_07AAE2C7_D387_425E_A12F_32B6DFFC4CAF_.wvu.FilterData">'Comparativo por Funcionário'!$A$3:$U$3</definedName>
    <definedName hidden="1" localSheetId="1" name="Z_D3F3141A_6664_45F4_A1B4_8A03D37FB508_.wvu.FilterData">Jobmatch!$A$3:$I$122</definedName>
    <definedName hidden="1" localSheetId="2" name="Z_D3F3141A_6664_45F4_A1B4_8A03D37FB508_.wvu.FilterData">'Cálculos Comparativos'!$A$3:$T$56</definedName>
    <definedName hidden="1" localSheetId="5" name="Z_D3F3141A_6664_45F4_A1B4_8A03D37FB508_.wvu.FilterData">'Comparativo por Funcionário'!$A$3:$U$3</definedName>
  </definedNames>
  <calcPr/>
  <customWorkbookViews>
    <customWorkbookView activeSheetId="0" maximized="1" windowHeight="0" windowWidth="0" guid="{5EBBA192-B43E-4744-94AF-C3BDF2F8E462}" name="Filter 6"/>
    <customWorkbookView activeSheetId="0" maximized="1" windowHeight="0" windowWidth="0" guid="{7DBD2873-1FB4-4346-896D-CDDDC2D6B4AF}" name="Filter 7"/>
    <customWorkbookView activeSheetId="0" maximized="1" windowHeight="0" windowWidth="0" guid="{07AAE2C7-D387-425E-A12F-32B6DFFC4CAF}" name="Filter 4"/>
    <customWorkbookView activeSheetId="0" maximized="1" windowHeight="0" windowWidth="0" guid="{7C473F8E-1B31-49FD-B5F2-1539E03894A9}" name="Filter 5"/>
    <customWorkbookView activeSheetId="0" maximized="1" windowHeight="0" windowWidth="0" guid="{D3F3141A-6664-45F4-A1B4-8A03D37FB508}" name="Filter 2"/>
    <customWorkbookView activeSheetId="0" maximized="1" windowHeight="0" windowWidth="0" guid="{AE1C2DCB-8E38-4814-A2B6-4FA835707C99}" name="Filter 3"/>
    <customWorkbookView activeSheetId="0" maximized="1" windowHeight="0" windowWidth="0" guid="{E0832F40-2690-46BF-9034-7DB179939A00}" name="Filter 1"/>
  </customWorkbookViews>
</workbook>
</file>

<file path=xl/sharedStrings.xml><?xml version="1.0" encoding="utf-8"?>
<sst xmlns="http://schemas.openxmlformats.org/spreadsheetml/2006/main" count="1763" uniqueCount="405">
  <si>
    <t>Folha de Pagamento</t>
  </si>
  <si>
    <t xml:space="preserve">CNPJ da empresa: 
Referência da Folha de Pagamento:
Quantidade de horas mensais usada: 
Data de Construção: </t>
  </si>
  <si>
    <t>Cod.</t>
  </si>
  <si>
    <t>Cod. contrato funcionário</t>
  </si>
  <si>
    <t>Cargo atual</t>
  </si>
  <si>
    <t>Novo Cargo</t>
  </si>
  <si>
    <t>Senioridade</t>
  </si>
  <si>
    <t>Nível Organizacional</t>
  </si>
  <si>
    <t>Área</t>
  </si>
  <si>
    <t>Departamento</t>
  </si>
  <si>
    <t>Carga Horária</t>
  </si>
  <si>
    <t>Salários</t>
  </si>
  <si>
    <t>Salários Convertidos CLT</t>
  </si>
  <si>
    <t>Tipo de Contratação</t>
  </si>
  <si>
    <t>CBO</t>
  </si>
  <si>
    <t>Gênero</t>
  </si>
  <si>
    <t>Data de Admissão</t>
  </si>
  <si>
    <t>Unidade</t>
  </si>
  <si>
    <t xml:space="preserve">Observações </t>
  </si>
  <si>
    <t>1</t>
  </si>
  <si>
    <t>ALMOXARIFE</t>
  </si>
  <si>
    <t>Não trabalhamos senioridade</t>
  </si>
  <si>
    <t>Operacional</t>
  </si>
  <si>
    <t>Edificação</t>
  </si>
  <si>
    <t>CLT</t>
  </si>
  <si>
    <t>Masculino</t>
  </si>
  <si>
    <t>Feminino</t>
  </si>
  <si>
    <t>2</t>
  </si>
  <si>
    <t>ANALISTA DE COMPRAS</t>
  </si>
  <si>
    <t xml:space="preserve">Suprimentos </t>
  </si>
  <si>
    <t>3</t>
  </si>
  <si>
    <t>ANALISTA DE CRIAÇAO</t>
  </si>
  <si>
    <t>Marketing</t>
  </si>
  <si>
    <t>1423-35</t>
  </si>
  <si>
    <t>4</t>
  </si>
  <si>
    <t>PJ1</t>
  </si>
  <si>
    <t>ANALISTA DE INOVAÇÃO</t>
  </si>
  <si>
    <t>Tático</t>
  </si>
  <si>
    <t>Inovação</t>
  </si>
  <si>
    <t>PJ</t>
  </si>
  <si>
    <t>5</t>
  </si>
  <si>
    <t>ANALISTA DE MANUTENÇÃO II</t>
  </si>
  <si>
    <t>Pleno</t>
  </si>
  <si>
    <t>5143-25</t>
  </si>
  <si>
    <t>6</t>
  </si>
  <si>
    <t>ANALISTA DE MARKETING l</t>
  </si>
  <si>
    <t>7</t>
  </si>
  <si>
    <t>ANALISTA DE PÓS VENDAS II</t>
  </si>
  <si>
    <t>Pós Vendas</t>
  </si>
  <si>
    <t>8</t>
  </si>
  <si>
    <t>ANALISTA DE URBANISMO</t>
  </si>
  <si>
    <t>Urbanismo</t>
  </si>
  <si>
    <t>9</t>
  </si>
  <si>
    <t>ANALISTA FINANCEIRO COMERCIAL III</t>
  </si>
  <si>
    <t>Sênior</t>
  </si>
  <si>
    <t>Financeiro</t>
  </si>
  <si>
    <t>10</t>
  </si>
  <si>
    <t>ANALISTA FINANCEIRO DE CAPTAÇÃO DE RECURSOS III</t>
  </si>
  <si>
    <t>2525-45</t>
  </si>
  <si>
    <t>11</t>
  </si>
  <si>
    <t>ANALISTA FINANCEIRO I</t>
  </si>
  <si>
    <t>Júnior</t>
  </si>
  <si>
    <t>12</t>
  </si>
  <si>
    <t>ASSISTENTE ADM DE LEGALIZAÇÃO III</t>
  </si>
  <si>
    <t xml:space="preserve">Legalização </t>
  </si>
  <si>
    <t>13</t>
  </si>
  <si>
    <t>ASSISTENTE ADMINISTRATIVO lll</t>
  </si>
  <si>
    <t>Administrativo</t>
  </si>
  <si>
    <t>14</t>
  </si>
  <si>
    <t>ASSISTENTE DE CONTROLADORIA III</t>
  </si>
  <si>
    <t>Controladoria</t>
  </si>
  <si>
    <t>15</t>
  </si>
  <si>
    <t>ASSISTENTE DE ENGENHARIA lll</t>
  </si>
  <si>
    <t>16</t>
  </si>
  <si>
    <t>ASSISTENTE DE MARKETING</t>
  </si>
  <si>
    <t>17</t>
  </si>
  <si>
    <t>ASSISTENTE DE RECURSOS HUMANOS</t>
  </si>
  <si>
    <t>DHO</t>
  </si>
  <si>
    <t>18</t>
  </si>
  <si>
    <t>ASSISTENTE DE TI</t>
  </si>
  <si>
    <t>Tecnologia da Informação</t>
  </si>
  <si>
    <t>19</t>
  </si>
  <si>
    <t>ASSISTENTE FINANCEIRO CONTAS A PAGAR</t>
  </si>
  <si>
    <t>ASSISTENTE FINANCEIRO CONTAS A PAGAR III</t>
  </si>
  <si>
    <t>20</t>
  </si>
  <si>
    <t>AUXILIAR ADMINISTRATIVO</t>
  </si>
  <si>
    <t>AUXILIAR ADMINISTRATIVO III</t>
  </si>
  <si>
    <t>22</t>
  </si>
  <si>
    <t>AUXILIAR DE ATENDIMENTO II</t>
  </si>
  <si>
    <t>Recepção</t>
  </si>
  <si>
    <t>23</t>
  </si>
  <si>
    <t>AUXILIAR DE ENGENHARIA</t>
  </si>
  <si>
    <t>24</t>
  </si>
  <si>
    <t>PJ2</t>
  </si>
  <si>
    <t>CONTROLER JURÍDICO</t>
  </si>
  <si>
    <t>25</t>
  </si>
  <si>
    <t>PJ3</t>
  </si>
  <si>
    <t>CONTROLLER GERAL</t>
  </si>
  <si>
    <t>26</t>
  </si>
  <si>
    <t>PJ4</t>
  </si>
  <si>
    <t>CONTROLLER TÉCNICO</t>
  </si>
  <si>
    <t>27</t>
  </si>
  <si>
    <t>COORDENADOR DE DHO</t>
  </si>
  <si>
    <t>1422-05</t>
  </si>
  <si>
    <t>28</t>
  </si>
  <si>
    <t>COORDENADOR DE LEGAIZAÇÃO ll</t>
  </si>
  <si>
    <t>29</t>
  </si>
  <si>
    <t>COORDENADOR DE MARKETING II</t>
  </si>
  <si>
    <t>1423-15</t>
  </si>
  <si>
    <t>30</t>
  </si>
  <si>
    <t>COORDENADOR DE OBRAS</t>
  </si>
  <si>
    <t>1413-05</t>
  </si>
  <si>
    <t>31</t>
  </si>
  <si>
    <t>PJ5</t>
  </si>
  <si>
    <t>COORDENADOR DE SUPRIMENTOS</t>
  </si>
  <si>
    <t>32</t>
  </si>
  <si>
    <t>PJ6</t>
  </si>
  <si>
    <t>COORDENADOR FINANCEIRO</t>
  </si>
  <si>
    <t>33</t>
  </si>
  <si>
    <t>PJ7</t>
  </si>
  <si>
    <t>DIRETOR</t>
  </si>
  <si>
    <t>Estratégico</t>
  </si>
  <si>
    <t>Comercial</t>
  </si>
  <si>
    <t>34</t>
  </si>
  <si>
    <t>ENCARREGADO DE OBRAS</t>
  </si>
  <si>
    <t>35</t>
  </si>
  <si>
    <t>ENCARREGADO OBRAS/MANUTENCAO</t>
  </si>
  <si>
    <t>36</t>
  </si>
  <si>
    <t>PJ8</t>
  </si>
  <si>
    <t>ENGENHEIRO JUNIOR DE URBANISMO</t>
  </si>
  <si>
    <t>37</t>
  </si>
  <si>
    <t>PJ9</t>
  </si>
  <si>
    <t xml:space="preserve">ENGENHEIRO SÊNIOR </t>
  </si>
  <si>
    <t>38</t>
  </si>
  <si>
    <t>E01</t>
  </si>
  <si>
    <t>ESTAGIARIO (A)</t>
  </si>
  <si>
    <t>Novos Negócios</t>
  </si>
  <si>
    <t>Estagiário</t>
  </si>
  <si>
    <t>39</t>
  </si>
  <si>
    <t>E03</t>
  </si>
  <si>
    <t>ESTAGIÁRIO(A) ADM</t>
  </si>
  <si>
    <t>40</t>
  </si>
  <si>
    <t>E04</t>
  </si>
  <si>
    <t xml:space="preserve">ESTAGIARIO(A) ENG. CIVIL </t>
  </si>
  <si>
    <t>41</t>
  </si>
  <si>
    <t>ESTAGIÁRIO(A) RH/DP</t>
  </si>
  <si>
    <t>42</t>
  </si>
  <si>
    <t>PJ10</t>
  </si>
  <si>
    <t xml:space="preserve">GERENTE ADMINISTRATIVA </t>
  </si>
  <si>
    <t>43</t>
  </si>
  <si>
    <t>PJ11</t>
  </si>
  <si>
    <t>GERENTE COMERCIAL</t>
  </si>
  <si>
    <t>44</t>
  </si>
  <si>
    <t>PJ12</t>
  </si>
  <si>
    <t>GERENTE DE EDIFICAÇÕES</t>
  </si>
  <si>
    <t>45</t>
  </si>
  <si>
    <t>PJ13</t>
  </si>
  <si>
    <t>GERENTE DE HOUSE</t>
  </si>
  <si>
    <t>46</t>
  </si>
  <si>
    <t>PJ14</t>
  </si>
  <si>
    <t>GERENTE DE IMOBILIÁRIAS EXTERNAS</t>
  </si>
  <si>
    <t>PJ15</t>
  </si>
  <si>
    <t>47</t>
  </si>
  <si>
    <t>PJ16</t>
  </si>
  <si>
    <t xml:space="preserve">GERENTE DE INCORPORAÇÃO </t>
  </si>
  <si>
    <t>Incorporação</t>
  </si>
  <si>
    <t>48</t>
  </si>
  <si>
    <t>PJ17</t>
  </si>
  <si>
    <t>GERENTE DE PARCERIAS</t>
  </si>
  <si>
    <t>PJ18</t>
  </si>
  <si>
    <t xml:space="preserve">GERENTE DE PARCERIAS </t>
  </si>
  <si>
    <t>49</t>
  </si>
  <si>
    <t>PJ19</t>
  </si>
  <si>
    <t>GERENTE DE PARCERIAS EXTERNAS</t>
  </si>
  <si>
    <t>50</t>
  </si>
  <si>
    <t>PJ20</t>
  </si>
  <si>
    <t>GERENTE DE URBANISMO</t>
  </si>
  <si>
    <t>51</t>
  </si>
  <si>
    <t>PJ21</t>
  </si>
  <si>
    <t xml:space="preserve">SUPERVISOR DE NOVOS NEGÓCIOS </t>
  </si>
  <si>
    <t>52</t>
  </si>
  <si>
    <t>SUPERVISOR(A) FINANCEIRO I</t>
  </si>
  <si>
    <t>4102-35</t>
  </si>
  <si>
    <t>53</t>
  </si>
  <si>
    <t>PJ22</t>
  </si>
  <si>
    <t>TECNICO ANALISTA DE CUSTOS</t>
  </si>
  <si>
    <t>54</t>
  </si>
  <si>
    <t>TECNOLOGO EM CONSTRUÇÃO DE EDIFICIOS</t>
  </si>
  <si>
    <t>2142-80</t>
  </si>
  <si>
    <t>Jobmatch</t>
  </si>
  <si>
    <t>Cargos Empresa</t>
  </si>
  <si>
    <t>Cod. Pesquisa</t>
  </si>
  <si>
    <t>Cargos Pesquisa</t>
  </si>
  <si>
    <t>Observações</t>
  </si>
  <si>
    <t>Tipo de Contrato</t>
  </si>
  <si>
    <t>Pesquisa</t>
  </si>
  <si>
    <t>Pesquisas</t>
  </si>
  <si>
    <t>20 - ADM PROJETOS</t>
  </si>
  <si>
    <t>Assistente Administrativo</t>
  </si>
  <si>
    <t>Indiferente</t>
  </si>
  <si>
    <t>Geral</t>
  </si>
  <si>
    <t>27 - ADM PROJETOS</t>
  </si>
  <si>
    <t>Auxiliar Administrativo</t>
  </si>
  <si>
    <t>Construção</t>
  </si>
  <si>
    <t>31 - ADM PROJETOS</t>
  </si>
  <si>
    <t>Advogado</t>
  </si>
  <si>
    <t>TI</t>
  </si>
  <si>
    <t>46 - ADM PROJETOS</t>
  </si>
  <si>
    <t>Estagiário Administrativo</t>
  </si>
  <si>
    <t>Industria</t>
  </si>
  <si>
    <t>49 - ADM PROJETOS</t>
  </si>
  <si>
    <t>Gerente Administrativo</t>
  </si>
  <si>
    <t>40 - ADM PROJETOS</t>
  </si>
  <si>
    <t>CEO</t>
  </si>
  <si>
    <t>50 - ADM PROJETOS</t>
  </si>
  <si>
    <t>Gerente Comercial</t>
  </si>
  <si>
    <t>52 - ADM PROJETOS</t>
  </si>
  <si>
    <t>53 - ADM PROJETOS</t>
  </si>
  <si>
    <t>Gerente de Imobiliárias</t>
  </si>
  <si>
    <t>55 - ADM PROJETOS</t>
  </si>
  <si>
    <t>Gerente de Relacionamento</t>
  </si>
  <si>
    <t>56 - ADM PROJETOS</t>
  </si>
  <si>
    <t>21 - ADM PROJETOS</t>
  </si>
  <si>
    <t>Assistente de Controladoria</t>
  </si>
  <si>
    <t>32 - ADM PROJETOS</t>
  </si>
  <si>
    <t>Controller</t>
  </si>
  <si>
    <t>33 - ADM PROJETOS</t>
  </si>
  <si>
    <t>Analista de Controladoria</t>
  </si>
  <si>
    <t>Especialista</t>
  </si>
  <si>
    <t>24 - ADM PROJETOS</t>
  </si>
  <si>
    <t>Assistente de Recursos Humanos</t>
  </si>
  <si>
    <t>34 - ADM PROJETOS</t>
  </si>
  <si>
    <t>Coordenador de Recursos Humanos</t>
  </si>
  <si>
    <t>48 - ADM PROJETOS</t>
  </si>
  <si>
    <t>8 - ADM PROJETOS</t>
  </si>
  <si>
    <t>Almoxarife</t>
  </si>
  <si>
    <t>12 - ADM PROJETOS</t>
  </si>
  <si>
    <t>Encarregado de Manutenção</t>
  </si>
  <si>
    <t>22 - ADM PROJETOS</t>
  </si>
  <si>
    <t>Assistente de Engenharia</t>
  </si>
  <si>
    <t>37 - ADM PROJETOS</t>
  </si>
  <si>
    <t>Coordenador de Obras</t>
  </si>
  <si>
    <t>42 - ADM PROJETOS</t>
  </si>
  <si>
    <t>Mestre de Obras</t>
  </si>
  <si>
    <t>44 - ADM PROJETOS</t>
  </si>
  <si>
    <t>Engenheiro de Urbanismo</t>
  </si>
  <si>
    <t>51 - ADM PROJETOS</t>
  </si>
  <si>
    <t>Gerente de Engenharia</t>
  </si>
  <si>
    <t>60 - ADM PROJETOS</t>
  </si>
  <si>
    <t>Analista de Custos</t>
  </si>
  <si>
    <t>61 - ADM PROJETOS</t>
  </si>
  <si>
    <t>Técnico em Edificações</t>
  </si>
  <si>
    <t>16 - ADM PROJETOS</t>
  </si>
  <si>
    <t>Analista Financeiro</t>
  </si>
  <si>
    <t>17 - ADM PROJETOS</t>
  </si>
  <si>
    <t>18 - ADM PROJETOS</t>
  </si>
  <si>
    <t>26 - ADM PROJETOS</t>
  </si>
  <si>
    <t>Assistente Financeiro</t>
  </si>
  <si>
    <t>39 - ADM PROJETOS</t>
  </si>
  <si>
    <t>Coordenador Financeiro</t>
  </si>
  <si>
    <t>59 - ADM PROJETOS</t>
  </si>
  <si>
    <t>Supervisor Financeiro</t>
  </si>
  <si>
    <t>54 - ADM PROJETOS</t>
  </si>
  <si>
    <t>Gerente de Incorporação</t>
  </si>
  <si>
    <t>11 - ADM PROJETOS</t>
  </si>
  <si>
    <t>Analista de Inovação</t>
  </si>
  <si>
    <t>19 - ADM PROJETOS</t>
  </si>
  <si>
    <t>Assistente de Legalização</t>
  </si>
  <si>
    <t>35 - ADM PROJETOS</t>
  </si>
  <si>
    <t>Coordenador de Legalização</t>
  </si>
  <si>
    <t>10 - ADM PROJETOS</t>
  </si>
  <si>
    <t>Analista de Criação</t>
  </si>
  <si>
    <t>13 - ADM PROJETOS</t>
  </si>
  <si>
    <t>Analista de Marketing</t>
  </si>
  <si>
    <t>23 - ADM PROJETOS</t>
  </si>
  <si>
    <t>Assistente de Marketing</t>
  </si>
  <si>
    <t>36 - ADM PROJETOS</t>
  </si>
  <si>
    <t>Coordenador de Marketing</t>
  </si>
  <si>
    <t>45 - ADM PROJETOS</t>
  </si>
  <si>
    <t>58 - ADM PROJETOS</t>
  </si>
  <si>
    <t>Supervisor de Negócios</t>
  </si>
  <si>
    <t>14 - ADM PROJETOS</t>
  </si>
  <si>
    <t>Analista de Relacionamento</t>
  </si>
  <si>
    <t>29 - ADM PROJETOS</t>
  </si>
  <si>
    <t>Auxiliar de Atendimento</t>
  </si>
  <si>
    <t>9 - ADM PROJETOS</t>
  </si>
  <si>
    <t>Analista de Compras</t>
  </si>
  <si>
    <t>38 - ADM PROJETOS</t>
  </si>
  <si>
    <t>Coordenador de Compras</t>
  </si>
  <si>
    <t>25 - ADM PROJETOS</t>
  </si>
  <si>
    <t>Assistente de Tecnologia da Informação</t>
  </si>
  <si>
    <t>15 - ADM PROJETOS</t>
  </si>
  <si>
    <t>Analista de Urbanismo</t>
  </si>
  <si>
    <t>30 - ADM PROJETOS</t>
  </si>
  <si>
    <t>Auxiliar de Engenharia</t>
  </si>
  <si>
    <t>41 - ADM PROJETOS</t>
  </si>
  <si>
    <t>43 - ADM PROJETOS</t>
  </si>
  <si>
    <t>47 - ADM PROJETOS</t>
  </si>
  <si>
    <t>Estagiário de Engenharia Civil</t>
  </si>
  <si>
    <t>57 - ADM PROJETOS</t>
  </si>
  <si>
    <t>Gerente de Urbanismo</t>
  </si>
  <si>
    <t>DADOS PARA COMPARAÇÃO</t>
  </si>
  <si>
    <t>Posicionamento</t>
  </si>
  <si>
    <t>Média Empresa CLT</t>
  </si>
  <si>
    <t>Cod. Área</t>
  </si>
  <si>
    <t>Diretoria</t>
  </si>
  <si>
    <t>Centro de Custo</t>
  </si>
  <si>
    <t>Código+Senioridade</t>
  </si>
  <si>
    <t>Número de Colaboradores</t>
  </si>
  <si>
    <t>Menor Salário</t>
  </si>
  <si>
    <t>1º Quartil</t>
  </si>
  <si>
    <t>Média</t>
  </si>
  <si>
    <t>Mediana</t>
  </si>
  <si>
    <t>3º Quartil</t>
  </si>
  <si>
    <t>Maior Salário</t>
  </si>
  <si>
    <t>C-01</t>
  </si>
  <si>
    <t>C-01 (Posicionamento)</t>
  </si>
  <si>
    <t>Posicionamento e Gráficos em Relação à:</t>
  </si>
  <si>
    <t>▇</t>
  </si>
  <si>
    <t>&lt;=80%</t>
  </si>
  <si>
    <t>Muito Defasado</t>
  </si>
  <si>
    <t>80% - 90%</t>
  </si>
  <si>
    <t>Defasado</t>
  </si>
  <si>
    <t>90% - 100%</t>
  </si>
  <si>
    <t>Na Média</t>
  </si>
  <si>
    <t>100% - 110%</t>
  </si>
  <si>
    <t>110% - 120%</t>
  </si>
  <si>
    <t>Muito Competitivo</t>
  </si>
  <si>
    <t>&gt;120%</t>
  </si>
  <si>
    <t>Agressivo</t>
  </si>
  <si>
    <t>cargos com amostra</t>
  </si>
  <si>
    <t xml:space="preserve"> </t>
  </si>
  <si>
    <t>Posição</t>
  </si>
  <si>
    <t>Percentual</t>
  </si>
  <si>
    <t>Qtde de Cargos</t>
  </si>
  <si>
    <t>Total Geral</t>
  </si>
  <si>
    <t>ANÁLISE DE SALÁRIOS</t>
  </si>
  <si>
    <t>NÍVEIS ORGANIZACIONAIS</t>
  </si>
  <si>
    <t>Nº de Cargos Total</t>
  </si>
  <si>
    <t>Classificado pelo C-01</t>
  </si>
  <si>
    <t>Média empresa</t>
  </si>
  <si>
    <t>Administrativo, Recepção, Suprimentos, Tecnologia da Informação</t>
  </si>
  <si>
    <t>(Para alterar o dado de comparação use a aba Painel Geral)</t>
  </si>
  <si>
    <t>Incorporação, Inovação, Legalização</t>
  </si>
  <si>
    <t xml:space="preserve">ANÁLISE DE </t>
  </si>
  <si>
    <t>Novos Negócios, Pós Vendas</t>
  </si>
  <si>
    <t>COMPARATIVOS SALARIAIS</t>
  </si>
  <si>
    <t>POR ÁREAS</t>
  </si>
  <si>
    <t>Qtd Cargos</t>
  </si>
  <si>
    <t>Média Empresa</t>
  </si>
  <si>
    <t>Posicionamento por Quantidade de Colaboradores por Cargo</t>
  </si>
  <si>
    <t>Cód Cargo</t>
  </si>
  <si>
    <t>Cargo Empresa</t>
  </si>
  <si>
    <t>Competitivo</t>
  </si>
  <si>
    <t>Abaixo da Mediana</t>
  </si>
  <si>
    <t>Setor</t>
  </si>
  <si>
    <t>Acima da Mediana</t>
  </si>
  <si>
    <t>Áreas</t>
  </si>
  <si>
    <t>Acima</t>
  </si>
  <si>
    <t>Abaixo</t>
  </si>
  <si>
    <t>DADOS PARA COMPARAÇÃO - POR FUNCIONÁRIO</t>
  </si>
  <si>
    <t>Cod. do funcionário</t>
  </si>
  <si>
    <t>Tempo de empresa (anos)</t>
  </si>
  <si>
    <t>Salário Funcionário CLT</t>
  </si>
  <si>
    <t>Cod. Setor</t>
  </si>
  <si>
    <t>Pesquisa Contrução Civil e Consolidadas</t>
  </si>
  <si>
    <t>Plooral Salary Research :: Remuneração Inteligente</t>
  </si>
  <si>
    <t>Pesquisa de Remuneração e Benefícios do Setor de Construção Civil - 2025</t>
  </si>
  <si>
    <t>Período de Coleta: 27/10/2025 à 26/11/2025</t>
  </si>
  <si>
    <t>Divulgação dos Resultados: 10/12/2025</t>
  </si>
  <si>
    <t>Carga Horária: 220 horas</t>
  </si>
  <si>
    <t>INPC Acumulado Aplicado: 0,55%</t>
  </si>
  <si>
    <t>* O índice acumulado aplicado pode variar havendo diferentes coletas no escopo da pesquisa.</t>
  </si>
  <si>
    <t>FILTROS UTILIZADOS</t>
  </si>
  <si>
    <t>Segmentos de Negócio: Não Definido</t>
  </si>
  <si>
    <t>Áreas de Atuação: Não Definido</t>
  </si>
  <si>
    <t>Formas de Contratação: CLT (com PJ convertido para casos sem amostra)</t>
  </si>
  <si>
    <t>Porte (Colaboradores): Não Definido</t>
  </si>
  <si>
    <t>Porte (Receita Bruta): Não Definido</t>
  </si>
  <si>
    <t>Região: Não Definido</t>
  </si>
  <si>
    <t>Estado: Não Definido</t>
  </si>
  <si>
    <t>Cidade: Não Definido</t>
  </si>
  <si>
    <t>Atenção: Os dados contidos neste documento são para uso exclusivo da CBA</t>
  </si>
  <si>
    <t>Complementada com:</t>
  </si>
  <si>
    <t>### RELATÓRIO CONSOLIDADO ###</t>
  </si>
  <si>
    <t>INPC Acumulado Aplicado: 19,30%</t>
  </si>
  <si>
    <t>Segmentos de Negócio:</t>
  </si>
  <si>
    <t>Áreas de Atuação:</t>
  </si>
  <si>
    <t>Porte (Colaboradores):</t>
  </si>
  <si>
    <t>Porte (Receita Bruta):</t>
  </si>
  <si>
    <t>Região:</t>
  </si>
  <si>
    <t>Estado:</t>
  </si>
  <si>
    <t>Cidade:</t>
  </si>
  <si>
    <t>Atenção: Os dados contidos neste documento são de uso exclusivo e restrito da CBA</t>
  </si>
  <si>
    <t>Código do Cargo</t>
  </si>
  <si>
    <t>Nome do Cargo</t>
  </si>
  <si>
    <t>Código do CargoSenioridade</t>
  </si>
  <si>
    <t>Dados Estatísticos - Empresas</t>
  </si>
  <si>
    <t>Dados Estatísticos - Salários</t>
  </si>
  <si>
    <t>1o Quartil</t>
  </si>
  <si>
    <t>3o Quartil</t>
  </si>
  <si>
    <t>Analista Administrativo</t>
  </si>
  <si>
    <t>Master</t>
  </si>
  <si>
    <t>Analista Comercial</t>
  </si>
  <si>
    <t>Analista de Mídias Sociais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</si>
</sst>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$]#,##0.00"/>
    <numFmt numFmtId="165" formatCode="yyyy-mm"/>
    <numFmt numFmtId="166" formatCode="mm/yyyy"/>
    <numFmt numFmtId="167" formatCode="yyyy-m"/>
    <numFmt numFmtId="168" formatCode="[$R$ -416]#,##0.00"/>
    <numFmt numFmtId="169" formatCode="0.0"/>
    <numFmt numFmtId="170" formatCode="d/m/yyyy"/>
  </numFmts>
  <fonts count="79">
    <font>
      <sz val="10.0"/>
      <color rgb="FF000000"/>
      <name val="Arial"/>
      <scheme val="minor"/>
    </font>
    <font>
      <sz val="10.0"/>
      <color theme="1"/>
      <name val="Arial"/>
    </font>
    <font>
      <sz val="18.0"/>
      <color rgb="FF434343"/>
      <name val="Montserrat"/>
    </font>
    <font>
      <sz val="10.0"/>
      <color rgb="FF434343"/>
      <name val="Montserrat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color theme="1"/>
      <name val="Calibri"/>
    </font>
    <font>
      <sz val="11.0"/>
      <color rgb="FF000000"/>
      <name val="Docs-Calibri"/>
    </font>
    <font>
      <sz val="24.0"/>
      <color rgb="FF434343"/>
      <name val="Montserrat"/>
    </font>
    <font/>
    <font>
      <b/>
      <color theme="1"/>
      <name val="Calibri"/>
    </font>
    <font>
      <b/>
      <sz val="16.0"/>
      <color rgb="FF434343"/>
      <name val="Calibri"/>
    </font>
    <font>
      <b/>
      <sz val="12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</font>
    <font>
      <b/>
      <sz val="18.0"/>
      <color rgb="FFFFFFFF"/>
      <name val="Calibri"/>
    </font>
    <font>
      <b/>
      <sz val="18.0"/>
      <color rgb="FF434343"/>
      <name val="Calibri"/>
    </font>
    <font>
      <b/>
      <sz val="18.0"/>
      <color rgb="FF000000"/>
      <name val="Calibri"/>
    </font>
    <font>
      <sz val="10.0"/>
      <color rgb="FFFFFFFF"/>
      <name val="Calibri"/>
    </font>
    <font>
      <color rgb="FF434343"/>
      <name val="Calibri"/>
    </font>
    <font>
      <color rgb="FF000000"/>
      <name val="Calibri"/>
    </font>
    <font>
      <b/>
      <sz val="14.0"/>
      <color rgb="FF434343"/>
      <name val="Montserrat"/>
    </font>
    <font>
      <b/>
      <color rgb="FF434343"/>
      <name val="Calibri"/>
    </font>
    <font>
      <color rgb="FFFFFFFF"/>
      <name val="Calibri"/>
    </font>
    <font>
      <sz val="13.0"/>
      <color theme="5"/>
      <name val="Arial"/>
    </font>
    <font>
      <b/>
      <sz val="14.0"/>
      <color rgb="FFFFFFFF"/>
      <name val="Montserrat"/>
    </font>
    <font>
      <sz val="14.0"/>
      <color rgb="FF434343"/>
      <name val="Montserrat"/>
    </font>
    <font>
      <sz val="13.0"/>
      <color theme="7"/>
      <name val="Arial"/>
    </font>
    <font>
      <b/>
      <color rgb="FF000000"/>
      <name val="Calibri"/>
    </font>
    <font>
      <sz val="14.0"/>
      <color rgb="FFFFFFFF"/>
      <name val="Montserrat"/>
    </font>
    <font>
      <sz val="14.0"/>
      <color theme="1"/>
      <name val="Montserrat"/>
    </font>
    <font>
      <sz val="13.0"/>
      <color theme="9"/>
      <name val="Arial"/>
    </font>
    <font>
      <color theme="1"/>
      <name val="Arial"/>
      <scheme val="minor"/>
    </font>
    <font>
      <sz val="18.0"/>
      <color rgb="FFFFFFFF"/>
      <name val="Calibri"/>
    </font>
    <font>
      <sz val="13.0"/>
      <color theme="4"/>
      <name val="Arial"/>
    </font>
    <font>
      <sz val="13.0"/>
      <color rgb="FF0533CA"/>
      <name val="Arial"/>
    </font>
    <font>
      <b/>
      <sz val="20.0"/>
      <color rgb="FFE4841E"/>
      <name val="Calibri"/>
    </font>
    <font>
      <b/>
      <sz val="20.0"/>
      <color rgb="FFF1C232"/>
      <name val="Calibri"/>
    </font>
    <font>
      <b/>
      <sz val="20.0"/>
      <color theme="1"/>
      <name val="Calibri"/>
    </font>
    <font>
      <b/>
      <sz val="20.0"/>
      <color rgb="FF1B5BFF"/>
      <name val="Calibri"/>
    </font>
    <font>
      <b/>
      <sz val="24.0"/>
      <color rgb="FFE4841E"/>
      <name val="Calibri"/>
    </font>
    <font>
      <b/>
      <sz val="24.0"/>
      <color theme="1"/>
      <name val="Calibri"/>
    </font>
    <font>
      <sz val="14.0"/>
      <color rgb="FFFFFFFF"/>
      <name val="Calibri"/>
    </font>
    <font>
      <b/>
      <sz val="24.0"/>
      <color rgb="FFF1C232"/>
      <name val="Calibri"/>
    </font>
    <font>
      <b/>
      <sz val="24.0"/>
      <color rgb="FF1B5BFF"/>
      <name val="Calibri"/>
    </font>
    <font>
      <b/>
      <color rgb="FFFFFFFF"/>
      <name val="Calibri"/>
    </font>
    <font>
      <sz val="22.0"/>
      <color rgb="FFED5B2A"/>
      <name val="Montserrat"/>
    </font>
    <font>
      <b/>
      <sz val="22.0"/>
      <color rgb="FFE4841E"/>
      <name val="Montserrat"/>
    </font>
    <font>
      <b/>
      <sz val="22.0"/>
      <color rgb="FFF7BF34"/>
      <name val="Montserrat"/>
    </font>
    <font>
      <b/>
      <sz val="16.0"/>
      <color rgb="FFE4841E"/>
      <name val="Calibri"/>
    </font>
    <font>
      <sz val="12.0"/>
      <color rgb="FFFFFFFF"/>
      <name val="Calibri"/>
    </font>
    <font>
      <b/>
      <sz val="12.0"/>
      <color rgb="FF0533CA"/>
      <name val="Calibri"/>
    </font>
    <font>
      <b/>
      <sz val="12.0"/>
      <color rgb="FF434343"/>
      <name val="Calibri"/>
    </font>
    <font>
      <b/>
      <sz val="11.0"/>
      <color rgb="FF434343"/>
      <name val="Calibri"/>
    </font>
    <font>
      <b/>
      <sz val="11.0"/>
      <color rgb="FFFFFFFF"/>
      <name val="Calibri"/>
    </font>
    <font>
      <color rgb="FF999999"/>
      <name val="Calibri"/>
    </font>
    <font>
      <b/>
      <sz val="12.0"/>
      <color rgb="FFFF0000"/>
      <name val="Calibri"/>
    </font>
    <font>
      <color rgb="FF000000"/>
      <name val="Arial"/>
      <scheme val="minor"/>
    </font>
    <font>
      <b/>
      <sz val="12.0"/>
      <color rgb="FFE4841E"/>
      <name val="Arial"/>
      <scheme val="minor"/>
    </font>
    <font>
      <b/>
      <sz val="12.0"/>
      <color rgb="FF000000"/>
      <name val="Calibri"/>
    </font>
    <font>
      <color rgb="FFFFFFFF"/>
      <name val="Arial"/>
      <scheme val="minor"/>
    </font>
    <font>
      <b/>
      <sz val="19.0"/>
      <color rgb="FF434343"/>
      <name val="Montserrat"/>
    </font>
    <font>
      <b/>
      <sz val="24.0"/>
      <color rgb="FF000000"/>
      <name val="Calibri"/>
    </font>
    <font>
      <sz val="12.0"/>
      <color rgb="FF000000"/>
      <name val="Calibri"/>
    </font>
    <font>
      <i/>
      <sz val="9.0"/>
      <color theme="1"/>
      <name val="Montserrat"/>
    </font>
    <font>
      <sz val="19.0"/>
      <color rgb="FFED5B2A"/>
      <name val="Montserrat"/>
    </font>
    <font>
      <b/>
      <sz val="19.0"/>
      <color rgb="FFE4841E"/>
      <name val="Docs-Montserrat"/>
    </font>
    <font>
      <sz val="19.0"/>
      <color theme="1"/>
      <name val="Arial"/>
      <scheme val="minor"/>
    </font>
    <font>
      <b/>
      <sz val="16.0"/>
      <color rgb="FFFFFFFF"/>
      <name val="Montserrat"/>
    </font>
    <font>
      <b/>
      <sz val="18.0"/>
      <color rgb="FFFFFFFF"/>
      <name val="Montserrat"/>
    </font>
    <font>
      <b/>
      <sz val="11.0"/>
      <color rgb="FF333333"/>
      <name val="Calibri"/>
    </font>
    <font>
      <b/>
      <color rgb="FF333333"/>
      <name val="Calibri"/>
    </font>
    <font>
      <color rgb="FF333333"/>
      <name val="Calibri"/>
    </font>
    <font>
      <b/>
      <sz val="14.0"/>
      <color rgb="FFED5B2A"/>
      <name val="Calibri"/>
    </font>
    <font>
      <b/>
      <color rgb="FFED5B2A"/>
      <name val="Calibri"/>
    </font>
    <font>
      <b/>
      <sz val="11.0"/>
      <color theme="1"/>
      <name val="Calibri"/>
    </font>
    <font>
      <b/>
      <sz val="11.0"/>
      <color rgb="FF000000"/>
      <name val="Calibri"/>
    </font>
  </fonts>
  <fills count="27">
    <fill>
      <patternFill patternType="none"/>
    </fill>
    <fill>
      <patternFill patternType="lightGray"/>
    </fill>
    <fill>
      <patternFill patternType="solid">
        <fgColor rgb="FFED5B2A"/>
        <bgColor rgb="FFED5B2A"/>
      </patternFill>
    </fill>
    <fill>
      <patternFill patternType="solid">
        <fgColor rgb="FFD9D2E9"/>
        <bgColor rgb="FFD9D2E9"/>
      </patternFill>
    </fill>
    <fill>
      <patternFill patternType="solid">
        <fgColor rgb="FFF7DABB"/>
        <bgColor rgb="FFF7DAB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ECA860"/>
        <bgColor rgb="FFECA860"/>
      </patternFill>
    </fill>
    <fill>
      <patternFill patternType="solid">
        <fgColor rgb="FF674EA7"/>
        <bgColor rgb="FF674EA7"/>
      </patternFill>
    </fill>
    <fill>
      <patternFill patternType="solid">
        <fgColor rgb="FF999999"/>
        <bgColor rgb="FF999999"/>
      </patternFill>
    </fill>
    <fill>
      <patternFill patternType="solid">
        <fgColor rgb="FFE4841E"/>
        <bgColor rgb="FFE4841E"/>
      </patternFill>
    </fill>
    <fill>
      <patternFill patternType="solid">
        <fgColor rgb="FFBDBDBD"/>
        <bgColor rgb="FFBDBDBD"/>
      </patternFill>
    </fill>
    <fill>
      <patternFill patternType="solid">
        <fgColor theme="0"/>
        <bgColor theme="0"/>
      </patternFill>
    </fill>
    <fill>
      <patternFill patternType="solid">
        <fgColor rgb="FFF7CB4D"/>
        <bgColor rgb="FFF7CB4D"/>
      </patternFill>
    </fill>
    <fill>
      <patternFill patternType="solid">
        <fgColor rgb="FFEDB57A"/>
        <bgColor rgb="FFEDB57A"/>
      </patternFill>
    </fill>
    <fill>
      <patternFill patternType="solid">
        <fgColor rgb="FFFEF8E3"/>
        <bgColor rgb="FFFEF8E3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EEB880"/>
        <bgColor rgb="FFEEB880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</fills>
  <borders count="68">
    <border/>
    <border>
      <top style="thin">
        <color rgb="FFCCCCCC"/>
      </top>
      <bottom style="thin">
        <color rgb="FFCCCCCC"/>
      </bottom>
    </border>
    <border>
      <left/>
      <right/>
      <bottom/>
    </border>
    <border>
      <left/>
      <right style="thin">
        <color rgb="FFCCCCCC"/>
      </right>
      <top style="double">
        <color rgb="FF666666"/>
      </top>
      <bottom/>
    </border>
    <border>
      <left style="thin">
        <color rgb="FFCCCCCC"/>
      </left>
      <right style="thin">
        <color rgb="FFCCCCCC"/>
      </right>
      <top style="double">
        <color rgb="FF666666"/>
      </top>
      <bottom/>
    </border>
    <border>
      <left style="thin">
        <color rgb="FFCCCCCC"/>
      </left>
      <right style="thin">
        <color rgb="FFCCCCCC"/>
      </right>
      <top style="double">
        <color rgb="FF666666"/>
      </top>
    </border>
    <border>
      <left style="thin">
        <color rgb="FFCCCCCC"/>
      </left>
      <top style="double">
        <color rgb="FF666666"/>
      </top>
    </border>
    <border>
      <left style="thin">
        <color rgb="FFCCCCCC"/>
      </left>
      <right style="thin">
        <color rgb="FFCCCCCC"/>
      </right>
      <top style="double">
        <color rgb="FF666666"/>
      </top>
      <bottom style="thin">
        <color rgb="FFCCCCCC"/>
      </bottom>
    </border>
    <border>
      <left style="thin">
        <color rgb="FFCCCCCC"/>
      </left>
      <right/>
      <top style="double">
        <color rgb="FF666666"/>
      </top>
      <bottom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CCCCCC"/>
      </left>
      <right/>
      <top style="double">
        <color rgb="FF666666"/>
      </top>
    </border>
    <border>
      <top style="double">
        <color rgb="FF666666"/>
      </top>
    </border>
    <border>
      <right/>
      <top style="double">
        <color rgb="FF666666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666666"/>
      </top>
      <bottom style="thin">
        <color rgb="FFCCCCCC"/>
      </bottom>
    </border>
    <border>
      <left style="thin">
        <color rgb="FF666666"/>
      </left>
      <top style="thin">
        <color rgb="FF666666"/>
      </top>
      <bottom style="thin">
        <color rgb="FFCCCCCC"/>
      </bottom>
    </border>
    <border>
      <left style="thin">
        <color rgb="FFAEABAB"/>
      </left>
      <top style="thin">
        <color rgb="FFAEABAB"/>
      </top>
    </border>
    <border>
      <top style="thin">
        <color rgb="FFAEABAB"/>
      </top>
    </border>
    <border>
      <right style="thin">
        <color rgb="FFAEABAB"/>
      </right>
      <top style="thin">
        <color rgb="FFAEABAB"/>
      </top>
    </border>
    <border>
      <left style="thin">
        <color rgb="FFAEABAB"/>
      </left>
      <right style="thin">
        <color rgb="FFAEABAB"/>
      </right>
      <top style="thin">
        <color rgb="FFAEABAB"/>
      </top>
    </border>
    <border>
      <left style="thin">
        <color rgb="FF666666"/>
      </left>
      <right/>
      <bottom/>
    </border>
    <border>
      <left/>
      <right style="thin">
        <color rgb="FF666666"/>
      </right>
      <bottom/>
    </border>
    <border>
      <left/>
      <bottom/>
    </border>
    <border>
      <left style="thin">
        <color rgb="FF666666"/>
      </left>
      <right/>
      <top/>
      <bottom/>
    </border>
    <border>
      <left/>
      <right/>
      <top/>
      <bottom/>
    </border>
    <border>
      <left/>
      <right/>
      <top/>
      <bottom style="double">
        <color rgb="FF666666"/>
      </bottom>
    </border>
    <border>
      <left style="thin">
        <color rgb="FF666666"/>
      </left>
      <right style="thin">
        <color rgb="FFCCCCCC"/>
      </right>
      <top style="double">
        <color rgb="FF666666"/>
      </top>
      <bottom style="thin">
        <color rgb="FF666666"/>
      </bottom>
    </border>
    <border>
      <left style="thin">
        <color rgb="FFCCCCCC"/>
      </left>
      <right style="thin">
        <color rgb="FFCCCCCC"/>
      </right>
      <top style="double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double">
        <color rgb="FF666666"/>
      </top>
      <bottom/>
    </border>
    <border>
      <left style="thin">
        <color rgb="FFCCCCCC"/>
      </left>
      <right/>
      <top style="double">
        <color rgb="FF666666"/>
      </top>
      <bottom style="thin">
        <color rgb="FF666666"/>
      </bottom>
    </border>
    <border>
      <left/>
      <right/>
      <top style="double">
        <color rgb="FF666666"/>
      </top>
      <bottom/>
    </border>
    <border>
      <top style="double">
        <color rgb="FF666666"/>
      </top>
      <bottom/>
    </border>
    <border>
      <left style="thin">
        <color rgb="FFCCCCCC"/>
      </left>
      <right style="thin">
        <color rgb="FF666666"/>
      </right>
      <top style="double">
        <color rgb="FF666666"/>
      </top>
      <bottom style="thin">
        <color rgb="FF666666"/>
      </bottom>
    </border>
    <border>
      <left/>
      <right/>
      <top style="double">
        <color rgb="FF666666"/>
      </top>
      <bottom style="thin">
        <color rgb="FF666666"/>
      </bottom>
    </border>
    <border>
      <left style="thin">
        <color rgb="FF666666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AEABAB"/>
      </left>
      <right style="thin">
        <color rgb="FFAEABAB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bottom style="medium">
        <color rgb="FFE4841E"/>
      </bottom>
    </border>
    <border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dotted">
        <color rgb="FFE4841E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dotted">
        <color rgb="FFFFC000"/>
      </top>
    </border>
    <border>
      <top style="thin">
        <color rgb="FFFFFFFF"/>
      </top>
      <bottom style="thin">
        <color rgb="FFFFFFFF"/>
      </bottom>
    </border>
    <border>
      <left style="thin">
        <color rgb="FFD9D9D9"/>
      </left>
    </border>
    <border>
      <right/>
      <top/>
      <bottom/>
    </border>
    <border>
      <left/>
      <right style="thin">
        <color rgb="FF666666"/>
      </right>
      <top/>
      <bottom/>
    </border>
    <border>
      <right style="thin">
        <color rgb="FFCCCCCC"/>
      </right>
      <top style="double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462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readingOrder="0" vertical="center"/>
    </xf>
    <xf borderId="2" fillId="2" fontId="4" numFmtId="49" xfId="0" applyAlignment="1" applyBorder="1" applyFill="1" applyFont="1" applyNumberFormat="1">
      <alignment vertical="bottom"/>
    </xf>
    <xf borderId="2" fillId="2" fontId="4" numFmtId="0" xfId="0" applyAlignment="1" applyBorder="1" applyFont="1">
      <alignment vertical="bottom"/>
    </xf>
    <xf borderId="2" fillId="2" fontId="4" numFmtId="3" xfId="0" applyBorder="1" applyFont="1" applyNumberFormat="1"/>
    <xf borderId="0" fillId="2" fontId="4" numFmtId="164" xfId="0" applyAlignment="1" applyFont="1" applyNumberFormat="1">
      <alignment vertical="bottom"/>
    </xf>
    <xf borderId="2" fillId="2" fontId="4" numFmtId="164" xfId="0" applyAlignment="1" applyBorder="1" applyFont="1" applyNumberFormat="1">
      <alignment vertical="bottom"/>
    </xf>
    <xf borderId="0" fillId="2" fontId="4" numFmtId="0" xfId="0" applyAlignment="1" applyFont="1">
      <alignment vertical="bottom"/>
    </xf>
    <xf borderId="3" fillId="3" fontId="1" numFmtId="49" xfId="0" applyAlignment="1" applyBorder="1" applyFill="1" applyFont="1" applyNumberForma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4" fillId="4" fontId="5" numFmtId="3" xfId="0" applyAlignment="1" applyBorder="1" applyFont="1" applyNumberFormat="1">
      <alignment horizontal="center" shrinkToFit="0" vertical="center" wrapText="1"/>
    </xf>
    <xf borderId="6" fillId="4" fontId="5" numFmtId="164" xfId="0" applyAlignment="1" applyBorder="1" applyFont="1" applyNumberFormat="1">
      <alignment horizontal="center" readingOrder="0" shrinkToFit="0" vertical="center" wrapText="1"/>
    </xf>
    <xf borderId="7" fillId="4" fontId="5" numFmtId="164" xfId="0" applyAlignment="1" applyBorder="1" applyFont="1" applyNumberFormat="1">
      <alignment horizontal="center" readingOrder="0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9" fillId="5" fontId="5" numFmtId="49" xfId="0" applyAlignment="1" applyBorder="1" applyFill="1" applyFont="1" applyNumberFormat="1">
      <alignment horizontal="center" readingOrder="0" vertical="bottom"/>
    </xf>
    <xf borderId="10" fillId="6" fontId="6" numFmtId="1" xfId="0" applyAlignment="1" applyBorder="1" applyFill="1" applyFont="1" applyNumberFormat="1">
      <alignment horizontal="center" shrinkToFit="0" wrapText="1"/>
    </xf>
    <xf borderId="11" fillId="6" fontId="6" numFmtId="0" xfId="0" applyAlignment="1" applyBorder="1" applyFont="1">
      <alignment horizontal="left" shrinkToFit="0" wrapText="1"/>
    </xf>
    <xf borderId="12" fillId="0" fontId="6" numFmtId="0" xfId="0" applyAlignment="1" applyBorder="1" applyFont="1">
      <alignment shrinkToFit="0" vertical="top" wrapText="1"/>
    </xf>
    <xf borderId="12" fillId="0" fontId="6" numFmtId="0" xfId="0" applyAlignment="1" applyBorder="1" applyFont="1">
      <alignment readingOrder="0" shrinkToFit="0" vertical="top" wrapText="1"/>
    </xf>
    <xf borderId="13" fillId="0" fontId="7" numFmtId="1" xfId="0" applyAlignment="1" applyBorder="1" applyFont="1" applyNumberFormat="1">
      <alignment shrinkToFit="0" wrapText="1"/>
    </xf>
    <xf borderId="11" fillId="6" fontId="6" numFmtId="0" xfId="0" applyAlignment="1" applyBorder="1" applyFont="1">
      <alignment horizontal="center" shrinkToFit="0" wrapText="1"/>
    </xf>
    <xf borderId="14" fillId="6" fontId="6" numFmtId="4" xfId="0" applyAlignment="1" applyBorder="1" applyFont="1" applyNumberFormat="1">
      <alignment horizontal="center" shrinkToFit="0" wrapText="1"/>
    </xf>
    <xf borderId="11" fillId="6" fontId="6" numFmtId="4" xfId="0" applyAlignment="1" applyBorder="1" applyFont="1" applyNumberFormat="1">
      <alignment horizontal="center" shrinkToFit="0" wrapText="1"/>
    </xf>
    <xf borderId="12" fillId="0" fontId="6" numFmtId="165" xfId="0" applyAlignment="1" applyBorder="1" applyFont="1" applyNumberFormat="1">
      <alignment horizontal="center" shrinkToFit="0" vertical="top" wrapText="1"/>
    </xf>
    <xf borderId="12" fillId="0" fontId="6" numFmtId="166" xfId="0" applyAlignment="1" applyBorder="1" applyFont="1" applyNumberFormat="1">
      <alignment shrinkToFit="0" vertical="top" wrapText="1"/>
    </xf>
    <xf borderId="15" fillId="0" fontId="1" numFmtId="4" xfId="0" applyAlignment="1" applyBorder="1" applyFont="1" applyNumberFormat="1">
      <alignment readingOrder="0"/>
    </xf>
    <xf borderId="16" fillId="6" fontId="6" numFmtId="1" xfId="0" applyAlignment="1" applyBorder="1" applyFont="1" applyNumberFormat="1">
      <alignment horizontal="center" shrinkToFit="0" wrapText="1"/>
    </xf>
    <xf borderId="14" fillId="6" fontId="6" numFmtId="0" xfId="0" applyAlignment="1" applyBorder="1" applyFont="1">
      <alignment horizontal="left" shrinkToFit="0" wrapText="1"/>
    </xf>
    <xf borderId="17" fillId="0" fontId="7" numFmtId="1" xfId="0" applyAlignment="1" applyBorder="1" applyFont="1" applyNumberFormat="1">
      <alignment shrinkToFit="0" wrapText="1"/>
    </xf>
    <xf borderId="18" fillId="0" fontId="6" numFmtId="0" xfId="0" applyAlignment="1" applyBorder="1" applyFont="1">
      <alignment shrinkToFit="0" vertical="top" wrapText="1"/>
    </xf>
    <xf borderId="14" fillId="6" fontId="6" numFmtId="0" xfId="0" applyAlignment="1" applyBorder="1" applyFont="1">
      <alignment horizontal="center" shrinkToFit="0" wrapText="1"/>
    </xf>
    <xf borderId="18" fillId="0" fontId="6" numFmtId="165" xfId="0" applyAlignment="1" applyBorder="1" applyFont="1" applyNumberFormat="1">
      <alignment horizontal="center" shrinkToFit="0" vertical="top" wrapText="1"/>
    </xf>
    <xf borderId="14" fillId="6" fontId="6" numFmtId="1" xfId="0" applyAlignment="1" applyBorder="1" applyFont="1" applyNumberFormat="1">
      <alignment horizontal="left" shrinkToFit="0" wrapText="1"/>
    </xf>
    <xf borderId="11" fillId="6" fontId="6" numFmtId="4" xfId="0" applyAlignment="1" applyBorder="1" applyFont="1" applyNumberFormat="1">
      <alignment horizontal="center" readingOrder="0" shrinkToFit="0" wrapText="1"/>
    </xf>
    <xf borderId="11" fillId="0" fontId="6" numFmtId="0" xfId="0" applyAlignment="1" applyBorder="1" applyFont="1">
      <alignment horizontal="left" shrinkToFit="0" wrapText="1"/>
    </xf>
    <xf borderId="11" fillId="6" fontId="6" numFmtId="1" xfId="0" applyAlignment="1" applyBorder="1" applyFont="1" applyNumberFormat="1">
      <alignment horizontal="left" shrinkToFit="0" wrapText="1"/>
    </xf>
    <xf borderId="12" fillId="0" fontId="6" numFmtId="4" xfId="0" applyAlignment="1" applyBorder="1" applyFont="1" applyNumberFormat="1">
      <alignment horizontal="center" shrinkToFit="0" wrapText="1"/>
    </xf>
    <xf borderId="12" fillId="6" fontId="6" numFmtId="4" xfId="0" applyAlignment="1" applyBorder="1" applyFont="1" applyNumberFormat="1">
      <alignment horizontal="center" shrinkToFit="0" wrapText="1"/>
    </xf>
    <xf borderId="15" fillId="0" fontId="6" numFmtId="0" xfId="0" applyAlignment="1" applyBorder="1" applyFont="1">
      <alignment shrinkToFit="0" vertical="top" wrapText="1"/>
    </xf>
    <xf borderId="11" fillId="0" fontId="6" numFmtId="4" xfId="0" applyAlignment="1" applyBorder="1" applyFont="1" applyNumberFormat="1">
      <alignment horizontal="center" shrinkToFit="0" wrapText="1"/>
    </xf>
    <xf borderId="18" fillId="0" fontId="6" numFmtId="167" xfId="0" applyAlignment="1" applyBorder="1" applyFont="1" applyNumberFormat="1">
      <alignment horizontal="center" shrinkToFit="0" vertical="top" wrapText="1"/>
    </xf>
    <xf borderId="11" fillId="6" fontId="6" numFmtId="4" xfId="0" applyAlignment="1" applyBorder="1" applyFont="1" applyNumberFormat="1">
      <alignment horizontal="left" shrinkToFit="0" wrapText="1"/>
    </xf>
    <xf borderId="14" fillId="0" fontId="6" numFmtId="0" xfId="0" applyAlignment="1" applyBorder="1" applyFont="1">
      <alignment horizontal="left" shrinkToFit="0" wrapText="1"/>
    </xf>
    <xf borderId="11" fillId="0" fontId="6" numFmtId="0" xfId="0" applyAlignment="1" applyBorder="1" applyFont="1">
      <alignment horizontal="center" shrinkToFit="0" wrapText="1"/>
    </xf>
    <xf borderId="14" fillId="0" fontId="6" numFmtId="4" xfId="0" applyAlignment="1" applyBorder="1" applyFont="1" applyNumberFormat="1">
      <alignment horizontal="center" shrinkToFit="0" wrapText="1"/>
    </xf>
    <xf borderId="11" fillId="0" fontId="6" numFmtId="4" xfId="0" applyAlignment="1" applyBorder="1" applyFont="1" applyNumberFormat="1">
      <alignment horizontal="center"/>
    </xf>
    <xf borderId="10" fillId="6" fontId="6" numFmtId="1" xfId="0" applyAlignment="1" applyBorder="1" applyFont="1" applyNumberFormat="1">
      <alignment horizontal="left" shrinkToFit="0" wrapText="1"/>
    </xf>
    <xf borderId="10" fillId="6" fontId="6" numFmtId="0" xfId="0" applyAlignment="1" applyBorder="1" applyFont="1">
      <alignment horizontal="left" shrinkToFit="0" wrapText="1"/>
    </xf>
    <xf borderId="10" fillId="0" fontId="6" numFmtId="0" xfId="0" applyAlignment="1" applyBorder="1" applyFont="1">
      <alignment horizontal="left" shrinkToFit="0" wrapText="1"/>
    </xf>
    <xf borderId="18" fillId="0" fontId="6" numFmtId="0" xfId="0" applyAlignment="1" applyBorder="1" applyFont="1">
      <alignment horizontal="center" shrinkToFit="0" vertical="top" wrapText="1"/>
    </xf>
    <xf borderId="12" fillId="0" fontId="8" numFmtId="0" xfId="0" applyAlignment="1" applyBorder="1" applyFont="1">
      <alignment horizontal="left"/>
    </xf>
    <xf borderId="1" fillId="0" fontId="9" numFmtId="49" xfId="0" applyAlignment="1" applyBorder="1" applyFont="1" applyNumberFormat="1">
      <alignment horizontal="center" vertical="center"/>
    </xf>
    <xf borderId="1" fillId="0" fontId="10" numFmtId="0" xfId="0" applyBorder="1" applyFont="1"/>
    <xf borderId="2" fillId="2" fontId="4" numFmtId="0" xfId="0" applyBorder="1" applyFont="1"/>
    <xf borderId="2" fillId="7" fontId="4" numFmtId="0" xfId="0" applyAlignment="1" applyBorder="1" applyFill="1" applyFont="1">
      <alignment vertical="bottom"/>
    </xf>
    <xf borderId="3" fillId="3" fontId="5" numFmtId="49" xfId="0" applyAlignment="1" applyBorder="1" applyFont="1" applyNumberFormat="1">
      <alignment horizontal="center" vertical="bottom"/>
    </xf>
    <xf borderId="5" fillId="4" fontId="5" numFmtId="0" xfId="0" applyAlignment="1" applyBorder="1" applyFont="1">
      <alignment horizontal="center" vertical="bottom"/>
    </xf>
    <xf borderId="5" fillId="4" fontId="5" numFmtId="0" xfId="0" applyAlignment="1" applyBorder="1" applyFont="1">
      <alignment horizontal="center" vertical="bottom"/>
    </xf>
    <xf borderId="4" fillId="4" fontId="5" numFmtId="0" xfId="0" applyAlignment="1" applyBorder="1" applyFont="1">
      <alignment vertical="bottom"/>
    </xf>
    <xf borderId="5" fillId="8" fontId="5" numFmtId="0" xfId="0" applyAlignment="1" applyBorder="1" applyFill="1" applyFont="1">
      <alignment horizontal="center"/>
    </xf>
    <xf borderId="5" fillId="8" fontId="5" numFmtId="0" xfId="0" applyAlignment="1" applyBorder="1" applyFont="1">
      <alignment horizontal="center" vertical="bottom"/>
    </xf>
    <xf borderId="19" fillId="4" fontId="5" numFmtId="0" xfId="0" applyAlignment="1" applyBorder="1" applyFont="1">
      <alignment horizontal="center" shrinkToFit="0" vertical="bottom" wrapText="0"/>
    </xf>
    <xf borderId="19" fillId="4" fontId="5" numFmtId="0" xfId="0" applyAlignment="1" applyBorder="1" applyFont="1">
      <alignment horizontal="center" vertical="bottom"/>
    </xf>
    <xf borderId="6" fillId="9" fontId="5" numFmtId="0" xfId="0" applyAlignment="1" applyBorder="1" applyFill="1" applyFont="1">
      <alignment horizontal="center" vertical="bottom"/>
    </xf>
    <xf borderId="20" fillId="0" fontId="10" numFmtId="0" xfId="0" applyBorder="1" applyFont="1"/>
    <xf borderId="21" fillId="0" fontId="10" numFmtId="0" xfId="0" applyBorder="1" applyFont="1"/>
    <xf borderId="22" fillId="5" fontId="11" numFmtId="49" xfId="0" applyAlignment="1" applyBorder="1" applyFont="1" applyNumberFormat="1">
      <alignment horizontal="center" readingOrder="0"/>
    </xf>
    <xf borderId="15" fillId="6" fontId="7" numFmtId="1" xfId="0" applyAlignment="1" applyBorder="1" applyFont="1" applyNumberFormat="1">
      <alignment shrinkToFit="0" wrapText="0"/>
    </xf>
    <xf borderId="15" fillId="6" fontId="7" numFmtId="1" xfId="0" applyAlignment="1" applyBorder="1" applyFont="1" applyNumberFormat="1">
      <alignment horizontal="left"/>
    </xf>
    <xf borderId="15" fillId="6" fontId="7" numFmtId="0" xfId="0" applyAlignment="1" applyBorder="1" applyFont="1">
      <alignment horizontal="left"/>
    </xf>
    <xf borderId="15" fillId="8" fontId="7" numFmtId="1" xfId="0" applyAlignment="1" applyBorder="1" applyFont="1" applyNumberFormat="1">
      <alignment horizontal="center" shrinkToFit="0" wrapText="1"/>
    </xf>
    <xf borderId="15" fillId="8" fontId="7" numFmtId="0" xfId="0" applyAlignment="1" applyBorder="1" applyFont="1">
      <alignment shrinkToFit="0" wrapText="1"/>
    </xf>
    <xf borderId="15" fillId="8" fontId="7" numFmtId="0" xfId="0" applyAlignment="1" applyBorder="1" applyFont="1">
      <alignment horizontal="center"/>
    </xf>
    <xf borderId="15" fillId="6" fontId="4" numFmtId="0" xfId="0" applyAlignment="1" applyBorder="1" applyFont="1">
      <alignment shrinkToFit="0" wrapText="0"/>
    </xf>
    <xf borderId="15" fillId="6" fontId="4" numFmtId="0" xfId="0" applyBorder="1" applyFont="1"/>
    <xf borderId="15" fillId="6" fontId="4" numFmtId="0" xfId="0" applyBorder="1" applyFont="1"/>
    <xf borderId="15" fillId="10" fontId="7" numFmtId="1" xfId="0" applyAlignment="1" applyBorder="1" applyFill="1" applyFont="1" applyNumberFormat="1">
      <alignment horizontal="center" readingOrder="0" shrinkToFit="0" wrapText="1"/>
    </xf>
    <xf borderId="15" fillId="10" fontId="7" numFmtId="0" xfId="0" applyAlignment="1" applyBorder="1" applyFont="1">
      <alignment readingOrder="0" shrinkToFit="0" wrapText="1"/>
    </xf>
    <xf borderId="15" fillId="10" fontId="7" numFmtId="0" xfId="0" applyAlignment="1" applyBorder="1" applyFont="1">
      <alignment horizontal="center" readingOrder="0"/>
    </xf>
    <xf borderId="15" fillId="0" fontId="7" numFmtId="1" xfId="0" applyAlignment="1" applyBorder="1" applyFont="1" applyNumberFormat="1">
      <alignment shrinkToFit="0" wrapText="0"/>
    </xf>
    <xf borderId="15" fillId="11" fontId="7" numFmtId="1" xfId="0" applyAlignment="1" applyBorder="1" applyFill="1" applyFont="1" applyNumberFormat="1">
      <alignment horizontal="center" shrinkToFit="0" wrapText="1"/>
    </xf>
    <xf borderId="15" fillId="11" fontId="7" numFmtId="0" xfId="0" applyAlignment="1" applyBorder="1" applyFont="1">
      <alignment horizontal="center"/>
    </xf>
    <xf borderId="15" fillId="10" fontId="7" numFmtId="1" xfId="0" applyAlignment="1" applyBorder="1" applyFont="1" applyNumberFormat="1">
      <alignment horizontal="center" shrinkToFit="0" wrapText="1"/>
    </xf>
    <xf borderId="15" fillId="10" fontId="7" numFmtId="0" xfId="0" applyAlignment="1" applyBorder="1" applyFont="1">
      <alignment shrinkToFit="0" wrapText="1"/>
    </xf>
    <xf borderId="15" fillId="10" fontId="7" numFmtId="0" xfId="0" applyAlignment="1" applyBorder="1" applyFont="1">
      <alignment horizontal="center"/>
    </xf>
    <xf borderId="15" fillId="11" fontId="7" numFmtId="0" xfId="0" applyAlignment="1" applyBorder="1" applyFont="1">
      <alignment shrinkToFit="0" wrapText="1"/>
    </xf>
    <xf borderId="15" fillId="7" fontId="7" numFmtId="1" xfId="0" applyAlignment="1" applyBorder="1" applyFont="1" applyNumberFormat="1">
      <alignment horizontal="left" readingOrder="0"/>
    </xf>
    <xf borderId="15" fillId="8" fontId="7" numFmtId="0" xfId="0" applyAlignment="1" applyBorder="1" applyFont="1">
      <alignment horizontal="center" readingOrder="0"/>
    </xf>
    <xf borderId="15" fillId="7" fontId="7" numFmtId="1" xfId="0" applyAlignment="1" applyBorder="1" applyFont="1" applyNumberFormat="1">
      <alignment horizontal="left"/>
    </xf>
    <xf borderId="15" fillId="8" fontId="7" numFmtId="1" xfId="0" applyAlignment="1" applyBorder="1" applyFont="1" applyNumberFormat="1">
      <alignment horizontal="center" readingOrder="0" shrinkToFit="0" wrapText="1"/>
    </xf>
    <xf borderId="15" fillId="8" fontId="7" numFmtId="0" xfId="0" applyAlignment="1" applyBorder="1" applyFont="1">
      <alignment readingOrder="0" shrinkToFit="0" wrapText="1"/>
    </xf>
    <xf borderId="15" fillId="12" fontId="4" numFmtId="0" xfId="0" applyBorder="1" applyFill="1" applyFont="1"/>
    <xf borderId="15" fillId="9" fontId="7" numFmtId="1" xfId="0" applyAlignment="1" applyBorder="1" applyFont="1" applyNumberFormat="1">
      <alignment shrinkToFit="0" wrapText="0"/>
    </xf>
    <xf borderId="15" fillId="8" fontId="7" numFmtId="49" xfId="0" applyAlignment="1" applyBorder="1" applyFont="1" applyNumberFormat="1">
      <alignment horizontal="center" shrinkToFit="0" wrapText="1"/>
    </xf>
    <xf borderId="22" fillId="5" fontId="11" numFmtId="49" xfId="0" applyAlignment="1" applyBorder="1" applyFont="1" applyNumberFormat="1">
      <alignment horizontal="center"/>
    </xf>
    <xf borderId="15" fillId="6" fontId="7" numFmtId="0" xfId="0" applyAlignment="1" applyBorder="1" applyFont="1">
      <alignment horizontal="center"/>
    </xf>
    <xf borderId="15" fillId="6" fontId="7" numFmtId="1" xfId="0" applyAlignment="1" applyBorder="1" applyFont="1" applyNumberFormat="1">
      <alignment horizontal="center"/>
    </xf>
    <xf borderId="15" fillId="8" fontId="7" numFmtId="0" xfId="0" applyAlignment="1" applyBorder="1" applyFont="1">
      <alignment horizontal="center" shrinkToFit="0" wrapText="1"/>
    </xf>
    <xf borderId="15" fillId="6" fontId="7" numFmtId="0" xfId="0" applyAlignment="1" applyBorder="1" applyFont="1">
      <alignment shrinkToFit="0" wrapText="0"/>
    </xf>
    <xf borderId="15" fillId="6" fontId="7" numFmtId="0" xfId="0" applyBorder="1" applyFont="1"/>
    <xf borderId="15" fillId="6" fontId="4" numFmtId="0" xfId="0" applyAlignment="1" applyBorder="1" applyFont="1">
      <alignment readingOrder="0" shrinkToFit="0" wrapText="0"/>
    </xf>
    <xf borderId="15" fillId="6" fontId="4" numFmtId="0" xfId="0" applyAlignment="1" applyBorder="1" applyFont="1">
      <alignment readingOrder="0"/>
    </xf>
    <xf borderId="23" fillId="0" fontId="12" numFmtId="0" xfId="0" applyAlignment="1" applyBorder="1" applyFont="1">
      <alignment horizontal="center" readingOrder="0" vertical="center"/>
    </xf>
    <xf borderId="24" fillId="0" fontId="12" numFmtId="0" xfId="0" applyAlignment="1" applyBorder="1" applyFont="1">
      <alignment horizontal="center" readingOrder="0" vertical="center"/>
    </xf>
    <xf borderId="25" fillId="13" fontId="13" numFmtId="0" xfId="0" applyAlignment="1" applyBorder="1" applyFill="1" applyFont="1">
      <alignment horizontal="center" vertical="center"/>
    </xf>
    <xf borderId="26" fillId="0" fontId="10" numFmtId="0" xfId="0" applyBorder="1" applyFont="1"/>
    <xf borderId="27" fillId="0" fontId="10" numFmtId="0" xfId="0" applyBorder="1" applyFont="1"/>
    <xf borderId="28" fillId="13" fontId="13" numFmtId="0" xfId="0" applyAlignment="1" applyBorder="1" applyFont="1">
      <alignment horizontal="center" vertical="center"/>
    </xf>
    <xf borderId="29" fillId="14" fontId="14" numFmtId="0" xfId="0" applyAlignment="1" applyBorder="1" applyFill="1" applyFont="1">
      <alignment horizontal="center" vertical="center"/>
    </xf>
    <xf borderId="2" fillId="15" fontId="15" numFmtId="0" xfId="0" applyAlignment="1" applyBorder="1" applyFill="1" applyFont="1">
      <alignment vertical="center"/>
    </xf>
    <xf borderId="30" fillId="15" fontId="14" numFmtId="0" xfId="0" applyAlignment="1" applyBorder="1" applyFont="1">
      <alignment vertical="center"/>
    </xf>
    <xf borderId="2" fillId="15" fontId="15" numFmtId="0" xfId="0" applyAlignment="1" applyBorder="1" applyFont="1">
      <alignment horizontal="center" vertical="center"/>
    </xf>
    <xf borderId="31" fillId="15" fontId="15" numFmtId="0" xfId="0" applyAlignment="1" applyBorder="1" applyFont="1">
      <alignment horizontal="center" vertical="center"/>
    </xf>
    <xf borderId="32" fillId="2" fontId="15" numFmtId="0" xfId="0" applyAlignment="1" applyBorder="1" applyFont="1">
      <alignment horizontal="center" vertical="center"/>
    </xf>
    <xf borderId="33" fillId="2" fontId="15" numFmtId="0" xfId="0" applyAlignment="1" applyBorder="1" applyFont="1">
      <alignment horizontal="center" vertical="center"/>
    </xf>
    <xf borderId="34" fillId="2" fontId="15" numFmtId="0" xfId="0" applyAlignment="1" applyBorder="1" applyFont="1">
      <alignment horizontal="center" vertical="center"/>
    </xf>
    <xf borderId="34" fillId="2" fontId="16" numFmtId="10" xfId="0" applyAlignment="1" applyBorder="1" applyFont="1" applyNumberFormat="1">
      <alignment horizontal="center" vertical="center"/>
    </xf>
    <xf borderId="35" fillId="3" fontId="14" numFmtId="0" xfId="0" applyAlignment="1" applyBorder="1" applyFont="1">
      <alignment horizontal="center" vertical="center"/>
    </xf>
    <xf borderId="36" fillId="0" fontId="15" numFmtId="0" xfId="0" applyAlignment="1" applyBorder="1" applyFont="1">
      <alignment horizontal="center" vertical="center"/>
    </xf>
    <xf borderId="37" fillId="8" fontId="14" numFmtId="0" xfId="0" applyAlignment="1" applyBorder="1" applyFont="1">
      <alignment horizontal="center" readingOrder="0" vertical="center"/>
    </xf>
    <xf borderId="36" fillId="8" fontId="15" numFmtId="0" xfId="0" applyAlignment="1" applyBorder="1" applyFont="1">
      <alignment horizontal="center" readingOrder="0" vertical="center"/>
    </xf>
    <xf borderId="36" fillId="8" fontId="15" numFmtId="0" xfId="0" applyAlignment="1" applyBorder="1" applyFont="1">
      <alignment horizontal="center" vertical="center"/>
    </xf>
    <xf borderId="38" fillId="8" fontId="15" numFmtId="0" xfId="0" applyAlignment="1" applyBorder="1" applyFont="1">
      <alignment horizontal="center" vertical="center"/>
    </xf>
    <xf borderId="39" fillId="8" fontId="15" numFmtId="0" xfId="0" applyAlignment="1" applyBorder="1" applyFont="1">
      <alignment horizontal="center" vertical="center"/>
    </xf>
    <xf borderId="40" fillId="8" fontId="15" numFmtId="0" xfId="0" applyAlignment="1" applyBorder="1" applyFont="1">
      <alignment horizontal="center" vertical="center"/>
    </xf>
    <xf borderId="35" fillId="16" fontId="15" numFmtId="0" xfId="0" applyAlignment="1" applyBorder="1" applyFill="1" applyFont="1">
      <alignment horizontal="center" vertical="center"/>
    </xf>
    <xf borderId="36" fillId="16" fontId="15" numFmtId="0" xfId="0" applyAlignment="1" applyBorder="1" applyFont="1">
      <alignment horizontal="center" vertical="center"/>
    </xf>
    <xf borderId="41" fillId="16" fontId="15" numFmtId="0" xfId="0" applyAlignment="1" applyBorder="1" applyFont="1">
      <alignment horizontal="center" vertical="center"/>
    </xf>
    <xf borderId="42" fillId="16" fontId="16" numFmtId="10" xfId="0" applyAlignment="1" applyBorder="1" applyFont="1" applyNumberFormat="1">
      <alignment horizontal="center" vertical="center"/>
    </xf>
    <xf borderId="42" fillId="16" fontId="15" numFmtId="0" xfId="0" applyAlignment="1" applyBorder="1" applyFont="1">
      <alignment horizontal="center" vertical="center"/>
    </xf>
    <xf borderId="43" fillId="3" fontId="14" numFmtId="49" xfId="0" applyAlignment="1" applyBorder="1" applyFont="1" applyNumberFormat="1">
      <alignment horizontal="center" readingOrder="0" vertical="center"/>
    </xf>
    <xf borderId="15" fillId="0" fontId="15" numFmtId="1" xfId="0" applyAlignment="1" applyBorder="1" applyFont="1" applyNumberFormat="1">
      <alignment vertical="center"/>
    </xf>
    <xf borderId="44" fillId="8" fontId="14" numFmtId="168" xfId="0" applyAlignment="1" applyBorder="1" applyFont="1" applyNumberFormat="1">
      <alignment horizontal="center" vertical="center"/>
    </xf>
    <xf borderId="15" fillId="0" fontId="15" numFmtId="3" xfId="0" applyAlignment="1" applyBorder="1" applyFont="1" applyNumberFormat="1">
      <alignment horizontal="center" readingOrder="0" vertical="center"/>
    </xf>
    <xf borderId="15" fillId="0" fontId="15" numFmtId="0" xfId="0" applyAlignment="1" applyBorder="1" applyFont="1">
      <alignment readingOrder="0" vertical="center"/>
    </xf>
    <xf borderId="15" fillId="0" fontId="15" numFmtId="1" xfId="0" applyAlignment="1" applyBorder="1" applyFont="1" applyNumberFormat="1">
      <alignment readingOrder="0" vertical="center"/>
    </xf>
    <xf borderId="15" fillId="0" fontId="15" numFmtId="1" xfId="0" applyAlignment="1" applyBorder="1" applyFont="1" applyNumberFormat="1">
      <alignment horizontal="center" readingOrder="0" vertical="center"/>
    </xf>
    <xf borderId="45" fillId="0" fontId="15" numFmtId="0" xfId="0" applyAlignment="1" applyBorder="1" applyFont="1">
      <alignment readingOrder="0" vertical="center"/>
    </xf>
    <xf borderId="44" fillId="0" fontId="15" numFmtId="0" xfId="0" applyAlignment="1" applyBorder="1" applyFont="1">
      <alignment vertical="center"/>
    </xf>
    <xf borderId="44" fillId="0" fontId="15" numFmtId="0" xfId="0" applyAlignment="1" applyBorder="1" applyFont="1">
      <alignment horizontal="center" vertical="center"/>
    </xf>
    <xf borderId="46" fillId="4" fontId="15" numFmtId="4" xfId="0" applyAlignment="1" applyBorder="1" applyFont="1" applyNumberFormat="1">
      <alignment horizontal="center" vertical="center"/>
    </xf>
    <xf borderId="47" fillId="4" fontId="15" numFmtId="4" xfId="0" applyAlignment="1" applyBorder="1" applyFont="1" applyNumberFormat="1">
      <alignment horizontal="center" vertical="center"/>
    </xf>
    <xf borderId="15" fillId="4" fontId="16" numFmtId="10" xfId="0" applyAlignment="1" applyBorder="1" applyFont="1" applyNumberFormat="1">
      <alignment horizontal="center" vertical="center"/>
    </xf>
    <xf borderId="15" fillId="4" fontId="15" numFmtId="0" xfId="0" applyAlignment="1" applyBorder="1" applyFont="1">
      <alignment vertical="center"/>
    </xf>
    <xf borderId="48" fillId="0" fontId="15" numFmtId="0" xfId="0" applyAlignment="1" applyBorder="1" applyFont="1">
      <alignment readingOrder="0" vertical="center"/>
    </xf>
    <xf borderId="45" fillId="0" fontId="15" numFmtId="1" xfId="0" applyAlignment="1" applyBorder="1" applyFont="1" applyNumberFormat="1">
      <alignment horizontal="center" readingOrder="0" vertical="center"/>
    </xf>
    <xf borderId="1" fillId="0" fontId="15" numFmtId="0" xfId="0" applyAlignment="1" applyBorder="1" applyFont="1">
      <alignment readingOrder="0" vertical="center"/>
    </xf>
    <xf borderId="0" fillId="8" fontId="14" numFmtId="168" xfId="0" applyAlignment="1" applyFont="1" applyNumberFormat="1">
      <alignment horizontal="center" vertical="center"/>
    </xf>
    <xf borderId="0" fillId="6" fontId="17" numFmtId="0" xfId="0" applyAlignment="1" applyFont="1">
      <alignment horizontal="left" shrinkToFit="0" vertical="center" wrapText="0"/>
    </xf>
    <xf borderId="0" fillId="6" fontId="18" numFmtId="0" xfId="0" applyAlignment="1" applyFont="1">
      <alignment horizontal="left" shrinkToFit="0" vertical="center" wrapText="0"/>
    </xf>
    <xf borderId="0" fillId="6" fontId="19" numFmtId="0" xfId="0" applyAlignment="1" applyFont="1">
      <alignment horizontal="left" shrinkToFit="0" vertical="center" wrapText="0"/>
    </xf>
    <xf borderId="0" fillId="0" fontId="20" numFmtId="0" xfId="0" applyAlignment="1" applyFont="1">
      <alignment vertical="center"/>
    </xf>
    <xf borderId="0" fillId="0" fontId="21" numFmtId="0" xfId="0" applyAlignment="1" applyFont="1">
      <alignment vertical="center"/>
    </xf>
    <xf borderId="0" fillId="0" fontId="22" numFmtId="0" xfId="0" applyAlignment="1" applyFont="1">
      <alignment vertical="center"/>
    </xf>
    <xf borderId="0" fillId="6" fontId="23" numFmtId="0" xfId="0" applyAlignment="1" applyFont="1">
      <alignment horizontal="left" readingOrder="0" shrinkToFit="0" vertical="center" wrapText="0"/>
    </xf>
    <xf borderId="0" fillId="17" fontId="24" numFmtId="0" xfId="0" applyAlignment="1" applyFill="1" applyFont="1">
      <alignment horizontal="left" shrinkToFit="0" vertical="center" wrapText="0"/>
    </xf>
    <xf borderId="0" fillId="0" fontId="25" numFmtId="0" xfId="0" applyAlignment="1" applyFont="1">
      <alignment vertical="center"/>
    </xf>
    <xf borderId="0" fillId="6" fontId="26" numFmtId="0" xfId="0" applyAlignment="1" applyFont="1">
      <alignment horizontal="center" readingOrder="0" vertical="top"/>
    </xf>
    <xf borderId="0" fillId="6" fontId="21" numFmtId="0" xfId="0" applyAlignment="1" applyFont="1">
      <alignment horizontal="left" shrinkToFit="0" vertical="center" wrapText="0"/>
    </xf>
    <xf borderId="0" fillId="0" fontId="21" numFmtId="0" xfId="0" applyAlignment="1" applyFont="1">
      <alignment shrinkToFit="0" vertical="center" wrapText="0"/>
    </xf>
    <xf borderId="0" fillId="0" fontId="22" numFmtId="0" xfId="0" applyAlignment="1" applyFont="1">
      <alignment shrinkToFit="0" vertical="center" wrapText="0"/>
    </xf>
    <xf borderId="0" fillId="2" fontId="27" numFmtId="0" xfId="0" applyAlignment="1" applyFont="1">
      <alignment horizontal="center" readingOrder="0" shrinkToFit="0" vertical="center" wrapText="0"/>
    </xf>
    <xf borderId="0" fillId="6" fontId="28" numFmtId="0" xfId="0" applyAlignment="1" applyFont="1">
      <alignment vertical="center"/>
    </xf>
    <xf borderId="0" fillId="8" fontId="29" numFmtId="0" xfId="0" applyAlignment="1" applyFont="1">
      <alignment horizontal="center" readingOrder="0" vertical="top"/>
    </xf>
    <xf borderId="0" fillId="8" fontId="21" numFmtId="0" xfId="0" applyAlignment="1" applyFont="1">
      <alignment horizontal="left" shrinkToFit="0" vertical="center" wrapText="0"/>
    </xf>
    <xf borderId="0" fillId="0" fontId="24" numFmtId="0" xfId="0" applyAlignment="1" applyFont="1">
      <alignment horizontal="left" shrinkToFit="0" vertical="center" wrapText="0"/>
    </xf>
    <xf borderId="0" fillId="0" fontId="30" numFmtId="0" xfId="0" applyAlignment="1" applyFont="1">
      <alignment horizontal="left" shrinkToFit="0" vertical="center" wrapText="0"/>
    </xf>
    <xf borderId="0" fillId="6" fontId="31" numFmtId="0" xfId="0" applyAlignment="1" applyFont="1">
      <alignment horizontal="center" readingOrder="0" shrinkToFit="0" vertical="center" wrapText="0"/>
    </xf>
    <xf borderId="0" fillId="6" fontId="32" numFmtId="0" xfId="0" applyFont="1"/>
    <xf borderId="0" fillId="6" fontId="33" numFmtId="0" xfId="0" applyAlignment="1" applyFont="1">
      <alignment horizontal="center" readingOrder="0" vertical="top"/>
    </xf>
    <xf borderId="0" fillId="6" fontId="34" numFmtId="0" xfId="0" applyFont="1"/>
    <xf borderId="0" fillId="6" fontId="35" numFmtId="0" xfId="0" applyAlignment="1" applyFont="1">
      <alignment horizontal="center" readingOrder="0" shrinkToFit="0" vertical="center" wrapText="0"/>
    </xf>
    <xf borderId="0" fillId="8" fontId="33" numFmtId="0" xfId="0" applyAlignment="1" applyFont="1">
      <alignment horizontal="center" readingOrder="0" vertical="top"/>
    </xf>
    <xf borderId="0" fillId="6" fontId="26" numFmtId="0" xfId="0" applyAlignment="1" applyFont="1">
      <alignment readingOrder="0"/>
    </xf>
    <xf borderId="0" fillId="6" fontId="36" numFmtId="0" xfId="0" applyAlignment="1" applyFont="1">
      <alignment horizontal="center" readingOrder="0" vertical="top"/>
    </xf>
    <xf borderId="0" fillId="8" fontId="37" numFmtId="0" xfId="0" applyAlignment="1" applyFont="1">
      <alignment horizontal="center" readingOrder="0" vertical="top"/>
    </xf>
    <xf borderId="0" fillId="0" fontId="21" numFmtId="0" xfId="0" applyAlignment="1" applyFont="1">
      <alignment readingOrder="0" shrinkToFit="0" vertical="center" wrapText="0"/>
    </xf>
    <xf borderId="0" fillId="0" fontId="38" numFmtId="0" xfId="0" applyAlignment="1" applyFont="1">
      <alignment horizontal="center" readingOrder="0" shrinkToFit="0" vertical="center" wrapText="0"/>
    </xf>
    <xf borderId="0" fillId="0" fontId="39" numFmtId="0" xfId="0" applyAlignment="1" applyFont="1">
      <alignment horizontal="center" shrinkToFit="0" vertical="center" wrapText="0"/>
    </xf>
    <xf borderId="0" fillId="0" fontId="40" numFmtId="0" xfId="0" applyAlignment="1" applyFont="1">
      <alignment horizontal="center" readingOrder="0" shrinkToFit="0" vertical="center" wrapText="0"/>
    </xf>
    <xf borderId="0" fillId="0" fontId="41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horizontal="center" readingOrder="0" shrinkToFit="0" vertical="center" wrapText="0"/>
    </xf>
    <xf borderId="49" fillId="0" fontId="10" numFmtId="0" xfId="0" applyBorder="1" applyFont="1"/>
    <xf borderId="0" fillId="18" fontId="7" numFmtId="0" xfId="0" applyAlignment="1" applyFill="1" applyFont="1">
      <alignment shrinkToFit="0" vertical="center" wrapText="0"/>
    </xf>
    <xf borderId="0" fillId="18" fontId="34" numFmtId="0" xfId="0" applyFont="1"/>
    <xf borderId="0" fillId="0" fontId="42" numFmtId="0" xfId="0" applyAlignment="1" applyFont="1">
      <alignment horizontal="center" shrinkToFit="0" vertical="bottom" wrapText="0"/>
    </xf>
    <xf borderId="0" fillId="18" fontId="43" numFmtId="0" xfId="0" applyAlignment="1" applyFont="1">
      <alignment horizontal="center" shrinkToFit="0" vertical="bottom" wrapText="0"/>
    </xf>
    <xf borderId="0" fillId="16" fontId="44" numFmtId="0" xfId="0" applyAlignment="1" applyFont="1">
      <alignment horizontal="center" readingOrder="0" shrinkToFit="0" vertical="center" wrapText="1"/>
    </xf>
    <xf borderId="0" fillId="18" fontId="21" numFmtId="0" xfId="0" applyAlignment="1" applyFont="1">
      <alignment shrinkToFit="0" vertical="center" wrapText="0"/>
    </xf>
    <xf borderId="0" fillId="18" fontId="44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readingOrder="0" shrinkToFit="0" vertical="center" wrapText="0"/>
    </xf>
    <xf borderId="0" fillId="0" fontId="45" numFmtId="0" xfId="0" applyAlignment="1" applyFont="1">
      <alignment horizontal="center" shrinkToFit="0" vertical="bottom" wrapText="0"/>
    </xf>
    <xf borderId="0" fillId="18" fontId="46" numFmtId="0" xfId="0" applyAlignment="1" applyFont="1">
      <alignment horizontal="center" shrinkToFit="0" vertical="bottom" wrapText="0"/>
    </xf>
    <xf borderId="0" fillId="0" fontId="38" numFmtId="10" xfId="0" applyAlignment="1" applyFont="1" applyNumberFormat="1">
      <alignment horizontal="center" shrinkToFit="0" vertical="bottom" wrapText="0"/>
    </xf>
    <xf borderId="0" fillId="0" fontId="24" numFmtId="0" xfId="0" applyAlignment="1" applyFont="1">
      <alignment horizontal="left" readingOrder="0" shrinkToFit="0" vertical="center" wrapText="0"/>
    </xf>
    <xf borderId="0" fillId="0" fontId="21" numFmtId="0" xfId="0" applyAlignment="1" applyFont="1">
      <alignment horizontal="center" shrinkToFit="0" vertical="center" wrapText="0"/>
    </xf>
    <xf borderId="50" fillId="6" fontId="24" numFmtId="0" xfId="0" applyAlignment="1" applyBorder="1" applyFont="1">
      <alignment horizontal="center" readingOrder="0" shrinkToFit="0" vertical="center" wrapText="0"/>
    </xf>
    <xf borderId="0" fillId="18" fontId="24" numFmtId="0" xfId="0" applyAlignment="1" applyFont="1">
      <alignment horizontal="left" readingOrder="0" shrinkToFit="0" vertical="center" wrapText="0"/>
    </xf>
    <xf borderId="0" fillId="18" fontId="21" numFmtId="0" xfId="0" applyAlignment="1" applyFont="1">
      <alignment horizontal="center" shrinkToFit="0" vertical="center" wrapText="0"/>
    </xf>
    <xf borderId="0" fillId="18" fontId="21" numFmtId="0" xfId="0" applyAlignment="1" applyFont="1">
      <alignment vertical="center"/>
    </xf>
    <xf borderId="51" fillId="16" fontId="24" numFmtId="0" xfId="0" applyAlignment="1" applyBorder="1" applyFont="1">
      <alignment horizontal="center" shrinkToFit="0" vertical="center" wrapText="0"/>
    </xf>
    <xf borderId="52" fillId="6" fontId="24" numFmtId="0" xfId="0" applyAlignment="1" applyBorder="1" applyFont="1">
      <alignment horizontal="center" shrinkToFit="0" vertical="center" wrapText="0"/>
    </xf>
    <xf borderId="53" fillId="18" fontId="47" numFmtId="0" xfId="0" applyAlignment="1" applyBorder="1" applyFont="1">
      <alignment horizontal="center" shrinkToFit="0" vertical="center" wrapText="0"/>
    </xf>
    <xf borderId="54" fillId="19" fontId="10" numFmtId="0" xfId="0" applyBorder="1" applyFill="1" applyFont="1"/>
    <xf borderId="55" fillId="20" fontId="21" numFmtId="0" xfId="0" applyAlignment="1" applyBorder="1" applyFill="1" applyFont="1">
      <alignment horizontal="center" shrinkToFit="0" vertical="center" wrapText="0"/>
    </xf>
    <xf borderId="55" fillId="20" fontId="21" numFmtId="10" xfId="0" applyAlignment="1" applyBorder="1" applyFont="1" applyNumberFormat="1">
      <alignment horizontal="center" shrinkToFit="0" vertical="center" wrapText="0"/>
    </xf>
    <xf borderId="56" fillId="20" fontId="21" numFmtId="0" xfId="0" applyAlignment="1" applyBorder="1" applyFont="1">
      <alignment horizontal="center" shrinkToFit="0" vertical="center" wrapText="0"/>
    </xf>
    <xf borderId="0" fillId="6" fontId="21" numFmtId="0" xfId="0" applyAlignment="1" applyFont="1">
      <alignment horizontal="center" shrinkToFit="0" vertical="center" wrapText="0"/>
    </xf>
    <xf borderId="56" fillId="18" fontId="21" numFmtId="0" xfId="0" applyAlignment="1" applyBorder="1" applyFont="1">
      <alignment horizontal="center" shrinkToFit="0" vertical="center" wrapText="0"/>
    </xf>
    <xf borderId="57" fillId="6" fontId="10" numFmtId="0" xfId="0" applyBorder="1" applyFont="1"/>
    <xf borderId="56" fillId="18" fontId="21" numFmtId="10" xfId="0" applyAlignment="1" applyBorder="1" applyFont="1" applyNumberFormat="1">
      <alignment horizontal="center" shrinkToFit="0" vertical="center" wrapText="0"/>
    </xf>
    <xf borderId="57" fillId="21" fontId="10" numFmtId="0" xfId="0" applyBorder="1" applyFill="1" applyFont="1"/>
    <xf borderId="55" fillId="16" fontId="24" numFmtId="0" xfId="0" applyAlignment="1" applyBorder="1" applyFont="1">
      <alignment horizontal="center" shrinkToFit="0" vertical="center" wrapText="0"/>
    </xf>
    <xf borderId="55" fillId="16" fontId="24" numFmtId="10" xfId="0" applyAlignment="1" applyBorder="1" applyFont="1" applyNumberFormat="1">
      <alignment horizontal="center" shrinkToFit="0" vertical="center" wrapText="0"/>
    </xf>
    <xf borderId="56" fillId="16" fontId="24" numFmtId="0" xfId="0" applyAlignment="1" applyBorder="1" applyFont="1">
      <alignment horizontal="center" shrinkToFit="0" vertical="center" wrapText="0"/>
    </xf>
    <xf borderId="56" fillId="18" fontId="47" numFmtId="0" xfId="0" applyAlignment="1" applyBorder="1" applyFont="1">
      <alignment horizontal="center" shrinkToFit="0" vertical="center" wrapText="0"/>
    </xf>
    <xf borderId="0" fillId="18" fontId="24" numFmtId="0" xfId="0" applyAlignment="1" applyFont="1">
      <alignment horizontal="left" shrinkToFit="0" vertical="center" wrapText="0"/>
    </xf>
    <xf borderId="0" fillId="6" fontId="21" numFmtId="0" xfId="0" applyAlignment="1" applyFont="1">
      <alignment horizontal="center" shrinkToFit="0" vertical="center" wrapText="0"/>
    </xf>
    <xf borderId="0" fillId="6" fontId="25" numFmtId="0" xfId="0" applyAlignment="1" applyFont="1">
      <alignment horizontal="center" shrinkToFit="0" vertical="center" wrapText="0"/>
    </xf>
    <xf borderId="58" fillId="0" fontId="34" numFmtId="0" xfId="0" applyBorder="1" applyFont="1"/>
    <xf borderId="58" fillId="6" fontId="24" numFmtId="0" xfId="0" applyAlignment="1" applyBorder="1" applyFont="1">
      <alignment horizontal="center" readingOrder="0" shrinkToFit="0" vertical="center" wrapText="0"/>
    </xf>
    <xf borderId="58" fillId="6" fontId="25" numFmtId="0" xfId="0" applyAlignment="1" applyBorder="1" applyFont="1">
      <alignment vertical="center"/>
    </xf>
    <xf borderId="58" fillId="0" fontId="21" numFmtId="0" xfId="0" applyAlignment="1" applyBorder="1" applyFont="1">
      <alignment vertical="center"/>
    </xf>
    <xf borderId="0" fillId="0" fontId="48" numFmtId="0" xfId="0" applyAlignment="1" applyFont="1">
      <alignment readingOrder="0"/>
    </xf>
    <xf borderId="0" fillId="6" fontId="24" numFmtId="0" xfId="0" applyAlignment="1" applyFont="1">
      <alignment horizontal="center" readingOrder="0" shrinkToFit="0" vertical="center" wrapText="0"/>
    </xf>
    <xf borderId="0" fillId="6" fontId="25" numFmtId="0" xfId="0" applyAlignment="1" applyFont="1">
      <alignment vertical="center"/>
    </xf>
    <xf borderId="0" fillId="0" fontId="49" numFmtId="0" xfId="0" applyAlignment="1" applyFont="1">
      <alignment readingOrder="0"/>
    </xf>
    <xf borderId="0" fillId="0" fontId="50" numFmtId="0" xfId="0" applyFont="1"/>
    <xf borderId="0" fillId="2" fontId="17" numFmtId="0" xfId="0" applyAlignment="1" applyFont="1">
      <alignment horizontal="center" readingOrder="0" shrinkToFit="0" vertical="center" wrapText="0"/>
    </xf>
    <xf borderId="0" fillId="6" fontId="21" numFmtId="0" xfId="0" applyAlignment="1" applyFont="1">
      <alignment vertical="center"/>
    </xf>
    <xf borderId="0" fillId="6" fontId="24" numFmtId="0" xfId="0" applyAlignment="1" applyFont="1">
      <alignment horizontal="center" shrinkToFit="0" vertical="center" wrapText="0"/>
    </xf>
    <xf borderId="0" fillId="6" fontId="47" numFmtId="0" xfId="0" applyAlignment="1" applyFont="1">
      <alignment horizontal="center" shrinkToFit="0" vertical="center" wrapText="0"/>
    </xf>
    <xf borderId="0" fillId="6" fontId="25" numFmtId="10" xfId="0" applyAlignment="1" applyFont="1" applyNumberFormat="1">
      <alignment horizontal="center" shrinkToFit="0" vertical="center" wrapText="0"/>
    </xf>
    <xf borderId="0" fillId="22" fontId="24" numFmtId="0" xfId="0" applyAlignment="1" applyFill="1" applyFont="1">
      <alignment horizontal="center" vertical="center"/>
    </xf>
    <xf borderId="0" fillId="22" fontId="24" numFmtId="0" xfId="0" applyAlignment="1" applyFont="1">
      <alignment horizontal="center" readingOrder="0" vertical="center"/>
    </xf>
    <xf borderId="0" fillId="6" fontId="24" numFmtId="0" xfId="0" applyAlignment="1" applyFont="1">
      <alignment horizontal="center" vertical="center"/>
    </xf>
    <xf borderId="0" fillId="6" fontId="21" numFmtId="0" xfId="0" applyAlignment="1" applyFont="1">
      <alignment horizontal="center" vertical="center"/>
    </xf>
    <xf borderId="0" fillId="6" fontId="21" numFmtId="10" xfId="0" applyAlignment="1" applyFont="1" applyNumberFormat="1">
      <alignment horizontal="center" vertical="center"/>
    </xf>
    <xf borderId="0" fillId="8" fontId="21" numFmtId="0" xfId="0" applyAlignment="1" applyFont="1">
      <alignment horizontal="center" vertical="center"/>
    </xf>
    <xf borderId="0" fillId="8" fontId="21" numFmtId="10" xfId="0" applyAlignment="1" applyFont="1" applyNumberFormat="1">
      <alignment horizontal="center" vertical="center"/>
    </xf>
    <xf borderId="56" fillId="22" fontId="21" numFmtId="0" xfId="0" applyAlignment="1" applyBorder="1" applyFont="1">
      <alignment horizontal="center" vertical="center"/>
    </xf>
    <xf borderId="57" fillId="22" fontId="21" numFmtId="0" xfId="0" applyAlignment="1" applyBorder="1" applyFont="1">
      <alignment horizontal="center" vertical="center"/>
    </xf>
    <xf borderId="0" fillId="0" fontId="21" numFmtId="0" xfId="0" applyAlignment="1" applyFont="1">
      <alignment horizontal="left" shrinkToFit="0" vertical="center" wrapText="0"/>
    </xf>
    <xf borderId="0" fillId="0" fontId="24" numFmtId="0" xfId="0" applyAlignment="1" applyFont="1">
      <alignment horizontal="center" shrinkToFit="0" vertical="center" wrapText="0"/>
    </xf>
    <xf borderId="0" fillId="0" fontId="51" numFmtId="10" xfId="0" applyAlignment="1" applyFont="1" applyNumberFormat="1">
      <alignment horizontal="center" vertical="center"/>
    </xf>
    <xf borderId="0" fillId="16" fontId="52" numFmtId="0" xfId="0" applyAlignment="1" applyFont="1">
      <alignment shrinkToFit="0" vertical="center" wrapText="1"/>
    </xf>
    <xf borderId="58" fillId="0" fontId="21" numFmtId="0" xfId="0" applyAlignment="1" applyBorder="1" applyFont="1">
      <alignment horizontal="left" shrinkToFit="0" vertical="center" wrapText="0"/>
    </xf>
    <xf borderId="58" fillId="0" fontId="24" numFmtId="0" xfId="0" applyAlignment="1" applyBorder="1" applyFont="1">
      <alignment horizontal="center" shrinkToFit="0" vertical="center" wrapText="0"/>
    </xf>
    <xf borderId="58" fillId="6" fontId="24" numFmtId="0" xfId="0" applyAlignment="1" applyBorder="1" applyFont="1">
      <alignment horizontal="center" shrinkToFit="0" vertical="center" wrapText="0"/>
    </xf>
    <xf borderId="58" fillId="6" fontId="47" numFmtId="0" xfId="0" applyAlignment="1" applyBorder="1" applyFont="1">
      <alignment horizontal="center" shrinkToFit="0" vertical="center" wrapText="0"/>
    </xf>
    <xf borderId="59" fillId="0" fontId="53" numFmtId="0" xfId="0" applyAlignment="1" applyBorder="1" applyFont="1">
      <alignment horizontal="center" readingOrder="0" shrinkToFit="0" vertical="center" wrapText="0"/>
    </xf>
    <xf borderId="50" fillId="0" fontId="10" numFmtId="0" xfId="0" applyBorder="1" applyFont="1"/>
    <xf borderId="60" fillId="0" fontId="10" numFmtId="0" xfId="0" applyBorder="1" applyFont="1"/>
    <xf borderId="0" fillId="0" fontId="54" numFmtId="0" xfId="0" applyAlignment="1" applyFont="1">
      <alignment readingOrder="0" vertical="center"/>
    </xf>
    <xf borderId="0" fillId="16" fontId="55" numFmtId="0" xfId="0" applyAlignment="1" applyFont="1">
      <alignment horizontal="center" readingOrder="0" shrinkToFit="0" vertical="center" wrapText="0"/>
    </xf>
    <xf borderId="0" fillId="6" fontId="56" numFmtId="0" xfId="0" applyAlignment="1" applyFont="1">
      <alignment horizontal="center" readingOrder="0" shrinkToFit="0" vertical="center" wrapText="0"/>
    </xf>
    <xf borderId="0" fillId="0" fontId="56" numFmtId="0" xfId="0" applyAlignment="1" applyFont="1">
      <alignment horizontal="center" readingOrder="0" shrinkToFit="0" vertical="center" wrapText="0"/>
    </xf>
    <xf borderId="52" fillId="23" fontId="24" numFmtId="0" xfId="0" applyAlignment="1" applyBorder="1" applyFill="1" applyFont="1">
      <alignment horizontal="center" readingOrder="0" shrinkToFit="0" vertical="center" wrapText="0"/>
    </xf>
    <xf borderId="55" fillId="23" fontId="24" numFmtId="0" xfId="0" applyAlignment="1" applyBorder="1" applyFont="1">
      <alignment horizontal="center" readingOrder="0" shrinkToFit="0" vertical="center" wrapText="0"/>
    </xf>
    <xf borderId="55" fillId="16" fontId="24" numFmtId="0" xfId="0" applyAlignment="1" applyBorder="1" applyFont="1">
      <alignment horizontal="center" readingOrder="0" shrinkToFit="0" vertical="center" wrapText="0"/>
    </xf>
    <xf borderId="55" fillId="6" fontId="47" numFmtId="0" xfId="0" applyAlignment="1" applyBorder="1" applyFont="1">
      <alignment horizontal="center" readingOrder="0" shrinkToFit="0" vertical="center" wrapText="0"/>
    </xf>
    <xf borderId="55" fillId="0" fontId="47" numFmtId="0" xfId="0" applyAlignment="1" applyBorder="1" applyFont="1">
      <alignment horizontal="center" readingOrder="0" shrinkToFit="0" vertical="center" wrapText="0"/>
    </xf>
    <xf borderId="0" fillId="0" fontId="25" numFmtId="49" xfId="0" applyAlignment="1" applyFont="1" applyNumberFormat="1">
      <alignment vertical="center"/>
    </xf>
    <xf borderId="61" fillId="6" fontId="21" numFmtId="0" xfId="0" applyAlignment="1" applyBorder="1" applyFont="1">
      <alignment horizontal="center" shrinkToFit="0" vertical="center" wrapText="0"/>
    </xf>
    <xf borderId="57" fillId="5" fontId="21" numFmtId="168" xfId="0" applyAlignment="1" applyBorder="1" applyFont="1" applyNumberFormat="1">
      <alignment horizontal="center" shrinkToFit="0" vertical="center" wrapText="0"/>
    </xf>
    <xf borderId="55" fillId="20" fontId="21" numFmtId="168" xfId="0" applyAlignment="1" applyBorder="1" applyFont="1" applyNumberFormat="1">
      <alignment horizontal="center" shrinkToFit="0" vertical="center" wrapText="0"/>
    </xf>
    <xf borderId="55" fillId="6" fontId="57" numFmtId="168" xfId="0" applyAlignment="1" applyBorder="1" applyFont="1" applyNumberFormat="1">
      <alignment horizontal="center" shrinkToFit="0" vertical="center" wrapText="0"/>
    </xf>
    <xf borderId="55" fillId="6" fontId="57" numFmtId="10" xfId="0" applyAlignment="1" applyBorder="1" applyFont="1" applyNumberFormat="1">
      <alignment horizontal="center" shrinkToFit="0" vertical="center" wrapText="0"/>
    </xf>
    <xf borderId="55" fillId="0" fontId="21" numFmtId="49" xfId="0" applyAlignment="1" applyBorder="1" applyFont="1" applyNumberFormat="1">
      <alignment horizontal="center" readingOrder="0" shrinkToFit="0" vertical="center" wrapText="0"/>
    </xf>
    <xf borderId="55" fillId="0" fontId="21" numFmtId="10" xfId="0" applyAlignment="1" applyBorder="1" applyFont="1" applyNumberFormat="1">
      <alignment horizontal="center" shrinkToFit="0" vertical="center" wrapText="0"/>
    </xf>
    <xf borderId="0" fillId="0" fontId="53" numFmtId="0" xfId="0" applyAlignment="1" applyFont="1">
      <alignment horizontal="center" readingOrder="0" shrinkToFit="0" vertical="center" wrapText="0"/>
    </xf>
    <xf borderId="59" fillId="0" fontId="58" numFmtId="0" xfId="0" applyAlignment="1" applyBorder="1" applyFont="1">
      <alignment horizontal="center" readingOrder="0" shrinkToFit="0" vertical="center" wrapText="0"/>
    </xf>
    <xf borderId="0" fillId="0" fontId="21" numFmtId="0" xfId="0" applyAlignment="1" applyFont="1">
      <alignment readingOrder="0" vertical="center"/>
    </xf>
    <xf borderId="0" fillId="0" fontId="21" numFmtId="49" xfId="0" applyAlignment="1" applyFont="1" applyNumberFormat="1">
      <alignment readingOrder="0" vertical="center"/>
    </xf>
    <xf borderId="0" fillId="0" fontId="59" numFmtId="0" xfId="0" applyFont="1"/>
    <xf borderId="0" fillId="0" fontId="22" numFmtId="3" xfId="0" applyAlignment="1" applyFont="1" applyNumberFormat="1">
      <alignment readingOrder="0" vertical="center"/>
    </xf>
    <xf borderId="49" fillId="0" fontId="60" numFmtId="0" xfId="0" applyAlignment="1" applyBorder="1" applyFont="1">
      <alignment horizontal="center" readingOrder="0"/>
    </xf>
    <xf borderId="0" fillId="0" fontId="61" numFmtId="0" xfId="0" applyAlignment="1" applyFont="1">
      <alignment horizontal="center" readingOrder="0"/>
    </xf>
    <xf borderId="0" fillId="0" fontId="62" numFmtId="0" xfId="0" applyAlignment="1" applyFont="1">
      <alignment readingOrder="0"/>
    </xf>
    <xf borderId="0" fillId="0" fontId="59" numFmtId="0" xfId="0" applyFont="1"/>
    <xf borderId="0" fillId="6" fontId="63" numFmtId="0" xfId="0" applyAlignment="1" applyFont="1">
      <alignment horizontal="left" readingOrder="0" shrinkToFit="0" vertical="center" wrapText="0"/>
    </xf>
    <xf borderId="0" fillId="6" fontId="59" numFmtId="0" xfId="0" applyFont="1"/>
    <xf borderId="0" fillId="6" fontId="42" numFmtId="0" xfId="0" applyAlignment="1" applyFont="1">
      <alignment horizontal="center" shrinkToFit="0" vertical="bottom" wrapText="0"/>
    </xf>
    <xf borderId="0" fillId="6" fontId="64" numFmtId="0" xfId="0" applyAlignment="1" applyFont="1">
      <alignment horizontal="center" shrinkToFit="0" vertical="bottom" wrapText="0"/>
    </xf>
    <xf borderId="0" fillId="6" fontId="23" numFmtId="0" xfId="0" applyAlignment="1" applyFont="1">
      <alignment horizontal="left" readingOrder="0" shrinkToFit="0" vertical="center" wrapText="0"/>
    </xf>
    <xf borderId="0" fillId="16" fontId="52" numFmtId="0" xfId="0" applyAlignment="1" applyFont="1">
      <alignment horizontal="center" readingOrder="0" shrinkToFit="0" vertical="center" wrapText="1"/>
    </xf>
    <xf borderId="0" fillId="6" fontId="65" numFmtId="0" xfId="0" applyAlignment="1" applyFont="1">
      <alignment horizontal="center" readingOrder="0" shrinkToFit="0" vertical="center" wrapText="1"/>
    </xf>
    <xf borderId="0" fillId="6" fontId="66" numFmtId="0" xfId="0" applyAlignment="1" applyFont="1">
      <alignment horizontal="center" readingOrder="0" shrinkToFit="0" vertical="center" wrapText="0"/>
    </xf>
    <xf borderId="0" fillId="6" fontId="63" numFmtId="0" xfId="0" applyAlignment="1" applyFont="1">
      <alignment horizontal="left" readingOrder="0" shrinkToFit="0" vertical="center" wrapText="0"/>
    </xf>
    <xf borderId="0" fillId="0" fontId="67" numFmtId="0" xfId="0" applyAlignment="1" applyFont="1">
      <alignment horizontal="center" vertical="bottom"/>
    </xf>
    <xf borderId="0" fillId="6" fontId="68" numFmtId="0" xfId="0" applyAlignment="1" applyFont="1">
      <alignment horizontal="center" vertical="bottom"/>
    </xf>
    <xf borderId="0" fillId="0" fontId="38" numFmtId="9" xfId="0" applyAlignment="1" applyFont="1" applyNumberFormat="1">
      <alignment horizontal="center" shrinkToFit="0" vertical="bottom" wrapText="0"/>
    </xf>
    <xf borderId="0" fillId="6" fontId="64" numFmtId="9" xfId="0" applyAlignment="1" applyFont="1" applyNumberFormat="1">
      <alignment horizontal="center" shrinkToFit="0" vertical="bottom" wrapText="0"/>
    </xf>
    <xf borderId="0" fillId="0" fontId="69" numFmtId="0" xfId="0" applyFont="1"/>
    <xf borderId="0" fillId="2" fontId="70" numFmtId="0" xfId="0" applyAlignment="1" applyFont="1">
      <alignment horizontal="center" readingOrder="0" shrinkToFit="0" vertical="center" wrapText="0"/>
    </xf>
    <xf borderId="0" fillId="6" fontId="71" numFmtId="0" xfId="0" applyAlignment="1" applyFont="1">
      <alignment horizontal="center" readingOrder="0" shrinkToFit="0" vertical="center" wrapText="0"/>
    </xf>
    <xf borderId="0" fillId="0" fontId="34" numFmtId="0" xfId="0" applyFont="1"/>
    <xf borderId="0" fillId="0" fontId="25" numFmtId="3" xfId="0" applyAlignment="1" applyFont="1" applyNumberFormat="1">
      <alignment readingOrder="0" vertical="center"/>
    </xf>
    <xf borderId="0" fillId="16" fontId="72" numFmtId="0" xfId="0" applyAlignment="1" applyFont="1">
      <alignment horizontal="center" readingOrder="0" shrinkToFit="0" vertical="center" wrapText="0"/>
    </xf>
    <xf borderId="62" fillId="23" fontId="24" numFmtId="0" xfId="0" applyAlignment="1" applyBorder="1" applyFont="1">
      <alignment horizontal="center"/>
    </xf>
    <xf borderId="62" fillId="23" fontId="24" numFmtId="0" xfId="0" applyAlignment="1" applyBorder="1" applyFont="1">
      <alignment horizontal="center" readingOrder="0"/>
    </xf>
    <xf borderId="0" fillId="6" fontId="24" numFmtId="0" xfId="0" applyAlignment="1" applyFont="1">
      <alignment horizontal="center"/>
    </xf>
    <xf borderId="0" fillId="0" fontId="59" numFmtId="3" xfId="0" applyAlignment="1" applyFont="1" applyNumberFormat="1">
      <alignment readingOrder="0"/>
    </xf>
    <xf borderId="0" fillId="23" fontId="24" numFmtId="0" xfId="0" applyAlignment="1" applyFont="1">
      <alignment horizontal="center" shrinkToFit="0" vertical="center" wrapText="0"/>
    </xf>
    <xf borderId="55" fillId="16" fontId="73" numFmtId="0" xfId="0" applyAlignment="1" applyBorder="1" applyFont="1">
      <alignment horizontal="center" readingOrder="0" shrinkToFit="0" vertical="center" wrapText="0"/>
    </xf>
    <xf borderId="59" fillId="16" fontId="73" numFmtId="0" xfId="0" applyAlignment="1" applyBorder="1" applyFont="1">
      <alignment horizontal="center" readingOrder="0" shrinkToFit="0" vertical="center" wrapText="0"/>
    </xf>
    <xf borderId="0" fillId="6" fontId="47" numFmtId="0" xfId="0" applyAlignment="1" applyFont="1">
      <alignment horizontal="center" readingOrder="0" shrinkToFit="0" vertical="center" wrapText="0"/>
    </xf>
    <xf borderId="0" fillId="6" fontId="21" numFmtId="0" xfId="0" applyAlignment="1" applyFont="1">
      <alignment horizontal="center"/>
    </xf>
    <xf borderId="0" fillId="6" fontId="21" numFmtId="9" xfId="0" applyAlignment="1" applyFont="1" applyNumberFormat="1">
      <alignment horizontal="center"/>
    </xf>
    <xf borderId="56" fillId="24" fontId="74" numFmtId="9" xfId="0" applyAlignment="1" applyBorder="1" applyFill="1" applyFont="1" applyNumberFormat="1">
      <alignment horizontal="center" shrinkToFit="0" vertical="center" wrapText="0"/>
    </xf>
    <xf borderId="56" fillId="24" fontId="74" numFmtId="0" xfId="0" applyAlignment="1" applyBorder="1" applyFont="1">
      <alignment horizontal="center" shrinkToFit="0" vertical="center" wrapText="0"/>
    </xf>
    <xf borderId="0" fillId="6" fontId="21" numFmtId="9" xfId="0" applyAlignment="1" applyFont="1" applyNumberFormat="1">
      <alignment horizontal="center" shrinkToFit="0" vertical="center" wrapText="0"/>
    </xf>
    <xf borderId="0" fillId="8" fontId="21" numFmtId="0" xfId="0" applyAlignment="1" applyFont="1">
      <alignment horizontal="center"/>
    </xf>
    <xf borderId="0" fillId="8" fontId="21" numFmtId="9" xfId="0" applyAlignment="1" applyFont="1" applyNumberFormat="1">
      <alignment horizontal="center"/>
    </xf>
    <xf borderId="0" fillId="8" fontId="21" numFmtId="0" xfId="0" applyAlignment="1" applyFont="1">
      <alignment horizontal="center" shrinkToFit="0" vertical="center" wrapText="0"/>
    </xf>
    <xf borderId="0" fillId="0" fontId="62" numFmtId="0" xfId="0" applyFont="1"/>
    <xf borderId="0" fillId="22" fontId="24" numFmtId="0" xfId="0" applyAlignment="1" applyFont="1">
      <alignment horizontal="center"/>
    </xf>
    <xf borderId="0" fillId="22" fontId="24" numFmtId="10" xfId="0" applyAlignment="1" applyFont="1" applyNumberFormat="1">
      <alignment horizontal="center"/>
    </xf>
    <xf borderId="0" fillId="6" fontId="24" numFmtId="10" xfId="0" applyAlignment="1" applyFont="1" applyNumberFormat="1">
      <alignment horizontal="center"/>
    </xf>
    <xf borderId="0" fillId="22" fontId="24" numFmtId="0" xfId="0" applyAlignment="1" applyFont="1">
      <alignment horizontal="center" shrinkToFit="0" vertical="center" wrapText="0"/>
    </xf>
    <xf borderId="56" fillId="16" fontId="73" numFmtId="9" xfId="0" applyAlignment="1" applyBorder="1" applyFont="1" applyNumberFormat="1">
      <alignment horizontal="center" shrinkToFit="0" vertical="center" wrapText="0"/>
    </xf>
    <xf borderId="63" fillId="16" fontId="73" numFmtId="0" xfId="0" applyAlignment="1" applyBorder="1" applyFont="1">
      <alignment horizontal="center" shrinkToFit="0" vertical="center" wrapText="0"/>
    </xf>
    <xf borderId="0" fillId="6" fontId="47" numFmtId="9" xfId="0" applyAlignment="1" applyFont="1" applyNumberFormat="1">
      <alignment horizontal="center" shrinkToFit="0" vertical="center" wrapText="0"/>
    </xf>
    <xf borderId="0" fillId="6" fontId="47" numFmtId="0" xfId="0" applyAlignment="1" applyFont="1">
      <alignment horizontal="center" shrinkToFit="0" vertical="center" wrapText="0"/>
    </xf>
    <xf borderId="0" fillId="18" fontId="56" numFmtId="0" xfId="0" applyAlignment="1" applyFont="1">
      <alignment horizontal="center" readingOrder="0" shrinkToFit="0" vertical="center" wrapText="0"/>
    </xf>
    <xf borderId="56" fillId="16" fontId="24" numFmtId="0" xfId="0" applyAlignment="1" applyBorder="1" applyFont="1">
      <alignment horizontal="center" readingOrder="0" shrinkToFit="0" vertical="center" wrapText="0"/>
    </xf>
    <xf borderId="57" fillId="0" fontId="10" numFmtId="0" xfId="0" applyBorder="1" applyFont="1"/>
    <xf borderId="56" fillId="18" fontId="47" numFmtId="0" xfId="0" applyAlignment="1" applyBorder="1" applyFont="1">
      <alignment horizontal="center" readingOrder="0" shrinkToFit="0" vertical="center" wrapText="0"/>
    </xf>
    <xf borderId="0" fillId="18" fontId="47" numFmtId="0" xfId="0" applyAlignment="1" applyFont="1">
      <alignment horizontal="center" readingOrder="0" shrinkToFit="0" vertical="center" wrapText="0"/>
    </xf>
    <xf borderId="0" fillId="18" fontId="24" numFmtId="0" xfId="0" applyAlignment="1" applyFont="1">
      <alignment horizontal="center" readingOrder="0" shrinkToFit="0" vertical="center" wrapText="0"/>
    </xf>
    <xf borderId="0" fillId="0" fontId="24" numFmtId="1" xfId="0" applyAlignment="1" applyFont="1" applyNumberFormat="1">
      <alignment horizontal="center" shrinkToFit="0" vertical="center" wrapText="0"/>
    </xf>
    <xf borderId="0" fillId="0" fontId="25" numFmtId="49" xfId="0" applyAlignment="1" applyFont="1" applyNumberFormat="1">
      <alignment readingOrder="0" vertical="center"/>
    </xf>
    <xf borderId="55" fillId="20" fontId="21" numFmtId="3" xfId="0" applyAlignment="1" applyBorder="1" applyFont="1" applyNumberFormat="1">
      <alignment horizontal="center" shrinkToFit="0" vertical="center" wrapText="0"/>
    </xf>
    <xf borderId="56" fillId="18" fontId="21" numFmtId="168" xfId="0" applyAlignment="1" applyBorder="1" applyFont="1" applyNumberFormat="1">
      <alignment horizontal="center" shrinkToFit="0" vertical="center" wrapText="0"/>
    </xf>
    <xf borderId="0" fillId="18" fontId="21" numFmtId="10" xfId="0" applyAlignment="1" applyFont="1" applyNumberFormat="1">
      <alignment horizontal="center" shrinkToFit="0" vertical="center" wrapText="0"/>
    </xf>
    <xf borderId="0" fillId="18" fontId="21" numFmtId="3" xfId="0" applyAlignment="1" applyFont="1" applyNumberFormat="1">
      <alignment horizontal="center" shrinkToFit="0" vertical="center" wrapText="0"/>
    </xf>
    <xf borderId="0" fillId="0" fontId="24" numFmtId="1" xfId="0" applyAlignment="1" applyFont="1" applyNumberFormat="1">
      <alignment horizontal="center" readingOrder="0" shrinkToFit="0" vertical="center" wrapText="0"/>
    </xf>
    <xf borderId="0" fillId="0" fontId="62" numFmtId="49" xfId="0" applyFont="1" applyNumberFormat="1"/>
    <xf borderId="0" fillId="0" fontId="62" numFmtId="3" xfId="0" applyFont="1" applyNumberFormat="1"/>
    <xf borderId="59" fillId="0" fontId="75" numFmtId="0" xfId="0" applyAlignment="1" applyBorder="1" applyFont="1">
      <alignment horizontal="center" readingOrder="0" shrinkToFit="0" vertical="center" wrapText="0"/>
    </xf>
    <xf borderId="0" fillId="0" fontId="24" numFmtId="0" xfId="0" applyAlignment="1" applyFont="1">
      <alignment horizontal="center" shrinkToFit="0" wrapText="0"/>
    </xf>
    <xf borderId="0" fillId="0" fontId="24" numFmtId="0" xfId="0" applyAlignment="1" applyFont="1">
      <alignment horizontal="left" shrinkToFit="0" wrapText="0"/>
    </xf>
    <xf borderId="0" fillId="23" fontId="24" numFmtId="0" xfId="0" applyAlignment="1" applyFont="1">
      <alignment horizontal="center" shrinkToFit="0" wrapText="0"/>
    </xf>
    <xf borderId="0" fillId="23" fontId="24" numFmtId="0" xfId="0" applyAlignment="1" applyFont="1">
      <alignment horizontal="left" shrinkToFit="0" wrapText="0"/>
    </xf>
    <xf borderId="64" fillId="6" fontId="22" numFmtId="49" xfId="0" applyAlignment="1" applyBorder="1" applyFont="1" applyNumberFormat="1">
      <alignment horizontal="center" readingOrder="0"/>
    </xf>
    <xf borderId="0" fillId="18" fontId="21" numFmtId="0" xfId="0" applyAlignment="1" applyFont="1">
      <alignment horizontal="left" shrinkToFit="0" wrapText="0"/>
    </xf>
    <xf borderId="0" fillId="0" fontId="21" numFmtId="3" xfId="0" applyAlignment="1" applyFont="1" applyNumberFormat="1">
      <alignment horizontal="center" shrinkToFit="0" wrapText="0"/>
    </xf>
    <xf borderId="0" fillId="0" fontId="21" numFmtId="3" xfId="0" applyAlignment="1" applyFont="1" applyNumberFormat="1">
      <alignment horizontal="left" shrinkToFit="0" wrapText="0"/>
    </xf>
    <xf borderId="64" fillId="11" fontId="22" numFmtId="49" xfId="0" applyAlignment="1" applyBorder="1" applyFont="1" applyNumberFormat="1">
      <alignment horizontal="center" readingOrder="0"/>
    </xf>
    <xf borderId="0" fillId="11" fontId="21" numFmtId="0" xfId="0" applyAlignment="1" applyFont="1">
      <alignment horizontal="left" shrinkToFit="0" wrapText="0"/>
    </xf>
    <xf borderId="0" fillId="11" fontId="21" numFmtId="3" xfId="0" applyAlignment="1" applyFont="1" applyNumberFormat="1">
      <alignment horizontal="center" shrinkToFit="0" wrapText="0"/>
    </xf>
    <xf borderId="0" fillId="11" fontId="21" numFmtId="3" xfId="0" applyAlignment="1" applyFont="1" applyNumberFormat="1">
      <alignment horizontal="left" shrinkToFit="0" wrapText="0"/>
    </xf>
    <xf borderId="0" fillId="0" fontId="34" numFmtId="49" xfId="0" applyAlignment="1" applyFont="1" applyNumberFormat="1">
      <alignment readingOrder="0"/>
    </xf>
    <xf borderId="0" fillId="0" fontId="34" numFmtId="49" xfId="0" applyFont="1" applyNumberFormat="1"/>
    <xf borderId="64" fillId="6" fontId="7" numFmtId="49" xfId="0" applyAlignment="1" applyBorder="1" applyFont="1" applyNumberFormat="1">
      <alignment horizontal="center" vertical="bottom"/>
    </xf>
    <xf borderId="0" fillId="6" fontId="21" numFmtId="0" xfId="0" applyAlignment="1" applyFont="1">
      <alignment vertical="bottom"/>
    </xf>
    <xf borderId="0" fillId="0" fontId="21" numFmtId="3" xfId="0" applyAlignment="1" applyFont="1" applyNumberFormat="1">
      <alignment horizontal="center" vertical="bottom"/>
    </xf>
    <xf borderId="0" fillId="0" fontId="21" numFmtId="3" xfId="0" applyAlignment="1" applyFont="1" applyNumberFormat="1">
      <alignment vertical="bottom"/>
    </xf>
    <xf borderId="64" fillId="11" fontId="7" numFmtId="49" xfId="0" applyAlignment="1" applyBorder="1" applyFont="1" applyNumberFormat="1">
      <alignment horizontal="center" vertical="bottom"/>
    </xf>
    <xf borderId="0" fillId="11" fontId="21" numFmtId="0" xfId="0" applyAlignment="1" applyFont="1">
      <alignment vertical="bottom"/>
    </xf>
    <xf borderId="0" fillId="11" fontId="21" numFmtId="3" xfId="0" applyAlignment="1" applyFont="1" applyNumberFormat="1">
      <alignment horizontal="center" vertical="bottom"/>
    </xf>
    <xf borderId="0" fillId="11" fontId="21" numFmtId="3" xfId="0" applyAlignment="1" applyFont="1" applyNumberFormat="1">
      <alignment vertical="bottom"/>
    </xf>
    <xf borderId="0" fillId="6" fontId="7" numFmtId="49" xfId="0" applyAlignment="1" applyFont="1" applyNumberFormat="1">
      <alignment horizontal="center" vertical="bottom"/>
    </xf>
    <xf borderId="0" fillId="0" fontId="76" numFmtId="0" xfId="0" applyAlignment="1" applyFont="1">
      <alignment readingOrder="0"/>
    </xf>
    <xf borderId="0" fillId="0" fontId="21" numFmtId="0" xfId="0" applyFont="1"/>
    <xf borderId="0" fillId="23" fontId="24" numFmtId="0" xfId="0" applyFont="1"/>
    <xf borderId="0" fillId="23" fontId="24" numFmtId="0" xfId="0" applyAlignment="1" applyFont="1">
      <alignment readingOrder="0"/>
    </xf>
    <xf borderId="0" fillId="6" fontId="24" numFmtId="0" xfId="0" applyFont="1"/>
    <xf borderId="0" fillId="0" fontId="34" numFmtId="0" xfId="0" applyAlignment="1" applyFont="1">
      <alignment readingOrder="0"/>
    </xf>
    <xf borderId="0" fillId="0" fontId="59" numFmtId="0" xfId="0" applyAlignment="1" applyFont="1">
      <alignment readingOrder="0"/>
    </xf>
    <xf borderId="0" fillId="0" fontId="34" numFmtId="10" xfId="0" applyFont="1" applyNumberFormat="1"/>
    <xf borderId="0" fillId="6" fontId="34" numFmtId="10" xfId="0" applyFont="1" applyNumberFormat="1"/>
    <xf borderId="0" fillId="0" fontId="34" numFmtId="0" xfId="0" applyFont="1"/>
    <xf borderId="0" fillId="0" fontId="34" numFmtId="0" xfId="0" applyAlignment="1" applyFont="1">
      <alignment horizontal="left"/>
    </xf>
    <xf borderId="0" fillId="0" fontId="34" numFmtId="10" xfId="0" applyAlignment="1" applyFont="1" applyNumberFormat="1">
      <alignment readingOrder="0"/>
    </xf>
    <xf borderId="0" fillId="0" fontId="76" numFmtId="0" xfId="0" applyFont="1"/>
    <xf borderId="0" fillId="6" fontId="24" numFmtId="0" xfId="0" applyFont="1"/>
    <xf borderId="23" fillId="0" fontId="10" numFmtId="0" xfId="0" applyBorder="1" applyFont="1"/>
    <xf borderId="25" fillId="0" fontId="15" numFmtId="0" xfId="0" applyAlignment="1" applyBorder="1" applyFont="1">
      <alignment horizontal="center" vertical="center"/>
    </xf>
    <xf borderId="28" fillId="0" fontId="15" numFmtId="0" xfId="0" applyAlignment="1" applyBorder="1" applyFont="1">
      <alignment vertical="center"/>
    </xf>
    <xf borderId="28" fillId="0" fontId="15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32" fillId="14" fontId="14" numFmtId="0" xfId="0" applyAlignment="1" applyBorder="1" applyFont="1">
      <alignment horizontal="center"/>
    </xf>
    <xf borderId="65" fillId="15" fontId="15" numFmtId="0" xfId="0" applyBorder="1" applyFont="1"/>
    <xf borderId="33" fillId="15" fontId="15" numFmtId="0" xfId="0" applyBorder="1" applyFont="1"/>
    <xf borderId="33" fillId="15" fontId="15" numFmtId="0" xfId="0" applyAlignment="1" applyBorder="1" applyFont="1">
      <alignment horizontal="center"/>
    </xf>
    <xf borderId="66" fillId="15" fontId="14" numFmtId="0" xfId="0" applyBorder="1" applyFont="1"/>
    <xf borderId="32" fillId="2" fontId="15" numFmtId="0" xfId="0" applyAlignment="1" applyBorder="1" applyFont="1">
      <alignment horizontal="center"/>
    </xf>
    <xf borderId="33" fillId="2" fontId="15" numFmtId="0" xfId="0" applyAlignment="1" applyBorder="1" applyFont="1">
      <alignment horizontal="center"/>
    </xf>
    <xf borderId="34" fillId="2" fontId="15" numFmtId="0" xfId="0" applyAlignment="1" applyBorder="1" applyFont="1">
      <alignment horizontal="center"/>
    </xf>
    <xf borderId="34" fillId="2" fontId="16" numFmtId="10" xfId="0" applyAlignment="1" applyBorder="1" applyFont="1" applyNumberFormat="1">
      <alignment horizontal="center"/>
    </xf>
    <xf borderId="35" fillId="3" fontId="14" numFmtId="0" xfId="0" applyAlignment="1" applyBorder="1" applyFont="1">
      <alignment horizontal="center"/>
    </xf>
    <xf borderId="67" fillId="8" fontId="15" numFmtId="0" xfId="0" applyAlignment="1" applyBorder="1" applyFont="1">
      <alignment horizontal="center"/>
    </xf>
    <xf borderId="36" fillId="8" fontId="15" numFmtId="0" xfId="0" applyAlignment="1" applyBorder="1" applyFont="1">
      <alignment horizontal="center"/>
    </xf>
    <xf borderId="36" fillId="8" fontId="15" numFmtId="0" xfId="0" applyAlignment="1" applyBorder="1" applyFont="1">
      <alignment horizontal="center" readingOrder="0"/>
    </xf>
    <xf borderId="38" fillId="8" fontId="15" numFmtId="0" xfId="0" applyAlignment="1" applyBorder="1" applyFont="1">
      <alignment horizontal="center"/>
    </xf>
    <xf borderId="39" fillId="8" fontId="15" numFmtId="0" xfId="0" applyAlignment="1" applyBorder="1" applyFont="1">
      <alignment horizontal="center"/>
    </xf>
    <xf borderId="37" fillId="8" fontId="14" numFmtId="0" xfId="0" applyAlignment="1" applyBorder="1" applyFont="1">
      <alignment horizontal="center" readingOrder="0"/>
    </xf>
    <xf borderId="35" fillId="16" fontId="15" numFmtId="0" xfId="0" applyAlignment="1" applyBorder="1" applyFont="1">
      <alignment horizontal="center"/>
    </xf>
    <xf borderId="36" fillId="16" fontId="15" numFmtId="0" xfId="0" applyAlignment="1" applyBorder="1" applyFont="1">
      <alignment horizontal="center"/>
    </xf>
    <xf borderId="41" fillId="16" fontId="15" numFmtId="0" xfId="0" applyAlignment="1" applyBorder="1" applyFont="1">
      <alignment horizontal="center"/>
    </xf>
    <xf borderId="42" fillId="16" fontId="16" numFmtId="10" xfId="0" applyAlignment="1" applyBorder="1" applyFont="1" applyNumberFormat="1">
      <alignment horizontal="center"/>
    </xf>
    <xf borderId="42" fillId="16" fontId="15" numFmtId="0" xfId="0" applyAlignment="1" applyBorder="1" applyFont="1">
      <alignment horizontal="center"/>
    </xf>
    <xf borderId="15" fillId="0" fontId="15" numFmtId="1" xfId="0" applyBorder="1" applyFont="1" applyNumberFormat="1"/>
    <xf borderId="15" fillId="0" fontId="15" numFmtId="0" xfId="0" applyBorder="1" applyFont="1"/>
    <xf borderId="15" fillId="0" fontId="15" numFmtId="169" xfId="0" applyBorder="1" applyFont="1" applyNumberFormat="1"/>
    <xf borderId="15" fillId="0" fontId="15" numFmtId="1" xfId="0" applyAlignment="1" applyBorder="1" applyFont="1" applyNumberFormat="1">
      <alignment horizontal="center"/>
    </xf>
    <xf borderId="45" fillId="0" fontId="15" numFmtId="0" xfId="0" applyBorder="1" applyFont="1"/>
    <xf borderId="44" fillId="0" fontId="15" numFmtId="0" xfId="0" applyBorder="1" applyFont="1"/>
    <xf borderId="44" fillId="8" fontId="14" numFmtId="168" xfId="0" applyAlignment="1" applyBorder="1" applyFont="1" applyNumberFormat="1">
      <alignment horizontal="center"/>
    </xf>
    <xf borderId="46" fillId="0" fontId="15" numFmtId="4" xfId="0" applyAlignment="1" applyBorder="1" applyFont="1" applyNumberFormat="1">
      <alignment horizontal="center"/>
    </xf>
    <xf borderId="47" fillId="0" fontId="15" numFmtId="4" xfId="0" applyAlignment="1" applyBorder="1" applyFont="1" applyNumberFormat="1">
      <alignment horizontal="center"/>
    </xf>
    <xf borderId="15" fillId="0" fontId="16" numFmtId="10" xfId="0" applyAlignment="1" applyBorder="1" applyFont="1" applyNumberFormat="1">
      <alignment horizontal="center"/>
    </xf>
    <xf borderId="15" fillId="0" fontId="15" numFmtId="3" xfId="0" applyBorder="1" applyFont="1" applyNumberFormat="1"/>
    <xf borderId="15" fillId="0" fontId="15" numFmtId="170" xfId="0" applyBorder="1" applyFont="1" applyNumberFormat="1"/>
    <xf borderId="0" fillId="16" fontId="13" numFmtId="0" xfId="0" applyAlignment="1" applyFont="1">
      <alignment readingOrder="0" shrinkToFit="0" vertical="center" wrapText="1"/>
    </xf>
    <xf borderId="0" fillId="0" fontId="13" numFmtId="0" xfId="0" applyAlignment="1" applyFont="1">
      <alignment vertical="center"/>
    </xf>
    <xf borderId="0" fillId="0" fontId="77" numFmtId="0" xfId="0" applyAlignment="1" applyFont="1">
      <alignment vertical="bottom"/>
    </xf>
    <xf borderId="0" fillId="0" fontId="7" numFmtId="0" xfId="0" applyAlignment="1" applyFont="1">
      <alignment vertical="center"/>
    </xf>
    <xf borderId="0" fillId="0" fontId="6" numFmtId="0" xfId="0" applyAlignment="1" applyFont="1">
      <alignment vertical="bottom"/>
    </xf>
    <xf borderId="0" fillId="0" fontId="15" numFmtId="0" xfId="0" applyAlignment="1" applyFont="1">
      <alignment vertical="center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77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78" numFmtId="1" xfId="0" applyAlignment="1" applyFont="1" applyNumberFormat="1">
      <alignment shrinkToFit="0" vertical="bottom" wrapText="0"/>
    </xf>
    <xf borderId="0" fillId="0" fontId="78" numFmtId="0" xfId="0" applyAlignment="1" applyFont="1">
      <alignment shrinkToFit="0" vertical="bottom" wrapText="0"/>
    </xf>
    <xf borderId="0" fillId="0" fontId="78" numFmtId="0" xfId="0" applyAlignment="1" applyFont="1">
      <alignment readingOrder="0" shrinkToFit="0" vertical="bottom" wrapText="0"/>
    </xf>
    <xf borderId="0" fillId="0" fontId="78" numFmtId="1" xfId="0" applyAlignment="1" applyFont="1" applyNumberFormat="1">
      <alignment shrinkToFit="0" vertical="center" wrapText="0"/>
    </xf>
    <xf borderId="0" fillId="0" fontId="78" numFmtId="164" xfId="0" applyAlignment="1" applyFont="1" applyNumberFormat="1">
      <alignment shrinkToFit="0" vertical="bottom" wrapText="0"/>
    </xf>
    <xf borderId="0" fillId="0" fontId="6" numFmtId="1" xfId="0" applyAlignment="1" applyFont="1" applyNumberFormat="1">
      <alignment horizontal="right" readingOrder="0" vertical="bottom"/>
    </xf>
    <xf borderId="0" fillId="0" fontId="16" numFmtId="1" xfId="0" applyAlignment="1" applyFont="1" applyNumberFormat="1">
      <alignment horizontal="right" vertical="bottom"/>
    </xf>
    <xf borderId="0" fillId="0" fontId="6" numFmtId="2" xfId="0" applyAlignment="1" applyFont="1" applyNumberFormat="1">
      <alignment horizontal="right" readingOrder="0" vertical="bottom"/>
    </xf>
    <xf borderId="0" fillId="25" fontId="6" numFmtId="1" xfId="0" applyAlignment="1" applyFill="1" applyFont="1" applyNumberFormat="1">
      <alignment horizontal="right" readingOrder="0" vertical="bottom"/>
    </xf>
    <xf borderId="0" fillId="25" fontId="6" numFmtId="0" xfId="0" applyAlignment="1" applyFont="1">
      <alignment readingOrder="0" vertical="bottom"/>
    </xf>
    <xf borderId="0" fillId="10" fontId="6" numFmtId="1" xfId="0" applyAlignment="1" applyFont="1" applyNumberFormat="1">
      <alignment horizontal="right" readingOrder="0" vertical="bottom"/>
    </xf>
    <xf borderId="0" fillId="10" fontId="6" numFmtId="0" xfId="0" applyAlignment="1" applyFont="1">
      <alignment readingOrder="0" vertical="bottom"/>
    </xf>
    <xf borderId="0" fillId="3" fontId="6" numFmtId="1" xfId="0" applyAlignment="1" applyFont="1" applyNumberFormat="1">
      <alignment horizontal="right" readingOrder="0" vertical="bottom"/>
    </xf>
    <xf borderId="0" fillId="3" fontId="6" numFmtId="0" xfId="0" applyAlignment="1" applyFont="1">
      <alignment readingOrder="0" vertical="bottom"/>
    </xf>
    <xf borderId="0" fillId="0" fontId="6" numFmtId="2" xfId="0" applyAlignment="1" applyFont="1" applyNumberFormat="1">
      <alignment horizontal="right" vertical="bottom"/>
    </xf>
    <xf borderId="0" fillId="0" fontId="6" numFmtId="1" xfId="0" applyAlignment="1" applyFont="1" applyNumberFormat="1">
      <alignment horizontal="right" vertical="bottom"/>
    </xf>
    <xf borderId="0" fillId="3" fontId="6" numFmtId="1" xfId="0" applyAlignment="1" applyFont="1" applyNumberFormat="1">
      <alignment horizontal="right" vertical="bottom"/>
    </xf>
    <xf borderId="0" fillId="3" fontId="6" numFmtId="0" xfId="0" applyAlignment="1" applyFont="1">
      <alignment vertical="bottom"/>
    </xf>
    <xf borderId="0" fillId="25" fontId="6" numFmtId="1" xfId="0" applyAlignment="1" applyFont="1" applyNumberFormat="1">
      <alignment horizontal="right" vertical="bottom"/>
    </xf>
    <xf borderId="0" fillId="25" fontId="6" numFmtId="0" xfId="0" applyAlignment="1" applyFont="1">
      <alignment vertical="bottom"/>
    </xf>
    <xf borderId="0" fillId="26" fontId="6" numFmtId="1" xfId="0" applyAlignment="1" applyFill="1" applyFont="1" applyNumberFormat="1">
      <alignment horizontal="right" vertical="bottom"/>
    </xf>
    <xf borderId="0" fillId="26" fontId="6" numFmtId="0" xfId="0" applyAlignment="1" applyFont="1">
      <alignment vertical="bottom"/>
    </xf>
    <xf borderId="0" fillId="26" fontId="6" numFmtId="1" xfId="0" applyAlignment="1" applyFont="1" applyNumberFormat="1">
      <alignment horizontal="right" readingOrder="0" vertical="bottom"/>
    </xf>
    <xf borderId="0" fillId="26" fontId="6" numFmtId="0" xfId="0" applyAlignment="1" applyFont="1">
      <alignment readingOrder="0" vertical="bottom"/>
    </xf>
    <xf borderId="0" fillId="6" fontId="6" numFmtId="2" xfId="0" applyAlignment="1" applyFont="1" applyNumberFormat="1">
      <alignment horizontal="right" readingOrder="0" vertical="bottom"/>
    </xf>
    <xf borderId="0" fillId="26" fontId="6" numFmtId="49" xfId="0" applyAlignment="1" applyFont="1" applyNumberFormat="1">
      <alignment vertical="bottom"/>
    </xf>
    <xf borderId="0" fillId="25" fontId="6" numFmtId="49" xfId="0" applyAlignment="1" applyFont="1" applyNumberFormat="1">
      <alignment readingOrder="0" vertical="bottom"/>
    </xf>
    <xf borderId="0" fillId="25" fontId="6" numFmtId="49" xfId="0" applyAlignment="1" applyFont="1" applyNumberFormat="1">
      <alignment vertical="bottom"/>
    </xf>
    <xf borderId="0" fillId="0" fontId="6" numFmtId="49" xfId="0" applyAlignment="1" applyFont="1" applyNumberFormat="1">
      <alignment readingOrder="0" vertical="bottom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0533CA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021CCA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0%" sourceLinked="0"/>
            <c:txPr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Geral'!$B$36:$B$40</c:f>
            </c:strRef>
          </c:cat>
          <c:val>
            <c:numRef>
              <c:f>'Painel Geral'!$C$36:$C$40</c:f>
              <c:numCache/>
            </c:numRef>
          </c:val>
        </c:ser>
        <c:axId val="1798338973"/>
        <c:axId val="598960515"/>
      </c:barChart>
      <c:catAx>
        <c:axId val="17983389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98960515"/>
      </c:catAx>
      <c:valAx>
        <c:axId val="5989605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9833897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3533077660594439"/>
          <c:y val="0.11567834681042227"/>
          <c:w val="0.6317204825281272"/>
          <c:h val="0.7858041329739441"/>
        </c:manualLayout>
      </c:layout>
      <c:barChart>
        <c:barDir val="bar"/>
        <c:grouping val="stacked"/>
        <c:ser>
          <c:idx val="0"/>
          <c:order val="0"/>
          <c:tx>
            <c:strRef>
              <c:f>'Painel Áreas'!$F$86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Áreas'!$E$87:$E$118</c:f>
            </c:strRef>
          </c:cat>
          <c:val>
            <c:numRef>
              <c:f>'Painel Áreas'!$F$87:$F$118</c:f>
              <c:numCache/>
            </c:numRef>
          </c:val>
        </c:ser>
        <c:ser>
          <c:idx val="1"/>
          <c:order val="1"/>
          <c:tx>
            <c:strRef>
              <c:f>'Painel Áreas'!$G$86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Áreas'!$E$87:$E$118</c:f>
            </c:strRef>
          </c:cat>
          <c:val>
            <c:numRef>
              <c:f>'Painel Áreas'!$G$87:$G$118</c:f>
              <c:numCache/>
            </c:numRef>
          </c:val>
        </c:ser>
        <c:ser>
          <c:idx val="2"/>
          <c:order val="2"/>
          <c:tx>
            <c:strRef>
              <c:f>'Painel Áreas'!$H$86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Áreas'!$E$87:$E$118</c:f>
            </c:strRef>
          </c:cat>
          <c:val>
            <c:numRef>
              <c:f>'Painel Áreas'!$H$87:$H$118</c:f>
              <c:numCache/>
            </c:numRef>
          </c:val>
        </c:ser>
        <c:ser>
          <c:idx val="3"/>
          <c:order val="3"/>
          <c:tx>
            <c:strRef>
              <c:f>'Painel Áreas'!$I$86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Áreas'!$E$87:$E$118</c:f>
            </c:strRef>
          </c:cat>
          <c:val>
            <c:numRef>
              <c:f>'Painel Áreas'!$I$87:$I$118</c:f>
              <c:numCache/>
            </c:numRef>
          </c:val>
        </c:ser>
        <c:ser>
          <c:idx val="4"/>
          <c:order val="4"/>
          <c:tx>
            <c:strRef>
              <c:f>'Painel Áreas'!$J$86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Áreas'!$E$87:$E$118</c:f>
            </c:strRef>
          </c:cat>
          <c:val>
            <c:numRef>
              <c:f>'Painel Áreas'!$J$87:$J$118</c:f>
              <c:numCache/>
            </c:numRef>
          </c:val>
        </c:ser>
        <c:ser>
          <c:idx val="5"/>
          <c:order val="5"/>
          <c:tx>
            <c:strRef>
              <c:f>'Painel Áreas'!$K$86</c:f>
            </c:strRef>
          </c:tx>
          <c:spPr>
            <a:solidFill>
              <a:srgbClr val="021CC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Áreas'!$E$87:$E$118</c:f>
            </c:strRef>
          </c:cat>
          <c:val>
            <c:numRef>
              <c:f>'Painel Áreas'!$K$87:$K$118</c:f>
              <c:numCache/>
            </c:numRef>
          </c:val>
        </c:ser>
        <c:overlap val="100"/>
        <c:axId val="2026678263"/>
        <c:axId val="1258016470"/>
      </c:barChart>
      <c:catAx>
        <c:axId val="20266782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58016470"/>
      </c:catAx>
      <c:valAx>
        <c:axId val="1258016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26678263"/>
        <c:crosses val="max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3354792560801144"/>
          <c:y val="0.05000000000000001"/>
          <c:w val="0.5848800253570113"/>
          <c:h val="0.8999999999999996"/>
        </c:manualLayout>
      </c:layout>
      <c:barChart>
        <c:barDir val="bar"/>
        <c:ser>
          <c:idx val="0"/>
          <c:order val="0"/>
          <c:spPr>
            <a:solidFill>
              <a:srgbClr val="F5CB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Áreas'!$F$122:$F$131</c:f>
            </c:strRef>
          </c:cat>
          <c:val>
            <c:numRef>
              <c:f>'Painel Áreas'!$G$122:$G$131</c:f>
              <c:numCache/>
            </c:numRef>
          </c:val>
        </c:ser>
        <c:axId val="1545594236"/>
        <c:axId val="860333313"/>
      </c:barChart>
      <c:catAx>
        <c:axId val="15455942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60333313"/>
      </c:catAx>
      <c:valAx>
        <c:axId val="860333313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45594236"/>
        <c:crosses val="max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3315539739027284"/>
          <c:y val="0.05000000000000001"/>
          <c:w val="0.5923981219056548"/>
          <c:h val="0.8999999999999998"/>
        </c:manualLayout>
      </c:layout>
      <c:barChart>
        <c:barDir val="bar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 Áreas'!$F$150:$F$159</c:f>
            </c:strRef>
          </c:cat>
          <c:val>
            <c:numRef>
              <c:f>'Painel Áreas'!$G$150:$G$159</c:f>
              <c:numCache/>
            </c:numRef>
          </c:val>
        </c:ser>
        <c:axId val="237364474"/>
        <c:axId val="2101868298"/>
      </c:barChart>
      <c:catAx>
        <c:axId val="23736447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01868298"/>
      </c:catAx>
      <c:valAx>
        <c:axId val="2101868298"/>
        <c:scaling>
          <c:orientation val="minMax"/>
          <c:max val="1.00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37364474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Chart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123825</xdr:rowOff>
    </xdr:from>
    <xdr:ext cx="1819275" cy="4762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123825</xdr:rowOff>
    </xdr:from>
    <xdr:ext cx="1819275" cy="4762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43</xdr:row>
      <xdr:rowOff>85725</xdr:rowOff>
    </xdr:from>
    <xdr:ext cx="6410325" cy="4143375"/>
    <xdr:pic>
      <xdr:nvPicPr>
        <xdr:cNvPr id="8965350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13</xdr:row>
      <xdr:rowOff>28575</xdr:rowOff>
    </xdr:from>
    <xdr:ext cx="5048250" cy="31242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342900</xdr:colOff>
      <xdr:row>1</xdr:row>
      <xdr:rowOff>85725</xdr:rowOff>
    </xdr:from>
    <xdr:ext cx="6267450" cy="3695700"/>
    <xdr:pic>
      <xdr:nvPicPr>
        <xdr:cNvPr id="1050546206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2181225</xdr:colOff>
      <xdr:row>63</xdr:row>
      <xdr:rowOff>38100</xdr:rowOff>
    </xdr:from>
    <xdr:ext cx="9934575" cy="40481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190500</xdr:colOff>
      <xdr:row>119</xdr:row>
      <xdr:rowOff>142875</xdr:rowOff>
    </xdr:from>
    <xdr:ext cx="7953375" cy="43148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190500</xdr:colOff>
      <xdr:row>147</xdr:row>
      <xdr:rowOff>171450</xdr:rowOff>
    </xdr:from>
    <xdr:ext cx="7953375" cy="43148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11</xdr:col>
      <xdr:colOff>371475</xdr:colOff>
      <xdr:row>134</xdr:row>
      <xdr:rowOff>57150</xdr:rowOff>
    </xdr:from>
    <xdr:ext cx="7953375" cy="4314825"/>
    <xdr:pic>
      <xdr:nvPicPr>
        <xdr:cNvPr id="115528729" name="Chart7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outlinePr summaryBelow="0" summaryRight="0"/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0"/>
  <cols>
    <col customWidth="1" min="1" max="1" width="7.25"/>
    <col customWidth="1" min="2" max="2" width="23.38"/>
    <col customWidth="1" min="3" max="3" width="32.63"/>
    <col customWidth="1" min="4" max="4" width="23.88"/>
    <col customWidth="1" min="5" max="5" width="9.88"/>
    <col customWidth="1" min="6" max="6" width="19.88"/>
    <col customWidth="1" min="7" max="7" width="31.75"/>
    <col customWidth="1" min="8" max="8" width="15.13"/>
    <col customWidth="1" min="9" max="9" width="11.5"/>
    <col customWidth="1" min="10" max="10" width="10.0"/>
    <col customWidth="1" min="11" max="11" width="16.38"/>
    <col customWidth="1" min="12" max="12" width="19.63"/>
    <col customWidth="1" min="13" max="13" width="9.38"/>
    <col customWidth="1" min="14" max="14" width="6.38"/>
    <col customWidth="1" min="15" max="15" width="11.88"/>
    <col customWidth="1" min="16" max="16" width="10.13"/>
    <col customWidth="1" min="17" max="17" width="26.88"/>
  </cols>
  <sheetData>
    <row r="1" ht="48.0" customHeight="1">
      <c r="A1" s="1"/>
      <c r="C1" s="2" t="s">
        <v>0</v>
      </c>
      <c r="D1" s="2"/>
      <c r="E1" s="2"/>
      <c r="F1" s="3"/>
      <c r="G1" s="3" t="s">
        <v>1</v>
      </c>
      <c r="H1" s="3"/>
      <c r="I1" s="2"/>
      <c r="J1" s="2"/>
      <c r="K1" s="2"/>
      <c r="L1" s="2"/>
      <c r="M1" s="2"/>
      <c r="N1" s="2"/>
      <c r="O1" s="2"/>
      <c r="P1" s="2"/>
      <c r="Q1" s="2"/>
    </row>
    <row r="2" ht="5.25" customHeight="1">
      <c r="A2" s="4"/>
      <c r="B2" s="5"/>
      <c r="C2" s="5"/>
      <c r="D2" s="5"/>
      <c r="E2" s="5"/>
      <c r="F2" s="5"/>
      <c r="G2" s="5"/>
      <c r="H2" s="5"/>
      <c r="I2" s="6"/>
      <c r="J2" s="7"/>
      <c r="K2" s="8"/>
      <c r="L2" s="9"/>
      <c r="M2" s="9"/>
      <c r="N2" s="9"/>
      <c r="O2" s="9"/>
      <c r="P2" s="9"/>
      <c r="Q2" s="5"/>
    </row>
    <row r="3" ht="42.75" customHeight="1">
      <c r="A3" s="10" t="s">
        <v>2</v>
      </c>
      <c r="B3" s="11" t="s">
        <v>3</v>
      </c>
      <c r="C3" s="12" t="s">
        <v>4</v>
      </c>
      <c r="D3" s="13" t="s">
        <v>5</v>
      </c>
      <c r="E3" s="13" t="s">
        <v>6</v>
      </c>
      <c r="F3" s="13" t="s">
        <v>7</v>
      </c>
      <c r="G3" s="11" t="s">
        <v>8</v>
      </c>
      <c r="H3" s="11" t="s">
        <v>9</v>
      </c>
      <c r="I3" s="14" t="s">
        <v>10</v>
      </c>
      <c r="J3" s="15" t="s">
        <v>11</v>
      </c>
      <c r="K3" s="16" t="s">
        <v>12</v>
      </c>
      <c r="L3" s="17" t="s">
        <v>13</v>
      </c>
      <c r="M3" s="17" t="s">
        <v>14</v>
      </c>
      <c r="N3" s="17" t="s">
        <v>15</v>
      </c>
      <c r="O3" s="17" t="s">
        <v>16</v>
      </c>
      <c r="P3" s="17" t="s">
        <v>17</v>
      </c>
      <c r="Q3" s="17" t="s">
        <v>18</v>
      </c>
    </row>
    <row r="4" ht="15.75" hidden="1" customHeight="1">
      <c r="A4" s="18" t="s">
        <v>19</v>
      </c>
      <c r="B4" s="19">
        <v>1362.0</v>
      </c>
      <c r="C4" s="20" t="s">
        <v>20</v>
      </c>
      <c r="D4" s="21"/>
      <c r="E4" s="22" t="s">
        <v>21</v>
      </c>
      <c r="F4" s="21" t="s">
        <v>22</v>
      </c>
      <c r="G4" s="23" t="s">
        <v>23</v>
      </c>
      <c r="H4" s="21"/>
      <c r="I4" s="24">
        <v>220.0</v>
      </c>
      <c r="J4" s="25">
        <v>3683.0</v>
      </c>
      <c r="K4" s="26">
        <v>3683.0</v>
      </c>
      <c r="L4" s="25" t="s">
        <v>24</v>
      </c>
      <c r="M4" s="27">
        <v>818631.0</v>
      </c>
      <c r="N4" s="19" t="s">
        <v>25</v>
      </c>
      <c r="O4" s="28">
        <v>45871.0</v>
      </c>
      <c r="P4" s="22"/>
      <c r="Q4" s="29"/>
    </row>
    <row r="5" ht="15.75" hidden="1" customHeight="1">
      <c r="A5" s="18" t="s">
        <v>19</v>
      </c>
      <c r="B5" s="30">
        <v>1957.0</v>
      </c>
      <c r="C5" s="31" t="s">
        <v>20</v>
      </c>
      <c r="D5" s="21"/>
      <c r="E5" s="22" t="s">
        <v>21</v>
      </c>
      <c r="F5" s="21" t="s">
        <v>22</v>
      </c>
      <c r="G5" s="32" t="s">
        <v>23</v>
      </c>
      <c r="H5" s="33"/>
      <c r="I5" s="34">
        <v>220.0</v>
      </c>
      <c r="J5" s="25">
        <v>3683.0</v>
      </c>
      <c r="K5" s="25">
        <v>3683.0</v>
      </c>
      <c r="L5" s="25" t="s">
        <v>24</v>
      </c>
      <c r="M5" s="35">
        <v>818631.0</v>
      </c>
      <c r="N5" s="19" t="s">
        <v>26</v>
      </c>
      <c r="O5" s="28">
        <v>45870.0</v>
      </c>
      <c r="P5" s="22"/>
      <c r="Q5" s="29"/>
    </row>
    <row r="6" ht="15.75" hidden="1" customHeight="1">
      <c r="A6" s="18" t="s">
        <v>27</v>
      </c>
      <c r="B6" s="30">
        <v>1964.0</v>
      </c>
      <c r="C6" s="31" t="s">
        <v>28</v>
      </c>
      <c r="D6" s="21"/>
      <c r="E6" s="22" t="s">
        <v>21</v>
      </c>
      <c r="F6" s="21" t="s">
        <v>22</v>
      </c>
      <c r="G6" s="32" t="s">
        <v>29</v>
      </c>
      <c r="H6" s="33"/>
      <c r="I6" s="24">
        <v>220.0</v>
      </c>
      <c r="J6" s="25">
        <v>3780.0</v>
      </c>
      <c r="K6" s="25">
        <v>3780.0</v>
      </c>
      <c r="L6" s="25" t="s">
        <v>24</v>
      </c>
      <c r="M6" s="35">
        <v>599850.0</v>
      </c>
      <c r="N6" s="19" t="s">
        <v>25</v>
      </c>
      <c r="O6" s="28">
        <v>45872.0</v>
      </c>
      <c r="P6" s="22"/>
      <c r="Q6" s="29"/>
    </row>
    <row r="7" ht="15.75" hidden="1" customHeight="1">
      <c r="A7" s="18" t="s">
        <v>30</v>
      </c>
      <c r="B7" s="30">
        <v>1910.0</v>
      </c>
      <c r="C7" s="20" t="s">
        <v>31</v>
      </c>
      <c r="D7" s="21"/>
      <c r="E7" s="22" t="s">
        <v>21</v>
      </c>
      <c r="F7" s="21" t="s">
        <v>22</v>
      </c>
      <c r="G7" s="32" t="s">
        <v>32</v>
      </c>
      <c r="H7" s="33"/>
      <c r="I7" s="24">
        <v>220.0</v>
      </c>
      <c r="J7" s="25">
        <v>5429.0</v>
      </c>
      <c r="K7" s="26">
        <v>5429.0</v>
      </c>
      <c r="L7" s="26" t="s">
        <v>24</v>
      </c>
      <c r="M7" s="35" t="s">
        <v>33</v>
      </c>
      <c r="N7" s="19" t="s">
        <v>25</v>
      </c>
      <c r="O7" s="28">
        <v>45873.0</v>
      </c>
      <c r="P7" s="22"/>
      <c r="Q7" s="29"/>
    </row>
    <row r="8" ht="15.75" customHeight="1">
      <c r="A8" s="18" t="s">
        <v>34</v>
      </c>
      <c r="B8" s="30" t="s">
        <v>35</v>
      </c>
      <c r="C8" s="36" t="s">
        <v>36</v>
      </c>
      <c r="D8" s="21"/>
      <c r="E8" s="22" t="s">
        <v>21</v>
      </c>
      <c r="F8" s="21" t="s">
        <v>37</v>
      </c>
      <c r="G8" s="32" t="s">
        <v>38</v>
      </c>
      <c r="H8" s="33"/>
      <c r="I8" s="24">
        <v>220.0</v>
      </c>
      <c r="J8" s="37">
        <v>10000.0</v>
      </c>
      <c r="K8" s="26">
        <f>10000/1.37</f>
        <v>7299.270073</v>
      </c>
      <c r="L8" s="26" t="s">
        <v>39</v>
      </c>
      <c r="M8" s="35"/>
      <c r="N8" s="19" t="s">
        <v>25</v>
      </c>
      <c r="O8" s="28">
        <v>45874.0</v>
      </c>
      <c r="P8" s="22"/>
      <c r="Q8" s="29"/>
    </row>
    <row r="9" ht="15.75" hidden="1" customHeight="1">
      <c r="A9" s="18" t="s">
        <v>40</v>
      </c>
      <c r="B9" s="30">
        <v>1373.0</v>
      </c>
      <c r="C9" s="38" t="s">
        <v>41</v>
      </c>
      <c r="D9" s="21"/>
      <c r="E9" s="22" t="s">
        <v>42</v>
      </c>
      <c r="F9" s="21" t="s">
        <v>22</v>
      </c>
      <c r="G9" s="32" t="s">
        <v>23</v>
      </c>
      <c r="H9" s="33"/>
      <c r="I9" s="24">
        <v>220.0</v>
      </c>
      <c r="J9" s="25">
        <v>4550.0</v>
      </c>
      <c r="K9" s="26">
        <v>4550.0</v>
      </c>
      <c r="L9" s="26" t="s">
        <v>24</v>
      </c>
      <c r="M9" s="35" t="s">
        <v>43</v>
      </c>
      <c r="N9" s="19" t="s">
        <v>25</v>
      </c>
      <c r="O9" s="28">
        <v>45875.0</v>
      </c>
      <c r="P9" s="22"/>
      <c r="Q9" s="29"/>
    </row>
    <row r="10" ht="15.75" hidden="1" customHeight="1">
      <c r="A10" s="18" t="s">
        <v>44</v>
      </c>
      <c r="B10" s="30">
        <v>139.0</v>
      </c>
      <c r="C10" s="39" t="s">
        <v>45</v>
      </c>
      <c r="D10" s="21"/>
      <c r="E10" s="22" t="s">
        <v>21</v>
      </c>
      <c r="F10" s="21" t="s">
        <v>22</v>
      </c>
      <c r="G10" s="32" t="s">
        <v>32</v>
      </c>
      <c r="H10" s="33"/>
      <c r="I10" s="24">
        <v>220.0</v>
      </c>
      <c r="J10" s="25">
        <v>4025.88</v>
      </c>
      <c r="K10" s="26">
        <v>4025.88</v>
      </c>
      <c r="L10" s="26" t="s">
        <v>24</v>
      </c>
      <c r="M10" s="35" t="s">
        <v>33</v>
      </c>
      <c r="N10" s="19" t="s">
        <v>26</v>
      </c>
      <c r="O10" s="28">
        <v>45876.0</v>
      </c>
      <c r="P10" s="22"/>
      <c r="Q10" s="29"/>
    </row>
    <row r="11" ht="15.75" hidden="1" customHeight="1">
      <c r="A11" s="18" t="s">
        <v>46</v>
      </c>
      <c r="B11" s="30">
        <v>1962.0</v>
      </c>
      <c r="C11" s="38" t="s">
        <v>47</v>
      </c>
      <c r="D11" s="21"/>
      <c r="E11" s="22" t="s">
        <v>42</v>
      </c>
      <c r="F11" s="21" t="s">
        <v>22</v>
      </c>
      <c r="G11" s="32" t="s">
        <v>48</v>
      </c>
      <c r="H11" s="33"/>
      <c r="I11" s="24">
        <v>220.0</v>
      </c>
      <c r="J11" s="25">
        <v>4550.0</v>
      </c>
      <c r="K11" s="26">
        <v>4550.0</v>
      </c>
      <c r="L11" s="26" t="s">
        <v>24</v>
      </c>
      <c r="M11" s="35">
        <v>226938.0</v>
      </c>
      <c r="N11" s="19" t="s">
        <v>25</v>
      </c>
      <c r="O11" s="28">
        <v>45877.0</v>
      </c>
      <c r="P11" s="22"/>
      <c r="Q11" s="29"/>
    </row>
    <row r="12" ht="15.75" hidden="1" customHeight="1">
      <c r="A12" s="18" t="s">
        <v>49</v>
      </c>
      <c r="B12" s="30">
        <v>187.0</v>
      </c>
      <c r="C12" s="39" t="s">
        <v>50</v>
      </c>
      <c r="D12" s="21"/>
      <c r="E12" s="22" t="s">
        <v>21</v>
      </c>
      <c r="F12" s="21" t="s">
        <v>22</v>
      </c>
      <c r="G12" s="32" t="s">
        <v>51</v>
      </c>
      <c r="H12" s="33"/>
      <c r="I12" s="24">
        <v>220.0</v>
      </c>
      <c r="J12" s="25">
        <v>5830.0</v>
      </c>
      <c r="K12" s="26">
        <v>5830.0</v>
      </c>
      <c r="L12" s="26" t="s">
        <v>24</v>
      </c>
      <c r="M12" s="35">
        <v>446083.0</v>
      </c>
      <c r="N12" s="19" t="s">
        <v>26</v>
      </c>
      <c r="O12" s="28">
        <v>45878.0</v>
      </c>
      <c r="P12" s="22"/>
      <c r="Q12" s="29"/>
    </row>
    <row r="13" ht="15.75" hidden="1" customHeight="1">
      <c r="A13" s="18" t="s">
        <v>52</v>
      </c>
      <c r="B13" s="30">
        <v>1868.0</v>
      </c>
      <c r="C13" s="31" t="s">
        <v>53</v>
      </c>
      <c r="D13" s="21"/>
      <c r="E13" s="22" t="s">
        <v>54</v>
      </c>
      <c r="F13" s="21" t="s">
        <v>22</v>
      </c>
      <c r="G13" s="32" t="s">
        <v>55</v>
      </c>
      <c r="H13" s="33"/>
      <c r="I13" s="24">
        <v>220.0</v>
      </c>
      <c r="J13" s="25">
        <v>5213.0</v>
      </c>
      <c r="K13" s="25">
        <v>5213.0</v>
      </c>
      <c r="L13" s="25" t="s">
        <v>24</v>
      </c>
      <c r="M13" s="35">
        <v>226938.0</v>
      </c>
      <c r="N13" s="19" t="s">
        <v>26</v>
      </c>
      <c r="O13" s="28">
        <v>45879.0</v>
      </c>
      <c r="P13" s="22"/>
      <c r="Q13" s="29"/>
    </row>
    <row r="14" ht="15.75" hidden="1" customHeight="1">
      <c r="A14" s="18" t="s">
        <v>56</v>
      </c>
      <c r="B14" s="30">
        <v>176.0</v>
      </c>
      <c r="C14" s="38" t="s">
        <v>57</v>
      </c>
      <c r="D14" s="21"/>
      <c r="E14" s="22" t="s">
        <v>54</v>
      </c>
      <c r="F14" s="21" t="s">
        <v>22</v>
      </c>
      <c r="G14" s="32" t="s">
        <v>55</v>
      </c>
      <c r="H14" s="33"/>
      <c r="I14" s="24">
        <v>220.0</v>
      </c>
      <c r="J14" s="25">
        <v>5213.0</v>
      </c>
      <c r="K14" s="40">
        <v>5213.0</v>
      </c>
      <c r="L14" s="41" t="s">
        <v>24</v>
      </c>
      <c r="M14" s="35" t="s">
        <v>58</v>
      </c>
      <c r="N14" s="19" t="s">
        <v>26</v>
      </c>
      <c r="O14" s="28">
        <v>45880.0</v>
      </c>
      <c r="P14" s="22"/>
      <c r="Q14" s="29"/>
    </row>
    <row r="15" ht="15.75" hidden="1" customHeight="1">
      <c r="A15" s="18" t="s">
        <v>59</v>
      </c>
      <c r="B15" s="30">
        <v>1927.0</v>
      </c>
      <c r="C15" s="38" t="s">
        <v>60</v>
      </c>
      <c r="D15" s="42"/>
      <c r="E15" s="22" t="s">
        <v>61</v>
      </c>
      <c r="F15" s="21" t="s">
        <v>22</v>
      </c>
      <c r="G15" s="32" t="s">
        <v>55</v>
      </c>
      <c r="H15" s="33"/>
      <c r="I15" s="24">
        <v>220.0</v>
      </c>
      <c r="J15" s="25">
        <v>3993.0</v>
      </c>
      <c r="K15" s="43">
        <v>3993.0</v>
      </c>
      <c r="L15" s="43" t="s">
        <v>24</v>
      </c>
      <c r="M15" s="35">
        <v>226938.0</v>
      </c>
      <c r="N15" s="19" t="s">
        <v>26</v>
      </c>
      <c r="O15" s="28">
        <v>45881.0</v>
      </c>
      <c r="P15" s="22"/>
      <c r="Q15" s="29"/>
    </row>
    <row r="16" ht="15.75" hidden="1" customHeight="1">
      <c r="A16" s="18" t="s">
        <v>62</v>
      </c>
      <c r="B16" s="30">
        <v>164.0</v>
      </c>
      <c r="C16" s="20" t="s">
        <v>63</v>
      </c>
      <c r="D16" s="21"/>
      <c r="E16" s="22" t="s">
        <v>54</v>
      </c>
      <c r="F16" s="21" t="s">
        <v>22</v>
      </c>
      <c r="G16" s="32" t="s">
        <v>64</v>
      </c>
      <c r="H16" s="33"/>
      <c r="I16" s="24">
        <v>220.0</v>
      </c>
      <c r="J16" s="25">
        <v>3652.0</v>
      </c>
      <c r="K16" s="26">
        <v>3652.0</v>
      </c>
      <c r="L16" s="26" t="s">
        <v>24</v>
      </c>
      <c r="M16" s="44">
        <v>807461.0</v>
      </c>
      <c r="N16" s="19" t="s">
        <v>26</v>
      </c>
      <c r="O16" s="28">
        <v>45882.0</v>
      </c>
      <c r="P16" s="22"/>
      <c r="Q16" s="29"/>
    </row>
    <row r="17" ht="15.75" hidden="1" customHeight="1">
      <c r="A17" s="18" t="s">
        <v>65</v>
      </c>
      <c r="B17" s="30">
        <v>1892.0</v>
      </c>
      <c r="C17" s="20" t="s">
        <v>66</v>
      </c>
      <c r="D17" s="21"/>
      <c r="E17" s="22" t="s">
        <v>54</v>
      </c>
      <c r="F17" s="21" t="s">
        <v>22</v>
      </c>
      <c r="G17" s="32" t="s">
        <v>67</v>
      </c>
      <c r="H17" s="33"/>
      <c r="I17" s="24">
        <v>220.0</v>
      </c>
      <c r="J17" s="25">
        <v>3439.7</v>
      </c>
      <c r="K17" s="26">
        <v>3439.7</v>
      </c>
      <c r="L17" s="26" t="s">
        <v>24</v>
      </c>
      <c r="M17" s="44">
        <v>807461.0</v>
      </c>
      <c r="N17" s="19" t="s">
        <v>26</v>
      </c>
      <c r="O17" s="28">
        <v>45883.0</v>
      </c>
      <c r="P17" s="22"/>
      <c r="Q17" s="29"/>
    </row>
    <row r="18" ht="15.75" hidden="1" customHeight="1">
      <c r="A18" s="18" t="s">
        <v>68</v>
      </c>
      <c r="B18" s="30">
        <v>1940.0</v>
      </c>
      <c r="C18" s="45" t="s">
        <v>69</v>
      </c>
      <c r="D18" s="42"/>
      <c r="E18" s="22" t="s">
        <v>54</v>
      </c>
      <c r="F18" s="21" t="s">
        <v>22</v>
      </c>
      <c r="G18" s="32" t="s">
        <v>70</v>
      </c>
      <c r="H18" s="33"/>
      <c r="I18" s="24">
        <v>220.0</v>
      </c>
      <c r="J18" s="25">
        <v>3652.0</v>
      </c>
      <c r="K18" s="26">
        <v>3652.0</v>
      </c>
      <c r="L18" s="26" t="s">
        <v>24</v>
      </c>
      <c r="M18" s="44">
        <v>807461.0</v>
      </c>
      <c r="N18" s="19" t="s">
        <v>26</v>
      </c>
      <c r="O18" s="28">
        <v>45884.0</v>
      </c>
      <c r="P18" s="22"/>
      <c r="Q18" s="29"/>
    </row>
    <row r="19" ht="15.75" hidden="1" customHeight="1">
      <c r="A19" s="18" t="s">
        <v>71</v>
      </c>
      <c r="B19" s="30">
        <v>1963.0</v>
      </c>
      <c r="C19" s="20" t="s">
        <v>72</v>
      </c>
      <c r="D19" s="42"/>
      <c r="E19" s="22" t="s">
        <v>54</v>
      </c>
      <c r="F19" s="21" t="s">
        <v>22</v>
      </c>
      <c r="G19" s="32" t="s">
        <v>23</v>
      </c>
      <c r="H19" s="33"/>
      <c r="I19" s="24">
        <v>220.0</v>
      </c>
      <c r="J19" s="25">
        <v>3652.0</v>
      </c>
      <c r="K19" s="26">
        <v>3652.0</v>
      </c>
      <c r="L19" s="26" t="s">
        <v>24</v>
      </c>
      <c r="M19" s="35">
        <v>446083.0</v>
      </c>
      <c r="N19" s="19" t="s">
        <v>26</v>
      </c>
      <c r="O19" s="28">
        <v>45885.0</v>
      </c>
      <c r="P19" s="22"/>
      <c r="Q19" s="29"/>
    </row>
    <row r="20" ht="15.75" hidden="1" customHeight="1">
      <c r="A20" s="18" t="s">
        <v>73</v>
      </c>
      <c r="B20" s="30">
        <v>190.0</v>
      </c>
      <c r="C20" s="39" t="s">
        <v>74</v>
      </c>
      <c r="D20" s="42"/>
      <c r="E20" s="22" t="s">
        <v>21</v>
      </c>
      <c r="F20" s="21" t="s">
        <v>22</v>
      </c>
      <c r="G20" s="32" t="s">
        <v>32</v>
      </c>
      <c r="H20" s="33"/>
      <c r="I20" s="24">
        <v>220.0</v>
      </c>
      <c r="J20" s="25">
        <v>2919.0</v>
      </c>
      <c r="K20" s="26">
        <v>2919.0</v>
      </c>
      <c r="L20" s="26" t="s">
        <v>24</v>
      </c>
      <c r="M20" s="44">
        <v>807461.0</v>
      </c>
      <c r="N20" s="19" t="s">
        <v>26</v>
      </c>
      <c r="O20" s="28">
        <v>45886.0</v>
      </c>
      <c r="P20" s="22"/>
      <c r="Q20" s="29"/>
    </row>
    <row r="21" ht="15.75" hidden="1" customHeight="1">
      <c r="A21" s="18" t="s">
        <v>75</v>
      </c>
      <c r="B21" s="30">
        <v>189.0</v>
      </c>
      <c r="C21" s="39" t="s">
        <v>76</v>
      </c>
      <c r="D21" s="42"/>
      <c r="E21" s="22" t="s">
        <v>21</v>
      </c>
      <c r="F21" s="21" t="s">
        <v>22</v>
      </c>
      <c r="G21" s="32" t="s">
        <v>77</v>
      </c>
      <c r="H21" s="33"/>
      <c r="I21" s="24">
        <v>220.0</v>
      </c>
      <c r="J21" s="25">
        <v>2919.0</v>
      </c>
      <c r="K21" s="26">
        <v>2919.0</v>
      </c>
      <c r="L21" s="26" t="s">
        <v>24</v>
      </c>
      <c r="M21" s="44">
        <v>807461.0</v>
      </c>
      <c r="N21" s="19" t="s">
        <v>26</v>
      </c>
      <c r="O21" s="28">
        <v>45887.0</v>
      </c>
      <c r="P21" s="22"/>
      <c r="Q21" s="29"/>
    </row>
    <row r="22" ht="15.75" hidden="1" customHeight="1">
      <c r="A22" s="18" t="s">
        <v>78</v>
      </c>
      <c r="B22" s="30">
        <v>1656.0</v>
      </c>
      <c r="C22" s="38" t="s">
        <v>79</v>
      </c>
      <c r="D22" s="42"/>
      <c r="E22" s="22" t="s">
        <v>21</v>
      </c>
      <c r="F22" s="21" t="s">
        <v>22</v>
      </c>
      <c r="G22" s="32" t="s">
        <v>80</v>
      </c>
      <c r="H22" s="33"/>
      <c r="I22" s="24">
        <v>220.0</v>
      </c>
      <c r="J22" s="25">
        <v>2919.0</v>
      </c>
      <c r="K22" s="43">
        <v>2919.0</v>
      </c>
      <c r="L22" s="43" t="s">
        <v>24</v>
      </c>
      <c r="M22" s="44">
        <v>464864.0</v>
      </c>
      <c r="N22" s="19" t="s">
        <v>25</v>
      </c>
      <c r="O22" s="28">
        <v>45888.0</v>
      </c>
      <c r="P22" s="22"/>
      <c r="Q22" s="29"/>
    </row>
    <row r="23" ht="15.75" hidden="1" customHeight="1">
      <c r="A23" s="18" t="s">
        <v>81</v>
      </c>
      <c r="B23" s="30">
        <v>192.0</v>
      </c>
      <c r="C23" s="36" t="s">
        <v>82</v>
      </c>
      <c r="D23" s="42"/>
      <c r="E23" s="22" t="s">
        <v>21</v>
      </c>
      <c r="F23" s="21" t="s">
        <v>22</v>
      </c>
      <c r="G23" s="32" t="s">
        <v>55</v>
      </c>
      <c r="H23" s="33"/>
      <c r="I23" s="24">
        <v>220.0</v>
      </c>
      <c r="J23" s="25">
        <v>2919.0</v>
      </c>
      <c r="K23" s="26">
        <v>2919.0</v>
      </c>
      <c r="L23" s="26" t="s">
        <v>24</v>
      </c>
      <c r="M23" s="44">
        <v>815131.0</v>
      </c>
      <c r="N23" s="19" t="s">
        <v>25</v>
      </c>
      <c r="O23" s="28">
        <v>45889.0</v>
      </c>
      <c r="P23" s="22"/>
      <c r="Q23" s="29"/>
    </row>
    <row r="24" ht="15.75" hidden="1" customHeight="1">
      <c r="A24" s="18" t="s">
        <v>81</v>
      </c>
      <c r="B24" s="30">
        <v>193.0</v>
      </c>
      <c r="C24" s="46" t="s">
        <v>82</v>
      </c>
      <c r="D24" s="42"/>
      <c r="E24" s="22" t="s">
        <v>21</v>
      </c>
      <c r="F24" s="21" t="s">
        <v>22</v>
      </c>
      <c r="G24" s="32" t="s">
        <v>55</v>
      </c>
      <c r="H24" s="33"/>
      <c r="I24" s="24">
        <v>220.0</v>
      </c>
      <c r="J24" s="25">
        <v>2919.0</v>
      </c>
      <c r="K24" s="43">
        <v>2919.0</v>
      </c>
      <c r="L24" s="26" t="s">
        <v>24</v>
      </c>
      <c r="M24" s="44">
        <v>815131.0</v>
      </c>
      <c r="N24" s="19" t="s">
        <v>25</v>
      </c>
      <c r="O24" s="28">
        <v>45890.0</v>
      </c>
      <c r="P24" s="22"/>
      <c r="Q24" s="29"/>
    </row>
    <row r="25" ht="15.75" hidden="1" customHeight="1">
      <c r="A25" s="18" t="s">
        <v>81</v>
      </c>
      <c r="B25" s="30">
        <v>1941.0</v>
      </c>
      <c r="C25" s="46" t="s">
        <v>83</v>
      </c>
      <c r="D25" s="21"/>
      <c r="E25" s="22" t="s">
        <v>21</v>
      </c>
      <c r="F25" s="21" t="s">
        <v>22</v>
      </c>
      <c r="G25" s="32" t="s">
        <v>55</v>
      </c>
      <c r="H25" s="33"/>
      <c r="I25" s="47">
        <v>220.0</v>
      </c>
      <c r="J25" s="25">
        <v>3652.0</v>
      </c>
      <c r="K25" s="48">
        <v>3652.0</v>
      </c>
      <c r="L25" s="49" t="s">
        <v>24</v>
      </c>
      <c r="M25" s="44">
        <v>815131.0</v>
      </c>
      <c r="N25" s="19" t="s">
        <v>25</v>
      </c>
      <c r="O25" s="28">
        <v>45891.0</v>
      </c>
      <c r="P25" s="22"/>
      <c r="Q25" s="29"/>
    </row>
    <row r="26" ht="15.75" hidden="1" customHeight="1">
      <c r="A26" s="18" t="s">
        <v>84</v>
      </c>
      <c r="B26" s="30">
        <v>1961.0</v>
      </c>
      <c r="C26" s="31" t="s">
        <v>85</v>
      </c>
      <c r="D26" s="42"/>
      <c r="E26" s="22" t="s">
        <v>21</v>
      </c>
      <c r="F26" s="21" t="s">
        <v>22</v>
      </c>
      <c r="G26" s="32" t="s">
        <v>67</v>
      </c>
      <c r="H26" s="33"/>
      <c r="I26" s="24">
        <v>220.0</v>
      </c>
      <c r="J26" s="25">
        <v>2254.0</v>
      </c>
      <c r="K26" s="25">
        <v>2254.0</v>
      </c>
      <c r="L26" s="26" t="s">
        <v>24</v>
      </c>
      <c r="M26" s="35">
        <v>807308.0</v>
      </c>
      <c r="N26" s="19" t="s">
        <v>26</v>
      </c>
      <c r="O26" s="28">
        <v>45892.0</v>
      </c>
      <c r="P26" s="22"/>
      <c r="Q26" s="29"/>
    </row>
    <row r="27" ht="15.75" hidden="1" customHeight="1">
      <c r="A27" s="18" t="s">
        <v>84</v>
      </c>
      <c r="B27" s="30">
        <v>184.0</v>
      </c>
      <c r="C27" s="39" t="s">
        <v>86</v>
      </c>
      <c r="D27" s="42" t="s">
        <v>85</v>
      </c>
      <c r="E27" s="22" t="s">
        <v>54</v>
      </c>
      <c r="F27" s="21" t="s">
        <v>22</v>
      </c>
      <c r="G27" s="32" t="s">
        <v>67</v>
      </c>
      <c r="H27" s="33"/>
      <c r="I27" s="24">
        <v>220.0</v>
      </c>
      <c r="J27" s="25">
        <v>2739.04</v>
      </c>
      <c r="K27" s="26">
        <v>2739.04</v>
      </c>
      <c r="L27" s="26" t="s">
        <v>24</v>
      </c>
      <c r="M27" s="35">
        <v>807308.0</v>
      </c>
      <c r="N27" s="19" t="s">
        <v>26</v>
      </c>
      <c r="O27" s="28">
        <v>45893.0</v>
      </c>
      <c r="P27" s="22"/>
      <c r="Q27" s="29"/>
    </row>
    <row r="28" ht="15.75" hidden="1" customHeight="1">
      <c r="A28" s="18" t="s">
        <v>87</v>
      </c>
      <c r="B28" s="30">
        <v>1951.0</v>
      </c>
      <c r="C28" s="20" t="s">
        <v>88</v>
      </c>
      <c r="D28" s="42"/>
      <c r="E28" s="22" t="s">
        <v>42</v>
      </c>
      <c r="F28" s="21" t="s">
        <v>22</v>
      </c>
      <c r="G28" s="32" t="s">
        <v>89</v>
      </c>
      <c r="H28" s="33"/>
      <c r="I28" s="24">
        <v>220.0</v>
      </c>
      <c r="J28" s="25">
        <v>2560.0</v>
      </c>
      <c r="K28" s="43">
        <v>2560.0</v>
      </c>
      <c r="L28" s="43" t="s">
        <v>24</v>
      </c>
      <c r="M28" s="35">
        <v>807308.0</v>
      </c>
      <c r="N28" s="19" t="s">
        <v>26</v>
      </c>
      <c r="O28" s="28">
        <v>45894.0</v>
      </c>
      <c r="P28" s="22"/>
      <c r="Q28" s="29"/>
    </row>
    <row r="29" ht="15.75" hidden="1" customHeight="1">
      <c r="A29" s="18" t="s">
        <v>90</v>
      </c>
      <c r="B29" s="30">
        <v>191.0</v>
      </c>
      <c r="C29" s="39" t="s">
        <v>91</v>
      </c>
      <c r="D29" s="21"/>
      <c r="E29" s="22" t="s">
        <v>21</v>
      </c>
      <c r="F29" s="21" t="s">
        <v>22</v>
      </c>
      <c r="G29" s="32" t="s">
        <v>51</v>
      </c>
      <c r="H29" s="33"/>
      <c r="I29" s="24">
        <v>220.0</v>
      </c>
      <c r="J29" s="25">
        <v>2560.0</v>
      </c>
      <c r="K29" s="26">
        <v>2560.0</v>
      </c>
      <c r="L29" s="26" t="s">
        <v>24</v>
      </c>
      <c r="M29" s="35">
        <v>446083.0</v>
      </c>
      <c r="N29" s="19" t="s">
        <v>25</v>
      </c>
      <c r="O29" s="28">
        <v>45895.0</v>
      </c>
      <c r="P29" s="22"/>
      <c r="Q29" s="29"/>
    </row>
    <row r="30" ht="15.75" customHeight="1">
      <c r="A30" s="18" t="s">
        <v>92</v>
      </c>
      <c r="B30" s="30" t="s">
        <v>93</v>
      </c>
      <c r="C30" s="39" t="s">
        <v>94</v>
      </c>
      <c r="D30" s="21"/>
      <c r="E30" s="22" t="s">
        <v>21</v>
      </c>
      <c r="F30" s="33" t="s">
        <v>37</v>
      </c>
      <c r="G30" s="32" t="s">
        <v>67</v>
      </c>
      <c r="H30" s="33"/>
      <c r="I30" s="24">
        <v>220.0</v>
      </c>
      <c r="J30" s="37">
        <v>11339.0</v>
      </c>
      <c r="K30" s="26">
        <f>11339/1.37</f>
        <v>8276.642336</v>
      </c>
      <c r="L30" s="26" t="s">
        <v>39</v>
      </c>
      <c r="M30" s="35"/>
      <c r="N30" s="19" t="s">
        <v>26</v>
      </c>
      <c r="O30" s="28">
        <v>45896.0</v>
      </c>
      <c r="P30" s="22"/>
      <c r="Q30" s="29"/>
    </row>
    <row r="31" ht="15.75" customHeight="1">
      <c r="A31" s="18" t="s">
        <v>95</v>
      </c>
      <c r="B31" s="30" t="s">
        <v>96</v>
      </c>
      <c r="C31" s="39" t="s">
        <v>97</v>
      </c>
      <c r="D31" s="42"/>
      <c r="E31" s="22" t="s">
        <v>21</v>
      </c>
      <c r="F31" s="33" t="s">
        <v>37</v>
      </c>
      <c r="G31" s="32" t="s">
        <v>70</v>
      </c>
      <c r="H31" s="33"/>
      <c r="I31" s="24">
        <v>220.0</v>
      </c>
      <c r="J31" s="37">
        <v>16000.0</v>
      </c>
      <c r="K31" s="26">
        <f>16000/1.37</f>
        <v>11678.83212</v>
      </c>
      <c r="L31" s="26" t="s">
        <v>39</v>
      </c>
      <c r="M31" s="35"/>
      <c r="N31" s="19" t="s">
        <v>26</v>
      </c>
      <c r="O31" s="28">
        <v>45897.0</v>
      </c>
      <c r="P31" s="22"/>
      <c r="Q31" s="29"/>
    </row>
    <row r="32" ht="15.75" customHeight="1">
      <c r="A32" s="18" t="s">
        <v>98</v>
      </c>
      <c r="B32" s="30" t="s">
        <v>99</v>
      </c>
      <c r="C32" s="50" t="s">
        <v>100</v>
      </c>
      <c r="D32" s="42"/>
      <c r="E32" s="22" t="s">
        <v>21</v>
      </c>
      <c r="F32" s="33" t="s">
        <v>37</v>
      </c>
      <c r="G32" s="32" t="s">
        <v>70</v>
      </c>
      <c r="H32" s="33"/>
      <c r="I32" s="24">
        <v>220.0</v>
      </c>
      <c r="J32" s="37">
        <v>12663.6</v>
      </c>
      <c r="K32" s="26">
        <f>12663.6/1.37</f>
        <v>9243.50365</v>
      </c>
      <c r="L32" s="26" t="s">
        <v>39</v>
      </c>
      <c r="M32" s="35"/>
      <c r="N32" s="30" t="s">
        <v>25</v>
      </c>
      <c r="O32" s="28">
        <v>45898.0</v>
      </c>
      <c r="P32" s="22"/>
      <c r="Q32" s="29"/>
    </row>
    <row r="33" ht="15.75" hidden="1" customHeight="1">
      <c r="A33" s="18" t="s">
        <v>101</v>
      </c>
      <c r="B33" s="30">
        <v>1959.0</v>
      </c>
      <c r="C33" s="51" t="s">
        <v>102</v>
      </c>
      <c r="D33" s="42"/>
      <c r="E33" s="22" t="s">
        <v>21</v>
      </c>
      <c r="F33" s="33" t="s">
        <v>37</v>
      </c>
      <c r="G33" s="32" t="s">
        <v>77</v>
      </c>
      <c r="H33" s="33"/>
      <c r="I33" s="24">
        <v>220.0</v>
      </c>
      <c r="J33" s="25">
        <v>7420.0</v>
      </c>
      <c r="K33" s="26">
        <v>7420.0</v>
      </c>
      <c r="L33" s="26" t="s">
        <v>24</v>
      </c>
      <c r="M33" s="35" t="s">
        <v>103</v>
      </c>
      <c r="N33" s="30" t="s">
        <v>26</v>
      </c>
      <c r="O33" s="28">
        <v>45899.0</v>
      </c>
      <c r="P33" s="22"/>
      <c r="Q33" s="29"/>
    </row>
    <row r="34" ht="15.75" hidden="1" customHeight="1">
      <c r="A34" s="18" t="s">
        <v>104</v>
      </c>
      <c r="B34" s="30">
        <v>151.0</v>
      </c>
      <c r="C34" s="50" t="s">
        <v>105</v>
      </c>
      <c r="D34" s="21"/>
      <c r="E34" s="22" t="s">
        <v>42</v>
      </c>
      <c r="F34" s="33" t="s">
        <v>37</v>
      </c>
      <c r="G34" s="32" t="s">
        <v>64</v>
      </c>
      <c r="H34" s="33"/>
      <c r="I34" s="24">
        <v>220.0</v>
      </c>
      <c r="J34" s="25">
        <v>8647.0</v>
      </c>
      <c r="K34" s="26">
        <v>8647.0</v>
      </c>
      <c r="L34" s="26" t="s">
        <v>24</v>
      </c>
      <c r="M34" s="44">
        <v>840698.0</v>
      </c>
      <c r="N34" s="30" t="s">
        <v>25</v>
      </c>
      <c r="O34" s="28">
        <v>45900.0</v>
      </c>
      <c r="P34" s="22"/>
      <c r="Q34" s="29"/>
    </row>
    <row r="35" ht="15.75" hidden="1" customHeight="1">
      <c r="A35" s="18" t="s">
        <v>106</v>
      </c>
      <c r="B35" s="30">
        <v>1911.0</v>
      </c>
      <c r="C35" s="51" t="s">
        <v>107</v>
      </c>
      <c r="D35" s="42"/>
      <c r="E35" s="22" t="s">
        <v>42</v>
      </c>
      <c r="F35" s="33" t="s">
        <v>37</v>
      </c>
      <c r="G35" s="32" t="s">
        <v>32</v>
      </c>
      <c r="H35" s="33"/>
      <c r="I35" s="24">
        <v>220.0</v>
      </c>
      <c r="J35" s="25">
        <v>8647.0</v>
      </c>
      <c r="K35" s="26">
        <v>8647.0</v>
      </c>
      <c r="L35" s="26" t="s">
        <v>24</v>
      </c>
      <c r="M35" s="44" t="s">
        <v>108</v>
      </c>
      <c r="N35" s="30" t="s">
        <v>26</v>
      </c>
      <c r="O35" s="28">
        <v>45870.0</v>
      </c>
      <c r="P35" s="22"/>
      <c r="Q35" s="29"/>
    </row>
    <row r="36" ht="15.75" hidden="1" customHeight="1">
      <c r="A36" s="18" t="s">
        <v>109</v>
      </c>
      <c r="B36" s="30">
        <v>1452.0</v>
      </c>
      <c r="C36" s="52" t="s">
        <v>110</v>
      </c>
      <c r="D36" s="42"/>
      <c r="E36" s="22" t="s">
        <v>21</v>
      </c>
      <c r="F36" s="33" t="s">
        <v>22</v>
      </c>
      <c r="G36" s="32" t="s">
        <v>23</v>
      </c>
      <c r="H36" s="33"/>
      <c r="I36" s="24">
        <v>220.0</v>
      </c>
      <c r="J36" s="25">
        <v>8714.0</v>
      </c>
      <c r="K36" s="26">
        <v>8714.0</v>
      </c>
      <c r="L36" s="26" t="s">
        <v>24</v>
      </c>
      <c r="M36" s="35" t="s">
        <v>111</v>
      </c>
      <c r="N36" s="30" t="s">
        <v>25</v>
      </c>
      <c r="O36" s="28">
        <v>45871.0</v>
      </c>
      <c r="P36" s="22"/>
      <c r="Q36" s="29"/>
    </row>
    <row r="37" ht="15.75" customHeight="1">
      <c r="A37" s="18" t="s">
        <v>112</v>
      </c>
      <c r="B37" s="30" t="s">
        <v>113</v>
      </c>
      <c r="C37" s="50" t="s">
        <v>114</v>
      </c>
      <c r="D37" s="21"/>
      <c r="E37" s="22" t="s">
        <v>21</v>
      </c>
      <c r="F37" s="33" t="s">
        <v>37</v>
      </c>
      <c r="G37" s="32" t="s">
        <v>29</v>
      </c>
      <c r="H37" s="33"/>
      <c r="I37" s="24">
        <v>220.0</v>
      </c>
      <c r="J37" s="37">
        <v>16000.0</v>
      </c>
      <c r="K37" s="26">
        <f>16000/1.51</f>
        <v>10596.02649</v>
      </c>
      <c r="L37" s="26" t="s">
        <v>39</v>
      </c>
      <c r="M37" s="35"/>
      <c r="N37" s="30" t="s">
        <v>26</v>
      </c>
      <c r="O37" s="28">
        <v>45872.0</v>
      </c>
      <c r="P37" s="22"/>
      <c r="Q37" s="29"/>
    </row>
    <row r="38" ht="15.75" customHeight="1">
      <c r="A38" s="18" t="s">
        <v>115</v>
      </c>
      <c r="B38" s="30" t="s">
        <v>116</v>
      </c>
      <c r="C38" s="50" t="s">
        <v>117</v>
      </c>
      <c r="D38" s="21"/>
      <c r="E38" s="22" t="s">
        <v>21</v>
      </c>
      <c r="F38" s="33" t="s">
        <v>37</v>
      </c>
      <c r="G38" s="32" t="s">
        <v>55</v>
      </c>
      <c r="H38" s="33"/>
      <c r="I38" s="24">
        <v>220.0</v>
      </c>
      <c r="J38" s="37">
        <v>12000.0</v>
      </c>
      <c r="K38" s="26">
        <f>12000/1.51</f>
        <v>7947.019868</v>
      </c>
      <c r="L38" s="26" t="s">
        <v>39</v>
      </c>
      <c r="M38" s="35"/>
      <c r="N38" s="30" t="s">
        <v>25</v>
      </c>
      <c r="O38" s="28">
        <v>45873.0</v>
      </c>
      <c r="P38" s="22"/>
      <c r="Q38" s="29"/>
    </row>
    <row r="39" ht="15.75" customHeight="1">
      <c r="A39" s="18" t="s">
        <v>118</v>
      </c>
      <c r="B39" s="30" t="s">
        <v>119</v>
      </c>
      <c r="C39" s="50" t="s">
        <v>120</v>
      </c>
      <c r="D39" s="21"/>
      <c r="E39" s="22" t="s">
        <v>21</v>
      </c>
      <c r="F39" s="33" t="s">
        <v>121</v>
      </c>
      <c r="G39" s="32" t="s">
        <v>122</v>
      </c>
      <c r="H39" s="33"/>
      <c r="I39" s="24">
        <v>220.0</v>
      </c>
      <c r="J39" s="37">
        <v>58000.0</v>
      </c>
      <c r="K39" s="26">
        <f>58000/1.04</f>
        <v>55769.23077</v>
      </c>
      <c r="L39" s="26" t="s">
        <v>39</v>
      </c>
      <c r="M39" s="35"/>
      <c r="N39" s="30" t="s">
        <v>25</v>
      </c>
      <c r="O39" s="28">
        <v>45874.0</v>
      </c>
      <c r="P39" s="22"/>
      <c r="Q39" s="29"/>
    </row>
    <row r="40" ht="15.75" hidden="1" customHeight="1">
      <c r="A40" s="18" t="s">
        <v>123</v>
      </c>
      <c r="B40" s="30">
        <v>132.0</v>
      </c>
      <c r="C40" s="51" t="s">
        <v>124</v>
      </c>
      <c r="D40" s="21"/>
      <c r="E40" s="22" t="s">
        <v>21</v>
      </c>
      <c r="F40" s="21" t="s">
        <v>22</v>
      </c>
      <c r="G40" s="32" t="s">
        <v>51</v>
      </c>
      <c r="H40" s="33"/>
      <c r="I40" s="24">
        <v>220.0</v>
      </c>
      <c r="J40" s="25">
        <v>8461.0</v>
      </c>
      <c r="K40" s="26">
        <v>8461.0</v>
      </c>
      <c r="L40" s="26" t="s">
        <v>24</v>
      </c>
      <c r="M40" s="35">
        <v>1900113.0</v>
      </c>
      <c r="N40" s="30" t="s">
        <v>25</v>
      </c>
      <c r="O40" s="28">
        <v>45875.0</v>
      </c>
      <c r="P40" s="22"/>
      <c r="Q40" s="29"/>
    </row>
    <row r="41" ht="15.75" hidden="1" customHeight="1">
      <c r="A41" s="18" t="s">
        <v>123</v>
      </c>
      <c r="B41" s="30">
        <v>182.0</v>
      </c>
      <c r="C41" s="51" t="s">
        <v>124</v>
      </c>
      <c r="D41" s="21"/>
      <c r="E41" s="22" t="s">
        <v>21</v>
      </c>
      <c r="F41" s="21" t="s">
        <v>22</v>
      </c>
      <c r="G41" s="32" t="s">
        <v>51</v>
      </c>
      <c r="H41" s="33"/>
      <c r="I41" s="24">
        <v>220.0</v>
      </c>
      <c r="J41" s="25">
        <v>11540.0</v>
      </c>
      <c r="K41" s="26">
        <v>11540.0</v>
      </c>
      <c r="L41" s="26" t="s">
        <v>24</v>
      </c>
      <c r="M41" s="35">
        <v>1900113.0</v>
      </c>
      <c r="N41" s="30" t="s">
        <v>25</v>
      </c>
      <c r="O41" s="28">
        <v>45876.0</v>
      </c>
      <c r="P41" s="22"/>
      <c r="Q41" s="29"/>
    </row>
    <row r="42" ht="15.75" hidden="1" customHeight="1">
      <c r="A42" s="18" t="s">
        <v>125</v>
      </c>
      <c r="B42" s="30">
        <v>1351.0</v>
      </c>
      <c r="C42" s="51" t="s">
        <v>126</v>
      </c>
      <c r="D42" s="21"/>
      <c r="E42" s="22" t="s">
        <v>21</v>
      </c>
      <c r="F42" s="21" t="s">
        <v>22</v>
      </c>
      <c r="G42" s="32" t="s">
        <v>23</v>
      </c>
      <c r="H42" s="33"/>
      <c r="I42" s="24">
        <v>220.0</v>
      </c>
      <c r="J42" s="25">
        <v>8714.0</v>
      </c>
      <c r="K42" s="26">
        <v>8714.0</v>
      </c>
      <c r="L42" s="26" t="s">
        <v>24</v>
      </c>
      <c r="M42" s="35" t="s">
        <v>43</v>
      </c>
      <c r="N42" s="30" t="s">
        <v>25</v>
      </c>
      <c r="O42" s="28"/>
      <c r="P42" s="22"/>
      <c r="Q42" s="29"/>
    </row>
    <row r="43" ht="15.75" customHeight="1">
      <c r="A43" s="18" t="s">
        <v>127</v>
      </c>
      <c r="B43" s="30" t="s">
        <v>128</v>
      </c>
      <c r="C43" s="50" t="s">
        <v>129</v>
      </c>
      <c r="D43" s="21"/>
      <c r="E43" s="22" t="s">
        <v>61</v>
      </c>
      <c r="F43" s="21" t="s">
        <v>22</v>
      </c>
      <c r="G43" s="32" t="s">
        <v>51</v>
      </c>
      <c r="H43" s="33"/>
      <c r="I43" s="24">
        <v>220.0</v>
      </c>
      <c r="J43" s="37">
        <v>8390.0</v>
      </c>
      <c r="K43" s="26">
        <f>8390/1.49</f>
        <v>5630.872483</v>
      </c>
      <c r="L43" s="26" t="s">
        <v>39</v>
      </c>
      <c r="M43" s="35"/>
      <c r="N43" s="30" t="s">
        <v>25</v>
      </c>
      <c r="O43" s="28"/>
      <c r="P43" s="22"/>
      <c r="Q43" s="29"/>
    </row>
    <row r="44" ht="15.75" customHeight="1">
      <c r="A44" s="18" t="s">
        <v>130</v>
      </c>
      <c r="B44" s="30" t="s">
        <v>131</v>
      </c>
      <c r="C44" s="50" t="s">
        <v>132</v>
      </c>
      <c r="D44" s="21"/>
      <c r="E44" s="22" t="s">
        <v>54</v>
      </c>
      <c r="F44" s="21" t="s">
        <v>37</v>
      </c>
      <c r="G44" s="32" t="s">
        <v>23</v>
      </c>
      <c r="H44" s="33"/>
      <c r="I44" s="24">
        <v>220.0</v>
      </c>
      <c r="J44" s="37">
        <v>19000.0</v>
      </c>
      <c r="K44" s="26">
        <f>19000/1.32</f>
        <v>14393.93939</v>
      </c>
      <c r="L44" s="26" t="s">
        <v>39</v>
      </c>
      <c r="M44" s="35"/>
      <c r="N44" s="30" t="s">
        <v>26</v>
      </c>
      <c r="O44" s="28"/>
      <c r="P44" s="22"/>
      <c r="Q44" s="29"/>
    </row>
    <row r="45" ht="15.75" hidden="1" customHeight="1">
      <c r="A45" s="18" t="s">
        <v>133</v>
      </c>
      <c r="B45" s="30" t="s">
        <v>134</v>
      </c>
      <c r="C45" s="51" t="s">
        <v>135</v>
      </c>
      <c r="D45" s="21"/>
      <c r="E45" s="22" t="s">
        <v>21</v>
      </c>
      <c r="F45" s="21" t="s">
        <v>22</v>
      </c>
      <c r="G45" s="32" t="s">
        <v>136</v>
      </c>
      <c r="H45" s="33"/>
      <c r="I45" s="24">
        <v>150.0</v>
      </c>
      <c r="J45" s="26">
        <v>1521.0</v>
      </c>
      <c r="K45" s="26">
        <v>1521.0</v>
      </c>
      <c r="L45" s="26" t="s">
        <v>137</v>
      </c>
      <c r="M45" s="35">
        <v>446083.0</v>
      </c>
      <c r="N45" s="30" t="s">
        <v>26</v>
      </c>
      <c r="O45" s="28"/>
      <c r="P45" s="22"/>
      <c r="Q45" s="29"/>
    </row>
    <row r="46" ht="15.75" hidden="1" customHeight="1">
      <c r="A46" s="18" t="s">
        <v>138</v>
      </c>
      <c r="B46" s="30" t="s">
        <v>139</v>
      </c>
      <c r="C46" s="50" t="s">
        <v>140</v>
      </c>
      <c r="D46" s="21"/>
      <c r="E46" s="22" t="s">
        <v>21</v>
      </c>
      <c r="F46" s="21" t="s">
        <v>22</v>
      </c>
      <c r="G46" s="32" t="s">
        <v>67</v>
      </c>
      <c r="H46" s="33"/>
      <c r="I46" s="24">
        <v>150.0</v>
      </c>
      <c r="J46" s="26">
        <v>1521.0</v>
      </c>
      <c r="K46" s="26">
        <v>1521.0</v>
      </c>
      <c r="L46" s="26" t="s">
        <v>137</v>
      </c>
      <c r="M46" s="35">
        <v>807308.0</v>
      </c>
      <c r="N46" s="30" t="s">
        <v>25</v>
      </c>
      <c r="O46" s="28"/>
      <c r="P46" s="22"/>
      <c r="Q46" s="29"/>
    </row>
    <row r="47" ht="15.75" hidden="1" customHeight="1">
      <c r="A47" s="18" t="s">
        <v>141</v>
      </c>
      <c r="B47" s="30" t="s">
        <v>142</v>
      </c>
      <c r="C47" s="51" t="s">
        <v>143</v>
      </c>
      <c r="D47" s="21"/>
      <c r="E47" s="22" t="s">
        <v>21</v>
      </c>
      <c r="F47" s="21" t="s">
        <v>22</v>
      </c>
      <c r="G47" s="32" t="s">
        <v>51</v>
      </c>
      <c r="H47" s="33"/>
      <c r="I47" s="24">
        <v>150.0</v>
      </c>
      <c r="J47" s="26">
        <v>1521.0</v>
      </c>
      <c r="K47" s="26">
        <v>1521.0</v>
      </c>
      <c r="L47" s="26" t="s">
        <v>137</v>
      </c>
      <c r="M47" s="35"/>
      <c r="N47" s="30" t="s">
        <v>26</v>
      </c>
      <c r="O47" s="28"/>
      <c r="P47" s="22"/>
      <c r="Q47" s="29"/>
    </row>
    <row r="48" ht="15.75" hidden="1" customHeight="1">
      <c r="A48" s="18" t="s">
        <v>144</v>
      </c>
      <c r="B48" s="30">
        <v>1940.0</v>
      </c>
      <c r="C48" s="51" t="s">
        <v>145</v>
      </c>
      <c r="D48" s="21"/>
      <c r="E48" s="22" t="s">
        <v>21</v>
      </c>
      <c r="F48" s="21" t="s">
        <v>22</v>
      </c>
      <c r="G48" s="32" t="s">
        <v>77</v>
      </c>
      <c r="H48" s="33"/>
      <c r="I48" s="24">
        <v>100.0</v>
      </c>
      <c r="J48" s="37">
        <v>1014.0</v>
      </c>
      <c r="K48" s="26">
        <f>(1014/I48)*150</f>
        <v>1521</v>
      </c>
      <c r="L48" s="26" t="s">
        <v>137</v>
      </c>
      <c r="M48" s="35">
        <v>807308.0</v>
      </c>
      <c r="N48" s="30" t="s">
        <v>26</v>
      </c>
      <c r="O48" s="28"/>
      <c r="P48" s="22"/>
      <c r="Q48" s="29"/>
    </row>
    <row r="49" ht="15.75" customHeight="1">
      <c r="A49" s="18" t="s">
        <v>146</v>
      </c>
      <c r="B49" s="30" t="s">
        <v>147</v>
      </c>
      <c r="C49" s="50" t="s">
        <v>148</v>
      </c>
      <c r="D49" s="21"/>
      <c r="E49" s="22" t="s">
        <v>21</v>
      </c>
      <c r="F49" s="33" t="s">
        <v>37</v>
      </c>
      <c r="G49" s="32" t="s">
        <v>67</v>
      </c>
      <c r="H49" s="33"/>
      <c r="I49" s="24">
        <v>220.0</v>
      </c>
      <c r="J49" s="37">
        <v>16160.0</v>
      </c>
      <c r="K49" s="26">
        <f>16160/1.32</f>
        <v>12242.42424</v>
      </c>
      <c r="L49" s="26" t="s">
        <v>39</v>
      </c>
      <c r="M49" s="35"/>
      <c r="N49" s="30" t="s">
        <v>26</v>
      </c>
      <c r="O49" s="28"/>
      <c r="P49" s="22"/>
      <c r="Q49" s="29"/>
    </row>
    <row r="50" ht="15.75" customHeight="1">
      <c r="A50" s="18" t="s">
        <v>149</v>
      </c>
      <c r="B50" s="30" t="s">
        <v>150</v>
      </c>
      <c r="C50" s="50" t="s">
        <v>151</v>
      </c>
      <c r="D50" s="21"/>
      <c r="E50" s="22" t="s">
        <v>21</v>
      </c>
      <c r="F50" s="33" t="s">
        <v>37</v>
      </c>
      <c r="G50" s="32" t="s">
        <v>122</v>
      </c>
      <c r="H50" s="33"/>
      <c r="I50" s="24">
        <v>220.0</v>
      </c>
      <c r="J50" s="37">
        <v>15960.0</v>
      </c>
      <c r="K50" s="26">
        <f>15960/1.32</f>
        <v>12090.90909</v>
      </c>
      <c r="L50" s="26" t="s">
        <v>39</v>
      </c>
      <c r="M50" s="35"/>
      <c r="N50" s="30" t="s">
        <v>25</v>
      </c>
      <c r="O50" s="28"/>
      <c r="P50" s="22"/>
      <c r="Q50" s="29"/>
    </row>
    <row r="51" ht="15.75" customHeight="1">
      <c r="A51" s="18" t="s">
        <v>152</v>
      </c>
      <c r="B51" s="30" t="s">
        <v>153</v>
      </c>
      <c r="C51" s="50" t="s">
        <v>154</v>
      </c>
      <c r="D51" s="21"/>
      <c r="E51" s="22" t="s">
        <v>21</v>
      </c>
      <c r="F51" s="33" t="s">
        <v>37</v>
      </c>
      <c r="G51" s="32" t="s">
        <v>23</v>
      </c>
      <c r="H51" s="33"/>
      <c r="I51" s="24">
        <v>220.0</v>
      </c>
      <c r="J51" s="37">
        <v>39740.0</v>
      </c>
      <c r="K51" s="26">
        <f>39740/1.32</f>
        <v>30106.06061</v>
      </c>
      <c r="L51" s="26" t="s">
        <v>39</v>
      </c>
      <c r="M51" s="53"/>
      <c r="N51" s="30" t="s">
        <v>25</v>
      </c>
      <c r="O51" s="28"/>
      <c r="P51" s="22"/>
      <c r="Q51" s="29"/>
    </row>
    <row r="52" ht="15.75" customHeight="1">
      <c r="A52" s="18" t="s">
        <v>155</v>
      </c>
      <c r="B52" s="30" t="s">
        <v>156</v>
      </c>
      <c r="C52" s="50" t="s">
        <v>157</v>
      </c>
      <c r="D52" s="21"/>
      <c r="E52" s="22" t="s">
        <v>21</v>
      </c>
      <c r="F52" s="33" t="s">
        <v>37</v>
      </c>
      <c r="G52" s="32" t="s">
        <v>122</v>
      </c>
      <c r="H52" s="33"/>
      <c r="I52" s="24">
        <v>220.0</v>
      </c>
      <c r="J52" s="37">
        <v>5125.0</v>
      </c>
      <c r="K52" s="26">
        <f>5125/1.32</f>
        <v>3882.575758</v>
      </c>
      <c r="L52" s="26" t="s">
        <v>39</v>
      </c>
      <c r="M52" s="44"/>
      <c r="N52" s="30" t="s">
        <v>26</v>
      </c>
      <c r="O52" s="28"/>
      <c r="P52" s="22"/>
      <c r="Q52" s="29"/>
    </row>
    <row r="53" ht="15.75" customHeight="1">
      <c r="A53" s="18" t="s">
        <v>158</v>
      </c>
      <c r="B53" s="30" t="s">
        <v>159</v>
      </c>
      <c r="C53" s="50" t="s">
        <v>160</v>
      </c>
      <c r="D53" s="54"/>
      <c r="E53" s="22" t="s">
        <v>21</v>
      </c>
      <c r="F53" s="33" t="s">
        <v>37</v>
      </c>
      <c r="G53" s="32" t="s">
        <v>122</v>
      </c>
      <c r="H53" s="33"/>
      <c r="I53" s="24">
        <v>220.0</v>
      </c>
      <c r="J53" s="37">
        <v>5266.0</v>
      </c>
      <c r="K53" s="26">
        <f>5266/1.32</f>
        <v>3989.393939</v>
      </c>
      <c r="L53" s="26" t="s">
        <v>39</v>
      </c>
      <c r="M53" s="35"/>
      <c r="N53" s="30" t="s">
        <v>25</v>
      </c>
      <c r="O53" s="28"/>
      <c r="P53" s="22"/>
      <c r="Q53" s="29"/>
    </row>
    <row r="54" ht="15.75" customHeight="1">
      <c r="A54" s="18" t="s">
        <v>158</v>
      </c>
      <c r="B54" s="30" t="s">
        <v>161</v>
      </c>
      <c r="C54" s="50" t="s">
        <v>160</v>
      </c>
      <c r="D54" s="54"/>
      <c r="E54" s="22" t="s">
        <v>21</v>
      </c>
      <c r="F54" s="33" t="s">
        <v>37</v>
      </c>
      <c r="G54" s="32" t="s">
        <v>122</v>
      </c>
      <c r="H54" s="33"/>
      <c r="I54" s="24">
        <v>220.0</v>
      </c>
      <c r="J54" s="37">
        <v>5795.0</v>
      </c>
      <c r="K54" s="26">
        <f>5795/1.32</f>
        <v>4390.151515</v>
      </c>
      <c r="L54" s="26" t="s">
        <v>39</v>
      </c>
      <c r="M54" s="35"/>
      <c r="N54" s="30" t="s">
        <v>25</v>
      </c>
      <c r="O54" s="28"/>
      <c r="P54" s="22"/>
      <c r="Q54" s="29"/>
    </row>
    <row r="55" ht="15.75" customHeight="1">
      <c r="A55" s="18" t="s">
        <v>162</v>
      </c>
      <c r="B55" s="30" t="s">
        <v>163</v>
      </c>
      <c r="C55" s="50" t="s">
        <v>164</v>
      </c>
      <c r="D55" s="21"/>
      <c r="E55" s="22" t="s">
        <v>21</v>
      </c>
      <c r="F55" s="33" t="s">
        <v>37</v>
      </c>
      <c r="G55" s="32" t="s">
        <v>165</v>
      </c>
      <c r="H55" s="33"/>
      <c r="I55" s="24">
        <v>220.0</v>
      </c>
      <c r="J55" s="37">
        <v>18540.0</v>
      </c>
      <c r="K55" s="26">
        <f>18540/1.32</f>
        <v>14045.45455</v>
      </c>
      <c r="L55" s="26" t="s">
        <v>39</v>
      </c>
      <c r="M55" s="35"/>
      <c r="N55" s="30" t="s">
        <v>26</v>
      </c>
      <c r="O55" s="28"/>
      <c r="P55" s="22"/>
      <c r="Q55" s="29"/>
    </row>
    <row r="56" ht="15.75" customHeight="1">
      <c r="A56" s="18" t="s">
        <v>166</v>
      </c>
      <c r="B56" s="30" t="s">
        <v>167</v>
      </c>
      <c r="C56" s="50" t="s">
        <v>168</v>
      </c>
      <c r="D56" s="21"/>
      <c r="E56" s="22" t="s">
        <v>21</v>
      </c>
      <c r="F56" s="33" t="s">
        <v>37</v>
      </c>
      <c r="G56" s="32" t="s">
        <v>122</v>
      </c>
      <c r="H56" s="33"/>
      <c r="I56" s="24">
        <v>220.0</v>
      </c>
      <c r="J56" s="37">
        <v>5640.0</v>
      </c>
      <c r="K56" s="26">
        <f>5640/1.32</f>
        <v>4272.727273</v>
      </c>
      <c r="L56" s="26" t="s">
        <v>39</v>
      </c>
      <c r="M56" s="35"/>
      <c r="N56" s="30" t="s">
        <v>26</v>
      </c>
      <c r="O56" s="28"/>
      <c r="P56" s="22"/>
      <c r="Q56" s="29"/>
    </row>
    <row r="57" ht="15.75" customHeight="1">
      <c r="A57" s="18" t="s">
        <v>166</v>
      </c>
      <c r="B57" s="30" t="s">
        <v>169</v>
      </c>
      <c r="C57" s="50" t="s">
        <v>170</v>
      </c>
      <c r="D57" s="21"/>
      <c r="E57" s="22" t="s">
        <v>21</v>
      </c>
      <c r="F57" s="33" t="s">
        <v>37</v>
      </c>
      <c r="G57" s="32" t="s">
        <v>122</v>
      </c>
      <c r="H57" s="33"/>
      <c r="I57" s="24">
        <v>220.0</v>
      </c>
      <c r="J57" s="37">
        <v>5050.0</v>
      </c>
      <c r="K57" s="26">
        <f>5050/1.32</f>
        <v>3825.757576</v>
      </c>
      <c r="L57" s="26" t="s">
        <v>39</v>
      </c>
      <c r="M57" s="35"/>
      <c r="N57" s="30" t="s">
        <v>26</v>
      </c>
      <c r="O57" s="28"/>
      <c r="P57" s="22"/>
      <c r="Q57" s="29"/>
    </row>
    <row r="58" ht="15.75" customHeight="1">
      <c r="A58" s="18" t="s">
        <v>171</v>
      </c>
      <c r="B58" s="30" t="s">
        <v>172</v>
      </c>
      <c r="C58" s="50" t="s">
        <v>173</v>
      </c>
      <c r="D58" s="21"/>
      <c r="E58" s="22" t="s">
        <v>21</v>
      </c>
      <c r="F58" s="33" t="s">
        <v>37</v>
      </c>
      <c r="G58" s="32" t="s">
        <v>122</v>
      </c>
      <c r="H58" s="33"/>
      <c r="I58" s="24">
        <v>220.0</v>
      </c>
      <c r="J58" s="37">
        <v>5000.0</v>
      </c>
      <c r="K58" s="26">
        <f>5000/1.32</f>
        <v>3787.878788</v>
      </c>
      <c r="L58" s="26" t="s">
        <v>39</v>
      </c>
      <c r="M58" s="44"/>
      <c r="N58" s="30" t="s">
        <v>25</v>
      </c>
      <c r="O58" s="28"/>
      <c r="P58" s="22"/>
      <c r="Q58" s="29"/>
    </row>
    <row r="59" ht="15.75" customHeight="1">
      <c r="A59" s="18" t="s">
        <v>174</v>
      </c>
      <c r="B59" s="30" t="s">
        <v>175</v>
      </c>
      <c r="C59" s="50" t="s">
        <v>176</v>
      </c>
      <c r="D59" s="21"/>
      <c r="E59" s="22" t="s">
        <v>21</v>
      </c>
      <c r="F59" s="33" t="s">
        <v>37</v>
      </c>
      <c r="G59" s="32" t="s">
        <v>51</v>
      </c>
      <c r="H59" s="33"/>
      <c r="I59" s="24">
        <v>220.0</v>
      </c>
      <c r="J59" s="37">
        <v>37000.0</v>
      </c>
      <c r="K59" s="26">
        <f>37000/1.32</f>
        <v>28030.30303</v>
      </c>
      <c r="L59" s="26" t="s">
        <v>39</v>
      </c>
      <c r="M59" s="44"/>
      <c r="N59" s="30" t="s">
        <v>25</v>
      </c>
      <c r="O59" s="28"/>
      <c r="P59" s="22"/>
      <c r="Q59" s="29"/>
    </row>
    <row r="60" ht="15.75" customHeight="1">
      <c r="A60" s="18" t="s">
        <v>177</v>
      </c>
      <c r="B60" s="30" t="s">
        <v>178</v>
      </c>
      <c r="C60" s="50" t="s">
        <v>179</v>
      </c>
      <c r="D60" s="21"/>
      <c r="E60" s="22" t="s">
        <v>21</v>
      </c>
      <c r="F60" s="33" t="s">
        <v>37</v>
      </c>
      <c r="G60" s="32" t="s">
        <v>136</v>
      </c>
      <c r="H60" s="33"/>
      <c r="I60" s="24">
        <v>220.0</v>
      </c>
      <c r="J60" s="37">
        <v>12000.0</v>
      </c>
      <c r="K60" s="26">
        <f>12000/1.37</f>
        <v>8759.124088</v>
      </c>
      <c r="L60" s="26" t="s">
        <v>39</v>
      </c>
      <c r="M60" s="35"/>
      <c r="N60" s="30" t="s">
        <v>25</v>
      </c>
      <c r="O60" s="28"/>
      <c r="P60" s="22"/>
      <c r="Q60" s="29"/>
    </row>
    <row r="61" ht="15.75" hidden="1" customHeight="1">
      <c r="A61" s="18" t="s">
        <v>180</v>
      </c>
      <c r="B61" s="30">
        <v>186.0</v>
      </c>
      <c r="C61" s="50" t="s">
        <v>181</v>
      </c>
      <c r="D61" s="21"/>
      <c r="E61" s="22" t="s">
        <v>61</v>
      </c>
      <c r="F61" s="33" t="s">
        <v>22</v>
      </c>
      <c r="G61" s="32" t="s">
        <v>55</v>
      </c>
      <c r="H61" s="33"/>
      <c r="I61" s="24">
        <v>220.0</v>
      </c>
      <c r="J61" s="25">
        <v>5955.08</v>
      </c>
      <c r="K61" s="26">
        <v>5955.08</v>
      </c>
      <c r="L61" s="26" t="s">
        <v>24</v>
      </c>
      <c r="M61" s="53" t="s">
        <v>182</v>
      </c>
      <c r="N61" s="30" t="s">
        <v>26</v>
      </c>
      <c r="O61" s="28"/>
      <c r="P61" s="22"/>
      <c r="Q61" s="29"/>
    </row>
    <row r="62" ht="15.75" customHeight="1">
      <c r="A62" s="18" t="s">
        <v>183</v>
      </c>
      <c r="B62" s="30" t="s">
        <v>184</v>
      </c>
      <c r="C62" s="50" t="s">
        <v>185</v>
      </c>
      <c r="D62" s="21"/>
      <c r="E62" s="22" t="s">
        <v>21</v>
      </c>
      <c r="F62" s="21" t="s">
        <v>22</v>
      </c>
      <c r="G62" s="32" t="s">
        <v>23</v>
      </c>
      <c r="H62" s="33"/>
      <c r="I62" s="24">
        <v>220.0</v>
      </c>
      <c r="J62" s="37">
        <v>10430.0</v>
      </c>
      <c r="K62" s="37">
        <f>10430/1.49</f>
        <v>7000</v>
      </c>
      <c r="L62" s="26" t="s">
        <v>39</v>
      </c>
      <c r="M62" s="53"/>
      <c r="N62" s="30" t="s">
        <v>25</v>
      </c>
      <c r="O62" s="28"/>
      <c r="P62" s="22"/>
      <c r="Q62" s="29"/>
    </row>
    <row r="63" ht="15.75" hidden="1" customHeight="1">
      <c r="A63" s="18" t="s">
        <v>186</v>
      </c>
      <c r="B63" s="30">
        <v>1871.0</v>
      </c>
      <c r="C63" s="51" t="s">
        <v>187</v>
      </c>
      <c r="D63" s="21"/>
      <c r="E63" s="22" t="s">
        <v>21</v>
      </c>
      <c r="F63" s="21" t="s">
        <v>22</v>
      </c>
      <c r="G63" s="32" t="s">
        <v>23</v>
      </c>
      <c r="H63" s="33"/>
      <c r="I63" s="24">
        <v>220.0</v>
      </c>
      <c r="J63" s="25">
        <v>8585.0</v>
      </c>
      <c r="K63" s="26">
        <v>8585.0</v>
      </c>
      <c r="L63" s="26" t="s">
        <v>24</v>
      </c>
      <c r="M63" s="44" t="s">
        <v>188</v>
      </c>
      <c r="N63" s="30" t="s">
        <v>25</v>
      </c>
      <c r="O63" s="28"/>
      <c r="P63" s="22"/>
      <c r="Q63" s="29"/>
    </row>
  </sheetData>
  <autoFilter ref="$A$3:$Q$63">
    <filterColumn colId="11">
      <filters>
        <filter val="PJ"/>
      </filters>
    </filterColumn>
    <sortState ref="A3:Q63">
      <sortCondition ref="C3:C63"/>
      <sortCondition ref="G3:G63"/>
      <sortCondition ref="K3:K63"/>
      <sortCondition ref="A3:A63"/>
    </sortState>
  </autoFilter>
  <dataValidations>
    <dataValidation type="list" allowBlank="1" showErrorMessage="1" sqref="N4:N63">
      <formula1>"Masculino,Feminino"</formula1>
    </dataValidation>
    <dataValidation type="list" allowBlank="1" showErrorMessage="1" sqref="E4:E63">
      <formula1>"Júnior,Pleno,Sênior,Especialista,Não trabalhamos senioridade"</formula1>
    </dataValidation>
    <dataValidation type="list" allowBlank="1" showErrorMessage="1" sqref="F4:F63">
      <formula1>"Estratégico,Tático,Operacional"</formula1>
    </dataValidation>
    <dataValidation type="list" allowBlank="1" showErrorMessage="1" sqref="L4:L63">
      <formula1>"CLT,PJ,Estagiário,Menor Aprendiz,Pró-labore"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8.0"/>
    <col customWidth="1" min="2" max="2" width="33.5"/>
    <col customWidth="1" min="3" max="3" width="21.75"/>
    <col customWidth="1" hidden="1" min="4" max="4" width="25.75"/>
    <col customWidth="1" min="5" max="5" width="19.75"/>
    <col customWidth="1" min="6" max="6" width="15.0"/>
    <col customWidth="1" min="7" max="7" width="35.13"/>
    <col customWidth="1" min="8" max="8" width="15.88"/>
    <col customWidth="1" min="9" max="9" width="40.5"/>
    <col customWidth="1" min="10" max="11" width="18.0"/>
    <col customWidth="1" hidden="1" min="12" max="15" width="18.0"/>
  </cols>
  <sheetData>
    <row r="1" ht="48.0" customHeight="1">
      <c r="A1" s="55" t="s">
        <v>189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ht="6.0" customHeight="1">
      <c r="A2" s="4"/>
      <c r="B2" s="5"/>
      <c r="C2" s="5"/>
      <c r="D2" s="5"/>
      <c r="E2" s="5"/>
      <c r="F2" s="57"/>
      <c r="G2" s="5"/>
      <c r="H2" s="5"/>
      <c r="I2" s="5"/>
      <c r="J2" s="5"/>
      <c r="K2" s="5"/>
      <c r="L2" s="58"/>
      <c r="M2" s="58"/>
      <c r="N2" s="58"/>
      <c r="O2" s="58"/>
    </row>
    <row r="3" ht="15.75" customHeight="1">
      <c r="A3" s="59" t="s">
        <v>2</v>
      </c>
      <c r="B3" s="60" t="s">
        <v>190</v>
      </c>
      <c r="C3" s="60" t="s">
        <v>8</v>
      </c>
      <c r="D3" s="61" t="s">
        <v>9</v>
      </c>
      <c r="E3" s="62" t="s">
        <v>7</v>
      </c>
      <c r="F3" s="63" t="s">
        <v>191</v>
      </c>
      <c r="G3" s="64" t="s">
        <v>192</v>
      </c>
      <c r="H3" s="64" t="s">
        <v>6</v>
      </c>
      <c r="I3" s="65" t="s">
        <v>193</v>
      </c>
      <c r="J3" s="66" t="s">
        <v>194</v>
      </c>
      <c r="K3" s="66" t="s">
        <v>195</v>
      </c>
      <c r="L3" s="67" t="s">
        <v>196</v>
      </c>
      <c r="M3" s="68"/>
      <c r="N3" s="68"/>
      <c r="O3" s="69"/>
    </row>
    <row r="4" ht="15.75" customHeight="1">
      <c r="A4" s="70" t="s">
        <v>65</v>
      </c>
      <c r="B4" s="71" t="str">
        <f>VLOOKUP(A4,'Folha de Pagamento'!A:C,3,0)</f>
        <v>ASSISTENTE ADMINISTRATIVO lll</v>
      </c>
      <c r="C4" s="72" t="str">
        <f>VLOOKUP(A4,'Folha de Pagamento'!A:G,7,0)</f>
        <v>Administrativo</v>
      </c>
      <c r="D4" s="73" t="s">
        <v>197</v>
      </c>
      <c r="E4" s="72" t="str">
        <f>VLOOKUP(A4,'Folha de Pagamento'!A:F,6,0)</f>
        <v>Operacional</v>
      </c>
      <c r="F4" s="74">
        <v>59.0</v>
      </c>
      <c r="G4" s="75" t="s">
        <v>198</v>
      </c>
      <c r="H4" s="76" t="s">
        <v>199</v>
      </c>
      <c r="I4" s="77"/>
      <c r="J4" s="78"/>
      <c r="K4" s="79"/>
      <c r="L4" s="79"/>
      <c r="M4" s="79"/>
      <c r="N4" s="79"/>
      <c r="O4" s="79" t="s">
        <v>200</v>
      </c>
    </row>
    <row r="5" ht="15.75" customHeight="1">
      <c r="A5" s="70" t="s">
        <v>84</v>
      </c>
      <c r="B5" s="71" t="str">
        <f>VLOOKUP(A5,'Folha de Pagamento'!A:C,3,0)</f>
        <v>AUXILIAR ADMINISTRATIVO</v>
      </c>
      <c r="C5" s="72" t="str">
        <f>VLOOKUP(A5,'Folha de Pagamento'!A:G,7,0)</f>
        <v>Administrativo</v>
      </c>
      <c r="D5" s="73" t="s">
        <v>201</v>
      </c>
      <c r="E5" s="72" t="str">
        <f>VLOOKUP(A5,'Folha de Pagamento'!A:F,6,0)</f>
        <v>Operacional</v>
      </c>
      <c r="F5" s="74">
        <v>83.0</v>
      </c>
      <c r="G5" s="75" t="s">
        <v>202</v>
      </c>
      <c r="H5" s="76" t="s">
        <v>199</v>
      </c>
      <c r="I5" s="77"/>
      <c r="J5" s="78"/>
      <c r="K5" s="79"/>
      <c r="L5" s="79" t="s">
        <v>203</v>
      </c>
      <c r="M5" s="79"/>
      <c r="N5" s="79"/>
      <c r="O5" s="79" t="s">
        <v>200</v>
      </c>
    </row>
    <row r="6" ht="15.75" customHeight="1">
      <c r="A6" s="70" t="s">
        <v>92</v>
      </c>
      <c r="B6" s="71" t="str">
        <f>VLOOKUP(A6,'Folha de Pagamento'!A:C,3,0)</f>
        <v>CONTROLER JURÍDICO</v>
      </c>
      <c r="C6" s="72" t="str">
        <f>VLOOKUP(A6,'Folha de Pagamento'!A:G,7,0)</f>
        <v>Administrativo</v>
      </c>
      <c r="D6" s="73" t="s">
        <v>204</v>
      </c>
      <c r="E6" s="72" t="str">
        <f>VLOOKUP(A6,'Folha de Pagamento'!A:F,6,0)</f>
        <v>Tático</v>
      </c>
      <c r="F6" s="80">
        <v>9.0</v>
      </c>
      <c r="G6" s="81" t="s">
        <v>205</v>
      </c>
      <c r="H6" s="82" t="s">
        <v>54</v>
      </c>
      <c r="I6" s="77"/>
      <c r="J6" s="78"/>
      <c r="K6" s="79"/>
      <c r="L6" s="79"/>
      <c r="M6" s="79" t="s">
        <v>206</v>
      </c>
      <c r="N6" s="79"/>
      <c r="O6" s="79" t="s">
        <v>200</v>
      </c>
    </row>
    <row r="7" ht="15.75" customHeight="1">
      <c r="A7" s="70" t="s">
        <v>138</v>
      </c>
      <c r="B7" s="71" t="str">
        <f>VLOOKUP(A7,'Folha de Pagamento'!A:C,3,0)</f>
        <v>ESTAGIÁRIO(A) ADM</v>
      </c>
      <c r="C7" s="72" t="str">
        <f>VLOOKUP(A7,'Folha de Pagamento'!A:G,7,0)</f>
        <v>Administrativo</v>
      </c>
      <c r="D7" s="73" t="s">
        <v>207</v>
      </c>
      <c r="E7" s="72" t="str">
        <f>VLOOKUP(A7,'Folha de Pagamento'!A:F,6,0)</f>
        <v>Operacional</v>
      </c>
      <c r="F7" s="74">
        <v>338.0</v>
      </c>
      <c r="G7" s="75" t="s">
        <v>208</v>
      </c>
      <c r="H7" s="76" t="s">
        <v>199</v>
      </c>
      <c r="I7" s="77"/>
      <c r="J7" s="78"/>
      <c r="K7" s="79"/>
      <c r="L7" s="79" t="s">
        <v>203</v>
      </c>
      <c r="M7" s="79" t="s">
        <v>206</v>
      </c>
      <c r="N7" s="79" t="s">
        <v>209</v>
      </c>
      <c r="O7" s="79" t="s">
        <v>200</v>
      </c>
    </row>
    <row r="8" ht="15.75" customHeight="1">
      <c r="A8" s="70" t="s">
        <v>146</v>
      </c>
      <c r="B8" s="71" t="str">
        <f>VLOOKUP(A8,'Folha de Pagamento'!A:C,3,0)</f>
        <v>GERENTE ADMINISTRATIVA </v>
      </c>
      <c r="C8" s="72" t="str">
        <f>VLOOKUP(A8,'Folha de Pagamento'!A:G,7,0)</f>
        <v>Administrativo</v>
      </c>
      <c r="D8" s="73" t="s">
        <v>210</v>
      </c>
      <c r="E8" s="72" t="str">
        <f>VLOOKUP(A8,'Folha de Pagamento'!A:F,6,0)</f>
        <v>Tático</v>
      </c>
      <c r="F8" s="74">
        <v>106.0</v>
      </c>
      <c r="G8" s="75" t="s">
        <v>211</v>
      </c>
      <c r="H8" s="76" t="s">
        <v>199</v>
      </c>
      <c r="I8" s="77"/>
      <c r="J8" s="78"/>
      <c r="K8" s="79"/>
      <c r="L8" s="79"/>
      <c r="M8" s="79"/>
      <c r="N8" s="79"/>
      <c r="O8" s="79"/>
    </row>
    <row r="9" ht="15.75" customHeight="1">
      <c r="A9" s="70" t="s">
        <v>118</v>
      </c>
      <c r="B9" s="83" t="str">
        <f>VLOOKUP(A9,'Folha de Pagamento'!A:C,3,0)</f>
        <v>DIRETOR</v>
      </c>
      <c r="C9" s="72" t="str">
        <f>VLOOKUP(A9,'Folha de Pagamento'!A:G,7,0)</f>
        <v>Comercial</v>
      </c>
      <c r="D9" s="73" t="s">
        <v>212</v>
      </c>
      <c r="E9" s="72" t="str">
        <f>VLOOKUP(A9,'Folha de Pagamento'!A:F,6,0)</f>
        <v>Estratégico</v>
      </c>
      <c r="F9" s="74">
        <v>456.0</v>
      </c>
      <c r="G9" s="75" t="s">
        <v>213</v>
      </c>
      <c r="H9" s="76" t="s">
        <v>199</v>
      </c>
      <c r="I9" s="77"/>
      <c r="J9" s="78"/>
      <c r="K9" s="79"/>
      <c r="L9" s="79" t="s">
        <v>203</v>
      </c>
      <c r="M9" s="79" t="s">
        <v>206</v>
      </c>
      <c r="N9" s="79" t="s">
        <v>209</v>
      </c>
      <c r="O9" s="79" t="s">
        <v>200</v>
      </c>
    </row>
    <row r="10" ht="15.75" customHeight="1">
      <c r="A10" s="70" t="s">
        <v>149</v>
      </c>
      <c r="B10" s="83" t="str">
        <f>VLOOKUP(A10,'Folha de Pagamento'!A:C,3,0)</f>
        <v>GERENTE COMERCIAL</v>
      </c>
      <c r="C10" s="72" t="str">
        <f>VLOOKUP(A10,'Folha de Pagamento'!A:G,7,0)</f>
        <v>Comercial</v>
      </c>
      <c r="D10" s="73" t="s">
        <v>214</v>
      </c>
      <c r="E10" s="72" t="str">
        <f>VLOOKUP(A10,'Folha de Pagamento'!A:F,6,0)</f>
        <v>Tático</v>
      </c>
      <c r="F10" s="74">
        <v>107.0</v>
      </c>
      <c r="G10" s="75" t="s">
        <v>215</v>
      </c>
      <c r="H10" s="76" t="s">
        <v>199</v>
      </c>
      <c r="I10" s="77"/>
      <c r="J10" s="78"/>
      <c r="K10" s="79"/>
      <c r="L10" s="79" t="s">
        <v>203</v>
      </c>
      <c r="M10" s="79" t="s">
        <v>206</v>
      </c>
      <c r="N10" s="79"/>
      <c r="O10" s="79" t="s">
        <v>200</v>
      </c>
    </row>
    <row r="11" ht="15.75" customHeight="1">
      <c r="A11" s="70" t="s">
        <v>155</v>
      </c>
      <c r="B11" s="83" t="str">
        <f>VLOOKUP(A11,'Folha de Pagamento'!A:C,3,0)</f>
        <v>GERENTE DE HOUSE</v>
      </c>
      <c r="C11" s="72" t="str">
        <f>VLOOKUP(A11,'Folha de Pagamento'!A:G,7,0)</f>
        <v>Comercial</v>
      </c>
      <c r="D11" s="73" t="s">
        <v>216</v>
      </c>
      <c r="E11" s="72" t="str">
        <f>VLOOKUP(A11,'Folha de Pagamento'!A:F,6,0)</f>
        <v>Tático</v>
      </c>
      <c r="F11" s="74">
        <v>107.0</v>
      </c>
      <c r="G11" s="75" t="s">
        <v>215</v>
      </c>
      <c r="H11" s="76" t="s">
        <v>199</v>
      </c>
      <c r="I11" s="77"/>
      <c r="J11" s="78"/>
      <c r="K11" s="79"/>
      <c r="L11" s="79"/>
      <c r="M11" s="79"/>
      <c r="N11" s="79"/>
      <c r="O11" s="79"/>
    </row>
    <row r="12" ht="15.75" customHeight="1">
      <c r="A12" s="70" t="s">
        <v>158</v>
      </c>
      <c r="B12" s="83" t="str">
        <f>VLOOKUP(A12,'Folha de Pagamento'!A:C,3,0)</f>
        <v>GERENTE DE IMOBILIÁRIAS EXTERNAS</v>
      </c>
      <c r="C12" s="72" t="str">
        <f>VLOOKUP(A12,'Folha de Pagamento'!A:G,7,0)</f>
        <v>Comercial</v>
      </c>
      <c r="D12" s="73" t="s">
        <v>217</v>
      </c>
      <c r="E12" s="72" t="str">
        <f>VLOOKUP(A12,'Folha de Pagamento'!A:F,6,0)</f>
        <v>Tático</v>
      </c>
      <c r="F12" s="74">
        <v>1205.0</v>
      </c>
      <c r="G12" s="75" t="s">
        <v>218</v>
      </c>
      <c r="H12" s="76" t="s">
        <v>199</v>
      </c>
      <c r="I12" s="77"/>
      <c r="J12" s="78"/>
      <c r="K12" s="79"/>
      <c r="L12" s="79" t="s">
        <v>203</v>
      </c>
      <c r="M12" s="79"/>
      <c r="N12" s="79"/>
      <c r="O12" s="79" t="s">
        <v>200</v>
      </c>
    </row>
    <row r="13" ht="15.75" customHeight="1">
      <c r="A13" s="70" t="s">
        <v>166</v>
      </c>
      <c r="B13" s="83" t="str">
        <f>VLOOKUP(A13,'Folha de Pagamento'!A:C,3,0)</f>
        <v>GERENTE DE PARCERIAS</v>
      </c>
      <c r="C13" s="72" t="str">
        <f>VLOOKUP(A13,'Folha de Pagamento'!A:G,7,0)</f>
        <v>Comercial</v>
      </c>
      <c r="D13" s="73" t="s">
        <v>219</v>
      </c>
      <c r="E13" s="72" t="str">
        <f>VLOOKUP(A13,'Folha de Pagamento'!A:F,6,0)</f>
        <v>Tático</v>
      </c>
      <c r="F13" s="84">
        <v>408.0</v>
      </c>
      <c r="G13" s="75" t="s">
        <v>220</v>
      </c>
      <c r="H13" s="85" t="s">
        <v>199</v>
      </c>
      <c r="I13" s="77"/>
      <c r="J13" s="78"/>
      <c r="K13" s="79"/>
      <c r="L13" s="79"/>
      <c r="M13" s="79"/>
      <c r="N13" s="79"/>
      <c r="O13" s="79"/>
    </row>
    <row r="14">
      <c r="A14" s="70" t="s">
        <v>171</v>
      </c>
      <c r="B14" s="83" t="str">
        <f>VLOOKUP(A14,'Folha de Pagamento'!A:C,3,0)</f>
        <v>GERENTE DE PARCERIAS EXTERNAS</v>
      </c>
      <c r="C14" s="72" t="str">
        <f>VLOOKUP(A14,'Folha de Pagamento'!A:G,7,0)</f>
        <v>Comercial</v>
      </c>
      <c r="D14" s="73" t="s">
        <v>221</v>
      </c>
      <c r="E14" s="72" t="str">
        <f>VLOOKUP(A14,'Folha de Pagamento'!A:F,6,0)</f>
        <v>Tático</v>
      </c>
      <c r="F14" s="84">
        <v>408.0</v>
      </c>
      <c r="G14" s="75" t="s">
        <v>220</v>
      </c>
      <c r="H14" s="85" t="s">
        <v>199</v>
      </c>
      <c r="I14" s="77"/>
      <c r="J14" s="78"/>
      <c r="K14" s="79"/>
      <c r="L14" s="79" t="s">
        <v>203</v>
      </c>
      <c r="M14" s="79" t="s">
        <v>206</v>
      </c>
      <c r="N14" s="79" t="s">
        <v>209</v>
      </c>
      <c r="O14" s="79" t="s">
        <v>200</v>
      </c>
    </row>
    <row r="15">
      <c r="A15" s="70" t="s">
        <v>68</v>
      </c>
      <c r="B15" s="71" t="str">
        <f>VLOOKUP(A15,'Folha de Pagamento'!A:C,3,0)</f>
        <v>ASSISTENTE DE CONTROLADORIA III</v>
      </c>
      <c r="C15" s="72" t="str">
        <f>VLOOKUP(A15,'Folha de Pagamento'!A:G,7,0)</f>
        <v>Controladoria</v>
      </c>
      <c r="D15" s="73" t="s">
        <v>222</v>
      </c>
      <c r="E15" s="72" t="str">
        <f>VLOOKUP(A15,'Folha de Pagamento'!A:F,6,0)</f>
        <v>Operacional</v>
      </c>
      <c r="F15" s="74">
        <v>150.0</v>
      </c>
      <c r="G15" s="75" t="s">
        <v>223</v>
      </c>
      <c r="H15" s="76" t="s">
        <v>199</v>
      </c>
      <c r="I15" s="77"/>
      <c r="J15" s="78"/>
      <c r="K15" s="79"/>
      <c r="L15" s="79"/>
      <c r="M15" s="79"/>
      <c r="N15" s="79"/>
      <c r="O15" s="79"/>
    </row>
    <row r="16" ht="15.75" customHeight="1">
      <c r="A16" s="70" t="s">
        <v>95</v>
      </c>
      <c r="B16" s="71" t="str">
        <f>VLOOKUP(A16,'Folha de Pagamento'!A:C,3,0)</f>
        <v>CONTROLLER GERAL</v>
      </c>
      <c r="C16" s="72" t="str">
        <f>VLOOKUP(A16,'Folha de Pagamento'!A:G,7,0)</f>
        <v>Controladoria</v>
      </c>
      <c r="D16" s="73" t="s">
        <v>224</v>
      </c>
      <c r="E16" s="72" t="str">
        <f>VLOOKUP(A16,'Folha de Pagamento'!A:F,6,0)</f>
        <v>Tático</v>
      </c>
      <c r="F16" s="86">
        <v>95.0</v>
      </c>
      <c r="G16" s="87" t="s">
        <v>225</v>
      </c>
      <c r="H16" s="88" t="s">
        <v>199</v>
      </c>
      <c r="I16" s="77"/>
      <c r="J16" s="78"/>
      <c r="K16" s="79"/>
      <c r="L16" s="79"/>
      <c r="M16" s="79" t="s">
        <v>206</v>
      </c>
      <c r="N16" s="79" t="s">
        <v>209</v>
      </c>
      <c r="O16" s="79" t="s">
        <v>200</v>
      </c>
    </row>
    <row r="17" ht="15.75" customHeight="1">
      <c r="A17" s="70" t="s">
        <v>98</v>
      </c>
      <c r="B17" s="71" t="str">
        <f>VLOOKUP(A17,'Folha de Pagamento'!A:C,3,0)</f>
        <v>CONTROLLER TÉCNICO</v>
      </c>
      <c r="C17" s="72" t="str">
        <f>VLOOKUP(A17,'Folha de Pagamento'!A:G,7,0)</f>
        <v>Controladoria</v>
      </c>
      <c r="D17" s="73" t="s">
        <v>226</v>
      </c>
      <c r="E17" s="72" t="str">
        <f>VLOOKUP(A17,'Folha de Pagamento'!A:F,6,0)</f>
        <v>Tático</v>
      </c>
      <c r="F17" s="86">
        <v>26.0</v>
      </c>
      <c r="G17" s="87" t="s">
        <v>227</v>
      </c>
      <c r="H17" s="82" t="s">
        <v>228</v>
      </c>
      <c r="I17" s="77"/>
      <c r="J17" s="78"/>
      <c r="K17" s="79"/>
      <c r="L17" s="79"/>
      <c r="M17" s="79" t="s">
        <v>206</v>
      </c>
      <c r="N17" s="79"/>
      <c r="O17" s="79" t="s">
        <v>200</v>
      </c>
    </row>
    <row r="18" ht="15.75" customHeight="1">
      <c r="A18" s="70" t="s">
        <v>75</v>
      </c>
      <c r="B18" s="71" t="str">
        <f>VLOOKUP(A18,'Folha de Pagamento'!A:C,3,0)</f>
        <v>ASSISTENTE DE RECURSOS HUMANOS</v>
      </c>
      <c r="C18" s="72" t="str">
        <f>VLOOKUP(A18,'Folha de Pagamento'!A:G,7,0)</f>
        <v>DHO</v>
      </c>
      <c r="D18" s="73" t="s">
        <v>229</v>
      </c>
      <c r="E18" s="72" t="str">
        <f>VLOOKUP(A18,'Folha de Pagamento'!A:F,6,0)</f>
        <v>Operacional</v>
      </c>
      <c r="F18" s="74">
        <v>77.0</v>
      </c>
      <c r="G18" s="75" t="s">
        <v>230</v>
      </c>
      <c r="H18" s="76" t="s">
        <v>199</v>
      </c>
      <c r="I18" s="77"/>
      <c r="J18" s="78"/>
      <c r="K18" s="79"/>
      <c r="L18" s="79" t="s">
        <v>203</v>
      </c>
      <c r="M18" s="79" t="s">
        <v>206</v>
      </c>
      <c r="N18" s="79" t="s">
        <v>209</v>
      </c>
      <c r="O18" s="79" t="s">
        <v>200</v>
      </c>
    </row>
    <row r="19" ht="15.75" customHeight="1">
      <c r="A19" s="70" t="s">
        <v>101</v>
      </c>
      <c r="B19" s="71" t="str">
        <f>VLOOKUP(A19,'Folha de Pagamento'!A:C,3,0)</f>
        <v>COORDENADOR DE DHO</v>
      </c>
      <c r="C19" s="72" t="str">
        <f>VLOOKUP(A19,'Folha de Pagamento'!A:G,7,0)</f>
        <v>DHO</v>
      </c>
      <c r="D19" s="73" t="s">
        <v>231</v>
      </c>
      <c r="E19" s="72" t="str">
        <f>VLOOKUP(A19,'Folha de Pagamento'!A:F,6,0)</f>
        <v>Tático</v>
      </c>
      <c r="F19" s="74">
        <v>121.0</v>
      </c>
      <c r="G19" s="75" t="s">
        <v>232</v>
      </c>
      <c r="H19" s="76" t="s">
        <v>199</v>
      </c>
      <c r="I19" s="77"/>
      <c r="J19" s="78"/>
      <c r="K19" s="79"/>
      <c r="L19" s="79" t="s">
        <v>203</v>
      </c>
      <c r="M19" s="79" t="s">
        <v>206</v>
      </c>
      <c r="N19" s="79" t="s">
        <v>209</v>
      </c>
      <c r="O19" s="79" t="s">
        <v>200</v>
      </c>
    </row>
    <row r="20" ht="15.75" customHeight="1">
      <c r="A20" s="70" t="s">
        <v>144</v>
      </c>
      <c r="B20" s="71" t="str">
        <f>VLOOKUP(A20,'Folha de Pagamento'!A:C,3,0)</f>
        <v>ESTAGIÁRIO(A) RH/DP</v>
      </c>
      <c r="C20" s="72" t="str">
        <f>VLOOKUP(A20,'Folha de Pagamento'!A:G,7,0)</f>
        <v>DHO</v>
      </c>
      <c r="D20" s="73" t="s">
        <v>233</v>
      </c>
      <c r="E20" s="72" t="str">
        <f>VLOOKUP(A20,'Folha de Pagamento'!A:F,6,0)</f>
        <v>Operacional</v>
      </c>
      <c r="F20" s="74">
        <v>338.0</v>
      </c>
      <c r="G20" s="75" t="s">
        <v>208</v>
      </c>
      <c r="H20" s="76" t="s">
        <v>199</v>
      </c>
      <c r="I20" s="77"/>
      <c r="J20" s="78"/>
      <c r="K20" s="79"/>
      <c r="L20" s="79" t="s">
        <v>203</v>
      </c>
      <c r="M20" s="79" t="s">
        <v>206</v>
      </c>
      <c r="N20" s="79"/>
      <c r="O20" s="79" t="s">
        <v>200</v>
      </c>
    </row>
    <row r="21">
      <c r="A21" s="70" t="s">
        <v>19</v>
      </c>
      <c r="B21" s="71" t="str">
        <f>VLOOKUP(A21,'Folha de Pagamento'!A:C,3,0)</f>
        <v>ALMOXARIFE</v>
      </c>
      <c r="C21" s="72" t="str">
        <f>VLOOKUP(A21,'Folha de Pagamento'!A:G,7,0)</f>
        <v>Edificação</v>
      </c>
      <c r="D21" s="73" t="s">
        <v>234</v>
      </c>
      <c r="E21" s="72" t="str">
        <f>VLOOKUP(A21,'Folha de Pagamento'!A:F,6,0)</f>
        <v>Operacional</v>
      </c>
      <c r="F21" s="74">
        <v>203.0</v>
      </c>
      <c r="G21" s="75" t="s">
        <v>235</v>
      </c>
      <c r="H21" s="76" t="s">
        <v>199</v>
      </c>
      <c r="I21" s="77"/>
      <c r="J21" s="78"/>
      <c r="K21" s="79"/>
      <c r="L21" s="79" t="s">
        <v>203</v>
      </c>
      <c r="M21" s="79" t="s">
        <v>206</v>
      </c>
      <c r="N21" s="79"/>
      <c r="O21" s="79" t="s">
        <v>200</v>
      </c>
    </row>
    <row r="22">
      <c r="A22" s="70" t="s">
        <v>40</v>
      </c>
      <c r="B22" s="71" t="str">
        <f>VLOOKUP(A22,'Folha de Pagamento'!A:C,3,0)</f>
        <v>ANALISTA DE MANUTENÇÃO II</v>
      </c>
      <c r="C22" s="72" t="str">
        <f>VLOOKUP(A22,'Folha de Pagamento'!A:G,7,0)</f>
        <v>Edificação</v>
      </c>
      <c r="D22" s="73" t="s">
        <v>236</v>
      </c>
      <c r="E22" s="72" t="str">
        <f>VLOOKUP(A22,'Folha de Pagamento'!A:F,6,0)</f>
        <v>Operacional</v>
      </c>
      <c r="F22" s="84">
        <v>820.0</v>
      </c>
      <c r="G22" s="89" t="s">
        <v>237</v>
      </c>
      <c r="H22" s="85" t="s">
        <v>199</v>
      </c>
      <c r="I22" s="77"/>
      <c r="J22" s="78"/>
      <c r="K22" s="79"/>
      <c r="L22" s="79" t="s">
        <v>203</v>
      </c>
      <c r="M22" s="79" t="s">
        <v>206</v>
      </c>
      <c r="N22" s="79"/>
      <c r="O22" s="79" t="s">
        <v>200</v>
      </c>
    </row>
    <row r="23">
      <c r="A23" s="70" t="s">
        <v>71</v>
      </c>
      <c r="B23" s="71" t="str">
        <f>VLOOKUP(A23,'Folha de Pagamento'!A:C,3,0)</f>
        <v>ASSISTENTE DE ENGENHARIA lll</v>
      </c>
      <c r="C23" s="72" t="str">
        <f>VLOOKUP(A23,'Folha de Pagamento'!A:G,7,0)</f>
        <v>Edificação</v>
      </c>
      <c r="D23" s="73" t="s">
        <v>238</v>
      </c>
      <c r="E23" s="72" t="str">
        <f>VLOOKUP(A23,'Folha de Pagamento'!A:F,6,0)</f>
        <v>Operacional</v>
      </c>
      <c r="F23" s="74">
        <v>531.0</v>
      </c>
      <c r="G23" s="75" t="s">
        <v>239</v>
      </c>
      <c r="H23" s="76" t="s">
        <v>199</v>
      </c>
      <c r="I23" s="77"/>
      <c r="J23" s="78"/>
      <c r="K23" s="79"/>
      <c r="L23" s="79"/>
      <c r="M23" s="79"/>
      <c r="N23" s="79"/>
      <c r="O23" s="79" t="s">
        <v>200</v>
      </c>
    </row>
    <row r="24" ht="15.75" customHeight="1">
      <c r="A24" s="70" t="s">
        <v>109</v>
      </c>
      <c r="B24" s="71" t="str">
        <f>VLOOKUP(A24,'Folha de Pagamento'!A:C,3,0)</f>
        <v>COORDENADOR DE OBRAS</v>
      </c>
      <c r="C24" s="72" t="str">
        <f>VLOOKUP(A24,'Folha de Pagamento'!A:G,7,0)</f>
        <v>Edificação</v>
      </c>
      <c r="D24" s="73" t="s">
        <v>240</v>
      </c>
      <c r="E24" s="90" t="s">
        <v>37</v>
      </c>
      <c r="F24" s="74">
        <v>209.0</v>
      </c>
      <c r="G24" s="75" t="s">
        <v>241</v>
      </c>
      <c r="H24" s="76" t="s">
        <v>199</v>
      </c>
      <c r="I24" s="77"/>
      <c r="J24" s="78"/>
      <c r="K24" s="79"/>
      <c r="L24" s="79" t="s">
        <v>203</v>
      </c>
      <c r="M24" s="79" t="s">
        <v>206</v>
      </c>
      <c r="N24" s="79" t="s">
        <v>209</v>
      </c>
      <c r="O24" s="79" t="s">
        <v>200</v>
      </c>
    </row>
    <row r="25">
      <c r="A25" s="70" t="s">
        <v>125</v>
      </c>
      <c r="B25" s="71" t="str">
        <f>VLOOKUP(A25,'Folha de Pagamento'!A:C,3,0)</f>
        <v>ENCARREGADO OBRAS/MANUTENCAO</v>
      </c>
      <c r="C25" s="72" t="str">
        <f>VLOOKUP(A25,'Folha de Pagamento'!A:G,7,0)</f>
        <v>Edificação</v>
      </c>
      <c r="D25" s="73" t="s">
        <v>242</v>
      </c>
      <c r="E25" s="72" t="str">
        <f>VLOOKUP(A25,'Folha de Pagamento'!A:F,6,0)</f>
        <v>Operacional</v>
      </c>
      <c r="F25" s="74">
        <v>470.0</v>
      </c>
      <c r="G25" s="75" t="s">
        <v>243</v>
      </c>
      <c r="H25" s="76" t="s">
        <v>199</v>
      </c>
      <c r="I25" s="77"/>
      <c r="J25" s="78"/>
      <c r="K25" s="79"/>
      <c r="L25" s="79"/>
      <c r="M25" s="79"/>
      <c r="N25" s="79"/>
      <c r="O25" s="79"/>
    </row>
    <row r="26" ht="15.75" customHeight="1">
      <c r="A26" s="70" t="s">
        <v>130</v>
      </c>
      <c r="B26" s="71" t="str">
        <f>VLOOKUP(A26,'Folha de Pagamento'!A:C,3,0)</f>
        <v>ENGENHEIRO SÊNIOR </v>
      </c>
      <c r="C26" s="72" t="str">
        <f>VLOOKUP(A26,'Folha de Pagamento'!A:G,7,0)</f>
        <v>Edificação</v>
      </c>
      <c r="D26" s="73" t="s">
        <v>244</v>
      </c>
      <c r="E26" s="72" t="str">
        <f>VLOOKUP(A26,'Folha de Pagamento'!A:F,6,0)</f>
        <v>Tático</v>
      </c>
      <c r="F26" s="74">
        <v>212.0</v>
      </c>
      <c r="G26" s="75" t="s">
        <v>245</v>
      </c>
      <c r="H26" s="76" t="s">
        <v>199</v>
      </c>
      <c r="I26" s="77"/>
      <c r="J26" s="78"/>
      <c r="K26" s="79"/>
      <c r="L26" s="79" t="s">
        <v>203</v>
      </c>
      <c r="M26" s="79"/>
      <c r="N26" s="79"/>
      <c r="O26" s="79" t="s">
        <v>200</v>
      </c>
    </row>
    <row r="27" ht="15.75" customHeight="1">
      <c r="A27" s="70" t="s">
        <v>152</v>
      </c>
      <c r="B27" s="83" t="str">
        <f>VLOOKUP(A27,'Folha de Pagamento'!A:C,3,0)</f>
        <v>GERENTE DE EDIFICAÇÕES</v>
      </c>
      <c r="C27" s="72" t="str">
        <f>VLOOKUP(A27,'Folha de Pagamento'!A:G,7,0)</f>
        <v>Edificação</v>
      </c>
      <c r="D27" s="73" t="s">
        <v>246</v>
      </c>
      <c r="E27" s="72" t="str">
        <f>VLOOKUP(A27,'Folha de Pagamento'!A:F,6,0)</f>
        <v>Tático</v>
      </c>
      <c r="F27" s="74">
        <v>213.0</v>
      </c>
      <c r="G27" s="75" t="s">
        <v>247</v>
      </c>
      <c r="H27" s="76" t="s">
        <v>199</v>
      </c>
      <c r="I27" s="77"/>
      <c r="J27" s="78"/>
      <c r="K27" s="79"/>
      <c r="L27" s="79"/>
      <c r="M27" s="79"/>
      <c r="N27" s="79" t="s">
        <v>209</v>
      </c>
      <c r="O27" s="79" t="s">
        <v>200</v>
      </c>
    </row>
    <row r="28" ht="15.75" customHeight="1">
      <c r="A28" s="70" t="s">
        <v>183</v>
      </c>
      <c r="B28" s="83" t="str">
        <f>VLOOKUP(A28,'Folha de Pagamento'!A:C,3,0)</f>
        <v>TECNICO ANALISTA DE CUSTOS</v>
      </c>
      <c r="C28" s="72" t="str">
        <f>VLOOKUP(A28,'Folha de Pagamento'!A:G,7,0)</f>
        <v>Edificação</v>
      </c>
      <c r="D28" s="73" t="s">
        <v>248</v>
      </c>
      <c r="E28" s="72" t="str">
        <f>VLOOKUP(A28,'Folha de Pagamento'!A:F,6,0)</f>
        <v>Operacional</v>
      </c>
      <c r="F28" s="74">
        <v>876.0</v>
      </c>
      <c r="G28" s="75" t="s">
        <v>249</v>
      </c>
      <c r="H28" s="76" t="s">
        <v>199</v>
      </c>
      <c r="I28" s="77"/>
      <c r="J28" s="78"/>
      <c r="K28" s="79"/>
      <c r="L28" s="79"/>
      <c r="M28" s="79"/>
      <c r="N28" s="79"/>
      <c r="O28" s="79" t="s">
        <v>200</v>
      </c>
    </row>
    <row r="29">
      <c r="A29" s="70" t="s">
        <v>186</v>
      </c>
      <c r="B29" s="83" t="str">
        <f>VLOOKUP(A29,'Folha de Pagamento'!A:C,3,0)</f>
        <v>TECNOLOGO EM CONSTRUÇÃO DE EDIFICIOS</v>
      </c>
      <c r="C29" s="72" t="str">
        <f>VLOOKUP(A29,'Folha de Pagamento'!A:G,7,0)</f>
        <v>Edificação</v>
      </c>
      <c r="D29" s="73" t="s">
        <v>250</v>
      </c>
      <c r="E29" s="72" t="str">
        <f>VLOOKUP(A29,'Folha de Pagamento'!A:F,6,0)</f>
        <v>Operacional</v>
      </c>
      <c r="F29" s="86">
        <v>269.0</v>
      </c>
      <c r="G29" s="87" t="s">
        <v>251</v>
      </c>
      <c r="H29" s="88" t="s">
        <v>199</v>
      </c>
      <c r="I29" s="77"/>
      <c r="J29" s="78"/>
      <c r="K29" s="79"/>
      <c r="L29" s="79" t="s">
        <v>203</v>
      </c>
      <c r="M29" s="79" t="s">
        <v>206</v>
      </c>
      <c r="N29" s="79" t="s">
        <v>209</v>
      </c>
      <c r="O29" s="79" t="s">
        <v>200</v>
      </c>
    </row>
    <row r="30" ht="15.75" customHeight="1">
      <c r="A30" s="70" t="s">
        <v>52</v>
      </c>
      <c r="B30" s="71" t="str">
        <f>VLOOKUP(A30,'Folha de Pagamento'!A:C,3,0)</f>
        <v>ANALISTA FINANCEIRO COMERCIAL III</v>
      </c>
      <c r="C30" s="72" t="str">
        <f>VLOOKUP(A30,'Folha de Pagamento'!A:G,7,0)</f>
        <v>Financeiro</v>
      </c>
      <c r="D30" s="73" t="s">
        <v>252</v>
      </c>
      <c r="E30" s="72" t="str">
        <f>VLOOKUP(A30,'Folha de Pagamento'!A:F,6,0)</f>
        <v>Operacional</v>
      </c>
      <c r="F30" s="74">
        <v>16.0</v>
      </c>
      <c r="G30" s="75" t="s">
        <v>253</v>
      </c>
      <c r="H30" s="76" t="s">
        <v>54</v>
      </c>
      <c r="I30" s="77"/>
      <c r="J30" s="78"/>
      <c r="K30" s="79"/>
      <c r="L30" s="79" t="s">
        <v>203</v>
      </c>
      <c r="M30" s="79" t="s">
        <v>206</v>
      </c>
      <c r="N30" s="79"/>
      <c r="O30" s="79" t="s">
        <v>200</v>
      </c>
    </row>
    <row r="31" ht="15.75" customHeight="1">
      <c r="A31" s="70" t="s">
        <v>56</v>
      </c>
      <c r="B31" s="71" t="str">
        <f>VLOOKUP(A31,'Folha de Pagamento'!A:C,3,0)</f>
        <v>ANALISTA FINANCEIRO DE CAPTAÇÃO DE RECURSOS III</v>
      </c>
      <c r="C31" s="72" t="str">
        <f>VLOOKUP(A31,'Folha de Pagamento'!A:G,7,0)</f>
        <v>Financeiro</v>
      </c>
      <c r="D31" s="73" t="s">
        <v>254</v>
      </c>
      <c r="E31" s="72" t="str">
        <f>VLOOKUP(A31,'Folha de Pagamento'!A:F,6,0)</f>
        <v>Operacional</v>
      </c>
      <c r="F31" s="74">
        <v>16.0</v>
      </c>
      <c r="G31" s="75" t="s">
        <v>253</v>
      </c>
      <c r="H31" s="76" t="s">
        <v>54</v>
      </c>
      <c r="I31" s="77"/>
      <c r="J31" s="78"/>
      <c r="K31" s="79"/>
      <c r="L31" s="79" t="s">
        <v>203</v>
      </c>
      <c r="M31" s="79" t="s">
        <v>206</v>
      </c>
      <c r="N31" s="79" t="s">
        <v>209</v>
      </c>
      <c r="O31" s="79" t="s">
        <v>200</v>
      </c>
    </row>
    <row r="32" ht="15.75" customHeight="1">
      <c r="A32" s="70" t="s">
        <v>59</v>
      </c>
      <c r="B32" s="71" t="str">
        <f>VLOOKUP(A32,'Folha de Pagamento'!A:C,3,0)</f>
        <v>ANALISTA FINANCEIRO I</v>
      </c>
      <c r="C32" s="72" t="str">
        <f>VLOOKUP(A32,'Folha de Pagamento'!A:G,7,0)</f>
        <v>Financeiro</v>
      </c>
      <c r="D32" s="73" t="s">
        <v>255</v>
      </c>
      <c r="E32" s="72" t="str">
        <f>VLOOKUP(A32,'Folha de Pagamento'!A:F,6,0)</f>
        <v>Operacional</v>
      </c>
      <c r="F32" s="74">
        <v>16.0</v>
      </c>
      <c r="G32" s="75" t="s">
        <v>253</v>
      </c>
      <c r="H32" s="91" t="s">
        <v>61</v>
      </c>
      <c r="I32" s="77"/>
      <c r="J32" s="78"/>
      <c r="K32" s="79"/>
      <c r="L32" s="79" t="s">
        <v>203</v>
      </c>
      <c r="M32" s="79" t="s">
        <v>206</v>
      </c>
      <c r="N32" s="79" t="s">
        <v>209</v>
      </c>
      <c r="O32" s="79" t="s">
        <v>200</v>
      </c>
    </row>
    <row r="33" ht="15.75" customHeight="1">
      <c r="A33" s="70" t="s">
        <v>81</v>
      </c>
      <c r="B33" s="71" t="str">
        <f>VLOOKUP(A33,'Folha de Pagamento'!A:C,3,0)</f>
        <v>ASSISTENTE FINANCEIRO CONTAS A PAGAR</v>
      </c>
      <c r="C33" s="72" t="str">
        <f>VLOOKUP(A33,'Folha de Pagamento'!A:G,7,0)</f>
        <v>Financeiro</v>
      </c>
      <c r="D33" s="73" t="s">
        <v>256</v>
      </c>
      <c r="E33" s="72" t="str">
        <f>VLOOKUP(A33,'Folha de Pagamento'!A:F,6,0)</f>
        <v>Operacional</v>
      </c>
      <c r="F33" s="74">
        <v>79.0</v>
      </c>
      <c r="G33" s="75" t="s">
        <v>257</v>
      </c>
      <c r="H33" s="76" t="s">
        <v>199</v>
      </c>
      <c r="I33" s="77"/>
      <c r="J33" s="78"/>
      <c r="K33" s="79"/>
      <c r="L33" s="79" t="s">
        <v>203</v>
      </c>
      <c r="M33" s="79" t="s">
        <v>206</v>
      </c>
      <c r="N33" s="79"/>
      <c r="O33" s="79" t="s">
        <v>200</v>
      </c>
    </row>
    <row r="34" ht="15.75" customHeight="1">
      <c r="A34" s="70" t="s">
        <v>115</v>
      </c>
      <c r="B34" s="71" t="str">
        <f>VLOOKUP(A34,'Folha de Pagamento'!A:C,3,0)</f>
        <v>COORDENADOR FINANCEIRO</v>
      </c>
      <c r="C34" s="72" t="str">
        <f>VLOOKUP(A34,'Folha de Pagamento'!A:G,7,0)</f>
        <v>Financeiro</v>
      </c>
      <c r="D34" s="73" t="s">
        <v>258</v>
      </c>
      <c r="E34" s="72" t="str">
        <f>VLOOKUP(A34,'Folha de Pagamento'!A:F,6,0)</f>
        <v>Tático</v>
      </c>
      <c r="F34" s="74">
        <v>122.0</v>
      </c>
      <c r="G34" s="75" t="s">
        <v>259</v>
      </c>
      <c r="H34" s="76" t="s">
        <v>199</v>
      </c>
      <c r="I34" s="77"/>
      <c r="J34" s="78"/>
      <c r="K34" s="79"/>
      <c r="L34" s="79" t="s">
        <v>203</v>
      </c>
      <c r="M34" s="79" t="s">
        <v>206</v>
      </c>
      <c r="N34" s="79"/>
      <c r="O34" s="79" t="s">
        <v>200</v>
      </c>
    </row>
    <row r="35" ht="15.75" customHeight="1">
      <c r="A35" s="70" t="s">
        <v>180</v>
      </c>
      <c r="B35" s="83" t="str">
        <f>VLOOKUP(A35,'Folha de Pagamento'!A:C,3,0)</f>
        <v>SUPERVISOR(A) FINANCEIRO I</v>
      </c>
      <c r="C35" s="72" t="str">
        <f>VLOOKUP(A35,'Folha de Pagamento'!A:G,7,0)</f>
        <v>Financeiro</v>
      </c>
      <c r="D35" s="73" t="s">
        <v>260</v>
      </c>
      <c r="E35" s="72" t="str">
        <f>VLOOKUP(A35,'Folha de Pagamento'!A:F,6,0)</f>
        <v>Operacional</v>
      </c>
      <c r="F35" s="74">
        <v>469.0</v>
      </c>
      <c r="G35" s="75" t="s">
        <v>261</v>
      </c>
      <c r="H35" s="91" t="s">
        <v>199</v>
      </c>
      <c r="I35" s="77"/>
      <c r="J35" s="78"/>
      <c r="K35" s="79"/>
      <c r="L35" s="79" t="s">
        <v>203</v>
      </c>
      <c r="M35" s="79"/>
      <c r="N35" s="79"/>
      <c r="O35" s="79" t="s">
        <v>200</v>
      </c>
    </row>
    <row r="36" ht="15.75" customHeight="1">
      <c r="A36" s="70" t="s">
        <v>162</v>
      </c>
      <c r="B36" s="83" t="str">
        <f>VLOOKUP(A36,'Folha de Pagamento'!A:C,3,0)</f>
        <v>GERENTE DE INCORPORAÇÃO </v>
      </c>
      <c r="C36" s="72" t="str">
        <f>VLOOKUP(A36,'Folha de Pagamento'!A:G,7,0)</f>
        <v>Incorporação</v>
      </c>
      <c r="D36" s="73" t="s">
        <v>262</v>
      </c>
      <c r="E36" s="72" t="str">
        <f>VLOOKUP(A36,'Folha de Pagamento'!A:F,6,0)</f>
        <v>Tático</v>
      </c>
      <c r="F36" s="74">
        <v>548.0</v>
      </c>
      <c r="G36" s="75" t="s">
        <v>263</v>
      </c>
      <c r="H36" s="76" t="s">
        <v>199</v>
      </c>
      <c r="I36" s="77"/>
      <c r="J36" s="78"/>
      <c r="K36" s="79"/>
      <c r="L36" s="79" t="s">
        <v>203</v>
      </c>
      <c r="M36" s="79" t="s">
        <v>206</v>
      </c>
      <c r="N36" s="79" t="s">
        <v>209</v>
      </c>
      <c r="O36" s="79" t="s">
        <v>200</v>
      </c>
    </row>
    <row r="37" ht="15.75" customHeight="1">
      <c r="A37" s="70" t="s">
        <v>34</v>
      </c>
      <c r="B37" s="71" t="str">
        <f>VLOOKUP(A37,'Folha de Pagamento'!A:C,3,0)</f>
        <v>ANALISTA DE INOVAÇÃO</v>
      </c>
      <c r="C37" s="72" t="str">
        <f>VLOOKUP(A37,'Folha de Pagamento'!A:G,7,0)</f>
        <v>Inovação</v>
      </c>
      <c r="D37" s="73" t="s">
        <v>264</v>
      </c>
      <c r="E37" s="92" t="str">
        <f>VLOOKUP(A37,'Folha de Pagamento'!A:F,6,0)</f>
        <v>Tático</v>
      </c>
      <c r="F37" s="74">
        <v>437.0</v>
      </c>
      <c r="G37" s="75" t="s">
        <v>265</v>
      </c>
      <c r="H37" s="76" t="s">
        <v>199</v>
      </c>
      <c r="I37" s="77"/>
      <c r="J37" s="78"/>
      <c r="K37" s="79"/>
      <c r="L37" s="79"/>
      <c r="M37" s="79"/>
      <c r="N37" s="79"/>
      <c r="O37" s="79"/>
    </row>
    <row r="38" ht="15.75" customHeight="1">
      <c r="A38" s="70" t="s">
        <v>62</v>
      </c>
      <c r="B38" s="71" t="str">
        <f>VLOOKUP(A38,'Folha de Pagamento'!A:C,3,0)</f>
        <v>ASSISTENTE ADM DE LEGALIZAÇÃO III</v>
      </c>
      <c r="C38" s="72" t="str">
        <f>VLOOKUP(A38,'Folha de Pagamento'!A:G,7,0)</f>
        <v>Legalização </v>
      </c>
      <c r="D38" s="73" t="s">
        <v>266</v>
      </c>
      <c r="E38" s="72" t="str">
        <f>VLOOKUP(A38,'Folha de Pagamento'!A:F,6,0)</f>
        <v>Operacional</v>
      </c>
      <c r="F38" s="74">
        <v>1201.0</v>
      </c>
      <c r="G38" s="75" t="s">
        <v>267</v>
      </c>
      <c r="H38" s="76" t="s">
        <v>199</v>
      </c>
      <c r="I38" s="77"/>
      <c r="J38" s="78"/>
      <c r="K38" s="79"/>
      <c r="L38" s="79"/>
      <c r="M38" s="79"/>
      <c r="N38" s="79"/>
      <c r="O38" s="79"/>
    </row>
    <row r="39">
      <c r="A39" s="70" t="s">
        <v>104</v>
      </c>
      <c r="B39" s="71" t="str">
        <f>VLOOKUP(A39,'Folha de Pagamento'!A:C,3,0)</f>
        <v>COORDENADOR DE LEGAIZAÇÃO ll</v>
      </c>
      <c r="C39" s="72" t="str">
        <f>VLOOKUP(A39,'Folha de Pagamento'!A:G,7,0)</f>
        <v>Legalização </v>
      </c>
      <c r="D39" s="73" t="s">
        <v>268</v>
      </c>
      <c r="E39" s="72" t="str">
        <f>VLOOKUP(A39,'Folha de Pagamento'!A:F,6,0)</f>
        <v>Tático</v>
      </c>
      <c r="F39" s="74">
        <v>1203.0</v>
      </c>
      <c r="G39" s="75" t="s">
        <v>269</v>
      </c>
      <c r="H39" s="91" t="s">
        <v>199</v>
      </c>
      <c r="I39" s="77"/>
      <c r="J39" s="78"/>
      <c r="K39" s="79"/>
      <c r="L39" s="79" t="s">
        <v>203</v>
      </c>
      <c r="M39" s="79" t="s">
        <v>206</v>
      </c>
      <c r="N39" s="79" t="s">
        <v>209</v>
      </c>
      <c r="O39" s="79" t="s">
        <v>200</v>
      </c>
    </row>
    <row r="40" ht="15.75" customHeight="1">
      <c r="A40" s="70" t="s">
        <v>30</v>
      </c>
      <c r="B40" s="71" t="str">
        <f>VLOOKUP(A40,'Folha de Pagamento'!A:C,3,0)</f>
        <v>ANALISTA DE CRIAÇAO</v>
      </c>
      <c r="C40" s="72" t="str">
        <f>VLOOKUP(A40,'Folha de Pagamento'!A:G,7,0)</f>
        <v>Marketing</v>
      </c>
      <c r="D40" s="73" t="s">
        <v>270</v>
      </c>
      <c r="E40" s="72" t="str">
        <f>VLOOKUP(A40,'Folha de Pagamento'!A:F,6,0)</f>
        <v>Operacional</v>
      </c>
      <c r="F40" s="74">
        <v>45.0</v>
      </c>
      <c r="G40" s="75" t="s">
        <v>271</v>
      </c>
      <c r="H40" s="76" t="s">
        <v>199</v>
      </c>
      <c r="I40" s="77"/>
      <c r="J40" s="78"/>
      <c r="K40" s="79"/>
      <c r="L40" s="79" t="s">
        <v>203</v>
      </c>
      <c r="M40" s="79"/>
      <c r="N40" s="79"/>
      <c r="O40" s="79" t="s">
        <v>200</v>
      </c>
    </row>
    <row r="41">
      <c r="A41" s="70" t="s">
        <v>44</v>
      </c>
      <c r="B41" s="71" t="str">
        <f>VLOOKUP(A41,'Folha de Pagamento'!A:C,3,0)</f>
        <v>ANALISTA DE MARKETING l</v>
      </c>
      <c r="C41" s="72" t="str">
        <f>VLOOKUP(A41,'Folha de Pagamento'!A:G,7,0)</f>
        <v>Marketing</v>
      </c>
      <c r="D41" s="73" t="s">
        <v>272</v>
      </c>
      <c r="E41" s="72" t="str">
        <f>VLOOKUP(A41,'Folha de Pagamento'!A:F,6,0)</f>
        <v>Operacional</v>
      </c>
      <c r="F41" s="74">
        <v>42.0</v>
      </c>
      <c r="G41" s="75" t="s">
        <v>273</v>
      </c>
      <c r="H41" s="76" t="s">
        <v>61</v>
      </c>
      <c r="I41" s="77"/>
      <c r="J41" s="78"/>
      <c r="K41" s="79"/>
      <c r="L41" s="79"/>
      <c r="M41" s="79"/>
      <c r="N41" s="79"/>
      <c r="O41" s="79" t="s">
        <v>200</v>
      </c>
    </row>
    <row r="42" ht="15.75" customHeight="1">
      <c r="A42" s="70" t="s">
        <v>73</v>
      </c>
      <c r="B42" s="71" t="str">
        <f>VLOOKUP(A42,'Folha de Pagamento'!A:C,3,0)</f>
        <v>ASSISTENTE DE MARKETING</v>
      </c>
      <c r="C42" s="72" t="str">
        <f>VLOOKUP(A42,'Folha de Pagamento'!A:G,7,0)</f>
        <v>Marketing</v>
      </c>
      <c r="D42" s="73" t="s">
        <v>274</v>
      </c>
      <c r="E42" s="72" t="str">
        <f>VLOOKUP(A42,'Folha de Pagamento'!A:F,6,0)</f>
        <v>Operacional</v>
      </c>
      <c r="F42" s="74">
        <v>71.0</v>
      </c>
      <c r="G42" s="75" t="s">
        <v>275</v>
      </c>
      <c r="H42" s="76" t="s">
        <v>199</v>
      </c>
      <c r="I42" s="77"/>
      <c r="J42" s="78"/>
      <c r="K42" s="79"/>
      <c r="L42" s="79" t="s">
        <v>203</v>
      </c>
      <c r="M42" s="79" t="s">
        <v>206</v>
      </c>
      <c r="N42" s="79"/>
      <c r="O42" s="79" t="s">
        <v>200</v>
      </c>
    </row>
    <row r="43">
      <c r="A43" s="70" t="s">
        <v>106</v>
      </c>
      <c r="B43" s="71" t="str">
        <f>VLOOKUP(A43,'Folha de Pagamento'!A:C,3,0)</f>
        <v>COORDENADOR DE MARKETING II</v>
      </c>
      <c r="C43" s="72" t="str">
        <f>VLOOKUP(A43,'Folha de Pagamento'!A:G,7,0)</f>
        <v>Marketing</v>
      </c>
      <c r="D43" s="73" t="s">
        <v>276</v>
      </c>
      <c r="E43" s="72" t="str">
        <f>VLOOKUP(A43,'Folha de Pagamento'!A:F,6,0)</f>
        <v>Tático</v>
      </c>
      <c r="F43" s="74">
        <v>56.0</v>
      </c>
      <c r="G43" s="75" t="s">
        <v>277</v>
      </c>
      <c r="H43" s="91" t="s">
        <v>199</v>
      </c>
      <c r="I43" s="77"/>
      <c r="J43" s="78"/>
      <c r="K43" s="79"/>
      <c r="L43" s="79" t="s">
        <v>203</v>
      </c>
      <c r="M43" s="79" t="s">
        <v>206</v>
      </c>
      <c r="N43" s="79" t="s">
        <v>209</v>
      </c>
      <c r="O43" s="79" t="s">
        <v>200</v>
      </c>
    </row>
    <row r="44">
      <c r="A44" s="70" t="s">
        <v>133</v>
      </c>
      <c r="B44" s="71" t="str">
        <f>VLOOKUP(A44,'Folha de Pagamento'!A:C,3,0)</f>
        <v>ESTAGIARIO (A)</v>
      </c>
      <c r="C44" s="72" t="str">
        <f>VLOOKUP(A44,'Folha de Pagamento'!A:G,7,0)</f>
        <v>Novos Negócios</v>
      </c>
      <c r="D44" s="73" t="s">
        <v>278</v>
      </c>
      <c r="E44" s="72" t="str">
        <f>VLOOKUP(A44,'Folha de Pagamento'!A:F,6,0)</f>
        <v>Operacional</v>
      </c>
      <c r="F44" s="74">
        <v>338.0</v>
      </c>
      <c r="G44" s="75" t="s">
        <v>208</v>
      </c>
      <c r="H44" s="76" t="s">
        <v>199</v>
      </c>
      <c r="I44" s="77"/>
      <c r="J44" s="78"/>
      <c r="K44" s="79"/>
      <c r="L44" s="79" t="s">
        <v>203</v>
      </c>
      <c r="M44" s="79" t="s">
        <v>206</v>
      </c>
      <c r="N44" s="79" t="s">
        <v>209</v>
      </c>
      <c r="O44" s="79" t="s">
        <v>200</v>
      </c>
    </row>
    <row r="45" ht="15.75" customHeight="1">
      <c r="A45" s="70" t="s">
        <v>177</v>
      </c>
      <c r="B45" s="83" t="str">
        <f>VLOOKUP(A45,'Folha de Pagamento'!A:C,3,0)</f>
        <v>SUPERVISOR DE NOVOS NEGÓCIOS </v>
      </c>
      <c r="C45" s="72" t="str">
        <f>VLOOKUP(A45,'Folha de Pagamento'!A:G,7,0)</f>
        <v>Novos Negócios</v>
      </c>
      <c r="D45" s="73" t="s">
        <v>279</v>
      </c>
      <c r="E45" s="72" t="str">
        <f>VLOOKUP(A45,'Folha de Pagamento'!A:F,6,0)</f>
        <v>Tático</v>
      </c>
      <c r="F45" s="74">
        <v>583.0</v>
      </c>
      <c r="G45" s="75" t="s">
        <v>280</v>
      </c>
      <c r="H45" s="76" t="s">
        <v>199</v>
      </c>
      <c r="I45" s="77"/>
      <c r="J45" s="78"/>
      <c r="K45" s="79"/>
      <c r="L45" s="79" t="s">
        <v>203</v>
      </c>
      <c r="M45" s="79" t="s">
        <v>206</v>
      </c>
      <c r="N45" s="79" t="s">
        <v>209</v>
      </c>
      <c r="O45" s="79" t="s">
        <v>200</v>
      </c>
    </row>
    <row r="46" ht="15.75" customHeight="1">
      <c r="A46" s="70" t="s">
        <v>46</v>
      </c>
      <c r="B46" s="71" t="str">
        <f>VLOOKUP(A46,'Folha de Pagamento'!A:C,3,0)</f>
        <v>ANALISTA DE PÓS VENDAS II</v>
      </c>
      <c r="C46" s="72" t="str">
        <f>VLOOKUP(A46,'Folha de Pagamento'!A:G,7,0)</f>
        <v>Pós Vendas</v>
      </c>
      <c r="D46" s="73" t="s">
        <v>281</v>
      </c>
      <c r="E46" s="72" t="str">
        <f>VLOOKUP(A46,'Folha de Pagamento'!A:F,6,0)</f>
        <v>Operacional</v>
      </c>
      <c r="F46" s="93">
        <v>376.0</v>
      </c>
      <c r="G46" s="94" t="s">
        <v>282</v>
      </c>
      <c r="H46" s="91" t="s">
        <v>199</v>
      </c>
      <c r="I46" s="77"/>
      <c r="J46" s="78"/>
      <c r="K46" s="79"/>
      <c r="L46" s="95"/>
      <c r="M46" s="95"/>
      <c r="N46" s="95"/>
      <c r="O46" s="95" t="s">
        <v>200</v>
      </c>
    </row>
    <row r="47" ht="15.75" customHeight="1">
      <c r="A47" s="70" t="s">
        <v>87</v>
      </c>
      <c r="B47" s="71" t="str">
        <f>VLOOKUP(A47,'Folha de Pagamento'!A:C,3,0)</f>
        <v>AUXILIAR DE ATENDIMENTO II</v>
      </c>
      <c r="C47" s="72" t="str">
        <f>VLOOKUP(A47,'Folha de Pagamento'!A:G,7,0)</f>
        <v>Recepção</v>
      </c>
      <c r="D47" s="73" t="s">
        <v>283</v>
      </c>
      <c r="E47" s="72" t="str">
        <f>VLOOKUP(A47,'Folha de Pagamento'!A:F,6,0)</f>
        <v>Operacional</v>
      </c>
      <c r="F47" s="74">
        <v>318.0</v>
      </c>
      <c r="G47" s="75" t="s">
        <v>284</v>
      </c>
      <c r="H47" s="76" t="s">
        <v>199</v>
      </c>
      <c r="I47" s="77"/>
      <c r="J47" s="78"/>
      <c r="K47" s="79"/>
      <c r="L47" s="79" t="s">
        <v>203</v>
      </c>
      <c r="M47" s="79" t="s">
        <v>206</v>
      </c>
      <c r="N47" s="79"/>
      <c r="O47" s="79" t="s">
        <v>200</v>
      </c>
    </row>
    <row r="48" ht="15.75" customHeight="1">
      <c r="A48" s="70" t="s">
        <v>27</v>
      </c>
      <c r="B48" s="71" t="str">
        <f>VLOOKUP(A48,'Folha de Pagamento'!A:C,3,0)</f>
        <v>ANALISTA DE COMPRAS</v>
      </c>
      <c r="C48" s="72" t="str">
        <f>VLOOKUP(A48,'Folha de Pagamento'!A:G,7,0)</f>
        <v>Suprimentos </v>
      </c>
      <c r="D48" s="73" t="s">
        <v>285</v>
      </c>
      <c r="E48" s="72" t="str">
        <f>VLOOKUP(A48,'Folha de Pagamento'!A:F,6,0)</f>
        <v>Operacional</v>
      </c>
      <c r="F48" s="74">
        <v>136.0</v>
      </c>
      <c r="G48" s="75" t="s">
        <v>286</v>
      </c>
      <c r="H48" s="91" t="s">
        <v>42</v>
      </c>
      <c r="I48" s="77"/>
      <c r="J48" s="78"/>
      <c r="K48" s="79"/>
      <c r="L48" s="79" t="s">
        <v>203</v>
      </c>
      <c r="M48" s="79" t="s">
        <v>206</v>
      </c>
      <c r="N48" s="79" t="s">
        <v>209</v>
      </c>
      <c r="O48" s="79" t="s">
        <v>200</v>
      </c>
    </row>
    <row r="49" ht="15.75" customHeight="1">
      <c r="A49" s="70" t="s">
        <v>112</v>
      </c>
      <c r="B49" s="71" t="str">
        <f>VLOOKUP(A49,'Folha de Pagamento'!A:C,3,0)</f>
        <v>COORDENADOR DE SUPRIMENTOS</v>
      </c>
      <c r="C49" s="72" t="str">
        <f>VLOOKUP(A49,'Folha de Pagamento'!A:G,7,0)</f>
        <v>Suprimentos </v>
      </c>
      <c r="D49" s="73" t="s">
        <v>287</v>
      </c>
      <c r="E49" s="72" t="str">
        <f>VLOOKUP(A49,'Folha de Pagamento'!A:F,6,0)</f>
        <v>Tático</v>
      </c>
      <c r="F49" s="74">
        <v>137.0</v>
      </c>
      <c r="G49" s="75" t="s">
        <v>288</v>
      </c>
      <c r="H49" s="76" t="s">
        <v>199</v>
      </c>
      <c r="I49" s="77"/>
      <c r="J49" s="78"/>
      <c r="K49" s="79"/>
      <c r="L49" s="79" t="s">
        <v>203</v>
      </c>
      <c r="M49" s="79" t="s">
        <v>206</v>
      </c>
      <c r="N49" s="79"/>
      <c r="O49" s="79" t="s">
        <v>200</v>
      </c>
    </row>
    <row r="50" ht="15.75" customHeight="1">
      <c r="A50" s="70" t="s">
        <v>78</v>
      </c>
      <c r="B50" s="71" t="str">
        <f>VLOOKUP(A50,'Folha de Pagamento'!A:C,3,0)</f>
        <v>ASSISTENTE DE TI</v>
      </c>
      <c r="C50" s="72" t="str">
        <f>VLOOKUP(A50,'Folha de Pagamento'!A:G,7,0)</f>
        <v>Tecnologia da Informação</v>
      </c>
      <c r="D50" s="73" t="s">
        <v>289</v>
      </c>
      <c r="E50" s="72" t="str">
        <f>VLOOKUP(A50,'Folha de Pagamento'!A:F,6,0)</f>
        <v>Operacional</v>
      </c>
      <c r="F50" s="74">
        <v>31.0</v>
      </c>
      <c r="G50" s="75" t="s">
        <v>290</v>
      </c>
      <c r="H50" s="76" t="s">
        <v>199</v>
      </c>
      <c r="I50" s="77"/>
      <c r="J50" s="78"/>
      <c r="K50" s="79"/>
      <c r="L50" s="79" t="s">
        <v>203</v>
      </c>
      <c r="M50" s="79"/>
      <c r="N50" s="79"/>
      <c r="O50" s="79" t="s">
        <v>200</v>
      </c>
    </row>
    <row r="51" ht="15.75" customHeight="1">
      <c r="A51" s="70" t="s">
        <v>49</v>
      </c>
      <c r="B51" s="71" t="str">
        <f>VLOOKUP(A51,'Folha de Pagamento'!A:C,3,0)</f>
        <v>ANALISTA DE URBANISMO</v>
      </c>
      <c r="C51" s="72" t="str">
        <f>VLOOKUP(A51,'Folha de Pagamento'!A:G,7,0)</f>
        <v>Urbanismo</v>
      </c>
      <c r="D51" s="73" t="s">
        <v>291</v>
      </c>
      <c r="E51" s="72" t="str">
        <f>VLOOKUP(A51,'Folha de Pagamento'!A:F,6,0)</f>
        <v>Operacional</v>
      </c>
      <c r="F51" s="74">
        <v>1199.0</v>
      </c>
      <c r="G51" s="75" t="s">
        <v>292</v>
      </c>
      <c r="H51" s="76" t="s">
        <v>199</v>
      </c>
      <c r="I51" s="77"/>
      <c r="J51" s="78"/>
      <c r="K51" s="79"/>
      <c r="L51" s="79" t="s">
        <v>203</v>
      </c>
      <c r="M51" s="79" t="s">
        <v>206</v>
      </c>
      <c r="N51" s="79" t="s">
        <v>209</v>
      </c>
      <c r="O51" s="79" t="s">
        <v>200</v>
      </c>
    </row>
    <row r="52" ht="15.75" customHeight="1">
      <c r="A52" s="70" t="s">
        <v>90</v>
      </c>
      <c r="B52" s="71" t="str">
        <f>VLOOKUP(A52,'Folha de Pagamento'!A:C,3,0)</f>
        <v>AUXILIAR DE ENGENHARIA</v>
      </c>
      <c r="C52" s="72" t="str">
        <f>VLOOKUP(A52,'Folha de Pagamento'!A:G,7,0)</f>
        <v>Urbanismo</v>
      </c>
      <c r="D52" s="73" t="s">
        <v>293</v>
      </c>
      <c r="E52" s="72" t="str">
        <f>VLOOKUP(A52,'Folha de Pagamento'!A:F,6,0)</f>
        <v>Operacional</v>
      </c>
      <c r="F52" s="74">
        <v>207.0</v>
      </c>
      <c r="G52" s="75" t="s">
        <v>294</v>
      </c>
      <c r="H52" s="76" t="s">
        <v>199</v>
      </c>
      <c r="I52" s="77"/>
      <c r="J52" s="78"/>
      <c r="K52" s="79"/>
      <c r="L52" s="79"/>
      <c r="M52" s="79" t="s">
        <v>206</v>
      </c>
      <c r="N52" s="79"/>
      <c r="O52" s="79" t="s">
        <v>200</v>
      </c>
    </row>
    <row r="53" ht="15.75" customHeight="1">
      <c r="A53" s="70" t="s">
        <v>123</v>
      </c>
      <c r="B53" s="71" t="str">
        <f>VLOOKUP(A53,'Folha de Pagamento'!A:C,3,0)</f>
        <v>ENCARREGADO DE OBRAS</v>
      </c>
      <c r="C53" s="72" t="str">
        <f>VLOOKUP(A53,'Folha de Pagamento'!A:G,7,0)</f>
        <v>Urbanismo</v>
      </c>
      <c r="D53" s="73" t="s">
        <v>295</v>
      </c>
      <c r="E53" s="72" t="str">
        <f>VLOOKUP(A53,'Folha de Pagamento'!A:F,6,0)</f>
        <v>Operacional</v>
      </c>
      <c r="F53" s="74">
        <v>470.0</v>
      </c>
      <c r="G53" s="75" t="s">
        <v>243</v>
      </c>
      <c r="H53" s="76" t="s">
        <v>199</v>
      </c>
      <c r="I53" s="77"/>
      <c r="J53" s="78"/>
      <c r="K53" s="79"/>
      <c r="L53" s="79" t="s">
        <v>203</v>
      </c>
      <c r="M53" s="79" t="s">
        <v>206</v>
      </c>
      <c r="N53" s="79"/>
      <c r="O53" s="79" t="s">
        <v>200</v>
      </c>
    </row>
    <row r="54" ht="15.75" customHeight="1">
      <c r="A54" s="70" t="s">
        <v>127</v>
      </c>
      <c r="B54" s="71" t="str">
        <f>VLOOKUP(A54,'Folha de Pagamento'!A:C,3,0)</f>
        <v>ENGENHEIRO JUNIOR DE URBANISMO</v>
      </c>
      <c r="C54" s="72" t="str">
        <f>VLOOKUP(A54,'Folha de Pagamento'!A:G,7,0)</f>
        <v>Urbanismo</v>
      </c>
      <c r="D54" s="73" t="s">
        <v>296</v>
      </c>
      <c r="E54" s="72" t="str">
        <f>VLOOKUP(A54,'Folha de Pagamento'!A:F,6,0)</f>
        <v>Operacional</v>
      </c>
      <c r="F54" s="74">
        <v>212.0</v>
      </c>
      <c r="G54" s="75" t="s">
        <v>245</v>
      </c>
      <c r="H54" s="76" t="s">
        <v>199</v>
      </c>
      <c r="I54" s="77"/>
      <c r="J54" s="78"/>
      <c r="K54" s="79"/>
      <c r="L54" s="79" t="s">
        <v>203</v>
      </c>
      <c r="M54" s="79" t="s">
        <v>206</v>
      </c>
      <c r="N54" s="79"/>
      <c r="O54" s="79" t="s">
        <v>200</v>
      </c>
    </row>
    <row r="55" ht="15.75" customHeight="1">
      <c r="A55" s="70" t="s">
        <v>141</v>
      </c>
      <c r="B55" s="71" t="str">
        <f>VLOOKUP(A55,'Folha de Pagamento'!A:C,3,0)</f>
        <v>ESTAGIARIO(A) ENG. CIVIL </v>
      </c>
      <c r="C55" s="72" t="str">
        <f>VLOOKUP(A55,'Folha de Pagamento'!A:G,7,0)</f>
        <v>Urbanismo</v>
      </c>
      <c r="D55" s="73" t="s">
        <v>297</v>
      </c>
      <c r="E55" s="72" t="str">
        <f>VLOOKUP(A55,'Folha de Pagamento'!A:F,6,0)</f>
        <v>Operacional</v>
      </c>
      <c r="F55" s="74">
        <v>1204.0</v>
      </c>
      <c r="G55" s="75" t="s">
        <v>298</v>
      </c>
      <c r="H55" s="76" t="s">
        <v>199</v>
      </c>
      <c r="I55" s="77"/>
      <c r="J55" s="78"/>
      <c r="K55" s="79"/>
      <c r="L55" s="79"/>
      <c r="M55" s="79"/>
      <c r="N55" s="79"/>
      <c r="O55" s="79" t="s">
        <v>200</v>
      </c>
    </row>
    <row r="56" ht="15.75" customHeight="1">
      <c r="A56" s="70" t="s">
        <v>174</v>
      </c>
      <c r="B56" s="96" t="str">
        <f>VLOOKUP(A56,'Folha de Pagamento'!A:C,3,0)</f>
        <v>GERENTE DE URBANISMO</v>
      </c>
      <c r="C56" s="72" t="str">
        <f>VLOOKUP(A56,'Folha de Pagamento'!A:G,7,0)</f>
        <v>Urbanismo</v>
      </c>
      <c r="D56" s="73" t="s">
        <v>299</v>
      </c>
      <c r="E56" s="72" t="str">
        <f>VLOOKUP(A56,'Folha de Pagamento'!A:F,6,0)</f>
        <v>Tático</v>
      </c>
      <c r="F56" s="74">
        <v>473.0</v>
      </c>
      <c r="G56" s="75" t="s">
        <v>300</v>
      </c>
      <c r="H56" s="76" t="s">
        <v>199</v>
      </c>
      <c r="I56" s="77"/>
      <c r="J56" s="78"/>
      <c r="K56" s="79"/>
      <c r="L56" s="79" t="s">
        <v>203</v>
      </c>
      <c r="M56" s="79" t="s">
        <v>206</v>
      </c>
      <c r="N56" s="79" t="s">
        <v>209</v>
      </c>
      <c r="O56" s="79" t="s">
        <v>200</v>
      </c>
    </row>
    <row r="57" ht="15.75" customHeight="1">
      <c r="A57" s="70"/>
      <c r="B57" s="71"/>
      <c r="C57" s="72"/>
      <c r="D57" s="73"/>
      <c r="E57" s="72"/>
      <c r="F57" s="97"/>
      <c r="G57" s="75"/>
      <c r="H57" s="76"/>
      <c r="I57" s="77"/>
      <c r="J57" s="78"/>
      <c r="K57" s="79"/>
      <c r="L57" s="79"/>
      <c r="M57" s="79"/>
      <c r="N57" s="79"/>
      <c r="O57" s="79"/>
    </row>
    <row r="58" ht="15.75" customHeight="1">
      <c r="A58" s="70"/>
      <c r="B58" s="71"/>
      <c r="C58" s="72"/>
      <c r="D58" s="73"/>
      <c r="E58" s="72"/>
      <c r="F58" s="97"/>
      <c r="G58" s="75"/>
      <c r="H58" s="76"/>
      <c r="I58" s="77"/>
      <c r="J58" s="78"/>
      <c r="K58" s="79"/>
      <c r="L58" s="79"/>
      <c r="M58" s="79"/>
      <c r="N58" s="79"/>
      <c r="O58" s="79"/>
    </row>
    <row r="59" ht="15.75" customHeight="1">
      <c r="A59" s="70"/>
      <c r="B59" s="71"/>
      <c r="C59" s="72"/>
      <c r="D59" s="73"/>
      <c r="E59" s="72"/>
      <c r="F59" s="97"/>
      <c r="G59" s="75"/>
      <c r="H59" s="76"/>
      <c r="I59" s="77"/>
      <c r="J59" s="78"/>
      <c r="K59" s="79"/>
      <c r="L59" s="79"/>
      <c r="M59" s="79"/>
      <c r="N59" s="79"/>
      <c r="O59" s="79"/>
    </row>
    <row r="60">
      <c r="A60" s="70"/>
      <c r="B60" s="71"/>
      <c r="C60" s="72"/>
      <c r="D60" s="73"/>
      <c r="E60" s="72"/>
      <c r="F60" s="97"/>
      <c r="G60" s="75"/>
      <c r="H60" s="76"/>
      <c r="I60" s="77"/>
      <c r="J60" s="78"/>
      <c r="K60" s="79"/>
      <c r="L60" s="79"/>
      <c r="M60" s="79"/>
      <c r="N60" s="79"/>
      <c r="O60" s="79"/>
    </row>
    <row r="61" ht="15.75" customHeight="1">
      <c r="A61" s="70"/>
      <c r="B61" s="71"/>
      <c r="C61" s="72"/>
      <c r="D61" s="73"/>
      <c r="E61" s="72"/>
      <c r="F61" s="97"/>
      <c r="G61" s="75"/>
      <c r="H61" s="76"/>
      <c r="I61" s="77"/>
      <c r="J61" s="78"/>
      <c r="K61" s="79"/>
      <c r="L61" s="79"/>
      <c r="M61" s="79"/>
      <c r="N61" s="79"/>
      <c r="O61" s="79"/>
    </row>
    <row r="62" ht="15.75" customHeight="1">
      <c r="A62" s="70"/>
      <c r="B62" s="71"/>
      <c r="C62" s="72"/>
      <c r="D62" s="73"/>
      <c r="E62" s="72"/>
      <c r="F62" s="97"/>
      <c r="G62" s="75"/>
      <c r="H62" s="76"/>
      <c r="I62" s="77"/>
      <c r="J62" s="78"/>
      <c r="K62" s="79"/>
      <c r="L62" s="79"/>
      <c r="M62" s="79"/>
      <c r="N62" s="79"/>
      <c r="O62" s="79"/>
    </row>
    <row r="63" ht="15.75" customHeight="1">
      <c r="A63" s="70"/>
      <c r="B63" s="71"/>
      <c r="C63" s="72"/>
      <c r="D63" s="73"/>
      <c r="E63" s="72"/>
      <c r="F63" s="97"/>
      <c r="G63" s="75"/>
      <c r="H63" s="76"/>
      <c r="I63" s="77"/>
      <c r="J63" s="78"/>
      <c r="K63" s="79"/>
      <c r="L63" s="79"/>
      <c r="M63" s="79"/>
      <c r="N63" s="79"/>
      <c r="O63" s="79"/>
    </row>
    <row r="64" ht="15.75" customHeight="1">
      <c r="A64" s="70"/>
      <c r="B64" s="71"/>
      <c r="C64" s="72"/>
      <c r="D64" s="73"/>
      <c r="E64" s="72"/>
      <c r="F64" s="97"/>
      <c r="G64" s="75"/>
      <c r="H64" s="76"/>
      <c r="I64" s="77"/>
      <c r="J64" s="78"/>
      <c r="K64" s="79"/>
      <c r="L64" s="79"/>
      <c r="M64" s="79"/>
      <c r="N64" s="79"/>
      <c r="O64" s="79"/>
    </row>
    <row r="65" ht="15.75" customHeight="1">
      <c r="A65" s="70"/>
      <c r="B65" s="71"/>
      <c r="C65" s="72"/>
      <c r="D65" s="73"/>
      <c r="E65" s="72"/>
      <c r="F65" s="97"/>
      <c r="G65" s="75"/>
      <c r="H65" s="76"/>
      <c r="I65" s="77"/>
      <c r="J65" s="78"/>
      <c r="K65" s="79"/>
      <c r="L65" s="79"/>
      <c r="M65" s="79"/>
      <c r="N65" s="79"/>
      <c r="O65" s="79"/>
    </row>
    <row r="66" ht="16.5" customHeight="1">
      <c r="A66" s="70"/>
      <c r="B66" s="71"/>
      <c r="C66" s="72"/>
      <c r="D66" s="73"/>
      <c r="E66" s="72"/>
      <c r="F66" s="97"/>
      <c r="G66" s="75"/>
      <c r="H66" s="76"/>
      <c r="I66" s="77"/>
      <c r="J66" s="78"/>
      <c r="K66" s="79"/>
      <c r="L66" s="79"/>
      <c r="M66" s="79"/>
      <c r="N66" s="79"/>
      <c r="O66" s="79"/>
    </row>
    <row r="67" ht="15.75" customHeight="1">
      <c r="A67" s="70"/>
      <c r="B67" s="71"/>
      <c r="C67" s="72"/>
      <c r="D67" s="73"/>
      <c r="E67" s="72"/>
      <c r="F67" s="97"/>
      <c r="G67" s="75"/>
      <c r="H67" s="76"/>
      <c r="I67" s="77"/>
      <c r="J67" s="78"/>
      <c r="K67" s="79"/>
      <c r="L67" s="79"/>
      <c r="M67" s="79"/>
      <c r="N67" s="79"/>
      <c r="O67" s="79"/>
    </row>
    <row r="68">
      <c r="A68" s="70"/>
      <c r="B68" s="71"/>
      <c r="C68" s="72"/>
      <c r="D68" s="73"/>
      <c r="E68" s="72"/>
      <c r="F68" s="97"/>
      <c r="G68" s="75"/>
      <c r="H68" s="76"/>
      <c r="I68" s="77"/>
      <c r="J68" s="78"/>
      <c r="K68" s="79"/>
      <c r="L68" s="79"/>
      <c r="M68" s="79"/>
      <c r="N68" s="79"/>
      <c r="O68" s="79"/>
    </row>
    <row r="69" ht="15.75" customHeight="1">
      <c r="A69" s="70"/>
      <c r="B69" s="71"/>
      <c r="C69" s="72"/>
      <c r="D69" s="73"/>
      <c r="E69" s="72"/>
      <c r="F69" s="97"/>
      <c r="G69" s="75"/>
      <c r="H69" s="76"/>
      <c r="I69" s="77"/>
      <c r="J69" s="78"/>
      <c r="K69" s="79"/>
      <c r="L69" s="79"/>
      <c r="M69" s="79"/>
      <c r="N69" s="79"/>
      <c r="O69" s="79"/>
    </row>
    <row r="70" ht="15.75" customHeight="1">
      <c r="A70" s="70"/>
      <c r="B70" s="71"/>
      <c r="C70" s="72"/>
      <c r="D70" s="73"/>
      <c r="E70" s="72"/>
      <c r="F70" s="97"/>
      <c r="G70" s="75"/>
      <c r="H70" s="76"/>
      <c r="I70" s="77"/>
      <c r="J70" s="78"/>
      <c r="K70" s="79"/>
      <c r="L70" s="79"/>
      <c r="M70" s="79"/>
      <c r="N70" s="79"/>
      <c r="O70" s="79"/>
    </row>
    <row r="71" ht="15.75" customHeight="1">
      <c r="A71" s="70"/>
      <c r="B71" s="71"/>
      <c r="C71" s="72"/>
      <c r="D71" s="73"/>
      <c r="E71" s="72"/>
      <c r="F71" s="97"/>
      <c r="G71" s="75"/>
      <c r="H71" s="76"/>
      <c r="I71" s="77"/>
      <c r="J71" s="78"/>
      <c r="K71" s="79"/>
      <c r="L71" s="79"/>
      <c r="M71" s="79"/>
      <c r="N71" s="79"/>
      <c r="O71" s="79"/>
    </row>
    <row r="72" ht="15.75" customHeight="1">
      <c r="A72" s="70"/>
      <c r="B72" s="71"/>
      <c r="C72" s="72"/>
      <c r="D72" s="73"/>
      <c r="E72" s="72"/>
      <c r="F72" s="97"/>
      <c r="G72" s="75"/>
      <c r="H72" s="76"/>
      <c r="I72" s="77"/>
      <c r="J72" s="78"/>
      <c r="K72" s="79"/>
      <c r="L72" s="79"/>
      <c r="M72" s="79"/>
      <c r="N72" s="79"/>
      <c r="O72" s="79"/>
    </row>
    <row r="73" ht="15.75" customHeight="1">
      <c r="A73" s="70"/>
      <c r="B73" s="71"/>
      <c r="C73" s="72"/>
      <c r="D73" s="73"/>
      <c r="E73" s="72"/>
      <c r="F73" s="97"/>
      <c r="G73" s="75"/>
      <c r="H73" s="76"/>
      <c r="I73" s="77"/>
      <c r="J73" s="78"/>
      <c r="K73" s="79"/>
      <c r="L73" s="79"/>
      <c r="M73" s="79"/>
      <c r="N73" s="79"/>
      <c r="O73" s="79"/>
    </row>
    <row r="74" ht="15.75" customHeight="1">
      <c r="A74" s="70"/>
      <c r="B74" s="71"/>
      <c r="C74" s="72"/>
      <c r="D74" s="73"/>
      <c r="E74" s="72"/>
      <c r="F74" s="97"/>
      <c r="G74" s="75"/>
      <c r="H74" s="76"/>
      <c r="I74" s="77"/>
      <c r="J74" s="78"/>
      <c r="K74" s="79"/>
      <c r="L74" s="79"/>
      <c r="M74" s="79"/>
      <c r="N74" s="79"/>
      <c r="O74" s="79"/>
    </row>
    <row r="75" ht="15.75" customHeight="1">
      <c r="A75" s="70"/>
      <c r="B75" s="71"/>
      <c r="C75" s="72"/>
      <c r="D75" s="73"/>
      <c r="E75" s="72"/>
      <c r="F75" s="97"/>
      <c r="G75" s="75"/>
      <c r="H75" s="76"/>
      <c r="I75" s="77"/>
      <c r="J75" s="78"/>
      <c r="K75" s="79"/>
      <c r="L75" s="79"/>
      <c r="M75" s="79"/>
      <c r="N75" s="79"/>
      <c r="O75" s="79"/>
    </row>
    <row r="76" ht="15.75" customHeight="1">
      <c r="A76" s="70"/>
      <c r="B76" s="71"/>
      <c r="C76" s="72"/>
      <c r="D76" s="73"/>
      <c r="E76" s="72"/>
      <c r="F76" s="97"/>
      <c r="G76" s="75"/>
      <c r="H76" s="76"/>
      <c r="I76" s="77"/>
      <c r="J76" s="78"/>
      <c r="K76" s="79"/>
      <c r="L76" s="79"/>
      <c r="M76" s="79"/>
      <c r="N76" s="79"/>
      <c r="O76" s="79"/>
    </row>
    <row r="77" ht="15.75" customHeight="1">
      <c r="A77" s="70"/>
      <c r="B77" s="71"/>
      <c r="C77" s="72"/>
      <c r="D77" s="73"/>
      <c r="E77" s="72"/>
      <c r="F77" s="97"/>
      <c r="G77" s="75"/>
      <c r="H77" s="76"/>
      <c r="I77" s="77"/>
      <c r="J77" s="78"/>
      <c r="K77" s="79"/>
      <c r="L77" s="79"/>
      <c r="M77" s="79"/>
      <c r="N77" s="79"/>
      <c r="O77" s="79"/>
    </row>
    <row r="78" ht="15.75" customHeight="1">
      <c r="A78" s="70"/>
      <c r="B78" s="71"/>
      <c r="C78" s="72"/>
      <c r="D78" s="73"/>
      <c r="E78" s="72"/>
      <c r="F78" s="97"/>
      <c r="G78" s="75"/>
      <c r="H78" s="76"/>
      <c r="I78" s="77"/>
      <c r="J78" s="78"/>
      <c r="K78" s="79"/>
      <c r="L78" s="79"/>
      <c r="M78" s="79"/>
      <c r="N78" s="79"/>
      <c r="O78" s="79"/>
    </row>
    <row r="79" ht="15.75" customHeight="1">
      <c r="A79" s="70"/>
      <c r="B79" s="71"/>
      <c r="C79" s="72"/>
      <c r="D79" s="73"/>
      <c r="E79" s="72"/>
      <c r="F79" s="97"/>
      <c r="G79" s="75"/>
      <c r="H79" s="76"/>
      <c r="I79" s="77"/>
      <c r="J79" s="78"/>
      <c r="K79" s="79"/>
      <c r="L79" s="79"/>
      <c r="M79" s="79"/>
      <c r="N79" s="79"/>
      <c r="O79" s="79"/>
    </row>
    <row r="80">
      <c r="A80" s="70"/>
      <c r="B80" s="71"/>
      <c r="C80" s="72"/>
      <c r="D80" s="73"/>
      <c r="E80" s="72"/>
      <c r="F80" s="97"/>
      <c r="G80" s="75"/>
      <c r="H80" s="76"/>
      <c r="I80" s="77"/>
      <c r="J80" s="78"/>
      <c r="K80" s="79"/>
      <c r="L80" s="79"/>
      <c r="M80" s="79"/>
      <c r="N80" s="79"/>
      <c r="O80" s="79"/>
    </row>
    <row r="81" ht="15.75" customHeight="1">
      <c r="A81" s="70"/>
      <c r="B81" s="71"/>
      <c r="C81" s="72"/>
      <c r="D81" s="73"/>
      <c r="E81" s="72"/>
      <c r="F81" s="97"/>
      <c r="G81" s="75"/>
      <c r="H81" s="76"/>
      <c r="I81" s="77"/>
      <c r="J81" s="78"/>
      <c r="K81" s="79"/>
      <c r="L81" s="79"/>
      <c r="M81" s="79"/>
      <c r="N81" s="79"/>
      <c r="O81" s="79"/>
    </row>
    <row r="82" ht="15.75" customHeight="1">
      <c r="A82" s="70"/>
      <c r="B82" s="71"/>
      <c r="C82" s="72"/>
      <c r="D82" s="73"/>
      <c r="E82" s="72"/>
      <c r="F82" s="97"/>
      <c r="G82" s="75"/>
      <c r="H82" s="76"/>
      <c r="I82" s="77"/>
      <c r="J82" s="78"/>
      <c r="K82" s="79"/>
      <c r="L82" s="79"/>
      <c r="M82" s="79"/>
      <c r="N82" s="79"/>
      <c r="O82" s="79"/>
    </row>
    <row r="83" ht="15.75" customHeight="1">
      <c r="A83" s="70"/>
      <c r="B83" s="71"/>
      <c r="C83" s="72"/>
      <c r="D83" s="73"/>
      <c r="E83" s="72"/>
      <c r="F83" s="97"/>
      <c r="G83" s="75"/>
      <c r="H83" s="76"/>
      <c r="I83" s="77"/>
      <c r="J83" s="78"/>
      <c r="K83" s="79"/>
      <c r="L83" s="79"/>
      <c r="M83" s="79"/>
      <c r="N83" s="79"/>
      <c r="O83" s="79"/>
    </row>
    <row r="84" ht="15.75" customHeight="1">
      <c r="A84" s="70"/>
      <c r="B84" s="71"/>
      <c r="C84" s="72"/>
      <c r="D84" s="73"/>
      <c r="E84" s="72"/>
      <c r="F84" s="97"/>
      <c r="G84" s="75"/>
      <c r="H84" s="76"/>
      <c r="I84" s="77"/>
      <c r="J84" s="78"/>
      <c r="K84" s="79"/>
      <c r="L84" s="79"/>
      <c r="M84" s="79"/>
      <c r="N84" s="79"/>
      <c r="O84" s="79"/>
    </row>
    <row r="85" ht="15.75" customHeight="1">
      <c r="A85" s="70"/>
      <c r="B85" s="71"/>
      <c r="C85" s="72"/>
      <c r="D85" s="73"/>
      <c r="E85" s="72"/>
      <c r="F85" s="97"/>
      <c r="G85" s="75"/>
      <c r="H85" s="76"/>
      <c r="I85" s="77"/>
      <c r="J85" s="78"/>
      <c r="K85" s="79"/>
      <c r="L85" s="79"/>
      <c r="M85" s="79"/>
      <c r="N85" s="79"/>
      <c r="O85" s="79"/>
    </row>
    <row r="86" ht="15.75" customHeight="1">
      <c r="A86" s="70"/>
      <c r="B86" s="71"/>
      <c r="C86" s="72"/>
      <c r="D86" s="73"/>
      <c r="E86" s="72"/>
      <c r="F86" s="97"/>
      <c r="G86" s="75"/>
      <c r="H86" s="76"/>
      <c r="I86" s="77"/>
      <c r="J86" s="78"/>
      <c r="K86" s="79"/>
      <c r="L86" s="79"/>
      <c r="M86" s="79"/>
      <c r="N86" s="79"/>
      <c r="O86" s="79"/>
    </row>
    <row r="87" ht="15.75" customHeight="1">
      <c r="A87" s="70"/>
      <c r="B87" s="71"/>
      <c r="C87" s="72"/>
      <c r="D87" s="73"/>
      <c r="E87" s="72"/>
      <c r="F87" s="97"/>
      <c r="G87" s="75"/>
      <c r="H87" s="76"/>
      <c r="I87" s="77"/>
      <c r="J87" s="78"/>
      <c r="K87" s="79"/>
      <c r="L87" s="79"/>
      <c r="M87" s="79"/>
      <c r="N87" s="79"/>
      <c r="O87" s="79"/>
    </row>
    <row r="88" ht="15.75" customHeight="1">
      <c r="A88" s="70"/>
      <c r="B88" s="71"/>
      <c r="C88" s="72"/>
      <c r="D88" s="73"/>
      <c r="E88" s="72"/>
      <c r="F88" s="97"/>
      <c r="G88" s="75"/>
      <c r="H88" s="76"/>
      <c r="I88" s="77"/>
      <c r="J88" s="78"/>
      <c r="K88" s="79"/>
      <c r="L88" s="79"/>
      <c r="M88" s="79"/>
      <c r="N88" s="79"/>
      <c r="O88" s="79"/>
    </row>
    <row r="89" ht="15.75" customHeight="1">
      <c r="A89" s="70"/>
      <c r="B89" s="71"/>
      <c r="C89" s="72"/>
      <c r="D89" s="73"/>
      <c r="E89" s="72"/>
      <c r="F89" s="97"/>
      <c r="G89" s="75"/>
      <c r="H89" s="76"/>
      <c r="I89" s="77"/>
      <c r="J89" s="78"/>
      <c r="K89" s="79"/>
      <c r="L89" s="79"/>
      <c r="M89" s="79"/>
      <c r="N89" s="79"/>
      <c r="O89" s="79"/>
    </row>
    <row r="90" ht="15.75" customHeight="1">
      <c r="A90" s="70"/>
      <c r="B90" s="71"/>
      <c r="C90" s="72"/>
      <c r="D90" s="73"/>
      <c r="E90" s="72"/>
      <c r="F90" s="97"/>
      <c r="G90" s="75"/>
      <c r="H90" s="76"/>
      <c r="I90" s="77"/>
      <c r="J90" s="78"/>
      <c r="K90" s="79"/>
      <c r="L90" s="79"/>
      <c r="M90" s="79"/>
      <c r="N90" s="79"/>
      <c r="O90" s="79"/>
    </row>
    <row r="91" ht="15.75" customHeight="1">
      <c r="A91" s="70"/>
      <c r="B91" s="71"/>
      <c r="C91" s="72"/>
      <c r="D91" s="73"/>
      <c r="E91" s="72"/>
      <c r="F91" s="97"/>
      <c r="G91" s="75"/>
      <c r="H91" s="76"/>
      <c r="I91" s="77"/>
      <c r="J91" s="78"/>
      <c r="K91" s="79"/>
      <c r="L91" s="79"/>
      <c r="M91" s="79"/>
      <c r="N91" s="79"/>
      <c r="O91" s="79"/>
    </row>
    <row r="92" ht="15.75" customHeight="1">
      <c r="A92" s="70"/>
      <c r="B92" s="71"/>
      <c r="C92" s="72"/>
      <c r="D92" s="73"/>
      <c r="E92" s="72"/>
      <c r="F92" s="97"/>
      <c r="G92" s="75"/>
      <c r="H92" s="76"/>
      <c r="I92" s="77"/>
      <c r="J92" s="78"/>
      <c r="K92" s="79"/>
      <c r="L92" s="79"/>
      <c r="M92" s="79"/>
      <c r="N92" s="79"/>
      <c r="O92" s="79"/>
    </row>
    <row r="93" ht="15.75" customHeight="1">
      <c r="A93" s="70"/>
      <c r="B93" s="71"/>
      <c r="C93" s="72"/>
      <c r="D93" s="73"/>
      <c r="E93" s="72"/>
      <c r="F93" s="97"/>
      <c r="G93" s="75"/>
      <c r="H93" s="76"/>
      <c r="I93" s="77"/>
      <c r="J93" s="78"/>
      <c r="K93" s="79"/>
      <c r="L93" s="79"/>
      <c r="M93" s="79"/>
      <c r="N93" s="79"/>
      <c r="O93" s="79"/>
    </row>
    <row r="94" ht="15.75" customHeight="1">
      <c r="A94" s="70"/>
      <c r="B94" s="71"/>
      <c r="C94" s="72"/>
      <c r="D94" s="73"/>
      <c r="E94" s="72"/>
      <c r="F94" s="97"/>
      <c r="G94" s="75"/>
      <c r="H94" s="76"/>
      <c r="I94" s="77"/>
      <c r="J94" s="78"/>
      <c r="K94" s="79"/>
      <c r="L94" s="79"/>
      <c r="M94" s="79"/>
      <c r="N94" s="79"/>
      <c r="O94" s="79"/>
    </row>
    <row r="95" ht="15.75" customHeight="1">
      <c r="A95" s="70"/>
      <c r="B95" s="71"/>
      <c r="C95" s="72"/>
      <c r="D95" s="73"/>
      <c r="E95" s="72"/>
      <c r="F95" s="97"/>
      <c r="G95" s="75"/>
      <c r="H95" s="76"/>
      <c r="I95" s="77"/>
      <c r="J95" s="78"/>
      <c r="K95" s="79"/>
      <c r="L95" s="79"/>
      <c r="M95" s="79"/>
      <c r="N95" s="79"/>
      <c r="O95" s="79"/>
    </row>
    <row r="96" ht="15.75" customHeight="1">
      <c r="A96" s="70"/>
      <c r="B96" s="71"/>
      <c r="C96" s="72"/>
      <c r="D96" s="73"/>
      <c r="E96" s="72"/>
      <c r="F96" s="97"/>
      <c r="G96" s="75"/>
      <c r="H96" s="76"/>
      <c r="I96" s="77"/>
      <c r="J96" s="78"/>
      <c r="K96" s="79"/>
      <c r="L96" s="79"/>
      <c r="M96" s="79"/>
      <c r="N96" s="79"/>
      <c r="O96" s="79"/>
    </row>
    <row r="97" ht="15.75" customHeight="1">
      <c r="A97" s="98"/>
      <c r="B97" s="71"/>
      <c r="C97" s="99"/>
      <c r="D97" s="99"/>
      <c r="E97" s="100"/>
      <c r="F97" s="74"/>
      <c r="G97" s="75"/>
      <c r="H97" s="76"/>
      <c r="I97" s="77"/>
      <c r="J97" s="79"/>
      <c r="K97" s="79"/>
      <c r="L97" s="79"/>
      <c r="M97" s="79"/>
      <c r="N97" s="79"/>
      <c r="O97" s="79"/>
    </row>
    <row r="98" ht="15.75" customHeight="1">
      <c r="A98" s="98"/>
      <c r="B98" s="71"/>
      <c r="C98" s="99"/>
      <c r="D98" s="99"/>
      <c r="E98" s="100"/>
      <c r="F98" s="74"/>
      <c r="G98" s="75"/>
      <c r="H98" s="76"/>
      <c r="I98" s="77"/>
      <c r="J98" s="79"/>
      <c r="K98" s="79"/>
      <c r="L98" s="79"/>
      <c r="M98" s="79"/>
      <c r="N98" s="79"/>
      <c r="O98" s="79"/>
    </row>
    <row r="99" ht="15.75" customHeight="1">
      <c r="A99" s="98"/>
      <c r="B99" s="71"/>
      <c r="C99" s="99"/>
      <c r="D99" s="99"/>
      <c r="E99" s="100"/>
      <c r="F99" s="74"/>
      <c r="G99" s="75"/>
      <c r="H99" s="76"/>
      <c r="I99" s="77"/>
      <c r="J99" s="79"/>
      <c r="K99" s="79"/>
      <c r="L99" s="79"/>
      <c r="M99" s="79"/>
      <c r="N99" s="79"/>
      <c r="O99" s="79"/>
    </row>
    <row r="100" ht="15.75" customHeight="1">
      <c r="A100" s="98"/>
      <c r="B100" s="71"/>
      <c r="C100" s="99"/>
      <c r="D100" s="99"/>
      <c r="E100" s="100"/>
      <c r="F100" s="74"/>
      <c r="G100" s="75"/>
      <c r="H100" s="76"/>
      <c r="I100" s="77"/>
      <c r="J100" s="79"/>
      <c r="K100" s="79"/>
      <c r="L100" s="79"/>
      <c r="M100" s="79"/>
      <c r="N100" s="79"/>
      <c r="O100" s="79"/>
    </row>
    <row r="101" ht="15.75" customHeight="1">
      <c r="A101" s="98"/>
      <c r="B101" s="71"/>
      <c r="C101" s="99"/>
      <c r="D101" s="99"/>
      <c r="E101" s="100"/>
      <c r="F101" s="101"/>
      <c r="G101" s="75"/>
      <c r="H101" s="76"/>
      <c r="I101" s="77"/>
      <c r="J101" s="79"/>
      <c r="K101" s="79"/>
      <c r="L101" s="79"/>
      <c r="M101" s="79"/>
      <c r="N101" s="79"/>
      <c r="O101" s="79"/>
    </row>
    <row r="102" ht="15.75" customHeight="1">
      <c r="A102" s="70"/>
      <c r="B102" s="71"/>
      <c r="C102" s="99"/>
      <c r="D102" s="99"/>
      <c r="E102" s="100"/>
      <c r="F102" s="101"/>
      <c r="G102" s="75"/>
      <c r="H102" s="76"/>
      <c r="I102" s="77"/>
      <c r="J102" s="79"/>
      <c r="K102" s="79"/>
      <c r="L102" s="79"/>
      <c r="M102" s="79"/>
      <c r="N102" s="79"/>
      <c r="O102" s="79"/>
    </row>
    <row r="103" ht="15.75" customHeight="1">
      <c r="A103" s="98"/>
      <c r="B103" s="71"/>
      <c r="C103" s="99"/>
      <c r="D103" s="99"/>
      <c r="E103" s="100"/>
      <c r="F103" s="74"/>
      <c r="G103" s="75"/>
      <c r="H103" s="76"/>
      <c r="I103" s="77"/>
      <c r="J103" s="79"/>
      <c r="K103" s="79"/>
      <c r="L103" s="79"/>
      <c r="M103" s="79"/>
      <c r="N103" s="79"/>
      <c r="O103" s="79"/>
    </row>
    <row r="104" ht="15.75" customHeight="1">
      <c r="A104" s="98"/>
      <c r="B104" s="71"/>
      <c r="C104" s="99"/>
      <c r="D104" s="99"/>
      <c r="E104" s="100"/>
      <c r="F104" s="101"/>
      <c r="G104" s="75"/>
      <c r="H104" s="76"/>
      <c r="I104" s="77"/>
      <c r="J104" s="79"/>
      <c r="K104" s="79"/>
      <c r="L104" s="79"/>
      <c r="M104" s="79"/>
      <c r="N104" s="79"/>
      <c r="O104" s="79"/>
    </row>
    <row r="105" ht="15.75" customHeight="1">
      <c r="A105" s="98"/>
      <c r="B105" s="71"/>
      <c r="C105" s="99"/>
      <c r="D105" s="99"/>
      <c r="E105" s="100"/>
      <c r="F105" s="101"/>
      <c r="G105" s="75"/>
      <c r="H105" s="76"/>
      <c r="I105" s="77"/>
      <c r="J105" s="79"/>
      <c r="K105" s="79"/>
      <c r="L105" s="79"/>
      <c r="M105" s="79"/>
      <c r="N105" s="79"/>
      <c r="O105" s="79"/>
    </row>
    <row r="106" ht="15.75" customHeight="1">
      <c r="A106" s="98"/>
      <c r="B106" s="71"/>
      <c r="C106" s="99"/>
      <c r="D106" s="99"/>
      <c r="E106" s="100"/>
      <c r="F106" s="101"/>
      <c r="G106" s="75"/>
      <c r="H106" s="76"/>
      <c r="I106" s="77"/>
      <c r="J106" s="79"/>
      <c r="K106" s="79"/>
      <c r="L106" s="79"/>
      <c r="M106" s="79"/>
      <c r="N106" s="79"/>
      <c r="O106" s="79"/>
    </row>
    <row r="107" ht="15.75" customHeight="1">
      <c r="A107" s="98"/>
      <c r="B107" s="71"/>
      <c r="C107" s="99"/>
      <c r="D107" s="99"/>
      <c r="E107" s="100"/>
      <c r="F107" s="74"/>
      <c r="G107" s="75"/>
      <c r="H107" s="76"/>
      <c r="I107" s="77"/>
      <c r="J107" s="79"/>
      <c r="K107" s="79"/>
      <c r="L107" s="79"/>
      <c r="M107" s="79"/>
      <c r="N107" s="79"/>
      <c r="O107" s="79"/>
    </row>
    <row r="108" ht="15.75" customHeight="1">
      <c r="A108" s="98"/>
      <c r="B108" s="71"/>
      <c r="C108" s="99"/>
      <c r="D108" s="99"/>
      <c r="E108" s="100"/>
      <c r="F108" s="74"/>
      <c r="G108" s="75"/>
      <c r="H108" s="76"/>
      <c r="I108" s="77"/>
      <c r="J108" s="79"/>
      <c r="K108" s="79"/>
      <c r="L108" s="79"/>
      <c r="M108" s="79"/>
      <c r="N108" s="79"/>
      <c r="O108" s="79"/>
    </row>
    <row r="109" ht="15.75" customHeight="1">
      <c r="A109" s="98"/>
      <c r="B109" s="71"/>
      <c r="C109" s="99"/>
      <c r="D109" s="99"/>
      <c r="E109" s="100"/>
      <c r="F109" s="74"/>
      <c r="G109" s="75"/>
      <c r="H109" s="76"/>
      <c r="I109" s="77"/>
      <c r="J109" s="79"/>
      <c r="K109" s="79"/>
      <c r="L109" s="79"/>
      <c r="M109" s="79"/>
      <c r="N109" s="79"/>
      <c r="O109" s="79"/>
    </row>
    <row r="110" ht="15.75" customHeight="1">
      <c r="A110" s="98"/>
      <c r="B110" s="71"/>
      <c r="C110" s="99"/>
      <c r="D110" s="99"/>
      <c r="E110" s="100"/>
      <c r="F110" s="74"/>
      <c r="G110" s="75"/>
      <c r="H110" s="76"/>
      <c r="I110" s="77"/>
      <c r="J110" s="79"/>
      <c r="K110" s="79"/>
      <c r="L110" s="79"/>
      <c r="M110" s="79"/>
      <c r="N110" s="79"/>
      <c r="O110" s="79"/>
    </row>
    <row r="111" ht="15.75" customHeight="1">
      <c r="A111" s="98"/>
      <c r="B111" s="71"/>
      <c r="C111" s="99"/>
      <c r="D111" s="99"/>
      <c r="E111" s="100"/>
      <c r="F111" s="74"/>
      <c r="G111" s="75"/>
      <c r="H111" s="76"/>
      <c r="I111" s="77"/>
      <c r="J111" s="79"/>
      <c r="K111" s="79"/>
      <c r="L111" s="79"/>
      <c r="M111" s="79"/>
      <c r="N111" s="79"/>
      <c r="O111" s="79"/>
    </row>
    <row r="112" ht="15.75" customHeight="1">
      <c r="A112" s="98"/>
      <c r="B112" s="71"/>
      <c r="C112" s="99"/>
      <c r="D112" s="99"/>
      <c r="E112" s="100"/>
      <c r="F112" s="74"/>
      <c r="G112" s="75"/>
      <c r="H112" s="76"/>
      <c r="I112" s="77"/>
      <c r="J112" s="79"/>
      <c r="K112" s="79"/>
      <c r="L112" s="79"/>
      <c r="M112" s="79"/>
      <c r="N112" s="79"/>
      <c r="O112" s="79"/>
    </row>
    <row r="113" ht="15.75" customHeight="1">
      <c r="A113" s="98"/>
      <c r="B113" s="71"/>
      <c r="C113" s="99"/>
      <c r="D113" s="99"/>
      <c r="E113" s="100"/>
      <c r="F113" s="74"/>
      <c r="G113" s="75"/>
      <c r="H113" s="76"/>
      <c r="I113" s="77"/>
      <c r="J113" s="79"/>
      <c r="K113" s="79"/>
      <c r="L113" s="79"/>
      <c r="M113" s="79"/>
      <c r="N113" s="79"/>
      <c r="O113" s="79"/>
    </row>
    <row r="114" ht="15.75" customHeight="1">
      <c r="A114" s="98"/>
      <c r="B114" s="71"/>
      <c r="C114" s="99"/>
      <c r="D114" s="99"/>
      <c r="E114" s="100"/>
      <c r="F114" s="74"/>
      <c r="G114" s="75"/>
      <c r="H114" s="76"/>
      <c r="I114" s="77"/>
      <c r="J114" s="79"/>
      <c r="K114" s="79"/>
      <c r="L114" s="79"/>
      <c r="M114" s="79"/>
      <c r="N114" s="79"/>
      <c r="O114" s="79"/>
    </row>
    <row r="115" ht="15.75" customHeight="1">
      <c r="A115" s="98"/>
      <c r="B115" s="71"/>
      <c r="C115" s="99"/>
      <c r="D115" s="99"/>
      <c r="E115" s="100"/>
      <c r="F115" s="74"/>
      <c r="G115" s="75"/>
      <c r="H115" s="76"/>
      <c r="I115" s="77"/>
      <c r="J115" s="79"/>
      <c r="K115" s="79"/>
      <c r="L115" s="79"/>
      <c r="M115" s="79"/>
      <c r="N115" s="79"/>
      <c r="O115" s="79"/>
    </row>
    <row r="116" ht="15.75" customHeight="1">
      <c r="A116" s="98"/>
      <c r="B116" s="71"/>
      <c r="C116" s="99"/>
      <c r="D116" s="99"/>
      <c r="E116" s="100"/>
      <c r="F116" s="74"/>
      <c r="G116" s="75"/>
      <c r="H116" s="76"/>
      <c r="I116" s="77"/>
      <c r="J116" s="79"/>
      <c r="K116" s="79"/>
      <c r="L116" s="79"/>
      <c r="M116" s="79"/>
      <c r="N116" s="79"/>
      <c r="O116" s="79"/>
    </row>
    <row r="117" ht="15.75" customHeight="1">
      <c r="A117" s="98"/>
      <c r="B117" s="71"/>
      <c r="C117" s="99"/>
      <c r="D117" s="99"/>
      <c r="E117" s="100"/>
      <c r="F117" s="74"/>
      <c r="G117" s="75"/>
      <c r="H117" s="76"/>
      <c r="I117" s="77"/>
      <c r="J117" s="79"/>
      <c r="K117" s="79"/>
      <c r="L117" s="79"/>
      <c r="M117" s="79"/>
      <c r="N117" s="79"/>
      <c r="O117" s="79"/>
    </row>
    <row r="118" ht="15.75" customHeight="1">
      <c r="A118" s="98"/>
      <c r="B118" s="71"/>
      <c r="C118" s="99"/>
      <c r="D118" s="99"/>
      <c r="E118" s="100"/>
      <c r="F118" s="74"/>
      <c r="G118" s="75"/>
      <c r="H118" s="76"/>
      <c r="I118" s="77"/>
      <c r="J118" s="79"/>
      <c r="K118" s="79"/>
      <c r="L118" s="79"/>
      <c r="M118" s="79"/>
      <c r="N118" s="79"/>
      <c r="O118" s="79"/>
    </row>
    <row r="119" ht="15.75" customHeight="1">
      <c r="A119" s="98"/>
      <c r="B119" s="71"/>
      <c r="C119" s="99"/>
      <c r="D119" s="99"/>
      <c r="E119" s="100"/>
      <c r="F119" s="74"/>
      <c r="G119" s="75"/>
      <c r="H119" s="76"/>
      <c r="I119" s="77"/>
      <c r="J119" s="79"/>
      <c r="K119" s="79"/>
      <c r="L119" s="79"/>
      <c r="M119" s="79"/>
      <c r="N119" s="79"/>
      <c r="O119" s="79"/>
    </row>
    <row r="120" ht="15.75" customHeight="1">
      <c r="A120" s="98"/>
      <c r="B120" s="71"/>
      <c r="C120" s="99"/>
      <c r="D120" s="99"/>
      <c r="E120" s="100"/>
      <c r="F120" s="101"/>
      <c r="G120" s="75"/>
      <c r="H120" s="76"/>
      <c r="I120" s="77"/>
      <c r="J120" s="79"/>
      <c r="K120" s="79"/>
      <c r="L120" s="79"/>
      <c r="M120" s="79"/>
      <c r="N120" s="79"/>
      <c r="O120" s="79"/>
    </row>
    <row r="121" ht="15.75" customHeight="1">
      <c r="A121" s="98"/>
      <c r="B121" s="71"/>
      <c r="C121" s="99"/>
      <c r="D121" s="99"/>
      <c r="E121" s="100"/>
      <c r="F121" s="74"/>
      <c r="G121" s="75"/>
      <c r="H121" s="76"/>
      <c r="I121" s="77"/>
      <c r="J121" s="79"/>
      <c r="K121" s="79"/>
      <c r="L121" s="79"/>
      <c r="M121" s="79"/>
      <c r="N121" s="79"/>
      <c r="O121" s="79"/>
    </row>
    <row r="122" ht="15.75" customHeight="1">
      <c r="A122" s="98"/>
      <c r="B122" s="71"/>
      <c r="C122" s="99"/>
      <c r="D122" s="99"/>
      <c r="E122" s="100"/>
      <c r="F122" s="101"/>
      <c r="G122" s="75"/>
      <c r="H122" s="76"/>
      <c r="I122" s="77"/>
      <c r="J122" s="79"/>
      <c r="K122" s="79"/>
      <c r="L122" s="79"/>
      <c r="M122" s="79"/>
      <c r="N122" s="79"/>
      <c r="O122" s="79"/>
    </row>
    <row r="123" ht="15.75" customHeight="1">
      <c r="A123" s="98"/>
      <c r="B123" s="71"/>
      <c r="C123" s="99"/>
      <c r="D123" s="99"/>
      <c r="E123" s="100"/>
      <c r="F123" s="101"/>
      <c r="G123" s="75"/>
      <c r="H123" s="76"/>
      <c r="I123" s="77"/>
      <c r="J123" s="79"/>
      <c r="K123" s="79"/>
      <c r="L123" s="79"/>
      <c r="M123" s="79"/>
      <c r="N123" s="79"/>
      <c r="O123" s="79"/>
    </row>
    <row r="124" ht="15.75" customHeight="1">
      <c r="A124" s="98"/>
      <c r="B124" s="71"/>
      <c r="C124" s="99"/>
      <c r="D124" s="99"/>
      <c r="E124" s="100"/>
      <c r="F124" s="101"/>
      <c r="G124" s="75"/>
      <c r="H124" s="76"/>
      <c r="I124" s="77"/>
      <c r="J124" s="79"/>
      <c r="K124" s="79"/>
      <c r="L124" s="79"/>
      <c r="M124" s="79"/>
      <c r="N124" s="79"/>
      <c r="O124" s="79"/>
    </row>
    <row r="125" ht="15.75" customHeight="1">
      <c r="A125" s="98"/>
      <c r="B125" s="71"/>
      <c r="C125" s="99"/>
      <c r="D125" s="99"/>
      <c r="E125" s="100"/>
      <c r="F125" s="101"/>
      <c r="G125" s="75"/>
      <c r="H125" s="76"/>
      <c r="I125" s="77"/>
      <c r="J125" s="79"/>
      <c r="K125" s="79"/>
      <c r="L125" s="79"/>
      <c r="M125" s="79"/>
      <c r="N125" s="79"/>
      <c r="O125" s="79"/>
    </row>
    <row r="126" ht="15.75" customHeight="1">
      <c r="A126" s="98"/>
      <c r="B126" s="71"/>
      <c r="C126" s="99"/>
      <c r="D126" s="99"/>
      <c r="E126" s="100"/>
      <c r="F126" s="101"/>
      <c r="G126" s="75"/>
      <c r="H126" s="76"/>
      <c r="I126" s="77"/>
      <c r="J126" s="79"/>
      <c r="K126" s="79"/>
      <c r="L126" s="79"/>
      <c r="M126" s="79"/>
      <c r="N126" s="79"/>
      <c r="O126" s="79"/>
    </row>
    <row r="127" ht="15.75" customHeight="1">
      <c r="A127" s="98"/>
      <c r="B127" s="71"/>
      <c r="C127" s="99"/>
      <c r="D127" s="99"/>
      <c r="E127" s="100"/>
      <c r="F127" s="101"/>
      <c r="G127" s="75"/>
      <c r="H127" s="76"/>
      <c r="I127" s="77"/>
      <c r="J127" s="79"/>
      <c r="K127" s="79"/>
      <c r="L127" s="79"/>
      <c r="M127" s="79"/>
      <c r="N127" s="79"/>
      <c r="O127" s="79"/>
    </row>
    <row r="128" ht="15.75" customHeight="1">
      <c r="A128" s="98"/>
      <c r="B128" s="71"/>
      <c r="C128" s="99"/>
      <c r="D128" s="99"/>
      <c r="E128" s="100"/>
      <c r="F128" s="101"/>
      <c r="G128" s="75"/>
      <c r="H128" s="76"/>
      <c r="I128" s="102"/>
      <c r="J128" s="103"/>
      <c r="K128" s="103"/>
      <c r="L128" s="103"/>
      <c r="M128" s="103"/>
      <c r="N128" s="103"/>
      <c r="O128" s="103"/>
    </row>
    <row r="129" ht="15.75" customHeight="1">
      <c r="A129" s="98"/>
      <c r="B129" s="71"/>
      <c r="C129" s="99"/>
      <c r="D129" s="99"/>
      <c r="E129" s="100"/>
      <c r="F129" s="101"/>
      <c r="G129" s="75"/>
      <c r="H129" s="76"/>
      <c r="I129" s="77"/>
      <c r="J129" s="79"/>
      <c r="K129" s="79"/>
      <c r="L129" s="79"/>
      <c r="M129" s="79"/>
      <c r="N129" s="79"/>
      <c r="O129" s="79"/>
    </row>
    <row r="130" ht="15.75" customHeight="1">
      <c r="A130" s="98"/>
      <c r="B130" s="71"/>
      <c r="C130" s="99"/>
      <c r="D130" s="99"/>
      <c r="E130" s="100"/>
      <c r="F130" s="101"/>
      <c r="G130" s="75"/>
      <c r="H130" s="76"/>
      <c r="I130" s="77"/>
      <c r="J130" s="79"/>
      <c r="K130" s="79"/>
      <c r="L130" s="79"/>
      <c r="M130" s="79"/>
      <c r="N130" s="79"/>
      <c r="O130" s="79"/>
    </row>
    <row r="131" ht="15.75" customHeight="1">
      <c r="A131" s="98"/>
      <c r="B131" s="71"/>
      <c r="C131" s="99"/>
      <c r="D131" s="99"/>
      <c r="E131" s="100"/>
      <c r="F131" s="101"/>
      <c r="G131" s="75"/>
      <c r="H131" s="76"/>
      <c r="I131" s="77"/>
      <c r="J131" s="79"/>
      <c r="K131" s="79"/>
      <c r="L131" s="79"/>
      <c r="M131" s="79"/>
      <c r="N131" s="79"/>
      <c r="O131" s="79"/>
    </row>
    <row r="132" ht="15.75" customHeight="1">
      <c r="A132" s="98"/>
      <c r="B132" s="71"/>
      <c r="C132" s="99"/>
      <c r="D132" s="99"/>
      <c r="E132" s="100"/>
      <c r="F132" s="101"/>
      <c r="G132" s="75"/>
      <c r="H132" s="76"/>
      <c r="I132" s="77"/>
      <c r="J132" s="79"/>
      <c r="K132" s="79"/>
      <c r="L132" s="79"/>
      <c r="M132" s="79"/>
      <c r="N132" s="79"/>
      <c r="O132" s="79"/>
    </row>
    <row r="133" ht="15.75" customHeight="1">
      <c r="A133" s="98"/>
      <c r="B133" s="71"/>
      <c r="C133" s="99"/>
      <c r="D133" s="99"/>
      <c r="E133" s="100"/>
      <c r="F133" s="101"/>
      <c r="G133" s="75"/>
      <c r="H133" s="76"/>
      <c r="I133" s="77"/>
      <c r="J133" s="79"/>
      <c r="K133" s="79"/>
      <c r="L133" s="79"/>
      <c r="M133" s="79"/>
      <c r="N133" s="79"/>
      <c r="O133" s="79"/>
    </row>
    <row r="134" ht="15.75" customHeight="1">
      <c r="A134" s="98"/>
      <c r="B134" s="71"/>
      <c r="C134" s="99"/>
      <c r="D134" s="99"/>
      <c r="E134" s="100"/>
      <c r="F134" s="101"/>
      <c r="G134" s="75"/>
      <c r="H134" s="76"/>
      <c r="I134" s="77"/>
      <c r="J134" s="79"/>
      <c r="K134" s="79"/>
      <c r="L134" s="79"/>
      <c r="M134" s="79"/>
      <c r="N134" s="79"/>
      <c r="O134" s="79"/>
    </row>
    <row r="135" ht="15.75" customHeight="1">
      <c r="A135" s="98"/>
      <c r="B135" s="71"/>
      <c r="C135" s="99"/>
      <c r="D135" s="99"/>
      <c r="E135" s="100"/>
      <c r="F135" s="101"/>
      <c r="G135" s="75"/>
      <c r="H135" s="76"/>
      <c r="I135" s="77"/>
      <c r="J135" s="79"/>
      <c r="K135" s="79"/>
      <c r="L135" s="79"/>
      <c r="M135" s="79"/>
      <c r="N135" s="79"/>
      <c r="O135" s="79"/>
    </row>
    <row r="136" ht="15.75" customHeight="1">
      <c r="A136" s="98"/>
      <c r="B136" s="71"/>
      <c r="C136" s="99"/>
      <c r="D136" s="99"/>
      <c r="E136" s="100"/>
      <c r="F136" s="101"/>
      <c r="G136" s="75"/>
      <c r="H136" s="76"/>
      <c r="I136" s="77"/>
      <c r="J136" s="79"/>
      <c r="K136" s="79"/>
      <c r="L136" s="79"/>
      <c r="M136" s="79"/>
      <c r="N136" s="79"/>
      <c r="O136" s="79"/>
    </row>
    <row r="137" ht="15.75" customHeight="1">
      <c r="A137" s="98"/>
      <c r="B137" s="71"/>
      <c r="C137" s="99"/>
      <c r="D137" s="99"/>
      <c r="E137" s="100"/>
      <c r="F137" s="101"/>
      <c r="G137" s="75"/>
      <c r="H137" s="76"/>
      <c r="I137" s="77"/>
      <c r="J137" s="79"/>
      <c r="K137" s="79"/>
      <c r="L137" s="79"/>
      <c r="M137" s="79"/>
      <c r="N137" s="79"/>
      <c r="O137" s="79"/>
    </row>
    <row r="138" ht="15.75" customHeight="1">
      <c r="A138" s="98"/>
      <c r="B138" s="71"/>
      <c r="C138" s="99"/>
      <c r="D138" s="99"/>
      <c r="E138" s="100"/>
      <c r="F138" s="101"/>
      <c r="G138" s="75"/>
      <c r="H138" s="76"/>
      <c r="I138" s="104"/>
      <c r="J138" s="105"/>
      <c r="K138" s="105"/>
      <c r="L138" s="105"/>
      <c r="M138" s="105"/>
      <c r="N138" s="105"/>
      <c r="O138" s="105"/>
    </row>
    <row r="139" ht="15.75" customHeight="1">
      <c r="A139" s="98"/>
      <c r="B139" s="71"/>
      <c r="C139" s="99"/>
      <c r="D139" s="99"/>
      <c r="E139" s="100"/>
      <c r="F139" s="101"/>
      <c r="G139" s="75"/>
      <c r="H139" s="76"/>
      <c r="I139" s="77"/>
      <c r="J139" s="79"/>
      <c r="K139" s="79"/>
      <c r="L139" s="79"/>
      <c r="M139" s="79"/>
      <c r="N139" s="79"/>
      <c r="O139" s="79"/>
    </row>
    <row r="140" ht="15.75" customHeight="1">
      <c r="A140" s="98"/>
      <c r="B140" s="71"/>
      <c r="C140" s="99"/>
      <c r="D140" s="99"/>
      <c r="E140" s="100"/>
      <c r="F140" s="101"/>
      <c r="G140" s="75"/>
      <c r="H140" s="76"/>
      <c r="I140" s="77"/>
      <c r="J140" s="79"/>
      <c r="K140" s="79"/>
      <c r="L140" s="79"/>
      <c r="M140" s="79"/>
      <c r="N140" s="79"/>
      <c r="O140" s="79"/>
    </row>
    <row r="141" ht="15.75" customHeight="1">
      <c r="A141" s="98"/>
      <c r="B141" s="71"/>
      <c r="C141" s="99"/>
      <c r="D141" s="99"/>
      <c r="E141" s="100"/>
      <c r="F141" s="101"/>
      <c r="G141" s="75"/>
      <c r="H141" s="76"/>
      <c r="I141" s="77"/>
      <c r="J141" s="79"/>
      <c r="K141" s="79"/>
      <c r="L141" s="79"/>
      <c r="M141" s="79"/>
      <c r="N141" s="79"/>
      <c r="O141" s="79"/>
    </row>
    <row r="142" ht="15.75" customHeight="1">
      <c r="A142" s="70"/>
      <c r="B142" s="71"/>
      <c r="C142" s="99"/>
      <c r="D142" s="99"/>
      <c r="E142" s="100"/>
      <c r="F142" s="101"/>
      <c r="G142" s="75"/>
      <c r="H142" s="76"/>
      <c r="I142" s="77"/>
      <c r="J142" s="79"/>
      <c r="K142" s="79"/>
      <c r="L142" s="79"/>
      <c r="M142" s="79"/>
      <c r="N142" s="79"/>
      <c r="O142" s="79"/>
    </row>
    <row r="143" ht="15.75" customHeight="1">
      <c r="A143" s="70"/>
      <c r="B143" s="71"/>
      <c r="C143" s="99"/>
      <c r="D143" s="99"/>
      <c r="E143" s="100"/>
      <c r="F143" s="101"/>
      <c r="G143" s="75"/>
      <c r="H143" s="76"/>
      <c r="I143" s="77"/>
      <c r="J143" s="79"/>
      <c r="K143" s="79"/>
      <c r="L143" s="79"/>
      <c r="M143" s="79"/>
      <c r="N143" s="79"/>
      <c r="O143" s="79"/>
    </row>
    <row r="144" ht="15.75" customHeight="1">
      <c r="A144" s="70"/>
      <c r="B144" s="71"/>
      <c r="C144" s="99"/>
      <c r="D144" s="99"/>
      <c r="E144" s="100"/>
      <c r="F144" s="101"/>
      <c r="G144" s="75"/>
      <c r="H144" s="76"/>
      <c r="I144" s="77"/>
      <c r="J144" s="79"/>
      <c r="K144" s="79"/>
      <c r="L144" s="79"/>
      <c r="M144" s="79"/>
      <c r="N144" s="79"/>
      <c r="O144" s="79"/>
    </row>
    <row r="145" ht="15.75" customHeight="1">
      <c r="A145" s="70"/>
      <c r="B145" s="71"/>
      <c r="C145" s="99"/>
      <c r="D145" s="99"/>
      <c r="E145" s="100"/>
      <c r="F145" s="101"/>
      <c r="G145" s="75"/>
      <c r="H145" s="76"/>
      <c r="I145" s="102"/>
      <c r="J145" s="103"/>
      <c r="K145" s="103"/>
      <c r="L145" s="103"/>
      <c r="M145" s="103"/>
      <c r="N145" s="103"/>
      <c r="O145" s="103"/>
    </row>
    <row r="146" ht="15.75" customHeight="1">
      <c r="A146" s="70"/>
      <c r="B146" s="71"/>
      <c r="C146" s="99"/>
      <c r="D146" s="99"/>
      <c r="E146" s="100"/>
      <c r="F146" s="101"/>
      <c r="G146" s="75"/>
      <c r="H146" s="76"/>
      <c r="I146" s="77"/>
      <c r="J146" s="79"/>
      <c r="K146" s="79"/>
      <c r="L146" s="79"/>
      <c r="M146" s="79"/>
      <c r="N146" s="79"/>
      <c r="O146" s="79"/>
    </row>
    <row r="147" ht="15.75" customHeight="1">
      <c r="A147" s="70"/>
      <c r="B147" s="71"/>
      <c r="C147" s="99"/>
      <c r="D147" s="99"/>
      <c r="E147" s="100"/>
      <c r="F147" s="101"/>
      <c r="G147" s="75"/>
      <c r="H147" s="76"/>
      <c r="I147" s="77"/>
      <c r="J147" s="79"/>
      <c r="K147" s="79"/>
      <c r="L147" s="79"/>
      <c r="M147" s="79"/>
      <c r="N147" s="79"/>
      <c r="O147" s="79"/>
    </row>
    <row r="148" ht="15.75" customHeight="1">
      <c r="A148" s="70"/>
      <c r="B148" s="71"/>
      <c r="C148" s="99"/>
      <c r="D148" s="99"/>
      <c r="E148" s="100"/>
      <c r="F148" s="101"/>
      <c r="G148" s="75"/>
      <c r="H148" s="76"/>
      <c r="I148" s="77"/>
      <c r="J148" s="79"/>
      <c r="K148" s="79"/>
      <c r="L148" s="79"/>
      <c r="M148" s="79"/>
      <c r="N148" s="79"/>
      <c r="O148" s="79"/>
    </row>
    <row r="149" ht="15.75" customHeight="1">
      <c r="A149" s="70"/>
      <c r="B149" s="71"/>
      <c r="C149" s="99"/>
      <c r="D149" s="99"/>
      <c r="E149" s="100"/>
      <c r="F149" s="101"/>
      <c r="G149" s="75"/>
      <c r="H149" s="76"/>
      <c r="I149" s="77"/>
      <c r="J149" s="79"/>
      <c r="K149" s="79"/>
      <c r="L149" s="79"/>
      <c r="M149" s="79"/>
      <c r="N149" s="79"/>
      <c r="O149" s="79"/>
    </row>
    <row r="150" ht="15.75" customHeight="1">
      <c r="A150" s="70"/>
      <c r="B150" s="71"/>
      <c r="C150" s="99"/>
      <c r="D150" s="99"/>
      <c r="E150" s="100"/>
      <c r="F150" s="101"/>
      <c r="G150" s="75"/>
      <c r="H150" s="76"/>
      <c r="I150" s="77"/>
      <c r="J150" s="79"/>
      <c r="K150" s="79"/>
      <c r="L150" s="79"/>
      <c r="M150" s="79"/>
      <c r="N150" s="79"/>
      <c r="O150" s="79"/>
    </row>
    <row r="151" ht="15.75" customHeight="1">
      <c r="A151" s="70"/>
      <c r="B151" s="71"/>
      <c r="C151" s="99"/>
      <c r="D151" s="99"/>
      <c r="E151" s="100"/>
      <c r="F151" s="101"/>
      <c r="G151" s="75"/>
      <c r="H151" s="76"/>
      <c r="I151" s="77"/>
      <c r="J151" s="79"/>
      <c r="K151" s="79"/>
      <c r="L151" s="79"/>
      <c r="M151" s="79"/>
      <c r="N151" s="79"/>
      <c r="O151" s="79"/>
    </row>
    <row r="152" ht="15.75" customHeight="1">
      <c r="A152" s="70"/>
      <c r="B152" s="71"/>
      <c r="C152" s="99"/>
      <c r="D152" s="99"/>
      <c r="E152" s="100"/>
      <c r="F152" s="101"/>
      <c r="G152" s="75"/>
      <c r="H152" s="76"/>
      <c r="I152" s="77"/>
      <c r="J152" s="79"/>
      <c r="K152" s="79"/>
      <c r="L152" s="79"/>
      <c r="M152" s="79"/>
      <c r="N152" s="79"/>
      <c r="O152" s="79"/>
    </row>
    <row r="153" ht="15.75" customHeight="1">
      <c r="A153" s="70"/>
      <c r="B153" s="71"/>
      <c r="C153" s="99"/>
      <c r="D153" s="99"/>
      <c r="E153" s="100"/>
      <c r="F153" s="101"/>
      <c r="G153" s="75"/>
      <c r="H153" s="76"/>
      <c r="I153" s="77"/>
      <c r="J153" s="79"/>
      <c r="K153" s="79"/>
      <c r="L153" s="79"/>
      <c r="M153" s="79"/>
      <c r="N153" s="79"/>
      <c r="O153" s="79"/>
    </row>
    <row r="154" ht="15.75" customHeight="1">
      <c r="A154" s="70"/>
      <c r="B154" s="71"/>
      <c r="C154" s="99"/>
      <c r="D154" s="99"/>
      <c r="E154" s="100"/>
      <c r="F154" s="101"/>
      <c r="G154" s="75"/>
      <c r="H154" s="76"/>
      <c r="I154" s="77"/>
      <c r="J154" s="79"/>
      <c r="K154" s="79"/>
      <c r="L154" s="79"/>
      <c r="M154" s="79"/>
      <c r="N154" s="79"/>
      <c r="O154" s="79"/>
    </row>
  </sheetData>
  <autoFilter ref="$A$3:$O$96">
    <sortState ref="A3:O96">
      <sortCondition ref="C3:C96"/>
    </sortState>
  </autoFilter>
  <customSheetViews>
    <customSheetView guid="{AE1C2DCB-8E38-4814-A2B6-4FA835707C99}" filter="1" showAutoFilter="1">
      <autoFilter ref="$A$3:$I$122"/>
    </customSheetView>
    <customSheetView guid="{D3F3141A-6664-45F4-A1B4-8A03D37FB508}" filter="1" showAutoFilter="1">
      <autoFilter ref="$A$3:$I$122"/>
    </customSheetView>
  </customSheetViews>
  <mergeCells count="2">
    <mergeCell ref="A1:O1"/>
    <mergeCell ref="L3:O3"/>
  </mergeCells>
  <conditionalFormatting sqref="K1:K154">
    <cfRule type="cellIs" dxfId="0" priority="1" operator="equal">
      <formula>"Construção"</formula>
    </cfRule>
  </conditionalFormatting>
  <conditionalFormatting sqref="K1:K154">
    <cfRule type="cellIs" dxfId="1" priority="2" operator="equal">
      <formula>"TI"</formula>
    </cfRule>
  </conditionalFormatting>
  <conditionalFormatting sqref="K1:K154">
    <cfRule type="cellIs" dxfId="2" priority="3" operator="equal">
      <formula>"Geral"</formula>
    </cfRule>
  </conditionalFormatting>
  <conditionalFormatting sqref="K1:K154">
    <cfRule type="cellIs" dxfId="3" priority="4" operator="equal">
      <formula>"Industria"</formula>
    </cfRule>
  </conditionalFormatting>
  <dataValidations>
    <dataValidation type="list" allowBlank="1" showErrorMessage="1" sqref="E4:E154">
      <formula1>"Estratégico,Tático,Operacional"</formula1>
    </dataValidation>
    <dataValidation type="list" allowBlank="1" sqref="H4:H154">
      <formula1>"Indiferente,Júnior,Pleno,Sênior,Master,Especialista"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0"/>
  <cols>
    <col customWidth="1" min="1" max="1" width="7.0"/>
    <col customWidth="1" min="2" max="2" width="24.88"/>
    <col customWidth="1" min="3" max="3" width="17.0"/>
    <col customWidth="1" hidden="1" min="4" max="4" width="10.25"/>
    <col customWidth="1" min="5" max="5" width="18.38"/>
    <col customWidth="1" min="6" max="6" width="14.5"/>
    <col customWidth="1" min="7" max="7" width="17.63"/>
    <col customWidth="1" min="8" max="8" width="32.38"/>
    <col customWidth="1" min="9" max="9" width="27.63"/>
    <col customWidth="1" min="10" max="10" width="11.75"/>
    <col customWidth="1" min="11" max="11" width="17.38"/>
    <col customWidth="1" min="12" max="12" width="21.63"/>
    <col customWidth="1" min="13" max="13" width="14.75"/>
    <col customWidth="1" min="14" max="14" width="10.88"/>
    <col customWidth="1" min="15" max="16" width="10.13"/>
    <col customWidth="1" min="17" max="17" width="10.88"/>
    <col customWidth="1" min="18" max="18" width="14.0"/>
    <col customWidth="1" min="19" max="19" width="18.75"/>
    <col customWidth="1" min="20" max="20" width="27.38"/>
  </cols>
  <sheetData>
    <row r="1">
      <c r="B1" s="106"/>
      <c r="C1" s="106"/>
      <c r="D1" s="106"/>
      <c r="E1" s="106"/>
      <c r="F1" s="106"/>
      <c r="G1" s="106"/>
      <c r="H1" s="107" t="s">
        <v>301</v>
      </c>
      <c r="I1" s="106"/>
      <c r="J1" s="106"/>
      <c r="K1" s="106"/>
      <c r="L1" s="106"/>
      <c r="M1" s="108" t="str">
        <f>'Informações Relevantes Pesquisa'!A1</f>
        <v>Pesquisa Contrução Civil e Consolidadas</v>
      </c>
      <c r="N1" s="109"/>
      <c r="O1" s="109"/>
      <c r="P1" s="109"/>
      <c r="Q1" s="109"/>
      <c r="R1" s="110"/>
      <c r="S1" s="111" t="str">
        <f>"% Distância da "&amp;'Painel Geral'!B5</f>
        <v>% Distância da Mediana</v>
      </c>
      <c r="T1" s="111" t="s">
        <v>302</v>
      </c>
    </row>
    <row r="2" ht="6.0" customHeight="1">
      <c r="A2" s="112"/>
      <c r="B2" s="113"/>
      <c r="C2" s="114"/>
      <c r="D2" s="115"/>
      <c r="E2" s="113"/>
      <c r="F2" s="113"/>
      <c r="G2" s="113"/>
      <c r="H2" s="115"/>
      <c r="I2" s="113"/>
      <c r="J2" s="113"/>
      <c r="K2" s="113"/>
      <c r="L2" s="116"/>
      <c r="M2" s="117"/>
      <c r="N2" s="118"/>
      <c r="O2" s="118"/>
      <c r="P2" s="118"/>
      <c r="Q2" s="118"/>
      <c r="R2" s="119"/>
      <c r="S2" s="120"/>
      <c r="T2" s="119"/>
    </row>
    <row r="3">
      <c r="A3" s="121" t="s">
        <v>2</v>
      </c>
      <c r="B3" s="122" t="s">
        <v>190</v>
      </c>
      <c r="C3" s="123" t="s">
        <v>303</v>
      </c>
      <c r="D3" s="124" t="s">
        <v>304</v>
      </c>
      <c r="E3" s="124" t="s">
        <v>305</v>
      </c>
      <c r="F3" s="124" t="s">
        <v>306</v>
      </c>
      <c r="G3" s="125" t="s">
        <v>7</v>
      </c>
      <c r="H3" s="125" t="s">
        <v>191</v>
      </c>
      <c r="I3" s="125" t="s">
        <v>192</v>
      </c>
      <c r="J3" s="126" t="s">
        <v>6</v>
      </c>
      <c r="K3" s="127" t="s">
        <v>307</v>
      </c>
      <c r="L3" s="128" t="s">
        <v>308</v>
      </c>
      <c r="M3" s="129" t="s">
        <v>309</v>
      </c>
      <c r="N3" s="130" t="s">
        <v>310</v>
      </c>
      <c r="O3" s="130" t="s">
        <v>311</v>
      </c>
      <c r="P3" s="130" t="s">
        <v>312</v>
      </c>
      <c r="Q3" s="130" t="s">
        <v>313</v>
      </c>
      <c r="R3" s="131" t="s">
        <v>314</v>
      </c>
      <c r="S3" s="132" t="s">
        <v>315</v>
      </c>
      <c r="T3" s="133" t="s">
        <v>316</v>
      </c>
    </row>
    <row r="4" ht="15.75" customHeight="1">
      <c r="A4" s="134" t="s">
        <v>19</v>
      </c>
      <c r="B4" s="135" t="str">
        <f>VLOOKUP(A4,Jobmatch!A:G,2,0)</f>
        <v>ALMOXARIFE</v>
      </c>
      <c r="C4" s="136">
        <f>IFERROR(AVERAGEIF('Folha de Pagamento'!A:A,A4,'Folha de Pagamento'!K:K),"")</f>
        <v>3683</v>
      </c>
      <c r="D4" s="137">
        <v>5.0</v>
      </c>
      <c r="E4" s="135" t="str">
        <f>VLOOKUP(A4,Jobmatch!A:H,3,0)</f>
        <v>Edificação</v>
      </c>
      <c r="F4" s="138" t="str">
        <f>VLOOKUP(A4,Jobmatch!A:I,4,0)</f>
        <v>8 - ADM PROJETOS</v>
      </c>
      <c r="G4" s="139" t="str">
        <f>VLOOKUP(A4,Jobmatch!A:I,5,0)</f>
        <v>Operacional</v>
      </c>
      <c r="H4" s="140">
        <f>VLOOKUP(A4,Jobmatch!A:I,6,0)</f>
        <v>203</v>
      </c>
      <c r="I4" s="138" t="str">
        <f>VLOOKUP(A4,Jobmatch!A:I,7,0)</f>
        <v>Almoxarife</v>
      </c>
      <c r="J4" s="141" t="str">
        <f>VLOOKUP(A4,Jobmatch!A:I,8,0)</f>
        <v>Indiferente</v>
      </c>
      <c r="K4" s="142" t="str">
        <f t="shared" ref="K4:K56" si="1">H4&amp;J4</f>
        <v>203Indiferente</v>
      </c>
      <c r="L4" s="143">
        <f>COUNTIF('Folha de Pagamento'!A:A,A4)</f>
        <v>2</v>
      </c>
      <c r="M4" s="144">
        <f>IFERROR(VLOOKUP(K4,Pesquisa!$D:$L,4,0),"")</f>
        <v>2973.35</v>
      </c>
      <c r="N4" s="145">
        <f>IFERROR(VLOOKUP(K4,Pesquisa!$D:$L,5,0),"")</f>
        <v>3096.32</v>
      </c>
      <c r="O4" s="145">
        <f>IFERROR(VLOOKUP(K4,Pesquisa!$D:$L,6,0),"")</f>
        <v>3405.54</v>
      </c>
      <c r="P4" s="145">
        <f>IFERROR(VLOOKUP(K4,Pesquisa!$D:$L,7,0),"")</f>
        <v>3096.32</v>
      </c>
      <c r="Q4" s="145">
        <f>IFERROR(VLOOKUP(K4,Pesquisa!$D:$L,8,0),"")</f>
        <v>3712.15</v>
      </c>
      <c r="R4" s="144">
        <f>IFERROR(VLOOKUP(K4,Pesquisa!$D:$L,9,0),"")</f>
        <v>4435.84</v>
      </c>
      <c r="S4" s="146">
        <f>IFS('Painel Geral'!$B$5="Mediana",IFERROR(IF(OR(C4="",P4=0,P4=""),"",($C4/$P4)),""),'Painel Geral'!$B$5="Menor Salário",IFERROR(IF(OR(C4="",P4=0,P4=""),"",($C4/$M4)),""),'Painel Geral'!$B$5="1º Quartil",IFERROR(IF(OR(C4="",P4=0,P4=""),"",($C4/$N4)),""), 'Painel Geral'!$B$5="Média",IFERROR(IF(OR(C4="",P4=0,P4=""),"",($C4/$O4)),""),'Painel Geral'!$B$5="3º Quartil",IFERROR(IF(OR(C4="",P4=0,P4=""),"",($C4/$Q4)),""),'Painel Geral'!$B$5="Maior Salário",IFERROR(IF(OR(C4="",P4=0,P4=""),"",($C4/$R4)),""))</f>
        <v>1.18947654</v>
      </c>
      <c r="T4" s="147" t="str">
        <f t="shared" ref="T4:T56" si="2">IFS(OR(M4="",M4=0,C4="", C4=0),"",S4&lt;=80%,"Muito Defasado",S4&lt;=90%,"Defasado",S4&lt;=100%,"Na Média",S4&lt;=110%,"Na Média",S4&lt;=120%,"Muito Competitivo",S4&gt;120%,"Agressivo")</f>
        <v>Muito Competitivo</v>
      </c>
    </row>
    <row r="5" ht="15.75" customHeight="1">
      <c r="A5" s="134" t="s">
        <v>27</v>
      </c>
      <c r="B5" s="135" t="str">
        <f>VLOOKUP(A5,Jobmatch!A:G,2,0)</f>
        <v>ANALISTA DE COMPRAS</v>
      </c>
      <c r="C5" s="136">
        <f>IFERROR(AVERAGEIF('Folha de Pagamento'!A:A,A5,'Folha de Pagamento'!K:K),"")</f>
        <v>3780</v>
      </c>
      <c r="D5" s="137">
        <v>1.0</v>
      </c>
      <c r="E5" s="135" t="str">
        <f>VLOOKUP(A5,Jobmatch!A:H,3,0)</f>
        <v>Suprimentos </v>
      </c>
      <c r="F5" s="138" t="str">
        <f>VLOOKUP(A5,Jobmatch!A:I,4,0)</f>
        <v>9 - ADM PROJETOS</v>
      </c>
      <c r="G5" s="139" t="str">
        <f>VLOOKUP(A5,Jobmatch!A:I,5,0)</f>
        <v>Operacional</v>
      </c>
      <c r="H5" s="140">
        <f>VLOOKUP(A5,Jobmatch!A:I,6,0)</f>
        <v>136</v>
      </c>
      <c r="I5" s="138" t="str">
        <f>VLOOKUP(A5,Jobmatch!A:I,7,0)</f>
        <v>Analista de Compras</v>
      </c>
      <c r="J5" s="141" t="str">
        <f>VLOOKUP(A5,Jobmatch!A:I,8,0)</f>
        <v>Pleno</v>
      </c>
      <c r="K5" s="142" t="str">
        <f t="shared" si="1"/>
        <v>136Pleno</v>
      </c>
      <c r="L5" s="143">
        <f>COUNTIF('Folha de Pagamento'!A:A,A5)</f>
        <v>1</v>
      </c>
      <c r="M5" s="144">
        <f>IFERROR(VLOOKUP(K5,Pesquisa!$D:$L,4,0),"")</f>
        <v>4535.62</v>
      </c>
      <c r="N5" s="145">
        <f>IFERROR(VLOOKUP(K5,Pesquisa!$D:$L,5,0),"")</f>
        <v>4535.62</v>
      </c>
      <c r="O5" s="145">
        <f>IFERROR(VLOOKUP(K5,Pesquisa!$D:$L,6,0),"")</f>
        <v>6016.64</v>
      </c>
      <c r="P5" s="145">
        <f>IFERROR(VLOOKUP(K5,Pesquisa!$D:$L,7,0),"")</f>
        <v>5288.53</v>
      </c>
      <c r="Q5" s="145">
        <f>IFERROR(VLOOKUP(K5,Pesquisa!$D:$L,8,0),"")</f>
        <v>7861.72</v>
      </c>
      <c r="R5" s="144">
        <f>IFERROR(VLOOKUP(K5,Pesquisa!$D:$L,9,0),"")</f>
        <v>7861.72</v>
      </c>
      <c r="S5" s="146">
        <f>IFS('Painel Geral'!$B$5="Mediana",IFERROR(IF(OR(C5="",P5=0,P5=""),"",($C5/$P5)),""),'Painel Geral'!$B$5="Menor Salário",IFERROR(IF(OR(C5="",P5=0,P5=""),"",($C5/$M5)),""),'Painel Geral'!$B$5="1º Quartil",IFERROR(IF(OR(C5="",P5=0,P5=""),"",($C5/$N5)),""), 'Painel Geral'!$B$5="Média",IFERROR(IF(OR(C5="",P5=0,P5=""),"",($C5/$O5)),""),'Painel Geral'!$B$5="3º Quartil",IFERROR(IF(OR(C5="",P5=0,P5=""),"",($C5/$Q5)),""),'Painel Geral'!$B$5="Maior Salário",IFERROR(IF(OR(C5="",P5=0,P5=""),"",($C5/$R5)),""))</f>
        <v>0.7147543835</v>
      </c>
      <c r="T5" s="147" t="str">
        <f t="shared" si="2"/>
        <v>Muito Defasado</v>
      </c>
    </row>
    <row r="6" ht="15.75" customHeight="1">
      <c r="A6" s="134" t="s">
        <v>30</v>
      </c>
      <c r="B6" s="135" t="str">
        <f>VLOOKUP(A6,Jobmatch!A:G,2,0)</f>
        <v>ANALISTA DE CRIAÇAO</v>
      </c>
      <c r="C6" s="136">
        <f>IFERROR(AVERAGEIF('Folha de Pagamento'!A:A,A6,'Folha de Pagamento'!K:K),"")</f>
        <v>5429</v>
      </c>
      <c r="D6" s="137">
        <v>8.0</v>
      </c>
      <c r="E6" s="135" t="str">
        <f>VLOOKUP(A6,Jobmatch!A:H,3,0)</f>
        <v>Marketing</v>
      </c>
      <c r="F6" s="138" t="str">
        <f>VLOOKUP(A6,Jobmatch!A:I,4,0)</f>
        <v>10 - ADM PROJETOS</v>
      </c>
      <c r="G6" s="139" t="str">
        <f>VLOOKUP(A6,Jobmatch!A:I,5,0)</f>
        <v>Operacional</v>
      </c>
      <c r="H6" s="140">
        <f>VLOOKUP(A6,Jobmatch!A:I,6,0)</f>
        <v>45</v>
      </c>
      <c r="I6" s="138" t="str">
        <f>VLOOKUP(A6,Jobmatch!A:I,7,0)</f>
        <v>Analista de Criação</v>
      </c>
      <c r="J6" s="141" t="str">
        <f>VLOOKUP(A6,Jobmatch!A:I,8,0)</f>
        <v>Indiferente</v>
      </c>
      <c r="K6" s="142" t="str">
        <f t="shared" si="1"/>
        <v>45Indiferente</v>
      </c>
      <c r="L6" s="143">
        <f>COUNTIF('Folha de Pagamento'!A:A,A6)</f>
        <v>1</v>
      </c>
      <c r="M6" s="144">
        <f>IFERROR(VLOOKUP(K6,Pesquisa!$D:$L,4,0),"")</f>
        <v>2771.48</v>
      </c>
      <c r="N6" s="145">
        <f>IFERROR(VLOOKUP(K6,Pesquisa!$D:$L,5,0),"")</f>
        <v>3527.33</v>
      </c>
      <c r="O6" s="145">
        <f>IFERROR(VLOOKUP(K6,Pesquisa!$D:$L,6,0),"")</f>
        <v>4325.16</v>
      </c>
      <c r="P6" s="145">
        <f>IFERROR(VLOOKUP(K6,Pesquisa!$D:$L,7,0),"")</f>
        <v>4325.72</v>
      </c>
      <c r="Q6" s="145">
        <f>IFERROR(VLOOKUP(K6,Pesquisa!$D:$L,8,0),"")</f>
        <v>4988.66</v>
      </c>
      <c r="R6" s="144">
        <f>IFERROR(VLOOKUP(K6,Pesquisa!$D:$L,9,0),"")</f>
        <v>6418.74</v>
      </c>
      <c r="S6" s="146">
        <f>IFS('Painel Geral'!$B$5="Mediana",IFERROR(IF(OR(C6="",P6=0,P6=""),"",($C6/$P6)),""),'Painel Geral'!$B$5="Menor Salário",IFERROR(IF(OR(C6="",P6=0,P6=""),"",($C6/$M6)),""),'Painel Geral'!$B$5="1º Quartil",IFERROR(IF(OR(C6="",P6=0,P6=""),"",($C6/$N6)),""), 'Painel Geral'!$B$5="Média",IFERROR(IF(OR(C6="",P6=0,P6=""),"",($C6/$O6)),""),'Painel Geral'!$B$5="3º Quartil",IFERROR(IF(OR(C6="",P6=0,P6=""),"",($C6/$Q6)),""),'Painel Geral'!$B$5="Maior Salário",IFERROR(IF(OR(C6="",P6=0,P6=""),"",($C6/$R6)),""))</f>
        <v>1.255051182</v>
      </c>
      <c r="T6" s="147" t="str">
        <f t="shared" si="2"/>
        <v>Agressivo</v>
      </c>
    </row>
    <row r="7" ht="15.75" customHeight="1">
      <c r="A7" s="134" t="s">
        <v>34</v>
      </c>
      <c r="B7" s="135" t="str">
        <f>VLOOKUP(A7,Jobmatch!A:G,2,0)</f>
        <v>ANALISTA DE INOVAÇÃO</v>
      </c>
      <c r="C7" s="136">
        <f>IFERROR(AVERAGEIF('Folha de Pagamento'!A:A,A7,'Folha de Pagamento'!K:K),"")</f>
        <v>7299.270073</v>
      </c>
      <c r="D7" s="137">
        <v>7.0</v>
      </c>
      <c r="E7" s="135" t="str">
        <f>VLOOKUP(A7,Jobmatch!A:H,3,0)</f>
        <v>Inovação</v>
      </c>
      <c r="F7" s="138" t="str">
        <f>VLOOKUP(A7,Jobmatch!A:I,4,0)</f>
        <v>11 - ADM PROJETOS</v>
      </c>
      <c r="G7" s="139" t="str">
        <f>VLOOKUP(A7,Jobmatch!A:I,5,0)</f>
        <v>Tático</v>
      </c>
      <c r="H7" s="140">
        <f>VLOOKUP(A7,Jobmatch!A:I,6,0)</f>
        <v>437</v>
      </c>
      <c r="I7" s="138" t="str">
        <f>VLOOKUP(A7,Jobmatch!A:I,7,0)</f>
        <v>Analista de Inovação</v>
      </c>
      <c r="J7" s="141" t="str">
        <f>VLOOKUP(A7,Jobmatch!A:I,8,0)</f>
        <v>Indiferente</v>
      </c>
      <c r="K7" s="142" t="str">
        <f t="shared" si="1"/>
        <v>437Indiferente</v>
      </c>
      <c r="L7" s="143">
        <f>COUNTIF('Folha de Pagamento'!A:A,A7)</f>
        <v>1</v>
      </c>
      <c r="M7" s="144">
        <f>IFERROR(VLOOKUP(K7,Pesquisa!$D:$L,4,0),"")</f>
        <v>5039.5</v>
      </c>
      <c r="N7" s="145">
        <f>IFERROR(VLOOKUP(K7,Pesquisa!$D:$L,5,0),"")</f>
        <v>5955.772727</v>
      </c>
      <c r="O7" s="145">
        <f>IFERROR(VLOOKUP(K7,Pesquisa!$D:$L,6,0),"")</f>
        <v>6515.717172</v>
      </c>
      <c r="P7" s="145">
        <f>IFERROR(VLOOKUP(K7,Pesquisa!$D:$L,7,0),"")</f>
        <v>6872.045455</v>
      </c>
      <c r="Q7" s="145">
        <f>IFERROR(VLOOKUP(K7,Pesquisa!$D:$L,8,0),"")</f>
        <v>7253.825758</v>
      </c>
      <c r="R7" s="144">
        <f>IFERROR(VLOOKUP(K7,Pesquisa!$D:$L,9,0),"")</f>
        <v>7635.606061</v>
      </c>
      <c r="S7" s="146">
        <f>IFS('Painel Geral'!$B$5="Mediana",IFERROR(IF(OR(C7="",P7=0,P7=""),"",($C7/$P7)),""),'Painel Geral'!$B$5="Menor Salário",IFERROR(IF(OR(C7="",P7=0,P7=""),"",($C7/$M7)),""),'Painel Geral'!$B$5="1º Quartil",IFERROR(IF(OR(C7="",P7=0,P7=""),"",($C7/$N7)),""), 'Painel Geral'!$B$5="Média",IFERROR(IF(OR(C7="",P7=0,P7=""),"",($C7/$O7)),""),'Painel Geral'!$B$5="3º Quartil",IFERROR(IF(OR(C7="",P7=0,P7=""),"",($C7/$Q7)),""),'Painel Geral'!$B$5="Maior Salário",IFERROR(IF(OR(C7="",P7=0,P7=""),"",($C7/$R7)),""))</f>
        <v>1.06216848</v>
      </c>
      <c r="T7" s="147" t="str">
        <f t="shared" si="2"/>
        <v>Na Média</v>
      </c>
    </row>
    <row r="8" ht="15.75" customHeight="1">
      <c r="A8" s="134" t="s">
        <v>40</v>
      </c>
      <c r="B8" s="135" t="str">
        <f>VLOOKUP(A8,Jobmatch!A:G,2,0)</f>
        <v>ANALISTA DE MANUTENÇÃO II</v>
      </c>
      <c r="C8" s="136">
        <f>IFERROR(AVERAGEIF('Folha de Pagamento'!A:A,A8,'Folha de Pagamento'!K:K),"")</f>
        <v>4550</v>
      </c>
      <c r="D8" s="137">
        <v>5.0</v>
      </c>
      <c r="E8" s="135" t="str">
        <f>VLOOKUP(A8,Jobmatch!A:H,3,0)</f>
        <v>Edificação</v>
      </c>
      <c r="F8" s="138" t="str">
        <f>VLOOKUP(A8,Jobmatch!A:I,4,0)</f>
        <v>12 - ADM PROJETOS</v>
      </c>
      <c r="G8" s="139" t="str">
        <f>VLOOKUP(A8,Jobmatch!A:I,5,0)</f>
        <v>Operacional</v>
      </c>
      <c r="H8" s="140">
        <f>VLOOKUP(A8,Jobmatch!A:I,6,0)</f>
        <v>820</v>
      </c>
      <c r="I8" s="138" t="str">
        <f>VLOOKUP(A8,Jobmatch!A:I,7,0)</f>
        <v>Encarregado de Manutenção</v>
      </c>
      <c r="J8" s="141" t="str">
        <f>VLOOKUP(A8,Jobmatch!A:I,8,0)</f>
        <v>Indiferente</v>
      </c>
      <c r="K8" s="142" t="str">
        <f t="shared" si="1"/>
        <v>820Indiferente</v>
      </c>
      <c r="L8" s="143">
        <f>COUNTIF('Folha de Pagamento'!A:A,A8)</f>
        <v>1</v>
      </c>
      <c r="M8" s="144">
        <f>IFERROR(VLOOKUP(K8,Pesquisa!$D:$L,4,0),"")</f>
        <v>4348.38</v>
      </c>
      <c r="N8" s="145">
        <f>IFERROR(VLOOKUP(K8,Pesquisa!$D:$L,5,0),"")</f>
        <v>5743.67</v>
      </c>
      <c r="O8" s="145">
        <f>IFERROR(VLOOKUP(K8,Pesquisa!$D:$L,6,0),"")</f>
        <v>6811.3</v>
      </c>
      <c r="P8" s="145">
        <f>IFERROR(VLOOKUP(K8,Pesquisa!$D:$L,7,0),"")</f>
        <v>6232.3</v>
      </c>
      <c r="Q8" s="145">
        <f>IFERROR(VLOOKUP(K8,Pesquisa!$D:$L,8,0),"")</f>
        <v>8417.62</v>
      </c>
      <c r="R8" s="144">
        <f>IFERROR(VLOOKUP(K8,Pesquisa!$D:$L,9,0),"")</f>
        <v>9486.51</v>
      </c>
      <c r="S8" s="146">
        <f>IFS('Painel Geral'!$B$5="Mediana",IFERROR(IF(OR(C8="",P8=0,P8=""),"",($C8/$P8)),""),'Painel Geral'!$B$5="Menor Salário",IFERROR(IF(OR(C8="",P8=0,P8=""),"",($C8/$M8)),""),'Painel Geral'!$B$5="1º Quartil",IFERROR(IF(OR(C8="",P8=0,P8=""),"",($C8/$N8)),""), 'Painel Geral'!$B$5="Média",IFERROR(IF(OR(C8="",P8=0,P8=""),"",($C8/$O8)),""),'Painel Geral'!$B$5="3º Quartil",IFERROR(IF(OR(C8="",P8=0,P8=""),"",($C8/$Q8)),""),'Painel Geral'!$B$5="Maior Salário",IFERROR(IF(OR(C8="",P8=0,P8=""),"",($C8/$R8)),""))</f>
        <v>0.7300675513</v>
      </c>
      <c r="T8" s="147" t="str">
        <f t="shared" si="2"/>
        <v>Muito Defasado</v>
      </c>
    </row>
    <row r="9" ht="15.75" customHeight="1">
      <c r="A9" s="134" t="s">
        <v>44</v>
      </c>
      <c r="B9" s="135" t="str">
        <f>VLOOKUP(A9,Jobmatch!A:G,2,0)</f>
        <v>ANALISTA DE MARKETING l</v>
      </c>
      <c r="C9" s="136">
        <f>IFERROR(AVERAGEIF('Folha de Pagamento'!A:A,A9,'Folha de Pagamento'!K:K),"")</f>
        <v>4025.88</v>
      </c>
      <c r="D9" s="137">
        <v>8.0</v>
      </c>
      <c r="E9" s="135" t="str">
        <f>VLOOKUP(A9,Jobmatch!A:H,3,0)</f>
        <v>Marketing</v>
      </c>
      <c r="F9" s="138" t="str">
        <f>VLOOKUP(A9,Jobmatch!A:I,4,0)</f>
        <v>13 - ADM PROJETOS</v>
      </c>
      <c r="G9" s="139" t="str">
        <f>VLOOKUP(A9,Jobmatch!A:I,5,0)</f>
        <v>Operacional</v>
      </c>
      <c r="H9" s="140">
        <f>VLOOKUP(A9,Jobmatch!A:I,6,0)</f>
        <v>42</v>
      </c>
      <c r="I9" s="138" t="str">
        <f>VLOOKUP(A9,Jobmatch!A:I,7,0)</f>
        <v>Analista de Marketing</v>
      </c>
      <c r="J9" s="141" t="str">
        <f>VLOOKUP(A9,Jobmatch!A:I,8,0)</f>
        <v>Júnior</v>
      </c>
      <c r="K9" s="142" t="str">
        <f t="shared" si="1"/>
        <v>42Júnior</v>
      </c>
      <c r="L9" s="143">
        <f>COUNTIF('Folha de Pagamento'!A:A,A9)</f>
        <v>1</v>
      </c>
      <c r="M9" s="144">
        <f>IFERROR(VLOOKUP(K9,Pesquisa!$D:$L,4,0),"")</f>
        <v>3225.33</v>
      </c>
      <c r="N9" s="145">
        <f>IFERROR(VLOOKUP(K9,Pesquisa!$D:$L,5,0),"")</f>
        <v>3261.57</v>
      </c>
      <c r="O9" s="145">
        <f>IFERROR(VLOOKUP(K9,Pesquisa!$D:$L,6,0),"")</f>
        <v>4114.38</v>
      </c>
      <c r="P9" s="145">
        <f>IFERROR(VLOOKUP(K9,Pesquisa!$D:$L,7,0),"")</f>
        <v>3297.81</v>
      </c>
      <c r="Q9" s="145">
        <f>IFERROR(VLOOKUP(K9,Pesquisa!$D:$L,8,0),"")</f>
        <v>4558.91</v>
      </c>
      <c r="R9" s="144">
        <f>IFERROR(VLOOKUP(K9,Pesquisa!$D:$L,9,0),"")</f>
        <v>5820.01</v>
      </c>
      <c r="S9" s="146">
        <f>IFS('Painel Geral'!$B$5="Mediana",IFERROR(IF(OR(C9="",P9=0,P9=""),"",($C9/$P9)),""),'Painel Geral'!$B$5="Menor Salário",IFERROR(IF(OR(C9="",P9=0,P9=""),"",($C9/$M9)),""),'Painel Geral'!$B$5="1º Quartil",IFERROR(IF(OR(C9="",P9=0,P9=""),"",($C9/$N9)),""), 'Painel Geral'!$B$5="Média",IFERROR(IF(OR(C9="",P9=0,P9=""),"",($C9/$O9)),""),'Painel Geral'!$B$5="3º Quartil",IFERROR(IF(OR(C9="",P9=0,P9=""),"",($C9/$Q9)),""),'Painel Geral'!$B$5="Maior Salário",IFERROR(IF(OR(C9="",P9=0,P9=""),"",($C9/$R9)),""))</f>
        <v>1.220773786</v>
      </c>
      <c r="T9" s="147" t="str">
        <f t="shared" si="2"/>
        <v>Agressivo</v>
      </c>
    </row>
    <row r="10" ht="15.75" customHeight="1">
      <c r="A10" s="134" t="s">
        <v>46</v>
      </c>
      <c r="B10" s="135" t="str">
        <f>VLOOKUP(A10,Jobmatch!A:G,2,0)</f>
        <v>ANALISTA DE PÓS VENDAS II</v>
      </c>
      <c r="C10" s="136">
        <f>IFERROR(AVERAGEIF('Folha de Pagamento'!A:A,A10,'Folha de Pagamento'!K:K),"")</f>
        <v>4550</v>
      </c>
      <c r="D10" s="137">
        <v>9.0</v>
      </c>
      <c r="E10" s="135" t="str">
        <f>VLOOKUP(A10,Jobmatch!A:H,3,0)</f>
        <v>Pós Vendas</v>
      </c>
      <c r="F10" s="138" t="str">
        <f>VLOOKUP(A10,Jobmatch!A:I,4,0)</f>
        <v>14 - ADM PROJETOS</v>
      </c>
      <c r="G10" s="139" t="str">
        <f>VLOOKUP(A10,Jobmatch!A:I,5,0)</f>
        <v>Operacional</v>
      </c>
      <c r="H10" s="140">
        <f>VLOOKUP(A10,Jobmatch!A:I,6,0)</f>
        <v>376</v>
      </c>
      <c r="I10" s="138" t="str">
        <f>VLOOKUP(A10,Jobmatch!A:I,7,0)</f>
        <v>Analista de Relacionamento</v>
      </c>
      <c r="J10" s="141" t="str">
        <f>VLOOKUP(A10,Jobmatch!A:I,8,0)</f>
        <v>Indiferente</v>
      </c>
      <c r="K10" s="142" t="str">
        <f t="shared" si="1"/>
        <v>376Indiferente</v>
      </c>
      <c r="L10" s="143">
        <f>COUNTIF('Folha de Pagamento'!A:A,A10)</f>
        <v>1</v>
      </c>
      <c r="M10" s="144">
        <f>IFERROR(VLOOKUP(K10,Pesquisa!$D:$L,4,0),"")</f>
        <v>2872.56</v>
      </c>
      <c r="N10" s="145">
        <f>IFERROR(VLOOKUP(K10,Pesquisa!$D:$L,5,0),"")</f>
        <v>3241.46</v>
      </c>
      <c r="O10" s="145">
        <f>IFERROR(VLOOKUP(K10,Pesquisa!$D:$L,6,0),"")</f>
        <v>3918.59</v>
      </c>
      <c r="P10" s="145">
        <f>IFERROR(VLOOKUP(K10,Pesquisa!$D:$L,7,0),"")</f>
        <v>3830.08</v>
      </c>
      <c r="Q10" s="145">
        <f>IFERROR(VLOOKUP(K10,Pesquisa!$D:$L,8,0),"")</f>
        <v>4233.24</v>
      </c>
      <c r="R10" s="144">
        <f>IFERROR(VLOOKUP(K10,Pesquisa!$D:$L,9,0),"")</f>
        <v>5820.01</v>
      </c>
      <c r="S10" s="146">
        <f>IFS('Painel Geral'!$B$5="Mediana",IFERROR(IF(OR(C10="",P10=0,P10=""),"",($C10/$P10)),""),'Painel Geral'!$B$5="Menor Salário",IFERROR(IF(OR(C10="",P10=0,P10=""),"",($C10/$M10)),""),'Painel Geral'!$B$5="1º Quartil",IFERROR(IF(OR(C10="",P10=0,P10=""),"",($C10/$N10)),""), 'Painel Geral'!$B$5="Média",IFERROR(IF(OR(C10="",P10=0,P10=""),"",($C10/$O10)),""),'Painel Geral'!$B$5="3º Quartil",IFERROR(IF(OR(C10="",P10=0,P10=""),"",($C10/$Q10)),""),'Painel Geral'!$B$5="Maior Salário",IFERROR(IF(OR(C10="",P10=0,P10=""),"",($C10/$R10)),""))</f>
        <v>1.187964742</v>
      </c>
      <c r="T10" s="147" t="str">
        <f t="shared" si="2"/>
        <v>Muito Competitivo</v>
      </c>
    </row>
    <row r="11" ht="15.75" customHeight="1">
      <c r="A11" s="134" t="s">
        <v>49</v>
      </c>
      <c r="B11" s="135" t="str">
        <f>VLOOKUP(A11,Jobmatch!A:G,2,0)</f>
        <v>ANALISTA DE URBANISMO</v>
      </c>
      <c r="C11" s="136">
        <f>IFERROR(AVERAGEIF('Folha de Pagamento'!A:A,A11,'Folha de Pagamento'!K:K),"")</f>
        <v>5830</v>
      </c>
      <c r="D11" s="137">
        <v>10.0</v>
      </c>
      <c r="E11" s="135" t="str">
        <f>VLOOKUP(A11,Jobmatch!A:H,3,0)</f>
        <v>Urbanismo</v>
      </c>
      <c r="F11" s="138" t="str">
        <f>VLOOKUP(A11,Jobmatch!A:I,4,0)</f>
        <v>15 - ADM PROJETOS</v>
      </c>
      <c r="G11" s="139" t="str">
        <f>VLOOKUP(A11,Jobmatch!A:I,5,0)</f>
        <v>Operacional</v>
      </c>
      <c r="H11" s="140">
        <f>VLOOKUP(A11,Jobmatch!A:I,6,0)</f>
        <v>1199</v>
      </c>
      <c r="I11" s="138" t="str">
        <f>VLOOKUP(A11,Jobmatch!A:I,7,0)</f>
        <v>Analista de Urbanismo</v>
      </c>
      <c r="J11" s="141" t="str">
        <f>VLOOKUP(A11,Jobmatch!A:I,8,0)</f>
        <v>Indiferente</v>
      </c>
      <c r="K11" s="142" t="str">
        <f t="shared" si="1"/>
        <v>1199Indiferente</v>
      </c>
      <c r="L11" s="143">
        <f>COUNTIF('Folha de Pagamento'!A:A,A11)</f>
        <v>1</v>
      </c>
      <c r="M11" s="144">
        <f>IFERROR(VLOOKUP(K11,Pesquisa!$D:$L,4,0),"")</f>
        <v>5876.15</v>
      </c>
      <c r="N11" s="145">
        <f>IFERROR(VLOOKUP(K11,Pesquisa!$D:$L,5,0),"")</f>
        <v>6106.16</v>
      </c>
      <c r="O11" s="145">
        <f>IFERROR(VLOOKUP(K11,Pesquisa!$D:$L,6,0),"")</f>
        <v>7655.79</v>
      </c>
      <c r="P11" s="145">
        <f>IFERROR(VLOOKUP(K11,Pesquisa!$D:$L,7,0),"")</f>
        <v>7867.3</v>
      </c>
      <c r="Q11" s="145">
        <f>IFERROR(VLOOKUP(K11,Pesquisa!$D:$L,8,0),"")</f>
        <v>9183.14</v>
      </c>
      <c r="R11" s="144">
        <f>IFERROR(VLOOKUP(K11,Pesquisa!$D:$L,9,0),"")</f>
        <v>9183.14</v>
      </c>
      <c r="S11" s="146">
        <f>IFS('Painel Geral'!$B$5="Mediana",IFERROR(IF(OR(C11="",P11=0,P11=""),"",($C11/$P11)),""),'Painel Geral'!$B$5="Menor Salário",IFERROR(IF(OR(C11="",P11=0,P11=""),"",($C11/$M11)),""),'Painel Geral'!$B$5="1º Quartil",IFERROR(IF(OR(C11="",P11=0,P11=""),"",($C11/$N11)),""), 'Painel Geral'!$B$5="Média",IFERROR(IF(OR(C11="",P11=0,P11=""),"",($C11/$O11)),""),'Painel Geral'!$B$5="3º Quartil",IFERROR(IF(OR(C11="",P11=0,P11=""),"",($C11/$Q11)),""),'Painel Geral'!$B$5="Maior Salário",IFERROR(IF(OR(C11="",P11=0,P11=""),"",($C11/$R11)),""))</f>
        <v>0.7410420348</v>
      </c>
      <c r="T11" s="147" t="str">
        <f t="shared" si="2"/>
        <v>Muito Defasado</v>
      </c>
    </row>
    <row r="12" ht="15.75" customHeight="1">
      <c r="A12" s="134" t="s">
        <v>52</v>
      </c>
      <c r="B12" s="135" t="str">
        <f>VLOOKUP(A12,Jobmatch!A:G,2,0)</f>
        <v>ANALISTA FINANCEIRO COMERCIAL III</v>
      </c>
      <c r="C12" s="136">
        <f>IFERROR(AVERAGEIF('Folha de Pagamento'!A:A,A12,'Folha de Pagamento'!K:K),"")</f>
        <v>5213</v>
      </c>
      <c r="D12" s="137">
        <v>6.0</v>
      </c>
      <c r="E12" s="135" t="str">
        <f>VLOOKUP(A12,Jobmatch!A:H,3,0)</f>
        <v>Financeiro</v>
      </c>
      <c r="F12" s="138" t="str">
        <f>VLOOKUP(A12,Jobmatch!A:I,4,0)</f>
        <v>16 - ADM PROJETOS</v>
      </c>
      <c r="G12" s="139" t="str">
        <f>VLOOKUP(A12,Jobmatch!A:I,5,0)</f>
        <v>Operacional</v>
      </c>
      <c r="H12" s="140">
        <f>VLOOKUP(A12,Jobmatch!A:I,6,0)</f>
        <v>16</v>
      </c>
      <c r="I12" s="138" t="str">
        <f>VLOOKUP(A12,Jobmatch!A:I,7,0)</f>
        <v>Analista Financeiro</v>
      </c>
      <c r="J12" s="141" t="str">
        <f>VLOOKUP(A12,Jobmatch!A:I,8,0)</f>
        <v>Sênior</v>
      </c>
      <c r="K12" s="142" t="str">
        <f t="shared" si="1"/>
        <v>16Sênior</v>
      </c>
      <c r="L12" s="143">
        <f>COUNTIF('Folha de Pagamento'!A:A,A12)</f>
        <v>1</v>
      </c>
      <c r="M12" s="144">
        <f>IFERROR(VLOOKUP(K12,Pesquisa!$D:$L,4,0),"")</f>
        <v>4882.37</v>
      </c>
      <c r="N12" s="145">
        <f>IFERROR(VLOOKUP(K12,Pesquisa!$D:$L,5,0),"")</f>
        <v>5489.27</v>
      </c>
      <c r="O12" s="145">
        <f>IFERROR(VLOOKUP(K12,Pesquisa!$D:$L,6,0),"")</f>
        <v>6172.24</v>
      </c>
      <c r="P12" s="145">
        <f>IFERROR(VLOOKUP(K12,Pesquisa!$D:$L,7,0),"")</f>
        <v>5910.71</v>
      </c>
      <c r="Q12" s="145">
        <f>IFERROR(VLOOKUP(K12,Pesquisa!$D:$L,8,0),"")</f>
        <v>6737.39</v>
      </c>
      <c r="R12" s="144">
        <f>IFERROR(VLOOKUP(K12,Pesquisa!$D:$L,9,0),"")</f>
        <v>8185.08</v>
      </c>
      <c r="S12" s="146">
        <f>IFS('Painel Geral'!$B$5="Mediana",IFERROR(IF(OR(C12="",P12=0,P12=""),"",($C12/$P12)),""),'Painel Geral'!$B$5="Menor Salário",IFERROR(IF(OR(C12="",P12=0,P12=""),"",($C12/$M12)),""),'Painel Geral'!$B$5="1º Quartil",IFERROR(IF(OR(C12="",P12=0,P12=""),"",($C12/$N12)),""), 'Painel Geral'!$B$5="Média",IFERROR(IF(OR(C12="",P12=0,P12=""),"",($C12/$O12)),""),'Painel Geral'!$B$5="3º Quartil",IFERROR(IF(OR(C12="",P12=0,P12=""),"",($C12/$Q12)),""),'Painel Geral'!$B$5="Maior Salário",IFERROR(IF(OR(C12="",P12=0,P12=""),"",($C12/$R12)),""))</f>
        <v>0.8819583434</v>
      </c>
      <c r="T12" s="147" t="str">
        <f t="shared" si="2"/>
        <v>Defasado</v>
      </c>
    </row>
    <row r="13" ht="15.75" customHeight="1">
      <c r="A13" s="134" t="s">
        <v>56</v>
      </c>
      <c r="B13" s="135" t="str">
        <f>VLOOKUP(A13,Jobmatch!A:G,2,0)</f>
        <v>ANALISTA FINANCEIRO DE CAPTAÇÃO DE RECURSOS III</v>
      </c>
      <c r="C13" s="136">
        <f>IFERROR(AVERAGEIF('Folha de Pagamento'!A:A,A13,'Folha de Pagamento'!K:K),"")</f>
        <v>5213</v>
      </c>
      <c r="D13" s="137">
        <v>6.0</v>
      </c>
      <c r="E13" s="135" t="str">
        <f>VLOOKUP(A13,Jobmatch!A:H,3,0)</f>
        <v>Financeiro</v>
      </c>
      <c r="F13" s="138" t="str">
        <f>VLOOKUP(A13,Jobmatch!A:I,4,0)</f>
        <v>17 - ADM PROJETOS</v>
      </c>
      <c r="G13" s="139" t="str">
        <f>VLOOKUP(A13,Jobmatch!A:I,5,0)</f>
        <v>Operacional</v>
      </c>
      <c r="H13" s="140">
        <f>VLOOKUP(A13,Jobmatch!A:I,6,0)</f>
        <v>16</v>
      </c>
      <c r="I13" s="138" t="str">
        <f>VLOOKUP(A13,Jobmatch!A:I,7,0)</f>
        <v>Analista Financeiro</v>
      </c>
      <c r="J13" s="141" t="str">
        <f>VLOOKUP(A13,Jobmatch!A:I,8,0)</f>
        <v>Sênior</v>
      </c>
      <c r="K13" s="142" t="str">
        <f t="shared" si="1"/>
        <v>16Sênior</v>
      </c>
      <c r="L13" s="143">
        <f>COUNTIF('Folha de Pagamento'!A:A,A13)</f>
        <v>1</v>
      </c>
      <c r="M13" s="144">
        <f>IFERROR(VLOOKUP(K13,Pesquisa!$D:$L,4,0),"")</f>
        <v>4882.37</v>
      </c>
      <c r="N13" s="145">
        <f>IFERROR(VLOOKUP(K13,Pesquisa!$D:$L,5,0),"")</f>
        <v>5489.27</v>
      </c>
      <c r="O13" s="145">
        <f>IFERROR(VLOOKUP(K13,Pesquisa!$D:$L,6,0),"")</f>
        <v>6172.24</v>
      </c>
      <c r="P13" s="145">
        <f>IFERROR(VLOOKUP(K13,Pesquisa!$D:$L,7,0),"")</f>
        <v>5910.71</v>
      </c>
      <c r="Q13" s="145">
        <f>IFERROR(VLOOKUP(K13,Pesquisa!$D:$L,8,0),"")</f>
        <v>6737.39</v>
      </c>
      <c r="R13" s="144">
        <f>IFERROR(VLOOKUP(K13,Pesquisa!$D:$L,9,0),"")</f>
        <v>8185.08</v>
      </c>
      <c r="S13" s="146">
        <f>IFS('Painel Geral'!$B$5="Mediana",IFERROR(IF(OR(C13="",P13=0,P13=""),"",($C13/$P13)),""),'Painel Geral'!$B$5="Menor Salário",IFERROR(IF(OR(C13="",P13=0,P13=""),"",($C13/$M13)),""),'Painel Geral'!$B$5="1º Quartil",IFERROR(IF(OR(C13="",P13=0,P13=""),"",($C13/$N13)),""), 'Painel Geral'!$B$5="Média",IFERROR(IF(OR(C13="",P13=0,P13=""),"",($C13/$O13)),""),'Painel Geral'!$B$5="3º Quartil",IFERROR(IF(OR(C13="",P13=0,P13=""),"",($C13/$Q13)),""),'Painel Geral'!$B$5="Maior Salário",IFERROR(IF(OR(C13="",P13=0,P13=""),"",($C13/$R13)),""))</f>
        <v>0.8819583434</v>
      </c>
      <c r="T13" s="147" t="str">
        <f t="shared" si="2"/>
        <v>Defasado</v>
      </c>
    </row>
    <row r="14" ht="15.75" customHeight="1">
      <c r="A14" s="134" t="s">
        <v>59</v>
      </c>
      <c r="B14" s="135" t="str">
        <f>VLOOKUP(A14,Jobmatch!A:G,2,0)</f>
        <v>ANALISTA FINANCEIRO I</v>
      </c>
      <c r="C14" s="136">
        <f>IFERROR(AVERAGEIF('Folha de Pagamento'!A:A,A14,'Folha de Pagamento'!K:K),"")</f>
        <v>3993</v>
      </c>
      <c r="D14" s="137">
        <v>6.0</v>
      </c>
      <c r="E14" s="135" t="str">
        <f>VLOOKUP(A14,Jobmatch!A:H,3,0)</f>
        <v>Financeiro</v>
      </c>
      <c r="F14" s="138" t="str">
        <f>VLOOKUP(A14,Jobmatch!A:I,4,0)</f>
        <v>18 - ADM PROJETOS</v>
      </c>
      <c r="G14" s="139" t="str">
        <f>VLOOKUP(A14,Jobmatch!A:I,5,0)</f>
        <v>Operacional</v>
      </c>
      <c r="H14" s="140">
        <f>VLOOKUP(A14,Jobmatch!A:I,6,0)</f>
        <v>16</v>
      </c>
      <c r="I14" s="138" t="str">
        <f>VLOOKUP(A14,Jobmatch!A:I,7,0)</f>
        <v>Analista Financeiro</v>
      </c>
      <c r="J14" s="141" t="str">
        <f>VLOOKUP(A14,Jobmatch!A:I,8,0)</f>
        <v>Júnior</v>
      </c>
      <c r="K14" s="142" t="str">
        <f t="shared" si="1"/>
        <v>16Júnior</v>
      </c>
      <c r="L14" s="143">
        <f>COUNTIF('Folha de Pagamento'!A:A,A14)</f>
        <v>1</v>
      </c>
      <c r="M14" s="144">
        <f>IFERROR(VLOOKUP(K14,Pesquisa!$D:$L,4,0),"")</f>
        <v>2937.55</v>
      </c>
      <c r="N14" s="145">
        <f>IFERROR(VLOOKUP(K14,Pesquisa!$D:$L,5,0),"")</f>
        <v>3176.35</v>
      </c>
      <c r="O14" s="145">
        <f>IFERROR(VLOOKUP(K14,Pesquisa!$D:$L,6,0),"")</f>
        <v>3539.11</v>
      </c>
      <c r="P14" s="145">
        <f>IFERROR(VLOOKUP(K14,Pesquisa!$D:$L,7,0),"")</f>
        <v>3493.97</v>
      </c>
      <c r="Q14" s="145">
        <f>IFERROR(VLOOKUP(K14,Pesquisa!$D:$L,8,0),"")</f>
        <v>3798.49</v>
      </c>
      <c r="R14" s="144">
        <f>IFERROR(VLOOKUP(K14,Pesquisa!$D:$L,9,0),"")</f>
        <v>4392.23</v>
      </c>
      <c r="S14" s="146">
        <f>IFS('Painel Geral'!$B$5="Mediana",IFERROR(IF(OR(C14="",P14=0,P14=""),"",($C14/$P14)),""),'Painel Geral'!$B$5="Menor Salário",IFERROR(IF(OR(C14="",P14=0,P14=""),"",($C14/$M14)),""),'Painel Geral'!$B$5="1º Quartil",IFERROR(IF(OR(C14="",P14=0,P14=""),"",($C14/$N14)),""), 'Painel Geral'!$B$5="Média",IFERROR(IF(OR(C14="",P14=0,P14=""),"",($C14/$O14)),""),'Painel Geral'!$B$5="3º Quartil",IFERROR(IF(OR(C14="",P14=0,P14=""),"",($C14/$Q14)),""),'Painel Geral'!$B$5="Maior Salário",IFERROR(IF(OR(C14="",P14=0,P14=""),"",($C14/$R14)),""))</f>
        <v>1.142826069</v>
      </c>
      <c r="T14" s="147" t="str">
        <f t="shared" si="2"/>
        <v>Muito Competitivo</v>
      </c>
    </row>
    <row r="15" ht="15.75" customHeight="1">
      <c r="A15" s="134" t="s">
        <v>62</v>
      </c>
      <c r="B15" s="135" t="str">
        <f>VLOOKUP(A15,Jobmatch!A:G,2,0)</f>
        <v>ASSISTENTE ADM DE LEGALIZAÇÃO III</v>
      </c>
      <c r="C15" s="136">
        <f>IFERROR(AVERAGEIF('Folha de Pagamento'!A:A,A15,'Folha de Pagamento'!K:K),"")</f>
        <v>3652</v>
      </c>
      <c r="D15" s="137">
        <v>7.0</v>
      </c>
      <c r="E15" s="135" t="str">
        <f>VLOOKUP(A15,Jobmatch!A:H,3,0)</f>
        <v>Legalização </v>
      </c>
      <c r="F15" s="138" t="str">
        <f>VLOOKUP(A15,Jobmatch!A:I,4,0)</f>
        <v>19 - ADM PROJETOS</v>
      </c>
      <c r="G15" s="139" t="str">
        <f>VLOOKUP(A15,Jobmatch!A:I,5,0)</f>
        <v>Operacional</v>
      </c>
      <c r="H15" s="140">
        <f>VLOOKUP(A15,Jobmatch!A:I,6,0)</f>
        <v>1201</v>
      </c>
      <c r="I15" s="138" t="str">
        <f>VLOOKUP(A15,Jobmatch!A:I,7,0)</f>
        <v>Assistente de Legalização</v>
      </c>
      <c r="J15" s="141" t="str">
        <f>VLOOKUP(A15,Jobmatch!A:I,8,0)</f>
        <v>Indiferente</v>
      </c>
      <c r="K15" s="142" t="str">
        <f t="shared" si="1"/>
        <v>1201Indiferente</v>
      </c>
      <c r="L15" s="143">
        <f>COUNTIF('Folha de Pagamento'!A:A,A15)</f>
        <v>1</v>
      </c>
      <c r="M15" s="144">
        <f>IFERROR(VLOOKUP(K15,Pesquisa!$D:$L,4,0),"")</f>
        <v>2513.75</v>
      </c>
      <c r="N15" s="145">
        <f>IFERROR(VLOOKUP(K15,Pesquisa!$D:$L,5,0),"")</f>
        <v>2803.34</v>
      </c>
      <c r="O15" s="145">
        <f>IFERROR(VLOOKUP(K15,Pesquisa!$D:$L,6,0),"")</f>
        <v>3092.92</v>
      </c>
      <c r="P15" s="145">
        <f>IFERROR(VLOOKUP(K15,Pesquisa!$D:$L,7,0),"")</f>
        <v>3092.92</v>
      </c>
      <c r="Q15" s="145">
        <f>IFERROR(VLOOKUP(K15,Pesquisa!$D:$L,8,0),"")</f>
        <v>3382.51</v>
      </c>
      <c r="R15" s="144">
        <f>IFERROR(VLOOKUP(K15,Pesquisa!$D:$L,9,0),"")</f>
        <v>3672.09</v>
      </c>
      <c r="S15" s="146">
        <f>IFS('Painel Geral'!$B$5="Mediana",IFERROR(IF(OR(C15="",P15=0,P15=""),"",($C15/$P15)),""),'Painel Geral'!$B$5="Menor Salário",IFERROR(IF(OR(C15="",P15=0,P15=""),"",($C15/$M15)),""),'Painel Geral'!$B$5="1º Quartil",IFERROR(IF(OR(C15="",P15=0,P15=""),"",($C15/$N15)),""), 'Painel Geral'!$B$5="Média",IFERROR(IF(OR(C15="",P15=0,P15=""),"",($C15/$O15)),""),'Painel Geral'!$B$5="3º Quartil",IFERROR(IF(OR(C15="",P15=0,P15=""),"",($C15/$Q15)),""),'Painel Geral'!$B$5="Maior Salário",IFERROR(IF(OR(C15="",P15=0,P15=""),"",($C15/$R15)),""))</f>
        <v>1.180761222</v>
      </c>
      <c r="T15" s="147" t="str">
        <f t="shared" si="2"/>
        <v>Muito Competitivo</v>
      </c>
    </row>
    <row r="16" ht="15.75" customHeight="1">
      <c r="A16" s="134" t="s">
        <v>65</v>
      </c>
      <c r="B16" s="135" t="str">
        <f>VLOOKUP(A16,Jobmatch!A:G,2,0)</f>
        <v>ASSISTENTE ADMINISTRATIVO lll</v>
      </c>
      <c r="C16" s="136">
        <f>IFERROR(AVERAGEIF('Folha de Pagamento'!A:A,A16,'Folha de Pagamento'!K:K),"")</f>
        <v>3439.7</v>
      </c>
      <c r="D16" s="137">
        <v>1.0</v>
      </c>
      <c r="E16" s="135" t="str">
        <f>VLOOKUP(A16,Jobmatch!A:H,3,0)</f>
        <v>Administrativo</v>
      </c>
      <c r="F16" s="138" t="str">
        <f>VLOOKUP(A16,Jobmatch!A:I,4,0)</f>
        <v>20 - ADM PROJETOS</v>
      </c>
      <c r="G16" s="139" t="str">
        <f>VLOOKUP(A16,Jobmatch!A:I,5,0)</f>
        <v>Operacional</v>
      </c>
      <c r="H16" s="140">
        <f>VLOOKUP(A16,Jobmatch!A:I,6,0)</f>
        <v>59</v>
      </c>
      <c r="I16" s="138" t="str">
        <f>VLOOKUP(A16,Jobmatch!A:I,7,0)</f>
        <v>Assistente Administrativo</v>
      </c>
      <c r="J16" s="141" t="str">
        <f>VLOOKUP(A16,Jobmatch!A:I,8,0)</f>
        <v>Indiferente</v>
      </c>
      <c r="K16" s="142" t="str">
        <f t="shared" si="1"/>
        <v>59Indiferente</v>
      </c>
      <c r="L16" s="143">
        <f>COUNTIF('Folha de Pagamento'!A:A,A16)</f>
        <v>1</v>
      </c>
      <c r="M16" s="144">
        <f>IFERROR(VLOOKUP(K16,Pesquisa!$D:$L,4,0),"")</f>
        <v>2204.31</v>
      </c>
      <c r="N16" s="145">
        <f>IFERROR(VLOOKUP(K16,Pesquisa!$D:$L,5,0),"")</f>
        <v>2247.82</v>
      </c>
      <c r="O16" s="145">
        <f>IFERROR(VLOOKUP(K16,Pesquisa!$D:$L,6,0),"")</f>
        <v>2616.76</v>
      </c>
      <c r="P16" s="145">
        <f>IFERROR(VLOOKUP(K16,Pesquisa!$D:$L,7,0),"")</f>
        <v>2640.74</v>
      </c>
      <c r="Q16" s="145">
        <f>IFERROR(VLOOKUP(K16,Pesquisa!$D:$L,8,0),"")</f>
        <v>2760.72</v>
      </c>
      <c r="R16" s="144">
        <f>IFERROR(VLOOKUP(K16,Pesquisa!$D:$L,9,0),"")</f>
        <v>3466.93</v>
      </c>
      <c r="S16" s="146">
        <f>IFS('Painel Geral'!$B$5="Mediana",IFERROR(IF(OR(C16="",P16=0,P16=""),"",($C16/$P16)),""),'Painel Geral'!$B$5="Menor Salário",IFERROR(IF(OR(C16="",P16=0,P16=""),"",($C16/$M16)),""),'Painel Geral'!$B$5="1º Quartil",IFERROR(IF(OR(C16="",P16=0,P16=""),"",($C16/$N16)),""), 'Painel Geral'!$B$5="Média",IFERROR(IF(OR(C16="",P16=0,P16=""),"",($C16/$O16)),""),'Painel Geral'!$B$5="3º Quartil",IFERROR(IF(OR(C16="",P16=0,P16=""),"",($C16/$Q16)),""),'Painel Geral'!$B$5="Maior Salário",IFERROR(IF(OR(C16="",P16=0,P16=""),"",($C16/$R16)),""))</f>
        <v>1.302551558</v>
      </c>
      <c r="T16" s="147" t="str">
        <f t="shared" si="2"/>
        <v>Agressivo</v>
      </c>
    </row>
    <row r="17" ht="15.75" customHeight="1">
      <c r="A17" s="134" t="s">
        <v>68</v>
      </c>
      <c r="B17" s="135" t="str">
        <f>VLOOKUP(A17,Jobmatch!A:G,2,0)</f>
        <v>ASSISTENTE DE CONTROLADORIA III</v>
      </c>
      <c r="C17" s="136">
        <f>IFERROR(AVERAGEIF('Folha de Pagamento'!A:A,A17,'Folha de Pagamento'!K:K),"")</f>
        <v>3652</v>
      </c>
      <c r="D17" s="137">
        <v>3.0</v>
      </c>
      <c r="E17" s="135" t="str">
        <f>VLOOKUP(A17,Jobmatch!A:H,3,0)</f>
        <v>Controladoria</v>
      </c>
      <c r="F17" s="138" t="str">
        <f>VLOOKUP(A17,Jobmatch!A:I,4,0)</f>
        <v>21 - ADM PROJETOS</v>
      </c>
      <c r="G17" s="139" t="str">
        <f>VLOOKUP(A17,Jobmatch!A:I,5,0)</f>
        <v>Operacional</v>
      </c>
      <c r="H17" s="140">
        <f>VLOOKUP(A17,Jobmatch!A:I,6,0)</f>
        <v>150</v>
      </c>
      <c r="I17" s="148" t="str">
        <f>VLOOKUP(A17,Jobmatch!A:I,7,0)</f>
        <v>Assistente de Controladoria</v>
      </c>
      <c r="J17" s="141" t="str">
        <f>VLOOKUP(A17,Jobmatch!A:I,8,0)</f>
        <v>Indiferente</v>
      </c>
      <c r="K17" s="142" t="str">
        <f t="shared" si="1"/>
        <v>150Indiferente</v>
      </c>
      <c r="L17" s="143">
        <f>COUNTIF('Folha de Pagamento'!A:A,A17)</f>
        <v>1</v>
      </c>
      <c r="M17" s="144">
        <f>IFERROR(VLOOKUP(K17,Pesquisa!$D:$L,4,0),"")</f>
        <v>2148.56</v>
      </c>
      <c r="N17" s="145">
        <f>IFERROR(VLOOKUP(K17,Pesquisa!$D:$L,5,0),"")</f>
        <v>2640.81</v>
      </c>
      <c r="O17" s="145">
        <f>IFERROR(VLOOKUP(K17,Pesquisa!$D:$L,6,0),"")</f>
        <v>2821.08</v>
      </c>
      <c r="P17" s="145">
        <f>IFERROR(VLOOKUP(K17,Pesquisa!$D:$L,7,0),"")</f>
        <v>2766.4</v>
      </c>
      <c r="Q17" s="145">
        <f>IFERROR(VLOOKUP(K17,Pesquisa!$D:$L,8,0),"")</f>
        <v>3222.24</v>
      </c>
      <c r="R17" s="144">
        <f>IFERROR(VLOOKUP(K17,Pesquisa!$D:$L,9,0),"")</f>
        <v>3327.42</v>
      </c>
      <c r="S17" s="146">
        <f>IFS('Painel Geral'!$B$5="Mediana",IFERROR(IF(OR(C17="",P17=0,P17=""),"",($C17/$P17)),""),'Painel Geral'!$B$5="Menor Salário",IFERROR(IF(OR(C17="",P17=0,P17=""),"",($C17/$M17)),""),'Painel Geral'!$B$5="1º Quartil",IFERROR(IF(OR(C17="",P17=0,P17=""),"",($C17/$N17)),""), 'Painel Geral'!$B$5="Média",IFERROR(IF(OR(C17="",P17=0,P17=""),"",($C17/$O17)),""),'Painel Geral'!$B$5="3º Quartil",IFERROR(IF(OR(C17="",P17=0,P17=""),"",($C17/$Q17)),""),'Painel Geral'!$B$5="Maior Salário",IFERROR(IF(OR(C17="",P17=0,P17=""),"",($C17/$R17)),""))</f>
        <v>1.320127241</v>
      </c>
      <c r="T17" s="147" t="str">
        <f t="shared" si="2"/>
        <v>Agressivo</v>
      </c>
    </row>
    <row r="18" ht="15.75" customHeight="1">
      <c r="A18" s="134" t="s">
        <v>71</v>
      </c>
      <c r="B18" s="135" t="str">
        <f>VLOOKUP(A18,Jobmatch!A:G,2,0)</f>
        <v>ASSISTENTE DE ENGENHARIA lll</v>
      </c>
      <c r="C18" s="136">
        <f>IFERROR(AVERAGEIF('Folha de Pagamento'!A:A,A18,'Folha de Pagamento'!K:K),"")</f>
        <v>3652</v>
      </c>
      <c r="D18" s="137">
        <v>5.0</v>
      </c>
      <c r="E18" s="135" t="str">
        <f>VLOOKUP(A18,Jobmatch!A:H,3,0)</f>
        <v>Edificação</v>
      </c>
      <c r="F18" s="138" t="str">
        <f>VLOOKUP(A18,Jobmatch!A:I,4,0)</f>
        <v>22 - ADM PROJETOS</v>
      </c>
      <c r="G18" s="139" t="str">
        <f>VLOOKUP(A18,Jobmatch!A:I,5,0)</f>
        <v>Operacional</v>
      </c>
      <c r="H18" s="149">
        <f>VLOOKUP(A18,Jobmatch!A:I,6,0)</f>
        <v>531</v>
      </c>
      <c r="I18" s="148" t="str">
        <f>VLOOKUP(A18,Jobmatch!A:I,7,0)</f>
        <v>Assistente de Engenharia</v>
      </c>
      <c r="J18" s="150" t="str">
        <f>VLOOKUP(A18,Jobmatch!A:I,8,0)</f>
        <v>Indiferente</v>
      </c>
      <c r="K18" s="142" t="str">
        <f t="shared" si="1"/>
        <v>531Indiferente</v>
      </c>
      <c r="L18" s="143">
        <f>COUNTIF('Folha de Pagamento'!A:A,A18)</f>
        <v>1</v>
      </c>
      <c r="M18" s="144">
        <f>IFERROR(VLOOKUP(K18,Pesquisa!$D:$L,4,0),"")</f>
        <v>3154.02</v>
      </c>
      <c r="N18" s="145">
        <f>IFERROR(VLOOKUP(K18,Pesquisa!$D:$L,5,0),"")</f>
        <v>3954.91</v>
      </c>
      <c r="O18" s="145">
        <f>IFERROR(VLOOKUP(K18,Pesquisa!$D:$L,6,0),"")</f>
        <v>4041.52</v>
      </c>
      <c r="P18" s="145">
        <f>IFERROR(VLOOKUP(K18,Pesquisa!$D:$L,7,0),"")</f>
        <v>3954.91</v>
      </c>
      <c r="Q18" s="145">
        <f>IFERROR(VLOOKUP(K18,Pesquisa!$D:$L,8,0),"")</f>
        <v>3954.91</v>
      </c>
      <c r="R18" s="144">
        <f>IFERROR(VLOOKUP(K18,Pesquisa!$D:$L,9,0),"")</f>
        <v>5097.17</v>
      </c>
      <c r="S18" s="146">
        <f>IFS('Painel Geral'!$B$5="Mediana",IFERROR(IF(OR(C18="",P18=0,P18=""),"",($C18/$P18)),""),'Painel Geral'!$B$5="Menor Salário",IFERROR(IF(OR(C18="",P18=0,P18=""),"",($C18/$M18)),""),'Painel Geral'!$B$5="1º Quartil",IFERROR(IF(OR(C18="",P18=0,P18=""),"",($C18/$N18)),""), 'Painel Geral'!$B$5="Média",IFERROR(IF(OR(C18="",P18=0,P18=""),"",($C18/$O18)),""),'Painel Geral'!$B$5="3º Quartil",IFERROR(IF(OR(C18="",P18=0,P18=""),"",($C18/$Q18)),""),'Painel Geral'!$B$5="Maior Salário",IFERROR(IF(OR(C18="",P18=0,P18=""),"",($C18/$R18)),""))</f>
        <v>0.9234091294</v>
      </c>
      <c r="T18" s="147" t="str">
        <f t="shared" si="2"/>
        <v>Na Média</v>
      </c>
    </row>
    <row r="19" ht="15.75" customHeight="1">
      <c r="A19" s="134" t="s">
        <v>73</v>
      </c>
      <c r="B19" s="135" t="str">
        <f>VLOOKUP(A19,Jobmatch!A:G,2,0)</f>
        <v>ASSISTENTE DE MARKETING</v>
      </c>
      <c r="C19" s="136">
        <f>IFERROR(AVERAGEIF('Folha de Pagamento'!A:A,A19,'Folha de Pagamento'!K:K),"")</f>
        <v>2919</v>
      </c>
      <c r="D19" s="137">
        <v>8.0</v>
      </c>
      <c r="E19" s="135" t="str">
        <f>VLOOKUP(A19,Jobmatch!A:H,3,0)</f>
        <v>Marketing</v>
      </c>
      <c r="F19" s="138" t="str">
        <f>VLOOKUP(A19,Jobmatch!A:I,4,0)</f>
        <v>23 - ADM PROJETOS</v>
      </c>
      <c r="G19" s="139" t="str">
        <f>VLOOKUP(A19,Jobmatch!A:I,5,0)</f>
        <v>Operacional</v>
      </c>
      <c r="H19" s="149">
        <f>VLOOKUP(A19,Jobmatch!A:I,6,0)</f>
        <v>71</v>
      </c>
      <c r="I19" s="138" t="str">
        <f>VLOOKUP(A19,Jobmatch!A:I,7,0)</f>
        <v>Assistente de Marketing</v>
      </c>
      <c r="J19" s="150" t="str">
        <f>VLOOKUP(A19,Jobmatch!A:I,8,0)</f>
        <v>Indiferente</v>
      </c>
      <c r="K19" s="142" t="str">
        <f t="shared" si="1"/>
        <v>71Indiferente</v>
      </c>
      <c r="L19" s="143">
        <f>COUNTIF('Folha de Pagamento'!A:A,A19)</f>
        <v>1</v>
      </c>
      <c r="M19" s="144">
        <f>IFERROR(VLOOKUP(K19,Pesquisa!$D:$L,4,0),"")</f>
        <v>2353.58</v>
      </c>
      <c r="N19" s="145">
        <f>IFERROR(VLOOKUP(K19,Pesquisa!$D:$L,5,0),"")</f>
        <v>2726.74</v>
      </c>
      <c r="O19" s="145">
        <f>IFERROR(VLOOKUP(K19,Pesquisa!$D:$L,6,0),"")</f>
        <v>3023.98</v>
      </c>
      <c r="P19" s="145">
        <f>IFERROR(VLOOKUP(K19,Pesquisa!$D:$L,7,0),"")</f>
        <v>2889.19</v>
      </c>
      <c r="Q19" s="145">
        <f>IFERROR(VLOOKUP(K19,Pesquisa!$D:$L,8,0),"")</f>
        <v>3160.38</v>
      </c>
      <c r="R19" s="144">
        <f>IFERROR(VLOOKUP(K19,Pesquisa!$D:$L,9,0),"")</f>
        <v>4088.57</v>
      </c>
      <c r="S19" s="146">
        <f>IFS('Painel Geral'!$B$5="Mediana",IFERROR(IF(OR(C19="",P19=0,P19=""),"",($C19/$P19)),""),'Painel Geral'!$B$5="Menor Salário",IFERROR(IF(OR(C19="",P19=0,P19=""),"",($C19/$M19)),""),'Painel Geral'!$B$5="1º Quartil",IFERROR(IF(OR(C19="",P19=0,P19=""),"",($C19/$N19)),""), 'Painel Geral'!$B$5="Média",IFERROR(IF(OR(C19="",P19=0,P19=""),"",($C19/$O19)),""),'Painel Geral'!$B$5="3º Quartil",IFERROR(IF(OR(C19="",P19=0,P19=""),"",($C19/$Q19)),""),'Painel Geral'!$B$5="Maior Salário",IFERROR(IF(OR(C19="",P19=0,P19=""),"",($C19/$R19)),""))</f>
        <v>1.010317771</v>
      </c>
      <c r="T19" s="147" t="str">
        <f t="shared" si="2"/>
        <v>Na Média</v>
      </c>
    </row>
    <row r="20" ht="15.75" customHeight="1">
      <c r="A20" s="134" t="s">
        <v>75</v>
      </c>
      <c r="B20" s="135" t="str">
        <f>VLOOKUP(A20,Jobmatch!A:G,2,0)</f>
        <v>ASSISTENTE DE RECURSOS HUMANOS</v>
      </c>
      <c r="C20" s="136">
        <f>IFERROR(AVERAGEIF('Folha de Pagamento'!A:A,A20,'Folha de Pagamento'!K:K),"")</f>
        <v>2919</v>
      </c>
      <c r="D20" s="137">
        <v>4.0</v>
      </c>
      <c r="E20" s="135" t="str">
        <f>VLOOKUP(A20,Jobmatch!A:H,3,0)</f>
        <v>DHO</v>
      </c>
      <c r="F20" s="138" t="str">
        <f>VLOOKUP(A20,Jobmatch!A:I,4,0)</f>
        <v>24 - ADM PROJETOS</v>
      </c>
      <c r="G20" s="139" t="str">
        <f>VLOOKUP(A20,Jobmatch!A:I,5,0)</f>
        <v>Operacional</v>
      </c>
      <c r="H20" s="149">
        <f>VLOOKUP(A20,Jobmatch!A:I,6,0)</f>
        <v>77</v>
      </c>
      <c r="I20" s="138" t="str">
        <f>VLOOKUP(A20,Jobmatch!A:I,7,0)</f>
        <v>Assistente de Recursos Humanos</v>
      </c>
      <c r="J20" s="150" t="str">
        <f>VLOOKUP(A20,Jobmatch!A:I,8,0)</f>
        <v>Indiferente</v>
      </c>
      <c r="K20" s="142" t="str">
        <f t="shared" si="1"/>
        <v>77Indiferente</v>
      </c>
      <c r="L20" s="143">
        <f>COUNTIF('Folha de Pagamento'!A:A,A20)</f>
        <v>1</v>
      </c>
      <c r="M20" s="144">
        <f>IFERROR(VLOOKUP(K20,Pesquisa!$D:$L,4,0),"")</f>
        <v>2259.75</v>
      </c>
      <c r="N20" s="145">
        <f>IFERROR(VLOOKUP(K20,Pesquisa!$D:$L,5,0),"")</f>
        <v>2625.37</v>
      </c>
      <c r="O20" s="145">
        <f>IFERROR(VLOOKUP(K20,Pesquisa!$D:$L,6,0),"")</f>
        <v>3105.32</v>
      </c>
      <c r="P20" s="145">
        <f>IFERROR(VLOOKUP(K20,Pesquisa!$D:$L,7,0),"")</f>
        <v>3087.62</v>
      </c>
      <c r="Q20" s="145">
        <f>IFERROR(VLOOKUP(K20,Pesquisa!$D:$L,8,0),"")</f>
        <v>3499.72</v>
      </c>
      <c r="R20" s="144">
        <f>IFERROR(VLOOKUP(K20,Pesquisa!$D:$L,9,0),"")</f>
        <v>4088.57</v>
      </c>
      <c r="S20" s="146">
        <f>IFS('Painel Geral'!$B$5="Mediana",IFERROR(IF(OR(C20="",P20=0,P20=""),"",($C20/$P20)),""),'Painel Geral'!$B$5="Menor Salário",IFERROR(IF(OR(C20="",P20=0,P20=""),"",($C20/$M20)),""),'Painel Geral'!$B$5="1º Quartil",IFERROR(IF(OR(C20="",P20=0,P20=""),"",($C20/$N20)),""), 'Painel Geral'!$B$5="Média",IFERROR(IF(OR(C20="",P20=0,P20=""),"",($C20/$O20)),""),'Painel Geral'!$B$5="3º Quartil",IFERROR(IF(OR(C20="",P20=0,P20=""),"",($C20/$Q20)),""),'Painel Geral'!$B$5="Maior Salário",IFERROR(IF(OR(C20="",P20=0,P20=""),"",($C20/$R20)),""))</f>
        <v>0.9453883574</v>
      </c>
      <c r="T20" s="147" t="str">
        <f t="shared" si="2"/>
        <v>Na Média</v>
      </c>
    </row>
    <row r="21" ht="15.75" customHeight="1">
      <c r="A21" s="134" t="s">
        <v>78</v>
      </c>
      <c r="B21" s="135" t="str">
        <f>VLOOKUP(A21,Jobmatch!A:G,2,0)</f>
        <v>ASSISTENTE DE TI</v>
      </c>
      <c r="C21" s="136">
        <f>IFERROR(AVERAGEIF('Folha de Pagamento'!A:A,A21,'Folha de Pagamento'!K:K),"")</f>
        <v>2919</v>
      </c>
      <c r="D21" s="137">
        <v>1.0</v>
      </c>
      <c r="E21" s="135" t="str">
        <f>VLOOKUP(A21,Jobmatch!A:H,3,0)</f>
        <v>Tecnologia da Informação</v>
      </c>
      <c r="F21" s="138" t="str">
        <f>VLOOKUP(A21,Jobmatch!A:I,4,0)</f>
        <v>25 - ADM PROJETOS</v>
      </c>
      <c r="G21" s="139" t="str">
        <f>VLOOKUP(A21,Jobmatch!A:I,5,0)</f>
        <v>Operacional</v>
      </c>
      <c r="H21" s="149">
        <f>VLOOKUP(A21,Jobmatch!A:I,6,0)</f>
        <v>31</v>
      </c>
      <c r="I21" s="138" t="str">
        <f>VLOOKUP(A21,Jobmatch!A:I,7,0)</f>
        <v>Assistente de Tecnologia da Informação</v>
      </c>
      <c r="J21" s="150" t="str">
        <f>VLOOKUP(A21,Jobmatch!A:I,8,0)</f>
        <v>Indiferente</v>
      </c>
      <c r="K21" s="142" t="str">
        <f t="shared" si="1"/>
        <v>31Indiferente</v>
      </c>
      <c r="L21" s="143">
        <f>COUNTIF('Folha de Pagamento'!A:A,A21)</f>
        <v>1</v>
      </c>
      <c r="M21" s="144">
        <f>IFERROR(VLOOKUP(K21,Pesquisa!$D:$L,4,0),"")</f>
        <v>2010.58</v>
      </c>
      <c r="N21" s="145">
        <f>IFERROR(VLOOKUP(K21,Pesquisa!$D:$L,5,0),"")</f>
        <v>2066.4</v>
      </c>
      <c r="O21" s="145">
        <f>IFERROR(VLOOKUP(K21,Pesquisa!$D:$L,6,0),"")</f>
        <v>2589.89</v>
      </c>
      <c r="P21" s="145">
        <f>IFERROR(VLOOKUP(K21,Pesquisa!$D:$L,7,0),"")</f>
        <v>2413.7</v>
      </c>
      <c r="Q21" s="145">
        <f>IFERROR(VLOOKUP(K21,Pesquisa!$D:$L,8,0),"")</f>
        <v>3121.21</v>
      </c>
      <c r="R21" s="144">
        <f>IFERROR(VLOOKUP(K21,Pesquisa!$D:$L,9,0),"")</f>
        <v>3521.6</v>
      </c>
      <c r="S21" s="146">
        <f>IFS('Painel Geral'!$B$5="Mediana",IFERROR(IF(OR(C21="",P21=0,P21=""),"",($C21/$P21)),""),'Painel Geral'!$B$5="Menor Salário",IFERROR(IF(OR(C21="",P21=0,P21=""),"",($C21/$M21)),""),'Painel Geral'!$B$5="1º Quartil",IFERROR(IF(OR(C21="",P21=0,P21=""),"",($C21/$N21)),""), 'Painel Geral'!$B$5="Média",IFERROR(IF(OR(C21="",P21=0,P21=""),"",($C21/$O21)),""),'Painel Geral'!$B$5="3º Quartil",IFERROR(IF(OR(C21="",P21=0,P21=""),"",($C21/$Q21)),""),'Painel Geral'!$B$5="Maior Salário",IFERROR(IF(OR(C21="",P21=0,P21=""),"",($C21/$R21)),""))</f>
        <v>1.209346646</v>
      </c>
      <c r="T21" s="147" t="str">
        <f t="shared" si="2"/>
        <v>Agressivo</v>
      </c>
    </row>
    <row r="22" ht="15.75" customHeight="1">
      <c r="A22" s="134" t="s">
        <v>81</v>
      </c>
      <c r="B22" s="135" t="str">
        <f>VLOOKUP(A22,Jobmatch!A:G,2,0)</f>
        <v>ASSISTENTE FINANCEIRO CONTAS A PAGAR</v>
      </c>
      <c r="C22" s="136">
        <f>IFERROR(AVERAGEIF('Folha de Pagamento'!A:A,A22,'Folha de Pagamento'!K:K),"")</f>
        <v>3163.333333</v>
      </c>
      <c r="D22" s="137">
        <v>6.0</v>
      </c>
      <c r="E22" s="135" t="str">
        <f>VLOOKUP(A22,Jobmatch!A:H,3,0)</f>
        <v>Financeiro</v>
      </c>
      <c r="F22" s="138" t="str">
        <f>VLOOKUP(A22,Jobmatch!A:I,4,0)</f>
        <v>26 - ADM PROJETOS</v>
      </c>
      <c r="G22" s="139" t="str">
        <f>VLOOKUP(A22,Jobmatch!A:I,5,0)</f>
        <v>Operacional</v>
      </c>
      <c r="H22" s="149">
        <f>VLOOKUP(A22,Jobmatch!A:I,6,0)</f>
        <v>79</v>
      </c>
      <c r="I22" s="148" t="str">
        <f>VLOOKUP(A22,Jobmatch!A:I,7,0)</f>
        <v>Assistente Financeiro</v>
      </c>
      <c r="J22" s="150" t="str">
        <f>VLOOKUP(A22,Jobmatch!A:I,8,0)</f>
        <v>Indiferente</v>
      </c>
      <c r="K22" s="142" t="str">
        <f t="shared" si="1"/>
        <v>79Indiferente</v>
      </c>
      <c r="L22" s="143">
        <f>COUNTIF('Folha de Pagamento'!A:A,A22)</f>
        <v>3</v>
      </c>
      <c r="M22" s="144">
        <f>IFERROR(VLOOKUP(K22,Pesquisa!$D:$L,4,0),"")</f>
        <v>2471.26</v>
      </c>
      <c r="N22" s="145">
        <f>IFERROR(VLOOKUP(K22,Pesquisa!$D:$L,5,0),"")</f>
        <v>2566.19</v>
      </c>
      <c r="O22" s="145">
        <f>IFERROR(VLOOKUP(K22,Pesquisa!$D:$L,6,0),"")</f>
        <v>2805.74</v>
      </c>
      <c r="P22" s="145">
        <f>IFERROR(VLOOKUP(K22,Pesquisa!$D:$L,7,0),"")</f>
        <v>2665.28</v>
      </c>
      <c r="Q22" s="145">
        <f>IFERROR(VLOOKUP(K22,Pesquisa!$D:$L,8,0),"")</f>
        <v>2942.11</v>
      </c>
      <c r="R22" s="144">
        <f>IFERROR(VLOOKUP(K22,Pesquisa!$D:$L,9,0),"")</f>
        <v>3639.58</v>
      </c>
      <c r="S22" s="146">
        <f>IFS('Painel Geral'!$B$5="Mediana",IFERROR(IF(OR(C22="",P22=0,P22=""),"",($C22/$P22)),""),'Painel Geral'!$B$5="Menor Salário",IFERROR(IF(OR(C22="",P22=0,P22=""),"",($C22/$M22)),""),'Painel Geral'!$B$5="1º Quartil",IFERROR(IF(OR(C22="",P22=0,P22=""),"",($C22/$N22)),""), 'Painel Geral'!$B$5="Média",IFERROR(IF(OR(C22="",P22=0,P22=""),"",($C22/$O22)),""),'Painel Geral'!$B$5="3º Quartil",IFERROR(IF(OR(C22="",P22=0,P22=""),"",($C22/$Q22)),""),'Painel Geral'!$B$5="Maior Salário",IFERROR(IF(OR(C22="",P22=0,P22=""),"",($C22/$R22)),""))</f>
        <v>1.186867171</v>
      </c>
      <c r="T22" s="147" t="str">
        <f t="shared" si="2"/>
        <v>Muito Competitivo</v>
      </c>
    </row>
    <row r="23" ht="15.75" customHeight="1">
      <c r="A23" s="134" t="s">
        <v>84</v>
      </c>
      <c r="B23" s="135" t="str">
        <f>VLOOKUP(A23,Jobmatch!A:G,2,0)</f>
        <v>AUXILIAR ADMINISTRATIVO</v>
      </c>
      <c r="C23" s="136">
        <f>IFERROR(AVERAGEIF('Folha de Pagamento'!A:A,A23,'Folha de Pagamento'!K:K),"")</f>
        <v>2496.52</v>
      </c>
      <c r="D23" s="137">
        <v>1.0</v>
      </c>
      <c r="E23" s="135" t="str">
        <f>VLOOKUP(A23,Jobmatch!A:H,3,0)</f>
        <v>Administrativo</v>
      </c>
      <c r="F23" s="138" t="str">
        <f>VLOOKUP(A23,Jobmatch!A:I,4,0)</f>
        <v>27 - ADM PROJETOS</v>
      </c>
      <c r="G23" s="139" t="str">
        <f>VLOOKUP(A23,Jobmatch!A:I,5,0)</f>
        <v>Operacional</v>
      </c>
      <c r="H23" s="149">
        <f>VLOOKUP(A23,Jobmatch!A:I,6,0)</f>
        <v>83</v>
      </c>
      <c r="I23" s="138" t="str">
        <f>VLOOKUP(A23,Jobmatch!A:I,7,0)</f>
        <v>Auxiliar Administrativo</v>
      </c>
      <c r="J23" s="150" t="str">
        <f>VLOOKUP(A23,Jobmatch!A:I,8,0)</f>
        <v>Indiferente</v>
      </c>
      <c r="K23" s="142" t="str">
        <f t="shared" si="1"/>
        <v>83Indiferente</v>
      </c>
      <c r="L23" s="143">
        <f>COUNTIF('Folha de Pagamento'!A:A,A23)</f>
        <v>2</v>
      </c>
      <c r="M23" s="144">
        <f>IFERROR(VLOOKUP(K23,Pesquisa!$D:$L,4,0),"")</f>
        <v>1771.74</v>
      </c>
      <c r="N23" s="145">
        <f>IFERROR(VLOOKUP(K23,Pesquisa!$D:$L,5,0),"")</f>
        <v>2128.74</v>
      </c>
      <c r="O23" s="145">
        <f>IFERROR(VLOOKUP(K23,Pesquisa!$D:$L,6,0),"")</f>
        <v>2292.87</v>
      </c>
      <c r="P23" s="145">
        <f>IFERROR(VLOOKUP(K23,Pesquisa!$D:$L,7,0),"")</f>
        <v>2309.71</v>
      </c>
      <c r="Q23" s="145">
        <f>IFERROR(VLOOKUP(K23,Pesquisa!$D:$L,8,0),"")</f>
        <v>2375.14</v>
      </c>
      <c r="R23" s="144">
        <f>IFERROR(VLOOKUP(K23,Pesquisa!$D:$L,9,0),"")</f>
        <v>3073.32</v>
      </c>
      <c r="S23" s="146">
        <f>IFS('Painel Geral'!$B$5="Mediana",IFERROR(IF(OR(C23="",P23=0,P23=""),"",($C23/$P23)),""),'Painel Geral'!$B$5="Menor Salário",IFERROR(IF(OR(C23="",P23=0,P23=""),"",($C23/$M23)),""),'Painel Geral'!$B$5="1º Quartil",IFERROR(IF(OR(C23="",P23=0,P23=""),"",($C23/$N23)),""), 'Painel Geral'!$B$5="Média",IFERROR(IF(OR(C23="",P23=0,P23=""),"",($C23/$O23)),""),'Painel Geral'!$B$5="3º Quartil",IFERROR(IF(OR(C23="",P23=0,P23=""),"",($C23/$Q23)),""),'Painel Geral'!$B$5="Maior Salário",IFERROR(IF(OR(C23="",P23=0,P23=""),"",($C23/$R23)),""))</f>
        <v>1.080880284</v>
      </c>
      <c r="T23" s="147" t="str">
        <f t="shared" si="2"/>
        <v>Na Média</v>
      </c>
    </row>
    <row r="24" ht="15.75" customHeight="1">
      <c r="A24" s="134" t="s">
        <v>87</v>
      </c>
      <c r="B24" s="135" t="str">
        <f>VLOOKUP(A24,Jobmatch!A:G,2,0)</f>
        <v>AUXILIAR DE ATENDIMENTO II</v>
      </c>
      <c r="C24" s="136">
        <f>IFERROR(AVERAGEIF('Folha de Pagamento'!A:A,A24,'Folha de Pagamento'!K:K),"")</f>
        <v>2560</v>
      </c>
      <c r="D24" s="137">
        <v>1.0</v>
      </c>
      <c r="E24" s="135" t="str">
        <f>VLOOKUP(A24,Jobmatch!A:H,3,0)</f>
        <v>Recepção</v>
      </c>
      <c r="F24" s="138" t="str">
        <f>VLOOKUP(A24,Jobmatch!A:I,4,0)</f>
        <v>29 - ADM PROJETOS</v>
      </c>
      <c r="G24" s="139" t="str">
        <f>VLOOKUP(A24,Jobmatch!A:I,5,0)</f>
        <v>Operacional</v>
      </c>
      <c r="H24" s="149">
        <f>VLOOKUP(A24,Jobmatch!A:I,6,0)</f>
        <v>318</v>
      </c>
      <c r="I24" s="148" t="str">
        <f>VLOOKUP(A24,Jobmatch!A:I,7,0)</f>
        <v>Auxiliar de Atendimento</v>
      </c>
      <c r="J24" s="150" t="str">
        <f>VLOOKUP(A24,Jobmatch!A:I,8,0)</f>
        <v>Indiferente</v>
      </c>
      <c r="K24" s="142" t="str">
        <f t="shared" si="1"/>
        <v>318Indiferente</v>
      </c>
      <c r="L24" s="143">
        <f>COUNTIF('Folha de Pagamento'!A:A,A24)</f>
        <v>1</v>
      </c>
      <c r="M24" s="144">
        <f>IFERROR(VLOOKUP(K24,Pesquisa!$D:$L,4,0),"")</f>
        <v>1731.3</v>
      </c>
      <c r="N24" s="145">
        <f>IFERROR(VLOOKUP(K24,Pesquisa!$D:$L,5,0),"")</f>
        <v>1778.55</v>
      </c>
      <c r="O24" s="145">
        <f>IFERROR(VLOOKUP(K24,Pesquisa!$D:$L,6,0),"")</f>
        <v>2041.06</v>
      </c>
      <c r="P24" s="145">
        <f>IFERROR(VLOOKUP(K24,Pesquisa!$D:$L,7,0),"")</f>
        <v>2052.94</v>
      </c>
      <c r="Q24" s="145">
        <f>IFERROR(VLOOKUP(K24,Pesquisa!$D:$L,8,0),"")</f>
        <v>2169.15</v>
      </c>
      <c r="R24" s="144">
        <f>IFERROR(VLOOKUP(K24,Pesquisa!$D:$L,9,0),"")</f>
        <v>2574.08</v>
      </c>
      <c r="S24" s="146">
        <f>IFS('Painel Geral'!$B$5="Mediana",IFERROR(IF(OR(C24="",P24=0,P24=""),"",($C24/$P24)),""),'Painel Geral'!$B$5="Menor Salário",IFERROR(IF(OR(C24="",P24=0,P24=""),"",($C24/$M24)),""),'Painel Geral'!$B$5="1º Quartil",IFERROR(IF(OR(C24="",P24=0,P24=""),"",($C24/$N24)),""), 'Painel Geral'!$B$5="Média",IFERROR(IF(OR(C24="",P24=0,P24=""),"",($C24/$O24)),""),'Painel Geral'!$B$5="3º Quartil",IFERROR(IF(OR(C24="",P24=0,P24=""),"",($C24/$Q24)),""),'Painel Geral'!$B$5="Maior Salário",IFERROR(IF(OR(C24="",P24=0,P24=""),"",($C24/$R24)),""))</f>
        <v>1.246992119</v>
      </c>
      <c r="T24" s="147" t="str">
        <f t="shared" si="2"/>
        <v>Agressivo</v>
      </c>
    </row>
    <row r="25" ht="15.75" customHeight="1">
      <c r="A25" s="134" t="s">
        <v>90</v>
      </c>
      <c r="B25" s="135" t="str">
        <f>VLOOKUP(A25,Jobmatch!A:G,2,0)</f>
        <v>AUXILIAR DE ENGENHARIA</v>
      </c>
      <c r="C25" s="136">
        <f>IFERROR(AVERAGEIF('Folha de Pagamento'!A:A,A25,'Folha de Pagamento'!K:K),"")</f>
        <v>2560</v>
      </c>
      <c r="D25" s="137">
        <v>10.0</v>
      </c>
      <c r="E25" s="135" t="str">
        <f>VLOOKUP(A25,Jobmatch!A:H,3,0)</f>
        <v>Urbanismo</v>
      </c>
      <c r="F25" s="138" t="str">
        <f>VLOOKUP(A25,Jobmatch!A:I,4,0)</f>
        <v>30 - ADM PROJETOS</v>
      </c>
      <c r="G25" s="139" t="str">
        <f>VLOOKUP(A25,Jobmatch!A:I,5,0)</f>
        <v>Operacional</v>
      </c>
      <c r="H25" s="149">
        <f>VLOOKUP(A25,Jobmatch!A:I,6,0)</f>
        <v>207</v>
      </c>
      <c r="I25" s="138" t="str">
        <f>VLOOKUP(A25,Jobmatch!A:I,7,0)</f>
        <v>Auxiliar de Engenharia</v>
      </c>
      <c r="J25" s="150" t="str">
        <f>VLOOKUP(A25,Jobmatch!A:I,8,0)</f>
        <v>Indiferente</v>
      </c>
      <c r="K25" s="142" t="str">
        <f t="shared" si="1"/>
        <v>207Indiferente</v>
      </c>
      <c r="L25" s="143">
        <f>COUNTIF('Folha de Pagamento'!A:A,A25)</f>
        <v>1</v>
      </c>
      <c r="M25" s="144">
        <f>IFERROR(VLOOKUP(K25,Pesquisa!$D:$L,4,0),"")</f>
        <v>2580.26</v>
      </c>
      <c r="N25" s="145">
        <f>IFERROR(VLOOKUP(K25,Pesquisa!$D:$L,5,0),"")</f>
        <v>2650.82</v>
      </c>
      <c r="O25" s="145">
        <f>IFERROR(VLOOKUP(K25,Pesquisa!$D:$L,6,0),"")</f>
        <v>2825.85</v>
      </c>
      <c r="P25" s="145">
        <f>IFERROR(VLOOKUP(K25,Pesquisa!$D:$L,7,0),"")</f>
        <v>2721.37</v>
      </c>
      <c r="Q25" s="145">
        <f>IFERROR(VLOOKUP(K25,Pesquisa!$D:$L,8,0),"")</f>
        <v>2948.64</v>
      </c>
      <c r="R25" s="144">
        <f>IFERROR(VLOOKUP(K25,Pesquisa!$D:$L,9,0),"")</f>
        <v>3175.91</v>
      </c>
      <c r="S25" s="146">
        <f>IFS('Painel Geral'!$B$5="Mediana",IFERROR(IF(OR(C25="",P25=0,P25=""),"",($C25/$P25)),""),'Painel Geral'!$B$5="Menor Salário",IFERROR(IF(OR(C25="",P25=0,P25=""),"",($C25/$M25)),""),'Painel Geral'!$B$5="1º Quartil",IFERROR(IF(OR(C25="",P25=0,P25=""),"",($C25/$N25)),""), 'Painel Geral'!$B$5="Média",IFERROR(IF(OR(C25="",P25=0,P25=""),"",($C25/$O25)),""),'Painel Geral'!$B$5="3º Quartil",IFERROR(IF(OR(C25="",P25=0,P25=""),"",($C25/$Q25)),""),'Painel Geral'!$B$5="Maior Salário",IFERROR(IF(OR(C25="",P25=0,P25=""),"",($C25/$R25)),""))</f>
        <v>0.9407026608</v>
      </c>
      <c r="T25" s="147" t="str">
        <f t="shared" si="2"/>
        <v>Na Média</v>
      </c>
    </row>
    <row r="26" ht="15.75" customHeight="1">
      <c r="A26" s="134" t="s">
        <v>92</v>
      </c>
      <c r="B26" s="135" t="str">
        <f>VLOOKUP(A26,Jobmatch!A:G,2,0)</f>
        <v>CONTROLER JURÍDICO</v>
      </c>
      <c r="C26" s="136">
        <f>IFERROR(AVERAGEIF('Folha de Pagamento'!A:A,A26,'Folha de Pagamento'!K:K),"")</f>
        <v>8276.642336</v>
      </c>
      <c r="D26" s="137">
        <v>1.0</v>
      </c>
      <c r="E26" s="135" t="str">
        <f>VLOOKUP(A26,Jobmatch!A:H,3,0)</f>
        <v>Administrativo</v>
      </c>
      <c r="F26" s="138" t="str">
        <f>VLOOKUP(A26,Jobmatch!A:I,4,0)</f>
        <v>31 - ADM PROJETOS</v>
      </c>
      <c r="G26" s="139" t="str">
        <f>VLOOKUP(A26,Jobmatch!A:I,5,0)</f>
        <v>Tático</v>
      </c>
      <c r="H26" s="149">
        <f>VLOOKUP(A26,Jobmatch!A:I,6,0)</f>
        <v>9</v>
      </c>
      <c r="I26" s="138" t="str">
        <f>VLOOKUP(A26,Jobmatch!A:I,7,0)</f>
        <v>Advogado</v>
      </c>
      <c r="J26" s="150" t="str">
        <f>VLOOKUP(A26,Jobmatch!A:I,8,0)</f>
        <v>Sênior</v>
      </c>
      <c r="K26" s="142" t="str">
        <f t="shared" si="1"/>
        <v>9Sênior</v>
      </c>
      <c r="L26" s="143">
        <f>COUNTIF('Folha de Pagamento'!A:A,A26)</f>
        <v>1</v>
      </c>
      <c r="M26" s="144">
        <f>IFERROR(VLOOKUP(K26,Pesquisa!$D:$L,4,0),"")</f>
        <v>8566.38</v>
      </c>
      <c r="N26" s="145">
        <f>IFERROR(VLOOKUP(K26,Pesquisa!$D:$L,5,0),"")</f>
        <v>9284.95</v>
      </c>
      <c r="O26" s="145">
        <f>IFERROR(VLOOKUP(K26,Pesquisa!$D:$L,6,0),"")</f>
        <v>11453.66</v>
      </c>
      <c r="P26" s="145">
        <f>IFERROR(VLOOKUP(K26,Pesquisa!$D:$L,7,0),"")</f>
        <v>10957.61</v>
      </c>
      <c r="Q26" s="145">
        <f>IFERROR(VLOOKUP(K26,Pesquisa!$D:$L,8,0),"")</f>
        <v>10957.61</v>
      </c>
      <c r="R26" s="144">
        <f>IFERROR(VLOOKUP(K26,Pesquisa!$D:$L,9,0),"")</f>
        <v>17501.76</v>
      </c>
      <c r="S26" s="146">
        <f>IFS('Painel Geral'!$B$5="Mediana",IFERROR(IF(OR(C26="",P26=0,P26=""),"",($C26/$P26)),""),'Painel Geral'!$B$5="Menor Salário",IFERROR(IF(OR(C26="",P26=0,P26=""),"",($C26/$M26)),""),'Painel Geral'!$B$5="1º Quartil",IFERROR(IF(OR(C26="",P26=0,P26=""),"",($C26/$N26)),""), 'Painel Geral'!$B$5="Média",IFERROR(IF(OR(C26="",P26=0,P26=""),"",($C26/$O26)),""),'Painel Geral'!$B$5="3º Quartil",IFERROR(IF(OR(C26="",P26=0,P26=""),"",($C26/$Q26)),""),'Painel Geral'!$B$5="Maior Salário",IFERROR(IF(OR(C26="",P26=0,P26=""),"",($C26/$R26)),""))</f>
        <v>0.7553328085</v>
      </c>
      <c r="T26" s="147" t="str">
        <f t="shared" si="2"/>
        <v>Muito Defasado</v>
      </c>
    </row>
    <row r="27" ht="15.75" customHeight="1">
      <c r="A27" s="134" t="s">
        <v>95</v>
      </c>
      <c r="B27" s="135" t="str">
        <f>VLOOKUP(A27,Jobmatch!A:G,2,0)</f>
        <v>CONTROLLER GERAL</v>
      </c>
      <c r="C27" s="136">
        <f>IFERROR(AVERAGEIF('Folha de Pagamento'!A:A,A27,'Folha de Pagamento'!K:K),"")</f>
        <v>11678.83212</v>
      </c>
      <c r="D27" s="137">
        <v>3.0</v>
      </c>
      <c r="E27" s="135" t="str">
        <f>VLOOKUP(A27,Jobmatch!A:H,3,0)</f>
        <v>Controladoria</v>
      </c>
      <c r="F27" s="138" t="str">
        <f>VLOOKUP(A27,Jobmatch!A:I,4,0)</f>
        <v>32 - ADM PROJETOS</v>
      </c>
      <c r="G27" s="139" t="str">
        <f>VLOOKUP(A27,Jobmatch!A:I,5,0)</f>
        <v>Tático</v>
      </c>
      <c r="H27" s="149">
        <f>VLOOKUP(A27,Jobmatch!A:I,6,0)</f>
        <v>95</v>
      </c>
      <c r="I27" s="138" t="str">
        <f>VLOOKUP(A27,Jobmatch!A:I,7,0)</f>
        <v>Controller</v>
      </c>
      <c r="J27" s="150" t="str">
        <f>VLOOKUP(A27,Jobmatch!A:I,8,0)</f>
        <v>Indiferente</v>
      </c>
      <c r="K27" s="142" t="str">
        <f t="shared" si="1"/>
        <v>95Indiferente</v>
      </c>
      <c r="L27" s="143">
        <f>COUNTIF('Folha de Pagamento'!A:A,A27)</f>
        <v>1</v>
      </c>
      <c r="M27" s="144">
        <f>IFERROR(VLOOKUP(K27,Pesquisa!$D:$L,4,0),"")</f>
        <v>14652.03</v>
      </c>
      <c r="N27" s="145">
        <f>IFERROR(VLOOKUP(K27,Pesquisa!$D:$L,5,0),"")</f>
        <v>15472.01</v>
      </c>
      <c r="O27" s="145">
        <f>IFERROR(VLOOKUP(K27,Pesquisa!$D:$L,6,0),"")</f>
        <v>16594.35</v>
      </c>
      <c r="P27" s="145">
        <f>IFERROR(VLOOKUP(K27,Pesquisa!$D:$L,7,0),"")</f>
        <v>16581.68</v>
      </c>
      <c r="Q27" s="145">
        <f>IFERROR(VLOOKUP(K27,Pesquisa!$D:$L,8,0),"")</f>
        <v>17497.31</v>
      </c>
      <c r="R27" s="144">
        <f>IFERROR(VLOOKUP(K27,Pesquisa!$D:$L,9,0),"")</f>
        <v>18846.04</v>
      </c>
      <c r="S27" s="146">
        <f>IFS('Painel Geral'!$B$5="Mediana",IFERROR(IF(OR(C27="",P27=0,P27=""),"",($C27/$P27)),""),'Painel Geral'!$B$5="Menor Salário",IFERROR(IF(OR(C27="",P27=0,P27=""),"",($C27/$M27)),""),'Painel Geral'!$B$5="1º Quartil",IFERROR(IF(OR(C27="",P27=0,P27=""),"",($C27/$N27)),""), 'Painel Geral'!$B$5="Média",IFERROR(IF(OR(C27="",P27=0,P27=""),"",($C27/$O27)),""),'Painel Geral'!$B$5="3º Quartil",IFERROR(IF(OR(C27="",P27=0,P27=""),"",($C27/$Q27)),""),'Painel Geral'!$B$5="Maior Salário",IFERROR(IF(OR(C27="",P27=0,P27=""),"",($C27/$R27)),""))</f>
        <v>0.7043214027</v>
      </c>
      <c r="T27" s="147" t="str">
        <f t="shared" si="2"/>
        <v>Muito Defasado</v>
      </c>
    </row>
    <row r="28" ht="15.75" customHeight="1">
      <c r="A28" s="134" t="s">
        <v>98</v>
      </c>
      <c r="B28" s="135" t="str">
        <f>VLOOKUP(A28,Jobmatch!A:G,2,0)</f>
        <v>CONTROLLER TÉCNICO</v>
      </c>
      <c r="C28" s="136">
        <f>IFERROR(AVERAGEIF('Folha de Pagamento'!A:A,A28,'Folha de Pagamento'!K:K),"")</f>
        <v>9243.50365</v>
      </c>
      <c r="D28" s="137">
        <v>3.0</v>
      </c>
      <c r="E28" s="135" t="str">
        <f>VLOOKUP(A28,Jobmatch!A:H,3,0)</f>
        <v>Controladoria</v>
      </c>
      <c r="F28" s="138" t="str">
        <f>VLOOKUP(A28,Jobmatch!A:I,4,0)</f>
        <v>33 - ADM PROJETOS</v>
      </c>
      <c r="G28" s="139" t="str">
        <f>VLOOKUP(A28,Jobmatch!A:I,5,0)</f>
        <v>Tático</v>
      </c>
      <c r="H28" s="149">
        <f>VLOOKUP(A28,Jobmatch!A:I,6,0)</f>
        <v>26</v>
      </c>
      <c r="I28" s="138" t="str">
        <f>VLOOKUP(A28,Jobmatch!A:I,7,0)</f>
        <v>Analista de Controladoria</v>
      </c>
      <c r="J28" s="150" t="str">
        <f>VLOOKUP(A28,Jobmatch!A:I,8,0)</f>
        <v>Especialista</v>
      </c>
      <c r="K28" s="142" t="str">
        <f t="shared" si="1"/>
        <v>26Especialista</v>
      </c>
      <c r="L28" s="143">
        <f>COUNTIF('Folha de Pagamento'!A:A,A28)</f>
        <v>1</v>
      </c>
      <c r="M28" s="144">
        <f>IFERROR(VLOOKUP(K28,Pesquisa!$D:$L,4,0),"")</f>
        <v>6777.08</v>
      </c>
      <c r="N28" s="145">
        <f>IFERROR(VLOOKUP(K28,Pesquisa!$D:$L,5,0),"")</f>
        <v>10665.2</v>
      </c>
      <c r="O28" s="145">
        <f>IFERROR(VLOOKUP(K28,Pesquisa!$D:$L,6,0),"")</f>
        <v>12572.61</v>
      </c>
      <c r="P28" s="145">
        <f>IFERROR(VLOOKUP(K28,Pesquisa!$D:$L,7,0),"")</f>
        <v>13758.75</v>
      </c>
      <c r="Q28" s="145">
        <f>IFERROR(VLOOKUP(K28,Pesquisa!$D:$L,8,0),"")</f>
        <v>15666.17</v>
      </c>
      <c r="R28" s="144">
        <f>IFERROR(VLOOKUP(K28,Pesquisa!$D:$L,9,0),"")</f>
        <v>15995.86</v>
      </c>
      <c r="S28" s="146">
        <f>IFS('Painel Geral'!$B$5="Mediana",IFERROR(IF(OR(C28="",P28=0,P28=""),"",($C28/$P28)),""),'Painel Geral'!$B$5="Menor Salário",IFERROR(IF(OR(C28="",P28=0,P28=""),"",($C28/$M28)),""),'Painel Geral'!$B$5="1º Quartil",IFERROR(IF(OR(C28="",P28=0,P28=""),"",($C28/$N28)),""), 'Painel Geral'!$B$5="Média",IFERROR(IF(OR(C28="",P28=0,P28=""),"",($C28/$O28)),""),'Painel Geral'!$B$5="3º Quartil",IFERROR(IF(OR(C28="",P28=0,P28=""),"",($C28/$Q28)),""),'Painel Geral'!$B$5="Maior Salário",IFERROR(IF(OR(C28="",P28=0,P28=""),"",($C28/$R28)),""))</f>
        <v>0.6718272844</v>
      </c>
      <c r="T28" s="147" t="str">
        <f t="shared" si="2"/>
        <v>Muito Defasado</v>
      </c>
    </row>
    <row r="29" ht="15.75" customHeight="1">
      <c r="A29" s="134" t="s">
        <v>101</v>
      </c>
      <c r="B29" s="135" t="str">
        <f>VLOOKUP(A29,Jobmatch!A:G,2,0)</f>
        <v>COORDENADOR DE DHO</v>
      </c>
      <c r="C29" s="136">
        <f>IFERROR(AVERAGEIF('Folha de Pagamento'!A:A,A29,'Folha de Pagamento'!K:K),"")</f>
        <v>7420</v>
      </c>
      <c r="D29" s="137">
        <v>4.0</v>
      </c>
      <c r="E29" s="135" t="str">
        <f>VLOOKUP(A29,Jobmatch!A:H,3,0)</f>
        <v>DHO</v>
      </c>
      <c r="F29" s="138" t="str">
        <f>VLOOKUP(A29,Jobmatch!A:I,4,0)</f>
        <v>34 - ADM PROJETOS</v>
      </c>
      <c r="G29" s="139" t="str">
        <f>VLOOKUP(A29,Jobmatch!A:I,5,0)</f>
        <v>Tático</v>
      </c>
      <c r="H29" s="149">
        <f>VLOOKUP(A29,Jobmatch!A:I,6,0)</f>
        <v>121</v>
      </c>
      <c r="I29" s="138" t="str">
        <f>VLOOKUP(A29,Jobmatch!A:I,7,0)</f>
        <v>Coordenador de Recursos Humanos</v>
      </c>
      <c r="J29" s="150" t="str">
        <f>VLOOKUP(A29,Jobmatch!A:I,8,0)</f>
        <v>Indiferente</v>
      </c>
      <c r="K29" s="142" t="str">
        <f t="shared" si="1"/>
        <v>121Indiferente</v>
      </c>
      <c r="L29" s="143">
        <f>COUNTIF('Folha de Pagamento'!A:A,A29)</f>
        <v>1</v>
      </c>
      <c r="M29" s="144">
        <f>IFERROR(VLOOKUP(K29,Pesquisa!$D:$L,4,0),"")</f>
        <v>4599.27</v>
      </c>
      <c r="N29" s="145">
        <f>IFERROR(VLOOKUP(K29,Pesquisa!$D:$L,5,0),"")</f>
        <v>6690.07</v>
      </c>
      <c r="O29" s="145">
        <f>IFERROR(VLOOKUP(K29,Pesquisa!$D:$L,6,0),"")</f>
        <v>8176.91</v>
      </c>
      <c r="P29" s="145">
        <f>IFERROR(VLOOKUP(K29,Pesquisa!$D:$L,7,0),"")</f>
        <v>7778.54</v>
      </c>
      <c r="Q29" s="145">
        <f>IFERROR(VLOOKUP(K29,Pesquisa!$D:$L,8,0),"")</f>
        <v>9253.45</v>
      </c>
      <c r="R29" s="144">
        <f>IFERROR(VLOOKUP(K29,Pesquisa!$D:$L,9,0),"")</f>
        <v>17073.05</v>
      </c>
      <c r="S29" s="146">
        <f>IFS('Painel Geral'!$B$5="Mediana",IFERROR(IF(OR(C29="",P29=0,P29=""),"",($C29/$P29)),""),'Painel Geral'!$B$5="Menor Salário",IFERROR(IF(OR(C29="",P29=0,P29=""),"",($C29/$M29)),""),'Painel Geral'!$B$5="1º Quartil",IFERROR(IF(OR(C29="",P29=0,P29=""),"",($C29/$N29)),""), 'Painel Geral'!$B$5="Média",IFERROR(IF(OR(C29="",P29=0,P29=""),"",($C29/$O29)),""),'Painel Geral'!$B$5="3º Quartil",IFERROR(IF(OR(C29="",P29=0,P29=""),"",($C29/$Q29)),""),'Painel Geral'!$B$5="Maior Salário",IFERROR(IF(OR(C29="",P29=0,P29=""),"",($C29/$R29)),""))</f>
        <v>0.9539065172</v>
      </c>
      <c r="T29" s="147" t="str">
        <f t="shared" si="2"/>
        <v>Na Média</v>
      </c>
    </row>
    <row r="30" ht="15.75" customHeight="1">
      <c r="A30" s="134" t="s">
        <v>104</v>
      </c>
      <c r="B30" s="135" t="str">
        <f>VLOOKUP(A30,Jobmatch!A:G,2,0)</f>
        <v>COORDENADOR DE LEGAIZAÇÃO ll</v>
      </c>
      <c r="C30" s="136">
        <f>IFERROR(AVERAGEIF('Folha de Pagamento'!A:A,A30,'Folha de Pagamento'!K:K),"")</f>
        <v>8647</v>
      </c>
      <c r="D30" s="137">
        <v>7.0</v>
      </c>
      <c r="E30" s="135" t="str">
        <f>VLOOKUP(A30,Jobmatch!A:H,3,0)</f>
        <v>Legalização </v>
      </c>
      <c r="F30" s="138" t="str">
        <f>VLOOKUP(A30,Jobmatch!A:I,4,0)</f>
        <v>35 - ADM PROJETOS</v>
      </c>
      <c r="G30" s="139" t="str">
        <f>VLOOKUP(A30,Jobmatch!A:I,5,0)</f>
        <v>Tático</v>
      </c>
      <c r="H30" s="149">
        <f>VLOOKUP(A30,Jobmatch!A:I,6,0)</f>
        <v>1203</v>
      </c>
      <c r="I30" s="138" t="str">
        <f>VLOOKUP(A30,Jobmatch!A:I,7,0)</f>
        <v>Coordenador de Legalização</v>
      </c>
      <c r="J30" s="150" t="str">
        <f>VLOOKUP(A30,Jobmatch!A:I,8,0)</f>
        <v>Indiferente</v>
      </c>
      <c r="K30" s="142" t="str">
        <f t="shared" si="1"/>
        <v>1203Indiferente</v>
      </c>
      <c r="L30" s="143">
        <f>COUNTIF('Folha de Pagamento'!A:A,A30)</f>
        <v>1</v>
      </c>
      <c r="M30" s="144">
        <f>IFERROR(VLOOKUP(K30,Pesquisa!$D:$L,4,0),"")</f>
        <v>8694.57</v>
      </c>
      <c r="N30" s="145">
        <f>IFERROR(VLOOKUP(K30,Pesquisa!$D:$L,5,0),"")</f>
        <v>8783.31</v>
      </c>
      <c r="O30" s="145">
        <f>IFERROR(VLOOKUP(K30,Pesquisa!$D:$L,6,0),"")</f>
        <v>8872.04</v>
      </c>
      <c r="P30" s="145">
        <f>IFERROR(VLOOKUP(K30,Pesquisa!$D:$L,7,0),"")</f>
        <v>8872.04</v>
      </c>
      <c r="Q30" s="145">
        <f>IFERROR(VLOOKUP(K30,Pesquisa!$D:$L,8,0),"")</f>
        <v>8960.78</v>
      </c>
      <c r="R30" s="144">
        <f>IFERROR(VLOOKUP(K30,Pesquisa!$D:$L,9,0),"")</f>
        <v>9049.51</v>
      </c>
      <c r="S30" s="146">
        <f>IFS('Painel Geral'!$B$5="Mediana",IFERROR(IF(OR(C30="",P30=0,P30=""),"",($C30/$P30)),""),'Painel Geral'!$B$5="Menor Salário",IFERROR(IF(OR(C30="",P30=0,P30=""),"",($C30/$M30)),""),'Painel Geral'!$B$5="1º Quartil",IFERROR(IF(OR(C30="",P30=0,P30=""),"",($C30/$N30)),""), 'Painel Geral'!$B$5="Média",IFERROR(IF(OR(C30="",P30=0,P30=""),"",($C30/$O30)),""),'Painel Geral'!$B$5="3º Quartil",IFERROR(IF(OR(C30="",P30=0,P30=""),"",($C30/$Q30)),""),'Painel Geral'!$B$5="Maior Salário",IFERROR(IF(OR(C30="",P30=0,P30=""),"",($C30/$R30)),""))</f>
        <v>0.9746349205</v>
      </c>
      <c r="T30" s="147" t="str">
        <f t="shared" si="2"/>
        <v>Na Média</v>
      </c>
    </row>
    <row r="31" ht="15.75" customHeight="1">
      <c r="A31" s="134" t="s">
        <v>106</v>
      </c>
      <c r="B31" s="135" t="str">
        <f>VLOOKUP(A31,Jobmatch!A:G,2,0)</f>
        <v>COORDENADOR DE MARKETING II</v>
      </c>
      <c r="C31" s="136">
        <f>IFERROR(AVERAGEIF('Folha de Pagamento'!A:A,A31,'Folha de Pagamento'!K:K),"")</f>
        <v>8647</v>
      </c>
      <c r="D31" s="137">
        <v>8.0</v>
      </c>
      <c r="E31" s="135" t="str">
        <f>VLOOKUP(A31,Jobmatch!A:H,3,0)</f>
        <v>Marketing</v>
      </c>
      <c r="F31" s="138" t="str">
        <f>VLOOKUP(A31,Jobmatch!A:I,4,0)</f>
        <v>36 - ADM PROJETOS</v>
      </c>
      <c r="G31" s="139" t="str">
        <f>VLOOKUP(A31,Jobmatch!A:I,5,0)</f>
        <v>Tático</v>
      </c>
      <c r="H31" s="149">
        <f>VLOOKUP(A31,Jobmatch!A:I,6,0)</f>
        <v>56</v>
      </c>
      <c r="I31" s="138" t="str">
        <f>VLOOKUP(A31,Jobmatch!A:I,7,0)</f>
        <v>Coordenador de Marketing</v>
      </c>
      <c r="J31" s="150" t="str">
        <f>VLOOKUP(A31,Jobmatch!A:I,8,0)</f>
        <v>Indiferente</v>
      </c>
      <c r="K31" s="142" t="str">
        <f t="shared" si="1"/>
        <v>56Indiferente</v>
      </c>
      <c r="L31" s="143">
        <f>COUNTIF('Folha de Pagamento'!A:A,A31)</f>
        <v>1</v>
      </c>
      <c r="M31" s="144">
        <f>IFERROR(VLOOKUP(K31,Pesquisa!$D:$L,4,0),"")</f>
        <v>5322.81</v>
      </c>
      <c r="N31" s="145">
        <f>IFERROR(VLOOKUP(K31,Pesquisa!$D:$L,5,0),"")</f>
        <v>7141.59</v>
      </c>
      <c r="O31" s="145">
        <f>IFERROR(VLOOKUP(K31,Pesquisa!$D:$L,6,0),"")</f>
        <v>7927.07</v>
      </c>
      <c r="P31" s="145">
        <f>IFERROR(VLOOKUP(K31,Pesquisa!$D:$L,7,0),"")</f>
        <v>7958.59</v>
      </c>
      <c r="Q31" s="145">
        <f>IFERROR(VLOOKUP(K31,Pesquisa!$D:$L,8,0),"")</f>
        <v>8825.19</v>
      </c>
      <c r="R31" s="144">
        <f>IFERROR(VLOOKUP(K31,Pesquisa!$D:$L,9,0),"")</f>
        <v>10531.61</v>
      </c>
      <c r="S31" s="146">
        <f>IFS('Painel Geral'!$B$5="Mediana",IFERROR(IF(OR(C31="",P31=0,P31=""),"",($C31/$P31)),""),'Painel Geral'!$B$5="Menor Salário",IFERROR(IF(OR(C31="",P31=0,P31=""),"",($C31/$M31)),""),'Painel Geral'!$B$5="1º Quartil",IFERROR(IF(OR(C31="",P31=0,P31=""),"",($C31/$N31)),""), 'Painel Geral'!$B$5="Média",IFERROR(IF(OR(C31="",P31=0,P31=""),"",($C31/$O31)),""),'Painel Geral'!$B$5="3º Quartil",IFERROR(IF(OR(C31="",P31=0,P31=""),"",($C31/$Q31)),""),'Painel Geral'!$B$5="Maior Salário",IFERROR(IF(OR(C31="",P31=0,P31=""),"",($C31/$R31)),""))</f>
        <v>1.08649899</v>
      </c>
      <c r="T31" s="147" t="str">
        <f t="shared" si="2"/>
        <v>Na Média</v>
      </c>
    </row>
    <row r="32" ht="15.75" customHeight="1">
      <c r="A32" s="134" t="s">
        <v>109</v>
      </c>
      <c r="B32" s="135" t="str">
        <f>VLOOKUP(A32,Jobmatch!A:G,2,0)</f>
        <v>COORDENADOR DE OBRAS</v>
      </c>
      <c r="C32" s="136">
        <f>IFERROR(AVERAGEIF('Folha de Pagamento'!A:A,A32,'Folha de Pagamento'!K:K),"")</f>
        <v>8714</v>
      </c>
      <c r="D32" s="137">
        <v>5.0</v>
      </c>
      <c r="E32" s="135" t="str">
        <f>VLOOKUP(A32,Jobmatch!A:H,3,0)</f>
        <v>Edificação</v>
      </c>
      <c r="F32" s="138" t="str">
        <f>VLOOKUP(A32,Jobmatch!A:I,4,0)</f>
        <v>37 - ADM PROJETOS</v>
      </c>
      <c r="G32" s="139" t="str">
        <f>VLOOKUP(A32,Jobmatch!A:I,5,0)</f>
        <v>Tático</v>
      </c>
      <c r="H32" s="149">
        <f>VLOOKUP(A32,Jobmatch!A:I,6,0)</f>
        <v>209</v>
      </c>
      <c r="I32" s="138" t="str">
        <f>VLOOKUP(A32,Jobmatch!A:I,7,0)</f>
        <v>Coordenador de Obras</v>
      </c>
      <c r="J32" s="150" t="str">
        <f>VLOOKUP(A32,Jobmatch!A:I,8,0)</f>
        <v>Indiferente</v>
      </c>
      <c r="K32" s="142" t="str">
        <f t="shared" si="1"/>
        <v>209Indiferente</v>
      </c>
      <c r="L32" s="143">
        <f>COUNTIF('Folha de Pagamento'!A:A,A32)</f>
        <v>1</v>
      </c>
      <c r="M32" s="144">
        <f>IFERROR(VLOOKUP(K32,Pesquisa!$D:$L,4,0),"")</f>
        <v>5608.9635</v>
      </c>
      <c r="N32" s="145">
        <f>IFERROR(VLOOKUP(K32,Pesquisa!$D:$L,5,0),"")</f>
        <v>9662.348491</v>
      </c>
      <c r="O32" s="145">
        <f>IFERROR(VLOOKUP(K32,Pesquisa!$D:$L,6,0),"")</f>
        <v>10653.14423</v>
      </c>
      <c r="P32" s="145">
        <f>IFERROR(VLOOKUP(K32,Pesquisa!$D:$L,7,0),"")</f>
        <v>11847.83113</v>
      </c>
      <c r="Q32" s="145">
        <f>IFERROR(VLOOKUP(K32,Pesquisa!$D:$L,8,0),"")</f>
        <v>12838.62686</v>
      </c>
      <c r="R32" s="144">
        <f>IFERROR(VLOOKUP(K32,Pesquisa!$D:$L,9,0),"")</f>
        <v>13307.95116</v>
      </c>
      <c r="S32" s="146">
        <f>IFS('Painel Geral'!$B$5="Mediana",IFERROR(IF(OR(C32="",P32=0,P32=""),"",($C32/$P32)),""),'Painel Geral'!$B$5="Menor Salário",IFERROR(IF(OR(C32="",P32=0,P32=""),"",($C32/$M32)),""),'Painel Geral'!$B$5="1º Quartil",IFERROR(IF(OR(C32="",P32=0,P32=""),"",($C32/$N32)),""), 'Painel Geral'!$B$5="Média",IFERROR(IF(OR(C32="",P32=0,P32=""),"",($C32/$O32)),""),'Painel Geral'!$B$5="3º Quartil",IFERROR(IF(OR(C32="",P32=0,P32=""),"",($C32/$Q32)),""),'Painel Geral'!$B$5="Maior Salário",IFERROR(IF(OR(C32="",P32=0,P32=""),"",($C32/$R32)),""))</f>
        <v>0.7354932652</v>
      </c>
      <c r="T32" s="147" t="str">
        <f t="shared" si="2"/>
        <v>Muito Defasado</v>
      </c>
    </row>
    <row r="33" ht="15.75" customHeight="1">
      <c r="A33" s="134" t="s">
        <v>112</v>
      </c>
      <c r="B33" s="135" t="str">
        <f>VLOOKUP(A33,Jobmatch!A:G,2,0)</f>
        <v>COORDENADOR DE SUPRIMENTOS</v>
      </c>
      <c r="C33" s="136">
        <f>IFERROR(AVERAGEIF('Folha de Pagamento'!A:A,A33,'Folha de Pagamento'!K:K),"")</f>
        <v>10596.02649</v>
      </c>
      <c r="D33" s="137">
        <v>1.0</v>
      </c>
      <c r="E33" s="135" t="str">
        <f>VLOOKUP(A33,Jobmatch!A:H,3,0)</f>
        <v>Suprimentos </v>
      </c>
      <c r="F33" s="138" t="str">
        <f>VLOOKUP(A33,Jobmatch!A:I,4,0)</f>
        <v>38 - ADM PROJETOS</v>
      </c>
      <c r="G33" s="139" t="str">
        <f>VLOOKUP(A33,Jobmatch!A:I,5,0)</f>
        <v>Tático</v>
      </c>
      <c r="H33" s="149">
        <f>VLOOKUP(A33,Jobmatch!A:I,6,0)</f>
        <v>137</v>
      </c>
      <c r="I33" s="138" t="str">
        <f>VLOOKUP(A33,Jobmatch!A:I,7,0)</f>
        <v>Coordenador de Compras</v>
      </c>
      <c r="J33" s="150" t="str">
        <f>VLOOKUP(A33,Jobmatch!A:I,8,0)</f>
        <v>Indiferente</v>
      </c>
      <c r="K33" s="142" t="str">
        <f t="shared" si="1"/>
        <v>137Indiferente</v>
      </c>
      <c r="L33" s="143">
        <f>COUNTIF('Folha de Pagamento'!A:A,A33)</f>
        <v>1</v>
      </c>
      <c r="M33" s="144">
        <f>IFERROR(VLOOKUP(K33,Pesquisa!$D:$L,4,0),"")</f>
        <v>5608.9635</v>
      </c>
      <c r="N33" s="145">
        <f>IFERROR(VLOOKUP(K33,Pesquisa!$D:$L,5,0),"")</f>
        <v>9662.348491</v>
      </c>
      <c r="O33" s="145">
        <f>IFERROR(VLOOKUP(K33,Pesquisa!$D:$L,6,0),"")</f>
        <v>10653.14423</v>
      </c>
      <c r="P33" s="145">
        <f>IFERROR(VLOOKUP(K33,Pesquisa!$D:$L,7,0),"")</f>
        <v>11847.83113</v>
      </c>
      <c r="Q33" s="145">
        <f>IFERROR(VLOOKUP(K33,Pesquisa!$D:$L,8,0),"")</f>
        <v>12838.62686</v>
      </c>
      <c r="R33" s="144">
        <f>IFERROR(VLOOKUP(K33,Pesquisa!$D:$L,9,0),"")</f>
        <v>13307.95116</v>
      </c>
      <c r="S33" s="146">
        <f>IFS('Painel Geral'!$B$5="Mediana",IFERROR(IF(OR(C33="",P33=0,P33=""),"",($C33/$P33)),""),'Painel Geral'!$B$5="Menor Salário",IFERROR(IF(OR(C33="",P33=0,P33=""),"",($C33/$M33)),""),'Painel Geral'!$B$5="1º Quartil",IFERROR(IF(OR(C33="",P33=0,P33=""),"",($C33/$N33)),""), 'Painel Geral'!$B$5="Média",IFERROR(IF(OR(C33="",P33=0,P33=""),"",($C33/$O33)),""),'Painel Geral'!$B$5="3º Quartil",IFERROR(IF(OR(C33="",P33=0,P33=""),"",($C33/$Q33)),""),'Painel Geral'!$B$5="Maior Salário",IFERROR(IF(OR(C33="",P33=0,P33=""),"",($C33/$R33)),""))</f>
        <v>0.8943431399</v>
      </c>
      <c r="T33" s="147" t="str">
        <f t="shared" si="2"/>
        <v>Defasado</v>
      </c>
    </row>
    <row r="34" ht="15.75" customHeight="1">
      <c r="A34" s="134" t="s">
        <v>115</v>
      </c>
      <c r="B34" s="135" t="str">
        <f>VLOOKUP(A34,Jobmatch!A:G,2,0)</f>
        <v>COORDENADOR FINANCEIRO</v>
      </c>
      <c r="C34" s="136">
        <f>IFERROR(AVERAGEIF('Folha de Pagamento'!A:A,A34,'Folha de Pagamento'!K:K),"")</f>
        <v>7947.019868</v>
      </c>
      <c r="D34" s="137">
        <v>6.0</v>
      </c>
      <c r="E34" s="135" t="str">
        <f>VLOOKUP(A34,Jobmatch!A:H,3,0)</f>
        <v>Financeiro</v>
      </c>
      <c r="F34" s="138" t="str">
        <f>VLOOKUP(A34,Jobmatch!A:I,4,0)</f>
        <v>39 - ADM PROJETOS</v>
      </c>
      <c r="G34" s="139" t="str">
        <f>VLOOKUP(A34,Jobmatch!A:I,5,0)</f>
        <v>Tático</v>
      </c>
      <c r="H34" s="149">
        <f>VLOOKUP(A34,Jobmatch!A:I,6,0)</f>
        <v>122</v>
      </c>
      <c r="I34" s="138" t="str">
        <f>VLOOKUP(A34,Jobmatch!A:I,7,0)</f>
        <v>Coordenador Financeiro</v>
      </c>
      <c r="J34" s="150" t="str">
        <f>VLOOKUP(A34,Jobmatch!A:I,8,0)</f>
        <v>Indiferente</v>
      </c>
      <c r="K34" s="142" t="str">
        <f t="shared" si="1"/>
        <v>122Indiferente</v>
      </c>
      <c r="L34" s="143">
        <f>COUNTIF('Folha de Pagamento'!A:A,A34)</f>
        <v>1</v>
      </c>
      <c r="M34" s="144">
        <f>IFERROR(VLOOKUP(K34,Pesquisa!$D:$L,4,0),"")</f>
        <v>6551.35</v>
      </c>
      <c r="N34" s="145">
        <f>IFERROR(VLOOKUP(K34,Pesquisa!$D:$L,5,0),"")</f>
        <v>7801.212748</v>
      </c>
      <c r="O34" s="145">
        <f>IFERROR(VLOOKUP(K34,Pesquisa!$D:$L,6,0),"")</f>
        <v>9247.252886</v>
      </c>
      <c r="P34" s="145">
        <f>IFERROR(VLOOKUP(K34,Pesquisa!$D:$L,7,0),"")</f>
        <v>8009.801325</v>
      </c>
      <c r="Q34" s="145">
        <f>IFERROR(VLOOKUP(K34,Pesquisa!$D:$L,8,0),"")</f>
        <v>10012.25166</v>
      </c>
      <c r="R34" s="144">
        <f>IFERROR(VLOOKUP(K34,Pesquisa!$D:$L,9,0),"")</f>
        <v>13861.6487</v>
      </c>
      <c r="S34" s="146">
        <f>IFS('Painel Geral'!$B$5="Mediana",IFERROR(IF(OR(C34="",P34=0,P34=""),"",($C34/$P34)),""),'Painel Geral'!$B$5="Menor Salário",IFERROR(IF(OR(C34="",P34=0,P34=""),"",($C34/$M34)),""),'Painel Geral'!$B$5="1º Quartil",IFERROR(IF(OR(C34="",P34=0,P34=""),"",($C34/$N34)),""), 'Painel Geral'!$B$5="Média",IFERROR(IF(OR(C34="",P34=0,P34=""),"",($C34/$O34)),""),'Painel Geral'!$B$5="3º Quartil",IFERROR(IF(OR(C34="",P34=0,P34=""),"",($C34/$Q34)),""),'Painel Geral'!$B$5="Maior Salário",IFERROR(IF(OR(C34="",P34=0,P34=""),"",($C34/$R34)),""))</f>
        <v>0.9921619208</v>
      </c>
      <c r="T34" s="147" t="str">
        <f t="shared" si="2"/>
        <v>Na Média</v>
      </c>
    </row>
    <row r="35" ht="15.75" customHeight="1">
      <c r="A35" s="134" t="s">
        <v>118</v>
      </c>
      <c r="B35" s="135" t="str">
        <f>VLOOKUP(A35,Jobmatch!A:G,2,0)</f>
        <v>DIRETOR</v>
      </c>
      <c r="C35" s="136">
        <f>IFERROR(AVERAGEIF('Folha de Pagamento'!A:A,A35,'Folha de Pagamento'!K:K),"")</f>
        <v>55769.23077</v>
      </c>
      <c r="D35" s="137">
        <v>2.0</v>
      </c>
      <c r="E35" s="135" t="str">
        <f>VLOOKUP(A35,Jobmatch!A:H,3,0)</f>
        <v>Comercial</v>
      </c>
      <c r="F35" s="138" t="str">
        <f>VLOOKUP(A35,Jobmatch!A:I,4,0)</f>
        <v>40 - ADM PROJETOS</v>
      </c>
      <c r="G35" s="139" t="str">
        <f>VLOOKUP(A35,Jobmatch!A:I,5,0)</f>
        <v>Estratégico</v>
      </c>
      <c r="H35" s="149">
        <f>VLOOKUP(A35,Jobmatch!A:I,6,0)</f>
        <v>456</v>
      </c>
      <c r="I35" s="138" t="str">
        <f>VLOOKUP(A35,Jobmatch!A:I,7,0)</f>
        <v>CEO</v>
      </c>
      <c r="J35" s="150" t="str">
        <f>VLOOKUP(A35,Jobmatch!A:I,8,0)</f>
        <v>Indiferente</v>
      </c>
      <c r="K35" s="142" t="str">
        <f t="shared" si="1"/>
        <v>456Indiferente</v>
      </c>
      <c r="L35" s="143">
        <f>COUNTIF('Folha de Pagamento'!A:A,A35)</f>
        <v>1</v>
      </c>
      <c r="M35" s="144">
        <f>IFERROR(VLOOKUP(K35,Pesquisa!$D:$L,4,0),"")</f>
        <v>18287.31</v>
      </c>
      <c r="N35" s="145">
        <f>IFERROR(VLOOKUP(K35,Pesquisa!$D:$L,5,0),"")</f>
        <v>24816.78</v>
      </c>
      <c r="O35" s="145">
        <f>IFERROR(VLOOKUP(K35,Pesquisa!$D:$L,6,0),"")</f>
        <v>32648.36</v>
      </c>
      <c r="P35" s="145">
        <f>IFERROR(VLOOKUP(K35,Pesquisa!$D:$L,7,0),"")</f>
        <v>29147.75</v>
      </c>
      <c r="Q35" s="145">
        <f>IFERROR(VLOOKUP(K35,Pesquisa!$D:$L,8,0),"")</f>
        <v>37122.89</v>
      </c>
      <c r="R35" s="144">
        <f>IFERROR(VLOOKUP(K35,Pesquisa!$D:$L,9,0),"")</f>
        <v>55429.54</v>
      </c>
      <c r="S35" s="146">
        <f>IFS('Painel Geral'!$B$5="Mediana",IFERROR(IF(OR(C35="",P35=0,P35=""),"",($C35/$P35)),""),'Painel Geral'!$B$5="Menor Salário",IFERROR(IF(OR(C35="",P35=0,P35=""),"",($C35/$M35)),""),'Painel Geral'!$B$5="1º Quartil",IFERROR(IF(OR(C35="",P35=0,P35=""),"",($C35/$N35)),""), 'Painel Geral'!$B$5="Média",IFERROR(IF(OR(C35="",P35=0,P35=""),"",($C35/$O35)),""),'Painel Geral'!$B$5="3º Quartil",IFERROR(IF(OR(C35="",P35=0,P35=""),"",($C35/$Q35)),""),'Painel Geral'!$B$5="Maior Salário",IFERROR(IF(OR(C35="",P35=0,P35=""),"",($C35/$R35)),""))</f>
        <v>1.913328843</v>
      </c>
      <c r="T35" s="147" t="str">
        <f t="shared" si="2"/>
        <v>Agressivo</v>
      </c>
    </row>
    <row r="36" ht="15.75" customHeight="1">
      <c r="A36" s="134" t="s">
        <v>123</v>
      </c>
      <c r="B36" s="135" t="str">
        <f>VLOOKUP(A36,Jobmatch!A:G,2,0)</f>
        <v>ENCARREGADO DE OBRAS</v>
      </c>
      <c r="C36" s="151">
        <f>IFERROR(AVERAGEIF('Folha de Pagamento'!A:A,A36,'Folha de Pagamento'!K:K),"")</f>
        <v>10000.5</v>
      </c>
      <c r="D36" s="137">
        <v>10.0</v>
      </c>
      <c r="E36" s="135" t="str">
        <f>VLOOKUP(A36,Jobmatch!A:H,3,0)</f>
        <v>Urbanismo</v>
      </c>
      <c r="F36" s="138" t="str">
        <f>VLOOKUP(A36,Jobmatch!A:I,4,0)</f>
        <v>41 - ADM PROJETOS</v>
      </c>
      <c r="G36" s="139" t="str">
        <f>VLOOKUP(A36,Jobmatch!A:I,5,0)</f>
        <v>Operacional</v>
      </c>
      <c r="H36" s="149">
        <f>VLOOKUP(A36,Jobmatch!A:I,6,0)</f>
        <v>470</v>
      </c>
      <c r="I36" s="138" t="str">
        <f>VLOOKUP(A36,Jobmatch!A:I,7,0)</f>
        <v>Mestre de Obras</v>
      </c>
      <c r="J36" s="150" t="str">
        <f>VLOOKUP(A36,Jobmatch!A:I,8,0)</f>
        <v>Indiferente</v>
      </c>
      <c r="K36" s="142" t="str">
        <f t="shared" si="1"/>
        <v>470Indiferente</v>
      </c>
      <c r="L36" s="143">
        <f>COUNTIF('Folha de Pagamento'!A:A,A36)</f>
        <v>2</v>
      </c>
      <c r="M36" s="144">
        <f>IFERROR(VLOOKUP(K36,Pesquisa!$D:$L,4,0),"")</f>
        <v>5543.53</v>
      </c>
      <c r="N36" s="145">
        <f>IFERROR(VLOOKUP(K36,Pesquisa!$D:$L,5,0),"")</f>
        <v>5543.53</v>
      </c>
      <c r="O36" s="145">
        <f>IFERROR(VLOOKUP(K36,Pesquisa!$D:$L,6,0),"")</f>
        <v>7707.59</v>
      </c>
      <c r="P36" s="145">
        <f>IFERROR(VLOOKUP(K36,Pesquisa!$D:$L,7,0),"")</f>
        <v>7478.73</v>
      </c>
      <c r="Q36" s="145">
        <f>IFERROR(VLOOKUP(K36,Pesquisa!$D:$L,8,0),"")</f>
        <v>9809.03</v>
      </c>
      <c r="R36" s="144">
        <f>IFERROR(VLOOKUP(K36,Pesquisa!$D:$L,9,0),"")</f>
        <v>11165.69</v>
      </c>
      <c r="S36" s="146">
        <f>IFS('Painel Geral'!$B$5="Mediana",IFERROR(IF(OR(C36="",P36=0,P36=""),"",($C36/$P36)),""),'Painel Geral'!$B$5="Menor Salário",IFERROR(IF(OR(C36="",P36=0,P36=""),"",($C36/$M36)),""),'Painel Geral'!$B$5="1º Quartil",IFERROR(IF(OR(C36="",P36=0,P36=""),"",($C36/$N36)),""), 'Painel Geral'!$B$5="Média",IFERROR(IF(OR(C36="",P36=0,P36=""),"",($C36/$O36)),""),'Painel Geral'!$B$5="3º Quartil",IFERROR(IF(OR(C36="",P36=0,P36=""),"",($C36/$Q36)),""),'Painel Geral'!$B$5="Maior Salário",IFERROR(IF(OR(C36="",P36=0,P36=""),"",($C36/$R36)),""))</f>
        <v>1.337192277</v>
      </c>
      <c r="T36" s="147" t="str">
        <f t="shared" si="2"/>
        <v>Agressivo</v>
      </c>
    </row>
    <row r="37" ht="15.75" customHeight="1">
      <c r="A37" s="134" t="s">
        <v>125</v>
      </c>
      <c r="B37" s="135" t="str">
        <f>VLOOKUP(A37,Jobmatch!A:G,2,0)</f>
        <v>ENCARREGADO OBRAS/MANUTENCAO</v>
      </c>
      <c r="C37" s="136">
        <f>IFERROR(AVERAGEIF('Folha de Pagamento'!A:A,A37,'Folha de Pagamento'!K:K),"")</f>
        <v>8714</v>
      </c>
      <c r="D37" s="137">
        <v>5.0</v>
      </c>
      <c r="E37" s="135" t="str">
        <f>VLOOKUP(A37,Jobmatch!A:H,3,0)</f>
        <v>Edificação</v>
      </c>
      <c r="F37" s="138" t="str">
        <f>VLOOKUP(A37,Jobmatch!A:I,4,0)</f>
        <v>42 - ADM PROJETOS</v>
      </c>
      <c r="G37" s="139" t="str">
        <f>VLOOKUP(A37,Jobmatch!A:I,5,0)</f>
        <v>Operacional</v>
      </c>
      <c r="H37" s="149">
        <f>VLOOKUP(A37,Jobmatch!A:I,6,0)</f>
        <v>470</v>
      </c>
      <c r="I37" s="138" t="str">
        <f>VLOOKUP(A37,Jobmatch!A:I,7,0)</f>
        <v>Mestre de Obras</v>
      </c>
      <c r="J37" s="150" t="str">
        <f>VLOOKUP(A37,Jobmatch!A:I,8,0)</f>
        <v>Indiferente</v>
      </c>
      <c r="K37" s="142" t="str">
        <f t="shared" si="1"/>
        <v>470Indiferente</v>
      </c>
      <c r="L37" s="143">
        <f>COUNTIF('Folha de Pagamento'!A:A,A37)</f>
        <v>1</v>
      </c>
      <c r="M37" s="144">
        <f>IFERROR(VLOOKUP(K37,Pesquisa!$D:$L,4,0),"")</f>
        <v>5543.53</v>
      </c>
      <c r="N37" s="145">
        <f>IFERROR(VLOOKUP(K37,Pesquisa!$D:$L,5,0),"")</f>
        <v>5543.53</v>
      </c>
      <c r="O37" s="145">
        <f>IFERROR(VLOOKUP(K37,Pesquisa!$D:$L,6,0),"")</f>
        <v>7707.59</v>
      </c>
      <c r="P37" s="145">
        <f>IFERROR(VLOOKUP(K37,Pesquisa!$D:$L,7,0),"")</f>
        <v>7478.73</v>
      </c>
      <c r="Q37" s="145">
        <f>IFERROR(VLOOKUP(K37,Pesquisa!$D:$L,8,0),"")</f>
        <v>9809.03</v>
      </c>
      <c r="R37" s="144">
        <f>IFERROR(VLOOKUP(K37,Pesquisa!$D:$L,9,0),"")</f>
        <v>11165.69</v>
      </c>
      <c r="S37" s="146">
        <f>IFS('Painel Geral'!$B$5="Mediana",IFERROR(IF(OR(C37="",P37=0,P37=""),"",($C37/$P37)),""),'Painel Geral'!$B$5="Menor Salário",IFERROR(IF(OR(C37="",P37=0,P37=""),"",($C37/$M37)),""),'Painel Geral'!$B$5="1º Quartil",IFERROR(IF(OR(C37="",P37=0,P37=""),"",($C37/$N37)),""), 'Painel Geral'!$B$5="Média",IFERROR(IF(OR(C37="",P37=0,P37=""),"",($C37/$O37)),""),'Painel Geral'!$B$5="3º Quartil",IFERROR(IF(OR(C37="",P37=0,P37=""),"",($C37/$Q37)),""),'Painel Geral'!$B$5="Maior Salário",IFERROR(IF(OR(C37="",P37=0,P37=""),"",($C37/$R37)),""))</f>
        <v>1.165171092</v>
      </c>
      <c r="T37" s="147" t="str">
        <f t="shared" si="2"/>
        <v>Muito Competitivo</v>
      </c>
    </row>
    <row r="38" ht="15.75" customHeight="1">
      <c r="A38" s="134" t="s">
        <v>127</v>
      </c>
      <c r="B38" s="135" t="str">
        <f>VLOOKUP(A38,Jobmatch!A:G,2,0)</f>
        <v>ENGENHEIRO JUNIOR DE URBANISMO</v>
      </c>
      <c r="C38" s="136">
        <f>IFERROR(AVERAGEIF('Folha de Pagamento'!A:A,A38,'Folha de Pagamento'!K:K),"")</f>
        <v>5630.872483</v>
      </c>
      <c r="D38" s="137">
        <v>10.0</v>
      </c>
      <c r="E38" s="135" t="str">
        <f>VLOOKUP(A38,Jobmatch!A:H,3,0)</f>
        <v>Urbanismo</v>
      </c>
      <c r="F38" s="138" t="str">
        <f>VLOOKUP(A38,Jobmatch!A:I,4,0)</f>
        <v>43 - ADM PROJETOS</v>
      </c>
      <c r="G38" s="139" t="str">
        <f>VLOOKUP(A38,Jobmatch!A:I,5,0)</f>
        <v>Operacional</v>
      </c>
      <c r="H38" s="149">
        <f>VLOOKUP(A38,Jobmatch!A:I,6,0)</f>
        <v>212</v>
      </c>
      <c r="I38" s="138" t="str">
        <f>VLOOKUP(A38,Jobmatch!A:I,7,0)</f>
        <v>Engenheiro de Urbanismo</v>
      </c>
      <c r="J38" s="150" t="str">
        <f>VLOOKUP(A38,Jobmatch!A:I,8,0)</f>
        <v>Indiferente</v>
      </c>
      <c r="K38" s="142" t="str">
        <f t="shared" si="1"/>
        <v>212Indiferente</v>
      </c>
      <c r="L38" s="143">
        <f>COUNTIF('Folha de Pagamento'!A:A,A38)</f>
        <v>1</v>
      </c>
      <c r="M38" s="144">
        <f>IFERROR(VLOOKUP(K38,Pesquisa!$D:$L,4,0),"")</f>
        <v>13744.09</v>
      </c>
      <c r="N38" s="145">
        <f>IFERROR(VLOOKUP(K38,Pesquisa!$D:$L,5,0),"")</f>
        <v>14781.36</v>
      </c>
      <c r="O38" s="145">
        <f>IFERROR(VLOOKUP(K38,Pesquisa!$D:$L,6,0),"")</f>
        <v>15210.85</v>
      </c>
      <c r="P38" s="145">
        <f>IFERROR(VLOOKUP(K38,Pesquisa!$D:$L,7,0),"")</f>
        <v>15118.5</v>
      </c>
      <c r="Q38" s="145">
        <f>IFERROR(VLOOKUP(K38,Pesquisa!$D:$L,8,0),"")</f>
        <v>16203.19</v>
      </c>
      <c r="R38" s="144">
        <f>IFERROR(VLOOKUP(K38,Pesquisa!$D:$L,9,0),"")</f>
        <v>16203.19</v>
      </c>
      <c r="S38" s="146">
        <f>IFS('Painel Geral'!$B$5="Mediana",IFERROR(IF(OR(C38="",P38=0,P38=""),"",($C38/$P38)),""),'Painel Geral'!$B$5="Menor Salário",IFERROR(IF(OR(C38="",P38=0,P38=""),"",($C38/$M38)),""),'Painel Geral'!$B$5="1º Quartil",IFERROR(IF(OR(C38="",P38=0,P38=""),"",($C38/$N38)),""), 'Painel Geral'!$B$5="Média",IFERROR(IF(OR(C38="",P38=0,P38=""),"",($C38/$O38)),""),'Painel Geral'!$B$5="3º Quartil",IFERROR(IF(OR(C38="",P38=0,P38=""),"",($C38/$Q38)),""),'Painel Geral'!$B$5="Maior Salário",IFERROR(IF(OR(C38="",P38=0,P38=""),"",($C38/$R38)),""))</f>
        <v>0.3724491506</v>
      </c>
      <c r="T38" s="147" t="str">
        <f t="shared" si="2"/>
        <v>Muito Defasado</v>
      </c>
    </row>
    <row r="39" ht="15.75" customHeight="1">
      <c r="A39" s="134" t="s">
        <v>130</v>
      </c>
      <c r="B39" s="135" t="str">
        <f>VLOOKUP(A39,Jobmatch!A:G,2,0)</f>
        <v>ENGENHEIRO SÊNIOR </v>
      </c>
      <c r="C39" s="136">
        <f>IFERROR(AVERAGEIF('Folha de Pagamento'!A:A,A39,'Folha de Pagamento'!K:K),"")</f>
        <v>14393.93939</v>
      </c>
      <c r="D39" s="137">
        <v>5.0</v>
      </c>
      <c r="E39" s="135" t="str">
        <f>VLOOKUP(A39,Jobmatch!A:H,3,0)</f>
        <v>Edificação</v>
      </c>
      <c r="F39" s="138" t="str">
        <f>VLOOKUP(A39,Jobmatch!A:I,4,0)</f>
        <v>44 - ADM PROJETOS</v>
      </c>
      <c r="G39" s="139" t="str">
        <f>VLOOKUP(A39,Jobmatch!A:I,5,0)</f>
        <v>Tático</v>
      </c>
      <c r="H39" s="149">
        <f>VLOOKUP(A39,Jobmatch!A:I,6,0)</f>
        <v>212</v>
      </c>
      <c r="I39" s="138" t="str">
        <f>VLOOKUP(A39,Jobmatch!A:I,7,0)</f>
        <v>Engenheiro de Urbanismo</v>
      </c>
      <c r="J39" s="150" t="str">
        <f>VLOOKUP(A39,Jobmatch!A:I,8,0)</f>
        <v>Indiferente</v>
      </c>
      <c r="K39" s="142" t="str">
        <f t="shared" si="1"/>
        <v>212Indiferente</v>
      </c>
      <c r="L39" s="143">
        <f>COUNTIF('Folha de Pagamento'!A:A,A39)</f>
        <v>1</v>
      </c>
      <c r="M39" s="144">
        <f>IFERROR(VLOOKUP(K39,Pesquisa!$D:$L,4,0),"")</f>
        <v>13744.09</v>
      </c>
      <c r="N39" s="145">
        <f>IFERROR(VLOOKUP(K39,Pesquisa!$D:$L,5,0),"")</f>
        <v>14781.36</v>
      </c>
      <c r="O39" s="145">
        <f>IFERROR(VLOOKUP(K39,Pesquisa!$D:$L,6,0),"")</f>
        <v>15210.85</v>
      </c>
      <c r="P39" s="145">
        <f>IFERROR(VLOOKUP(K39,Pesquisa!$D:$L,7,0),"")</f>
        <v>15118.5</v>
      </c>
      <c r="Q39" s="145">
        <f>IFERROR(VLOOKUP(K39,Pesquisa!$D:$L,8,0),"")</f>
        <v>16203.19</v>
      </c>
      <c r="R39" s="144">
        <f>IFERROR(VLOOKUP(K39,Pesquisa!$D:$L,9,0),"")</f>
        <v>16203.19</v>
      </c>
      <c r="S39" s="146">
        <f>IFS('Painel Geral'!$B$5="Mediana",IFERROR(IF(OR(C39="",P39=0,P39=""),"",($C39/$P39)),""),'Painel Geral'!$B$5="Menor Salário",IFERROR(IF(OR(C39="",P39=0,P39=""),"",($C39/$M39)),""),'Painel Geral'!$B$5="1º Quartil",IFERROR(IF(OR(C39="",P39=0,P39=""),"",($C39/$N39)),""), 'Painel Geral'!$B$5="Média",IFERROR(IF(OR(C39="",P39=0,P39=""),"",($C39/$O39)),""),'Painel Geral'!$B$5="3º Quartil",IFERROR(IF(OR(C39="",P39=0,P39=""),"",($C39/$Q39)),""),'Painel Geral'!$B$5="Maior Salário",IFERROR(IF(OR(C39="",P39=0,P39=""),"",($C39/$R39)),""))</f>
        <v>0.9520745705</v>
      </c>
      <c r="T39" s="147" t="str">
        <f t="shared" si="2"/>
        <v>Na Média</v>
      </c>
    </row>
    <row r="40" ht="15.75" customHeight="1">
      <c r="A40" s="134" t="s">
        <v>133</v>
      </c>
      <c r="B40" s="135" t="str">
        <f>VLOOKUP(A40,Jobmatch!A:G,2,0)</f>
        <v>ESTAGIARIO (A)</v>
      </c>
      <c r="C40" s="136">
        <f>IFERROR(AVERAGEIF('Folha de Pagamento'!A:A,A40,'Folha de Pagamento'!K:K),"")</f>
        <v>1521</v>
      </c>
      <c r="D40" s="137">
        <v>9.0</v>
      </c>
      <c r="E40" s="135" t="str">
        <f>VLOOKUP(A40,Jobmatch!A:H,3,0)</f>
        <v>Novos Negócios</v>
      </c>
      <c r="F40" s="138" t="str">
        <f>VLOOKUP(A40,Jobmatch!A:I,4,0)</f>
        <v>45 - ADM PROJETOS</v>
      </c>
      <c r="G40" s="139" t="str">
        <f>VLOOKUP(A40,Jobmatch!A:I,5,0)</f>
        <v>Operacional</v>
      </c>
      <c r="H40" s="149">
        <f>VLOOKUP(A40,Jobmatch!A:I,6,0)</f>
        <v>338</v>
      </c>
      <c r="I40" s="138" t="str">
        <f>VLOOKUP(A40,Jobmatch!A:I,7,0)</f>
        <v>Estagiário Administrativo</v>
      </c>
      <c r="J40" s="150" t="str">
        <f>VLOOKUP(A40,Jobmatch!A:I,8,0)</f>
        <v>Indiferente</v>
      </c>
      <c r="K40" s="142" t="str">
        <f t="shared" si="1"/>
        <v>338Indiferente</v>
      </c>
      <c r="L40" s="143">
        <f>COUNTIF('Folha de Pagamento'!A:A,A40)</f>
        <v>1</v>
      </c>
      <c r="M40" s="144">
        <f>IFERROR(VLOOKUP(K40,Pesquisa!$D:$L,4,0),"")</f>
        <v>1562.270455</v>
      </c>
      <c r="N40" s="145">
        <f>IFERROR(VLOOKUP(K40,Pesquisa!$D:$L,5,0),"")</f>
        <v>1618.963636</v>
      </c>
      <c r="O40" s="145">
        <f>IFERROR(VLOOKUP(K40,Pesquisa!$D:$L,6,0),"")</f>
        <v>1757.55</v>
      </c>
      <c r="P40" s="145">
        <f>IFERROR(VLOOKUP(K40,Pesquisa!$D:$L,7,0),"")</f>
        <v>1726.056818</v>
      </c>
      <c r="Q40" s="145">
        <f>IFERROR(VLOOKUP(K40,Pesquisa!$D:$L,8,0),"")</f>
        <v>1864.643182</v>
      </c>
      <c r="R40" s="144">
        <f>IFERROR(VLOOKUP(K40,Pesquisa!$D:$L,9,0),"")</f>
        <v>2015.829545</v>
      </c>
      <c r="S40" s="146">
        <f>IFS('Painel Geral'!$B$5="Mediana",IFERROR(IF(OR(C40="",P40=0,P40=""),"",($C40/$P40)),""),'Painel Geral'!$B$5="Menor Salário",IFERROR(IF(OR(C40="",P40=0,P40=""),"",($C40/$M40)),""),'Painel Geral'!$B$5="1º Quartil",IFERROR(IF(OR(C40="",P40=0,P40=""),"",($C40/$N40)),""), 'Painel Geral'!$B$5="Média",IFERROR(IF(OR(C40="",P40=0,P40=""),"",($C40/$O40)),""),'Painel Geral'!$B$5="3º Quartil",IFERROR(IF(OR(C40="",P40=0,P40=""),"",($C40/$Q40)),""),'Painel Geral'!$B$5="Maior Salário",IFERROR(IF(OR(C40="",P40=0,P40=""),"",($C40/$R40)),""))</f>
        <v>0.8811992653</v>
      </c>
      <c r="T40" s="147" t="str">
        <f t="shared" si="2"/>
        <v>Defasado</v>
      </c>
    </row>
    <row r="41" ht="15.75" customHeight="1">
      <c r="A41" s="134" t="s">
        <v>138</v>
      </c>
      <c r="B41" s="135" t="str">
        <f>VLOOKUP(A41,Jobmatch!A:G,2,0)</f>
        <v>ESTAGIÁRIO(A) ADM</v>
      </c>
      <c r="C41" s="136">
        <f>IFERROR(AVERAGEIF('Folha de Pagamento'!A:A,A41,'Folha de Pagamento'!K:K),"")</f>
        <v>1521</v>
      </c>
      <c r="D41" s="137">
        <v>1.0</v>
      </c>
      <c r="E41" s="135" t="str">
        <f>VLOOKUP(A41,Jobmatch!A:H,3,0)</f>
        <v>Administrativo</v>
      </c>
      <c r="F41" s="138" t="str">
        <f>VLOOKUP(A41,Jobmatch!A:I,4,0)</f>
        <v>46 - ADM PROJETOS</v>
      </c>
      <c r="G41" s="139" t="str">
        <f>VLOOKUP(A41,Jobmatch!A:I,5,0)</f>
        <v>Operacional</v>
      </c>
      <c r="H41" s="149">
        <f>VLOOKUP(A41,Jobmatch!A:I,6,0)</f>
        <v>338</v>
      </c>
      <c r="I41" s="138" t="str">
        <f>VLOOKUP(A41,Jobmatch!A:I,7,0)</f>
        <v>Estagiário Administrativo</v>
      </c>
      <c r="J41" s="150" t="str">
        <f>VLOOKUP(A41,Jobmatch!A:I,8,0)</f>
        <v>Indiferente</v>
      </c>
      <c r="K41" s="142" t="str">
        <f t="shared" si="1"/>
        <v>338Indiferente</v>
      </c>
      <c r="L41" s="143">
        <f>COUNTIF('Folha de Pagamento'!A:A,A41)</f>
        <v>1</v>
      </c>
      <c r="M41" s="144">
        <f>IFERROR(VLOOKUP(K41,Pesquisa!$D:$L,4,0),"")</f>
        <v>1562.270455</v>
      </c>
      <c r="N41" s="145">
        <f>IFERROR(VLOOKUP(K41,Pesquisa!$D:$L,5,0),"")</f>
        <v>1618.963636</v>
      </c>
      <c r="O41" s="145">
        <f>IFERROR(VLOOKUP(K41,Pesquisa!$D:$L,6,0),"")</f>
        <v>1757.55</v>
      </c>
      <c r="P41" s="145">
        <f>IFERROR(VLOOKUP(K41,Pesquisa!$D:$L,7,0),"")</f>
        <v>1726.056818</v>
      </c>
      <c r="Q41" s="145">
        <f>IFERROR(VLOOKUP(K41,Pesquisa!$D:$L,8,0),"")</f>
        <v>1864.643182</v>
      </c>
      <c r="R41" s="144">
        <f>IFERROR(VLOOKUP(K41,Pesquisa!$D:$L,9,0),"")</f>
        <v>2015.829545</v>
      </c>
      <c r="S41" s="146">
        <f>IFS('Painel Geral'!$B$5="Mediana",IFERROR(IF(OR(C41="",P41=0,P41=""),"",($C41/$P41)),""),'Painel Geral'!$B$5="Menor Salário",IFERROR(IF(OR(C41="",P41=0,P41=""),"",($C41/$M41)),""),'Painel Geral'!$B$5="1º Quartil",IFERROR(IF(OR(C41="",P41=0,P41=""),"",($C41/$N41)),""), 'Painel Geral'!$B$5="Média",IFERROR(IF(OR(C41="",P41=0,P41=""),"",($C41/$O41)),""),'Painel Geral'!$B$5="3º Quartil",IFERROR(IF(OR(C41="",P41=0,P41=""),"",($C41/$Q41)),""),'Painel Geral'!$B$5="Maior Salário",IFERROR(IF(OR(C41="",P41=0,P41=""),"",($C41/$R41)),""))</f>
        <v>0.8811992653</v>
      </c>
      <c r="T41" s="147" t="str">
        <f t="shared" si="2"/>
        <v>Defasado</v>
      </c>
    </row>
    <row r="42" ht="15.75" customHeight="1">
      <c r="A42" s="134" t="s">
        <v>141</v>
      </c>
      <c r="B42" s="135" t="str">
        <f>VLOOKUP(A42,Jobmatch!A:G,2,0)</f>
        <v>ESTAGIARIO(A) ENG. CIVIL </v>
      </c>
      <c r="C42" s="136">
        <f>IFERROR(AVERAGEIF('Folha de Pagamento'!A:A,A42,'Folha de Pagamento'!K:K),"")</f>
        <v>1521</v>
      </c>
      <c r="D42" s="137">
        <v>10.0</v>
      </c>
      <c r="E42" s="135" t="str">
        <f>VLOOKUP(A42,Jobmatch!A:H,3,0)</f>
        <v>Urbanismo</v>
      </c>
      <c r="F42" s="138" t="str">
        <f>VLOOKUP(A42,Jobmatch!A:I,4,0)</f>
        <v>47 - ADM PROJETOS</v>
      </c>
      <c r="G42" s="139" t="str">
        <f>VLOOKUP(A42,Jobmatch!A:I,5,0)</f>
        <v>Operacional</v>
      </c>
      <c r="H42" s="149">
        <f>VLOOKUP(A42,Jobmatch!A:I,6,0)</f>
        <v>1204</v>
      </c>
      <c r="I42" s="138" t="str">
        <f>VLOOKUP(A42,Jobmatch!A:I,7,0)</f>
        <v>Estagiário de Engenharia Civil</v>
      </c>
      <c r="J42" s="150" t="str">
        <f>VLOOKUP(A42,Jobmatch!A:I,8,0)</f>
        <v>Indiferente</v>
      </c>
      <c r="K42" s="142" t="str">
        <f t="shared" si="1"/>
        <v>1204Indiferente</v>
      </c>
      <c r="L42" s="143">
        <f>COUNTIF('Folha de Pagamento'!A:A,A42)</f>
        <v>1</v>
      </c>
      <c r="M42" s="144">
        <f>IFERROR(VLOOKUP(K42,Pesquisa!$D:$L,4,0),"")</f>
        <v>1511.85</v>
      </c>
      <c r="N42" s="145">
        <f>IFERROR(VLOOKUP(K42,Pesquisa!$D:$L,5,0),"")</f>
        <v>1564.2608</v>
      </c>
      <c r="O42" s="145">
        <f>IFERROR(VLOOKUP(K42,Pesquisa!$D:$L,6,0),"")</f>
        <v>1711.51019</v>
      </c>
      <c r="P42" s="145">
        <f>IFERROR(VLOOKUP(K42,Pesquisa!$D:$L,7,0),"")</f>
        <v>1637.8375</v>
      </c>
      <c r="Q42" s="145">
        <f>IFERROR(VLOOKUP(K42,Pesquisa!$D:$L,8,0),"")</f>
        <v>1814.22</v>
      </c>
      <c r="R42" s="144">
        <f>IFERROR(VLOOKUP(K42,Pesquisa!$D:$L,9,0),"")</f>
        <v>2267.775</v>
      </c>
      <c r="S42" s="146">
        <f>IFS('Painel Geral'!$B$5="Mediana",IFERROR(IF(OR(C42="",P42=0,P42=""),"",($C42/$P42)),""),'Painel Geral'!$B$5="Menor Salário",IFERROR(IF(OR(C42="",P42=0,P42=""),"",($C42/$M42)),""),'Painel Geral'!$B$5="1º Quartil",IFERROR(IF(OR(C42="",P42=0,P42=""),"",($C42/$N42)),""), 'Painel Geral'!$B$5="Média",IFERROR(IF(OR(C42="",P42=0,P42=""),"",($C42/$O42)),""),'Painel Geral'!$B$5="3º Quartil",IFERROR(IF(OR(C42="",P42=0,P42=""),"",($C42/$Q42)),""),'Painel Geral'!$B$5="Maior Salário",IFERROR(IF(OR(C42="",P42=0,P42=""),"",($C42/$R42)),""))</f>
        <v>0.9286635579</v>
      </c>
      <c r="T42" s="147" t="str">
        <f t="shared" si="2"/>
        <v>Na Média</v>
      </c>
    </row>
    <row r="43" ht="15.75" customHeight="1">
      <c r="A43" s="134" t="s">
        <v>144</v>
      </c>
      <c r="B43" s="135" t="str">
        <f>VLOOKUP(A43,Jobmatch!A:G,2,0)</f>
        <v>ESTAGIÁRIO(A) RH/DP</v>
      </c>
      <c r="C43" s="136">
        <f>IFERROR(AVERAGEIF('Folha de Pagamento'!A:A,A43,'Folha de Pagamento'!K:K),"")</f>
        <v>1521</v>
      </c>
      <c r="D43" s="137">
        <v>4.0</v>
      </c>
      <c r="E43" s="135" t="str">
        <f>VLOOKUP(A43,Jobmatch!A:H,3,0)</f>
        <v>DHO</v>
      </c>
      <c r="F43" s="138" t="str">
        <f>VLOOKUP(A43,Jobmatch!A:I,4,0)</f>
        <v>48 - ADM PROJETOS</v>
      </c>
      <c r="G43" s="139" t="str">
        <f>VLOOKUP(A43,Jobmatch!A:I,5,0)</f>
        <v>Operacional</v>
      </c>
      <c r="H43" s="149">
        <f>VLOOKUP(A43,Jobmatch!A:I,6,0)</f>
        <v>338</v>
      </c>
      <c r="I43" s="138" t="str">
        <f>VLOOKUP(A43,Jobmatch!A:I,7,0)</f>
        <v>Estagiário Administrativo</v>
      </c>
      <c r="J43" s="150" t="str">
        <f>VLOOKUP(A43,Jobmatch!A:I,8,0)</f>
        <v>Indiferente</v>
      </c>
      <c r="K43" s="142" t="str">
        <f t="shared" si="1"/>
        <v>338Indiferente</v>
      </c>
      <c r="L43" s="143">
        <f>COUNTIF('Folha de Pagamento'!A:A,A43)</f>
        <v>1</v>
      </c>
      <c r="M43" s="144">
        <f>IFERROR(VLOOKUP(K43,Pesquisa!$D:$L,4,0),"")</f>
        <v>1562.270455</v>
      </c>
      <c r="N43" s="145">
        <f>IFERROR(VLOOKUP(K43,Pesquisa!$D:$L,5,0),"")</f>
        <v>1618.963636</v>
      </c>
      <c r="O43" s="145">
        <f>IFERROR(VLOOKUP(K43,Pesquisa!$D:$L,6,0),"")</f>
        <v>1757.55</v>
      </c>
      <c r="P43" s="145">
        <f>IFERROR(VLOOKUP(K43,Pesquisa!$D:$L,7,0),"")</f>
        <v>1726.056818</v>
      </c>
      <c r="Q43" s="145">
        <f>IFERROR(VLOOKUP(K43,Pesquisa!$D:$L,8,0),"")</f>
        <v>1864.643182</v>
      </c>
      <c r="R43" s="144">
        <f>IFERROR(VLOOKUP(K43,Pesquisa!$D:$L,9,0),"")</f>
        <v>2015.829545</v>
      </c>
      <c r="S43" s="146">
        <f>IFS('Painel Geral'!$B$5="Mediana",IFERROR(IF(OR(C43="",P43=0,P43=""),"",($C43/$P43)),""),'Painel Geral'!$B$5="Menor Salário",IFERROR(IF(OR(C43="",P43=0,P43=""),"",($C43/$M43)),""),'Painel Geral'!$B$5="1º Quartil",IFERROR(IF(OR(C43="",P43=0,P43=""),"",($C43/$N43)),""), 'Painel Geral'!$B$5="Média",IFERROR(IF(OR(C43="",P43=0,P43=""),"",($C43/$O43)),""),'Painel Geral'!$B$5="3º Quartil",IFERROR(IF(OR(C43="",P43=0,P43=""),"",($C43/$Q43)),""),'Painel Geral'!$B$5="Maior Salário",IFERROR(IF(OR(C43="",P43=0,P43=""),"",($C43/$R43)),""))</f>
        <v>0.8811992653</v>
      </c>
      <c r="T43" s="147" t="str">
        <f t="shared" si="2"/>
        <v>Defasado</v>
      </c>
    </row>
    <row r="44" ht="15.75" customHeight="1">
      <c r="A44" s="134" t="s">
        <v>146</v>
      </c>
      <c r="B44" s="135" t="str">
        <f>VLOOKUP(A44,Jobmatch!A:G,2,0)</f>
        <v>GERENTE ADMINISTRATIVA </v>
      </c>
      <c r="C44" s="136">
        <f>IFERROR(AVERAGEIF('Folha de Pagamento'!A:A,A44,'Folha de Pagamento'!K:K),"")</f>
        <v>12242.42424</v>
      </c>
      <c r="D44" s="137">
        <v>1.0</v>
      </c>
      <c r="E44" s="135" t="str">
        <f>VLOOKUP(A44,Jobmatch!A:H,3,0)</f>
        <v>Administrativo</v>
      </c>
      <c r="F44" s="138" t="str">
        <f>VLOOKUP(A44,Jobmatch!A:I,4,0)</f>
        <v>49 - ADM PROJETOS</v>
      </c>
      <c r="G44" s="139" t="str">
        <f>VLOOKUP(A44,Jobmatch!A:I,5,0)</f>
        <v>Tático</v>
      </c>
      <c r="H44" s="149">
        <f>VLOOKUP(A44,Jobmatch!A:I,6,0)</f>
        <v>106</v>
      </c>
      <c r="I44" s="138" t="str">
        <f>VLOOKUP(A44,Jobmatch!A:I,7,0)</f>
        <v>Gerente Administrativo</v>
      </c>
      <c r="J44" s="150" t="str">
        <f>VLOOKUP(A44,Jobmatch!A:I,8,0)</f>
        <v>Indiferente</v>
      </c>
      <c r="K44" s="142" t="str">
        <f t="shared" si="1"/>
        <v>106Indiferente</v>
      </c>
      <c r="L44" s="143">
        <f>COUNTIF('Folha de Pagamento'!A:A,A44)</f>
        <v>1</v>
      </c>
      <c r="M44" s="144">
        <f>IFERROR(VLOOKUP(K44,Pesquisa!$D:$L,4,0),"")</f>
        <v>8080.79</v>
      </c>
      <c r="N44" s="145">
        <f>IFERROR(VLOOKUP(K44,Pesquisa!$D:$L,5,0),"")</f>
        <v>10525.48</v>
      </c>
      <c r="O44" s="145">
        <f>IFERROR(VLOOKUP(K44,Pesquisa!$D:$L,6,0),"")</f>
        <v>13820.95</v>
      </c>
      <c r="P44" s="145">
        <f>IFERROR(VLOOKUP(K44,Pesquisa!$D:$L,7,0),"")</f>
        <v>13996.93</v>
      </c>
      <c r="Q44" s="145">
        <f>IFERROR(VLOOKUP(K44,Pesquisa!$D:$L,8,0),"")</f>
        <v>16850.54</v>
      </c>
      <c r="R44" s="144">
        <f>IFERROR(VLOOKUP(K44,Pesquisa!$D:$L,9,0),"")</f>
        <v>27754.56</v>
      </c>
      <c r="S44" s="146">
        <f>IFS('Painel Geral'!$B$5="Mediana",IFERROR(IF(OR(C44="",P44=0,P44=""),"",($C44/$P44)),""),'Painel Geral'!$B$5="Menor Salário",IFERROR(IF(OR(C44="",P44=0,P44=""),"",($C44/$M44)),""),'Painel Geral'!$B$5="1º Quartil",IFERROR(IF(OR(C44="",P44=0,P44=""),"",($C44/$N44)),""), 'Painel Geral'!$B$5="Média",IFERROR(IF(OR(C44="",P44=0,P44=""),"",($C44/$O44)),""),'Painel Geral'!$B$5="3º Quartil",IFERROR(IF(OR(C44="",P44=0,P44=""),"",($C44/$Q44)),""),'Painel Geral'!$B$5="Maior Salário",IFERROR(IF(OR(C44="",P44=0,P44=""),"",($C44/$R44)),""))</f>
        <v>0.8746506729</v>
      </c>
      <c r="T44" s="147" t="str">
        <f t="shared" si="2"/>
        <v>Defasado</v>
      </c>
    </row>
    <row r="45" ht="15.75" customHeight="1">
      <c r="A45" s="134" t="s">
        <v>149</v>
      </c>
      <c r="B45" s="135" t="str">
        <f>VLOOKUP(A45,Jobmatch!A:G,2,0)</f>
        <v>GERENTE COMERCIAL</v>
      </c>
      <c r="C45" s="136">
        <f>IFERROR(AVERAGEIF('Folha de Pagamento'!A:A,A45,'Folha de Pagamento'!K:K),"")</f>
        <v>12090.90909</v>
      </c>
      <c r="D45" s="137">
        <v>2.0</v>
      </c>
      <c r="E45" s="135" t="str">
        <f>VLOOKUP(A45,Jobmatch!A:H,3,0)</f>
        <v>Comercial</v>
      </c>
      <c r="F45" s="138" t="str">
        <f>VLOOKUP(A45,Jobmatch!A:I,4,0)</f>
        <v>50 - ADM PROJETOS</v>
      </c>
      <c r="G45" s="139" t="str">
        <f>VLOOKUP(A45,Jobmatch!A:I,5,0)</f>
        <v>Tático</v>
      </c>
      <c r="H45" s="149">
        <f>VLOOKUP(A45,Jobmatch!A:I,6,0)</f>
        <v>107</v>
      </c>
      <c r="I45" s="138" t="str">
        <f>VLOOKUP(A45,Jobmatch!A:I,7,0)</f>
        <v>Gerente Comercial</v>
      </c>
      <c r="J45" s="150" t="str">
        <f>VLOOKUP(A45,Jobmatch!A:I,8,0)</f>
        <v>Indiferente</v>
      </c>
      <c r="K45" s="142" t="str">
        <f t="shared" si="1"/>
        <v>107Indiferente</v>
      </c>
      <c r="L45" s="143">
        <f>COUNTIF('Folha de Pagamento'!A:A,A45)</f>
        <v>1</v>
      </c>
      <c r="M45" s="144">
        <f>IFERROR(VLOOKUP(K45,Pesquisa!$D:$L,4,0),"")</f>
        <v>5570.67</v>
      </c>
      <c r="N45" s="145">
        <f>IFERROR(VLOOKUP(K45,Pesquisa!$D:$L,5,0),"")</f>
        <v>9778.91</v>
      </c>
      <c r="O45" s="145">
        <f>IFERROR(VLOOKUP(K45,Pesquisa!$D:$L,6,0),"")</f>
        <v>12281.04</v>
      </c>
      <c r="P45" s="145">
        <f>IFERROR(VLOOKUP(K45,Pesquisa!$D:$L,7,0),"")</f>
        <v>12107.57</v>
      </c>
      <c r="Q45" s="145">
        <f>IFERROR(VLOOKUP(K45,Pesquisa!$D:$L,8,0),"")</f>
        <v>15321.87</v>
      </c>
      <c r="R45" s="144">
        <f>IFERROR(VLOOKUP(K45,Pesquisa!$D:$L,9,0),"")</f>
        <v>19289.48</v>
      </c>
      <c r="S45" s="146">
        <f>IFS('Painel Geral'!$B$5="Mediana",IFERROR(IF(OR(C45="",P45=0,P45=""),"",($C45/$P45)),""),'Painel Geral'!$B$5="Menor Salário",IFERROR(IF(OR(C45="",P45=0,P45=""),"",($C45/$M45)),""),'Painel Geral'!$B$5="1º Quartil",IFERROR(IF(OR(C45="",P45=0,P45=""),"",($C45/$N45)),""), 'Painel Geral'!$B$5="Média",IFERROR(IF(OR(C45="",P45=0,P45=""),"",($C45/$O45)),""),'Painel Geral'!$B$5="3º Quartil",IFERROR(IF(OR(C45="",P45=0,P45=""),"",($C45/$Q45)),""),'Painel Geral'!$B$5="Maior Salário",IFERROR(IF(OR(C45="",P45=0,P45=""),"",($C45/$R45)),""))</f>
        <v>0.9986239263</v>
      </c>
      <c r="T45" s="147" t="str">
        <f t="shared" si="2"/>
        <v>Na Média</v>
      </c>
    </row>
    <row r="46" ht="15.75" customHeight="1">
      <c r="A46" s="134" t="s">
        <v>152</v>
      </c>
      <c r="B46" s="135" t="str">
        <f>VLOOKUP(A46,Jobmatch!A:G,2,0)</f>
        <v>GERENTE DE EDIFICAÇÕES</v>
      </c>
      <c r="C46" s="136">
        <f>IFERROR(AVERAGEIF('Folha de Pagamento'!A:A,A46,'Folha de Pagamento'!K:K),"")</f>
        <v>30106.06061</v>
      </c>
      <c r="D46" s="137">
        <v>5.0</v>
      </c>
      <c r="E46" s="135" t="str">
        <f>VLOOKUP(A46,Jobmatch!A:H,3,0)</f>
        <v>Edificação</v>
      </c>
      <c r="F46" s="138" t="str">
        <f>VLOOKUP(A46,Jobmatch!A:I,4,0)</f>
        <v>51 - ADM PROJETOS</v>
      </c>
      <c r="G46" s="139" t="str">
        <f>VLOOKUP(A46,Jobmatch!A:I,5,0)</f>
        <v>Tático</v>
      </c>
      <c r="H46" s="149">
        <f>VLOOKUP(A46,Jobmatch!A:I,6,0)</f>
        <v>213</v>
      </c>
      <c r="I46" s="138" t="str">
        <f>VLOOKUP(A46,Jobmatch!A:I,7,0)</f>
        <v>Gerente de Engenharia</v>
      </c>
      <c r="J46" s="150" t="str">
        <f>VLOOKUP(A46,Jobmatch!A:I,8,0)</f>
        <v>Indiferente</v>
      </c>
      <c r="K46" s="142" t="str">
        <f t="shared" si="1"/>
        <v>213Indiferente</v>
      </c>
      <c r="L46" s="143">
        <f>COUNTIF('Folha de Pagamento'!A:A,A46)</f>
        <v>1</v>
      </c>
      <c r="M46" s="144">
        <f>IFERROR(VLOOKUP(K46,Pesquisa!$D:$L,4,0),"")</f>
        <v>17562.66</v>
      </c>
      <c r="N46" s="145">
        <f>IFERROR(VLOOKUP(K46,Pesquisa!$D:$L,5,0),"")</f>
        <v>18557.96</v>
      </c>
      <c r="O46" s="145">
        <f>IFERROR(VLOOKUP(K46,Pesquisa!$D:$L,6,0),"")</f>
        <v>19429.38</v>
      </c>
      <c r="P46" s="145">
        <f>IFERROR(VLOOKUP(K46,Pesquisa!$D:$L,7,0),"")</f>
        <v>19054.35</v>
      </c>
      <c r="Q46" s="145">
        <f>IFERROR(VLOOKUP(K46,Pesquisa!$D:$L,8,0),"")</f>
        <v>20299.73</v>
      </c>
      <c r="R46" s="144">
        <f>IFERROR(VLOOKUP(K46,Pesquisa!$D:$L,9,0),"")</f>
        <v>30343.9</v>
      </c>
      <c r="S46" s="146">
        <f>IFS('Painel Geral'!$B$5="Mediana",IFERROR(IF(OR(C46="",P46=0,P46=""),"",($C46/$P46)),""),'Painel Geral'!$B$5="Menor Salário",IFERROR(IF(OR(C46="",P46=0,P46=""),"",($C46/$M46)),""),'Painel Geral'!$B$5="1º Quartil",IFERROR(IF(OR(C46="",P46=0,P46=""),"",($C46/$N46)),""), 'Painel Geral'!$B$5="Média",IFERROR(IF(OR(C46="",P46=0,P46=""),"",($C46/$O46)),""),'Painel Geral'!$B$5="3º Quartil",IFERROR(IF(OR(C46="",P46=0,P46=""),"",($C46/$Q46)),""),'Painel Geral'!$B$5="Maior Salário",IFERROR(IF(OR(C46="",P46=0,P46=""),"",($C46/$R46)),""))</f>
        <v>1.580009846</v>
      </c>
      <c r="T46" s="147" t="str">
        <f t="shared" si="2"/>
        <v>Agressivo</v>
      </c>
    </row>
    <row r="47" ht="15.75" customHeight="1">
      <c r="A47" s="134" t="s">
        <v>155</v>
      </c>
      <c r="B47" s="135" t="str">
        <f>VLOOKUP(A47,Jobmatch!A:G,2,0)</f>
        <v>GERENTE DE HOUSE</v>
      </c>
      <c r="C47" s="136">
        <f>IFERROR(AVERAGEIF('Folha de Pagamento'!A:A,A47,'Folha de Pagamento'!K:K),"")</f>
        <v>3882.575758</v>
      </c>
      <c r="D47" s="137">
        <v>2.0</v>
      </c>
      <c r="E47" s="135" t="str">
        <f>VLOOKUP(A47,Jobmatch!A:H,3,0)</f>
        <v>Comercial</v>
      </c>
      <c r="F47" s="138" t="str">
        <f>VLOOKUP(A47,Jobmatch!A:I,4,0)</f>
        <v>52 - ADM PROJETOS</v>
      </c>
      <c r="G47" s="139" t="str">
        <f>VLOOKUP(A47,Jobmatch!A:I,5,0)</f>
        <v>Tático</v>
      </c>
      <c r="H47" s="149">
        <f>VLOOKUP(A47,Jobmatch!A:I,6,0)</f>
        <v>107</v>
      </c>
      <c r="I47" s="138" t="str">
        <f>VLOOKUP(A47,Jobmatch!A:I,7,0)</f>
        <v>Gerente Comercial</v>
      </c>
      <c r="J47" s="150" t="str">
        <f>VLOOKUP(A47,Jobmatch!A:I,8,0)</f>
        <v>Indiferente</v>
      </c>
      <c r="K47" s="142" t="str">
        <f t="shared" si="1"/>
        <v>107Indiferente</v>
      </c>
      <c r="L47" s="143">
        <f>COUNTIF('Folha de Pagamento'!A:A,A47)</f>
        <v>1</v>
      </c>
      <c r="M47" s="144">
        <f>IFERROR(VLOOKUP(K47,Pesquisa!$D:$L,4,0),"")</f>
        <v>5570.67</v>
      </c>
      <c r="N47" s="145">
        <f>IFERROR(VLOOKUP(K47,Pesquisa!$D:$L,5,0),"")</f>
        <v>9778.91</v>
      </c>
      <c r="O47" s="145">
        <f>IFERROR(VLOOKUP(K47,Pesquisa!$D:$L,6,0),"")</f>
        <v>12281.04</v>
      </c>
      <c r="P47" s="145">
        <f>IFERROR(VLOOKUP(K47,Pesquisa!$D:$L,7,0),"")</f>
        <v>12107.57</v>
      </c>
      <c r="Q47" s="145">
        <f>IFERROR(VLOOKUP(K47,Pesquisa!$D:$L,8,0),"")</f>
        <v>15321.87</v>
      </c>
      <c r="R47" s="144">
        <f>IFERROR(VLOOKUP(K47,Pesquisa!$D:$L,9,0),"")</f>
        <v>19289.48</v>
      </c>
      <c r="S47" s="146">
        <f>IFS('Painel Geral'!$B$5="Mediana",IFERROR(IF(OR(C47="",P47=0,P47=""),"",($C47/$P47)),""),'Painel Geral'!$B$5="Menor Salário",IFERROR(IF(OR(C47="",P47=0,P47=""),"",($C47/$M47)),""),'Painel Geral'!$B$5="1º Quartil",IFERROR(IF(OR(C47="",P47=0,P47=""),"",($C47/$N47)),""), 'Painel Geral'!$B$5="Média",IFERROR(IF(OR(C47="",P47=0,P47=""),"",($C47/$O47)),""),'Painel Geral'!$B$5="3º Quartil",IFERROR(IF(OR(C47="",P47=0,P47=""),"",($C47/$Q47)),""),'Painel Geral'!$B$5="Maior Salário",IFERROR(IF(OR(C47="",P47=0,P47=""),"",($C47/$R47)),""))</f>
        <v>0.3206734099</v>
      </c>
      <c r="T47" s="147" t="str">
        <f t="shared" si="2"/>
        <v>Muito Defasado</v>
      </c>
    </row>
    <row r="48" ht="15.75" customHeight="1">
      <c r="A48" s="134" t="s">
        <v>158</v>
      </c>
      <c r="B48" s="135" t="str">
        <f>VLOOKUP(A48,Jobmatch!A:G,2,0)</f>
        <v>GERENTE DE IMOBILIÁRIAS EXTERNAS</v>
      </c>
      <c r="C48" s="136">
        <f>IFERROR(AVERAGEIF('Folha de Pagamento'!A:A,A48,'Folha de Pagamento'!K:K),"")</f>
        <v>4189.772727</v>
      </c>
      <c r="D48" s="137">
        <v>2.0</v>
      </c>
      <c r="E48" s="135" t="str">
        <f>VLOOKUP(A48,Jobmatch!A:H,3,0)</f>
        <v>Comercial</v>
      </c>
      <c r="F48" s="138" t="str">
        <f>VLOOKUP(A48,Jobmatch!A:I,4,0)</f>
        <v>53 - ADM PROJETOS</v>
      </c>
      <c r="G48" s="139" t="str">
        <f>VLOOKUP(A48,Jobmatch!A:I,5,0)</f>
        <v>Tático</v>
      </c>
      <c r="H48" s="149">
        <f>VLOOKUP(A48,Jobmatch!A:I,6,0)</f>
        <v>1205</v>
      </c>
      <c r="I48" s="138" t="str">
        <f>VLOOKUP(A48,Jobmatch!A:I,7,0)</f>
        <v>Gerente de Imobiliárias</v>
      </c>
      <c r="J48" s="150" t="str">
        <f>VLOOKUP(A48,Jobmatch!A:I,8,0)</f>
        <v>Indiferente</v>
      </c>
      <c r="K48" s="142" t="str">
        <f t="shared" si="1"/>
        <v>1205Indiferente</v>
      </c>
      <c r="L48" s="143">
        <f>COUNTIF('Folha de Pagamento'!A:A,A48)</f>
        <v>2</v>
      </c>
      <c r="M48" s="144">
        <f>IFERROR(VLOOKUP(K48,Pesquisa!$D:$L,4,0),"")</f>
        <v>0</v>
      </c>
      <c r="N48" s="145">
        <f>IFERROR(VLOOKUP(K48,Pesquisa!$D:$L,5,0),"")</f>
        <v>0</v>
      </c>
      <c r="O48" s="145">
        <f>IFERROR(VLOOKUP(K48,Pesquisa!$D:$L,6,0),"")</f>
        <v>0</v>
      </c>
      <c r="P48" s="145">
        <f>IFERROR(VLOOKUP(K48,Pesquisa!$D:$L,7,0),"")</f>
        <v>0</v>
      </c>
      <c r="Q48" s="145">
        <f>IFERROR(VLOOKUP(K48,Pesquisa!$D:$L,8,0),"")</f>
        <v>0</v>
      </c>
      <c r="R48" s="144">
        <f>IFERROR(VLOOKUP(K48,Pesquisa!$D:$L,9,0),"")</f>
        <v>0</v>
      </c>
      <c r="S48" s="146" t="str">
        <f>IFS('Painel Geral'!$B$5="Mediana",IFERROR(IF(OR(C48="",P48=0,P48=""),"",($C48/$P48)),""),'Painel Geral'!$B$5="Menor Salário",IFERROR(IF(OR(C48="",P48=0,P48=""),"",($C48/$M48)),""),'Painel Geral'!$B$5="1º Quartil",IFERROR(IF(OR(C48="",P48=0,P48=""),"",($C48/$N48)),""), 'Painel Geral'!$B$5="Média",IFERROR(IF(OR(C48="",P48=0,P48=""),"",($C48/$O48)),""),'Painel Geral'!$B$5="3º Quartil",IFERROR(IF(OR(C48="",P48=0,P48=""),"",($C48/$Q48)),""),'Painel Geral'!$B$5="Maior Salário",IFERROR(IF(OR(C48="",P48=0,P48=""),"",($C48/$R48)),""))</f>
        <v/>
      </c>
      <c r="T48" s="147" t="str">
        <f t="shared" si="2"/>
        <v/>
      </c>
    </row>
    <row r="49" ht="15.75" customHeight="1">
      <c r="A49" s="134" t="s">
        <v>162</v>
      </c>
      <c r="B49" s="135" t="str">
        <f>VLOOKUP(A49,Jobmatch!A:G,2,0)</f>
        <v>GERENTE DE INCORPORAÇÃO </v>
      </c>
      <c r="C49" s="136">
        <f>IFERROR(AVERAGEIF('Folha de Pagamento'!A:A,A49,'Folha de Pagamento'!K:K),"")</f>
        <v>14045.45455</v>
      </c>
      <c r="D49" s="137">
        <v>7.0</v>
      </c>
      <c r="E49" s="135" t="str">
        <f>VLOOKUP(A49,Jobmatch!A:H,3,0)</f>
        <v>Incorporação</v>
      </c>
      <c r="F49" s="138" t="str">
        <f>VLOOKUP(A49,Jobmatch!A:I,4,0)</f>
        <v>54 - ADM PROJETOS</v>
      </c>
      <c r="G49" s="139" t="str">
        <f>VLOOKUP(A49,Jobmatch!A:I,5,0)</f>
        <v>Tático</v>
      </c>
      <c r="H49" s="149">
        <f>VLOOKUP(A49,Jobmatch!A:I,6,0)</f>
        <v>548</v>
      </c>
      <c r="I49" s="138" t="str">
        <f>VLOOKUP(A49,Jobmatch!A:I,7,0)</f>
        <v>Gerente de Incorporação</v>
      </c>
      <c r="J49" s="150" t="str">
        <f>VLOOKUP(A49,Jobmatch!A:I,8,0)</f>
        <v>Indiferente</v>
      </c>
      <c r="K49" s="142" t="str">
        <f t="shared" si="1"/>
        <v>548Indiferente</v>
      </c>
      <c r="L49" s="143">
        <f>COUNTIF('Folha de Pagamento'!A:A,A49)</f>
        <v>1</v>
      </c>
      <c r="M49" s="144">
        <f>IFERROR(VLOOKUP(K49,Pesquisa!$D:$L,4,0),"")</f>
        <v>9162.727273</v>
      </c>
      <c r="N49" s="145">
        <f>IFERROR(VLOOKUP(K49,Pesquisa!$D:$L,5,0),"")</f>
        <v>13744.09091</v>
      </c>
      <c r="O49" s="145">
        <f>IFERROR(VLOOKUP(K49,Pesquisa!$D:$L,6,0),"")</f>
        <v>18683.55298</v>
      </c>
      <c r="P49" s="145">
        <f>IFERROR(VLOOKUP(K49,Pesquisa!$D:$L,7,0),"")</f>
        <v>18908.46361</v>
      </c>
      <c r="Q49" s="145">
        <f>IFERROR(VLOOKUP(K49,Pesquisa!$D:$L,8,0),"")</f>
        <v>23847.92568</v>
      </c>
      <c r="R49" s="144">
        <f>IFERROR(VLOOKUP(K49,Pesquisa!$D:$L,9,0),"")</f>
        <v>27754.55742</v>
      </c>
      <c r="S49" s="146">
        <f>IFS('Painel Geral'!$B$5="Mediana",IFERROR(IF(OR(C49="",P49=0,P49=""),"",($C49/$P49)),""),'Painel Geral'!$B$5="Menor Salário",IFERROR(IF(OR(C49="",P49=0,P49=""),"",($C49/$M49)),""),'Painel Geral'!$B$5="1º Quartil",IFERROR(IF(OR(C49="",P49=0,P49=""),"",($C49/$N49)),""), 'Painel Geral'!$B$5="Média",IFERROR(IF(OR(C49="",P49=0,P49=""),"",($C49/$O49)),""),'Painel Geral'!$B$5="3º Quartil",IFERROR(IF(OR(C49="",P49=0,P49=""),"",($C49/$Q49)),""),'Painel Geral'!$B$5="Maior Salário",IFERROR(IF(OR(C49="",P49=0,P49=""),"",($C49/$R49)),""))</f>
        <v>0.7428131039</v>
      </c>
      <c r="T49" s="147" t="str">
        <f t="shared" si="2"/>
        <v>Muito Defasado</v>
      </c>
    </row>
    <row r="50" ht="15.75" customHeight="1">
      <c r="A50" s="134" t="s">
        <v>166</v>
      </c>
      <c r="B50" s="135" t="str">
        <f>VLOOKUP(A50,Jobmatch!A:G,2,0)</f>
        <v>GERENTE DE PARCERIAS</v>
      </c>
      <c r="C50" s="136">
        <f>IFERROR(AVERAGEIF('Folha de Pagamento'!A:A,A50,'Folha de Pagamento'!K:K),"")</f>
        <v>4049.242424</v>
      </c>
      <c r="D50" s="137">
        <v>2.0</v>
      </c>
      <c r="E50" s="135" t="str">
        <f>VLOOKUP(A50,Jobmatch!A:H,3,0)</f>
        <v>Comercial</v>
      </c>
      <c r="F50" s="138" t="str">
        <f>VLOOKUP(A50,Jobmatch!A:I,4,0)</f>
        <v>55 - ADM PROJETOS</v>
      </c>
      <c r="G50" s="139" t="str">
        <f>VLOOKUP(A50,Jobmatch!A:I,5,0)</f>
        <v>Tático</v>
      </c>
      <c r="H50" s="149">
        <f>VLOOKUP(A50,Jobmatch!A:I,6,0)</f>
        <v>408</v>
      </c>
      <c r="I50" s="138" t="str">
        <f>VLOOKUP(A50,Jobmatch!A:I,7,0)</f>
        <v>Gerente de Relacionamento</v>
      </c>
      <c r="J50" s="150" t="str">
        <f>VLOOKUP(A50,Jobmatch!A:I,8,0)</f>
        <v>Indiferente</v>
      </c>
      <c r="K50" s="142" t="str">
        <f t="shared" si="1"/>
        <v>408Indiferente</v>
      </c>
      <c r="L50" s="143">
        <f>COUNTIF('Folha de Pagamento'!A:A,A50)</f>
        <v>2</v>
      </c>
      <c r="M50" s="144">
        <f>IFERROR(VLOOKUP(K50,Pesquisa!$D:$L,4,0),"")</f>
        <v>5772.56</v>
      </c>
      <c r="N50" s="145">
        <f>IFERROR(VLOOKUP(K50,Pesquisa!$D:$L,5,0),"")</f>
        <v>7608.96</v>
      </c>
      <c r="O50" s="145">
        <f>IFERROR(VLOOKUP(K50,Pesquisa!$D:$L,6,0),"")</f>
        <v>10973.95</v>
      </c>
      <c r="P50" s="145">
        <f>IFERROR(VLOOKUP(K50,Pesquisa!$D:$L,7,0),"")</f>
        <v>10996.97</v>
      </c>
      <c r="Q50" s="145">
        <f>IFERROR(VLOOKUP(K50,Pesquisa!$D:$L,8,0),"")</f>
        <v>14004.27</v>
      </c>
      <c r="R50" s="144">
        <f>IFERROR(VLOOKUP(K50,Pesquisa!$D:$L,9,0),"")</f>
        <v>16628.86</v>
      </c>
      <c r="S50" s="146">
        <f>IFS('Painel Geral'!$B$5="Mediana",IFERROR(IF(OR(C50="",P50=0,P50=""),"",($C50/$P50)),""),'Painel Geral'!$B$5="Menor Salário",IFERROR(IF(OR(C50="",P50=0,P50=""),"",($C50/$M50)),""),'Painel Geral'!$B$5="1º Quartil",IFERROR(IF(OR(C50="",P50=0,P50=""),"",($C50/$N50)),""), 'Painel Geral'!$B$5="Média",IFERROR(IF(OR(C50="",P50=0,P50=""),"",($C50/$O50)),""),'Painel Geral'!$B$5="3º Quartil",IFERROR(IF(OR(C50="",P50=0,P50=""),"",($C50/$Q50)),""),'Painel Geral'!$B$5="Maior Salário",IFERROR(IF(OR(C50="",P50=0,P50=""),"",($C50/$R50)),""))</f>
        <v>0.368214374</v>
      </c>
      <c r="T50" s="147" t="str">
        <f t="shared" si="2"/>
        <v>Muito Defasado</v>
      </c>
    </row>
    <row r="51" ht="15.75" customHeight="1">
      <c r="A51" s="134" t="s">
        <v>171</v>
      </c>
      <c r="B51" s="135" t="str">
        <f>VLOOKUP(A51,Jobmatch!A:G,2,0)</f>
        <v>GERENTE DE PARCERIAS EXTERNAS</v>
      </c>
      <c r="C51" s="136">
        <f>IFERROR(AVERAGEIF('Folha de Pagamento'!A:A,A51,'Folha de Pagamento'!K:K),"")</f>
        <v>3787.878788</v>
      </c>
      <c r="D51" s="137">
        <v>2.0</v>
      </c>
      <c r="E51" s="135" t="str">
        <f>VLOOKUP(A51,Jobmatch!A:H,3,0)</f>
        <v>Comercial</v>
      </c>
      <c r="F51" s="138" t="str">
        <f>VLOOKUP(A51,Jobmatch!A:I,4,0)</f>
        <v>56 - ADM PROJETOS</v>
      </c>
      <c r="G51" s="139" t="str">
        <f>VLOOKUP(A51,Jobmatch!A:I,5,0)</f>
        <v>Tático</v>
      </c>
      <c r="H51" s="149">
        <f>VLOOKUP(A51,Jobmatch!A:I,6,0)</f>
        <v>408</v>
      </c>
      <c r="I51" s="138" t="str">
        <f>VLOOKUP(A51,Jobmatch!A:I,7,0)</f>
        <v>Gerente de Relacionamento</v>
      </c>
      <c r="J51" s="150" t="str">
        <f>VLOOKUP(A51,Jobmatch!A:I,8,0)</f>
        <v>Indiferente</v>
      </c>
      <c r="K51" s="142" t="str">
        <f t="shared" si="1"/>
        <v>408Indiferente</v>
      </c>
      <c r="L51" s="143">
        <f>COUNTIF('Folha de Pagamento'!A:A,A51)</f>
        <v>1</v>
      </c>
      <c r="M51" s="144">
        <f>IFERROR(VLOOKUP(K51,Pesquisa!$D:$L,4,0),"")</f>
        <v>5772.56</v>
      </c>
      <c r="N51" s="145">
        <f>IFERROR(VLOOKUP(K51,Pesquisa!$D:$L,5,0),"")</f>
        <v>7608.96</v>
      </c>
      <c r="O51" s="145">
        <f>IFERROR(VLOOKUP(K51,Pesquisa!$D:$L,6,0),"")</f>
        <v>10973.95</v>
      </c>
      <c r="P51" s="145">
        <f>IFERROR(VLOOKUP(K51,Pesquisa!$D:$L,7,0),"")</f>
        <v>10996.97</v>
      </c>
      <c r="Q51" s="145">
        <f>IFERROR(VLOOKUP(K51,Pesquisa!$D:$L,8,0),"")</f>
        <v>14004.27</v>
      </c>
      <c r="R51" s="144">
        <f>IFERROR(VLOOKUP(K51,Pesquisa!$D:$L,9,0),"")</f>
        <v>16628.86</v>
      </c>
      <c r="S51" s="146">
        <f>IFS('Painel Geral'!$B$5="Mediana",IFERROR(IF(OR(C51="",P51=0,P51=""),"",($C51/$P51)),""),'Painel Geral'!$B$5="Menor Salário",IFERROR(IF(OR(C51="",P51=0,P51=""),"",($C51/$M51)),""),'Painel Geral'!$B$5="1º Quartil",IFERROR(IF(OR(C51="",P51=0,P51=""),"",($C51/$N51)),""), 'Painel Geral'!$B$5="Média",IFERROR(IF(OR(C51="",P51=0,P51=""),"",($C51/$O51)),""),'Painel Geral'!$B$5="3º Quartil",IFERROR(IF(OR(C51="",P51=0,P51=""),"",($C51/$Q51)),""),'Painel Geral'!$B$5="Maior Salário",IFERROR(IF(OR(C51="",P51=0,P51=""),"",($C51/$R51)),""))</f>
        <v>0.3444474967</v>
      </c>
      <c r="T51" s="147" t="str">
        <f t="shared" si="2"/>
        <v>Muito Defasado</v>
      </c>
    </row>
    <row r="52" ht="15.75" customHeight="1">
      <c r="A52" s="134" t="s">
        <v>174</v>
      </c>
      <c r="B52" s="135" t="str">
        <f>VLOOKUP(A52,Jobmatch!A:G,2,0)</f>
        <v>GERENTE DE URBANISMO</v>
      </c>
      <c r="C52" s="136">
        <f>IFERROR(AVERAGEIF('Folha de Pagamento'!A:A,A52,'Folha de Pagamento'!K:K),"")</f>
        <v>28030.30303</v>
      </c>
      <c r="D52" s="137">
        <v>10.0</v>
      </c>
      <c r="E52" s="135" t="str">
        <f>VLOOKUP(A52,Jobmatch!A:H,3,0)</f>
        <v>Urbanismo</v>
      </c>
      <c r="F52" s="138" t="str">
        <f>VLOOKUP(A52,Jobmatch!A:I,4,0)</f>
        <v>57 - ADM PROJETOS</v>
      </c>
      <c r="G52" s="139" t="str">
        <f>VLOOKUP(A52,Jobmatch!A:I,5,0)</f>
        <v>Tático</v>
      </c>
      <c r="H52" s="149">
        <f>VLOOKUP(A52,Jobmatch!A:I,6,0)</f>
        <v>473</v>
      </c>
      <c r="I52" s="138" t="str">
        <f>VLOOKUP(A52,Jobmatch!A:I,7,0)</f>
        <v>Gerente de Urbanismo</v>
      </c>
      <c r="J52" s="150" t="str">
        <f>VLOOKUP(A52,Jobmatch!A:I,8,0)</f>
        <v>Indiferente</v>
      </c>
      <c r="K52" s="142" t="str">
        <f t="shared" si="1"/>
        <v>473Indiferente</v>
      </c>
      <c r="L52" s="143">
        <f>COUNTIF('Folha de Pagamento'!A:A,A52)</f>
        <v>1</v>
      </c>
      <c r="M52" s="144">
        <f>IFERROR(VLOOKUP(K52,Pesquisa!$D:$L,4,0),"")</f>
        <v>9162.73</v>
      </c>
      <c r="N52" s="145">
        <f>IFERROR(VLOOKUP(K52,Pesquisa!$D:$L,5,0),"")</f>
        <v>14601.4</v>
      </c>
      <c r="O52" s="145">
        <f>IFERROR(VLOOKUP(K52,Pesquisa!$D:$L,6,0),"")</f>
        <v>19151.52</v>
      </c>
      <c r="P52" s="145">
        <f>IFERROR(VLOOKUP(K52,Pesquisa!$D:$L,7,0),"")</f>
        <v>20040.08</v>
      </c>
      <c r="Q52" s="145">
        <f>IFERROR(VLOOKUP(K52,Pesquisa!$D:$L,8,0),"")</f>
        <v>24145.91</v>
      </c>
      <c r="R52" s="144">
        <f>IFERROR(VLOOKUP(K52,Pesquisa!$D:$L,9,0),"")</f>
        <v>28251.74</v>
      </c>
      <c r="S52" s="146">
        <f>IFS('Painel Geral'!$B$5="Mediana",IFERROR(IF(OR(C52="",P52=0,P52=""),"",($C52/$P52)),""),'Painel Geral'!$B$5="Menor Salário",IFERROR(IF(OR(C52="",P52=0,P52=""),"",($C52/$M52)),""),'Painel Geral'!$B$5="1º Quartil",IFERROR(IF(OR(C52="",P52=0,P52=""),"",($C52/$N52)),""), 'Painel Geral'!$B$5="Média",IFERROR(IF(OR(C52="",P52=0,P52=""),"",($C52/$O52)),""),'Painel Geral'!$B$5="3º Quartil",IFERROR(IF(OR(C52="",P52=0,P52=""),"",($C52/$Q52)),""),'Painel Geral'!$B$5="Maior Salário",IFERROR(IF(OR(C52="",P52=0,P52=""),"",($C52/$R52)),""))</f>
        <v>1.398712132</v>
      </c>
      <c r="T52" s="147" t="str">
        <f t="shared" si="2"/>
        <v>Agressivo</v>
      </c>
    </row>
    <row r="53" ht="15.75" customHeight="1">
      <c r="A53" s="134" t="s">
        <v>177</v>
      </c>
      <c r="B53" s="135" t="str">
        <f>VLOOKUP(A53,Jobmatch!A:G,2,0)</f>
        <v>SUPERVISOR DE NOVOS NEGÓCIOS </v>
      </c>
      <c r="C53" s="136">
        <f>IFERROR(AVERAGEIF('Folha de Pagamento'!A:A,A53,'Folha de Pagamento'!K:K),"")</f>
        <v>8759.124088</v>
      </c>
      <c r="D53" s="137">
        <v>9.0</v>
      </c>
      <c r="E53" s="135" t="str">
        <f>VLOOKUP(A53,Jobmatch!A:H,3,0)</f>
        <v>Novos Negócios</v>
      </c>
      <c r="F53" s="138" t="str">
        <f>VLOOKUP(A53,Jobmatch!A:I,4,0)</f>
        <v>58 - ADM PROJETOS</v>
      </c>
      <c r="G53" s="139" t="str">
        <f>VLOOKUP(A53,Jobmatch!A:I,5,0)</f>
        <v>Tático</v>
      </c>
      <c r="H53" s="149">
        <f>VLOOKUP(A53,Jobmatch!A:I,6,0)</f>
        <v>583</v>
      </c>
      <c r="I53" s="138" t="str">
        <f>VLOOKUP(A53,Jobmatch!A:I,7,0)</f>
        <v>Supervisor de Negócios</v>
      </c>
      <c r="J53" s="150" t="str">
        <f>VLOOKUP(A53,Jobmatch!A:I,8,0)</f>
        <v>Indiferente</v>
      </c>
      <c r="K53" s="142" t="str">
        <f t="shared" si="1"/>
        <v>583Indiferente</v>
      </c>
      <c r="L53" s="143">
        <f>COUNTIF('Folha de Pagamento'!A:A,A53)</f>
        <v>1</v>
      </c>
      <c r="M53" s="144" t="str">
        <f>IFERROR(VLOOKUP(K53,Pesquisa!$D:$L,4,0),"")</f>
        <v/>
      </c>
      <c r="N53" s="145" t="str">
        <f>IFERROR(VLOOKUP(K53,Pesquisa!$D:$L,5,0),"")</f>
        <v/>
      </c>
      <c r="O53" s="145" t="str">
        <f>IFERROR(VLOOKUP(K53,Pesquisa!$D:$L,6,0),"")</f>
        <v/>
      </c>
      <c r="P53" s="145" t="str">
        <f>IFERROR(VLOOKUP(K53,Pesquisa!$D:$L,7,0),"")</f>
        <v/>
      </c>
      <c r="Q53" s="145" t="str">
        <f>IFERROR(VLOOKUP(K53,Pesquisa!$D:$L,8,0),"")</f>
        <v/>
      </c>
      <c r="R53" s="144" t="str">
        <f>IFERROR(VLOOKUP(K53,Pesquisa!$D:$L,9,0),"")</f>
        <v/>
      </c>
      <c r="S53" s="146" t="str">
        <f>IFS('Painel Geral'!$B$5="Mediana",IFERROR(IF(OR(C53="",P53=0,P53=""),"",($C53/$P53)),""),'Painel Geral'!$B$5="Menor Salário",IFERROR(IF(OR(C53="",P53=0,P53=""),"",($C53/$M53)),""),'Painel Geral'!$B$5="1º Quartil",IFERROR(IF(OR(C53="",P53=0,P53=""),"",($C53/$N53)),""), 'Painel Geral'!$B$5="Média",IFERROR(IF(OR(C53="",P53=0,P53=""),"",($C53/$O53)),""),'Painel Geral'!$B$5="3º Quartil",IFERROR(IF(OR(C53="",P53=0,P53=""),"",($C53/$Q53)),""),'Painel Geral'!$B$5="Maior Salário",IFERROR(IF(OR(C53="",P53=0,P53=""),"",($C53/$R53)),""))</f>
        <v/>
      </c>
      <c r="T53" s="147" t="str">
        <f t="shared" si="2"/>
        <v/>
      </c>
    </row>
    <row r="54" ht="15.75" customHeight="1">
      <c r="A54" s="134" t="s">
        <v>180</v>
      </c>
      <c r="B54" s="135" t="str">
        <f>VLOOKUP(A54,Jobmatch!A:G,2,0)</f>
        <v>SUPERVISOR(A) FINANCEIRO I</v>
      </c>
      <c r="C54" s="136">
        <f>IFERROR(AVERAGEIF('Folha de Pagamento'!A:A,A54,'Folha de Pagamento'!K:K),"")</f>
        <v>5955.08</v>
      </c>
      <c r="D54" s="137">
        <v>6.0</v>
      </c>
      <c r="E54" s="135" t="str">
        <f>VLOOKUP(A54,Jobmatch!A:H,3,0)</f>
        <v>Financeiro</v>
      </c>
      <c r="F54" s="138" t="str">
        <f>VLOOKUP(A54,Jobmatch!A:I,4,0)</f>
        <v>59 - ADM PROJETOS</v>
      </c>
      <c r="G54" s="139" t="str">
        <f>VLOOKUP(A54,Jobmatch!A:I,5,0)</f>
        <v>Operacional</v>
      </c>
      <c r="H54" s="149">
        <f>VLOOKUP(A54,Jobmatch!A:I,6,0)</f>
        <v>469</v>
      </c>
      <c r="I54" s="138" t="str">
        <f>VLOOKUP(A54,Jobmatch!A:I,7,0)</f>
        <v>Supervisor Financeiro</v>
      </c>
      <c r="J54" s="150" t="str">
        <f>VLOOKUP(A54,Jobmatch!A:I,8,0)</f>
        <v>Indiferente</v>
      </c>
      <c r="K54" s="142" t="str">
        <f t="shared" si="1"/>
        <v>469Indiferente</v>
      </c>
      <c r="L54" s="143">
        <f>COUNTIF('Folha de Pagamento'!A:A,A54)</f>
        <v>1</v>
      </c>
      <c r="M54" s="144">
        <f>IFERROR(VLOOKUP(K54,Pesquisa!$D:$L,4,0),"")</f>
        <v>4254.14</v>
      </c>
      <c r="N54" s="145">
        <f>IFERROR(VLOOKUP(K54,Pesquisa!$D:$L,5,0),"")</f>
        <v>5291.84</v>
      </c>
      <c r="O54" s="145">
        <f>IFERROR(VLOOKUP(K54,Pesquisa!$D:$L,6,0),"")</f>
        <v>6690.95</v>
      </c>
      <c r="P54" s="145">
        <f>IFERROR(VLOOKUP(K54,Pesquisa!$D:$L,7,0),"")</f>
        <v>6196.82</v>
      </c>
      <c r="Q54" s="145">
        <f>IFERROR(VLOOKUP(K54,Pesquisa!$D:$L,8,0),"")</f>
        <v>8126.61</v>
      </c>
      <c r="R54" s="144">
        <f>IFERROR(VLOOKUP(K54,Pesquisa!$D:$L,9,0),"")</f>
        <v>9844.29</v>
      </c>
      <c r="S54" s="146">
        <f>IFS('Painel Geral'!$B$5="Mediana",IFERROR(IF(OR(C54="",P54=0,P54=""),"",($C54/$P54)),""),'Painel Geral'!$B$5="Menor Salário",IFERROR(IF(OR(C54="",P54=0,P54=""),"",($C54/$M54)),""),'Painel Geral'!$B$5="1º Quartil",IFERROR(IF(OR(C54="",P54=0,P54=""),"",($C54/$N54)),""), 'Painel Geral'!$B$5="Média",IFERROR(IF(OR(C54="",P54=0,P54=""),"",($C54/$O54)),""),'Painel Geral'!$B$5="3º Quartil",IFERROR(IF(OR(C54="",P54=0,P54=""),"",($C54/$Q54)),""),'Painel Geral'!$B$5="Maior Salário",IFERROR(IF(OR(C54="",P54=0,P54=""),"",($C54/$R54)),""))</f>
        <v>0.9609896689</v>
      </c>
      <c r="T54" s="147" t="str">
        <f t="shared" si="2"/>
        <v>Na Média</v>
      </c>
    </row>
    <row r="55" ht="15.75" customHeight="1">
      <c r="A55" s="134" t="s">
        <v>183</v>
      </c>
      <c r="B55" s="135" t="str">
        <f>VLOOKUP(A55,Jobmatch!A:G,2,0)</f>
        <v>TECNICO ANALISTA DE CUSTOS</v>
      </c>
      <c r="C55" s="136">
        <f>IFERROR(AVERAGEIF('Folha de Pagamento'!A:A,A55,'Folha de Pagamento'!K:K),"")</f>
        <v>7000</v>
      </c>
      <c r="D55" s="137">
        <v>5.0</v>
      </c>
      <c r="E55" s="135" t="str">
        <f>VLOOKUP(A55,Jobmatch!A:H,3,0)</f>
        <v>Edificação</v>
      </c>
      <c r="F55" s="138" t="str">
        <f>VLOOKUP(A55,Jobmatch!A:I,4,0)</f>
        <v>60 - ADM PROJETOS</v>
      </c>
      <c r="G55" s="139" t="str">
        <f>VLOOKUP(A55,Jobmatch!A:I,5,0)</f>
        <v>Operacional</v>
      </c>
      <c r="H55" s="149">
        <f>VLOOKUP(A55,Jobmatch!A:I,6,0)</f>
        <v>876</v>
      </c>
      <c r="I55" s="138" t="str">
        <f>VLOOKUP(A55,Jobmatch!A:I,7,0)</f>
        <v>Analista de Custos</v>
      </c>
      <c r="J55" s="150" t="str">
        <f>VLOOKUP(A55,Jobmatch!A:I,8,0)</f>
        <v>Indiferente</v>
      </c>
      <c r="K55" s="142" t="str">
        <f t="shared" si="1"/>
        <v>876Indiferente</v>
      </c>
      <c r="L55" s="143">
        <f>COUNTIF('Folha de Pagamento'!A:A,A55)</f>
        <v>1</v>
      </c>
      <c r="M55" s="144">
        <f>IFERROR(VLOOKUP(K55,Pesquisa!$D:$L,4,0),"")</f>
        <v>6769.16</v>
      </c>
      <c r="N55" s="145">
        <f>IFERROR(VLOOKUP(K55,Pesquisa!$D:$L,5,0),"")</f>
        <v>6884.72</v>
      </c>
      <c r="O55" s="145">
        <f>IFERROR(VLOOKUP(K55,Pesquisa!$D:$L,6,0),"")</f>
        <v>7629.52</v>
      </c>
      <c r="P55" s="145">
        <f>IFERROR(VLOOKUP(K55,Pesquisa!$D:$L,7,0),"")</f>
        <v>7338.33</v>
      </c>
      <c r="Q55" s="145">
        <f>IFERROR(VLOOKUP(K55,Pesquisa!$D:$L,8,0),"")</f>
        <v>8173.29</v>
      </c>
      <c r="R55" s="144">
        <f>IFERROR(VLOOKUP(K55,Pesquisa!$D:$L,9,0),"")</f>
        <v>9183.14</v>
      </c>
      <c r="S55" s="146">
        <f>IFS('Painel Geral'!$B$5="Mediana",IFERROR(IF(OR(C55="",P55=0,P55=""),"",($C55/$P55)),""),'Painel Geral'!$B$5="Menor Salário",IFERROR(IF(OR(C55="",P55=0,P55=""),"",($C55/$M55)),""),'Painel Geral'!$B$5="1º Quartil",IFERROR(IF(OR(C55="",P55=0,P55=""),"",($C55/$N55)),""), 'Painel Geral'!$B$5="Média",IFERROR(IF(OR(C55="",P55=0,P55=""),"",($C55/$O55)),""),'Painel Geral'!$B$5="3º Quartil",IFERROR(IF(OR(C55="",P55=0,P55=""),"",($C55/$Q55)),""),'Painel Geral'!$B$5="Maior Salário",IFERROR(IF(OR(C55="",P55=0,P55=""),"",($C55/$R55)),""))</f>
        <v>0.9538955048</v>
      </c>
      <c r="T55" s="147" t="str">
        <f t="shared" si="2"/>
        <v>Na Média</v>
      </c>
    </row>
    <row r="56" ht="15.75" customHeight="1">
      <c r="A56" s="134" t="s">
        <v>186</v>
      </c>
      <c r="B56" s="135" t="str">
        <f>VLOOKUP(A56,Jobmatch!A:G,2,0)</f>
        <v>TECNOLOGO EM CONSTRUÇÃO DE EDIFICIOS</v>
      </c>
      <c r="C56" s="136">
        <f>IFERROR(AVERAGEIF('Folha de Pagamento'!A:A,A56,'Folha de Pagamento'!K:K),"")</f>
        <v>8585</v>
      </c>
      <c r="D56" s="137">
        <v>5.0</v>
      </c>
      <c r="E56" s="135" t="str">
        <f>VLOOKUP(A56,Jobmatch!A:H,3,0)</f>
        <v>Edificação</v>
      </c>
      <c r="F56" s="138" t="str">
        <f>VLOOKUP(A56,Jobmatch!A:I,4,0)</f>
        <v>61 - ADM PROJETOS</v>
      </c>
      <c r="G56" s="139" t="str">
        <f>VLOOKUP(A56,Jobmatch!A:I,5,0)</f>
        <v>Operacional</v>
      </c>
      <c r="H56" s="149">
        <f>VLOOKUP(A56,Jobmatch!A:I,6,0)</f>
        <v>269</v>
      </c>
      <c r="I56" s="138" t="str">
        <f>VLOOKUP(A56,Jobmatch!A:I,7,0)</f>
        <v>Técnico em Edificações</v>
      </c>
      <c r="J56" s="150" t="str">
        <f>VLOOKUP(A56,Jobmatch!A:I,8,0)</f>
        <v>Indiferente</v>
      </c>
      <c r="K56" s="142" t="str">
        <f t="shared" si="1"/>
        <v>269Indiferente</v>
      </c>
      <c r="L56" s="143">
        <f>COUNTIF('Folha de Pagamento'!A:A,A56)</f>
        <v>1</v>
      </c>
      <c r="M56" s="144">
        <f>IFERROR(VLOOKUP(K56,Pesquisa!$D:$L,4,0),"")</f>
        <v>3023.75</v>
      </c>
      <c r="N56" s="145">
        <f>IFERROR(VLOOKUP(K56,Pesquisa!$D:$L,5,0),"")</f>
        <v>3741.13</v>
      </c>
      <c r="O56" s="145">
        <f>IFERROR(VLOOKUP(K56,Pesquisa!$D:$L,6,0),"")</f>
        <v>4594.42</v>
      </c>
      <c r="P56" s="145">
        <f>IFERROR(VLOOKUP(K56,Pesquisa!$D:$L,7,0),"")</f>
        <v>4031.66</v>
      </c>
      <c r="Q56" s="145">
        <f>IFERROR(VLOOKUP(K56,Pesquisa!$D:$L,8,0),"")</f>
        <v>4427.77</v>
      </c>
      <c r="R56" s="144">
        <f>IFERROR(VLOOKUP(K56,Pesquisa!$D:$L,9,0),"")</f>
        <v>9097.17</v>
      </c>
      <c r="S56" s="146">
        <f>IFS('Painel Geral'!$B$5="Mediana",IFERROR(IF(OR(C56="",P56=0,P56=""),"",($C56/$P56)),""),'Painel Geral'!$B$5="Menor Salário",IFERROR(IF(OR(C56="",P56=0,P56=""),"",($C56/$M56)),""),'Painel Geral'!$B$5="1º Quartil",IFERROR(IF(OR(C56="",P56=0,P56=""),"",($C56/$N56)),""), 'Painel Geral'!$B$5="Média",IFERROR(IF(OR(C56="",P56=0,P56=""),"",($C56/$O56)),""),'Painel Geral'!$B$5="3º Quartil",IFERROR(IF(OR(C56="",P56=0,P56=""),"",($C56/$Q56)),""),'Painel Geral'!$B$5="Maior Salário",IFERROR(IF(OR(C56="",P56=0,P56=""),"",($C56/$R56)),""))</f>
        <v>2.129395832</v>
      </c>
      <c r="T56" s="147" t="str">
        <f t="shared" si="2"/>
        <v>Agressivo</v>
      </c>
    </row>
  </sheetData>
  <autoFilter ref="$A$3:$T$56">
    <sortState ref="A3:T56">
      <sortCondition ref="B3:B56"/>
      <sortCondition ref="E3:E56"/>
    </sortState>
  </autoFilter>
  <customSheetViews>
    <customSheetView guid="{E0832F40-2690-46BF-9034-7DB179939A00}" filter="1" showAutoFilter="1">
      <autoFilter ref="$B$1:$T$1"/>
    </customSheetView>
    <customSheetView guid="{7DBD2873-1FB4-4346-896D-CDDDC2D6B4AF}" filter="1" showAutoFilter="1">
      <autoFilter ref="$A$3:$T$56"/>
    </customSheetView>
    <customSheetView guid="{AE1C2DCB-8E38-4814-A2B6-4FA835707C99}" filter="1" showAutoFilter="1">
      <autoFilter ref="$A$3:$T$56"/>
    </customSheetView>
    <customSheetView guid="{07AAE2C7-D387-425E-A12F-32B6DFFC4CAF}" filter="1" showAutoFilter="1">
      <autoFilter ref="$A$3:$T$56"/>
    </customSheetView>
    <customSheetView guid="{D3F3141A-6664-45F4-A1B4-8A03D37FB508}" filter="1" showAutoFilter="1">
      <autoFilter ref="$A$3:$T$56"/>
    </customSheetView>
    <customSheetView guid="{7C473F8E-1B31-49FD-B5F2-1539E03894A9}" filter="1" showAutoFilter="1">
      <autoFilter ref="$A$3:$T$56">
        <filterColumn colId="8">
          <filters>
            <filter val="Analista de Relacionamento"/>
            <filter val="Analista de Marketing"/>
            <filter val="Almoxarife"/>
            <filter val="Estagiário de Engenharia Civil"/>
            <filter val="Assistente de Engenharia"/>
            <filter val="Coordenador Financeiro"/>
            <filter val="Analista de Criação"/>
            <filter val="Analista de Controladoria"/>
            <filter val="Assistente de Recursos Humanos"/>
            <filter val="Gerente de Relacionamento"/>
            <filter val="Gerente Administrativo"/>
            <filter val="Coordenador de Obras"/>
            <filter val="Gerente de Incorporação"/>
            <filter val="Analista de Compras"/>
            <filter val="Coordenador de Legalização"/>
            <filter val="Encarregado de Manutenção"/>
            <filter val="Coordenador de Marketing"/>
            <filter val="Coordenador de Compras"/>
            <filter val="Gerente de Imobiliárias"/>
            <filter val="Analista de Custos"/>
            <filter val="Mestre de Obras"/>
            <filter val="Advogado"/>
            <filter val="Supervisor Financeiro"/>
            <filter val="Auxiliar de Engenharia"/>
            <filter val="Analista de Urbanismo"/>
            <filter val="Assistente Administrativo"/>
            <filter val="Assistente de Tecnologia da Informação"/>
            <filter val="Controller"/>
            <filter val="CEO"/>
            <filter val="Técnico em Edificações"/>
            <filter val="Assistente de Legalização"/>
            <filter val="Auxiliar de Atendimento"/>
            <filter val="Assistente de Controladoria"/>
            <filter val="Estagiário Administrativo"/>
            <filter val="Coordenador de Recursos Humanos"/>
            <filter val="Gerente de Urbanismo"/>
            <filter val="Analista de Inovação"/>
            <filter val="Assistente de Marketing"/>
            <filter val="Gerente Comercial"/>
            <filter val="Auxiliar Administrativo"/>
            <filter val="Gerente de Engenharia"/>
            <filter val="Assistente Financeiro"/>
            <filter val="Engenheiro de Urbanismo"/>
            <filter val="Supervisor de Negócios"/>
          </filters>
        </filterColumn>
      </autoFilter>
    </customSheetView>
    <customSheetView guid="{5EBBA192-B43E-4744-94AF-C3BDF2F8E462}" filter="1" showAutoFilter="1">
      <autoFilter ref="$A$3:$T$56"/>
    </customSheetView>
  </customSheetViews>
  <mergeCells count="1">
    <mergeCell ref="M1:R1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0"/>
    <col customWidth="1" min="2" max="2" width="38.25"/>
    <col customWidth="1" min="3" max="3" width="29.25"/>
    <col customWidth="1" min="4" max="4" width="11.63"/>
    <col customWidth="1" min="5" max="5" width="13.5"/>
    <col customWidth="1" min="6" max="6" width="13.0"/>
    <col customWidth="1" min="7" max="7" width="10.5"/>
    <col customWidth="1" min="8" max="9" width="14.75"/>
    <col customWidth="1" min="10" max="14" width="13.75"/>
  </cols>
  <sheetData>
    <row r="1" ht="12.75" customHeight="1">
      <c r="A1" s="152"/>
      <c r="J1" s="153"/>
      <c r="K1" s="153"/>
      <c r="L1" s="154"/>
      <c r="M1" s="154"/>
      <c r="N1" s="154"/>
    </row>
    <row r="2" ht="12.75" customHeight="1">
      <c r="A2" s="155"/>
      <c r="F2" s="156"/>
      <c r="G2" s="156"/>
      <c r="H2" s="156"/>
      <c r="I2" s="156"/>
      <c r="J2" s="156"/>
      <c r="K2" s="156"/>
      <c r="L2" s="157"/>
      <c r="M2" s="157"/>
      <c r="N2" s="157"/>
    </row>
    <row r="3" ht="12.75" customHeight="1">
      <c r="A3" s="155"/>
      <c r="B3" s="158" t="s">
        <v>317</v>
      </c>
      <c r="F3" s="159" t="str">
        <f>"Legenda (em relação à "&amp;B5&amp;"):"</f>
        <v>Legenda (em relação à Mediana):</v>
      </c>
      <c r="G3" s="159"/>
      <c r="H3" s="159"/>
      <c r="K3" s="156"/>
      <c r="L3" s="157"/>
      <c r="M3" s="157"/>
      <c r="N3" s="157"/>
    </row>
    <row r="4" ht="12.75" customHeight="1">
      <c r="A4" s="160"/>
      <c r="F4" s="161" t="s">
        <v>318</v>
      </c>
      <c r="G4" s="162" t="s">
        <v>319</v>
      </c>
      <c r="H4" s="162" t="s">
        <v>320</v>
      </c>
      <c r="K4" s="163"/>
      <c r="L4" s="164"/>
      <c r="M4" s="164"/>
      <c r="N4" s="164"/>
    </row>
    <row r="5" ht="12.75" customHeight="1">
      <c r="A5" s="160"/>
      <c r="B5" s="165" t="s">
        <v>312</v>
      </c>
      <c r="D5" s="166"/>
      <c r="E5" s="166"/>
      <c r="F5" s="167" t="s">
        <v>318</v>
      </c>
      <c r="G5" s="168" t="s">
        <v>321</v>
      </c>
      <c r="H5" s="168" t="s">
        <v>322</v>
      </c>
      <c r="K5" s="169"/>
      <c r="L5" s="170"/>
      <c r="M5" s="170"/>
      <c r="N5" s="170"/>
    </row>
    <row r="6" ht="12.75" customHeight="1">
      <c r="A6" s="160"/>
      <c r="D6" s="171"/>
      <c r="E6" s="172"/>
      <c r="F6" s="173" t="s">
        <v>318</v>
      </c>
      <c r="G6" s="162" t="s">
        <v>323</v>
      </c>
      <c r="H6" s="162" t="s">
        <v>324</v>
      </c>
      <c r="K6" s="163"/>
      <c r="L6" s="164"/>
      <c r="M6" s="164"/>
      <c r="N6" s="164"/>
    </row>
    <row r="7" ht="12.75" customHeight="1">
      <c r="A7" s="160"/>
      <c r="B7" s="174"/>
      <c r="C7" s="174"/>
      <c r="D7" s="175"/>
      <c r="E7" s="174"/>
      <c r="F7" s="176" t="s">
        <v>318</v>
      </c>
      <c r="G7" s="168" t="s">
        <v>325</v>
      </c>
      <c r="H7" s="168" t="s">
        <v>324</v>
      </c>
      <c r="K7" s="163"/>
      <c r="L7" s="164"/>
      <c r="M7" s="164"/>
      <c r="N7" s="164"/>
    </row>
    <row r="8" ht="12.75" customHeight="1">
      <c r="A8" s="160"/>
      <c r="B8" s="162"/>
      <c r="C8" s="162"/>
      <c r="D8" s="177"/>
      <c r="E8" s="174"/>
      <c r="F8" s="178" t="s">
        <v>318</v>
      </c>
      <c r="G8" s="162" t="s">
        <v>326</v>
      </c>
      <c r="H8" s="162" t="s">
        <v>327</v>
      </c>
      <c r="K8" s="163"/>
      <c r="L8" s="164"/>
      <c r="M8" s="164"/>
      <c r="N8" s="164"/>
    </row>
    <row r="9" ht="12.75" customHeight="1">
      <c r="A9" s="160"/>
      <c r="B9" s="162"/>
      <c r="C9" s="162"/>
      <c r="D9" s="177"/>
      <c r="E9" s="174"/>
      <c r="F9" s="179" t="s">
        <v>318</v>
      </c>
      <c r="G9" s="168" t="s">
        <v>328</v>
      </c>
      <c r="H9" s="168" t="s">
        <v>329</v>
      </c>
      <c r="K9" s="163"/>
      <c r="L9" s="164"/>
      <c r="M9" s="164"/>
      <c r="N9" s="164"/>
    </row>
    <row r="10" ht="12.75" customHeight="1">
      <c r="A10" s="160"/>
      <c r="B10" s="163"/>
      <c r="C10" s="163"/>
      <c r="D10" s="163"/>
      <c r="E10" s="163"/>
      <c r="F10" s="163"/>
      <c r="H10" s="163"/>
      <c r="I10" s="163"/>
      <c r="J10" s="163"/>
      <c r="K10" s="163"/>
      <c r="L10" s="164"/>
      <c r="M10" s="164"/>
      <c r="N10" s="164"/>
    </row>
    <row r="11" ht="12.75" customHeight="1">
      <c r="A11" s="160"/>
      <c r="B11" s="180"/>
      <c r="C11" s="163"/>
      <c r="D11" s="163"/>
      <c r="E11" s="163"/>
      <c r="F11" s="163"/>
      <c r="H11" s="163"/>
      <c r="I11" s="163"/>
      <c r="J11" s="163"/>
      <c r="K11" s="163"/>
      <c r="L11" s="164"/>
      <c r="M11" s="164"/>
      <c r="N11" s="164"/>
    </row>
    <row r="12" ht="12.75" customHeight="1">
      <c r="A12" s="160"/>
      <c r="B12" s="181" t="s">
        <v>195</v>
      </c>
      <c r="E12" s="182"/>
      <c r="F12" s="183"/>
      <c r="K12" s="184"/>
      <c r="L12" s="185"/>
      <c r="M12" s="185"/>
      <c r="N12" s="164"/>
    </row>
    <row r="13" ht="12.75" customHeight="1">
      <c r="A13" s="160"/>
      <c r="B13" s="186"/>
      <c r="C13" s="186"/>
      <c r="D13" s="186"/>
      <c r="E13" s="182"/>
      <c r="K13" s="163"/>
      <c r="L13" s="185"/>
      <c r="M13" s="185"/>
      <c r="N13" s="164"/>
    </row>
    <row r="14" ht="12.75" customHeight="1">
      <c r="A14" s="160"/>
      <c r="B14" s="163"/>
      <c r="C14" s="163"/>
      <c r="D14" s="163"/>
      <c r="E14" s="163"/>
      <c r="F14" s="187"/>
      <c r="G14" s="188"/>
      <c r="H14" s="187"/>
      <c r="I14" s="187"/>
      <c r="J14" s="187"/>
      <c r="K14" s="163"/>
      <c r="L14" s="164"/>
      <c r="M14" s="164"/>
      <c r="N14" s="164"/>
    </row>
    <row r="15" ht="12.75" customHeight="1">
      <c r="A15" s="160"/>
      <c r="B15" s="163"/>
      <c r="C15" s="163"/>
      <c r="D15" s="189">
        <f>D41</f>
        <v>51</v>
      </c>
      <c r="E15" s="163"/>
      <c r="F15" s="187"/>
      <c r="G15" s="188"/>
      <c r="H15" s="187"/>
      <c r="I15" s="187"/>
      <c r="J15" s="190"/>
      <c r="K15" s="163"/>
      <c r="L15" s="164"/>
      <c r="M15" s="164"/>
      <c r="N15" s="164"/>
    </row>
    <row r="16" ht="12.75" customHeight="1">
      <c r="A16" s="160"/>
      <c r="B16" s="163"/>
      <c r="C16" s="163"/>
      <c r="E16" s="163"/>
      <c r="F16" s="187"/>
      <c r="G16" s="188"/>
      <c r="H16" s="187"/>
      <c r="I16" s="187"/>
      <c r="K16" s="163"/>
      <c r="L16" s="164"/>
      <c r="M16" s="164"/>
      <c r="N16" s="164"/>
    </row>
    <row r="17" ht="12.75" customHeight="1">
      <c r="A17" s="160"/>
      <c r="B17" s="163"/>
      <c r="C17" s="163"/>
      <c r="D17" s="191" t="s">
        <v>330</v>
      </c>
      <c r="E17" s="163"/>
      <c r="F17" s="192"/>
      <c r="G17" s="188"/>
      <c r="H17" s="192"/>
      <c r="I17" s="192"/>
      <c r="J17" s="193"/>
      <c r="K17" s="163"/>
      <c r="L17" s="164"/>
      <c r="M17" s="164"/>
      <c r="N17" s="164"/>
    </row>
    <row r="18" ht="12.75" customHeight="1">
      <c r="A18" s="160"/>
      <c r="B18" s="163"/>
      <c r="C18" s="163"/>
      <c r="E18" s="163"/>
      <c r="F18" s="192"/>
      <c r="G18" s="188"/>
      <c r="H18" s="192"/>
      <c r="I18" s="192"/>
      <c r="K18" s="163"/>
      <c r="L18" s="164"/>
      <c r="M18" s="164"/>
      <c r="N18" s="194" t="s">
        <v>331</v>
      </c>
    </row>
    <row r="19" ht="12.75" customHeight="1">
      <c r="A19" s="160"/>
      <c r="B19" s="163"/>
      <c r="C19" s="163"/>
      <c r="E19" s="163"/>
      <c r="F19" s="192"/>
      <c r="G19" s="188"/>
      <c r="H19" s="192"/>
      <c r="I19" s="192"/>
      <c r="K19" s="163"/>
      <c r="L19" s="164"/>
      <c r="M19" s="164"/>
      <c r="N19" s="164"/>
    </row>
    <row r="20" ht="12.75" customHeight="1">
      <c r="A20" s="160"/>
      <c r="B20" s="163"/>
      <c r="C20" s="163"/>
      <c r="E20" s="163"/>
      <c r="F20" s="192"/>
      <c r="G20" s="188"/>
      <c r="H20" s="192"/>
      <c r="I20" s="192"/>
      <c r="K20" s="163"/>
      <c r="L20" s="164"/>
      <c r="M20" s="164"/>
      <c r="N20" s="164"/>
    </row>
    <row r="21" ht="12.75" customHeight="1">
      <c r="A21" s="160"/>
      <c r="B21" s="163"/>
      <c r="C21" s="163"/>
      <c r="E21" s="163"/>
      <c r="F21" s="192"/>
      <c r="G21" s="188"/>
      <c r="H21" s="192"/>
      <c r="I21" s="192"/>
      <c r="K21" s="163"/>
      <c r="L21" s="164"/>
      <c r="M21" s="164"/>
      <c r="N21" s="164"/>
    </row>
    <row r="22" ht="12.75" customHeight="1">
      <c r="A22" s="160"/>
      <c r="B22" s="163"/>
      <c r="C22" s="163"/>
      <c r="D22" s="195"/>
      <c r="E22" s="163"/>
      <c r="F22" s="192"/>
      <c r="G22" s="188"/>
      <c r="H22" s="192"/>
      <c r="I22" s="192"/>
      <c r="J22" s="196"/>
      <c r="K22" s="163"/>
      <c r="L22" s="164"/>
      <c r="M22" s="164"/>
      <c r="N22" s="164"/>
    </row>
    <row r="23" ht="12.75" customHeight="1">
      <c r="A23" s="160"/>
      <c r="B23" s="163"/>
      <c r="C23" s="163"/>
      <c r="D23" s="195"/>
      <c r="E23" s="163"/>
      <c r="F23" s="192"/>
      <c r="G23" s="188"/>
      <c r="H23" s="192"/>
      <c r="I23" s="192"/>
      <c r="J23" s="196"/>
      <c r="K23" s="163"/>
      <c r="L23" s="164"/>
      <c r="M23" s="164"/>
      <c r="N23" s="164"/>
    </row>
    <row r="24" ht="12.75" customHeight="1">
      <c r="A24" s="160"/>
      <c r="B24" s="163"/>
      <c r="C24" s="163"/>
      <c r="D24" s="197">
        <f>IF(SUM(C36:C37)&gt;SUM(C39:C40),SUM(C36:C37),SUM(C39:C40))</f>
        <v>0.3725490196</v>
      </c>
      <c r="E24" s="163"/>
      <c r="F24" s="192"/>
      <c r="G24" s="188"/>
      <c r="H24" s="192"/>
      <c r="I24" s="192"/>
      <c r="J24" s="196"/>
      <c r="K24" s="163"/>
      <c r="L24" s="164"/>
      <c r="M24" s="164"/>
      <c r="N24" s="164"/>
    </row>
    <row r="25" ht="12.75" customHeight="1">
      <c r="A25" s="160"/>
      <c r="B25" s="163"/>
      <c r="C25" s="163"/>
      <c r="E25" s="163"/>
      <c r="F25" s="192"/>
      <c r="G25" s="188"/>
      <c r="H25" s="192"/>
      <c r="I25" s="192"/>
      <c r="K25" s="163"/>
      <c r="L25" s="164"/>
      <c r="M25" s="164"/>
      <c r="N25" s="164"/>
    </row>
    <row r="26" ht="12.75" customHeight="1">
      <c r="A26" s="160"/>
      <c r="B26" s="163"/>
      <c r="C26" s="163"/>
      <c r="D26" s="191" t="str">
        <f>IF(SUM(C36:C37)&gt;SUM(C39:C40),"dos cargos abaixo "&amp;IF(B5="Mediana","da ",IF(B5="Média","da ","do "))&amp;B5,"dos cargos acima "&amp;IF(B5="Mediana","da ",IF(B5="Média","da ","do "))&amp;B5)</f>
        <v>dos cargos abaixo da Mediana</v>
      </c>
      <c r="E26" s="163"/>
      <c r="F26" s="192"/>
      <c r="G26" s="188"/>
      <c r="H26" s="192"/>
      <c r="I26" s="192"/>
      <c r="J26" s="193"/>
      <c r="K26" s="163"/>
      <c r="L26" s="164"/>
      <c r="M26" s="164"/>
      <c r="N26" s="164"/>
    </row>
    <row r="27" ht="12.75" customHeight="1">
      <c r="A27" s="160"/>
      <c r="B27" s="163"/>
      <c r="C27" s="163"/>
      <c r="E27" s="163"/>
      <c r="F27" s="192"/>
      <c r="G27" s="188"/>
      <c r="H27" s="192"/>
      <c r="I27" s="192"/>
      <c r="K27" s="163"/>
      <c r="L27" s="164"/>
      <c r="M27" s="164"/>
      <c r="N27" s="164"/>
    </row>
    <row r="28" ht="12.75" customHeight="1">
      <c r="A28" s="160"/>
      <c r="B28" s="163"/>
      <c r="C28" s="163"/>
      <c r="E28" s="163"/>
      <c r="F28" s="192"/>
      <c r="G28" s="188"/>
      <c r="H28" s="192"/>
      <c r="I28" s="192"/>
      <c r="K28" s="163"/>
      <c r="L28" s="164"/>
      <c r="M28" s="164"/>
      <c r="N28" s="164"/>
    </row>
    <row r="29" ht="12.75" customHeight="1">
      <c r="A29" s="160"/>
      <c r="B29" s="163"/>
      <c r="C29" s="163"/>
      <c r="E29" s="163"/>
      <c r="F29" s="192"/>
      <c r="G29" s="188"/>
      <c r="H29" s="192"/>
      <c r="I29" s="192"/>
      <c r="K29" s="163"/>
      <c r="L29" s="164"/>
      <c r="M29" s="164"/>
      <c r="N29" s="164"/>
    </row>
    <row r="30" ht="12.75" customHeight="1">
      <c r="A30" s="160"/>
      <c r="B30" s="163"/>
      <c r="C30" s="163"/>
      <c r="E30" s="163"/>
      <c r="F30" s="192"/>
      <c r="G30" s="188"/>
      <c r="H30" s="192"/>
      <c r="I30" s="192"/>
      <c r="K30" s="163"/>
      <c r="L30" s="164"/>
      <c r="M30" s="164"/>
      <c r="N30" s="164"/>
    </row>
    <row r="31" ht="12.75" customHeight="1">
      <c r="A31" s="160"/>
      <c r="B31" s="163"/>
      <c r="C31" s="163"/>
      <c r="D31" s="163"/>
      <c r="E31" s="163"/>
      <c r="F31" s="192"/>
      <c r="G31" s="188"/>
      <c r="H31" s="192"/>
      <c r="I31" s="192"/>
      <c r="J31" s="192"/>
      <c r="K31" s="163"/>
      <c r="L31" s="164"/>
      <c r="M31" s="164"/>
      <c r="N31" s="164"/>
    </row>
    <row r="32" ht="12.75" customHeight="1">
      <c r="A32" s="160"/>
      <c r="B32" s="163"/>
      <c r="C32" s="163"/>
      <c r="D32" s="163"/>
      <c r="E32" s="163"/>
      <c r="F32" s="192"/>
      <c r="G32" s="188"/>
      <c r="H32" s="192"/>
      <c r="I32" s="192"/>
      <c r="J32" s="192"/>
      <c r="K32" s="163"/>
      <c r="L32" s="164"/>
      <c r="M32" s="164"/>
      <c r="N32" s="164"/>
    </row>
    <row r="33" ht="12.75" customHeight="1">
      <c r="A33" s="160"/>
      <c r="B33" s="163"/>
      <c r="C33" s="163"/>
      <c r="D33" s="163"/>
      <c r="E33" s="163"/>
      <c r="F33" s="192"/>
      <c r="G33" s="188"/>
      <c r="H33" s="192"/>
      <c r="I33" s="192"/>
      <c r="J33" s="192"/>
      <c r="K33" s="163"/>
      <c r="L33" s="164"/>
      <c r="M33" s="164"/>
      <c r="N33" s="164"/>
    </row>
    <row r="34" ht="12.75" customHeight="1">
      <c r="A34" s="160"/>
      <c r="B34" s="198"/>
      <c r="C34" s="199"/>
      <c r="D34" s="199"/>
      <c r="E34" s="200"/>
      <c r="F34" s="201"/>
      <c r="G34" s="188"/>
      <c r="H34" s="202"/>
      <c r="I34" s="202"/>
      <c r="J34" s="203"/>
      <c r="K34" s="156"/>
      <c r="L34" s="157"/>
      <c r="M34" s="157"/>
      <c r="N34" s="157"/>
    </row>
    <row r="35" ht="12.75" customHeight="1">
      <c r="A35" s="160"/>
      <c r="B35" s="204" t="s">
        <v>332</v>
      </c>
      <c r="C35" s="204" t="s">
        <v>333</v>
      </c>
      <c r="D35" s="204" t="s">
        <v>334</v>
      </c>
      <c r="E35" s="205"/>
      <c r="F35" s="206"/>
      <c r="G35" s="207"/>
      <c r="H35" s="206"/>
      <c r="I35" s="207"/>
      <c r="J35" s="206"/>
      <c r="K35" s="156"/>
      <c r="L35" s="157"/>
      <c r="M35" s="157"/>
      <c r="N35" s="157"/>
    </row>
    <row r="36" ht="12.75" customHeight="1">
      <c r="A36" s="160"/>
      <c r="B36" s="208" t="s">
        <v>320</v>
      </c>
      <c r="C36" s="209">
        <f t="shared" ref="C36:C40" si="1">IFERROR(D36/$D$41,0)</f>
        <v>0.2352941176</v>
      </c>
      <c r="D36" s="210">
        <f>COUNTIF('Cálculos Comparativos'!T:T,$B36)</f>
        <v>12</v>
      </c>
      <c r="E36" s="211"/>
      <c r="F36" s="212"/>
      <c r="G36" s="213"/>
      <c r="H36" s="214"/>
      <c r="I36" s="213"/>
      <c r="J36" s="212"/>
      <c r="K36" s="156"/>
      <c r="L36" s="157"/>
      <c r="M36" s="157"/>
      <c r="N36" s="157"/>
    </row>
    <row r="37" ht="12.75" customHeight="1">
      <c r="A37" s="160"/>
      <c r="B37" s="208" t="s">
        <v>322</v>
      </c>
      <c r="C37" s="209">
        <f t="shared" si="1"/>
        <v>0.137254902</v>
      </c>
      <c r="D37" s="210">
        <f>COUNTIF('Cálculos Comparativos'!T:T,$B37)</f>
        <v>7</v>
      </c>
      <c r="E37" s="211"/>
      <c r="F37" s="212"/>
      <c r="G37" s="215"/>
      <c r="H37" s="214"/>
      <c r="I37" s="215"/>
      <c r="J37" s="212"/>
      <c r="K37" s="156"/>
      <c r="L37" s="157"/>
      <c r="M37" s="157"/>
      <c r="N37" s="157"/>
    </row>
    <row r="38" ht="12.75" customHeight="1">
      <c r="A38" s="160"/>
      <c r="B38" s="208" t="s">
        <v>324</v>
      </c>
      <c r="C38" s="209">
        <f t="shared" si="1"/>
        <v>0.2941176471</v>
      </c>
      <c r="D38" s="210">
        <f>COUNTIF('Cálculos Comparativos'!T:T,$B38)</f>
        <v>15</v>
      </c>
      <c r="E38" s="211"/>
      <c r="F38" s="212"/>
      <c r="G38" s="213"/>
      <c r="H38" s="214"/>
      <c r="I38" s="213"/>
      <c r="J38" s="212"/>
      <c r="K38" s="156"/>
      <c r="L38" s="157"/>
      <c r="M38" s="157"/>
      <c r="N38" s="157"/>
    </row>
    <row r="39" ht="12.75" customHeight="1">
      <c r="A39" s="160"/>
      <c r="B39" s="208" t="s">
        <v>327</v>
      </c>
      <c r="C39" s="209">
        <f t="shared" si="1"/>
        <v>0.1176470588</v>
      </c>
      <c r="D39" s="210">
        <f>COUNTIF('Cálculos Comparativos'!T:T,$B39)</f>
        <v>6</v>
      </c>
      <c r="E39" s="211"/>
      <c r="F39" s="212"/>
      <c r="G39" s="215"/>
      <c r="H39" s="214"/>
      <c r="I39" s="215"/>
      <c r="J39" s="212"/>
      <c r="K39" s="156"/>
      <c r="L39" s="157"/>
      <c r="M39" s="157"/>
      <c r="N39" s="157"/>
    </row>
    <row r="40" ht="12.75" customHeight="1">
      <c r="A40" s="160"/>
      <c r="B40" s="208" t="s">
        <v>329</v>
      </c>
      <c r="C40" s="209">
        <f t="shared" si="1"/>
        <v>0.2156862745</v>
      </c>
      <c r="D40" s="210">
        <f>COUNTIF('Cálculos Comparativos'!T:T,$B40)</f>
        <v>11</v>
      </c>
      <c r="E40" s="211"/>
      <c r="F40" s="212"/>
      <c r="G40" s="213"/>
      <c r="H40" s="214"/>
      <c r="I40" s="213"/>
      <c r="J40" s="212"/>
      <c r="K40" s="156"/>
      <c r="L40" s="157"/>
      <c r="M40" s="157"/>
      <c r="N40" s="157"/>
    </row>
    <row r="41" ht="12.75" customHeight="1">
      <c r="A41" s="160"/>
      <c r="B41" s="216" t="s">
        <v>335</v>
      </c>
      <c r="C41" s="217">
        <f t="shared" ref="C41:D41" si="2">SUM(C36:C40)</f>
        <v>1</v>
      </c>
      <c r="D41" s="218">
        <f t="shared" si="2"/>
        <v>51</v>
      </c>
      <c r="E41" s="211"/>
      <c r="F41" s="219"/>
      <c r="G41" s="215"/>
      <c r="H41" s="219"/>
      <c r="I41" s="215"/>
      <c r="J41" s="219"/>
      <c r="K41" s="156"/>
      <c r="L41" s="157"/>
      <c r="M41" s="157"/>
      <c r="N41" s="157"/>
    </row>
    <row r="42" ht="12.75" customHeight="1">
      <c r="A42" s="160"/>
      <c r="B42" s="220"/>
      <c r="C42" s="202"/>
      <c r="D42" s="202"/>
      <c r="E42" s="211"/>
      <c r="F42" s="221"/>
      <c r="G42" s="222"/>
      <c r="H42" s="222"/>
      <c r="I42" s="222"/>
      <c r="J42" s="222"/>
      <c r="K42" s="156"/>
      <c r="L42" s="157"/>
      <c r="M42" s="157"/>
      <c r="N42" s="157"/>
    </row>
    <row r="43" ht="12.75" customHeight="1">
      <c r="A43" s="160"/>
      <c r="B43" s="223"/>
      <c r="C43" s="223"/>
      <c r="D43" s="223"/>
      <c r="E43" s="224"/>
      <c r="F43" s="224"/>
      <c r="G43" s="225"/>
      <c r="H43" s="225"/>
      <c r="I43" s="226"/>
      <c r="J43" s="226"/>
      <c r="K43" s="156"/>
      <c r="L43" s="157"/>
      <c r="M43" s="157"/>
      <c r="N43" s="157"/>
    </row>
    <row r="44">
      <c r="A44" s="160"/>
      <c r="B44" s="227" t="s">
        <v>336</v>
      </c>
      <c r="E44" s="228"/>
      <c r="F44" s="228"/>
      <c r="G44" s="229"/>
      <c r="H44" s="229"/>
      <c r="I44" s="156"/>
      <c r="J44" s="156"/>
      <c r="K44" s="156"/>
      <c r="L44" s="157"/>
      <c r="M44" s="157"/>
      <c r="N44" s="157"/>
    </row>
    <row r="45">
      <c r="A45" s="160"/>
      <c r="B45" s="230" t="s">
        <v>337</v>
      </c>
      <c r="E45" s="228"/>
      <c r="F45" s="228"/>
      <c r="G45" s="229"/>
      <c r="H45" s="229"/>
      <c r="I45" s="156"/>
      <c r="J45" s="156"/>
      <c r="K45" s="156"/>
      <c r="L45" s="157"/>
      <c r="M45" s="157"/>
      <c r="N45" s="157"/>
    </row>
    <row r="46" ht="12.75" customHeight="1">
      <c r="A46" s="160"/>
      <c r="B46" s="231"/>
      <c r="E46" s="228"/>
      <c r="F46" s="228"/>
      <c r="G46" s="229"/>
      <c r="H46" s="229"/>
      <c r="I46" s="156"/>
      <c r="J46" s="156"/>
      <c r="K46" s="156"/>
      <c r="L46" s="157"/>
      <c r="M46" s="157"/>
      <c r="N46" s="157"/>
    </row>
    <row r="47" ht="12.75" customHeight="1">
      <c r="A47" s="160"/>
      <c r="E47" s="228"/>
      <c r="F47" s="228"/>
      <c r="G47" s="229"/>
      <c r="H47" s="229"/>
      <c r="I47" s="156"/>
      <c r="J47" s="156"/>
      <c r="K47" s="156"/>
      <c r="L47" s="157"/>
      <c r="M47" s="157"/>
      <c r="N47" s="157"/>
    </row>
    <row r="48" ht="12.75" customHeight="1">
      <c r="A48" s="160"/>
      <c r="B48" s="232" t="s">
        <v>22</v>
      </c>
      <c r="E48" s="228"/>
      <c r="F48" s="228"/>
      <c r="G48" s="229"/>
      <c r="H48" s="229"/>
      <c r="I48" s="156"/>
      <c r="J48" s="156"/>
      <c r="K48" s="156"/>
      <c r="L48" s="157"/>
      <c r="M48" s="157"/>
      <c r="N48" s="157"/>
    </row>
    <row r="49" ht="12.75" customHeight="1">
      <c r="A49" s="160"/>
      <c r="D49" s="233"/>
      <c r="E49" s="233"/>
      <c r="F49" s="234"/>
      <c r="G49" s="235"/>
      <c r="H49" s="235"/>
      <c r="I49" s="156"/>
      <c r="J49" s="156"/>
      <c r="K49" s="156"/>
      <c r="L49" s="157"/>
      <c r="M49" s="157"/>
      <c r="N49" s="157"/>
    </row>
    <row r="50" ht="12.75" customHeight="1">
      <c r="A50" s="160"/>
      <c r="F50" s="211"/>
      <c r="G50" s="236"/>
      <c r="H50" s="236"/>
      <c r="I50" s="156"/>
      <c r="J50" s="156"/>
      <c r="K50" s="156"/>
      <c r="L50" s="157"/>
      <c r="M50" s="157"/>
      <c r="N50" s="157"/>
    </row>
    <row r="51" ht="12.75" customHeight="1">
      <c r="A51" s="160"/>
      <c r="B51" s="237" t="s">
        <v>332</v>
      </c>
      <c r="C51" s="238" t="s">
        <v>195</v>
      </c>
      <c r="D51" s="239"/>
      <c r="F51" s="211"/>
      <c r="G51" s="236"/>
      <c r="H51" s="236"/>
      <c r="I51" s="156"/>
      <c r="J51" s="156"/>
      <c r="K51" s="156"/>
      <c r="L51" s="157"/>
      <c r="M51" s="157"/>
      <c r="N51" s="157"/>
    </row>
    <row r="52" ht="12.75" customHeight="1">
      <c r="A52" s="160"/>
      <c r="B52" s="240" t="s">
        <v>320</v>
      </c>
      <c r="C52" s="241">
        <f>IFERROR(COUNTIFS('Cálculos Comparativos'!G:G,$B$48,'Cálculos Comparativos'!T:T,$B52)/C$57, 0)</f>
        <v>0.1290322581</v>
      </c>
      <c r="D52" s="241"/>
      <c r="F52" s="211"/>
      <c r="G52" s="236"/>
      <c r="H52" s="236"/>
      <c r="I52" s="156"/>
      <c r="J52" s="156"/>
      <c r="K52" s="156"/>
      <c r="L52" s="157"/>
      <c r="M52" s="157"/>
      <c r="N52" s="157"/>
    </row>
    <row r="53" ht="12.75" customHeight="1">
      <c r="A53" s="160"/>
      <c r="B53" s="242" t="s">
        <v>322</v>
      </c>
      <c r="C53" s="243">
        <f>IFERROR(COUNTIFS('Cálculos Comparativos'!G:G,$B$48,'Cálculos Comparativos'!T:T,$B53)/C$57, 0)</f>
        <v>0.1612903226</v>
      </c>
      <c r="D53" s="241"/>
      <c r="F53" s="211"/>
      <c r="G53" s="236"/>
      <c r="H53" s="236"/>
      <c r="I53" s="156"/>
      <c r="J53" s="156"/>
      <c r="K53" s="156"/>
      <c r="L53" s="157"/>
      <c r="M53" s="157"/>
      <c r="N53" s="157"/>
    </row>
    <row r="54" ht="12.75" customHeight="1">
      <c r="A54" s="160"/>
      <c r="B54" s="240" t="s">
        <v>324</v>
      </c>
      <c r="C54" s="241">
        <f>IFERROR(COUNTIFS('Cálculos Comparativos'!G:G,$B$48,'Cálculos Comparativos'!T:T,$B54)/C$57, 0)</f>
        <v>0.2580645161</v>
      </c>
      <c r="D54" s="241"/>
      <c r="F54" s="211"/>
      <c r="G54" s="236"/>
      <c r="H54" s="236"/>
      <c r="I54" s="156"/>
      <c r="J54" s="156"/>
      <c r="K54" s="156"/>
      <c r="L54" s="157"/>
      <c r="M54" s="157"/>
      <c r="N54" s="157"/>
    </row>
    <row r="55" ht="12.75" customHeight="1">
      <c r="A55" s="160"/>
      <c r="B55" s="242" t="s">
        <v>327</v>
      </c>
      <c r="C55" s="243">
        <f>IFERROR(COUNTIFS('Cálculos Comparativos'!G:G,$B$48,'Cálculos Comparativos'!T:T,$B55)/C$57, 0)</f>
        <v>0.1935483871</v>
      </c>
      <c r="D55" s="241"/>
      <c r="F55" s="211"/>
      <c r="G55" s="222"/>
      <c r="H55" s="222"/>
      <c r="I55" s="156"/>
      <c r="J55" s="156"/>
      <c r="K55" s="156"/>
      <c r="L55" s="157"/>
      <c r="M55" s="157"/>
      <c r="N55" s="157"/>
    </row>
    <row r="56" ht="12.75" customHeight="1">
      <c r="A56" s="160"/>
      <c r="B56" s="240" t="s">
        <v>329</v>
      </c>
      <c r="C56" s="241">
        <f>IFERROR(COUNTIFS('Cálculos Comparativos'!G:G,$B$48,'Cálculos Comparativos'!T:T,$B56)/C$57, 0)</f>
        <v>0.2580645161</v>
      </c>
      <c r="D56" s="241"/>
      <c r="F56" s="234"/>
      <c r="G56" s="235"/>
      <c r="H56" s="235"/>
      <c r="I56" s="156"/>
      <c r="J56" s="156"/>
      <c r="K56" s="156"/>
      <c r="L56" s="157"/>
      <c r="M56" s="157"/>
      <c r="N56" s="157"/>
    </row>
    <row r="57" ht="12.75" customHeight="1">
      <c r="A57" s="160"/>
      <c r="B57" s="244" t="s">
        <v>338</v>
      </c>
      <c r="C57" s="245">
        <f>COUNTIFS('Cálculos Comparativos'!G:G,B48,'Cálculos Comparativos'!T:T,"?*")</f>
        <v>31</v>
      </c>
      <c r="D57" s="240"/>
      <c r="F57" s="234"/>
      <c r="G57" s="235"/>
      <c r="H57" s="235"/>
      <c r="I57" s="156"/>
      <c r="J57" s="156"/>
      <c r="K57" s="156"/>
      <c r="L57" s="157"/>
      <c r="M57" s="157"/>
      <c r="N57" s="157"/>
    </row>
    <row r="58" ht="12.75" customHeight="1">
      <c r="A58" s="160"/>
      <c r="B58" s="246"/>
      <c r="C58" s="247"/>
      <c r="D58" s="247"/>
      <c r="E58" s="234"/>
      <c r="F58" s="234"/>
      <c r="G58" s="235"/>
      <c r="H58" s="235"/>
      <c r="I58" s="156"/>
      <c r="J58" s="156"/>
      <c r="K58" s="156"/>
      <c r="L58" s="157"/>
      <c r="M58" s="157"/>
      <c r="N58" s="157"/>
    </row>
    <row r="59" ht="12.75" customHeight="1">
      <c r="A59" s="160"/>
      <c r="B59" s="246"/>
      <c r="C59" s="247"/>
      <c r="D59" s="247"/>
      <c r="E59" s="234"/>
      <c r="F59" s="234"/>
      <c r="G59" s="235"/>
      <c r="H59" s="235"/>
      <c r="I59" s="156"/>
      <c r="J59" s="156"/>
      <c r="K59" s="156"/>
      <c r="L59" s="157"/>
      <c r="M59" s="157"/>
      <c r="N59" s="157"/>
    </row>
    <row r="60" ht="12.75" customHeight="1">
      <c r="A60" s="160"/>
      <c r="B60" s="246"/>
      <c r="C60" s="247"/>
      <c r="D60" s="247"/>
      <c r="E60" s="234"/>
      <c r="F60" s="234"/>
      <c r="G60" s="235"/>
      <c r="H60" s="235"/>
      <c r="I60" s="156"/>
      <c r="J60" s="156"/>
      <c r="K60" s="156"/>
      <c r="L60" s="157"/>
      <c r="M60" s="157"/>
      <c r="N60" s="157"/>
    </row>
    <row r="61" ht="12.75" customHeight="1">
      <c r="A61" s="160"/>
      <c r="B61" s="246"/>
      <c r="C61" s="247"/>
      <c r="D61" s="247"/>
      <c r="E61" s="234"/>
      <c r="F61" s="234"/>
      <c r="G61" s="235"/>
      <c r="H61" s="235"/>
      <c r="I61" s="156"/>
      <c r="J61" s="156"/>
      <c r="K61" s="156"/>
      <c r="L61" s="157"/>
      <c r="M61" s="157"/>
      <c r="N61" s="157"/>
    </row>
    <row r="62" ht="12.75" customHeight="1">
      <c r="A62" s="160"/>
      <c r="B62" s="246"/>
      <c r="C62" s="247"/>
      <c r="D62" s="247"/>
      <c r="E62" s="234"/>
      <c r="F62" s="234"/>
      <c r="G62" s="235"/>
      <c r="H62" s="235"/>
      <c r="I62" s="156"/>
      <c r="J62" s="156"/>
      <c r="K62" s="156"/>
      <c r="L62" s="157"/>
      <c r="M62" s="157"/>
      <c r="N62" s="157"/>
    </row>
    <row r="63" ht="12.75" customHeight="1">
      <c r="A63" s="160"/>
      <c r="B63" s="246"/>
      <c r="C63" s="247"/>
      <c r="D63" s="247"/>
      <c r="E63" s="234"/>
      <c r="F63" s="234"/>
      <c r="G63" s="235"/>
      <c r="H63" s="235"/>
      <c r="I63" s="156"/>
      <c r="J63" s="156"/>
      <c r="K63" s="156"/>
      <c r="L63" s="157"/>
      <c r="M63" s="157"/>
      <c r="N63" s="157"/>
    </row>
    <row r="64" ht="12.75" customHeight="1">
      <c r="A64" s="160"/>
      <c r="B64" s="246"/>
      <c r="C64" s="247"/>
      <c r="D64" s="247"/>
      <c r="E64" s="234"/>
      <c r="F64" s="234"/>
      <c r="G64" s="235"/>
      <c r="H64" s="235"/>
      <c r="I64" s="156"/>
      <c r="J64" s="156"/>
      <c r="K64" s="156"/>
      <c r="L64" s="157"/>
      <c r="M64" s="157"/>
      <c r="N64" s="157"/>
    </row>
    <row r="65" ht="12.75" customHeight="1">
      <c r="A65" s="160"/>
      <c r="B65" s="246"/>
      <c r="C65" s="247"/>
      <c r="D65" s="247"/>
      <c r="E65" s="234"/>
      <c r="F65" s="234"/>
      <c r="G65" s="248">
        <f>IF(SUM(C52:C53)&gt;SUM(C55:C56),SUM(C52:C53),SUM(C55:C56))</f>
        <v>0.4516129032</v>
      </c>
      <c r="H65" s="249" t="str">
        <f>IF(SUM(C52:C53)&gt;SUM(C55:C56),"dos cargos abaixo "&amp;IF(B5="Mediana","da ",IF(B5="Média","da ","do "))&amp;B5,"dos cargos acima "&amp;IF(B5="Mediana","da ",IF(B5="Média","da ","do "))&amp;B5)</f>
        <v>dos cargos acima da Mediana</v>
      </c>
      <c r="J65" s="156"/>
      <c r="K65" s="156"/>
      <c r="L65" s="157"/>
      <c r="M65" s="157"/>
      <c r="N65" s="157"/>
    </row>
    <row r="66" ht="12.75" customHeight="1">
      <c r="A66" s="160"/>
      <c r="B66" s="246"/>
      <c r="C66" s="247"/>
      <c r="D66" s="247"/>
      <c r="E66" s="234"/>
      <c r="F66" s="234"/>
      <c r="J66" s="156"/>
      <c r="K66" s="156"/>
      <c r="L66" s="157"/>
      <c r="M66" s="157"/>
      <c r="N66" s="157"/>
    </row>
    <row r="67" ht="12.75" customHeight="1">
      <c r="A67" s="160"/>
      <c r="B67" s="246"/>
      <c r="C67" s="247"/>
      <c r="D67" s="247"/>
      <c r="E67" s="234"/>
      <c r="F67" s="234"/>
      <c r="G67" s="235"/>
      <c r="H67" s="235"/>
      <c r="I67" s="156"/>
      <c r="J67" s="156"/>
      <c r="K67" s="156"/>
      <c r="L67" s="157"/>
      <c r="M67" s="157"/>
      <c r="N67" s="157"/>
    </row>
    <row r="68" ht="12.75" customHeight="1">
      <c r="A68" s="160"/>
      <c r="E68" s="228"/>
      <c r="F68" s="228"/>
      <c r="G68" s="229"/>
      <c r="H68" s="229"/>
      <c r="I68" s="156"/>
      <c r="J68" s="156"/>
      <c r="K68" s="156"/>
      <c r="L68" s="157"/>
      <c r="M68" s="157"/>
      <c r="N68" s="157"/>
    </row>
    <row r="69" ht="12.75" customHeight="1">
      <c r="A69" s="160"/>
      <c r="B69" s="250"/>
      <c r="C69" s="251"/>
      <c r="D69" s="251"/>
      <c r="E69" s="252"/>
      <c r="F69" s="252"/>
      <c r="G69" s="253"/>
      <c r="H69" s="253"/>
      <c r="I69" s="226"/>
      <c r="J69" s="226"/>
      <c r="K69" s="156"/>
      <c r="L69" s="157"/>
      <c r="M69" s="157"/>
      <c r="N69" s="157"/>
    </row>
    <row r="70" ht="12.75" customHeight="1">
      <c r="A70" s="160"/>
      <c r="B70" s="254" t="str">
        <f>"5 Maiores Salários acima "&amp;IF(B5="Mediana","da ",IF(B5="Média","da ","do "))&amp;B5</f>
        <v>5 Maiores Salários acima da Mediana</v>
      </c>
      <c r="C70" s="255"/>
      <c r="D70" s="255"/>
      <c r="E70" s="255"/>
      <c r="F70" s="255"/>
      <c r="G70" s="255"/>
      <c r="H70" s="255"/>
      <c r="I70" s="255"/>
      <c r="J70" s="256"/>
      <c r="K70" s="156"/>
      <c r="L70" s="157"/>
      <c r="M70" s="157"/>
      <c r="N70" s="157"/>
    </row>
    <row r="71" ht="12.75" customHeight="1">
      <c r="A71" s="160"/>
      <c r="B71" s="246"/>
      <c r="C71" s="247"/>
      <c r="D71" s="247"/>
      <c r="E71" s="234"/>
      <c r="F71" s="234"/>
      <c r="G71" s="235"/>
      <c r="H71" s="235"/>
      <c r="I71" s="156"/>
      <c r="J71" s="156"/>
      <c r="K71" s="156"/>
      <c r="L71" s="157"/>
      <c r="M71" s="157"/>
      <c r="N71" s="157"/>
    </row>
    <row r="72" ht="12.75" customHeight="1">
      <c r="A72" s="160"/>
      <c r="B72" s="257" t="s">
        <v>339</v>
      </c>
      <c r="C72" s="156"/>
      <c r="D72" s="156"/>
      <c r="E72" s="258" t="s">
        <v>195</v>
      </c>
      <c r="G72" s="259"/>
      <c r="I72" s="260"/>
      <c r="K72" s="156"/>
      <c r="L72" s="157"/>
      <c r="M72" s="157"/>
      <c r="N72" s="157"/>
    </row>
    <row r="73" ht="12.75" customHeight="1">
      <c r="A73" s="160"/>
      <c r="B73" s="261" t="s">
        <v>190</v>
      </c>
      <c r="C73" s="261" t="s">
        <v>192</v>
      </c>
      <c r="D73" s="262" t="s">
        <v>340</v>
      </c>
      <c r="E73" s="263" t="str">
        <f>$B$5</f>
        <v>Mediana</v>
      </c>
      <c r="F73" s="263" t="s">
        <v>332</v>
      </c>
      <c r="G73" s="264"/>
      <c r="H73" s="264"/>
      <c r="I73" s="265"/>
      <c r="J73" s="265"/>
      <c r="K73" s="156"/>
      <c r="L73" s="157"/>
      <c r="M73" s="157"/>
      <c r="N73" s="157"/>
    </row>
    <row r="74" ht="12.75" customHeight="1">
      <c r="A74" s="266" t="str">
        <f t="array" ref="A74">INDEX('Cálculos Comparativos'!A:A, MATCH(LARGE('Cálculos Comparativos'!S:S, ROW(A1)), 'Cálculos Comparativos'!S:S, 0))</f>
        <v>54</v>
      </c>
      <c r="B74" s="267" t="str">
        <f>iferror(VLOOKUP($A74,'Cálculos Comparativos'!$A:$T,2,0),"")</f>
        <v>TECNOLOGO EM CONSTRUÇÃO DE EDIFICIOS</v>
      </c>
      <c r="C74" s="267" t="str">
        <f>iferror(VLOOKUP($A74,'Cálculos Comparativos'!$A:$T,9,0)&amp;" "&amp;if(VLOOKUP($A74,'Cálculos Comparativos'!$A:$T,10,0)="Indiferente","",VLOOKUP($A74,'Cálculos Comparativos'!$A:$T,10,0)),"")</f>
        <v>Técnico em Edificações </v>
      </c>
      <c r="D74" s="268">
        <f>VLOOKUP(A74,'Cálculos Comparativos'!$A:$T,3,0)</f>
        <v>8585</v>
      </c>
      <c r="E74" s="269">
        <f>IFS($B$5="Mediana",VLOOKUP(A74,'Cálculos Comparativos'!A:T,16,0),$B$5="Menor Salário",VLOOKUP(A74,'Cálculos Comparativos'!A:T,13,0),$B$5="1º Quartil",VLOOKUP(A74,'Cálculos Comparativos'!A:T,13,0),$B$5="Média",VLOOKUP(A74,'Cálculos Comparativos'!A:T,15,0),$B$5="3º Quartil",VLOOKUP(A74,'Cálculos Comparativos'!A:T,17,0),$B$5="Maior Salário",VLOOKUP(A74,'Cálculos Comparativos'!A:T,18,0))</f>
        <v>4031.66</v>
      </c>
      <c r="F74" s="209">
        <f>VLOOKUP(A74,'Cálculos Comparativos'!$A:$T,19,0)</f>
        <v>2.129395832</v>
      </c>
      <c r="G74" s="270"/>
      <c r="H74" s="271"/>
      <c r="I74" s="272"/>
      <c r="J74" s="273"/>
      <c r="K74" s="156"/>
      <c r="L74" s="157"/>
      <c r="M74" s="157"/>
      <c r="N74" s="157"/>
    </row>
    <row r="75" ht="12.75" customHeight="1">
      <c r="A75" s="266" t="str">
        <f t="array" ref="A75">INDEX('Cálculos Comparativos'!A:A, MATCH(LARGE('Cálculos Comparativos'!S:S, ROW(A2)), 'Cálculos Comparativos'!S:S, 0))</f>
        <v>33</v>
      </c>
      <c r="B75" s="267" t="str">
        <f>iferror(VLOOKUP($A75,'Cálculos Comparativos'!$A:$T,2,0),"")</f>
        <v>DIRETOR</v>
      </c>
      <c r="C75" s="267" t="str">
        <f>iferror(VLOOKUP($A75,'Cálculos Comparativos'!$A:$T,9,0)&amp;" "&amp;if(VLOOKUP($A75,'Cálculos Comparativos'!$A:$T,10,0)="Indiferente","",VLOOKUP($A75,'Cálculos Comparativos'!$A:$T,10,0)),"")</f>
        <v>CEO </v>
      </c>
      <c r="D75" s="268">
        <f>VLOOKUP(A75,'Cálculos Comparativos'!$A:$T,3,0)</f>
        <v>55769.23077</v>
      </c>
      <c r="E75" s="269">
        <f>IFS($B$5="Mediana",VLOOKUP(A75,'Cálculos Comparativos'!A:T,16,0),$B$5="Menor Salário",VLOOKUP(A75,'Cálculos Comparativos'!A:T,13,0),$B$5="1º Quartil",VLOOKUP(A75,'Cálculos Comparativos'!A:T,13,0),$B$5="Média",VLOOKUP(A75,'Cálculos Comparativos'!A:T,15,0),$B$5="3º Quartil",VLOOKUP(A75,'Cálculos Comparativos'!A:T,17,0),$B$5="Maior Salário",VLOOKUP(A75,'Cálculos Comparativos'!A:T,18,0))</f>
        <v>29147.75</v>
      </c>
      <c r="F75" s="209">
        <f>VLOOKUP(A75,'Cálculos Comparativos'!$A:$T,19,0)</f>
        <v>1.913328843</v>
      </c>
      <c r="G75" s="270"/>
      <c r="H75" s="271"/>
      <c r="I75" s="272"/>
      <c r="J75" s="273"/>
      <c r="K75" s="156"/>
      <c r="L75" s="157"/>
      <c r="M75" s="157"/>
      <c r="N75" s="157"/>
    </row>
    <row r="76" ht="12.75" customHeight="1">
      <c r="A76" s="266" t="str">
        <f t="array" ref="A76">INDEX('Cálculos Comparativos'!A:A, MATCH(LARGE('Cálculos Comparativos'!S:S, ROW(A3)), 'Cálculos Comparativos'!S:S, 0))</f>
        <v>44</v>
      </c>
      <c r="B76" s="267" t="str">
        <f>iferror(VLOOKUP($A76,'Cálculos Comparativos'!$A:$T,2,0),"")</f>
        <v>GERENTE DE EDIFICAÇÕES</v>
      </c>
      <c r="C76" s="267" t="str">
        <f>iferror(VLOOKUP($A76,'Cálculos Comparativos'!$A:$T,9,0)&amp;" "&amp;if(VLOOKUP($A76,'Cálculos Comparativos'!$A:$T,10,0)="Indiferente","",VLOOKUP($A76,'Cálculos Comparativos'!$A:$T,10,0)),"")</f>
        <v>Gerente de Engenharia </v>
      </c>
      <c r="D76" s="268">
        <f>VLOOKUP(A76,'Cálculos Comparativos'!$A:$T,3,0)</f>
        <v>30106.06061</v>
      </c>
      <c r="E76" s="269">
        <f>IFS($B$5="Mediana",VLOOKUP(A76,'Cálculos Comparativos'!A:T,16,0),$B$5="Menor Salário",VLOOKUP(A76,'Cálculos Comparativos'!A:T,13,0),$B$5="1º Quartil",VLOOKUP(A76,'Cálculos Comparativos'!A:T,13,0),$B$5="Média",VLOOKUP(A76,'Cálculos Comparativos'!A:T,15,0),$B$5="3º Quartil",VLOOKUP(A76,'Cálculos Comparativos'!A:T,17,0),$B$5="Maior Salário",VLOOKUP(A76,'Cálculos Comparativos'!A:T,18,0))</f>
        <v>19054.35</v>
      </c>
      <c r="F76" s="209">
        <f>VLOOKUP(A76,'Cálculos Comparativos'!$A:$T,19,0)</f>
        <v>1.580009846</v>
      </c>
      <c r="G76" s="270"/>
      <c r="H76" s="271"/>
      <c r="I76" s="272"/>
      <c r="J76" s="273"/>
      <c r="K76" s="156"/>
      <c r="L76" s="157"/>
      <c r="M76" s="157"/>
      <c r="N76" s="157"/>
    </row>
    <row r="77" ht="12.75" customHeight="1">
      <c r="A77" s="266" t="str">
        <f t="array" ref="A77">INDEX('Cálculos Comparativos'!A:A, MATCH(LARGE('Cálculos Comparativos'!S:S, ROW(A4)), 'Cálculos Comparativos'!S:S, 0))</f>
        <v>50</v>
      </c>
      <c r="B77" s="267" t="str">
        <f>iferror(VLOOKUP($A77,'Cálculos Comparativos'!$A:$T,2,0),"")</f>
        <v>GERENTE DE URBANISMO</v>
      </c>
      <c r="C77" s="267" t="str">
        <f>iferror(VLOOKUP($A77,'Cálculos Comparativos'!$A:$T,9,0)&amp;" "&amp;if(VLOOKUP($A77,'Cálculos Comparativos'!$A:$T,10,0)="Indiferente","",VLOOKUP($A77,'Cálculos Comparativos'!$A:$T,10,0)),"")</f>
        <v>Gerente de Urbanismo </v>
      </c>
      <c r="D77" s="268">
        <f>VLOOKUP(A77,'Cálculos Comparativos'!$A:$T,3,0)</f>
        <v>28030.30303</v>
      </c>
      <c r="E77" s="269">
        <f>IFS($B$5="Mediana",VLOOKUP(A77,'Cálculos Comparativos'!A:T,16,0),$B$5="Menor Salário",VLOOKUP(A77,'Cálculos Comparativos'!A:T,13,0),$B$5="1º Quartil",VLOOKUP(A77,'Cálculos Comparativos'!A:T,13,0),$B$5="Média",VLOOKUP(A77,'Cálculos Comparativos'!A:T,15,0),$B$5="3º Quartil",VLOOKUP(A77,'Cálculos Comparativos'!A:T,17,0),$B$5="Maior Salário",VLOOKUP(A77,'Cálculos Comparativos'!A:T,18,0))</f>
        <v>20040.08</v>
      </c>
      <c r="F77" s="209">
        <f>VLOOKUP(A77,'Cálculos Comparativos'!$A:$T,19,0)</f>
        <v>1.398712132</v>
      </c>
      <c r="G77" s="270"/>
      <c r="H77" s="271"/>
      <c r="I77" s="272"/>
      <c r="J77" s="273"/>
      <c r="K77" s="156"/>
      <c r="L77" s="157"/>
      <c r="M77" s="157"/>
      <c r="N77" s="157"/>
    </row>
    <row r="78" ht="12.75" customHeight="1">
      <c r="A78" s="266" t="str">
        <f t="array" ref="A78">INDEX('Cálculos Comparativos'!A:A, MATCH(LARGE('Cálculos Comparativos'!S:S, ROW(A5)), 'Cálculos Comparativos'!S:S, 0))</f>
        <v>34</v>
      </c>
      <c r="B78" s="267" t="str">
        <f>iferror(VLOOKUP($A78,'Cálculos Comparativos'!$A:$T,2,0),"")</f>
        <v>ENCARREGADO DE OBRAS</v>
      </c>
      <c r="C78" s="267" t="str">
        <f>iferror(VLOOKUP($A78,'Cálculos Comparativos'!$A:$T,9,0)&amp;" "&amp;if(VLOOKUP($A78,'Cálculos Comparativos'!$A:$T,10,0)="Indiferente","",VLOOKUP($A78,'Cálculos Comparativos'!$A:$T,10,0)),"")</f>
        <v>Mestre de Obras </v>
      </c>
      <c r="D78" s="268">
        <f>VLOOKUP(A78,'Cálculos Comparativos'!$A:$T,3,0)</f>
        <v>10000.5</v>
      </c>
      <c r="E78" s="269">
        <f>IFS($B$5="Mediana",VLOOKUP(A78,'Cálculos Comparativos'!A:T,16,0),$B$5="Menor Salário",VLOOKUP(A78,'Cálculos Comparativos'!A:T,13,0),$B$5="1º Quartil",VLOOKUP(A78,'Cálculos Comparativos'!A:T,13,0),$B$5="Média",VLOOKUP(A78,'Cálculos Comparativos'!A:T,15,0),$B$5="3º Quartil",VLOOKUP(A78,'Cálculos Comparativos'!A:T,17,0),$B$5="Maior Salário",VLOOKUP(A78,'Cálculos Comparativos'!A:T,18,0))</f>
        <v>7478.73</v>
      </c>
      <c r="F78" s="209">
        <f>VLOOKUP(A78,'Cálculos Comparativos'!$A:$T,19,0)</f>
        <v>1.337192277</v>
      </c>
      <c r="G78" s="270"/>
      <c r="H78" s="271"/>
      <c r="I78" s="272"/>
      <c r="J78" s="273"/>
      <c r="K78" s="156"/>
      <c r="L78" s="157"/>
      <c r="M78" s="157"/>
      <c r="N78" s="157"/>
    </row>
    <row r="79" ht="12.75" customHeight="1">
      <c r="A79" s="160"/>
      <c r="B79" s="246"/>
      <c r="C79" s="247"/>
      <c r="D79" s="247"/>
      <c r="E79" s="234"/>
      <c r="F79" s="234"/>
      <c r="G79" s="235"/>
      <c r="H79" s="235"/>
      <c r="I79" s="156"/>
      <c r="J79" s="156"/>
      <c r="K79" s="156"/>
      <c r="L79" s="157"/>
      <c r="M79" s="157"/>
      <c r="N79" s="157"/>
    </row>
    <row r="80" ht="12.75" customHeight="1">
      <c r="A80" s="160"/>
      <c r="B80" s="274"/>
      <c r="C80" s="274"/>
      <c r="D80" s="274"/>
      <c r="E80" s="274"/>
      <c r="F80" s="274"/>
      <c r="G80" s="274"/>
      <c r="H80" s="274"/>
      <c r="I80" s="274"/>
      <c r="J80" s="274"/>
      <c r="K80" s="156"/>
      <c r="L80" s="157"/>
      <c r="M80" s="157"/>
      <c r="N80" s="157"/>
    </row>
    <row r="81" ht="12.75" customHeight="1">
      <c r="A81" s="160"/>
      <c r="B81" s="274"/>
      <c r="C81" s="274"/>
      <c r="D81" s="274"/>
      <c r="E81" s="274"/>
      <c r="F81" s="274"/>
      <c r="G81" s="274"/>
      <c r="H81" s="274"/>
      <c r="I81" s="274"/>
      <c r="J81" s="274"/>
      <c r="K81" s="156"/>
      <c r="L81" s="157"/>
      <c r="M81" s="157"/>
      <c r="N81" s="157"/>
    </row>
    <row r="82" ht="12.75" customHeight="1">
      <c r="A82" s="160"/>
      <c r="B82" s="275" t="str">
        <f>"5 Menores Salários abaixo "&amp;IF(B5="Mediana","da ",IF(B5="Média","da ","do "))&amp;B5</f>
        <v>5 Menores Salários abaixo da Mediana</v>
      </c>
      <c r="C82" s="255"/>
      <c r="D82" s="255"/>
      <c r="E82" s="255"/>
      <c r="F82" s="255"/>
      <c r="G82" s="255"/>
      <c r="H82" s="255"/>
      <c r="I82" s="255"/>
      <c r="J82" s="256"/>
      <c r="K82" s="156"/>
      <c r="L82" s="157"/>
      <c r="M82" s="157"/>
      <c r="N82" s="157"/>
    </row>
    <row r="83" ht="12.75" customHeight="1">
      <c r="A83" s="160"/>
      <c r="B83" s="246"/>
      <c r="C83" s="247"/>
      <c r="D83" s="247"/>
      <c r="E83" s="234"/>
      <c r="F83" s="234"/>
      <c r="G83" s="235"/>
      <c r="H83" s="235"/>
      <c r="I83" s="156"/>
      <c r="J83" s="156"/>
      <c r="K83" s="156"/>
      <c r="L83" s="157"/>
      <c r="M83" s="157"/>
      <c r="N83" s="157"/>
    </row>
    <row r="84" ht="12.75" customHeight="1">
      <c r="A84" s="160"/>
      <c r="B84" s="257" t="s">
        <v>339</v>
      </c>
      <c r="C84" s="156"/>
      <c r="D84" s="276"/>
      <c r="E84" s="258" t="s">
        <v>195</v>
      </c>
      <c r="G84" s="259"/>
      <c r="I84" s="156"/>
      <c r="J84" s="156"/>
      <c r="K84" s="156"/>
      <c r="L84" s="157"/>
      <c r="M84" s="157"/>
      <c r="N84" s="157"/>
    </row>
    <row r="85" ht="12.75" customHeight="1">
      <c r="A85" s="160"/>
      <c r="B85" s="261" t="s">
        <v>190</v>
      </c>
      <c r="C85" s="261" t="s">
        <v>192</v>
      </c>
      <c r="D85" s="262" t="s">
        <v>340</v>
      </c>
      <c r="E85" s="263" t="str">
        <f>$B$5</f>
        <v>Mediana</v>
      </c>
      <c r="F85" s="263" t="s">
        <v>332</v>
      </c>
      <c r="G85" s="264"/>
      <c r="H85" s="264"/>
      <c r="I85" s="156"/>
      <c r="J85" s="156"/>
      <c r="K85" s="156"/>
      <c r="L85" s="157"/>
      <c r="M85" s="157"/>
      <c r="N85" s="157"/>
    </row>
    <row r="86" ht="12.75" customHeight="1">
      <c r="A86" s="266" t="str">
        <f t="array" ref="A86">INDEX('Cálculos Comparativos'!A:A, MATCH(SMALL('Cálculos Comparativos'!S:S, ROW(A1)), 'Cálculos Comparativos'!S:S, 0))</f>
        <v>45</v>
      </c>
      <c r="B86" s="267" t="str">
        <f>iferror(VLOOKUP($A86,'Cálculos Comparativos'!$A:$T,2,0),"")</f>
        <v>GERENTE DE HOUSE</v>
      </c>
      <c r="C86" s="267" t="str">
        <f>iferror(VLOOKUP($A86,'Cálculos Comparativos'!$A:$T,9,0)&amp;" "&amp;if(VLOOKUP($A86,'Cálculos Comparativos'!$A:$T,10,0)="Indiferente","",VLOOKUP($A86,'Cálculos Comparativos'!$A:$T,10,0)),"")</f>
        <v>Gerente Comercial </v>
      </c>
      <c r="D86" s="268">
        <f>VLOOKUP(A86,'Cálculos Comparativos'!$A:$T,3,0)</f>
        <v>3882.575758</v>
      </c>
      <c r="E86" s="269">
        <f>IFS($B$5="Mediana",VLOOKUP(A86,'Cálculos Comparativos'!A:T,16,0),$B$5="Menor Salário",VLOOKUP(A86,'Cálculos Comparativos'!A:T,13,0),$B$5="1º Quartil",VLOOKUP(A86,'Cálculos Comparativos'!A:T,14,0),$B$5="Média",VLOOKUP(A86,'Cálculos Comparativos'!A:T,14,0),$B$5="3º Quartil",VLOOKUP(A86,'Cálculos Comparativos'!A:T,17,0),$B$5="Maior Salário",VLOOKUP(A86,'Cálculos Comparativos'!A:T,18,0))</f>
        <v>12107.57</v>
      </c>
      <c r="F86" s="209">
        <f>VLOOKUP(A86,'Cálculos Comparativos'!$A:$T,19,0)</f>
        <v>0.3206734099</v>
      </c>
      <c r="G86" s="270"/>
      <c r="H86" s="271"/>
      <c r="I86" s="277"/>
      <c r="J86" s="156"/>
      <c r="K86" s="156"/>
      <c r="L86" s="157"/>
      <c r="M86" s="157"/>
      <c r="N86" s="157"/>
    </row>
    <row r="87" ht="12.75" customHeight="1">
      <c r="A87" s="266" t="str">
        <f t="array" ref="A87">INDEX('Cálculos Comparativos'!A:A, MATCH(SMALL('Cálculos Comparativos'!S:S, ROW(A2)), 'Cálculos Comparativos'!S:S, 0))</f>
        <v>49</v>
      </c>
      <c r="B87" s="267" t="str">
        <f>iferror(VLOOKUP($A87,'Cálculos Comparativos'!$A:$T,2,0),"")</f>
        <v>GERENTE DE PARCERIAS EXTERNAS</v>
      </c>
      <c r="C87" s="267" t="str">
        <f>iferror(VLOOKUP($A87,'Cálculos Comparativos'!$A:$T,9,0)&amp;" "&amp;if(VLOOKUP($A87,'Cálculos Comparativos'!$A:$T,10,0)="Indiferente","",VLOOKUP($A87,'Cálculos Comparativos'!$A:$T,10,0)),"")</f>
        <v>Gerente de Relacionamento </v>
      </c>
      <c r="D87" s="268">
        <f>VLOOKUP(A87,'Cálculos Comparativos'!$A:$T,3,0)</f>
        <v>3787.878788</v>
      </c>
      <c r="E87" s="269">
        <f>IFS($B$5="Mediana",VLOOKUP(A87,'Cálculos Comparativos'!A:T,16,0),$B$5="Menor Salário",VLOOKUP(A87,'Cálculos Comparativos'!A:T,13,0),$B$5="1º Quartil",VLOOKUP(A87,'Cálculos Comparativos'!A:T,14,0),$B$5="Média",VLOOKUP(A87,'Cálculos Comparativos'!A:T,14,0),$B$5="3º Quartil",VLOOKUP(A87,'Cálculos Comparativos'!A:T,17,0),$B$5="Maior Salário",VLOOKUP(A87,'Cálculos Comparativos'!A:T,18,0))</f>
        <v>10996.97</v>
      </c>
      <c r="F87" s="209">
        <f>VLOOKUP(A87,'Cálculos Comparativos'!$A:$T,19,0)</f>
        <v>0.3444474967</v>
      </c>
      <c r="G87" s="270"/>
      <c r="H87" s="271"/>
      <c r="I87" s="277"/>
      <c r="J87" s="156"/>
      <c r="K87" s="156"/>
      <c r="L87" s="157"/>
      <c r="M87" s="157"/>
      <c r="N87" s="157"/>
    </row>
    <row r="88" ht="12.75" customHeight="1">
      <c r="A88" s="266" t="str">
        <f t="array" ref="A88">INDEX('Cálculos Comparativos'!A:A, MATCH(SMALL('Cálculos Comparativos'!S:S, ROW(A3)), 'Cálculos Comparativos'!S:S, 0))</f>
        <v>48</v>
      </c>
      <c r="B88" s="267" t="str">
        <f>iferror(VLOOKUP($A88,'Cálculos Comparativos'!$A:$T,2,0),"")</f>
        <v>GERENTE DE PARCERIAS</v>
      </c>
      <c r="C88" s="267" t="str">
        <f>iferror(VLOOKUP($A88,'Cálculos Comparativos'!$A:$T,9,0)&amp;" "&amp;if(VLOOKUP($A88,'Cálculos Comparativos'!$A:$T,10,0)="Indiferente","",VLOOKUP($A88,'Cálculos Comparativos'!$A:$T,10,0)),"")</f>
        <v>Gerente de Relacionamento </v>
      </c>
      <c r="D88" s="268">
        <f>VLOOKUP(A88,'Cálculos Comparativos'!$A:$T,3,0)</f>
        <v>4049.242424</v>
      </c>
      <c r="E88" s="269">
        <f>IFS($B$5="Mediana",VLOOKUP(A88,'Cálculos Comparativos'!A:T,16,0),$B$5="Menor Salário",VLOOKUP(A88,'Cálculos Comparativos'!A:T,13,0),$B$5="1º Quartil",VLOOKUP(A88,'Cálculos Comparativos'!A:T,14,0),$B$5="Média",VLOOKUP(A88,'Cálculos Comparativos'!A:T,14,0),$B$5="3º Quartil",VLOOKUP(A88,'Cálculos Comparativos'!A:T,17,0),$B$5="Maior Salário",VLOOKUP(A88,'Cálculos Comparativos'!A:T,18,0))</f>
        <v>10996.97</v>
      </c>
      <c r="F88" s="209">
        <f>VLOOKUP(A88,'Cálculos Comparativos'!$A:$T,19,0)</f>
        <v>0.368214374</v>
      </c>
      <c r="G88" s="270"/>
      <c r="H88" s="271"/>
      <c r="I88" s="277"/>
      <c r="J88" s="156"/>
      <c r="K88" s="156"/>
      <c r="L88" s="157"/>
      <c r="M88" s="157"/>
      <c r="N88" s="157"/>
    </row>
    <row r="89" ht="12.75" customHeight="1">
      <c r="A89" s="266" t="str">
        <f t="array" ref="A89">INDEX('Cálculos Comparativos'!A:A, MATCH(SMALL('Cálculos Comparativos'!S:S, ROW(A4)), 'Cálculos Comparativos'!S:S, 0))</f>
        <v>36</v>
      </c>
      <c r="B89" s="267" t="str">
        <f>iferror(VLOOKUP($A89,'Cálculos Comparativos'!$A:$T,2,0),"")</f>
        <v>ENGENHEIRO JUNIOR DE URBANISMO</v>
      </c>
      <c r="C89" s="267" t="str">
        <f>iferror(VLOOKUP($A89,'Cálculos Comparativos'!$A:$T,9,0)&amp;" "&amp;if(VLOOKUP($A89,'Cálculos Comparativos'!$A:$T,10,0)="Indiferente","",VLOOKUP($A89,'Cálculos Comparativos'!$A:$T,10,0)),"")</f>
        <v>Engenheiro de Urbanismo </v>
      </c>
      <c r="D89" s="268">
        <f>VLOOKUP(A89,'Cálculos Comparativos'!$A:$T,3,0)</f>
        <v>5630.872483</v>
      </c>
      <c r="E89" s="269">
        <f>IFS($B$5="Mediana",VLOOKUP(A89,'Cálculos Comparativos'!A:T,16,0),$B$5="Menor Salário",VLOOKUP(A89,'Cálculos Comparativos'!A:T,13,0),$B$5="1º Quartil",VLOOKUP(A89,'Cálculos Comparativos'!A:T,14,0),$B$5="Média",VLOOKUP(A89,'Cálculos Comparativos'!A:T,14,0),$B$5="3º Quartil",VLOOKUP(A89,'Cálculos Comparativos'!A:T,17,0),$B$5="Maior Salário",VLOOKUP(A89,'Cálculos Comparativos'!A:T,18,0))</f>
        <v>15118.5</v>
      </c>
      <c r="F89" s="209">
        <f>VLOOKUP(A89,'Cálculos Comparativos'!$A:$T,19,0)</f>
        <v>0.3724491506</v>
      </c>
      <c r="G89" s="270"/>
      <c r="H89" s="271"/>
      <c r="I89" s="277"/>
      <c r="J89" s="156"/>
      <c r="K89" s="156"/>
      <c r="L89" s="157"/>
      <c r="M89" s="157"/>
      <c r="N89" s="157"/>
    </row>
    <row r="90" ht="13.5" customHeight="1">
      <c r="A90" s="266" t="str">
        <f t="array" ref="A90">INDEX('Cálculos Comparativos'!A:A, MATCH(SMALL('Cálculos Comparativos'!S:S, ROW(A5)), 'Cálculos Comparativos'!S:S, 0))</f>
        <v>26</v>
      </c>
      <c r="B90" s="267" t="str">
        <f>iferror(VLOOKUP($A90,'Cálculos Comparativos'!$A:$T,2,0),"")</f>
        <v>CONTROLLER TÉCNICO</v>
      </c>
      <c r="C90" s="267" t="str">
        <f>iferror(VLOOKUP($A90,'Cálculos Comparativos'!$A:$T,9,0)&amp;" "&amp;if(VLOOKUP($A90,'Cálculos Comparativos'!$A:$T,10,0)="Indiferente","",VLOOKUP($A90,'Cálculos Comparativos'!$A:$T,10,0)),"")</f>
        <v>Analista de Controladoria Especialista</v>
      </c>
      <c r="D90" s="268">
        <f>VLOOKUP(A90,'Cálculos Comparativos'!$A:$T,3,0)</f>
        <v>9243.50365</v>
      </c>
      <c r="E90" s="269">
        <f>IFS($B$5="Mediana",VLOOKUP(A90,'Cálculos Comparativos'!A:T,16,0),$B$5="Menor Salário",VLOOKUP(A90,'Cálculos Comparativos'!A:T,13,0),$B$5="1º Quartil",VLOOKUP(A90,'Cálculos Comparativos'!A:T,14,0),$B$5="Média",VLOOKUP(A90,'Cálculos Comparativos'!A:T,14,0),$B$5="3º Quartil",VLOOKUP(A90,'Cálculos Comparativos'!A:T,17,0),$B$5="Maior Salário",VLOOKUP(A90,'Cálculos Comparativos'!A:T,18,0))</f>
        <v>13758.75</v>
      </c>
      <c r="F90" s="209">
        <f>VLOOKUP(A90,'Cálculos Comparativos'!$A:$T,19,0)</f>
        <v>0.6718272844</v>
      </c>
      <c r="G90" s="270"/>
      <c r="H90" s="271"/>
      <c r="I90" s="277"/>
      <c r="J90" s="156"/>
      <c r="K90" s="156"/>
      <c r="L90" s="157"/>
      <c r="M90" s="157"/>
      <c r="N90" s="157"/>
    </row>
    <row r="91" ht="12.75" customHeight="1">
      <c r="A91" s="160"/>
      <c r="B91" s="246"/>
      <c r="C91" s="247"/>
      <c r="D91" s="247"/>
      <c r="E91" s="234"/>
      <c r="F91" s="234"/>
      <c r="G91" s="235"/>
      <c r="H91" s="235"/>
      <c r="I91" s="156"/>
      <c r="J91" s="156"/>
      <c r="K91" s="156"/>
      <c r="L91" s="157"/>
      <c r="M91" s="157"/>
      <c r="N91" s="157"/>
    </row>
    <row r="92" ht="12.75" customHeight="1">
      <c r="A92" s="160"/>
      <c r="B92" s="246"/>
      <c r="C92" s="247"/>
      <c r="D92" s="247"/>
      <c r="E92" s="234"/>
      <c r="F92" s="234"/>
      <c r="G92" s="235"/>
      <c r="H92" s="235"/>
      <c r="I92" s="156"/>
      <c r="J92" s="156"/>
      <c r="K92" s="156"/>
      <c r="L92" s="157"/>
      <c r="M92" s="157"/>
      <c r="N92" s="157"/>
    </row>
    <row r="93" ht="12.75" customHeight="1">
      <c r="A93" s="160"/>
      <c r="B93" s="246"/>
      <c r="C93" s="247"/>
      <c r="D93" s="247"/>
      <c r="E93" s="234"/>
      <c r="F93" s="234"/>
      <c r="G93" s="235"/>
      <c r="H93" s="235"/>
      <c r="I93" s="156"/>
      <c r="J93" s="156"/>
      <c r="K93" s="156"/>
      <c r="L93" s="157"/>
      <c r="M93" s="157"/>
      <c r="N93" s="157"/>
    </row>
    <row r="94" ht="12.75" customHeight="1">
      <c r="A94" s="160"/>
      <c r="B94" s="246"/>
      <c r="C94" s="247"/>
      <c r="D94" s="247"/>
      <c r="E94" s="234"/>
      <c r="F94" s="234"/>
      <c r="G94" s="235"/>
      <c r="H94" s="235"/>
      <c r="I94" s="156"/>
      <c r="J94" s="156"/>
      <c r="K94" s="156"/>
      <c r="L94" s="157"/>
      <c r="M94" s="157"/>
      <c r="N94" s="157"/>
    </row>
    <row r="95" ht="12.75" customHeight="1">
      <c r="A95" s="160"/>
      <c r="B95" s="246"/>
      <c r="C95" s="247"/>
      <c r="D95" s="247"/>
      <c r="E95" s="234"/>
      <c r="F95" s="234"/>
      <c r="G95" s="235"/>
      <c r="H95" s="235"/>
      <c r="I95" s="156"/>
      <c r="J95" s="156"/>
      <c r="K95" s="156"/>
      <c r="L95" s="157"/>
      <c r="M95" s="157"/>
      <c r="N95" s="157"/>
    </row>
    <row r="96" ht="12.75" customHeight="1">
      <c r="A96" s="160"/>
      <c r="B96" s="246"/>
      <c r="C96" s="247"/>
      <c r="D96" s="247"/>
      <c r="E96" s="234"/>
      <c r="F96" s="234"/>
      <c r="G96" s="235"/>
      <c r="H96" s="235"/>
      <c r="I96" s="156"/>
      <c r="J96" s="156"/>
      <c r="K96" s="156"/>
      <c r="L96" s="157"/>
      <c r="M96" s="157"/>
      <c r="N96" s="157"/>
    </row>
    <row r="97" ht="12.75" customHeight="1">
      <c r="A97" s="160"/>
      <c r="B97" s="246"/>
      <c r="C97" s="247"/>
      <c r="D97" s="247"/>
      <c r="E97" s="234"/>
      <c r="F97" s="234"/>
      <c r="G97" s="235"/>
      <c r="H97" s="235"/>
      <c r="I97" s="156"/>
      <c r="J97" s="156"/>
      <c r="K97" s="156"/>
      <c r="L97" s="157"/>
      <c r="M97" s="157"/>
      <c r="N97" s="157"/>
    </row>
    <row r="98" ht="12.75" customHeight="1">
      <c r="A98" s="160"/>
      <c r="B98" s="246"/>
      <c r="C98" s="247"/>
      <c r="D98" s="247"/>
      <c r="E98" s="234"/>
      <c r="F98" s="234"/>
      <c r="G98" s="235"/>
      <c r="H98" s="235"/>
      <c r="I98" s="156"/>
      <c r="J98" s="156"/>
      <c r="K98" s="156"/>
      <c r="L98" s="157"/>
      <c r="M98" s="157"/>
      <c r="N98" s="157"/>
    </row>
    <row r="99" ht="12.75" customHeight="1">
      <c r="A99" s="160"/>
      <c r="B99" s="246"/>
      <c r="C99" s="247"/>
      <c r="D99" s="247"/>
      <c r="E99" s="234"/>
      <c r="F99" s="234"/>
      <c r="G99" s="235"/>
      <c r="H99" s="235"/>
      <c r="I99" s="156"/>
      <c r="J99" s="156"/>
      <c r="K99" s="156"/>
      <c r="L99" s="157"/>
      <c r="M99" s="157"/>
      <c r="N99" s="157"/>
    </row>
    <row r="100" ht="12.75" customHeight="1">
      <c r="A100" s="160"/>
      <c r="B100" s="246"/>
      <c r="C100" s="247"/>
      <c r="D100" s="247"/>
      <c r="E100" s="234"/>
      <c r="F100" s="234"/>
      <c r="G100" s="235"/>
      <c r="H100" s="235"/>
      <c r="I100" s="156"/>
      <c r="J100" s="156"/>
      <c r="K100" s="156"/>
      <c r="L100" s="157"/>
      <c r="M100" s="157"/>
      <c r="N100" s="157"/>
    </row>
    <row r="101" ht="12.75" customHeight="1">
      <c r="A101" s="160"/>
      <c r="B101" s="246"/>
      <c r="C101" s="247"/>
      <c r="D101" s="247"/>
      <c r="E101" s="234"/>
      <c r="F101" s="234"/>
      <c r="G101" s="235"/>
      <c r="H101" s="235"/>
      <c r="I101" s="156"/>
      <c r="J101" s="156"/>
      <c r="K101" s="156"/>
      <c r="L101" s="157"/>
      <c r="M101" s="157"/>
      <c r="N101" s="157"/>
    </row>
    <row r="102" ht="12.75" customHeight="1">
      <c r="A102" s="160"/>
      <c r="B102" s="246"/>
      <c r="C102" s="247"/>
      <c r="D102" s="247"/>
      <c r="E102" s="234"/>
      <c r="F102" s="234"/>
      <c r="G102" s="235"/>
      <c r="H102" s="235"/>
      <c r="I102" s="156"/>
      <c r="J102" s="156"/>
      <c r="K102" s="156"/>
      <c r="L102" s="157"/>
      <c r="M102" s="157"/>
      <c r="N102" s="157"/>
    </row>
    <row r="103" ht="12.75" customHeight="1">
      <c r="L103" s="278"/>
      <c r="M103" s="278"/>
      <c r="N103" s="278"/>
    </row>
    <row r="104" ht="12.75" customHeight="1">
      <c r="L104" s="278"/>
      <c r="M104" s="278"/>
      <c r="N104" s="278"/>
    </row>
    <row r="105" ht="12.75" customHeight="1">
      <c r="L105" s="278"/>
      <c r="M105" s="278"/>
      <c r="N105" s="278"/>
    </row>
    <row r="106" ht="12.75" customHeight="1">
      <c r="L106" s="278"/>
      <c r="M106" s="278"/>
      <c r="N106" s="278"/>
    </row>
    <row r="107" ht="12.75" customHeight="1">
      <c r="L107" s="278"/>
      <c r="M107" s="278"/>
      <c r="N107" s="278"/>
    </row>
    <row r="108" ht="12.75" customHeight="1">
      <c r="L108" s="278"/>
      <c r="M108" s="278"/>
      <c r="N108" s="278"/>
    </row>
    <row r="109" ht="12.75" customHeight="1">
      <c r="L109" s="278"/>
      <c r="M109" s="278"/>
      <c r="N109" s="278"/>
    </row>
    <row r="110" ht="12.75" customHeight="1">
      <c r="L110" s="278"/>
      <c r="M110" s="278"/>
      <c r="N110" s="278"/>
    </row>
    <row r="111" ht="12.75" customHeight="1">
      <c r="L111" s="278"/>
      <c r="M111" s="278"/>
      <c r="N111" s="278"/>
    </row>
    <row r="112" ht="12.75" customHeight="1">
      <c r="A112" s="279"/>
      <c r="L112" s="278"/>
      <c r="M112" s="278"/>
      <c r="N112" s="278"/>
    </row>
    <row r="113" ht="12.75" customHeight="1">
      <c r="L113" s="278"/>
      <c r="M113" s="278"/>
      <c r="N113" s="278"/>
    </row>
    <row r="114" ht="12.75" customHeight="1">
      <c r="L114" s="278"/>
      <c r="M114" s="278"/>
      <c r="N114" s="278"/>
    </row>
    <row r="115" ht="12.75" customHeight="1">
      <c r="L115" s="278"/>
      <c r="M115" s="278"/>
      <c r="N115" s="278"/>
    </row>
    <row r="116" ht="12.75" customHeight="1">
      <c r="L116" s="278"/>
      <c r="M116" s="278"/>
      <c r="N116" s="278"/>
    </row>
    <row r="117" ht="12.75" customHeight="1">
      <c r="L117" s="278"/>
      <c r="M117" s="278"/>
      <c r="N117" s="278"/>
    </row>
    <row r="118" ht="12.75" customHeight="1">
      <c r="L118" s="278"/>
      <c r="M118" s="278"/>
      <c r="N118" s="278"/>
    </row>
    <row r="119" ht="12.75" customHeight="1">
      <c r="L119" s="278"/>
      <c r="M119" s="278"/>
      <c r="N119" s="278"/>
    </row>
    <row r="120" ht="12.75" customHeight="1">
      <c r="L120" s="278"/>
      <c r="M120" s="278"/>
      <c r="N120" s="278"/>
    </row>
    <row r="121" ht="12.75" customHeight="1">
      <c r="L121" s="278"/>
      <c r="M121" s="278"/>
      <c r="N121" s="278"/>
    </row>
    <row r="122" ht="12.75" customHeight="1">
      <c r="L122" s="278"/>
      <c r="M122" s="278"/>
      <c r="N122" s="278"/>
    </row>
    <row r="123" ht="12.75" customHeight="1">
      <c r="L123" s="278"/>
      <c r="M123" s="278"/>
      <c r="N123" s="278"/>
    </row>
    <row r="124" ht="12.75" customHeight="1">
      <c r="L124" s="278"/>
      <c r="M124" s="278"/>
      <c r="N124" s="278"/>
    </row>
    <row r="125" ht="12.75" customHeight="1">
      <c r="L125" s="278"/>
      <c r="M125" s="278"/>
      <c r="N125" s="278"/>
    </row>
    <row r="126" ht="12.75" customHeight="1">
      <c r="L126" s="278"/>
      <c r="M126" s="278"/>
      <c r="N126" s="278"/>
    </row>
    <row r="127" ht="12.75" customHeight="1">
      <c r="L127" s="278"/>
      <c r="M127" s="278"/>
      <c r="N127" s="278"/>
    </row>
    <row r="128" ht="12.75" customHeight="1">
      <c r="L128" s="278"/>
      <c r="M128" s="278"/>
      <c r="N128" s="278"/>
    </row>
    <row r="129" ht="12.75" customHeight="1">
      <c r="L129" s="278"/>
      <c r="M129" s="278"/>
      <c r="N129" s="278"/>
    </row>
    <row r="130" ht="12.75" customHeight="1">
      <c r="L130" s="278"/>
      <c r="M130" s="278"/>
      <c r="N130" s="278"/>
    </row>
    <row r="131" ht="12.75" customHeight="1">
      <c r="L131" s="278"/>
      <c r="M131" s="278"/>
      <c r="N131" s="278"/>
    </row>
    <row r="132" ht="12.75" customHeight="1">
      <c r="L132" s="278"/>
      <c r="M132" s="278"/>
      <c r="N132" s="278"/>
    </row>
    <row r="133" ht="12.75" customHeight="1">
      <c r="L133" s="278"/>
      <c r="M133" s="278"/>
      <c r="N133" s="278"/>
    </row>
    <row r="134" ht="12.75" customHeight="1">
      <c r="L134" s="278"/>
      <c r="M134" s="278"/>
      <c r="N134" s="278"/>
    </row>
    <row r="135" ht="12.75" customHeight="1">
      <c r="L135" s="278"/>
      <c r="M135" s="278"/>
      <c r="N135" s="278"/>
    </row>
    <row r="136" ht="12.75" customHeight="1">
      <c r="L136" s="278"/>
      <c r="M136" s="278"/>
      <c r="N136" s="278"/>
    </row>
    <row r="137" ht="12.75" customHeight="1">
      <c r="L137" s="278"/>
      <c r="M137" s="278"/>
      <c r="N137" s="278"/>
    </row>
    <row r="138" ht="12.75" customHeight="1">
      <c r="L138" s="278"/>
      <c r="M138" s="278"/>
      <c r="N138" s="278"/>
    </row>
    <row r="139" ht="12.75" customHeight="1">
      <c r="L139" s="278"/>
      <c r="M139" s="278"/>
      <c r="N139" s="278"/>
    </row>
    <row r="140" ht="12.75" customHeight="1">
      <c r="L140" s="278"/>
      <c r="M140" s="278"/>
      <c r="N140" s="278"/>
    </row>
    <row r="141" ht="12.75" customHeight="1">
      <c r="L141" s="278"/>
      <c r="M141" s="278"/>
      <c r="N141" s="278"/>
    </row>
    <row r="142" ht="12.75" customHeight="1">
      <c r="L142" s="278"/>
      <c r="M142" s="278"/>
      <c r="N142" s="278"/>
    </row>
    <row r="143" ht="12.75" customHeight="1">
      <c r="L143" s="278"/>
      <c r="M143" s="278"/>
      <c r="N143" s="278"/>
    </row>
    <row r="144" ht="12.75" customHeight="1">
      <c r="L144" s="278"/>
      <c r="M144" s="278"/>
      <c r="N144" s="278"/>
    </row>
    <row r="145" ht="12.75" customHeight="1">
      <c r="L145" s="278"/>
      <c r="M145" s="278"/>
      <c r="N145" s="278"/>
    </row>
    <row r="146" ht="12.75" customHeight="1">
      <c r="L146" s="278"/>
      <c r="M146" s="278"/>
      <c r="N146" s="278"/>
    </row>
    <row r="147" ht="12.75" customHeight="1">
      <c r="L147" s="278"/>
      <c r="M147" s="278"/>
      <c r="N147" s="278"/>
    </row>
    <row r="148" ht="12.75" customHeight="1">
      <c r="L148" s="278"/>
      <c r="M148" s="278"/>
      <c r="N148" s="278"/>
    </row>
    <row r="149" ht="12.75" customHeight="1">
      <c r="L149" s="278"/>
      <c r="M149" s="278"/>
      <c r="N149" s="278"/>
    </row>
    <row r="150" ht="12.75" customHeight="1">
      <c r="L150" s="278"/>
      <c r="M150" s="278"/>
      <c r="N150" s="278"/>
    </row>
    <row r="151" ht="12.75" customHeight="1">
      <c r="L151" s="278"/>
      <c r="M151" s="278"/>
      <c r="N151" s="278"/>
    </row>
    <row r="152" ht="12.75" customHeight="1">
      <c r="L152" s="278"/>
      <c r="M152" s="278"/>
      <c r="N152" s="278"/>
    </row>
    <row r="153" ht="12.75" customHeight="1">
      <c r="L153" s="278"/>
      <c r="M153" s="278"/>
      <c r="N153" s="278"/>
    </row>
    <row r="154" ht="12.75" customHeight="1">
      <c r="L154" s="278"/>
      <c r="M154" s="278"/>
      <c r="N154" s="278"/>
    </row>
    <row r="155" ht="12.75" customHeight="1">
      <c r="L155" s="278"/>
      <c r="M155" s="278"/>
      <c r="N155" s="278"/>
    </row>
    <row r="156" ht="12.75" customHeight="1">
      <c r="L156" s="278"/>
      <c r="M156" s="278"/>
      <c r="N156" s="278"/>
    </row>
    <row r="157" ht="12.75" customHeight="1">
      <c r="L157" s="278"/>
      <c r="M157" s="278"/>
      <c r="N157" s="278"/>
    </row>
    <row r="158" ht="12.75" customHeight="1">
      <c r="L158" s="278"/>
      <c r="M158" s="278"/>
      <c r="N158" s="278"/>
    </row>
    <row r="159" ht="12.75" customHeight="1">
      <c r="L159" s="278"/>
      <c r="M159" s="278"/>
      <c r="N159" s="278"/>
    </row>
    <row r="160" ht="12.75" customHeight="1">
      <c r="L160" s="278"/>
      <c r="M160" s="278"/>
      <c r="N160" s="278"/>
    </row>
    <row r="161" ht="12.75" customHeight="1">
      <c r="L161" s="278"/>
      <c r="M161" s="278"/>
      <c r="N161" s="278"/>
    </row>
    <row r="162" ht="12.75" customHeight="1">
      <c r="L162" s="278"/>
      <c r="M162" s="278"/>
      <c r="N162" s="278"/>
    </row>
    <row r="163" ht="12.75" customHeight="1">
      <c r="L163" s="278"/>
      <c r="M163" s="278"/>
      <c r="N163" s="278"/>
    </row>
    <row r="164" ht="12.75" customHeight="1">
      <c r="L164" s="278"/>
      <c r="M164" s="278"/>
      <c r="N164" s="278"/>
    </row>
    <row r="165" ht="12.75" customHeight="1">
      <c r="L165" s="278"/>
      <c r="M165" s="278"/>
      <c r="N165" s="278"/>
    </row>
    <row r="166" ht="12.75" customHeight="1">
      <c r="L166" s="278"/>
      <c r="M166" s="278"/>
      <c r="N166" s="278"/>
    </row>
    <row r="167" ht="12.75" customHeight="1">
      <c r="L167" s="278"/>
      <c r="M167" s="278"/>
      <c r="N167" s="278"/>
    </row>
    <row r="168" ht="12.75" customHeight="1">
      <c r="L168" s="278"/>
      <c r="M168" s="278"/>
      <c r="N168" s="278"/>
    </row>
    <row r="169" ht="12.75" customHeight="1">
      <c r="L169" s="278"/>
      <c r="M169" s="278"/>
      <c r="N169" s="278"/>
    </row>
    <row r="170" ht="12.75" customHeight="1">
      <c r="L170" s="278"/>
      <c r="M170" s="278"/>
      <c r="N170" s="278"/>
    </row>
    <row r="171" ht="12.75" customHeight="1">
      <c r="L171" s="278"/>
      <c r="M171" s="278"/>
      <c r="N171" s="278"/>
    </row>
    <row r="172" ht="12.75" customHeight="1">
      <c r="L172" s="278"/>
      <c r="M172" s="278"/>
      <c r="N172" s="278"/>
    </row>
    <row r="173" ht="12.75" customHeight="1">
      <c r="L173" s="278"/>
      <c r="M173" s="278"/>
      <c r="N173" s="278"/>
    </row>
    <row r="174" ht="12.75" customHeight="1">
      <c r="L174" s="278"/>
      <c r="M174" s="278"/>
      <c r="N174" s="278"/>
    </row>
    <row r="175" ht="12.75" customHeight="1">
      <c r="L175" s="278"/>
      <c r="M175" s="278"/>
      <c r="N175" s="278"/>
    </row>
    <row r="176" ht="12.75" customHeight="1">
      <c r="L176" s="278"/>
      <c r="M176" s="278"/>
      <c r="N176" s="278"/>
    </row>
    <row r="177" ht="12.75" customHeight="1">
      <c r="L177" s="278"/>
      <c r="M177" s="278"/>
      <c r="N177" s="278"/>
    </row>
    <row r="178" ht="12.75" customHeight="1">
      <c r="L178" s="278"/>
      <c r="M178" s="278"/>
      <c r="N178" s="278"/>
    </row>
    <row r="179" ht="12.75" customHeight="1">
      <c r="L179" s="278"/>
      <c r="M179" s="278"/>
      <c r="N179" s="278"/>
    </row>
    <row r="180" ht="12.75" customHeight="1">
      <c r="L180" s="278"/>
      <c r="M180" s="278"/>
      <c r="N180" s="278"/>
    </row>
    <row r="181" ht="12.75" customHeight="1">
      <c r="L181" s="278"/>
      <c r="M181" s="278"/>
      <c r="N181" s="278"/>
    </row>
    <row r="182" ht="12.75" customHeight="1">
      <c r="L182" s="278"/>
      <c r="M182" s="278"/>
      <c r="N182" s="278"/>
    </row>
    <row r="183" ht="12.75" customHeight="1">
      <c r="L183" s="278"/>
      <c r="M183" s="278"/>
      <c r="N183" s="278"/>
    </row>
    <row r="184" ht="12.75" customHeight="1">
      <c r="L184" s="278"/>
      <c r="M184" s="278"/>
      <c r="N184" s="278"/>
    </row>
    <row r="185" ht="12.75" customHeight="1">
      <c r="L185" s="278"/>
      <c r="M185" s="278"/>
      <c r="N185" s="278"/>
    </row>
    <row r="186" ht="12.75" customHeight="1">
      <c r="L186" s="278"/>
      <c r="M186" s="278"/>
      <c r="N186" s="278"/>
    </row>
    <row r="187" ht="12.75" customHeight="1">
      <c r="L187" s="278"/>
      <c r="M187" s="278"/>
      <c r="N187" s="278"/>
    </row>
    <row r="188" ht="12.75" customHeight="1">
      <c r="L188" s="278"/>
      <c r="M188" s="278"/>
      <c r="N188" s="278"/>
    </row>
    <row r="189" ht="12.75" customHeight="1">
      <c r="L189" s="278"/>
      <c r="M189" s="278"/>
      <c r="N189" s="278"/>
    </row>
    <row r="190" ht="12.75" customHeight="1">
      <c r="L190" s="278"/>
      <c r="M190" s="278"/>
      <c r="N190" s="278"/>
    </row>
    <row r="191" ht="12.75" customHeight="1">
      <c r="L191" s="278"/>
      <c r="M191" s="278"/>
      <c r="N191" s="278"/>
    </row>
    <row r="192" ht="12.75" customHeight="1">
      <c r="L192" s="278"/>
      <c r="M192" s="278"/>
      <c r="N192" s="278"/>
    </row>
    <row r="193" ht="12.75" customHeight="1">
      <c r="L193" s="278"/>
      <c r="M193" s="278"/>
      <c r="N193" s="278"/>
    </row>
    <row r="194" ht="12.75" customHeight="1">
      <c r="L194" s="278"/>
      <c r="M194" s="278"/>
      <c r="N194" s="278"/>
    </row>
    <row r="195" ht="12.75" customHeight="1">
      <c r="L195" s="278"/>
      <c r="M195" s="278"/>
      <c r="N195" s="278"/>
    </row>
    <row r="196" ht="12.75" customHeight="1">
      <c r="L196" s="278"/>
      <c r="M196" s="278"/>
      <c r="N196" s="278"/>
    </row>
    <row r="197" ht="12.75" customHeight="1">
      <c r="L197" s="278"/>
      <c r="M197" s="278"/>
      <c r="N197" s="278"/>
    </row>
    <row r="198" ht="12.75" customHeight="1">
      <c r="L198" s="278"/>
      <c r="M198" s="278"/>
      <c r="N198" s="278"/>
    </row>
    <row r="199" ht="12.75" customHeight="1">
      <c r="L199" s="278"/>
      <c r="M199" s="278"/>
      <c r="N199" s="278"/>
    </row>
    <row r="200" ht="12.75" customHeight="1">
      <c r="L200" s="278"/>
      <c r="M200" s="278"/>
      <c r="N200" s="278"/>
    </row>
    <row r="201" ht="12.75" customHeight="1">
      <c r="L201" s="278"/>
      <c r="M201" s="278"/>
      <c r="N201" s="278"/>
    </row>
    <row r="202" ht="12.75" customHeight="1">
      <c r="L202" s="278"/>
      <c r="M202" s="278"/>
      <c r="N202" s="278"/>
    </row>
    <row r="203" ht="12.75" customHeight="1">
      <c r="L203" s="278"/>
      <c r="M203" s="278"/>
      <c r="N203" s="278"/>
    </row>
    <row r="204" ht="12.75" customHeight="1">
      <c r="L204" s="278"/>
      <c r="M204" s="278"/>
      <c r="N204" s="278"/>
    </row>
    <row r="205" ht="12.75" customHeight="1">
      <c r="L205" s="278"/>
      <c r="M205" s="278"/>
      <c r="N205" s="278"/>
    </row>
    <row r="206" ht="12.75" customHeight="1">
      <c r="L206" s="278"/>
      <c r="M206" s="278"/>
      <c r="N206" s="278"/>
    </row>
    <row r="207" ht="12.75" customHeight="1">
      <c r="L207" s="278"/>
      <c r="M207" s="278"/>
      <c r="N207" s="278"/>
    </row>
    <row r="208" ht="12.75" customHeight="1">
      <c r="L208" s="278"/>
      <c r="M208" s="278"/>
      <c r="N208" s="278"/>
    </row>
    <row r="209" ht="12.75" customHeight="1">
      <c r="L209" s="278"/>
      <c r="M209" s="278"/>
      <c r="N209" s="278"/>
    </row>
    <row r="210" ht="12.75" customHeight="1">
      <c r="L210" s="278"/>
      <c r="M210" s="278"/>
      <c r="N210" s="278"/>
    </row>
    <row r="211" ht="12.75" customHeight="1">
      <c r="L211" s="278"/>
      <c r="M211" s="278"/>
      <c r="N211" s="278"/>
    </row>
    <row r="212" ht="12.75" customHeight="1">
      <c r="L212" s="278"/>
      <c r="M212" s="278"/>
      <c r="N212" s="278"/>
    </row>
    <row r="213" ht="12.75" customHeight="1">
      <c r="L213" s="278"/>
      <c r="M213" s="278"/>
      <c r="N213" s="278"/>
    </row>
    <row r="214" ht="12.75" customHeight="1">
      <c r="L214" s="278"/>
      <c r="M214" s="278"/>
      <c r="N214" s="278"/>
    </row>
    <row r="215" ht="12.75" customHeight="1">
      <c r="L215" s="278"/>
      <c r="M215" s="278"/>
      <c r="N215" s="278"/>
    </row>
    <row r="216" ht="12.75" customHeight="1">
      <c r="L216" s="278"/>
      <c r="M216" s="278"/>
      <c r="N216" s="278"/>
    </row>
    <row r="217" ht="12.75" customHeight="1">
      <c r="L217" s="278"/>
      <c r="M217" s="278"/>
      <c r="N217" s="278"/>
    </row>
    <row r="218" ht="12.75" customHeight="1">
      <c r="L218" s="278"/>
      <c r="M218" s="278"/>
      <c r="N218" s="278"/>
    </row>
    <row r="219" ht="12.75" customHeight="1">
      <c r="L219" s="278"/>
      <c r="M219" s="278"/>
      <c r="N219" s="278"/>
    </row>
    <row r="220" ht="12.75" customHeight="1">
      <c r="L220" s="278"/>
      <c r="M220" s="278"/>
      <c r="N220" s="278"/>
    </row>
    <row r="221" ht="12.75" customHeight="1">
      <c r="L221" s="278"/>
      <c r="M221" s="278"/>
      <c r="N221" s="278"/>
    </row>
    <row r="222" ht="12.75" customHeight="1">
      <c r="L222" s="278"/>
      <c r="M222" s="278"/>
      <c r="N222" s="278"/>
    </row>
    <row r="223" ht="12.75" customHeight="1">
      <c r="L223" s="278"/>
      <c r="M223" s="278"/>
      <c r="N223" s="278"/>
    </row>
    <row r="224" ht="12.75" customHeight="1">
      <c r="L224" s="278"/>
      <c r="M224" s="278"/>
      <c r="N224" s="278"/>
    </row>
    <row r="225" ht="12.75" customHeight="1">
      <c r="L225" s="278"/>
      <c r="M225" s="278"/>
      <c r="N225" s="278"/>
    </row>
    <row r="226" ht="12.75" customHeight="1">
      <c r="L226" s="278"/>
      <c r="M226" s="278"/>
      <c r="N226" s="278"/>
    </row>
    <row r="227" ht="12.75" customHeight="1">
      <c r="L227" s="278"/>
      <c r="M227" s="278"/>
      <c r="N227" s="278"/>
    </row>
    <row r="228" ht="12.75" customHeight="1">
      <c r="L228" s="278"/>
      <c r="M228" s="278"/>
      <c r="N228" s="278"/>
    </row>
    <row r="229" ht="12.75" customHeight="1">
      <c r="L229" s="278"/>
      <c r="M229" s="278"/>
      <c r="N229" s="278"/>
    </row>
    <row r="230" ht="12.75" customHeight="1">
      <c r="L230" s="278"/>
      <c r="M230" s="278"/>
      <c r="N230" s="278"/>
    </row>
    <row r="231" ht="12.75" customHeight="1">
      <c r="L231" s="278"/>
      <c r="M231" s="278"/>
      <c r="N231" s="278"/>
    </row>
    <row r="232" ht="12.75" customHeight="1">
      <c r="L232" s="278"/>
      <c r="M232" s="278"/>
      <c r="N232" s="278"/>
    </row>
    <row r="233" ht="12.75" customHeight="1">
      <c r="L233" s="278"/>
      <c r="M233" s="278"/>
      <c r="N233" s="278"/>
    </row>
    <row r="234" ht="12.75" customHeight="1">
      <c r="L234" s="278"/>
      <c r="M234" s="278"/>
      <c r="N234" s="278"/>
    </row>
    <row r="235" ht="12.75" customHeight="1">
      <c r="L235" s="278"/>
      <c r="M235" s="278"/>
      <c r="N235" s="278"/>
    </row>
    <row r="236" ht="12.75" customHeight="1">
      <c r="L236" s="278"/>
      <c r="M236" s="278"/>
      <c r="N236" s="278"/>
    </row>
    <row r="237" ht="12.75" customHeight="1">
      <c r="L237" s="278"/>
      <c r="M237" s="278"/>
      <c r="N237" s="278"/>
    </row>
    <row r="238" ht="12.75" customHeight="1">
      <c r="L238" s="278"/>
      <c r="M238" s="278"/>
      <c r="N238" s="278"/>
    </row>
    <row r="239" ht="12.75" customHeight="1">
      <c r="L239" s="278"/>
      <c r="M239" s="278"/>
      <c r="N239" s="278"/>
    </row>
    <row r="240" ht="12.75" customHeight="1">
      <c r="L240" s="278"/>
      <c r="M240" s="278"/>
      <c r="N240" s="278"/>
    </row>
    <row r="241" ht="12.75" customHeight="1">
      <c r="L241" s="278"/>
      <c r="M241" s="278"/>
      <c r="N241" s="278"/>
    </row>
    <row r="242" ht="12.75" customHeight="1">
      <c r="L242" s="278"/>
      <c r="M242" s="278"/>
      <c r="N242" s="278"/>
    </row>
    <row r="243" ht="12.75" customHeight="1">
      <c r="L243" s="278"/>
      <c r="M243" s="278"/>
      <c r="N243" s="278"/>
    </row>
    <row r="244" ht="12.75" customHeight="1">
      <c r="L244" s="278"/>
      <c r="M244" s="278"/>
      <c r="N244" s="278"/>
    </row>
    <row r="245" ht="12.75" customHeight="1">
      <c r="L245" s="278"/>
      <c r="M245" s="278"/>
      <c r="N245" s="278"/>
    </row>
    <row r="246" ht="12.75" customHeight="1">
      <c r="L246" s="278"/>
      <c r="M246" s="278"/>
      <c r="N246" s="278"/>
    </row>
    <row r="247" ht="12.75" customHeight="1">
      <c r="L247" s="278"/>
      <c r="M247" s="278"/>
      <c r="N247" s="278"/>
    </row>
    <row r="248" ht="12.75" customHeight="1">
      <c r="L248" s="278"/>
      <c r="M248" s="278"/>
      <c r="N248" s="278"/>
    </row>
    <row r="249" ht="12.75" customHeight="1">
      <c r="L249" s="278"/>
      <c r="M249" s="278"/>
      <c r="N249" s="278"/>
    </row>
    <row r="250" ht="12.75" customHeight="1">
      <c r="L250" s="278"/>
      <c r="M250" s="278"/>
      <c r="N250" s="278"/>
    </row>
    <row r="251" ht="12.75" customHeight="1">
      <c r="L251" s="278"/>
      <c r="M251" s="278"/>
      <c r="N251" s="278"/>
    </row>
    <row r="252" ht="12.75" customHeight="1">
      <c r="L252" s="278"/>
      <c r="M252" s="278"/>
      <c r="N252" s="278"/>
    </row>
    <row r="253" ht="12.75" customHeight="1">
      <c r="L253" s="278"/>
      <c r="M253" s="278"/>
      <c r="N253" s="278"/>
    </row>
    <row r="254" ht="12.75" customHeight="1">
      <c r="L254" s="278"/>
      <c r="M254" s="278"/>
      <c r="N254" s="278"/>
    </row>
    <row r="255" ht="12.75" customHeight="1">
      <c r="L255" s="278"/>
      <c r="M255" s="278"/>
      <c r="N255" s="278"/>
    </row>
    <row r="256" ht="12.75" customHeight="1">
      <c r="L256" s="278"/>
      <c r="M256" s="278"/>
      <c r="N256" s="278"/>
    </row>
    <row r="257" ht="12.75" customHeight="1">
      <c r="L257" s="278"/>
      <c r="M257" s="278"/>
      <c r="N257" s="278"/>
    </row>
    <row r="258" ht="12.75" customHeight="1">
      <c r="L258" s="278"/>
      <c r="M258" s="278"/>
      <c r="N258" s="278"/>
    </row>
    <row r="259" ht="12.75" customHeight="1">
      <c r="L259" s="278"/>
      <c r="M259" s="278"/>
      <c r="N259" s="278"/>
    </row>
    <row r="260" ht="12.75" customHeight="1">
      <c r="L260" s="278"/>
      <c r="M260" s="278"/>
      <c r="N260" s="278"/>
    </row>
    <row r="261" ht="12.75" customHeight="1">
      <c r="L261" s="278"/>
      <c r="M261" s="278"/>
      <c r="N261" s="278"/>
    </row>
    <row r="262" ht="12.75" customHeight="1">
      <c r="L262" s="278"/>
      <c r="M262" s="278"/>
      <c r="N262" s="278"/>
    </row>
    <row r="263" ht="12.75" customHeight="1">
      <c r="L263" s="278"/>
      <c r="M263" s="278"/>
      <c r="N263" s="278"/>
    </row>
    <row r="264" ht="12.75" customHeight="1">
      <c r="L264" s="278"/>
      <c r="M264" s="278"/>
      <c r="N264" s="278"/>
    </row>
    <row r="265" ht="12.75" customHeight="1">
      <c r="L265" s="278"/>
      <c r="M265" s="278"/>
      <c r="N265" s="278"/>
    </row>
    <row r="266" ht="12.75" customHeight="1">
      <c r="L266" s="278"/>
      <c r="M266" s="278"/>
      <c r="N266" s="278"/>
    </row>
    <row r="267" ht="12.75" customHeight="1">
      <c r="L267" s="278"/>
      <c r="M267" s="278"/>
      <c r="N267" s="278"/>
    </row>
    <row r="268" ht="12.75" customHeight="1">
      <c r="L268" s="278"/>
      <c r="M268" s="278"/>
      <c r="N268" s="278"/>
    </row>
    <row r="269" ht="12.75" customHeight="1">
      <c r="L269" s="278"/>
      <c r="M269" s="278"/>
      <c r="N269" s="278"/>
    </row>
    <row r="270" ht="12.75" customHeight="1">
      <c r="L270" s="278"/>
      <c r="M270" s="278"/>
      <c r="N270" s="278"/>
    </row>
    <row r="271" ht="12.75" customHeight="1">
      <c r="L271" s="278"/>
      <c r="M271" s="278"/>
      <c r="N271" s="278"/>
    </row>
    <row r="272" ht="12.75" customHeight="1">
      <c r="L272" s="278"/>
      <c r="M272" s="278"/>
      <c r="N272" s="278"/>
    </row>
    <row r="273" ht="12.75" customHeight="1">
      <c r="L273" s="278"/>
      <c r="M273" s="278"/>
      <c r="N273" s="278"/>
    </row>
    <row r="274" ht="12.75" customHeight="1">
      <c r="L274" s="278"/>
      <c r="M274" s="278"/>
      <c r="N274" s="278"/>
    </row>
    <row r="275" ht="12.75" customHeight="1">
      <c r="L275" s="278"/>
      <c r="M275" s="278"/>
      <c r="N275" s="278"/>
    </row>
    <row r="276" ht="12.75" customHeight="1">
      <c r="L276" s="278"/>
      <c r="M276" s="278"/>
      <c r="N276" s="278"/>
    </row>
    <row r="277" ht="12.75" customHeight="1">
      <c r="L277" s="278"/>
      <c r="M277" s="278"/>
      <c r="N277" s="278"/>
    </row>
    <row r="278" ht="12.75" customHeight="1">
      <c r="L278" s="278"/>
      <c r="M278" s="278"/>
      <c r="N278" s="278"/>
    </row>
    <row r="279" ht="12.75" customHeight="1">
      <c r="L279" s="278"/>
      <c r="M279" s="278"/>
      <c r="N279" s="278"/>
    </row>
  </sheetData>
  <mergeCells count="50">
    <mergeCell ref="G72:H72"/>
    <mergeCell ref="I72:J72"/>
    <mergeCell ref="D55:E55"/>
    <mergeCell ref="D56:E56"/>
    <mergeCell ref="D57:E57"/>
    <mergeCell ref="G65:G66"/>
    <mergeCell ref="H65:I66"/>
    <mergeCell ref="B70:J70"/>
    <mergeCell ref="E72:F72"/>
    <mergeCell ref="B3:E4"/>
    <mergeCell ref="H3:J3"/>
    <mergeCell ref="H4:J4"/>
    <mergeCell ref="B5:C6"/>
    <mergeCell ref="H5:J5"/>
    <mergeCell ref="H6:J6"/>
    <mergeCell ref="H7:J7"/>
    <mergeCell ref="D17:D21"/>
    <mergeCell ref="D24:D25"/>
    <mergeCell ref="D26:D30"/>
    <mergeCell ref="H8:J8"/>
    <mergeCell ref="H9:J9"/>
    <mergeCell ref="B12:D13"/>
    <mergeCell ref="F12:J13"/>
    <mergeCell ref="D15:D16"/>
    <mergeCell ref="J15:J16"/>
    <mergeCell ref="J17:J21"/>
    <mergeCell ref="J24:J25"/>
    <mergeCell ref="J26:J30"/>
    <mergeCell ref="F35:G35"/>
    <mergeCell ref="H35:I35"/>
    <mergeCell ref="F36:G36"/>
    <mergeCell ref="H36:I36"/>
    <mergeCell ref="H37:I37"/>
    <mergeCell ref="F37:G37"/>
    <mergeCell ref="F38:G38"/>
    <mergeCell ref="H38:I38"/>
    <mergeCell ref="F39:G39"/>
    <mergeCell ref="H39:I39"/>
    <mergeCell ref="F40:G40"/>
    <mergeCell ref="H40:I40"/>
    <mergeCell ref="F41:G41"/>
    <mergeCell ref="H41:I41"/>
    <mergeCell ref="B48:C49"/>
    <mergeCell ref="D51:E51"/>
    <mergeCell ref="D52:E52"/>
    <mergeCell ref="D53:E53"/>
    <mergeCell ref="D54:E54"/>
    <mergeCell ref="B82:J82"/>
    <mergeCell ref="E84:F84"/>
    <mergeCell ref="G84:H84"/>
  </mergeCells>
  <dataValidations>
    <dataValidation type="list" allowBlank="1" showErrorMessage="1" sqref="B48">
      <formula1>"Operacional,Tático,Estratégico"</formula1>
    </dataValidation>
    <dataValidation type="list" allowBlank="1" showErrorMessage="1" sqref="B5">
      <formula1>"Mediana,Menor Salário,1º Quartil,Média,3º Quartil,Maior Salário"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38.25"/>
    <col customWidth="1" min="3" max="3" width="27.88"/>
    <col customWidth="1" min="4" max="6" width="12.5"/>
    <col customWidth="1" min="7" max="7" width="14.5"/>
    <col customWidth="1" min="8" max="8" width="14.63"/>
    <col customWidth="1" min="12" max="12" width="10.5"/>
  </cols>
  <sheetData>
    <row r="1">
      <c r="E1" s="280" t="s">
        <v>195</v>
      </c>
      <c r="F1" s="186"/>
      <c r="G1" s="186"/>
      <c r="H1" s="186"/>
      <c r="I1" s="186"/>
      <c r="J1" s="186"/>
      <c r="K1" s="186"/>
      <c r="L1" s="186"/>
      <c r="M1" s="281"/>
      <c r="N1" s="278"/>
      <c r="P1" s="282" t="s">
        <v>341</v>
      </c>
      <c r="Q1" s="282">
        <v>1.0</v>
      </c>
      <c r="R1" s="283"/>
      <c r="S1" s="278"/>
      <c r="T1" s="278"/>
      <c r="U1" s="278"/>
    </row>
    <row r="2">
      <c r="M2" s="278"/>
      <c r="N2" s="278"/>
      <c r="P2" s="282" t="s">
        <v>122</v>
      </c>
      <c r="Q2" s="282">
        <v>2.0</v>
      </c>
      <c r="R2" s="283"/>
      <c r="S2" s="278"/>
      <c r="T2" s="278"/>
      <c r="U2" s="278"/>
    </row>
    <row r="3">
      <c r="B3" s="158" t="s">
        <v>317</v>
      </c>
      <c r="E3" s="284"/>
      <c r="M3" s="285"/>
      <c r="N3" s="278"/>
      <c r="P3" s="282" t="s">
        <v>70</v>
      </c>
      <c r="Q3" s="282">
        <v>3.0</v>
      </c>
      <c r="R3" s="278"/>
      <c r="S3" s="278"/>
      <c r="T3" s="278"/>
      <c r="U3" s="278"/>
    </row>
    <row r="4">
      <c r="E4" s="286">
        <f>$D$27</f>
        <v>4</v>
      </c>
      <c r="M4" s="287"/>
      <c r="N4" s="278"/>
      <c r="P4" s="282" t="s">
        <v>77</v>
      </c>
      <c r="Q4" s="282">
        <v>4.0</v>
      </c>
      <c r="R4" s="278"/>
      <c r="S4" s="278"/>
      <c r="T4" s="278"/>
      <c r="U4" s="278"/>
    </row>
    <row r="5">
      <c r="B5" s="165" t="str">
        <f>'Painel Geral'!$B$5</f>
        <v>Mediana</v>
      </c>
      <c r="D5" s="288"/>
      <c r="N5" s="278"/>
      <c r="P5" s="282" t="s">
        <v>23</v>
      </c>
      <c r="Q5" s="282">
        <v>5.0</v>
      </c>
      <c r="R5" s="283"/>
      <c r="S5" s="278"/>
      <c r="T5" s="278"/>
      <c r="U5" s="278"/>
    </row>
    <row r="6">
      <c r="D6" s="288"/>
      <c r="E6" s="289" t="s">
        <v>330</v>
      </c>
      <c r="M6" s="290"/>
      <c r="N6" s="278"/>
      <c r="P6" s="282" t="s">
        <v>55</v>
      </c>
      <c r="Q6" s="282">
        <v>6.0</v>
      </c>
      <c r="R6" s="278"/>
      <c r="S6" s="278"/>
      <c r="T6" s="278"/>
      <c r="U6" s="278"/>
    </row>
    <row r="7">
      <c r="B7" s="291" t="s">
        <v>342</v>
      </c>
      <c r="D7" s="292"/>
      <c r="N7" s="278"/>
      <c r="P7" s="282" t="s">
        <v>343</v>
      </c>
      <c r="Q7" s="282">
        <v>7.0</v>
      </c>
      <c r="R7" s="283"/>
      <c r="S7" s="278"/>
      <c r="T7" s="278"/>
      <c r="U7" s="278"/>
    </row>
    <row r="8">
      <c r="N8" s="278"/>
      <c r="P8" s="282" t="s">
        <v>32</v>
      </c>
      <c r="Q8" s="282">
        <v>8.0</v>
      </c>
      <c r="R8" s="283"/>
      <c r="S8" s="278"/>
      <c r="T8" s="278"/>
      <c r="U8" s="278"/>
    </row>
    <row r="9">
      <c r="B9" s="293" t="s">
        <v>344</v>
      </c>
      <c r="N9" s="278"/>
      <c r="P9" s="282" t="s">
        <v>345</v>
      </c>
      <c r="Q9" s="282">
        <v>9.0</v>
      </c>
      <c r="R9" s="283"/>
      <c r="S9" s="278"/>
      <c r="T9" s="278"/>
      <c r="U9" s="278"/>
    </row>
    <row r="10">
      <c r="B10" s="294" t="s">
        <v>346</v>
      </c>
      <c r="M10" s="285"/>
      <c r="N10" s="278"/>
      <c r="P10" s="282" t="s">
        <v>51</v>
      </c>
      <c r="Q10" s="282">
        <v>10.0</v>
      </c>
      <c r="R10" s="283"/>
      <c r="S10" s="278"/>
      <c r="T10" s="278"/>
      <c r="U10" s="278"/>
    </row>
    <row r="11">
      <c r="B11" s="293" t="s">
        <v>347</v>
      </c>
      <c r="E11" s="295">
        <f>IF(SUM(C22:C24)&gt;SUM(C25:C26),SUM(C22:C24),SUM(C25:C26))</f>
        <v>0.75</v>
      </c>
      <c r="M11" s="296"/>
      <c r="N11" s="278"/>
      <c r="O11" s="278"/>
      <c r="P11" s="278"/>
      <c r="Q11" s="278"/>
      <c r="R11" s="278"/>
      <c r="S11" s="278"/>
      <c r="T11" s="278"/>
      <c r="U11" s="278"/>
    </row>
    <row r="12">
      <c r="B12" s="297"/>
      <c r="C12" s="297"/>
      <c r="N12" s="278"/>
      <c r="O12" s="278"/>
      <c r="P12" s="283"/>
      <c r="Q12" s="278"/>
      <c r="R12" s="278"/>
      <c r="S12" s="278"/>
      <c r="T12" s="278"/>
      <c r="U12" s="278"/>
    </row>
    <row r="13">
      <c r="B13" s="298" t="s">
        <v>343</v>
      </c>
      <c r="E13" s="289" t="str">
        <f>IF(SUM(C22:C24)&gt;SUM(C25:C26),"dos cargos abaixo "&amp;IF(B5="Mediana","da ",IF(B5="Média","da ","do "))&amp;B5,"dos cargos acima "&amp;IF(B5="Mediana","da ",IF(B5="Média","da ","do "))&amp;B5)</f>
        <v>dos cargos abaixo da Mediana</v>
      </c>
      <c r="M13" s="290"/>
      <c r="N13" s="278"/>
      <c r="O13" s="278"/>
      <c r="P13" s="278"/>
      <c r="Q13" s="278"/>
      <c r="R13" s="278"/>
      <c r="S13" s="278"/>
      <c r="T13" s="278"/>
      <c r="U13" s="278"/>
    </row>
    <row r="14">
      <c r="N14" s="278"/>
      <c r="O14" s="278"/>
      <c r="P14" s="278"/>
      <c r="Q14" s="278"/>
      <c r="R14" s="278"/>
    </row>
    <row r="15">
      <c r="B15" s="299">
        <f>VLOOKUP(B13,P:Q,2,0)</f>
        <v>7</v>
      </c>
      <c r="C15" s="299"/>
      <c r="N15" s="278"/>
      <c r="O15" s="278"/>
      <c r="P15" s="278"/>
      <c r="Q15" s="278"/>
      <c r="R15" s="278"/>
    </row>
    <row r="16">
      <c r="N16" s="278"/>
      <c r="O16" s="278"/>
      <c r="P16" s="278"/>
      <c r="Q16" s="278"/>
      <c r="R16" s="278"/>
    </row>
    <row r="17">
      <c r="M17" s="174"/>
    </row>
    <row r="18">
      <c r="M18" s="174"/>
    </row>
    <row r="19">
      <c r="P19" s="300"/>
    </row>
    <row r="20">
      <c r="A20" s="301">
        <v>2.0</v>
      </c>
      <c r="B20" s="169"/>
      <c r="C20" s="302" t="s">
        <v>195</v>
      </c>
      <c r="E20" s="259"/>
      <c r="G20" s="259"/>
      <c r="H20" s="303" t="s">
        <v>332</v>
      </c>
      <c r="I20" s="304" t="s">
        <v>333</v>
      </c>
      <c r="J20" s="305"/>
      <c r="L20" s="174"/>
    </row>
    <row r="21">
      <c r="A21" s="306"/>
      <c r="B21" s="307" t="s">
        <v>332</v>
      </c>
      <c r="C21" s="308" t="s">
        <v>333</v>
      </c>
      <c r="D21" s="309" t="s">
        <v>348</v>
      </c>
      <c r="E21" s="310"/>
      <c r="F21" s="310"/>
      <c r="G21" s="310"/>
      <c r="H21" s="311" t="s">
        <v>320</v>
      </c>
      <c r="I21" s="312">
        <f t="shared" ref="I21:I25" si="1">C22</f>
        <v>0.25</v>
      </c>
      <c r="J21" s="312"/>
      <c r="L21" s="174"/>
    </row>
    <row r="22">
      <c r="A22" s="306"/>
      <c r="B22" s="211" t="s">
        <v>320</v>
      </c>
      <c r="C22" s="313">
        <f t="shared" ref="C22:C26" si="2">iferror(D22/D$27,0)</f>
        <v>0.25</v>
      </c>
      <c r="D22" s="314">
        <f>COUNTIFS('Cálculos Comparativos'!T:T,$B22,'Cálculos Comparativos'!D:D,$B$15)</f>
        <v>1</v>
      </c>
      <c r="E22" s="315"/>
      <c r="F22" s="211"/>
      <c r="G22" s="315"/>
      <c r="H22" s="316" t="s">
        <v>322</v>
      </c>
      <c r="I22" s="317">
        <f t="shared" si="1"/>
        <v>0</v>
      </c>
      <c r="J22" s="312"/>
      <c r="L22" s="174"/>
    </row>
    <row r="23">
      <c r="A23" s="306"/>
      <c r="B23" s="318" t="s">
        <v>322</v>
      </c>
      <c r="C23" s="313">
        <f t="shared" si="2"/>
        <v>0</v>
      </c>
      <c r="D23" s="314">
        <f>COUNTIFS('Cálculos Comparativos'!T:T,$B23,'Cálculos Comparativos'!D:D,$B$15)</f>
        <v>0</v>
      </c>
      <c r="E23" s="315"/>
      <c r="F23" s="211"/>
      <c r="G23" s="315"/>
      <c r="H23" s="311" t="s">
        <v>324</v>
      </c>
      <c r="I23" s="312">
        <f t="shared" si="1"/>
        <v>0.5</v>
      </c>
      <c r="J23" s="312"/>
      <c r="L23" s="174"/>
    </row>
    <row r="24">
      <c r="A24" s="319"/>
      <c r="B24" s="211" t="s">
        <v>324</v>
      </c>
      <c r="C24" s="313">
        <f t="shared" si="2"/>
        <v>0.5</v>
      </c>
      <c r="D24" s="314">
        <f>COUNTIFS('Cálculos Comparativos'!T:T,$B24,'Cálculos Comparativos'!D:D,$B$15)</f>
        <v>2</v>
      </c>
      <c r="E24" s="315"/>
      <c r="F24" s="211"/>
      <c r="G24" s="315"/>
      <c r="H24" s="316" t="s">
        <v>327</v>
      </c>
      <c r="I24" s="317">
        <f t="shared" si="1"/>
        <v>0.25</v>
      </c>
      <c r="J24" s="312"/>
      <c r="L24" s="174"/>
    </row>
    <row r="25">
      <c r="A25" s="319"/>
      <c r="B25" s="318" t="s">
        <v>327</v>
      </c>
      <c r="C25" s="313">
        <f t="shared" si="2"/>
        <v>0.25</v>
      </c>
      <c r="D25" s="314">
        <f>COUNTIFS('Cálculos Comparativos'!T:T,$B25,'Cálculos Comparativos'!D:D,$B$15)</f>
        <v>1</v>
      </c>
      <c r="E25" s="315"/>
      <c r="F25" s="211"/>
      <c r="G25" s="315"/>
      <c r="H25" s="311" t="s">
        <v>329</v>
      </c>
      <c r="I25" s="312">
        <f t="shared" si="1"/>
        <v>0</v>
      </c>
      <c r="J25" s="312"/>
      <c r="L25" s="174"/>
    </row>
    <row r="26">
      <c r="A26" s="160">
        <v>2.0</v>
      </c>
      <c r="B26" s="211" t="s">
        <v>329</v>
      </c>
      <c r="C26" s="313">
        <f t="shared" si="2"/>
        <v>0</v>
      </c>
      <c r="D26" s="314">
        <f>COUNTIFS('Cálculos Comparativos'!T:T,$B26,'Cálculos Comparativos'!D:D,$B$15)</f>
        <v>0</v>
      </c>
      <c r="E26" s="315"/>
      <c r="F26" s="211"/>
      <c r="G26" s="315"/>
      <c r="H26" s="320" t="s">
        <v>335</v>
      </c>
      <c r="I26" s="321">
        <f>SUM(I21:I25)</f>
        <v>1</v>
      </c>
      <c r="J26" s="322"/>
      <c r="L26" s="174"/>
    </row>
    <row r="27">
      <c r="A27" s="160"/>
      <c r="B27" s="323" t="s">
        <v>335</v>
      </c>
      <c r="C27" s="324">
        <f t="shared" ref="C27:D27" si="3">SUM(C22:C26)</f>
        <v>1</v>
      </c>
      <c r="D27" s="325">
        <f t="shared" si="3"/>
        <v>4</v>
      </c>
      <c r="E27" s="326"/>
      <c r="F27" s="235"/>
      <c r="G27" s="326"/>
      <c r="H27" s="235"/>
      <c r="I27" s="327"/>
      <c r="J27" s="327"/>
      <c r="K27" s="327"/>
      <c r="L27" s="327"/>
    </row>
    <row r="28">
      <c r="A28" s="160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</row>
    <row r="29">
      <c r="A29" s="160"/>
      <c r="B29" s="156"/>
      <c r="C29" s="156"/>
      <c r="D29" s="156"/>
      <c r="E29" s="258" t="s">
        <v>195</v>
      </c>
      <c r="H29" s="328"/>
      <c r="K29" s="203"/>
      <c r="L29" s="156"/>
    </row>
    <row r="30">
      <c r="A30" s="160"/>
      <c r="B30" s="261" t="s">
        <v>190</v>
      </c>
      <c r="C30" s="261" t="s">
        <v>192</v>
      </c>
      <c r="D30" s="262" t="s">
        <v>349</v>
      </c>
      <c r="E30" s="263" t="str">
        <f>B5</f>
        <v>Mediana</v>
      </c>
      <c r="F30" s="329" t="s">
        <v>332</v>
      </c>
      <c r="G30" s="330"/>
      <c r="H30" s="331"/>
      <c r="I30" s="332"/>
      <c r="K30" s="333"/>
      <c r="L30" s="334"/>
    </row>
    <row r="31">
      <c r="A31" s="335" t="str">
        <f>IFERROR(__xludf.DUMMYFUNCTION("FILTER('Cálculos Comparativos'!A:A,'Cálculos Comparativos'!D:D=$B$15,'Cálculos Comparativos'!T:T&lt;&gt;"""")"),"4")</f>
        <v>4</v>
      </c>
      <c r="B31" s="267" t="str">
        <f>IFERROR(VLOOKUP($A31,'Cálculos Comparativos'!$A:$T,2,0),"")</f>
        <v>ANALISTA DE INOVAÇÃO</v>
      </c>
      <c r="C31" s="267" t="str">
        <f>IFERROR(VLOOKUP($A31,'Cálculos Comparativos'!$A:$T,9,0)&amp;" "&amp;if(VLOOKUP($A31,'Cálculos Comparativos'!$A:$T,10,0)="Indiferente","",VLOOKUP($A31,'Cálculos Comparativos'!$A:$T,10,0)),"")</f>
        <v>Analista de Inovação </v>
      </c>
      <c r="D31" s="268">
        <f>IFERROR(VLOOKUP(A31,'Cálculos Comparativos'!A:L,3,0),"")</f>
        <v>7299.270073</v>
      </c>
      <c r="E31" s="269">
        <f>IFERROR(IFS($B$5="Mediana",VLOOKUP(A31,'Cálculos Comparativos'!A:T,16,0),$B$5="Menor Salário",VLOOKUP(A31,'Cálculos Comparativos'!A:T,13,0),$B$5="1º Quartil",VLOOKUP(A31,'Cálculos Comparativos'!A:T,14,0),$B$5="Média",VLOOKUP(A31,'Cálculos Comparativos'!A:T,15,0),$B$5="3º Quartil",VLOOKUP(A31,'Cálculos Comparativos'!A:T,17,0),$B$5="Maior Salário",VLOOKUP(A31,'Cálculos Comparativos'!A:T,18,0)),"")</f>
        <v>6872.045455</v>
      </c>
      <c r="F31" s="209">
        <f>IFERROR(VLOOKUP($A31,'Cálculos Comparativos'!$A:$T,19,0),"")</f>
        <v>1.06216848</v>
      </c>
      <c r="G31" s="336" t="str">
        <f>IFERROR(VLOOKUP($A31,'Cálculos Comparativos'!$A:$T,20,0),"")</f>
        <v>Na Média</v>
      </c>
      <c r="H31" s="337"/>
      <c r="I31" s="338"/>
      <c r="J31" s="339"/>
      <c r="K31" s="202"/>
      <c r="L31" s="334"/>
    </row>
    <row r="32">
      <c r="A32" s="335" t="str">
        <f>IFERROR(__xludf.DUMMYFUNCTION("""COMPUTED_VALUE"""),"12")</f>
        <v>12</v>
      </c>
      <c r="B32" s="267" t="str">
        <f>IFERROR(VLOOKUP($A32,'Cálculos Comparativos'!$A:$T,2,0),"")</f>
        <v>ASSISTENTE ADM DE LEGALIZAÇÃO III</v>
      </c>
      <c r="C32" s="267" t="str">
        <f>IFERROR(VLOOKUP($A32,'Cálculos Comparativos'!$A:$T,9,0)&amp;" "&amp;if(VLOOKUP($A32,'Cálculos Comparativos'!$A:$T,10,0)="Indiferente","",VLOOKUP($A32,'Cálculos Comparativos'!$A:$T,10,0)),"")</f>
        <v>Assistente de Legalização </v>
      </c>
      <c r="D32" s="268">
        <f>IFERROR(VLOOKUP(A32,'Cálculos Comparativos'!A:L,3,0),"")</f>
        <v>3652</v>
      </c>
      <c r="E32" s="269">
        <f>IFERROR(IFS($B$5="Mediana",VLOOKUP(A32,'Cálculos Comparativos'!A:T,16,0),$B$5="Menor Salário",VLOOKUP(A32,'Cálculos Comparativos'!A:T,13,0),$B$5="1º Quartil",VLOOKUP(A32,'Cálculos Comparativos'!A:T,14,0),$B$5="Média",VLOOKUP(A32,'Cálculos Comparativos'!A:T,15,0),$B$5="3º Quartil",VLOOKUP(A32,'Cálculos Comparativos'!A:T,17,0),$B$5="Maior Salário",VLOOKUP(A32,'Cálculos Comparativos'!A:T,18,0)),"")</f>
        <v>3092.92</v>
      </c>
      <c r="F32" s="209">
        <f>IFERROR(VLOOKUP($A32,'Cálculos Comparativos'!$A:$T,19,0),"")</f>
        <v>1.180761222</v>
      </c>
      <c r="G32" s="336" t="str">
        <f>IFERROR(VLOOKUP($A32,'Cálculos Comparativos'!$A:$T,20,0),"")</f>
        <v>Muito Competitivo</v>
      </c>
      <c r="H32" s="337"/>
      <c r="I32" s="338"/>
      <c r="J32" s="339"/>
      <c r="K32" s="202"/>
      <c r="L32" s="340"/>
    </row>
    <row r="33">
      <c r="A33" s="335" t="str">
        <f>IFERROR(__xludf.DUMMYFUNCTION("""COMPUTED_VALUE"""),"28")</f>
        <v>28</v>
      </c>
      <c r="B33" s="267" t="str">
        <f>IFERROR(VLOOKUP($A33,'Cálculos Comparativos'!$A:$T,2,0),"")</f>
        <v>COORDENADOR DE LEGAIZAÇÃO ll</v>
      </c>
      <c r="C33" s="267" t="str">
        <f>IFERROR(VLOOKUP($A33,'Cálculos Comparativos'!$A:$T,9,0)&amp;" "&amp;if(VLOOKUP($A33,'Cálculos Comparativos'!$A:$T,10,0)="Indiferente","",VLOOKUP($A33,'Cálculos Comparativos'!$A:$T,10,0)),"")</f>
        <v>Coordenador de Legalização </v>
      </c>
      <c r="D33" s="268">
        <f>IFERROR(VLOOKUP(A33,'Cálculos Comparativos'!A:L,3,0),"")</f>
        <v>8647</v>
      </c>
      <c r="E33" s="269">
        <f>IFERROR(IFS($B$5="Mediana",VLOOKUP(A33,'Cálculos Comparativos'!A:T,16,0),$B$5="Menor Salário",VLOOKUP(A33,'Cálculos Comparativos'!A:T,13,0),$B$5="1º Quartil",VLOOKUP(A33,'Cálculos Comparativos'!A:T,14,0),$B$5="Média",VLOOKUP(A33,'Cálculos Comparativos'!A:T,15,0),$B$5="3º Quartil",VLOOKUP(A33,'Cálculos Comparativos'!A:T,17,0),$B$5="Maior Salário",VLOOKUP(A33,'Cálculos Comparativos'!A:T,18,0)),"")</f>
        <v>8872.04</v>
      </c>
      <c r="F33" s="209">
        <f>IFERROR(VLOOKUP($A33,'Cálculos Comparativos'!$A:$T,19,0),"")</f>
        <v>0.9746349205</v>
      </c>
      <c r="G33" s="336" t="str">
        <f>IFERROR(VLOOKUP($A33,'Cálculos Comparativos'!$A:$T,20,0),"")</f>
        <v>Na Média</v>
      </c>
      <c r="H33" s="337"/>
      <c r="I33" s="338"/>
      <c r="J33" s="339"/>
      <c r="K33" s="202"/>
      <c r="L33" s="340"/>
    </row>
    <row r="34">
      <c r="A34" s="341" t="str">
        <f>IFERROR(__xludf.DUMMYFUNCTION("""COMPUTED_VALUE"""),"47")</f>
        <v>47</v>
      </c>
      <c r="B34" s="267" t="str">
        <f>IFERROR(VLOOKUP($A34,'Cálculos Comparativos'!$A:$T,2,0),"")</f>
        <v>GERENTE DE INCORPORAÇÃO </v>
      </c>
      <c r="C34" s="267" t="str">
        <f>IFERROR(VLOOKUP($A34,'Cálculos Comparativos'!$A:$T,9,0)&amp;" "&amp;if(VLOOKUP($A34,'Cálculos Comparativos'!$A:$T,10,0)="Indiferente","",VLOOKUP($A34,'Cálculos Comparativos'!$A:$T,10,0)),"")</f>
        <v>Gerente de Incorporação </v>
      </c>
      <c r="D34" s="268">
        <f>IFERROR(VLOOKUP(A34,'Cálculos Comparativos'!A:L,3,0),"")</f>
        <v>14045.45455</v>
      </c>
      <c r="E34" s="269">
        <f>IFERROR(IFS($B$5="Mediana",VLOOKUP(A34,'Cálculos Comparativos'!A:T,16,0),$B$5="Menor Salário",VLOOKUP(A34,'Cálculos Comparativos'!A:T,13,0),$B$5="1º Quartil",VLOOKUP(A34,'Cálculos Comparativos'!A:T,14,0),$B$5="Média",VLOOKUP(A34,'Cálculos Comparativos'!A:T,15,0),$B$5="3º Quartil",VLOOKUP(A34,'Cálculos Comparativos'!A:T,17,0),$B$5="Maior Salário",VLOOKUP(A34,'Cálculos Comparativos'!A:T,18,0)),"")</f>
        <v>18908.46361</v>
      </c>
      <c r="F34" s="209">
        <f>IFERROR(VLOOKUP($A34,'Cálculos Comparativos'!$A:$T,19,0),"")</f>
        <v>0.7428131039</v>
      </c>
      <c r="G34" s="336" t="str">
        <f>IFERROR(VLOOKUP($A34,'Cálculos Comparativos'!$A:$T,20,0),"")</f>
        <v>Muito Defasado</v>
      </c>
      <c r="H34" s="337"/>
      <c r="I34" s="338"/>
      <c r="J34" s="339"/>
      <c r="K34" s="202"/>
      <c r="L34" s="340"/>
    </row>
    <row r="35">
      <c r="A35" s="319"/>
      <c r="B35" s="267" t="str">
        <f>IFERROR(VLOOKUP($A35,'Cálculos Comparativos'!$A:$T,2,0),"")</f>
        <v/>
      </c>
      <c r="C35" s="267" t="str">
        <f>IFERROR(VLOOKUP($A35,'Cálculos Comparativos'!$A:$T,9,0)&amp;" "&amp;if(VLOOKUP($A35,'Cálculos Comparativos'!$A:$T,10,0)="Indiferente","",VLOOKUP($A35,'Cálculos Comparativos'!$A:$T,10,0)),"")</f>
        <v/>
      </c>
      <c r="D35" s="268" t="str">
        <f>IFERROR(VLOOKUP(A35,'Cálculos Comparativos'!A:L,3,0),"")</f>
        <v/>
      </c>
      <c r="E35" s="269" t="str">
        <f>IFERROR(IFS($B$5="Mediana",VLOOKUP(A35,'Cálculos Comparativos'!A:T,16,0),$B$5="Menor Salário",VLOOKUP(A35,'Cálculos Comparativos'!A:T,13,0),$B$5="1º Quartil",VLOOKUP(A35,'Cálculos Comparativos'!A:T,14,0),$B$5="Média",VLOOKUP(A35,'Cálculos Comparativos'!A:T,15,0),$B$5="3º Quartil",VLOOKUP(A35,'Cálculos Comparativos'!A:T,17,0),$B$5="Maior Salário",VLOOKUP(A35,'Cálculos Comparativos'!A:T,18,0)),"")</f>
        <v/>
      </c>
      <c r="F35" s="209" t="str">
        <f>IFERROR(VLOOKUP($A35,'Cálculos Comparativos'!$A:$T,19,0),"")</f>
        <v/>
      </c>
      <c r="G35" s="336" t="str">
        <f>IFERROR(VLOOKUP($A35,'Cálculos Comparativos'!$A:$T,20,0),"")</f>
        <v/>
      </c>
      <c r="H35" s="337"/>
      <c r="I35" s="338"/>
      <c r="J35" s="339"/>
      <c r="K35" s="202"/>
      <c r="L35" s="340"/>
    </row>
    <row r="36">
      <c r="A36" s="319"/>
      <c r="B36" s="267" t="str">
        <f>IFERROR(VLOOKUP($A36,'Cálculos Comparativos'!$A:$T,2,0),"")</f>
        <v/>
      </c>
      <c r="C36" s="267" t="str">
        <f>IFERROR(VLOOKUP($A36,'Cálculos Comparativos'!$A:$T,9,0)&amp;" "&amp;if(VLOOKUP($A36,'Cálculos Comparativos'!$A:$T,10,0)="Indiferente","",VLOOKUP($A36,'Cálculos Comparativos'!$A:$T,10,0)),"")</f>
        <v/>
      </c>
      <c r="D36" s="268" t="str">
        <f>IFERROR(VLOOKUP(A36,'Cálculos Comparativos'!A:L,3,0),"")</f>
        <v/>
      </c>
      <c r="E36" s="269" t="str">
        <f>IFERROR(IFS($B$5="Mediana",VLOOKUP(A36,'Cálculos Comparativos'!A:T,16,0),$B$5="Menor Salário",VLOOKUP(A36,'Cálculos Comparativos'!A:T,13,0),$B$5="1º Quartil",VLOOKUP(A36,'Cálculos Comparativos'!A:T,14,0),$B$5="Média",VLOOKUP(A36,'Cálculos Comparativos'!A:T,15,0),$B$5="3º Quartil",VLOOKUP(A36,'Cálculos Comparativos'!A:T,17,0),$B$5="Maior Salário",VLOOKUP(A36,'Cálculos Comparativos'!A:T,18,0)),"")</f>
        <v/>
      </c>
      <c r="F36" s="209" t="str">
        <f>IFERROR(VLOOKUP($A36,'Cálculos Comparativos'!$A:$T,19,0),"")</f>
        <v/>
      </c>
      <c r="G36" s="336" t="str">
        <f>IFERROR(VLOOKUP($A36,'Cálculos Comparativos'!$A:$T,20,0),"")</f>
        <v/>
      </c>
      <c r="H36" s="337"/>
      <c r="I36" s="338"/>
      <c r="J36" s="339"/>
      <c r="K36" s="202"/>
      <c r="L36" s="334"/>
    </row>
    <row r="37">
      <c r="A37" s="319"/>
      <c r="B37" s="267" t="str">
        <f>IFERROR(VLOOKUP($A37,'Cálculos Comparativos'!$A:$T,2,0),"")</f>
        <v/>
      </c>
      <c r="C37" s="267" t="str">
        <f>IFERROR(VLOOKUP($A37,'Cálculos Comparativos'!$A:$T,9,0)&amp;" "&amp;if(VLOOKUP($A37,'Cálculos Comparativos'!$A:$T,10,0)="Indiferente","",VLOOKUP($A37,'Cálculos Comparativos'!$A:$T,10,0)),"")</f>
        <v/>
      </c>
      <c r="D37" s="268" t="str">
        <f>IFERROR(VLOOKUP(A37,'Cálculos Comparativos'!A:L,3,0),"")</f>
        <v/>
      </c>
      <c r="E37" s="269" t="str">
        <f>IFERROR(IFS($B$5="Mediana",VLOOKUP(A37,'Cálculos Comparativos'!A:T,16,0),$B$5="Menor Salário",VLOOKUP(A37,'Cálculos Comparativos'!A:T,13,0),$B$5="1º Quartil",VLOOKUP(A37,'Cálculos Comparativos'!A:T,14,0),$B$5="Média",VLOOKUP(A37,'Cálculos Comparativos'!A:T,15,0),$B$5="3º Quartil",VLOOKUP(A37,'Cálculos Comparativos'!A:T,17,0),$B$5="Maior Salário",VLOOKUP(A37,'Cálculos Comparativos'!A:T,18,0)),"")</f>
        <v/>
      </c>
      <c r="F37" s="209" t="str">
        <f>IFERROR(VLOOKUP($A37,'Cálculos Comparativos'!$A:$T,19,0),"")</f>
        <v/>
      </c>
      <c r="G37" s="336" t="str">
        <f>IFERROR(VLOOKUP($A37,'Cálculos Comparativos'!$A:$T,20,0),"")</f>
        <v/>
      </c>
      <c r="H37" s="337"/>
      <c r="I37" s="338"/>
      <c r="J37" s="339"/>
      <c r="K37" s="202"/>
      <c r="L37" s="334"/>
    </row>
    <row r="38">
      <c r="A38" s="319"/>
      <c r="B38" s="267" t="str">
        <f>IFERROR(VLOOKUP($A38,'Cálculos Comparativos'!$A:$T,2,0),"")</f>
        <v/>
      </c>
      <c r="C38" s="267" t="str">
        <f>IFERROR(VLOOKUP($A38,'Cálculos Comparativos'!$A:$T,9,0)&amp;" "&amp;if(VLOOKUP($A38,'Cálculos Comparativos'!$A:$T,10,0)="Indiferente","",VLOOKUP($A38,'Cálculos Comparativos'!$A:$T,10,0)),"")</f>
        <v/>
      </c>
      <c r="D38" s="268" t="str">
        <f>IFERROR(VLOOKUP(A38,'Cálculos Comparativos'!A:L,3,0),"")</f>
        <v/>
      </c>
      <c r="E38" s="269" t="str">
        <f>IFERROR(IFS($B$5="Mediana",VLOOKUP(A38,'Cálculos Comparativos'!A:T,16,0),$B$5="Menor Salário",VLOOKUP(A38,'Cálculos Comparativos'!A:T,13,0),$B$5="1º Quartil",VLOOKUP(A38,'Cálculos Comparativos'!A:T,14,0),$B$5="Média",VLOOKUP(A38,'Cálculos Comparativos'!A:T,15,0),$B$5="3º Quartil",VLOOKUP(A38,'Cálculos Comparativos'!A:T,17,0),$B$5="Maior Salário",VLOOKUP(A38,'Cálculos Comparativos'!A:T,18,0)),"")</f>
        <v/>
      </c>
      <c r="F38" s="209" t="str">
        <f>IFERROR(VLOOKUP($A38,'Cálculos Comparativos'!$A:$T,19,0),"")</f>
        <v/>
      </c>
      <c r="G38" s="336" t="str">
        <f>IFERROR(VLOOKUP($A38,'Cálculos Comparativos'!$A:$T,20,0),"")</f>
        <v/>
      </c>
      <c r="H38" s="337"/>
      <c r="I38" s="338"/>
      <c r="J38" s="339"/>
      <c r="K38" s="202"/>
      <c r="L38" s="334"/>
    </row>
    <row r="39">
      <c r="A39" s="319"/>
      <c r="B39" s="267" t="str">
        <f>IFERROR(VLOOKUP($A39,'Cálculos Comparativos'!$A:$T,2,0),"")</f>
        <v/>
      </c>
      <c r="C39" s="267" t="str">
        <f>IFERROR(VLOOKUP($A39,'Cálculos Comparativos'!$A:$T,9,0)&amp;" "&amp;if(VLOOKUP($A39,'Cálculos Comparativos'!$A:$T,10,0)="Indiferente","",VLOOKUP($A39,'Cálculos Comparativos'!$A:$T,10,0)),"")</f>
        <v/>
      </c>
      <c r="D39" s="268" t="str">
        <f>IFERROR(VLOOKUP(A39,'Cálculos Comparativos'!A:L,3,0),"")</f>
        <v/>
      </c>
      <c r="E39" s="269" t="str">
        <f>IFERROR(IFS($B$5="Mediana",VLOOKUP(A39,'Cálculos Comparativos'!A:T,16,0),$B$5="Menor Salário",VLOOKUP(A39,'Cálculos Comparativos'!A:T,13,0),$B$5="1º Quartil",VLOOKUP(A39,'Cálculos Comparativos'!A:T,14,0),$B$5="Média",VLOOKUP(A39,'Cálculos Comparativos'!A:T,15,0),$B$5="3º Quartil",VLOOKUP(A39,'Cálculos Comparativos'!A:T,17,0),$B$5="Maior Salário",VLOOKUP(A39,'Cálculos Comparativos'!A:T,18,0)),"")</f>
        <v/>
      </c>
      <c r="F39" s="209" t="str">
        <f>IFERROR(VLOOKUP($A39,'Cálculos Comparativos'!$A:$T,19,0),"")</f>
        <v/>
      </c>
      <c r="G39" s="336" t="str">
        <f>IFERROR(VLOOKUP($A39,'Cálculos Comparativos'!$A:$T,20,0),"")</f>
        <v/>
      </c>
      <c r="H39" s="337"/>
      <c r="I39" s="338"/>
      <c r="J39" s="339"/>
      <c r="K39" s="202"/>
      <c r="L39" s="334"/>
    </row>
    <row r="40">
      <c r="A40" s="319"/>
      <c r="B40" s="267" t="str">
        <f>IFERROR(VLOOKUP($A40,'Cálculos Comparativos'!$A:$T,2,0),"")</f>
        <v/>
      </c>
      <c r="C40" s="267" t="str">
        <f>IFERROR(VLOOKUP($A40,'Cálculos Comparativos'!$A:$T,9,0)&amp;" "&amp;if(VLOOKUP($A40,'Cálculos Comparativos'!$A:$T,10,0)="Indiferente","",VLOOKUP($A40,'Cálculos Comparativos'!$A:$T,10,0)),"")</f>
        <v/>
      </c>
      <c r="D40" s="268" t="str">
        <f>IFERROR(VLOOKUP(A40,'Cálculos Comparativos'!A:L,3,0),"")</f>
        <v/>
      </c>
      <c r="E40" s="269" t="str">
        <f>IFERROR(IFS($B$5="Mediana",VLOOKUP(A40,'Cálculos Comparativos'!A:T,16,0),$B$5="Menor Salário",VLOOKUP(A40,'Cálculos Comparativos'!A:T,13,0),$B$5="1º Quartil",VLOOKUP(A40,'Cálculos Comparativos'!A:T,14,0),$B$5="Média",VLOOKUP(A40,'Cálculos Comparativos'!A:T,15,0),$B$5="3º Quartil",VLOOKUP(A40,'Cálculos Comparativos'!A:T,17,0),$B$5="Maior Salário",VLOOKUP(A40,'Cálculos Comparativos'!A:T,18,0)),"")</f>
        <v/>
      </c>
      <c r="F40" s="209" t="str">
        <f>IFERROR(VLOOKUP($A40,'Cálculos Comparativos'!$A:$T,19,0),"")</f>
        <v/>
      </c>
      <c r="G40" s="336" t="str">
        <f>IFERROR(VLOOKUP($A40,'Cálculos Comparativos'!$A:$T,20,0),"")</f>
        <v/>
      </c>
      <c r="H40" s="337"/>
      <c r="I40" s="338"/>
      <c r="J40" s="339"/>
      <c r="K40" s="202"/>
    </row>
    <row r="41">
      <c r="A41" s="319"/>
      <c r="B41" s="267" t="str">
        <f>IFERROR(VLOOKUP($A41,'Cálculos Comparativos'!$A:$T,2,0),"")</f>
        <v/>
      </c>
      <c r="C41" s="267" t="str">
        <f>IFERROR(VLOOKUP($A41,'Cálculos Comparativos'!$A:$T,9,0)&amp;" "&amp;if(VLOOKUP($A41,'Cálculos Comparativos'!$A:$T,10,0)="Indiferente","",VLOOKUP($A41,'Cálculos Comparativos'!$A:$T,10,0)),"")</f>
        <v/>
      </c>
      <c r="D41" s="268" t="str">
        <f>IFERROR(VLOOKUP(A41,'Cálculos Comparativos'!A:L,3,0),"")</f>
        <v/>
      </c>
      <c r="E41" s="269" t="str">
        <f>IFERROR(IFS($B$5="Mediana",VLOOKUP(A41,'Cálculos Comparativos'!A:T,16,0),$B$5="Menor Salário",VLOOKUP(A41,'Cálculos Comparativos'!A:T,13,0),$B$5="1º Quartil",VLOOKUP(A41,'Cálculos Comparativos'!A:T,14,0),$B$5="Média",VLOOKUP(A41,'Cálculos Comparativos'!A:T,15,0),$B$5="3º Quartil",VLOOKUP(A41,'Cálculos Comparativos'!A:T,17,0),$B$5="Maior Salário",VLOOKUP(A41,'Cálculos Comparativos'!A:T,18,0)),"")</f>
        <v/>
      </c>
      <c r="F41" s="209" t="str">
        <f>IFERROR(VLOOKUP($A41,'Cálculos Comparativos'!$A:$T,19,0),"")</f>
        <v/>
      </c>
      <c r="G41" s="336" t="str">
        <f>IFERROR(VLOOKUP($A41,'Cálculos Comparativos'!$A:$T,20,0),"")</f>
        <v/>
      </c>
      <c r="H41" s="337"/>
      <c r="I41" s="338"/>
      <c r="J41" s="339"/>
      <c r="K41" s="202"/>
    </row>
    <row r="42">
      <c r="A42" s="319"/>
      <c r="B42" s="267" t="str">
        <f>IFERROR(VLOOKUP($A42,'Cálculos Comparativos'!$A:$T,2,0),"")</f>
        <v/>
      </c>
      <c r="C42" s="267" t="str">
        <f>IFERROR(VLOOKUP($A42,'Cálculos Comparativos'!$A:$T,9,0)&amp;" "&amp;if(VLOOKUP($A42,'Cálculos Comparativos'!$A:$T,10,0)="Indiferente","",VLOOKUP($A42,'Cálculos Comparativos'!$A:$T,10,0)),"")</f>
        <v/>
      </c>
      <c r="D42" s="268" t="str">
        <f>IFERROR(VLOOKUP(A42,'Cálculos Comparativos'!A:L,3,0),"")</f>
        <v/>
      </c>
      <c r="E42" s="269" t="str">
        <f>IFERROR(IFS($B$5="Mediana",VLOOKUP(A42,'Cálculos Comparativos'!A:T,16,0),$B$5="Menor Salário",VLOOKUP(A42,'Cálculos Comparativos'!A:T,13,0),$B$5="1º Quartil",VLOOKUP(A42,'Cálculos Comparativos'!A:T,14,0),$B$5="Média",VLOOKUP(A42,'Cálculos Comparativos'!A:T,15,0),$B$5="3º Quartil",VLOOKUP(A42,'Cálculos Comparativos'!A:T,17,0),$B$5="Maior Salário",VLOOKUP(A42,'Cálculos Comparativos'!A:T,18,0)),"")</f>
        <v/>
      </c>
      <c r="F42" s="209" t="str">
        <f>IFERROR(VLOOKUP($A42,'Cálculos Comparativos'!$A:$T,19,0),"")</f>
        <v/>
      </c>
      <c r="G42" s="336" t="str">
        <f>IFERROR(VLOOKUP($A42,'Cálculos Comparativos'!$A:$T,20,0),"")</f>
        <v/>
      </c>
      <c r="H42" s="337"/>
      <c r="I42" s="338"/>
      <c r="J42" s="339"/>
      <c r="K42" s="202"/>
    </row>
    <row r="43">
      <c r="A43" s="319"/>
      <c r="B43" s="267" t="str">
        <f>IFERROR(VLOOKUP($A43,'Cálculos Comparativos'!$A:$T,2,0),"")</f>
        <v/>
      </c>
      <c r="C43" s="267" t="str">
        <f>IFERROR(VLOOKUP($A43,'Cálculos Comparativos'!$A:$T,9,0)&amp;" "&amp;if(VLOOKUP($A43,'Cálculos Comparativos'!$A:$T,10,0)="Indiferente","",VLOOKUP($A43,'Cálculos Comparativos'!$A:$T,10,0)),"")</f>
        <v/>
      </c>
      <c r="D43" s="268" t="str">
        <f>IFERROR(VLOOKUP(A43,'Cálculos Comparativos'!A:L,3,0),"")</f>
        <v/>
      </c>
      <c r="E43" s="269" t="str">
        <f>IFERROR(IFS($B$5="Mediana",VLOOKUP(A43,'Cálculos Comparativos'!A:T,16,0),$B$5="Menor Salário",VLOOKUP(A43,'Cálculos Comparativos'!A:T,13,0),$B$5="1º Quartil",VLOOKUP(A43,'Cálculos Comparativos'!A:T,14,0),$B$5="Média",VLOOKUP(A43,'Cálculos Comparativos'!A:T,15,0),$B$5="3º Quartil",VLOOKUP(A43,'Cálculos Comparativos'!A:T,17,0),$B$5="Maior Salário",VLOOKUP(A43,'Cálculos Comparativos'!A:T,18,0)),"")</f>
        <v/>
      </c>
      <c r="F43" s="209" t="str">
        <f>IFERROR(VLOOKUP($A43,'Cálculos Comparativos'!$A:$T,19,0),"")</f>
        <v/>
      </c>
      <c r="G43" s="336" t="str">
        <f>IFERROR(VLOOKUP($A43,'Cálculos Comparativos'!$A:$T,20,0),"")</f>
        <v/>
      </c>
      <c r="H43" s="337"/>
      <c r="I43" s="338"/>
      <c r="J43" s="339"/>
      <c r="K43" s="202"/>
    </row>
    <row r="44">
      <c r="A44" s="319"/>
      <c r="B44" s="267" t="str">
        <f>IFERROR(VLOOKUP($A44,'Cálculos Comparativos'!$A:$T,2,0),"")</f>
        <v/>
      </c>
      <c r="C44" s="267" t="str">
        <f>IFERROR(VLOOKUP($A44,'Cálculos Comparativos'!$A:$T,9,0)&amp;" "&amp;if(VLOOKUP($A44,'Cálculos Comparativos'!$A:$T,10,0)="Indiferente","",VLOOKUP($A44,'Cálculos Comparativos'!$A:$T,10,0)),"")</f>
        <v/>
      </c>
      <c r="D44" s="268" t="str">
        <f>IFERROR(VLOOKUP(A44,'Cálculos Comparativos'!A:L,3,0),"")</f>
        <v/>
      </c>
      <c r="E44" s="269" t="str">
        <f>IFERROR(IFS($B$5="Mediana",VLOOKUP(A44,'Cálculos Comparativos'!A:T,16,0),$B$5="Menor Salário",VLOOKUP(A44,'Cálculos Comparativos'!A:T,13,0),$B$5="1º Quartil",VLOOKUP(A44,'Cálculos Comparativos'!A:T,14,0),$B$5="Média",VLOOKUP(A44,'Cálculos Comparativos'!A:T,15,0),$B$5="3º Quartil",VLOOKUP(A44,'Cálculos Comparativos'!A:T,17,0),$B$5="Maior Salário",VLOOKUP(A44,'Cálculos Comparativos'!A:T,18,0)),"")</f>
        <v/>
      </c>
      <c r="F44" s="209" t="str">
        <f>IFERROR(VLOOKUP($A44,'Cálculos Comparativos'!$A:$T,19,0),"")</f>
        <v/>
      </c>
      <c r="G44" s="336" t="str">
        <f>IFERROR(VLOOKUP($A44,'Cálculos Comparativos'!$A:$T,20,0),"")</f>
        <v/>
      </c>
      <c r="H44" s="337"/>
      <c r="I44" s="338"/>
      <c r="J44" s="339"/>
      <c r="K44" s="202"/>
    </row>
    <row r="45">
      <c r="A45" s="319"/>
      <c r="B45" s="267" t="str">
        <f>IFERROR(VLOOKUP($A45,'Cálculos Comparativos'!$A:$T,2,0),"")</f>
        <v/>
      </c>
      <c r="C45" s="267" t="str">
        <f>IFERROR(VLOOKUP($A45,'Cálculos Comparativos'!$A:$T,9,0)&amp;" "&amp;if(VLOOKUP($A45,'Cálculos Comparativos'!$A:$T,10,0)="Indiferente","",VLOOKUP($A45,'Cálculos Comparativos'!$A:$T,10,0)),"")</f>
        <v/>
      </c>
      <c r="D45" s="268" t="str">
        <f>IFERROR(VLOOKUP(A45,'Cálculos Comparativos'!A:L,3,0),"")</f>
        <v/>
      </c>
      <c r="E45" s="269" t="str">
        <f>IFERROR(IFS($B$5="Mediana",VLOOKUP(A45,'Cálculos Comparativos'!A:T,16,0),$B$5="Menor Salário",VLOOKUP(A45,'Cálculos Comparativos'!A:T,13,0),$B$5="1º Quartil",VLOOKUP(A45,'Cálculos Comparativos'!A:T,14,0),$B$5="Média",VLOOKUP(A45,'Cálculos Comparativos'!A:T,15,0),$B$5="3º Quartil",VLOOKUP(A45,'Cálculos Comparativos'!A:T,17,0),$B$5="Maior Salário",VLOOKUP(A45,'Cálculos Comparativos'!A:T,18,0)),"")</f>
        <v/>
      </c>
      <c r="F45" s="209" t="str">
        <f>IFERROR(VLOOKUP($A45,'Cálculos Comparativos'!$A:$T,19,0),"")</f>
        <v/>
      </c>
      <c r="G45" s="336" t="str">
        <f>IFERROR(VLOOKUP($A45,'Cálculos Comparativos'!$A:$T,20,0),"")</f>
        <v/>
      </c>
      <c r="H45" s="337"/>
      <c r="I45" s="338"/>
      <c r="J45" s="339"/>
      <c r="K45" s="202"/>
    </row>
    <row r="46">
      <c r="A46" s="319"/>
      <c r="B46" s="267" t="str">
        <f>IFERROR(VLOOKUP($A46,'Cálculos Comparativos'!$A:$T,2,0),"")</f>
        <v/>
      </c>
      <c r="C46" s="267" t="str">
        <f>IFERROR(VLOOKUP($A46,'Cálculos Comparativos'!$A:$T,9,0)&amp;" "&amp;if(VLOOKUP($A46,'Cálculos Comparativos'!$A:$T,10,0)="Indiferente","",VLOOKUP($A46,'Cálculos Comparativos'!$A:$T,10,0)),"")</f>
        <v/>
      </c>
      <c r="D46" s="268" t="str">
        <f>IFERROR(VLOOKUP(A46,'Cálculos Comparativos'!A:L,3,0),"")</f>
        <v/>
      </c>
      <c r="E46" s="269" t="str">
        <f>IFERROR(IFS($B$5="Mediana",VLOOKUP(A46,'Cálculos Comparativos'!A:T,16,0),$B$5="Menor Salário",VLOOKUP(A46,'Cálculos Comparativos'!A:T,13,0),$B$5="1º Quartil",VLOOKUP(A46,'Cálculos Comparativos'!A:T,14,0),$B$5="Média",VLOOKUP(A46,'Cálculos Comparativos'!A:T,15,0),$B$5="3º Quartil",VLOOKUP(A46,'Cálculos Comparativos'!A:T,17,0),$B$5="Maior Salário",VLOOKUP(A46,'Cálculos Comparativos'!A:T,18,0)),"")</f>
        <v/>
      </c>
      <c r="F46" s="209" t="str">
        <f>IFERROR(VLOOKUP($A46,'Cálculos Comparativos'!$A:$T,19,0),"")</f>
        <v/>
      </c>
      <c r="G46" s="336" t="str">
        <f>IFERROR(VLOOKUP($A46,'Cálculos Comparativos'!$A:$T,20,0),"")</f>
        <v/>
      </c>
      <c r="H46" s="337"/>
      <c r="I46" s="338"/>
      <c r="J46" s="339"/>
      <c r="K46" s="202"/>
    </row>
    <row r="47">
      <c r="A47" s="319"/>
      <c r="B47" s="267" t="str">
        <f>IFERROR(VLOOKUP($A47,'Cálculos Comparativos'!$A:$T,2,0),"")</f>
        <v/>
      </c>
      <c r="C47" s="267" t="str">
        <f>IFERROR(VLOOKUP($A47,'Cálculos Comparativos'!$A:$T,9,0)&amp;" "&amp;if(VLOOKUP($A47,'Cálculos Comparativos'!$A:$T,10,0)="Indiferente","",VLOOKUP($A47,'Cálculos Comparativos'!$A:$T,10,0)),"")</f>
        <v/>
      </c>
      <c r="D47" s="268" t="str">
        <f>IFERROR(VLOOKUP(A47,'Cálculos Comparativos'!A:L,3,0),"")</f>
        <v/>
      </c>
      <c r="E47" s="269" t="str">
        <f>IFERROR(IFS($B$5="Mediana",VLOOKUP(A47,'Cálculos Comparativos'!A:T,16,0),$B$5="Menor Salário",VLOOKUP(A47,'Cálculos Comparativos'!A:T,13,0),$B$5="1º Quartil",VLOOKUP(A47,'Cálculos Comparativos'!A:T,14,0),$B$5="Média",VLOOKUP(A47,'Cálculos Comparativos'!A:T,15,0),$B$5="3º Quartil",VLOOKUP(A47,'Cálculos Comparativos'!A:T,17,0),$B$5="Maior Salário",VLOOKUP(A47,'Cálculos Comparativos'!A:T,18,0)),"")</f>
        <v/>
      </c>
      <c r="F47" s="209" t="str">
        <f>IFERROR(VLOOKUP($A47,'Cálculos Comparativos'!$A:$T,19,0),"")</f>
        <v/>
      </c>
      <c r="G47" s="336" t="str">
        <f>IFERROR(VLOOKUP($A47,'Cálculos Comparativos'!$A:$T,20,0),"")</f>
        <v/>
      </c>
      <c r="H47" s="337"/>
      <c r="I47" s="338"/>
      <c r="J47" s="339"/>
      <c r="K47" s="202"/>
    </row>
    <row r="48">
      <c r="A48" s="319"/>
      <c r="B48" s="267" t="str">
        <f>IFERROR(VLOOKUP($A48,'Cálculos Comparativos'!$A:$T,2,0),"")</f>
        <v/>
      </c>
      <c r="C48" s="267" t="str">
        <f>IFERROR(VLOOKUP($A48,'Cálculos Comparativos'!$A:$T,9,0)&amp;" "&amp;if(VLOOKUP($A48,'Cálculos Comparativos'!$A:$T,10,0)="Indiferente","",VLOOKUP($A48,'Cálculos Comparativos'!$A:$T,10,0)),"")</f>
        <v/>
      </c>
      <c r="D48" s="268" t="str">
        <f>IFERROR(VLOOKUP(A48,'Cálculos Comparativos'!A:L,3,0),"")</f>
        <v/>
      </c>
      <c r="E48" s="269" t="str">
        <f>IFERROR(IFS($B$5="Mediana",VLOOKUP(A48,'Cálculos Comparativos'!A:T,16,0),$B$5="Menor Salário",VLOOKUP(A48,'Cálculos Comparativos'!A:T,13,0),$B$5="1º Quartil",VLOOKUP(A48,'Cálculos Comparativos'!A:T,14,0),$B$5="Média",VLOOKUP(A48,'Cálculos Comparativos'!A:T,15,0),$B$5="3º Quartil",VLOOKUP(A48,'Cálculos Comparativos'!A:T,17,0),$B$5="Maior Salário",VLOOKUP(A48,'Cálculos Comparativos'!A:T,18,0)),"")</f>
        <v/>
      </c>
      <c r="F48" s="209" t="str">
        <f>IFERROR(VLOOKUP($A48,'Cálculos Comparativos'!$A:$T,19,0),"")</f>
        <v/>
      </c>
      <c r="G48" s="336" t="str">
        <f>IFERROR(VLOOKUP($A48,'Cálculos Comparativos'!$A:$T,20,0),"")</f>
        <v/>
      </c>
      <c r="H48" s="337"/>
      <c r="I48" s="338"/>
      <c r="J48" s="339"/>
      <c r="K48" s="202"/>
    </row>
    <row r="49">
      <c r="A49" s="319"/>
      <c r="B49" s="267" t="str">
        <f>IFERROR(VLOOKUP($A49,'Cálculos Comparativos'!$A:$T,2,0),"")</f>
        <v/>
      </c>
      <c r="C49" s="267" t="str">
        <f>IFERROR(VLOOKUP($A49,'Cálculos Comparativos'!$A:$T,9,0)&amp;" "&amp;if(VLOOKUP($A49,'Cálculos Comparativos'!$A:$T,10,0)="Indiferente","",VLOOKUP($A49,'Cálculos Comparativos'!$A:$T,10,0)),"")</f>
        <v/>
      </c>
      <c r="D49" s="268" t="str">
        <f>IFERROR(VLOOKUP(A49,'Cálculos Comparativos'!A:L,3,0),"")</f>
        <v/>
      </c>
      <c r="E49" s="269" t="str">
        <f>IFERROR(IFS($B$5="Mediana",VLOOKUP(A49,'Cálculos Comparativos'!A:T,16,0),$B$5="Menor Salário",VLOOKUP(A49,'Cálculos Comparativos'!A:T,13,0),$B$5="1º Quartil",VLOOKUP(A49,'Cálculos Comparativos'!A:T,14,0),$B$5="Média",VLOOKUP(A49,'Cálculos Comparativos'!A:T,15,0),$B$5="3º Quartil",VLOOKUP(A49,'Cálculos Comparativos'!A:T,17,0),$B$5="Maior Salário",VLOOKUP(A49,'Cálculos Comparativos'!A:T,18,0)),"")</f>
        <v/>
      </c>
      <c r="F49" s="209" t="str">
        <f>IFERROR(VLOOKUP($A49,'Cálculos Comparativos'!$A:$T,19,0),"")</f>
        <v/>
      </c>
      <c r="G49" s="336" t="str">
        <f>IFERROR(VLOOKUP($A49,'Cálculos Comparativos'!$A:$T,20,0),"")</f>
        <v/>
      </c>
      <c r="H49" s="337"/>
      <c r="I49" s="338"/>
      <c r="J49" s="339"/>
      <c r="K49" s="202"/>
    </row>
    <row r="50">
      <c r="A50" s="319"/>
      <c r="B50" s="267" t="str">
        <f>IFERROR(VLOOKUP($A50,'Cálculos Comparativos'!$A:$T,2,0),"")</f>
        <v/>
      </c>
      <c r="C50" s="267" t="str">
        <f>IFERROR(VLOOKUP($A50,'Cálculos Comparativos'!$A:$T,9,0)&amp;" "&amp;if(VLOOKUP($A50,'Cálculos Comparativos'!$A:$T,10,0)="Indiferente","",VLOOKUP($A50,'Cálculos Comparativos'!$A:$T,10,0)),"")</f>
        <v/>
      </c>
      <c r="D50" s="268" t="str">
        <f>IFERROR(VLOOKUP(A50,'Cálculos Comparativos'!A:L,3,0),"")</f>
        <v/>
      </c>
      <c r="E50" s="269" t="str">
        <f>IFERROR(IFS($B$5="Mediana",VLOOKUP(A50,'Cálculos Comparativos'!A:T,16,0),$B$5="Menor Salário",VLOOKUP(A50,'Cálculos Comparativos'!A:T,13,0),$B$5="1º Quartil",VLOOKUP(A50,'Cálculos Comparativos'!A:T,14,0),$B$5="Média",VLOOKUP(A50,'Cálculos Comparativos'!A:T,15,0),$B$5="3º Quartil",VLOOKUP(A50,'Cálculos Comparativos'!A:T,17,0),$B$5="Maior Salário",VLOOKUP(A50,'Cálculos Comparativos'!A:T,18,0)),"")</f>
        <v/>
      </c>
      <c r="F50" s="209" t="str">
        <f>IFERROR(VLOOKUP($A50,'Cálculos Comparativos'!$A:$T,19,0),"")</f>
        <v/>
      </c>
      <c r="G50" s="336" t="str">
        <f>IFERROR(VLOOKUP($A50,'Cálculos Comparativos'!$A:$T,20,0),"")</f>
        <v/>
      </c>
      <c r="H50" s="337"/>
      <c r="I50" s="338"/>
      <c r="J50" s="339"/>
      <c r="K50" s="202"/>
    </row>
    <row r="51">
      <c r="A51" s="319"/>
      <c r="B51" s="267" t="str">
        <f>IFERROR(VLOOKUP($A51,'Cálculos Comparativos'!$A:$T,2,0),"")</f>
        <v/>
      </c>
      <c r="C51" s="267" t="str">
        <f>IFERROR(VLOOKUP($A51,'Cálculos Comparativos'!$A:$T,9,0)&amp;" "&amp;if(VLOOKUP($A51,'Cálculos Comparativos'!$A:$T,10,0)="Indiferente","",VLOOKUP($A51,'Cálculos Comparativos'!$A:$T,10,0)),"")</f>
        <v/>
      </c>
      <c r="D51" s="268" t="str">
        <f>IFERROR(VLOOKUP(A51,'Cálculos Comparativos'!A:L,3,0),"")</f>
        <v/>
      </c>
      <c r="E51" s="269" t="str">
        <f>IFERROR(IFS($B$5="Mediana",VLOOKUP(A51,'Cálculos Comparativos'!A:T,16,0),$B$5="Menor Salário",VLOOKUP(A51,'Cálculos Comparativos'!A:T,13,0),$B$5="1º Quartil",VLOOKUP(A51,'Cálculos Comparativos'!A:T,14,0),$B$5="Média",VLOOKUP(A51,'Cálculos Comparativos'!A:T,15,0),$B$5="3º Quartil",VLOOKUP(A51,'Cálculos Comparativos'!A:T,17,0),$B$5="Maior Salário",VLOOKUP(A51,'Cálculos Comparativos'!A:T,18,0)),"")</f>
        <v/>
      </c>
      <c r="F51" s="209" t="str">
        <f>IFERROR(VLOOKUP($A51,'Cálculos Comparativos'!$A:$T,19,0),"")</f>
        <v/>
      </c>
      <c r="G51" s="336" t="str">
        <f>IFERROR(VLOOKUP($A51,'Cálculos Comparativos'!$A:$T,20,0),"")</f>
        <v/>
      </c>
      <c r="H51" s="337"/>
      <c r="I51" s="338"/>
      <c r="J51" s="339"/>
      <c r="K51" s="202"/>
    </row>
    <row r="52">
      <c r="A52" s="319"/>
      <c r="B52" s="267" t="str">
        <f>IFERROR(VLOOKUP($A52,'Cálculos Comparativos'!$A:$T,2,0),"")</f>
        <v/>
      </c>
      <c r="C52" s="267" t="str">
        <f>IFERROR(VLOOKUP($A52,'Cálculos Comparativos'!$A:$T,9,0)&amp;" "&amp;if(VLOOKUP($A52,'Cálculos Comparativos'!$A:$T,10,0)="Indiferente","",VLOOKUP($A52,'Cálculos Comparativos'!$A:$T,10,0)),"")</f>
        <v/>
      </c>
      <c r="D52" s="268" t="str">
        <f>IFERROR(VLOOKUP(A52,'Cálculos Comparativos'!A:L,3,0),"")</f>
        <v/>
      </c>
      <c r="E52" s="269" t="str">
        <f>IFERROR(IFS($B$5="Mediana",VLOOKUP(A52,'Cálculos Comparativos'!A:T,16,0),$B$5="Menor Salário",VLOOKUP(A52,'Cálculos Comparativos'!A:T,13,0),$B$5="1º Quartil",VLOOKUP(A52,'Cálculos Comparativos'!A:T,14,0),$B$5="Média",VLOOKUP(A52,'Cálculos Comparativos'!A:T,15,0),$B$5="3º Quartil",VLOOKUP(A52,'Cálculos Comparativos'!A:T,17,0),$B$5="Maior Salário",VLOOKUP(A52,'Cálculos Comparativos'!A:T,18,0)),"")</f>
        <v/>
      </c>
      <c r="F52" s="209" t="str">
        <f>IFERROR(VLOOKUP($A52,'Cálculos Comparativos'!$A:$T,19,0),"")</f>
        <v/>
      </c>
      <c r="G52" s="336" t="str">
        <f>IFERROR(VLOOKUP($A52,'Cálculos Comparativos'!$A:$T,20,0),"")</f>
        <v/>
      </c>
      <c r="H52" s="337"/>
      <c r="I52" s="338"/>
      <c r="J52" s="339"/>
      <c r="K52" s="202"/>
    </row>
    <row r="53">
      <c r="A53" s="319"/>
      <c r="B53" s="267" t="str">
        <f>IFERROR(VLOOKUP($A53,'Cálculos Comparativos'!$A:$T,2,0),"")</f>
        <v/>
      </c>
      <c r="C53" s="267" t="str">
        <f>IFERROR(VLOOKUP($A53,'Cálculos Comparativos'!$A:$T,9,0)&amp;" "&amp;if(VLOOKUP($A53,'Cálculos Comparativos'!$A:$T,10,0)="Indiferente","",VLOOKUP($A53,'Cálculos Comparativos'!$A:$T,10,0)),"")</f>
        <v/>
      </c>
      <c r="D53" s="268" t="str">
        <f>IFERROR(VLOOKUP(A53,'Cálculos Comparativos'!A:L,3,0),"")</f>
        <v/>
      </c>
      <c r="E53" s="269" t="str">
        <f>IFERROR(IFS($B$5="Mediana",VLOOKUP(A53,'Cálculos Comparativos'!A:T,16,0),$B$5="Menor Salário",VLOOKUP(A53,'Cálculos Comparativos'!A:T,13,0),$B$5="1º Quartil",VLOOKUP(A53,'Cálculos Comparativos'!A:T,14,0),$B$5="Média",VLOOKUP(A53,'Cálculos Comparativos'!A:T,15,0),$B$5="3º Quartil",VLOOKUP(A53,'Cálculos Comparativos'!A:T,17,0),$B$5="Maior Salário",VLOOKUP(A53,'Cálculos Comparativos'!A:T,18,0)),"")</f>
        <v/>
      </c>
      <c r="F53" s="209" t="str">
        <f>IFERROR(VLOOKUP($A53,'Cálculos Comparativos'!$A:$T,19,0),"")</f>
        <v/>
      </c>
      <c r="G53" s="336" t="str">
        <f>IFERROR(VLOOKUP($A53,'Cálculos Comparativos'!$A:$T,20,0),"")</f>
        <v/>
      </c>
      <c r="H53" s="337"/>
      <c r="I53" s="338"/>
      <c r="J53" s="339"/>
      <c r="K53" s="202"/>
    </row>
    <row r="54">
      <c r="A54" s="319"/>
      <c r="B54" s="267" t="str">
        <f>IFERROR(VLOOKUP($A54,'Cálculos Comparativos'!$A:$T,2,0),"")</f>
        <v/>
      </c>
      <c r="C54" s="267" t="str">
        <f>IFERROR(VLOOKUP($A54,'Cálculos Comparativos'!$A:$T,9,0)&amp;" "&amp;if(VLOOKUP($A54,'Cálculos Comparativos'!$A:$T,10,0)="Indiferente","",VLOOKUP($A54,'Cálculos Comparativos'!$A:$T,10,0)),"")</f>
        <v/>
      </c>
      <c r="D54" s="268" t="str">
        <f>IFERROR(VLOOKUP(A54,'Cálculos Comparativos'!A:L,3,0),"")</f>
        <v/>
      </c>
      <c r="E54" s="269" t="str">
        <f>IFERROR(IFS($B$5="Mediana",VLOOKUP(A54,'Cálculos Comparativos'!A:T,16,0),$B$5="Menor Salário",VLOOKUP(A54,'Cálculos Comparativos'!A:T,13,0),$B$5="1º Quartil",VLOOKUP(A54,'Cálculos Comparativos'!A:T,14,0),$B$5="Média",VLOOKUP(A54,'Cálculos Comparativos'!A:T,15,0),$B$5="3º Quartil",VLOOKUP(A54,'Cálculos Comparativos'!A:T,17,0),$B$5="Maior Salário",VLOOKUP(A54,'Cálculos Comparativos'!A:T,18,0)),"")</f>
        <v/>
      </c>
      <c r="F54" s="209" t="str">
        <f>IFERROR(VLOOKUP($A54,'Cálculos Comparativos'!$A:$T,19,0),"")</f>
        <v/>
      </c>
      <c r="G54" s="336" t="str">
        <f>IFERROR(VLOOKUP($A54,'Cálculos Comparativos'!$A:$T,20,0),"")</f>
        <v/>
      </c>
      <c r="H54" s="337"/>
      <c r="I54" s="338"/>
      <c r="J54" s="339"/>
      <c r="K54" s="202"/>
    </row>
    <row r="55">
      <c r="A55" s="319"/>
      <c r="B55" s="267" t="str">
        <f>IFERROR(VLOOKUP($A55,'Cálculos Comparativos'!$A:$T,2,0),"")</f>
        <v/>
      </c>
      <c r="C55" s="267" t="str">
        <f>IFERROR(VLOOKUP($A55,'Cálculos Comparativos'!$A:$T,9,0)&amp;" "&amp;if(VLOOKUP($A55,'Cálculos Comparativos'!$A:$T,10,0)="Indiferente","",VLOOKUP($A55,'Cálculos Comparativos'!$A:$T,10,0)),"")</f>
        <v/>
      </c>
      <c r="D55" s="268" t="str">
        <f>IFERROR(VLOOKUP(A55,'Cálculos Comparativos'!A:L,3,0),"")</f>
        <v/>
      </c>
      <c r="E55" s="269" t="str">
        <f>IFERROR(IFS($B$5="Mediana",VLOOKUP(A55,'Cálculos Comparativos'!A:T,16,0),$B$5="Menor Salário",VLOOKUP(A55,'Cálculos Comparativos'!A:T,13,0),$B$5="1º Quartil",VLOOKUP(A55,'Cálculos Comparativos'!A:T,14,0),$B$5="Média",VLOOKUP(A55,'Cálculos Comparativos'!A:T,15,0),$B$5="3º Quartil",VLOOKUP(A55,'Cálculos Comparativos'!A:T,17,0),$B$5="Maior Salário",VLOOKUP(A55,'Cálculos Comparativos'!A:T,18,0)),"")</f>
        <v/>
      </c>
      <c r="F55" s="209" t="str">
        <f>IFERROR(VLOOKUP($A55,'Cálculos Comparativos'!$A:$T,19,0),"")</f>
        <v/>
      </c>
      <c r="G55" s="336" t="str">
        <f>IFERROR(VLOOKUP($A55,'Cálculos Comparativos'!$A:$T,20,0),"")</f>
        <v/>
      </c>
      <c r="H55" s="337"/>
      <c r="I55" s="338"/>
      <c r="J55" s="339"/>
      <c r="K55" s="202"/>
    </row>
    <row r="56">
      <c r="A56" s="319"/>
      <c r="B56" s="267" t="str">
        <f>IFERROR(VLOOKUP($A56,'Cálculos Comparativos'!$A:$T,2,0),"")</f>
        <v/>
      </c>
      <c r="C56" s="267" t="str">
        <f>IFERROR(VLOOKUP($A56,'Cálculos Comparativos'!$A:$T,9,0)&amp;" "&amp;if(VLOOKUP($A56,'Cálculos Comparativos'!$A:$T,10,0)="Indiferente","",VLOOKUP($A56,'Cálculos Comparativos'!$A:$T,10,0)),"")</f>
        <v/>
      </c>
      <c r="D56" s="268" t="str">
        <f>IFERROR(VLOOKUP(A56,'Cálculos Comparativos'!A:L,3,0),"")</f>
        <v/>
      </c>
      <c r="E56" s="269" t="str">
        <f>IFERROR(IFS($B$5="Mediana",VLOOKUP(A56,'Cálculos Comparativos'!A:T,16,0),$B$5="Menor Salário",VLOOKUP(A56,'Cálculos Comparativos'!A:T,13,0),$B$5="1º Quartil",VLOOKUP(A56,'Cálculos Comparativos'!A:T,14,0),$B$5="Média",VLOOKUP(A56,'Cálculos Comparativos'!A:T,15,0),$B$5="3º Quartil",VLOOKUP(A56,'Cálculos Comparativos'!A:T,17,0),$B$5="Maior Salário",VLOOKUP(A56,'Cálculos Comparativos'!A:T,18,0)),"")</f>
        <v/>
      </c>
      <c r="F56" s="209" t="str">
        <f>IFERROR(VLOOKUP($A56,'Cálculos Comparativos'!$A:$T,19,0),"")</f>
        <v/>
      </c>
      <c r="G56" s="336" t="str">
        <f>IFERROR(VLOOKUP($A56,'Cálculos Comparativos'!$A:$T,20,0),"")</f>
        <v/>
      </c>
      <c r="H56" s="337"/>
      <c r="I56" s="338"/>
      <c r="J56" s="339"/>
      <c r="K56" s="202"/>
    </row>
    <row r="57">
      <c r="A57" s="319"/>
      <c r="B57" s="267" t="str">
        <f>IFERROR(VLOOKUP($A57,'Cálculos Comparativos'!$A:$T,2,0),"")</f>
        <v/>
      </c>
      <c r="C57" s="267" t="str">
        <f>IFERROR(VLOOKUP($A57,'Cálculos Comparativos'!$A:$T,9,0)&amp;" "&amp;if(VLOOKUP($A57,'Cálculos Comparativos'!$A:$T,10,0)="Indiferente","",VLOOKUP($A57,'Cálculos Comparativos'!$A:$T,10,0)),"")</f>
        <v/>
      </c>
      <c r="D57" s="268" t="str">
        <f>IFERROR(VLOOKUP(A57,'Cálculos Comparativos'!A:L,3,0),"")</f>
        <v/>
      </c>
      <c r="E57" s="269" t="str">
        <f>IFERROR(IFS($B$5="Mediana",VLOOKUP(A57,'Cálculos Comparativos'!A:T,16,0),$B$5="Menor Salário",VLOOKUP(A57,'Cálculos Comparativos'!A:T,13,0),$B$5="1º Quartil",VLOOKUP(A57,'Cálculos Comparativos'!A:T,14,0),$B$5="Média",VLOOKUP(A57,'Cálculos Comparativos'!A:T,15,0),$B$5="3º Quartil",VLOOKUP(A57,'Cálculos Comparativos'!A:T,17,0),$B$5="Maior Salário",VLOOKUP(A57,'Cálculos Comparativos'!A:T,18,0)),"")</f>
        <v/>
      </c>
      <c r="F57" s="209" t="str">
        <f>IFERROR(VLOOKUP($A57,'Cálculos Comparativos'!$A:$T,19,0),"")</f>
        <v/>
      </c>
      <c r="G57" s="336" t="str">
        <f>IFERROR(VLOOKUP($A57,'Cálculos Comparativos'!$A:$T,20,0),"")</f>
        <v/>
      </c>
      <c r="H57" s="337"/>
      <c r="I57" s="338"/>
      <c r="J57" s="339"/>
      <c r="K57" s="202"/>
    </row>
    <row r="58">
      <c r="A58" s="319"/>
      <c r="B58" s="267" t="str">
        <f>IFERROR(VLOOKUP($A58,'Cálculos Comparativos'!$A:$T,2,0),"")</f>
        <v/>
      </c>
      <c r="C58" s="267" t="str">
        <f>IFERROR(VLOOKUP($A58,'Cálculos Comparativos'!$A:$T,9,0)&amp;" "&amp;if(VLOOKUP($A58,'Cálculos Comparativos'!$A:$T,10,0)="Indiferente","",VLOOKUP($A58,'Cálculos Comparativos'!$A:$T,10,0)),"")</f>
        <v/>
      </c>
      <c r="D58" s="268" t="str">
        <f>IFERROR(VLOOKUP(A58,'Cálculos Comparativos'!A:L,3,0),"")</f>
        <v/>
      </c>
      <c r="E58" s="269" t="str">
        <f>IFERROR(IFS($B$5="Mediana",VLOOKUP(A58,'Cálculos Comparativos'!A:T,16,0),$B$5="Menor Salário",VLOOKUP(A58,'Cálculos Comparativos'!A:T,13,0),$B$5="1º Quartil",VLOOKUP(A58,'Cálculos Comparativos'!A:T,14,0),$B$5="Média",VLOOKUP(A58,'Cálculos Comparativos'!A:T,15,0),$B$5="3º Quartil",VLOOKUP(A58,'Cálculos Comparativos'!A:T,17,0),$B$5="Maior Salário",VLOOKUP(A58,'Cálculos Comparativos'!A:T,18,0)),"")</f>
        <v/>
      </c>
      <c r="F58" s="209" t="str">
        <f>IFERROR(VLOOKUP($A58,'Cálculos Comparativos'!$A:$T,19,0),"")</f>
        <v/>
      </c>
      <c r="G58" s="336" t="str">
        <f>IFERROR(VLOOKUP($A58,'Cálculos Comparativos'!$A:$T,20,0),"")</f>
        <v/>
      </c>
      <c r="H58" s="337"/>
      <c r="I58" s="338"/>
      <c r="J58" s="339"/>
      <c r="K58" s="202"/>
    </row>
    <row r="59">
      <c r="A59" s="342"/>
      <c r="B59" s="267" t="str">
        <f>IFERROR(VLOOKUP($A59,'Cálculos Comparativos'!$A:$T,2,0),"")</f>
        <v/>
      </c>
      <c r="C59" s="267" t="str">
        <f>IFERROR(VLOOKUP($A59,'Cálculos Comparativos'!$A:$T,9,0)&amp;" "&amp;if(VLOOKUP($A59,'Cálculos Comparativos'!$A:$T,10,0)="Indiferente","",VLOOKUP($A59,'Cálculos Comparativos'!$A:$T,10,0)),"")</f>
        <v/>
      </c>
      <c r="D59" s="268" t="str">
        <f>IFERROR(VLOOKUP(A59,'Cálculos Comparativos'!A:L,3,0),"")</f>
        <v/>
      </c>
      <c r="E59" s="269" t="str">
        <f>IFERROR(IFS($B$5="Mediana",VLOOKUP(A59,'Cálculos Comparativos'!A:T,16,0),$B$5="Menor Salário",VLOOKUP(A59,'Cálculos Comparativos'!A:T,13,0),$B$5="1º Quartil",VLOOKUP(A59,'Cálculos Comparativos'!A:T,14,0),$B$5="Média",VLOOKUP(A59,'Cálculos Comparativos'!A:T,15,0),$B$5="3º Quartil",VLOOKUP(A59,'Cálculos Comparativos'!A:T,17,0),$B$5="Maior Salário",VLOOKUP(A59,'Cálculos Comparativos'!A:T,18,0)),"")</f>
        <v/>
      </c>
      <c r="F59" s="209" t="str">
        <f>IFERROR(VLOOKUP($A59,'Cálculos Comparativos'!$A:$T,19,0),"")</f>
        <v/>
      </c>
      <c r="G59" s="336" t="str">
        <f>IFERROR(VLOOKUP($A59,'Cálculos Comparativos'!$A:$T,20,0),"")</f>
        <v/>
      </c>
      <c r="H59" s="337"/>
      <c r="I59" s="338"/>
      <c r="J59" s="339"/>
      <c r="K59" s="202"/>
    </row>
    <row r="60">
      <c r="A60" s="319"/>
      <c r="B60" s="267" t="str">
        <f>IFERROR(VLOOKUP($A60,'Cálculos Comparativos'!$A:$T,2,0),"")</f>
        <v/>
      </c>
      <c r="C60" s="267" t="str">
        <f>IFERROR(VLOOKUP($A60,'Cálculos Comparativos'!$A:$T,9,0)&amp;" "&amp;if(VLOOKUP($A60,'Cálculos Comparativos'!$A:$T,10,0)="Indiferente","",VLOOKUP($A60,'Cálculos Comparativos'!$A:$T,10,0)),"")</f>
        <v/>
      </c>
      <c r="D60" s="268" t="str">
        <f>IFERROR(VLOOKUP(A60,'Cálculos Comparativos'!A:L,3,0),"")</f>
        <v/>
      </c>
      <c r="E60" s="269" t="str">
        <f>IFERROR(IFS($B$5="Mediana",VLOOKUP(A60,'Cálculos Comparativos'!A:T,16,0),$B$5="Menor Salário",VLOOKUP(A60,'Cálculos Comparativos'!A:T,13,0),$B$5="1º Quartil",VLOOKUP(A60,'Cálculos Comparativos'!A:T,14,0),$B$5="Média",VLOOKUP(A60,'Cálculos Comparativos'!A:T,15,0),$B$5="3º Quartil",VLOOKUP(A60,'Cálculos Comparativos'!A:T,17,0),$B$5="Maior Salário",VLOOKUP(A60,'Cálculos Comparativos'!A:T,18,0)),"")</f>
        <v/>
      </c>
      <c r="F60" s="209" t="str">
        <f>IFERROR(VLOOKUP($A60,'Cálculos Comparativos'!$A:$T,19,0),"")</f>
        <v/>
      </c>
      <c r="G60" s="336" t="str">
        <f>IFERROR(VLOOKUP($A60,'Cálculos Comparativos'!$A:$T,20,0),"")</f>
        <v/>
      </c>
      <c r="H60" s="337"/>
      <c r="I60" s="338"/>
      <c r="J60" s="339"/>
      <c r="K60" s="202"/>
    </row>
    <row r="61">
      <c r="A61" s="319"/>
      <c r="B61" s="267" t="str">
        <f>IFERROR(VLOOKUP($A61,'Cálculos Comparativos'!$A:$T,2,0),"")</f>
        <v/>
      </c>
      <c r="C61" s="267" t="str">
        <f>IFERROR(VLOOKUP($A61,'Cálculos Comparativos'!$A:$T,9,0)&amp;" "&amp;if(VLOOKUP($A61,'Cálculos Comparativos'!$A:$T,10,0)="Indiferente","",VLOOKUP($A61,'Cálculos Comparativos'!$A:$T,10,0)),"")</f>
        <v/>
      </c>
      <c r="D61" s="268" t="str">
        <f>IFERROR(VLOOKUP(A61,'Cálculos Comparativos'!A:L,3,0),"")</f>
        <v/>
      </c>
      <c r="E61" s="269" t="str">
        <f>IFERROR(IFS($B$5="Mediana",VLOOKUP(A61,'Cálculos Comparativos'!A:T,16,0),$B$5="Menor Salário",VLOOKUP(A61,'Cálculos Comparativos'!A:T,13,0),$B$5="1º Quartil",VLOOKUP(A61,'Cálculos Comparativos'!A:T,14,0),$B$5="Média",VLOOKUP(A61,'Cálculos Comparativos'!A:T,15,0),$B$5="3º Quartil",VLOOKUP(A61,'Cálculos Comparativos'!A:T,17,0),$B$5="Maior Salário",VLOOKUP(A61,'Cálculos Comparativos'!A:T,18,0)),"")</f>
        <v/>
      </c>
      <c r="F61" s="209" t="str">
        <f>IFERROR(VLOOKUP($A61,'Cálculos Comparativos'!$A:$T,19,0),"")</f>
        <v/>
      </c>
      <c r="G61" s="336" t="str">
        <f>IFERROR(VLOOKUP($A61,'Cálculos Comparativos'!$A:$T,20,0),"")</f>
        <v/>
      </c>
      <c r="H61" s="337"/>
      <c r="I61" s="338"/>
      <c r="J61" s="339"/>
      <c r="K61" s="202"/>
    </row>
    <row r="63">
      <c r="B63" s="343" t="s">
        <v>350</v>
      </c>
      <c r="C63" s="255"/>
      <c r="D63" s="255"/>
      <c r="E63" s="255"/>
      <c r="F63" s="255"/>
      <c r="G63" s="255"/>
      <c r="H63" s="255"/>
      <c r="I63" s="255"/>
      <c r="J63" s="255"/>
      <c r="K63" s="255"/>
      <c r="L63" s="255"/>
      <c r="M63" s="256"/>
    </row>
    <row r="64">
      <c r="B64" s="344"/>
      <c r="C64" s="344"/>
      <c r="D64" s="344"/>
      <c r="E64" s="345"/>
      <c r="F64" s="344"/>
      <c r="G64" s="344"/>
      <c r="H64" s="344"/>
      <c r="I64" s="344"/>
      <c r="J64" s="344"/>
      <c r="K64" s="344"/>
    </row>
    <row r="65">
      <c r="B65" s="344"/>
      <c r="C65" s="344"/>
      <c r="D65" s="344"/>
      <c r="E65" s="345"/>
      <c r="F65" s="344"/>
      <c r="G65" s="344"/>
      <c r="H65" s="344"/>
      <c r="I65" s="344"/>
      <c r="J65" s="344"/>
      <c r="K65" s="344"/>
    </row>
    <row r="66">
      <c r="B66" s="344"/>
      <c r="C66" s="344"/>
      <c r="D66" s="344"/>
      <c r="E66" s="345"/>
      <c r="F66" s="344"/>
      <c r="G66" s="344"/>
      <c r="H66" s="344"/>
      <c r="I66" s="344"/>
      <c r="J66" s="344"/>
      <c r="K66" s="344"/>
    </row>
    <row r="67">
      <c r="B67" s="344"/>
      <c r="C67" s="344"/>
      <c r="D67" s="344"/>
      <c r="E67" s="345"/>
      <c r="F67" s="344"/>
      <c r="G67" s="344"/>
      <c r="H67" s="344"/>
      <c r="I67" s="344"/>
      <c r="J67" s="344"/>
      <c r="K67" s="344"/>
    </row>
    <row r="68">
      <c r="B68" s="344"/>
      <c r="C68" s="344"/>
      <c r="D68" s="344"/>
      <c r="E68" s="345"/>
      <c r="F68" s="344"/>
      <c r="G68" s="344"/>
      <c r="H68" s="344"/>
      <c r="I68" s="344"/>
      <c r="J68" s="344"/>
      <c r="K68" s="344"/>
    </row>
    <row r="69">
      <c r="B69" s="344"/>
      <c r="C69" s="344"/>
      <c r="D69" s="344"/>
      <c r="E69" s="345"/>
      <c r="F69" s="344"/>
      <c r="G69" s="344"/>
      <c r="H69" s="344"/>
      <c r="I69" s="344"/>
      <c r="J69" s="344"/>
      <c r="K69" s="344"/>
    </row>
    <row r="70">
      <c r="B70" s="344"/>
      <c r="C70" s="344"/>
      <c r="D70" s="344"/>
      <c r="E70" s="345"/>
      <c r="F70" s="344"/>
      <c r="G70" s="344"/>
      <c r="H70" s="344"/>
      <c r="I70" s="344"/>
      <c r="J70" s="344"/>
      <c r="K70" s="344"/>
    </row>
    <row r="71">
      <c r="B71" s="344"/>
      <c r="C71" s="344"/>
      <c r="D71" s="344"/>
      <c r="E71" s="345"/>
      <c r="F71" s="344"/>
      <c r="G71" s="344"/>
      <c r="H71" s="344"/>
      <c r="I71" s="344"/>
      <c r="J71" s="344"/>
      <c r="K71" s="344"/>
    </row>
    <row r="72">
      <c r="B72" s="344"/>
      <c r="C72" s="344"/>
      <c r="D72" s="344"/>
      <c r="E72" s="345"/>
      <c r="F72" s="344"/>
      <c r="G72" s="344"/>
      <c r="H72" s="344"/>
      <c r="I72" s="344"/>
      <c r="J72" s="344"/>
      <c r="K72" s="344"/>
    </row>
    <row r="73">
      <c r="B73" s="344"/>
      <c r="C73" s="344"/>
      <c r="D73" s="344"/>
      <c r="E73" s="345"/>
      <c r="F73" s="344"/>
      <c r="G73" s="344"/>
      <c r="H73" s="344"/>
      <c r="I73" s="344"/>
      <c r="J73" s="344"/>
      <c r="K73" s="344"/>
    </row>
    <row r="74">
      <c r="B74" s="344"/>
      <c r="C74" s="344"/>
      <c r="D74" s="344"/>
      <c r="E74" s="345"/>
      <c r="F74" s="344"/>
      <c r="G74" s="344"/>
      <c r="H74" s="344"/>
      <c r="I74" s="344"/>
      <c r="J74" s="344"/>
      <c r="K74" s="344"/>
    </row>
    <row r="75">
      <c r="B75" s="344"/>
      <c r="C75" s="344"/>
      <c r="D75" s="344"/>
      <c r="E75" s="345"/>
      <c r="F75" s="344"/>
      <c r="G75" s="344"/>
      <c r="H75" s="344"/>
      <c r="I75" s="344"/>
      <c r="J75" s="344"/>
      <c r="K75" s="344"/>
    </row>
    <row r="76">
      <c r="B76" s="344"/>
      <c r="C76" s="344"/>
      <c r="D76" s="344"/>
      <c r="E76" s="345"/>
      <c r="F76" s="344"/>
      <c r="G76" s="344"/>
      <c r="H76" s="344"/>
      <c r="I76" s="344"/>
      <c r="J76" s="344"/>
      <c r="K76" s="344"/>
    </row>
    <row r="77">
      <c r="B77" s="344"/>
      <c r="C77" s="344"/>
      <c r="D77" s="344"/>
      <c r="E77" s="345"/>
      <c r="F77" s="344"/>
      <c r="G77" s="344"/>
      <c r="H77" s="344"/>
      <c r="I77" s="344"/>
      <c r="J77" s="344"/>
      <c r="K77" s="344"/>
    </row>
    <row r="78">
      <c r="B78" s="344"/>
      <c r="C78" s="344"/>
      <c r="D78" s="344"/>
      <c r="E78" s="345"/>
      <c r="F78" s="344"/>
      <c r="G78" s="344"/>
      <c r="H78" s="344"/>
      <c r="I78" s="344"/>
      <c r="J78" s="344"/>
      <c r="K78" s="344"/>
    </row>
    <row r="79">
      <c r="B79" s="344"/>
      <c r="C79" s="344"/>
      <c r="D79" s="344"/>
      <c r="E79" s="345"/>
      <c r="F79" s="344"/>
      <c r="G79" s="344"/>
      <c r="H79" s="344"/>
      <c r="I79" s="344"/>
      <c r="J79" s="344"/>
      <c r="K79" s="344"/>
    </row>
    <row r="80">
      <c r="B80" s="344"/>
      <c r="C80" s="344"/>
      <c r="D80" s="344"/>
      <c r="E80" s="345"/>
      <c r="F80" s="344"/>
      <c r="G80" s="344"/>
      <c r="H80" s="344"/>
      <c r="I80" s="344"/>
      <c r="J80" s="344"/>
      <c r="K80" s="344"/>
    </row>
    <row r="81">
      <c r="B81" s="344"/>
      <c r="C81" s="344"/>
      <c r="D81" s="344"/>
      <c r="E81" s="345"/>
      <c r="F81" s="344"/>
      <c r="G81" s="344"/>
      <c r="H81" s="344"/>
      <c r="I81" s="344"/>
      <c r="J81" s="344"/>
      <c r="K81" s="344"/>
    </row>
    <row r="82">
      <c r="B82" s="344"/>
      <c r="C82" s="344"/>
      <c r="D82" s="344"/>
      <c r="E82" s="345"/>
      <c r="F82" s="344"/>
      <c r="G82" s="344"/>
      <c r="H82" s="344"/>
      <c r="I82" s="344"/>
      <c r="J82" s="344"/>
      <c r="K82" s="344"/>
    </row>
    <row r="83">
      <c r="B83" s="344"/>
      <c r="C83" s="344"/>
      <c r="D83" s="344"/>
      <c r="E83" s="345"/>
      <c r="F83" s="344"/>
      <c r="G83" s="344"/>
      <c r="H83" s="344"/>
      <c r="I83" s="344"/>
      <c r="J83" s="344"/>
      <c r="K83" s="344"/>
    </row>
    <row r="84">
      <c r="B84" s="344"/>
      <c r="C84" s="344"/>
      <c r="D84" s="344"/>
      <c r="E84" s="345"/>
      <c r="F84" s="344"/>
      <c r="G84" s="344"/>
      <c r="H84" s="344"/>
      <c r="I84" s="344"/>
      <c r="J84" s="344"/>
      <c r="K84" s="344"/>
    </row>
    <row r="85">
      <c r="B85" s="344"/>
      <c r="C85" s="344"/>
      <c r="D85" s="344"/>
      <c r="E85" s="345"/>
      <c r="F85" s="344"/>
      <c r="G85" s="344"/>
      <c r="H85" s="344"/>
      <c r="I85" s="344"/>
      <c r="J85" s="344"/>
      <c r="K85" s="344"/>
    </row>
    <row r="86">
      <c r="B86" s="346" t="s">
        <v>351</v>
      </c>
      <c r="C86" s="346" t="s">
        <v>352</v>
      </c>
      <c r="D86" s="346"/>
      <c r="E86" s="347"/>
      <c r="F86" s="346" t="s">
        <v>320</v>
      </c>
      <c r="G86" s="346" t="s">
        <v>322</v>
      </c>
      <c r="H86" s="346" t="s">
        <v>324</v>
      </c>
      <c r="I86" s="346" t="s">
        <v>353</v>
      </c>
      <c r="J86" s="346" t="s">
        <v>327</v>
      </c>
      <c r="K86" s="346" t="s">
        <v>329</v>
      </c>
    </row>
    <row r="87">
      <c r="B87" s="348" t="str">
        <f t="shared" ref="B87:B116" si="4">A31</f>
        <v>4</v>
      </c>
      <c r="C87" s="349" t="str">
        <f>IFERROR(VLOOKUP(B87,'Cálculos Comparativos'!A:B,2,0),"")</f>
        <v>ANALISTA DE INOVAÇÃO</v>
      </c>
      <c r="D87" s="350"/>
      <c r="E87" s="351" t="str">
        <f t="shared" ref="E87:E116" si="5">IF(C87="","",C87&amp;" "&amp;D87)</f>
        <v>ANALISTA DE INOVAÇÃO </v>
      </c>
      <c r="F87" s="350">
        <f>IF(E87="","",IFERROR(COUNTIFS('Comparativo por Funcionário'!A:A,B87,'Comparativo por Funcionário'!U:U,F$86),0))</f>
        <v>0</v>
      </c>
      <c r="G87" s="350">
        <f>IF(E87="","",IFERROR(COUNTIFS('Comparativo por Funcionário'!$A:$A,$B87,'Comparativo por Funcionário'!$U:$U,G$86),0))</f>
        <v>0</v>
      </c>
      <c r="H87" s="350">
        <f>IF(E87="","",IFERROR(COUNTIFS('Comparativo por Funcionário'!$A:$A,$B87,'Comparativo por Funcionário'!$U:$U,H$86),0))</f>
        <v>1</v>
      </c>
      <c r="I87" s="350">
        <f>IF(E87="","",IFERROR(COUNTIFS('Comparativo por Funcionário'!$A:$A,$B87,'Comparativo por Funcionário'!$U:$U,I$86),0))</f>
        <v>0</v>
      </c>
      <c r="J87" s="350">
        <f>IF(E87="","",IFERROR(COUNTIFS('Comparativo por Funcionário'!$A:$A,$B87,'Comparativo por Funcionário'!$U:$U,J$86),0))</f>
        <v>0</v>
      </c>
      <c r="K87" s="350">
        <f>IF(E87="","",IFERROR(COUNTIFS('Comparativo por Funcionário'!$A:$A,$B87,'Comparativo por Funcionário'!$U:$U,K$86),0))</f>
        <v>0</v>
      </c>
    </row>
    <row r="88">
      <c r="B88" s="352" t="str">
        <f t="shared" si="4"/>
        <v>12</v>
      </c>
      <c r="C88" s="353" t="str">
        <f>IFERROR(VLOOKUP(B88,'Cálculos Comparativos'!A:B,2,0),"")</f>
        <v>ASSISTENTE ADM DE LEGALIZAÇÃO III</v>
      </c>
      <c r="D88" s="354"/>
      <c r="E88" s="355" t="str">
        <f t="shared" si="5"/>
        <v>ASSISTENTE ADM DE LEGALIZAÇÃO III </v>
      </c>
      <c r="F88" s="354">
        <f>IF(E88="","",IFERROR(COUNTIFS('Comparativo por Funcionário'!A:A,B88,'Comparativo por Funcionário'!U:U,F$86),0))</f>
        <v>0</v>
      </c>
      <c r="G88" s="354">
        <f>IF(E88="","",IFERROR(COUNTIFS('Comparativo por Funcionário'!$A:$A,$B88,'Comparativo por Funcionário'!$U:$U,G$86),0))</f>
        <v>0</v>
      </c>
      <c r="H88" s="354">
        <f>IF(E88="","",IFERROR(COUNTIFS('Comparativo por Funcionário'!$A:$A,$B88,'Comparativo por Funcionário'!$U:$U,H$86),0))</f>
        <v>0</v>
      </c>
      <c r="I88" s="354">
        <f>IF(E88="","",IFERROR(COUNTIFS('Comparativo por Funcionário'!$A:$A,$B88,'Comparativo por Funcionário'!$U:$U,I$86),0))</f>
        <v>0</v>
      </c>
      <c r="J88" s="354">
        <f>IF(E88="","",IFERROR(COUNTIFS('Comparativo por Funcionário'!$A:$A,$B88,'Comparativo por Funcionário'!$U:$U,J$86),0))</f>
        <v>1</v>
      </c>
      <c r="K88" s="354">
        <f>IF(E88="","",IFERROR(COUNTIFS('Comparativo por Funcionário'!$A:$A,$B88,'Comparativo por Funcionário'!$U:$U,K$86),0))</f>
        <v>0</v>
      </c>
    </row>
    <row r="89">
      <c r="B89" s="348" t="str">
        <f t="shared" si="4"/>
        <v>28</v>
      </c>
      <c r="C89" s="349" t="str">
        <f>IFERROR(VLOOKUP(B89,'Cálculos Comparativos'!A:B,2,0),"")</f>
        <v>COORDENADOR DE LEGAIZAÇÃO ll</v>
      </c>
      <c r="D89" s="350"/>
      <c r="E89" s="351" t="str">
        <f t="shared" si="5"/>
        <v>COORDENADOR DE LEGAIZAÇÃO ll </v>
      </c>
      <c r="F89" s="350">
        <f>IF(E89="","",IFERROR(COUNTIFS('Comparativo por Funcionário'!A:A,B89,'Comparativo por Funcionário'!U:U,F$86),0))</f>
        <v>0</v>
      </c>
      <c r="G89" s="350">
        <f>IF(E89="","",IFERROR(COUNTIFS('Comparativo por Funcionário'!$A:$A,$B89,'Comparativo por Funcionário'!$U:$U,G$86),0))</f>
        <v>0</v>
      </c>
      <c r="H89" s="350">
        <f>IF(E89="","",IFERROR(COUNTIFS('Comparativo por Funcionário'!$A:$A,$B89,'Comparativo por Funcionário'!$U:$U,H$86),0))</f>
        <v>1</v>
      </c>
      <c r="I89" s="350">
        <f>IF(E89="","",IFERROR(COUNTIFS('Comparativo por Funcionário'!$A:$A,$B89,'Comparativo por Funcionário'!$U:$U,I$86),0))</f>
        <v>0</v>
      </c>
      <c r="J89" s="350">
        <f>IF(E89="","",IFERROR(COUNTIFS('Comparativo por Funcionário'!$A:$A,$B89,'Comparativo por Funcionário'!$U:$U,J$86),0))</f>
        <v>0</v>
      </c>
      <c r="K89" s="350">
        <f>IF(E89="","",IFERROR(COUNTIFS('Comparativo por Funcionário'!$A:$A,$B89,'Comparativo por Funcionário'!$U:$U,K$86),0))</f>
        <v>0</v>
      </c>
    </row>
    <row r="90">
      <c r="A90" s="356"/>
      <c r="B90" s="352" t="str">
        <f t="shared" si="4"/>
        <v>47</v>
      </c>
      <c r="C90" s="353" t="str">
        <f>IFERROR(VLOOKUP(B90,'Cálculos Comparativos'!A:B,2,0),"")</f>
        <v>GERENTE DE INCORPORAÇÃO </v>
      </c>
      <c r="D90" s="354"/>
      <c r="E90" s="355" t="str">
        <f t="shared" si="5"/>
        <v>GERENTE DE INCORPORAÇÃO  </v>
      </c>
      <c r="F90" s="354">
        <f>IF(E90="","",IFERROR(COUNTIFS('Comparativo por Funcionário'!A:A,B90,'Comparativo por Funcionário'!U:U,F$86),0))</f>
        <v>1</v>
      </c>
      <c r="G90" s="354">
        <f>IF(E90="","",IFERROR(COUNTIFS('Comparativo por Funcionário'!$A:$A,$B90,'Comparativo por Funcionário'!$U:$U,G$86),0))</f>
        <v>0</v>
      </c>
      <c r="H90" s="354">
        <f>IF(E90="","",IFERROR(COUNTIFS('Comparativo por Funcionário'!$A:$A,$B90,'Comparativo por Funcionário'!$U:$U,H$86),0))</f>
        <v>0</v>
      </c>
      <c r="I90" s="354">
        <f>IF(E90="","",IFERROR(COUNTIFS('Comparativo por Funcionário'!$A:$A,$B90,'Comparativo por Funcionário'!$U:$U,I$86),0))</f>
        <v>0</v>
      </c>
      <c r="J90" s="354">
        <f>IF(E90="","",IFERROR(COUNTIFS('Comparativo por Funcionário'!$A:$A,$B90,'Comparativo por Funcionário'!$U:$U,J$86),0))</f>
        <v>0</v>
      </c>
      <c r="K90" s="354">
        <f>IF(E90="","",IFERROR(COUNTIFS('Comparativo por Funcionário'!$A:$A,$B90,'Comparativo por Funcionário'!$U:$U,K$86),0))</f>
        <v>0</v>
      </c>
    </row>
    <row r="91">
      <c r="A91" s="356"/>
      <c r="B91" s="348" t="str">
        <f t="shared" si="4"/>
        <v/>
      </c>
      <c r="C91" s="349" t="str">
        <f>IFERROR(VLOOKUP(B91,'Cálculos Comparativos'!A:B,2,0),"")</f>
        <v/>
      </c>
      <c r="D91" s="350"/>
      <c r="E91" s="351" t="str">
        <f t="shared" si="5"/>
        <v/>
      </c>
      <c r="F91" s="350" t="str">
        <f>IF(E91="","",IFERROR(COUNTIFS('Comparativo por Funcionário'!A:A,B91,'Comparativo por Funcionário'!U:U,F$86),0))</f>
        <v/>
      </c>
      <c r="G91" s="350" t="str">
        <f>IF(E91="","",IFERROR(COUNTIFS('Comparativo por Funcionário'!$A:$A,$B91,'Comparativo por Funcionário'!$U:$U,G$86),0))</f>
        <v/>
      </c>
      <c r="H91" s="350" t="str">
        <f>IF(E91="","",IFERROR(COUNTIFS('Comparativo por Funcionário'!$A:$A,$B91,'Comparativo por Funcionário'!$U:$U,H$86),0))</f>
        <v/>
      </c>
      <c r="I91" s="350" t="str">
        <f>IF(E91="","",IFERROR(COUNTIFS('Comparativo por Funcionário'!$A:$A,$B91,'Comparativo por Funcionário'!$U:$U,I$86),0))</f>
        <v/>
      </c>
      <c r="J91" s="350" t="str">
        <f>IF(E91="","",IFERROR(COUNTIFS('Comparativo por Funcionário'!$A:$A,$B91,'Comparativo por Funcionário'!$U:$U,J$86),0))</f>
        <v/>
      </c>
      <c r="K91" s="350" t="str">
        <f>IF(E91="","",IFERROR(COUNTIFS('Comparativo por Funcionário'!$A:$A,$B91,'Comparativo por Funcionário'!$U:$U,K$86),0))</f>
        <v/>
      </c>
    </row>
    <row r="92">
      <c r="A92" s="357"/>
      <c r="B92" s="352" t="str">
        <f t="shared" si="4"/>
        <v/>
      </c>
      <c r="C92" s="353" t="str">
        <f>IFERROR(VLOOKUP(B92,'Cálculos Comparativos'!A:B,2,0),"")</f>
        <v/>
      </c>
      <c r="D92" s="354"/>
      <c r="E92" s="355" t="str">
        <f t="shared" si="5"/>
        <v/>
      </c>
      <c r="F92" s="354" t="str">
        <f>IF(E92="","",IFERROR(COUNTIFS('Comparativo por Funcionário'!A:A,B92,'Comparativo por Funcionário'!U:U,F$86),0))</f>
        <v/>
      </c>
      <c r="G92" s="354" t="str">
        <f>IF(E92="","",IFERROR(COUNTIFS('Comparativo por Funcionário'!$A:$A,$B92,'Comparativo por Funcionário'!$U:$U,G$86),0))</f>
        <v/>
      </c>
      <c r="H92" s="354" t="str">
        <f>IF(E92="","",IFERROR(COUNTIFS('Comparativo por Funcionário'!$A:$A,$B92,'Comparativo por Funcionário'!$U:$U,H$86),0))</f>
        <v/>
      </c>
      <c r="I92" s="354" t="str">
        <f>IF(E92="","",IFERROR(COUNTIFS('Comparativo por Funcionário'!$A:$A,$B92,'Comparativo por Funcionário'!$U:$U,I$86),0))</f>
        <v/>
      </c>
      <c r="J92" s="354" t="str">
        <f>IF(E92="","",IFERROR(COUNTIFS('Comparativo por Funcionário'!$A:$A,$B92,'Comparativo por Funcionário'!$U:$U,J$86),0))</f>
        <v/>
      </c>
      <c r="K92" s="354" t="str">
        <f>IF(E92="","",IFERROR(COUNTIFS('Comparativo por Funcionário'!$A:$A,$B92,'Comparativo por Funcionário'!$U:$U,K$86),0))</f>
        <v/>
      </c>
    </row>
    <row r="93">
      <c r="A93" s="357"/>
      <c r="B93" s="348" t="str">
        <f t="shared" si="4"/>
        <v/>
      </c>
      <c r="C93" s="349" t="str">
        <f>IFERROR(VLOOKUP(B93,'Cálculos Comparativos'!A:B,2,0),"")</f>
        <v/>
      </c>
      <c r="D93" s="350"/>
      <c r="E93" s="351" t="str">
        <f t="shared" si="5"/>
        <v/>
      </c>
      <c r="F93" s="350" t="str">
        <f>IF(E93="","",IFERROR(COUNTIFS('Comparativo por Funcionário'!A:A,B93,'Comparativo por Funcionário'!U:U,F$86),0))</f>
        <v/>
      </c>
      <c r="G93" s="350" t="str">
        <f>IF(E93="","",IFERROR(COUNTIFS('Comparativo por Funcionário'!$A:$A,$B93,'Comparativo por Funcionário'!$U:$U,G$86),0))</f>
        <v/>
      </c>
      <c r="H93" s="350" t="str">
        <f>IF(E93="","",IFERROR(COUNTIFS('Comparativo por Funcionário'!$A:$A,$B93,'Comparativo por Funcionário'!$U:$U,H$86),0))</f>
        <v/>
      </c>
      <c r="I93" s="350" t="str">
        <f>IF(E93="","",IFERROR(COUNTIFS('Comparativo por Funcionário'!$A:$A,$B93,'Comparativo por Funcionário'!$U:$U,I$86),0))</f>
        <v/>
      </c>
      <c r="J93" s="350" t="str">
        <f>IF(E93="","",IFERROR(COUNTIFS('Comparativo por Funcionário'!$A:$A,$B93,'Comparativo por Funcionário'!$U:$U,J$86),0))</f>
        <v/>
      </c>
      <c r="K93" s="350" t="str">
        <f>IF(E93="","",IFERROR(COUNTIFS('Comparativo por Funcionário'!$A:$A,$B93,'Comparativo por Funcionário'!$U:$U,K$86),0))</f>
        <v/>
      </c>
    </row>
    <row r="94">
      <c r="A94" s="357"/>
      <c r="B94" s="352" t="str">
        <f t="shared" si="4"/>
        <v/>
      </c>
      <c r="C94" s="353" t="str">
        <f>IFERROR(VLOOKUP(B94,'Cálculos Comparativos'!A:B,2,0),"")</f>
        <v/>
      </c>
      <c r="D94" s="354"/>
      <c r="E94" s="355" t="str">
        <f t="shared" si="5"/>
        <v/>
      </c>
      <c r="F94" s="354" t="str">
        <f>IF(E94="","",IFERROR(COUNTIFS('Comparativo por Funcionário'!A:A,B94,'Comparativo por Funcionário'!U:U,F$86),0))</f>
        <v/>
      </c>
      <c r="G94" s="354" t="str">
        <f>IF(E94="","",IFERROR(COUNTIFS('Comparativo por Funcionário'!$A:$A,$B94,'Comparativo por Funcionário'!$U:$U,G$86),0))</f>
        <v/>
      </c>
      <c r="H94" s="354" t="str">
        <f>IF(E94="","",IFERROR(COUNTIFS('Comparativo por Funcionário'!$A:$A,$B94,'Comparativo por Funcionário'!$U:$U,H$86),0))</f>
        <v/>
      </c>
      <c r="I94" s="354" t="str">
        <f>IF(E94="","",IFERROR(COUNTIFS('Comparativo por Funcionário'!$A:$A,$B94,'Comparativo por Funcionário'!$U:$U,I$86),0))</f>
        <v/>
      </c>
      <c r="J94" s="354" t="str">
        <f>IF(E94="","",IFERROR(COUNTIFS('Comparativo por Funcionário'!$A:$A,$B94,'Comparativo por Funcionário'!$U:$U,J$86),0))</f>
        <v/>
      </c>
      <c r="K94" s="354" t="str">
        <f>IF(E94="","",IFERROR(COUNTIFS('Comparativo por Funcionário'!$A:$A,$B94,'Comparativo por Funcionário'!$U:$U,K$86),0))</f>
        <v/>
      </c>
    </row>
    <row r="95">
      <c r="A95" s="357"/>
      <c r="B95" s="348" t="str">
        <f t="shared" si="4"/>
        <v/>
      </c>
      <c r="C95" s="349" t="str">
        <f>IFERROR(VLOOKUP(B95,'Cálculos Comparativos'!A:B,2,0),"")</f>
        <v/>
      </c>
      <c r="D95" s="350"/>
      <c r="E95" s="351" t="str">
        <f t="shared" si="5"/>
        <v/>
      </c>
      <c r="F95" s="350" t="str">
        <f>IF(E95="","",IFERROR(COUNTIFS('Comparativo por Funcionário'!A:A,B95,'Comparativo por Funcionário'!U:U,F$86),0))</f>
        <v/>
      </c>
      <c r="G95" s="350" t="str">
        <f>IF(E95="","",IFERROR(COUNTIFS('Comparativo por Funcionário'!$A:$A,$B95,'Comparativo por Funcionário'!$U:$U,G$86),0))</f>
        <v/>
      </c>
      <c r="H95" s="350" t="str">
        <f>IF(E95="","",IFERROR(COUNTIFS('Comparativo por Funcionário'!$A:$A,$B95,'Comparativo por Funcionário'!$U:$U,H$86),0))</f>
        <v/>
      </c>
      <c r="I95" s="350" t="str">
        <f>IF(E95="","",IFERROR(COUNTIFS('Comparativo por Funcionário'!$A:$A,$B95,'Comparativo por Funcionário'!$U:$U,I$86),0))</f>
        <v/>
      </c>
      <c r="J95" s="350" t="str">
        <f>IF(E95="","",IFERROR(COUNTIFS('Comparativo por Funcionário'!$A:$A,$B95,'Comparativo por Funcionário'!$U:$U,J$86),0))</f>
        <v/>
      </c>
      <c r="K95" s="350" t="str">
        <f>IF(E95="","",IFERROR(COUNTIFS('Comparativo por Funcionário'!$A:$A,$B95,'Comparativo por Funcionário'!$U:$U,K$86),0))</f>
        <v/>
      </c>
    </row>
    <row r="96">
      <c r="A96" s="357"/>
      <c r="B96" s="352" t="str">
        <f t="shared" si="4"/>
        <v/>
      </c>
      <c r="C96" s="353" t="str">
        <f>IFERROR(VLOOKUP(B96,'Cálculos Comparativos'!A:B,2,0),"")</f>
        <v/>
      </c>
      <c r="D96" s="354"/>
      <c r="E96" s="355" t="str">
        <f t="shared" si="5"/>
        <v/>
      </c>
      <c r="F96" s="354" t="str">
        <f>IF(E96="","",IFERROR(COUNTIFS('Comparativo por Funcionário'!A:A,B96,'Comparativo por Funcionário'!U:U,F$86),0))</f>
        <v/>
      </c>
      <c r="G96" s="354" t="str">
        <f>IF(E96="","",IFERROR(COUNTIFS('Comparativo por Funcionário'!$A:$A,$B96,'Comparativo por Funcionário'!$U:$U,G$86),0))</f>
        <v/>
      </c>
      <c r="H96" s="354" t="str">
        <f>IF(E96="","",IFERROR(COUNTIFS('Comparativo por Funcionário'!$A:$A,$B96,'Comparativo por Funcionário'!$U:$U,H$86),0))</f>
        <v/>
      </c>
      <c r="I96" s="354" t="str">
        <f>IF(E96="","",IFERROR(COUNTIFS('Comparativo por Funcionário'!$A:$A,$B96,'Comparativo por Funcionário'!$U:$U,I$86),0))</f>
        <v/>
      </c>
      <c r="J96" s="354" t="str">
        <f>IF(E96="","",IFERROR(COUNTIFS('Comparativo por Funcionário'!$A:$A,$B96,'Comparativo por Funcionário'!$U:$U,J$86),0))</f>
        <v/>
      </c>
      <c r="K96" s="354" t="str">
        <f>IF(E96="","",IFERROR(COUNTIFS('Comparativo por Funcionário'!$A:$A,$B96,'Comparativo por Funcionário'!$U:$U,K$86),0))</f>
        <v/>
      </c>
    </row>
    <row r="97">
      <c r="A97" s="357"/>
      <c r="B97" s="348" t="str">
        <f t="shared" si="4"/>
        <v/>
      </c>
      <c r="C97" s="349" t="str">
        <f>IFERROR(VLOOKUP(B97,'Cálculos Comparativos'!A:B,2,0),"")</f>
        <v/>
      </c>
      <c r="D97" s="350"/>
      <c r="E97" s="351" t="str">
        <f t="shared" si="5"/>
        <v/>
      </c>
      <c r="F97" s="350" t="str">
        <f>IF(E97="","",IFERROR(COUNTIFS('Comparativo por Funcionário'!A:A,B97,'Comparativo por Funcionário'!U:U,F$86),0))</f>
        <v/>
      </c>
      <c r="G97" s="350" t="str">
        <f>IF(E97="","",IFERROR(COUNTIFS('Comparativo por Funcionário'!$A:$A,$B97,'Comparativo por Funcionário'!$U:$U,G$86),0))</f>
        <v/>
      </c>
      <c r="H97" s="350" t="str">
        <f>IF(E97="","",IFERROR(COUNTIFS('Comparativo por Funcionário'!$A:$A,$B97,'Comparativo por Funcionário'!$U:$U,H$86),0))</f>
        <v/>
      </c>
      <c r="I97" s="350" t="str">
        <f>IF(E97="","",IFERROR(COUNTIFS('Comparativo por Funcionário'!$A:$A,$B97,'Comparativo por Funcionário'!$U:$U,I$86),0))</f>
        <v/>
      </c>
      <c r="J97" s="350" t="str">
        <f>IF(E97="","",IFERROR(COUNTIFS('Comparativo por Funcionário'!$A:$A,$B97,'Comparativo por Funcionário'!$U:$U,J$86),0))</f>
        <v/>
      </c>
      <c r="K97" s="350" t="str">
        <f>IF(E97="","",IFERROR(COUNTIFS('Comparativo por Funcionário'!$A:$A,$B97,'Comparativo por Funcionário'!$U:$U,K$86),0))</f>
        <v/>
      </c>
    </row>
    <row r="98">
      <c r="B98" s="352" t="str">
        <f t="shared" si="4"/>
        <v/>
      </c>
      <c r="C98" s="353" t="str">
        <f>IFERROR(VLOOKUP(B98,'Cálculos Comparativos'!A:B,2,0),"")</f>
        <v/>
      </c>
      <c r="D98" s="354"/>
      <c r="E98" s="355" t="str">
        <f t="shared" si="5"/>
        <v/>
      </c>
      <c r="F98" s="354" t="str">
        <f>IF(E98="","",IFERROR(COUNTIFS('Comparativo por Funcionário'!A:A,B98,'Comparativo por Funcionário'!U:U,F$86),0))</f>
        <v/>
      </c>
      <c r="G98" s="354" t="str">
        <f>IF(E98="","",IFERROR(COUNTIFS('Comparativo por Funcionário'!$A:$A,$B98,'Comparativo por Funcionário'!$U:$U,G$86),0))</f>
        <v/>
      </c>
      <c r="H98" s="354" t="str">
        <f>IF(E98="","",IFERROR(COUNTIFS('Comparativo por Funcionário'!$A:$A,$B98,'Comparativo por Funcionário'!$U:$U,H$86),0))</f>
        <v/>
      </c>
      <c r="I98" s="354" t="str">
        <f>IF(E98="","",IFERROR(COUNTIFS('Comparativo por Funcionário'!$A:$A,$B98,'Comparativo por Funcionário'!$U:$U,I$86),0))</f>
        <v/>
      </c>
      <c r="J98" s="354" t="str">
        <f>IF(E98="","",IFERROR(COUNTIFS('Comparativo por Funcionário'!$A:$A,$B98,'Comparativo por Funcionário'!$U:$U,J$86),0))</f>
        <v/>
      </c>
      <c r="K98" s="354" t="str">
        <f>IF(E98="","",IFERROR(COUNTIFS('Comparativo por Funcionário'!$A:$A,$B98,'Comparativo por Funcionário'!$U:$U,K$86),0))</f>
        <v/>
      </c>
    </row>
    <row r="99">
      <c r="B99" s="348" t="str">
        <f t="shared" si="4"/>
        <v/>
      </c>
      <c r="C99" s="349" t="str">
        <f>IFERROR(VLOOKUP(B99,'Cálculos Comparativos'!A:B,2,0),"")</f>
        <v/>
      </c>
      <c r="D99" s="350"/>
      <c r="E99" s="351" t="str">
        <f t="shared" si="5"/>
        <v/>
      </c>
      <c r="F99" s="350" t="str">
        <f>IF(E99="","",IFERROR(COUNTIFS('Comparativo por Funcionário'!A:A,B99,'Comparativo por Funcionário'!U:U,F$86),0))</f>
        <v/>
      </c>
      <c r="G99" s="350" t="str">
        <f>IF(E99="","",IFERROR(COUNTIFS('Comparativo por Funcionário'!$A:$A,$B99,'Comparativo por Funcionário'!$U:$U,G$86),0))</f>
        <v/>
      </c>
      <c r="H99" s="350" t="str">
        <f>IF(E99="","",IFERROR(COUNTIFS('Comparativo por Funcionário'!$A:$A,$B99,'Comparativo por Funcionário'!$U:$U,H$86),0))</f>
        <v/>
      </c>
      <c r="I99" s="350" t="str">
        <f>IF(E99="","",IFERROR(COUNTIFS('Comparativo por Funcionário'!$A:$A,$B99,'Comparativo por Funcionário'!$U:$U,I$86),0))</f>
        <v/>
      </c>
      <c r="J99" s="350" t="str">
        <f>IF(E99="","",IFERROR(COUNTIFS('Comparativo por Funcionário'!$A:$A,$B99,'Comparativo por Funcionário'!$U:$U,J$86),0))</f>
        <v/>
      </c>
      <c r="K99" s="350" t="str">
        <f>IF(E99="","",IFERROR(COUNTIFS('Comparativo por Funcionário'!$A:$A,$B99,'Comparativo por Funcionário'!$U:$U,K$86),0))</f>
        <v/>
      </c>
    </row>
    <row r="100">
      <c r="B100" s="352" t="str">
        <f t="shared" si="4"/>
        <v/>
      </c>
      <c r="C100" s="353" t="str">
        <f>IFERROR(VLOOKUP(B100,'Cálculos Comparativos'!A:B,2,0),"")</f>
        <v/>
      </c>
      <c r="D100" s="354"/>
      <c r="E100" s="355" t="str">
        <f t="shared" si="5"/>
        <v/>
      </c>
      <c r="F100" s="354" t="str">
        <f>IF(E100="","",IFERROR(COUNTIFS('Comparativo por Funcionário'!A:A,B100,'Comparativo por Funcionário'!U:U,F$86),0))</f>
        <v/>
      </c>
      <c r="G100" s="354" t="str">
        <f>IF(E100="","",IFERROR(COUNTIFS('Comparativo por Funcionário'!$A:$A,$B100,'Comparativo por Funcionário'!$U:$U,G$86),0))</f>
        <v/>
      </c>
      <c r="H100" s="354" t="str">
        <f>IF(E100="","",IFERROR(COUNTIFS('Comparativo por Funcionário'!$A:$A,$B100,'Comparativo por Funcionário'!$U:$U,H$86),0))</f>
        <v/>
      </c>
      <c r="I100" s="354" t="str">
        <f>IF(E100="","",IFERROR(COUNTIFS('Comparativo por Funcionário'!$A:$A,$B100,'Comparativo por Funcionário'!$U:$U,I$86),0))</f>
        <v/>
      </c>
      <c r="J100" s="354" t="str">
        <f>IF(E100="","",IFERROR(COUNTIFS('Comparativo por Funcionário'!$A:$A,$B100,'Comparativo por Funcionário'!$U:$U,J$86),0))</f>
        <v/>
      </c>
      <c r="K100" s="354" t="str">
        <f>IF(E100="","",IFERROR(COUNTIFS('Comparativo por Funcionário'!$A:$A,$B100,'Comparativo por Funcionário'!$U:$U,K$86),0))</f>
        <v/>
      </c>
    </row>
    <row r="101">
      <c r="B101" s="358" t="str">
        <f t="shared" si="4"/>
        <v/>
      </c>
      <c r="C101" s="359" t="str">
        <f>IFERROR(VLOOKUP(B101,'Cálculos Comparativos'!A:B,2,0),"")</f>
        <v/>
      </c>
      <c r="D101" s="360"/>
      <c r="E101" s="361" t="str">
        <f t="shared" si="5"/>
        <v/>
      </c>
      <c r="F101" s="360" t="str">
        <f>IF(E101="","",IFERROR(COUNTIFS('Comparativo por Funcionário'!A:A,B101,'Comparativo por Funcionário'!U:U,F$86),0))</f>
        <v/>
      </c>
      <c r="G101" s="360" t="str">
        <f>IF(E101="","",IFERROR(COUNTIFS('Comparativo por Funcionário'!$A:$A,$B101,'Comparativo por Funcionário'!$U:$U,G$86),0))</f>
        <v/>
      </c>
      <c r="H101" s="360" t="str">
        <f>IF(E101="","",IFERROR(COUNTIFS('Comparativo por Funcionário'!$A:$A,$B101,'Comparativo por Funcionário'!$U:$U,H$86),0))</f>
        <v/>
      </c>
      <c r="I101" s="360" t="str">
        <f>IF(E101="","",IFERROR(COUNTIFS('Comparativo por Funcionário'!$A:$A,$B101,'Comparativo por Funcionário'!$U:$U,I$86),0))</f>
        <v/>
      </c>
      <c r="J101" s="360" t="str">
        <f>IF(E101="","",IFERROR(COUNTIFS('Comparativo por Funcionário'!$A:$A,$B101,'Comparativo por Funcionário'!$U:$U,J$86),0))</f>
        <v/>
      </c>
      <c r="K101" s="360" t="str">
        <f>IF(E101="","",IFERROR(COUNTIFS('Comparativo por Funcionário'!$A:$A,$B101,'Comparativo por Funcionário'!$U:$U,K$86),0))</f>
        <v/>
      </c>
    </row>
    <row r="102">
      <c r="B102" s="362" t="str">
        <f t="shared" si="4"/>
        <v/>
      </c>
      <c r="C102" s="363" t="str">
        <f>IFERROR(VLOOKUP(B102,'Cálculos Comparativos'!A:B,2,0),"")</f>
        <v/>
      </c>
      <c r="D102" s="364"/>
      <c r="E102" s="365" t="str">
        <f t="shared" si="5"/>
        <v/>
      </c>
      <c r="F102" s="364" t="str">
        <f>IF(E102="","",IFERROR(COUNTIFS('Comparativo por Funcionário'!A:A,B102,'Comparativo por Funcionário'!U:U,F$86),0))</f>
        <v/>
      </c>
      <c r="G102" s="364" t="str">
        <f>IF(E102="","",IFERROR(COUNTIFS('Comparativo por Funcionário'!$A:$A,$B102,'Comparativo por Funcionário'!$U:$U,G$86),0))</f>
        <v/>
      </c>
      <c r="H102" s="364" t="str">
        <f>IF(E102="","",IFERROR(COUNTIFS('Comparativo por Funcionário'!$A:$A,$B102,'Comparativo por Funcionário'!$U:$U,H$86),0))</f>
        <v/>
      </c>
      <c r="I102" s="364" t="str">
        <f>IF(E102="","",IFERROR(COUNTIFS('Comparativo por Funcionário'!$A:$A,$B102,'Comparativo por Funcionário'!$U:$U,I$86),0))</f>
        <v/>
      </c>
      <c r="J102" s="364" t="str">
        <f>IF(E102="","",IFERROR(COUNTIFS('Comparativo por Funcionário'!$A:$A,$B102,'Comparativo por Funcionário'!$U:$U,J$86),0))</f>
        <v/>
      </c>
      <c r="K102" s="364" t="str">
        <f>IF(E102="","",IFERROR(COUNTIFS('Comparativo por Funcionário'!$A:$A,$B102,'Comparativo por Funcionário'!$U:$U,K$86),0))</f>
        <v/>
      </c>
    </row>
    <row r="103">
      <c r="B103" s="358" t="str">
        <f t="shared" si="4"/>
        <v/>
      </c>
      <c r="C103" s="359" t="str">
        <f>IFERROR(VLOOKUP(B103,'Cálculos Comparativos'!A:B,2,0),"")</f>
        <v/>
      </c>
      <c r="D103" s="360"/>
      <c r="E103" s="361" t="str">
        <f t="shared" si="5"/>
        <v/>
      </c>
      <c r="F103" s="360" t="str">
        <f>IF(E103="","",IFERROR(COUNTIFS('Comparativo por Funcionário'!A:A,B103,'Comparativo por Funcionário'!U:U,F$86),0))</f>
        <v/>
      </c>
      <c r="G103" s="360" t="str">
        <f>IF(E103="","",IFERROR(COUNTIFS('Comparativo por Funcionário'!$A:$A,$B103,'Comparativo por Funcionário'!$U:$U,G$86),0))</f>
        <v/>
      </c>
      <c r="H103" s="360" t="str">
        <f>IF(E103="","",IFERROR(COUNTIFS('Comparativo por Funcionário'!$A:$A,$B103,'Comparativo por Funcionário'!$U:$U,H$86),0))</f>
        <v/>
      </c>
      <c r="I103" s="360" t="str">
        <f>IF(E103="","",IFERROR(COUNTIFS('Comparativo por Funcionário'!$A:$A,$B103,'Comparativo por Funcionário'!$U:$U,I$86),0))</f>
        <v/>
      </c>
      <c r="J103" s="360" t="str">
        <f>IF(E103="","",IFERROR(COUNTIFS('Comparativo por Funcionário'!$A:$A,$B103,'Comparativo por Funcionário'!$U:$U,J$86),0))</f>
        <v/>
      </c>
      <c r="K103" s="360" t="str">
        <f>IF(E103="","",IFERROR(COUNTIFS('Comparativo por Funcionário'!$A:$A,$B103,'Comparativo por Funcionário'!$U:$U,K$86),0))</f>
        <v/>
      </c>
    </row>
    <row r="104">
      <c r="B104" s="362" t="str">
        <f t="shared" si="4"/>
        <v/>
      </c>
      <c r="C104" s="363" t="str">
        <f>IFERROR(VLOOKUP(B104,'Cálculos Comparativos'!A:B,2,0),"")</f>
        <v/>
      </c>
      <c r="D104" s="364"/>
      <c r="E104" s="365" t="str">
        <f t="shared" si="5"/>
        <v/>
      </c>
      <c r="F104" s="364" t="str">
        <f>IF(E104="","",IFERROR(COUNTIFS('Comparativo por Funcionário'!A:A,B104,'Comparativo por Funcionário'!U:U,F$86),0))</f>
        <v/>
      </c>
      <c r="G104" s="364" t="str">
        <f>IF(E104="","",IFERROR(COUNTIFS('Comparativo por Funcionário'!$A:$A,$B104,'Comparativo por Funcionário'!$U:$U,G$86),0))</f>
        <v/>
      </c>
      <c r="H104" s="364" t="str">
        <f>IF(E104="","",IFERROR(COUNTIFS('Comparativo por Funcionário'!$A:$A,$B104,'Comparativo por Funcionário'!$U:$U,H$86),0))</f>
        <v/>
      </c>
      <c r="I104" s="364" t="str">
        <f>IF(E104="","",IFERROR(COUNTIFS('Comparativo por Funcionário'!$A:$A,$B104,'Comparativo por Funcionário'!$U:$U,I$86),0))</f>
        <v/>
      </c>
      <c r="J104" s="364" t="str">
        <f>IF(E104="","",IFERROR(COUNTIFS('Comparativo por Funcionário'!$A:$A,$B104,'Comparativo por Funcionário'!$U:$U,J$86),0))</f>
        <v/>
      </c>
      <c r="K104" s="364" t="str">
        <f>IF(E104="","",IFERROR(COUNTIFS('Comparativo por Funcionário'!$A:$A,$B104,'Comparativo por Funcionário'!$U:$U,K$86),0))</f>
        <v/>
      </c>
    </row>
    <row r="105">
      <c r="B105" s="358" t="str">
        <f t="shared" si="4"/>
        <v/>
      </c>
      <c r="C105" s="359" t="str">
        <f>IFERROR(VLOOKUP(B105,'Cálculos Comparativos'!A:B,2,0),"")</f>
        <v/>
      </c>
      <c r="D105" s="360"/>
      <c r="E105" s="361" t="str">
        <f t="shared" si="5"/>
        <v/>
      </c>
      <c r="F105" s="360" t="str">
        <f>IF(E105="","",IFERROR(COUNTIFS('Comparativo por Funcionário'!A:A,B105,'Comparativo por Funcionário'!U:U,F$86),0))</f>
        <v/>
      </c>
      <c r="G105" s="360" t="str">
        <f>IF(E105="","",IFERROR(COUNTIFS('Comparativo por Funcionário'!$A:$A,$B105,'Comparativo por Funcionário'!$U:$U,G$86),0))</f>
        <v/>
      </c>
      <c r="H105" s="360" t="str">
        <f>IF(E105="","",IFERROR(COUNTIFS('Comparativo por Funcionário'!$A:$A,$B105,'Comparativo por Funcionário'!$U:$U,H$86),0))</f>
        <v/>
      </c>
      <c r="I105" s="360" t="str">
        <f>IF(E105="","",IFERROR(COUNTIFS('Comparativo por Funcionário'!$A:$A,$B105,'Comparativo por Funcionário'!$U:$U,I$86),0))</f>
        <v/>
      </c>
      <c r="J105" s="360" t="str">
        <f>IF(E105="","",IFERROR(COUNTIFS('Comparativo por Funcionário'!$A:$A,$B105,'Comparativo por Funcionário'!$U:$U,J$86),0))</f>
        <v/>
      </c>
      <c r="K105" s="360" t="str">
        <f>IF(E105="","",IFERROR(COUNTIFS('Comparativo por Funcionário'!$A:$A,$B105,'Comparativo por Funcionário'!$U:$U,K$86),0))</f>
        <v/>
      </c>
    </row>
    <row r="106">
      <c r="B106" s="362" t="str">
        <f t="shared" si="4"/>
        <v/>
      </c>
      <c r="C106" s="363" t="str">
        <f>IFERROR(VLOOKUP(B106,'Cálculos Comparativos'!A:B,2,0),"")</f>
        <v/>
      </c>
      <c r="D106" s="364"/>
      <c r="E106" s="365" t="str">
        <f t="shared" si="5"/>
        <v/>
      </c>
      <c r="F106" s="364" t="str">
        <f>IF(E106="","",IFERROR(COUNTIFS('Comparativo por Funcionário'!A:A,B106,'Comparativo por Funcionário'!U:U,F$86),0))</f>
        <v/>
      </c>
      <c r="G106" s="364" t="str">
        <f>IF(E106="","",IFERROR(COUNTIFS('Comparativo por Funcionário'!$A:$A,$B106,'Comparativo por Funcionário'!$U:$U,G$86),0))</f>
        <v/>
      </c>
      <c r="H106" s="364" t="str">
        <f>IF(E106="","",IFERROR(COUNTIFS('Comparativo por Funcionário'!$A:$A,$B106,'Comparativo por Funcionário'!$U:$U,H$86),0))</f>
        <v/>
      </c>
      <c r="I106" s="364" t="str">
        <f>IF(E106="","",IFERROR(COUNTIFS('Comparativo por Funcionário'!$A:$A,$B106,'Comparativo por Funcionário'!$U:$U,I$86),0))</f>
        <v/>
      </c>
      <c r="J106" s="364" t="str">
        <f>IF(E106="","",IFERROR(COUNTIFS('Comparativo por Funcionário'!$A:$A,$B106,'Comparativo por Funcionário'!$U:$U,J$86),0))</f>
        <v/>
      </c>
      <c r="K106" s="364" t="str">
        <f>IF(E106="","",IFERROR(COUNTIFS('Comparativo por Funcionário'!$A:$A,$B106,'Comparativo por Funcionário'!$U:$U,K$86),0))</f>
        <v/>
      </c>
    </row>
    <row r="107">
      <c r="B107" s="358" t="str">
        <f t="shared" si="4"/>
        <v/>
      </c>
      <c r="C107" s="359" t="str">
        <f>IFERROR(VLOOKUP(B107,'Cálculos Comparativos'!A:B,2,0),"")</f>
        <v/>
      </c>
      <c r="D107" s="360"/>
      <c r="E107" s="361" t="str">
        <f t="shared" si="5"/>
        <v/>
      </c>
      <c r="F107" s="360" t="str">
        <f>IF(E107="","",IFERROR(COUNTIFS('Comparativo por Funcionário'!A:A,B107,'Comparativo por Funcionário'!U:U,F$86),0))</f>
        <v/>
      </c>
      <c r="G107" s="360" t="str">
        <f>IF(E107="","",IFERROR(COUNTIFS('Comparativo por Funcionário'!$A:$A,$B107,'Comparativo por Funcionário'!$U:$U,G$86),0))</f>
        <v/>
      </c>
      <c r="H107" s="360" t="str">
        <f>IF(E107="","",IFERROR(COUNTIFS('Comparativo por Funcionário'!$A:$A,$B107,'Comparativo por Funcionário'!$U:$U,H$86),0))</f>
        <v/>
      </c>
      <c r="I107" s="360" t="str">
        <f>IF(E107="","",IFERROR(COUNTIFS('Comparativo por Funcionário'!$A:$A,$B107,'Comparativo por Funcionário'!$U:$U,I$86),0))</f>
        <v/>
      </c>
      <c r="J107" s="360" t="str">
        <f>IF(E107="","",IFERROR(COUNTIFS('Comparativo por Funcionário'!$A:$A,$B107,'Comparativo por Funcionário'!$U:$U,J$86),0))</f>
        <v/>
      </c>
      <c r="K107" s="360" t="str">
        <f>IF(E107="","",IFERROR(COUNTIFS('Comparativo por Funcionário'!$A:$A,$B107,'Comparativo por Funcionário'!$U:$U,K$86),0))</f>
        <v/>
      </c>
    </row>
    <row r="108">
      <c r="B108" s="362" t="str">
        <f t="shared" si="4"/>
        <v/>
      </c>
      <c r="C108" s="363" t="str">
        <f>IFERROR(VLOOKUP(B108,'Cálculos Comparativos'!A:B,2,0),"")</f>
        <v/>
      </c>
      <c r="D108" s="364"/>
      <c r="E108" s="365" t="str">
        <f t="shared" si="5"/>
        <v/>
      </c>
      <c r="F108" s="364" t="str">
        <f>IF(E108="","",IFERROR(COUNTIFS('Comparativo por Funcionário'!A:A,B108,'Comparativo por Funcionário'!U:U,F$86),0))</f>
        <v/>
      </c>
      <c r="G108" s="364" t="str">
        <f>IF(E108="","",IFERROR(COUNTIFS('Comparativo por Funcionário'!$A:$A,$B108,'Comparativo por Funcionário'!$U:$U,G$86),0))</f>
        <v/>
      </c>
      <c r="H108" s="364" t="str">
        <f>IF(E108="","",IFERROR(COUNTIFS('Comparativo por Funcionário'!$A:$A,$B108,'Comparativo por Funcionário'!$U:$U,H$86),0))</f>
        <v/>
      </c>
      <c r="I108" s="364" t="str">
        <f>IF(E108="","",IFERROR(COUNTIFS('Comparativo por Funcionário'!$A:$A,$B108,'Comparativo por Funcionário'!$U:$U,I$86),0))</f>
        <v/>
      </c>
      <c r="J108" s="364" t="str">
        <f>IF(E108="","",IFERROR(COUNTIFS('Comparativo por Funcionário'!$A:$A,$B108,'Comparativo por Funcionário'!$U:$U,J$86),0))</f>
        <v/>
      </c>
      <c r="K108" s="364" t="str">
        <f>IF(E108="","",IFERROR(COUNTIFS('Comparativo por Funcionário'!$A:$A,$B108,'Comparativo por Funcionário'!$U:$U,K$86),0))</f>
        <v/>
      </c>
    </row>
    <row r="109">
      <c r="B109" s="358" t="str">
        <f t="shared" si="4"/>
        <v/>
      </c>
      <c r="C109" s="359" t="str">
        <f>IFERROR(VLOOKUP(B109,'Cálculos Comparativos'!A:B,2,0),"")</f>
        <v/>
      </c>
      <c r="D109" s="360"/>
      <c r="E109" s="361" t="str">
        <f t="shared" si="5"/>
        <v/>
      </c>
      <c r="F109" s="360" t="str">
        <f>IF(E109="","",IFERROR(COUNTIFS('Comparativo por Funcionário'!A:A,B109,'Comparativo por Funcionário'!U:U,F$86),0))</f>
        <v/>
      </c>
      <c r="G109" s="360" t="str">
        <f>IF(E109="","",IFERROR(COUNTIFS('Comparativo por Funcionário'!$A:$A,$B109,'Comparativo por Funcionário'!$U:$U,G$86),0))</f>
        <v/>
      </c>
      <c r="H109" s="360" t="str">
        <f>IF(E109="","",IFERROR(COUNTIFS('Comparativo por Funcionário'!$A:$A,$B109,'Comparativo por Funcionário'!$U:$U,H$86),0))</f>
        <v/>
      </c>
      <c r="I109" s="360" t="str">
        <f>IF(E109="","",IFERROR(COUNTIFS('Comparativo por Funcionário'!$A:$A,$B109,'Comparativo por Funcionário'!$U:$U,I$86),0))</f>
        <v/>
      </c>
      <c r="J109" s="360" t="str">
        <f>IF(E109="","",IFERROR(COUNTIFS('Comparativo por Funcionário'!$A:$A,$B109,'Comparativo por Funcionário'!$U:$U,J$86),0))</f>
        <v/>
      </c>
      <c r="K109" s="360" t="str">
        <f>IF(E109="","",IFERROR(COUNTIFS('Comparativo por Funcionário'!$A:$A,$B109,'Comparativo por Funcionário'!$U:$U,K$86),0))</f>
        <v/>
      </c>
    </row>
    <row r="110">
      <c r="B110" s="362" t="str">
        <f t="shared" si="4"/>
        <v/>
      </c>
      <c r="C110" s="363" t="str">
        <f>IFERROR(VLOOKUP(B110,'Cálculos Comparativos'!A:B,2,0),"")</f>
        <v/>
      </c>
      <c r="D110" s="364"/>
      <c r="E110" s="365" t="str">
        <f t="shared" si="5"/>
        <v/>
      </c>
      <c r="F110" s="364" t="str">
        <f>IF(E110="","",IFERROR(COUNTIFS('Comparativo por Funcionário'!A:A,B110,'Comparativo por Funcionário'!U:U,F$86),0))</f>
        <v/>
      </c>
      <c r="G110" s="364" t="str">
        <f>IF(E110="","",IFERROR(COUNTIFS('Comparativo por Funcionário'!$A:$A,$B110,'Comparativo por Funcionário'!$U:$U,G$86),0))</f>
        <v/>
      </c>
      <c r="H110" s="364" t="str">
        <f>IF(E110="","",IFERROR(COUNTIFS('Comparativo por Funcionário'!$A:$A,$B110,'Comparativo por Funcionário'!$U:$U,H$86),0))</f>
        <v/>
      </c>
      <c r="I110" s="364" t="str">
        <f>IF(E110="","",IFERROR(COUNTIFS('Comparativo por Funcionário'!$A:$A,$B110,'Comparativo por Funcionário'!$U:$U,I$86),0))</f>
        <v/>
      </c>
      <c r="J110" s="364" t="str">
        <f>IF(E110="","",IFERROR(COUNTIFS('Comparativo por Funcionário'!$A:$A,$B110,'Comparativo por Funcionário'!$U:$U,J$86),0))</f>
        <v/>
      </c>
      <c r="K110" s="364" t="str">
        <f>IF(E110="","",IFERROR(COUNTIFS('Comparativo por Funcionário'!$A:$A,$B110,'Comparativo por Funcionário'!$U:$U,K$86),0))</f>
        <v/>
      </c>
    </row>
    <row r="111">
      <c r="B111" s="358" t="str">
        <f t="shared" si="4"/>
        <v/>
      </c>
      <c r="C111" s="359" t="str">
        <f>IFERROR(VLOOKUP(B111,'Cálculos Comparativos'!A:B,2,0),"")</f>
        <v/>
      </c>
      <c r="D111" s="360"/>
      <c r="E111" s="361" t="str">
        <f t="shared" si="5"/>
        <v/>
      </c>
      <c r="F111" s="360" t="str">
        <f>IF(E111="","",IFERROR(COUNTIFS('Comparativo por Funcionário'!A:A,B111,'Comparativo por Funcionário'!U:U,F$86),0))</f>
        <v/>
      </c>
      <c r="G111" s="360" t="str">
        <f>IF(E111="","",IFERROR(COUNTIFS('Comparativo por Funcionário'!$A:$A,$B111,'Comparativo por Funcionário'!$U:$U,G$86),0))</f>
        <v/>
      </c>
      <c r="H111" s="360" t="str">
        <f>IF(E111="","",IFERROR(COUNTIFS('Comparativo por Funcionário'!$A:$A,$B111,'Comparativo por Funcionário'!$U:$U,H$86),0))</f>
        <v/>
      </c>
      <c r="I111" s="360" t="str">
        <f>IF(E111="","",IFERROR(COUNTIFS('Comparativo por Funcionário'!$A:$A,$B111,'Comparativo por Funcionário'!$U:$U,I$86),0))</f>
        <v/>
      </c>
      <c r="J111" s="360" t="str">
        <f>IF(E111="","",IFERROR(COUNTIFS('Comparativo por Funcionário'!$A:$A,$B111,'Comparativo por Funcionário'!$U:$U,J$86),0))</f>
        <v/>
      </c>
      <c r="K111" s="360" t="str">
        <f>IF(E111="","",IFERROR(COUNTIFS('Comparativo por Funcionário'!$A:$A,$B111,'Comparativo por Funcionário'!$U:$U,K$86),0))</f>
        <v/>
      </c>
    </row>
    <row r="112">
      <c r="B112" s="362" t="str">
        <f t="shared" si="4"/>
        <v/>
      </c>
      <c r="C112" s="363" t="str">
        <f>IFERROR(VLOOKUP(B112,'Cálculos Comparativos'!A:B,2,0),"")</f>
        <v/>
      </c>
      <c r="D112" s="364"/>
      <c r="E112" s="365" t="str">
        <f t="shared" si="5"/>
        <v/>
      </c>
      <c r="F112" s="364" t="str">
        <f>IF(E112="","",IFERROR(COUNTIFS('Comparativo por Funcionário'!A:A,B112,'Comparativo por Funcionário'!U:U,F$86),0))</f>
        <v/>
      </c>
      <c r="G112" s="364" t="str">
        <f>IF(E112="","",IFERROR(COUNTIFS('Comparativo por Funcionário'!$A:$A,$B112,'Comparativo por Funcionário'!$U:$U,G$86),0))</f>
        <v/>
      </c>
      <c r="H112" s="364" t="str">
        <f>IF(E112="","",IFERROR(COUNTIFS('Comparativo por Funcionário'!$A:$A,$B112,'Comparativo por Funcionário'!$U:$U,H$86),0))</f>
        <v/>
      </c>
      <c r="I112" s="364" t="str">
        <f>IF(E112="","",IFERROR(COUNTIFS('Comparativo por Funcionário'!$A:$A,$B112,'Comparativo por Funcionário'!$U:$U,I$86),0))</f>
        <v/>
      </c>
      <c r="J112" s="364" t="str">
        <f>IF(E112="","",IFERROR(COUNTIFS('Comparativo por Funcionário'!$A:$A,$B112,'Comparativo por Funcionário'!$U:$U,J$86),0))</f>
        <v/>
      </c>
      <c r="K112" s="364" t="str">
        <f>IF(E112="","",IFERROR(COUNTIFS('Comparativo por Funcionário'!$A:$A,$B112,'Comparativo por Funcionário'!$U:$U,K$86),0))</f>
        <v/>
      </c>
    </row>
    <row r="113">
      <c r="B113" s="358" t="str">
        <f t="shared" si="4"/>
        <v/>
      </c>
      <c r="C113" s="359" t="str">
        <f>IFERROR(VLOOKUP(B113,'Cálculos Comparativos'!A:B,2,0),"")</f>
        <v/>
      </c>
      <c r="D113" s="360"/>
      <c r="E113" s="361" t="str">
        <f t="shared" si="5"/>
        <v/>
      </c>
      <c r="F113" s="360" t="str">
        <f>IF(E113="","",IFERROR(COUNTIFS('Comparativo por Funcionário'!A:A,B113,'Comparativo por Funcionário'!U:U,F$86),0))</f>
        <v/>
      </c>
      <c r="G113" s="360" t="str">
        <f>IF(E113="","",IFERROR(COUNTIFS('Comparativo por Funcionário'!$A:$A,$B113,'Comparativo por Funcionário'!$U:$U,G$86),0))</f>
        <v/>
      </c>
      <c r="H113" s="360" t="str">
        <f>IF(E113="","",IFERROR(COUNTIFS('Comparativo por Funcionário'!$A:$A,$B113,'Comparativo por Funcionário'!$U:$U,H$86),0))</f>
        <v/>
      </c>
      <c r="I113" s="360" t="str">
        <f>IF(E113="","",IFERROR(COUNTIFS('Comparativo por Funcionário'!$A:$A,$B113,'Comparativo por Funcionário'!$U:$U,I$86),0))</f>
        <v/>
      </c>
      <c r="J113" s="360" t="str">
        <f>IF(E113="","",IFERROR(COUNTIFS('Comparativo por Funcionário'!$A:$A,$B113,'Comparativo por Funcionário'!$U:$U,J$86),0))</f>
        <v/>
      </c>
      <c r="K113" s="360" t="str">
        <f>IF(E113="","",IFERROR(COUNTIFS('Comparativo por Funcionário'!$A:$A,$B113,'Comparativo por Funcionário'!$U:$U,K$86),0))</f>
        <v/>
      </c>
    </row>
    <row r="114">
      <c r="B114" s="362" t="str">
        <f t="shared" si="4"/>
        <v/>
      </c>
      <c r="C114" s="363" t="str">
        <f>IFERROR(VLOOKUP(B114,'Cálculos Comparativos'!A:B,2,0),"")</f>
        <v/>
      </c>
      <c r="D114" s="364"/>
      <c r="E114" s="365" t="str">
        <f t="shared" si="5"/>
        <v/>
      </c>
      <c r="F114" s="364" t="str">
        <f>IF(E114="","",IFERROR(COUNTIFS('Comparativo por Funcionário'!A:A,B114,'Comparativo por Funcionário'!U:U,F$86),0))</f>
        <v/>
      </c>
      <c r="G114" s="364" t="str">
        <f>IF(E114="","",IFERROR(COUNTIFS('Comparativo por Funcionário'!$A:$A,$B114,'Comparativo por Funcionário'!$U:$U,G$86),0))</f>
        <v/>
      </c>
      <c r="H114" s="364" t="str">
        <f>IF(E114="","",IFERROR(COUNTIFS('Comparativo por Funcionário'!$A:$A,$B114,'Comparativo por Funcionário'!$U:$U,H$86),0))</f>
        <v/>
      </c>
      <c r="I114" s="364" t="str">
        <f>IF(E114="","",IFERROR(COUNTIFS('Comparativo por Funcionário'!$A:$A,$B114,'Comparativo por Funcionário'!$U:$U,I$86),0))</f>
        <v/>
      </c>
      <c r="J114" s="364" t="str">
        <f>IF(E114="","",IFERROR(COUNTIFS('Comparativo por Funcionário'!$A:$A,$B114,'Comparativo por Funcionário'!$U:$U,J$86),0))</f>
        <v/>
      </c>
      <c r="K114" s="364" t="str">
        <f>IF(E114="","",IFERROR(COUNTIFS('Comparativo por Funcionário'!$A:$A,$B114,'Comparativo por Funcionário'!$U:$U,K$86),0))</f>
        <v/>
      </c>
    </row>
    <row r="115">
      <c r="B115" s="358" t="str">
        <f t="shared" si="4"/>
        <v/>
      </c>
      <c r="C115" s="359" t="str">
        <f>IFERROR(VLOOKUP(B115,'Cálculos Comparativos'!A:B,2,0),"")</f>
        <v/>
      </c>
      <c r="D115" s="360"/>
      <c r="E115" s="361" t="str">
        <f t="shared" si="5"/>
        <v/>
      </c>
      <c r="F115" s="360" t="str">
        <f>IF(E115="","",IFERROR(COUNTIFS('Comparativo por Funcionário'!A:A,B115,'Comparativo por Funcionário'!U:U,F$86),0))</f>
        <v/>
      </c>
      <c r="G115" s="360" t="str">
        <f>IF(E115="","",IFERROR(COUNTIFS('Comparativo por Funcionário'!$A:$A,$B115,'Comparativo por Funcionário'!$U:$U,G$86),0))</f>
        <v/>
      </c>
      <c r="H115" s="360" t="str">
        <f>IF(E115="","",IFERROR(COUNTIFS('Comparativo por Funcionário'!$A:$A,$B115,'Comparativo por Funcionário'!$U:$U,H$86),0))</f>
        <v/>
      </c>
      <c r="I115" s="360" t="str">
        <f>IF(E115="","",IFERROR(COUNTIFS('Comparativo por Funcionário'!$A:$A,$B115,'Comparativo por Funcionário'!$U:$U,I$86),0))</f>
        <v/>
      </c>
      <c r="J115" s="360" t="str">
        <f>IF(E115="","",IFERROR(COUNTIFS('Comparativo por Funcionário'!$A:$A,$B115,'Comparativo por Funcionário'!$U:$U,J$86),0))</f>
        <v/>
      </c>
      <c r="K115" s="360" t="str">
        <f>IF(E115="","",IFERROR(COUNTIFS('Comparativo por Funcionário'!$A:$A,$B115,'Comparativo por Funcionário'!$U:$U,K$86),0))</f>
        <v/>
      </c>
    </row>
    <row r="116">
      <c r="B116" s="362" t="str">
        <f t="shared" si="4"/>
        <v/>
      </c>
      <c r="C116" s="363" t="str">
        <f>IFERROR(VLOOKUP(B116,'Cálculos Comparativos'!A:B,2,0),"")</f>
        <v/>
      </c>
      <c r="D116" s="364"/>
      <c r="E116" s="365" t="str">
        <f t="shared" si="5"/>
        <v/>
      </c>
      <c r="F116" s="364" t="str">
        <f>IF(E116="","",IFERROR(COUNTIFS('Comparativo por Funcionário'!A:A,B116,'Comparativo por Funcionário'!U:U,F$86),0))</f>
        <v/>
      </c>
      <c r="G116" s="364" t="str">
        <f>IF(E116="","",IFERROR(COUNTIFS('Comparativo por Funcionário'!$A:$A,$B116,'Comparativo por Funcionário'!$U:$U,G$86),0))</f>
        <v/>
      </c>
      <c r="H116" s="364" t="str">
        <f>IF(E116="","",IFERROR(COUNTIFS('Comparativo por Funcionário'!$A:$A,$B116,'Comparativo por Funcionário'!$U:$U,H$86),0))</f>
        <v/>
      </c>
      <c r="I116" s="364" t="str">
        <f>IF(E116="","",IFERROR(COUNTIFS('Comparativo por Funcionário'!$A:$A,$B116,'Comparativo por Funcionário'!$U:$U,I$86),0))</f>
        <v/>
      </c>
      <c r="J116" s="364" t="str">
        <f>IF(E116="","",IFERROR(COUNTIFS('Comparativo por Funcionário'!$A:$A,$B116,'Comparativo por Funcionário'!$U:$U,J$86),0))</f>
        <v/>
      </c>
      <c r="K116" s="364" t="str">
        <f>IF(E116="","",IFERROR(COUNTIFS('Comparativo por Funcionário'!$A:$A,$B116,'Comparativo por Funcionário'!$U:$U,K$86),0))</f>
        <v/>
      </c>
    </row>
    <row r="117">
      <c r="B117" s="366"/>
      <c r="C117" s="359"/>
      <c r="D117" s="360"/>
      <c r="E117" s="361"/>
      <c r="F117" s="360"/>
      <c r="G117" s="360"/>
      <c r="H117" s="360"/>
      <c r="I117" s="360"/>
      <c r="J117" s="360"/>
      <c r="K117" s="360"/>
    </row>
    <row r="118">
      <c r="B118" s="366"/>
      <c r="C118" s="359"/>
      <c r="D118" s="360"/>
      <c r="E118" s="361"/>
      <c r="F118" s="360"/>
      <c r="G118" s="360"/>
      <c r="H118" s="360"/>
      <c r="I118" s="360"/>
      <c r="J118" s="360"/>
      <c r="K118" s="360"/>
    </row>
    <row r="120">
      <c r="A120" s="319"/>
      <c r="B120" s="367" t="s">
        <v>354</v>
      </c>
      <c r="C120" s="367" t="s">
        <v>195</v>
      </c>
      <c r="D120" s="368"/>
    </row>
    <row r="121">
      <c r="A121" s="319"/>
      <c r="B121" s="369" t="s">
        <v>355</v>
      </c>
      <c r="C121" s="370" t="s">
        <v>195</v>
      </c>
      <c r="D121" s="371"/>
      <c r="G121" s="372"/>
    </row>
    <row r="122">
      <c r="A122" s="282">
        <v>1.0</v>
      </c>
      <c r="B122" s="373" t="s">
        <v>341</v>
      </c>
      <c r="C122" s="374">
        <f>(COUNTIFS('Cálculos Comparativos'!T:T,$B$22,'Cálculos Comparativos'!D:D,A122)+COUNTIFS('Cálculos Comparativos'!T:T,$B$23,'Cálculos Comparativos'!D:D,A122)+COUNTIFS('Cálculos Comparativos'!T:T,$B$24,'Cálculos Comparativos'!D:D,A122))/(COUNTIFS('Cálculos Comparativos'!T:T,$B$22,'Cálculos Comparativos'!D:D,A122)+COUNTIFS('Cálculos Comparativos'!T:T,$B$23,'Cálculos Comparativos'!D:D,A122)+COUNTIFS('Cálculos Comparativos'!T:T,$B$24,'Cálculos Comparativos'!D:D,A122)+COUNTIFS('Cálculos Comparativos'!T:T,#REF!,'Cálculos Comparativos'!D:D,A122)+COUNTIFS('Cálculos Comparativos'!T:T,$B$25,'Cálculos Comparativos'!D:D,A122)+COUNTIFS('Cálculos Comparativos'!T:T,$B$26,'Cálculos Comparativos'!D:D,A122))</f>
        <v>0.6666666667</v>
      </c>
      <c r="D122" s="375"/>
      <c r="E122" s="300"/>
      <c r="F122" s="376" t="str">
        <f>IFERROR(__xludf.DUMMYFUNCTION("QUERY(B122:C131, ""select B, C order by C desc"", 0)"),"DHO")</f>
        <v>DHO</v>
      </c>
      <c r="G122" s="374">
        <f>IFERROR(__xludf.DUMMYFUNCTION("""COMPUTED_VALUE"""),1.0)</f>
        <v>1</v>
      </c>
    </row>
    <row r="123">
      <c r="A123" s="282">
        <v>2.0</v>
      </c>
      <c r="B123" s="373" t="s">
        <v>122</v>
      </c>
      <c r="C123" s="374">
        <f>(COUNTIFS('Cálculos Comparativos'!T:T,$B$22,'Cálculos Comparativos'!D:D,A123)+COUNTIFS('Cálculos Comparativos'!T:T,$B$23,'Cálculos Comparativos'!D:D,A123)+COUNTIFS('Cálculos Comparativos'!T:T,$B$24,'Cálculos Comparativos'!D:D,A123))/(COUNTIFS('Cálculos Comparativos'!T:T,$B$22,'Cálculos Comparativos'!D:D,A123)+COUNTIFS('Cálculos Comparativos'!T:T,$B$23,'Cálculos Comparativos'!D:D,A123)+COUNTIFS('Cálculos Comparativos'!T:T,$B$24,'Cálculos Comparativos'!D:D,A123)+COUNTIFS('Cálculos Comparativos'!T:T,#REF!,'Cálculos Comparativos'!D:D,A123)+COUNTIFS('Cálculos Comparativos'!T:T,$B$25,'Cálculos Comparativos'!D:D,A123)+COUNTIFS('Cálculos Comparativos'!T:T,$B$26,'Cálculos Comparativos'!D:D,A123))</f>
        <v>0.8</v>
      </c>
      <c r="D123" s="375"/>
      <c r="E123" s="300"/>
      <c r="F123" s="376" t="str">
        <f>IFERROR(__xludf.DUMMYFUNCTION("""COMPUTED_VALUE"""),"Comercial")</f>
        <v>Comercial</v>
      </c>
      <c r="G123" s="374">
        <f>IFERROR(__xludf.DUMMYFUNCTION("""COMPUTED_VALUE"""),0.8)</f>
        <v>0.8</v>
      </c>
    </row>
    <row r="124">
      <c r="A124" s="282">
        <v>3.0</v>
      </c>
      <c r="B124" s="373" t="s">
        <v>70</v>
      </c>
      <c r="C124" s="374">
        <f>(COUNTIFS('Cálculos Comparativos'!T:T,$B$22,'Cálculos Comparativos'!D:D,A124)+COUNTIFS('Cálculos Comparativos'!T:T,$B$23,'Cálculos Comparativos'!D:D,A124)+COUNTIFS('Cálculos Comparativos'!T:T,$B$24,'Cálculos Comparativos'!D:D,A124))/(COUNTIFS('Cálculos Comparativos'!T:T,$B$22,'Cálculos Comparativos'!D:D,A124)+COUNTIFS('Cálculos Comparativos'!T:T,$B$23,'Cálculos Comparativos'!D:D,A124)+COUNTIFS('Cálculos Comparativos'!T:T,$B$24,'Cálculos Comparativos'!D:D,A124)+COUNTIFS('Cálculos Comparativos'!T:T,#REF!,'Cálculos Comparativos'!D:D,A124)+COUNTIFS('Cálculos Comparativos'!T:T,$B$25,'Cálculos Comparativos'!D:D,A124)+COUNTIFS('Cálculos Comparativos'!T:T,$B$26,'Cálculos Comparativos'!D:D,A124))</f>
        <v>0.6666666667</v>
      </c>
      <c r="D124" s="375"/>
      <c r="F124" s="376" t="str">
        <f>IFERROR(__xludf.DUMMYFUNCTION("""COMPUTED_VALUE"""),"Incorporação, Inovação, Legalização")</f>
        <v>Incorporação, Inovação, Legalização</v>
      </c>
      <c r="G124" s="374">
        <f>IFERROR(__xludf.DUMMYFUNCTION("""COMPUTED_VALUE"""),0.75)</f>
        <v>0.75</v>
      </c>
    </row>
    <row r="125">
      <c r="A125" s="282">
        <v>4.0</v>
      </c>
      <c r="B125" s="373" t="s">
        <v>77</v>
      </c>
      <c r="C125" s="374">
        <f>(COUNTIFS('Cálculos Comparativos'!T:T,$B$22,'Cálculos Comparativos'!D:D,A125)+COUNTIFS('Cálculos Comparativos'!T:T,$B$23,'Cálculos Comparativos'!D:D,A125)+COUNTIFS('Cálculos Comparativos'!T:T,$B$24,'Cálculos Comparativos'!D:D,A125))/(COUNTIFS('Cálculos Comparativos'!T:T,$B$22,'Cálculos Comparativos'!D:D,A125)+COUNTIFS('Cálculos Comparativos'!T:T,$B$23,'Cálculos Comparativos'!D:D,A125)+COUNTIFS('Cálculos Comparativos'!T:T,$B$24,'Cálculos Comparativos'!D:D,A125)+COUNTIFS('Cálculos Comparativos'!T:T,#REF!,'Cálculos Comparativos'!D:D,A125)+COUNTIFS('Cálculos Comparativos'!T:T,$B$25,'Cálculos Comparativos'!D:D,A125)+COUNTIFS('Cálculos Comparativos'!T:T,$B$26,'Cálculos Comparativos'!D:D,A125))</f>
        <v>1</v>
      </c>
      <c r="D125" s="375"/>
      <c r="F125" s="376" t="str">
        <f>IFERROR(__xludf.DUMMYFUNCTION("""COMPUTED_VALUE"""),"Administrativo, Recepção, Suprimentos, Tecnologia da Informação")</f>
        <v>Administrativo, Recepção, Suprimentos, Tecnologia da Informação</v>
      </c>
      <c r="G125" s="374">
        <f>IFERROR(__xludf.DUMMYFUNCTION("""COMPUTED_VALUE"""),0.6666666666666666)</f>
        <v>0.6666666667</v>
      </c>
    </row>
    <row r="126">
      <c r="A126" s="282">
        <v>5.0</v>
      </c>
      <c r="B126" s="373" t="s">
        <v>23</v>
      </c>
      <c r="C126" s="374">
        <f>(COUNTIFS('Cálculos Comparativos'!T:T,$B$22,'Cálculos Comparativos'!D:D,A126)+COUNTIFS('Cálculos Comparativos'!T:T,$B$23,'Cálculos Comparativos'!D:D,A126)+COUNTIFS('Cálculos Comparativos'!T:T,$B$24,'Cálculos Comparativos'!D:D,A126))/(COUNTIFS('Cálculos Comparativos'!T:T,$B$22,'Cálculos Comparativos'!D:D,A126)+COUNTIFS('Cálculos Comparativos'!T:T,$B$23,'Cálculos Comparativos'!D:D,A126)+COUNTIFS('Cálculos Comparativos'!T:T,$B$24,'Cálculos Comparativos'!D:D,A126)+COUNTIFS('Cálculos Comparativos'!T:T,#REF!,'Cálculos Comparativos'!D:D,A126)+COUNTIFS('Cálculos Comparativos'!T:T,$B$25,'Cálculos Comparativos'!D:D,A126)+COUNTIFS('Cálculos Comparativos'!T:T,$B$26,'Cálculos Comparativos'!D:D,A126))</f>
        <v>0.5555555556</v>
      </c>
      <c r="D126" s="375"/>
      <c r="F126" s="376" t="str">
        <f>IFERROR(__xludf.DUMMYFUNCTION("""COMPUTED_VALUE"""),"Controladoria")</f>
        <v>Controladoria</v>
      </c>
      <c r="G126" s="374">
        <f>IFERROR(__xludf.DUMMYFUNCTION("""COMPUTED_VALUE"""),0.6666666666666666)</f>
        <v>0.6666666667</v>
      </c>
    </row>
    <row r="127">
      <c r="A127" s="282">
        <v>6.0</v>
      </c>
      <c r="B127" s="373" t="s">
        <v>55</v>
      </c>
      <c r="C127" s="374">
        <f>(COUNTIFS('Cálculos Comparativos'!T:T,$B$22,'Cálculos Comparativos'!D:D,A127)+COUNTIFS('Cálculos Comparativos'!T:T,$B$23,'Cálculos Comparativos'!D:D,A127)+COUNTIFS('Cálculos Comparativos'!T:T,$B$24,'Cálculos Comparativos'!D:D,A127))/(COUNTIFS('Cálculos Comparativos'!T:T,$B$22,'Cálculos Comparativos'!D:D,A127)+COUNTIFS('Cálculos Comparativos'!T:T,$B$23,'Cálculos Comparativos'!D:D,A127)+COUNTIFS('Cálculos Comparativos'!T:T,$B$24,'Cálculos Comparativos'!D:D,A127)+COUNTIFS('Cálculos Comparativos'!T:T,#REF!,'Cálculos Comparativos'!D:D,A127)+COUNTIFS('Cálculos Comparativos'!T:T,$B$25,'Cálculos Comparativos'!D:D,A127)+COUNTIFS('Cálculos Comparativos'!T:T,$B$26,'Cálculos Comparativos'!D:D,A127))</f>
        <v>0.6666666667</v>
      </c>
      <c r="D127" s="375"/>
      <c r="F127" s="376" t="str">
        <f>IFERROR(__xludf.DUMMYFUNCTION("""COMPUTED_VALUE"""),"Financeiro")</f>
        <v>Financeiro</v>
      </c>
      <c r="G127" s="374">
        <f>IFERROR(__xludf.DUMMYFUNCTION("""COMPUTED_VALUE"""),0.6666666666666666)</f>
        <v>0.6666666667</v>
      </c>
    </row>
    <row r="128">
      <c r="A128" s="282">
        <v>7.0</v>
      </c>
      <c r="B128" s="373" t="s">
        <v>343</v>
      </c>
      <c r="C128" s="374">
        <f>(COUNTIFS('Cálculos Comparativos'!T:T,$B$22,'Cálculos Comparativos'!D:D,A128)+COUNTIFS('Cálculos Comparativos'!T:T,$B$23,'Cálculos Comparativos'!D:D,A128)+COUNTIFS('Cálculos Comparativos'!T:T,$B$24,'Cálculos Comparativos'!D:D,A128))/(COUNTIFS('Cálculos Comparativos'!T:T,$B$22,'Cálculos Comparativos'!D:D,A128)+COUNTIFS('Cálculos Comparativos'!T:T,$B$23,'Cálculos Comparativos'!D:D,A128)+COUNTIFS('Cálculos Comparativos'!T:T,$B$24,'Cálculos Comparativos'!D:D,A128)+COUNTIFS('Cálculos Comparativos'!T:T,#REF!,'Cálculos Comparativos'!D:D,A128)+COUNTIFS('Cálculos Comparativos'!T:T,$B$25,'Cálculos Comparativos'!D:D,A128)+COUNTIFS('Cálculos Comparativos'!T:T,$B$26,'Cálculos Comparativos'!D:D,A128))</f>
        <v>0.75</v>
      </c>
      <c r="D128" s="375"/>
      <c r="F128" s="376" t="str">
        <f>IFERROR(__xludf.DUMMYFUNCTION("""COMPUTED_VALUE"""),"Urbanismo")</f>
        <v>Urbanismo</v>
      </c>
      <c r="G128" s="374">
        <f>IFERROR(__xludf.DUMMYFUNCTION("""COMPUTED_VALUE"""),0.6666666666666666)</f>
        <v>0.6666666667</v>
      </c>
    </row>
    <row r="129">
      <c r="A129" s="282">
        <v>8.0</v>
      </c>
      <c r="B129" s="373" t="s">
        <v>32</v>
      </c>
      <c r="C129" s="374">
        <f>(COUNTIFS('Cálculos Comparativos'!T:T,$B$22,'Cálculos Comparativos'!D:D,A129)+COUNTIFS('Cálculos Comparativos'!T:T,$B$23,'Cálculos Comparativos'!D:D,A129)+COUNTIFS('Cálculos Comparativos'!T:T,$B$24,'Cálculos Comparativos'!D:D,A129))/(COUNTIFS('Cálculos Comparativos'!T:T,$B$22,'Cálculos Comparativos'!D:D,A129)+COUNTIFS('Cálculos Comparativos'!T:T,$B$23,'Cálculos Comparativos'!D:D,A129)+COUNTIFS('Cálculos Comparativos'!T:T,$B$24,'Cálculos Comparativos'!D:D,A129)+COUNTIFS('Cálculos Comparativos'!T:T,#REF!,'Cálculos Comparativos'!D:D,A129)+COUNTIFS('Cálculos Comparativos'!T:T,$B$25,'Cálculos Comparativos'!D:D,A129)+COUNTIFS('Cálculos Comparativos'!T:T,$B$26,'Cálculos Comparativos'!D:D,A129))</f>
        <v>0.5</v>
      </c>
      <c r="D129" s="375"/>
      <c r="F129" s="376" t="str">
        <f>IFERROR(__xludf.DUMMYFUNCTION("""COMPUTED_VALUE"""),"Edificação")</f>
        <v>Edificação</v>
      </c>
      <c r="G129" s="374">
        <f>IFERROR(__xludf.DUMMYFUNCTION("""COMPUTED_VALUE"""),0.5555555555555556)</f>
        <v>0.5555555556</v>
      </c>
    </row>
    <row r="130">
      <c r="A130" s="282">
        <v>9.0</v>
      </c>
      <c r="B130" s="373" t="s">
        <v>345</v>
      </c>
      <c r="C130" s="374">
        <f>(COUNTIFS('Cálculos Comparativos'!T:T,$B$22,'Cálculos Comparativos'!D:D,A130)+COUNTIFS('Cálculos Comparativos'!T:T,$B$23,'Cálculos Comparativos'!D:D,A130)+COUNTIFS('Cálculos Comparativos'!T:T,$B$24,'Cálculos Comparativos'!D:D,A130))/(COUNTIFS('Cálculos Comparativos'!T:T,$B$22,'Cálculos Comparativos'!D:D,A130)+COUNTIFS('Cálculos Comparativos'!T:T,$B$23,'Cálculos Comparativos'!D:D,A130)+COUNTIFS('Cálculos Comparativos'!T:T,$B$24,'Cálculos Comparativos'!D:D,A130)+COUNTIFS('Cálculos Comparativos'!T:T,#REF!,'Cálculos Comparativos'!D:D,A130)+COUNTIFS('Cálculos Comparativos'!T:T,$B$25,'Cálculos Comparativos'!D:D,A130)+COUNTIFS('Cálculos Comparativos'!T:T,$B$26,'Cálculos Comparativos'!D:D,A130))</f>
        <v>0.5</v>
      </c>
      <c r="D130" s="375"/>
      <c r="F130" s="376" t="str">
        <f>IFERROR(__xludf.DUMMYFUNCTION("""COMPUTED_VALUE"""),"Marketing")</f>
        <v>Marketing</v>
      </c>
      <c r="G130" s="374">
        <f>IFERROR(__xludf.DUMMYFUNCTION("""COMPUTED_VALUE"""),0.5)</f>
        <v>0.5</v>
      </c>
    </row>
    <row r="131">
      <c r="A131" s="282">
        <v>10.0</v>
      </c>
      <c r="B131" s="372" t="s">
        <v>51</v>
      </c>
      <c r="C131" s="374">
        <f>(COUNTIFS('Cálculos Comparativos'!T:T,$B$22,'Cálculos Comparativos'!D:D,A131)+COUNTIFS('Cálculos Comparativos'!T:T,$B$23,'Cálculos Comparativos'!D:D,A131)+COUNTIFS('Cálculos Comparativos'!T:T,$B$24,'Cálculos Comparativos'!D:D,A131))/(COUNTIFS('Cálculos Comparativos'!T:T,$B$22,'Cálculos Comparativos'!D:D,A131)+COUNTIFS('Cálculos Comparativos'!T:T,$B$23,'Cálculos Comparativos'!D:D,A131)+COUNTIFS('Cálculos Comparativos'!T:T,$B$24,'Cálculos Comparativos'!D:D,A131)+COUNTIFS('Cálculos Comparativos'!T:T,#REF!,'Cálculos Comparativos'!D:D,A131)+COUNTIFS('Cálculos Comparativos'!T:T,$B$25,'Cálculos Comparativos'!D:D,A131)+COUNTIFS('Cálculos Comparativos'!T:T,$B$26,'Cálculos Comparativos'!D:D,A131))</f>
        <v>0.6666666667</v>
      </c>
      <c r="D131" s="375"/>
      <c r="F131" s="376" t="str">
        <f>IFERROR(__xludf.DUMMYFUNCTION("""COMPUTED_VALUE"""),"Novos Negócios, Pós Vendas")</f>
        <v>Novos Negócios, Pós Vendas</v>
      </c>
      <c r="G131" s="374">
        <f>IFERROR(__xludf.DUMMYFUNCTION("""COMPUTED_VALUE"""),0.5)</f>
        <v>0.5</v>
      </c>
      <c r="T131" s="377"/>
    </row>
    <row r="132">
      <c r="A132" s="319"/>
      <c r="B132" s="300"/>
      <c r="C132" s="374"/>
      <c r="D132" s="375"/>
    </row>
    <row r="133">
      <c r="A133" s="319"/>
      <c r="C133" s="374"/>
      <c r="D133" s="374"/>
    </row>
    <row r="134">
      <c r="A134" s="319"/>
      <c r="B134" s="300"/>
      <c r="C134" s="374"/>
      <c r="D134" s="374"/>
    </row>
    <row r="135">
      <c r="A135" s="319"/>
      <c r="B135" s="373"/>
      <c r="C135" s="373"/>
      <c r="D135" s="374"/>
    </row>
    <row r="136">
      <c r="A136" s="319"/>
      <c r="B136" s="373"/>
      <c r="C136" s="373"/>
      <c r="D136" s="374"/>
    </row>
    <row r="137">
      <c r="A137" s="319"/>
      <c r="B137" s="373"/>
      <c r="C137" s="373"/>
      <c r="D137" s="374"/>
    </row>
    <row r="138">
      <c r="A138" s="319"/>
      <c r="C138" s="373"/>
      <c r="D138" s="374"/>
    </row>
    <row r="139">
      <c r="A139" s="319"/>
      <c r="C139" s="373"/>
      <c r="D139" s="374"/>
    </row>
    <row r="140">
      <c r="A140" s="319"/>
      <c r="B140" s="373"/>
      <c r="C140" s="373"/>
      <c r="D140" s="374"/>
    </row>
    <row r="141">
      <c r="A141" s="319"/>
      <c r="B141" s="373"/>
      <c r="C141" s="373"/>
      <c r="D141" s="374"/>
    </row>
    <row r="142">
      <c r="A142" s="319"/>
      <c r="B142" s="373"/>
      <c r="C142" s="373"/>
      <c r="D142" s="374"/>
    </row>
    <row r="143">
      <c r="A143" s="319"/>
      <c r="B143" s="373"/>
      <c r="C143" s="373"/>
      <c r="D143" s="374"/>
    </row>
    <row r="144">
      <c r="A144" s="319"/>
      <c r="B144" s="373"/>
      <c r="C144" s="373"/>
      <c r="D144" s="374"/>
    </row>
    <row r="145">
      <c r="A145" s="319"/>
      <c r="B145" s="300"/>
      <c r="C145" s="374"/>
      <c r="D145" s="378"/>
    </row>
    <row r="146">
      <c r="A146" s="319"/>
      <c r="C146" s="374"/>
      <c r="D146" s="374"/>
    </row>
    <row r="147">
      <c r="A147" s="319"/>
    </row>
    <row r="148">
      <c r="A148" s="319"/>
      <c r="B148" s="379" t="s">
        <v>356</v>
      </c>
      <c r="C148" s="367" t="s">
        <v>195</v>
      </c>
      <c r="D148" s="368"/>
    </row>
    <row r="149">
      <c r="A149" s="319"/>
      <c r="B149" s="369" t="s">
        <v>355</v>
      </c>
      <c r="C149" s="370" t="s">
        <v>195</v>
      </c>
      <c r="D149" s="380"/>
      <c r="F149" s="372" t="s">
        <v>357</v>
      </c>
      <c r="G149" s="372" t="s">
        <v>358</v>
      </c>
      <c r="H149" s="372" t="s">
        <v>359</v>
      </c>
    </row>
    <row r="150">
      <c r="A150" s="282">
        <v>1.0</v>
      </c>
      <c r="B150" s="373" t="s">
        <v>341</v>
      </c>
      <c r="C150" s="374">
        <f>(COUNTIFS('Cálculos Comparativos'!T:T,$B$26,'Cálculos Comparativos'!D:D,A150)+COUNTIFS('Cálculos Comparativos'!T:T,$B$25,'Cálculos Comparativos'!D:D,A150)+COUNTIFS('Cálculos Comparativos'!T:T,#REF!,'Cálculos Comparativos'!D:D,A150))/(COUNTIFS('Cálculos Comparativos'!T:T,$B$22,'Cálculos Comparativos'!D:D,A150)+COUNTIFS('Cálculos Comparativos'!T:T,$B$23,'Cálculos Comparativos'!D:D,A150)+COUNTIFS('Cálculos Comparativos'!T:T,$B$24,'Cálculos Comparativos'!D:D,A150)+COUNTIFS('Cálculos Comparativos'!T:T,#REF!,'Cálculos Comparativos'!D:D,A150)+COUNTIFS('Cálculos Comparativos'!T:T,$B$25,'Cálculos Comparativos'!D:D,A150)+COUNTIFS('Cálculos Comparativos'!T:T,$B$26,'Cálculos Comparativos'!D:D,A150))</f>
        <v>0.3333333333</v>
      </c>
      <c r="D150" s="375"/>
      <c r="F150" s="376" t="str">
        <f>IFERROR(__xludf.DUMMYFUNCTION("QUERY(B150:C159, ""select B, C order by C desc"", 0)"),"Marketing")</f>
        <v>Marketing</v>
      </c>
      <c r="G150" s="374">
        <f>IFERROR(__xludf.DUMMYFUNCTION("""COMPUTED_VALUE"""),0.5)</f>
        <v>0.5</v>
      </c>
      <c r="H150" s="374">
        <f t="shared" ref="H150:H159" si="6">VLOOKUP(F150,F$122:G$131,2,0)</f>
        <v>0.5</v>
      </c>
    </row>
    <row r="151">
      <c r="A151" s="282">
        <v>2.0</v>
      </c>
      <c r="B151" s="373" t="s">
        <v>122</v>
      </c>
      <c r="C151" s="374">
        <f>(COUNTIFS('Cálculos Comparativos'!T:T,$B$26,'Cálculos Comparativos'!D:D,A151)+COUNTIFS('Cálculos Comparativos'!T:T,$B$25,'Cálculos Comparativos'!D:D,A151)+COUNTIFS('Cálculos Comparativos'!T:T,#REF!,'Cálculos Comparativos'!D:D,A151))/(COUNTIFS('Cálculos Comparativos'!T:T,$B$22,'Cálculos Comparativos'!D:D,A151)+COUNTIFS('Cálculos Comparativos'!T:T,$B$23,'Cálculos Comparativos'!D:D,A151)+COUNTIFS('Cálculos Comparativos'!T:T,$B$24,'Cálculos Comparativos'!D:D,A151)+COUNTIFS('Cálculos Comparativos'!T:T,#REF!,'Cálculos Comparativos'!D:D,A151)+COUNTIFS('Cálculos Comparativos'!T:T,$B$25,'Cálculos Comparativos'!D:D,A151)+COUNTIFS('Cálculos Comparativos'!T:T,$B$26,'Cálculos Comparativos'!D:D,A151))</f>
        <v>0.2</v>
      </c>
      <c r="D151" s="375"/>
      <c r="F151" s="376" t="str">
        <f>IFERROR(__xludf.DUMMYFUNCTION("""COMPUTED_VALUE"""),"Novos Negócios, Pós Vendas")</f>
        <v>Novos Negócios, Pós Vendas</v>
      </c>
      <c r="G151" s="374">
        <f>IFERROR(__xludf.DUMMYFUNCTION("""COMPUTED_VALUE"""),0.5)</f>
        <v>0.5</v>
      </c>
      <c r="H151" s="374">
        <f t="shared" si="6"/>
        <v>0.5</v>
      </c>
    </row>
    <row r="152">
      <c r="A152" s="282">
        <v>3.0</v>
      </c>
      <c r="B152" s="373" t="s">
        <v>70</v>
      </c>
      <c r="C152" s="374">
        <f>(COUNTIFS('Cálculos Comparativos'!T:T,$B$26,'Cálculos Comparativos'!D:D,A152)+COUNTIFS('Cálculos Comparativos'!T:T,$B$25,'Cálculos Comparativos'!D:D,A152)+COUNTIFS('Cálculos Comparativos'!T:T,#REF!,'Cálculos Comparativos'!D:D,A152))/(COUNTIFS('Cálculos Comparativos'!T:T,$B$22,'Cálculos Comparativos'!D:D,A152)+COUNTIFS('Cálculos Comparativos'!T:T,$B$23,'Cálculos Comparativos'!D:D,A152)+COUNTIFS('Cálculos Comparativos'!T:T,$B$24,'Cálculos Comparativos'!D:D,A152)+COUNTIFS('Cálculos Comparativos'!T:T,#REF!,'Cálculos Comparativos'!D:D,A152)+COUNTIFS('Cálculos Comparativos'!T:T,$B$25,'Cálculos Comparativos'!D:D,A152)+COUNTIFS('Cálculos Comparativos'!T:T,$B$26,'Cálculos Comparativos'!D:D,A152))</f>
        <v>0.3333333333</v>
      </c>
      <c r="D152" s="375"/>
      <c r="F152" s="376" t="str">
        <f>IFERROR(__xludf.DUMMYFUNCTION("""COMPUTED_VALUE"""),"Edificação")</f>
        <v>Edificação</v>
      </c>
      <c r="G152" s="374">
        <f>IFERROR(__xludf.DUMMYFUNCTION("""COMPUTED_VALUE"""),0.4444444444444444)</f>
        <v>0.4444444444</v>
      </c>
      <c r="H152" s="374">
        <f t="shared" si="6"/>
        <v>0.5555555556</v>
      </c>
    </row>
    <row r="153">
      <c r="A153" s="282">
        <v>4.0</v>
      </c>
      <c r="B153" s="373" t="s">
        <v>77</v>
      </c>
      <c r="C153" s="374">
        <f>(COUNTIFS('Cálculos Comparativos'!T:T,$B$26,'Cálculos Comparativos'!D:D,A153)+COUNTIFS('Cálculos Comparativos'!T:T,$B$25,'Cálculos Comparativos'!D:D,A153)+COUNTIFS('Cálculos Comparativos'!T:T,#REF!,'Cálculos Comparativos'!D:D,A153))/(COUNTIFS('Cálculos Comparativos'!T:T,$B$22,'Cálculos Comparativos'!D:D,A153)+COUNTIFS('Cálculos Comparativos'!T:T,$B$23,'Cálculos Comparativos'!D:D,A153)+COUNTIFS('Cálculos Comparativos'!T:T,$B$24,'Cálculos Comparativos'!D:D,A153)+COUNTIFS('Cálculos Comparativos'!T:T,#REF!,'Cálculos Comparativos'!D:D,A153)+COUNTIFS('Cálculos Comparativos'!T:T,$B$25,'Cálculos Comparativos'!D:D,A153)+COUNTIFS('Cálculos Comparativos'!T:T,$B$26,'Cálculos Comparativos'!D:D,A153))</f>
        <v>0</v>
      </c>
      <c r="D153" s="375"/>
      <c r="F153" s="376" t="str">
        <f>IFERROR(__xludf.DUMMYFUNCTION("""COMPUTED_VALUE"""),"Administrativo, Recepção, Suprimentos, Tecnologia da Informação")</f>
        <v>Administrativo, Recepção, Suprimentos, Tecnologia da Informação</v>
      </c>
      <c r="G153" s="374">
        <f>IFERROR(__xludf.DUMMYFUNCTION("""COMPUTED_VALUE"""),0.3333333333333333)</f>
        <v>0.3333333333</v>
      </c>
      <c r="H153" s="374">
        <f t="shared" si="6"/>
        <v>0.6666666667</v>
      </c>
    </row>
    <row r="154">
      <c r="A154" s="282">
        <v>5.0</v>
      </c>
      <c r="B154" s="373" t="s">
        <v>23</v>
      </c>
      <c r="C154" s="374">
        <f>(COUNTIFS('Cálculos Comparativos'!T:T,$B$26,'Cálculos Comparativos'!D:D,A154)+COUNTIFS('Cálculos Comparativos'!T:T,$B$25,'Cálculos Comparativos'!D:D,A154)+COUNTIFS('Cálculos Comparativos'!T:T,#REF!,'Cálculos Comparativos'!D:D,A154))/(COUNTIFS('Cálculos Comparativos'!T:T,$B$22,'Cálculos Comparativos'!D:D,A154)+COUNTIFS('Cálculos Comparativos'!T:T,$B$23,'Cálculos Comparativos'!D:D,A154)+COUNTIFS('Cálculos Comparativos'!T:T,$B$24,'Cálculos Comparativos'!D:D,A154)+COUNTIFS('Cálculos Comparativos'!T:T,#REF!,'Cálculos Comparativos'!D:D,A154)+COUNTIFS('Cálculos Comparativos'!T:T,$B$25,'Cálculos Comparativos'!D:D,A154)+COUNTIFS('Cálculos Comparativos'!T:T,$B$26,'Cálculos Comparativos'!D:D,A154))</f>
        <v>0.4444444444</v>
      </c>
      <c r="D154" s="375"/>
      <c r="F154" s="376" t="str">
        <f>IFERROR(__xludf.DUMMYFUNCTION("""COMPUTED_VALUE"""),"Controladoria")</f>
        <v>Controladoria</v>
      </c>
      <c r="G154" s="374">
        <f>IFERROR(__xludf.DUMMYFUNCTION("""COMPUTED_VALUE"""),0.3333333333333333)</f>
        <v>0.3333333333</v>
      </c>
      <c r="H154" s="374">
        <f t="shared" si="6"/>
        <v>0.6666666667</v>
      </c>
    </row>
    <row r="155">
      <c r="A155" s="282">
        <v>6.0</v>
      </c>
      <c r="B155" s="373" t="s">
        <v>55</v>
      </c>
      <c r="C155" s="374">
        <f>(COUNTIFS('Cálculos Comparativos'!T:T,$B$26,'Cálculos Comparativos'!D:D,A155)+COUNTIFS('Cálculos Comparativos'!T:T,$B$25,'Cálculos Comparativos'!D:D,A155)+COUNTIFS('Cálculos Comparativos'!T:T,#REF!,'Cálculos Comparativos'!D:D,A155))/(COUNTIFS('Cálculos Comparativos'!T:T,$B$22,'Cálculos Comparativos'!D:D,A155)+COUNTIFS('Cálculos Comparativos'!T:T,$B$23,'Cálculos Comparativos'!D:D,A155)+COUNTIFS('Cálculos Comparativos'!T:T,$B$24,'Cálculos Comparativos'!D:D,A155)+COUNTIFS('Cálculos Comparativos'!T:T,#REF!,'Cálculos Comparativos'!D:D,A155)+COUNTIFS('Cálculos Comparativos'!T:T,$B$25,'Cálculos Comparativos'!D:D,A155)+COUNTIFS('Cálculos Comparativos'!T:T,$B$26,'Cálculos Comparativos'!D:D,A155))</f>
        <v>0.3333333333</v>
      </c>
      <c r="D155" s="375"/>
      <c r="F155" s="376" t="str">
        <f>IFERROR(__xludf.DUMMYFUNCTION("""COMPUTED_VALUE"""),"Financeiro")</f>
        <v>Financeiro</v>
      </c>
      <c r="G155" s="374">
        <f>IFERROR(__xludf.DUMMYFUNCTION("""COMPUTED_VALUE"""),0.3333333333333333)</f>
        <v>0.3333333333</v>
      </c>
      <c r="H155" s="374">
        <f t="shared" si="6"/>
        <v>0.6666666667</v>
      </c>
    </row>
    <row r="156">
      <c r="A156" s="282">
        <v>7.0</v>
      </c>
      <c r="B156" s="373" t="s">
        <v>343</v>
      </c>
      <c r="C156" s="374">
        <f>(COUNTIFS('Cálculos Comparativos'!T:T,$B$26,'Cálculos Comparativos'!D:D,A156)+COUNTIFS('Cálculos Comparativos'!T:T,$B$25,'Cálculos Comparativos'!D:D,A156)+COUNTIFS('Cálculos Comparativos'!T:T,#REF!,'Cálculos Comparativos'!D:D,A156))/(COUNTIFS('Cálculos Comparativos'!T:T,$B$22,'Cálculos Comparativos'!D:D,A156)+COUNTIFS('Cálculos Comparativos'!T:T,$B$23,'Cálculos Comparativos'!D:D,A156)+COUNTIFS('Cálculos Comparativos'!T:T,$B$24,'Cálculos Comparativos'!D:D,A156)+COUNTIFS('Cálculos Comparativos'!T:T,#REF!,'Cálculos Comparativos'!D:D,A156)+COUNTIFS('Cálculos Comparativos'!T:T,$B$25,'Cálculos Comparativos'!D:D,A156)+COUNTIFS('Cálculos Comparativos'!T:T,$B$26,'Cálculos Comparativos'!D:D,A156))</f>
        <v>0.25</v>
      </c>
      <c r="D156" s="375"/>
      <c r="F156" s="376" t="str">
        <f>IFERROR(__xludf.DUMMYFUNCTION("""COMPUTED_VALUE"""),"Urbanismo")</f>
        <v>Urbanismo</v>
      </c>
      <c r="G156" s="374">
        <f>IFERROR(__xludf.DUMMYFUNCTION("""COMPUTED_VALUE"""),0.3333333333333333)</f>
        <v>0.3333333333</v>
      </c>
      <c r="H156" s="374">
        <f t="shared" si="6"/>
        <v>0.6666666667</v>
      </c>
    </row>
    <row r="157">
      <c r="A157" s="282">
        <v>8.0</v>
      </c>
      <c r="B157" s="373" t="s">
        <v>32</v>
      </c>
      <c r="C157" s="374">
        <f>(COUNTIFS('Cálculos Comparativos'!T:T,$B$26,'Cálculos Comparativos'!D:D,A157)+COUNTIFS('Cálculos Comparativos'!T:T,$B$25,'Cálculos Comparativos'!D:D,A157)+COUNTIFS('Cálculos Comparativos'!T:T,#REF!,'Cálculos Comparativos'!D:D,A157))/(COUNTIFS('Cálculos Comparativos'!T:T,$B$22,'Cálculos Comparativos'!D:D,A157)+COUNTIFS('Cálculos Comparativos'!T:T,$B$23,'Cálculos Comparativos'!D:D,A157)+COUNTIFS('Cálculos Comparativos'!T:T,$B$24,'Cálculos Comparativos'!D:D,A157)+COUNTIFS('Cálculos Comparativos'!T:T,#REF!,'Cálculos Comparativos'!D:D,A157)+COUNTIFS('Cálculos Comparativos'!T:T,$B$25,'Cálculos Comparativos'!D:D,A157)+COUNTIFS('Cálculos Comparativos'!T:T,$B$26,'Cálculos Comparativos'!D:D,A157))</f>
        <v>0.5</v>
      </c>
      <c r="D157" s="375"/>
      <c r="F157" s="376" t="str">
        <f>IFERROR(__xludf.DUMMYFUNCTION("""COMPUTED_VALUE"""),"Incorporação, Inovação, Legalização")</f>
        <v>Incorporação, Inovação, Legalização</v>
      </c>
      <c r="G157" s="374">
        <f>IFERROR(__xludf.DUMMYFUNCTION("""COMPUTED_VALUE"""),0.25)</f>
        <v>0.25</v>
      </c>
      <c r="H157" s="374">
        <f t="shared" si="6"/>
        <v>0.75</v>
      </c>
    </row>
    <row r="158">
      <c r="A158" s="282">
        <v>9.0</v>
      </c>
      <c r="B158" s="373" t="s">
        <v>345</v>
      </c>
      <c r="C158" s="374">
        <f>(COUNTIFS('Cálculos Comparativos'!T:T,$B$26,'Cálculos Comparativos'!D:D,A158)+COUNTIFS('Cálculos Comparativos'!T:T,$B$25,'Cálculos Comparativos'!D:D,A158)+COUNTIFS('Cálculos Comparativos'!T:T,#REF!,'Cálculos Comparativos'!D:D,A158))/(COUNTIFS('Cálculos Comparativos'!T:T,$B$22,'Cálculos Comparativos'!D:D,A158)+COUNTIFS('Cálculos Comparativos'!T:T,$B$23,'Cálculos Comparativos'!D:D,A158)+COUNTIFS('Cálculos Comparativos'!T:T,$B$24,'Cálculos Comparativos'!D:D,A158)+COUNTIFS('Cálculos Comparativos'!T:T,#REF!,'Cálculos Comparativos'!D:D,A158)+COUNTIFS('Cálculos Comparativos'!T:T,$B$25,'Cálculos Comparativos'!D:D,A158)+COUNTIFS('Cálculos Comparativos'!T:T,$B$26,'Cálculos Comparativos'!D:D,A158))</f>
        <v>0.5</v>
      </c>
      <c r="D158" s="375"/>
      <c r="F158" s="376" t="str">
        <f>IFERROR(__xludf.DUMMYFUNCTION("""COMPUTED_VALUE"""),"Comercial")</f>
        <v>Comercial</v>
      </c>
      <c r="G158" s="374">
        <f>IFERROR(__xludf.DUMMYFUNCTION("""COMPUTED_VALUE"""),0.2)</f>
        <v>0.2</v>
      </c>
      <c r="H158" s="374">
        <f t="shared" si="6"/>
        <v>0.8</v>
      </c>
    </row>
    <row r="159">
      <c r="A159" s="282">
        <v>10.0</v>
      </c>
      <c r="B159" s="373" t="s">
        <v>51</v>
      </c>
      <c r="C159" s="374">
        <f>(COUNTIFS('Cálculos Comparativos'!T:T,$B$26,'Cálculos Comparativos'!D:D,A159)+COUNTIFS('Cálculos Comparativos'!T:T,$B$25,'Cálculos Comparativos'!D:D,A159)+COUNTIFS('Cálculos Comparativos'!T:T,#REF!,'Cálculos Comparativos'!D:D,A159))/(COUNTIFS('Cálculos Comparativos'!T:T,$B$22,'Cálculos Comparativos'!D:D,A159)+COUNTIFS('Cálculos Comparativos'!T:T,$B$23,'Cálculos Comparativos'!D:D,A159)+COUNTIFS('Cálculos Comparativos'!T:T,$B$24,'Cálculos Comparativos'!D:D,A159)+COUNTIFS('Cálculos Comparativos'!T:T,#REF!,'Cálculos Comparativos'!D:D,A159)+COUNTIFS('Cálculos Comparativos'!T:T,$B$25,'Cálculos Comparativos'!D:D,A159)+COUNTIFS('Cálculos Comparativos'!T:T,$B$26,'Cálculos Comparativos'!D:D,A159))</f>
        <v>0.3333333333</v>
      </c>
      <c r="D159" s="375"/>
      <c r="F159" s="376" t="str">
        <f>IFERROR(__xludf.DUMMYFUNCTION("""COMPUTED_VALUE"""),"DHO")</f>
        <v>DHO</v>
      </c>
      <c r="G159" s="374">
        <f>IFERROR(__xludf.DUMMYFUNCTION("""COMPUTED_VALUE"""),0.0)</f>
        <v>0</v>
      </c>
      <c r="H159" s="374">
        <f t="shared" si="6"/>
        <v>1</v>
      </c>
    </row>
    <row r="160">
      <c r="A160" s="319"/>
      <c r="B160" s="300"/>
      <c r="C160" s="374"/>
      <c r="D160" s="375"/>
    </row>
    <row r="161">
      <c r="A161" s="319"/>
      <c r="C161" s="374"/>
      <c r="D161" s="375"/>
    </row>
    <row r="162">
      <c r="A162" s="319"/>
      <c r="B162" s="300"/>
      <c r="C162" s="374"/>
      <c r="D162" s="374"/>
    </row>
    <row r="163">
      <c r="A163" s="319"/>
      <c r="C163" s="374"/>
      <c r="D163" s="374"/>
    </row>
    <row r="164">
      <c r="A164" s="319"/>
      <c r="B164" s="300"/>
      <c r="C164" s="374"/>
      <c r="D164" s="374"/>
    </row>
    <row r="165">
      <c r="A165" s="319"/>
      <c r="C165" s="374"/>
      <c r="D165" s="374"/>
    </row>
    <row r="166">
      <c r="A166" s="319"/>
      <c r="C166" s="374"/>
      <c r="D166" s="374"/>
    </row>
    <row r="167">
      <c r="A167" s="319"/>
      <c r="B167" s="300"/>
      <c r="C167" s="374"/>
      <c r="D167" s="374"/>
    </row>
    <row r="168">
      <c r="A168" s="319"/>
      <c r="C168" s="374"/>
      <c r="D168" s="374"/>
    </row>
    <row r="169">
      <c r="A169" s="319"/>
      <c r="C169" s="374"/>
      <c r="D169" s="374"/>
    </row>
    <row r="170">
      <c r="A170" s="319"/>
      <c r="C170" s="374"/>
      <c r="D170" s="374"/>
    </row>
    <row r="171">
      <c r="A171" s="319"/>
    </row>
    <row r="172">
      <c r="C172" s="374"/>
      <c r="D172" s="374"/>
    </row>
    <row r="173">
      <c r="B173" s="300"/>
      <c r="C173" s="374"/>
      <c r="D173" s="374"/>
    </row>
    <row r="174">
      <c r="C174" s="374"/>
      <c r="D174" s="374"/>
    </row>
    <row r="175">
      <c r="C175" s="374"/>
      <c r="D175" s="374"/>
    </row>
    <row r="176">
      <c r="B176" s="300"/>
      <c r="C176" s="374"/>
      <c r="D176" s="374"/>
    </row>
    <row r="177">
      <c r="B177" s="300"/>
      <c r="C177" s="374"/>
      <c r="D177" s="374"/>
    </row>
    <row r="178">
      <c r="C178" s="374"/>
      <c r="D178" s="374"/>
    </row>
    <row r="179">
      <c r="B179" s="300"/>
      <c r="C179" s="374"/>
      <c r="D179" s="378"/>
    </row>
    <row r="180">
      <c r="C180" s="374"/>
      <c r="D180" s="374"/>
    </row>
    <row r="181">
      <c r="C181" s="374"/>
      <c r="D181" s="374"/>
    </row>
    <row r="182">
      <c r="C182" s="374"/>
      <c r="D182" s="374"/>
    </row>
    <row r="184">
      <c r="A184" s="319"/>
    </row>
    <row r="185">
      <c r="A185" s="319"/>
    </row>
    <row r="186">
      <c r="A186" s="319"/>
    </row>
    <row r="187">
      <c r="A187" s="319"/>
    </row>
    <row r="188">
      <c r="A188" s="319"/>
    </row>
    <row r="189">
      <c r="A189" s="319"/>
    </row>
    <row r="190">
      <c r="A190" s="319"/>
    </row>
    <row r="191">
      <c r="A191" s="319"/>
    </row>
    <row r="192">
      <c r="A192" s="319"/>
    </row>
    <row r="193">
      <c r="A193" s="319"/>
    </row>
    <row r="194">
      <c r="A194" s="319"/>
    </row>
    <row r="195">
      <c r="A195" s="319"/>
    </row>
    <row r="196">
      <c r="A196" s="319"/>
    </row>
    <row r="197">
      <c r="A197" s="319"/>
    </row>
    <row r="198">
      <c r="A198" s="319"/>
    </row>
    <row r="199">
      <c r="A199" s="319"/>
    </row>
    <row r="200">
      <c r="A200" s="319"/>
    </row>
    <row r="201">
      <c r="A201" s="319"/>
    </row>
    <row r="202">
      <c r="A202" s="319"/>
    </row>
    <row r="203">
      <c r="A203" s="319"/>
    </row>
  </sheetData>
  <mergeCells count="30">
    <mergeCell ref="M11:M12"/>
    <mergeCell ref="M13:M16"/>
    <mergeCell ref="E1:L1"/>
    <mergeCell ref="B3:D4"/>
    <mergeCell ref="E4:E5"/>
    <mergeCell ref="M4:M5"/>
    <mergeCell ref="B5:C6"/>
    <mergeCell ref="E6:E9"/>
    <mergeCell ref="M6:M9"/>
    <mergeCell ref="B7:C7"/>
    <mergeCell ref="B9:C9"/>
    <mergeCell ref="B10:C10"/>
    <mergeCell ref="B11:C11"/>
    <mergeCell ref="E11:E12"/>
    <mergeCell ref="B13:C14"/>
    <mergeCell ref="E13:E16"/>
    <mergeCell ref="J25:K25"/>
    <mergeCell ref="J26:K26"/>
    <mergeCell ref="E29:G29"/>
    <mergeCell ref="H29:J29"/>
    <mergeCell ref="F30:G30"/>
    <mergeCell ref="I30:J30"/>
    <mergeCell ref="B63:M63"/>
    <mergeCell ref="C20:D20"/>
    <mergeCell ref="E20:F20"/>
    <mergeCell ref="J20:K20"/>
    <mergeCell ref="J21:K21"/>
    <mergeCell ref="J22:K22"/>
    <mergeCell ref="J23:K23"/>
    <mergeCell ref="J24:K24"/>
  </mergeCells>
  <dataValidations>
    <dataValidation type="list" allowBlank="1" showErrorMessage="1" sqref="B13">
      <formula1>'Painel Áreas'!$P:$P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9.75"/>
    <col customWidth="1" min="2" max="2" width="18.38"/>
    <col customWidth="1" min="3" max="3" width="41.63"/>
    <col customWidth="1" min="4" max="4" width="17.88"/>
    <col customWidth="1" hidden="1" min="5" max="5" width="17.88"/>
    <col customWidth="1" hidden="1" min="6" max="6" width="19.88"/>
    <col customWidth="1" hidden="1" min="7" max="7" width="16.0"/>
    <col customWidth="1" hidden="1" min="8" max="8" width="21.38"/>
    <col customWidth="1" hidden="1" min="9" max="9" width="15.0"/>
    <col customWidth="1" hidden="1" min="10" max="10" width="28.38"/>
    <col customWidth="1" hidden="1" min="11" max="11" width="13.0"/>
    <col customWidth="1" hidden="1" min="12" max="12" width="19.75"/>
    <col customWidth="1" min="13" max="13" width="20.13"/>
    <col customWidth="1" min="14" max="14" width="14.25"/>
    <col customWidth="1" min="15" max="15" width="10.88"/>
    <col customWidth="1" min="16" max="16" width="8.25"/>
    <col customWidth="1" min="17" max="17" width="10.13"/>
    <col customWidth="1" min="18" max="18" width="10.88"/>
    <col customWidth="1" min="19" max="19" width="14.0"/>
    <col customWidth="1" min="20" max="20" width="17.0"/>
    <col customWidth="1" min="21" max="21" width="27.38"/>
    <col customWidth="1" min="22" max="22" width="21.5"/>
  </cols>
  <sheetData>
    <row r="1">
      <c r="A1" s="107" t="s">
        <v>360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  <c r="N1" s="382" t="str">
        <f>'Informações Relevantes Pesquisa'!A1</f>
        <v>Pesquisa Contrução Civil e Consolidadas</v>
      </c>
      <c r="O1" s="109"/>
      <c r="P1" s="109"/>
      <c r="Q1" s="109"/>
      <c r="R1" s="109"/>
      <c r="S1" s="110"/>
      <c r="T1" s="383" t="str">
        <f>"% da "&amp;'Painel Geral'!B5</f>
        <v>% da Mediana</v>
      </c>
      <c r="U1" s="384" t="s">
        <v>302</v>
      </c>
      <c r="V1" s="385"/>
    </row>
    <row r="2" ht="6.0" customHeight="1">
      <c r="A2" s="386"/>
      <c r="B2" s="387"/>
      <c r="C2" s="388"/>
      <c r="D2" s="388"/>
      <c r="E2" s="388"/>
      <c r="F2" s="388"/>
      <c r="G2" s="388"/>
      <c r="H2" s="388"/>
      <c r="I2" s="389"/>
      <c r="J2" s="388"/>
      <c r="K2" s="388"/>
      <c r="L2" s="388"/>
      <c r="M2" s="390"/>
      <c r="N2" s="391"/>
      <c r="O2" s="392"/>
      <c r="P2" s="392"/>
      <c r="Q2" s="392"/>
      <c r="R2" s="392"/>
      <c r="S2" s="393"/>
      <c r="T2" s="394"/>
      <c r="U2" s="393"/>
      <c r="V2" s="388"/>
    </row>
    <row r="3">
      <c r="A3" s="395" t="s">
        <v>2</v>
      </c>
      <c r="B3" s="396" t="s">
        <v>361</v>
      </c>
      <c r="C3" s="397" t="s">
        <v>190</v>
      </c>
      <c r="D3" s="398" t="s">
        <v>305</v>
      </c>
      <c r="E3" s="398" t="s">
        <v>306</v>
      </c>
      <c r="F3" s="397" t="s">
        <v>7</v>
      </c>
      <c r="G3" s="398" t="s">
        <v>16</v>
      </c>
      <c r="H3" s="398" t="s">
        <v>362</v>
      </c>
      <c r="I3" s="397" t="s">
        <v>191</v>
      </c>
      <c r="J3" s="397" t="s">
        <v>192</v>
      </c>
      <c r="K3" s="399" t="s">
        <v>6</v>
      </c>
      <c r="L3" s="400" t="s">
        <v>307</v>
      </c>
      <c r="M3" s="401" t="s">
        <v>363</v>
      </c>
      <c r="N3" s="402" t="s">
        <v>309</v>
      </c>
      <c r="O3" s="403" t="s">
        <v>310</v>
      </c>
      <c r="P3" s="403" t="s">
        <v>311</v>
      </c>
      <c r="Q3" s="403" t="s">
        <v>312</v>
      </c>
      <c r="R3" s="403" t="s">
        <v>313</v>
      </c>
      <c r="S3" s="404" t="s">
        <v>314</v>
      </c>
      <c r="T3" s="405" t="s">
        <v>315</v>
      </c>
      <c r="U3" s="406" t="s">
        <v>316</v>
      </c>
      <c r="V3" s="397" t="s">
        <v>364</v>
      </c>
    </row>
    <row r="4" ht="15.75" customHeight="1">
      <c r="A4" s="18" t="s">
        <v>155</v>
      </c>
      <c r="B4" s="19" t="s">
        <v>156</v>
      </c>
      <c r="C4" s="407" t="str">
        <f>VLOOKUP(A4,Jobmatch!A:F,2,0)</f>
        <v>GERENTE DE HOUSE</v>
      </c>
      <c r="D4" s="407" t="str">
        <f>VLOOKUP(B4,'Folha de Pagamento'!B:G,6,0)</f>
        <v>Comercial</v>
      </c>
      <c r="E4" s="408" t="str">
        <f>VLOOKUP(A4,Jobmatch!A:F,4,0)</f>
        <v>52 - ADM PROJETOS</v>
      </c>
      <c r="F4" s="407" t="str">
        <f>VLOOKUP(A4,Jobmatch!A:F,5,0)</f>
        <v>Tático</v>
      </c>
      <c r="G4" s="407" t="str">
        <f>VLOOKUP(B4,'Folha de Pagamento'!B:O,13,0)</f>
        <v>Feminino</v>
      </c>
      <c r="H4" s="409" t="str">
        <f t="shared" ref="H4:H63" si="1">(TODAY()-G4)/365</f>
        <v>#VALUE!</v>
      </c>
      <c r="I4" s="410">
        <f>VLOOKUP(A4,Jobmatch!A:G,6,0)</f>
        <v>107</v>
      </c>
      <c r="J4" s="408" t="str">
        <f>VLOOKUP(A4,Jobmatch!A:H,7,0)</f>
        <v>Gerente Comercial</v>
      </c>
      <c r="K4" s="411" t="str">
        <f>VLOOKUP(A4,Jobmatch!A:I,8,0)</f>
        <v>Indiferente</v>
      </c>
      <c r="L4" s="412" t="str">
        <f t="shared" ref="L4:L63" si="2">I4&amp;K4</f>
        <v>107Indiferente</v>
      </c>
      <c r="M4" s="413">
        <f>IFERROR(VLOOKUP(B4,'Folha de Pagamento'!B:K,10,0),"")</f>
        <v>3882.575758</v>
      </c>
      <c r="N4" s="414">
        <f>IFERROR(VLOOKUP(L4,Pesquisa!$D:$L,4,0),"")</f>
        <v>5570.67</v>
      </c>
      <c r="O4" s="415">
        <f>IFERROR(VLOOKUP(L4,Pesquisa!$D:$L,5,0),"")</f>
        <v>9778.91</v>
      </c>
      <c r="P4" s="415">
        <f>IFERROR(VLOOKUP(L4,Pesquisa!$D:$L,6,0),"")</f>
        <v>12281.04</v>
      </c>
      <c r="Q4" s="415">
        <f>IFERROR(VLOOKUP(L4,Pesquisa!$D:$L,7,0),"")</f>
        <v>12107.57</v>
      </c>
      <c r="R4" s="415">
        <f>IFERROR(VLOOKUP(L4,Pesquisa!$D:$L,8,0),"")</f>
        <v>15321.87</v>
      </c>
      <c r="S4" s="414">
        <f>IFERROR(VLOOKUP(L4,Pesquisa!$D:$L,9,0),"")</f>
        <v>19289.48</v>
      </c>
      <c r="T4" s="416">
        <f>IFS('Painel Geral'!$B$5="Mediana",IFERROR(IF(OR(M4="",Q4=0,Q4=""),"",($M4/$Q4)),""),'Painel Geral'!$B$5="Menor Salário",IFERROR(IF(OR(M4="",Q4=0,Q4=""),"",($M4/$N4)),""),'Painel Geral'!$B$5="1º Quartil",IFERROR(IF(OR(M4="",Q4=0,Q4=""),"",($M4/$O4)),""),'Painel Geral'!$B$5="Média",IFERROR(IF(OR(M4="",Q4=0,Q4=""),"",($M4/$P4)),""),'Painel Geral'!$B$5="3º Quartil",IFERROR(IF(OR(M4="",Q4=0,Q4=""),"",($M4/$R4)),""),'Painel Geral'!$B$5="Maior Salário",IFERROR(IF(OR(M4="",Q4=0,Q4=""),"",($M4/$S4)),""))</f>
        <v>0.3206734099</v>
      </c>
      <c r="U4" s="408" t="str">
        <f t="shared" ref="U4:U63" si="3">IFS(OR(N4="",N4=0,M4="", M4=0),"",T4&lt;=80%,"Muito Defasado",T4&lt;=90%,"Defasado",T4&lt;=100%,"Na Média",T4&lt;=110%,"Na Média",T4&lt;=120%,"Muito Competitivo",T4&gt;120%,"Agressivo")</f>
        <v>Muito Defasado</v>
      </c>
      <c r="V4" s="417">
        <f>VLOOKUP(A4,'Cálculos Comparativos'!$A:$E,4,0)</f>
        <v>2</v>
      </c>
    </row>
    <row r="5" ht="15.75" customHeight="1">
      <c r="A5" s="18" t="s">
        <v>171</v>
      </c>
      <c r="B5" s="30" t="s">
        <v>172</v>
      </c>
      <c r="C5" s="407" t="str">
        <f>VLOOKUP(A5,Jobmatch!A:F,2,0)</f>
        <v>GERENTE DE PARCERIAS EXTERNAS</v>
      </c>
      <c r="D5" s="407" t="str">
        <f>VLOOKUP(B5,'Folha de Pagamento'!B:G,6,0)</f>
        <v>Comercial</v>
      </c>
      <c r="E5" s="408" t="str">
        <f>VLOOKUP(A5,Jobmatch!A:F,4,0)</f>
        <v>56 - ADM PROJETOS</v>
      </c>
      <c r="F5" s="407" t="str">
        <f>VLOOKUP(A5,Jobmatch!A:F,5,0)</f>
        <v>Tático</v>
      </c>
      <c r="G5" s="407" t="str">
        <f>VLOOKUP(B5,'Folha de Pagamento'!B:O,13,0)</f>
        <v>Masculino</v>
      </c>
      <c r="H5" s="409" t="str">
        <f t="shared" si="1"/>
        <v>#VALUE!</v>
      </c>
      <c r="I5" s="410">
        <f>VLOOKUP(A5,Jobmatch!A:G,6,0)</f>
        <v>408</v>
      </c>
      <c r="J5" s="408" t="str">
        <f>VLOOKUP(A5,Jobmatch!A:H,7,0)</f>
        <v>Gerente de Relacionamento</v>
      </c>
      <c r="K5" s="411" t="str">
        <f>VLOOKUP(A5,Jobmatch!A:I,8,0)</f>
        <v>Indiferente</v>
      </c>
      <c r="L5" s="412" t="str">
        <f t="shared" si="2"/>
        <v>408Indiferente</v>
      </c>
      <c r="M5" s="413">
        <f>IFERROR(VLOOKUP(B5,'Folha de Pagamento'!B:K,10,0),"")</f>
        <v>3787.878788</v>
      </c>
      <c r="N5" s="414">
        <f>IFERROR(VLOOKUP(L5,Pesquisa!$D:$L,4,0),"")</f>
        <v>5772.56</v>
      </c>
      <c r="O5" s="415">
        <f>IFERROR(VLOOKUP(L5,Pesquisa!$D:$L,5,0),"")</f>
        <v>7608.96</v>
      </c>
      <c r="P5" s="415">
        <f>IFERROR(VLOOKUP(L5,Pesquisa!$D:$L,6,0),"")</f>
        <v>10973.95</v>
      </c>
      <c r="Q5" s="415">
        <f>IFERROR(VLOOKUP(L5,Pesquisa!$D:$L,7,0),"")</f>
        <v>10996.97</v>
      </c>
      <c r="R5" s="415">
        <f>IFERROR(VLOOKUP(L5,Pesquisa!$D:$L,8,0),"")</f>
        <v>14004.27</v>
      </c>
      <c r="S5" s="414">
        <f>IFERROR(VLOOKUP(L5,Pesquisa!$D:$L,9,0),"")</f>
        <v>16628.86</v>
      </c>
      <c r="T5" s="416">
        <f>IFS('Painel Geral'!$B$5="Mediana",IFERROR(IF(OR(M5="",Q5=0,Q5=""),"",($M5/$Q5)),""),'Painel Geral'!$B$5="Menor Salário",IFERROR(IF(OR(M5="",Q5=0,Q5=""),"",($M5/$N5)),""),'Painel Geral'!$B$5="1º Quartil",IFERROR(IF(OR(M5="",Q5=0,Q5=""),"",($M5/$O5)),""),'Painel Geral'!$B$5="Média",IFERROR(IF(OR(M5="",Q5=0,Q5=""),"",($M5/$P5)),""),'Painel Geral'!$B$5="3º Quartil",IFERROR(IF(OR(M5="",Q5=0,Q5=""),"",($M5/$R5)),""),'Painel Geral'!$B$5="Maior Salário",IFERROR(IF(OR(M5="",Q5=0,Q5=""),"",($M5/$S5)),""))</f>
        <v>0.3444474967</v>
      </c>
      <c r="U5" s="408" t="str">
        <f t="shared" si="3"/>
        <v>Muito Defasado</v>
      </c>
      <c r="V5" s="417">
        <f>VLOOKUP(A5,'Cálculos Comparativos'!$A:$E,4,0)</f>
        <v>2</v>
      </c>
    </row>
    <row r="6" ht="15.75" customHeight="1">
      <c r="A6" s="18" t="s">
        <v>166</v>
      </c>
      <c r="B6" s="30" t="s">
        <v>169</v>
      </c>
      <c r="C6" s="407" t="str">
        <f>VLOOKUP(A6,Jobmatch!A:F,2,0)</f>
        <v>GERENTE DE PARCERIAS</v>
      </c>
      <c r="D6" s="407" t="str">
        <f>VLOOKUP(B6,'Folha de Pagamento'!B:G,6,0)</f>
        <v>Comercial</v>
      </c>
      <c r="E6" s="408" t="str">
        <f>VLOOKUP(A6,Jobmatch!A:F,4,0)</f>
        <v>55 - ADM PROJETOS</v>
      </c>
      <c r="F6" s="407" t="str">
        <f>VLOOKUP(A6,Jobmatch!A:F,5,0)</f>
        <v>Tático</v>
      </c>
      <c r="G6" s="407" t="str">
        <f>VLOOKUP(B6,'Folha de Pagamento'!B:O,13,0)</f>
        <v>Feminino</v>
      </c>
      <c r="H6" s="409" t="str">
        <f t="shared" si="1"/>
        <v>#VALUE!</v>
      </c>
      <c r="I6" s="410">
        <f>VLOOKUP(A6,Jobmatch!A:G,6,0)</f>
        <v>408</v>
      </c>
      <c r="J6" s="408" t="str">
        <f>VLOOKUP(A6,Jobmatch!A:H,7,0)</f>
        <v>Gerente de Relacionamento</v>
      </c>
      <c r="K6" s="411" t="str">
        <f>VLOOKUP(A6,Jobmatch!A:I,8,0)</f>
        <v>Indiferente</v>
      </c>
      <c r="L6" s="412" t="str">
        <f t="shared" si="2"/>
        <v>408Indiferente</v>
      </c>
      <c r="M6" s="413">
        <f>IFERROR(VLOOKUP(B6,'Folha de Pagamento'!B:K,10,0),"")</f>
        <v>3825.757576</v>
      </c>
      <c r="N6" s="414">
        <f>IFERROR(VLOOKUP(L6,Pesquisa!$D:$L,4,0),"")</f>
        <v>5772.56</v>
      </c>
      <c r="O6" s="415">
        <f>IFERROR(VLOOKUP(L6,Pesquisa!$D:$L,5,0),"")</f>
        <v>7608.96</v>
      </c>
      <c r="P6" s="415">
        <f>IFERROR(VLOOKUP(L6,Pesquisa!$D:$L,6,0),"")</f>
        <v>10973.95</v>
      </c>
      <c r="Q6" s="415">
        <f>IFERROR(VLOOKUP(L6,Pesquisa!$D:$L,7,0),"")</f>
        <v>10996.97</v>
      </c>
      <c r="R6" s="415">
        <f>IFERROR(VLOOKUP(L6,Pesquisa!$D:$L,8,0),"")</f>
        <v>14004.27</v>
      </c>
      <c r="S6" s="414">
        <f>IFERROR(VLOOKUP(L6,Pesquisa!$D:$L,9,0),"")</f>
        <v>16628.86</v>
      </c>
      <c r="T6" s="416">
        <f>IFS('Painel Geral'!$B$5="Mediana",IFERROR(IF(OR(M6="",Q6=0,Q6=""),"",($M6/$Q6)),""),'Painel Geral'!$B$5="Menor Salário",IFERROR(IF(OR(M6="",Q6=0,Q6=""),"",($M6/$N6)),""),'Painel Geral'!$B$5="1º Quartil",IFERROR(IF(OR(M6="",Q6=0,Q6=""),"",($M6/$O6)),""),'Painel Geral'!$B$5="Média",IFERROR(IF(OR(M6="",Q6=0,Q6=""),"",($M6/$P6)),""),'Painel Geral'!$B$5="3º Quartil",IFERROR(IF(OR(M6="",Q6=0,Q6=""),"",($M6/$R6)),""),'Painel Geral'!$B$5="Maior Salário",IFERROR(IF(OR(M6="",Q6=0,Q6=""),"",($M6/$S6)),""))</f>
        <v>0.3478919717</v>
      </c>
      <c r="U6" s="408" t="str">
        <f t="shared" si="3"/>
        <v>Muito Defasado</v>
      </c>
      <c r="V6" s="417">
        <f>VLOOKUP(A6,'Cálculos Comparativos'!$A:$E,4,0)</f>
        <v>2</v>
      </c>
    </row>
    <row r="7" ht="15.75" customHeight="1">
      <c r="A7" s="18" t="s">
        <v>127</v>
      </c>
      <c r="B7" s="30" t="s">
        <v>128</v>
      </c>
      <c r="C7" s="407" t="str">
        <f>VLOOKUP(A7,Jobmatch!A:F,2,0)</f>
        <v>ENGENHEIRO JUNIOR DE URBANISMO</v>
      </c>
      <c r="D7" s="407" t="str">
        <f>VLOOKUP(B7,'Folha de Pagamento'!B:G,6,0)</f>
        <v>Urbanismo</v>
      </c>
      <c r="E7" s="408" t="str">
        <f>VLOOKUP(A7,Jobmatch!A:F,4,0)</f>
        <v>43 - ADM PROJETOS</v>
      </c>
      <c r="F7" s="407" t="str">
        <f>VLOOKUP(A7,Jobmatch!A:F,5,0)</f>
        <v>Operacional</v>
      </c>
      <c r="G7" s="407" t="str">
        <f>VLOOKUP(B7,'Folha de Pagamento'!B:O,13,0)</f>
        <v>Masculino</v>
      </c>
      <c r="H7" s="409" t="str">
        <f t="shared" si="1"/>
        <v>#VALUE!</v>
      </c>
      <c r="I7" s="410">
        <f>VLOOKUP(A7,Jobmatch!A:G,6,0)</f>
        <v>212</v>
      </c>
      <c r="J7" s="408" t="str">
        <f>VLOOKUP(A7,Jobmatch!A:H,7,0)</f>
        <v>Engenheiro de Urbanismo</v>
      </c>
      <c r="K7" s="411" t="str">
        <f>VLOOKUP(A7,Jobmatch!A:I,8,0)</f>
        <v>Indiferente</v>
      </c>
      <c r="L7" s="412" t="str">
        <f t="shared" si="2"/>
        <v>212Indiferente</v>
      </c>
      <c r="M7" s="413">
        <f>IFERROR(VLOOKUP(B7,'Folha de Pagamento'!B:K,10,0),"")</f>
        <v>5630.872483</v>
      </c>
      <c r="N7" s="414">
        <f>IFERROR(VLOOKUP(L7,Pesquisa!$D:$L,4,0),"")</f>
        <v>13744.09</v>
      </c>
      <c r="O7" s="415">
        <f>IFERROR(VLOOKUP(L7,Pesquisa!$D:$L,5,0),"")</f>
        <v>14781.36</v>
      </c>
      <c r="P7" s="415">
        <f>IFERROR(VLOOKUP(L7,Pesquisa!$D:$L,6,0),"")</f>
        <v>15210.85</v>
      </c>
      <c r="Q7" s="415">
        <f>IFERROR(VLOOKUP(L7,Pesquisa!$D:$L,7,0),"")</f>
        <v>15118.5</v>
      </c>
      <c r="R7" s="415">
        <f>IFERROR(VLOOKUP(L7,Pesquisa!$D:$L,8,0),"")</f>
        <v>16203.19</v>
      </c>
      <c r="S7" s="414">
        <f>IFERROR(VLOOKUP(L7,Pesquisa!$D:$L,9,0),"")</f>
        <v>16203.19</v>
      </c>
      <c r="T7" s="416">
        <f>IFS('Painel Geral'!$B$5="Mediana",IFERROR(IF(OR(M7="",Q7=0,Q7=""),"",($M7/$Q7)),""),'Painel Geral'!$B$5="Menor Salário",IFERROR(IF(OR(M7="",Q7=0,Q7=""),"",($M7/$N7)),""),'Painel Geral'!$B$5="1º Quartil",IFERROR(IF(OR(M7="",Q7=0,Q7=""),"",($M7/$O7)),""),'Painel Geral'!$B$5="Média",IFERROR(IF(OR(M7="",Q7=0,Q7=""),"",($M7/$P7)),""),'Painel Geral'!$B$5="3º Quartil",IFERROR(IF(OR(M7="",Q7=0,Q7=""),"",($M7/$R7)),""),'Painel Geral'!$B$5="Maior Salário",IFERROR(IF(OR(M7="",Q7=0,Q7=""),"",($M7/$S7)),""))</f>
        <v>0.3724491506</v>
      </c>
      <c r="U7" s="408" t="str">
        <f t="shared" si="3"/>
        <v>Muito Defasado</v>
      </c>
      <c r="V7" s="417">
        <f>VLOOKUP(A7,'Cálculos Comparativos'!$A:$E,4,0)</f>
        <v>10</v>
      </c>
    </row>
    <row r="8" ht="15.75" customHeight="1">
      <c r="A8" s="18" t="s">
        <v>166</v>
      </c>
      <c r="B8" s="30" t="s">
        <v>167</v>
      </c>
      <c r="C8" s="407" t="str">
        <f>VLOOKUP(A8,Jobmatch!A:F,2,0)</f>
        <v>GERENTE DE PARCERIAS</v>
      </c>
      <c r="D8" s="407" t="str">
        <f>VLOOKUP(B8,'Folha de Pagamento'!B:G,6,0)</f>
        <v>Comercial</v>
      </c>
      <c r="E8" s="408" t="str">
        <f>VLOOKUP(A8,Jobmatch!A:F,4,0)</f>
        <v>55 - ADM PROJETOS</v>
      </c>
      <c r="F8" s="407" t="str">
        <f>VLOOKUP(A8,Jobmatch!A:F,5,0)</f>
        <v>Tático</v>
      </c>
      <c r="G8" s="407" t="str">
        <f>VLOOKUP(B8,'Folha de Pagamento'!B:O,13,0)</f>
        <v>Feminino</v>
      </c>
      <c r="H8" s="409" t="str">
        <f t="shared" si="1"/>
        <v>#VALUE!</v>
      </c>
      <c r="I8" s="410">
        <f>VLOOKUP(A8,Jobmatch!A:G,6,0)</f>
        <v>408</v>
      </c>
      <c r="J8" s="408" t="str">
        <f>VLOOKUP(A8,Jobmatch!A:H,7,0)</f>
        <v>Gerente de Relacionamento</v>
      </c>
      <c r="K8" s="411" t="str">
        <f>VLOOKUP(A8,Jobmatch!A:I,8,0)</f>
        <v>Indiferente</v>
      </c>
      <c r="L8" s="412" t="str">
        <f t="shared" si="2"/>
        <v>408Indiferente</v>
      </c>
      <c r="M8" s="413">
        <f>IFERROR(VLOOKUP(B8,'Folha de Pagamento'!B:K,10,0),"")</f>
        <v>4272.727273</v>
      </c>
      <c r="N8" s="414">
        <f>IFERROR(VLOOKUP(L8,Pesquisa!$D:$L,4,0),"")</f>
        <v>5772.56</v>
      </c>
      <c r="O8" s="415">
        <f>IFERROR(VLOOKUP(L8,Pesquisa!$D:$L,5,0),"")</f>
        <v>7608.96</v>
      </c>
      <c r="P8" s="415">
        <f>IFERROR(VLOOKUP(L8,Pesquisa!$D:$L,6,0),"")</f>
        <v>10973.95</v>
      </c>
      <c r="Q8" s="415">
        <f>IFERROR(VLOOKUP(L8,Pesquisa!$D:$L,7,0),"")</f>
        <v>10996.97</v>
      </c>
      <c r="R8" s="415">
        <f>IFERROR(VLOOKUP(L8,Pesquisa!$D:$L,8,0),"")</f>
        <v>14004.27</v>
      </c>
      <c r="S8" s="414">
        <f>IFERROR(VLOOKUP(L8,Pesquisa!$D:$L,9,0),"")</f>
        <v>16628.86</v>
      </c>
      <c r="T8" s="416">
        <f>IFS('Painel Geral'!$B$5="Mediana",IFERROR(IF(OR(M8="",Q8=0,Q8=""),"",($M8/$Q8)),""),'Painel Geral'!$B$5="Menor Salário",IFERROR(IF(OR(M8="",Q8=0,Q8=""),"",($M8/$N8)),""),'Painel Geral'!$B$5="1º Quartil",IFERROR(IF(OR(M8="",Q8=0,Q8=""),"",($M8/$O8)),""),'Painel Geral'!$B$5="Média",IFERROR(IF(OR(M8="",Q8=0,Q8=""),"",($M8/$P8)),""),'Painel Geral'!$B$5="3º Quartil",IFERROR(IF(OR(M8="",Q8=0,Q8=""),"",($M8/$R8)),""),'Painel Geral'!$B$5="Maior Salário",IFERROR(IF(OR(M8="",Q8=0,Q8=""),"",($M8/$S8)),""))</f>
        <v>0.3885367763</v>
      </c>
      <c r="U8" s="408" t="str">
        <f t="shared" si="3"/>
        <v>Muito Defasado</v>
      </c>
      <c r="V8" s="417">
        <f>VLOOKUP(A8,'Cálculos Comparativos'!$A:$E,4,0)</f>
        <v>2</v>
      </c>
    </row>
    <row r="9" ht="15.75" customHeight="1">
      <c r="A9" s="18" t="s">
        <v>98</v>
      </c>
      <c r="B9" s="30" t="s">
        <v>99</v>
      </c>
      <c r="C9" s="407" t="str">
        <f>VLOOKUP(A9,Jobmatch!A:F,2,0)</f>
        <v>CONTROLLER TÉCNICO</v>
      </c>
      <c r="D9" s="407" t="str">
        <f>VLOOKUP(B9,'Folha de Pagamento'!B:G,6,0)</f>
        <v>Controladoria</v>
      </c>
      <c r="E9" s="408" t="str">
        <f>VLOOKUP(A9,Jobmatch!A:F,4,0)</f>
        <v>33 - ADM PROJETOS</v>
      </c>
      <c r="F9" s="407" t="str">
        <f>VLOOKUP(A9,Jobmatch!A:F,5,0)</f>
        <v>Tático</v>
      </c>
      <c r="G9" s="407" t="str">
        <f>VLOOKUP(B9,'Folha de Pagamento'!B:O,13,0)</f>
        <v>Masculino</v>
      </c>
      <c r="H9" s="409" t="str">
        <f t="shared" si="1"/>
        <v>#VALUE!</v>
      </c>
      <c r="I9" s="410">
        <f>VLOOKUP(A9,Jobmatch!A:G,6,0)</f>
        <v>26</v>
      </c>
      <c r="J9" s="408" t="str">
        <f>VLOOKUP(A9,Jobmatch!A:H,7,0)</f>
        <v>Analista de Controladoria</v>
      </c>
      <c r="K9" s="411" t="str">
        <f>VLOOKUP(A9,Jobmatch!A:I,8,0)</f>
        <v>Especialista</v>
      </c>
      <c r="L9" s="412" t="str">
        <f t="shared" si="2"/>
        <v>26Especialista</v>
      </c>
      <c r="M9" s="413">
        <f>IFERROR(VLOOKUP(B9,'Folha de Pagamento'!B:K,10,0),"")</f>
        <v>9243.50365</v>
      </c>
      <c r="N9" s="414">
        <f>IFERROR(VLOOKUP(L9,Pesquisa!$D:$L,4,0),"")</f>
        <v>6777.08</v>
      </c>
      <c r="O9" s="415">
        <f>IFERROR(VLOOKUP(L9,Pesquisa!$D:$L,5,0),"")</f>
        <v>10665.2</v>
      </c>
      <c r="P9" s="415">
        <f>IFERROR(VLOOKUP(L9,Pesquisa!$D:$L,6,0),"")</f>
        <v>12572.61</v>
      </c>
      <c r="Q9" s="415">
        <f>IFERROR(VLOOKUP(L9,Pesquisa!$D:$L,7,0),"")</f>
        <v>13758.75</v>
      </c>
      <c r="R9" s="415">
        <f>IFERROR(VLOOKUP(L9,Pesquisa!$D:$L,8,0),"")</f>
        <v>15666.17</v>
      </c>
      <c r="S9" s="414">
        <f>IFERROR(VLOOKUP(L9,Pesquisa!$D:$L,9,0),"")</f>
        <v>15995.86</v>
      </c>
      <c r="T9" s="416">
        <f>IFS('Painel Geral'!$B$5="Mediana",IFERROR(IF(OR(M9="",Q9=0,Q9=""),"",($M9/$Q9)),""),'Painel Geral'!$B$5="Menor Salário",IFERROR(IF(OR(M9="",Q9=0,Q9=""),"",($M9/$N9)),""),'Painel Geral'!$B$5="1º Quartil",IFERROR(IF(OR(M9="",Q9=0,Q9=""),"",($M9/$O9)),""),'Painel Geral'!$B$5="Média",IFERROR(IF(OR(M9="",Q9=0,Q9=""),"",($M9/$P9)),""),'Painel Geral'!$B$5="3º Quartil",IFERROR(IF(OR(M9="",Q9=0,Q9=""),"",($M9/$R9)),""),'Painel Geral'!$B$5="Maior Salário",IFERROR(IF(OR(M9="",Q9=0,Q9=""),"",($M9/$S9)),""))</f>
        <v>0.6718272844</v>
      </c>
      <c r="U9" s="408" t="str">
        <f t="shared" si="3"/>
        <v>Muito Defasado</v>
      </c>
      <c r="V9" s="417">
        <f>VLOOKUP(A9,'Cálculos Comparativos'!$A:$E,4,0)</f>
        <v>3</v>
      </c>
    </row>
    <row r="10" ht="15.75" customHeight="1">
      <c r="A10" s="18" t="s">
        <v>95</v>
      </c>
      <c r="B10" s="30" t="s">
        <v>96</v>
      </c>
      <c r="C10" s="407" t="str">
        <f>VLOOKUP(A10,Jobmatch!A:F,2,0)</f>
        <v>CONTROLLER GERAL</v>
      </c>
      <c r="D10" s="407" t="str">
        <f>VLOOKUP(B10,'Folha de Pagamento'!B:G,6,0)</f>
        <v>Controladoria</v>
      </c>
      <c r="E10" s="408" t="str">
        <f>VLOOKUP(A10,Jobmatch!A:F,4,0)</f>
        <v>32 - ADM PROJETOS</v>
      </c>
      <c r="F10" s="407" t="str">
        <f>VLOOKUP(A10,Jobmatch!A:F,5,0)</f>
        <v>Tático</v>
      </c>
      <c r="G10" s="407" t="str">
        <f>VLOOKUP(B10,'Folha de Pagamento'!B:O,13,0)</f>
        <v>Feminino</v>
      </c>
      <c r="H10" s="409" t="str">
        <f t="shared" si="1"/>
        <v>#VALUE!</v>
      </c>
      <c r="I10" s="410">
        <f>VLOOKUP(A10,Jobmatch!A:G,6,0)</f>
        <v>95</v>
      </c>
      <c r="J10" s="408" t="str">
        <f>VLOOKUP(A10,Jobmatch!A:H,7,0)</f>
        <v>Controller</v>
      </c>
      <c r="K10" s="411" t="str">
        <f>VLOOKUP(A10,Jobmatch!A:I,8,0)</f>
        <v>Indiferente</v>
      </c>
      <c r="L10" s="412" t="str">
        <f t="shared" si="2"/>
        <v>95Indiferente</v>
      </c>
      <c r="M10" s="413">
        <f>IFERROR(VLOOKUP(B10,'Folha de Pagamento'!B:K,10,0),"")</f>
        <v>11678.83212</v>
      </c>
      <c r="N10" s="414">
        <f>IFERROR(VLOOKUP(L10,Pesquisa!$D:$L,4,0),"")</f>
        <v>14652.03</v>
      </c>
      <c r="O10" s="415">
        <f>IFERROR(VLOOKUP(L10,Pesquisa!$D:$L,5,0),"")</f>
        <v>15472.01</v>
      </c>
      <c r="P10" s="415">
        <f>IFERROR(VLOOKUP(L10,Pesquisa!$D:$L,6,0),"")</f>
        <v>16594.35</v>
      </c>
      <c r="Q10" s="415">
        <f>IFERROR(VLOOKUP(L10,Pesquisa!$D:$L,7,0),"")</f>
        <v>16581.68</v>
      </c>
      <c r="R10" s="415">
        <f>IFERROR(VLOOKUP(L10,Pesquisa!$D:$L,8,0),"")</f>
        <v>17497.31</v>
      </c>
      <c r="S10" s="414">
        <f>IFERROR(VLOOKUP(L10,Pesquisa!$D:$L,9,0),"")</f>
        <v>18846.04</v>
      </c>
      <c r="T10" s="416">
        <f>IFS('Painel Geral'!$B$5="Mediana",IFERROR(IF(OR(M10="",Q10=0,Q10=""),"",($M10/$Q10)),""),'Painel Geral'!$B$5="Menor Salário",IFERROR(IF(OR(M10="",Q10=0,Q10=""),"",($M10/$N10)),""),'Painel Geral'!$B$5="1º Quartil",IFERROR(IF(OR(M10="",Q10=0,Q10=""),"",($M10/$O10)),""),'Painel Geral'!$B$5="Média",IFERROR(IF(OR(M10="",Q10=0,Q10=""),"",($M10/$P10)),""),'Painel Geral'!$B$5="3º Quartil",IFERROR(IF(OR(M10="",Q10=0,Q10=""),"",($M10/$R10)),""),'Painel Geral'!$B$5="Maior Salário",IFERROR(IF(OR(M10="",Q10=0,Q10=""),"",($M10/$S10)),""))</f>
        <v>0.7043214027</v>
      </c>
      <c r="U10" s="408" t="str">
        <f t="shared" si="3"/>
        <v>Muito Defasado</v>
      </c>
      <c r="V10" s="417">
        <f>VLOOKUP(A10,'Cálculos Comparativos'!$A:$E,4,0)</f>
        <v>3</v>
      </c>
    </row>
    <row r="11" ht="15.75" customHeight="1">
      <c r="A11" s="18" t="s">
        <v>27</v>
      </c>
      <c r="B11" s="30">
        <v>1964.0</v>
      </c>
      <c r="C11" s="407" t="str">
        <f>VLOOKUP(A11,Jobmatch!A:F,2,0)</f>
        <v>ANALISTA DE COMPRAS</v>
      </c>
      <c r="D11" s="407" t="str">
        <f>VLOOKUP(B11,'Folha de Pagamento'!B:G,6,0)</f>
        <v>Suprimentos </v>
      </c>
      <c r="E11" s="408" t="str">
        <f>VLOOKUP(A11,Jobmatch!A:F,4,0)</f>
        <v>9 - ADM PROJETOS</v>
      </c>
      <c r="F11" s="407" t="str">
        <f>VLOOKUP(A11,Jobmatch!A:F,5,0)</f>
        <v>Operacional</v>
      </c>
      <c r="G11" s="418" t="str">
        <f>VLOOKUP(B11,'Folha de Pagamento'!B:O,13,0)</f>
        <v>Masculino</v>
      </c>
      <c r="H11" s="409" t="str">
        <f t="shared" si="1"/>
        <v>#VALUE!</v>
      </c>
      <c r="I11" s="410">
        <f>VLOOKUP(A11,Jobmatch!A:G,6,0)</f>
        <v>136</v>
      </c>
      <c r="J11" s="408" t="str">
        <f>VLOOKUP(A11,Jobmatch!A:H,7,0)</f>
        <v>Analista de Compras</v>
      </c>
      <c r="K11" s="411" t="str">
        <f>VLOOKUP(A11,Jobmatch!A:I,8,0)</f>
        <v>Pleno</v>
      </c>
      <c r="L11" s="412" t="str">
        <f t="shared" si="2"/>
        <v>136Pleno</v>
      </c>
      <c r="M11" s="413">
        <f>IFERROR(VLOOKUP(B11,'Folha de Pagamento'!B:K,10,0),"")</f>
        <v>3780</v>
      </c>
      <c r="N11" s="414">
        <f>IFERROR(VLOOKUP(L11,Pesquisa!$D:$L,4,0),"")</f>
        <v>4535.62</v>
      </c>
      <c r="O11" s="415">
        <f>IFERROR(VLOOKUP(L11,Pesquisa!$D:$L,5,0),"")</f>
        <v>4535.62</v>
      </c>
      <c r="P11" s="415">
        <f>IFERROR(VLOOKUP(L11,Pesquisa!$D:$L,6,0),"")</f>
        <v>6016.64</v>
      </c>
      <c r="Q11" s="415">
        <f>IFERROR(VLOOKUP(L11,Pesquisa!$D:$L,7,0),"")</f>
        <v>5288.53</v>
      </c>
      <c r="R11" s="415">
        <f>IFERROR(VLOOKUP(L11,Pesquisa!$D:$L,8,0),"")</f>
        <v>7861.72</v>
      </c>
      <c r="S11" s="414">
        <f>IFERROR(VLOOKUP(L11,Pesquisa!$D:$L,9,0),"")</f>
        <v>7861.72</v>
      </c>
      <c r="T11" s="416">
        <f>IFS('Painel Geral'!$B$5="Mediana",IFERROR(IF(OR(M11="",Q11=0,Q11=""),"",($M11/$Q11)),""),'Painel Geral'!$B$5="Menor Salário",IFERROR(IF(OR(M11="",Q11=0,Q11=""),"",($M11/$N11)),""),'Painel Geral'!$B$5="1º Quartil",IFERROR(IF(OR(M11="",Q11=0,Q11=""),"",($M11/$O11)),""),'Painel Geral'!$B$5="Média",IFERROR(IF(OR(M11="",Q11=0,Q11=""),"",($M11/$P11)),""),'Painel Geral'!$B$5="3º Quartil",IFERROR(IF(OR(M11="",Q11=0,Q11=""),"",($M11/$R11)),""),'Painel Geral'!$B$5="Maior Salário",IFERROR(IF(OR(M11="",Q11=0,Q11=""),"",($M11/$S11)),""))</f>
        <v>0.7147543835</v>
      </c>
      <c r="U11" s="408" t="str">
        <f t="shared" si="3"/>
        <v>Muito Defasado</v>
      </c>
      <c r="V11" s="417">
        <f>VLOOKUP(A11,'Cálculos Comparativos'!$A:$E,4,0)</f>
        <v>1</v>
      </c>
    </row>
    <row r="12" ht="15.75" customHeight="1">
      <c r="A12" s="18" t="s">
        <v>40</v>
      </c>
      <c r="B12" s="30">
        <v>1373.0</v>
      </c>
      <c r="C12" s="407" t="str">
        <f>VLOOKUP(A12,Jobmatch!A:F,2,0)</f>
        <v>ANALISTA DE MANUTENÇÃO II</v>
      </c>
      <c r="D12" s="407" t="str">
        <f>VLOOKUP(B12,'Folha de Pagamento'!B:G,6,0)</f>
        <v>Edificação</v>
      </c>
      <c r="E12" s="408" t="str">
        <f>VLOOKUP(A12,Jobmatch!A:F,4,0)</f>
        <v>12 - ADM PROJETOS</v>
      </c>
      <c r="F12" s="407" t="str">
        <f>VLOOKUP(A12,Jobmatch!A:F,5,0)</f>
        <v>Operacional</v>
      </c>
      <c r="G12" s="418" t="str">
        <f>VLOOKUP(B12,'Folha de Pagamento'!B:O,13,0)</f>
        <v>Masculino</v>
      </c>
      <c r="H12" s="409" t="str">
        <f t="shared" si="1"/>
        <v>#VALUE!</v>
      </c>
      <c r="I12" s="410">
        <f>VLOOKUP(A12,Jobmatch!A:G,6,0)</f>
        <v>820</v>
      </c>
      <c r="J12" s="408" t="str">
        <f>VLOOKUP(A12,Jobmatch!A:H,7,0)</f>
        <v>Encarregado de Manutenção</v>
      </c>
      <c r="K12" s="411" t="str">
        <f>VLOOKUP(A12,Jobmatch!A:I,8,0)</f>
        <v>Indiferente</v>
      </c>
      <c r="L12" s="412" t="str">
        <f t="shared" si="2"/>
        <v>820Indiferente</v>
      </c>
      <c r="M12" s="413">
        <f>IFERROR(VLOOKUP(B12,'Folha de Pagamento'!B:K,10,0),"")</f>
        <v>4550</v>
      </c>
      <c r="N12" s="414">
        <f>IFERROR(VLOOKUP(L12,Pesquisa!$D:$L,4,0),"")</f>
        <v>4348.38</v>
      </c>
      <c r="O12" s="415">
        <f>IFERROR(VLOOKUP(L12,Pesquisa!$D:$L,5,0),"")</f>
        <v>5743.67</v>
      </c>
      <c r="P12" s="415">
        <f>IFERROR(VLOOKUP(L12,Pesquisa!$D:$L,6,0),"")</f>
        <v>6811.3</v>
      </c>
      <c r="Q12" s="415">
        <f>IFERROR(VLOOKUP(L12,Pesquisa!$D:$L,7,0),"")</f>
        <v>6232.3</v>
      </c>
      <c r="R12" s="415">
        <f>IFERROR(VLOOKUP(L12,Pesquisa!$D:$L,8,0),"")</f>
        <v>8417.62</v>
      </c>
      <c r="S12" s="414">
        <f>IFERROR(VLOOKUP(L12,Pesquisa!$D:$L,9,0),"")</f>
        <v>9486.51</v>
      </c>
      <c r="T12" s="416">
        <f>IFS('Painel Geral'!$B$5="Mediana",IFERROR(IF(OR(M12="",Q12=0,Q12=""),"",($M12/$Q12)),""),'Painel Geral'!$B$5="Menor Salário",IFERROR(IF(OR(M12="",Q12=0,Q12=""),"",($M12/$N12)),""),'Painel Geral'!$B$5="1º Quartil",IFERROR(IF(OR(M12="",Q12=0,Q12=""),"",($M12/$O12)),""),'Painel Geral'!$B$5="Média",IFERROR(IF(OR(M12="",Q12=0,Q12=""),"",($M12/$P12)),""),'Painel Geral'!$B$5="3º Quartil",IFERROR(IF(OR(M12="",Q12=0,Q12=""),"",($M12/$R12)),""),'Painel Geral'!$B$5="Maior Salário",IFERROR(IF(OR(M12="",Q12=0,Q12=""),"",($M12/$S12)),""))</f>
        <v>0.7300675513</v>
      </c>
      <c r="U12" s="408" t="str">
        <f t="shared" si="3"/>
        <v>Muito Defasado</v>
      </c>
      <c r="V12" s="417">
        <f>VLOOKUP(A12,'Cálculos Comparativos'!$A:$E,4,0)</f>
        <v>5</v>
      </c>
    </row>
    <row r="13" ht="15.75" customHeight="1">
      <c r="A13" s="18" t="s">
        <v>109</v>
      </c>
      <c r="B13" s="30">
        <v>1452.0</v>
      </c>
      <c r="C13" s="407" t="str">
        <f>VLOOKUP(A13,Jobmatch!A:F,2,0)</f>
        <v>COORDENADOR DE OBRAS</v>
      </c>
      <c r="D13" s="407" t="str">
        <f>VLOOKUP(B13,'Folha de Pagamento'!B:G,6,0)</f>
        <v>Edificação</v>
      </c>
      <c r="E13" s="408" t="str">
        <f>VLOOKUP(A13,Jobmatch!A:F,4,0)</f>
        <v>37 - ADM PROJETOS</v>
      </c>
      <c r="F13" s="407" t="str">
        <f>VLOOKUP(A13,Jobmatch!A:F,5,0)</f>
        <v>Tático</v>
      </c>
      <c r="G13" s="407" t="str">
        <f>VLOOKUP(B13,'Folha de Pagamento'!B:O,13,0)</f>
        <v>Masculino</v>
      </c>
      <c r="H13" s="409" t="str">
        <f t="shared" si="1"/>
        <v>#VALUE!</v>
      </c>
      <c r="I13" s="410">
        <f>VLOOKUP(A13,Jobmatch!A:G,6,0)</f>
        <v>209</v>
      </c>
      <c r="J13" s="408" t="str">
        <f>VLOOKUP(A13,Jobmatch!A:H,7,0)</f>
        <v>Coordenador de Obras</v>
      </c>
      <c r="K13" s="411" t="str">
        <f>VLOOKUP(A13,Jobmatch!A:I,8,0)</f>
        <v>Indiferente</v>
      </c>
      <c r="L13" s="412" t="str">
        <f t="shared" si="2"/>
        <v>209Indiferente</v>
      </c>
      <c r="M13" s="413">
        <f>IFERROR(VLOOKUP(B13,'Folha de Pagamento'!B:K,10,0),"")</f>
        <v>8714</v>
      </c>
      <c r="N13" s="414">
        <f>IFERROR(VLOOKUP(L13,Pesquisa!$D:$L,4,0),"")</f>
        <v>5608.9635</v>
      </c>
      <c r="O13" s="415">
        <f>IFERROR(VLOOKUP(L13,Pesquisa!$D:$L,5,0),"")</f>
        <v>9662.348491</v>
      </c>
      <c r="P13" s="415">
        <f>IFERROR(VLOOKUP(L13,Pesquisa!$D:$L,6,0),"")</f>
        <v>10653.14423</v>
      </c>
      <c r="Q13" s="415">
        <f>IFERROR(VLOOKUP(L13,Pesquisa!$D:$L,7,0),"")</f>
        <v>11847.83113</v>
      </c>
      <c r="R13" s="415">
        <f>IFERROR(VLOOKUP(L13,Pesquisa!$D:$L,8,0),"")</f>
        <v>12838.62686</v>
      </c>
      <c r="S13" s="414">
        <f>IFERROR(VLOOKUP(L13,Pesquisa!$D:$L,9,0),"")</f>
        <v>13307.95116</v>
      </c>
      <c r="T13" s="416">
        <f>IFS('Painel Geral'!$B$5="Mediana",IFERROR(IF(OR(M13="",Q13=0,Q13=""),"",($M13/$Q13)),""),'Painel Geral'!$B$5="Menor Salário",IFERROR(IF(OR(M13="",Q13=0,Q13=""),"",($M13/$N13)),""),'Painel Geral'!$B$5="1º Quartil",IFERROR(IF(OR(M13="",Q13=0,Q13=""),"",($M13/$O13)),""),'Painel Geral'!$B$5="Média",IFERROR(IF(OR(M13="",Q13=0,Q13=""),"",($M13/$P13)),""),'Painel Geral'!$B$5="3º Quartil",IFERROR(IF(OR(M13="",Q13=0,Q13=""),"",($M13/$R13)),""),'Painel Geral'!$B$5="Maior Salário",IFERROR(IF(OR(M13="",Q13=0,Q13=""),"",($M13/$S13)),""))</f>
        <v>0.7354932652</v>
      </c>
      <c r="U13" s="408" t="str">
        <f t="shared" si="3"/>
        <v>Muito Defasado</v>
      </c>
      <c r="V13" s="417">
        <f>VLOOKUP(A13,'Cálculos Comparativos'!$A:$E,4,0)</f>
        <v>5</v>
      </c>
    </row>
    <row r="14" ht="15.75" customHeight="1">
      <c r="A14" s="18" t="s">
        <v>49</v>
      </c>
      <c r="B14" s="30">
        <v>187.0</v>
      </c>
      <c r="C14" s="407" t="str">
        <f>VLOOKUP(A14,Jobmatch!A:F,2,0)</f>
        <v>ANALISTA DE URBANISMO</v>
      </c>
      <c r="D14" s="407" t="str">
        <f>VLOOKUP(B14,'Folha de Pagamento'!B:G,6,0)</f>
        <v>Urbanismo</v>
      </c>
      <c r="E14" s="408" t="str">
        <f>VLOOKUP(A14,Jobmatch!A:F,4,0)</f>
        <v>15 - ADM PROJETOS</v>
      </c>
      <c r="F14" s="407" t="str">
        <f>VLOOKUP(A14,Jobmatch!A:F,5,0)</f>
        <v>Operacional</v>
      </c>
      <c r="G14" s="418" t="str">
        <f>VLOOKUP(B14,'Folha de Pagamento'!B:O,13,0)</f>
        <v>Feminino</v>
      </c>
      <c r="H14" s="409" t="str">
        <f t="shared" si="1"/>
        <v>#VALUE!</v>
      </c>
      <c r="I14" s="410">
        <f>VLOOKUP(A14,Jobmatch!A:G,6,0)</f>
        <v>1199</v>
      </c>
      <c r="J14" s="408" t="str">
        <f>VLOOKUP(A14,Jobmatch!A:H,7,0)</f>
        <v>Analista de Urbanismo</v>
      </c>
      <c r="K14" s="411" t="str">
        <f>VLOOKUP(A14,Jobmatch!A:I,8,0)</f>
        <v>Indiferente</v>
      </c>
      <c r="L14" s="412" t="str">
        <f t="shared" si="2"/>
        <v>1199Indiferente</v>
      </c>
      <c r="M14" s="413">
        <f>IFERROR(VLOOKUP(B14,'Folha de Pagamento'!B:K,10,0),"")</f>
        <v>5830</v>
      </c>
      <c r="N14" s="414">
        <f>IFERROR(VLOOKUP(L14,Pesquisa!$D:$L,4,0),"")</f>
        <v>5876.15</v>
      </c>
      <c r="O14" s="415">
        <f>IFERROR(VLOOKUP(L14,Pesquisa!$D:$L,5,0),"")</f>
        <v>6106.16</v>
      </c>
      <c r="P14" s="415">
        <f>IFERROR(VLOOKUP(L14,Pesquisa!$D:$L,6,0),"")</f>
        <v>7655.79</v>
      </c>
      <c r="Q14" s="415">
        <f>IFERROR(VLOOKUP(L14,Pesquisa!$D:$L,7,0),"")</f>
        <v>7867.3</v>
      </c>
      <c r="R14" s="415">
        <f>IFERROR(VLOOKUP(L14,Pesquisa!$D:$L,8,0),"")</f>
        <v>9183.14</v>
      </c>
      <c r="S14" s="414">
        <f>IFERROR(VLOOKUP(L14,Pesquisa!$D:$L,9,0),"")</f>
        <v>9183.14</v>
      </c>
      <c r="T14" s="416">
        <f>IFS('Painel Geral'!$B$5="Mediana",IFERROR(IF(OR(M14="",Q14=0,Q14=""),"",($M14/$Q14)),""),'Painel Geral'!$B$5="Menor Salário",IFERROR(IF(OR(M14="",Q14=0,Q14=""),"",($M14/$N14)),""),'Painel Geral'!$B$5="1º Quartil",IFERROR(IF(OR(M14="",Q14=0,Q14=""),"",($M14/$O14)),""),'Painel Geral'!$B$5="Média",IFERROR(IF(OR(M14="",Q14=0,Q14=""),"",($M14/$P14)),""),'Painel Geral'!$B$5="3º Quartil",IFERROR(IF(OR(M14="",Q14=0,Q14=""),"",($M14/$R14)),""),'Painel Geral'!$B$5="Maior Salário",IFERROR(IF(OR(M14="",Q14=0,Q14=""),"",($M14/$S14)),""))</f>
        <v>0.7410420348</v>
      </c>
      <c r="U14" s="408" t="str">
        <f t="shared" si="3"/>
        <v>Muito Defasado</v>
      </c>
      <c r="V14" s="417">
        <f>VLOOKUP(A14,'Cálculos Comparativos'!$A:$E,4,0)</f>
        <v>10</v>
      </c>
    </row>
    <row r="15" ht="15.75" customHeight="1">
      <c r="A15" s="18" t="s">
        <v>162</v>
      </c>
      <c r="B15" s="30" t="s">
        <v>163</v>
      </c>
      <c r="C15" s="407" t="str">
        <f>VLOOKUP(A15,Jobmatch!A:F,2,0)</f>
        <v>GERENTE DE INCORPORAÇÃO </v>
      </c>
      <c r="D15" s="407" t="str">
        <f>VLOOKUP(B15,'Folha de Pagamento'!B:G,6,0)</f>
        <v>Incorporação</v>
      </c>
      <c r="E15" s="408" t="str">
        <f>VLOOKUP(A15,Jobmatch!A:F,4,0)</f>
        <v>54 - ADM PROJETOS</v>
      </c>
      <c r="F15" s="407" t="str">
        <f>VLOOKUP(A15,Jobmatch!A:F,5,0)</f>
        <v>Tático</v>
      </c>
      <c r="G15" s="407" t="str">
        <f>VLOOKUP(B15,'Folha de Pagamento'!B:O,13,0)</f>
        <v>Feminino</v>
      </c>
      <c r="H15" s="409" t="str">
        <f t="shared" si="1"/>
        <v>#VALUE!</v>
      </c>
      <c r="I15" s="410">
        <f>VLOOKUP(A15,Jobmatch!A:G,6,0)</f>
        <v>548</v>
      </c>
      <c r="J15" s="408" t="str">
        <f>VLOOKUP(A15,Jobmatch!A:H,7,0)</f>
        <v>Gerente de Incorporação</v>
      </c>
      <c r="K15" s="411" t="str">
        <f>VLOOKUP(A15,Jobmatch!A:I,8,0)</f>
        <v>Indiferente</v>
      </c>
      <c r="L15" s="412" t="str">
        <f t="shared" si="2"/>
        <v>548Indiferente</v>
      </c>
      <c r="M15" s="413">
        <f>IFERROR(VLOOKUP(B15,'Folha de Pagamento'!B:K,10,0),"")</f>
        <v>14045.45455</v>
      </c>
      <c r="N15" s="414">
        <f>IFERROR(VLOOKUP(L15,Pesquisa!$D:$L,4,0),"")</f>
        <v>9162.727273</v>
      </c>
      <c r="O15" s="415">
        <f>IFERROR(VLOOKUP(L15,Pesquisa!$D:$L,5,0),"")</f>
        <v>13744.09091</v>
      </c>
      <c r="P15" s="415">
        <f>IFERROR(VLOOKUP(L15,Pesquisa!$D:$L,6,0),"")</f>
        <v>18683.55298</v>
      </c>
      <c r="Q15" s="415">
        <f>IFERROR(VLOOKUP(L15,Pesquisa!$D:$L,7,0),"")</f>
        <v>18908.46361</v>
      </c>
      <c r="R15" s="415">
        <f>IFERROR(VLOOKUP(L15,Pesquisa!$D:$L,8,0),"")</f>
        <v>23847.92568</v>
      </c>
      <c r="S15" s="414">
        <f>IFERROR(VLOOKUP(L15,Pesquisa!$D:$L,9,0),"")</f>
        <v>27754.55742</v>
      </c>
      <c r="T15" s="416">
        <f>IFS('Painel Geral'!$B$5="Mediana",IFERROR(IF(OR(M15="",Q15=0,Q15=""),"",($M15/$Q15)),""),'Painel Geral'!$B$5="Menor Salário",IFERROR(IF(OR(M15="",Q15=0,Q15=""),"",($M15/$N15)),""),'Painel Geral'!$B$5="1º Quartil",IFERROR(IF(OR(M15="",Q15=0,Q15=""),"",($M15/$O15)),""),'Painel Geral'!$B$5="Média",IFERROR(IF(OR(M15="",Q15=0,Q15=""),"",($M15/$P15)),""),'Painel Geral'!$B$5="3º Quartil",IFERROR(IF(OR(M15="",Q15=0,Q15=""),"",($M15/$R15)),""),'Painel Geral'!$B$5="Maior Salário",IFERROR(IF(OR(M15="",Q15=0,Q15=""),"",($M15/$S15)),""))</f>
        <v>0.7428131039</v>
      </c>
      <c r="U15" s="408" t="str">
        <f t="shared" si="3"/>
        <v>Muito Defasado</v>
      </c>
      <c r="V15" s="417">
        <f>VLOOKUP(A15,'Cálculos Comparativos'!$A:$E,4,0)</f>
        <v>7</v>
      </c>
    </row>
    <row r="16" ht="15.75" customHeight="1">
      <c r="A16" s="18" t="s">
        <v>92</v>
      </c>
      <c r="B16" s="30" t="s">
        <v>93</v>
      </c>
      <c r="C16" s="407" t="str">
        <f>VLOOKUP(A16,Jobmatch!A:F,2,0)</f>
        <v>CONTROLER JURÍDICO</v>
      </c>
      <c r="D16" s="407" t="str">
        <f>VLOOKUP(B16,'Folha de Pagamento'!B:G,6,0)</f>
        <v>Administrativo</v>
      </c>
      <c r="E16" s="408" t="str">
        <f>VLOOKUP(A16,Jobmatch!A:F,4,0)</f>
        <v>31 - ADM PROJETOS</v>
      </c>
      <c r="F16" s="407" t="str">
        <f>VLOOKUP(A16,Jobmatch!A:F,5,0)</f>
        <v>Tático</v>
      </c>
      <c r="G16" s="407" t="str">
        <f>VLOOKUP(B16,'Folha de Pagamento'!B:O,13,0)</f>
        <v>Feminino</v>
      </c>
      <c r="H16" s="409" t="str">
        <f t="shared" si="1"/>
        <v>#VALUE!</v>
      </c>
      <c r="I16" s="410">
        <f>VLOOKUP(A16,Jobmatch!A:G,6,0)</f>
        <v>9</v>
      </c>
      <c r="J16" s="408" t="str">
        <f>VLOOKUP(A16,Jobmatch!A:H,7,0)</f>
        <v>Advogado</v>
      </c>
      <c r="K16" s="411" t="str">
        <f>VLOOKUP(A16,Jobmatch!A:I,8,0)</f>
        <v>Sênior</v>
      </c>
      <c r="L16" s="412" t="str">
        <f t="shared" si="2"/>
        <v>9Sênior</v>
      </c>
      <c r="M16" s="413">
        <f>IFERROR(VLOOKUP(B16,'Folha de Pagamento'!B:K,10,0),"")</f>
        <v>8276.642336</v>
      </c>
      <c r="N16" s="414">
        <f>IFERROR(VLOOKUP(L16,Pesquisa!$D:$L,4,0),"")</f>
        <v>8566.38</v>
      </c>
      <c r="O16" s="415">
        <f>IFERROR(VLOOKUP(L16,Pesquisa!$D:$L,5,0),"")</f>
        <v>9284.95</v>
      </c>
      <c r="P16" s="415">
        <f>IFERROR(VLOOKUP(L16,Pesquisa!$D:$L,6,0),"")</f>
        <v>11453.66</v>
      </c>
      <c r="Q16" s="415">
        <f>IFERROR(VLOOKUP(L16,Pesquisa!$D:$L,7,0),"")</f>
        <v>10957.61</v>
      </c>
      <c r="R16" s="415">
        <f>IFERROR(VLOOKUP(L16,Pesquisa!$D:$L,8,0),"")</f>
        <v>10957.61</v>
      </c>
      <c r="S16" s="414">
        <f>IFERROR(VLOOKUP(L16,Pesquisa!$D:$L,9,0),"")</f>
        <v>17501.76</v>
      </c>
      <c r="T16" s="416">
        <f>IFS('Painel Geral'!$B$5="Mediana",IFERROR(IF(OR(M16="",Q16=0,Q16=""),"",($M16/$Q16)),""),'Painel Geral'!$B$5="Menor Salário",IFERROR(IF(OR(M16="",Q16=0,Q16=""),"",($M16/$N16)),""),'Painel Geral'!$B$5="1º Quartil",IFERROR(IF(OR(M16="",Q16=0,Q16=""),"",($M16/$O16)),""),'Painel Geral'!$B$5="Média",IFERROR(IF(OR(M16="",Q16=0,Q16=""),"",($M16/$P16)),""),'Painel Geral'!$B$5="3º Quartil",IFERROR(IF(OR(M16="",Q16=0,Q16=""),"",($M16/$R16)),""),'Painel Geral'!$B$5="Maior Salário",IFERROR(IF(OR(M16="",Q16=0,Q16=""),"",($M16/$S16)),""))</f>
        <v>0.7553328085</v>
      </c>
      <c r="U16" s="408" t="str">
        <f t="shared" si="3"/>
        <v>Muito Defasado</v>
      </c>
      <c r="V16" s="417">
        <f>VLOOKUP(A16,'Cálculos Comparativos'!$A:$E,4,0)</f>
        <v>1</v>
      </c>
    </row>
    <row r="17" ht="15.75" customHeight="1">
      <c r="A17" s="18" t="s">
        <v>146</v>
      </c>
      <c r="B17" s="30" t="s">
        <v>147</v>
      </c>
      <c r="C17" s="407" t="str">
        <f>VLOOKUP(A17,Jobmatch!A:F,2,0)</f>
        <v>GERENTE ADMINISTRATIVA </v>
      </c>
      <c r="D17" s="407" t="str">
        <f>VLOOKUP(B17,'Folha de Pagamento'!B:G,6,0)</f>
        <v>Administrativo</v>
      </c>
      <c r="E17" s="408" t="str">
        <f>VLOOKUP(A17,Jobmatch!A:F,4,0)</f>
        <v>49 - ADM PROJETOS</v>
      </c>
      <c r="F17" s="407" t="str">
        <f>VLOOKUP(A17,Jobmatch!A:F,5,0)</f>
        <v>Tático</v>
      </c>
      <c r="G17" s="407" t="str">
        <f>VLOOKUP(B17,'Folha de Pagamento'!B:O,13,0)</f>
        <v>Feminino</v>
      </c>
      <c r="H17" s="409" t="str">
        <f t="shared" si="1"/>
        <v>#VALUE!</v>
      </c>
      <c r="I17" s="410">
        <f>VLOOKUP(A17,Jobmatch!A:G,6,0)</f>
        <v>106</v>
      </c>
      <c r="J17" s="408" t="str">
        <f>VLOOKUP(A17,Jobmatch!A:H,7,0)</f>
        <v>Gerente Administrativo</v>
      </c>
      <c r="K17" s="411" t="str">
        <f>VLOOKUP(A17,Jobmatch!A:I,8,0)</f>
        <v>Indiferente</v>
      </c>
      <c r="L17" s="412" t="str">
        <f t="shared" si="2"/>
        <v>106Indiferente</v>
      </c>
      <c r="M17" s="413">
        <f>IFERROR(VLOOKUP(B17,'Folha de Pagamento'!B:K,10,0),"")</f>
        <v>12242.42424</v>
      </c>
      <c r="N17" s="414">
        <f>IFERROR(VLOOKUP(L17,Pesquisa!$D:$L,4,0),"")</f>
        <v>8080.79</v>
      </c>
      <c r="O17" s="415">
        <f>IFERROR(VLOOKUP(L17,Pesquisa!$D:$L,5,0),"")</f>
        <v>10525.48</v>
      </c>
      <c r="P17" s="415">
        <f>IFERROR(VLOOKUP(L17,Pesquisa!$D:$L,6,0),"")</f>
        <v>13820.95</v>
      </c>
      <c r="Q17" s="415">
        <f>IFERROR(VLOOKUP(L17,Pesquisa!$D:$L,7,0),"")</f>
        <v>13996.93</v>
      </c>
      <c r="R17" s="415">
        <f>IFERROR(VLOOKUP(L17,Pesquisa!$D:$L,8,0),"")</f>
        <v>16850.54</v>
      </c>
      <c r="S17" s="414">
        <f>IFERROR(VLOOKUP(L17,Pesquisa!$D:$L,9,0),"")</f>
        <v>27754.56</v>
      </c>
      <c r="T17" s="416">
        <f>IFS('Painel Geral'!$B$5="Mediana",IFERROR(IF(OR(M17="",Q17=0,Q17=""),"",($M17/$Q17)),""),'Painel Geral'!$B$5="Menor Salário",IFERROR(IF(OR(M17="",Q17=0,Q17=""),"",($M17/$N17)),""),'Painel Geral'!$B$5="1º Quartil",IFERROR(IF(OR(M17="",Q17=0,Q17=""),"",($M17/$O17)),""),'Painel Geral'!$B$5="Média",IFERROR(IF(OR(M17="",Q17=0,Q17=""),"",($M17/$P17)),""),'Painel Geral'!$B$5="3º Quartil",IFERROR(IF(OR(M17="",Q17=0,Q17=""),"",($M17/$R17)),""),'Painel Geral'!$B$5="Maior Salário",IFERROR(IF(OR(M17="",Q17=0,Q17=""),"",($M17/$S17)),""))</f>
        <v>0.8746506729</v>
      </c>
      <c r="U17" s="408" t="str">
        <f t="shared" si="3"/>
        <v>Defasado</v>
      </c>
      <c r="V17" s="417">
        <f>VLOOKUP(A17,'Cálculos Comparativos'!$A:$E,4,0)</f>
        <v>1</v>
      </c>
    </row>
    <row r="18" ht="15.75" customHeight="1">
      <c r="A18" s="18" t="s">
        <v>138</v>
      </c>
      <c r="B18" s="30" t="s">
        <v>139</v>
      </c>
      <c r="C18" s="407" t="str">
        <f>VLOOKUP(A18,Jobmatch!A:F,2,0)</f>
        <v>ESTAGIÁRIO(A) ADM</v>
      </c>
      <c r="D18" s="407" t="str">
        <f>VLOOKUP(B18,'Folha de Pagamento'!B:G,6,0)</f>
        <v>Administrativo</v>
      </c>
      <c r="E18" s="408" t="str">
        <f>VLOOKUP(A18,Jobmatch!A:F,4,0)</f>
        <v>46 - ADM PROJETOS</v>
      </c>
      <c r="F18" s="407" t="str">
        <f>VLOOKUP(A18,Jobmatch!A:F,5,0)</f>
        <v>Operacional</v>
      </c>
      <c r="G18" s="407" t="str">
        <f>VLOOKUP(B18,'Folha de Pagamento'!B:O,13,0)</f>
        <v>Masculino</v>
      </c>
      <c r="H18" s="409" t="str">
        <f t="shared" si="1"/>
        <v>#VALUE!</v>
      </c>
      <c r="I18" s="410">
        <f>VLOOKUP(A18,Jobmatch!A:G,6,0)</f>
        <v>338</v>
      </c>
      <c r="J18" s="408" t="str">
        <f>VLOOKUP(A18,Jobmatch!A:H,7,0)</f>
        <v>Estagiário Administrativo</v>
      </c>
      <c r="K18" s="411" t="str">
        <f>VLOOKUP(A18,Jobmatch!A:I,8,0)</f>
        <v>Indiferente</v>
      </c>
      <c r="L18" s="412" t="str">
        <f t="shared" si="2"/>
        <v>338Indiferente</v>
      </c>
      <c r="M18" s="413">
        <f>IFERROR(VLOOKUP(B18,'Folha de Pagamento'!B:K,10,0),"")</f>
        <v>1521</v>
      </c>
      <c r="N18" s="414">
        <f>IFERROR(VLOOKUP(L18,Pesquisa!$D:$L,4,0),"")</f>
        <v>1562.270455</v>
      </c>
      <c r="O18" s="415">
        <f>IFERROR(VLOOKUP(L18,Pesquisa!$D:$L,5,0),"")</f>
        <v>1618.963636</v>
      </c>
      <c r="P18" s="415">
        <f>IFERROR(VLOOKUP(L18,Pesquisa!$D:$L,6,0),"")</f>
        <v>1757.55</v>
      </c>
      <c r="Q18" s="415">
        <f>IFERROR(VLOOKUP(L18,Pesquisa!$D:$L,7,0),"")</f>
        <v>1726.056818</v>
      </c>
      <c r="R18" s="415">
        <f>IFERROR(VLOOKUP(L18,Pesquisa!$D:$L,8,0),"")</f>
        <v>1864.643182</v>
      </c>
      <c r="S18" s="414">
        <f>IFERROR(VLOOKUP(L18,Pesquisa!$D:$L,9,0),"")</f>
        <v>2015.829545</v>
      </c>
      <c r="T18" s="416">
        <f>IFS('Painel Geral'!$B$5="Mediana",IFERROR(IF(OR(M18="",Q18=0,Q18=""),"",($M18/$Q18)),""),'Painel Geral'!$B$5="Menor Salário",IFERROR(IF(OR(M18="",Q18=0,Q18=""),"",($M18/$N18)),""),'Painel Geral'!$B$5="1º Quartil",IFERROR(IF(OR(M18="",Q18=0,Q18=""),"",($M18/$O18)),""),'Painel Geral'!$B$5="Média",IFERROR(IF(OR(M18="",Q18=0,Q18=""),"",($M18/$P18)),""),'Painel Geral'!$B$5="3º Quartil",IFERROR(IF(OR(M18="",Q18=0,Q18=""),"",($M18/$R18)),""),'Painel Geral'!$B$5="Maior Salário",IFERROR(IF(OR(M18="",Q18=0,Q18=""),"",($M18/$S18)),""))</f>
        <v>0.8811992653</v>
      </c>
      <c r="U18" s="408" t="str">
        <f t="shared" si="3"/>
        <v>Defasado</v>
      </c>
      <c r="V18" s="417">
        <f>VLOOKUP(A18,'Cálculos Comparativos'!$A:$E,4,0)</f>
        <v>1</v>
      </c>
    </row>
    <row r="19" ht="15.75" customHeight="1">
      <c r="A19" s="18" t="s">
        <v>133</v>
      </c>
      <c r="B19" s="30" t="s">
        <v>134</v>
      </c>
      <c r="C19" s="407" t="str">
        <f>VLOOKUP(A19,Jobmatch!A:F,2,0)</f>
        <v>ESTAGIARIO (A)</v>
      </c>
      <c r="D19" s="407" t="str">
        <f>VLOOKUP(B19,'Folha de Pagamento'!B:G,6,0)</f>
        <v>Novos Negócios</v>
      </c>
      <c r="E19" s="408" t="str">
        <f>VLOOKUP(A19,Jobmatch!A:F,4,0)</f>
        <v>45 - ADM PROJETOS</v>
      </c>
      <c r="F19" s="407" t="str">
        <f>VLOOKUP(A19,Jobmatch!A:F,5,0)</f>
        <v>Operacional</v>
      </c>
      <c r="G19" s="407" t="str">
        <f>VLOOKUP(B19,'Folha de Pagamento'!B:O,13,0)</f>
        <v>Feminino</v>
      </c>
      <c r="H19" s="409" t="str">
        <f t="shared" si="1"/>
        <v>#VALUE!</v>
      </c>
      <c r="I19" s="410">
        <f>VLOOKUP(A19,Jobmatch!A:G,6,0)</f>
        <v>338</v>
      </c>
      <c r="J19" s="408" t="str">
        <f>VLOOKUP(A19,Jobmatch!A:H,7,0)</f>
        <v>Estagiário Administrativo</v>
      </c>
      <c r="K19" s="411" t="str">
        <f>VLOOKUP(A19,Jobmatch!A:I,8,0)</f>
        <v>Indiferente</v>
      </c>
      <c r="L19" s="412" t="str">
        <f t="shared" si="2"/>
        <v>338Indiferente</v>
      </c>
      <c r="M19" s="413">
        <f>IFERROR(VLOOKUP(B19,'Folha de Pagamento'!B:K,10,0),"")</f>
        <v>1521</v>
      </c>
      <c r="N19" s="414">
        <f>IFERROR(VLOOKUP(L19,Pesquisa!$D:$L,4,0),"")</f>
        <v>1562.270455</v>
      </c>
      <c r="O19" s="415">
        <f>IFERROR(VLOOKUP(L19,Pesquisa!$D:$L,5,0),"")</f>
        <v>1618.963636</v>
      </c>
      <c r="P19" s="415">
        <f>IFERROR(VLOOKUP(L19,Pesquisa!$D:$L,6,0),"")</f>
        <v>1757.55</v>
      </c>
      <c r="Q19" s="415">
        <f>IFERROR(VLOOKUP(L19,Pesquisa!$D:$L,7,0),"")</f>
        <v>1726.056818</v>
      </c>
      <c r="R19" s="415">
        <f>IFERROR(VLOOKUP(L19,Pesquisa!$D:$L,8,0),"")</f>
        <v>1864.643182</v>
      </c>
      <c r="S19" s="414">
        <f>IFERROR(VLOOKUP(L19,Pesquisa!$D:$L,9,0),"")</f>
        <v>2015.829545</v>
      </c>
      <c r="T19" s="416">
        <f>IFS('Painel Geral'!$B$5="Mediana",IFERROR(IF(OR(M19="",Q19=0,Q19=""),"",($M19/$Q19)),""),'Painel Geral'!$B$5="Menor Salário",IFERROR(IF(OR(M19="",Q19=0,Q19=""),"",($M19/$N19)),""),'Painel Geral'!$B$5="1º Quartil",IFERROR(IF(OR(M19="",Q19=0,Q19=""),"",($M19/$O19)),""),'Painel Geral'!$B$5="Média",IFERROR(IF(OR(M19="",Q19=0,Q19=""),"",($M19/$P19)),""),'Painel Geral'!$B$5="3º Quartil",IFERROR(IF(OR(M19="",Q19=0,Q19=""),"",($M19/$R19)),""),'Painel Geral'!$B$5="Maior Salário",IFERROR(IF(OR(M19="",Q19=0,Q19=""),"",($M19/$S19)),""))</f>
        <v>0.8811992653</v>
      </c>
      <c r="U19" s="408" t="str">
        <f t="shared" si="3"/>
        <v>Defasado</v>
      </c>
      <c r="V19" s="417">
        <f>VLOOKUP(A19,'Cálculos Comparativos'!$A:$E,4,0)</f>
        <v>9</v>
      </c>
    </row>
    <row r="20" ht="15.75" customHeight="1">
      <c r="A20" s="18" t="s">
        <v>52</v>
      </c>
      <c r="B20" s="30">
        <v>1868.0</v>
      </c>
      <c r="C20" s="407" t="str">
        <f>VLOOKUP(A20,Jobmatch!A:F,2,0)</f>
        <v>ANALISTA FINANCEIRO COMERCIAL III</v>
      </c>
      <c r="D20" s="407" t="str">
        <f>VLOOKUP(B20,'Folha de Pagamento'!B:G,6,0)</f>
        <v>Financeiro</v>
      </c>
      <c r="E20" s="408" t="str">
        <f>VLOOKUP(A20,Jobmatch!A:F,4,0)</f>
        <v>16 - ADM PROJETOS</v>
      </c>
      <c r="F20" s="407" t="str">
        <f>VLOOKUP(A20,Jobmatch!A:F,5,0)</f>
        <v>Operacional</v>
      </c>
      <c r="G20" s="407" t="str">
        <f>VLOOKUP(B20,'Folha de Pagamento'!B:O,13,0)</f>
        <v>Feminino</v>
      </c>
      <c r="H20" s="409" t="str">
        <f t="shared" si="1"/>
        <v>#VALUE!</v>
      </c>
      <c r="I20" s="410">
        <f>VLOOKUP(A20,Jobmatch!A:G,6,0)</f>
        <v>16</v>
      </c>
      <c r="J20" s="408" t="str">
        <f>VLOOKUP(A20,Jobmatch!A:H,7,0)</f>
        <v>Analista Financeiro</v>
      </c>
      <c r="K20" s="411" t="str">
        <f>VLOOKUP(A20,Jobmatch!A:I,8,0)</f>
        <v>Sênior</v>
      </c>
      <c r="L20" s="412" t="str">
        <f t="shared" si="2"/>
        <v>16Sênior</v>
      </c>
      <c r="M20" s="413">
        <f>IFERROR(VLOOKUP(B20,'Folha de Pagamento'!B:K,10,0),"")</f>
        <v>5213</v>
      </c>
      <c r="N20" s="414">
        <f>IFERROR(VLOOKUP(L20,Pesquisa!$D:$L,4,0),"")</f>
        <v>4882.37</v>
      </c>
      <c r="O20" s="415">
        <f>IFERROR(VLOOKUP(L20,Pesquisa!$D:$L,5,0),"")</f>
        <v>5489.27</v>
      </c>
      <c r="P20" s="415">
        <f>IFERROR(VLOOKUP(L20,Pesquisa!$D:$L,6,0),"")</f>
        <v>6172.24</v>
      </c>
      <c r="Q20" s="415">
        <f>IFERROR(VLOOKUP(L20,Pesquisa!$D:$L,7,0),"")</f>
        <v>5910.71</v>
      </c>
      <c r="R20" s="415">
        <f>IFERROR(VLOOKUP(L20,Pesquisa!$D:$L,8,0),"")</f>
        <v>6737.39</v>
      </c>
      <c r="S20" s="414">
        <f>IFERROR(VLOOKUP(L20,Pesquisa!$D:$L,9,0),"")</f>
        <v>8185.08</v>
      </c>
      <c r="T20" s="416">
        <f>IFS('Painel Geral'!$B$5="Mediana",IFERROR(IF(OR(M20="",Q20=0,Q20=""),"",($M20/$Q20)),""),'Painel Geral'!$B$5="Menor Salário",IFERROR(IF(OR(M20="",Q20=0,Q20=""),"",($M20/$N20)),""),'Painel Geral'!$B$5="1º Quartil",IFERROR(IF(OR(M20="",Q20=0,Q20=""),"",($M20/$O20)),""),'Painel Geral'!$B$5="Média",IFERROR(IF(OR(M20="",Q20=0,Q20=""),"",($M20/$P20)),""),'Painel Geral'!$B$5="3º Quartil",IFERROR(IF(OR(M20="",Q20=0,Q20=""),"",($M20/$R20)),""),'Painel Geral'!$B$5="Maior Salário",IFERROR(IF(OR(M20="",Q20=0,Q20=""),"",($M20/$S20)),""))</f>
        <v>0.8819583434</v>
      </c>
      <c r="U20" s="408" t="str">
        <f t="shared" si="3"/>
        <v>Defasado</v>
      </c>
      <c r="V20" s="417">
        <f>VLOOKUP(A20,'Cálculos Comparativos'!$A:$E,4,0)</f>
        <v>6</v>
      </c>
    </row>
    <row r="21" ht="15.75" customHeight="1">
      <c r="A21" s="18" t="s">
        <v>56</v>
      </c>
      <c r="B21" s="30">
        <v>176.0</v>
      </c>
      <c r="C21" s="407" t="str">
        <f>VLOOKUP(A21,Jobmatch!A:F,2,0)</f>
        <v>ANALISTA FINANCEIRO DE CAPTAÇÃO DE RECURSOS III</v>
      </c>
      <c r="D21" s="407" t="str">
        <f>VLOOKUP(B21,'Folha de Pagamento'!B:G,6,0)</f>
        <v>Financeiro</v>
      </c>
      <c r="E21" s="408" t="str">
        <f>VLOOKUP(A21,Jobmatch!A:F,4,0)</f>
        <v>17 - ADM PROJETOS</v>
      </c>
      <c r="F21" s="407" t="str">
        <f>VLOOKUP(A21,Jobmatch!A:F,5,0)</f>
        <v>Operacional</v>
      </c>
      <c r="G21" s="407" t="str">
        <f>VLOOKUP(B21,'Folha de Pagamento'!B:O,13,0)</f>
        <v>Feminino</v>
      </c>
      <c r="H21" s="409" t="str">
        <f t="shared" si="1"/>
        <v>#VALUE!</v>
      </c>
      <c r="I21" s="410">
        <f>VLOOKUP(A21,Jobmatch!A:G,6,0)</f>
        <v>16</v>
      </c>
      <c r="J21" s="408" t="str">
        <f>VLOOKUP(A21,Jobmatch!A:H,7,0)</f>
        <v>Analista Financeiro</v>
      </c>
      <c r="K21" s="411" t="str">
        <f>VLOOKUP(A21,Jobmatch!A:I,8,0)</f>
        <v>Sênior</v>
      </c>
      <c r="L21" s="412" t="str">
        <f t="shared" si="2"/>
        <v>16Sênior</v>
      </c>
      <c r="M21" s="413">
        <f>IFERROR(VLOOKUP(B21,'Folha de Pagamento'!B:K,10,0),"")</f>
        <v>5213</v>
      </c>
      <c r="N21" s="414">
        <f>IFERROR(VLOOKUP(L21,Pesquisa!$D:$L,4,0),"")</f>
        <v>4882.37</v>
      </c>
      <c r="O21" s="415">
        <f>IFERROR(VLOOKUP(L21,Pesquisa!$D:$L,5,0),"")</f>
        <v>5489.27</v>
      </c>
      <c r="P21" s="415">
        <f>IFERROR(VLOOKUP(L21,Pesquisa!$D:$L,6,0),"")</f>
        <v>6172.24</v>
      </c>
      <c r="Q21" s="415">
        <f>IFERROR(VLOOKUP(L21,Pesquisa!$D:$L,7,0),"")</f>
        <v>5910.71</v>
      </c>
      <c r="R21" s="415">
        <f>IFERROR(VLOOKUP(L21,Pesquisa!$D:$L,8,0),"")</f>
        <v>6737.39</v>
      </c>
      <c r="S21" s="414">
        <f>IFERROR(VLOOKUP(L21,Pesquisa!$D:$L,9,0),"")</f>
        <v>8185.08</v>
      </c>
      <c r="T21" s="416">
        <f>IFS('Painel Geral'!$B$5="Mediana",IFERROR(IF(OR(M21="",Q21=0,Q21=""),"",($M21/$Q21)),""),'Painel Geral'!$B$5="Menor Salário",IFERROR(IF(OR(M21="",Q21=0,Q21=""),"",($M21/$N21)),""),'Painel Geral'!$B$5="1º Quartil",IFERROR(IF(OR(M21="",Q21=0,Q21=""),"",($M21/$O21)),""),'Painel Geral'!$B$5="Média",IFERROR(IF(OR(M21="",Q21=0,Q21=""),"",($M21/$P21)),""),'Painel Geral'!$B$5="3º Quartil",IFERROR(IF(OR(M21="",Q21=0,Q21=""),"",($M21/$R21)),""),'Painel Geral'!$B$5="Maior Salário",IFERROR(IF(OR(M21="",Q21=0,Q21=""),"",($M21/$S21)),""))</f>
        <v>0.8819583434</v>
      </c>
      <c r="U21" s="408" t="str">
        <f t="shared" si="3"/>
        <v>Defasado</v>
      </c>
      <c r="V21" s="417">
        <f>VLOOKUP(A21,'Cálculos Comparativos'!$A:$E,4,0)</f>
        <v>6</v>
      </c>
    </row>
    <row r="22" ht="15.75" customHeight="1">
      <c r="A22" s="18" t="s">
        <v>112</v>
      </c>
      <c r="B22" s="30" t="s">
        <v>113</v>
      </c>
      <c r="C22" s="407" t="str">
        <f>VLOOKUP(A22,Jobmatch!A:F,2,0)</f>
        <v>COORDENADOR DE SUPRIMENTOS</v>
      </c>
      <c r="D22" s="407" t="str">
        <f>VLOOKUP(B22,'Folha de Pagamento'!B:G,6,0)</f>
        <v>Suprimentos </v>
      </c>
      <c r="E22" s="408" t="str">
        <f>VLOOKUP(A22,Jobmatch!A:F,4,0)</f>
        <v>38 - ADM PROJETOS</v>
      </c>
      <c r="F22" s="407" t="str">
        <f>VLOOKUP(A22,Jobmatch!A:F,5,0)</f>
        <v>Tático</v>
      </c>
      <c r="G22" s="407" t="str">
        <f>VLOOKUP(B22,'Folha de Pagamento'!B:O,13,0)</f>
        <v>Feminino</v>
      </c>
      <c r="H22" s="409" t="str">
        <f t="shared" si="1"/>
        <v>#VALUE!</v>
      </c>
      <c r="I22" s="410">
        <f>VLOOKUP(A22,Jobmatch!A:G,6,0)</f>
        <v>137</v>
      </c>
      <c r="J22" s="408" t="str">
        <f>VLOOKUP(A22,Jobmatch!A:H,7,0)</f>
        <v>Coordenador de Compras</v>
      </c>
      <c r="K22" s="411" t="str">
        <f>VLOOKUP(A22,Jobmatch!A:I,8,0)</f>
        <v>Indiferente</v>
      </c>
      <c r="L22" s="412" t="str">
        <f t="shared" si="2"/>
        <v>137Indiferente</v>
      </c>
      <c r="M22" s="413">
        <f>IFERROR(VLOOKUP(B22,'Folha de Pagamento'!B:K,10,0),"")</f>
        <v>10596.02649</v>
      </c>
      <c r="N22" s="414">
        <f>IFERROR(VLOOKUP(L22,Pesquisa!$D:$L,4,0),"")</f>
        <v>5608.9635</v>
      </c>
      <c r="O22" s="415">
        <f>IFERROR(VLOOKUP(L22,Pesquisa!$D:$L,5,0),"")</f>
        <v>9662.348491</v>
      </c>
      <c r="P22" s="415">
        <f>IFERROR(VLOOKUP(L22,Pesquisa!$D:$L,6,0),"")</f>
        <v>10653.14423</v>
      </c>
      <c r="Q22" s="415">
        <f>IFERROR(VLOOKUP(L22,Pesquisa!$D:$L,7,0),"")</f>
        <v>11847.83113</v>
      </c>
      <c r="R22" s="415">
        <f>IFERROR(VLOOKUP(L22,Pesquisa!$D:$L,8,0),"")</f>
        <v>12838.62686</v>
      </c>
      <c r="S22" s="414">
        <f>IFERROR(VLOOKUP(L22,Pesquisa!$D:$L,9,0),"")</f>
        <v>13307.95116</v>
      </c>
      <c r="T22" s="416">
        <f>IFS('Painel Geral'!$B$5="Mediana",IFERROR(IF(OR(M22="",Q22=0,Q22=""),"",($M22/$Q22)),""),'Painel Geral'!$B$5="Menor Salário",IFERROR(IF(OR(M22="",Q22=0,Q22=""),"",($M22/$N22)),""),'Painel Geral'!$B$5="1º Quartil",IFERROR(IF(OR(M22="",Q22=0,Q22=""),"",($M22/$O22)),""),'Painel Geral'!$B$5="Média",IFERROR(IF(OR(M22="",Q22=0,Q22=""),"",($M22/$P22)),""),'Painel Geral'!$B$5="3º Quartil",IFERROR(IF(OR(M22="",Q22=0,Q22=""),"",($M22/$R22)),""),'Painel Geral'!$B$5="Maior Salário",IFERROR(IF(OR(M22="",Q22=0,Q22=""),"",($M22/$S22)),""))</f>
        <v>0.8943431399</v>
      </c>
      <c r="U22" s="408" t="str">
        <f t="shared" si="3"/>
        <v>Defasado</v>
      </c>
      <c r="V22" s="417">
        <f>VLOOKUP(A22,'Cálculos Comparativos'!$A:$E,4,0)</f>
        <v>1</v>
      </c>
    </row>
    <row r="23" ht="15.75" customHeight="1">
      <c r="A23" s="18" t="s">
        <v>71</v>
      </c>
      <c r="B23" s="30">
        <v>1963.0</v>
      </c>
      <c r="C23" s="407" t="str">
        <f>VLOOKUP(A23,Jobmatch!A:F,2,0)</f>
        <v>ASSISTENTE DE ENGENHARIA lll</v>
      </c>
      <c r="D23" s="407" t="str">
        <f>VLOOKUP(B23,'Folha de Pagamento'!B:G,6,0)</f>
        <v>Edificação</v>
      </c>
      <c r="E23" s="408" t="str">
        <f>VLOOKUP(A23,Jobmatch!A:F,4,0)</f>
        <v>22 - ADM PROJETOS</v>
      </c>
      <c r="F23" s="407" t="str">
        <f>VLOOKUP(A23,Jobmatch!A:F,5,0)</f>
        <v>Operacional</v>
      </c>
      <c r="G23" s="407" t="str">
        <f>VLOOKUP(B23,'Folha de Pagamento'!B:O,13,0)</f>
        <v>Feminino</v>
      </c>
      <c r="H23" s="409" t="str">
        <f t="shared" si="1"/>
        <v>#VALUE!</v>
      </c>
      <c r="I23" s="410">
        <f>VLOOKUP(A23,Jobmatch!A:G,6,0)</f>
        <v>531</v>
      </c>
      <c r="J23" s="408" t="str">
        <f>VLOOKUP(A23,Jobmatch!A:H,7,0)</f>
        <v>Assistente de Engenharia</v>
      </c>
      <c r="K23" s="411" t="str">
        <f>VLOOKUP(A23,Jobmatch!A:I,8,0)</f>
        <v>Indiferente</v>
      </c>
      <c r="L23" s="412" t="str">
        <f t="shared" si="2"/>
        <v>531Indiferente</v>
      </c>
      <c r="M23" s="413">
        <f>IFERROR(VLOOKUP(B23,'Folha de Pagamento'!B:K,10,0),"")</f>
        <v>3652</v>
      </c>
      <c r="N23" s="414">
        <f>IFERROR(VLOOKUP(L23,Pesquisa!$D:$L,4,0),"")</f>
        <v>3154.02</v>
      </c>
      <c r="O23" s="415">
        <f>IFERROR(VLOOKUP(L23,Pesquisa!$D:$L,5,0),"")</f>
        <v>3954.91</v>
      </c>
      <c r="P23" s="415">
        <f>IFERROR(VLOOKUP(L23,Pesquisa!$D:$L,6,0),"")</f>
        <v>4041.52</v>
      </c>
      <c r="Q23" s="415">
        <f>IFERROR(VLOOKUP(L23,Pesquisa!$D:$L,7,0),"")</f>
        <v>3954.91</v>
      </c>
      <c r="R23" s="415">
        <f>IFERROR(VLOOKUP(L23,Pesquisa!$D:$L,8,0),"")</f>
        <v>3954.91</v>
      </c>
      <c r="S23" s="414">
        <f>IFERROR(VLOOKUP(L23,Pesquisa!$D:$L,9,0),"")</f>
        <v>5097.17</v>
      </c>
      <c r="T23" s="416">
        <f>IFS('Painel Geral'!$B$5="Mediana",IFERROR(IF(OR(M23="",Q23=0,Q23=""),"",($M23/$Q23)),""),'Painel Geral'!$B$5="Menor Salário",IFERROR(IF(OR(M23="",Q23=0,Q23=""),"",($M23/$N23)),""),'Painel Geral'!$B$5="1º Quartil",IFERROR(IF(OR(M23="",Q23=0,Q23=""),"",($M23/$O23)),""),'Painel Geral'!$B$5="Média",IFERROR(IF(OR(M23="",Q23=0,Q23=""),"",($M23/$P23)),""),'Painel Geral'!$B$5="3º Quartil",IFERROR(IF(OR(M23="",Q23=0,Q23=""),"",($M23/$R23)),""),'Painel Geral'!$B$5="Maior Salário",IFERROR(IF(OR(M23="",Q23=0,Q23=""),"",($M23/$S23)),""))</f>
        <v>0.9234091294</v>
      </c>
      <c r="U23" s="408" t="str">
        <f t="shared" si="3"/>
        <v>Na Média</v>
      </c>
      <c r="V23" s="417">
        <f>VLOOKUP(A23,'Cálculos Comparativos'!$A:$E,4,0)</f>
        <v>5</v>
      </c>
    </row>
    <row r="24" ht="15.75" customHeight="1">
      <c r="A24" s="18" t="s">
        <v>141</v>
      </c>
      <c r="B24" s="30" t="s">
        <v>142</v>
      </c>
      <c r="C24" s="407" t="str">
        <f>VLOOKUP(A24,Jobmatch!A:F,2,0)</f>
        <v>ESTAGIARIO(A) ENG. CIVIL </v>
      </c>
      <c r="D24" s="407" t="str">
        <f>VLOOKUP(B24,'Folha de Pagamento'!B:G,6,0)</f>
        <v>Urbanismo</v>
      </c>
      <c r="E24" s="408" t="str">
        <f>VLOOKUP(A24,Jobmatch!A:F,4,0)</f>
        <v>47 - ADM PROJETOS</v>
      </c>
      <c r="F24" s="407" t="str">
        <f>VLOOKUP(A24,Jobmatch!A:F,5,0)</f>
        <v>Operacional</v>
      </c>
      <c r="G24" s="407" t="str">
        <f>VLOOKUP(B24,'Folha de Pagamento'!B:O,13,0)</f>
        <v>Feminino</v>
      </c>
      <c r="H24" s="409" t="str">
        <f t="shared" si="1"/>
        <v>#VALUE!</v>
      </c>
      <c r="I24" s="410">
        <f>VLOOKUP(A24,Jobmatch!A:G,6,0)</f>
        <v>1204</v>
      </c>
      <c r="J24" s="408" t="str">
        <f>VLOOKUP(A24,Jobmatch!A:H,7,0)</f>
        <v>Estagiário de Engenharia Civil</v>
      </c>
      <c r="K24" s="411" t="str">
        <f>VLOOKUP(A24,Jobmatch!A:I,8,0)</f>
        <v>Indiferente</v>
      </c>
      <c r="L24" s="412" t="str">
        <f t="shared" si="2"/>
        <v>1204Indiferente</v>
      </c>
      <c r="M24" s="413">
        <f>IFERROR(VLOOKUP(B24,'Folha de Pagamento'!B:K,10,0),"")</f>
        <v>1521</v>
      </c>
      <c r="N24" s="414">
        <f>IFERROR(VLOOKUP(L24,Pesquisa!$D:$L,4,0),"")</f>
        <v>1511.85</v>
      </c>
      <c r="O24" s="415">
        <f>IFERROR(VLOOKUP(L24,Pesquisa!$D:$L,5,0),"")</f>
        <v>1564.2608</v>
      </c>
      <c r="P24" s="415">
        <f>IFERROR(VLOOKUP(L24,Pesquisa!$D:$L,6,0),"")</f>
        <v>1711.51019</v>
      </c>
      <c r="Q24" s="415">
        <f>IFERROR(VLOOKUP(L24,Pesquisa!$D:$L,7,0),"")</f>
        <v>1637.8375</v>
      </c>
      <c r="R24" s="415">
        <f>IFERROR(VLOOKUP(L24,Pesquisa!$D:$L,8,0),"")</f>
        <v>1814.22</v>
      </c>
      <c r="S24" s="414">
        <f>IFERROR(VLOOKUP(L24,Pesquisa!$D:$L,9,0),"")</f>
        <v>2267.775</v>
      </c>
      <c r="T24" s="416">
        <f>IFS('Painel Geral'!$B$5="Mediana",IFERROR(IF(OR(M24="",Q24=0,Q24=""),"",($M24/$Q24)),""),'Painel Geral'!$B$5="Menor Salário",IFERROR(IF(OR(M24="",Q24=0,Q24=""),"",($M24/$N24)),""),'Painel Geral'!$B$5="1º Quartil",IFERROR(IF(OR(M24="",Q24=0,Q24=""),"",($M24/$O24)),""),'Painel Geral'!$B$5="Média",IFERROR(IF(OR(M24="",Q24=0,Q24=""),"",($M24/$P24)),""),'Painel Geral'!$B$5="3º Quartil",IFERROR(IF(OR(M24="",Q24=0,Q24=""),"",($M24/$R24)),""),'Painel Geral'!$B$5="Maior Salário",IFERROR(IF(OR(M24="",Q24=0,Q24=""),"",($M24/$S24)),""))</f>
        <v>0.9286635579</v>
      </c>
      <c r="U24" s="408" t="str">
        <f t="shared" si="3"/>
        <v>Na Média</v>
      </c>
      <c r="V24" s="417">
        <f>VLOOKUP(A24,'Cálculos Comparativos'!$A:$E,4,0)</f>
        <v>10</v>
      </c>
    </row>
    <row r="25" ht="15.75" customHeight="1">
      <c r="A25" s="18" t="s">
        <v>90</v>
      </c>
      <c r="B25" s="30">
        <v>191.0</v>
      </c>
      <c r="C25" s="407" t="str">
        <f>VLOOKUP(A25,Jobmatch!A:F,2,0)</f>
        <v>AUXILIAR DE ENGENHARIA</v>
      </c>
      <c r="D25" s="407" t="str">
        <f>VLOOKUP(B25,'Folha de Pagamento'!B:G,6,0)</f>
        <v>Urbanismo</v>
      </c>
      <c r="E25" s="408" t="str">
        <f>VLOOKUP(A25,Jobmatch!A:F,4,0)</f>
        <v>30 - ADM PROJETOS</v>
      </c>
      <c r="F25" s="407" t="str">
        <f>VLOOKUP(A25,Jobmatch!A:F,5,0)</f>
        <v>Operacional</v>
      </c>
      <c r="G25" s="407" t="str">
        <f>VLOOKUP(B25,'Folha de Pagamento'!B:O,13,0)</f>
        <v>Masculino</v>
      </c>
      <c r="H25" s="409" t="str">
        <f t="shared" si="1"/>
        <v>#VALUE!</v>
      </c>
      <c r="I25" s="410">
        <f>VLOOKUP(A25,Jobmatch!A:G,6,0)</f>
        <v>207</v>
      </c>
      <c r="J25" s="408" t="str">
        <f>VLOOKUP(A25,Jobmatch!A:H,7,0)</f>
        <v>Auxiliar de Engenharia</v>
      </c>
      <c r="K25" s="411" t="str">
        <f>VLOOKUP(A25,Jobmatch!A:I,8,0)</f>
        <v>Indiferente</v>
      </c>
      <c r="L25" s="412" t="str">
        <f t="shared" si="2"/>
        <v>207Indiferente</v>
      </c>
      <c r="M25" s="413">
        <f>IFERROR(VLOOKUP(B25,'Folha de Pagamento'!B:K,10,0),"")</f>
        <v>2560</v>
      </c>
      <c r="N25" s="414">
        <f>IFERROR(VLOOKUP(L25,Pesquisa!$D:$L,4,0),"")</f>
        <v>2580.26</v>
      </c>
      <c r="O25" s="415">
        <f>IFERROR(VLOOKUP(L25,Pesquisa!$D:$L,5,0),"")</f>
        <v>2650.82</v>
      </c>
      <c r="P25" s="415">
        <f>IFERROR(VLOOKUP(L25,Pesquisa!$D:$L,6,0),"")</f>
        <v>2825.85</v>
      </c>
      <c r="Q25" s="415">
        <f>IFERROR(VLOOKUP(L25,Pesquisa!$D:$L,7,0),"")</f>
        <v>2721.37</v>
      </c>
      <c r="R25" s="415">
        <f>IFERROR(VLOOKUP(L25,Pesquisa!$D:$L,8,0),"")</f>
        <v>2948.64</v>
      </c>
      <c r="S25" s="414">
        <f>IFERROR(VLOOKUP(L25,Pesquisa!$D:$L,9,0),"")</f>
        <v>3175.91</v>
      </c>
      <c r="T25" s="416">
        <f>IFS('Painel Geral'!$B$5="Mediana",IFERROR(IF(OR(M25="",Q25=0,Q25=""),"",($M25/$Q25)),""),'Painel Geral'!$B$5="Menor Salário",IFERROR(IF(OR(M25="",Q25=0,Q25=""),"",($M25/$N25)),""),'Painel Geral'!$B$5="1º Quartil",IFERROR(IF(OR(M25="",Q25=0,Q25=""),"",($M25/$O25)),""),'Painel Geral'!$B$5="Média",IFERROR(IF(OR(M25="",Q25=0,Q25=""),"",($M25/$P25)),""),'Painel Geral'!$B$5="3º Quartil",IFERROR(IF(OR(M25="",Q25=0,Q25=""),"",($M25/$R25)),""),'Painel Geral'!$B$5="Maior Salário",IFERROR(IF(OR(M25="",Q25=0,Q25=""),"",($M25/$S25)),""))</f>
        <v>0.9407026608</v>
      </c>
      <c r="U25" s="408" t="str">
        <f t="shared" si="3"/>
        <v>Na Média</v>
      </c>
      <c r="V25" s="417">
        <f>VLOOKUP(A25,'Cálculos Comparativos'!$A:$E,4,0)</f>
        <v>10</v>
      </c>
    </row>
    <row r="26" ht="15.75" customHeight="1">
      <c r="A26" s="18" t="s">
        <v>75</v>
      </c>
      <c r="B26" s="30">
        <v>189.0</v>
      </c>
      <c r="C26" s="407" t="str">
        <f>VLOOKUP(A26,Jobmatch!A:F,2,0)</f>
        <v>ASSISTENTE DE RECURSOS HUMANOS</v>
      </c>
      <c r="D26" s="407" t="str">
        <f>VLOOKUP(B26,'Folha de Pagamento'!B:G,6,0)</f>
        <v>DHO</v>
      </c>
      <c r="E26" s="408" t="str">
        <f>VLOOKUP(A26,Jobmatch!A:F,4,0)</f>
        <v>24 - ADM PROJETOS</v>
      </c>
      <c r="F26" s="407" t="str">
        <f>VLOOKUP(A26,Jobmatch!A:F,5,0)</f>
        <v>Operacional</v>
      </c>
      <c r="G26" s="407" t="str">
        <f>VLOOKUP(B26,'Folha de Pagamento'!B:O,13,0)</f>
        <v>Feminino</v>
      </c>
      <c r="H26" s="409" t="str">
        <f t="shared" si="1"/>
        <v>#VALUE!</v>
      </c>
      <c r="I26" s="410">
        <f>VLOOKUP(A26,Jobmatch!A:G,6,0)</f>
        <v>77</v>
      </c>
      <c r="J26" s="408" t="str">
        <f>VLOOKUP(A26,Jobmatch!A:H,7,0)</f>
        <v>Assistente de Recursos Humanos</v>
      </c>
      <c r="K26" s="411" t="str">
        <f>VLOOKUP(A26,Jobmatch!A:I,8,0)</f>
        <v>Indiferente</v>
      </c>
      <c r="L26" s="412" t="str">
        <f t="shared" si="2"/>
        <v>77Indiferente</v>
      </c>
      <c r="M26" s="413">
        <f>IFERROR(VLOOKUP(B26,'Folha de Pagamento'!B:K,10,0),"")</f>
        <v>2919</v>
      </c>
      <c r="N26" s="414">
        <f>IFERROR(VLOOKUP(L26,Pesquisa!$D:$L,4,0),"")</f>
        <v>2259.75</v>
      </c>
      <c r="O26" s="415">
        <f>IFERROR(VLOOKUP(L26,Pesquisa!$D:$L,5,0),"")</f>
        <v>2625.37</v>
      </c>
      <c r="P26" s="415">
        <f>IFERROR(VLOOKUP(L26,Pesquisa!$D:$L,6,0),"")</f>
        <v>3105.32</v>
      </c>
      <c r="Q26" s="415">
        <f>IFERROR(VLOOKUP(L26,Pesquisa!$D:$L,7,0),"")</f>
        <v>3087.62</v>
      </c>
      <c r="R26" s="415">
        <f>IFERROR(VLOOKUP(L26,Pesquisa!$D:$L,8,0),"")</f>
        <v>3499.72</v>
      </c>
      <c r="S26" s="414">
        <f>IFERROR(VLOOKUP(L26,Pesquisa!$D:$L,9,0),"")</f>
        <v>4088.57</v>
      </c>
      <c r="T26" s="416">
        <f>IFS('Painel Geral'!$B$5="Mediana",IFERROR(IF(OR(M26="",Q26=0,Q26=""),"",($M26/$Q26)),""),'Painel Geral'!$B$5="Menor Salário",IFERROR(IF(OR(M26="",Q26=0,Q26=""),"",($M26/$N26)),""),'Painel Geral'!$B$5="1º Quartil",IFERROR(IF(OR(M26="",Q26=0,Q26=""),"",($M26/$O26)),""),'Painel Geral'!$B$5="Média",IFERROR(IF(OR(M26="",Q26=0,Q26=""),"",($M26/$P26)),""),'Painel Geral'!$B$5="3º Quartil",IFERROR(IF(OR(M26="",Q26=0,Q26=""),"",($M26/$R26)),""),'Painel Geral'!$B$5="Maior Salário",IFERROR(IF(OR(M26="",Q26=0,Q26=""),"",($M26/$S26)),""))</f>
        <v>0.9453883574</v>
      </c>
      <c r="U26" s="408" t="str">
        <f t="shared" si="3"/>
        <v>Na Média</v>
      </c>
      <c r="V26" s="417">
        <f>VLOOKUP(A26,'Cálculos Comparativos'!$A:$E,4,0)</f>
        <v>4</v>
      </c>
    </row>
    <row r="27" ht="15.75" customHeight="1">
      <c r="A27" s="18" t="s">
        <v>130</v>
      </c>
      <c r="B27" s="30" t="s">
        <v>131</v>
      </c>
      <c r="C27" s="407" t="str">
        <f>VLOOKUP(A27,Jobmatch!A:F,2,0)</f>
        <v>ENGENHEIRO SÊNIOR </v>
      </c>
      <c r="D27" s="407" t="str">
        <f>VLOOKUP(B27,'Folha de Pagamento'!B:G,6,0)</f>
        <v>Edificação</v>
      </c>
      <c r="E27" s="408" t="str">
        <f>VLOOKUP(A27,Jobmatch!A:F,4,0)</f>
        <v>44 - ADM PROJETOS</v>
      </c>
      <c r="F27" s="407" t="str">
        <f>VLOOKUP(A27,Jobmatch!A:F,5,0)</f>
        <v>Tático</v>
      </c>
      <c r="G27" s="407" t="str">
        <f>VLOOKUP(B27,'Folha de Pagamento'!B:O,13,0)</f>
        <v>Feminino</v>
      </c>
      <c r="H27" s="409" t="str">
        <f t="shared" si="1"/>
        <v>#VALUE!</v>
      </c>
      <c r="I27" s="410">
        <f>VLOOKUP(A27,Jobmatch!A:G,6,0)</f>
        <v>212</v>
      </c>
      <c r="J27" s="408" t="str">
        <f>VLOOKUP(A27,Jobmatch!A:H,7,0)</f>
        <v>Engenheiro de Urbanismo</v>
      </c>
      <c r="K27" s="411" t="str">
        <f>VLOOKUP(A27,Jobmatch!A:I,8,0)</f>
        <v>Indiferente</v>
      </c>
      <c r="L27" s="412" t="str">
        <f t="shared" si="2"/>
        <v>212Indiferente</v>
      </c>
      <c r="M27" s="413">
        <f>IFERROR(VLOOKUP(B27,'Folha de Pagamento'!B:K,10,0),"")</f>
        <v>14393.93939</v>
      </c>
      <c r="N27" s="414">
        <f>IFERROR(VLOOKUP(L27,Pesquisa!$D:$L,4,0),"")</f>
        <v>13744.09</v>
      </c>
      <c r="O27" s="415">
        <f>IFERROR(VLOOKUP(L27,Pesquisa!$D:$L,5,0),"")</f>
        <v>14781.36</v>
      </c>
      <c r="P27" s="415">
        <f>IFERROR(VLOOKUP(L27,Pesquisa!$D:$L,6,0),"")</f>
        <v>15210.85</v>
      </c>
      <c r="Q27" s="415">
        <f>IFERROR(VLOOKUP(L27,Pesquisa!$D:$L,7,0),"")</f>
        <v>15118.5</v>
      </c>
      <c r="R27" s="415">
        <f>IFERROR(VLOOKUP(L27,Pesquisa!$D:$L,8,0),"")</f>
        <v>16203.19</v>
      </c>
      <c r="S27" s="414">
        <f>IFERROR(VLOOKUP(L27,Pesquisa!$D:$L,9,0),"")</f>
        <v>16203.19</v>
      </c>
      <c r="T27" s="416">
        <f>IFS('Painel Geral'!$B$5="Mediana",IFERROR(IF(OR(M27="",Q27=0,Q27=""),"",($M27/$Q27)),""),'Painel Geral'!$B$5="Menor Salário",IFERROR(IF(OR(M27="",Q27=0,Q27=""),"",($M27/$N27)),""),'Painel Geral'!$B$5="1º Quartil",IFERROR(IF(OR(M27="",Q27=0,Q27=""),"",($M27/$O27)),""),'Painel Geral'!$B$5="Média",IFERROR(IF(OR(M27="",Q27=0,Q27=""),"",($M27/$P27)),""),'Painel Geral'!$B$5="3º Quartil",IFERROR(IF(OR(M27="",Q27=0,Q27=""),"",($M27/$R27)),""),'Painel Geral'!$B$5="Maior Salário",IFERROR(IF(OR(M27="",Q27=0,Q27=""),"",($M27/$S27)),""))</f>
        <v>0.9520745705</v>
      </c>
      <c r="U27" s="408" t="str">
        <f t="shared" si="3"/>
        <v>Na Média</v>
      </c>
      <c r="V27" s="417">
        <f>VLOOKUP(A27,'Cálculos Comparativos'!$A:$E,4,0)</f>
        <v>5</v>
      </c>
    </row>
    <row r="28" ht="15.75" customHeight="1">
      <c r="A28" s="18" t="s">
        <v>183</v>
      </c>
      <c r="B28" s="30" t="s">
        <v>184</v>
      </c>
      <c r="C28" s="407" t="str">
        <f>VLOOKUP(A28,Jobmatch!A:F,2,0)</f>
        <v>TECNICO ANALISTA DE CUSTOS</v>
      </c>
      <c r="D28" s="407" t="str">
        <f>VLOOKUP(B28,'Folha de Pagamento'!B:G,6,0)</f>
        <v>Edificação</v>
      </c>
      <c r="E28" s="408" t="str">
        <f>VLOOKUP(A28,Jobmatch!A:F,4,0)</f>
        <v>60 - ADM PROJETOS</v>
      </c>
      <c r="F28" s="407" t="str">
        <f>VLOOKUP(A28,Jobmatch!A:F,5,0)</f>
        <v>Operacional</v>
      </c>
      <c r="G28" s="407" t="str">
        <f>VLOOKUP(B28,'Folha de Pagamento'!B:O,13,0)</f>
        <v>Masculino</v>
      </c>
      <c r="H28" s="409" t="str">
        <f t="shared" si="1"/>
        <v>#VALUE!</v>
      </c>
      <c r="I28" s="410">
        <f>VLOOKUP(A28,Jobmatch!A:G,6,0)</f>
        <v>876</v>
      </c>
      <c r="J28" s="408" t="str">
        <f>VLOOKUP(A28,Jobmatch!A:H,7,0)</f>
        <v>Analista de Custos</v>
      </c>
      <c r="K28" s="411" t="str">
        <f>VLOOKUP(A28,Jobmatch!A:I,8,0)</f>
        <v>Indiferente</v>
      </c>
      <c r="L28" s="412" t="str">
        <f t="shared" si="2"/>
        <v>876Indiferente</v>
      </c>
      <c r="M28" s="413">
        <f>IFERROR(VLOOKUP(B28,'Folha de Pagamento'!B:K,10,0),"")</f>
        <v>7000</v>
      </c>
      <c r="N28" s="414">
        <f>IFERROR(VLOOKUP(L28,Pesquisa!$D:$L,4,0),"")</f>
        <v>6769.16</v>
      </c>
      <c r="O28" s="415">
        <f>IFERROR(VLOOKUP(L28,Pesquisa!$D:$L,5,0),"")</f>
        <v>6884.72</v>
      </c>
      <c r="P28" s="415">
        <f>IFERROR(VLOOKUP(L28,Pesquisa!$D:$L,6,0),"")</f>
        <v>7629.52</v>
      </c>
      <c r="Q28" s="415">
        <f>IFERROR(VLOOKUP(L28,Pesquisa!$D:$L,7,0),"")</f>
        <v>7338.33</v>
      </c>
      <c r="R28" s="415">
        <f>IFERROR(VLOOKUP(L28,Pesquisa!$D:$L,8,0),"")</f>
        <v>8173.29</v>
      </c>
      <c r="S28" s="414">
        <f>IFERROR(VLOOKUP(L28,Pesquisa!$D:$L,9,0),"")</f>
        <v>9183.14</v>
      </c>
      <c r="T28" s="416">
        <f>IFS('Painel Geral'!$B$5="Mediana",IFERROR(IF(OR(M28="",Q28=0,Q28=""),"",($M28/$Q28)),""),'Painel Geral'!$B$5="Menor Salário",IFERROR(IF(OR(M28="",Q28=0,Q28=""),"",($M28/$N28)),""),'Painel Geral'!$B$5="1º Quartil",IFERROR(IF(OR(M28="",Q28=0,Q28=""),"",($M28/$O28)),""),'Painel Geral'!$B$5="Média",IFERROR(IF(OR(M28="",Q28=0,Q28=""),"",($M28/$P28)),""),'Painel Geral'!$B$5="3º Quartil",IFERROR(IF(OR(M28="",Q28=0,Q28=""),"",($M28/$R28)),""),'Painel Geral'!$B$5="Maior Salário",IFERROR(IF(OR(M28="",Q28=0,Q28=""),"",($M28/$S28)),""))</f>
        <v>0.9538955048</v>
      </c>
      <c r="U28" s="408" t="str">
        <f t="shared" si="3"/>
        <v>Na Média</v>
      </c>
      <c r="V28" s="417">
        <f>VLOOKUP(A28,'Cálculos Comparativos'!$A:$E,4,0)</f>
        <v>5</v>
      </c>
    </row>
    <row r="29" ht="15.75" customHeight="1">
      <c r="A29" s="18" t="s">
        <v>101</v>
      </c>
      <c r="B29" s="30">
        <v>1959.0</v>
      </c>
      <c r="C29" s="407" t="str">
        <f>VLOOKUP(A29,Jobmatch!A:F,2,0)</f>
        <v>COORDENADOR DE DHO</v>
      </c>
      <c r="D29" s="407" t="str">
        <f>VLOOKUP(B29,'Folha de Pagamento'!B:G,6,0)</f>
        <v>DHO</v>
      </c>
      <c r="E29" s="408" t="str">
        <f>VLOOKUP(A29,Jobmatch!A:F,4,0)</f>
        <v>34 - ADM PROJETOS</v>
      </c>
      <c r="F29" s="407" t="str">
        <f>VLOOKUP(A29,Jobmatch!A:F,5,0)</f>
        <v>Tático</v>
      </c>
      <c r="G29" s="407" t="str">
        <f>VLOOKUP(B29,'Folha de Pagamento'!B:O,13,0)</f>
        <v>Feminino</v>
      </c>
      <c r="H29" s="409" t="str">
        <f t="shared" si="1"/>
        <v>#VALUE!</v>
      </c>
      <c r="I29" s="410">
        <f>VLOOKUP(A29,Jobmatch!A:G,6,0)</f>
        <v>121</v>
      </c>
      <c r="J29" s="408" t="str">
        <f>VLOOKUP(A29,Jobmatch!A:H,7,0)</f>
        <v>Coordenador de Recursos Humanos</v>
      </c>
      <c r="K29" s="411" t="str">
        <f>VLOOKUP(A29,Jobmatch!A:I,8,0)</f>
        <v>Indiferente</v>
      </c>
      <c r="L29" s="412" t="str">
        <f t="shared" si="2"/>
        <v>121Indiferente</v>
      </c>
      <c r="M29" s="413">
        <f>IFERROR(VLOOKUP(B29,'Folha de Pagamento'!B:K,10,0),"")</f>
        <v>7420</v>
      </c>
      <c r="N29" s="414">
        <f>IFERROR(VLOOKUP(L29,Pesquisa!$D:$L,4,0),"")</f>
        <v>4599.27</v>
      </c>
      <c r="O29" s="415">
        <f>IFERROR(VLOOKUP(L29,Pesquisa!$D:$L,5,0),"")</f>
        <v>6690.07</v>
      </c>
      <c r="P29" s="415">
        <f>IFERROR(VLOOKUP(L29,Pesquisa!$D:$L,6,0),"")</f>
        <v>8176.91</v>
      </c>
      <c r="Q29" s="415">
        <f>IFERROR(VLOOKUP(L29,Pesquisa!$D:$L,7,0),"")</f>
        <v>7778.54</v>
      </c>
      <c r="R29" s="415">
        <f>IFERROR(VLOOKUP(L29,Pesquisa!$D:$L,8,0),"")</f>
        <v>9253.45</v>
      </c>
      <c r="S29" s="414">
        <f>IFERROR(VLOOKUP(L29,Pesquisa!$D:$L,9,0),"")</f>
        <v>17073.05</v>
      </c>
      <c r="T29" s="416">
        <f>IFS('Painel Geral'!$B$5="Mediana",IFERROR(IF(OR(M29="",Q29=0,Q29=""),"",($M29/$Q29)),""),'Painel Geral'!$B$5="Menor Salário",IFERROR(IF(OR(M29="",Q29=0,Q29=""),"",($M29/$N29)),""),'Painel Geral'!$B$5="1º Quartil",IFERROR(IF(OR(M29="",Q29=0,Q29=""),"",($M29/$O29)),""),'Painel Geral'!$B$5="Média",IFERROR(IF(OR(M29="",Q29=0,Q29=""),"",($M29/$P29)),""),'Painel Geral'!$B$5="3º Quartil",IFERROR(IF(OR(M29="",Q29=0,Q29=""),"",($M29/$R29)),""),'Painel Geral'!$B$5="Maior Salário",IFERROR(IF(OR(M29="",Q29=0,Q29=""),"",($M29/$S29)),""))</f>
        <v>0.9539065172</v>
      </c>
      <c r="U29" s="408" t="str">
        <f t="shared" si="3"/>
        <v>Na Média</v>
      </c>
      <c r="V29" s="417">
        <f>VLOOKUP(A29,'Cálculos Comparativos'!$A:$E,4,0)</f>
        <v>4</v>
      </c>
    </row>
    <row r="30" ht="15.75" customHeight="1">
      <c r="A30" s="18" t="s">
        <v>180</v>
      </c>
      <c r="B30" s="30">
        <v>186.0</v>
      </c>
      <c r="C30" s="407" t="str">
        <f>VLOOKUP(A30,Jobmatch!A:F,2,0)</f>
        <v>SUPERVISOR(A) FINANCEIRO I</v>
      </c>
      <c r="D30" s="407" t="str">
        <f>VLOOKUP(B30,'Folha de Pagamento'!B:G,6,0)</f>
        <v>Financeiro</v>
      </c>
      <c r="E30" s="408" t="str">
        <f>VLOOKUP(A30,Jobmatch!A:F,4,0)</f>
        <v>59 - ADM PROJETOS</v>
      </c>
      <c r="F30" s="407" t="str">
        <f>VLOOKUP(A30,Jobmatch!A:F,5,0)</f>
        <v>Operacional</v>
      </c>
      <c r="G30" s="407" t="str">
        <f>VLOOKUP(B30,'Folha de Pagamento'!B:O,13,0)</f>
        <v>Feminino</v>
      </c>
      <c r="H30" s="409" t="str">
        <f t="shared" si="1"/>
        <v>#VALUE!</v>
      </c>
      <c r="I30" s="410">
        <f>VLOOKUP(A30,Jobmatch!A:G,6,0)</f>
        <v>469</v>
      </c>
      <c r="J30" s="408" t="str">
        <f>VLOOKUP(A30,Jobmatch!A:H,7,0)</f>
        <v>Supervisor Financeiro</v>
      </c>
      <c r="K30" s="411" t="str">
        <f>VLOOKUP(A30,Jobmatch!A:I,8,0)</f>
        <v>Indiferente</v>
      </c>
      <c r="L30" s="412" t="str">
        <f t="shared" si="2"/>
        <v>469Indiferente</v>
      </c>
      <c r="M30" s="413">
        <f>IFERROR(VLOOKUP(B30,'Folha de Pagamento'!B:K,10,0),"")</f>
        <v>5955.08</v>
      </c>
      <c r="N30" s="414">
        <f>IFERROR(VLOOKUP(L30,Pesquisa!$D:$L,4,0),"")</f>
        <v>4254.14</v>
      </c>
      <c r="O30" s="415">
        <f>IFERROR(VLOOKUP(L30,Pesquisa!$D:$L,5,0),"")</f>
        <v>5291.84</v>
      </c>
      <c r="P30" s="415">
        <f>IFERROR(VLOOKUP(L30,Pesquisa!$D:$L,6,0),"")</f>
        <v>6690.95</v>
      </c>
      <c r="Q30" s="415">
        <f>IFERROR(VLOOKUP(L30,Pesquisa!$D:$L,7,0),"")</f>
        <v>6196.82</v>
      </c>
      <c r="R30" s="415">
        <f>IFERROR(VLOOKUP(L30,Pesquisa!$D:$L,8,0),"")</f>
        <v>8126.61</v>
      </c>
      <c r="S30" s="414">
        <f>IFERROR(VLOOKUP(L30,Pesquisa!$D:$L,9,0),"")</f>
        <v>9844.29</v>
      </c>
      <c r="T30" s="416">
        <f>IFS('Painel Geral'!$B$5="Mediana",IFERROR(IF(OR(M30="",Q30=0,Q30=""),"",($M30/$Q30)),""),'Painel Geral'!$B$5="Menor Salário",IFERROR(IF(OR(M30="",Q30=0,Q30=""),"",($M30/$N30)),""),'Painel Geral'!$B$5="1º Quartil",IFERROR(IF(OR(M30="",Q30=0,Q30=""),"",($M30/$O30)),""),'Painel Geral'!$B$5="Média",IFERROR(IF(OR(M30="",Q30=0,Q30=""),"",($M30/$P30)),""),'Painel Geral'!$B$5="3º Quartil",IFERROR(IF(OR(M30="",Q30=0,Q30=""),"",($M30/$R30)),""),'Painel Geral'!$B$5="Maior Salário",IFERROR(IF(OR(M30="",Q30=0,Q30=""),"",($M30/$S30)),""))</f>
        <v>0.9609896689</v>
      </c>
      <c r="U30" s="408" t="str">
        <f t="shared" si="3"/>
        <v>Na Média</v>
      </c>
      <c r="V30" s="417">
        <f>VLOOKUP(A30,'Cálculos Comparativos'!$A:$E,4,0)</f>
        <v>6</v>
      </c>
    </row>
    <row r="31" ht="15.75" customHeight="1">
      <c r="A31" s="18" t="s">
        <v>104</v>
      </c>
      <c r="B31" s="30">
        <v>151.0</v>
      </c>
      <c r="C31" s="407" t="str">
        <f>VLOOKUP(A31,Jobmatch!A:F,2,0)</f>
        <v>COORDENADOR DE LEGAIZAÇÃO ll</v>
      </c>
      <c r="D31" s="407" t="str">
        <f>VLOOKUP(B31,'Folha de Pagamento'!B:G,6,0)</f>
        <v>Legalização </v>
      </c>
      <c r="E31" s="408" t="str">
        <f>VLOOKUP(A31,Jobmatch!A:F,4,0)</f>
        <v>35 - ADM PROJETOS</v>
      </c>
      <c r="F31" s="407" t="str">
        <f>VLOOKUP(A31,Jobmatch!A:F,5,0)</f>
        <v>Tático</v>
      </c>
      <c r="G31" s="407" t="str">
        <f>VLOOKUP(B31,'Folha de Pagamento'!B:O,13,0)</f>
        <v>Masculino</v>
      </c>
      <c r="H31" s="409" t="str">
        <f t="shared" si="1"/>
        <v>#VALUE!</v>
      </c>
      <c r="I31" s="410">
        <f>VLOOKUP(A31,Jobmatch!A:G,6,0)</f>
        <v>1203</v>
      </c>
      <c r="J31" s="408" t="str">
        <f>VLOOKUP(A31,Jobmatch!A:H,7,0)</f>
        <v>Coordenador de Legalização</v>
      </c>
      <c r="K31" s="411" t="str">
        <f>VLOOKUP(A31,Jobmatch!A:I,8,0)</f>
        <v>Indiferente</v>
      </c>
      <c r="L31" s="412" t="str">
        <f t="shared" si="2"/>
        <v>1203Indiferente</v>
      </c>
      <c r="M31" s="413">
        <f>IFERROR(VLOOKUP(B31,'Folha de Pagamento'!B:K,10,0),"")</f>
        <v>8647</v>
      </c>
      <c r="N31" s="414">
        <f>IFERROR(VLOOKUP(L31,Pesquisa!$D:$L,4,0),"")</f>
        <v>8694.57</v>
      </c>
      <c r="O31" s="415">
        <f>IFERROR(VLOOKUP(L31,Pesquisa!$D:$L,5,0),"")</f>
        <v>8783.31</v>
      </c>
      <c r="P31" s="415">
        <f>IFERROR(VLOOKUP(L31,Pesquisa!$D:$L,6,0),"")</f>
        <v>8872.04</v>
      </c>
      <c r="Q31" s="415">
        <f>IFERROR(VLOOKUP(L31,Pesquisa!$D:$L,7,0),"")</f>
        <v>8872.04</v>
      </c>
      <c r="R31" s="415">
        <f>IFERROR(VLOOKUP(L31,Pesquisa!$D:$L,8,0),"")</f>
        <v>8960.78</v>
      </c>
      <c r="S31" s="414">
        <f>IFERROR(VLOOKUP(L31,Pesquisa!$D:$L,9,0),"")</f>
        <v>9049.51</v>
      </c>
      <c r="T31" s="416">
        <f>IFS('Painel Geral'!$B$5="Mediana",IFERROR(IF(OR(M31="",Q31=0,Q31=""),"",($M31/$Q31)),""),'Painel Geral'!$B$5="Menor Salário",IFERROR(IF(OR(M31="",Q31=0,Q31=""),"",($M31/$N31)),""),'Painel Geral'!$B$5="1º Quartil",IFERROR(IF(OR(M31="",Q31=0,Q31=""),"",($M31/$O31)),""),'Painel Geral'!$B$5="Média",IFERROR(IF(OR(M31="",Q31=0,Q31=""),"",($M31/$P31)),""),'Painel Geral'!$B$5="3º Quartil",IFERROR(IF(OR(M31="",Q31=0,Q31=""),"",($M31/$R31)),""),'Painel Geral'!$B$5="Maior Salário",IFERROR(IF(OR(M31="",Q31=0,Q31=""),"",($M31/$S31)),""))</f>
        <v>0.9746349205</v>
      </c>
      <c r="U31" s="408" t="str">
        <f t="shared" si="3"/>
        <v>Na Média</v>
      </c>
      <c r="V31" s="417">
        <f>VLOOKUP(A31,'Cálculos Comparativos'!$A:$E,4,0)</f>
        <v>7</v>
      </c>
    </row>
    <row r="32" ht="15.75" customHeight="1">
      <c r="A32" s="18" t="s">
        <v>84</v>
      </c>
      <c r="B32" s="30">
        <v>1961.0</v>
      </c>
      <c r="C32" s="407" t="str">
        <f>VLOOKUP(A32,Jobmatch!A:F,2,0)</f>
        <v>AUXILIAR ADMINISTRATIVO</v>
      </c>
      <c r="D32" s="407" t="str">
        <f>VLOOKUP(B32,'Folha de Pagamento'!B:G,6,0)</f>
        <v>Administrativo</v>
      </c>
      <c r="E32" s="408" t="str">
        <f>VLOOKUP(A32,Jobmatch!A:F,4,0)</f>
        <v>27 - ADM PROJETOS</v>
      </c>
      <c r="F32" s="407" t="str">
        <f>VLOOKUP(A32,Jobmatch!A:F,5,0)</f>
        <v>Operacional</v>
      </c>
      <c r="G32" s="407" t="str">
        <f>VLOOKUP(B32,'Folha de Pagamento'!B:O,13,0)</f>
        <v>Feminino</v>
      </c>
      <c r="H32" s="409" t="str">
        <f t="shared" si="1"/>
        <v>#VALUE!</v>
      </c>
      <c r="I32" s="410">
        <f>VLOOKUP(A32,Jobmatch!A:G,6,0)</f>
        <v>83</v>
      </c>
      <c r="J32" s="408" t="str">
        <f>VLOOKUP(A32,Jobmatch!A:H,7,0)</f>
        <v>Auxiliar Administrativo</v>
      </c>
      <c r="K32" s="411" t="str">
        <f>VLOOKUP(A32,Jobmatch!A:I,8,0)</f>
        <v>Indiferente</v>
      </c>
      <c r="L32" s="412" t="str">
        <f t="shared" si="2"/>
        <v>83Indiferente</v>
      </c>
      <c r="M32" s="413">
        <f>IFERROR(VLOOKUP(B32,'Folha de Pagamento'!B:K,10,0),"")</f>
        <v>2254</v>
      </c>
      <c r="N32" s="414">
        <f>IFERROR(VLOOKUP(L32,Pesquisa!$D:$L,4,0),"")</f>
        <v>1771.74</v>
      </c>
      <c r="O32" s="415">
        <f>IFERROR(VLOOKUP(L32,Pesquisa!$D:$L,5,0),"")</f>
        <v>2128.74</v>
      </c>
      <c r="P32" s="415">
        <f>IFERROR(VLOOKUP(L32,Pesquisa!$D:$L,6,0),"")</f>
        <v>2292.87</v>
      </c>
      <c r="Q32" s="415">
        <f>IFERROR(VLOOKUP(L32,Pesquisa!$D:$L,7,0),"")</f>
        <v>2309.71</v>
      </c>
      <c r="R32" s="415">
        <f>IFERROR(VLOOKUP(L32,Pesquisa!$D:$L,8,0),"")</f>
        <v>2375.14</v>
      </c>
      <c r="S32" s="414">
        <f>IFERROR(VLOOKUP(L32,Pesquisa!$D:$L,9,0),"")</f>
        <v>3073.32</v>
      </c>
      <c r="T32" s="416">
        <f>IFS('Painel Geral'!$B$5="Mediana",IFERROR(IF(OR(M32="",Q32=0,Q32=""),"",($M32/$Q32)),""),'Painel Geral'!$B$5="Menor Salário",IFERROR(IF(OR(M32="",Q32=0,Q32=""),"",($M32/$N32)),""),'Painel Geral'!$B$5="1º Quartil",IFERROR(IF(OR(M32="",Q32=0,Q32=""),"",($M32/$O32)),""),'Painel Geral'!$B$5="Média",IFERROR(IF(OR(M32="",Q32=0,Q32=""),"",($M32/$P32)),""),'Painel Geral'!$B$5="3º Quartil",IFERROR(IF(OR(M32="",Q32=0,Q32=""),"",($M32/$R32)),""),'Painel Geral'!$B$5="Maior Salário",IFERROR(IF(OR(M32="",Q32=0,Q32=""),"",($M32/$S32)),""))</f>
        <v>0.9758800888</v>
      </c>
      <c r="U32" s="408" t="str">
        <f t="shared" si="3"/>
        <v>Na Média</v>
      </c>
      <c r="V32" s="417">
        <f>VLOOKUP(A32,'Cálculos Comparativos'!$A:$E,4,0)</f>
        <v>1</v>
      </c>
    </row>
    <row r="33" ht="15.75" customHeight="1">
      <c r="A33" s="18" t="s">
        <v>115</v>
      </c>
      <c r="B33" s="30" t="s">
        <v>116</v>
      </c>
      <c r="C33" s="407" t="str">
        <f>VLOOKUP(A33,Jobmatch!A:F,2,0)</f>
        <v>COORDENADOR FINANCEIRO</v>
      </c>
      <c r="D33" s="407" t="str">
        <f>VLOOKUP(B33,'Folha de Pagamento'!B:G,6,0)</f>
        <v>Financeiro</v>
      </c>
      <c r="E33" s="408" t="str">
        <f>VLOOKUP(A33,Jobmatch!A:F,4,0)</f>
        <v>39 - ADM PROJETOS</v>
      </c>
      <c r="F33" s="407" t="str">
        <f>VLOOKUP(A33,Jobmatch!A:F,5,0)</f>
        <v>Tático</v>
      </c>
      <c r="G33" s="407" t="str">
        <f>VLOOKUP(B33,'Folha de Pagamento'!B:O,13,0)</f>
        <v>Masculino</v>
      </c>
      <c r="H33" s="409" t="str">
        <f t="shared" si="1"/>
        <v>#VALUE!</v>
      </c>
      <c r="I33" s="410">
        <f>VLOOKUP(A33,Jobmatch!A:G,6,0)</f>
        <v>122</v>
      </c>
      <c r="J33" s="408" t="str">
        <f>VLOOKUP(A33,Jobmatch!A:H,7,0)</f>
        <v>Coordenador Financeiro</v>
      </c>
      <c r="K33" s="411" t="str">
        <f>VLOOKUP(A33,Jobmatch!A:I,8,0)</f>
        <v>Indiferente</v>
      </c>
      <c r="L33" s="412" t="str">
        <f t="shared" si="2"/>
        <v>122Indiferente</v>
      </c>
      <c r="M33" s="413">
        <f>IFERROR(VLOOKUP(B33,'Folha de Pagamento'!B:K,10,0),"")</f>
        <v>7947.019868</v>
      </c>
      <c r="N33" s="414">
        <f>IFERROR(VLOOKUP(L33,Pesquisa!$D:$L,4,0),"")</f>
        <v>6551.35</v>
      </c>
      <c r="O33" s="415">
        <f>IFERROR(VLOOKUP(L33,Pesquisa!$D:$L,5,0),"")</f>
        <v>7801.212748</v>
      </c>
      <c r="P33" s="415">
        <f>IFERROR(VLOOKUP(L33,Pesquisa!$D:$L,6,0),"")</f>
        <v>9247.252886</v>
      </c>
      <c r="Q33" s="415">
        <f>IFERROR(VLOOKUP(L33,Pesquisa!$D:$L,7,0),"")</f>
        <v>8009.801325</v>
      </c>
      <c r="R33" s="415">
        <f>IFERROR(VLOOKUP(L33,Pesquisa!$D:$L,8,0),"")</f>
        <v>10012.25166</v>
      </c>
      <c r="S33" s="414">
        <f>IFERROR(VLOOKUP(L33,Pesquisa!$D:$L,9,0),"")</f>
        <v>13861.6487</v>
      </c>
      <c r="T33" s="416">
        <f>IFS('Painel Geral'!$B$5="Mediana",IFERROR(IF(OR(M33="",Q33=0,Q33=""),"",($M33/$Q33)),""),'Painel Geral'!$B$5="Menor Salário",IFERROR(IF(OR(M33="",Q33=0,Q33=""),"",($M33/$N33)),""),'Painel Geral'!$B$5="1º Quartil",IFERROR(IF(OR(M33="",Q33=0,Q33=""),"",($M33/$O33)),""),'Painel Geral'!$B$5="Média",IFERROR(IF(OR(M33="",Q33=0,Q33=""),"",($M33/$P33)),""),'Painel Geral'!$B$5="3º Quartil",IFERROR(IF(OR(M33="",Q33=0,Q33=""),"",($M33/$R33)),""),'Painel Geral'!$B$5="Maior Salário",IFERROR(IF(OR(M33="",Q33=0,Q33=""),"",($M33/$S33)),""))</f>
        <v>0.9921619208</v>
      </c>
      <c r="U33" s="408" t="str">
        <f t="shared" si="3"/>
        <v>Na Média</v>
      </c>
      <c r="V33" s="417">
        <f>VLOOKUP(A33,'Cálculos Comparativos'!$A:$E,4,0)</f>
        <v>6</v>
      </c>
    </row>
    <row r="34" ht="15.75" customHeight="1">
      <c r="A34" s="18" t="s">
        <v>149</v>
      </c>
      <c r="B34" s="30" t="s">
        <v>150</v>
      </c>
      <c r="C34" s="407" t="str">
        <f>VLOOKUP(A34,Jobmatch!A:F,2,0)</f>
        <v>GERENTE COMERCIAL</v>
      </c>
      <c r="D34" s="407" t="str">
        <f>VLOOKUP(B34,'Folha de Pagamento'!B:G,6,0)</f>
        <v>Comercial</v>
      </c>
      <c r="E34" s="408" t="str">
        <f>VLOOKUP(A34,Jobmatch!A:F,4,0)</f>
        <v>50 - ADM PROJETOS</v>
      </c>
      <c r="F34" s="407" t="str">
        <f>VLOOKUP(A34,Jobmatch!A:F,5,0)</f>
        <v>Tático</v>
      </c>
      <c r="G34" s="407" t="str">
        <f>VLOOKUP(B34,'Folha de Pagamento'!B:O,13,0)</f>
        <v>Masculino</v>
      </c>
      <c r="H34" s="409" t="str">
        <f t="shared" si="1"/>
        <v>#VALUE!</v>
      </c>
      <c r="I34" s="410">
        <f>VLOOKUP(A34,Jobmatch!A:G,6,0)</f>
        <v>107</v>
      </c>
      <c r="J34" s="408" t="str">
        <f>VLOOKUP(A34,Jobmatch!A:H,7,0)</f>
        <v>Gerente Comercial</v>
      </c>
      <c r="K34" s="411" t="str">
        <f>VLOOKUP(A34,Jobmatch!A:I,8,0)</f>
        <v>Indiferente</v>
      </c>
      <c r="L34" s="412" t="str">
        <f t="shared" si="2"/>
        <v>107Indiferente</v>
      </c>
      <c r="M34" s="413">
        <f>IFERROR(VLOOKUP(B34,'Folha de Pagamento'!B:K,10,0),"")</f>
        <v>12090.90909</v>
      </c>
      <c r="N34" s="414">
        <f>IFERROR(VLOOKUP(L34,Pesquisa!$D:$L,4,0),"")</f>
        <v>5570.67</v>
      </c>
      <c r="O34" s="415">
        <f>IFERROR(VLOOKUP(L34,Pesquisa!$D:$L,5,0),"")</f>
        <v>9778.91</v>
      </c>
      <c r="P34" s="415">
        <f>IFERROR(VLOOKUP(L34,Pesquisa!$D:$L,6,0),"")</f>
        <v>12281.04</v>
      </c>
      <c r="Q34" s="415">
        <f>IFERROR(VLOOKUP(L34,Pesquisa!$D:$L,7,0),"")</f>
        <v>12107.57</v>
      </c>
      <c r="R34" s="415">
        <f>IFERROR(VLOOKUP(L34,Pesquisa!$D:$L,8,0),"")</f>
        <v>15321.87</v>
      </c>
      <c r="S34" s="414">
        <f>IFERROR(VLOOKUP(L34,Pesquisa!$D:$L,9,0),"")</f>
        <v>19289.48</v>
      </c>
      <c r="T34" s="416">
        <f>IFS('Painel Geral'!$B$5="Mediana",IFERROR(IF(OR(M34="",Q34=0,Q34=""),"",($M34/$Q34)),""),'Painel Geral'!$B$5="Menor Salário",IFERROR(IF(OR(M34="",Q34=0,Q34=""),"",($M34/$N34)),""),'Painel Geral'!$B$5="1º Quartil",IFERROR(IF(OR(M34="",Q34=0,Q34=""),"",($M34/$O34)),""),'Painel Geral'!$B$5="Média",IFERROR(IF(OR(M34="",Q34=0,Q34=""),"",($M34/$P34)),""),'Painel Geral'!$B$5="3º Quartil",IFERROR(IF(OR(M34="",Q34=0,Q34=""),"",($M34/$R34)),""),'Painel Geral'!$B$5="Maior Salário",IFERROR(IF(OR(M34="",Q34=0,Q34=""),"",($M34/$S34)),""))</f>
        <v>0.9986239263</v>
      </c>
      <c r="U34" s="408" t="str">
        <f t="shared" si="3"/>
        <v>Na Média</v>
      </c>
      <c r="V34" s="417">
        <f>VLOOKUP(A34,'Cálculos Comparativos'!$A:$E,4,0)</f>
        <v>2</v>
      </c>
    </row>
    <row r="35" ht="15.75" customHeight="1">
      <c r="A35" s="18" t="s">
        <v>73</v>
      </c>
      <c r="B35" s="30">
        <v>190.0</v>
      </c>
      <c r="C35" s="407" t="str">
        <f>VLOOKUP(A35,Jobmatch!A:F,2,0)</f>
        <v>ASSISTENTE DE MARKETING</v>
      </c>
      <c r="D35" s="407" t="str">
        <f>VLOOKUP(B35,'Folha de Pagamento'!B:G,6,0)</f>
        <v>Marketing</v>
      </c>
      <c r="E35" s="408" t="str">
        <f>VLOOKUP(A35,Jobmatch!A:F,4,0)</f>
        <v>23 - ADM PROJETOS</v>
      </c>
      <c r="F35" s="407" t="str">
        <f>VLOOKUP(A35,Jobmatch!A:F,5,0)</f>
        <v>Operacional</v>
      </c>
      <c r="G35" s="407" t="str">
        <f>VLOOKUP(B35,'Folha de Pagamento'!B:O,13,0)</f>
        <v>Feminino</v>
      </c>
      <c r="H35" s="409" t="str">
        <f t="shared" si="1"/>
        <v>#VALUE!</v>
      </c>
      <c r="I35" s="410">
        <f>VLOOKUP(A35,Jobmatch!A:G,6,0)</f>
        <v>71</v>
      </c>
      <c r="J35" s="408" t="str">
        <f>VLOOKUP(A35,Jobmatch!A:H,7,0)</f>
        <v>Assistente de Marketing</v>
      </c>
      <c r="K35" s="411" t="str">
        <f>VLOOKUP(A35,Jobmatch!A:I,8,0)</f>
        <v>Indiferente</v>
      </c>
      <c r="L35" s="412" t="str">
        <f t="shared" si="2"/>
        <v>71Indiferente</v>
      </c>
      <c r="M35" s="413">
        <f>IFERROR(VLOOKUP(B35,'Folha de Pagamento'!B:K,10,0),"")</f>
        <v>2919</v>
      </c>
      <c r="N35" s="414">
        <f>IFERROR(VLOOKUP(L35,Pesquisa!$D:$L,4,0),"")</f>
        <v>2353.58</v>
      </c>
      <c r="O35" s="415">
        <f>IFERROR(VLOOKUP(L35,Pesquisa!$D:$L,5,0),"")</f>
        <v>2726.74</v>
      </c>
      <c r="P35" s="415">
        <f>IFERROR(VLOOKUP(L35,Pesquisa!$D:$L,6,0),"")</f>
        <v>3023.98</v>
      </c>
      <c r="Q35" s="415">
        <f>IFERROR(VLOOKUP(L35,Pesquisa!$D:$L,7,0),"")</f>
        <v>2889.19</v>
      </c>
      <c r="R35" s="415">
        <f>IFERROR(VLOOKUP(L35,Pesquisa!$D:$L,8,0),"")</f>
        <v>3160.38</v>
      </c>
      <c r="S35" s="414">
        <f>IFERROR(VLOOKUP(L35,Pesquisa!$D:$L,9,0),"")</f>
        <v>4088.57</v>
      </c>
      <c r="T35" s="416">
        <f>IFS('Painel Geral'!$B$5="Mediana",IFERROR(IF(OR(M35="",Q35=0,Q35=""),"",($M35/$Q35)),""),'Painel Geral'!$B$5="Menor Salário",IFERROR(IF(OR(M35="",Q35=0,Q35=""),"",($M35/$N35)),""),'Painel Geral'!$B$5="1º Quartil",IFERROR(IF(OR(M35="",Q35=0,Q35=""),"",($M35/$O35)),""),'Painel Geral'!$B$5="Média",IFERROR(IF(OR(M35="",Q35=0,Q35=""),"",($M35/$P35)),""),'Painel Geral'!$B$5="3º Quartil",IFERROR(IF(OR(M35="",Q35=0,Q35=""),"",($M35/$R35)),""),'Painel Geral'!$B$5="Maior Salário",IFERROR(IF(OR(M35="",Q35=0,Q35=""),"",($M35/$S35)),""))</f>
        <v>1.010317771</v>
      </c>
      <c r="U35" s="408" t="str">
        <f t="shared" si="3"/>
        <v>Na Média</v>
      </c>
      <c r="V35" s="417">
        <f>VLOOKUP(A35,'Cálculos Comparativos'!$A:$E,4,0)</f>
        <v>8</v>
      </c>
    </row>
    <row r="36" ht="15.75" customHeight="1">
      <c r="A36" s="18" t="s">
        <v>34</v>
      </c>
      <c r="B36" s="30" t="s">
        <v>35</v>
      </c>
      <c r="C36" s="407" t="str">
        <f>VLOOKUP(A36,Jobmatch!A:F,2,0)</f>
        <v>ANALISTA DE INOVAÇÃO</v>
      </c>
      <c r="D36" s="407" t="str">
        <f>VLOOKUP(B36,'Folha de Pagamento'!B:G,6,0)</f>
        <v>Inovação</v>
      </c>
      <c r="E36" s="408" t="str">
        <f>VLOOKUP(A36,Jobmatch!A:F,4,0)</f>
        <v>11 - ADM PROJETOS</v>
      </c>
      <c r="F36" s="407" t="str">
        <f>VLOOKUP(A36,Jobmatch!A:F,5,0)</f>
        <v>Tático</v>
      </c>
      <c r="G36" s="418" t="str">
        <f>VLOOKUP(B36,'Folha de Pagamento'!B:O,13,0)</f>
        <v>Masculino</v>
      </c>
      <c r="H36" s="409" t="str">
        <f t="shared" si="1"/>
        <v>#VALUE!</v>
      </c>
      <c r="I36" s="410">
        <f>VLOOKUP(A36,Jobmatch!A:G,6,0)</f>
        <v>437</v>
      </c>
      <c r="J36" s="408" t="str">
        <f>VLOOKUP(A36,Jobmatch!A:H,7,0)</f>
        <v>Analista de Inovação</v>
      </c>
      <c r="K36" s="411" t="str">
        <f>VLOOKUP(A36,Jobmatch!A:I,8,0)</f>
        <v>Indiferente</v>
      </c>
      <c r="L36" s="412" t="str">
        <f t="shared" si="2"/>
        <v>437Indiferente</v>
      </c>
      <c r="M36" s="413">
        <f>IFERROR(VLOOKUP(B36,'Folha de Pagamento'!B:K,10,0),"")</f>
        <v>7299.270073</v>
      </c>
      <c r="N36" s="414">
        <f>IFERROR(VLOOKUP(L36,Pesquisa!$D:$L,4,0),"")</f>
        <v>5039.5</v>
      </c>
      <c r="O36" s="415">
        <f>IFERROR(VLOOKUP(L36,Pesquisa!$D:$L,5,0),"")</f>
        <v>5955.772727</v>
      </c>
      <c r="P36" s="415">
        <f>IFERROR(VLOOKUP(L36,Pesquisa!$D:$L,6,0),"")</f>
        <v>6515.717172</v>
      </c>
      <c r="Q36" s="415">
        <f>IFERROR(VLOOKUP(L36,Pesquisa!$D:$L,7,0),"")</f>
        <v>6872.045455</v>
      </c>
      <c r="R36" s="415">
        <f>IFERROR(VLOOKUP(L36,Pesquisa!$D:$L,8,0),"")</f>
        <v>7253.825758</v>
      </c>
      <c r="S36" s="414">
        <f>IFERROR(VLOOKUP(L36,Pesquisa!$D:$L,9,0),"")</f>
        <v>7635.606061</v>
      </c>
      <c r="T36" s="416">
        <f>IFS('Painel Geral'!$B$5="Mediana",IFERROR(IF(OR(M36="",Q36=0,Q36=""),"",($M36/$Q36)),""),'Painel Geral'!$B$5="Menor Salário",IFERROR(IF(OR(M36="",Q36=0,Q36=""),"",($M36/$N36)),""),'Painel Geral'!$B$5="1º Quartil",IFERROR(IF(OR(M36="",Q36=0,Q36=""),"",($M36/$O36)),""),'Painel Geral'!$B$5="Média",IFERROR(IF(OR(M36="",Q36=0,Q36=""),"",($M36/$P36)),""),'Painel Geral'!$B$5="3º Quartil",IFERROR(IF(OR(M36="",Q36=0,Q36=""),"",($M36/$R36)),""),'Painel Geral'!$B$5="Maior Salário",IFERROR(IF(OR(M36="",Q36=0,Q36=""),"",($M36/$S36)),""))</f>
        <v>1.06216848</v>
      </c>
      <c r="U36" s="408" t="str">
        <f t="shared" si="3"/>
        <v>Na Média</v>
      </c>
      <c r="V36" s="417">
        <f>VLOOKUP(A36,'Cálculos Comparativos'!$A:$E,4,0)</f>
        <v>7</v>
      </c>
    </row>
    <row r="37" ht="15.75" customHeight="1">
      <c r="A37" s="18" t="s">
        <v>106</v>
      </c>
      <c r="B37" s="30">
        <v>1911.0</v>
      </c>
      <c r="C37" s="407" t="str">
        <f>VLOOKUP(A37,Jobmatch!A:F,2,0)</f>
        <v>COORDENADOR DE MARKETING II</v>
      </c>
      <c r="D37" s="407" t="str">
        <f>VLOOKUP(B37,'Folha de Pagamento'!B:G,6,0)</f>
        <v>Marketing</v>
      </c>
      <c r="E37" s="408" t="str">
        <f>VLOOKUP(A37,Jobmatch!A:F,4,0)</f>
        <v>36 - ADM PROJETOS</v>
      </c>
      <c r="F37" s="407" t="str">
        <f>VLOOKUP(A37,Jobmatch!A:F,5,0)</f>
        <v>Tático</v>
      </c>
      <c r="G37" s="407" t="str">
        <f>VLOOKUP(B37,'Folha de Pagamento'!B:O,13,0)</f>
        <v>Feminino</v>
      </c>
      <c r="H37" s="409" t="str">
        <f t="shared" si="1"/>
        <v>#VALUE!</v>
      </c>
      <c r="I37" s="410">
        <f>VLOOKUP(A37,Jobmatch!A:G,6,0)</f>
        <v>56</v>
      </c>
      <c r="J37" s="408" t="str">
        <f>VLOOKUP(A37,Jobmatch!A:H,7,0)</f>
        <v>Coordenador de Marketing</v>
      </c>
      <c r="K37" s="411" t="str">
        <f>VLOOKUP(A37,Jobmatch!A:I,8,0)</f>
        <v>Indiferente</v>
      </c>
      <c r="L37" s="412" t="str">
        <f t="shared" si="2"/>
        <v>56Indiferente</v>
      </c>
      <c r="M37" s="413">
        <f>IFERROR(VLOOKUP(B37,'Folha de Pagamento'!B:K,10,0),"")</f>
        <v>8647</v>
      </c>
      <c r="N37" s="414">
        <f>IFERROR(VLOOKUP(L37,Pesquisa!$D:$L,4,0),"")</f>
        <v>5322.81</v>
      </c>
      <c r="O37" s="415">
        <f>IFERROR(VLOOKUP(L37,Pesquisa!$D:$L,5,0),"")</f>
        <v>7141.59</v>
      </c>
      <c r="P37" s="415">
        <f>IFERROR(VLOOKUP(L37,Pesquisa!$D:$L,6,0),"")</f>
        <v>7927.07</v>
      </c>
      <c r="Q37" s="415">
        <f>IFERROR(VLOOKUP(L37,Pesquisa!$D:$L,7,0),"")</f>
        <v>7958.59</v>
      </c>
      <c r="R37" s="415">
        <f>IFERROR(VLOOKUP(L37,Pesquisa!$D:$L,8,0),"")</f>
        <v>8825.19</v>
      </c>
      <c r="S37" s="414">
        <f>IFERROR(VLOOKUP(L37,Pesquisa!$D:$L,9,0),"")</f>
        <v>10531.61</v>
      </c>
      <c r="T37" s="416">
        <f>IFS('Painel Geral'!$B$5="Mediana",IFERROR(IF(OR(M37="",Q37=0,Q37=""),"",($M37/$Q37)),""),'Painel Geral'!$B$5="Menor Salário",IFERROR(IF(OR(M37="",Q37=0,Q37=""),"",($M37/$N37)),""),'Painel Geral'!$B$5="1º Quartil",IFERROR(IF(OR(M37="",Q37=0,Q37=""),"",($M37/$O37)),""),'Painel Geral'!$B$5="Média",IFERROR(IF(OR(M37="",Q37=0,Q37=""),"",($M37/$P37)),""),'Painel Geral'!$B$5="3º Quartil",IFERROR(IF(OR(M37="",Q37=0,Q37=""),"",($M37/$R37)),""),'Painel Geral'!$B$5="Maior Salário",IFERROR(IF(OR(M37="",Q37=0,Q37=""),"",($M37/$S37)),""))</f>
        <v>1.08649899</v>
      </c>
      <c r="U37" s="408" t="str">
        <f t="shared" si="3"/>
        <v>Na Média</v>
      </c>
      <c r="V37" s="417">
        <f>VLOOKUP(A37,'Cálculos Comparativos'!$A:$E,4,0)</f>
        <v>8</v>
      </c>
    </row>
    <row r="38" ht="15.75" customHeight="1">
      <c r="A38" s="18" t="s">
        <v>81</v>
      </c>
      <c r="B38" s="30">
        <v>192.0</v>
      </c>
      <c r="C38" s="407" t="str">
        <f>VLOOKUP(A38,Jobmatch!A:F,2,0)</f>
        <v>ASSISTENTE FINANCEIRO CONTAS A PAGAR</v>
      </c>
      <c r="D38" s="407" t="str">
        <f>VLOOKUP(B38,'Folha de Pagamento'!B:G,6,0)</f>
        <v>Financeiro</v>
      </c>
      <c r="E38" s="408" t="str">
        <f>VLOOKUP(A38,Jobmatch!A:F,4,0)</f>
        <v>26 - ADM PROJETOS</v>
      </c>
      <c r="F38" s="407" t="str">
        <f>VLOOKUP(A38,Jobmatch!A:F,5,0)</f>
        <v>Operacional</v>
      </c>
      <c r="G38" s="407" t="str">
        <f>VLOOKUP(B38,'Folha de Pagamento'!B:O,13,0)</f>
        <v>Masculino</v>
      </c>
      <c r="H38" s="409" t="str">
        <f t="shared" si="1"/>
        <v>#VALUE!</v>
      </c>
      <c r="I38" s="410">
        <f>VLOOKUP(A38,Jobmatch!A:G,6,0)</f>
        <v>79</v>
      </c>
      <c r="J38" s="408" t="str">
        <f>VLOOKUP(A38,Jobmatch!A:H,7,0)</f>
        <v>Assistente Financeiro</v>
      </c>
      <c r="K38" s="411" t="str">
        <f>VLOOKUP(A38,Jobmatch!A:I,8,0)</f>
        <v>Indiferente</v>
      </c>
      <c r="L38" s="412" t="str">
        <f t="shared" si="2"/>
        <v>79Indiferente</v>
      </c>
      <c r="M38" s="413">
        <f>IFERROR(VLOOKUP(B38,'Folha de Pagamento'!B:K,10,0),"")</f>
        <v>2919</v>
      </c>
      <c r="N38" s="414">
        <f>IFERROR(VLOOKUP(L38,Pesquisa!$D:$L,4,0),"")</f>
        <v>2471.26</v>
      </c>
      <c r="O38" s="415">
        <f>IFERROR(VLOOKUP(L38,Pesquisa!$D:$L,5,0),"")</f>
        <v>2566.19</v>
      </c>
      <c r="P38" s="415">
        <f>IFERROR(VLOOKUP(L38,Pesquisa!$D:$L,6,0),"")</f>
        <v>2805.74</v>
      </c>
      <c r="Q38" s="415">
        <f>IFERROR(VLOOKUP(L38,Pesquisa!$D:$L,7,0),"")</f>
        <v>2665.28</v>
      </c>
      <c r="R38" s="415">
        <f>IFERROR(VLOOKUP(L38,Pesquisa!$D:$L,8,0),"")</f>
        <v>2942.11</v>
      </c>
      <c r="S38" s="414">
        <f>IFERROR(VLOOKUP(L38,Pesquisa!$D:$L,9,0),"")</f>
        <v>3639.58</v>
      </c>
      <c r="T38" s="416">
        <f>IFS('Painel Geral'!$B$5="Mediana",IFERROR(IF(OR(M38="",Q38=0,Q38=""),"",($M38/$Q38)),""),'Painel Geral'!$B$5="Menor Salário",IFERROR(IF(OR(M38="",Q38=0,Q38=""),"",($M38/$N38)),""),'Painel Geral'!$B$5="1º Quartil",IFERROR(IF(OR(M38="",Q38=0,Q38=""),"",($M38/$O38)),""),'Painel Geral'!$B$5="Média",IFERROR(IF(OR(M38="",Q38=0,Q38=""),"",($M38/$P38)),""),'Painel Geral'!$B$5="3º Quartil",IFERROR(IF(OR(M38="",Q38=0,Q38=""),"",($M38/$R38)),""),'Painel Geral'!$B$5="Maior Salário",IFERROR(IF(OR(M38="",Q38=0,Q38=""),"",($M38/$S38)),""))</f>
        <v>1.095194501</v>
      </c>
      <c r="U38" s="408" t="str">
        <f t="shared" si="3"/>
        <v>Na Média</v>
      </c>
      <c r="V38" s="417">
        <f>VLOOKUP(A38,'Cálculos Comparativos'!$A:$E,4,0)</f>
        <v>6</v>
      </c>
    </row>
    <row r="39" ht="15.75" customHeight="1">
      <c r="A39" s="18" t="s">
        <v>81</v>
      </c>
      <c r="B39" s="30">
        <v>193.0</v>
      </c>
      <c r="C39" s="407" t="str">
        <f>VLOOKUP(A39,Jobmatch!A:F,2,0)</f>
        <v>ASSISTENTE FINANCEIRO CONTAS A PAGAR</v>
      </c>
      <c r="D39" s="407" t="str">
        <f>VLOOKUP(B39,'Folha de Pagamento'!B:G,6,0)</f>
        <v>Financeiro</v>
      </c>
      <c r="E39" s="408" t="str">
        <f>VLOOKUP(A39,Jobmatch!A:F,4,0)</f>
        <v>26 - ADM PROJETOS</v>
      </c>
      <c r="F39" s="407" t="str">
        <f>VLOOKUP(A39,Jobmatch!A:F,5,0)</f>
        <v>Operacional</v>
      </c>
      <c r="G39" s="407" t="str">
        <f>VLOOKUP(B39,'Folha de Pagamento'!B:O,13,0)</f>
        <v>Masculino</v>
      </c>
      <c r="H39" s="409" t="str">
        <f t="shared" si="1"/>
        <v>#VALUE!</v>
      </c>
      <c r="I39" s="410">
        <f>VLOOKUP(A39,Jobmatch!A:G,6,0)</f>
        <v>79</v>
      </c>
      <c r="J39" s="408" t="str">
        <f>VLOOKUP(A39,Jobmatch!A:H,7,0)</f>
        <v>Assistente Financeiro</v>
      </c>
      <c r="K39" s="411" t="str">
        <f>VLOOKUP(A39,Jobmatch!A:I,8,0)</f>
        <v>Indiferente</v>
      </c>
      <c r="L39" s="412" t="str">
        <f t="shared" si="2"/>
        <v>79Indiferente</v>
      </c>
      <c r="M39" s="413">
        <f>IFERROR(VLOOKUP(B39,'Folha de Pagamento'!B:K,10,0),"")</f>
        <v>2919</v>
      </c>
      <c r="N39" s="414">
        <f>IFERROR(VLOOKUP(L39,Pesquisa!$D:$L,4,0),"")</f>
        <v>2471.26</v>
      </c>
      <c r="O39" s="415">
        <f>IFERROR(VLOOKUP(L39,Pesquisa!$D:$L,5,0),"")</f>
        <v>2566.19</v>
      </c>
      <c r="P39" s="415">
        <f>IFERROR(VLOOKUP(L39,Pesquisa!$D:$L,6,0),"")</f>
        <v>2805.74</v>
      </c>
      <c r="Q39" s="415">
        <f>IFERROR(VLOOKUP(L39,Pesquisa!$D:$L,7,0),"")</f>
        <v>2665.28</v>
      </c>
      <c r="R39" s="415">
        <f>IFERROR(VLOOKUP(L39,Pesquisa!$D:$L,8,0),"")</f>
        <v>2942.11</v>
      </c>
      <c r="S39" s="414">
        <f>IFERROR(VLOOKUP(L39,Pesquisa!$D:$L,9,0),"")</f>
        <v>3639.58</v>
      </c>
      <c r="T39" s="416">
        <f>IFS('Painel Geral'!$B$5="Mediana",IFERROR(IF(OR(M39="",Q39=0,Q39=""),"",($M39/$Q39)),""),'Painel Geral'!$B$5="Menor Salário",IFERROR(IF(OR(M39="",Q39=0,Q39=""),"",($M39/$N39)),""),'Painel Geral'!$B$5="1º Quartil",IFERROR(IF(OR(M39="",Q39=0,Q39=""),"",($M39/$O39)),""),'Painel Geral'!$B$5="Média",IFERROR(IF(OR(M39="",Q39=0,Q39=""),"",($M39/$P39)),""),'Painel Geral'!$B$5="3º Quartil",IFERROR(IF(OR(M39="",Q39=0,Q39=""),"",($M39/$R39)),""),'Painel Geral'!$B$5="Maior Salário",IFERROR(IF(OR(M39="",Q39=0,Q39=""),"",($M39/$S39)),""))</f>
        <v>1.095194501</v>
      </c>
      <c r="U39" s="408" t="str">
        <f t="shared" si="3"/>
        <v>Na Média</v>
      </c>
      <c r="V39" s="417">
        <f>VLOOKUP(A39,'Cálculos Comparativos'!$A:$E,4,0)</f>
        <v>6</v>
      </c>
    </row>
    <row r="40" ht="15.75" customHeight="1">
      <c r="A40" s="18" t="s">
        <v>123</v>
      </c>
      <c r="B40" s="30">
        <v>132.0</v>
      </c>
      <c r="C40" s="407" t="str">
        <f>VLOOKUP(A40,Jobmatch!A:F,2,0)</f>
        <v>ENCARREGADO DE OBRAS</v>
      </c>
      <c r="D40" s="407" t="str">
        <f>VLOOKUP(B40,'Folha de Pagamento'!B:G,6,0)</f>
        <v>Urbanismo</v>
      </c>
      <c r="E40" s="408" t="str">
        <f>VLOOKUP(A40,Jobmatch!A:F,4,0)</f>
        <v>41 - ADM PROJETOS</v>
      </c>
      <c r="F40" s="407" t="str">
        <f>VLOOKUP(A40,Jobmatch!A:F,5,0)</f>
        <v>Operacional</v>
      </c>
      <c r="G40" s="407" t="str">
        <f>VLOOKUP(B40,'Folha de Pagamento'!B:O,13,0)</f>
        <v>Masculino</v>
      </c>
      <c r="H40" s="409" t="str">
        <f t="shared" si="1"/>
        <v>#VALUE!</v>
      </c>
      <c r="I40" s="410">
        <f>VLOOKUP(A40,Jobmatch!A:G,6,0)</f>
        <v>470</v>
      </c>
      <c r="J40" s="408" t="str">
        <f>VLOOKUP(A40,Jobmatch!A:H,7,0)</f>
        <v>Mestre de Obras</v>
      </c>
      <c r="K40" s="411" t="str">
        <f>VLOOKUP(A40,Jobmatch!A:I,8,0)</f>
        <v>Indiferente</v>
      </c>
      <c r="L40" s="412" t="str">
        <f t="shared" si="2"/>
        <v>470Indiferente</v>
      </c>
      <c r="M40" s="413">
        <f>IFERROR(VLOOKUP(B40,'Folha de Pagamento'!B:K,10,0),"")</f>
        <v>8461</v>
      </c>
      <c r="N40" s="414">
        <f>IFERROR(VLOOKUP(L40,Pesquisa!$D:$L,4,0),"")</f>
        <v>5543.53</v>
      </c>
      <c r="O40" s="415">
        <f>IFERROR(VLOOKUP(L40,Pesquisa!$D:$L,5,0),"")</f>
        <v>5543.53</v>
      </c>
      <c r="P40" s="415">
        <f>IFERROR(VLOOKUP(L40,Pesquisa!$D:$L,6,0),"")</f>
        <v>7707.59</v>
      </c>
      <c r="Q40" s="415">
        <f>IFERROR(VLOOKUP(L40,Pesquisa!$D:$L,7,0),"")</f>
        <v>7478.73</v>
      </c>
      <c r="R40" s="415">
        <f>IFERROR(VLOOKUP(L40,Pesquisa!$D:$L,8,0),"")</f>
        <v>9809.03</v>
      </c>
      <c r="S40" s="414">
        <f>IFERROR(VLOOKUP(L40,Pesquisa!$D:$L,9,0),"")</f>
        <v>11165.69</v>
      </c>
      <c r="T40" s="416">
        <f>IFS('Painel Geral'!$B$5="Mediana",IFERROR(IF(OR(M40="",Q40=0,Q40=""),"",($M40/$Q40)),""),'Painel Geral'!$B$5="Menor Salário",IFERROR(IF(OR(M40="",Q40=0,Q40=""),"",($M40/$N40)),""),'Painel Geral'!$B$5="1º Quartil",IFERROR(IF(OR(M40="",Q40=0,Q40=""),"",($M40/$O40)),""),'Painel Geral'!$B$5="Média",IFERROR(IF(OR(M40="",Q40=0,Q40=""),"",($M40/$P40)),""),'Painel Geral'!$B$5="3º Quartil",IFERROR(IF(OR(M40="",Q40=0,Q40=""),"",($M40/$R40)),""),'Painel Geral'!$B$5="Maior Salário",IFERROR(IF(OR(M40="",Q40=0,Q40=""),"",($M40/$S40)),""))</f>
        <v>1.131341819</v>
      </c>
      <c r="U40" s="408" t="str">
        <f t="shared" si="3"/>
        <v>Muito Competitivo</v>
      </c>
      <c r="V40" s="417">
        <f>VLOOKUP(A40,'Cálculos Comparativos'!$A:$E,4,0)</f>
        <v>10</v>
      </c>
    </row>
    <row r="41" ht="15.75" customHeight="1">
      <c r="A41" s="18" t="s">
        <v>59</v>
      </c>
      <c r="B41" s="30">
        <v>1927.0</v>
      </c>
      <c r="C41" s="407" t="str">
        <f>VLOOKUP(A41,Jobmatch!A:F,2,0)</f>
        <v>ANALISTA FINANCEIRO I</v>
      </c>
      <c r="D41" s="407" t="str">
        <f>VLOOKUP(B41,'Folha de Pagamento'!B:G,6,0)</f>
        <v>Financeiro</v>
      </c>
      <c r="E41" s="408" t="str">
        <f>VLOOKUP(A41,Jobmatch!A:F,4,0)</f>
        <v>18 - ADM PROJETOS</v>
      </c>
      <c r="F41" s="407" t="str">
        <f>VLOOKUP(A41,Jobmatch!A:F,5,0)</f>
        <v>Operacional</v>
      </c>
      <c r="G41" s="407" t="str">
        <f>VLOOKUP(B41,'Folha de Pagamento'!B:O,13,0)</f>
        <v>Feminino</v>
      </c>
      <c r="H41" s="409" t="str">
        <f t="shared" si="1"/>
        <v>#VALUE!</v>
      </c>
      <c r="I41" s="410">
        <f>VLOOKUP(A41,Jobmatch!A:G,6,0)</f>
        <v>16</v>
      </c>
      <c r="J41" s="408" t="str">
        <f>VLOOKUP(A41,Jobmatch!A:H,7,0)</f>
        <v>Analista Financeiro</v>
      </c>
      <c r="K41" s="411" t="str">
        <f>VLOOKUP(A41,Jobmatch!A:I,8,0)</f>
        <v>Júnior</v>
      </c>
      <c r="L41" s="412" t="str">
        <f t="shared" si="2"/>
        <v>16Júnior</v>
      </c>
      <c r="M41" s="413">
        <f>IFERROR(VLOOKUP(B41,'Folha de Pagamento'!B:K,10,0),"")</f>
        <v>3993</v>
      </c>
      <c r="N41" s="414">
        <f>IFERROR(VLOOKUP(L41,Pesquisa!$D:$L,4,0),"")</f>
        <v>2937.55</v>
      </c>
      <c r="O41" s="415">
        <f>IFERROR(VLOOKUP(L41,Pesquisa!$D:$L,5,0),"")</f>
        <v>3176.35</v>
      </c>
      <c r="P41" s="415">
        <f>IFERROR(VLOOKUP(L41,Pesquisa!$D:$L,6,0),"")</f>
        <v>3539.11</v>
      </c>
      <c r="Q41" s="415">
        <f>IFERROR(VLOOKUP(L41,Pesquisa!$D:$L,7,0),"")</f>
        <v>3493.97</v>
      </c>
      <c r="R41" s="415">
        <f>IFERROR(VLOOKUP(L41,Pesquisa!$D:$L,8,0),"")</f>
        <v>3798.49</v>
      </c>
      <c r="S41" s="414">
        <f>IFERROR(VLOOKUP(L41,Pesquisa!$D:$L,9,0),"")</f>
        <v>4392.23</v>
      </c>
      <c r="T41" s="416">
        <f>IFS('Painel Geral'!$B$5="Mediana",IFERROR(IF(OR(M41="",Q41=0,Q41=""),"",($M41/$Q41)),""),'Painel Geral'!$B$5="Menor Salário",IFERROR(IF(OR(M41="",Q41=0,Q41=""),"",($M41/$N41)),""),'Painel Geral'!$B$5="1º Quartil",IFERROR(IF(OR(M41="",Q41=0,Q41=""),"",($M41/$O41)),""),'Painel Geral'!$B$5="Média",IFERROR(IF(OR(M41="",Q41=0,Q41=""),"",($M41/$P41)),""),'Painel Geral'!$B$5="3º Quartil",IFERROR(IF(OR(M41="",Q41=0,Q41=""),"",($M41/$R41)),""),'Painel Geral'!$B$5="Maior Salário",IFERROR(IF(OR(M41="",Q41=0,Q41=""),"",($M41/$S41)),""))</f>
        <v>1.142826069</v>
      </c>
      <c r="U41" s="408" t="str">
        <f t="shared" si="3"/>
        <v>Muito Competitivo</v>
      </c>
      <c r="V41" s="417">
        <f>VLOOKUP(A41,'Cálculos Comparativos'!$A:$E,4,0)</f>
        <v>6</v>
      </c>
    </row>
    <row r="42" ht="15.75" customHeight="1">
      <c r="A42" s="18" t="s">
        <v>125</v>
      </c>
      <c r="B42" s="30">
        <v>1351.0</v>
      </c>
      <c r="C42" s="407" t="str">
        <f>VLOOKUP(A42,Jobmatch!A:F,2,0)</f>
        <v>ENCARREGADO OBRAS/MANUTENCAO</v>
      </c>
      <c r="D42" s="407" t="str">
        <f>VLOOKUP(B42,'Folha de Pagamento'!B:G,6,0)</f>
        <v>Edificação</v>
      </c>
      <c r="E42" s="408" t="str">
        <f>VLOOKUP(A42,Jobmatch!A:F,4,0)</f>
        <v>42 - ADM PROJETOS</v>
      </c>
      <c r="F42" s="407" t="str">
        <f>VLOOKUP(A42,Jobmatch!A:F,5,0)</f>
        <v>Operacional</v>
      </c>
      <c r="G42" s="407" t="str">
        <f>VLOOKUP(B42,'Folha de Pagamento'!B:O,13,0)</f>
        <v>Masculino</v>
      </c>
      <c r="H42" s="409" t="str">
        <f t="shared" si="1"/>
        <v>#VALUE!</v>
      </c>
      <c r="I42" s="410">
        <f>VLOOKUP(A42,Jobmatch!A:G,6,0)</f>
        <v>470</v>
      </c>
      <c r="J42" s="408" t="str">
        <f>VLOOKUP(A42,Jobmatch!A:H,7,0)</f>
        <v>Mestre de Obras</v>
      </c>
      <c r="K42" s="411" t="str">
        <f>VLOOKUP(A42,Jobmatch!A:I,8,0)</f>
        <v>Indiferente</v>
      </c>
      <c r="L42" s="412" t="str">
        <f t="shared" si="2"/>
        <v>470Indiferente</v>
      </c>
      <c r="M42" s="413">
        <f>IFERROR(VLOOKUP(B42,'Folha de Pagamento'!B:K,10,0),"")</f>
        <v>8714</v>
      </c>
      <c r="N42" s="414">
        <f>IFERROR(VLOOKUP(L42,Pesquisa!$D:$L,4,0),"")</f>
        <v>5543.53</v>
      </c>
      <c r="O42" s="415">
        <f>IFERROR(VLOOKUP(L42,Pesquisa!$D:$L,5,0),"")</f>
        <v>5543.53</v>
      </c>
      <c r="P42" s="415">
        <f>IFERROR(VLOOKUP(L42,Pesquisa!$D:$L,6,0),"")</f>
        <v>7707.59</v>
      </c>
      <c r="Q42" s="415">
        <f>IFERROR(VLOOKUP(L42,Pesquisa!$D:$L,7,0),"")</f>
        <v>7478.73</v>
      </c>
      <c r="R42" s="415">
        <f>IFERROR(VLOOKUP(L42,Pesquisa!$D:$L,8,0),"")</f>
        <v>9809.03</v>
      </c>
      <c r="S42" s="414">
        <f>IFERROR(VLOOKUP(L42,Pesquisa!$D:$L,9,0),"")</f>
        <v>11165.69</v>
      </c>
      <c r="T42" s="416">
        <f>IFS('Painel Geral'!$B$5="Mediana",IFERROR(IF(OR(M42="",Q42=0,Q42=""),"",($M42/$Q42)),""),'Painel Geral'!$B$5="Menor Salário",IFERROR(IF(OR(M42="",Q42=0,Q42=""),"",($M42/$N42)),""),'Painel Geral'!$B$5="1º Quartil",IFERROR(IF(OR(M42="",Q42=0,Q42=""),"",($M42/$O42)),""),'Painel Geral'!$B$5="Média",IFERROR(IF(OR(M42="",Q42=0,Q42=""),"",($M42/$P42)),""),'Painel Geral'!$B$5="3º Quartil",IFERROR(IF(OR(M42="",Q42=0,Q42=""),"",($M42/$R42)),""),'Painel Geral'!$B$5="Maior Salário",IFERROR(IF(OR(M42="",Q42=0,Q42=""),"",($M42/$S42)),""))</f>
        <v>1.165171092</v>
      </c>
      <c r="U42" s="408" t="str">
        <f t="shared" si="3"/>
        <v>Muito Competitivo</v>
      </c>
      <c r="V42" s="417">
        <f>VLOOKUP(A42,'Cálculos Comparativos'!$A:$E,4,0)</f>
        <v>5</v>
      </c>
    </row>
    <row r="43" ht="15.75" customHeight="1">
      <c r="A43" s="18" t="s">
        <v>62</v>
      </c>
      <c r="B43" s="30">
        <v>164.0</v>
      </c>
      <c r="C43" s="407" t="str">
        <f>VLOOKUP(A43,Jobmatch!A:F,2,0)</f>
        <v>ASSISTENTE ADM DE LEGALIZAÇÃO III</v>
      </c>
      <c r="D43" s="407" t="str">
        <f>VLOOKUP(B43,'Folha de Pagamento'!B:G,6,0)</f>
        <v>Legalização </v>
      </c>
      <c r="E43" s="408" t="str">
        <f>VLOOKUP(A43,Jobmatch!A:F,4,0)</f>
        <v>19 - ADM PROJETOS</v>
      </c>
      <c r="F43" s="407" t="str">
        <f>VLOOKUP(A43,Jobmatch!A:F,5,0)</f>
        <v>Operacional</v>
      </c>
      <c r="G43" s="407" t="str">
        <f>VLOOKUP(B43,'Folha de Pagamento'!B:O,13,0)</f>
        <v>Feminino</v>
      </c>
      <c r="H43" s="409" t="str">
        <f t="shared" si="1"/>
        <v>#VALUE!</v>
      </c>
      <c r="I43" s="410">
        <f>VLOOKUP(A43,Jobmatch!A:G,6,0)</f>
        <v>1201</v>
      </c>
      <c r="J43" s="408" t="str">
        <f>VLOOKUP(A43,Jobmatch!A:H,7,0)</f>
        <v>Assistente de Legalização</v>
      </c>
      <c r="K43" s="411" t="str">
        <f>VLOOKUP(A43,Jobmatch!A:I,8,0)</f>
        <v>Indiferente</v>
      </c>
      <c r="L43" s="412" t="str">
        <f t="shared" si="2"/>
        <v>1201Indiferente</v>
      </c>
      <c r="M43" s="413">
        <f>IFERROR(VLOOKUP(B43,'Folha de Pagamento'!B:K,10,0),"")</f>
        <v>3652</v>
      </c>
      <c r="N43" s="414">
        <f>IFERROR(VLOOKUP(L43,Pesquisa!$D:$L,4,0),"")</f>
        <v>2513.75</v>
      </c>
      <c r="O43" s="415">
        <f>IFERROR(VLOOKUP(L43,Pesquisa!$D:$L,5,0),"")</f>
        <v>2803.34</v>
      </c>
      <c r="P43" s="415">
        <f>IFERROR(VLOOKUP(L43,Pesquisa!$D:$L,6,0),"")</f>
        <v>3092.92</v>
      </c>
      <c r="Q43" s="415">
        <f>IFERROR(VLOOKUP(L43,Pesquisa!$D:$L,7,0),"")</f>
        <v>3092.92</v>
      </c>
      <c r="R43" s="415">
        <f>IFERROR(VLOOKUP(L43,Pesquisa!$D:$L,8,0),"")</f>
        <v>3382.51</v>
      </c>
      <c r="S43" s="414">
        <f>IFERROR(VLOOKUP(L43,Pesquisa!$D:$L,9,0),"")</f>
        <v>3672.09</v>
      </c>
      <c r="T43" s="416">
        <f>IFS('Painel Geral'!$B$5="Mediana",IFERROR(IF(OR(M43="",Q43=0,Q43=""),"",($M43/$Q43)),""),'Painel Geral'!$B$5="Menor Salário",IFERROR(IF(OR(M43="",Q43=0,Q43=""),"",($M43/$N43)),""),'Painel Geral'!$B$5="1º Quartil",IFERROR(IF(OR(M43="",Q43=0,Q43=""),"",($M43/$O43)),""),'Painel Geral'!$B$5="Média",IFERROR(IF(OR(M43="",Q43=0,Q43=""),"",($M43/$P43)),""),'Painel Geral'!$B$5="3º Quartil",IFERROR(IF(OR(M43="",Q43=0,Q43=""),"",($M43/$R43)),""),'Painel Geral'!$B$5="Maior Salário",IFERROR(IF(OR(M43="",Q43=0,Q43=""),"",($M43/$S43)),""))</f>
        <v>1.180761222</v>
      </c>
      <c r="U43" s="408" t="str">
        <f t="shared" si="3"/>
        <v>Muito Competitivo</v>
      </c>
      <c r="V43" s="417">
        <f>VLOOKUP(A43,'Cálculos Comparativos'!$A:$E,4,0)</f>
        <v>7</v>
      </c>
    </row>
    <row r="44" ht="15.75" customHeight="1">
      <c r="A44" s="18" t="s">
        <v>84</v>
      </c>
      <c r="B44" s="30">
        <v>184.0</v>
      </c>
      <c r="C44" s="407" t="str">
        <f>VLOOKUP(A44,Jobmatch!A:F,2,0)</f>
        <v>AUXILIAR ADMINISTRATIVO</v>
      </c>
      <c r="D44" s="407" t="str">
        <f>VLOOKUP(B44,'Folha de Pagamento'!B:G,6,0)</f>
        <v>Administrativo</v>
      </c>
      <c r="E44" s="408" t="str">
        <f>VLOOKUP(A44,Jobmatch!A:F,4,0)</f>
        <v>27 - ADM PROJETOS</v>
      </c>
      <c r="F44" s="407" t="str">
        <f>VLOOKUP(A44,Jobmatch!A:F,5,0)</f>
        <v>Operacional</v>
      </c>
      <c r="G44" s="407" t="str">
        <f>VLOOKUP(B44,'Folha de Pagamento'!B:O,13,0)</f>
        <v>Feminino</v>
      </c>
      <c r="H44" s="409" t="str">
        <f t="shared" si="1"/>
        <v>#VALUE!</v>
      </c>
      <c r="I44" s="410">
        <f>VLOOKUP(A44,Jobmatch!A:G,6,0)</f>
        <v>83</v>
      </c>
      <c r="J44" s="408" t="str">
        <f>VLOOKUP(A44,Jobmatch!A:H,7,0)</f>
        <v>Auxiliar Administrativo</v>
      </c>
      <c r="K44" s="411" t="str">
        <f>VLOOKUP(A44,Jobmatch!A:I,8,0)</f>
        <v>Indiferente</v>
      </c>
      <c r="L44" s="412" t="str">
        <f t="shared" si="2"/>
        <v>83Indiferente</v>
      </c>
      <c r="M44" s="413">
        <f>IFERROR(VLOOKUP(B44,'Folha de Pagamento'!B:K,10,0),"")</f>
        <v>2739.04</v>
      </c>
      <c r="N44" s="414">
        <f>IFERROR(VLOOKUP(L44,Pesquisa!$D:$L,4,0),"")</f>
        <v>1771.74</v>
      </c>
      <c r="O44" s="415">
        <f>IFERROR(VLOOKUP(L44,Pesquisa!$D:$L,5,0),"")</f>
        <v>2128.74</v>
      </c>
      <c r="P44" s="415">
        <f>IFERROR(VLOOKUP(L44,Pesquisa!$D:$L,6,0),"")</f>
        <v>2292.87</v>
      </c>
      <c r="Q44" s="415">
        <f>IFERROR(VLOOKUP(L44,Pesquisa!$D:$L,7,0),"")</f>
        <v>2309.71</v>
      </c>
      <c r="R44" s="415">
        <f>IFERROR(VLOOKUP(L44,Pesquisa!$D:$L,8,0),"")</f>
        <v>2375.14</v>
      </c>
      <c r="S44" s="414">
        <f>IFERROR(VLOOKUP(L44,Pesquisa!$D:$L,9,0),"")</f>
        <v>3073.32</v>
      </c>
      <c r="T44" s="416">
        <f>IFS('Painel Geral'!$B$5="Mediana",IFERROR(IF(OR(M44="",Q44=0,Q44=""),"",($M44/$Q44)),""),'Painel Geral'!$B$5="Menor Salário",IFERROR(IF(OR(M44="",Q44=0,Q44=""),"",($M44/$N44)),""),'Painel Geral'!$B$5="1º Quartil",IFERROR(IF(OR(M44="",Q44=0,Q44=""),"",($M44/$O44)),""),'Painel Geral'!$B$5="Média",IFERROR(IF(OR(M44="",Q44=0,Q44=""),"",($M44/$P44)),""),'Painel Geral'!$B$5="3º Quartil",IFERROR(IF(OR(M44="",Q44=0,Q44=""),"",($M44/$R44)),""),'Painel Geral'!$B$5="Maior Salário",IFERROR(IF(OR(M44="",Q44=0,Q44=""),"",($M44/$S44)),""))</f>
        <v>1.185880479</v>
      </c>
      <c r="U44" s="408" t="str">
        <f t="shared" si="3"/>
        <v>Muito Competitivo</v>
      </c>
      <c r="V44" s="417">
        <f>VLOOKUP(A44,'Cálculos Comparativos'!$A:$E,4,0)</f>
        <v>1</v>
      </c>
    </row>
    <row r="45" ht="15.75" customHeight="1">
      <c r="A45" s="18" t="s">
        <v>46</v>
      </c>
      <c r="B45" s="30">
        <v>1962.0</v>
      </c>
      <c r="C45" s="407" t="str">
        <f>VLOOKUP(A45,Jobmatch!A:F,2,0)</f>
        <v>ANALISTA DE PÓS VENDAS II</v>
      </c>
      <c r="D45" s="407" t="str">
        <f>VLOOKUP(B45,'Folha de Pagamento'!B:G,6,0)</f>
        <v>Pós Vendas</v>
      </c>
      <c r="E45" s="408" t="str">
        <f>VLOOKUP(A45,Jobmatch!A:F,4,0)</f>
        <v>14 - ADM PROJETOS</v>
      </c>
      <c r="F45" s="407" t="str">
        <f>VLOOKUP(A45,Jobmatch!A:F,5,0)</f>
        <v>Operacional</v>
      </c>
      <c r="G45" s="418" t="str">
        <f>VLOOKUP(B45,'Folha de Pagamento'!B:O,13,0)</f>
        <v>Masculino</v>
      </c>
      <c r="H45" s="409" t="str">
        <f t="shared" si="1"/>
        <v>#VALUE!</v>
      </c>
      <c r="I45" s="410">
        <f>VLOOKUP(A45,Jobmatch!A:G,6,0)</f>
        <v>376</v>
      </c>
      <c r="J45" s="408" t="str">
        <f>VLOOKUP(A45,Jobmatch!A:H,7,0)</f>
        <v>Analista de Relacionamento</v>
      </c>
      <c r="K45" s="411" t="str">
        <f>VLOOKUP(A45,Jobmatch!A:I,8,0)</f>
        <v>Indiferente</v>
      </c>
      <c r="L45" s="412" t="str">
        <f t="shared" si="2"/>
        <v>376Indiferente</v>
      </c>
      <c r="M45" s="413">
        <f>IFERROR(VLOOKUP(B45,'Folha de Pagamento'!B:K,10,0),"")</f>
        <v>4550</v>
      </c>
      <c r="N45" s="414">
        <f>IFERROR(VLOOKUP(L45,Pesquisa!$D:$L,4,0),"")</f>
        <v>2872.56</v>
      </c>
      <c r="O45" s="415">
        <f>IFERROR(VLOOKUP(L45,Pesquisa!$D:$L,5,0),"")</f>
        <v>3241.46</v>
      </c>
      <c r="P45" s="415">
        <f>IFERROR(VLOOKUP(L45,Pesquisa!$D:$L,6,0),"")</f>
        <v>3918.59</v>
      </c>
      <c r="Q45" s="415">
        <f>IFERROR(VLOOKUP(L45,Pesquisa!$D:$L,7,0),"")</f>
        <v>3830.08</v>
      </c>
      <c r="R45" s="415">
        <f>IFERROR(VLOOKUP(L45,Pesquisa!$D:$L,8,0),"")</f>
        <v>4233.24</v>
      </c>
      <c r="S45" s="414">
        <f>IFERROR(VLOOKUP(L45,Pesquisa!$D:$L,9,0),"")</f>
        <v>5820.01</v>
      </c>
      <c r="T45" s="416">
        <f>IFS('Painel Geral'!$B$5="Mediana",IFERROR(IF(OR(M45="",Q45=0,Q45=""),"",($M45/$Q45)),""),'Painel Geral'!$B$5="Menor Salário",IFERROR(IF(OR(M45="",Q45=0,Q45=""),"",($M45/$N45)),""),'Painel Geral'!$B$5="1º Quartil",IFERROR(IF(OR(M45="",Q45=0,Q45=""),"",($M45/$O45)),""),'Painel Geral'!$B$5="Média",IFERROR(IF(OR(M45="",Q45=0,Q45=""),"",($M45/$P45)),""),'Painel Geral'!$B$5="3º Quartil",IFERROR(IF(OR(M45="",Q45=0,Q45=""),"",($M45/$R45)),""),'Painel Geral'!$B$5="Maior Salário",IFERROR(IF(OR(M45="",Q45=0,Q45=""),"",($M45/$S45)),""))</f>
        <v>1.187964742</v>
      </c>
      <c r="U45" s="408" t="str">
        <f t="shared" si="3"/>
        <v>Muito Competitivo</v>
      </c>
      <c r="V45" s="417">
        <f>VLOOKUP(A45,'Cálculos Comparativos'!$A:$E,4,0)</f>
        <v>9</v>
      </c>
    </row>
    <row r="46" ht="15.75" customHeight="1">
      <c r="A46" s="18" t="s">
        <v>19</v>
      </c>
      <c r="B46" s="30">
        <v>1362.0</v>
      </c>
      <c r="C46" s="407" t="str">
        <f>VLOOKUP(A46,Jobmatch!A:F,2,0)</f>
        <v>ALMOXARIFE</v>
      </c>
      <c r="D46" s="407" t="str">
        <f>VLOOKUP(B46,'Folha de Pagamento'!B:G,6,0)</f>
        <v>Edificação</v>
      </c>
      <c r="E46" s="408" t="str">
        <f>VLOOKUP(A46,Jobmatch!A:F,4,0)</f>
        <v>8 - ADM PROJETOS</v>
      </c>
      <c r="F46" s="407" t="str">
        <f>VLOOKUP(A46,Jobmatch!A:F,5,0)</f>
        <v>Operacional</v>
      </c>
      <c r="G46" s="407" t="str">
        <f>VLOOKUP(B46,'Folha de Pagamento'!B:O,13,0)</f>
        <v>Masculino</v>
      </c>
      <c r="H46" s="409" t="str">
        <f t="shared" si="1"/>
        <v>#VALUE!</v>
      </c>
      <c r="I46" s="410">
        <f>VLOOKUP(A46,Jobmatch!A:G,6,0)</f>
        <v>203</v>
      </c>
      <c r="J46" s="408" t="str">
        <f>VLOOKUP(A46,Jobmatch!A:H,7,0)</f>
        <v>Almoxarife</v>
      </c>
      <c r="K46" s="411" t="str">
        <f>VLOOKUP(A46,Jobmatch!A:I,8,0)</f>
        <v>Indiferente</v>
      </c>
      <c r="L46" s="412" t="str">
        <f t="shared" si="2"/>
        <v>203Indiferente</v>
      </c>
      <c r="M46" s="413">
        <f>IFERROR(VLOOKUP(B46,'Folha de Pagamento'!B:K,10,0),"")</f>
        <v>3683</v>
      </c>
      <c r="N46" s="414">
        <f>IFERROR(VLOOKUP(L46,Pesquisa!$D:$L,4,0),"")</f>
        <v>2973.35</v>
      </c>
      <c r="O46" s="415">
        <f>IFERROR(VLOOKUP(L46,Pesquisa!$D:$L,5,0),"")</f>
        <v>3096.32</v>
      </c>
      <c r="P46" s="415">
        <f>IFERROR(VLOOKUP(L46,Pesquisa!$D:$L,6,0),"")</f>
        <v>3405.54</v>
      </c>
      <c r="Q46" s="415">
        <f>IFERROR(VLOOKUP(L46,Pesquisa!$D:$L,7,0),"")</f>
        <v>3096.32</v>
      </c>
      <c r="R46" s="415">
        <f>IFERROR(VLOOKUP(L46,Pesquisa!$D:$L,8,0),"")</f>
        <v>3712.15</v>
      </c>
      <c r="S46" s="414">
        <f>IFERROR(VLOOKUP(L46,Pesquisa!$D:$L,9,0),"")</f>
        <v>4435.84</v>
      </c>
      <c r="T46" s="416">
        <f>IFS('Painel Geral'!$B$5="Mediana",IFERROR(IF(OR(M46="",Q46=0,Q46=""),"",($M46/$Q46)),""),'Painel Geral'!$B$5="Menor Salário",IFERROR(IF(OR(M46="",Q46=0,Q46=""),"",($M46/$N46)),""),'Painel Geral'!$B$5="1º Quartil",IFERROR(IF(OR(M46="",Q46=0,Q46=""),"",($M46/$O46)),""),'Painel Geral'!$B$5="Média",IFERROR(IF(OR(M46="",Q46=0,Q46=""),"",($M46/$P46)),""),'Painel Geral'!$B$5="3º Quartil",IFERROR(IF(OR(M46="",Q46=0,Q46=""),"",($M46/$R46)),""),'Painel Geral'!$B$5="Maior Salário",IFERROR(IF(OR(M46="",Q46=0,Q46=""),"",($M46/$S46)),""))</f>
        <v>1.18947654</v>
      </c>
      <c r="U46" s="408" t="str">
        <f t="shared" si="3"/>
        <v>Muito Competitivo</v>
      </c>
      <c r="V46" s="417">
        <f>VLOOKUP(A46,'Cálculos Comparativos'!$A:$E,4,0)</f>
        <v>5</v>
      </c>
    </row>
    <row r="47" ht="15.75" customHeight="1">
      <c r="A47" s="18" t="s">
        <v>19</v>
      </c>
      <c r="B47" s="30">
        <v>1957.0</v>
      </c>
      <c r="C47" s="407" t="str">
        <f>VLOOKUP(A47,Jobmatch!A:F,2,0)</f>
        <v>ALMOXARIFE</v>
      </c>
      <c r="D47" s="407" t="str">
        <f>VLOOKUP(B47,'Folha de Pagamento'!B:G,6,0)</f>
        <v>Edificação</v>
      </c>
      <c r="E47" s="408" t="str">
        <f>VLOOKUP(A47,Jobmatch!A:F,4,0)</f>
        <v>8 - ADM PROJETOS</v>
      </c>
      <c r="F47" s="407" t="str">
        <f>VLOOKUP(A47,Jobmatch!A:F,5,0)</f>
        <v>Operacional</v>
      </c>
      <c r="G47" s="407" t="str">
        <f>VLOOKUP(B47,'Folha de Pagamento'!B:O,13,0)</f>
        <v>Feminino</v>
      </c>
      <c r="H47" s="409" t="str">
        <f t="shared" si="1"/>
        <v>#VALUE!</v>
      </c>
      <c r="I47" s="410">
        <f>VLOOKUP(A47,Jobmatch!A:G,6,0)</f>
        <v>203</v>
      </c>
      <c r="J47" s="408" t="str">
        <f>VLOOKUP(A47,Jobmatch!A:H,7,0)</f>
        <v>Almoxarife</v>
      </c>
      <c r="K47" s="411" t="str">
        <f>VLOOKUP(A47,Jobmatch!A:I,8,0)</f>
        <v>Indiferente</v>
      </c>
      <c r="L47" s="412" t="str">
        <f t="shared" si="2"/>
        <v>203Indiferente</v>
      </c>
      <c r="M47" s="413">
        <f>IFERROR(VLOOKUP(B47,'Folha de Pagamento'!B:K,10,0),"")</f>
        <v>3683</v>
      </c>
      <c r="N47" s="414">
        <f>IFERROR(VLOOKUP(L47,Pesquisa!$D:$L,4,0),"")</f>
        <v>2973.35</v>
      </c>
      <c r="O47" s="415">
        <f>IFERROR(VLOOKUP(L47,Pesquisa!$D:$L,5,0),"")</f>
        <v>3096.32</v>
      </c>
      <c r="P47" s="415">
        <f>IFERROR(VLOOKUP(L47,Pesquisa!$D:$L,6,0),"")</f>
        <v>3405.54</v>
      </c>
      <c r="Q47" s="415">
        <f>IFERROR(VLOOKUP(L47,Pesquisa!$D:$L,7,0),"")</f>
        <v>3096.32</v>
      </c>
      <c r="R47" s="415">
        <f>IFERROR(VLOOKUP(L47,Pesquisa!$D:$L,8,0),"")</f>
        <v>3712.15</v>
      </c>
      <c r="S47" s="414">
        <f>IFERROR(VLOOKUP(L47,Pesquisa!$D:$L,9,0),"")</f>
        <v>4435.84</v>
      </c>
      <c r="T47" s="416">
        <f>IFS('Painel Geral'!$B$5="Mediana",IFERROR(IF(OR(M47="",Q47=0,Q47=""),"",($M47/$Q47)),""),'Painel Geral'!$B$5="Menor Salário",IFERROR(IF(OR(M47="",Q47=0,Q47=""),"",($M47/$N47)),""),'Painel Geral'!$B$5="1º Quartil",IFERROR(IF(OR(M47="",Q47=0,Q47=""),"",($M47/$O47)),""),'Painel Geral'!$B$5="Média",IFERROR(IF(OR(M47="",Q47=0,Q47=""),"",($M47/$P47)),""),'Painel Geral'!$B$5="3º Quartil",IFERROR(IF(OR(M47="",Q47=0,Q47=""),"",($M47/$R47)),""),'Painel Geral'!$B$5="Maior Salário",IFERROR(IF(OR(M47="",Q47=0,Q47=""),"",($M47/$S47)),""))</f>
        <v>1.18947654</v>
      </c>
      <c r="U47" s="408" t="str">
        <f t="shared" si="3"/>
        <v>Muito Competitivo</v>
      </c>
      <c r="V47" s="417">
        <f>VLOOKUP(A47,'Cálculos Comparativos'!$A:$E,4,0)</f>
        <v>5</v>
      </c>
    </row>
    <row r="48" ht="15.75" customHeight="1">
      <c r="A48" s="18" t="s">
        <v>78</v>
      </c>
      <c r="B48" s="30">
        <v>1656.0</v>
      </c>
      <c r="C48" s="407" t="str">
        <f>VLOOKUP(A48,Jobmatch!A:F,2,0)</f>
        <v>ASSISTENTE DE TI</v>
      </c>
      <c r="D48" s="407" t="str">
        <f>VLOOKUP(B48,'Folha de Pagamento'!B:G,6,0)</f>
        <v>Tecnologia da Informação</v>
      </c>
      <c r="E48" s="408" t="str">
        <f>VLOOKUP(A48,Jobmatch!A:F,4,0)</f>
        <v>25 - ADM PROJETOS</v>
      </c>
      <c r="F48" s="407" t="str">
        <f>VLOOKUP(A48,Jobmatch!A:F,5,0)</f>
        <v>Operacional</v>
      </c>
      <c r="G48" s="407" t="str">
        <f>VLOOKUP(B48,'Folha de Pagamento'!B:O,13,0)</f>
        <v>Masculino</v>
      </c>
      <c r="H48" s="409" t="str">
        <f t="shared" si="1"/>
        <v>#VALUE!</v>
      </c>
      <c r="I48" s="410">
        <f>VLOOKUP(A48,Jobmatch!A:G,6,0)</f>
        <v>31</v>
      </c>
      <c r="J48" s="408" t="str">
        <f>VLOOKUP(A48,Jobmatch!A:H,7,0)</f>
        <v>Assistente de Tecnologia da Informação</v>
      </c>
      <c r="K48" s="411" t="str">
        <f>VLOOKUP(A48,Jobmatch!A:I,8,0)</f>
        <v>Indiferente</v>
      </c>
      <c r="L48" s="412" t="str">
        <f t="shared" si="2"/>
        <v>31Indiferente</v>
      </c>
      <c r="M48" s="413">
        <f>IFERROR(VLOOKUP(B48,'Folha de Pagamento'!B:K,10,0),"")</f>
        <v>2919</v>
      </c>
      <c r="N48" s="414">
        <f>IFERROR(VLOOKUP(L48,Pesquisa!$D:$L,4,0),"")</f>
        <v>2010.58</v>
      </c>
      <c r="O48" s="415">
        <f>IFERROR(VLOOKUP(L48,Pesquisa!$D:$L,5,0),"")</f>
        <v>2066.4</v>
      </c>
      <c r="P48" s="415">
        <f>IFERROR(VLOOKUP(L48,Pesquisa!$D:$L,6,0),"")</f>
        <v>2589.89</v>
      </c>
      <c r="Q48" s="415">
        <f>IFERROR(VLOOKUP(L48,Pesquisa!$D:$L,7,0),"")</f>
        <v>2413.7</v>
      </c>
      <c r="R48" s="415">
        <f>IFERROR(VLOOKUP(L48,Pesquisa!$D:$L,8,0),"")</f>
        <v>3121.21</v>
      </c>
      <c r="S48" s="414">
        <f>IFERROR(VLOOKUP(L48,Pesquisa!$D:$L,9,0),"")</f>
        <v>3521.6</v>
      </c>
      <c r="T48" s="416">
        <f>IFS('Painel Geral'!$B$5="Mediana",IFERROR(IF(OR(M48="",Q48=0,Q48=""),"",($M48/$Q48)),""),'Painel Geral'!$B$5="Menor Salário",IFERROR(IF(OR(M48="",Q48=0,Q48=""),"",($M48/$N48)),""),'Painel Geral'!$B$5="1º Quartil",IFERROR(IF(OR(M48="",Q48=0,Q48=""),"",($M48/$O48)),""),'Painel Geral'!$B$5="Média",IFERROR(IF(OR(M48="",Q48=0,Q48=""),"",($M48/$P48)),""),'Painel Geral'!$B$5="3º Quartil",IFERROR(IF(OR(M48="",Q48=0,Q48=""),"",($M48/$R48)),""),'Painel Geral'!$B$5="Maior Salário",IFERROR(IF(OR(M48="",Q48=0,Q48=""),"",($M48/$S48)),""))</f>
        <v>1.209346646</v>
      </c>
      <c r="U48" s="408" t="str">
        <f t="shared" si="3"/>
        <v>Agressivo</v>
      </c>
      <c r="V48" s="417">
        <f>VLOOKUP(A48,'Cálculos Comparativos'!$A:$E,4,0)</f>
        <v>1</v>
      </c>
    </row>
    <row r="49" ht="15.75" customHeight="1">
      <c r="A49" s="18" t="s">
        <v>44</v>
      </c>
      <c r="B49" s="30">
        <v>139.0</v>
      </c>
      <c r="C49" s="407" t="str">
        <f>VLOOKUP(A49,Jobmatch!A:F,2,0)</f>
        <v>ANALISTA DE MARKETING l</v>
      </c>
      <c r="D49" s="407" t="str">
        <f>VLOOKUP(B49,'Folha de Pagamento'!B:G,6,0)</f>
        <v>Marketing</v>
      </c>
      <c r="E49" s="408" t="str">
        <f>VLOOKUP(A49,Jobmatch!A:F,4,0)</f>
        <v>13 - ADM PROJETOS</v>
      </c>
      <c r="F49" s="407" t="str">
        <f>VLOOKUP(A49,Jobmatch!A:F,5,0)</f>
        <v>Operacional</v>
      </c>
      <c r="G49" s="418" t="str">
        <f>VLOOKUP(B49,'Folha de Pagamento'!B:O,13,0)</f>
        <v>Feminino</v>
      </c>
      <c r="H49" s="409" t="str">
        <f t="shared" si="1"/>
        <v>#VALUE!</v>
      </c>
      <c r="I49" s="410">
        <f>VLOOKUP(A49,Jobmatch!A:G,6,0)</f>
        <v>42</v>
      </c>
      <c r="J49" s="408" t="str">
        <f>VLOOKUP(A49,Jobmatch!A:H,7,0)</f>
        <v>Analista de Marketing</v>
      </c>
      <c r="K49" s="411" t="str">
        <f>VLOOKUP(A49,Jobmatch!A:I,8,0)</f>
        <v>Júnior</v>
      </c>
      <c r="L49" s="412" t="str">
        <f t="shared" si="2"/>
        <v>42Júnior</v>
      </c>
      <c r="M49" s="413">
        <f>IFERROR(VLOOKUP(B49,'Folha de Pagamento'!B:K,10,0),"")</f>
        <v>4025.88</v>
      </c>
      <c r="N49" s="414">
        <f>IFERROR(VLOOKUP(L49,Pesquisa!$D:$L,4,0),"")</f>
        <v>3225.33</v>
      </c>
      <c r="O49" s="415">
        <f>IFERROR(VLOOKUP(L49,Pesquisa!$D:$L,5,0),"")</f>
        <v>3261.57</v>
      </c>
      <c r="P49" s="415">
        <f>IFERROR(VLOOKUP(L49,Pesquisa!$D:$L,6,0),"")</f>
        <v>4114.38</v>
      </c>
      <c r="Q49" s="415">
        <f>IFERROR(VLOOKUP(L49,Pesquisa!$D:$L,7,0),"")</f>
        <v>3297.81</v>
      </c>
      <c r="R49" s="415">
        <f>IFERROR(VLOOKUP(L49,Pesquisa!$D:$L,8,0),"")</f>
        <v>4558.91</v>
      </c>
      <c r="S49" s="414">
        <f>IFERROR(VLOOKUP(L49,Pesquisa!$D:$L,9,0),"")</f>
        <v>5820.01</v>
      </c>
      <c r="T49" s="416">
        <f>IFS('Painel Geral'!$B$5="Mediana",IFERROR(IF(OR(M49="",Q49=0,Q49=""),"",($M49/$Q49)),""),'Painel Geral'!$B$5="Menor Salário",IFERROR(IF(OR(M49="",Q49=0,Q49=""),"",($M49/$N49)),""),'Painel Geral'!$B$5="1º Quartil",IFERROR(IF(OR(M49="",Q49=0,Q49=""),"",($M49/$O49)),""),'Painel Geral'!$B$5="Média",IFERROR(IF(OR(M49="",Q49=0,Q49=""),"",($M49/$P49)),""),'Painel Geral'!$B$5="3º Quartil",IFERROR(IF(OR(M49="",Q49=0,Q49=""),"",($M49/$R49)),""),'Painel Geral'!$B$5="Maior Salário",IFERROR(IF(OR(M49="",Q49=0,Q49=""),"",($M49/$S49)),""))</f>
        <v>1.220773786</v>
      </c>
      <c r="U49" s="408" t="str">
        <f t="shared" si="3"/>
        <v>Agressivo</v>
      </c>
      <c r="V49" s="417">
        <f>VLOOKUP(A49,'Cálculos Comparativos'!$A:$E,4,0)</f>
        <v>8</v>
      </c>
    </row>
    <row r="50" ht="15.75" customHeight="1">
      <c r="A50" s="18" t="s">
        <v>87</v>
      </c>
      <c r="B50" s="30">
        <v>1951.0</v>
      </c>
      <c r="C50" s="407" t="str">
        <f>VLOOKUP(A50,Jobmatch!A:F,2,0)</f>
        <v>AUXILIAR DE ATENDIMENTO II</v>
      </c>
      <c r="D50" s="407" t="str">
        <f>VLOOKUP(B50,'Folha de Pagamento'!B:G,6,0)</f>
        <v>Recepção</v>
      </c>
      <c r="E50" s="408" t="str">
        <f>VLOOKUP(A50,Jobmatch!A:F,4,0)</f>
        <v>29 - ADM PROJETOS</v>
      </c>
      <c r="F50" s="407" t="str">
        <f>VLOOKUP(A50,Jobmatch!A:F,5,0)</f>
        <v>Operacional</v>
      </c>
      <c r="G50" s="407" t="str">
        <f>VLOOKUP(B50,'Folha de Pagamento'!B:O,13,0)</f>
        <v>Feminino</v>
      </c>
      <c r="H50" s="409" t="str">
        <f t="shared" si="1"/>
        <v>#VALUE!</v>
      </c>
      <c r="I50" s="410">
        <f>VLOOKUP(A50,Jobmatch!A:G,6,0)</f>
        <v>318</v>
      </c>
      <c r="J50" s="408" t="str">
        <f>VLOOKUP(A50,Jobmatch!A:H,7,0)</f>
        <v>Auxiliar de Atendimento</v>
      </c>
      <c r="K50" s="411" t="str">
        <f>VLOOKUP(A50,Jobmatch!A:I,8,0)</f>
        <v>Indiferente</v>
      </c>
      <c r="L50" s="412" t="str">
        <f t="shared" si="2"/>
        <v>318Indiferente</v>
      </c>
      <c r="M50" s="413">
        <f>IFERROR(VLOOKUP(B50,'Folha de Pagamento'!B:K,10,0),"")</f>
        <v>2560</v>
      </c>
      <c r="N50" s="414">
        <f>IFERROR(VLOOKUP(L50,Pesquisa!$D:$L,4,0),"")</f>
        <v>1731.3</v>
      </c>
      <c r="O50" s="415">
        <f>IFERROR(VLOOKUP(L50,Pesquisa!$D:$L,5,0),"")</f>
        <v>1778.55</v>
      </c>
      <c r="P50" s="415">
        <f>IFERROR(VLOOKUP(L50,Pesquisa!$D:$L,6,0),"")</f>
        <v>2041.06</v>
      </c>
      <c r="Q50" s="415">
        <f>IFERROR(VLOOKUP(L50,Pesquisa!$D:$L,7,0),"")</f>
        <v>2052.94</v>
      </c>
      <c r="R50" s="415">
        <f>IFERROR(VLOOKUP(L50,Pesquisa!$D:$L,8,0),"")</f>
        <v>2169.15</v>
      </c>
      <c r="S50" s="414">
        <f>IFERROR(VLOOKUP(L50,Pesquisa!$D:$L,9,0),"")</f>
        <v>2574.08</v>
      </c>
      <c r="T50" s="416">
        <f>IFS('Painel Geral'!$B$5="Mediana",IFERROR(IF(OR(M50="",Q50=0,Q50=""),"",($M50/$Q50)),""),'Painel Geral'!$B$5="Menor Salário",IFERROR(IF(OR(M50="",Q50=0,Q50=""),"",($M50/$N50)),""),'Painel Geral'!$B$5="1º Quartil",IFERROR(IF(OR(M50="",Q50=0,Q50=""),"",($M50/$O50)),""),'Painel Geral'!$B$5="Média",IFERROR(IF(OR(M50="",Q50=0,Q50=""),"",($M50/$P50)),""),'Painel Geral'!$B$5="3º Quartil",IFERROR(IF(OR(M50="",Q50=0,Q50=""),"",($M50/$R50)),""),'Painel Geral'!$B$5="Maior Salário",IFERROR(IF(OR(M50="",Q50=0,Q50=""),"",($M50/$S50)),""))</f>
        <v>1.246992119</v>
      </c>
      <c r="U50" s="408" t="str">
        <f t="shared" si="3"/>
        <v>Agressivo</v>
      </c>
      <c r="V50" s="417">
        <f>VLOOKUP(A50,'Cálculos Comparativos'!$A:$E,4,0)</f>
        <v>1</v>
      </c>
    </row>
    <row r="51" ht="15.75" customHeight="1">
      <c r="A51" s="18" t="s">
        <v>30</v>
      </c>
      <c r="B51" s="30">
        <v>1910.0</v>
      </c>
      <c r="C51" s="407" t="str">
        <f>VLOOKUP(A51,Jobmatch!A:F,2,0)</f>
        <v>ANALISTA DE CRIAÇAO</v>
      </c>
      <c r="D51" s="407" t="str">
        <f>VLOOKUP(B51,'Folha de Pagamento'!B:G,6,0)</f>
        <v>Marketing</v>
      </c>
      <c r="E51" s="408" t="str">
        <f>VLOOKUP(A51,Jobmatch!A:F,4,0)</f>
        <v>10 - ADM PROJETOS</v>
      </c>
      <c r="F51" s="407" t="str">
        <f>VLOOKUP(A51,Jobmatch!A:F,5,0)</f>
        <v>Operacional</v>
      </c>
      <c r="G51" s="418" t="str">
        <f>VLOOKUP(B51,'Folha de Pagamento'!B:O,13,0)</f>
        <v>Masculino</v>
      </c>
      <c r="H51" s="409" t="str">
        <f t="shared" si="1"/>
        <v>#VALUE!</v>
      </c>
      <c r="I51" s="410">
        <f>VLOOKUP(A51,Jobmatch!A:G,6,0)</f>
        <v>45</v>
      </c>
      <c r="J51" s="408" t="str">
        <f>VLOOKUP(A51,Jobmatch!A:H,7,0)</f>
        <v>Analista de Criação</v>
      </c>
      <c r="K51" s="411" t="str">
        <f>VLOOKUP(A51,Jobmatch!A:I,8,0)</f>
        <v>Indiferente</v>
      </c>
      <c r="L51" s="412" t="str">
        <f t="shared" si="2"/>
        <v>45Indiferente</v>
      </c>
      <c r="M51" s="413">
        <f>IFERROR(VLOOKUP(B51,'Folha de Pagamento'!B:K,10,0),"")</f>
        <v>5429</v>
      </c>
      <c r="N51" s="414">
        <f>IFERROR(VLOOKUP(L51,Pesquisa!$D:$L,4,0),"")</f>
        <v>2771.48</v>
      </c>
      <c r="O51" s="415">
        <f>IFERROR(VLOOKUP(L51,Pesquisa!$D:$L,5,0),"")</f>
        <v>3527.33</v>
      </c>
      <c r="P51" s="415">
        <f>IFERROR(VLOOKUP(L51,Pesquisa!$D:$L,6,0),"")</f>
        <v>4325.16</v>
      </c>
      <c r="Q51" s="415">
        <f>IFERROR(VLOOKUP(L51,Pesquisa!$D:$L,7,0),"")</f>
        <v>4325.72</v>
      </c>
      <c r="R51" s="415">
        <f>IFERROR(VLOOKUP(L51,Pesquisa!$D:$L,8,0),"")</f>
        <v>4988.66</v>
      </c>
      <c r="S51" s="414">
        <f>IFERROR(VLOOKUP(L51,Pesquisa!$D:$L,9,0),"")</f>
        <v>6418.74</v>
      </c>
      <c r="T51" s="416">
        <f>IFS('Painel Geral'!$B$5="Mediana",IFERROR(IF(OR(M51="",Q51=0,Q51=""),"",($M51/$Q51)),""),'Painel Geral'!$B$5="Menor Salário",IFERROR(IF(OR(M51="",Q51=0,Q51=""),"",($M51/$N51)),""),'Painel Geral'!$B$5="1º Quartil",IFERROR(IF(OR(M51="",Q51=0,Q51=""),"",($M51/$O51)),""),'Painel Geral'!$B$5="Média",IFERROR(IF(OR(M51="",Q51=0,Q51=""),"",($M51/$P51)),""),'Painel Geral'!$B$5="3º Quartil",IFERROR(IF(OR(M51="",Q51=0,Q51=""),"",($M51/$R51)),""),'Painel Geral'!$B$5="Maior Salário",IFERROR(IF(OR(M51="",Q51=0,Q51=""),"",($M51/$S51)),""))</f>
        <v>1.255051182</v>
      </c>
      <c r="U51" s="408" t="str">
        <f t="shared" si="3"/>
        <v>Agressivo</v>
      </c>
      <c r="V51" s="417">
        <f>VLOOKUP(A51,'Cálculos Comparativos'!$A:$E,4,0)</f>
        <v>8</v>
      </c>
    </row>
    <row r="52" ht="15.75" customHeight="1">
      <c r="A52" s="18" t="s">
        <v>65</v>
      </c>
      <c r="B52" s="30">
        <v>1892.0</v>
      </c>
      <c r="C52" s="407" t="str">
        <f>VLOOKUP(A52,Jobmatch!A:F,2,0)</f>
        <v>ASSISTENTE ADMINISTRATIVO lll</v>
      </c>
      <c r="D52" s="407" t="str">
        <f>VLOOKUP(B52,'Folha de Pagamento'!B:G,6,0)</f>
        <v>Administrativo</v>
      </c>
      <c r="E52" s="408" t="str">
        <f>VLOOKUP(A52,Jobmatch!A:F,4,0)</f>
        <v>20 - ADM PROJETOS</v>
      </c>
      <c r="F52" s="407" t="str">
        <f>VLOOKUP(A52,Jobmatch!A:F,5,0)</f>
        <v>Operacional</v>
      </c>
      <c r="G52" s="407" t="str">
        <f>VLOOKUP(B52,'Folha de Pagamento'!B:O,13,0)</f>
        <v>Feminino</v>
      </c>
      <c r="H52" s="409" t="str">
        <f t="shared" si="1"/>
        <v>#VALUE!</v>
      </c>
      <c r="I52" s="410">
        <f>VLOOKUP(A52,Jobmatch!A:G,6,0)</f>
        <v>59</v>
      </c>
      <c r="J52" s="408" t="str">
        <f>VLOOKUP(A52,Jobmatch!A:H,7,0)</f>
        <v>Assistente Administrativo</v>
      </c>
      <c r="K52" s="411" t="str">
        <f>VLOOKUP(A52,Jobmatch!A:I,8,0)</f>
        <v>Indiferente</v>
      </c>
      <c r="L52" s="412" t="str">
        <f t="shared" si="2"/>
        <v>59Indiferente</v>
      </c>
      <c r="M52" s="413">
        <f>IFERROR(VLOOKUP(B52,'Folha de Pagamento'!B:K,10,0),"")</f>
        <v>3439.7</v>
      </c>
      <c r="N52" s="414">
        <f>IFERROR(VLOOKUP(L52,Pesquisa!$D:$L,4,0),"")</f>
        <v>2204.31</v>
      </c>
      <c r="O52" s="415">
        <f>IFERROR(VLOOKUP(L52,Pesquisa!$D:$L,5,0),"")</f>
        <v>2247.82</v>
      </c>
      <c r="P52" s="415">
        <f>IFERROR(VLOOKUP(L52,Pesquisa!$D:$L,6,0),"")</f>
        <v>2616.76</v>
      </c>
      <c r="Q52" s="415">
        <f>IFERROR(VLOOKUP(L52,Pesquisa!$D:$L,7,0),"")</f>
        <v>2640.74</v>
      </c>
      <c r="R52" s="415">
        <f>IFERROR(VLOOKUP(L52,Pesquisa!$D:$L,8,0),"")</f>
        <v>2760.72</v>
      </c>
      <c r="S52" s="414">
        <f>IFERROR(VLOOKUP(L52,Pesquisa!$D:$L,9,0),"")</f>
        <v>3466.93</v>
      </c>
      <c r="T52" s="416">
        <f>IFS('Painel Geral'!$B$5="Mediana",IFERROR(IF(OR(M52="",Q52=0,Q52=""),"",($M52/$Q52)),""),'Painel Geral'!$B$5="Menor Salário",IFERROR(IF(OR(M52="",Q52=0,Q52=""),"",($M52/$N52)),""),'Painel Geral'!$B$5="1º Quartil",IFERROR(IF(OR(M52="",Q52=0,Q52=""),"",($M52/$O52)),""),'Painel Geral'!$B$5="Média",IFERROR(IF(OR(M52="",Q52=0,Q52=""),"",($M52/$P52)),""),'Painel Geral'!$B$5="3º Quartil",IFERROR(IF(OR(M52="",Q52=0,Q52=""),"",($M52/$R52)),""),'Painel Geral'!$B$5="Maior Salário",IFERROR(IF(OR(M52="",Q52=0,Q52=""),"",($M52/$S52)),""))</f>
        <v>1.302551558</v>
      </c>
      <c r="U52" s="408" t="str">
        <f t="shared" si="3"/>
        <v>Agressivo</v>
      </c>
      <c r="V52" s="417">
        <f>VLOOKUP(A52,'Cálculos Comparativos'!$A:$E,4,0)</f>
        <v>1</v>
      </c>
    </row>
    <row r="53" ht="15.75" customHeight="1">
      <c r="A53" s="18" t="s">
        <v>68</v>
      </c>
      <c r="B53" s="30">
        <v>1940.0</v>
      </c>
      <c r="C53" s="407" t="str">
        <f>VLOOKUP(A53,Jobmatch!A:F,2,0)</f>
        <v>ASSISTENTE DE CONTROLADORIA III</v>
      </c>
      <c r="D53" s="407" t="str">
        <f>VLOOKUP(B53,'Folha de Pagamento'!B:G,6,0)</f>
        <v>Controladoria</v>
      </c>
      <c r="E53" s="408" t="str">
        <f>VLOOKUP(A53,Jobmatch!A:F,4,0)</f>
        <v>21 - ADM PROJETOS</v>
      </c>
      <c r="F53" s="407" t="str">
        <f>VLOOKUP(A53,Jobmatch!A:F,5,0)</f>
        <v>Operacional</v>
      </c>
      <c r="G53" s="407" t="str">
        <f>VLOOKUP(B53,'Folha de Pagamento'!B:O,13,0)</f>
        <v>Feminino</v>
      </c>
      <c r="H53" s="409" t="str">
        <f t="shared" si="1"/>
        <v>#VALUE!</v>
      </c>
      <c r="I53" s="410">
        <f>VLOOKUP(A53,Jobmatch!A:G,6,0)</f>
        <v>150</v>
      </c>
      <c r="J53" s="408" t="str">
        <f>VLOOKUP(A53,Jobmatch!A:H,7,0)</f>
        <v>Assistente de Controladoria</v>
      </c>
      <c r="K53" s="411" t="str">
        <f>VLOOKUP(A53,Jobmatch!A:I,8,0)</f>
        <v>Indiferente</v>
      </c>
      <c r="L53" s="412" t="str">
        <f t="shared" si="2"/>
        <v>150Indiferente</v>
      </c>
      <c r="M53" s="413">
        <f>IFERROR(VLOOKUP(B53,'Folha de Pagamento'!B:K,10,0),"")</f>
        <v>3652</v>
      </c>
      <c r="N53" s="414">
        <f>IFERROR(VLOOKUP(L53,Pesquisa!$D:$L,4,0),"")</f>
        <v>2148.56</v>
      </c>
      <c r="O53" s="415">
        <f>IFERROR(VLOOKUP(L53,Pesquisa!$D:$L,5,0),"")</f>
        <v>2640.81</v>
      </c>
      <c r="P53" s="415">
        <f>IFERROR(VLOOKUP(L53,Pesquisa!$D:$L,6,0),"")</f>
        <v>2821.08</v>
      </c>
      <c r="Q53" s="415">
        <f>IFERROR(VLOOKUP(L53,Pesquisa!$D:$L,7,0),"")</f>
        <v>2766.4</v>
      </c>
      <c r="R53" s="415">
        <f>IFERROR(VLOOKUP(L53,Pesquisa!$D:$L,8,0),"")</f>
        <v>3222.24</v>
      </c>
      <c r="S53" s="414">
        <f>IFERROR(VLOOKUP(L53,Pesquisa!$D:$L,9,0),"")</f>
        <v>3327.42</v>
      </c>
      <c r="T53" s="416">
        <f>IFS('Painel Geral'!$B$5="Mediana",IFERROR(IF(OR(M53="",Q53=0,Q53=""),"",($M53/$Q53)),""),'Painel Geral'!$B$5="Menor Salário",IFERROR(IF(OR(M53="",Q53=0,Q53=""),"",($M53/$N53)),""),'Painel Geral'!$B$5="1º Quartil",IFERROR(IF(OR(M53="",Q53=0,Q53=""),"",($M53/$O53)),""),'Painel Geral'!$B$5="Média",IFERROR(IF(OR(M53="",Q53=0,Q53=""),"",($M53/$P53)),""),'Painel Geral'!$B$5="3º Quartil",IFERROR(IF(OR(M53="",Q53=0,Q53=""),"",($M53/$R53)),""),'Painel Geral'!$B$5="Maior Salário",IFERROR(IF(OR(M53="",Q53=0,Q53=""),"",($M53/$S53)),""))</f>
        <v>1.320127241</v>
      </c>
      <c r="U53" s="408" t="str">
        <f t="shared" si="3"/>
        <v>Agressivo</v>
      </c>
      <c r="V53" s="417">
        <f>VLOOKUP(A53,'Cálculos Comparativos'!$A:$E,4,0)</f>
        <v>3</v>
      </c>
    </row>
    <row r="54" ht="15.75" customHeight="1">
      <c r="A54" s="18" t="s">
        <v>81</v>
      </c>
      <c r="B54" s="30">
        <v>1941.0</v>
      </c>
      <c r="C54" s="407" t="str">
        <f>VLOOKUP(A54,Jobmatch!A:F,2,0)</f>
        <v>ASSISTENTE FINANCEIRO CONTAS A PAGAR</v>
      </c>
      <c r="D54" s="407" t="str">
        <f>VLOOKUP(B54,'Folha de Pagamento'!B:G,6,0)</f>
        <v>Financeiro</v>
      </c>
      <c r="E54" s="408" t="str">
        <f>VLOOKUP(A54,Jobmatch!A:F,4,0)</f>
        <v>26 - ADM PROJETOS</v>
      </c>
      <c r="F54" s="407" t="str">
        <f>VLOOKUP(A54,Jobmatch!A:F,5,0)</f>
        <v>Operacional</v>
      </c>
      <c r="G54" s="407" t="str">
        <f>VLOOKUP(B54,'Folha de Pagamento'!B:O,13,0)</f>
        <v>Masculino</v>
      </c>
      <c r="H54" s="409" t="str">
        <f t="shared" si="1"/>
        <v>#VALUE!</v>
      </c>
      <c r="I54" s="410">
        <f>VLOOKUP(A54,Jobmatch!A:G,6,0)</f>
        <v>79</v>
      </c>
      <c r="J54" s="408" t="str">
        <f>VLOOKUP(A54,Jobmatch!A:H,7,0)</f>
        <v>Assistente Financeiro</v>
      </c>
      <c r="K54" s="411" t="str">
        <f>VLOOKUP(A54,Jobmatch!A:I,8,0)</f>
        <v>Indiferente</v>
      </c>
      <c r="L54" s="412" t="str">
        <f t="shared" si="2"/>
        <v>79Indiferente</v>
      </c>
      <c r="M54" s="413">
        <f>IFERROR(VLOOKUP(B54,'Folha de Pagamento'!B:K,10,0),"")</f>
        <v>3652</v>
      </c>
      <c r="N54" s="414">
        <f>IFERROR(VLOOKUP(L54,Pesquisa!$D:$L,4,0),"")</f>
        <v>2471.26</v>
      </c>
      <c r="O54" s="415">
        <f>IFERROR(VLOOKUP(L54,Pesquisa!$D:$L,5,0),"")</f>
        <v>2566.19</v>
      </c>
      <c r="P54" s="415">
        <f>IFERROR(VLOOKUP(L54,Pesquisa!$D:$L,6,0),"")</f>
        <v>2805.74</v>
      </c>
      <c r="Q54" s="415">
        <f>IFERROR(VLOOKUP(L54,Pesquisa!$D:$L,7,0),"")</f>
        <v>2665.28</v>
      </c>
      <c r="R54" s="415">
        <f>IFERROR(VLOOKUP(L54,Pesquisa!$D:$L,8,0),"")</f>
        <v>2942.11</v>
      </c>
      <c r="S54" s="414">
        <f>IFERROR(VLOOKUP(L54,Pesquisa!$D:$L,9,0),"")</f>
        <v>3639.58</v>
      </c>
      <c r="T54" s="416">
        <f>IFS('Painel Geral'!$B$5="Mediana",IFERROR(IF(OR(M54="",Q54=0,Q54=""),"",($M54/$Q54)),""),'Painel Geral'!$B$5="Menor Salário",IFERROR(IF(OR(M54="",Q54=0,Q54=""),"",($M54/$N54)),""),'Painel Geral'!$B$5="1º Quartil",IFERROR(IF(OR(M54="",Q54=0,Q54=""),"",($M54/$O54)),""),'Painel Geral'!$B$5="Média",IFERROR(IF(OR(M54="",Q54=0,Q54=""),"",($M54/$P54)),""),'Painel Geral'!$B$5="3º Quartil",IFERROR(IF(OR(M54="",Q54=0,Q54=""),"",($M54/$R54)),""),'Painel Geral'!$B$5="Maior Salário",IFERROR(IF(OR(M54="",Q54=0,Q54=""),"",($M54/$S54)),""))</f>
        <v>1.370212511</v>
      </c>
      <c r="U54" s="408" t="str">
        <f t="shared" si="3"/>
        <v>Agressivo</v>
      </c>
      <c r="V54" s="417">
        <f>VLOOKUP(A54,'Cálculos Comparativos'!$A:$E,4,0)</f>
        <v>6</v>
      </c>
    </row>
    <row r="55" ht="15.75" customHeight="1">
      <c r="A55" s="18" t="s">
        <v>174</v>
      </c>
      <c r="B55" s="30" t="s">
        <v>175</v>
      </c>
      <c r="C55" s="407" t="str">
        <f>VLOOKUP(A55,Jobmatch!A:F,2,0)</f>
        <v>GERENTE DE URBANISMO</v>
      </c>
      <c r="D55" s="407" t="str">
        <f>VLOOKUP(B55,'Folha de Pagamento'!B:G,6,0)</f>
        <v>Urbanismo</v>
      </c>
      <c r="E55" s="408" t="str">
        <f>VLOOKUP(A55,Jobmatch!A:F,4,0)</f>
        <v>57 - ADM PROJETOS</v>
      </c>
      <c r="F55" s="407" t="str">
        <f>VLOOKUP(A55,Jobmatch!A:F,5,0)</f>
        <v>Tático</v>
      </c>
      <c r="G55" s="407" t="str">
        <f>VLOOKUP(B55,'Folha de Pagamento'!B:O,13,0)</f>
        <v>Masculino</v>
      </c>
      <c r="H55" s="409" t="str">
        <f t="shared" si="1"/>
        <v>#VALUE!</v>
      </c>
      <c r="I55" s="410">
        <f>VLOOKUP(A55,Jobmatch!A:G,6,0)</f>
        <v>473</v>
      </c>
      <c r="J55" s="408" t="str">
        <f>VLOOKUP(A55,Jobmatch!A:H,7,0)</f>
        <v>Gerente de Urbanismo</v>
      </c>
      <c r="K55" s="411" t="str">
        <f>VLOOKUP(A55,Jobmatch!A:I,8,0)</f>
        <v>Indiferente</v>
      </c>
      <c r="L55" s="412" t="str">
        <f t="shared" si="2"/>
        <v>473Indiferente</v>
      </c>
      <c r="M55" s="413">
        <f>IFERROR(VLOOKUP(B55,'Folha de Pagamento'!B:K,10,0),"")</f>
        <v>28030.30303</v>
      </c>
      <c r="N55" s="414">
        <f>IFERROR(VLOOKUP(L55,Pesquisa!$D:$L,4,0),"")</f>
        <v>9162.73</v>
      </c>
      <c r="O55" s="415">
        <f>IFERROR(VLOOKUP(L55,Pesquisa!$D:$L,5,0),"")</f>
        <v>14601.4</v>
      </c>
      <c r="P55" s="415">
        <f>IFERROR(VLOOKUP(L55,Pesquisa!$D:$L,6,0),"")</f>
        <v>19151.52</v>
      </c>
      <c r="Q55" s="415">
        <f>IFERROR(VLOOKUP(L55,Pesquisa!$D:$L,7,0),"")</f>
        <v>20040.08</v>
      </c>
      <c r="R55" s="415">
        <f>IFERROR(VLOOKUP(L55,Pesquisa!$D:$L,8,0),"")</f>
        <v>24145.91</v>
      </c>
      <c r="S55" s="414">
        <f>IFERROR(VLOOKUP(L55,Pesquisa!$D:$L,9,0),"")</f>
        <v>28251.74</v>
      </c>
      <c r="T55" s="416">
        <f>IFS('Painel Geral'!$B$5="Mediana",IFERROR(IF(OR(M55="",Q55=0,Q55=""),"",($M55/$Q55)),""),'Painel Geral'!$B$5="Menor Salário",IFERROR(IF(OR(M55="",Q55=0,Q55=""),"",($M55/$N55)),""),'Painel Geral'!$B$5="1º Quartil",IFERROR(IF(OR(M55="",Q55=0,Q55=""),"",($M55/$O55)),""),'Painel Geral'!$B$5="Média",IFERROR(IF(OR(M55="",Q55=0,Q55=""),"",($M55/$P55)),""),'Painel Geral'!$B$5="3º Quartil",IFERROR(IF(OR(M55="",Q55=0,Q55=""),"",($M55/$R55)),""),'Painel Geral'!$B$5="Maior Salário",IFERROR(IF(OR(M55="",Q55=0,Q55=""),"",($M55/$S55)),""))</f>
        <v>1.398712132</v>
      </c>
      <c r="U55" s="408" t="str">
        <f t="shared" si="3"/>
        <v>Agressivo</v>
      </c>
      <c r="V55" s="417">
        <f>VLOOKUP(A55,'Cálculos Comparativos'!$A:$E,4,0)</f>
        <v>10</v>
      </c>
    </row>
    <row r="56" ht="15.75" customHeight="1">
      <c r="A56" s="18" t="s">
        <v>123</v>
      </c>
      <c r="B56" s="30">
        <v>182.0</v>
      </c>
      <c r="C56" s="407" t="str">
        <f>VLOOKUP(A56,Jobmatch!A:F,2,0)</f>
        <v>ENCARREGADO DE OBRAS</v>
      </c>
      <c r="D56" s="407" t="str">
        <f>VLOOKUP(B56,'Folha de Pagamento'!B:G,6,0)</f>
        <v>Urbanismo</v>
      </c>
      <c r="E56" s="408" t="str">
        <f>VLOOKUP(A56,Jobmatch!A:F,4,0)</f>
        <v>41 - ADM PROJETOS</v>
      </c>
      <c r="F56" s="407" t="str">
        <f>VLOOKUP(A56,Jobmatch!A:F,5,0)</f>
        <v>Operacional</v>
      </c>
      <c r="G56" s="407" t="str">
        <f>VLOOKUP(B56,'Folha de Pagamento'!B:O,13,0)</f>
        <v>Masculino</v>
      </c>
      <c r="H56" s="409" t="str">
        <f t="shared" si="1"/>
        <v>#VALUE!</v>
      </c>
      <c r="I56" s="410">
        <f>VLOOKUP(A56,Jobmatch!A:G,6,0)</f>
        <v>470</v>
      </c>
      <c r="J56" s="408" t="str">
        <f>VLOOKUP(A56,Jobmatch!A:H,7,0)</f>
        <v>Mestre de Obras</v>
      </c>
      <c r="K56" s="411" t="str">
        <f>VLOOKUP(A56,Jobmatch!A:I,8,0)</f>
        <v>Indiferente</v>
      </c>
      <c r="L56" s="412" t="str">
        <f t="shared" si="2"/>
        <v>470Indiferente</v>
      </c>
      <c r="M56" s="413">
        <f>IFERROR(VLOOKUP(B56,'Folha de Pagamento'!B:K,10,0),"")</f>
        <v>11540</v>
      </c>
      <c r="N56" s="414">
        <f>IFERROR(VLOOKUP(L56,Pesquisa!$D:$L,4,0),"")</f>
        <v>5543.53</v>
      </c>
      <c r="O56" s="415">
        <f>IFERROR(VLOOKUP(L56,Pesquisa!$D:$L,5,0),"")</f>
        <v>5543.53</v>
      </c>
      <c r="P56" s="415">
        <f>IFERROR(VLOOKUP(L56,Pesquisa!$D:$L,6,0),"")</f>
        <v>7707.59</v>
      </c>
      <c r="Q56" s="415">
        <f>IFERROR(VLOOKUP(L56,Pesquisa!$D:$L,7,0),"")</f>
        <v>7478.73</v>
      </c>
      <c r="R56" s="415">
        <f>IFERROR(VLOOKUP(L56,Pesquisa!$D:$L,8,0),"")</f>
        <v>9809.03</v>
      </c>
      <c r="S56" s="414">
        <f>IFERROR(VLOOKUP(L56,Pesquisa!$D:$L,9,0),"")</f>
        <v>11165.69</v>
      </c>
      <c r="T56" s="416">
        <f>IFS('Painel Geral'!$B$5="Mediana",IFERROR(IF(OR(M56="",Q56=0,Q56=""),"",($M56/$Q56)),""),'Painel Geral'!$B$5="Menor Salário",IFERROR(IF(OR(M56="",Q56=0,Q56=""),"",($M56/$N56)),""),'Painel Geral'!$B$5="1º Quartil",IFERROR(IF(OR(M56="",Q56=0,Q56=""),"",($M56/$O56)),""),'Painel Geral'!$B$5="Média",IFERROR(IF(OR(M56="",Q56=0,Q56=""),"",($M56/$P56)),""),'Painel Geral'!$B$5="3º Quartil",IFERROR(IF(OR(M56="",Q56=0,Q56=""),"",($M56/$R56)),""),'Painel Geral'!$B$5="Maior Salário",IFERROR(IF(OR(M56="",Q56=0,Q56=""),"",($M56/$S56)),""))</f>
        <v>1.543042736</v>
      </c>
      <c r="U56" s="408" t="str">
        <f t="shared" si="3"/>
        <v>Agressivo</v>
      </c>
      <c r="V56" s="417">
        <f>VLOOKUP(A56,'Cálculos Comparativos'!$A:$E,4,0)</f>
        <v>10</v>
      </c>
    </row>
    <row r="57" ht="15.75" customHeight="1">
      <c r="A57" s="18" t="s">
        <v>152</v>
      </c>
      <c r="B57" s="30" t="s">
        <v>153</v>
      </c>
      <c r="C57" s="407" t="str">
        <f>VLOOKUP(A57,Jobmatch!A:F,2,0)</f>
        <v>GERENTE DE EDIFICAÇÕES</v>
      </c>
      <c r="D57" s="407" t="str">
        <f>VLOOKUP(B57,'Folha de Pagamento'!B:G,6,0)</f>
        <v>Edificação</v>
      </c>
      <c r="E57" s="408" t="str">
        <f>VLOOKUP(A57,Jobmatch!A:F,4,0)</f>
        <v>51 - ADM PROJETOS</v>
      </c>
      <c r="F57" s="407" t="str">
        <f>VLOOKUP(A57,Jobmatch!A:F,5,0)</f>
        <v>Tático</v>
      </c>
      <c r="G57" s="407" t="str">
        <f>VLOOKUP(B57,'Folha de Pagamento'!B:O,13,0)</f>
        <v>Masculino</v>
      </c>
      <c r="H57" s="409" t="str">
        <f t="shared" si="1"/>
        <v>#VALUE!</v>
      </c>
      <c r="I57" s="410">
        <f>VLOOKUP(A57,Jobmatch!A:G,6,0)</f>
        <v>213</v>
      </c>
      <c r="J57" s="408" t="str">
        <f>VLOOKUP(A57,Jobmatch!A:H,7,0)</f>
        <v>Gerente de Engenharia</v>
      </c>
      <c r="K57" s="411" t="str">
        <f>VLOOKUP(A57,Jobmatch!A:I,8,0)</f>
        <v>Indiferente</v>
      </c>
      <c r="L57" s="412" t="str">
        <f t="shared" si="2"/>
        <v>213Indiferente</v>
      </c>
      <c r="M57" s="413">
        <f>IFERROR(VLOOKUP(B57,'Folha de Pagamento'!B:K,10,0),"")</f>
        <v>30106.06061</v>
      </c>
      <c r="N57" s="414">
        <f>IFERROR(VLOOKUP(L57,Pesquisa!$D:$L,4,0),"")</f>
        <v>17562.66</v>
      </c>
      <c r="O57" s="415">
        <f>IFERROR(VLOOKUP(L57,Pesquisa!$D:$L,5,0),"")</f>
        <v>18557.96</v>
      </c>
      <c r="P57" s="415">
        <f>IFERROR(VLOOKUP(L57,Pesquisa!$D:$L,6,0),"")</f>
        <v>19429.38</v>
      </c>
      <c r="Q57" s="415">
        <f>IFERROR(VLOOKUP(L57,Pesquisa!$D:$L,7,0),"")</f>
        <v>19054.35</v>
      </c>
      <c r="R57" s="415">
        <f>IFERROR(VLOOKUP(L57,Pesquisa!$D:$L,8,0),"")</f>
        <v>20299.73</v>
      </c>
      <c r="S57" s="414">
        <f>IFERROR(VLOOKUP(L57,Pesquisa!$D:$L,9,0),"")</f>
        <v>30343.9</v>
      </c>
      <c r="T57" s="416">
        <f>IFS('Painel Geral'!$B$5="Mediana",IFERROR(IF(OR(M57="",Q57=0,Q57=""),"",($M57/$Q57)),""),'Painel Geral'!$B$5="Menor Salário",IFERROR(IF(OR(M57="",Q57=0,Q57=""),"",($M57/$N57)),""),'Painel Geral'!$B$5="1º Quartil",IFERROR(IF(OR(M57="",Q57=0,Q57=""),"",($M57/$O57)),""),'Painel Geral'!$B$5="Média",IFERROR(IF(OR(M57="",Q57=0,Q57=""),"",($M57/$P57)),""),'Painel Geral'!$B$5="3º Quartil",IFERROR(IF(OR(M57="",Q57=0,Q57=""),"",($M57/$R57)),""),'Painel Geral'!$B$5="Maior Salário",IFERROR(IF(OR(M57="",Q57=0,Q57=""),"",($M57/$S57)),""))</f>
        <v>1.580009846</v>
      </c>
      <c r="U57" s="408" t="str">
        <f t="shared" si="3"/>
        <v>Agressivo</v>
      </c>
      <c r="V57" s="417">
        <f>VLOOKUP(A57,'Cálculos Comparativos'!$A:$E,4,0)</f>
        <v>5</v>
      </c>
    </row>
    <row r="58" ht="15.75" customHeight="1">
      <c r="A58" s="18" t="s">
        <v>118</v>
      </c>
      <c r="B58" s="30" t="s">
        <v>119</v>
      </c>
      <c r="C58" s="407" t="str">
        <f>VLOOKUP(A58,Jobmatch!A:F,2,0)</f>
        <v>DIRETOR</v>
      </c>
      <c r="D58" s="407" t="str">
        <f>VLOOKUP(B58,'Folha de Pagamento'!B:G,6,0)</f>
        <v>Comercial</v>
      </c>
      <c r="E58" s="408" t="str">
        <f>VLOOKUP(A58,Jobmatch!A:F,4,0)</f>
        <v>40 - ADM PROJETOS</v>
      </c>
      <c r="F58" s="407" t="str">
        <f>VLOOKUP(A58,Jobmatch!A:F,5,0)</f>
        <v>Estratégico</v>
      </c>
      <c r="G58" s="407" t="str">
        <f>VLOOKUP(B58,'Folha de Pagamento'!B:O,13,0)</f>
        <v>Masculino</v>
      </c>
      <c r="H58" s="409" t="str">
        <f t="shared" si="1"/>
        <v>#VALUE!</v>
      </c>
      <c r="I58" s="410">
        <f>VLOOKUP(A58,Jobmatch!A:G,6,0)</f>
        <v>456</v>
      </c>
      <c r="J58" s="408" t="str">
        <f>VLOOKUP(A58,Jobmatch!A:H,7,0)</f>
        <v>CEO</v>
      </c>
      <c r="K58" s="411" t="str">
        <f>VLOOKUP(A58,Jobmatch!A:I,8,0)</f>
        <v>Indiferente</v>
      </c>
      <c r="L58" s="412" t="str">
        <f t="shared" si="2"/>
        <v>456Indiferente</v>
      </c>
      <c r="M58" s="413">
        <f>IFERROR(VLOOKUP(B58,'Folha de Pagamento'!B:K,10,0),"")</f>
        <v>55769.23077</v>
      </c>
      <c r="N58" s="414">
        <f>IFERROR(VLOOKUP(L58,Pesquisa!$D:$L,4,0),"")</f>
        <v>18287.31</v>
      </c>
      <c r="O58" s="415">
        <f>IFERROR(VLOOKUP(L58,Pesquisa!$D:$L,5,0),"")</f>
        <v>24816.78</v>
      </c>
      <c r="P58" s="415">
        <f>IFERROR(VLOOKUP(L58,Pesquisa!$D:$L,6,0),"")</f>
        <v>32648.36</v>
      </c>
      <c r="Q58" s="415">
        <f>IFERROR(VLOOKUP(L58,Pesquisa!$D:$L,7,0),"")</f>
        <v>29147.75</v>
      </c>
      <c r="R58" s="415">
        <f>IFERROR(VLOOKUP(L58,Pesquisa!$D:$L,8,0),"")</f>
        <v>37122.89</v>
      </c>
      <c r="S58" s="414">
        <f>IFERROR(VLOOKUP(L58,Pesquisa!$D:$L,9,0),"")</f>
        <v>55429.54</v>
      </c>
      <c r="T58" s="416">
        <f>IFS('Painel Geral'!$B$5="Mediana",IFERROR(IF(OR(M58="",Q58=0,Q58=""),"",($M58/$Q58)),""),'Painel Geral'!$B$5="Menor Salário",IFERROR(IF(OR(M58="",Q58=0,Q58=""),"",($M58/$N58)),""),'Painel Geral'!$B$5="1º Quartil",IFERROR(IF(OR(M58="",Q58=0,Q58=""),"",($M58/$O58)),""),'Painel Geral'!$B$5="Média",IFERROR(IF(OR(M58="",Q58=0,Q58=""),"",($M58/$P58)),""),'Painel Geral'!$B$5="3º Quartil",IFERROR(IF(OR(M58="",Q58=0,Q58=""),"",($M58/$R58)),""),'Painel Geral'!$B$5="Maior Salário",IFERROR(IF(OR(M58="",Q58=0,Q58=""),"",($M58/$S58)),""))</f>
        <v>1.913328843</v>
      </c>
      <c r="U58" s="408" t="str">
        <f t="shared" si="3"/>
        <v>Agressivo</v>
      </c>
      <c r="V58" s="417">
        <f>VLOOKUP(A58,'Cálculos Comparativos'!$A:$E,4,0)</f>
        <v>2</v>
      </c>
    </row>
    <row r="59" ht="15.75" customHeight="1">
      <c r="A59" s="18" t="s">
        <v>144</v>
      </c>
      <c r="B59" s="30">
        <v>1940.0</v>
      </c>
      <c r="C59" s="407" t="str">
        <f>VLOOKUP(A59,Jobmatch!A:F,2,0)</f>
        <v>ESTAGIÁRIO(A) RH/DP</v>
      </c>
      <c r="D59" s="407" t="str">
        <f>VLOOKUP(B59,'Folha de Pagamento'!B:G,6,0)</f>
        <v>Controladoria</v>
      </c>
      <c r="E59" s="408" t="str">
        <f>VLOOKUP(A59,Jobmatch!A:F,4,0)</f>
        <v>48 - ADM PROJETOS</v>
      </c>
      <c r="F59" s="407" t="str">
        <f>VLOOKUP(A59,Jobmatch!A:F,5,0)</f>
        <v>Operacional</v>
      </c>
      <c r="G59" s="407" t="str">
        <f>VLOOKUP(B59,'Folha de Pagamento'!B:O,13,0)</f>
        <v>Feminino</v>
      </c>
      <c r="H59" s="409" t="str">
        <f t="shared" si="1"/>
        <v>#VALUE!</v>
      </c>
      <c r="I59" s="410">
        <f>VLOOKUP(A59,Jobmatch!A:G,6,0)</f>
        <v>338</v>
      </c>
      <c r="J59" s="408" t="str">
        <f>VLOOKUP(A59,Jobmatch!A:H,7,0)</f>
        <v>Estagiário Administrativo</v>
      </c>
      <c r="K59" s="411" t="str">
        <f>VLOOKUP(A59,Jobmatch!A:I,8,0)</f>
        <v>Indiferente</v>
      </c>
      <c r="L59" s="412" t="str">
        <f t="shared" si="2"/>
        <v>338Indiferente</v>
      </c>
      <c r="M59" s="413">
        <f>IFERROR(VLOOKUP(B59,'Folha de Pagamento'!B:K,10,0),"")</f>
        <v>3652</v>
      </c>
      <c r="N59" s="414">
        <f>IFERROR(VLOOKUP(L59,Pesquisa!$D:$L,4,0),"")</f>
        <v>1562.270455</v>
      </c>
      <c r="O59" s="415">
        <f>IFERROR(VLOOKUP(L59,Pesquisa!$D:$L,5,0),"")</f>
        <v>1618.963636</v>
      </c>
      <c r="P59" s="415">
        <f>IFERROR(VLOOKUP(L59,Pesquisa!$D:$L,6,0),"")</f>
        <v>1757.55</v>
      </c>
      <c r="Q59" s="415">
        <f>IFERROR(VLOOKUP(L59,Pesquisa!$D:$L,7,0),"")</f>
        <v>1726.056818</v>
      </c>
      <c r="R59" s="415">
        <f>IFERROR(VLOOKUP(L59,Pesquisa!$D:$L,8,0),"")</f>
        <v>1864.643182</v>
      </c>
      <c r="S59" s="414">
        <f>IFERROR(VLOOKUP(L59,Pesquisa!$D:$L,9,0),"")</f>
        <v>2015.829545</v>
      </c>
      <c r="T59" s="416">
        <f>IFS('Painel Geral'!$B$5="Mediana",IFERROR(IF(OR(M59="",Q59=0,Q59=""),"",($M59/$Q59)),""),'Painel Geral'!$B$5="Menor Salário",IFERROR(IF(OR(M59="",Q59=0,Q59=""),"",($M59/$N59)),""),'Painel Geral'!$B$5="1º Quartil",IFERROR(IF(OR(M59="",Q59=0,Q59=""),"",($M59/$O59)),""),'Painel Geral'!$B$5="Média",IFERROR(IF(OR(M59="",Q59=0,Q59=""),"",($M59/$P59)),""),'Painel Geral'!$B$5="3º Quartil",IFERROR(IF(OR(M59="",Q59=0,Q59=""),"",($M59/$R59)),""),'Painel Geral'!$B$5="Maior Salário",IFERROR(IF(OR(M59="",Q59=0,Q59=""),"",($M59/$S59)),""))</f>
        <v>2.115805205</v>
      </c>
      <c r="U59" s="408" t="str">
        <f t="shared" si="3"/>
        <v>Agressivo</v>
      </c>
      <c r="V59" s="417">
        <f>VLOOKUP(A59,'Cálculos Comparativos'!$A:$E,4,0)</f>
        <v>4</v>
      </c>
    </row>
    <row r="60" ht="15.75" customHeight="1">
      <c r="A60" s="18" t="s">
        <v>186</v>
      </c>
      <c r="B60" s="30">
        <v>1871.0</v>
      </c>
      <c r="C60" s="407" t="str">
        <f>VLOOKUP(A60,Jobmatch!A:F,2,0)</f>
        <v>TECNOLOGO EM CONSTRUÇÃO DE EDIFICIOS</v>
      </c>
      <c r="D60" s="407" t="str">
        <f>VLOOKUP(B60,'Folha de Pagamento'!B:G,6,0)</f>
        <v>Edificação</v>
      </c>
      <c r="E60" s="408" t="str">
        <f>VLOOKUP(A60,Jobmatch!A:F,4,0)</f>
        <v>61 - ADM PROJETOS</v>
      </c>
      <c r="F60" s="407" t="str">
        <f>VLOOKUP(A60,Jobmatch!A:F,5,0)</f>
        <v>Operacional</v>
      </c>
      <c r="G60" s="407" t="str">
        <f>VLOOKUP(B60,'Folha de Pagamento'!B:O,13,0)</f>
        <v>Masculino</v>
      </c>
      <c r="H60" s="409" t="str">
        <f t="shared" si="1"/>
        <v>#VALUE!</v>
      </c>
      <c r="I60" s="410">
        <f>VLOOKUP(A60,Jobmatch!A:G,6,0)</f>
        <v>269</v>
      </c>
      <c r="J60" s="408" t="str">
        <f>VLOOKUP(A60,Jobmatch!A:H,7,0)</f>
        <v>Técnico em Edificações</v>
      </c>
      <c r="K60" s="411" t="str">
        <f>VLOOKUP(A60,Jobmatch!A:I,8,0)</f>
        <v>Indiferente</v>
      </c>
      <c r="L60" s="412" t="str">
        <f t="shared" si="2"/>
        <v>269Indiferente</v>
      </c>
      <c r="M60" s="413">
        <f>IFERROR(VLOOKUP(B60,'Folha de Pagamento'!B:K,10,0),"")</f>
        <v>8585</v>
      </c>
      <c r="N60" s="414">
        <f>IFERROR(VLOOKUP(L60,Pesquisa!$D:$L,4,0),"")</f>
        <v>3023.75</v>
      </c>
      <c r="O60" s="415">
        <f>IFERROR(VLOOKUP(L60,Pesquisa!$D:$L,5,0),"")</f>
        <v>3741.13</v>
      </c>
      <c r="P60" s="415">
        <f>IFERROR(VLOOKUP(L60,Pesquisa!$D:$L,6,0),"")</f>
        <v>4594.42</v>
      </c>
      <c r="Q60" s="415">
        <f>IFERROR(VLOOKUP(L60,Pesquisa!$D:$L,7,0),"")</f>
        <v>4031.66</v>
      </c>
      <c r="R60" s="415">
        <f>IFERROR(VLOOKUP(L60,Pesquisa!$D:$L,8,0),"")</f>
        <v>4427.77</v>
      </c>
      <c r="S60" s="414">
        <f>IFERROR(VLOOKUP(L60,Pesquisa!$D:$L,9,0),"")</f>
        <v>9097.17</v>
      </c>
      <c r="T60" s="416">
        <f>IFS('Painel Geral'!$B$5="Mediana",IFERROR(IF(OR(M60="",Q60=0,Q60=""),"",($M60/$Q60)),""),'Painel Geral'!$B$5="Menor Salário",IFERROR(IF(OR(M60="",Q60=0,Q60=""),"",($M60/$N60)),""),'Painel Geral'!$B$5="1º Quartil",IFERROR(IF(OR(M60="",Q60=0,Q60=""),"",($M60/$O60)),""),'Painel Geral'!$B$5="Média",IFERROR(IF(OR(M60="",Q60=0,Q60=""),"",($M60/$P60)),""),'Painel Geral'!$B$5="3º Quartil",IFERROR(IF(OR(M60="",Q60=0,Q60=""),"",($M60/$R60)),""),'Painel Geral'!$B$5="Maior Salário",IFERROR(IF(OR(M60="",Q60=0,Q60=""),"",($M60/$S60)),""))</f>
        <v>2.129395832</v>
      </c>
      <c r="U60" s="408" t="str">
        <f t="shared" si="3"/>
        <v>Agressivo</v>
      </c>
      <c r="V60" s="417">
        <f>VLOOKUP(A60,'Cálculos Comparativos'!$A:$E,4,0)</f>
        <v>5</v>
      </c>
    </row>
    <row r="61" ht="15.75" customHeight="1">
      <c r="A61" s="18" t="s">
        <v>158</v>
      </c>
      <c r="B61" s="30" t="s">
        <v>159</v>
      </c>
      <c r="C61" s="407" t="str">
        <f>VLOOKUP(A61,Jobmatch!A:F,2,0)</f>
        <v>GERENTE DE IMOBILIÁRIAS EXTERNAS</v>
      </c>
      <c r="D61" s="407" t="str">
        <f>VLOOKUP(B61,'Folha de Pagamento'!B:G,6,0)</f>
        <v>Comercial</v>
      </c>
      <c r="E61" s="408" t="str">
        <f>VLOOKUP(A61,Jobmatch!A:F,4,0)</f>
        <v>53 - ADM PROJETOS</v>
      </c>
      <c r="F61" s="407" t="str">
        <f>VLOOKUP(A61,Jobmatch!A:F,5,0)</f>
        <v>Tático</v>
      </c>
      <c r="G61" s="407" t="str">
        <f>VLOOKUP(B61,'Folha de Pagamento'!B:O,13,0)</f>
        <v>Masculino</v>
      </c>
      <c r="H61" s="409" t="str">
        <f t="shared" si="1"/>
        <v>#VALUE!</v>
      </c>
      <c r="I61" s="410">
        <f>VLOOKUP(A61,Jobmatch!A:G,6,0)</f>
        <v>1205</v>
      </c>
      <c r="J61" s="408" t="str">
        <f>VLOOKUP(A61,Jobmatch!A:H,7,0)</f>
        <v>Gerente de Imobiliárias</v>
      </c>
      <c r="K61" s="411" t="str">
        <f>VLOOKUP(A61,Jobmatch!A:I,8,0)</f>
        <v>Indiferente</v>
      </c>
      <c r="L61" s="412" t="str">
        <f t="shared" si="2"/>
        <v>1205Indiferente</v>
      </c>
      <c r="M61" s="413">
        <f>IFERROR(VLOOKUP(B61,'Folha de Pagamento'!B:K,10,0),"")</f>
        <v>3989.393939</v>
      </c>
      <c r="N61" s="414">
        <f>IFERROR(VLOOKUP(L61,Pesquisa!$D:$L,4,0),"")</f>
        <v>0</v>
      </c>
      <c r="O61" s="415">
        <f>IFERROR(VLOOKUP(L61,Pesquisa!$D:$L,5,0),"")</f>
        <v>0</v>
      </c>
      <c r="P61" s="415">
        <f>IFERROR(VLOOKUP(L61,Pesquisa!$D:$L,6,0),"")</f>
        <v>0</v>
      </c>
      <c r="Q61" s="415">
        <f>IFERROR(VLOOKUP(L61,Pesquisa!$D:$L,7,0),"")</f>
        <v>0</v>
      </c>
      <c r="R61" s="415">
        <f>IFERROR(VLOOKUP(L61,Pesquisa!$D:$L,8,0),"")</f>
        <v>0</v>
      </c>
      <c r="S61" s="414">
        <f>IFERROR(VLOOKUP(L61,Pesquisa!$D:$L,9,0),"")</f>
        <v>0</v>
      </c>
      <c r="T61" s="416" t="str">
        <f>IFS('Painel Geral'!$B$5="Mediana",IFERROR(IF(OR(M61="",Q61=0,Q61=""),"",($M61/$Q61)),""),'Painel Geral'!$B$5="Menor Salário",IFERROR(IF(OR(M61="",Q61=0,Q61=""),"",($M61/$N61)),""),'Painel Geral'!$B$5="1º Quartil",IFERROR(IF(OR(M61="",Q61=0,Q61=""),"",($M61/$O61)),""),'Painel Geral'!$B$5="Média",IFERROR(IF(OR(M61="",Q61=0,Q61=""),"",($M61/$P61)),""),'Painel Geral'!$B$5="3º Quartil",IFERROR(IF(OR(M61="",Q61=0,Q61=""),"",($M61/$R61)),""),'Painel Geral'!$B$5="Maior Salário",IFERROR(IF(OR(M61="",Q61=0,Q61=""),"",($M61/$S61)),""))</f>
        <v/>
      </c>
      <c r="U61" s="408" t="str">
        <f t="shared" si="3"/>
        <v/>
      </c>
      <c r="V61" s="417">
        <f>VLOOKUP(A61,'Cálculos Comparativos'!$A:$E,4,0)</f>
        <v>2</v>
      </c>
    </row>
    <row r="62" ht="15.75" customHeight="1">
      <c r="A62" s="18" t="s">
        <v>158</v>
      </c>
      <c r="B62" s="30" t="s">
        <v>161</v>
      </c>
      <c r="C62" s="407" t="str">
        <f>VLOOKUP(A62,Jobmatch!A:F,2,0)</f>
        <v>GERENTE DE IMOBILIÁRIAS EXTERNAS</v>
      </c>
      <c r="D62" s="407" t="str">
        <f>VLOOKUP(B62,'Folha de Pagamento'!B:G,6,0)</f>
        <v>Comercial</v>
      </c>
      <c r="E62" s="408" t="str">
        <f>VLOOKUP(A62,Jobmatch!A:F,4,0)</f>
        <v>53 - ADM PROJETOS</v>
      </c>
      <c r="F62" s="407" t="str">
        <f>VLOOKUP(A62,Jobmatch!A:F,5,0)</f>
        <v>Tático</v>
      </c>
      <c r="G62" s="407" t="str">
        <f>VLOOKUP(B62,'Folha de Pagamento'!B:O,13,0)</f>
        <v>Masculino</v>
      </c>
      <c r="H62" s="409" t="str">
        <f t="shared" si="1"/>
        <v>#VALUE!</v>
      </c>
      <c r="I62" s="410">
        <f>VLOOKUP(A62,Jobmatch!A:G,6,0)</f>
        <v>1205</v>
      </c>
      <c r="J62" s="408" t="str">
        <f>VLOOKUP(A62,Jobmatch!A:H,7,0)</f>
        <v>Gerente de Imobiliárias</v>
      </c>
      <c r="K62" s="411" t="str">
        <f>VLOOKUP(A62,Jobmatch!A:I,8,0)</f>
        <v>Indiferente</v>
      </c>
      <c r="L62" s="412" t="str">
        <f t="shared" si="2"/>
        <v>1205Indiferente</v>
      </c>
      <c r="M62" s="413">
        <f>IFERROR(VLOOKUP(B62,'Folha de Pagamento'!B:K,10,0),"")</f>
        <v>4390.151515</v>
      </c>
      <c r="N62" s="414">
        <f>IFERROR(VLOOKUP(L62,Pesquisa!$D:$L,4,0),"")</f>
        <v>0</v>
      </c>
      <c r="O62" s="415">
        <f>IFERROR(VLOOKUP(L62,Pesquisa!$D:$L,5,0),"")</f>
        <v>0</v>
      </c>
      <c r="P62" s="415">
        <f>IFERROR(VLOOKUP(L62,Pesquisa!$D:$L,6,0),"")</f>
        <v>0</v>
      </c>
      <c r="Q62" s="415">
        <f>IFERROR(VLOOKUP(L62,Pesquisa!$D:$L,7,0),"")</f>
        <v>0</v>
      </c>
      <c r="R62" s="415">
        <f>IFERROR(VLOOKUP(L62,Pesquisa!$D:$L,8,0),"")</f>
        <v>0</v>
      </c>
      <c r="S62" s="414">
        <f>IFERROR(VLOOKUP(L62,Pesquisa!$D:$L,9,0),"")</f>
        <v>0</v>
      </c>
      <c r="T62" s="416" t="str">
        <f>IFS('Painel Geral'!$B$5="Mediana",IFERROR(IF(OR(M62="",Q62=0,Q62=""),"",($M62/$Q62)),""),'Painel Geral'!$B$5="Menor Salário",IFERROR(IF(OR(M62="",Q62=0,Q62=""),"",($M62/$N62)),""),'Painel Geral'!$B$5="1º Quartil",IFERROR(IF(OR(M62="",Q62=0,Q62=""),"",($M62/$O62)),""),'Painel Geral'!$B$5="Média",IFERROR(IF(OR(M62="",Q62=0,Q62=""),"",($M62/$P62)),""),'Painel Geral'!$B$5="3º Quartil",IFERROR(IF(OR(M62="",Q62=0,Q62=""),"",($M62/$R62)),""),'Painel Geral'!$B$5="Maior Salário",IFERROR(IF(OR(M62="",Q62=0,Q62=""),"",($M62/$S62)),""))</f>
        <v/>
      </c>
      <c r="U62" s="408" t="str">
        <f t="shared" si="3"/>
        <v/>
      </c>
      <c r="V62" s="417">
        <f>VLOOKUP(A62,'Cálculos Comparativos'!$A:$E,4,0)</f>
        <v>2</v>
      </c>
    </row>
    <row r="63" ht="15.75" customHeight="1">
      <c r="A63" s="18" t="s">
        <v>177</v>
      </c>
      <c r="B63" s="30" t="s">
        <v>178</v>
      </c>
      <c r="C63" s="407" t="str">
        <f>VLOOKUP(A63,Jobmatch!A:F,2,0)</f>
        <v>SUPERVISOR DE NOVOS NEGÓCIOS </v>
      </c>
      <c r="D63" s="407" t="str">
        <f>VLOOKUP(B63,'Folha de Pagamento'!B:G,6,0)</f>
        <v>Novos Negócios</v>
      </c>
      <c r="E63" s="408" t="str">
        <f>VLOOKUP(A63,Jobmatch!A:F,4,0)</f>
        <v>58 - ADM PROJETOS</v>
      </c>
      <c r="F63" s="407" t="str">
        <f>VLOOKUP(A63,Jobmatch!A:F,5,0)</f>
        <v>Tático</v>
      </c>
      <c r="G63" s="407" t="str">
        <f>VLOOKUP(B63,'Folha de Pagamento'!B:O,13,0)</f>
        <v>Masculino</v>
      </c>
      <c r="H63" s="409" t="str">
        <f t="shared" si="1"/>
        <v>#VALUE!</v>
      </c>
      <c r="I63" s="410">
        <f>VLOOKUP(A63,Jobmatch!A:G,6,0)</f>
        <v>583</v>
      </c>
      <c r="J63" s="408" t="str">
        <f>VLOOKUP(A63,Jobmatch!A:H,7,0)</f>
        <v>Supervisor de Negócios</v>
      </c>
      <c r="K63" s="411" t="str">
        <f>VLOOKUP(A63,Jobmatch!A:I,8,0)</f>
        <v>Indiferente</v>
      </c>
      <c r="L63" s="412" t="str">
        <f t="shared" si="2"/>
        <v>583Indiferente</v>
      </c>
      <c r="M63" s="413">
        <f>IFERROR(VLOOKUP(B63,'Folha de Pagamento'!B:K,10,0),"")</f>
        <v>8759.124088</v>
      </c>
      <c r="N63" s="414" t="str">
        <f>IFERROR(VLOOKUP(L63,Pesquisa!$D:$L,4,0),"")</f>
        <v/>
      </c>
      <c r="O63" s="415" t="str">
        <f>IFERROR(VLOOKUP(L63,Pesquisa!$D:$L,5,0),"")</f>
        <v/>
      </c>
      <c r="P63" s="415" t="str">
        <f>IFERROR(VLOOKUP(L63,Pesquisa!$D:$L,6,0),"")</f>
        <v/>
      </c>
      <c r="Q63" s="415" t="str">
        <f>IFERROR(VLOOKUP(L63,Pesquisa!$D:$L,7,0),"")</f>
        <v/>
      </c>
      <c r="R63" s="415" t="str">
        <f>IFERROR(VLOOKUP(L63,Pesquisa!$D:$L,8,0),"")</f>
        <v/>
      </c>
      <c r="S63" s="414" t="str">
        <f>IFERROR(VLOOKUP(L63,Pesquisa!$D:$L,9,0),"")</f>
        <v/>
      </c>
      <c r="T63" s="416" t="str">
        <f>IFS('Painel Geral'!$B$5="Mediana",IFERROR(IF(OR(M63="",Q63=0,Q63=""),"",($M63/$Q63)),""),'Painel Geral'!$B$5="Menor Salário",IFERROR(IF(OR(M63="",Q63=0,Q63=""),"",($M63/$N63)),""),'Painel Geral'!$B$5="1º Quartil",IFERROR(IF(OR(M63="",Q63=0,Q63=""),"",($M63/$O63)),""),'Painel Geral'!$B$5="Média",IFERROR(IF(OR(M63="",Q63=0,Q63=""),"",($M63/$P63)),""),'Painel Geral'!$B$5="3º Quartil",IFERROR(IF(OR(M63="",Q63=0,Q63=""),"",($M63/$R63)),""),'Painel Geral'!$B$5="Maior Salário",IFERROR(IF(OR(M63="",Q63=0,Q63=""),"",($M63/$S63)),""))</f>
        <v/>
      </c>
      <c r="U63" s="408" t="str">
        <f t="shared" si="3"/>
        <v/>
      </c>
      <c r="V63" s="417">
        <f>VLOOKUP(A63,'Cálculos Comparativos'!$A:$E,4,0)</f>
        <v>9</v>
      </c>
    </row>
  </sheetData>
  <autoFilter ref="$A$3:$V$63">
    <sortState ref="A3:V63">
      <sortCondition ref="T3:T63"/>
      <sortCondition ref="D3:D63"/>
      <sortCondition ref="F3:F63"/>
      <sortCondition ref="E3:E63"/>
      <sortCondition ref="V3:V63"/>
    </sortState>
  </autoFilter>
  <customSheetViews>
    <customSheetView guid="{5EBBA192-B43E-4744-94AF-C3BDF2F8E462}" filter="1" showAutoFilter="1">
      <autoFilter ref="$A$3:$U$3"/>
    </customSheetView>
    <customSheetView guid="{D3F3141A-6664-45F4-A1B4-8A03D37FB508}" filter="1" showAutoFilter="1">
      <autoFilter ref="$A$3:$U$3"/>
    </customSheetView>
    <customSheetView guid="{AE1C2DCB-8E38-4814-A2B6-4FA835707C99}" filter="1" showAutoFilter="1">
      <autoFilter ref="$A$3:$U$3"/>
    </customSheetView>
    <customSheetView guid="{7C473F8E-1B31-49FD-B5F2-1539E03894A9}" filter="1" showAutoFilter="1">
      <autoFilter ref="$A$3:$U$3"/>
    </customSheetView>
    <customSheetView guid="{7DBD2873-1FB4-4346-896D-CDDDC2D6B4AF}" filter="1" showAutoFilter="1">
      <autoFilter ref="$A$3:$U$3"/>
    </customSheetView>
    <customSheetView guid="{07AAE2C7-D387-425E-A12F-32B6DFFC4CAF}" filter="1" showAutoFilter="1">
      <autoFilter ref="$A$3:$U$3"/>
    </customSheetView>
    <customSheetView guid="{E0832F40-2690-46BF-9034-7DB179939A00}" filter="1" showAutoFilter="1">
      <autoFilter ref="$A$1:$U$1"/>
    </customSheetView>
  </customSheetViews>
  <mergeCells count="2">
    <mergeCell ref="A1:M1"/>
    <mergeCell ref="N1:S1"/>
  </mergeCell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8.5"/>
    <col customWidth="1" min="2" max="2" width="2.63"/>
    <col customWidth="1" min="3" max="3" width="12.13"/>
  </cols>
  <sheetData>
    <row r="1" ht="21.75" customHeight="1">
      <c r="A1" s="419" t="s">
        <v>365</v>
      </c>
      <c r="B1" s="420"/>
      <c r="C1" s="420"/>
      <c r="D1" s="420"/>
      <c r="E1" s="420"/>
      <c r="F1" s="420"/>
      <c r="G1" s="420"/>
      <c r="H1" s="420"/>
      <c r="I1" s="420"/>
    </row>
    <row r="2">
      <c r="A2" s="421" t="s">
        <v>366</v>
      </c>
      <c r="B2" s="422"/>
      <c r="C2" s="422"/>
      <c r="D2" s="422"/>
      <c r="E2" s="422"/>
      <c r="F2" s="422"/>
      <c r="G2" s="422"/>
      <c r="H2" s="422"/>
      <c r="I2" s="422"/>
    </row>
    <row r="3">
      <c r="A3" s="423"/>
      <c r="B3" s="422"/>
      <c r="C3" s="422"/>
      <c r="D3" s="422"/>
      <c r="E3" s="422"/>
      <c r="F3" s="422"/>
      <c r="G3" s="422"/>
      <c r="H3" s="422"/>
      <c r="I3" s="422"/>
    </row>
    <row r="4">
      <c r="A4" s="423" t="s">
        <v>367</v>
      </c>
      <c r="B4" s="424"/>
      <c r="C4" s="424"/>
      <c r="D4" s="424"/>
      <c r="E4" s="424"/>
      <c r="F4" s="424"/>
      <c r="G4" s="424"/>
      <c r="H4" s="424"/>
      <c r="I4" s="424"/>
    </row>
    <row r="5">
      <c r="A5" s="423" t="s">
        <v>368</v>
      </c>
      <c r="B5" s="424"/>
      <c r="C5" s="424"/>
      <c r="D5" s="424"/>
      <c r="E5" s="424"/>
      <c r="F5" s="424"/>
      <c r="G5" s="424"/>
      <c r="H5" s="424"/>
      <c r="I5" s="424"/>
    </row>
    <row r="6">
      <c r="A6" s="423" t="s">
        <v>369</v>
      </c>
      <c r="B6" s="424"/>
      <c r="C6" s="424"/>
      <c r="D6" s="424"/>
      <c r="E6" s="424"/>
      <c r="F6" s="424"/>
      <c r="G6" s="424"/>
      <c r="H6" s="424"/>
      <c r="I6" s="424"/>
    </row>
    <row r="7">
      <c r="A7" s="423" t="s">
        <v>370</v>
      </c>
      <c r="B7" s="424"/>
      <c r="C7" s="424"/>
      <c r="D7" s="424"/>
      <c r="E7" s="424"/>
      <c r="F7" s="424"/>
      <c r="G7" s="424"/>
      <c r="H7" s="424"/>
      <c r="I7" s="424"/>
    </row>
    <row r="8">
      <c r="A8" s="423" t="s">
        <v>371</v>
      </c>
      <c r="B8" s="424"/>
      <c r="C8" s="424"/>
      <c r="D8" s="424"/>
      <c r="E8" s="424"/>
      <c r="F8" s="424"/>
      <c r="G8" s="424"/>
      <c r="H8" s="424"/>
      <c r="I8" s="424"/>
    </row>
    <row r="9">
      <c r="A9" s="423" t="s">
        <v>372</v>
      </c>
      <c r="B9" s="424"/>
      <c r="C9" s="424"/>
      <c r="D9" s="424"/>
      <c r="E9" s="424"/>
      <c r="F9" s="424"/>
      <c r="G9" s="424"/>
      <c r="H9" s="424"/>
      <c r="I9" s="424"/>
    </row>
    <row r="10">
      <c r="A10" s="423"/>
      <c r="B10" s="424"/>
      <c r="C10" s="424"/>
      <c r="D10" s="424"/>
      <c r="E10" s="424"/>
      <c r="F10" s="424"/>
      <c r="G10" s="424"/>
      <c r="H10" s="424"/>
      <c r="I10" s="424"/>
    </row>
    <row r="11">
      <c r="A11" s="423" t="s">
        <v>373</v>
      </c>
      <c r="B11" s="424"/>
      <c r="C11" s="424"/>
      <c r="D11" s="424"/>
      <c r="E11" s="424"/>
      <c r="F11" s="424"/>
      <c r="G11" s="424"/>
      <c r="H11" s="424"/>
      <c r="I11" s="424"/>
    </row>
    <row r="12">
      <c r="A12" s="423" t="s">
        <v>374</v>
      </c>
      <c r="B12" s="424"/>
      <c r="C12" s="424"/>
      <c r="D12" s="424"/>
      <c r="E12" s="424"/>
      <c r="F12" s="424"/>
      <c r="G12" s="424"/>
      <c r="H12" s="424"/>
      <c r="I12" s="424"/>
    </row>
    <row r="13">
      <c r="A13" s="423" t="s">
        <v>375</v>
      </c>
      <c r="B13" s="424"/>
      <c r="C13" s="424"/>
      <c r="D13" s="424"/>
      <c r="E13" s="424"/>
      <c r="F13" s="424"/>
      <c r="G13" s="424"/>
      <c r="H13" s="424"/>
      <c r="I13" s="424"/>
    </row>
    <row r="14">
      <c r="A14" s="425" t="s">
        <v>376</v>
      </c>
      <c r="B14" s="424"/>
      <c r="C14" s="424"/>
      <c r="D14" s="424"/>
      <c r="E14" s="424"/>
      <c r="F14" s="424"/>
      <c r="G14" s="424"/>
      <c r="H14" s="424"/>
      <c r="I14" s="424"/>
    </row>
    <row r="15">
      <c r="A15" s="423" t="s">
        <v>377</v>
      </c>
      <c r="B15" s="424"/>
      <c r="C15" s="424"/>
      <c r="D15" s="424"/>
      <c r="E15" s="424"/>
      <c r="F15" s="424"/>
      <c r="G15" s="424"/>
      <c r="H15" s="424"/>
      <c r="I15" s="424"/>
    </row>
    <row r="16">
      <c r="A16" s="423" t="s">
        <v>378</v>
      </c>
      <c r="B16" s="424"/>
      <c r="C16" s="424"/>
      <c r="D16" s="424"/>
      <c r="E16" s="424"/>
      <c r="F16" s="424"/>
      <c r="G16" s="424"/>
      <c r="H16" s="424"/>
      <c r="I16" s="424"/>
    </row>
    <row r="17">
      <c r="A17" s="423" t="s">
        <v>379</v>
      </c>
      <c r="B17" s="424"/>
      <c r="C17" s="424"/>
      <c r="D17" s="424"/>
      <c r="E17" s="424"/>
      <c r="F17" s="424"/>
      <c r="G17" s="424"/>
      <c r="H17" s="424"/>
      <c r="I17" s="424"/>
    </row>
    <row r="18">
      <c r="A18" s="423" t="s">
        <v>380</v>
      </c>
      <c r="B18" s="424"/>
      <c r="C18" s="424"/>
      <c r="D18" s="424"/>
      <c r="E18" s="424"/>
      <c r="F18" s="424"/>
      <c r="G18" s="424"/>
      <c r="H18" s="424"/>
      <c r="I18" s="424"/>
    </row>
    <row r="19">
      <c r="A19" s="423" t="s">
        <v>381</v>
      </c>
      <c r="B19" s="424"/>
      <c r="C19" s="424"/>
      <c r="D19" s="424"/>
      <c r="E19" s="424"/>
      <c r="F19" s="424"/>
      <c r="G19" s="424"/>
      <c r="H19" s="424"/>
      <c r="I19" s="424"/>
    </row>
    <row r="20">
      <c r="A20" s="423"/>
      <c r="B20" s="424"/>
      <c r="C20" s="424"/>
      <c r="D20" s="424"/>
      <c r="E20" s="424"/>
      <c r="F20" s="424"/>
      <c r="G20" s="424"/>
      <c r="H20" s="424"/>
      <c r="I20" s="424"/>
    </row>
    <row r="21">
      <c r="A21" s="425" t="s">
        <v>382</v>
      </c>
      <c r="B21" s="424"/>
      <c r="C21" s="424"/>
      <c r="D21" s="424"/>
      <c r="E21" s="424"/>
      <c r="F21" s="424"/>
      <c r="G21" s="424"/>
      <c r="H21" s="424"/>
      <c r="I21" s="424"/>
    </row>
    <row r="22">
      <c r="A22" s="426"/>
      <c r="B22" s="424"/>
      <c r="C22" s="424"/>
      <c r="D22" s="424"/>
      <c r="E22" s="424"/>
      <c r="F22" s="424"/>
      <c r="G22" s="424"/>
      <c r="H22" s="424"/>
      <c r="I22" s="424"/>
    </row>
    <row r="23">
      <c r="A23" s="427" t="s">
        <v>383</v>
      </c>
      <c r="B23" s="424"/>
      <c r="C23" s="424"/>
      <c r="D23" s="424"/>
      <c r="E23" s="424"/>
      <c r="F23" s="424"/>
      <c r="G23" s="424"/>
      <c r="H23" s="424"/>
      <c r="I23" s="424"/>
    </row>
    <row r="24">
      <c r="A24" s="428"/>
      <c r="C24" s="424"/>
      <c r="D24" s="424"/>
      <c r="E24" s="424"/>
      <c r="F24" s="424"/>
      <c r="G24" s="424"/>
      <c r="H24" s="424"/>
      <c r="I24" s="424"/>
    </row>
    <row r="25">
      <c r="A25" s="425" t="s">
        <v>366</v>
      </c>
      <c r="C25" s="424"/>
      <c r="D25" s="424"/>
      <c r="E25" s="424"/>
      <c r="F25" s="424"/>
      <c r="G25" s="424"/>
      <c r="H25" s="424"/>
      <c r="I25" s="424"/>
    </row>
    <row r="26">
      <c r="A26" s="423"/>
      <c r="B26" s="422"/>
      <c r="C26" s="422"/>
      <c r="D26" s="422"/>
      <c r="E26" s="422"/>
      <c r="F26" s="422"/>
      <c r="G26" s="422"/>
      <c r="H26" s="422"/>
      <c r="I26" s="422"/>
    </row>
    <row r="27">
      <c r="A27" s="425" t="s">
        <v>384</v>
      </c>
      <c r="B27" s="422"/>
      <c r="C27" s="422"/>
      <c r="D27" s="422"/>
      <c r="E27" s="422"/>
      <c r="F27" s="422"/>
      <c r="G27" s="422"/>
      <c r="H27" s="422"/>
      <c r="I27" s="422"/>
    </row>
    <row r="28">
      <c r="A28" s="421"/>
      <c r="B28" s="422"/>
      <c r="C28" s="422"/>
      <c r="D28" s="422"/>
      <c r="E28" s="422"/>
      <c r="F28" s="422"/>
      <c r="G28" s="422"/>
      <c r="H28" s="422"/>
      <c r="I28" s="422"/>
    </row>
    <row r="29">
      <c r="A29" s="429" t="s">
        <v>370</v>
      </c>
      <c r="B29" s="422"/>
      <c r="C29" s="422"/>
      <c r="D29" s="422"/>
      <c r="E29" s="422"/>
      <c r="F29" s="422"/>
      <c r="G29" s="422"/>
      <c r="H29" s="422"/>
      <c r="I29" s="422"/>
    </row>
    <row r="30">
      <c r="A30" s="429" t="s">
        <v>385</v>
      </c>
      <c r="B30" s="422"/>
      <c r="C30" s="422"/>
      <c r="D30" s="422"/>
      <c r="E30" s="422"/>
      <c r="F30" s="422"/>
      <c r="G30" s="422"/>
      <c r="H30" s="422"/>
      <c r="I30" s="422"/>
    </row>
    <row r="31">
      <c r="A31" s="429" t="s">
        <v>372</v>
      </c>
      <c r="B31" s="422"/>
      <c r="C31" s="422"/>
      <c r="D31" s="422"/>
      <c r="E31" s="422"/>
      <c r="F31" s="422"/>
      <c r="G31" s="422"/>
      <c r="H31" s="422"/>
      <c r="I31" s="422"/>
    </row>
    <row r="32">
      <c r="A32" s="429"/>
      <c r="B32" s="422"/>
      <c r="C32" s="430"/>
      <c r="D32" s="422"/>
      <c r="E32" s="422"/>
      <c r="F32" s="422"/>
      <c r="G32" s="422"/>
      <c r="H32" s="422"/>
      <c r="I32" s="422"/>
    </row>
    <row r="33">
      <c r="A33" s="429" t="s">
        <v>373</v>
      </c>
      <c r="B33" s="422"/>
      <c r="C33" s="422"/>
      <c r="D33" s="422"/>
      <c r="E33" s="422"/>
      <c r="F33" s="422"/>
      <c r="G33" s="422"/>
      <c r="H33" s="422"/>
      <c r="I33" s="422"/>
    </row>
    <row r="34">
      <c r="A34" s="429" t="s">
        <v>386</v>
      </c>
      <c r="B34" s="422"/>
      <c r="C34" s="422"/>
      <c r="D34" s="422"/>
      <c r="E34" s="422"/>
      <c r="F34" s="422"/>
      <c r="G34" s="422"/>
      <c r="H34" s="422"/>
      <c r="I34" s="422"/>
    </row>
    <row r="35">
      <c r="A35" s="429" t="s">
        <v>387</v>
      </c>
      <c r="B35" s="422"/>
      <c r="C35" s="422"/>
      <c r="D35" s="422"/>
      <c r="E35" s="422"/>
      <c r="F35" s="422"/>
      <c r="G35" s="422"/>
      <c r="H35" s="422"/>
      <c r="I35" s="422"/>
    </row>
    <row r="36">
      <c r="A36" s="429" t="s">
        <v>388</v>
      </c>
      <c r="B36" s="422"/>
      <c r="C36" s="422"/>
      <c r="D36" s="422"/>
      <c r="E36" s="422"/>
      <c r="F36" s="422"/>
      <c r="G36" s="422"/>
      <c r="H36" s="422"/>
      <c r="I36" s="422"/>
    </row>
    <row r="37">
      <c r="A37" s="429" t="s">
        <v>389</v>
      </c>
      <c r="B37" s="422"/>
      <c r="C37" s="422"/>
      <c r="D37" s="422"/>
      <c r="E37" s="422"/>
      <c r="F37" s="422"/>
      <c r="G37" s="422"/>
      <c r="H37" s="422"/>
      <c r="I37" s="422"/>
    </row>
    <row r="38">
      <c r="A38" s="429" t="s">
        <v>390</v>
      </c>
      <c r="B38" s="422"/>
      <c r="C38" s="422"/>
      <c r="D38" s="422"/>
      <c r="E38" s="422"/>
      <c r="F38" s="422"/>
      <c r="G38" s="422"/>
      <c r="H38" s="422"/>
      <c r="I38" s="422"/>
    </row>
    <row r="39">
      <c r="A39" s="429" t="s">
        <v>391</v>
      </c>
      <c r="B39" s="422"/>
      <c r="C39" s="422"/>
      <c r="D39" s="422"/>
      <c r="E39" s="422"/>
      <c r="F39" s="422"/>
      <c r="G39" s="422"/>
      <c r="H39" s="422"/>
      <c r="I39" s="422"/>
    </row>
    <row r="40">
      <c r="A40" s="429" t="s">
        <v>392</v>
      </c>
      <c r="B40" s="422"/>
      <c r="C40" s="422"/>
      <c r="D40" s="422"/>
      <c r="E40" s="422"/>
      <c r="F40" s="422"/>
      <c r="G40" s="422"/>
      <c r="H40" s="422"/>
      <c r="I40" s="422"/>
    </row>
    <row r="41">
      <c r="A41" s="429"/>
      <c r="B41" s="422"/>
      <c r="C41" s="422"/>
      <c r="D41" s="422"/>
      <c r="E41" s="422"/>
      <c r="F41" s="422"/>
      <c r="G41" s="422"/>
      <c r="H41" s="422"/>
      <c r="I41" s="422"/>
    </row>
    <row r="42">
      <c r="A42" s="429" t="s">
        <v>393</v>
      </c>
      <c r="B42" s="422"/>
      <c r="C42" s="422"/>
      <c r="D42" s="422"/>
      <c r="E42" s="422"/>
      <c r="F42" s="422"/>
      <c r="G42" s="422"/>
      <c r="H42" s="422"/>
      <c r="I42" s="422"/>
    </row>
    <row r="43">
      <c r="A43" s="429"/>
      <c r="B43" s="422"/>
      <c r="C43" s="422"/>
      <c r="D43" s="422"/>
      <c r="E43" s="422"/>
      <c r="F43" s="422"/>
      <c r="G43" s="422"/>
      <c r="H43" s="422"/>
      <c r="I43" s="422"/>
    </row>
    <row r="44">
      <c r="A44" s="429"/>
      <c r="B44" s="422"/>
      <c r="C44" s="422"/>
      <c r="D44" s="422"/>
      <c r="E44" s="422"/>
      <c r="F44" s="422"/>
      <c r="G44" s="422"/>
      <c r="H44" s="422"/>
      <c r="I44" s="422"/>
    </row>
    <row r="45">
      <c r="A45" s="429"/>
      <c r="B45" s="422"/>
      <c r="C45" s="422"/>
      <c r="D45" s="422"/>
      <c r="E45" s="422"/>
      <c r="F45" s="422"/>
      <c r="G45" s="422"/>
      <c r="H45" s="422"/>
      <c r="I45" s="422"/>
    </row>
    <row r="46">
      <c r="A46" s="429"/>
      <c r="B46" s="422"/>
      <c r="C46" s="422"/>
      <c r="D46" s="422"/>
      <c r="E46" s="422"/>
      <c r="F46" s="422"/>
      <c r="G46" s="422"/>
      <c r="H46" s="422"/>
      <c r="I46" s="422"/>
    </row>
    <row r="47">
      <c r="A47" s="430"/>
      <c r="B47" s="422"/>
      <c r="C47" s="422"/>
      <c r="D47" s="422"/>
      <c r="E47" s="422"/>
      <c r="F47" s="422"/>
      <c r="G47" s="422"/>
      <c r="H47" s="422"/>
      <c r="I47" s="422"/>
    </row>
    <row r="48">
      <c r="A48" s="429"/>
      <c r="B48" s="422"/>
      <c r="C48" s="422"/>
      <c r="D48" s="422"/>
      <c r="E48" s="422"/>
      <c r="F48" s="422"/>
      <c r="G48" s="422"/>
      <c r="H48" s="422"/>
      <c r="I48" s="422"/>
    </row>
    <row r="49">
      <c r="A49" s="429"/>
      <c r="B49" s="422"/>
      <c r="C49" s="422"/>
      <c r="D49" s="422"/>
      <c r="E49" s="422"/>
      <c r="F49" s="422"/>
      <c r="G49" s="422"/>
      <c r="H49" s="422"/>
      <c r="I49" s="422"/>
    </row>
    <row r="50">
      <c r="A50" s="429"/>
      <c r="B50" s="422"/>
      <c r="C50" s="422"/>
      <c r="D50" s="422"/>
      <c r="E50" s="422"/>
      <c r="F50" s="422"/>
      <c r="G50" s="422"/>
      <c r="H50" s="422"/>
      <c r="I50" s="422"/>
    </row>
    <row r="51">
      <c r="A51" s="431"/>
      <c r="B51" s="422"/>
      <c r="C51" s="430"/>
      <c r="D51" s="422"/>
      <c r="E51" s="422"/>
      <c r="F51" s="422"/>
      <c r="G51" s="422"/>
      <c r="H51" s="422"/>
      <c r="I51" s="422"/>
    </row>
    <row r="52">
      <c r="A52" s="429"/>
      <c r="B52" s="422"/>
      <c r="C52" s="422"/>
      <c r="D52" s="422"/>
      <c r="E52" s="422"/>
      <c r="F52" s="422"/>
      <c r="G52" s="422"/>
      <c r="H52" s="422"/>
      <c r="I52" s="422"/>
    </row>
    <row r="53">
      <c r="A53" s="430"/>
      <c r="B53" s="422"/>
      <c r="C53" s="430"/>
      <c r="D53" s="422"/>
      <c r="E53" s="422"/>
      <c r="F53" s="422"/>
      <c r="G53" s="422"/>
      <c r="H53" s="422"/>
      <c r="I53" s="422"/>
    </row>
    <row r="54">
      <c r="A54" s="432"/>
      <c r="B54" s="422"/>
      <c r="C54" s="422"/>
      <c r="D54" s="422"/>
      <c r="E54" s="422"/>
      <c r="F54" s="422"/>
      <c r="G54" s="422"/>
      <c r="H54" s="422"/>
      <c r="I54" s="422"/>
    </row>
    <row r="55">
      <c r="A55" s="432"/>
      <c r="B55" s="422"/>
      <c r="C55" s="422"/>
      <c r="D55" s="422"/>
      <c r="E55" s="422"/>
      <c r="F55" s="422"/>
      <c r="G55" s="422"/>
      <c r="H55" s="422"/>
      <c r="I55" s="422"/>
    </row>
    <row r="56">
      <c r="A56" s="430"/>
      <c r="B56" s="422"/>
      <c r="C56" s="422"/>
      <c r="D56" s="422"/>
      <c r="E56" s="422"/>
      <c r="F56" s="422"/>
      <c r="G56" s="422"/>
      <c r="H56" s="422"/>
      <c r="I56" s="422"/>
    </row>
    <row r="57">
      <c r="A57" s="430"/>
      <c r="B57" s="422"/>
      <c r="C57" s="422"/>
      <c r="D57" s="422"/>
      <c r="E57" s="422"/>
      <c r="F57" s="422"/>
      <c r="G57" s="422"/>
      <c r="H57" s="422"/>
      <c r="I57" s="422"/>
    </row>
    <row r="58">
      <c r="A58" s="430"/>
      <c r="B58" s="422"/>
      <c r="C58" s="422"/>
      <c r="D58" s="422"/>
      <c r="E58" s="422"/>
      <c r="F58" s="422"/>
      <c r="G58" s="422"/>
      <c r="H58" s="422"/>
      <c r="I58" s="422"/>
    </row>
    <row r="59">
      <c r="A59" s="430"/>
      <c r="B59" s="422"/>
      <c r="C59" s="422"/>
      <c r="D59" s="422"/>
      <c r="E59" s="422"/>
      <c r="F59" s="422"/>
      <c r="G59" s="422"/>
      <c r="H59" s="422"/>
      <c r="I59" s="422"/>
    </row>
    <row r="60">
      <c r="A60" s="430"/>
      <c r="B60" s="422"/>
      <c r="C60" s="422"/>
      <c r="D60" s="422"/>
      <c r="E60" s="422"/>
      <c r="F60" s="422"/>
      <c r="G60" s="422"/>
      <c r="H60" s="422"/>
      <c r="I60" s="422"/>
    </row>
    <row r="61">
      <c r="A61" s="430"/>
      <c r="B61" s="422"/>
      <c r="C61" s="422"/>
      <c r="D61" s="422"/>
      <c r="E61" s="422"/>
      <c r="F61" s="422"/>
      <c r="G61" s="422"/>
      <c r="H61" s="422"/>
      <c r="I61" s="422"/>
    </row>
    <row r="62">
      <c r="A62" s="430"/>
      <c r="B62" s="422"/>
      <c r="C62" s="422"/>
      <c r="D62" s="422"/>
      <c r="E62" s="422"/>
      <c r="F62" s="422"/>
      <c r="G62" s="422"/>
      <c r="H62" s="422"/>
      <c r="I62" s="422"/>
    </row>
    <row r="63">
      <c r="A63" s="430"/>
      <c r="B63" s="422"/>
      <c r="C63" s="422"/>
      <c r="D63" s="422"/>
      <c r="E63" s="422"/>
      <c r="F63" s="422"/>
      <c r="G63" s="422"/>
      <c r="H63" s="422"/>
      <c r="I63" s="422"/>
    </row>
    <row r="64">
      <c r="A64" s="430"/>
      <c r="B64" s="422"/>
      <c r="C64" s="422"/>
      <c r="D64" s="422"/>
      <c r="E64" s="422"/>
      <c r="F64" s="422"/>
      <c r="G64" s="422"/>
      <c r="H64" s="422"/>
      <c r="I64" s="422"/>
    </row>
    <row r="65">
      <c r="A65" s="430"/>
      <c r="B65" s="422"/>
      <c r="C65" s="422"/>
      <c r="D65" s="422"/>
      <c r="E65" s="422"/>
      <c r="F65" s="422"/>
      <c r="G65" s="422"/>
      <c r="H65" s="422"/>
      <c r="I65" s="422"/>
    </row>
    <row r="66">
      <c r="A66" s="430"/>
      <c r="B66" s="422"/>
      <c r="C66" s="422"/>
      <c r="D66" s="422"/>
      <c r="E66" s="422"/>
      <c r="F66" s="422"/>
      <c r="G66" s="422"/>
      <c r="H66" s="422"/>
      <c r="I66" s="422"/>
    </row>
    <row r="67">
      <c r="A67" s="430"/>
      <c r="B67" s="422"/>
      <c r="C67" s="422"/>
      <c r="D67" s="422"/>
      <c r="E67" s="422"/>
      <c r="F67" s="422"/>
      <c r="G67" s="422"/>
      <c r="H67" s="422"/>
      <c r="I67" s="422"/>
    </row>
    <row r="68">
      <c r="A68" s="430"/>
      <c r="B68" s="422"/>
      <c r="C68" s="422"/>
      <c r="D68" s="422"/>
      <c r="E68" s="422"/>
      <c r="F68" s="422"/>
      <c r="G68" s="422"/>
      <c r="H68" s="422"/>
      <c r="I68" s="422"/>
    </row>
    <row r="69">
      <c r="A69" s="430"/>
      <c r="B69" s="422"/>
      <c r="C69" s="422"/>
      <c r="D69" s="422"/>
      <c r="E69" s="422"/>
      <c r="F69" s="422"/>
      <c r="G69" s="422"/>
      <c r="H69" s="422"/>
      <c r="I69" s="422"/>
    </row>
    <row r="70">
      <c r="A70" s="430"/>
      <c r="B70" s="422"/>
      <c r="C70" s="422"/>
      <c r="D70" s="422"/>
      <c r="E70" s="422"/>
      <c r="F70" s="422"/>
      <c r="G70" s="422"/>
      <c r="H70" s="422"/>
      <c r="I70" s="422"/>
    </row>
    <row r="71">
      <c r="A71" s="430"/>
      <c r="B71" s="422"/>
      <c r="C71" s="422"/>
      <c r="D71" s="422"/>
      <c r="E71" s="422"/>
      <c r="F71" s="422"/>
      <c r="G71" s="422"/>
      <c r="H71" s="422"/>
      <c r="I71" s="422"/>
    </row>
    <row r="72">
      <c r="A72" s="430"/>
      <c r="B72" s="422"/>
      <c r="C72" s="422"/>
      <c r="D72" s="422"/>
      <c r="E72" s="422"/>
      <c r="F72" s="422"/>
      <c r="G72" s="422"/>
      <c r="H72" s="422"/>
      <c r="I72" s="422"/>
    </row>
    <row r="73">
      <c r="A73" s="430"/>
      <c r="B73" s="422"/>
      <c r="C73" s="422"/>
      <c r="D73" s="422"/>
      <c r="E73" s="422"/>
      <c r="F73" s="422"/>
      <c r="G73" s="422"/>
      <c r="H73" s="422"/>
      <c r="I73" s="422"/>
    </row>
    <row r="74">
      <c r="A74" s="430"/>
      <c r="B74" s="422"/>
      <c r="C74" s="422"/>
      <c r="D74" s="422"/>
      <c r="E74" s="422"/>
      <c r="F74" s="422"/>
      <c r="G74" s="422"/>
      <c r="H74" s="422"/>
      <c r="I74" s="422"/>
    </row>
    <row r="75">
      <c r="A75" s="430"/>
      <c r="B75" s="422"/>
      <c r="C75" s="422"/>
      <c r="D75" s="422"/>
      <c r="E75" s="422"/>
      <c r="F75" s="422"/>
      <c r="G75" s="422"/>
      <c r="H75" s="422"/>
      <c r="I75" s="422"/>
    </row>
    <row r="76">
      <c r="A76" s="430"/>
      <c r="B76" s="422"/>
      <c r="C76" s="422"/>
      <c r="D76" s="422"/>
      <c r="E76" s="422"/>
      <c r="F76" s="422"/>
      <c r="G76" s="422"/>
      <c r="H76" s="422"/>
      <c r="I76" s="422"/>
    </row>
    <row r="77">
      <c r="A77" s="430"/>
      <c r="B77" s="422"/>
      <c r="C77" s="422"/>
      <c r="D77" s="422"/>
      <c r="E77" s="422"/>
      <c r="F77" s="422"/>
      <c r="G77" s="422"/>
      <c r="H77" s="422"/>
      <c r="I77" s="422"/>
    </row>
    <row r="78">
      <c r="A78" s="430"/>
      <c r="B78" s="422"/>
      <c r="C78" s="422"/>
      <c r="D78" s="422"/>
      <c r="E78" s="422"/>
      <c r="F78" s="422"/>
      <c r="G78" s="422"/>
      <c r="H78" s="422"/>
      <c r="I78" s="422"/>
    </row>
    <row r="79">
      <c r="A79" s="430"/>
      <c r="B79" s="422"/>
      <c r="C79" s="422"/>
      <c r="D79" s="422"/>
      <c r="E79" s="422"/>
      <c r="F79" s="422"/>
      <c r="G79" s="422"/>
      <c r="H79" s="422"/>
      <c r="I79" s="422"/>
    </row>
    <row r="80">
      <c r="A80" s="430"/>
      <c r="B80" s="422"/>
      <c r="C80" s="422"/>
      <c r="D80" s="422"/>
      <c r="E80" s="422"/>
      <c r="F80" s="422"/>
      <c r="G80" s="422"/>
      <c r="H80" s="422"/>
      <c r="I80" s="422"/>
    </row>
    <row r="81">
      <c r="A81" s="430"/>
      <c r="B81" s="422"/>
      <c r="C81" s="422"/>
      <c r="D81" s="422"/>
      <c r="E81" s="422"/>
      <c r="F81" s="422"/>
      <c r="G81" s="422"/>
      <c r="H81" s="422"/>
      <c r="I81" s="422"/>
    </row>
    <row r="82">
      <c r="A82" s="430"/>
      <c r="B82" s="422"/>
      <c r="C82" s="422"/>
      <c r="D82" s="422"/>
      <c r="E82" s="422"/>
      <c r="F82" s="422"/>
      <c r="G82" s="422"/>
      <c r="H82" s="422"/>
      <c r="I82" s="422"/>
    </row>
    <row r="83">
      <c r="A83" s="430"/>
      <c r="B83" s="422"/>
      <c r="C83" s="422"/>
      <c r="D83" s="422"/>
      <c r="E83" s="422"/>
      <c r="F83" s="422"/>
      <c r="G83" s="422"/>
      <c r="H83" s="422"/>
      <c r="I83" s="422"/>
    </row>
    <row r="84">
      <c r="A84" s="430"/>
      <c r="B84" s="422"/>
      <c r="C84" s="422"/>
      <c r="D84" s="422"/>
      <c r="E84" s="422"/>
      <c r="F84" s="422"/>
      <c r="G84" s="422"/>
      <c r="H84" s="422"/>
      <c r="I84" s="422"/>
    </row>
    <row r="85">
      <c r="A85" s="430"/>
      <c r="B85" s="422"/>
      <c r="C85" s="422"/>
      <c r="D85" s="422"/>
      <c r="E85" s="422"/>
      <c r="F85" s="422"/>
      <c r="G85" s="422"/>
      <c r="H85" s="422"/>
      <c r="I85" s="422"/>
    </row>
    <row r="86">
      <c r="A86" s="430"/>
      <c r="B86" s="422"/>
      <c r="C86" s="422"/>
      <c r="D86" s="422"/>
      <c r="E86" s="422"/>
      <c r="F86" s="422"/>
      <c r="G86" s="422"/>
      <c r="H86" s="422"/>
      <c r="I86" s="422"/>
    </row>
    <row r="87">
      <c r="A87" s="430"/>
      <c r="B87" s="422"/>
      <c r="C87" s="422"/>
      <c r="D87" s="422"/>
      <c r="E87" s="422"/>
      <c r="F87" s="422"/>
      <c r="G87" s="422"/>
      <c r="H87" s="422"/>
      <c r="I87" s="422"/>
    </row>
    <row r="88">
      <c r="A88" s="430"/>
      <c r="B88" s="422"/>
      <c r="C88" s="422"/>
      <c r="D88" s="422"/>
      <c r="E88" s="422"/>
      <c r="F88" s="422"/>
      <c r="G88" s="422"/>
      <c r="H88" s="422"/>
      <c r="I88" s="422"/>
    </row>
    <row r="89">
      <c r="A89" s="430"/>
      <c r="B89" s="422"/>
      <c r="C89" s="422"/>
      <c r="D89" s="422"/>
      <c r="E89" s="422"/>
      <c r="F89" s="422"/>
      <c r="G89" s="422"/>
      <c r="H89" s="422"/>
      <c r="I89" s="422"/>
    </row>
    <row r="90">
      <c r="A90" s="430"/>
      <c r="B90" s="422"/>
      <c r="C90" s="422"/>
      <c r="D90" s="422"/>
      <c r="E90" s="422"/>
      <c r="F90" s="422"/>
      <c r="G90" s="422"/>
      <c r="H90" s="422"/>
      <c r="I90" s="422"/>
    </row>
    <row r="91">
      <c r="A91" s="430"/>
      <c r="B91" s="422"/>
      <c r="C91" s="422"/>
      <c r="D91" s="422"/>
      <c r="E91" s="422"/>
      <c r="F91" s="422"/>
      <c r="G91" s="422"/>
      <c r="H91" s="422"/>
      <c r="I91" s="422"/>
    </row>
    <row r="92">
      <c r="A92" s="430"/>
      <c r="B92" s="422"/>
      <c r="C92" s="422"/>
      <c r="D92" s="422"/>
      <c r="E92" s="422"/>
      <c r="F92" s="422"/>
      <c r="G92" s="422"/>
      <c r="H92" s="422"/>
      <c r="I92" s="422"/>
    </row>
    <row r="93">
      <c r="A93" s="430"/>
      <c r="B93" s="422"/>
      <c r="C93" s="422"/>
      <c r="D93" s="422"/>
      <c r="E93" s="422"/>
      <c r="F93" s="422"/>
      <c r="G93" s="422"/>
      <c r="H93" s="422"/>
      <c r="I93" s="422"/>
    </row>
    <row r="94">
      <c r="A94" s="430"/>
      <c r="B94" s="422"/>
      <c r="C94" s="422"/>
      <c r="D94" s="422"/>
      <c r="E94" s="422"/>
      <c r="F94" s="422"/>
      <c r="G94" s="422"/>
      <c r="H94" s="422"/>
      <c r="I94" s="422"/>
    </row>
    <row r="95">
      <c r="A95" s="430"/>
      <c r="B95" s="422"/>
      <c r="C95" s="422"/>
      <c r="D95" s="422"/>
      <c r="E95" s="422"/>
      <c r="F95" s="422"/>
      <c r="G95" s="422"/>
      <c r="H95" s="422"/>
      <c r="I95" s="422"/>
    </row>
    <row r="96">
      <c r="A96" s="430"/>
      <c r="B96" s="422"/>
      <c r="C96" s="422"/>
      <c r="D96" s="422"/>
      <c r="E96" s="422"/>
      <c r="F96" s="422"/>
      <c r="G96" s="422"/>
      <c r="H96" s="422"/>
      <c r="I96" s="422"/>
    </row>
    <row r="97">
      <c r="A97" s="430"/>
      <c r="B97" s="422"/>
      <c r="C97" s="422"/>
      <c r="D97" s="422"/>
      <c r="E97" s="422"/>
      <c r="F97" s="422"/>
      <c r="G97" s="422"/>
      <c r="H97" s="422"/>
      <c r="I97" s="422"/>
    </row>
    <row r="98">
      <c r="A98" s="430"/>
      <c r="B98" s="422"/>
      <c r="C98" s="422"/>
      <c r="D98" s="422"/>
      <c r="E98" s="422"/>
      <c r="F98" s="422"/>
      <c r="G98" s="422"/>
      <c r="H98" s="422"/>
      <c r="I98" s="422"/>
    </row>
    <row r="99">
      <c r="A99" s="430"/>
      <c r="B99" s="422"/>
      <c r="C99" s="422"/>
      <c r="D99" s="422"/>
      <c r="E99" s="422"/>
      <c r="F99" s="422"/>
      <c r="G99" s="422"/>
      <c r="H99" s="422"/>
      <c r="I99" s="422"/>
    </row>
    <row r="100">
      <c r="A100" s="430"/>
      <c r="B100" s="422"/>
      <c r="C100" s="422"/>
      <c r="D100" s="422"/>
      <c r="E100" s="422"/>
      <c r="F100" s="422"/>
      <c r="G100" s="422"/>
      <c r="H100" s="422"/>
      <c r="I100" s="422"/>
    </row>
    <row r="101">
      <c r="A101" s="430"/>
      <c r="B101" s="422"/>
      <c r="C101" s="422"/>
      <c r="D101" s="422"/>
      <c r="E101" s="422"/>
      <c r="F101" s="422"/>
      <c r="G101" s="422"/>
      <c r="H101" s="422"/>
      <c r="I101" s="422"/>
    </row>
    <row r="102">
      <c r="A102" s="430"/>
      <c r="B102" s="422"/>
      <c r="C102" s="422"/>
      <c r="D102" s="422"/>
      <c r="E102" s="422"/>
      <c r="F102" s="422"/>
      <c r="G102" s="422"/>
      <c r="H102" s="422"/>
      <c r="I102" s="422"/>
    </row>
    <row r="103">
      <c r="A103" s="430"/>
      <c r="B103" s="422"/>
      <c r="C103" s="422"/>
      <c r="D103" s="422"/>
      <c r="E103" s="422"/>
      <c r="F103" s="422"/>
      <c r="G103" s="422"/>
      <c r="H103" s="422"/>
      <c r="I103" s="422"/>
    </row>
    <row r="104">
      <c r="A104" s="430"/>
      <c r="B104" s="422"/>
      <c r="C104" s="422"/>
      <c r="D104" s="422"/>
      <c r="E104" s="422"/>
      <c r="F104" s="422"/>
      <c r="G104" s="422"/>
      <c r="H104" s="422"/>
      <c r="I104" s="422"/>
    </row>
    <row r="105">
      <c r="A105" s="430"/>
      <c r="B105" s="422"/>
      <c r="C105" s="422"/>
      <c r="D105" s="422"/>
      <c r="E105" s="422"/>
      <c r="F105" s="422"/>
      <c r="G105" s="422"/>
      <c r="H105" s="422"/>
      <c r="I105" s="422"/>
    </row>
    <row r="106">
      <c r="A106" s="430"/>
      <c r="B106" s="422"/>
      <c r="C106" s="422"/>
      <c r="D106" s="422"/>
      <c r="E106" s="422"/>
      <c r="F106" s="422"/>
      <c r="G106" s="422"/>
      <c r="H106" s="422"/>
      <c r="I106" s="422"/>
    </row>
    <row r="107">
      <c r="A107" s="430"/>
      <c r="B107" s="422"/>
      <c r="C107" s="422"/>
      <c r="D107" s="422"/>
      <c r="E107" s="422"/>
      <c r="F107" s="422"/>
      <c r="G107" s="422"/>
      <c r="H107" s="422"/>
      <c r="I107" s="422"/>
    </row>
    <row r="108">
      <c r="A108" s="430"/>
      <c r="B108" s="422"/>
      <c r="C108" s="422"/>
      <c r="D108" s="422"/>
      <c r="E108" s="422"/>
      <c r="F108" s="422"/>
      <c r="G108" s="422"/>
      <c r="H108" s="422"/>
      <c r="I108" s="422"/>
    </row>
    <row r="109">
      <c r="A109" s="430"/>
      <c r="B109" s="422"/>
      <c r="C109" s="422"/>
      <c r="D109" s="422"/>
      <c r="E109" s="422"/>
      <c r="F109" s="422"/>
      <c r="G109" s="422"/>
      <c r="H109" s="422"/>
      <c r="I109" s="422"/>
    </row>
    <row r="110">
      <c r="A110" s="430"/>
      <c r="B110" s="422"/>
      <c r="C110" s="422"/>
      <c r="D110" s="422"/>
      <c r="E110" s="422"/>
      <c r="F110" s="422"/>
      <c r="G110" s="422"/>
      <c r="H110" s="422"/>
      <c r="I110" s="422"/>
    </row>
    <row r="111">
      <c r="A111" s="430"/>
      <c r="B111" s="422"/>
      <c r="C111" s="422"/>
      <c r="D111" s="422"/>
      <c r="E111" s="422"/>
      <c r="F111" s="422"/>
      <c r="G111" s="422"/>
      <c r="H111" s="422"/>
      <c r="I111" s="422"/>
    </row>
    <row r="112">
      <c r="A112" s="430"/>
      <c r="B112" s="422"/>
      <c r="C112" s="422"/>
      <c r="D112" s="422"/>
      <c r="E112" s="422"/>
      <c r="F112" s="422"/>
      <c r="G112" s="422"/>
      <c r="H112" s="422"/>
      <c r="I112" s="422"/>
    </row>
    <row r="113">
      <c r="A113" s="430"/>
      <c r="B113" s="422"/>
      <c r="C113" s="422"/>
      <c r="D113" s="422"/>
      <c r="E113" s="422"/>
      <c r="F113" s="422"/>
      <c r="G113" s="422"/>
      <c r="H113" s="422"/>
      <c r="I113" s="422"/>
    </row>
    <row r="114">
      <c r="A114" s="430"/>
      <c r="B114" s="422"/>
      <c r="C114" s="422"/>
      <c r="D114" s="422"/>
      <c r="E114" s="422"/>
      <c r="F114" s="422"/>
      <c r="G114" s="422"/>
      <c r="H114" s="422"/>
      <c r="I114" s="422"/>
    </row>
    <row r="115">
      <c r="A115" s="430"/>
      <c r="B115" s="422"/>
      <c r="C115" s="422"/>
      <c r="D115" s="422"/>
      <c r="E115" s="422"/>
      <c r="F115" s="422"/>
      <c r="G115" s="422"/>
      <c r="H115" s="422"/>
      <c r="I115" s="422"/>
    </row>
    <row r="116">
      <c r="A116" s="430"/>
      <c r="B116" s="422"/>
      <c r="C116" s="422"/>
      <c r="D116" s="422"/>
      <c r="E116" s="422"/>
      <c r="F116" s="422"/>
      <c r="G116" s="422"/>
      <c r="H116" s="422"/>
      <c r="I116" s="422"/>
    </row>
    <row r="117">
      <c r="A117" s="430"/>
      <c r="B117" s="422"/>
      <c r="C117" s="422"/>
      <c r="D117" s="422"/>
      <c r="E117" s="422"/>
      <c r="F117" s="422"/>
      <c r="G117" s="422"/>
      <c r="H117" s="422"/>
      <c r="I117" s="422"/>
    </row>
    <row r="118">
      <c r="A118" s="430"/>
      <c r="B118" s="422"/>
      <c r="C118" s="422"/>
      <c r="D118" s="422"/>
      <c r="E118" s="422"/>
      <c r="F118" s="422"/>
      <c r="G118" s="422"/>
      <c r="H118" s="422"/>
      <c r="I118" s="422"/>
    </row>
    <row r="119">
      <c r="A119" s="430"/>
      <c r="B119" s="422"/>
      <c r="C119" s="422"/>
      <c r="D119" s="422"/>
      <c r="E119" s="422"/>
      <c r="F119" s="422"/>
      <c r="G119" s="422"/>
      <c r="H119" s="422"/>
      <c r="I119" s="422"/>
    </row>
    <row r="120">
      <c r="A120" s="430"/>
      <c r="B120" s="422"/>
      <c r="C120" s="422"/>
      <c r="D120" s="422"/>
      <c r="E120" s="422"/>
      <c r="F120" s="422"/>
      <c r="G120" s="422"/>
      <c r="H120" s="422"/>
      <c r="I120" s="422"/>
    </row>
    <row r="121">
      <c r="A121" s="430"/>
      <c r="B121" s="422"/>
      <c r="C121" s="422"/>
      <c r="D121" s="422"/>
      <c r="E121" s="422"/>
      <c r="F121" s="422"/>
      <c r="G121" s="422"/>
      <c r="H121" s="422"/>
      <c r="I121" s="422"/>
    </row>
    <row r="122">
      <c r="A122" s="430"/>
      <c r="B122" s="422"/>
      <c r="C122" s="422"/>
      <c r="D122" s="422"/>
      <c r="E122" s="422"/>
      <c r="F122" s="422"/>
      <c r="G122" s="422"/>
      <c r="H122" s="422"/>
      <c r="I122" s="422"/>
    </row>
    <row r="123">
      <c r="A123" s="430"/>
      <c r="B123" s="422"/>
      <c r="C123" s="422"/>
      <c r="D123" s="422"/>
      <c r="E123" s="422"/>
      <c r="F123" s="422"/>
      <c r="G123" s="422"/>
      <c r="H123" s="422"/>
      <c r="I123" s="422"/>
    </row>
    <row r="124">
      <c r="A124" s="430"/>
      <c r="B124" s="422"/>
      <c r="C124" s="422"/>
      <c r="D124" s="422"/>
      <c r="E124" s="422"/>
      <c r="F124" s="422"/>
      <c r="G124" s="422"/>
      <c r="H124" s="422"/>
      <c r="I124" s="422"/>
    </row>
    <row r="125">
      <c r="A125" s="430"/>
      <c r="B125" s="422"/>
      <c r="C125" s="422"/>
      <c r="D125" s="422"/>
      <c r="E125" s="422"/>
      <c r="F125" s="422"/>
      <c r="G125" s="422"/>
      <c r="H125" s="422"/>
      <c r="I125" s="422"/>
    </row>
    <row r="126">
      <c r="A126" s="430"/>
      <c r="B126" s="422"/>
      <c r="C126" s="422"/>
      <c r="D126" s="422"/>
      <c r="E126" s="422"/>
      <c r="F126" s="422"/>
      <c r="G126" s="422"/>
      <c r="H126" s="422"/>
      <c r="I126" s="422"/>
    </row>
    <row r="127">
      <c r="A127" s="430"/>
      <c r="B127" s="422"/>
      <c r="C127" s="422"/>
      <c r="D127" s="422"/>
      <c r="E127" s="422"/>
      <c r="F127" s="422"/>
      <c r="G127" s="422"/>
      <c r="H127" s="422"/>
      <c r="I127" s="422"/>
    </row>
    <row r="128">
      <c r="A128" s="430"/>
      <c r="B128" s="422"/>
      <c r="C128" s="422"/>
      <c r="D128" s="422"/>
      <c r="E128" s="422"/>
      <c r="F128" s="422"/>
      <c r="G128" s="422"/>
      <c r="H128" s="422"/>
      <c r="I128" s="422"/>
    </row>
    <row r="129">
      <c r="A129" s="430"/>
      <c r="B129" s="422"/>
      <c r="C129" s="422"/>
      <c r="D129" s="422"/>
      <c r="E129" s="422"/>
      <c r="F129" s="422"/>
      <c r="G129" s="422"/>
      <c r="H129" s="422"/>
      <c r="I129" s="422"/>
    </row>
    <row r="130">
      <c r="A130" s="430"/>
      <c r="B130" s="422"/>
      <c r="C130" s="422"/>
      <c r="D130" s="422"/>
      <c r="E130" s="422"/>
      <c r="F130" s="422"/>
      <c r="G130" s="422"/>
      <c r="H130" s="422"/>
      <c r="I130" s="422"/>
    </row>
    <row r="131">
      <c r="A131" s="430"/>
      <c r="B131" s="422"/>
      <c r="C131" s="422"/>
      <c r="D131" s="422"/>
      <c r="E131" s="422"/>
      <c r="F131" s="422"/>
      <c r="G131" s="422"/>
      <c r="H131" s="422"/>
      <c r="I131" s="422"/>
    </row>
    <row r="132">
      <c r="A132" s="430"/>
      <c r="B132" s="422"/>
      <c r="C132" s="422"/>
      <c r="D132" s="422"/>
      <c r="E132" s="422"/>
      <c r="F132" s="422"/>
      <c r="G132" s="422"/>
      <c r="H132" s="422"/>
      <c r="I132" s="422"/>
    </row>
    <row r="133">
      <c r="A133" s="430"/>
      <c r="B133" s="422"/>
      <c r="C133" s="422"/>
      <c r="D133" s="422"/>
      <c r="E133" s="422"/>
      <c r="F133" s="422"/>
      <c r="G133" s="422"/>
      <c r="H133" s="422"/>
      <c r="I133" s="422"/>
    </row>
    <row r="134">
      <c r="A134" s="430"/>
      <c r="B134" s="422"/>
      <c r="C134" s="422"/>
      <c r="D134" s="422"/>
      <c r="E134" s="422"/>
      <c r="F134" s="422"/>
      <c r="G134" s="422"/>
      <c r="H134" s="422"/>
      <c r="I134" s="422"/>
    </row>
    <row r="135">
      <c r="A135" s="430"/>
      <c r="B135" s="422"/>
      <c r="C135" s="422"/>
      <c r="D135" s="422"/>
      <c r="E135" s="422"/>
      <c r="F135" s="422"/>
      <c r="G135" s="422"/>
      <c r="H135" s="422"/>
      <c r="I135" s="422"/>
    </row>
    <row r="136">
      <c r="A136" s="430"/>
      <c r="B136" s="422"/>
      <c r="C136" s="422"/>
      <c r="D136" s="422"/>
      <c r="E136" s="422"/>
      <c r="F136" s="422"/>
      <c r="G136" s="422"/>
      <c r="H136" s="422"/>
      <c r="I136" s="422"/>
    </row>
    <row r="137">
      <c r="A137" s="430"/>
      <c r="B137" s="422"/>
      <c r="C137" s="422"/>
      <c r="D137" s="422"/>
      <c r="E137" s="422"/>
      <c r="F137" s="422"/>
      <c r="G137" s="422"/>
      <c r="H137" s="422"/>
      <c r="I137" s="422"/>
    </row>
    <row r="138">
      <c r="A138" s="430"/>
      <c r="B138" s="422"/>
      <c r="C138" s="422"/>
      <c r="D138" s="422"/>
      <c r="E138" s="422"/>
      <c r="F138" s="422"/>
      <c r="G138" s="422"/>
      <c r="H138" s="422"/>
      <c r="I138" s="422"/>
    </row>
    <row r="139">
      <c r="A139" s="430"/>
      <c r="B139" s="422"/>
      <c r="C139" s="422"/>
      <c r="D139" s="422"/>
      <c r="E139" s="422"/>
      <c r="F139" s="422"/>
      <c r="G139" s="422"/>
      <c r="H139" s="422"/>
      <c r="I139" s="422"/>
    </row>
    <row r="140">
      <c r="A140" s="430"/>
      <c r="B140" s="422"/>
      <c r="C140" s="422"/>
      <c r="D140" s="422"/>
      <c r="E140" s="422"/>
      <c r="F140" s="422"/>
      <c r="G140" s="422"/>
      <c r="H140" s="422"/>
      <c r="I140" s="422"/>
    </row>
    <row r="141">
      <c r="A141" s="430"/>
      <c r="B141" s="422"/>
      <c r="C141" s="422"/>
      <c r="D141" s="422"/>
      <c r="E141" s="422"/>
      <c r="F141" s="422"/>
      <c r="G141" s="422"/>
      <c r="H141" s="422"/>
      <c r="I141" s="422"/>
    </row>
    <row r="142">
      <c r="A142" s="430"/>
      <c r="B142" s="422"/>
      <c r="C142" s="422"/>
      <c r="D142" s="422"/>
      <c r="E142" s="422"/>
      <c r="F142" s="422"/>
      <c r="G142" s="422"/>
      <c r="H142" s="422"/>
      <c r="I142" s="422"/>
    </row>
    <row r="143">
      <c r="A143" s="430"/>
      <c r="B143" s="422"/>
      <c r="C143" s="422"/>
      <c r="D143" s="422"/>
      <c r="E143" s="422"/>
      <c r="F143" s="422"/>
      <c r="G143" s="422"/>
      <c r="H143" s="422"/>
      <c r="I143" s="422"/>
    </row>
    <row r="144">
      <c r="A144" s="430"/>
      <c r="B144" s="422"/>
      <c r="C144" s="422"/>
      <c r="D144" s="422"/>
      <c r="E144" s="422"/>
      <c r="F144" s="422"/>
      <c r="G144" s="422"/>
      <c r="H144" s="422"/>
      <c r="I144" s="422"/>
    </row>
    <row r="145">
      <c r="A145" s="430"/>
      <c r="B145" s="422"/>
      <c r="C145" s="422"/>
      <c r="D145" s="422"/>
      <c r="E145" s="422"/>
      <c r="F145" s="422"/>
      <c r="G145" s="422"/>
      <c r="H145" s="422"/>
      <c r="I145" s="422"/>
    </row>
    <row r="146">
      <c r="A146" s="430"/>
      <c r="B146" s="422"/>
      <c r="C146" s="422"/>
      <c r="D146" s="422"/>
      <c r="E146" s="422"/>
      <c r="F146" s="422"/>
      <c r="G146" s="422"/>
      <c r="H146" s="422"/>
      <c r="I146" s="422"/>
    </row>
    <row r="147">
      <c r="A147" s="430"/>
      <c r="B147" s="422"/>
      <c r="C147" s="422"/>
      <c r="D147" s="422"/>
      <c r="E147" s="422"/>
      <c r="F147" s="422"/>
      <c r="G147" s="422"/>
      <c r="H147" s="422"/>
      <c r="I147" s="422"/>
    </row>
    <row r="148">
      <c r="A148" s="430"/>
      <c r="B148" s="422"/>
      <c r="C148" s="422"/>
      <c r="D148" s="422"/>
      <c r="E148" s="422"/>
      <c r="F148" s="422"/>
      <c r="G148" s="422"/>
      <c r="H148" s="422"/>
      <c r="I148" s="422"/>
    </row>
    <row r="149">
      <c r="A149" s="430"/>
      <c r="B149" s="422"/>
      <c r="C149" s="422"/>
      <c r="D149" s="422"/>
      <c r="E149" s="422"/>
      <c r="F149" s="422"/>
      <c r="G149" s="422"/>
      <c r="H149" s="422"/>
      <c r="I149" s="422"/>
    </row>
    <row r="150">
      <c r="A150" s="430"/>
      <c r="B150" s="422"/>
      <c r="C150" s="422"/>
      <c r="D150" s="422"/>
      <c r="E150" s="422"/>
      <c r="F150" s="422"/>
      <c r="G150" s="422"/>
      <c r="H150" s="422"/>
      <c r="I150" s="422"/>
    </row>
    <row r="151">
      <c r="A151" s="430"/>
      <c r="B151" s="422"/>
      <c r="C151" s="422"/>
      <c r="D151" s="422"/>
      <c r="E151" s="422"/>
      <c r="F151" s="422"/>
      <c r="G151" s="422"/>
      <c r="H151" s="422"/>
      <c r="I151" s="422"/>
    </row>
    <row r="152">
      <c r="A152" s="430"/>
      <c r="B152" s="422"/>
      <c r="C152" s="422"/>
      <c r="D152" s="422"/>
      <c r="E152" s="422"/>
      <c r="F152" s="422"/>
      <c r="G152" s="422"/>
      <c r="H152" s="422"/>
      <c r="I152" s="422"/>
    </row>
    <row r="153">
      <c r="A153" s="430"/>
      <c r="B153" s="422"/>
      <c r="C153" s="422"/>
      <c r="D153" s="422"/>
      <c r="E153" s="422"/>
      <c r="F153" s="422"/>
      <c r="G153" s="422"/>
      <c r="H153" s="422"/>
      <c r="I153" s="422"/>
    </row>
    <row r="154">
      <c r="A154" s="430"/>
      <c r="B154" s="422"/>
      <c r="C154" s="422"/>
      <c r="D154" s="422"/>
      <c r="E154" s="422"/>
      <c r="F154" s="422"/>
      <c r="G154" s="422"/>
      <c r="H154" s="422"/>
      <c r="I154" s="422"/>
    </row>
    <row r="155">
      <c r="A155" s="430"/>
      <c r="B155" s="422"/>
      <c r="C155" s="422"/>
      <c r="D155" s="422"/>
      <c r="E155" s="422"/>
      <c r="F155" s="422"/>
      <c r="G155" s="422"/>
      <c r="H155" s="422"/>
      <c r="I155" s="422"/>
    </row>
    <row r="156">
      <c r="A156" s="430"/>
      <c r="B156" s="422"/>
      <c r="C156" s="422"/>
      <c r="D156" s="422"/>
      <c r="E156" s="422"/>
      <c r="F156" s="422"/>
      <c r="G156" s="422"/>
      <c r="H156" s="422"/>
      <c r="I156" s="422"/>
    </row>
    <row r="157">
      <c r="A157" s="430"/>
      <c r="B157" s="422"/>
      <c r="C157" s="422"/>
      <c r="D157" s="422"/>
      <c r="E157" s="422"/>
      <c r="F157" s="422"/>
      <c r="G157" s="422"/>
      <c r="H157" s="422"/>
      <c r="I157" s="422"/>
    </row>
    <row r="158">
      <c r="A158" s="430"/>
      <c r="B158" s="422"/>
      <c r="C158" s="422"/>
      <c r="D158" s="422"/>
      <c r="E158" s="422"/>
      <c r="F158" s="422"/>
      <c r="G158" s="422"/>
      <c r="H158" s="422"/>
      <c r="I158" s="422"/>
    </row>
    <row r="159">
      <c r="A159" s="430"/>
      <c r="B159" s="422"/>
      <c r="C159" s="422"/>
      <c r="D159" s="422"/>
      <c r="E159" s="422"/>
      <c r="F159" s="422"/>
      <c r="G159" s="422"/>
      <c r="H159" s="422"/>
      <c r="I159" s="422"/>
    </row>
    <row r="160">
      <c r="A160" s="430"/>
      <c r="B160" s="422"/>
      <c r="C160" s="422"/>
      <c r="D160" s="422"/>
      <c r="E160" s="422"/>
      <c r="F160" s="422"/>
      <c r="G160" s="422"/>
      <c r="H160" s="422"/>
      <c r="I160" s="422"/>
    </row>
    <row r="161">
      <c r="A161" s="430"/>
      <c r="B161" s="422"/>
      <c r="C161" s="422"/>
      <c r="D161" s="422"/>
      <c r="E161" s="422"/>
      <c r="F161" s="422"/>
      <c r="G161" s="422"/>
      <c r="H161" s="422"/>
      <c r="I161" s="422"/>
    </row>
    <row r="162">
      <c r="A162" s="430"/>
      <c r="B162" s="422"/>
      <c r="C162" s="422"/>
      <c r="D162" s="422"/>
      <c r="E162" s="422"/>
      <c r="F162" s="422"/>
      <c r="G162" s="422"/>
      <c r="H162" s="422"/>
      <c r="I162" s="422"/>
    </row>
    <row r="163">
      <c r="A163" s="430"/>
      <c r="B163" s="422"/>
      <c r="C163" s="422"/>
      <c r="D163" s="422"/>
      <c r="E163" s="422"/>
      <c r="F163" s="422"/>
      <c r="G163" s="422"/>
      <c r="H163" s="422"/>
      <c r="I163" s="422"/>
    </row>
    <row r="164">
      <c r="A164" s="430"/>
      <c r="B164" s="422"/>
      <c r="C164" s="422"/>
      <c r="D164" s="422"/>
      <c r="E164" s="422"/>
      <c r="F164" s="422"/>
      <c r="G164" s="422"/>
      <c r="H164" s="422"/>
      <c r="I164" s="422"/>
    </row>
    <row r="165">
      <c r="A165" s="430"/>
      <c r="B165" s="422"/>
      <c r="C165" s="422"/>
      <c r="D165" s="422"/>
      <c r="E165" s="422"/>
      <c r="F165" s="422"/>
      <c r="G165" s="422"/>
      <c r="H165" s="422"/>
      <c r="I165" s="422"/>
    </row>
    <row r="166">
      <c r="A166" s="430"/>
      <c r="B166" s="422"/>
      <c r="C166" s="422"/>
      <c r="D166" s="422"/>
      <c r="E166" s="422"/>
      <c r="F166" s="422"/>
      <c r="G166" s="422"/>
      <c r="H166" s="422"/>
      <c r="I166" s="422"/>
    </row>
    <row r="167">
      <c r="A167" s="430"/>
      <c r="B167" s="422"/>
      <c r="C167" s="422"/>
      <c r="D167" s="422"/>
      <c r="E167" s="422"/>
      <c r="F167" s="422"/>
      <c r="G167" s="422"/>
      <c r="H167" s="422"/>
      <c r="I167" s="422"/>
    </row>
    <row r="168">
      <c r="A168" s="430"/>
      <c r="B168" s="422"/>
      <c r="C168" s="422"/>
      <c r="D168" s="422"/>
      <c r="E168" s="422"/>
      <c r="F168" s="422"/>
      <c r="G168" s="422"/>
      <c r="H168" s="422"/>
      <c r="I168" s="422"/>
    </row>
    <row r="169">
      <c r="A169" s="430"/>
      <c r="B169" s="422"/>
      <c r="C169" s="422"/>
      <c r="D169" s="422"/>
      <c r="E169" s="422"/>
      <c r="F169" s="422"/>
      <c r="G169" s="422"/>
      <c r="H169" s="422"/>
      <c r="I169" s="422"/>
    </row>
    <row r="170">
      <c r="A170" s="430"/>
      <c r="B170" s="422"/>
      <c r="C170" s="422"/>
      <c r="D170" s="422"/>
      <c r="E170" s="422"/>
      <c r="F170" s="422"/>
      <c r="G170" s="422"/>
      <c r="H170" s="422"/>
      <c r="I170" s="422"/>
    </row>
    <row r="171">
      <c r="A171" s="430"/>
      <c r="B171" s="422"/>
      <c r="C171" s="422"/>
      <c r="D171" s="422"/>
      <c r="E171" s="422"/>
      <c r="F171" s="422"/>
      <c r="G171" s="422"/>
      <c r="H171" s="422"/>
      <c r="I171" s="422"/>
    </row>
    <row r="172">
      <c r="A172" s="430"/>
      <c r="B172" s="422"/>
      <c r="C172" s="422"/>
      <c r="D172" s="422"/>
      <c r="E172" s="422"/>
      <c r="F172" s="422"/>
      <c r="G172" s="422"/>
      <c r="H172" s="422"/>
      <c r="I172" s="422"/>
    </row>
    <row r="173">
      <c r="A173" s="430"/>
      <c r="B173" s="422"/>
      <c r="C173" s="422"/>
      <c r="D173" s="422"/>
      <c r="E173" s="422"/>
      <c r="F173" s="422"/>
      <c r="G173" s="422"/>
      <c r="H173" s="422"/>
      <c r="I173" s="422"/>
    </row>
    <row r="174">
      <c r="A174" s="430"/>
      <c r="B174" s="422"/>
      <c r="C174" s="422"/>
      <c r="D174" s="422"/>
      <c r="E174" s="422"/>
      <c r="F174" s="422"/>
      <c r="G174" s="422"/>
      <c r="H174" s="422"/>
      <c r="I174" s="422"/>
    </row>
    <row r="175">
      <c r="A175" s="430"/>
      <c r="B175" s="422"/>
      <c r="C175" s="422"/>
      <c r="D175" s="422"/>
      <c r="E175" s="422"/>
      <c r="F175" s="422"/>
      <c r="G175" s="422"/>
      <c r="H175" s="422"/>
      <c r="I175" s="422"/>
    </row>
    <row r="176">
      <c r="A176" s="430"/>
      <c r="B176" s="422"/>
      <c r="C176" s="422"/>
      <c r="D176" s="422"/>
      <c r="E176" s="422"/>
      <c r="F176" s="422"/>
      <c r="G176" s="422"/>
      <c r="H176" s="422"/>
      <c r="I176" s="422"/>
    </row>
    <row r="177">
      <c r="A177" s="430"/>
      <c r="B177" s="422"/>
      <c r="C177" s="422"/>
      <c r="D177" s="422"/>
      <c r="E177" s="422"/>
      <c r="F177" s="422"/>
      <c r="G177" s="422"/>
      <c r="H177" s="422"/>
      <c r="I177" s="422"/>
    </row>
    <row r="178">
      <c r="A178" s="430"/>
      <c r="B178" s="422"/>
      <c r="C178" s="422"/>
      <c r="D178" s="422"/>
      <c r="E178" s="422"/>
      <c r="F178" s="422"/>
      <c r="G178" s="422"/>
      <c r="H178" s="422"/>
      <c r="I178" s="422"/>
    </row>
    <row r="179">
      <c r="A179" s="430"/>
      <c r="B179" s="422"/>
      <c r="C179" s="422"/>
      <c r="D179" s="422"/>
      <c r="E179" s="422"/>
      <c r="F179" s="422"/>
      <c r="G179" s="422"/>
      <c r="H179" s="422"/>
      <c r="I179" s="422"/>
    </row>
    <row r="180">
      <c r="A180" s="430"/>
      <c r="B180" s="422"/>
      <c r="C180" s="422"/>
      <c r="D180" s="422"/>
      <c r="E180" s="422"/>
      <c r="F180" s="422"/>
      <c r="G180" s="422"/>
      <c r="H180" s="422"/>
      <c r="I180" s="422"/>
    </row>
    <row r="181">
      <c r="A181" s="430"/>
      <c r="B181" s="422"/>
      <c r="C181" s="422"/>
      <c r="D181" s="422"/>
      <c r="E181" s="422"/>
      <c r="F181" s="422"/>
      <c r="G181" s="422"/>
      <c r="H181" s="422"/>
      <c r="I181" s="422"/>
    </row>
    <row r="182">
      <c r="A182" s="430"/>
      <c r="B182" s="422"/>
      <c r="C182" s="422"/>
      <c r="D182" s="422"/>
      <c r="E182" s="422"/>
      <c r="F182" s="422"/>
      <c r="G182" s="422"/>
      <c r="H182" s="422"/>
      <c r="I182" s="422"/>
    </row>
    <row r="183">
      <c r="A183" s="430"/>
      <c r="B183" s="422"/>
      <c r="C183" s="422"/>
      <c r="D183" s="422"/>
      <c r="E183" s="422"/>
      <c r="F183" s="422"/>
      <c r="G183" s="422"/>
      <c r="H183" s="422"/>
      <c r="I183" s="422"/>
    </row>
    <row r="184">
      <c r="A184" s="430"/>
      <c r="B184" s="422"/>
      <c r="C184" s="422"/>
      <c r="D184" s="422"/>
      <c r="E184" s="422"/>
      <c r="F184" s="422"/>
      <c r="G184" s="422"/>
      <c r="H184" s="422"/>
      <c r="I184" s="422"/>
    </row>
    <row r="185">
      <c r="A185" s="430"/>
      <c r="B185" s="422"/>
      <c r="C185" s="422"/>
      <c r="D185" s="422"/>
      <c r="E185" s="422"/>
      <c r="F185" s="422"/>
      <c r="G185" s="422"/>
      <c r="H185" s="422"/>
      <c r="I185" s="422"/>
    </row>
    <row r="186">
      <c r="A186" s="430"/>
      <c r="B186" s="422"/>
      <c r="C186" s="422"/>
      <c r="D186" s="422"/>
      <c r="E186" s="422"/>
      <c r="F186" s="422"/>
      <c r="G186" s="422"/>
      <c r="H186" s="422"/>
      <c r="I186" s="422"/>
    </row>
    <row r="187">
      <c r="A187" s="430"/>
      <c r="B187" s="422"/>
      <c r="C187" s="422"/>
      <c r="D187" s="422"/>
      <c r="E187" s="422"/>
      <c r="F187" s="422"/>
      <c r="G187" s="422"/>
      <c r="H187" s="422"/>
      <c r="I187" s="422"/>
    </row>
    <row r="188">
      <c r="A188" s="430"/>
      <c r="B188" s="422"/>
      <c r="C188" s="422"/>
      <c r="D188" s="422"/>
      <c r="E188" s="422"/>
      <c r="F188" s="422"/>
      <c r="G188" s="422"/>
      <c r="H188" s="422"/>
      <c r="I188" s="422"/>
    </row>
    <row r="189">
      <c r="A189" s="430"/>
      <c r="B189" s="422"/>
      <c r="C189" s="422"/>
      <c r="D189" s="422"/>
      <c r="E189" s="422"/>
      <c r="F189" s="422"/>
      <c r="G189" s="422"/>
      <c r="H189" s="422"/>
      <c r="I189" s="422"/>
    </row>
    <row r="190">
      <c r="A190" s="430"/>
      <c r="B190" s="422"/>
      <c r="C190" s="422"/>
      <c r="D190" s="422"/>
      <c r="E190" s="422"/>
      <c r="F190" s="422"/>
      <c r="G190" s="422"/>
      <c r="H190" s="422"/>
      <c r="I190" s="422"/>
    </row>
    <row r="191">
      <c r="A191" s="430"/>
      <c r="B191" s="422"/>
      <c r="C191" s="422"/>
      <c r="D191" s="422"/>
      <c r="E191" s="422"/>
      <c r="F191" s="422"/>
      <c r="G191" s="422"/>
      <c r="H191" s="422"/>
      <c r="I191" s="422"/>
    </row>
    <row r="192">
      <c r="A192" s="430"/>
      <c r="B192" s="422"/>
      <c r="C192" s="422"/>
      <c r="D192" s="422"/>
      <c r="E192" s="422"/>
      <c r="F192" s="422"/>
      <c r="G192" s="422"/>
      <c r="H192" s="422"/>
      <c r="I192" s="422"/>
    </row>
    <row r="193">
      <c r="A193" s="430"/>
      <c r="B193" s="422"/>
      <c r="C193" s="422"/>
      <c r="D193" s="422"/>
      <c r="E193" s="422"/>
      <c r="F193" s="422"/>
      <c r="G193" s="422"/>
      <c r="H193" s="422"/>
      <c r="I193" s="422"/>
    </row>
    <row r="194">
      <c r="A194" s="430"/>
      <c r="B194" s="422"/>
      <c r="C194" s="422"/>
      <c r="D194" s="422"/>
      <c r="E194" s="422"/>
      <c r="F194" s="422"/>
      <c r="G194" s="422"/>
      <c r="H194" s="422"/>
      <c r="I194" s="422"/>
    </row>
    <row r="195">
      <c r="A195" s="430"/>
      <c r="B195" s="422"/>
      <c r="C195" s="422"/>
      <c r="D195" s="422"/>
      <c r="E195" s="422"/>
      <c r="F195" s="422"/>
      <c r="G195" s="422"/>
      <c r="H195" s="422"/>
      <c r="I195" s="422"/>
    </row>
    <row r="196">
      <c r="A196" s="430"/>
      <c r="B196" s="422"/>
      <c r="C196" s="422"/>
      <c r="D196" s="422"/>
      <c r="E196" s="422"/>
      <c r="F196" s="422"/>
      <c r="G196" s="422"/>
      <c r="H196" s="422"/>
      <c r="I196" s="422"/>
    </row>
    <row r="197">
      <c r="A197" s="430"/>
      <c r="B197" s="422"/>
      <c r="C197" s="422"/>
      <c r="D197" s="422"/>
      <c r="E197" s="422"/>
      <c r="F197" s="422"/>
      <c r="G197" s="422"/>
      <c r="H197" s="422"/>
      <c r="I197" s="422"/>
    </row>
    <row r="198">
      <c r="A198" s="430"/>
      <c r="B198" s="422"/>
      <c r="C198" s="422"/>
      <c r="D198" s="422"/>
      <c r="E198" s="422"/>
      <c r="F198" s="422"/>
      <c r="G198" s="422"/>
      <c r="H198" s="422"/>
      <c r="I198" s="422"/>
    </row>
    <row r="199">
      <c r="A199" s="430"/>
      <c r="B199" s="422"/>
      <c r="C199" s="422"/>
      <c r="D199" s="422"/>
      <c r="E199" s="422"/>
      <c r="F199" s="422"/>
      <c r="G199" s="422"/>
      <c r="H199" s="422"/>
      <c r="I199" s="422"/>
    </row>
    <row r="200">
      <c r="A200" s="430"/>
      <c r="B200" s="422"/>
      <c r="C200" s="422"/>
      <c r="D200" s="422"/>
      <c r="E200" s="422"/>
      <c r="F200" s="422"/>
      <c r="G200" s="422"/>
      <c r="H200" s="422"/>
      <c r="I200" s="422"/>
    </row>
    <row r="201">
      <c r="A201" s="430"/>
      <c r="B201" s="422"/>
      <c r="C201" s="422"/>
      <c r="D201" s="422"/>
      <c r="E201" s="422"/>
      <c r="F201" s="422"/>
      <c r="G201" s="422"/>
      <c r="H201" s="422"/>
      <c r="I201" s="422"/>
    </row>
    <row r="202">
      <c r="A202" s="430"/>
      <c r="B202" s="422"/>
      <c r="C202" s="422"/>
      <c r="D202" s="422"/>
      <c r="E202" s="422"/>
      <c r="F202" s="422"/>
      <c r="G202" s="422"/>
      <c r="H202" s="422"/>
      <c r="I202" s="422"/>
    </row>
    <row r="203">
      <c r="A203" s="430"/>
      <c r="B203" s="422"/>
      <c r="C203" s="422"/>
      <c r="D203" s="422"/>
      <c r="E203" s="422"/>
      <c r="F203" s="422"/>
      <c r="G203" s="422"/>
      <c r="H203" s="422"/>
      <c r="I203" s="422"/>
    </row>
    <row r="204">
      <c r="A204" s="430"/>
      <c r="B204" s="422"/>
      <c r="C204" s="422"/>
      <c r="D204" s="422"/>
      <c r="E204" s="422"/>
      <c r="F204" s="422"/>
      <c r="G204" s="422"/>
      <c r="H204" s="422"/>
      <c r="I204" s="422"/>
    </row>
    <row r="205">
      <c r="A205" s="430"/>
      <c r="B205" s="422"/>
      <c r="C205" s="422"/>
      <c r="D205" s="422"/>
      <c r="E205" s="422"/>
      <c r="F205" s="422"/>
      <c r="G205" s="422"/>
      <c r="H205" s="422"/>
      <c r="I205" s="422"/>
    </row>
    <row r="206">
      <c r="A206" s="430"/>
      <c r="B206" s="422"/>
      <c r="C206" s="422"/>
      <c r="D206" s="422"/>
      <c r="E206" s="422"/>
      <c r="F206" s="422"/>
      <c r="G206" s="422"/>
      <c r="H206" s="422"/>
      <c r="I206" s="422"/>
    </row>
    <row r="207">
      <c r="A207" s="430"/>
      <c r="B207" s="422"/>
      <c r="C207" s="422"/>
      <c r="D207" s="422"/>
      <c r="E207" s="422"/>
      <c r="F207" s="422"/>
      <c r="G207" s="422"/>
      <c r="H207" s="422"/>
      <c r="I207" s="422"/>
    </row>
    <row r="208">
      <c r="A208" s="430"/>
      <c r="B208" s="422"/>
      <c r="C208" s="422"/>
      <c r="D208" s="422"/>
      <c r="E208" s="422"/>
      <c r="F208" s="422"/>
      <c r="G208" s="422"/>
      <c r="H208" s="422"/>
      <c r="I208" s="422"/>
    </row>
    <row r="209">
      <c r="A209" s="430"/>
      <c r="B209" s="422"/>
      <c r="C209" s="422"/>
      <c r="D209" s="422"/>
      <c r="E209" s="422"/>
      <c r="F209" s="422"/>
      <c r="G209" s="422"/>
      <c r="H209" s="422"/>
      <c r="I209" s="422"/>
    </row>
    <row r="210">
      <c r="A210" s="430"/>
      <c r="B210" s="422"/>
      <c r="C210" s="422"/>
      <c r="D210" s="422"/>
      <c r="E210" s="422"/>
      <c r="F210" s="422"/>
      <c r="G210" s="422"/>
      <c r="H210" s="422"/>
      <c r="I210" s="422"/>
    </row>
    <row r="211">
      <c r="A211" s="430"/>
      <c r="B211" s="422"/>
      <c r="C211" s="422"/>
      <c r="D211" s="422"/>
      <c r="E211" s="422"/>
      <c r="F211" s="422"/>
      <c r="G211" s="422"/>
      <c r="H211" s="422"/>
      <c r="I211" s="422"/>
    </row>
    <row r="212">
      <c r="A212" s="430"/>
      <c r="B212" s="422"/>
      <c r="C212" s="422"/>
      <c r="D212" s="422"/>
      <c r="E212" s="422"/>
      <c r="F212" s="422"/>
      <c r="G212" s="422"/>
      <c r="H212" s="422"/>
      <c r="I212" s="422"/>
    </row>
    <row r="213">
      <c r="A213" s="430"/>
      <c r="B213" s="422"/>
      <c r="C213" s="422"/>
      <c r="D213" s="422"/>
      <c r="E213" s="422"/>
      <c r="F213" s="422"/>
      <c r="G213" s="422"/>
      <c r="H213" s="422"/>
      <c r="I213" s="422"/>
    </row>
    <row r="214">
      <c r="A214" s="430"/>
      <c r="B214" s="422"/>
      <c r="C214" s="422"/>
      <c r="D214" s="422"/>
      <c r="E214" s="422"/>
      <c r="F214" s="422"/>
      <c r="G214" s="422"/>
      <c r="H214" s="422"/>
      <c r="I214" s="422"/>
    </row>
    <row r="215">
      <c r="A215" s="430"/>
      <c r="B215" s="422"/>
      <c r="C215" s="422"/>
      <c r="D215" s="422"/>
      <c r="E215" s="422"/>
      <c r="F215" s="422"/>
      <c r="G215" s="422"/>
      <c r="H215" s="422"/>
      <c r="I215" s="422"/>
    </row>
    <row r="216">
      <c r="A216" s="430"/>
      <c r="B216" s="422"/>
      <c r="C216" s="422"/>
      <c r="D216" s="422"/>
      <c r="E216" s="422"/>
      <c r="F216" s="422"/>
      <c r="G216" s="422"/>
      <c r="H216" s="422"/>
      <c r="I216" s="422"/>
    </row>
    <row r="217">
      <c r="A217" s="430"/>
      <c r="B217" s="422"/>
      <c r="C217" s="422"/>
      <c r="D217" s="422"/>
      <c r="E217" s="422"/>
      <c r="F217" s="422"/>
      <c r="G217" s="422"/>
      <c r="H217" s="422"/>
      <c r="I217" s="422"/>
    </row>
    <row r="218">
      <c r="A218" s="430"/>
      <c r="B218" s="422"/>
      <c r="C218" s="422"/>
      <c r="D218" s="422"/>
      <c r="E218" s="422"/>
      <c r="F218" s="422"/>
      <c r="G218" s="422"/>
      <c r="H218" s="422"/>
      <c r="I218" s="422"/>
    </row>
    <row r="219">
      <c r="A219" s="430"/>
      <c r="B219" s="422"/>
      <c r="C219" s="422"/>
      <c r="D219" s="422"/>
      <c r="E219" s="422"/>
      <c r="F219" s="422"/>
      <c r="G219" s="422"/>
      <c r="H219" s="422"/>
      <c r="I219" s="422"/>
    </row>
    <row r="220">
      <c r="A220" s="430"/>
      <c r="B220" s="422"/>
      <c r="C220" s="422"/>
      <c r="D220" s="422"/>
      <c r="E220" s="422"/>
      <c r="F220" s="422"/>
      <c r="G220" s="422"/>
      <c r="H220" s="422"/>
      <c r="I220" s="422"/>
    </row>
    <row r="221">
      <c r="A221" s="430"/>
      <c r="B221" s="422"/>
      <c r="C221" s="422"/>
      <c r="D221" s="422"/>
      <c r="E221" s="422"/>
      <c r="F221" s="422"/>
      <c r="G221" s="422"/>
      <c r="H221" s="422"/>
      <c r="I221" s="422"/>
    </row>
    <row r="222">
      <c r="A222" s="430"/>
      <c r="B222" s="422"/>
      <c r="C222" s="422"/>
      <c r="D222" s="422"/>
      <c r="E222" s="422"/>
      <c r="F222" s="422"/>
      <c r="G222" s="422"/>
      <c r="H222" s="422"/>
      <c r="I222" s="422"/>
    </row>
    <row r="223">
      <c r="A223" s="430"/>
      <c r="B223" s="422"/>
      <c r="C223" s="422"/>
      <c r="D223" s="422"/>
      <c r="E223" s="422"/>
      <c r="F223" s="422"/>
      <c r="G223" s="422"/>
      <c r="H223" s="422"/>
      <c r="I223" s="422"/>
    </row>
    <row r="224">
      <c r="A224" s="430"/>
      <c r="B224" s="422"/>
      <c r="C224" s="422"/>
      <c r="D224" s="422"/>
      <c r="E224" s="422"/>
      <c r="F224" s="422"/>
      <c r="G224" s="422"/>
      <c r="H224" s="422"/>
      <c r="I224" s="422"/>
    </row>
    <row r="225">
      <c r="A225" s="430"/>
      <c r="B225" s="422"/>
      <c r="C225" s="422"/>
      <c r="D225" s="422"/>
      <c r="E225" s="422"/>
      <c r="F225" s="422"/>
      <c r="G225" s="422"/>
      <c r="H225" s="422"/>
      <c r="I225" s="422"/>
    </row>
    <row r="226">
      <c r="A226" s="430"/>
      <c r="B226" s="422"/>
      <c r="C226" s="422"/>
      <c r="D226" s="422"/>
      <c r="E226" s="422"/>
      <c r="F226" s="422"/>
      <c r="G226" s="422"/>
      <c r="H226" s="422"/>
      <c r="I226" s="422"/>
    </row>
    <row r="227">
      <c r="A227" s="430"/>
      <c r="B227" s="422"/>
      <c r="C227" s="422"/>
      <c r="D227" s="422"/>
      <c r="E227" s="422"/>
      <c r="F227" s="422"/>
      <c r="G227" s="422"/>
      <c r="H227" s="422"/>
      <c r="I227" s="422"/>
    </row>
    <row r="228">
      <c r="A228" s="430"/>
      <c r="B228" s="422"/>
      <c r="C228" s="422"/>
      <c r="D228" s="422"/>
      <c r="E228" s="422"/>
      <c r="F228" s="422"/>
      <c r="G228" s="422"/>
      <c r="H228" s="422"/>
      <c r="I228" s="422"/>
    </row>
    <row r="229">
      <c r="A229" s="430"/>
      <c r="B229" s="422"/>
      <c r="C229" s="422"/>
      <c r="D229" s="422"/>
      <c r="E229" s="422"/>
      <c r="F229" s="422"/>
      <c r="G229" s="422"/>
      <c r="H229" s="422"/>
      <c r="I229" s="422"/>
    </row>
    <row r="230">
      <c r="A230" s="430"/>
      <c r="B230" s="422"/>
      <c r="C230" s="422"/>
      <c r="D230" s="422"/>
      <c r="E230" s="422"/>
      <c r="F230" s="422"/>
      <c r="G230" s="422"/>
      <c r="H230" s="422"/>
      <c r="I230" s="422"/>
    </row>
    <row r="231">
      <c r="A231" s="430"/>
      <c r="B231" s="422"/>
      <c r="C231" s="422"/>
      <c r="D231" s="422"/>
      <c r="E231" s="422"/>
      <c r="F231" s="422"/>
      <c r="G231" s="422"/>
      <c r="H231" s="422"/>
      <c r="I231" s="422"/>
    </row>
    <row r="232">
      <c r="A232" s="430"/>
      <c r="B232" s="422"/>
      <c r="C232" s="422"/>
      <c r="D232" s="422"/>
      <c r="E232" s="422"/>
      <c r="F232" s="422"/>
      <c r="G232" s="422"/>
      <c r="H232" s="422"/>
      <c r="I232" s="422"/>
    </row>
    <row r="233">
      <c r="A233" s="430"/>
      <c r="B233" s="422"/>
      <c r="C233" s="422"/>
      <c r="D233" s="422"/>
      <c r="E233" s="422"/>
      <c r="F233" s="422"/>
      <c r="G233" s="422"/>
      <c r="H233" s="422"/>
      <c r="I233" s="422"/>
    </row>
    <row r="234">
      <c r="A234" s="430"/>
      <c r="B234" s="422"/>
      <c r="C234" s="422"/>
      <c r="D234" s="422"/>
      <c r="E234" s="422"/>
      <c r="F234" s="422"/>
      <c r="G234" s="422"/>
      <c r="H234" s="422"/>
      <c r="I234" s="422"/>
    </row>
    <row r="235">
      <c r="A235" s="430"/>
      <c r="B235" s="422"/>
      <c r="C235" s="422"/>
      <c r="D235" s="422"/>
      <c r="E235" s="422"/>
      <c r="F235" s="422"/>
      <c r="G235" s="422"/>
      <c r="H235" s="422"/>
      <c r="I235" s="422"/>
    </row>
    <row r="236">
      <c r="A236" s="430"/>
      <c r="B236" s="422"/>
      <c r="C236" s="422"/>
      <c r="D236" s="422"/>
      <c r="E236" s="422"/>
      <c r="F236" s="422"/>
      <c r="G236" s="422"/>
      <c r="H236" s="422"/>
      <c r="I236" s="422"/>
    </row>
    <row r="237">
      <c r="A237" s="430"/>
      <c r="B237" s="422"/>
      <c r="C237" s="422"/>
      <c r="D237" s="422"/>
      <c r="E237" s="422"/>
      <c r="F237" s="422"/>
      <c r="G237" s="422"/>
      <c r="H237" s="422"/>
      <c r="I237" s="422"/>
    </row>
    <row r="238">
      <c r="A238" s="430"/>
      <c r="B238" s="422"/>
      <c r="C238" s="422"/>
      <c r="D238" s="422"/>
      <c r="E238" s="422"/>
      <c r="F238" s="422"/>
      <c r="G238" s="422"/>
      <c r="H238" s="422"/>
      <c r="I238" s="422"/>
    </row>
    <row r="239">
      <c r="A239" s="430"/>
      <c r="B239" s="422"/>
      <c r="C239" s="422"/>
      <c r="D239" s="422"/>
      <c r="E239" s="422"/>
      <c r="F239" s="422"/>
      <c r="G239" s="422"/>
      <c r="H239" s="422"/>
      <c r="I239" s="422"/>
    </row>
    <row r="240">
      <c r="A240" s="430"/>
      <c r="B240" s="422"/>
      <c r="C240" s="422"/>
      <c r="D240" s="422"/>
      <c r="E240" s="422"/>
      <c r="F240" s="422"/>
      <c r="G240" s="422"/>
      <c r="H240" s="422"/>
      <c r="I240" s="422"/>
    </row>
    <row r="241">
      <c r="A241" s="430"/>
      <c r="B241" s="422"/>
      <c r="C241" s="422"/>
      <c r="D241" s="422"/>
      <c r="E241" s="422"/>
      <c r="F241" s="422"/>
      <c r="G241" s="422"/>
      <c r="H241" s="422"/>
      <c r="I241" s="422"/>
    </row>
    <row r="242">
      <c r="A242" s="430"/>
      <c r="B242" s="422"/>
      <c r="C242" s="422"/>
      <c r="D242" s="422"/>
      <c r="E242" s="422"/>
      <c r="F242" s="422"/>
      <c r="G242" s="422"/>
      <c r="H242" s="422"/>
      <c r="I242" s="422"/>
    </row>
    <row r="243">
      <c r="A243" s="430"/>
      <c r="B243" s="422"/>
      <c r="C243" s="422"/>
      <c r="D243" s="422"/>
      <c r="E243" s="422"/>
      <c r="F243" s="422"/>
      <c r="G243" s="422"/>
      <c r="H243" s="422"/>
      <c r="I243" s="422"/>
    </row>
    <row r="244">
      <c r="A244" s="430"/>
      <c r="B244" s="422"/>
      <c r="C244" s="422"/>
      <c r="D244" s="422"/>
      <c r="E244" s="422"/>
      <c r="F244" s="422"/>
      <c r="G244" s="422"/>
      <c r="H244" s="422"/>
      <c r="I244" s="422"/>
    </row>
    <row r="245">
      <c r="A245" s="430"/>
      <c r="B245" s="422"/>
      <c r="C245" s="422"/>
      <c r="D245" s="422"/>
      <c r="E245" s="422"/>
      <c r="F245" s="422"/>
      <c r="G245" s="422"/>
      <c r="H245" s="422"/>
      <c r="I245" s="422"/>
    </row>
    <row r="246">
      <c r="A246" s="430"/>
      <c r="B246" s="422"/>
      <c r="C246" s="422"/>
      <c r="D246" s="422"/>
      <c r="E246" s="422"/>
      <c r="F246" s="422"/>
      <c r="G246" s="422"/>
      <c r="H246" s="422"/>
      <c r="I246" s="422"/>
    </row>
    <row r="247">
      <c r="A247" s="430"/>
      <c r="B247" s="422"/>
      <c r="C247" s="422"/>
      <c r="D247" s="422"/>
      <c r="E247" s="422"/>
      <c r="F247" s="422"/>
      <c r="G247" s="422"/>
      <c r="H247" s="422"/>
      <c r="I247" s="422"/>
    </row>
    <row r="248">
      <c r="A248" s="430"/>
      <c r="B248" s="422"/>
      <c r="C248" s="422"/>
      <c r="D248" s="422"/>
      <c r="E248" s="422"/>
      <c r="F248" s="422"/>
      <c r="G248" s="422"/>
      <c r="H248" s="422"/>
      <c r="I248" s="422"/>
    </row>
    <row r="249">
      <c r="A249" s="430"/>
      <c r="B249" s="422"/>
      <c r="C249" s="422"/>
      <c r="D249" s="422"/>
      <c r="E249" s="422"/>
      <c r="F249" s="422"/>
      <c r="G249" s="422"/>
      <c r="H249" s="422"/>
      <c r="I249" s="422"/>
    </row>
    <row r="250">
      <c r="A250" s="430"/>
      <c r="B250" s="422"/>
      <c r="C250" s="422"/>
      <c r="D250" s="422"/>
      <c r="E250" s="422"/>
      <c r="F250" s="422"/>
      <c r="G250" s="422"/>
      <c r="H250" s="422"/>
      <c r="I250" s="422"/>
    </row>
    <row r="251">
      <c r="A251" s="430"/>
      <c r="B251" s="422"/>
      <c r="C251" s="422"/>
      <c r="D251" s="422"/>
      <c r="E251" s="422"/>
      <c r="F251" s="422"/>
      <c r="G251" s="422"/>
      <c r="H251" s="422"/>
      <c r="I251" s="422"/>
    </row>
    <row r="252">
      <c r="A252" s="430"/>
      <c r="B252" s="422"/>
      <c r="C252" s="422"/>
      <c r="D252" s="422"/>
      <c r="E252" s="422"/>
      <c r="F252" s="422"/>
      <c r="G252" s="422"/>
      <c r="H252" s="422"/>
      <c r="I252" s="422"/>
    </row>
    <row r="253">
      <c r="A253" s="430"/>
      <c r="B253" s="422"/>
      <c r="C253" s="422"/>
      <c r="D253" s="422"/>
      <c r="E253" s="422"/>
      <c r="F253" s="422"/>
      <c r="G253" s="422"/>
      <c r="H253" s="422"/>
      <c r="I253" s="422"/>
    </row>
    <row r="254">
      <c r="A254" s="430"/>
      <c r="B254" s="422"/>
      <c r="C254" s="422"/>
      <c r="D254" s="422"/>
      <c r="E254" s="422"/>
      <c r="F254" s="422"/>
      <c r="G254" s="422"/>
      <c r="H254" s="422"/>
      <c r="I254" s="422"/>
    </row>
    <row r="255">
      <c r="A255" s="430"/>
      <c r="B255" s="422"/>
      <c r="C255" s="422"/>
      <c r="D255" s="422"/>
      <c r="E255" s="422"/>
      <c r="F255" s="422"/>
      <c r="G255" s="422"/>
      <c r="H255" s="422"/>
      <c r="I255" s="422"/>
    </row>
    <row r="256">
      <c r="A256" s="430"/>
      <c r="B256" s="422"/>
      <c r="C256" s="422"/>
      <c r="D256" s="422"/>
      <c r="E256" s="422"/>
      <c r="F256" s="422"/>
      <c r="G256" s="422"/>
      <c r="H256" s="422"/>
      <c r="I256" s="422"/>
    </row>
    <row r="257">
      <c r="A257" s="430"/>
      <c r="B257" s="422"/>
      <c r="C257" s="422"/>
      <c r="D257" s="422"/>
      <c r="E257" s="422"/>
      <c r="F257" s="422"/>
      <c r="G257" s="422"/>
      <c r="H257" s="422"/>
      <c r="I257" s="422"/>
    </row>
    <row r="258">
      <c r="A258" s="430"/>
      <c r="B258" s="422"/>
      <c r="C258" s="422"/>
      <c r="D258" s="422"/>
      <c r="E258" s="422"/>
      <c r="F258" s="422"/>
      <c r="G258" s="422"/>
      <c r="H258" s="422"/>
      <c r="I258" s="422"/>
    </row>
    <row r="259">
      <c r="A259" s="430"/>
      <c r="B259" s="422"/>
      <c r="C259" s="422"/>
      <c r="D259" s="422"/>
      <c r="E259" s="422"/>
      <c r="F259" s="422"/>
      <c r="G259" s="422"/>
      <c r="H259" s="422"/>
      <c r="I259" s="422"/>
    </row>
    <row r="260">
      <c r="A260" s="430"/>
      <c r="B260" s="422"/>
      <c r="C260" s="422"/>
      <c r="D260" s="422"/>
      <c r="E260" s="422"/>
      <c r="F260" s="422"/>
      <c r="G260" s="422"/>
      <c r="H260" s="422"/>
      <c r="I260" s="422"/>
    </row>
    <row r="261">
      <c r="A261" s="430"/>
      <c r="B261" s="422"/>
      <c r="C261" s="422"/>
      <c r="D261" s="422"/>
      <c r="E261" s="422"/>
      <c r="F261" s="422"/>
      <c r="G261" s="422"/>
      <c r="H261" s="422"/>
      <c r="I261" s="422"/>
    </row>
    <row r="262">
      <c r="A262" s="430"/>
      <c r="B262" s="422"/>
      <c r="C262" s="422"/>
      <c r="D262" s="422"/>
      <c r="E262" s="422"/>
      <c r="F262" s="422"/>
      <c r="G262" s="422"/>
      <c r="H262" s="422"/>
      <c r="I262" s="422"/>
    </row>
    <row r="263">
      <c r="A263" s="430"/>
      <c r="B263" s="422"/>
      <c r="C263" s="422"/>
      <c r="D263" s="422"/>
      <c r="E263" s="422"/>
      <c r="F263" s="422"/>
      <c r="G263" s="422"/>
      <c r="H263" s="422"/>
      <c r="I263" s="422"/>
    </row>
    <row r="264">
      <c r="A264" s="430"/>
      <c r="B264" s="422"/>
      <c r="C264" s="422"/>
      <c r="D264" s="422"/>
      <c r="E264" s="422"/>
      <c r="F264" s="422"/>
      <c r="G264" s="422"/>
      <c r="H264" s="422"/>
      <c r="I264" s="422"/>
    </row>
    <row r="265">
      <c r="A265" s="430"/>
      <c r="B265" s="422"/>
      <c r="C265" s="422"/>
      <c r="D265" s="422"/>
      <c r="E265" s="422"/>
      <c r="F265" s="422"/>
      <c r="G265" s="422"/>
      <c r="H265" s="422"/>
      <c r="I265" s="422"/>
    </row>
    <row r="266">
      <c r="A266" s="430"/>
      <c r="B266" s="422"/>
      <c r="C266" s="422"/>
      <c r="D266" s="422"/>
      <c r="E266" s="422"/>
      <c r="F266" s="422"/>
      <c r="G266" s="422"/>
      <c r="H266" s="422"/>
      <c r="I266" s="422"/>
    </row>
    <row r="267">
      <c r="A267" s="430"/>
      <c r="B267" s="422"/>
      <c r="C267" s="422"/>
      <c r="D267" s="422"/>
      <c r="E267" s="422"/>
      <c r="F267" s="422"/>
      <c r="G267" s="422"/>
      <c r="H267" s="422"/>
      <c r="I267" s="422"/>
    </row>
    <row r="268">
      <c r="A268" s="430"/>
      <c r="B268" s="422"/>
      <c r="C268" s="422"/>
      <c r="D268" s="422"/>
      <c r="E268" s="422"/>
      <c r="F268" s="422"/>
      <c r="G268" s="422"/>
      <c r="H268" s="422"/>
      <c r="I268" s="422"/>
    </row>
    <row r="269">
      <c r="A269" s="430"/>
      <c r="B269" s="422"/>
      <c r="C269" s="422"/>
      <c r="D269" s="422"/>
      <c r="E269" s="422"/>
      <c r="F269" s="422"/>
      <c r="G269" s="422"/>
      <c r="H269" s="422"/>
      <c r="I269" s="422"/>
    </row>
    <row r="270">
      <c r="A270" s="430"/>
      <c r="B270" s="422"/>
      <c r="C270" s="422"/>
      <c r="D270" s="422"/>
      <c r="E270" s="422"/>
      <c r="F270" s="422"/>
      <c r="G270" s="422"/>
      <c r="H270" s="422"/>
      <c r="I270" s="422"/>
    </row>
    <row r="271">
      <c r="A271" s="430"/>
      <c r="B271" s="422"/>
      <c r="C271" s="422"/>
      <c r="D271" s="422"/>
      <c r="E271" s="422"/>
      <c r="F271" s="422"/>
      <c r="G271" s="422"/>
      <c r="H271" s="422"/>
      <c r="I271" s="422"/>
    </row>
    <row r="272">
      <c r="A272" s="430"/>
      <c r="B272" s="422"/>
      <c r="C272" s="422"/>
      <c r="D272" s="422"/>
      <c r="E272" s="422"/>
      <c r="F272" s="422"/>
      <c r="G272" s="422"/>
      <c r="H272" s="422"/>
      <c r="I272" s="422"/>
    </row>
    <row r="273">
      <c r="A273" s="430"/>
      <c r="B273" s="422"/>
      <c r="C273" s="422"/>
      <c r="D273" s="422"/>
      <c r="E273" s="422"/>
      <c r="F273" s="422"/>
      <c r="G273" s="422"/>
      <c r="H273" s="422"/>
      <c r="I273" s="422"/>
    </row>
    <row r="274">
      <c r="A274" s="430"/>
      <c r="B274" s="422"/>
      <c r="C274" s="422"/>
      <c r="D274" s="422"/>
      <c r="E274" s="422"/>
      <c r="F274" s="422"/>
      <c r="G274" s="422"/>
      <c r="H274" s="422"/>
      <c r="I274" s="422"/>
    </row>
    <row r="275">
      <c r="A275" s="430"/>
      <c r="B275" s="422"/>
      <c r="C275" s="422"/>
      <c r="D275" s="422"/>
      <c r="E275" s="422"/>
      <c r="F275" s="422"/>
      <c r="G275" s="422"/>
      <c r="H275" s="422"/>
      <c r="I275" s="422"/>
    </row>
    <row r="276">
      <c r="A276" s="430"/>
      <c r="B276" s="422"/>
      <c r="C276" s="422"/>
      <c r="D276" s="422"/>
      <c r="E276" s="422"/>
      <c r="F276" s="422"/>
      <c r="G276" s="422"/>
      <c r="H276" s="422"/>
      <c r="I276" s="422"/>
    </row>
    <row r="277">
      <c r="A277" s="430"/>
      <c r="B277" s="422"/>
      <c r="C277" s="422"/>
      <c r="D277" s="422"/>
      <c r="E277" s="422"/>
      <c r="F277" s="422"/>
      <c r="G277" s="422"/>
      <c r="H277" s="422"/>
      <c r="I277" s="422"/>
    </row>
    <row r="278">
      <c r="A278" s="430"/>
      <c r="B278" s="422"/>
      <c r="C278" s="422"/>
      <c r="D278" s="422"/>
      <c r="E278" s="422"/>
      <c r="F278" s="422"/>
      <c r="G278" s="422"/>
      <c r="H278" s="422"/>
      <c r="I278" s="422"/>
    </row>
    <row r="279">
      <c r="A279" s="430"/>
      <c r="B279" s="422"/>
      <c r="C279" s="422"/>
      <c r="D279" s="422"/>
      <c r="E279" s="422"/>
      <c r="F279" s="422"/>
      <c r="G279" s="422"/>
      <c r="H279" s="422"/>
      <c r="I279" s="422"/>
    </row>
    <row r="280">
      <c r="A280" s="430"/>
      <c r="B280" s="422"/>
      <c r="C280" s="422"/>
      <c r="D280" s="422"/>
      <c r="E280" s="422"/>
      <c r="F280" s="422"/>
      <c r="G280" s="422"/>
      <c r="H280" s="422"/>
      <c r="I280" s="422"/>
    </row>
    <row r="281">
      <c r="A281" s="430"/>
      <c r="B281" s="422"/>
      <c r="C281" s="422"/>
      <c r="D281" s="422"/>
      <c r="E281" s="422"/>
      <c r="F281" s="422"/>
      <c r="G281" s="422"/>
      <c r="H281" s="422"/>
      <c r="I281" s="422"/>
    </row>
    <row r="282">
      <c r="A282" s="430"/>
      <c r="B282" s="422"/>
      <c r="C282" s="422"/>
      <c r="D282" s="422"/>
      <c r="E282" s="422"/>
      <c r="F282" s="422"/>
      <c r="G282" s="422"/>
      <c r="H282" s="422"/>
      <c r="I282" s="422"/>
    </row>
    <row r="283">
      <c r="A283" s="430"/>
      <c r="B283" s="422"/>
      <c r="C283" s="422"/>
      <c r="D283" s="422"/>
      <c r="E283" s="422"/>
      <c r="F283" s="422"/>
      <c r="G283" s="422"/>
      <c r="H283" s="422"/>
      <c r="I283" s="422"/>
    </row>
    <row r="284">
      <c r="A284" s="430"/>
      <c r="B284" s="422"/>
      <c r="C284" s="422"/>
      <c r="D284" s="422"/>
      <c r="E284" s="422"/>
      <c r="F284" s="422"/>
      <c r="G284" s="422"/>
      <c r="H284" s="422"/>
      <c r="I284" s="422"/>
    </row>
    <row r="285">
      <c r="A285" s="430"/>
      <c r="B285" s="422"/>
      <c r="C285" s="422"/>
      <c r="D285" s="422"/>
      <c r="E285" s="422"/>
      <c r="F285" s="422"/>
      <c r="G285" s="422"/>
      <c r="H285" s="422"/>
      <c r="I285" s="422"/>
    </row>
    <row r="286">
      <c r="A286" s="430"/>
      <c r="B286" s="422"/>
      <c r="C286" s="422"/>
      <c r="D286" s="422"/>
      <c r="E286" s="422"/>
      <c r="F286" s="422"/>
      <c r="G286" s="422"/>
      <c r="H286" s="422"/>
      <c r="I286" s="422"/>
    </row>
    <row r="287">
      <c r="A287" s="430"/>
      <c r="B287" s="422"/>
      <c r="C287" s="422"/>
      <c r="D287" s="422"/>
      <c r="E287" s="422"/>
      <c r="F287" s="422"/>
      <c r="G287" s="422"/>
      <c r="H287" s="422"/>
      <c r="I287" s="422"/>
    </row>
    <row r="288">
      <c r="A288" s="430"/>
      <c r="B288" s="422"/>
      <c r="C288" s="422"/>
      <c r="D288" s="422"/>
      <c r="E288" s="422"/>
      <c r="F288" s="422"/>
      <c r="G288" s="422"/>
      <c r="H288" s="422"/>
      <c r="I288" s="422"/>
    </row>
    <row r="289">
      <c r="A289" s="430"/>
      <c r="B289" s="422"/>
      <c r="C289" s="422"/>
      <c r="D289" s="422"/>
      <c r="E289" s="422"/>
      <c r="F289" s="422"/>
      <c r="G289" s="422"/>
      <c r="H289" s="422"/>
      <c r="I289" s="422"/>
    </row>
    <row r="290">
      <c r="A290" s="430"/>
      <c r="B290" s="422"/>
      <c r="C290" s="422"/>
      <c r="D290" s="422"/>
      <c r="E290" s="422"/>
      <c r="F290" s="422"/>
      <c r="G290" s="422"/>
      <c r="H290" s="422"/>
      <c r="I290" s="422"/>
    </row>
    <row r="291">
      <c r="A291" s="430"/>
      <c r="B291" s="422"/>
      <c r="C291" s="422"/>
      <c r="D291" s="422"/>
      <c r="E291" s="422"/>
      <c r="F291" s="422"/>
      <c r="G291" s="422"/>
      <c r="H291" s="422"/>
      <c r="I291" s="422"/>
    </row>
    <row r="292">
      <c r="A292" s="430"/>
      <c r="B292" s="422"/>
      <c r="C292" s="422"/>
      <c r="D292" s="422"/>
      <c r="E292" s="422"/>
      <c r="F292" s="422"/>
      <c r="G292" s="422"/>
      <c r="H292" s="422"/>
      <c r="I292" s="422"/>
    </row>
    <row r="293">
      <c r="A293" s="430"/>
      <c r="B293" s="422"/>
      <c r="C293" s="422"/>
      <c r="D293" s="422"/>
      <c r="E293" s="422"/>
      <c r="F293" s="422"/>
      <c r="G293" s="422"/>
      <c r="H293" s="422"/>
      <c r="I293" s="422"/>
    </row>
    <row r="294">
      <c r="A294" s="430"/>
      <c r="B294" s="422"/>
      <c r="C294" s="422"/>
      <c r="D294" s="422"/>
      <c r="E294" s="422"/>
      <c r="F294" s="422"/>
      <c r="G294" s="422"/>
      <c r="H294" s="422"/>
      <c r="I294" s="422"/>
    </row>
    <row r="295">
      <c r="A295" s="430"/>
      <c r="B295" s="422"/>
      <c r="C295" s="422"/>
      <c r="D295" s="422"/>
      <c r="E295" s="422"/>
      <c r="F295" s="422"/>
      <c r="G295" s="422"/>
      <c r="H295" s="422"/>
      <c r="I295" s="422"/>
    </row>
    <row r="296">
      <c r="A296" s="430"/>
      <c r="B296" s="422"/>
      <c r="C296" s="422"/>
      <c r="D296" s="422"/>
      <c r="E296" s="422"/>
      <c r="F296" s="422"/>
      <c r="G296" s="422"/>
      <c r="H296" s="422"/>
      <c r="I296" s="422"/>
    </row>
    <row r="297">
      <c r="A297" s="430"/>
      <c r="B297" s="422"/>
      <c r="C297" s="422"/>
      <c r="D297" s="422"/>
      <c r="E297" s="422"/>
      <c r="F297" s="422"/>
      <c r="G297" s="422"/>
      <c r="H297" s="422"/>
      <c r="I297" s="422"/>
    </row>
    <row r="298">
      <c r="A298" s="430"/>
      <c r="B298" s="422"/>
      <c r="C298" s="422"/>
      <c r="D298" s="422"/>
      <c r="E298" s="422"/>
      <c r="F298" s="422"/>
      <c r="G298" s="422"/>
      <c r="H298" s="422"/>
      <c r="I298" s="422"/>
    </row>
    <row r="299">
      <c r="A299" s="430"/>
      <c r="B299" s="422"/>
      <c r="C299" s="422"/>
      <c r="D299" s="422"/>
      <c r="E299" s="422"/>
      <c r="F299" s="422"/>
      <c r="G299" s="422"/>
      <c r="H299" s="422"/>
      <c r="I299" s="422"/>
    </row>
    <row r="300">
      <c r="A300" s="430"/>
      <c r="B300" s="422"/>
      <c r="C300" s="422"/>
      <c r="D300" s="422"/>
      <c r="E300" s="422"/>
      <c r="F300" s="422"/>
      <c r="G300" s="422"/>
      <c r="H300" s="422"/>
      <c r="I300" s="422"/>
    </row>
    <row r="301">
      <c r="A301" s="430"/>
      <c r="B301" s="422"/>
      <c r="C301" s="422"/>
      <c r="D301" s="422"/>
      <c r="E301" s="422"/>
      <c r="F301" s="422"/>
      <c r="G301" s="422"/>
      <c r="H301" s="422"/>
      <c r="I301" s="422"/>
    </row>
    <row r="302">
      <c r="A302" s="430"/>
      <c r="B302" s="422"/>
      <c r="C302" s="422"/>
      <c r="D302" s="422"/>
      <c r="E302" s="422"/>
      <c r="F302" s="422"/>
      <c r="G302" s="422"/>
      <c r="H302" s="422"/>
      <c r="I302" s="422"/>
    </row>
    <row r="303">
      <c r="A303" s="430"/>
      <c r="B303" s="422"/>
      <c r="C303" s="422"/>
      <c r="D303" s="422"/>
      <c r="E303" s="422"/>
      <c r="F303" s="422"/>
      <c r="G303" s="422"/>
      <c r="H303" s="422"/>
      <c r="I303" s="422"/>
    </row>
    <row r="304">
      <c r="A304" s="430"/>
      <c r="B304" s="422"/>
      <c r="C304" s="422"/>
      <c r="D304" s="422"/>
      <c r="E304" s="422"/>
      <c r="F304" s="422"/>
      <c r="G304" s="422"/>
      <c r="H304" s="422"/>
      <c r="I304" s="422"/>
    </row>
    <row r="305">
      <c r="A305" s="430"/>
      <c r="B305" s="422"/>
      <c r="C305" s="422"/>
      <c r="D305" s="422"/>
      <c r="E305" s="422"/>
      <c r="F305" s="422"/>
      <c r="G305" s="422"/>
      <c r="H305" s="422"/>
      <c r="I305" s="422"/>
    </row>
    <row r="306">
      <c r="A306" s="430"/>
      <c r="B306" s="422"/>
      <c r="C306" s="422"/>
      <c r="D306" s="422"/>
      <c r="E306" s="422"/>
      <c r="F306" s="422"/>
      <c r="G306" s="422"/>
      <c r="H306" s="422"/>
      <c r="I306" s="422"/>
    </row>
    <row r="307">
      <c r="A307" s="430"/>
      <c r="B307" s="422"/>
      <c r="C307" s="422"/>
      <c r="D307" s="422"/>
      <c r="E307" s="422"/>
      <c r="F307" s="422"/>
      <c r="G307" s="422"/>
      <c r="H307" s="422"/>
      <c r="I307" s="422"/>
    </row>
    <row r="308">
      <c r="A308" s="430"/>
      <c r="B308" s="422"/>
      <c r="C308" s="422"/>
      <c r="D308" s="422"/>
      <c r="E308" s="422"/>
      <c r="F308" s="422"/>
      <c r="G308" s="422"/>
      <c r="H308" s="422"/>
      <c r="I308" s="422"/>
    </row>
    <row r="309">
      <c r="A309" s="430"/>
      <c r="B309" s="422"/>
      <c r="C309" s="422"/>
      <c r="D309" s="422"/>
      <c r="E309" s="422"/>
      <c r="F309" s="422"/>
      <c r="G309" s="422"/>
      <c r="H309" s="422"/>
      <c r="I309" s="422"/>
    </row>
    <row r="310">
      <c r="A310" s="430"/>
      <c r="B310" s="422"/>
      <c r="C310" s="422"/>
      <c r="D310" s="422"/>
      <c r="E310" s="422"/>
      <c r="F310" s="422"/>
      <c r="G310" s="422"/>
      <c r="H310" s="422"/>
      <c r="I310" s="422"/>
    </row>
    <row r="311">
      <c r="A311" s="430"/>
      <c r="B311" s="422"/>
      <c r="C311" s="422"/>
      <c r="D311" s="422"/>
      <c r="E311" s="422"/>
      <c r="F311" s="422"/>
      <c r="G311" s="422"/>
      <c r="H311" s="422"/>
      <c r="I311" s="422"/>
    </row>
    <row r="312">
      <c r="A312" s="430"/>
      <c r="B312" s="422"/>
      <c r="C312" s="422"/>
      <c r="D312" s="422"/>
      <c r="E312" s="422"/>
      <c r="F312" s="422"/>
      <c r="G312" s="422"/>
      <c r="H312" s="422"/>
      <c r="I312" s="422"/>
    </row>
    <row r="313">
      <c r="A313" s="430"/>
      <c r="B313" s="422"/>
      <c r="C313" s="422"/>
      <c r="D313" s="422"/>
      <c r="E313" s="422"/>
      <c r="F313" s="422"/>
      <c r="G313" s="422"/>
      <c r="H313" s="422"/>
      <c r="I313" s="422"/>
    </row>
    <row r="314">
      <c r="A314" s="430"/>
      <c r="B314" s="422"/>
      <c r="C314" s="422"/>
      <c r="D314" s="422"/>
      <c r="E314" s="422"/>
      <c r="F314" s="422"/>
      <c r="G314" s="422"/>
      <c r="H314" s="422"/>
      <c r="I314" s="422"/>
    </row>
    <row r="315">
      <c r="A315" s="430"/>
      <c r="B315" s="422"/>
      <c r="C315" s="422"/>
      <c r="D315" s="422"/>
      <c r="E315" s="422"/>
      <c r="F315" s="422"/>
      <c r="G315" s="422"/>
      <c r="H315" s="422"/>
      <c r="I315" s="422"/>
    </row>
    <row r="316">
      <c r="A316" s="430"/>
      <c r="B316" s="422"/>
      <c r="C316" s="422"/>
      <c r="D316" s="422"/>
      <c r="E316" s="422"/>
      <c r="F316" s="422"/>
      <c r="G316" s="422"/>
      <c r="H316" s="422"/>
      <c r="I316" s="422"/>
    </row>
    <row r="317">
      <c r="A317" s="430"/>
      <c r="B317" s="422"/>
      <c r="C317" s="422"/>
      <c r="D317" s="422"/>
      <c r="E317" s="422"/>
      <c r="F317" s="422"/>
      <c r="G317" s="422"/>
      <c r="H317" s="422"/>
      <c r="I317" s="422"/>
    </row>
    <row r="318">
      <c r="A318" s="430"/>
      <c r="B318" s="422"/>
      <c r="C318" s="422"/>
      <c r="D318" s="422"/>
      <c r="E318" s="422"/>
      <c r="F318" s="422"/>
      <c r="G318" s="422"/>
      <c r="H318" s="422"/>
      <c r="I318" s="422"/>
    </row>
    <row r="319">
      <c r="A319" s="430"/>
      <c r="B319" s="422"/>
      <c r="C319" s="422"/>
      <c r="D319" s="422"/>
      <c r="E319" s="422"/>
      <c r="F319" s="422"/>
      <c r="G319" s="422"/>
      <c r="H319" s="422"/>
      <c r="I319" s="422"/>
    </row>
    <row r="320">
      <c r="A320" s="430"/>
      <c r="B320" s="422"/>
      <c r="C320" s="422"/>
      <c r="D320" s="422"/>
      <c r="E320" s="422"/>
      <c r="F320" s="422"/>
      <c r="G320" s="422"/>
      <c r="H320" s="422"/>
      <c r="I320" s="422"/>
    </row>
    <row r="321">
      <c r="A321" s="430"/>
      <c r="B321" s="422"/>
      <c r="C321" s="422"/>
      <c r="D321" s="422"/>
      <c r="E321" s="422"/>
      <c r="F321" s="422"/>
      <c r="G321" s="422"/>
      <c r="H321" s="422"/>
      <c r="I321" s="422"/>
    </row>
    <row r="322">
      <c r="A322" s="430"/>
      <c r="B322" s="422"/>
      <c r="C322" s="422"/>
      <c r="D322" s="422"/>
      <c r="E322" s="422"/>
      <c r="F322" s="422"/>
      <c r="G322" s="422"/>
      <c r="H322" s="422"/>
      <c r="I322" s="422"/>
    </row>
    <row r="323">
      <c r="A323" s="430"/>
      <c r="B323" s="422"/>
      <c r="C323" s="422"/>
      <c r="D323" s="422"/>
      <c r="E323" s="422"/>
      <c r="F323" s="422"/>
      <c r="G323" s="422"/>
      <c r="H323" s="422"/>
      <c r="I323" s="422"/>
    </row>
    <row r="324">
      <c r="A324" s="430"/>
      <c r="B324" s="422"/>
      <c r="C324" s="422"/>
      <c r="D324" s="422"/>
      <c r="E324" s="422"/>
      <c r="F324" s="422"/>
      <c r="G324" s="422"/>
      <c r="H324" s="422"/>
      <c r="I324" s="422"/>
    </row>
    <row r="325">
      <c r="A325" s="430"/>
      <c r="B325" s="422"/>
      <c r="C325" s="422"/>
      <c r="D325" s="422"/>
      <c r="E325" s="422"/>
      <c r="F325" s="422"/>
      <c r="G325" s="422"/>
      <c r="H325" s="422"/>
      <c r="I325" s="422"/>
    </row>
    <row r="326">
      <c r="A326" s="430"/>
      <c r="B326" s="422"/>
      <c r="C326" s="422"/>
      <c r="D326" s="422"/>
      <c r="E326" s="422"/>
      <c r="F326" s="422"/>
      <c r="G326" s="422"/>
      <c r="H326" s="422"/>
      <c r="I326" s="422"/>
    </row>
    <row r="327">
      <c r="A327" s="430"/>
      <c r="B327" s="422"/>
      <c r="C327" s="422"/>
      <c r="D327" s="422"/>
      <c r="E327" s="422"/>
      <c r="F327" s="422"/>
      <c r="G327" s="422"/>
      <c r="H327" s="422"/>
      <c r="I327" s="422"/>
    </row>
    <row r="328">
      <c r="A328" s="430"/>
      <c r="B328" s="422"/>
      <c r="C328" s="422"/>
      <c r="D328" s="422"/>
      <c r="E328" s="422"/>
      <c r="F328" s="422"/>
      <c r="G328" s="422"/>
      <c r="H328" s="422"/>
      <c r="I328" s="422"/>
    </row>
    <row r="329">
      <c r="A329" s="430"/>
      <c r="B329" s="422"/>
      <c r="C329" s="422"/>
      <c r="D329" s="422"/>
      <c r="E329" s="422"/>
      <c r="F329" s="422"/>
      <c r="G329" s="422"/>
      <c r="H329" s="422"/>
      <c r="I329" s="422"/>
    </row>
    <row r="330">
      <c r="A330" s="430"/>
      <c r="B330" s="422"/>
      <c r="C330" s="422"/>
      <c r="D330" s="422"/>
      <c r="E330" s="422"/>
      <c r="F330" s="422"/>
      <c r="G330" s="422"/>
      <c r="H330" s="422"/>
      <c r="I330" s="422"/>
    </row>
    <row r="331">
      <c r="A331" s="430"/>
      <c r="B331" s="422"/>
      <c r="C331" s="422"/>
      <c r="D331" s="422"/>
      <c r="E331" s="422"/>
      <c r="F331" s="422"/>
      <c r="G331" s="422"/>
      <c r="H331" s="422"/>
      <c r="I331" s="422"/>
    </row>
    <row r="332">
      <c r="A332" s="430"/>
      <c r="B332" s="422"/>
      <c r="C332" s="422"/>
      <c r="D332" s="422"/>
      <c r="E332" s="422"/>
      <c r="F332" s="422"/>
      <c r="G332" s="422"/>
      <c r="H332" s="422"/>
      <c r="I332" s="422"/>
    </row>
    <row r="333">
      <c r="A333" s="430"/>
      <c r="B333" s="422"/>
      <c r="C333" s="422"/>
      <c r="D333" s="422"/>
      <c r="E333" s="422"/>
      <c r="F333" s="422"/>
      <c r="G333" s="422"/>
      <c r="H333" s="422"/>
      <c r="I333" s="422"/>
    </row>
    <row r="334">
      <c r="A334" s="430"/>
      <c r="B334" s="422"/>
      <c r="C334" s="422"/>
      <c r="D334" s="422"/>
      <c r="E334" s="422"/>
      <c r="F334" s="422"/>
      <c r="G334" s="422"/>
      <c r="H334" s="422"/>
      <c r="I334" s="422"/>
    </row>
    <row r="335">
      <c r="A335" s="430"/>
      <c r="B335" s="422"/>
      <c r="C335" s="422"/>
      <c r="D335" s="422"/>
      <c r="E335" s="422"/>
      <c r="F335" s="422"/>
      <c r="G335" s="422"/>
      <c r="H335" s="422"/>
      <c r="I335" s="422"/>
    </row>
    <row r="336">
      <c r="A336" s="430"/>
      <c r="B336" s="422"/>
      <c r="C336" s="422"/>
      <c r="D336" s="422"/>
      <c r="E336" s="422"/>
      <c r="F336" s="422"/>
      <c r="G336" s="422"/>
      <c r="H336" s="422"/>
      <c r="I336" s="422"/>
    </row>
    <row r="337">
      <c r="A337" s="430"/>
      <c r="B337" s="422"/>
      <c r="C337" s="422"/>
      <c r="D337" s="422"/>
      <c r="E337" s="422"/>
      <c r="F337" s="422"/>
      <c r="G337" s="422"/>
      <c r="H337" s="422"/>
      <c r="I337" s="422"/>
    </row>
    <row r="338">
      <c r="A338" s="430"/>
      <c r="B338" s="422"/>
      <c r="C338" s="422"/>
      <c r="D338" s="422"/>
      <c r="E338" s="422"/>
      <c r="F338" s="422"/>
      <c r="G338" s="422"/>
      <c r="H338" s="422"/>
      <c r="I338" s="422"/>
    </row>
    <row r="339">
      <c r="A339" s="430"/>
      <c r="B339" s="422"/>
      <c r="C339" s="422"/>
      <c r="D339" s="422"/>
      <c r="E339" s="422"/>
      <c r="F339" s="422"/>
      <c r="G339" s="422"/>
      <c r="H339" s="422"/>
      <c r="I339" s="422"/>
    </row>
    <row r="340">
      <c r="A340" s="430"/>
      <c r="B340" s="422"/>
      <c r="C340" s="422"/>
      <c r="D340" s="422"/>
      <c r="E340" s="422"/>
      <c r="F340" s="422"/>
      <c r="G340" s="422"/>
      <c r="H340" s="422"/>
      <c r="I340" s="422"/>
    </row>
    <row r="341">
      <c r="A341" s="430"/>
      <c r="B341" s="422"/>
      <c r="C341" s="422"/>
      <c r="D341" s="422"/>
      <c r="E341" s="422"/>
      <c r="F341" s="422"/>
      <c r="G341" s="422"/>
      <c r="H341" s="422"/>
      <c r="I341" s="422"/>
    </row>
    <row r="342">
      <c r="A342" s="430"/>
      <c r="B342" s="422"/>
      <c r="C342" s="422"/>
      <c r="D342" s="422"/>
      <c r="E342" s="422"/>
      <c r="F342" s="422"/>
      <c r="G342" s="422"/>
      <c r="H342" s="422"/>
      <c r="I342" s="422"/>
    </row>
    <row r="343">
      <c r="A343" s="430"/>
      <c r="B343" s="422"/>
      <c r="C343" s="422"/>
      <c r="D343" s="422"/>
      <c r="E343" s="422"/>
      <c r="F343" s="422"/>
      <c r="G343" s="422"/>
      <c r="H343" s="422"/>
      <c r="I343" s="422"/>
    </row>
    <row r="344">
      <c r="A344" s="430"/>
      <c r="B344" s="422"/>
      <c r="C344" s="422"/>
      <c r="D344" s="422"/>
      <c r="E344" s="422"/>
      <c r="F344" s="422"/>
      <c r="G344" s="422"/>
      <c r="H344" s="422"/>
      <c r="I344" s="422"/>
    </row>
    <row r="345">
      <c r="A345" s="430"/>
      <c r="B345" s="422"/>
      <c r="C345" s="422"/>
      <c r="D345" s="422"/>
      <c r="E345" s="422"/>
      <c r="F345" s="422"/>
      <c r="G345" s="422"/>
      <c r="H345" s="422"/>
      <c r="I345" s="422"/>
    </row>
    <row r="346">
      <c r="A346" s="430"/>
      <c r="B346" s="422"/>
      <c r="C346" s="422"/>
      <c r="D346" s="422"/>
      <c r="E346" s="422"/>
      <c r="F346" s="422"/>
      <c r="G346" s="422"/>
      <c r="H346" s="422"/>
      <c r="I346" s="422"/>
    </row>
    <row r="347">
      <c r="A347" s="430"/>
      <c r="B347" s="422"/>
      <c r="C347" s="422"/>
      <c r="D347" s="422"/>
      <c r="E347" s="422"/>
      <c r="F347" s="422"/>
      <c r="G347" s="422"/>
      <c r="H347" s="422"/>
      <c r="I347" s="422"/>
    </row>
    <row r="348">
      <c r="A348" s="430"/>
      <c r="B348" s="422"/>
      <c r="C348" s="422"/>
      <c r="D348" s="422"/>
      <c r="E348" s="422"/>
      <c r="F348" s="422"/>
      <c r="G348" s="422"/>
      <c r="H348" s="422"/>
      <c r="I348" s="422"/>
    </row>
    <row r="349">
      <c r="A349" s="430"/>
      <c r="B349" s="422"/>
      <c r="C349" s="422"/>
      <c r="D349" s="422"/>
      <c r="E349" s="422"/>
      <c r="F349" s="422"/>
      <c r="G349" s="422"/>
      <c r="H349" s="422"/>
      <c r="I349" s="422"/>
    </row>
    <row r="350">
      <c r="A350" s="430"/>
      <c r="B350" s="422"/>
      <c r="C350" s="422"/>
      <c r="D350" s="422"/>
      <c r="E350" s="422"/>
      <c r="F350" s="422"/>
      <c r="G350" s="422"/>
      <c r="H350" s="422"/>
      <c r="I350" s="422"/>
    </row>
    <row r="351">
      <c r="A351" s="430"/>
      <c r="B351" s="422"/>
      <c r="C351" s="422"/>
      <c r="D351" s="422"/>
      <c r="E351" s="422"/>
      <c r="F351" s="422"/>
      <c r="G351" s="422"/>
      <c r="H351" s="422"/>
      <c r="I351" s="422"/>
    </row>
    <row r="352">
      <c r="A352" s="430"/>
      <c r="B352" s="422"/>
      <c r="C352" s="422"/>
      <c r="D352" s="422"/>
      <c r="E352" s="422"/>
      <c r="F352" s="422"/>
      <c r="G352" s="422"/>
      <c r="H352" s="422"/>
      <c r="I352" s="422"/>
    </row>
    <row r="353">
      <c r="A353" s="430"/>
      <c r="B353" s="422"/>
      <c r="C353" s="422"/>
      <c r="D353" s="422"/>
      <c r="E353" s="422"/>
      <c r="F353" s="422"/>
      <c r="G353" s="422"/>
      <c r="H353" s="422"/>
      <c r="I353" s="422"/>
    </row>
    <row r="354">
      <c r="A354" s="430"/>
      <c r="B354" s="422"/>
      <c r="C354" s="422"/>
      <c r="D354" s="422"/>
      <c r="E354" s="422"/>
      <c r="F354" s="422"/>
      <c r="G354" s="422"/>
      <c r="H354" s="422"/>
      <c r="I354" s="422"/>
    </row>
    <row r="355">
      <c r="A355" s="430"/>
      <c r="B355" s="422"/>
      <c r="C355" s="422"/>
      <c r="D355" s="422"/>
      <c r="E355" s="422"/>
      <c r="F355" s="422"/>
      <c r="G355" s="422"/>
      <c r="H355" s="422"/>
      <c r="I355" s="422"/>
    </row>
    <row r="356">
      <c r="A356" s="430"/>
      <c r="B356" s="422"/>
      <c r="C356" s="422"/>
      <c r="D356" s="422"/>
      <c r="E356" s="422"/>
      <c r="F356" s="422"/>
      <c r="G356" s="422"/>
      <c r="H356" s="422"/>
      <c r="I356" s="422"/>
    </row>
    <row r="357">
      <c r="A357" s="430"/>
      <c r="B357" s="422"/>
      <c r="C357" s="422"/>
      <c r="D357" s="422"/>
      <c r="E357" s="422"/>
      <c r="F357" s="422"/>
      <c r="G357" s="422"/>
      <c r="H357" s="422"/>
      <c r="I357" s="422"/>
    </row>
    <row r="358">
      <c r="A358" s="430"/>
      <c r="B358" s="422"/>
      <c r="C358" s="422"/>
      <c r="D358" s="422"/>
      <c r="E358" s="422"/>
      <c r="F358" s="422"/>
      <c r="G358" s="422"/>
      <c r="H358" s="422"/>
      <c r="I358" s="422"/>
    </row>
    <row r="359">
      <c r="A359" s="430"/>
      <c r="B359" s="422"/>
      <c r="C359" s="422"/>
      <c r="D359" s="422"/>
      <c r="E359" s="422"/>
      <c r="F359" s="422"/>
      <c r="G359" s="422"/>
      <c r="H359" s="422"/>
      <c r="I359" s="422"/>
    </row>
    <row r="360">
      <c r="A360" s="430"/>
      <c r="B360" s="422"/>
      <c r="C360" s="422"/>
      <c r="D360" s="422"/>
      <c r="E360" s="422"/>
      <c r="F360" s="422"/>
      <c r="G360" s="422"/>
      <c r="H360" s="422"/>
      <c r="I360" s="422"/>
    </row>
    <row r="361">
      <c r="A361" s="430"/>
      <c r="B361" s="422"/>
      <c r="C361" s="422"/>
      <c r="D361" s="422"/>
      <c r="E361" s="422"/>
      <c r="F361" s="422"/>
      <c r="G361" s="422"/>
      <c r="H361" s="422"/>
      <c r="I361" s="422"/>
    </row>
    <row r="362">
      <c r="A362" s="430"/>
      <c r="B362" s="422"/>
      <c r="C362" s="422"/>
      <c r="D362" s="422"/>
      <c r="E362" s="422"/>
      <c r="F362" s="422"/>
      <c r="G362" s="422"/>
      <c r="H362" s="422"/>
      <c r="I362" s="422"/>
    </row>
    <row r="363">
      <c r="A363" s="430"/>
      <c r="B363" s="422"/>
      <c r="C363" s="422"/>
      <c r="D363" s="422"/>
      <c r="E363" s="422"/>
      <c r="F363" s="422"/>
      <c r="G363" s="422"/>
      <c r="H363" s="422"/>
      <c r="I363" s="422"/>
    </row>
    <row r="364">
      <c r="A364" s="430"/>
      <c r="B364" s="422"/>
      <c r="C364" s="422"/>
      <c r="D364" s="422"/>
      <c r="E364" s="422"/>
      <c r="F364" s="422"/>
      <c r="G364" s="422"/>
      <c r="H364" s="422"/>
      <c r="I364" s="422"/>
    </row>
    <row r="365">
      <c r="A365" s="430"/>
      <c r="B365" s="422"/>
      <c r="C365" s="422"/>
      <c r="D365" s="422"/>
      <c r="E365" s="422"/>
      <c r="F365" s="422"/>
      <c r="G365" s="422"/>
      <c r="H365" s="422"/>
      <c r="I365" s="422"/>
    </row>
    <row r="366">
      <c r="A366" s="430"/>
      <c r="B366" s="422"/>
      <c r="C366" s="422"/>
      <c r="D366" s="422"/>
      <c r="E366" s="422"/>
      <c r="F366" s="422"/>
      <c r="G366" s="422"/>
      <c r="H366" s="422"/>
      <c r="I366" s="422"/>
    </row>
    <row r="367">
      <c r="A367" s="430"/>
      <c r="B367" s="422"/>
      <c r="C367" s="422"/>
      <c r="D367" s="422"/>
      <c r="E367" s="422"/>
      <c r="F367" s="422"/>
      <c r="G367" s="422"/>
      <c r="H367" s="422"/>
      <c r="I367" s="422"/>
    </row>
    <row r="368">
      <c r="A368" s="430"/>
      <c r="B368" s="422"/>
      <c r="C368" s="422"/>
      <c r="D368" s="422"/>
      <c r="E368" s="422"/>
      <c r="F368" s="422"/>
      <c r="G368" s="422"/>
      <c r="H368" s="422"/>
      <c r="I368" s="422"/>
    </row>
    <row r="369">
      <c r="A369" s="430"/>
      <c r="B369" s="422"/>
      <c r="C369" s="422"/>
      <c r="D369" s="422"/>
      <c r="E369" s="422"/>
      <c r="F369" s="422"/>
      <c r="G369" s="422"/>
      <c r="H369" s="422"/>
      <c r="I369" s="422"/>
    </row>
    <row r="370">
      <c r="A370" s="430"/>
      <c r="B370" s="422"/>
      <c r="C370" s="422"/>
      <c r="D370" s="422"/>
      <c r="E370" s="422"/>
      <c r="F370" s="422"/>
      <c r="G370" s="422"/>
      <c r="H370" s="422"/>
      <c r="I370" s="422"/>
    </row>
    <row r="371">
      <c r="A371" s="430"/>
      <c r="B371" s="422"/>
      <c r="C371" s="422"/>
      <c r="D371" s="422"/>
      <c r="E371" s="422"/>
      <c r="F371" s="422"/>
      <c r="G371" s="422"/>
      <c r="H371" s="422"/>
      <c r="I371" s="422"/>
    </row>
    <row r="372">
      <c r="A372" s="430"/>
      <c r="B372" s="422"/>
      <c r="C372" s="422"/>
      <c r="D372" s="422"/>
      <c r="E372" s="422"/>
      <c r="F372" s="422"/>
      <c r="G372" s="422"/>
      <c r="H372" s="422"/>
      <c r="I372" s="422"/>
    </row>
    <row r="373">
      <c r="A373" s="430"/>
      <c r="B373" s="422"/>
      <c r="C373" s="422"/>
      <c r="D373" s="422"/>
      <c r="E373" s="422"/>
      <c r="F373" s="422"/>
      <c r="G373" s="422"/>
      <c r="H373" s="422"/>
      <c r="I373" s="422"/>
    </row>
    <row r="374">
      <c r="A374" s="430"/>
      <c r="B374" s="422"/>
      <c r="C374" s="422"/>
      <c r="D374" s="422"/>
      <c r="E374" s="422"/>
      <c r="F374" s="422"/>
      <c r="G374" s="422"/>
      <c r="H374" s="422"/>
      <c r="I374" s="422"/>
    </row>
    <row r="375">
      <c r="A375" s="430"/>
      <c r="B375" s="422"/>
      <c r="C375" s="422"/>
      <c r="D375" s="422"/>
      <c r="E375" s="422"/>
      <c r="F375" s="422"/>
      <c r="G375" s="422"/>
      <c r="H375" s="422"/>
      <c r="I375" s="422"/>
    </row>
    <row r="376">
      <c r="A376" s="430"/>
      <c r="B376" s="422"/>
      <c r="C376" s="422"/>
      <c r="D376" s="422"/>
      <c r="E376" s="422"/>
      <c r="F376" s="422"/>
      <c r="G376" s="422"/>
      <c r="H376" s="422"/>
      <c r="I376" s="422"/>
    </row>
    <row r="377">
      <c r="A377" s="430"/>
      <c r="B377" s="422"/>
      <c r="C377" s="422"/>
      <c r="D377" s="422"/>
      <c r="E377" s="422"/>
      <c r="F377" s="422"/>
      <c r="G377" s="422"/>
      <c r="H377" s="422"/>
      <c r="I377" s="422"/>
    </row>
    <row r="378">
      <c r="A378" s="430"/>
      <c r="B378" s="422"/>
      <c r="C378" s="422"/>
      <c r="D378" s="422"/>
      <c r="E378" s="422"/>
      <c r="F378" s="422"/>
      <c r="G378" s="422"/>
      <c r="H378" s="422"/>
      <c r="I378" s="422"/>
    </row>
    <row r="379">
      <c r="A379" s="430"/>
      <c r="B379" s="422"/>
      <c r="C379" s="422"/>
      <c r="D379" s="422"/>
      <c r="E379" s="422"/>
      <c r="F379" s="422"/>
      <c r="G379" s="422"/>
      <c r="H379" s="422"/>
      <c r="I379" s="422"/>
    </row>
    <row r="380">
      <c r="A380" s="430"/>
      <c r="B380" s="422"/>
      <c r="C380" s="422"/>
      <c r="D380" s="422"/>
      <c r="E380" s="422"/>
      <c r="F380" s="422"/>
      <c r="G380" s="422"/>
      <c r="H380" s="422"/>
      <c r="I380" s="422"/>
    </row>
    <row r="381">
      <c r="A381" s="430"/>
      <c r="B381" s="422"/>
      <c r="C381" s="422"/>
      <c r="D381" s="422"/>
      <c r="E381" s="422"/>
      <c r="F381" s="422"/>
      <c r="G381" s="422"/>
      <c r="H381" s="422"/>
      <c r="I381" s="422"/>
    </row>
    <row r="382">
      <c r="A382" s="430"/>
      <c r="B382" s="422"/>
      <c r="C382" s="422"/>
      <c r="D382" s="422"/>
      <c r="E382" s="422"/>
      <c r="F382" s="422"/>
      <c r="G382" s="422"/>
      <c r="H382" s="422"/>
      <c r="I382" s="422"/>
    </row>
    <row r="383">
      <c r="A383" s="430"/>
      <c r="B383" s="422"/>
      <c r="C383" s="422"/>
      <c r="D383" s="422"/>
      <c r="E383" s="422"/>
      <c r="F383" s="422"/>
      <c r="G383" s="422"/>
      <c r="H383" s="422"/>
      <c r="I383" s="422"/>
    </row>
    <row r="384">
      <c r="A384" s="430"/>
      <c r="B384" s="422"/>
      <c r="C384" s="422"/>
      <c r="D384" s="422"/>
      <c r="E384" s="422"/>
      <c r="F384" s="422"/>
      <c r="G384" s="422"/>
      <c r="H384" s="422"/>
      <c r="I384" s="422"/>
    </row>
    <row r="385">
      <c r="A385" s="430"/>
      <c r="B385" s="422"/>
      <c r="C385" s="422"/>
      <c r="D385" s="422"/>
      <c r="E385" s="422"/>
      <c r="F385" s="422"/>
      <c r="G385" s="422"/>
      <c r="H385" s="422"/>
      <c r="I385" s="422"/>
    </row>
    <row r="386">
      <c r="A386" s="430"/>
      <c r="B386" s="422"/>
      <c r="C386" s="422"/>
      <c r="D386" s="422"/>
      <c r="E386" s="422"/>
      <c r="F386" s="422"/>
      <c r="G386" s="422"/>
      <c r="H386" s="422"/>
      <c r="I386" s="422"/>
    </row>
    <row r="387">
      <c r="A387" s="430"/>
      <c r="B387" s="422"/>
      <c r="C387" s="422"/>
      <c r="D387" s="422"/>
      <c r="E387" s="422"/>
      <c r="F387" s="422"/>
      <c r="G387" s="422"/>
      <c r="H387" s="422"/>
      <c r="I387" s="422"/>
    </row>
    <row r="388">
      <c r="A388" s="430"/>
      <c r="B388" s="422"/>
      <c r="C388" s="422"/>
      <c r="D388" s="422"/>
      <c r="E388" s="422"/>
      <c r="F388" s="422"/>
      <c r="G388" s="422"/>
      <c r="H388" s="422"/>
      <c r="I388" s="422"/>
    </row>
    <row r="389">
      <c r="A389" s="430"/>
      <c r="B389" s="422"/>
      <c r="C389" s="422"/>
      <c r="D389" s="422"/>
      <c r="E389" s="422"/>
      <c r="F389" s="422"/>
      <c r="G389" s="422"/>
      <c r="H389" s="422"/>
      <c r="I389" s="422"/>
    </row>
    <row r="390">
      <c r="A390" s="430"/>
      <c r="B390" s="422"/>
      <c r="C390" s="422"/>
      <c r="D390" s="422"/>
      <c r="E390" s="422"/>
      <c r="F390" s="422"/>
      <c r="G390" s="422"/>
      <c r="H390" s="422"/>
      <c r="I390" s="422"/>
    </row>
    <row r="391">
      <c r="A391" s="430"/>
      <c r="B391" s="422"/>
      <c r="C391" s="422"/>
      <c r="D391" s="422"/>
      <c r="E391" s="422"/>
      <c r="F391" s="422"/>
      <c r="G391" s="422"/>
      <c r="H391" s="422"/>
      <c r="I391" s="422"/>
    </row>
    <row r="392">
      <c r="A392" s="430"/>
      <c r="B392" s="422"/>
      <c r="C392" s="422"/>
      <c r="D392" s="422"/>
      <c r="E392" s="422"/>
      <c r="F392" s="422"/>
      <c r="G392" s="422"/>
      <c r="H392" s="422"/>
      <c r="I392" s="422"/>
    </row>
    <row r="393">
      <c r="A393" s="430"/>
      <c r="B393" s="422"/>
      <c r="C393" s="422"/>
      <c r="D393" s="422"/>
      <c r="E393" s="422"/>
      <c r="F393" s="422"/>
      <c r="G393" s="422"/>
      <c r="H393" s="422"/>
      <c r="I393" s="422"/>
    </row>
    <row r="394">
      <c r="A394" s="430"/>
      <c r="B394" s="422"/>
      <c r="C394" s="422"/>
      <c r="D394" s="422"/>
      <c r="E394" s="422"/>
      <c r="F394" s="422"/>
      <c r="G394" s="422"/>
      <c r="H394" s="422"/>
      <c r="I394" s="422"/>
    </row>
    <row r="395">
      <c r="A395" s="430"/>
      <c r="B395" s="422"/>
      <c r="C395" s="422"/>
      <c r="D395" s="422"/>
      <c r="E395" s="422"/>
      <c r="F395" s="422"/>
      <c r="G395" s="422"/>
      <c r="H395" s="422"/>
      <c r="I395" s="422"/>
    </row>
    <row r="396">
      <c r="A396" s="430"/>
      <c r="B396" s="422"/>
      <c r="C396" s="422"/>
      <c r="D396" s="422"/>
      <c r="E396" s="422"/>
      <c r="F396" s="422"/>
      <c r="G396" s="422"/>
      <c r="H396" s="422"/>
      <c r="I396" s="422"/>
    </row>
    <row r="397">
      <c r="A397" s="430"/>
      <c r="B397" s="422"/>
      <c r="C397" s="422"/>
      <c r="D397" s="422"/>
      <c r="E397" s="422"/>
      <c r="F397" s="422"/>
      <c r="G397" s="422"/>
      <c r="H397" s="422"/>
      <c r="I397" s="422"/>
    </row>
    <row r="398">
      <c r="A398" s="430"/>
      <c r="B398" s="422"/>
      <c r="C398" s="422"/>
      <c r="D398" s="422"/>
      <c r="E398" s="422"/>
      <c r="F398" s="422"/>
      <c r="G398" s="422"/>
      <c r="H398" s="422"/>
      <c r="I398" s="422"/>
    </row>
    <row r="399">
      <c r="A399" s="430"/>
      <c r="B399" s="422"/>
      <c r="C399" s="422"/>
      <c r="D399" s="422"/>
      <c r="E399" s="422"/>
      <c r="F399" s="422"/>
      <c r="G399" s="422"/>
      <c r="H399" s="422"/>
      <c r="I399" s="422"/>
    </row>
    <row r="400">
      <c r="A400" s="430"/>
      <c r="B400" s="422"/>
      <c r="C400" s="422"/>
      <c r="D400" s="422"/>
      <c r="E400" s="422"/>
      <c r="F400" s="422"/>
      <c r="G400" s="422"/>
      <c r="H400" s="422"/>
      <c r="I400" s="422"/>
    </row>
    <row r="401">
      <c r="A401" s="430"/>
      <c r="B401" s="422"/>
      <c r="C401" s="422"/>
      <c r="D401" s="422"/>
      <c r="E401" s="422"/>
      <c r="F401" s="422"/>
      <c r="G401" s="422"/>
      <c r="H401" s="422"/>
      <c r="I401" s="422"/>
    </row>
    <row r="402">
      <c r="A402" s="430"/>
      <c r="B402" s="422"/>
      <c r="C402" s="422"/>
      <c r="D402" s="422"/>
      <c r="E402" s="422"/>
      <c r="F402" s="422"/>
      <c r="G402" s="422"/>
      <c r="H402" s="422"/>
      <c r="I402" s="422"/>
    </row>
    <row r="403">
      <c r="A403" s="430"/>
      <c r="B403" s="422"/>
      <c r="C403" s="422"/>
      <c r="D403" s="422"/>
      <c r="E403" s="422"/>
      <c r="F403" s="422"/>
      <c r="G403" s="422"/>
      <c r="H403" s="422"/>
      <c r="I403" s="422"/>
    </row>
    <row r="404">
      <c r="A404" s="430"/>
      <c r="B404" s="422"/>
      <c r="C404" s="422"/>
      <c r="D404" s="422"/>
      <c r="E404" s="422"/>
      <c r="F404" s="422"/>
      <c r="G404" s="422"/>
      <c r="H404" s="422"/>
      <c r="I404" s="422"/>
    </row>
    <row r="405">
      <c r="A405" s="430"/>
      <c r="B405" s="422"/>
      <c r="C405" s="422"/>
      <c r="D405" s="422"/>
      <c r="E405" s="422"/>
      <c r="F405" s="422"/>
      <c r="G405" s="422"/>
      <c r="H405" s="422"/>
      <c r="I405" s="422"/>
    </row>
    <row r="406">
      <c r="A406" s="430"/>
      <c r="B406" s="422"/>
      <c r="C406" s="422"/>
      <c r="D406" s="422"/>
      <c r="E406" s="422"/>
      <c r="F406" s="422"/>
      <c r="G406" s="422"/>
      <c r="H406" s="422"/>
      <c r="I406" s="422"/>
    </row>
    <row r="407">
      <c r="A407" s="430"/>
      <c r="B407" s="422"/>
      <c r="C407" s="422"/>
      <c r="D407" s="422"/>
      <c r="E407" s="422"/>
      <c r="F407" s="422"/>
      <c r="G407" s="422"/>
      <c r="H407" s="422"/>
      <c r="I407" s="422"/>
    </row>
    <row r="408">
      <c r="A408" s="430"/>
      <c r="B408" s="422"/>
      <c r="C408" s="422"/>
      <c r="D408" s="422"/>
      <c r="E408" s="422"/>
      <c r="F408" s="422"/>
      <c r="G408" s="422"/>
      <c r="H408" s="422"/>
      <c r="I408" s="422"/>
    </row>
    <row r="409">
      <c r="A409" s="430"/>
      <c r="B409" s="422"/>
      <c r="C409" s="422"/>
      <c r="D409" s="422"/>
      <c r="E409" s="422"/>
      <c r="F409" s="422"/>
      <c r="G409" s="422"/>
      <c r="H409" s="422"/>
      <c r="I409" s="422"/>
    </row>
    <row r="410">
      <c r="A410" s="430"/>
      <c r="B410" s="422"/>
      <c r="C410" s="422"/>
      <c r="D410" s="422"/>
      <c r="E410" s="422"/>
      <c r="F410" s="422"/>
      <c r="G410" s="422"/>
      <c r="H410" s="422"/>
      <c r="I410" s="422"/>
    </row>
    <row r="411">
      <c r="A411" s="430"/>
      <c r="B411" s="422"/>
      <c r="C411" s="422"/>
      <c r="D411" s="422"/>
      <c r="E411" s="422"/>
      <c r="F411" s="422"/>
      <c r="G411" s="422"/>
      <c r="H411" s="422"/>
      <c r="I411" s="422"/>
    </row>
    <row r="412">
      <c r="A412" s="430"/>
      <c r="B412" s="422"/>
      <c r="C412" s="422"/>
      <c r="D412" s="422"/>
      <c r="E412" s="422"/>
      <c r="F412" s="422"/>
      <c r="G412" s="422"/>
      <c r="H412" s="422"/>
      <c r="I412" s="422"/>
    </row>
    <row r="413">
      <c r="A413" s="430"/>
      <c r="B413" s="422"/>
      <c r="C413" s="422"/>
      <c r="D413" s="422"/>
      <c r="E413" s="422"/>
      <c r="F413" s="422"/>
      <c r="G413" s="422"/>
      <c r="H413" s="422"/>
      <c r="I413" s="422"/>
    </row>
    <row r="414">
      <c r="A414" s="430"/>
      <c r="B414" s="422"/>
      <c r="C414" s="422"/>
      <c r="D414" s="422"/>
      <c r="E414" s="422"/>
      <c r="F414" s="422"/>
      <c r="G414" s="422"/>
      <c r="H414" s="422"/>
      <c r="I414" s="422"/>
    </row>
    <row r="415">
      <c r="A415" s="430"/>
      <c r="B415" s="422"/>
      <c r="C415" s="422"/>
      <c r="D415" s="422"/>
      <c r="E415" s="422"/>
      <c r="F415" s="422"/>
      <c r="G415" s="422"/>
      <c r="H415" s="422"/>
      <c r="I415" s="422"/>
    </row>
    <row r="416">
      <c r="A416" s="430"/>
      <c r="B416" s="422"/>
      <c r="C416" s="422"/>
      <c r="D416" s="422"/>
      <c r="E416" s="422"/>
      <c r="F416" s="422"/>
      <c r="G416" s="422"/>
      <c r="H416" s="422"/>
      <c r="I416" s="422"/>
    </row>
    <row r="417">
      <c r="A417" s="430"/>
      <c r="B417" s="422"/>
      <c r="C417" s="422"/>
      <c r="D417" s="422"/>
      <c r="E417" s="422"/>
      <c r="F417" s="422"/>
      <c r="G417" s="422"/>
      <c r="H417" s="422"/>
      <c r="I417" s="422"/>
    </row>
    <row r="418">
      <c r="A418" s="430"/>
      <c r="B418" s="422"/>
      <c r="C418" s="422"/>
      <c r="D418" s="422"/>
      <c r="E418" s="422"/>
      <c r="F418" s="422"/>
      <c r="G418" s="422"/>
      <c r="H418" s="422"/>
      <c r="I418" s="422"/>
    </row>
    <row r="419">
      <c r="A419" s="430"/>
      <c r="B419" s="422"/>
      <c r="C419" s="422"/>
      <c r="D419" s="422"/>
      <c r="E419" s="422"/>
      <c r="F419" s="422"/>
      <c r="G419" s="422"/>
      <c r="H419" s="422"/>
      <c r="I419" s="422"/>
    </row>
    <row r="420">
      <c r="A420" s="430"/>
      <c r="B420" s="422"/>
      <c r="C420" s="422"/>
      <c r="D420" s="422"/>
      <c r="E420" s="422"/>
      <c r="F420" s="422"/>
      <c r="G420" s="422"/>
      <c r="H420" s="422"/>
      <c r="I420" s="422"/>
    </row>
    <row r="421">
      <c r="A421" s="430"/>
      <c r="B421" s="422"/>
      <c r="C421" s="422"/>
      <c r="D421" s="422"/>
      <c r="E421" s="422"/>
      <c r="F421" s="422"/>
      <c r="G421" s="422"/>
      <c r="H421" s="422"/>
      <c r="I421" s="422"/>
    </row>
    <row r="422">
      <c r="A422" s="430"/>
      <c r="B422" s="422"/>
      <c r="C422" s="422"/>
      <c r="D422" s="422"/>
      <c r="E422" s="422"/>
      <c r="F422" s="422"/>
      <c r="G422" s="422"/>
      <c r="H422" s="422"/>
      <c r="I422" s="422"/>
    </row>
    <row r="423">
      <c r="A423" s="430"/>
      <c r="B423" s="422"/>
      <c r="C423" s="422"/>
      <c r="D423" s="422"/>
      <c r="E423" s="422"/>
      <c r="F423" s="422"/>
      <c r="G423" s="422"/>
      <c r="H423" s="422"/>
      <c r="I423" s="422"/>
    </row>
    <row r="424">
      <c r="A424" s="430"/>
      <c r="B424" s="422"/>
      <c r="C424" s="422"/>
      <c r="D424" s="422"/>
      <c r="E424" s="422"/>
      <c r="F424" s="422"/>
      <c r="G424" s="422"/>
      <c r="H424" s="422"/>
      <c r="I424" s="422"/>
    </row>
    <row r="425">
      <c r="A425" s="430"/>
      <c r="B425" s="422"/>
      <c r="C425" s="422"/>
      <c r="D425" s="422"/>
      <c r="E425" s="422"/>
      <c r="F425" s="422"/>
      <c r="G425" s="422"/>
      <c r="H425" s="422"/>
      <c r="I425" s="422"/>
    </row>
    <row r="426">
      <c r="A426" s="430"/>
      <c r="B426" s="422"/>
      <c r="C426" s="422"/>
      <c r="D426" s="422"/>
      <c r="E426" s="422"/>
      <c r="F426" s="422"/>
      <c r="G426" s="422"/>
      <c r="H426" s="422"/>
      <c r="I426" s="422"/>
    </row>
    <row r="427">
      <c r="A427" s="430"/>
      <c r="B427" s="422"/>
      <c r="C427" s="422"/>
      <c r="D427" s="422"/>
      <c r="E427" s="422"/>
      <c r="F427" s="422"/>
      <c r="G427" s="422"/>
      <c r="H427" s="422"/>
      <c r="I427" s="422"/>
    </row>
    <row r="428">
      <c r="A428" s="430"/>
      <c r="B428" s="422"/>
      <c r="C428" s="422"/>
      <c r="D428" s="422"/>
      <c r="E428" s="422"/>
      <c r="F428" s="422"/>
      <c r="G428" s="422"/>
      <c r="H428" s="422"/>
      <c r="I428" s="422"/>
    </row>
    <row r="429">
      <c r="A429" s="430"/>
      <c r="B429" s="422"/>
      <c r="C429" s="422"/>
      <c r="D429" s="422"/>
      <c r="E429" s="422"/>
      <c r="F429" s="422"/>
      <c r="G429" s="422"/>
      <c r="H429" s="422"/>
      <c r="I429" s="422"/>
    </row>
    <row r="430">
      <c r="A430" s="430"/>
      <c r="B430" s="422"/>
      <c r="C430" s="422"/>
      <c r="D430" s="422"/>
      <c r="E430" s="422"/>
      <c r="F430" s="422"/>
      <c r="G430" s="422"/>
      <c r="H430" s="422"/>
      <c r="I430" s="422"/>
    </row>
    <row r="431">
      <c r="A431" s="430"/>
      <c r="B431" s="422"/>
      <c r="C431" s="422"/>
      <c r="D431" s="422"/>
      <c r="E431" s="422"/>
      <c r="F431" s="422"/>
      <c r="G431" s="422"/>
      <c r="H431" s="422"/>
      <c r="I431" s="422"/>
    </row>
    <row r="432">
      <c r="A432" s="430"/>
      <c r="B432" s="422"/>
      <c r="C432" s="422"/>
      <c r="D432" s="422"/>
      <c r="E432" s="422"/>
      <c r="F432" s="422"/>
      <c r="G432" s="422"/>
      <c r="H432" s="422"/>
      <c r="I432" s="422"/>
    </row>
    <row r="433">
      <c r="A433" s="430"/>
      <c r="B433" s="422"/>
      <c r="C433" s="422"/>
      <c r="D433" s="422"/>
      <c r="E433" s="422"/>
      <c r="F433" s="422"/>
      <c r="G433" s="422"/>
      <c r="H433" s="422"/>
      <c r="I433" s="422"/>
    </row>
    <row r="434">
      <c r="A434" s="430"/>
      <c r="B434" s="422"/>
      <c r="C434" s="422"/>
      <c r="D434" s="422"/>
      <c r="E434" s="422"/>
      <c r="F434" s="422"/>
      <c r="G434" s="422"/>
      <c r="H434" s="422"/>
      <c r="I434" s="422"/>
    </row>
    <row r="435">
      <c r="A435" s="430"/>
      <c r="B435" s="422"/>
      <c r="C435" s="422"/>
      <c r="D435" s="422"/>
      <c r="E435" s="422"/>
      <c r="F435" s="422"/>
      <c r="G435" s="422"/>
      <c r="H435" s="422"/>
      <c r="I435" s="422"/>
    </row>
    <row r="436">
      <c r="A436" s="430"/>
      <c r="B436" s="422"/>
      <c r="C436" s="422"/>
      <c r="D436" s="422"/>
      <c r="E436" s="422"/>
      <c r="F436" s="422"/>
      <c r="G436" s="422"/>
      <c r="H436" s="422"/>
      <c r="I436" s="422"/>
    </row>
    <row r="437">
      <c r="A437" s="430"/>
      <c r="B437" s="422"/>
      <c r="C437" s="422"/>
      <c r="D437" s="422"/>
      <c r="E437" s="422"/>
      <c r="F437" s="422"/>
      <c r="G437" s="422"/>
      <c r="H437" s="422"/>
      <c r="I437" s="422"/>
    </row>
    <row r="438">
      <c r="A438" s="430"/>
      <c r="B438" s="422"/>
      <c r="C438" s="422"/>
      <c r="D438" s="422"/>
      <c r="E438" s="422"/>
      <c r="F438" s="422"/>
      <c r="G438" s="422"/>
      <c r="H438" s="422"/>
      <c r="I438" s="422"/>
    </row>
    <row r="439">
      <c r="A439" s="430"/>
      <c r="B439" s="422"/>
      <c r="C439" s="422"/>
      <c r="D439" s="422"/>
      <c r="E439" s="422"/>
      <c r="F439" s="422"/>
      <c r="G439" s="422"/>
      <c r="H439" s="422"/>
      <c r="I439" s="422"/>
    </row>
    <row r="440">
      <c r="A440" s="430"/>
      <c r="B440" s="422"/>
      <c r="C440" s="422"/>
      <c r="D440" s="422"/>
      <c r="E440" s="422"/>
      <c r="F440" s="422"/>
      <c r="G440" s="422"/>
      <c r="H440" s="422"/>
      <c r="I440" s="422"/>
    </row>
    <row r="441">
      <c r="A441" s="430"/>
      <c r="B441" s="422"/>
      <c r="C441" s="422"/>
      <c r="D441" s="422"/>
      <c r="E441" s="422"/>
      <c r="F441" s="422"/>
      <c r="G441" s="422"/>
      <c r="H441" s="422"/>
      <c r="I441" s="422"/>
    </row>
    <row r="442">
      <c r="A442" s="430"/>
      <c r="B442" s="422"/>
      <c r="C442" s="422"/>
      <c r="D442" s="422"/>
      <c r="E442" s="422"/>
      <c r="F442" s="422"/>
      <c r="G442" s="422"/>
      <c r="H442" s="422"/>
      <c r="I442" s="422"/>
    </row>
    <row r="443">
      <c r="A443" s="430"/>
      <c r="B443" s="422"/>
      <c r="C443" s="422"/>
      <c r="D443" s="422"/>
      <c r="E443" s="422"/>
      <c r="F443" s="422"/>
      <c r="G443" s="422"/>
      <c r="H443" s="422"/>
      <c r="I443" s="422"/>
    </row>
    <row r="444">
      <c r="A444" s="430"/>
      <c r="B444" s="422"/>
      <c r="C444" s="422"/>
      <c r="D444" s="422"/>
      <c r="E444" s="422"/>
      <c r="F444" s="422"/>
      <c r="G444" s="422"/>
      <c r="H444" s="422"/>
      <c r="I444" s="422"/>
    </row>
    <row r="445">
      <c r="A445" s="430"/>
      <c r="B445" s="422"/>
      <c r="C445" s="422"/>
      <c r="D445" s="422"/>
      <c r="E445" s="422"/>
      <c r="F445" s="422"/>
      <c r="G445" s="422"/>
      <c r="H445" s="422"/>
      <c r="I445" s="422"/>
    </row>
    <row r="446">
      <c r="A446" s="430"/>
      <c r="B446" s="422"/>
      <c r="C446" s="422"/>
      <c r="D446" s="422"/>
      <c r="E446" s="422"/>
      <c r="F446" s="422"/>
      <c r="G446" s="422"/>
      <c r="H446" s="422"/>
      <c r="I446" s="422"/>
    </row>
    <row r="447">
      <c r="A447" s="430"/>
      <c r="B447" s="422"/>
      <c r="C447" s="422"/>
      <c r="D447" s="422"/>
      <c r="E447" s="422"/>
      <c r="F447" s="422"/>
      <c r="G447" s="422"/>
      <c r="H447" s="422"/>
      <c r="I447" s="422"/>
    </row>
    <row r="448">
      <c r="A448" s="430"/>
      <c r="B448" s="422"/>
      <c r="C448" s="422"/>
      <c r="D448" s="422"/>
      <c r="E448" s="422"/>
      <c r="F448" s="422"/>
      <c r="G448" s="422"/>
      <c r="H448" s="422"/>
      <c r="I448" s="422"/>
    </row>
    <row r="449">
      <c r="A449" s="430"/>
      <c r="B449" s="422"/>
      <c r="C449" s="422"/>
      <c r="D449" s="422"/>
      <c r="E449" s="422"/>
      <c r="F449" s="422"/>
      <c r="G449" s="422"/>
      <c r="H449" s="422"/>
      <c r="I449" s="422"/>
    </row>
    <row r="450">
      <c r="A450" s="430"/>
      <c r="B450" s="422"/>
      <c r="C450" s="422"/>
      <c r="D450" s="422"/>
      <c r="E450" s="422"/>
      <c r="F450" s="422"/>
      <c r="G450" s="422"/>
      <c r="H450" s="422"/>
      <c r="I450" s="422"/>
    </row>
    <row r="451">
      <c r="A451" s="430"/>
      <c r="B451" s="422"/>
      <c r="C451" s="422"/>
      <c r="D451" s="422"/>
      <c r="E451" s="422"/>
      <c r="F451" s="422"/>
      <c r="G451" s="422"/>
      <c r="H451" s="422"/>
      <c r="I451" s="422"/>
    </row>
    <row r="452">
      <c r="A452" s="430"/>
      <c r="B452" s="422"/>
      <c r="C452" s="422"/>
      <c r="D452" s="422"/>
      <c r="E452" s="422"/>
      <c r="F452" s="422"/>
      <c r="G452" s="422"/>
      <c r="H452" s="422"/>
      <c r="I452" s="422"/>
    </row>
    <row r="453">
      <c r="A453" s="430"/>
      <c r="B453" s="422"/>
      <c r="C453" s="422"/>
      <c r="D453" s="422"/>
      <c r="E453" s="422"/>
      <c r="F453" s="422"/>
      <c r="G453" s="422"/>
      <c r="H453" s="422"/>
      <c r="I453" s="422"/>
    </row>
    <row r="454">
      <c r="A454" s="430"/>
      <c r="B454" s="422"/>
      <c r="C454" s="422"/>
      <c r="D454" s="422"/>
      <c r="E454" s="422"/>
      <c r="F454" s="422"/>
      <c r="G454" s="422"/>
      <c r="H454" s="422"/>
      <c r="I454" s="422"/>
    </row>
    <row r="455">
      <c r="A455" s="430"/>
      <c r="B455" s="422"/>
      <c r="C455" s="422"/>
      <c r="D455" s="422"/>
      <c r="E455" s="422"/>
      <c r="F455" s="422"/>
      <c r="G455" s="422"/>
      <c r="H455" s="422"/>
      <c r="I455" s="422"/>
    </row>
    <row r="456">
      <c r="A456" s="430"/>
      <c r="B456" s="422"/>
      <c r="C456" s="422"/>
      <c r="D456" s="422"/>
      <c r="E456" s="422"/>
      <c r="F456" s="422"/>
      <c r="G456" s="422"/>
      <c r="H456" s="422"/>
      <c r="I456" s="422"/>
    </row>
    <row r="457">
      <c r="A457" s="430"/>
      <c r="B457" s="422"/>
      <c r="C457" s="422"/>
      <c r="D457" s="422"/>
      <c r="E457" s="422"/>
      <c r="F457" s="422"/>
      <c r="G457" s="422"/>
      <c r="H457" s="422"/>
      <c r="I457" s="422"/>
    </row>
    <row r="458">
      <c r="A458" s="430"/>
      <c r="B458" s="422"/>
      <c r="C458" s="422"/>
      <c r="D458" s="422"/>
      <c r="E458" s="422"/>
      <c r="F458" s="422"/>
      <c r="G458" s="422"/>
      <c r="H458" s="422"/>
      <c r="I458" s="422"/>
    </row>
    <row r="459">
      <c r="A459" s="430"/>
      <c r="B459" s="422"/>
      <c r="C459" s="422"/>
      <c r="D459" s="422"/>
      <c r="E459" s="422"/>
      <c r="F459" s="422"/>
      <c r="G459" s="422"/>
      <c r="H459" s="422"/>
      <c r="I459" s="422"/>
    </row>
    <row r="460">
      <c r="A460" s="430"/>
      <c r="B460" s="422"/>
      <c r="C460" s="422"/>
      <c r="D460" s="422"/>
      <c r="E460" s="422"/>
      <c r="F460" s="422"/>
      <c r="G460" s="422"/>
      <c r="H460" s="422"/>
      <c r="I460" s="422"/>
    </row>
    <row r="461">
      <c r="A461" s="430"/>
      <c r="B461" s="422"/>
      <c r="C461" s="422"/>
      <c r="D461" s="422"/>
      <c r="E461" s="422"/>
      <c r="F461" s="422"/>
      <c r="G461" s="422"/>
      <c r="H461" s="422"/>
      <c r="I461" s="422"/>
    </row>
    <row r="462">
      <c r="A462" s="430"/>
      <c r="B462" s="422"/>
      <c r="C462" s="422"/>
      <c r="D462" s="422"/>
      <c r="E462" s="422"/>
      <c r="F462" s="422"/>
      <c r="G462" s="422"/>
      <c r="H462" s="422"/>
      <c r="I462" s="422"/>
    </row>
    <row r="463">
      <c r="A463" s="430"/>
      <c r="B463" s="422"/>
      <c r="C463" s="422"/>
      <c r="D463" s="422"/>
      <c r="E463" s="422"/>
      <c r="F463" s="422"/>
      <c r="G463" s="422"/>
      <c r="H463" s="422"/>
      <c r="I463" s="422"/>
    </row>
    <row r="464">
      <c r="A464" s="430"/>
      <c r="B464" s="422"/>
      <c r="C464" s="422"/>
      <c r="D464" s="422"/>
      <c r="E464" s="422"/>
      <c r="F464" s="422"/>
      <c r="G464" s="422"/>
      <c r="H464" s="422"/>
      <c r="I464" s="422"/>
    </row>
    <row r="465">
      <c r="A465" s="430"/>
      <c r="B465" s="422"/>
      <c r="C465" s="422"/>
      <c r="D465" s="422"/>
      <c r="E465" s="422"/>
      <c r="F465" s="422"/>
      <c r="G465" s="422"/>
      <c r="H465" s="422"/>
      <c r="I465" s="422"/>
    </row>
    <row r="466">
      <c r="A466" s="430"/>
      <c r="B466" s="422"/>
      <c r="C466" s="422"/>
      <c r="D466" s="422"/>
      <c r="E466" s="422"/>
      <c r="F466" s="422"/>
      <c r="G466" s="422"/>
      <c r="H466" s="422"/>
      <c r="I466" s="422"/>
    </row>
    <row r="467">
      <c r="A467" s="430"/>
      <c r="B467" s="422"/>
      <c r="C467" s="422"/>
      <c r="D467" s="422"/>
      <c r="E467" s="422"/>
      <c r="F467" s="422"/>
      <c r="G467" s="422"/>
      <c r="H467" s="422"/>
      <c r="I467" s="422"/>
    </row>
    <row r="468">
      <c r="A468" s="430"/>
      <c r="B468" s="422"/>
      <c r="C468" s="422"/>
      <c r="D468" s="422"/>
      <c r="E468" s="422"/>
      <c r="F468" s="422"/>
      <c r="G468" s="422"/>
      <c r="H468" s="422"/>
      <c r="I468" s="422"/>
    </row>
    <row r="469">
      <c r="A469" s="430"/>
      <c r="B469" s="422"/>
      <c r="C469" s="422"/>
      <c r="D469" s="422"/>
      <c r="E469" s="422"/>
      <c r="F469" s="422"/>
      <c r="G469" s="422"/>
      <c r="H469" s="422"/>
      <c r="I469" s="422"/>
    </row>
    <row r="470">
      <c r="A470" s="430"/>
      <c r="B470" s="422"/>
      <c r="C470" s="422"/>
      <c r="D470" s="422"/>
      <c r="E470" s="422"/>
      <c r="F470" s="422"/>
      <c r="G470" s="422"/>
      <c r="H470" s="422"/>
      <c r="I470" s="422"/>
    </row>
    <row r="471">
      <c r="A471" s="430"/>
      <c r="B471" s="422"/>
      <c r="C471" s="422"/>
      <c r="D471" s="422"/>
      <c r="E471" s="422"/>
      <c r="F471" s="422"/>
      <c r="G471" s="422"/>
      <c r="H471" s="422"/>
      <c r="I471" s="422"/>
    </row>
    <row r="472">
      <c r="A472" s="430"/>
      <c r="B472" s="422"/>
      <c r="C472" s="422"/>
      <c r="D472" s="422"/>
      <c r="E472" s="422"/>
      <c r="F472" s="422"/>
      <c r="G472" s="422"/>
      <c r="H472" s="422"/>
      <c r="I472" s="422"/>
    </row>
    <row r="473">
      <c r="A473" s="430"/>
      <c r="B473" s="422"/>
      <c r="C473" s="422"/>
      <c r="D473" s="422"/>
      <c r="E473" s="422"/>
      <c r="F473" s="422"/>
      <c r="G473" s="422"/>
      <c r="H473" s="422"/>
      <c r="I473" s="422"/>
    </row>
    <row r="474">
      <c r="A474" s="430"/>
      <c r="B474" s="422"/>
      <c r="C474" s="422"/>
      <c r="D474" s="422"/>
      <c r="E474" s="422"/>
      <c r="F474" s="422"/>
      <c r="G474" s="422"/>
      <c r="H474" s="422"/>
      <c r="I474" s="422"/>
    </row>
    <row r="475">
      <c r="A475" s="430"/>
      <c r="B475" s="422"/>
      <c r="C475" s="422"/>
      <c r="D475" s="422"/>
      <c r="E475" s="422"/>
      <c r="F475" s="422"/>
      <c r="G475" s="422"/>
      <c r="H475" s="422"/>
      <c r="I475" s="422"/>
    </row>
    <row r="476">
      <c r="A476" s="430"/>
      <c r="B476" s="422"/>
      <c r="C476" s="422"/>
      <c r="D476" s="422"/>
      <c r="E476" s="422"/>
      <c r="F476" s="422"/>
      <c r="G476" s="422"/>
      <c r="H476" s="422"/>
      <c r="I476" s="422"/>
    </row>
    <row r="477">
      <c r="A477" s="430"/>
      <c r="B477" s="422"/>
      <c r="C477" s="422"/>
      <c r="D477" s="422"/>
      <c r="E477" s="422"/>
      <c r="F477" s="422"/>
      <c r="G477" s="422"/>
      <c r="H477" s="422"/>
      <c r="I477" s="422"/>
    </row>
    <row r="478">
      <c r="A478" s="430"/>
      <c r="B478" s="422"/>
      <c r="C478" s="422"/>
      <c r="D478" s="422"/>
      <c r="E478" s="422"/>
      <c r="F478" s="422"/>
      <c r="G478" s="422"/>
      <c r="H478" s="422"/>
      <c r="I478" s="422"/>
    </row>
    <row r="479">
      <c r="A479" s="430"/>
      <c r="B479" s="422"/>
      <c r="C479" s="422"/>
      <c r="D479" s="422"/>
      <c r="E479" s="422"/>
      <c r="F479" s="422"/>
      <c r="G479" s="422"/>
      <c r="H479" s="422"/>
      <c r="I479" s="422"/>
    </row>
    <row r="480">
      <c r="A480" s="430"/>
      <c r="B480" s="422"/>
      <c r="C480" s="422"/>
      <c r="D480" s="422"/>
      <c r="E480" s="422"/>
      <c r="F480" s="422"/>
      <c r="G480" s="422"/>
      <c r="H480" s="422"/>
      <c r="I480" s="422"/>
    </row>
    <row r="481">
      <c r="A481" s="430"/>
      <c r="B481" s="422"/>
      <c r="C481" s="422"/>
      <c r="D481" s="422"/>
      <c r="E481" s="422"/>
      <c r="F481" s="422"/>
      <c r="G481" s="422"/>
      <c r="H481" s="422"/>
      <c r="I481" s="422"/>
    </row>
    <row r="482">
      <c r="A482" s="430"/>
      <c r="B482" s="422"/>
      <c r="C482" s="422"/>
      <c r="D482" s="422"/>
      <c r="E482" s="422"/>
      <c r="F482" s="422"/>
      <c r="G482" s="422"/>
      <c r="H482" s="422"/>
      <c r="I482" s="422"/>
    </row>
    <row r="483">
      <c r="A483" s="430"/>
      <c r="B483" s="422"/>
      <c r="C483" s="422"/>
      <c r="D483" s="422"/>
      <c r="E483" s="422"/>
      <c r="F483" s="422"/>
      <c r="G483" s="422"/>
      <c r="H483" s="422"/>
      <c r="I483" s="422"/>
    </row>
    <row r="484">
      <c r="A484" s="430"/>
      <c r="B484" s="422"/>
      <c r="C484" s="422"/>
      <c r="D484" s="422"/>
      <c r="E484" s="422"/>
      <c r="F484" s="422"/>
      <c r="G484" s="422"/>
      <c r="H484" s="422"/>
      <c r="I484" s="422"/>
    </row>
    <row r="485">
      <c r="A485" s="430"/>
      <c r="B485" s="422"/>
      <c r="C485" s="422"/>
      <c r="D485" s="422"/>
      <c r="E485" s="422"/>
      <c r="F485" s="422"/>
      <c r="G485" s="422"/>
      <c r="H485" s="422"/>
      <c r="I485" s="422"/>
    </row>
    <row r="486">
      <c r="A486" s="430"/>
      <c r="B486" s="422"/>
      <c r="C486" s="422"/>
      <c r="D486" s="422"/>
      <c r="E486" s="422"/>
      <c r="F486" s="422"/>
      <c r="G486" s="422"/>
      <c r="H486" s="422"/>
      <c r="I486" s="422"/>
    </row>
    <row r="487">
      <c r="A487" s="430"/>
      <c r="B487" s="422"/>
      <c r="C487" s="422"/>
      <c r="D487" s="422"/>
      <c r="E487" s="422"/>
      <c r="F487" s="422"/>
      <c r="G487" s="422"/>
      <c r="H487" s="422"/>
      <c r="I487" s="422"/>
    </row>
    <row r="488">
      <c r="A488" s="430"/>
      <c r="B488" s="422"/>
      <c r="C488" s="422"/>
      <c r="D488" s="422"/>
      <c r="E488" s="422"/>
      <c r="F488" s="422"/>
      <c r="G488" s="422"/>
      <c r="H488" s="422"/>
      <c r="I488" s="422"/>
    </row>
    <row r="489">
      <c r="A489" s="430"/>
      <c r="B489" s="422"/>
      <c r="C489" s="422"/>
      <c r="D489" s="422"/>
      <c r="E489" s="422"/>
      <c r="F489" s="422"/>
      <c r="G489" s="422"/>
      <c r="H489" s="422"/>
      <c r="I489" s="422"/>
    </row>
    <row r="490">
      <c r="A490" s="430"/>
      <c r="B490" s="422"/>
      <c r="C490" s="422"/>
      <c r="D490" s="422"/>
      <c r="E490" s="422"/>
      <c r="F490" s="422"/>
      <c r="G490" s="422"/>
      <c r="H490" s="422"/>
      <c r="I490" s="422"/>
    </row>
    <row r="491">
      <c r="A491" s="430"/>
      <c r="B491" s="422"/>
      <c r="C491" s="422"/>
      <c r="D491" s="422"/>
      <c r="E491" s="422"/>
      <c r="F491" s="422"/>
      <c r="G491" s="422"/>
      <c r="H491" s="422"/>
      <c r="I491" s="422"/>
    </row>
    <row r="492">
      <c r="A492" s="430"/>
      <c r="B492" s="422"/>
      <c r="C492" s="422"/>
      <c r="D492" s="422"/>
      <c r="E492" s="422"/>
      <c r="F492" s="422"/>
      <c r="G492" s="422"/>
      <c r="H492" s="422"/>
      <c r="I492" s="422"/>
    </row>
    <row r="493">
      <c r="A493" s="430"/>
      <c r="B493" s="422"/>
      <c r="C493" s="422"/>
      <c r="D493" s="422"/>
      <c r="E493" s="422"/>
      <c r="F493" s="422"/>
      <c r="G493" s="422"/>
      <c r="H493" s="422"/>
      <c r="I493" s="422"/>
    </row>
    <row r="494">
      <c r="A494" s="430"/>
      <c r="B494" s="422"/>
      <c r="C494" s="422"/>
      <c r="D494" s="422"/>
      <c r="E494" s="422"/>
      <c r="F494" s="422"/>
      <c r="G494" s="422"/>
      <c r="H494" s="422"/>
      <c r="I494" s="422"/>
    </row>
    <row r="495">
      <c r="A495" s="430"/>
      <c r="B495" s="422"/>
      <c r="C495" s="422"/>
      <c r="D495" s="422"/>
      <c r="E495" s="422"/>
      <c r="F495" s="422"/>
      <c r="G495" s="422"/>
      <c r="H495" s="422"/>
      <c r="I495" s="422"/>
    </row>
    <row r="496">
      <c r="A496" s="430"/>
      <c r="B496" s="422"/>
      <c r="C496" s="422"/>
      <c r="D496" s="422"/>
      <c r="E496" s="422"/>
      <c r="F496" s="422"/>
      <c r="G496" s="422"/>
      <c r="H496" s="422"/>
      <c r="I496" s="422"/>
    </row>
    <row r="497">
      <c r="A497" s="430"/>
      <c r="B497" s="422"/>
      <c r="C497" s="422"/>
      <c r="D497" s="422"/>
      <c r="E497" s="422"/>
      <c r="F497" s="422"/>
      <c r="G497" s="422"/>
      <c r="H497" s="422"/>
      <c r="I497" s="422"/>
    </row>
    <row r="498">
      <c r="A498" s="430"/>
      <c r="B498" s="422"/>
      <c r="C498" s="422"/>
      <c r="D498" s="422"/>
      <c r="E498" s="422"/>
      <c r="F498" s="422"/>
      <c r="G498" s="422"/>
      <c r="H498" s="422"/>
      <c r="I498" s="422"/>
    </row>
    <row r="499">
      <c r="A499" s="430"/>
      <c r="B499" s="422"/>
      <c r="C499" s="422"/>
      <c r="D499" s="422"/>
      <c r="E499" s="422"/>
      <c r="F499" s="422"/>
      <c r="G499" s="422"/>
      <c r="H499" s="422"/>
      <c r="I499" s="422"/>
    </row>
    <row r="500">
      <c r="A500" s="430"/>
      <c r="B500" s="422"/>
      <c r="C500" s="422"/>
      <c r="D500" s="422"/>
      <c r="E500" s="422"/>
      <c r="F500" s="422"/>
      <c r="G500" s="422"/>
      <c r="H500" s="422"/>
      <c r="I500" s="422"/>
    </row>
    <row r="501">
      <c r="A501" s="430"/>
      <c r="B501" s="422"/>
      <c r="C501" s="422"/>
      <c r="D501" s="422"/>
      <c r="E501" s="422"/>
      <c r="F501" s="422"/>
      <c r="G501" s="422"/>
      <c r="H501" s="422"/>
      <c r="I501" s="422"/>
    </row>
    <row r="502">
      <c r="A502" s="430"/>
      <c r="B502" s="422"/>
      <c r="C502" s="422"/>
      <c r="D502" s="422"/>
      <c r="E502" s="422"/>
      <c r="F502" s="422"/>
      <c r="G502" s="422"/>
      <c r="H502" s="422"/>
      <c r="I502" s="422"/>
    </row>
    <row r="503">
      <c r="A503" s="430"/>
      <c r="B503" s="422"/>
      <c r="C503" s="422"/>
      <c r="D503" s="422"/>
      <c r="E503" s="422"/>
      <c r="F503" s="422"/>
      <c r="G503" s="422"/>
      <c r="H503" s="422"/>
      <c r="I503" s="422"/>
    </row>
    <row r="504">
      <c r="A504" s="430"/>
      <c r="B504" s="422"/>
      <c r="C504" s="422"/>
      <c r="D504" s="422"/>
      <c r="E504" s="422"/>
      <c r="F504" s="422"/>
      <c r="G504" s="422"/>
      <c r="H504" s="422"/>
      <c r="I504" s="422"/>
    </row>
    <row r="505">
      <c r="A505" s="430"/>
      <c r="B505" s="422"/>
      <c r="C505" s="422"/>
      <c r="D505" s="422"/>
      <c r="E505" s="422"/>
      <c r="F505" s="422"/>
      <c r="G505" s="422"/>
      <c r="H505" s="422"/>
      <c r="I505" s="422"/>
    </row>
    <row r="506">
      <c r="A506" s="430"/>
      <c r="B506" s="422"/>
      <c r="C506" s="422"/>
      <c r="D506" s="422"/>
      <c r="E506" s="422"/>
      <c r="F506" s="422"/>
      <c r="G506" s="422"/>
      <c r="H506" s="422"/>
      <c r="I506" s="422"/>
    </row>
    <row r="507">
      <c r="A507" s="430"/>
      <c r="B507" s="422"/>
      <c r="C507" s="422"/>
      <c r="D507" s="422"/>
      <c r="E507" s="422"/>
      <c r="F507" s="422"/>
      <c r="G507" s="422"/>
      <c r="H507" s="422"/>
      <c r="I507" s="422"/>
    </row>
    <row r="508">
      <c r="A508" s="430"/>
      <c r="B508" s="422"/>
      <c r="C508" s="422"/>
      <c r="D508" s="422"/>
      <c r="E508" s="422"/>
      <c r="F508" s="422"/>
      <c r="G508" s="422"/>
      <c r="H508" s="422"/>
      <c r="I508" s="422"/>
    </row>
    <row r="509">
      <c r="A509" s="430"/>
      <c r="B509" s="422"/>
      <c r="C509" s="422"/>
      <c r="D509" s="422"/>
      <c r="E509" s="422"/>
      <c r="F509" s="422"/>
      <c r="G509" s="422"/>
      <c r="H509" s="422"/>
      <c r="I509" s="422"/>
    </row>
    <row r="510">
      <c r="A510" s="430"/>
      <c r="B510" s="422"/>
      <c r="C510" s="422"/>
      <c r="D510" s="422"/>
      <c r="E510" s="422"/>
      <c r="F510" s="422"/>
      <c r="G510" s="422"/>
      <c r="H510" s="422"/>
      <c r="I510" s="422"/>
    </row>
    <row r="511">
      <c r="A511" s="430"/>
      <c r="B511" s="422"/>
      <c r="C511" s="422"/>
      <c r="D511" s="422"/>
      <c r="E511" s="422"/>
      <c r="F511" s="422"/>
      <c r="G511" s="422"/>
      <c r="H511" s="422"/>
      <c r="I511" s="422"/>
    </row>
    <row r="512">
      <c r="A512" s="430"/>
      <c r="B512" s="422"/>
      <c r="C512" s="422"/>
      <c r="D512" s="422"/>
      <c r="E512" s="422"/>
      <c r="F512" s="422"/>
      <c r="G512" s="422"/>
      <c r="H512" s="422"/>
      <c r="I512" s="422"/>
    </row>
    <row r="513">
      <c r="A513" s="430"/>
      <c r="B513" s="422"/>
      <c r="C513" s="422"/>
      <c r="D513" s="422"/>
      <c r="E513" s="422"/>
      <c r="F513" s="422"/>
      <c r="G513" s="422"/>
      <c r="H513" s="422"/>
      <c r="I513" s="422"/>
    </row>
    <row r="514">
      <c r="A514" s="430"/>
      <c r="B514" s="422"/>
      <c r="C514" s="422"/>
      <c r="D514" s="422"/>
      <c r="E514" s="422"/>
      <c r="F514" s="422"/>
      <c r="G514" s="422"/>
      <c r="H514" s="422"/>
      <c r="I514" s="422"/>
    </row>
    <row r="515">
      <c r="A515" s="430"/>
      <c r="B515" s="422"/>
      <c r="C515" s="422"/>
      <c r="D515" s="422"/>
      <c r="E515" s="422"/>
      <c r="F515" s="422"/>
      <c r="G515" s="422"/>
      <c r="H515" s="422"/>
      <c r="I515" s="422"/>
    </row>
    <row r="516">
      <c r="A516" s="430"/>
      <c r="B516" s="422"/>
      <c r="C516" s="422"/>
      <c r="D516" s="422"/>
      <c r="E516" s="422"/>
      <c r="F516" s="422"/>
      <c r="G516" s="422"/>
      <c r="H516" s="422"/>
      <c r="I516" s="422"/>
    </row>
    <row r="517">
      <c r="A517" s="430"/>
      <c r="B517" s="422"/>
      <c r="C517" s="422"/>
      <c r="D517" s="422"/>
      <c r="E517" s="422"/>
      <c r="F517" s="422"/>
      <c r="G517" s="422"/>
      <c r="H517" s="422"/>
      <c r="I517" s="422"/>
    </row>
    <row r="518">
      <c r="A518" s="430"/>
      <c r="B518" s="422"/>
      <c r="C518" s="422"/>
      <c r="D518" s="422"/>
      <c r="E518" s="422"/>
      <c r="F518" s="422"/>
      <c r="G518" s="422"/>
      <c r="H518" s="422"/>
      <c r="I518" s="422"/>
    </row>
    <row r="519">
      <c r="A519" s="430"/>
      <c r="B519" s="422"/>
      <c r="C519" s="422"/>
      <c r="D519" s="422"/>
      <c r="E519" s="422"/>
      <c r="F519" s="422"/>
      <c r="G519" s="422"/>
      <c r="H519" s="422"/>
      <c r="I519" s="422"/>
    </row>
    <row r="520">
      <c r="A520" s="430"/>
      <c r="B520" s="422"/>
      <c r="C520" s="422"/>
      <c r="D520" s="422"/>
      <c r="E520" s="422"/>
      <c r="F520" s="422"/>
      <c r="G520" s="422"/>
      <c r="H520" s="422"/>
      <c r="I520" s="422"/>
    </row>
    <row r="521">
      <c r="A521" s="430"/>
      <c r="B521" s="422"/>
      <c r="C521" s="422"/>
      <c r="D521" s="422"/>
      <c r="E521" s="422"/>
      <c r="F521" s="422"/>
      <c r="G521" s="422"/>
      <c r="H521" s="422"/>
      <c r="I521" s="422"/>
    </row>
    <row r="522">
      <c r="A522" s="430"/>
      <c r="B522" s="422"/>
      <c r="C522" s="422"/>
      <c r="D522" s="422"/>
      <c r="E522" s="422"/>
      <c r="F522" s="422"/>
      <c r="G522" s="422"/>
      <c r="H522" s="422"/>
      <c r="I522" s="422"/>
    </row>
    <row r="523">
      <c r="A523" s="430"/>
      <c r="B523" s="422"/>
      <c r="C523" s="422"/>
      <c r="D523" s="422"/>
      <c r="E523" s="422"/>
      <c r="F523" s="422"/>
      <c r="G523" s="422"/>
      <c r="H523" s="422"/>
      <c r="I523" s="422"/>
    </row>
    <row r="524">
      <c r="A524" s="430"/>
      <c r="B524" s="422"/>
      <c r="C524" s="422"/>
      <c r="D524" s="422"/>
      <c r="E524" s="422"/>
      <c r="F524" s="422"/>
      <c r="G524" s="422"/>
      <c r="H524" s="422"/>
      <c r="I524" s="422"/>
    </row>
    <row r="525">
      <c r="A525" s="430"/>
      <c r="B525" s="422"/>
      <c r="C525" s="422"/>
      <c r="D525" s="422"/>
      <c r="E525" s="422"/>
      <c r="F525" s="422"/>
      <c r="G525" s="422"/>
      <c r="H525" s="422"/>
      <c r="I525" s="422"/>
    </row>
    <row r="526">
      <c r="A526" s="430"/>
      <c r="B526" s="422"/>
      <c r="C526" s="422"/>
      <c r="D526" s="422"/>
      <c r="E526" s="422"/>
      <c r="F526" s="422"/>
      <c r="G526" s="422"/>
      <c r="H526" s="422"/>
      <c r="I526" s="422"/>
    </row>
    <row r="527">
      <c r="A527" s="430"/>
      <c r="B527" s="422"/>
      <c r="C527" s="422"/>
      <c r="D527" s="422"/>
      <c r="E527" s="422"/>
      <c r="F527" s="422"/>
      <c r="G527" s="422"/>
      <c r="H527" s="422"/>
      <c r="I527" s="422"/>
    </row>
    <row r="528">
      <c r="A528" s="430"/>
      <c r="B528" s="422"/>
      <c r="C528" s="422"/>
      <c r="D528" s="422"/>
      <c r="E528" s="422"/>
      <c r="F528" s="422"/>
      <c r="G528" s="422"/>
      <c r="H528" s="422"/>
      <c r="I528" s="422"/>
    </row>
    <row r="529">
      <c r="A529" s="430"/>
      <c r="B529" s="422"/>
      <c r="C529" s="422"/>
      <c r="D529" s="422"/>
      <c r="E529" s="422"/>
      <c r="F529" s="422"/>
      <c r="G529" s="422"/>
      <c r="H529" s="422"/>
      <c r="I529" s="422"/>
    </row>
    <row r="530">
      <c r="A530" s="430"/>
      <c r="B530" s="422"/>
      <c r="C530" s="422"/>
      <c r="D530" s="422"/>
      <c r="E530" s="422"/>
      <c r="F530" s="422"/>
      <c r="G530" s="422"/>
      <c r="H530" s="422"/>
      <c r="I530" s="422"/>
    </row>
    <row r="531">
      <c r="A531" s="430"/>
      <c r="B531" s="422"/>
      <c r="C531" s="422"/>
      <c r="D531" s="422"/>
      <c r="E531" s="422"/>
      <c r="F531" s="422"/>
      <c r="G531" s="422"/>
      <c r="H531" s="422"/>
      <c r="I531" s="422"/>
    </row>
    <row r="532">
      <c r="A532" s="430"/>
      <c r="B532" s="422"/>
      <c r="C532" s="422"/>
      <c r="D532" s="422"/>
      <c r="E532" s="422"/>
      <c r="F532" s="422"/>
      <c r="G532" s="422"/>
      <c r="H532" s="422"/>
      <c r="I532" s="422"/>
    </row>
    <row r="533">
      <c r="A533" s="430"/>
      <c r="B533" s="422"/>
      <c r="C533" s="422"/>
      <c r="D533" s="422"/>
      <c r="E533" s="422"/>
      <c r="F533" s="422"/>
      <c r="G533" s="422"/>
      <c r="H533" s="422"/>
      <c r="I533" s="422"/>
    </row>
    <row r="534">
      <c r="A534" s="430"/>
      <c r="B534" s="422"/>
      <c r="C534" s="422"/>
      <c r="D534" s="422"/>
      <c r="E534" s="422"/>
      <c r="F534" s="422"/>
      <c r="G534" s="422"/>
      <c r="H534" s="422"/>
      <c r="I534" s="422"/>
    </row>
    <row r="535">
      <c r="A535" s="430"/>
      <c r="B535" s="422"/>
      <c r="C535" s="422"/>
      <c r="D535" s="422"/>
      <c r="E535" s="422"/>
      <c r="F535" s="422"/>
      <c r="G535" s="422"/>
      <c r="H535" s="422"/>
      <c r="I535" s="422"/>
    </row>
    <row r="536">
      <c r="A536" s="430"/>
      <c r="B536" s="422"/>
      <c r="C536" s="422"/>
      <c r="D536" s="422"/>
      <c r="E536" s="422"/>
      <c r="F536" s="422"/>
      <c r="G536" s="422"/>
      <c r="H536" s="422"/>
      <c r="I536" s="422"/>
    </row>
    <row r="537">
      <c r="A537" s="430"/>
      <c r="B537" s="422"/>
      <c r="C537" s="422"/>
      <c r="D537" s="422"/>
      <c r="E537" s="422"/>
      <c r="F537" s="422"/>
      <c r="G537" s="422"/>
      <c r="H537" s="422"/>
      <c r="I537" s="422"/>
    </row>
    <row r="538">
      <c r="A538" s="430"/>
      <c r="B538" s="422"/>
      <c r="C538" s="422"/>
      <c r="D538" s="422"/>
      <c r="E538" s="422"/>
      <c r="F538" s="422"/>
      <c r="G538" s="422"/>
      <c r="H538" s="422"/>
      <c r="I538" s="422"/>
    </row>
    <row r="539">
      <c r="A539" s="430"/>
      <c r="B539" s="422"/>
      <c r="C539" s="422"/>
      <c r="D539" s="422"/>
      <c r="E539" s="422"/>
      <c r="F539" s="422"/>
      <c r="G539" s="422"/>
      <c r="H539" s="422"/>
      <c r="I539" s="422"/>
    </row>
    <row r="540">
      <c r="A540" s="430"/>
      <c r="B540" s="422"/>
      <c r="C540" s="422"/>
      <c r="D540" s="422"/>
      <c r="E540" s="422"/>
      <c r="F540" s="422"/>
      <c r="G540" s="422"/>
      <c r="H540" s="422"/>
      <c r="I540" s="422"/>
    </row>
    <row r="541">
      <c r="A541" s="430"/>
      <c r="B541" s="422"/>
      <c r="C541" s="422"/>
      <c r="D541" s="422"/>
      <c r="E541" s="422"/>
      <c r="F541" s="422"/>
      <c r="G541" s="422"/>
      <c r="H541" s="422"/>
      <c r="I541" s="422"/>
    </row>
    <row r="542">
      <c r="A542" s="430"/>
      <c r="B542" s="422"/>
      <c r="C542" s="422"/>
      <c r="D542" s="422"/>
      <c r="E542" s="422"/>
      <c r="F542" s="422"/>
      <c r="G542" s="422"/>
      <c r="H542" s="422"/>
      <c r="I542" s="422"/>
    </row>
    <row r="543">
      <c r="A543" s="430"/>
      <c r="B543" s="422"/>
      <c r="C543" s="422"/>
      <c r="D543" s="422"/>
      <c r="E543" s="422"/>
      <c r="F543" s="422"/>
      <c r="G543" s="422"/>
      <c r="H543" s="422"/>
      <c r="I543" s="422"/>
    </row>
    <row r="544">
      <c r="A544" s="430"/>
      <c r="B544" s="422"/>
      <c r="C544" s="422"/>
      <c r="D544" s="422"/>
      <c r="E544" s="422"/>
      <c r="F544" s="422"/>
      <c r="G544" s="422"/>
      <c r="H544" s="422"/>
      <c r="I544" s="422"/>
    </row>
    <row r="545">
      <c r="A545" s="430"/>
      <c r="B545" s="422"/>
      <c r="C545" s="422"/>
      <c r="D545" s="422"/>
      <c r="E545" s="422"/>
      <c r="F545" s="422"/>
      <c r="G545" s="422"/>
      <c r="H545" s="422"/>
      <c r="I545" s="422"/>
    </row>
    <row r="546">
      <c r="A546" s="430"/>
      <c r="B546" s="422"/>
      <c r="C546" s="422"/>
      <c r="D546" s="422"/>
      <c r="E546" s="422"/>
      <c r="F546" s="422"/>
      <c r="G546" s="422"/>
      <c r="H546" s="422"/>
      <c r="I546" s="422"/>
    </row>
    <row r="547">
      <c r="A547" s="430"/>
      <c r="B547" s="422"/>
      <c r="C547" s="422"/>
      <c r="D547" s="422"/>
      <c r="E547" s="422"/>
      <c r="F547" s="422"/>
      <c r="G547" s="422"/>
      <c r="H547" s="422"/>
      <c r="I547" s="422"/>
    </row>
    <row r="548">
      <c r="A548" s="430"/>
      <c r="B548" s="422"/>
      <c r="C548" s="422"/>
      <c r="D548" s="422"/>
      <c r="E548" s="422"/>
      <c r="F548" s="422"/>
      <c r="G548" s="422"/>
      <c r="H548" s="422"/>
      <c r="I548" s="422"/>
    </row>
    <row r="549">
      <c r="A549" s="430"/>
      <c r="B549" s="422"/>
      <c r="C549" s="422"/>
      <c r="D549" s="422"/>
      <c r="E549" s="422"/>
      <c r="F549" s="422"/>
      <c r="G549" s="422"/>
      <c r="H549" s="422"/>
      <c r="I549" s="422"/>
    </row>
    <row r="550">
      <c r="A550" s="430"/>
      <c r="B550" s="422"/>
      <c r="C550" s="422"/>
      <c r="D550" s="422"/>
      <c r="E550" s="422"/>
      <c r="F550" s="422"/>
      <c r="G550" s="422"/>
      <c r="H550" s="422"/>
      <c r="I550" s="422"/>
    </row>
    <row r="551">
      <c r="A551" s="430"/>
      <c r="B551" s="422"/>
      <c r="C551" s="422"/>
      <c r="D551" s="422"/>
      <c r="E551" s="422"/>
      <c r="F551" s="422"/>
      <c r="G551" s="422"/>
      <c r="H551" s="422"/>
      <c r="I551" s="422"/>
    </row>
    <row r="552">
      <c r="A552" s="430"/>
      <c r="B552" s="422"/>
      <c r="C552" s="422"/>
      <c r="D552" s="422"/>
      <c r="E552" s="422"/>
      <c r="F552" s="422"/>
      <c r="G552" s="422"/>
      <c r="H552" s="422"/>
      <c r="I552" s="422"/>
    </row>
    <row r="553">
      <c r="A553" s="430"/>
      <c r="B553" s="422"/>
      <c r="C553" s="422"/>
      <c r="D553" s="422"/>
      <c r="E553" s="422"/>
      <c r="F553" s="422"/>
      <c r="G553" s="422"/>
      <c r="H553" s="422"/>
      <c r="I553" s="422"/>
    </row>
    <row r="554">
      <c r="A554" s="430"/>
      <c r="B554" s="422"/>
      <c r="C554" s="422"/>
      <c r="D554" s="422"/>
      <c r="E554" s="422"/>
      <c r="F554" s="422"/>
      <c r="G554" s="422"/>
      <c r="H554" s="422"/>
      <c r="I554" s="422"/>
    </row>
    <row r="555">
      <c r="A555" s="430"/>
      <c r="B555" s="422"/>
      <c r="C555" s="422"/>
      <c r="D555" s="422"/>
      <c r="E555" s="422"/>
      <c r="F555" s="422"/>
      <c r="G555" s="422"/>
      <c r="H555" s="422"/>
      <c r="I555" s="422"/>
    </row>
    <row r="556">
      <c r="A556" s="430"/>
      <c r="B556" s="422"/>
      <c r="C556" s="422"/>
      <c r="D556" s="422"/>
      <c r="E556" s="422"/>
      <c r="F556" s="422"/>
      <c r="G556" s="422"/>
      <c r="H556" s="422"/>
      <c r="I556" s="422"/>
    </row>
    <row r="557">
      <c r="A557" s="430"/>
      <c r="B557" s="422"/>
      <c r="C557" s="422"/>
      <c r="D557" s="422"/>
      <c r="E557" s="422"/>
      <c r="F557" s="422"/>
      <c r="G557" s="422"/>
      <c r="H557" s="422"/>
      <c r="I557" s="422"/>
    </row>
    <row r="558">
      <c r="A558" s="430"/>
      <c r="B558" s="422"/>
      <c r="C558" s="422"/>
      <c r="D558" s="422"/>
      <c r="E558" s="422"/>
      <c r="F558" s="422"/>
      <c r="G558" s="422"/>
      <c r="H558" s="422"/>
      <c r="I558" s="422"/>
    </row>
    <row r="559">
      <c r="A559" s="430"/>
      <c r="B559" s="422"/>
      <c r="C559" s="422"/>
      <c r="D559" s="422"/>
      <c r="E559" s="422"/>
      <c r="F559" s="422"/>
      <c r="G559" s="422"/>
      <c r="H559" s="422"/>
      <c r="I559" s="422"/>
    </row>
    <row r="560">
      <c r="A560" s="430"/>
      <c r="B560" s="422"/>
      <c r="C560" s="422"/>
      <c r="D560" s="422"/>
      <c r="E560" s="422"/>
      <c r="F560" s="422"/>
      <c r="G560" s="422"/>
      <c r="H560" s="422"/>
      <c r="I560" s="422"/>
    </row>
    <row r="561">
      <c r="A561" s="430"/>
      <c r="B561" s="422"/>
      <c r="C561" s="422"/>
      <c r="D561" s="422"/>
      <c r="E561" s="422"/>
      <c r="F561" s="422"/>
      <c r="G561" s="422"/>
      <c r="H561" s="422"/>
      <c r="I561" s="422"/>
    </row>
    <row r="562">
      <c r="A562" s="430"/>
      <c r="B562" s="422"/>
      <c r="C562" s="422"/>
      <c r="D562" s="422"/>
      <c r="E562" s="422"/>
      <c r="F562" s="422"/>
      <c r="G562" s="422"/>
      <c r="H562" s="422"/>
      <c r="I562" s="422"/>
    </row>
    <row r="563">
      <c r="A563" s="430"/>
      <c r="B563" s="422"/>
      <c r="C563" s="422"/>
      <c r="D563" s="422"/>
      <c r="E563" s="422"/>
      <c r="F563" s="422"/>
      <c r="G563" s="422"/>
      <c r="H563" s="422"/>
      <c r="I563" s="422"/>
    </row>
    <row r="564">
      <c r="A564" s="430"/>
      <c r="B564" s="422"/>
      <c r="C564" s="422"/>
      <c r="D564" s="422"/>
      <c r="E564" s="422"/>
      <c r="F564" s="422"/>
      <c r="G564" s="422"/>
      <c r="H564" s="422"/>
      <c r="I564" s="422"/>
    </row>
    <row r="565">
      <c r="A565" s="430"/>
      <c r="B565" s="422"/>
      <c r="C565" s="422"/>
      <c r="D565" s="422"/>
      <c r="E565" s="422"/>
      <c r="F565" s="422"/>
      <c r="G565" s="422"/>
      <c r="H565" s="422"/>
      <c r="I565" s="422"/>
    </row>
    <row r="566">
      <c r="A566" s="430"/>
      <c r="B566" s="422"/>
      <c r="C566" s="422"/>
      <c r="D566" s="422"/>
      <c r="E566" s="422"/>
      <c r="F566" s="422"/>
      <c r="G566" s="422"/>
      <c r="H566" s="422"/>
      <c r="I566" s="422"/>
    </row>
    <row r="567">
      <c r="A567" s="430"/>
      <c r="B567" s="422"/>
      <c r="C567" s="422"/>
      <c r="D567" s="422"/>
      <c r="E567" s="422"/>
      <c r="F567" s="422"/>
      <c r="G567" s="422"/>
      <c r="H567" s="422"/>
      <c r="I567" s="422"/>
    </row>
    <row r="568">
      <c r="A568" s="430"/>
      <c r="B568" s="422"/>
      <c r="C568" s="422"/>
      <c r="D568" s="422"/>
      <c r="E568" s="422"/>
      <c r="F568" s="422"/>
      <c r="G568" s="422"/>
      <c r="H568" s="422"/>
      <c r="I568" s="422"/>
    </row>
    <row r="569">
      <c r="A569" s="430"/>
      <c r="B569" s="422"/>
      <c r="C569" s="422"/>
      <c r="D569" s="422"/>
      <c r="E569" s="422"/>
      <c r="F569" s="422"/>
      <c r="G569" s="422"/>
      <c r="H569" s="422"/>
      <c r="I569" s="422"/>
    </row>
    <row r="570">
      <c r="A570" s="430"/>
      <c r="B570" s="422"/>
      <c r="C570" s="422"/>
      <c r="D570" s="422"/>
      <c r="E570" s="422"/>
      <c r="F570" s="422"/>
      <c r="G570" s="422"/>
      <c r="H570" s="422"/>
      <c r="I570" s="422"/>
    </row>
    <row r="571">
      <c r="A571" s="430"/>
      <c r="B571" s="422"/>
      <c r="C571" s="422"/>
      <c r="D571" s="422"/>
      <c r="E571" s="422"/>
      <c r="F571" s="422"/>
      <c r="G571" s="422"/>
      <c r="H571" s="422"/>
      <c r="I571" s="422"/>
    </row>
    <row r="572">
      <c r="A572" s="430"/>
      <c r="B572" s="422"/>
      <c r="C572" s="422"/>
      <c r="D572" s="422"/>
      <c r="E572" s="422"/>
      <c r="F572" s="422"/>
      <c r="G572" s="422"/>
      <c r="H572" s="422"/>
      <c r="I572" s="422"/>
    </row>
    <row r="573">
      <c r="A573" s="430"/>
      <c r="B573" s="422"/>
      <c r="C573" s="422"/>
      <c r="D573" s="422"/>
      <c r="E573" s="422"/>
      <c r="F573" s="422"/>
      <c r="G573" s="422"/>
      <c r="H573" s="422"/>
      <c r="I573" s="422"/>
    </row>
    <row r="574">
      <c r="A574" s="430"/>
      <c r="B574" s="422"/>
      <c r="C574" s="422"/>
      <c r="D574" s="422"/>
      <c r="E574" s="422"/>
      <c r="F574" s="422"/>
      <c r="G574" s="422"/>
      <c r="H574" s="422"/>
      <c r="I574" s="422"/>
    </row>
    <row r="575">
      <c r="A575" s="430"/>
      <c r="B575" s="422"/>
      <c r="C575" s="422"/>
      <c r="D575" s="422"/>
      <c r="E575" s="422"/>
      <c r="F575" s="422"/>
      <c r="G575" s="422"/>
      <c r="H575" s="422"/>
      <c r="I575" s="422"/>
    </row>
    <row r="576">
      <c r="A576" s="430"/>
      <c r="B576" s="422"/>
      <c r="C576" s="422"/>
      <c r="D576" s="422"/>
      <c r="E576" s="422"/>
      <c r="F576" s="422"/>
      <c r="G576" s="422"/>
      <c r="H576" s="422"/>
      <c r="I576" s="422"/>
    </row>
    <row r="577">
      <c r="A577" s="430"/>
      <c r="B577" s="422"/>
      <c r="C577" s="422"/>
      <c r="D577" s="422"/>
      <c r="E577" s="422"/>
      <c r="F577" s="422"/>
      <c r="G577" s="422"/>
      <c r="H577" s="422"/>
      <c r="I577" s="422"/>
    </row>
    <row r="578">
      <c r="A578" s="430"/>
      <c r="B578" s="422"/>
      <c r="C578" s="422"/>
      <c r="D578" s="422"/>
      <c r="E578" s="422"/>
      <c r="F578" s="422"/>
      <c r="G578" s="422"/>
      <c r="H578" s="422"/>
      <c r="I578" s="422"/>
    </row>
    <row r="579">
      <c r="A579" s="430"/>
      <c r="B579" s="422"/>
      <c r="C579" s="422"/>
      <c r="D579" s="422"/>
      <c r="E579" s="422"/>
      <c r="F579" s="422"/>
      <c r="G579" s="422"/>
      <c r="H579" s="422"/>
      <c r="I579" s="422"/>
    </row>
    <row r="580">
      <c r="A580" s="430"/>
      <c r="B580" s="422"/>
      <c r="C580" s="422"/>
      <c r="D580" s="422"/>
      <c r="E580" s="422"/>
      <c r="F580" s="422"/>
      <c r="G580" s="422"/>
      <c r="H580" s="422"/>
      <c r="I580" s="422"/>
    </row>
    <row r="581">
      <c r="A581" s="430"/>
      <c r="B581" s="422"/>
      <c r="C581" s="422"/>
      <c r="D581" s="422"/>
      <c r="E581" s="422"/>
      <c r="F581" s="422"/>
      <c r="G581" s="422"/>
      <c r="H581" s="422"/>
      <c r="I581" s="422"/>
    </row>
    <row r="582">
      <c r="A582" s="430"/>
      <c r="B582" s="422"/>
      <c r="C582" s="422"/>
      <c r="D582" s="422"/>
      <c r="E582" s="422"/>
      <c r="F582" s="422"/>
      <c r="G582" s="422"/>
      <c r="H582" s="422"/>
      <c r="I582" s="422"/>
    </row>
    <row r="583">
      <c r="A583" s="430"/>
      <c r="B583" s="422"/>
      <c r="C583" s="422"/>
      <c r="D583" s="422"/>
      <c r="E583" s="422"/>
      <c r="F583" s="422"/>
      <c r="G583" s="422"/>
      <c r="H583" s="422"/>
      <c r="I583" s="422"/>
    </row>
    <row r="584">
      <c r="A584" s="430"/>
      <c r="B584" s="422"/>
      <c r="C584" s="422"/>
      <c r="D584" s="422"/>
      <c r="E584" s="422"/>
      <c r="F584" s="422"/>
      <c r="G584" s="422"/>
      <c r="H584" s="422"/>
      <c r="I584" s="422"/>
    </row>
    <row r="585">
      <c r="A585" s="430"/>
      <c r="B585" s="422"/>
      <c r="C585" s="422"/>
      <c r="D585" s="422"/>
      <c r="E585" s="422"/>
      <c r="F585" s="422"/>
      <c r="G585" s="422"/>
      <c r="H585" s="422"/>
      <c r="I585" s="422"/>
    </row>
    <row r="586">
      <c r="A586" s="430"/>
      <c r="B586" s="422"/>
      <c r="C586" s="422"/>
      <c r="D586" s="422"/>
      <c r="E586" s="422"/>
      <c r="F586" s="422"/>
      <c r="G586" s="422"/>
      <c r="H586" s="422"/>
      <c r="I586" s="422"/>
    </row>
    <row r="587">
      <c r="A587" s="430"/>
      <c r="B587" s="422"/>
      <c r="C587" s="422"/>
      <c r="D587" s="422"/>
      <c r="E587" s="422"/>
      <c r="F587" s="422"/>
      <c r="G587" s="422"/>
      <c r="H587" s="422"/>
      <c r="I587" s="422"/>
    </row>
    <row r="588">
      <c r="A588" s="430"/>
      <c r="B588" s="422"/>
      <c r="C588" s="422"/>
      <c r="D588" s="422"/>
      <c r="E588" s="422"/>
      <c r="F588" s="422"/>
      <c r="G588" s="422"/>
      <c r="H588" s="422"/>
      <c r="I588" s="422"/>
    </row>
    <row r="589">
      <c r="A589" s="430"/>
      <c r="B589" s="422"/>
      <c r="C589" s="422"/>
      <c r="D589" s="422"/>
      <c r="E589" s="422"/>
      <c r="F589" s="422"/>
      <c r="G589" s="422"/>
      <c r="H589" s="422"/>
      <c r="I589" s="422"/>
    </row>
    <row r="590">
      <c r="A590" s="430"/>
      <c r="B590" s="422"/>
      <c r="C590" s="422"/>
      <c r="D590" s="422"/>
      <c r="E590" s="422"/>
      <c r="F590" s="422"/>
      <c r="G590" s="422"/>
      <c r="H590" s="422"/>
      <c r="I590" s="422"/>
    </row>
    <row r="591">
      <c r="A591" s="430"/>
      <c r="B591" s="422"/>
      <c r="C591" s="422"/>
      <c r="D591" s="422"/>
      <c r="E591" s="422"/>
      <c r="F591" s="422"/>
      <c r="G591" s="422"/>
      <c r="H591" s="422"/>
      <c r="I591" s="422"/>
    </row>
    <row r="592">
      <c r="A592" s="430"/>
      <c r="B592" s="422"/>
      <c r="C592" s="422"/>
      <c r="D592" s="422"/>
      <c r="E592" s="422"/>
      <c r="F592" s="422"/>
      <c r="G592" s="422"/>
      <c r="H592" s="422"/>
      <c r="I592" s="422"/>
    </row>
    <row r="593">
      <c r="A593" s="430"/>
      <c r="B593" s="422"/>
      <c r="C593" s="422"/>
      <c r="D593" s="422"/>
      <c r="E593" s="422"/>
      <c r="F593" s="422"/>
      <c r="G593" s="422"/>
      <c r="H593" s="422"/>
      <c r="I593" s="422"/>
    </row>
    <row r="594">
      <c r="A594" s="430"/>
      <c r="B594" s="422"/>
      <c r="C594" s="422"/>
      <c r="D594" s="422"/>
      <c r="E594" s="422"/>
      <c r="F594" s="422"/>
      <c r="G594" s="422"/>
      <c r="H594" s="422"/>
      <c r="I594" s="422"/>
    </row>
    <row r="595">
      <c r="A595" s="430"/>
      <c r="B595" s="422"/>
      <c r="C595" s="422"/>
      <c r="D595" s="422"/>
      <c r="E595" s="422"/>
      <c r="F595" s="422"/>
      <c r="G595" s="422"/>
      <c r="H595" s="422"/>
      <c r="I595" s="422"/>
    </row>
    <row r="596">
      <c r="A596" s="430"/>
      <c r="B596" s="422"/>
      <c r="C596" s="422"/>
      <c r="D596" s="422"/>
      <c r="E596" s="422"/>
      <c r="F596" s="422"/>
      <c r="G596" s="422"/>
      <c r="H596" s="422"/>
      <c r="I596" s="422"/>
    </row>
    <row r="597">
      <c r="A597" s="430"/>
      <c r="B597" s="422"/>
      <c r="C597" s="422"/>
      <c r="D597" s="422"/>
      <c r="E597" s="422"/>
      <c r="F597" s="422"/>
      <c r="G597" s="422"/>
      <c r="H597" s="422"/>
      <c r="I597" s="422"/>
    </row>
    <row r="598">
      <c r="A598" s="430"/>
      <c r="B598" s="422"/>
      <c r="C598" s="422"/>
      <c r="D598" s="422"/>
      <c r="E598" s="422"/>
      <c r="F598" s="422"/>
      <c r="G598" s="422"/>
      <c r="H598" s="422"/>
      <c r="I598" s="422"/>
    </row>
    <row r="599">
      <c r="A599" s="430"/>
      <c r="B599" s="422"/>
      <c r="C599" s="422"/>
      <c r="D599" s="422"/>
      <c r="E599" s="422"/>
      <c r="F599" s="422"/>
      <c r="G599" s="422"/>
      <c r="H599" s="422"/>
      <c r="I599" s="422"/>
    </row>
    <row r="600">
      <c r="A600" s="430"/>
      <c r="B600" s="422"/>
      <c r="C600" s="422"/>
      <c r="D600" s="422"/>
      <c r="E600" s="422"/>
      <c r="F600" s="422"/>
      <c r="G600" s="422"/>
      <c r="H600" s="422"/>
      <c r="I600" s="422"/>
    </row>
    <row r="601">
      <c r="A601" s="430"/>
      <c r="B601" s="422"/>
      <c r="C601" s="422"/>
      <c r="D601" s="422"/>
      <c r="E601" s="422"/>
      <c r="F601" s="422"/>
      <c r="G601" s="422"/>
      <c r="H601" s="422"/>
      <c r="I601" s="422"/>
    </row>
    <row r="602">
      <c r="A602" s="430"/>
      <c r="B602" s="422"/>
      <c r="C602" s="422"/>
      <c r="D602" s="422"/>
      <c r="E602" s="422"/>
      <c r="F602" s="422"/>
      <c r="G602" s="422"/>
      <c r="H602" s="422"/>
      <c r="I602" s="422"/>
    </row>
    <row r="603">
      <c r="A603" s="430"/>
      <c r="B603" s="422"/>
      <c r="C603" s="422"/>
      <c r="D603" s="422"/>
      <c r="E603" s="422"/>
      <c r="F603" s="422"/>
      <c r="G603" s="422"/>
      <c r="H603" s="422"/>
      <c r="I603" s="422"/>
    </row>
    <row r="604">
      <c r="A604" s="430"/>
      <c r="B604" s="422"/>
      <c r="C604" s="422"/>
      <c r="D604" s="422"/>
      <c r="E604" s="422"/>
      <c r="F604" s="422"/>
      <c r="G604" s="422"/>
      <c r="H604" s="422"/>
      <c r="I604" s="422"/>
    </row>
    <row r="605">
      <c r="A605" s="430"/>
      <c r="B605" s="422"/>
      <c r="C605" s="422"/>
      <c r="D605" s="422"/>
      <c r="E605" s="422"/>
      <c r="F605" s="422"/>
      <c r="G605" s="422"/>
      <c r="H605" s="422"/>
      <c r="I605" s="422"/>
    </row>
    <row r="606">
      <c r="A606" s="430"/>
      <c r="B606" s="422"/>
      <c r="C606" s="422"/>
      <c r="D606" s="422"/>
      <c r="E606" s="422"/>
      <c r="F606" s="422"/>
      <c r="G606" s="422"/>
      <c r="H606" s="422"/>
      <c r="I606" s="422"/>
    </row>
    <row r="607">
      <c r="A607" s="430"/>
      <c r="B607" s="422"/>
      <c r="C607" s="422"/>
      <c r="D607" s="422"/>
      <c r="E607" s="422"/>
      <c r="F607" s="422"/>
      <c r="G607" s="422"/>
      <c r="H607" s="422"/>
      <c r="I607" s="422"/>
    </row>
    <row r="608">
      <c r="A608" s="430"/>
      <c r="B608" s="422"/>
      <c r="C608" s="422"/>
      <c r="D608" s="422"/>
      <c r="E608" s="422"/>
      <c r="F608" s="422"/>
      <c r="G608" s="422"/>
      <c r="H608" s="422"/>
      <c r="I608" s="422"/>
    </row>
    <row r="609">
      <c r="A609" s="430"/>
      <c r="B609" s="422"/>
      <c r="C609" s="422"/>
      <c r="D609" s="422"/>
      <c r="E609" s="422"/>
      <c r="F609" s="422"/>
      <c r="G609" s="422"/>
      <c r="H609" s="422"/>
      <c r="I609" s="422"/>
    </row>
    <row r="610">
      <c r="A610" s="430"/>
      <c r="B610" s="422"/>
      <c r="C610" s="422"/>
      <c r="D610" s="422"/>
      <c r="E610" s="422"/>
      <c r="F610" s="422"/>
      <c r="G610" s="422"/>
      <c r="H610" s="422"/>
      <c r="I610" s="422"/>
    </row>
    <row r="611">
      <c r="A611" s="430"/>
      <c r="B611" s="422"/>
      <c r="C611" s="422"/>
      <c r="D611" s="422"/>
      <c r="E611" s="422"/>
      <c r="F611" s="422"/>
      <c r="G611" s="422"/>
      <c r="H611" s="422"/>
      <c r="I611" s="422"/>
    </row>
    <row r="612">
      <c r="A612" s="430"/>
      <c r="B612" s="422"/>
      <c r="C612" s="422"/>
      <c r="D612" s="422"/>
      <c r="E612" s="422"/>
      <c r="F612" s="422"/>
      <c r="G612" s="422"/>
      <c r="H612" s="422"/>
      <c r="I612" s="422"/>
    </row>
    <row r="613">
      <c r="A613" s="430"/>
      <c r="B613" s="422"/>
      <c r="C613" s="422"/>
      <c r="D613" s="422"/>
      <c r="E613" s="422"/>
      <c r="F613" s="422"/>
      <c r="G613" s="422"/>
      <c r="H613" s="422"/>
      <c r="I613" s="422"/>
    </row>
    <row r="614">
      <c r="A614" s="430"/>
      <c r="B614" s="422"/>
      <c r="C614" s="422"/>
      <c r="D614" s="422"/>
      <c r="E614" s="422"/>
      <c r="F614" s="422"/>
      <c r="G614" s="422"/>
      <c r="H614" s="422"/>
      <c r="I614" s="422"/>
    </row>
    <row r="615">
      <c r="A615" s="430"/>
      <c r="B615" s="422"/>
      <c r="C615" s="422"/>
      <c r="D615" s="422"/>
      <c r="E615" s="422"/>
      <c r="F615" s="422"/>
      <c r="G615" s="422"/>
      <c r="H615" s="422"/>
      <c r="I615" s="422"/>
    </row>
    <row r="616">
      <c r="A616" s="430"/>
      <c r="B616" s="422"/>
      <c r="C616" s="422"/>
      <c r="D616" s="422"/>
      <c r="E616" s="422"/>
      <c r="F616" s="422"/>
      <c r="G616" s="422"/>
      <c r="H616" s="422"/>
      <c r="I616" s="422"/>
    </row>
    <row r="617">
      <c r="A617" s="430"/>
      <c r="B617" s="422"/>
      <c r="C617" s="422"/>
      <c r="D617" s="422"/>
      <c r="E617" s="422"/>
      <c r="F617" s="422"/>
      <c r="G617" s="422"/>
      <c r="H617" s="422"/>
      <c r="I617" s="422"/>
    </row>
    <row r="618">
      <c r="A618" s="430"/>
      <c r="B618" s="422"/>
      <c r="C618" s="422"/>
      <c r="D618" s="422"/>
      <c r="E618" s="422"/>
      <c r="F618" s="422"/>
      <c r="G618" s="422"/>
      <c r="H618" s="422"/>
      <c r="I618" s="422"/>
    </row>
    <row r="619">
      <c r="A619" s="430"/>
      <c r="B619" s="422"/>
      <c r="C619" s="422"/>
      <c r="D619" s="422"/>
      <c r="E619" s="422"/>
      <c r="F619" s="422"/>
      <c r="G619" s="422"/>
      <c r="H619" s="422"/>
      <c r="I619" s="422"/>
    </row>
    <row r="620">
      <c r="A620" s="430"/>
      <c r="B620" s="422"/>
      <c r="C620" s="422"/>
      <c r="D620" s="422"/>
      <c r="E620" s="422"/>
      <c r="F620" s="422"/>
      <c r="G620" s="422"/>
      <c r="H620" s="422"/>
      <c r="I620" s="422"/>
    </row>
    <row r="621">
      <c r="A621" s="430"/>
      <c r="B621" s="422"/>
      <c r="C621" s="422"/>
      <c r="D621" s="422"/>
      <c r="E621" s="422"/>
      <c r="F621" s="422"/>
      <c r="G621" s="422"/>
      <c r="H621" s="422"/>
      <c r="I621" s="422"/>
    </row>
    <row r="622">
      <c r="A622" s="430"/>
      <c r="B622" s="422"/>
      <c r="C622" s="422"/>
      <c r="D622" s="422"/>
      <c r="E622" s="422"/>
      <c r="F622" s="422"/>
      <c r="G622" s="422"/>
      <c r="H622" s="422"/>
      <c r="I622" s="422"/>
    </row>
    <row r="623">
      <c r="A623" s="430"/>
      <c r="B623" s="422"/>
      <c r="C623" s="422"/>
      <c r="D623" s="422"/>
      <c r="E623" s="422"/>
      <c r="F623" s="422"/>
      <c r="G623" s="422"/>
      <c r="H623" s="422"/>
      <c r="I623" s="422"/>
    </row>
    <row r="624">
      <c r="A624" s="430"/>
      <c r="B624" s="422"/>
      <c r="C624" s="422"/>
      <c r="D624" s="422"/>
      <c r="E624" s="422"/>
      <c r="F624" s="422"/>
      <c r="G624" s="422"/>
      <c r="H624" s="422"/>
      <c r="I624" s="422"/>
    </row>
    <row r="625">
      <c r="A625" s="430"/>
      <c r="B625" s="422"/>
      <c r="C625" s="422"/>
      <c r="D625" s="422"/>
      <c r="E625" s="422"/>
      <c r="F625" s="422"/>
      <c r="G625" s="422"/>
      <c r="H625" s="422"/>
      <c r="I625" s="422"/>
    </row>
    <row r="626">
      <c r="A626" s="430"/>
      <c r="B626" s="422"/>
      <c r="C626" s="422"/>
      <c r="D626" s="422"/>
      <c r="E626" s="422"/>
      <c r="F626" s="422"/>
      <c r="G626" s="422"/>
      <c r="H626" s="422"/>
      <c r="I626" s="422"/>
    </row>
    <row r="627">
      <c r="A627" s="430"/>
      <c r="B627" s="422"/>
      <c r="C627" s="422"/>
      <c r="D627" s="422"/>
      <c r="E627" s="422"/>
      <c r="F627" s="422"/>
      <c r="G627" s="422"/>
      <c r="H627" s="422"/>
      <c r="I627" s="422"/>
    </row>
    <row r="628">
      <c r="A628" s="430"/>
      <c r="B628" s="422"/>
      <c r="C628" s="422"/>
      <c r="D628" s="422"/>
      <c r="E628" s="422"/>
      <c r="F628" s="422"/>
      <c r="G628" s="422"/>
      <c r="H628" s="422"/>
      <c r="I628" s="422"/>
    </row>
    <row r="629">
      <c r="A629" s="430"/>
      <c r="B629" s="422"/>
      <c r="C629" s="422"/>
      <c r="D629" s="422"/>
      <c r="E629" s="422"/>
      <c r="F629" s="422"/>
      <c r="G629" s="422"/>
      <c r="H629" s="422"/>
      <c r="I629" s="422"/>
    </row>
    <row r="630">
      <c r="A630" s="430"/>
      <c r="B630" s="422"/>
      <c r="C630" s="422"/>
      <c r="D630" s="422"/>
      <c r="E630" s="422"/>
      <c r="F630" s="422"/>
      <c r="G630" s="422"/>
      <c r="H630" s="422"/>
      <c r="I630" s="422"/>
    </row>
    <row r="631">
      <c r="A631" s="430"/>
      <c r="B631" s="422"/>
      <c r="C631" s="422"/>
      <c r="D631" s="422"/>
      <c r="E631" s="422"/>
      <c r="F631" s="422"/>
      <c r="G631" s="422"/>
      <c r="H631" s="422"/>
      <c r="I631" s="422"/>
    </row>
    <row r="632">
      <c r="A632" s="430"/>
      <c r="B632" s="422"/>
      <c r="C632" s="422"/>
      <c r="D632" s="422"/>
      <c r="E632" s="422"/>
      <c r="F632" s="422"/>
      <c r="G632" s="422"/>
      <c r="H632" s="422"/>
      <c r="I632" s="422"/>
    </row>
    <row r="633">
      <c r="A633" s="430"/>
      <c r="B633" s="422"/>
      <c r="C633" s="422"/>
      <c r="D633" s="422"/>
      <c r="E633" s="422"/>
      <c r="F633" s="422"/>
      <c r="G633" s="422"/>
      <c r="H633" s="422"/>
      <c r="I633" s="422"/>
    </row>
    <row r="634">
      <c r="A634" s="430"/>
      <c r="B634" s="422"/>
      <c r="C634" s="422"/>
      <c r="D634" s="422"/>
      <c r="E634" s="422"/>
      <c r="F634" s="422"/>
      <c r="G634" s="422"/>
      <c r="H634" s="422"/>
      <c r="I634" s="422"/>
    </row>
    <row r="635">
      <c r="A635" s="430"/>
      <c r="B635" s="422"/>
      <c r="C635" s="422"/>
      <c r="D635" s="422"/>
      <c r="E635" s="422"/>
      <c r="F635" s="422"/>
      <c r="G635" s="422"/>
      <c r="H635" s="422"/>
      <c r="I635" s="422"/>
    </row>
    <row r="636">
      <c r="A636" s="430"/>
      <c r="B636" s="422"/>
      <c r="C636" s="422"/>
      <c r="D636" s="422"/>
      <c r="E636" s="422"/>
      <c r="F636" s="422"/>
      <c r="G636" s="422"/>
      <c r="H636" s="422"/>
      <c r="I636" s="422"/>
    </row>
    <row r="637">
      <c r="A637" s="430"/>
      <c r="B637" s="422"/>
      <c r="C637" s="422"/>
      <c r="D637" s="422"/>
      <c r="E637" s="422"/>
      <c r="F637" s="422"/>
      <c r="G637" s="422"/>
      <c r="H637" s="422"/>
      <c r="I637" s="422"/>
    </row>
    <row r="638">
      <c r="A638" s="430"/>
      <c r="B638" s="422"/>
      <c r="C638" s="422"/>
      <c r="D638" s="422"/>
      <c r="E638" s="422"/>
      <c r="F638" s="422"/>
      <c r="G638" s="422"/>
      <c r="H638" s="422"/>
      <c r="I638" s="422"/>
    </row>
    <row r="639">
      <c r="A639" s="430"/>
      <c r="B639" s="422"/>
      <c r="C639" s="422"/>
      <c r="D639" s="422"/>
      <c r="E639" s="422"/>
      <c r="F639" s="422"/>
      <c r="G639" s="422"/>
      <c r="H639" s="422"/>
      <c r="I639" s="422"/>
    </row>
    <row r="640">
      <c r="A640" s="430"/>
      <c r="B640" s="422"/>
      <c r="C640" s="422"/>
      <c r="D640" s="422"/>
      <c r="E640" s="422"/>
      <c r="F640" s="422"/>
      <c r="G640" s="422"/>
      <c r="H640" s="422"/>
      <c r="I640" s="422"/>
    </row>
    <row r="641">
      <c r="A641" s="430"/>
      <c r="B641" s="422"/>
      <c r="C641" s="422"/>
      <c r="D641" s="422"/>
      <c r="E641" s="422"/>
      <c r="F641" s="422"/>
      <c r="G641" s="422"/>
      <c r="H641" s="422"/>
      <c r="I641" s="422"/>
    </row>
    <row r="642">
      <c r="A642" s="430"/>
      <c r="B642" s="422"/>
      <c r="C642" s="422"/>
      <c r="D642" s="422"/>
      <c r="E642" s="422"/>
      <c r="F642" s="422"/>
      <c r="G642" s="422"/>
      <c r="H642" s="422"/>
      <c r="I642" s="422"/>
    </row>
    <row r="643">
      <c r="A643" s="430"/>
      <c r="B643" s="422"/>
      <c r="C643" s="422"/>
      <c r="D643" s="422"/>
      <c r="E643" s="422"/>
      <c r="F643" s="422"/>
      <c r="G643" s="422"/>
      <c r="H643" s="422"/>
      <c r="I643" s="422"/>
    </row>
    <row r="644">
      <c r="A644" s="430"/>
      <c r="B644" s="422"/>
      <c r="C644" s="422"/>
      <c r="D644" s="422"/>
      <c r="E644" s="422"/>
      <c r="F644" s="422"/>
      <c r="G644" s="422"/>
      <c r="H644" s="422"/>
      <c r="I644" s="422"/>
    </row>
    <row r="645">
      <c r="A645" s="430"/>
      <c r="B645" s="422"/>
      <c r="C645" s="422"/>
      <c r="D645" s="422"/>
      <c r="E645" s="422"/>
      <c r="F645" s="422"/>
      <c r="G645" s="422"/>
      <c r="H645" s="422"/>
      <c r="I645" s="422"/>
    </row>
    <row r="646">
      <c r="A646" s="430"/>
      <c r="B646" s="422"/>
      <c r="C646" s="422"/>
      <c r="D646" s="422"/>
      <c r="E646" s="422"/>
      <c r="F646" s="422"/>
      <c r="G646" s="422"/>
      <c r="H646" s="422"/>
      <c r="I646" s="422"/>
    </row>
    <row r="647">
      <c r="A647" s="430"/>
      <c r="B647" s="422"/>
      <c r="C647" s="422"/>
      <c r="D647" s="422"/>
      <c r="E647" s="422"/>
      <c r="F647" s="422"/>
      <c r="G647" s="422"/>
      <c r="H647" s="422"/>
      <c r="I647" s="422"/>
    </row>
    <row r="648">
      <c r="A648" s="430"/>
      <c r="B648" s="422"/>
      <c r="C648" s="422"/>
      <c r="D648" s="422"/>
      <c r="E648" s="422"/>
      <c r="F648" s="422"/>
      <c r="G648" s="422"/>
      <c r="H648" s="422"/>
      <c r="I648" s="422"/>
    </row>
    <row r="649">
      <c r="A649" s="430"/>
      <c r="B649" s="422"/>
      <c r="C649" s="422"/>
      <c r="D649" s="422"/>
      <c r="E649" s="422"/>
      <c r="F649" s="422"/>
      <c r="G649" s="422"/>
      <c r="H649" s="422"/>
      <c r="I649" s="422"/>
    </row>
    <row r="650">
      <c r="A650" s="430"/>
      <c r="B650" s="422"/>
      <c r="C650" s="422"/>
      <c r="D650" s="422"/>
      <c r="E650" s="422"/>
      <c r="F650" s="422"/>
      <c r="G650" s="422"/>
      <c r="H650" s="422"/>
      <c r="I650" s="422"/>
    </row>
    <row r="651">
      <c r="A651" s="430"/>
      <c r="B651" s="422"/>
      <c r="C651" s="422"/>
      <c r="D651" s="422"/>
      <c r="E651" s="422"/>
      <c r="F651" s="422"/>
      <c r="G651" s="422"/>
      <c r="H651" s="422"/>
      <c r="I651" s="422"/>
    </row>
    <row r="652">
      <c r="A652" s="430"/>
      <c r="B652" s="422"/>
      <c r="C652" s="422"/>
      <c r="D652" s="422"/>
      <c r="E652" s="422"/>
      <c r="F652" s="422"/>
      <c r="G652" s="422"/>
      <c r="H652" s="422"/>
      <c r="I652" s="422"/>
    </row>
    <row r="653">
      <c r="A653" s="430"/>
      <c r="B653" s="422"/>
      <c r="C653" s="422"/>
      <c r="D653" s="422"/>
      <c r="E653" s="422"/>
      <c r="F653" s="422"/>
      <c r="G653" s="422"/>
      <c r="H653" s="422"/>
      <c r="I653" s="422"/>
    </row>
    <row r="654">
      <c r="A654" s="430"/>
      <c r="B654" s="422"/>
      <c r="C654" s="422"/>
      <c r="D654" s="422"/>
      <c r="E654" s="422"/>
      <c r="F654" s="422"/>
      <c r="G654" s="422"/>
      <c r="H654" s="422"/>
      <c r="I654" s="422"/>
    </row>
    <row r="655">
      <c r="A655" s="430"/>
      <c r="B655" s="422"/>
      <c r="C655" s="422"/>
      <c r="D655" s="422"/>
      <c r="E655" s="422"/>
      <c r="F655" s="422"/>
      <c r="G655" s="422"/>
      <c r="H655" s="422"/>
      <c r="I655" s="422"/>
    </row>
    <row r="656">
      <c r="A656" s="430"/>
      <c r="B656" s="422"/>
      <c r="C656" s="422"/>
      <c r="D656" s="422"/>
      <c r="E656" s="422"/>
      <c r="F656" s="422"/>
      <c r="G656" s="422"/>
      <c r="H656" s="422"/>
      <c r="I656" s="422"/>
    </row>
    <row r="657">
      <c r="A657" s="430"/>
      <c r="B657" s="422"/>
      <c r="C657" s="422"/>
      <c r="D657" s="422"/>
      <c r="E657" s="422"/>
      <c r="F657" s="422"/>
      <c r="G657" s="422"/>
      <c r="H657" s="422"/>
      <c r="I657" s="422"/>
    </row>
    <row r="658">
      <c r="A658" s="430"/>
      <c r="B658" s="422"/>
      <c r="C658" s="422"/>
      <c r="D658" s="422"/>
      <c r="E658" s="422"/>
      <c r="F658" s="422"/>
      <c r="G658" s="422"/>
      <c r="H658" s="422"/>
      <c r="I658" s="422"/>
    </row>
    <row r="659">
      <c r="A659" s="430"/>
      <c r="B659" s="422"/>
      <c r="C659" s="422"/>
      <c r="D659" s="422"/>
      <c r="E659" s="422"/>
      <c r="F659" s="422"/>
      <c r="G659" s="422"/>
      <c r="H659" s="422"/>
      <c r="I659" s="422"/>
    </row>
    <row r="660">
      <c r="A660" s="430"/>
      <c r="B660" s="422"/>
      <c r="C660" s="422"/>
      <c r="D660" s="422"/>
      <c r="E660" s="422"/>
      <c r="F660" s="422"/>
      <c r="G660" s="422"/>
      <c r="H660" s="422"/>
      <c r="I660" s="422"/>
    </row>
    <row r="661">
      <c r="A661" s="430"/>
      <c r="B661" s="422"/>
      <c r="C661" s="422"/>
      <c r="D661" s="422"/>
      <c r="E661" s="422"/>
      <c r="F661" s="422"/>
      <c r="G661" s="422"/>
      <c r="H661" s="422"/>
      <c r="I661" s="422"/>
    </row>
    <row r="662">
      <c r="A662" s="430"/>
      <c r="B662" s="422"/>
      <c r="C662" s="422"/>
      <c r="D662" s="422"/>
      <c r="E662" s="422"/>
      <c r="F662" s="422"/>
      <c r="G662" s="422"/>
      <c r="H662" s="422"/>
      <c r="I662" s="422"/>
    </row>
    <row r="663">
      <c r="A663" s="430"/>
      <c r="B663" s="422"/>
      <c r="C663" s="422"/>
      <c r="D663" s="422"/>
      <c r="E663" s="422"/>
      <c r="F663" s="422"/>
      <c r="G663" s="422"/>
      <c r="H663" s="422"/>
      <c r="I663" s="422"/>
    </row>
    <row r="664">
      <c r="A664" s="430"/>
      <c r="B664" s="422"/>
      <c r="C664" s="422"/>
      <c r="D664" s="422"/>
      <c r="E664" s="422"/>
      <c r="F664" s="422"/>
      <c r="G664" s="422"/>
      <c r="H664" s="422"/>
      <c r="I664" s="422"/>
    </row>
    <row r="665">
      <c r="A665" s="430"/>
      <c r="B665" s="422"/>
      <c r="C665" s="422"/>
      <c r="D665" s="422"/>
      <c r="E665" s="422"/>
      <c r="F665" s="422"/>
      <c r="G665" s="422"/>
      <c r="H665" s="422"/>
      <c r="I665" s="422"/>
    </row>
    <row r="666">
      <c r="A666" s="430"/>
      <c r="B666" s="422"/>
      <c r="C666" s="422"/>
      <c r="D666" s="422"/>
      <c r="E666" s="422"/>
      <c r="F666" s="422"/>
      <c r="G666" s="422"/>
      <c r="H666" s="422"/>
      <c r="I666" s="422"/>
    </row>
    <row r="667">
      <c r="A667" s="430"/>
      <c r="B667" s="422"/>
      <c r="C667" s="422"/>
      <c r="D667" s="422"/>
      <c r="E667" s="422"/>
      <c r="F667" s="422"/>
      <c r="G667" s="422"/>
      <c r="H667" s="422"/>
      <c r="I667" s="422"/>
    </row>
    <row r="668">
      <c r="A668" s="430"/>
      <c r="B668" s="422"/>
      <c r="C668" s="422"/>
      <c r="D668" s="422"/>
      <c r="E668" s="422"/>
      <c r="F668" s="422"/>
      <c r="G668" s="422"/>
      <c r="H668" s="422"/>
      <c r="I668" s="422"/>
    </row>
    <row r="669">
      <c r="A669" s="430"/>
      <c r="B669" s="422"/>
      <c r="C669" s="422"/>
      <c r="D669" s="422"/>
      <c r="E669" s="422"/>
      <c r="F669" s="422"/>
      <c r="G669" s="422"/>
      <c r="H669" s="422"/>
      <c r="I669" s="422"/>
    </row>
    <row r="670">
      <c r="A670" s="430"/>
      <c r="B670" s="422"/>
      <c r="C670" s="422"/>
      <c r="D670" s="422"/>
      <c r="E670" s="422"/>
      <c r="F670" s="422"/>
      <c r="G670" s="422"/>
      <c r="H670" s="422"/>
      <c r="I670" s="422"/>
    </row>
    <row r="671">
      <c r="A671" s="430"/>
      <c r="B671" s="422"/>
      <c r="C671" s="422"/>
      <c r="D671" s="422"/>
      <c r="E671" s="422"/>
      <c r="F671" s="422"/>
      <c r="G671" s="422"/>
      <c r="H671" s="422"/>
      <c r="I671" s="422"/>
    </row>
    <row r="672">
      <c r="A672" s="430"/>
      <c r="B672" s="422"/>
      <c r="C672" s="422"/>
      <c r="D672" s="422"/>
      <c r="E672" s="422"/>
      <c r="F672" s="422"/>
      <c r="G672" s="422"/>
      <c r="H672" s="422"/>
      <c r="I672" s="422"/>
    </row>
    <row r="673">
      <c r="A673" s="430"/>
      <c r="B673" s="422"/>
      <c r="C673" s="422"/>
      <c r="D673" s="422"/>
      <c r="E673" s="422"/>
      <c r="F673" s="422"/>
      <c r="G673" s="422"/>
      <c r="H673" s="422"/>
      <c r="I673" s="422"/>
    </row>
    <row r="674">
      <c r="A674" s="430"/>
      <c r="B674" s="422"/>
      <c r="C674" s="422"/>
      <c r="D674" s="422"/>
      <c r="E674" s="422"/>
      <c r="F674" s="422"/>
      <c r="G674" s="422"/>
      <c r="H674" s="422"/>
      <c r="I674" s="422"/>
    </row>
    <row r="675">
      <c r="A675" s="430"/>
      <c r="B675" s="422"/>
      <c r="C675" s="422"/>
      <c r="D675" s="422"/>
      <c r="E675" s="422"/>
      <c r="F675" s="422"/>
      <c r="G675" s="422"/>
      <c r="H675" s="422"/>
      <c r="I675" s="422"/>
    </row>
    <row r="676">
      <c r="A676" s="430"/>
      <c r="B676" s="422"/>
      <c r="C676" s="422"/>
      <c r="D676" s="422"/>
      <c r="E676" s="422"/>
      <c r="F676" s="422"/>
      <c r="G676" s="422"/>
      <c r="H676" s="422"/>
      <c r="I676" s="422"/>
    </row>
    <row r="677">
      <c r="A677" s="430"/>
      <c r="B677" s="422"/>
      <c r="C677" s="422"/>
      <c r="D677" s="422"/>
      <c r="E677" s="422"/>
      <c r="F677" s="422"/>
      <c r="G677" s="422"/>
      <c r="H677" s="422"/>
      <c r="I677" s="422"/>
    </row>
    <row r="678">
      <c r="A678" s="430"/>
      <c r="B678" s="422"/>
      <c r="C678" s="422"/>
      <c r="D678" s="422"/>
      <c r="E678" s="422"/>
      <c r="F678" s="422"/>
      <c r="G678" s="422"/>
      <c r="H678" s="422"/>
      <c r="I678" s="422"/>
    </row>
    <row r="679">
      <c r="A679" s="430"/>
      <c r="B679" s="422"/>
      <c r="C679" s="422"/>
      <c r="D679" s="422"/>
      <c r="E679" s="422"/>
      <c r="F679" s="422"/>
      <c r="G679" s="422"/>
      <c r="H679" s="422"/>
      <c r="I679" s="422"/>
    </row>
    <row r="680">
      <c r="A680" s="430"/>
      <c r="B680" s="422"/>
      <c r="C680" s="422"/>
      <c r="D680" s="422"/>
      <c r="E680" s="422"/>
      <c r="F680" s="422"/>
      <c r="G680" s="422"/>
      <c r="H680" s="422"/>
      <c r="I680" s="422"/>
    </row>
    <row r="681">
      <c r="A681" s="430"/>
      <c r="B681" s="422"/>
      <c r="C681" s="422"/>
      <c r="D681" s="422"/>
      <c r="E681" s="422"/>
      <c r="F681" s="422"/>
      <c r="G681" s="422"/>
      <c r="H681" s="422"/>
      <c r="I681" s="422"/>
    </row>
    <row r="682">
      <c r="A682" s="430"/>
      <c r="B682" s="422"/>
      <c r="C682" s="422"/>
      <c r="D682" s="422"/>
      <c r="E682" s="422"/>
      <c r="F682" s="422"/>
      <c r="G682" s="422"/>
      <c r="H682" s="422"/>
      <c r="I682" s="422"/>
    </row>
    <row r="683">
      <c r="A683" s="430"/>
      <c r="B683" s="422"/>
      <c r="C683" s="422"/>
      <c r="D683" s="422"/>
      <c r="E683" s="422"/>
      <c r="F683" s="422"/>
      <c r="G683" s="422"/>
      <c r="H683" s="422"/>
      <c r="I683" s="422"/>
    </row>
    <row r="684">
      <c r="A684" s="430"/>
      <c r="B684" s="422"/>
      <c r="C684" s="422"/>
      <c r="D684" s="422"/>
      <c r="E684" s="422"/>
      <c r="F684" s="422"/>
      <c r="G684" s="422"/>
      <c r="H684" s="422"/>
      <c r="I684" s="422"/>
    </row>
    <row r="685">
      <c r="A685" s="430"/>
      <c r="B685" s="422"/>
      <c r="C685" s="422"/>
      <c r="D685" s="422"/>
      <c r="E685" s="422"/>
      <c r="F685" s="422"/>
      <c r="G685" s="422"/>
      <c r="H685" s="422"/>
      <c r="I685" s="422"/>
    </row>
    <row r="686">
      <c r="A686" s="430"/>
      <c r="B686" s="422"/>
      <c r="C686" s="422"/>
      <c r="D686" s="422"/>
      <c r="E686" s="422"/>
      <c r="F686" s="422"/>
      <c r="G686" s="422"/>
      <c r="H686" s="422"/>
      <c r="I686" s="422"/>
    </row>
    <row r="687">
      <c r="A687" s="430"/>
      <c r="B687" s="422"/>
      <c r="C687" s="422"/>
      <c r="D687" s="422"/>
      <c r="E687" s="422"/>
      <c r="F687" s="422"/>
      <c r="G687" s="422"/>
      <c r="H687" s="422"/>
      <c r="I687" s="422"/>
    </row>
    <row r="688">
      <c r="A688" s="430"/>
      <c r="B688" s="422"/>
      <c r="C688" s="422"/>
      <c r="D688" s="422"/>
      <c r="E688" s="422"/>
      <c r="F688" s="422"/>
      <c r="G688" s="422"/>
      <c r="H688" s="422"/>
      <c r="I688" s="422"/>
    </row>
    <row r="689">
      <c r="A689" s="430"/>
      <c r="B689" s="422"/>
      <c r="C689" s="422"/>
      <c r="D689" s="422"/>
      <c r="E689" s="422"/>
      <c r="F689" s="422"/>
      <c r="G689" s="422"/>
      <c r="H689" s="422"/>
      <c r="I689" s="422"/>
    </row>
    <row r="690">
      <c r="A690" s="430"/>
      <c r="B690" s="422"/>
      <c r="C690" s="422"/>
      <c r="D690" s="422"/>
      <c r="E690" s="422"/>
      <c r="F690" s="422"/>
      <c r="G690" s="422"/>
      <c r="H690" s="422"/>
      <c r="I690" s="422"/>
    </row>
    <row r="691">
      <c r="A691" s="430"/>
      <c r="B691" s="422"/>
      <c r="C691" s="422"/>
      <c r="D691" s="422"/>
      <c r="E691" s="422"/>
      <c r="F691" s="422"/>
      <c r="G691" s="422"/>
      <c r="H691" s="422"/>
      <c r="I691" s="422"/>
    </row>
    <row r="692">
      <c r="A692" s="430"/>
      <c r="B692" s="422"/>
      <c r="C692" s="422"/>
      <c r="D692" s="422"/>
      <c r="E692" s="422"/>
      <c r="F692" s="422"/>
      <c r="G692" s="422"/>
      <c r="H692" s="422"/>
      <c r="I692" s="422"/>
    </row>
    <row r="693">
      <c r="A693" s="430"/>
      <c r="B693" s="422"/>
      <c r="C693" s="422"/>
      <c r="D693" s="422"/>
      <c r="E693" s="422"/>
      <c r="F693" s="422"/>
      <c r="G693" s="422"/>
      <c r="H693" s="422"/>
      <c r="I693" s="422"/>
    </row>
    <row r="694">
      <c r="A694" s="430"/>
      <c r="B694" s="422"/>
      <c r="C694" s="422"/>
      <c r="D694" s="422"/>
      <c r="E694" s="422"/>
      <c r="F694" s="422"/>
      <c r="G694" s="422"/>
      <c r="H694" s="422"/>
      <c r="I694" s="422"/>
    </row>
    <row r="695">
      <c r="A695" s="430"/>
      <c r="B695" s="422"/>
      <c r="C695" s="422"/>
      <c r="D695" s="422"/>
      <c r="E695" s="422"/>
      <c r="F695" s="422"/>
      <c r="G695" s="422"/>
      <c r="H695" s="422"/>
      <c r="I695" s="422"/>
    </row>
    <row r="696">
      <c r="A696" s="430"/>
      <c r="B696" s="422"/>
      <c r="C696" s="422"/>
      <c r="D696" s="422"/>
      <c r="E696" s="422"/>
      <c r="F696" s="422"/>
      <c r="G696" s="422"/>
      <c r="H696" s="422"/>
      <c r="I696" s="422"/>
    </row>
    <row r="697">
      <c r="A697" s="430"/>
      <c r="B697" s="422"/>
      <c r="C697" s="422"/>
      <c r="D697" s="422"/>
      <c r="E697" s="422"/>
      <c r="F697" s="422"/>
      <c r="G697" s="422"/>
      <c r="H697" s="422"/>
      <c r="I697" s="422"/>
    </row>
    <row r="698">
      <c r="A698" s="430"/>
      <c r="B698" s="422"/>
      <c r="C698" s="422"/>
      <c r="D698" s="422"/>
      <c r="E698" s="422"/>
      <c r="F698" s="422"/>
      <c r="G698" s="422"/>
      <c r="H698" s="422"/>
      <c r="I698" s="422"/>
    </row>
    <row r="699">
      <c r="A699" s="430"/>
      <c r="B699" s="422"/>
      <c r="C699" s="422"/>
      <c r="D699" s="422"/>
      <c r="E699" s="422"/>
      <c r="F699" s="422"/>
      <c r="G699" s="422"/>
      <c r="H699" s="422"/>
      <c r="I699" s="422"/>
    </row>
    <row r="700">
      <c r="A700" s="430"/>
      <c r="B700" s="422"/>
      <c r="C700" s="422"/>
      <c r="D700" s="422"/>
      <c r="E700" s="422"/>
      <c r="F700" s="422"/>
      <c r="G700" s="422"/>
      <c r="H700" s="422"/>
      <c r="I700" s="422"/>
    </row>
    <row r="701">
      <c r="A701" s="430"/>
      <c r="B701" s="422"/>
      <c r="C701" s="422"/>
      <c r="D701" s="422"/>
      <c r="E701" s="422"/>
      <c r="F701" s="422"/>
      <c r="G701" s="422"/>
      <c r="H701" s="422"/>
      <c r="I701" s="422"/>
    </row>
    <row r="702">
      <c r="A702" s="430"/>
      <c r="B702" s="422"/>
      <c r="C702" s="422"/>
      <c r="D702" s="422"/>
      <c r="E702" s="422"/>
      <c r="F702" s="422"/>
      <c r="G702" s="422"/>
      <c r="H702" s="422"/>
      <c r="I702" s="422"/>
    </row>
    <row r="703">
      <c r="A703" s="430"/>
      <c r="B703" s="422"/>
      <c r="C703" s="422"/>
      <c r="D703" s="422"/>
      <c r="E703" s="422"/>
      <c r="F703" s="422"/>
      <c r="G703" s="422"/>
      <c r="H703" s="422"/>
      <c r="I703" s="422"/>
    </row>
    <row r="704">
      <c r="A704" s="430"/>
      <c r="B704" s="422"/>
      <c r="C704" s="422"/>
      <c r="D704" s="422"/>
      <c r="E704" s="422"/>
      <c r="F704" s="422"/>
      <c r="G704" s="422"/>
      <c r="H704" s="422"/>
      <c r="I704" s="422"/>
    </row>
    <row r="705">
      <c r="A705" s="430"/>
      <c r="B705" s="422"/>
      <c r="C705" s="422"/>
      <c r="D705" s="422"/>
      <c r="E705" s="422"/>
      <c r="F705" s="422"/>
      <c r="G705" s="422"/>
      <c r="H705" s="422"/>
      <c r="I705" s="422"/>
    </row>
    <row r="706">
      <c r="A706" s="430"/>
      <c r="B706" s="422"/>
      <c r="C706" s="422"/>
      <c r="D706" s="422"/>
      <c r="E706" s="422"/>
      <c r="F706" s="422"/>
      <c r="G706" s="422"/>
      <c r="H706" s="422"/>
      <c r="I706" s="422"/>
    </row>
    <row r="707">
      <c r="A707" s="430"/>
      <c r="B707" s="422"/>
      <c r="C707" s="422"/>
      <c r="D707" s="422"/>
      <c r="E707" s="422"/>
      <c r="F707" s="422"/>
      <c r="G707" s="422"/>
      <c r="H707" s="422"/>
      <c r="I707" s="422"/>
    </row>
    <row r="708">
      <c r="A708" s="430"/>
      <c r="B708" s="422"/>
      <c r="C708" s="422"/>
      <c r="D708" s="422"/>
      <c r="E708" s="422"/>
      <c r="F708" s="422"/>
      <c r="G708" s="422"/>
      <c r="H708" s="422"/>
      <c r="I708" s="422"/>
    </row>
    <row r="709">
      <c r="A709" s="430"/>
      <c r="B709" s="422"/>
      <c r="C709" s="422"/>
      <c r="D709" s="422"/>
      <c r="E709" s="422"/>
      <c r="F709" s="422"/>
      <c r="G709" s="422"/>
      <c r="H709" s="422"/>
      <c r="I709" s="422"/>
    </row>
    <row r="710">
      <c r="A710" s="430"/>
      <c r="B710" s="422"/>
      <c r="C710" s="422"/>
      <c r="D710" s="422"/>
      <c r="E710" s="422"/>
      <c r="F710" s="422"/>
      <c r="G710" s="422"/>
      <c r="H710" s="422"/>
      <c r="I710" s="422"/>
    </row>
    <row r="711">
      <c r="A711" s="430"/>
      <c r="B711" s="422"/>
      <c r="C711" s="422"/>
      <c r="D711" s="422"/>
      <c r="E711" s="422"/>
      <c r="F711" s="422"/>
      <c r="G711" s="422"/>
      <c r="H711" s="422"/>
      <c r="I711" s="422"/>
    </row>
    <row r="712">
      <c r="A712" s="430"/>
      <c r="B712" s="422"/>
      <c r="C712" s="422"/>
      <c r="D712" s="422"/>
      <c r="E712" s="422"/>
      <c r="F712" s="422"/>
      <c r="G712" s="422"/>
      <c r="H712" s="422"/>
      <c r="I712" s="422"/>
    </row>
    <row r="713">
      <c r="A713" s="430"/>
      <c r="B713" s="422"/>
      <c r="C713" s="422"/>
      <c r="D713" s="422"/>
      <c r="E713" s="422"/>
      <c r="F713" s="422"/>
      <c r="G713" s="422"/>
      <c r="H713" s="422"/>
      <c r="I713" s="422"/>
    </row>
    <row r="714">
      <c r="A714" s="430"/>
      <c r="B714" s="422"/>
      <c r="C714" s="422"/>
      <c r="D714" s="422"/>
      <c r="E714" s="422"/>
      <c r="F714" s="422"/>
      <c r="G714" s="422"/>
      <c r="H714" s="422"/>
      <c r="I714" s="422"/>
    </row>
    <row r="715">
      <c r="A715" s="430"/>
      <c r="B715" s="422"/>
      <c r="C715" s="422"/>
      <c r="D715" s="422"/>
      <c r="E715" s="422"/>
      <c r="F715" s="422"/>
      <c r="G715" s="422"/>
      <c r="H715" s="422"/>
      <c r="I715" s="422"/>
    </row>
    <row r="716">
      <c r="A716" s="430"/>
      <c r="B716" s="422"/>
      <c r="C716" s="422"/>
      <c r="D716" s="422"/>
      <c r="E716" s="422"/>
      <c r="F716" s="422"/>
      <c r="G716" s="422"/>
      <c r="H716" s="422"/>
      <c r="I716" s="422"/>
    </row>
    <row r="717">
      <c r="A717" s="430"/>
      <c r="B717" s="422"/>
      <c r="C717" s="422"/>
      <c r="D717" s="422"/>
      <c r="E717" s="422"/>
      <c r="F717" s="422"/>
      <c r="G717" s="422"/>
      <c r="H717" s="422"/>
      <c r="I717" s="422"/>
    </row>
    <row r="718">
      <c r="A718" s="430"/>
      <c r="B718" s="422"/>
      <c r="C718" s="422"/>
      <c r="D718" s="422"/>
      <c r="E718" s="422"/>
      <c r="F718" s="422"/>
      <c r="G718" s="422"/>
      <c r="H718" s="422"/>
      <c r="I718" s="422"/>
    </row>
    <row r="719">
      <c r="A719" s="430"/>
      <c r="B719" s="422"/>
      <c r="C719" s="422"/>
      <c r="D719" s="422"/>
      <c r="E719" s="422"/>
      <c r="F719" s="422"/>
      <c r="G719" s="422"/>
      <c r="H719" s="422"/>
      <c r="I719" s="422"/>
    </row>
    <row r="720">
      <c r="A720" s="430"/>
      <c r="B720" s="422"/>
      <c r="C720" s="422"/>
      <c r="D720" s="422"/>
      <c r="E720" s="422"/>
      <c r="F720" s="422"/>
      <c r="G720" s="422"/>
      <c r="H720" s="422"/>
      <c r="I720" s="422"/>
    </row>
    <row r="721">
      <c r="A721" s="430"/>
      <c r="B721" s="422"/>
      <c r="C721" s="422"/>
      <c r="D721" s="422"/>
      <c r="E721" s="422"/>
      <c r="F721" s="422"/>
      <c r="G721" s="422"/>
      <c r="H721" s="422"/>
      <c r="I721" s="422"/>
    </row>
    <row r="722">
      <c r="A722" s="430"/>
      <c r="B722" s="422"/>
      <c r="C722" s="422"/>
      <c r="D722" s="422"/>
      <c r="E722" s="422"/>
      <c r="F722" s="422"/>
      <c r="G722" s="422"/>
      <c r="H722" s="422"/>
      <c r="I722" s="422"/>
    </row>
    <row r="723">
      <c r="A723" s="430"/>
      <c r="B723" s="422"/>
      <c r="C723" s="422"/>
      <c r="D723" s="422"/>
      <c r="E723" s="422"/>
      <c r="F723" s="422"/>
      <c r="G723" s="422"/>
      <c r="H723" s="422"/>
      <c r="I723" s="422"/>
    </row>
    <row r="724">
      <c r="A724" s="430"/>
      <c r="B724" s="422"/>
      <c r="C724" s="422"/>
      <c r="D724" s="422"/>
      <c r="E724" s="422"/>
      <c r="F724" s="422"/>
      <c r="G724" s="422"/>
      <c r="H724" s="422"/>
      <c r="I724" s="422"/>
    </row>
    <row r="725">
      <c r="A725" s="430"/>
      <c r="B725" s="422"/>
      <c r="C725" s="422"/>
      <c r="D725" s="422"/>
      <c r="E725" s="422"/>
      <c r="F725" s="422"/>
      <c r="G725" s="422"/>
      <c r="H725" s="422"/>
      <c r="I725" s="422"/>
    </row>
    <row r="726">
      <c r="A726" s="430"/>
      <c r="B726" s="422"/>
      <c r="C726" s="422"/>
      <c r="D726" s="422"/>
      <c r="E726" s="422"/>
      <c r="F726" s="422"/>
      <c r="G726" s="422"/>
      <c r="H726" s="422"/>
      <c r="I726" s="422"/>
    </row>
    <row r="727">
      <c r="A727" s="430"/>
      <c r="B727" s="422"/>
      <c r="C727" s="422"/>
      <c r="D727" s="422"/>
      <c r="E727" s="422"/>
      <c r="F727" s="422"/>
      <c r="G727" s="422"/>
      <c r="H727" s="422"/>
      <c r="I727" s="422"/>
    </row>
    <row r="728">
      <c r="A728" s="430"/>
      <c r="B728" s="422"/>
      <c r="C728" s="422"/>
      <c r="D728" s="422"/>
      <c r="E728" s="422"/>
      <c r="F728" s="422"/>
      <c r="G728" s="422"/>
      <c r="H728" s="422"/>
      <c r="I728" s="422"/>
    </row>
    <row r="729">
      <c r="A729" s="430"/>
      <c r="B729" s="422"/>
      <c r="C729" s="422"/>
      <c r="D729" s="422"/>
      <c r="E729" s="422"/>
      <c r="F729" s="422"/>
      <c r="G729" s="422"/>
      <c r="H729" s="422"/>
      <c r="I729" s="422"/>
    </row>
    <row r="730">
      <c r="A730" s="430"/>
      <c r="B730" s="422"/>
      <c r="C730" s="422"/>
      <c r="D730" s="422"/>
      <c r="E730" s="422"/>
      <c r="F730" s="422"/>
      <c r="G730" s="422"/>
      <c r="H730" s="422"/>
      <c r="I730" s="422"/>
    </row>
    <row r="731">
      <c r="A731" s="430"/>
      <c r="B731" s="422"/>
      <c r="C731" s="422"/>
      <c r="D731" s="422"/>
      <c r="E731" s="422"/>
      <c r="F731" s="422"/>
      <c r="G731" s="422"/>
      <c r="H731" s="422"/>
      <c r="I731" s="422"/>
    </row>
    <row r="732">
      <c r="A732" s="430"/>
      <c r="B732" s="422"/>
      <c r="C732" s="422"/>
      <c r="D732" s="422"/>
      <c r="E732" s="422"/>
      <c r="F732" s="422"/>
      <c r="G732" s="422"/>
      <c r="H732" s="422"/>
      <c r="I732" s="422"/>
    </row>
    <row r="733">
      <c r="A733" s="430"/>
      <c r="B733" s="422"/>
      <c r="C733" s="422"/>
      <c r="D733" s="422"/>
      <c r="E733" s="422"/>
      <c r="F733" s="422"/>
      <c r="G733" s="422"/>
      <c r="H733" s="422"/>
      <c r="I733" s="422"/>
    </row>
    <row r="734">
      <c r="A734" s="430"/>
      <c r="B734" s="422"/>
      <c r="C734" s="422"/>
      <c r="D734" s="422"/>
      <c r="E734" s="422"/>
      <c r="F734" s="422"/>
      <c r="G734" s="422"/>
      <c r="H734" s="422"/>
      <c r="I734" s="422"/>
    </row>
    <row r="735">
      <c r="A735" s="430"/>
      <c r="B735" s="422"/>
      <c r="C735" s="422"/>
      <c r="D735" s="422"/>
      <c r="E735" s="422"/>
      <c r="F735" s="422"/>
      <c r="G735" s="422"/>
      <c r="H735" s="422"/>
      <c r="I735" s="422"/>
    </row>
    <row r="736">
      <c r="A736" s="430"/>
      <c r="B736" s="422"/>
      <c r="C736" s="422"/>
      <c r="D736" s="422"/>
      <c r="E736" s="422"/>
      <c r="F736" s="422"/>
      <c r="G736" s="422"/>
      <c r="H736" s="422"/>
      <c r="I736" s="422"/>
    </row>
    <row r="737">
      <c r="A737" s="430"/>
      <c r="B737" s="422"/>
      <c r="C737" s="422"/>
      <c r="D737" s="422"/>
      <c r="E737" s="422"/>
      <c r="F737" s="422"/>
      <c r="G737" s="422"/>
      <c r="H737" s="422"/>
      <c r="I737" s="422"/>
    </row>
    <row r="738">
      <c r="A738" s="430"/>
      <c r="B738" s="422"/>
      <c r="C738" s="422"/>
      <c r="D738" s="422"/>
      <c r="E738" s="422"/>
      <c r="F738" s="422"/>
      <c r="G738" s="422"/>
      <c r="H738" s="422"/>
      <c r="I738" s="422"/>
    </row>
    <row r="739">
      <c r="A739" s="430"/>
      <c r="B739" s="422"/>
      <c r="C739" s="422"/>
      <c r="D739" s="422"/>
      <c r="E739" s="422"/>
      <c r="F739" s="422"/>
      <c r="G739" s="422"/>
      <c r="H739" s="422"/>
      <c r="I739" s="422"/>
    </row>
    <row r="740">
      <c r="A740" s="430"/>
      <c r="B740" s="422"/>
      <c r="C740" s="422"/>
      <c r="D740" s="422"/>
      <c r="E740" s="422"/>
      <c r="F740" s="422"/>
      <c r="G740" s="422"/>
      <c r="H740" s="422"/>
      <c r="I740" s="422"/>
    </row>
    <row r="741">
      <c r="A741" s="430"/>
      <c r="B741" s="422"/>
      <c r="C741" s="422"/>
      <c r="D741" s="422"/>
      <c r="E741" s="422"/>
      <c r="F741" s="422"/>
      <c r="G741" s="422"/>
      <c r="H741" s="422"/>
      <c r="I741" s="422"/>
    </row>
    <row r="742">
      <c r="A742" s="430"/>
      <c r="B742" s="422"/>
      <c r="C742" s="422"/>
      <c r="D742" s="422"/>
      <c r="E742" s="422"/>
      <c r="F742" s="422"/>
      <c r="G742" s="422"/>
      <c r="H742" s="422"/>
      <c r="I742" s="422"/>
    </row>
    <row r="743">
      <c r="A743" s="430"/>
      <c r="B743" s="422"/>
      <c r="C743" s="422"/>
      <c r="D743" s="422"/>
      <c r="E743" s="422"/>
      <c r="F743" s="422"/>
      <c r="G743" s="422"/>
      <c r="H743" s="422"/>
      <c r="I743" s="422"/>
    </row>
    <row r="744">
      <c r="A744" s="430"/>
      <c r="B744" s="422"/>
      <c r="C744" s="422"/>
      <c r="D744" s="422"/>
      <c r="E744" s="422"/>
      <c r="F744" s="422"/>
      <c r="G744" s="422"/>
      <c r="H744" s="422"/>
      <c r="I744" s="422"/>
    </row>
    <row r="745">
      <c r="A745" s="430"/>
      <c r="B745" s="422"/>
      <c r="C745" s="422"/>
      <c r="D745" s="422"/>
      <c r="E745" s="422"/>
      <c r="F745" s="422"/>
      <c r="G745" s="422"/>
      <c r="H745" s="422"/>
      <c r="I745" s="422"/>
    </row>
    <row r="746">
      <c r="A746" s="430"/>
      <c r="B746" s="422"/>
      <c r="C746" s="422"/>
      <c r="D746" s="422"/>
      <c r="E746" s="422"/>
      <c r="F746" s="422"/>
      <c r="G746" s="422"/>
      <c r="H746" s="422"/>
      <c r="I746" s="422"/>
    </row>
    <row r="747">
      <c r="A747" s="430"/>
      <c r="B747" s="422"/>
      <c r="C747" s="422"/>
      <c r="D747" s="422"/>
      <c r="E747" s="422"/>
      <c r="F747" s="422"/>
      <c r="G747" s="422"/>
      <c r="H747" s="422"/>
      <c r="I747" s="422"/>
    </row>
    <row r="748">
      <c r="A748" s="430"/>
      <c r="B748" s="422"/>
      <c r="C748" s="422"/>
      <c r="D748" s="422"/>
      <c r="E748" s="422"/>
      <c r="F748" s="422"/>
      <c r="G748" s="422"/>
      <c r="H748" s="422"/>
      <c r="I748" s="422"/>
    </row>
    <row r="749">
      <c r="A749" s="430"/>
      <c r="B749" s="422"/>
      <c r="C749" s="422"/>
      <c r="D749" s="422"/>
      <c r="E749" s="422"/>
      <c r="F749" s="422"/>
      <c r="G749" s="422"/>
      <c r="H749" s="422"/>
      <c r="I749" s="422"/>
    </row>
    <row r="750">
      <c r="A750" s="430"/>
      <c r="B750" s="422"/>
      <c r="C750" s="422"/>
      <c r="D750" s="422"/>
      <c r="E750" s="422"/>
      <c r="F750" s="422"/>
      <c r="G750" s="422"/>
      <c r="H750" s="422"/>
      <c r="I750" s="422"/>
    </row>
    <row r="751">
      <c r="A751" s="430"/>
      <c r="B751" s="422"/>
      <c r="C751" s="422"/>
      <c r="D751" s="422"/>
      <c r="E751" s="422"/>
      <c r="F751" s="422"/>
      <c r="G751" s="422"/>
      <c r="H751" s="422"/>
      <c r="I751" s="422"/>
    </row>
    <row r="752">
      <c r="A752" s="430"/>
      <c r="B752" s="422"/>
      <c r="C752" s="422"/>
      <c r="D752" s="422"/>
      <c r="E752" s="422"/>
      <c r="F752" s="422"/>
      <c r="G752" s="422"/>
      <c r="H752" s="422"/>
      <c r="I752" s="422"/>
    </row>
    <row r="753">
      <c r="A753" s="430"/>
      <c r="B753" s="422"/>
      <c r="C753" s="422"/>
      <c r="D753" s="422"/>
      <c r="E753" s="422"/>
      <c r="F753" s="422"/>
      <c r="G753" s="422"/>
      <c r="H753" s="422"/>
      <c r="I753" s="422"/>
    </row>
    <row r="754">
      <c r="A754" s="430"/>
      <c r="B754" s="422"/>
      <c r="C754" s="422"/>
      <c r="D754" s="422"/>
      <c r="E754" s="422"/>
      <c r="F754" s="422"/>
      <c r="G754" s="422"/>
      <c r="H754" s="422"/>
      <c r="I754" s="422"/>
    </row>
    <row r="755">
      <c r="A755" s="430"/>
      <c r="B755" s="422"/>
      <c r="C755" s="422"/>
      <c r="D755" s="422"/>
      <c r="E755" s="422"/>
      <c r="F755" s="422"/>
      <c r="G755" s="422"/>
      <c r="H755" s="422"/>
      <c r="I755" s="422"/>
    </row>
    <row r="756">
      <c r="A756" s="430"/>
      <c r="B756" s="422"/>
      <c r="C756" s="422"/>
      <c r="D756" s="422"/>
      <c r="E756" s="422"/>
      <c r="F756" s="422"/>
      <c r="G756" s="422"/>
      <c r="H756" s="422"/>
      <c r="I756" s="422"/>
    </row>
    <row r="757">
      <c r="A757" s="430"/>
      <c r="B757" s="422"/>
      <c r="C757" s="422"/>
      <c r="D757" s="422"/>
      <c r="E757" s="422"/>
      <c r="F757" s="422"/>
      <c r="G757" s="422"/>
      <c r="H757" s="422"/>
      <c r="I757" s="422"/>
    </row>
    <row r="758">
      <c r="A758" s="430"/>
      <c r="B758" s="422"/>
      <c r="C758" s="422"/>
      <c r="D758" s="422"/>
      <c r="E758" s="422"/>
      <c r="F758" s="422"/>
      <c r="G758" s="422"/>
      <c r="H758" s="422"/>
      <c r="I758" s="422"/>
    </row>
    <row r="759">
      <c r="A759" s="430"/>
      <c r="B759" s="422"/>
      <c r="C759" s="422"/>
      <c r="D759" s="422"/>
      <c r="E759" s="422"/>
      <c r="F759" s="422"/>
      <c r="G759" s="422"/>
      <c r="H759" s="422"/>
      <c r="I759" s="422"/>
    </row>
    <row r="760">
      <c r="A760" s="430"/>
      <c r="B760" s="422"/>
      <c r="C760" s="422"/>
      <c r="D760" s="422"/>
      <c r="E760" s="422"/>
      <c r="F760" s="422"/>
      <c r="G760" s="422"/>
      <c r="H760" s="422"/>
      <c r="I760" s="422"/>
    </row>
    <row r="761">
      <c r="A761" s="430"/>
      <c r="B761" s="422"/>
      <c r="C761" s="422"/>
      <c r="D761" s="422"/>
      <c r="E761" s="422"/>
      <c r="F761" s="422"/>
      <c r="G761" s="422"/>
      <c r="H761" s="422"/>
      <c r="I761" s="422"/>
    </row>
    <row r="762">
      <c r="A762" s="430"/>
      <c r="B762" s="422"/>
      <c r="C762" s="422"/>
      <c r="D762" s="422"/>
      <c r="E762" s="422"/>
      <c r="F762" s="422"/>
      <c r="G762" s="422"/>
      <c r="H762" s="422"/>
      <c r="I762" s="422"/>
    </row>
    <row r="763">
      <c r="A763" s="430"/>
      <c r="B763" s="422"/>
      <c r="C763" s="422"/>
      <c r="D763" s="422"/>
      <c r="E763" s="422"/>
      <c r="F763" s="422"/>
      <c r="G763" s="422"/>
      <c r="H763" s="422"/>
      <c r="I763" s="422"/>
    </row>
    <row r="764">
      <c r="A764" s="430"/>
      <c r="B764" s="422"/>
      <c r="C764" s="422"/>
      <c r="D764" s="422"/>
      <c r="E764" s="422"/>
      <c r="F764" s="422"/>
      <c r="G764" s="422"/>
      <c r="H764" s="422"/>
      <c r="I764" s="422"/>
    </row>
    <row r="765">
      <c r="A765" s="430"/>
      <c r="B765" s="422"/>
      <c r="C765" s="422"/>
      <c r="D765" s="422"/>
      <c r="E765" s="422"/>
      <c r="F765" s="422"/>
      <c r="G765" s="422"/>
      <c r="H765" s="422"/>
      <c r="I765" s="422"/>
    </row>
    <row r="766">
      <c r="A766" s="430"/>
      <c r="B766" s="422"/>
      <c r="C766" s="422"/>
      <c r="D766" s="422"/>
      <c r="E766" s="422"/>
      <c r="F766" s="422"/>
      <c r="G766" s="422"/>
      <c r="H766" s="422"/>
      <c r="I766" s="422"/>
    </row>
    <row r="767">
      <c r="A767" s="430"/>
      <c r="B767" s="422"/>
      <c r="C767" s="422"/>
      <c r="D767" s="422"/>
      <c r="E767" s="422"/>
      <c r="F767" s="422"/>
      <c r="G767" s="422"/>
      <c r="H767" s="422"/>
      <c r="I767" s="422"/>
    </row>
    <row r="768">
      <c r="A768" s="430"/>
      <c r="B768" s="422"/>
      <c r="C768" s="422"/>
      <c r="D768" s="422"/>
      <c r="E768" s="422"/>
      <c r="F768" s="422"/>
      <c r="G768" s="422"/>
      <c r="H768" s="422"/>
      <c r="I768" s="422"/>
    </row>
    <row r="769">
      <c r="A769" s="430"/>
      <c r="B769" s="422"/>
      <c r="C769" s="422"/>
      <c r="D769" s="422"/>
      <c r="E769" s="422"/>
      <c r="F769" s="422"/>
      <c r="G769" s="422"/>
      <c r="H769" s="422"/>
      <c r="I769" s="422"/>
    </row>
    <row r="770">
      <c r="A770" s="430"/>
      <c r="B770" s="422"/>
      <c r="C770" s="422"/>
      <c r="D770" s="422"/>
      <c r="E770" s="422"/>
      <c r="F770" s="422"/>
      <c r="G770" s="422"/>
      <c r="H770" s="422"/>
      <c r="I770" s="422"/>
    </row>
    <row r="771">
      <c r="A771" s="430"/>
      <c r="B771" s="422"/>
      <c r="C771" s="422"/>
      <c r="D771" s="422"/>
      <c r="E771" s="422"/>
      <c r="F771" s="422"/>
      <c r="G771" s="422"/>
      <c r="H771" s="422"/>
      <c r="I771" s="422"/>
    </row>
    <row r="772">
      <c r="A772" s="430"/>
      <c r="B772" s="422"/>
      <c r="C772" s="422"/>
      <c r="D772" s="422"/>
      <c r="E772" s="422"/>
      <c r="F772" s="422"/>
      <c r="G772" s="422"/>
      <c r="H772" s="422"/>
      <c r="I772" s="422"/>
    </row>
    <row r="773">
      <c r="A773" s="430"/>
      <c r="B773" s="422"/>
      <c r="C773" s="422"/>
      <c r="D773" s="422"/>
      <c r="E773" s="422"/>
      <c r="F773" s="422"/>
      <c r="G773" s="422"/>
      <c r="H773" s="422"/>
      <c r="I773" s="422"/>
    </row>
    <row r="774">
      <c r="A774" s="430"/>
      <c r="B774" s="422"/>
      <c r="C774" s="422"/>
      <c r="D774" s="422"/>
      <c r="E774" s="422"/>
      <c r="F774" s="422"/>
      <c r="G774" s="422"/>
      <c r="H774" s="422"/>
      <c r="I774" s="422"/>
    </row>
    <row r="775">
      <c r="A775" s="430"/>
      <c r="B775" s="422"/>
      <c r="C775" s="422"/>
      <c r="D775" s="422"/>
      <c r="E775" s="422"/>
      <c r="F775" s="422"/>
      <c r="G775" s="422"/>
      <c r="H775" s="422"/>
      <c r="I775" s="422"/>
    </row>
    <row r="776">
      <c r="A776" s="430"/>
      <c r="B776" s="422"/>
      <c r="C776" s="422"/>
      <c r="D776" s="422"/>
      <c r="E776" s="422"/>
      <c r="F776" s="422"/>
      <c r="G776" s="422"/>
      <c r="H776" s="422"/>
      <c r="I776" s="422"/>
    </row>
    <row r="777">
      <c r="A777" s="430"/>
      <c r="B777" s="422"/>
      <c r="C777" s="422"/>
      <c r="D777" s="422"/>
      <c r="E777" s="422"/>
      <c r="F777" s="422"/>
      <c r="G777" s="422"/>
      <c r="H777" s="422"/>
      <c r="I777" s="422"/>
    </row>
    <row r="778">
      <c r="A778" s="430"/>
      <c r="B778" s="422"/>
      <c r="C778" s="422"/>
      <c r="D778" s="422"/>
      <c r="E778" s="422"/>
      <c r="F778" s="422"/>
      <c r="G778" s="422"/>
      <c r="H778" s="422"/>
      <c r="I778" s="422"/>
    </row>
    <row r="779">
      <c r="A779" s="430"/>
      <c r="B779" s="422"/>
      <c r="C779" s="422"/>
      <c r="D779" s="422"/>
      <c r="E779" s="422"/>
      <c r="F779" s="422"/>
      <c r="G779" s="422"/>
      <c r="H779" s="422"/>
      <c r="I779" s="422"/>
    </row>
    <row r="780">
      <c r="A780" s="430"/>
      <c r="B780" s="422"/>
      <c r="C780" s="422"/>
      <c r="D780" s="422"/>
      <c r="E780" s="422"/>
      <c r="F780" s="422"/>
      <c r="G780" s="422"/>
      <c r="H780" s="422"/>
      <c r="I780" s="422"/>
    </row>
    <row r="781">
      <c r="A781" s="430"/>
      <c r="B781" s="422"/>
      <c r="C781" s="422"/>
      <c r="D781" s="422"/>
      <c r="E781" s="422"/>
      <c r="F781" s="422"/>
      <c r="G781" s="422"/>
      <c r="H781" s="422"/>
      <c r="I781" s="422"/>
    </row>
    <row r="782">
      <c r="A782" s="430"/>
      <c r="B782" s="422"/>
      <c r="C782" s="422"/>
      <c r="D782" s="422"/>
      <c r="E782" s="422"/>
      <c r="F782" s="422"/>
      <c r="G782" s="422"/>
      <c r="H782" s="422"/>
      <c r="I782" s="422"/>
    </row>
    <row r="783">
      <c r="A783" s="430"/>
      <c r="B783" s="422"/>
      <c r="C783" s="422"/>
      <c r="D783" s="422"/>
      <c r="E783" s="422"/>
      <c r="F783" s="422"/>
      <c r="G783" s="422"/>
      <c r="H783" s="422"/>
      <c r="I783" s="422"/>
    </row>
    <row r="784">
      <c r="A784" s="430"/>
      <c r="B784" s="422"/>
      <c r="C784" s="422"/>
      <c r="D784" s="422"/>
      <c r="E784" s="422"/>
      <c r="F784" s="422"/>
      <c r="G784" s="422"/>
      <c r="H784" s="422"/>
      <c r="I784" s="422"/>
    </row>
    <row r="785">
      <c r="A785" s="430"/>
      <c r="B785" s="422"/>
      <c r="C785" s="422"/>
      <c r="D785" s="422"/>
      <c r="E785" s="422"/>
      <c r="F785" s="422"/>
      <c r="G785" s="422"/>
      <c r="H785" s="422"/>
      <c r="I785" s="422"/>
    </row>
    <row r="786">
      <c r="A786" s="430"/>
      <c r="B786" s="422"/>
      <c r="C786" s="422"/>
      <c r="D786" s="422"/>
      <c r="E786" s="422"/>
      <c r="F786" s="422"/>
      <c r="G786" s="422"/>
      <c r="H786" s="422"/>
      <c r="I786" s="422"/>
    </row>
    <row r="787">
      <c r="A787" s="430"/>
      <c r="B787" s="422"/>
      <c r="C787" s="422"/>
      <c r="D787" s="422"/>
      <c r="E787" s="422"/>
      <c r="F787" s="422"/>
      <c r="G787" s="422"/>
      <c r="H787" s="422"/>
      <c r="I787" s="422"/>
    </row>
    <row r="788">
      <c r="A788" s="430"/>
      <c r="B788" s="422"/>
      <c r="C788" s="422"/>
      <c r="D788" s="422"/>
      <c r="E788" s="422"/>
      <c r="F788" s="422"/>
      <c r="G788" s="422"/>
      <c r="H788" s="422"/>
      <c r="I788" s="422"/>
    </row>
    <row r="789">
      <c r="A789" s="430"/>
      <c r="B789" s="422"/>
      <c r="C789" s="422"/>
      <c r="D789" s="422"/>
      <c r="E789" s="422"/>
      <c r="F789" s="422"/>
      <c r="G789" s="422"/>
      <c r="H789" s="422"/>
      <c r="I789" s="422"/>
    </row>
    <row r="790">
      <c r="A790" s="430"/>
      <c r="B790" s="422"/>
      <c r="C790" s="422"/>
      <c r="D790" s="422"/>
      <c r="E790" s="422"/>
      <c r="F790" s="422"/>
      <c r="G790" s="422"/>
      <c r="H790" s="422"/>
      <c r="I790" s="422"/>
    </row>
    <row r="791">
      <c r="A791" s="430"/>
      <c r="B791" s="422"/>
      <c r="C791" s="422"/>
      <c r="D791" s="422"/>
      <c r="E791" s="422"/>
      <c r="F791" s="422"/>
      <c r="G791" s="422"/>
      <c r="H791" s="422"/>
      <c r="I791" s="422"/>
    </row>
    <row r="792">
      <c r="A792" s="430"/>
      <c r="B792" s="422"/>
      <c r="C792" s="422"/>
      <c r="D792" s="422"/>
      <c r="E792" s="422"/>
      <c r="F792" s="422"/>
      <c r="G792" s="422"/>
      <c r="H792" s="422"/>
      <c r="I792" s="422"/>
    </row>
    <row r="793">
      <c r="A793" s="430"/>
      <c r="B793" s="422"/>
      <c r="C793" s="422"/>
      <c r="D793" s="422"/>
      <c r="E793" s="422"/>
      <c r="F793" s="422"/>
      <c r="G793" s="422"/>
      <c r="H793" s="422"/>
      <c r="I793" s="422"/>
    </row>
    <row r="794">
      <c r="A794" s="430"/>
      <c r="B794" s="422"/>
      <c r="C794" s="422"/>
      <c r="D794" s="422"/>
      <c r="E794" s="422"/>
      <c r="F794" s="422"/>
      <c r="G794" s="422"/>
      <c r="H794" s="422"/>
      <c r="I794" s="422"/>
    </row>
    <row r="795">
      <c r="A795" s="430"/>
      <c r="B795" s="422"/>
      <c r="C795" s="422"/>
      <c r="D795" s="422"/>
      <c r="E795" s="422"/>
      <c r="F795" s="422"/>
      <c r="G795" s="422"/>
      <c r="H795" s="422"/>
      <c r="I795" s="422"/>
    </row>
    <row r="796">
      <c r="A796" s="430"/>
      <c r="B796" s="422"/>
      <c r="C796" s="422"/>
      <c r="D796" s="422"/>
      <c r="E796" s="422"/>
      <c r="F796" s="422"/>
      <c r="G796" s="422"/>
      <c r="H796" s="422"/>
      <c r="I796" s="422"/>
    </row>
    <row r="797">
      <c r="A797" s="430"/>
      <c r="B797" s="422"/>
      <c r="C797" s="422"/>
      <c r="D797" s="422"/>
      <c r="E797" s="422"/>
      <c r="F797" s="422"/>
      <c r="G797" s="422"/>
      <c r="H797" s="422"/>
      <c r="I797" s="422"/>
    </row>
    <row r="798">
      <c r="A798" s="430"/>
      <c r="B798" s="422"/>
      <c r="C798" s="422"/>
      <c r="D798" s="422"/>
      <c r="E798" s="422"/>
      <c r="F798" s="422"/>
      <c r="G798" s="422"/>
      <c r="H798" s="422"/>
      <c r="I798" s="422"/>
    </row>
    <row r="799">
      <c r="A799" s="430"/>
      <c r="B799" s="422"/>
      <c r="C799" s="422"/>
      <c r="D799" s="422"/>
      <c r="E799" s="422"/>
      <c r="F799" s="422"/>
      <c r="G799" s="422"/>
      <c r="H799" s="422"/>
      <c r="I799" s="422"/>
    </row>
    <row r="800">
      <c r="A800" s="430"/>
      <c r="B800" s="422"/>
      <c r="C800" s="422"/>
      <c r="D800" s="422"/>
      <c r="E800" s="422"/>
      <c r="F800" s="422"/>
      <c r="G800" s="422"/>
      <c r="H800" s="422"/>
      <c r="I800" s="422"/>
    </row>
    <row r="801">
      <c r="A801" s="430"/>
      <c r="B801" s="422"/>
      <c r="C801" s="422"/>
      <c r="D801" s="422"/>
      <c r="E801" s="422"/>
      <c r="F801" s="422"/>
      <c r="G801" s="422"/>
      <c r="H801" s="422"/>
      <c r="I801" s="422"/>
    </row>
    <row r="802">
      <c r="A802" s="430"/>
      <c r="B802" s="422"/>
      <c r="C802" s="422"/>
      <c r="D802" s="422"/>
      <c r="E802" s="422"/>
      <c r="F802" s="422"/>
      <c r="G802" s="422"/>
      <c r="H802" s="422"/>
      <c r="I802" s="422"/>
    </row>
    <row r="803">
      <c r="A803" s="430"/>
      <c r="B803" s="422"/>
      <c r="C803" s="422"/>
      <c r="D803" s="422"/>
      <c r="E803" s="422"/>
      <c r="F803" s="422"/>
      <c r="G803" s="422"/>
      <c r="H803" s="422"/>
      <c r="I803" s="422"/>
    </row>
    <row r="804">
      <c r="A804" s="430"/>
      <c r="B804" s="422"/>
      <c r="C804" s="422"/>
      <c r="D804" s="422"/>
      <c r="E804" s="422"/>
      <c r="F804" s="422"/>
      <c r="G804" s="422"/>
      <c r="H804" s="422"/>
      <c r="I804" s="422"/>
    </row>
    <row r="805">
      <c r="A805" s="430"/>
      <c r="B805" s="422"/>
      <c r="C805" s="422"/>
      <c r="D805" s="422"/>
      <c r="E805" s="422"/>
      <c r="F805" s="422"/>
      <c r="G805" s="422"/>
      <c r="H805" s="422"/>
      <c r="I805" s="422"/>
    </row>
    <row r="806">
      <c r="A806" s="430"/>
      <c r="B806" s="422"/>
      <c r="C806" s="422"/>
      <c r="D806" s="422"/>
      <c r="E806" s="422"/>
      <c r="F806" s="422"/>
      <c r="G806" s="422"/>
      <c r="H806" s="422"/>
      <c r="I806" s="422"/>
    </row>
    <row r="807">
      <c r="A807" s="430"/>
      <c r="B807" s="422"/>
      <c r="C807" s="422"/>
      <c r="D807" s="422"/>
      <c r="E807" s="422"/>
      <c r="F807" s="422"/>
      <c r="G807" s="422"/>
      <c r="H807" s="422"/>
      <c r="I807" s="422"/>
    </row>
    <row r="808">
      <c r="A808" s="430"/>
      <c r="B808" s="422"/>
      <c r="C808" s="422"/>
      <c r="D808" s="422"/>
      <c r="E808" s="422"/>
      <c r="F808" s="422"/>
      <c r="G808" s="422"/>
      <c r="H808" s="422"/>
      <c r="I808" s="422"/>
    </row>
    <row r="809">
      <c r="A809" s="430"/>
      <c r="B809" s="422"/>
      <c r="C809" s="422"/>
      <c r="D809" s="422"/>
      <c r="E809" s="422"/>
      <c r="F809" s="422"/>
      <c r="G809" s="422"/>
      <c r="H809" s="422"/>
      <c r="I809" s="422"/>
    </row>
    <row r="810">
      <c r="A810" s="430"/>
      <c r="B810" s="422"/>
      <c r="C810" s="422"/>
      <c r="D810" s="422"/>
      <c r="E810" s="422"/>
      <c r="F810" s="422"/>
      <c r="G810" s="422"/>
      <c r="H810" s="422"/>
      <c r="I810" s="422"/>
    </row>
    <row r="811">
      <c r="A811" s="430"/>
      <c r="B811" s="422"/>
      <c r="C811" s="422"/>
      <c r="D811" s="422"/>
      <c r="E811" s="422"/>
      <c r="F811" s="422"/>
      <c r="G811" s="422"/>
      <c r="H811" s="422"/>
      <c r="I811" s="422"/>
    </row>
    <row r="812">
      <c r="A812" s="430"/>
      <c r="B812" s="422"/>
      <c r="C812" s="422"/>
      <c r="D812" s="422"/>
      <c r="E812" s="422"/>
      <c r="F812" s="422"/>
      <c r="G812" s="422"/>
      <c r="H812" s="422"/>
      <c r="I812" s="422"/>
    </row>
    <row r="813">
      <c r="A813" s="430"/>
      <c r="B813" s="422"/>
      <c r="C813" s="422"/>
      <c r="D813" s="422"/>
      <c r="E813" s="422"/>
      <c r="F813" s="422"/>
      <c r="G813" s="422"/>
      <c r="H813" s="422"/>
      <c r="I813" s="422"/>
    </row>
    <row r="814">
      <c r="A814" s="430"/>
      <c r="B814" s="422"/>
      <c r="C814" s="422"/>
      <c r="D814" s="422"/>
      <c r="E814" s="422"/>
      <c r="F814" s="422"/>
      <c r="G814" s="422"/>
      <c r="H814" s="422"/>
      <c r="I814" s="422"/>
    </row>
    <row r="815">
      <c r="A815" s="430"/>
      <c r="B815" s="422"/>
      <c r="C815" s="422"/>
      <c r="D815" s="422"/>
      <c r="E815" s="422"/>
      <c r="F815" s="422"/>
      <c r="G815" s="422"/>
      <c r="H815" s="422"/>
      <c r="I815" s="422"/>
    </row>
    <row r="816">
      <c r="A816" s="430"/>
      <c r="B816" s="422"/>
      <c r="C816" s="422"/>
      <c r="D816" s="422"/>
      <c r="E816" s="422"/>
      <c r="F816" s="422"/>
      <c r="G816" s="422"/>
      <c r="H816" s="422"/>
      <c r="I816" s="422"/>
    </row>
    <row r="817">
      <c r="A817" s="430"/>
      <c r="B817" s="422"/>
      <c r="C817" s="422"/>
      <c r="D817" s="422"/>
      <c r="E817" s="422"/>
      <c r="F817" s="422"/>
      <c r="G817" s="422"/>
      <c r="H817" s="422"/>
      <c r="I817" s="422"/>
    </row>
    <row r="818">
      <c r="A818" s="430"/>
      <c r="B818" s="422"/>
      <c r="C818" s="422"/>
      <c r="D818" s="422"/>
      <c r="E818" s="422"/>
      <c r="F818" s="422"/>
      <c r="G818" s="422"/>
      <c r="H818" s="422"/>
      <c r="I818" s="422"/>
    </row>
    <row r="819">
      <c r="A819" s="430"/>
      <c r="B819" s="422"/>
      <c r="C819" s="422"/>
      <c r="D819" s="422"/>
      <c r="E819" s="422"/>
      <c r="F819" s="422"/>
      <c r="G819" s="422"/>
      <c r="H819" s="422"/>
      <c r="I819" s="422"/>
    </row>
    <row r="820">
      <c r="A820" s="430"/>
      <c r="B820" s="422"/>
      <c r="C820" s="422"/>
      <c r="D820" s="422"/>
      <c r="E820" s="422"/>
      <c r="F820" s="422"/>
      <c r="G820" s="422"/>
      <c r="H820" s="422"/>
      <c r="I820" s="422"/>
    </row>
    <row r="821">
      <c r="A821" s="430"/>
      <c r="B821" s="422"/>
      <c r="C821" s="422"/>
      <c r="D821" s="422"/>
      <c r="E821" s="422"/>
      <c r="F821" s="422"/>
      <c r="G821" s="422"/>
      <c r="H821" s="422"/>
      <c r="I821" s="422"/>
    </row>
    <row r="822">
      <c r="A822" s="430"/>
      <c r="B822" s="422"/>
      <c r="C822" s="422"/>
      <c r="D822" s="422"/>
      <c r="E822" s="422"/>
      <c r="F822" s="422"/>
      <c r="G822" s="422"/>
      <c r="H822" s="422"/>
      <c r="I822" s="422"/>
    </row>
    <row r="823">
      <c r="A823" s="430"/>
      <c r="B823" s="422"/>
      <c r="C823" s="422"/>
      <c r="D823" s="422"/>
      <c r="E823" s="422"/>
      <c r="F823" s="422"/>
      <c r="G823" s="422"/>
      <c r="H823" s="422"/>
      <c r="I823" s="422"/>
    </row>
    <row r="824">
      <c r="A824" s="430"/>
      <c r="B824" s="422"/>
      <c r="C824" s="422"/>
      <c r="D824" s="422"/>
      <c r="E824" s="422"/>
      <c r="F824" s="422"/>
      <c r="G824" s="422"/>
      <c r="H824" s="422"/>
      <c r="I824" s="422"/>
    </row>
    <row r="825">
      <c r="A825" s="430"/>
      <c r="B825" s="422"/>
      <c r="C825" s="422"/>
      <c r="D825" s="422"/>
      <c r="E825" s="422"/>
      <c r="F825" s="422"/>
      <c r="G825" s="422"/>
      <c r="H825" s="422"/>
      <c r="I825" s="422"/>
    </row>
    <row r="826">
      <c r="A826" s="430"/>
      <c r="B826" s="422"/>
      <c r="C826" s="422"/>
      <c r="D826" s="422"/>
      <c r="E826" s="422"/>
      <c r="F826" s="422"/>
      <c r="G826" s="422"/>
      <c r="H826" s="422"/>
      <c r="I826" s="422"/>
    </row>
    <row r="827">
      <c r="A827" s="430"/>
      <c r="B827" s="422"/>
      <c r="C827" s="422"/>
      <c r="D827" s="422"/>
      <c r="E827" s="422"/>
      <c r="F827" s="422"/>
      <c r="G827" s="422"/>
      <c r="H827" s="422"/>
      <c r="I827" s="422"/>
    </row>
    <row r="828">
      <c r="A828" s="430"/>
      <c r="B828" s="422"/>
      <c r="C828" s="422"/>
      <c r="D828" s="422"/>
      <c r="E828" s="422"/>
      <c r="F828" s="422"/>
      <c r="G828" s="422"/>
      <c r="H828" s="422"/>
      <c r="I828" s="422"/>
    </row>
    <row r="829">
      <c r="A829" s="430"/>
      <c r="B829" s="422"/>
      <c r="C829" s="422"/>
      <c r="D829" s="422"/>
      <c r="E829" s="422"/>
      <c r="F829" s="422"/>
      <c r="G829" s="422"/>
      <c r="H829" s="422"/>
      <c r="I829" s="422"/>
    </row>
    <row r="830">
      <c r="A830" s="430"/>
      <c r="B830" s="422"/>
      <c r="C830" s="422"/>
      <c r="D830" s="422"/>
      <c r="E830" s="422"/>
      <c r="F830" s="422"/>
      <c r="G830" s="422"/>
      <c r="H830" s="422"/>
      <c r="I830" s="422"/>
    </row>
    <row r="831">
      <c r="A831" s="430"/>
      <c r="B831" s="422"/>
      <c r="C831" s="422"/>
      <c r="D831" s="422"/>
      <c r="E831" s="422"/>
      <c r="F831" s="422"/>
      <c r="G831" s="422"/>
      <c r="H831" s="422"/>
      <c r="I831" s="422"/>
    </row>
    <row r="832">
      <c r="A832" s="430"/>
      <c r="B832" s="422"/>
      <c r="C832" s="422"/>
      <c r="D832" s="422"/>
      <c r="E832" s="422"/>
      <c r="F832" s="422"/>
      <c r="G832" s="422"/>
      <c r="H832" s="422"/>
      <c r="I832" s="422"/>
    </row>
    <row r="833">
      <c r="A833" s="430"/>
      <c r="B833" s="422"/>
      <c r="C833" s="422"/>
      <c r="D833" s="422"/>
      <c r="E833" s="422"/>
      <c r="F833" s="422"/>
      <c r="G833" s="422"/>
      <c r="H833" s="422"/>
      <c r="I833" s="422"/>
    </row>
    <row r="834">
      <c r="A834" s="430"/>
      <c r="B834" s="422"/>
      <c r="C834" s="422"/>
      <c r="D834" s="422"/>
      <c r="E834" s="422"/>
      <c r="F834" s="422"/>
      <c r="G834" s="422"/>
      <c r="H834" s="422"/>
      <c r="I834" s="422"/>
    </row>
    <row r="835">
      <c r="A835" s="430"/>
      <c r="B835" s="422"/>
      <c r="C835" s="422"/>
      <c r="D835" s="422"/>
      <c r="E835" s="422"/>
      <c r="F835" s="422"/>
      <c r="G835" s="422"/>
      <c r="H835" s="422"/>
      <c r="I835" s="422"/>
    </row>
    <row r="836">
      <c r="A836" s="430"/>
      <c r="B836" s="422"/>
      <c r="C836" s="422"/>
      <c r="D836" s="422"/>
      <c r="E836" s="422"/>
      <c r="F836" s="422"/>
      <c r="G836" s="422"/>
      <c r="H836" s="422"/>
      <c r="I836" s="422"/>
    </row>
    <row r="837">
      <c r="A837" s="430"/>
      <c r="B837" s="422"/>
      <c r="C837" s="422"/>
      <c r="D837" s="422"/>
      <c r="E837" s="422"/>
      <c r="F837" s="422"/>
      <c r="G837" s="422"/>
      <c r="H837" s="422"/>
      <c r="I837" s="422"/>
    </row>
    <row r="838">
      <c r="A838" s="430"/>
      <c r="B838" s="422"/>
      <c r="C838" s="422"/>
      <c r="D838" s="422"/>
      <c r="E838" s="422"/>
      <c r="F838" s="422"/>
      <c r="G838" s="422"/>
      <c r="H838" s="422"/>
      <c r="I838" s="422"/>
    </row>
    <row r="839">
      <c r="A839" s="430"/>
      <c r="B839" s="422"/>
      <c r="C839" s="422"/>
      <c r="D839" s="422"/>
      <c r="E839" s="422"/>
      <c r="F839" s="422"/>
      <c r="G839" s="422"/>
      <c r="H839" s="422"/>
      <c r="I839" s="422"/>
    </row>
    <row r="840">
      <c r="A840" s="430"/>
      <c r="B840" s="422"/>
      <c r="C840" s="422"/>
      <c r="D840" s="422"/>
      <c r="E840" s="422"/>
      <c r="F840" s="422"/>
      <c r="G840" s="422"/>
      <c r="H840" s="422"/>
      <c r="I840" s="422"/>
    </row>
    <row r="841">
      <c r="A841" s="430"/>
      <c r="B841" s="422"/>
      <c r="C841" s="422"/>
      <c r="D841" s="422"/>
      <c r="E841" s="422"/>
      <c r="F841" s="422"/>
      <c r="G841" s="422"/>
      <c r="H841" s="422"/>
      <c r="I841" s="422"/>
    </row>
    <row r="842">
      <c r="A842" s="430"/>
      <c r="B842" s="422"/>
      <c r="C842" s="422"/>
      <c r="D842" s="422"/>
      <c r="E842" s="422"/>
      <c r="F842" s="422"/>
      <c r="G842" s="422"/>
      <c r="H842" s="422"/>
      <c r="I842" s="422"/>
    </row>
    <row r="843">
      <c r="A843" s="430"/>
      <c r="B843" s="422"/>
      <c r="C843" s="422"/>
      <c r="D843" s="422"/>
      <c r="E843" s="422"/>
      <c r="F843" s="422"/>
      <c r="G843" s="422"/>
      <c r="H843" s="422"/>
      <c r="I843" s="422"/>
    </row>
    <row r="844">
      <c r="A844" s="430"/>
      <c r="B844" s="422"/>
      <c r="C844" s="422"/>
      <c r="D844" s="422"/>
      <c r="E844" s="422"/>
      <c r="F844" s="422"/>
      <c r="G844" s="422"/>
      <c r="H844" s="422"/>
      <c r="I844" s="422"/>
    </row>
    <row r="845">
      <c r="A845" s="430"/>
      <c r="B845" s="422"/>
      <c r="C845" s="422"/>
      <c r="D845" s="422"/>
      <c r="E845" s="422"/>
      <c r="F845" s="422"/>
      <c r="G845" s="422"/>
      <c r="H845" s="422"/>
      <c r="I845" s="422"/>
    </row>
    <row r="846">
      <c r="A846" s="430"/>
      <c r="B846" s="422"/>
      <c r="C846" s="422"/>
      <c r="D846" s="422"/>
      <c r="E846" s="422"/>
      <c r="F846" s="422"/>
      <c r="G846" s="422"/>
      <c r="H846" s="422"/>
      <c r="I846" s="422"/>
    </row>
    <row r="847">
      <c r="A847" s="430"/>
      <c r="B847" s="422"/>
      <c r="C847" s="422"/>
      <c r="D847" s="422"/>
      <c r="E847" s="422"/>
      <c r="F847" s="422"/>
      <c r="G847" s="422"/>
      <c r="H847" s="422"/>
      <c r="I847" s="422"/>
    </row>
    <row r="848">
      <c r="A848" s="430"/>
      <c r="B848" s="422"/>
      <c r="C848" s="422"/>
      <c r="D848" s="422"/>
      <c r="E848" s="422"/>
      <c r="F848" s="422"/>
      <c r="G848" s="422"/>
      <c r="H848" s="422"/>
      <c r="I848" s="422"/>
    </row>
    <row r="849">
      <c r="A849" s="430"/>
      <c r="B849" s="422"/>
      <c r="C849" s="422"/>
      <c r="D849" s="422"/>
      <c r="E849" s="422"/>
      <c r="F849" s="422"/>
      <c r="G849" s="422"/>
      <c r="H849" s="422"/>
      <c r="I849" s="422"/>
    </row>
    <row r="850">
      <c r="A850" s="430"/>
      <c r="B850" s="422"/>
      <c r="C850" s="422"/>
      <c r="D850" s="422"/>
      <c r="E850" s="422"/>
      <c r="F850" s="422"/>
      <c r="G850" s="422"/>
      <c r="H850" s="422"/>
      <c r="I850" s="422"/>
    </row>
    <row r="851">
      <c r="A851" s="430"/>
      <c r="B851" s="422"/>
      <c r="C851" s="422"/>
      <c r="D851" s="422"/>
      <c r="E851" s="422"/>
      <c r="F851" s="422"/>
      <c r="G851" s="422"/>
      <c r="H851" s="422"/>
      <c r="I851" s="422"/>
    </row>
    <row r="852">
      <c r="A852" s="430"/>
      <c r="B852" s="422"/>
      <c r="C852" s="422"/>
      <c r="D852" s="422"/>
      <c r="E852" s="422"/>
      <c r="F852" s="422"/>
      <c r="G852" s="422"/>
      <c r="H852" s="422"/>
      <c r="I852" s="422"/>
    </row>
    <row r="853">
      <c r="A853" s="430"/>
      <c r="B853" s="422"/>
      <c r="C853" s="422"/>
      <c r="D853" s="422"/>
      <c r="E853" s="422"/>
      <c r="F853" s="422"/>
      <c r="G853" s="422"/>
      <c r="H853" s="422"/>
      <c r="I853" s="422"/>
    </row>
    <row r="854">
      <c r="A854" s="430"/>
      <c r="B854" s="422"/>
      <c r="C854" s="422"/>
      <c r="D854" s="422"/>
      <c r="E854" s="422"/>
      <c r="F854" s="422"/>
      <c r="G854" s="422"/>
      <c r="H854" s="422"/>
      <c r="I854" s="422"/>
    </row>
    <row r="855">
      <c r="A855" s="430"/>
      <c r="B855" s="422"/>
      <c r="C855" s="422"/>
      <c r="D855" s="422"/>
      <c r="E855" s="422"/>
      <c r="F855" s="422"/>
      <c r="G855" s="422"/>
      <c r="H855" s="422"/>
      <c r="I855" s="422"/>
    </row>
    <row r="856">
      <c r="A856" s="430"/>
      <c r="B856" s="422"/>
      <c r="C856" s="422"/>
      <c r="D856" s="422"/>
      <c r="E856" s="422"/>
      <c r="F856" s="422"/>
      <c r="G856" s="422"/>
      <c r="H856" s="422"/>
      <c r="I856" s="422"/>
    </row>
    <row r="857">
      <c r="A857" s="430"/>
      <c r="B857" s="422"/>
      <c r="C857" s="422"/>
      <c r="D857" s="422"/>
      <c r="E857" s="422"/>
      <c r="F857" s="422"/>
      <c r="G857" s="422"/>
      <c r="H857" s="422"/>
      <c r="I857" s="422"/>
    </row>
    <row r="858">
      <c r="A858" s="430"/>
      <c r="B858" s="422"/>
      <c r="C858" s="422"/>
      <c r="D858" s="422"/>
      <c r="E858" s="422"/>
      <c r="F858" s="422"/>
      <c r="G858" s="422"/>
      <c r="H858" s="422"/>
      <c r="I858" s="422"/>
    </row>
    <row r="859">
      <c r="A859" s="430"/>
      <c r="B859" s="422"/>
      <c r="C859" s="422"/>
      <c r="D859" s="422"/>
      <c r="E859" s="422"/>
      <c r="F859" s="422"/>
      <c r="G859" s="422"/>
      <c r="H859" s="422"/>
      <c r="I859" s="422"/>
    </row>
    <row r="860">
      <c r="A860" s="430"/>
      <c r="B860" s="422"/>
      <c r="C860" s="422"/>
      <c r="D860" s="422"/>
      <c r="E860" s="422"/>
      <c r="F860" s="422"/>
      <c r="G860" s="422"/>
      <c r="H860" s="422"/>
      <c r="I860" s="422"/>
    </row>
    <row r="861">
      <c r="A861" s="430"/>
      <c r="B861" s="422"/>
      <c r="C861" s="422"/>
      <c r="D861" s="422"/>
      <c r="E861" s="422"/>
      <c r="F861" s="422"/>
      <c r="G861" s="422"/>
      <c r="H861" s="422"/>
      <c r="I861" s="422"/>
    </row>
    <row r="862">
      <c r="A862" s="430"/>
      <c r="B862" s="422"/>
      <c r="C862" s="422"/>
      <c r="D862" s="422"/>
      <c r="E862" s="422"/>
      <c r="F862" s="422"/>
      <c r="G862" s="422"/>
      <c r="H862" s="422"/>
      <c r="I862" s="422"/>
    </row>
    <row r="863">
      <c r="A863" s="430"/>
      <c r="B863" s="422"/>
      <c r="C863" s="422"/>
      <c r="D863" s="422"/>
      <c r="E863" s="422"/>
      <c r="F863" s="422"/>
      <c r="G863" s="422"/>
      <c r="H863" s="422"/>
      <c r="I863" s="422"/>
    </row>
    <row r="864">
      <c r="A864" s="430"/>
      <c r="B864" s="422"/>
      <c r="C864" s="422"/>
      <c r="D864" s="422"/>
      <c r="E864" s="422"/>
      <c r="F864" s="422"/>
      <c r="G864" s="422"/>
      <c r="H864" s="422"/>
      <c r="I864" s="422"/>
    </row>
    <row r="865">
      <c r="A865" s="430"/>
      <c r="B865" s="422"/>
      <c r="C865" s="422"/>
      <c r="D865" s="422"/>
      <c r="E865" s="422"/>
      <c r="F865" s="422"/>
      <c r="G865" s="422"/>
      <c r="H865" s="422"/>
      <c r="I865" s="422"/>
    </row>
    <row r="866">
      <c r="A866" s="430"/>
      <c r="B866" s="422"/>
      <c r="C866" s="422"/>
      <c r="D866" s="422"/>
      <c r="E866" s="422"/>
      <c r="F866" s="422"/>
      <c r="G866" s="422"/>
      <c r="H866" s="422"/>
      <c r="I866" s="422"/>
    </row>
    <row r="867">
      <c r="A867" s="430"/>
      <c r="B867" s="422"/>
      <c r="C867" s="422"/>
      <c r="D867" s="422"/>
      <c r="E867" s="422"/>
      <c r="F867" s="422"/>
      <c r="G867" s="422"/>
      <c r="H867" s="422"/>
      <c r="I867" s="422"/>
    </row>
    <row r="868">
      <c r="A868" s="430"/>
      <c r="B868" s="422"/>
      <c r="C868" s="422"/>
      <c r="D868" s="422"/>
      <c r="E868" s="422"/>
      <c r="F868" s="422"/>
      <c r="G868" s="422"/>
      <c r="H868" s="422"/>
      <c r="I868" s="422"/>
    </row>
    <row r="869">
      <c r="A869" s="430"/>
      <c r="B869" s="422"/>
      <c r="C869" s="422"/>
      <c r="D869" s="422"/>
      <c r="E869" s="422"/>
      <c r="F869" s="422"/>
      <c r="G869" s="422"/>
      <c r="H869" s="422"/>
      <c r="I869" s="422"/>
    </row>
    <row r="870">
      <c r="A870" s="430"/>
      <c r="B870" s="422"/>
      <c r="C870" s="422"/>
      <c r="D870" s="422"/>
      <c r="E870" s="422"/>
      <c r="F870" s="422"/>
      <c r="G870" s="422"/>
      <c r="H870" s="422"/>
      <c r="I870" s="422"/>
    </row>
    <row r="871">
      <c r="A871" s="430"/>
      <c r="B871" s="422"/>
      <c r="C871" s="422"/>
      <c r="D871" s="422"/>
      <c r="E871" s="422"/>
      <c r="F871" s="422"/>
      <c r="G871" s="422"/>
      <c r="H871" s="422"/>
      <c r="I871" s="422"/>
    </row>
    <row r="872">
      <c r="A872" s="430"/>
      <c r="B872" s="422"/>
      <c r="C872" s="422"/>
      <c r="D872" s="422"/>
      <c r="E872" s="422"/>
      <c r="F872" s="422"/>
      <c r="G872" s="422"/>
      <c r="H872" s="422"/>
      <c r="I872" s="422"/>
    </row>
    <row r="873">
      <c r="A873" s="430"/>
      <c r="B873" s="422"/>
      <c r="C873" s="422"/>
      <c r="D873" s="422"/>
      <c r="E873" s="422"/>
      <c r="F873" s="422"/>
      <c r="G873" s="422"/>
      <c r="H873" s="422"/>
      <c r="I873" s="422"/>
    </row>
    <row r="874">
      <c r="A874" s="430"/>
      <c r="B874" s="422"/>
      <c r="C874" s="422"/>
      <c r="D874" s="422"/>
      <c r="E874" s="422"/>
      <c r="F874" s="422"/>
      <c r="G874" s="422"/>
      <c r="H874" s="422"/>
      <c r="I874" s="422"/>
    </row>
    <row r="875">
      <c r="A875" s="430"/>
      <c r="B875" s="422"/>
      <c r="C875" s="422"/>
      <c r="D875" s="422"/>
      <c r="E875" s="422"/>
      <c r="F875" s="422"/>
      <c r="G875" s="422"/>
      <c r="H875" s="422"/>
      <c r="I875" s="422"/>
    </row>
    <row r="876">
      <c r="A876" s="430"/>
      <c r="B876" s="422"/>
      <c r="C876" s="422"/>
      <c r="D876" s="422"/>
      <c r="E876" s="422"/>
      <c r="F876" s="422"/>
      <c r="G876" s="422"/>
      <c r="H876" s="422"/>
      <c r="I876" s="422"/>
    </row>
    <row r="877">
      <c r="A877" s="430"/>
      <c r="B877" s="422"/>
      <c r="C877" s="422"/>
      <c r="D877" s="422"/>
      <c r="E877" s="422"/>
      <c r="F877" s="422"/>
      <c r="G877" s="422"/>
      <c r="H877" s="422"/>
      <c r="I877" s="422"/>
    </row>
    <row r="878">
      <c r="A878" s="430"/>
      <c r="B878" s="422"/>
      <c r="C878" s="422"/>
      <c r="D878" s="422"/>
      <c r="E878" s="422"/>
      <c r="F878" s="422"/>
      <c r="G878" s="422"/>
      <c r="H878" s="422"/>
      <c r="I878" s="422"/>
    </row>
    <row r="879">
      <c r="A879" s="430"/>
      <c r="B879" s="422"/>
      <c r="C879" s="422"/>
      <c r="D879" s="422"/>
      <c r="E879" s="422"/>
      <c r="F879" s="422"/>
      <c r="G879" s="422"/>
      <c r="H879" s="422"/>
      <c r="I879" s="422"/>
    </row>
    <row r="880">
      <c r="A880" s="430"/>
      <c r="B880" s="422"/>
      <c r="C880" s="422"/>
      <c r="D880" s="422"/>
      <c r="E880" s="422"/>
      <c r="F880" s="422"/>
      <c r="G880" s="422"/>
      <c r="H880" s="422"/>
      <c r="I880" s="422"/>
    </row>
    <row r="881">
      <c r="A881" s="430"/>
      <c r="B881" s="422"/>
      <c r="C881" s="422"/>
      <c r="D881" s="422"/>
      <c r="E881" s="422"/>
      <c r="F881" s="422"/>
      <c r="G881" s="422"/>
      <c r="H881" s="422"/>
      <c r="I881" s="422"/>
    </row>
    <row r="882">
      <c r="A882" s="430"/>
      <c r="B882" s="422"/>
      <c r="C882" s="422"/>
      <c r="D882" s="422"/>
      <c r="E882" s="422"/>
      <c r="F882" s="422"/>
      <c r="G882" s="422"/>
      <c r="H882" s="422"/>
      <c r="I882" s="422"/>
    </row>
    <row r="883">
      <c r="A883" s="430"/>
      <c r="B883" s="422"/>
      <c r="C883" s="422"/>
      <c r="D883" s="422"/>
      <c r="E883" s="422"/>
      <c r="F883" s="422"/>
      <c r="G883" s="422"/>
      <c r="H883" s="422"/>
      <c r="I883" s="422"/>
    </row>
    <row r="884">
      <c r="A884" s="430"/>
      <c r="B884" s="422"/>
      <c r="C884" s="422"/>
      <c r="D884" s="422"/>
      <c r="E884" s="422"/>
      <c r="F884" s="422"/>
      <c r="G884" s="422"/>
      <c r="H884" s="422"/>
      <c r="I884" s="422"/>
    </row>
    <row r="885">
      <c r="A885" s="430"/>
      <c r="B885" s="422"/>
      <c r="C885" s="422"/>
      <c r="D885" s="422"/>
      <c r="E885" s="422"/>
      <c r="F885" s="422"/>
      <c r="G885" s="422"/>
      <c r="H885" s="422"/>
      <c r="I885" s="422"/>
    </row>
    <row r="886">
      <c r="A886" s="430"/>
      <c r="B886" s="422"/>
      <c r="C886" s="422"/>
      <c r="D886" s="422"/>
      <c r="E886" s="422"/>
      <c r="F886" s="422"/>
      <c r="G886" s="422"/>
      <c r="H886" s="422"/>
      <c r="I886" s="422"/>
    </row>
    <row r="887">
      <c r="A887" s="430"/>
      <c r="B887" s="422"/>
      <c r="C887" s="422"/>
      <c r="D887" s="422"/>
      <c r="E887" s="422"/>
      <c r="F887" s="422"/>
      <c r="G887" s="422"/>
      <c r="H887" s="422"/>
      <c r="I887" s="422"/>
    </row>
    <row r="888">
      <c r="A888" s="430"/>
      <c r="B888" s="422"/>
      <c r="C888" s="422"/>
      <c r="D888" s="422"/>
      <c r="E888" s="422"/>
      <c r="F888" s="422"/>
      <c r="G888" s="422"/>
      <c r="H888" s="422"/>
      <c r="I888" s="422"/>
    </row>
    <row r="889">
      <c r="A889" s="430"/>
      <c r="B889" s="422"/>
      <c r="C889" s="422"/>
      <c r="D889" s="422"/>
      <c r="E889" s="422"/>
      <c r="F889" s="422"/>
      <c r="G889" s="422"/>
      <c r="H889" s="422"/>
      <c r="I889" s="422"/>
    </row>
    <row r="890">
      <c r="A890" s="430"/>
      <c r="B890" s="422"/>
      <c r="C890" s="422"/>
      <c r="D890" s="422"/>
      <c r="E890" s="422"/>
      <c r="F890" s="422"/>
      <c r="G890" s="422"/>
      <c r="H890" s="422"/>
      <c r="I890" s="422"/>
    </row>
    <row r="891">
      <c r="A891" s="430"/>
      <c r="B891" s="422"/>
      <c r="C891" s="422"/>
      <c r="D891" s="422"/>
      <c r="E891" s="422"/>
      <c r="F891" s="422"/>
      <c r="G891" s="422"/>
      <c r="H891" s="422"/>
      <c r="I891" s="422"/>
    </row>
    <row r="892">
      <c r="A892" s="430"/>
      <c r="B892" s="422"/>
      <c r="C892" s="422"/>
      <c r="D892" s="422"/>
      <c r="E892" s="422"/>
      <c r="F892" s="422"/>
      <c r="G892" s="422"/>
      <c r="H892" s="422"/>
      <c r="I892" s="422"/>
    </row>
    <row r="893">
      <c r="A893" s="430"/>
      <c r="B893" s="422"/>
      <c r="C893" s="422"/>
      <c r="D893" s="422"/>
      <c r="E893" s="422"/>
      <c r="F893" s="422"/>
      <c r="G893" s="422"/>
      <c r="H893" s="422"/>
      <c r="I893" s="422"/>
    </row>
    <row r="894">
      <c r="A894" s="430"/>
      <c r="B894" s="422"/>
      <c r="C894" s="422"/>
      <c r="D894" s="422"/>
      <c r="E894" s="422"/>
      <c r="F894" s="422"/>
      <c r="G894" s="422"/>
      <c r="H894" s="422"/>
      <c r="I894" s="422"/>
    </row>
    <row r="895">
      <c r="A895" s="430"/>
      <c r="B895" s="422"/>
      <c r="C895" s="422"/>
      <c r="D895" s="422"/>
      <c r="E895" s="422"/>
      <c r="F895" s="422"/>
      <c r="G895" s="422"/>
      <c r="H895" s="422"/>
      <c r="I895" s="422"/>
    </row>
    <row r="896">
      <c r="A896" s="430"/>
      <c r="B896" s="422"/>
      <c r="C896" s="422"/>
      <c r="D896" s="422"/>
      <c r="E896" s="422"/>
      <c r="F896" s="422"/>
      <c r="G896" s="422"/>
      <c r="H896" s="422"/>
      <c r="I896" s="422"/>
    </row>
    <row r="897">
      <c r="A897" s="430"/>
      <c r="B897" s="422"/>
      <c r="C897" s="422"/>
      <c r="D897" s="422"/>
      <c r="E897" s="422"/>
      <c r="F897" s="422"/>
      <c r="G897" s="422"/>
      <c r="H897" s="422"/>
      <c r="I897" s="422"/>
    </row>
    <row r="898">
      <c r="A898" s="430"/>
      <c r="B898" s="422"/>
      <c r="C898" s="422"/>
      <c r="D898" s="422"/>
      <c r="E898" s="422"/>
      <c r="F898" s="422"/>
      <c r="G898" s="422"/>
      <c r="H898" s="422"/>
      <c r="I898" s="422"/>
    </row>
    <row r="899">
      <c r="A899" s="430"/>
      <c r="B899" s="422"/>
      <c r="C899" s="422"/>
      <c r="D899" s="422"/>
      <c r="E899" s="422"/>
      <c r="F899" s="422"/>
      <c r="G899" s="422"/>
      <c r="H899" s="422"/>
      <c r="I899" s="422"/>
    </row>
    <row r="900">
      <c r="A900" s="430"/>
      <c r="B900" s="422"/>
      <c r="C900" s="422"/>
      <c r="D900" s="422"/>
      <c r="E900" s="422"/>
      <c r="F900" s="422"/>
      <c r="G900" s="422"/>
      <c r="H900" s="422"/>
      <c r="I900" s="422"/>
    </row>
    <row r="901">
      <c r="A901" s="430"/>
      <c r="B901" s="422"/>
      <c r="C901" s="422"/>
      <c r="D901" s="422"/>
      <c r="E901" s="422"/>
      <c r="F901" s="422"/>
      <c r="G901" s="422"/>
      <c r="H901" s="422"/>
      <c r="I901" s="422"/>
    </row>
    <row r="902">
      <c r="A902" s="430"/>
      <c r="B902" s="422"/>
      <c r="C902" s="422"/>
      <c r="D902" s="422"/>
      <c r="E902" s="422"/>
      <c r="F902" s="422"/>
      <c r="G902" s="422"/>
      <c r="H902" s="422"/>
      <c r="I902" s="422"/>
    </row>
    <row r="903">
      <c r="A903" s="430"/>
      <c r="B903" s="422"/>
      <c r="C903" s="422"/>
      <c r="D903" s="422"/>
      <c r="E903" s="422"/>
      <c r="F903" s="422"/>
      <c r="G903" s="422"/>
      <c r="H903" s="422"/>
      <c r="I903" s="422"/>
    </row>
    <row r="904">
      <c r="A904" s="430"/>
      <c r="B904" s="422"/>
      <c r="C904" s="422"/>
      <c r="D904" s="422"/>
      <c r="E904" s="422"/>
      <c r="F904" s="422"/>
      <c r="G904" s="422"/>
      <c r="H904" s="422"/>
      <c r="I904" s="422"/>
    </row>
    <row r="905">
      <c r="A905" s="430"/>
      <c r="B905" s="422"/>
      <c r="C905" s="422"/>
      <c r="D905" s="422"/>
      <c r="E905" s="422"/>
      <c r="F905" s="422"/>
      <c r="G905" s="422"/>
      <c r="H905" s="422"/>
      <c r="I905" s="422"/>
    </row>
    <row r="906">
      <c r="A906" s="430"/>
      <c r="B906" s="422"/>
      <c r="C906" s="422"/>
      <c r="D906" s="422"/>
      <c r="E906" s="422"/>
      <c r="F906" s="422"/>
      <c r="G906" s="422"/>
      <c r="H906" s="422"/>
      <c r="I906" s="422"/>
    </row>
    <row r="907">
      <c r="A907" s="430"/>
      <c r="B907" s="422"/>
      <c r="C907" s="422"/>
      <c r="D907" s="422"/>
      <c r="E907" s="422"/>
      <c r="F907" s="422"/>
      <c r="G907" s="422"/>
      <c r="H907" s="422"/>
      <c r="I907" s="422"/>
    </row>
    <row r="908">
      <c r="A908" s="430"/>
      <c r="B908" s="422"/>
      <c r="C908" s="422"/>
      <c r="D908" s="422"/>
      <c r="E908" s="422"/>
      <c r="F908" s="422"/>
      <c r="G908" s="422"/>
      <c r="H908" s="422"/>
      <c r="I908" s="422"/>
    </row>
    <row r="909">
      <c r="A909" s="430"/>
      <c r="B909" s="422"/>
      <c r="C909" s="422"/>
      <c r="D909" s="422"/>
      <c r="E909" s="422"/>
      <c r="F909" s="422"/>
      <c r="G909" s="422"/>
      <c r="H909" s="422"/>
      <c r="I909" s="422"/>
    </row>
    <row r="910">
      <c r="A910" s="430"/>
      <c r="B910" s="422"/>
      <c r="C910" s="422"/>
      <c r="D910" s="422"/>
      <c r="E910" s="422"/>
      <c r="F910" s="422"/>
      <c r="G910" s="422"/>
      <c r="H910" s="422"/>
      <c r="I910" s="422"/>
    </row>
    <row r="911">
      <c r="A911" s="430"/>
      <c r="B911" s="422"/>
      <c r="C911" s="422"/>
      <c r="D911" s="422"/>
      <c r="E911" s="422"/>
      <c r="F911" s="422"/>
      <c r="G911" s="422"/>
      <c r="H911" s="422"/>
      <c r="I911" s="422"/>
    </row>
    <row r="912">
      <c r="A912" s="430"/>
      <c r="B912" s="422"/>
      <c r="C912" s="422"/>
      <c r="D912" s="422"/>
      <c r="E912" s="422"/>
      <c r="F912" s="422"/>
      <c r="G912" s="422"/>
      <c r="H912" s="422"/>
      <c r="I912" s="422"/>
    </row>
    <row r="913">
      <c r="A913" s="430"/>
      <c r="B913" s="422"/>
      <c r="C913" s="422"/>
      <c r="D913" s="422"/>
      <c r="E913" s="422"/>
      <c r="F913" s="422"/>
      <c r="G913" s="422"/>
      <c r="H913" s="422"/>
      <c r="I913" s="422"/>
    </row>
    <row r="914">
      <c r="A914" s="430"/>
      <c r="B914" s="422"/>
      <c r="C914" s="422"/>
      <c r="D914" s="422"/>
      <c r="E914" s="422"/>
      <c r="F914" s="422"/>
      <c r="G914" s="422"/>
      <c r="H914" s="422"/>
      <c r="I914" s="422"/>
    </row>
    <row r="915">
      <c r="A915" s="430"/>
      <c r="B915" s="422"/>
      <c r="C915" s="422"/>
      <c r="D915" s="422"/>
      <c r="E915" s="422"/>
      <c r="F915" s="422"/>
      <c r="G915" s="422"/>
      <c r="H915" s="422"/>
      <c r="I915" s="422"/>
    </row>
    <row r="916">
      <c r="A916" s="430"/>
      <c r="B916" s="422"/>
      <c r="C916" s="422"/>
      <c r="D916" s="422"/>
      <c r="E916" s="422"/>
      <c r="F916" s="422"/>
      <c r="G916" s="422"/>
      <c r="H916" s="422"/>
      <c r="I916" s="422"/>
    </row>
    <row r="917">
      <c r="A917" s="430"/>
      <c r="B917" s="422"/>
      <c r="C917" s="422"/>
      <c r="D917" s="422"/>
      <c r="E917" s="422"/>
      <c r="F917" s="422"/>
      <c r="G917" s="422"/>
      <c r="H917" s="422"/>
      <c r="I917" s="422"/>
    </row>
    <row r="918">
      <c r="A918" s="430"/>
      <c r="B918" s="422"/>
      <c r="C918" s="422"/>
      <c r="D918" s="422"/>
      <c r="E918" s="422"/>
      <c r="F918" s="422"/>
      <c r="G918" s="422"/>
      <c r="H918" s="422"/>
      <c r="I918" s="422"/>
    </row>
    <row r="919">
      <c r="A919" s="430"/>
      <c r="B919" s="422"/>
      <c r="C919" s="422"/>
      <c r="D919" s="422"/>
      <c r="E919" s="422"/>
      <c r="F919" s="422"/>
      <c r="G919" s="422"/>
      <c r="H919" s="422"/>
      <c r="I919" s="422"/>
    </row>
    <row r="920">
      <c r="A920" s="430"/>
      <c r="B920" s="422"/>
      <c r="C920" s="422"/>
      <c r="D920" s="422"/>
      <c r="E920" s="422"/>
      <c r="F920" s="422"/>
      <c r="G920" s="422"/>
      <c r="H920" s="422"/>
      <c r="I920" s="422"/>
    </row>
    <row r="921">
      <c r="A921" s="430"/>
      <c r="B921" s="422"/>
      <c r="C921" s="422"/>
      <c r="D921" s="422"/>
      <c r="E921" s="422"/>
      <c r="F921" s="422"/>
      <c r="G921" s="422"/>
      <c r="H921" s="422"/>
      <c r="I921" s="422"/>
    </row>
    <row r="922">
      <c r="A922" s="430"/>
      <c r="B922" s="422"/>
      <c r="C922" s="422"/>
      <c r="D922" s="422"/>
      <c r="E922" s="422"/>
      <c r="F922" s="422"/>
      <c r="G922" s="422"/>
      <c r="H922" s="422"/>
      <c r="I922" s="422"/>
    </row>
    <row r="923">
      <c r="A923" s="430"/>
      <c r="B923" s="422"/>
      <c r="C923" s="422"/>
      <c r="D923" s="422"/>
      <c r="E923" s="422"/>
      <c r="F923" s="422"/>
      <c r="G923" s="422"/>
      <c r="H923" s="422"/>
      <c r="I923" s="422"/>
    </row>
    <row r="924">
      <c r="A924" s="430"/>
      <c r="B924" s="422"/>
      <c r="C924" s="422"/>
      <c r="D924" s="422"/>
      <c r="E924" s="422"/>
      <c r="F924" s="422"/>
      <c r="G924" s="422"/>
      <c r="H924" s="422"/>
      <c r="I924" s="422"/>
    </row>
    <row r="925">
      <c r="A925" s="430"/>
      <c r="B925" s="422"/>
      <c r="C925" s="422"/>
      <c r="D925" s="422"/>
      <c r="E925" s="422"/>
      <c r="F925" s="422"/>
      <c r="G925" s="422"/>
      <c r="H925" s="422"/>
      <c r="I925" s="422"/>
    </row>
    <row r="926">
      <c r="A926" s="430"/>
      <c r="B926" s="422"/>
      <c r="C926" s="422"/>
      <c r="D926" s="422"/>
      <c r="E926" s="422"/>
      <c r="F926" s="422"/>
      <c r="G926" s="422"/>
      <c r="H926" s="422"/>
      <c r="I926" s="422"/>
    </row>
    <row r="927">
      <c r="A927" s="430"/>
      <c r="B927" s="422"/>
      <c r="C927" s="422"/>
      <c r="D927" s="422"/>
      <c r="E927" s="422"/>
      <c r="F927" s="422"/>
      <c r="G927" s="422"/>
      <c r="H927" s="422"/>
      <c r="I927" s="422"/>
    </row>
    <row r="928">
      <c r="A928" s="430"/>
      <c r="B928" s="422"/>
      <c r="C928" s="422"/>
      <c r="D928" s="422"/>
      <c r="E928" s="422"/>
      <c r="F928" s="422"/>
      <c r="G928" s="422"/>
      <c r="H928" s="422"/>
      <c r="I928" s="422"/>
    </row>
    <row r="929">
      <c r="A929" s="430"/>
      <c r="B929" s="422"/>
      <c r="C929" s="422"/>
      <c r="D929" s="422"/>
      <c r="E929" s="422"/>
      <c r="F929" s="422"/>
      <c r="G929" s="422"/>
      <c r="H929" s="422"/>
      <c r="I929" s="422"/>
    </row>
    <row r="930">
      <c r="A930" s="430"/>
      <c r="B930" s="422"/>
      <c r="C930" s="422"/>
      <c r="D930" s="422"/>
      <c r="E930" s="422"/>
      <c r="F930" s="422"/>
      <c r="G930" s="422"/>
      <c r="H930" s="422"/>
      <c r="I930" s="422"/>
    </row>
    <row r="931">
      <c r="A931" s="430"/>
      <c r="B931" s="422"/>
      <c r="C931" s="422"/>
      <c r="D931" s="422"/>
      <c r="E931" s="422"/>
      <c r="F931" s="422"/>
      <c r="G931" s="422"/>
      <c r="H931" s="422"/>
      <c r="I931" s="422"/>
    </row>
    <row r="932">
      <c r="A932" s="430"/>
      <c r="B932" s="422"/>
      <c r="C932" s="422"/>
      <c r="D932" s="422"/>
      <c r="E932" s="422"/>
      <c r="F932" s="422"/>
      <c r="G932" s="422"/>
      <c r="H932" s="422"/>
      <c r="I932" s="422"/>
    </row>
    <row r="933">
      <c r="A933" s="430"/>
      <c r="B933" s="422"/>
      <c r="C933" s="422"/>
      <c r="D933" s="422"/>
      <c r="E933" s="422"/>
      <c r="F933" s="422"/>
      <c r="G933" s="422"/>
      <c r="H933" s="422"/>
      <c r="I933" s="422"/>
    </row>
    <row r="934">
      <c r="A934" s="430"/>
      <c r="B934" s="422"/>
      <c r="C934" s="422"/>
      <c r="D934" s="422"/>
      <c r="E934" s="422"/>
      <c r="F934" s="422"/>
      <c r="G934" s="422"/>
      <c r="H934" s="422"/>
      <c r="I934" s="422"/>
    </row>
    <row r="935">
      <c r="A935" s="430"/>
      <c r="B935" s="422"/>
      <c r="C935" s="422"/>
      <c r="D935" s="422"/>
      <c r="E935" s="422"/>
      <c r="F935" s="422"/>
      <c r="G935" s="422"/>
      <c r="H935" s="422"/>
      <c r="I935" s="422"/>
    </row>
    <row r="936">
      <c r="A936" s="430"/>
      <c r="B936" s="422"/>
      <c r="C936" s="422"/>
      <c r="D936" s="422"/>
      <c r="E936" s="422"/>
      <c r="F936" s="422"/>
      <c r="G936" s="422"/>
      <c r="H936" s="422"/>
      <c r="I936" s="422"/>
    </row>
    <row r="937">
      <c r="A937" s="430"/>
      <c r="B937" s="422"/>
      <c r="C937" s="422"/>
      <c r="D937" s="422"/>
      <c r="E937" s="422"/>
      <c r="F937" s="422"/>
      <c r="G937" s="422"/>
      <c r="H937" s="422"/>
      <c r="I937" s="422"/>
    </row>
    <row r="938">
      <c r="A938" s="430"/>
      <c r="B938" s="422"/>
      <c r="C938" s="422"/>
      <c r="D938" s="422"/>
      <c r="E938" s="422"/>
      <c r="F938" s="422"/>
      <c r="G938" s="422"/>
      <c r="H938" s="422"/>
      <c r="I938" s="422"/>
    </row>
    <row r="939">
      <c r="A939" s="430"/>
      <c r="B939" s="422"/>
      <c r="C939" s="422"/>
      <c r="D939" s="422"/>
      <c r="E939" s="422"/>
      <c r="F939" s="422"/>
      <c r="G939" s="422"/>
      <c r="H939" s="422"/>
      <c r="I939" s="422"/>
    </row>
    <row r="940">
      <c r="A940" s="430"/>
      <c r="B940" s="422"/>
      <c r="C940" s="422"/>
      <c r="D940" s="422"/>
      <c r="E940" s="422"/>
      <c r="F940" s="422"/>
      <c r="G940" s="422"/>
      <c r="H940" s="422"/>
      <c r="I940" s="422"/>
    </row>
    <row r="941">
      <c r="A941" s="430"/>
      <c r="B941" s="422"/>
      <c r="C941" s="422"/>
      <c r="D941" s="422"/>
      <c r="E941" s="422"/>
      <c r="F941" s="422"/>
      <c r="G941" s="422"/>
      <c r="H941" s="422"/>
      <c r="I941" s="422"/>
    </row>
    <row r="942">
      <c r="A942" s="430"/>
      <c r="B942" s="422"/>
      <c r="C942" s="422"/>
      <c r="D942" s="422"/>
      <c r="E942" s="422"/>
      <c r="F942" s="422"/>
      <c r="G942" s="422"/>
      <c r="H942" s="422"/>
      <c r="I942" s="422"/>
    </row>
    <row r="943">
      <c r="A943" s="430"/>
      <c r="B943" s="422"/>
      <c r="C943" s="422"/>
      <c r="D943" s="422"/>
      <c r="E943" s="422"/>
      <c r="F943" s="422"/>
      <c r="G943" s="422"/>
      <c r="H943" s="422"/>
      <c r="I943" s="422"/>
    </row>
    <row r="944">
      <c r="A944" s="430"/>
      <c r="B944" s="422"/>
      <c r="C944" s="422"/>
      <c r="D944" s="422"/>
      <c r="E944" s="422"/>
      <c r="F944" s="422"/>
      <c r="G944" s="422"/>
      <c r="H944" s="422"/>
      <c r="I944" s="422"/>
    </row>
    <row r="945">
      <c r="A945" s="430"/>
      <c r="B945" s="422"/>
      <c r="C945" s="422"/>
      <c r="D945" s="422"/>
      <c r="E945" s="422"/>
      <c r="F945" s="422"/>
      <c r="G945" s="422"/>
      <c r="H945" s="422"/>
      <c r="I945" s="422"/>
    </row>
    <row r="946">
      <c r="A946" s="430"/>
      <c r="B946" s="422"/>
      <c r="C946" s="422"/>
      <c r="D946" s="422"/>
      <c r="E946" s="422"/>
      <c r="F946" s="422"/>
      <c r="G946" s="422"/>
      <c r="H946" s="422"/>
      <c r="I946" s="422"/>
    </row>
    <row r="947">
      <c r="A947" s="430"/>
      <c r="B947" s="422"/>
      <c r="C947" s="422"/>
      <c r="D947" s="422"/>
      <c r="E947" s="422"/>
      <c r="F947" s="422"/>
      <c r="G947" s="422"/>
      <c r="H947" s="422"/>
      <c r="I947" s="422"/>
    </row>
    <row r="948">
      <c r="A948" s="430"/>
      <c r="B948" s="422"/>
      <c r="C948" s="422"/>
      <c r="D948" s="422"/>
      <c r="E948" s="422"/>
      <c r="F948" s="422"/>
      <c r="G948" s="422"/>
      <c r="H948" s="422"/>
      <c r="I948" s="422"/>
    </row>
    <row r="949">
      <c r="A949" s="430"/>
      <c r="B949" s="422"/>
      <c r="C949" s="422"/>
      <c r="D949" s="422"/>
      <c r="E949" s="422"/>
      <c r="F949" s="422"/>
      <c r="G949" s="422"/>
      <c r="H949" s="422"/>
      <c r="I949" s="422"/>
    </row>
    <row r="950">
      <c r="A950" s="430"/>
      <c r="B950" s="422"/>
      <c r="C950" s="422"/>
      <c r="D950" s="422"/>
      <c r="E950" s="422"/>
      <c r="F950" s="422"/>
      <c r="G950" s="422"/>
      <c r="H950" s="422"/>
      <c r="I950" s="422"/>
    </row>
    <row r="951">
      <c r="A951" s="430"/>
      <c r="B951" s="422"/>
      <c r="C951" s="422"/>
      <c r="D951" s="422"/>
      <c r="E951" s="422"/>
      <c r="F951" s="422"/>
      <c r="G951" s="422"/>
      <c r="H951" s="422"/>
      <c r="I951" s="422"/>
    </row>
    <row r="952">
      <c r="A952" s="430"/>
      <c r="B952" s="422"/>
      <c r="C952" s="422"/>
      <c r="D952" s="422"/>
      <c r="E952" s="422"/>
      <c r="F952" s="422"/>
      <c r="G952" s="422"/>
      <c r="H952" s="422"/>
      <c r="I952" s="422"/>
    </row>
    <row r="953">
      <c r="A953" s="430"/>
      <c r="B953" s="422"/>
      <c r="C953" s="422"/>
      <c r="D953" s="422"/>
      <c r="E953" s="422"/>
      <c r="F953" s="422"/>
      <c r="G953" s="422"/>
      <c r="H953" s="422"/>
      <c r="I953" s="422"/>
    </row>
    <row r="954">
      <c r="A954" s="430"/>
      <c r="B954" s="422"/>
      <c r="C954" s="422"/>
      <c r="D954" s="422"/>
      <c r="E954" s="422"/>
      <c r="F954" s="422"/>
      <c r="G954" s="422"/>
      <c r="H954" s="422"/>
      <c r="I954" s="422"/>
    </row>
    <row r="955">
      <c r="A955" s="430"/>
      <c r="B955" s="422"/>
      <c r="C955" s="422"/>
      <c r="D955" s="422"/>
      <c r="E955" s="422"/>
      <c r="F955" s="422"/>
      <c r="G955" s="422"/>
      <c r="H955" s="422"/>
      <c r="I955" s="422"/>
    </row>
    <row r="956">
      <c r="A956" s="430"/>
      <c r="B956" s="422"/>
      <c r="C956" s="422"/>
      <c r="D956" s="422"/>
      <c r="E956" s="422"/>
      <c r="F956" s="422"/>
      <c r="G956" s="422"/>
      <c r="H956" s="422"/>
      <c r="I956" s="422"/>
    </row>
    <row r="957">
      <c r="A957" s="430"/>
      <c r="B957" s="422"/>
      <c r="C957" s="422"/>
      <c r="D957" s="422"/>
      <c r="E957" s="422"/>
      <c r="F957" s="422"/>
      <c r="G957" s="422"/>
      <c r="H957" s="422"/>
      <c r="I957" s="422"/>
    </row>
    <row r="958">
      <c r="A958" s="430"/>
      <c r="B958" s="422"/>
      <c r="C958" s="422"/>
      <c r="D958" s="422"/>
      <c r="E958" s="422"/>
      <c r="F958" s="422"/>
      <c r="G958" s="422"/>
      <c r="H958" s="422"/>
      <c r="I958" s="422"/>
    </row>
    <row r="959">
      <c r="A959" s="430"/>
      <c r="B959" s="422"/>
      <c r="C959" s="422"/>
      <c r="D959" s="422"/>
      <c r="E959" s="422"/>
      <c r="F959" s="422"/>
      <c r="G959" s="422"/>
      <c r="H959" s="422"/>
      <c r="I959" s="422"/>
    </row>
    <row r="960">
      <c r="A960" s="430"/>
      <c r="B960" s="422"/>
      <c r="C960" s="422"/>
      <c r="D960" s="422"/>
      <c r="E960" s="422"/>
      <c r="F960" s="422"/>
      <c r="G960" s="422"/>
      <c r="H960" s="422"/>
      <c r="I960" s="422"/>
    </row>
    <row r="961">
      <c r="A961" s="430"/>
      <c r="B961" s="422"/>
      <c r="C961" s="422"/>
      <c r="D961" s="422"/>
      <c r="E961" s="422"/>
      <c r="F961" s="422"/>
      <c r="G961" s="422"/>
      <c r="H961" s="422"/>
      <c r="I961" s="422"/>
    </row>
    <row r="962">
      <c r="A962" s="430"/>
      <c r="B962" s="422"/>
      <c r="C962" s="422"/>
      <c r="D962" s="422"/>
      <c r="E962" s="422"/>
      <c r="F962" s="422"/>
      <c r="G962" s="422"/>
      <c r="H962" s="422"/>
      <c r="I962" s="422"/>
    </row>
    <row r="963">
      <c r="A963" s="430"/>
      <c r="B963" s="422"/>
      <c r="C963" s="422"/>
      <c r="D963" s="422"/>
      <c r="E963" s="422"/>
      <c r="F963" s="422"/>
      <c r="G963" s="422"/>
      <c r="H963" s="422"/>
      <c r="I963" s="422"/>
    </row>
    <row r="964">
      <c r="A964" s="430"/>
      <c r="B964" s="422"/>
      <c r="C964" s="422"/>
      <c r="D964" s="422"/>
      <c r="E964" s="422"/>
      <c r="F964" s="422"/>
      <c r="G964" s="422"/>
      <c r="H964" s="422"/>
      <c r="I964" s="422"/>
    </row>
    <row r="965">
      <c r="A965" s="430"/>
      <c r="B965" s="422"/>
      <c r="C965" s="422"/>
      <c r="D965" s="422"/>
      <c r="E965" s="422"/>
      <c r="F965" s="422"/>
      <c r="G965" s="422"/>
      <c r="H965" s="422"/>
      <c r="I965" s="422"/>
    </row>
    <row r="966">
      <c r="A966" s="430"/>
      <c r="B966" s="422"/>
      <c r="C966" s="422"/>
      <c r="D966" s="422"/>
      <c r="E966" s="422"/>
      <c r="F966" s="422"/>
      <c r="G966" s="422"/>
      <c r="H966" s="422"/>
      <c r="I966" s="422"/>
    </row>
    <row r="967">
      <c r="A967" s="430"/>
      <c r="B967" s="422"/>
      <c r="C967" s="422"/>
      <c r="D967" s="422"/>
      <c r="E967" s="422"/>
      <c r="F967" s="422"/>
      <c r="G967" s="422"/>
      <c r="H967" s="422"/>
      <c r="I967" s="422"/>
    </row>
    <row r="968">
      <c r="A968" s="430"/>
      <c r="B968" s="422"/>
      <c r="C968" s="422"/>
      <c r="D968" s="422"/>
      <c r="E968" s="422"/>
      <c r="F968" s="422"/>
      <c r="G968" s="422"/>
      <c r="H968" s="422"/>
      <c r="I968" s="422"/>
    </row>
    <row r="969">
      <c r="A969" s="430"/>
      <c r="B969" s="422"/>
      <c r="C969" s="422"/>
      <c r="D969" s="422"/>
      <c r="E969" s="422"/>
      <c r="F969" s="422"/>
      <c r="G969" s="422"/>
      <c r="H969" s="422"/>
      <c r="I969" s="422"/>
    </row>
    <row r="970">
      <c r="A970" s="430"/>
      <c r="B970" s="422"/>
      <c r="C970" s="422"/>
      <c r="D970" s="422"/>
      <c r="E970" s="422"/>
      <c r="F970" s="422"/>
      <c r="G970" s="422"/>
      <c r="H970" s="422"/>
      <c r="I970" s="422"/>
    </row>
    <row r="971">
      <c r="A971" s="430"/>
      <c r="B971" s="422"/>
      <c r="C971" s="422"/>
      <c r="D971" s="422"/>
      <c r="E971" s="422"/>
      <c r="F971" s="422"/>
      <c r="G971" s="422"/>
      <c r="H971" s="422"/>
      <c r="I971" s="422"/>
    </row>
    <row r="972">
      <c r="A972" s="430"/>
      <c r="B972" s="422"/>
      <c r="C972" s="422"/>
      <c r="D972" s="422"/>
      <c r="E972" s="422"/>
      <c r="F972" s="422"/>
      <c r="G972" s="422"/>
      <c r="H972" s="422"/>
      <c r="I972" s="422"/>
    </row>
    <row r="973">
      <c r="A973" s="430"/>
      <c r="B973" s="422"/>
      <c r="C973" s="422"/>
      <c r="D973" s="422"/>
      <c r="E973" s="422"/>
      <c r="F973" s="422"/>
      <c r="G973" s="422"/>
      <c r="H973" s="422"/>
      <c r="I973" s="422"/>
    </row>
    <row r="974">
      <c r="A974" s="430"/>
      <c r="B974" s="422"/>
      <c r="C974" s="422"/>
      <c r="D974" s="422"/>
      <c r="E974" s="422"/>
      <c r="F974" s="422"/>
      <c r="G974" s="422"/>
      <c r="H974" s="422"/>
      <c r="I974" s="422"/>
    </row>
    <row r="975">
      <c r="A975" s="430"/>
      <c r="B975" s="422"/>
      <c r="C975" s="422"/>
      <c r="D975" s="422"/>
      <c r="E975" s="422"/>
      <c r="F975" s="422"/>
      <c r="G975" s="422"/>
      <c r="H975" s="422"/>
      <c r="I975" s="422"/>
    </row>
    <row r="976">
      <c r="A976" s="430"/>
      <c r="B976" s="422"/>
      <c r="C976" s="422"/>
      <c r="D976" s="422"/>
      <c r="E976" s="422"/>
      <c r="F976" s="422"/>
      <c r="G976" s="422"/>
      <c r="H976" s="422"/>
      <c r="I976" s="422"/>
    </row>
    <row r="977">
      <c r="A977" s="430"/>
      <c r="B977" s="422"/>
      <c r="C977" s="422"/>
      <c r="D977" s="422"/>
      <c r="E977" s="422"/>
      <c r="F977" s="422"/>
      <c r="G977" s="422"/>
      <c r="H977" s="422"/>
      <c r="I977" s="422"/>
    </row>
    <row r="978">
      <c r="A978" s="430"/>
      <c r="B978" s="422"/>
      <c r="C978" s="422"/>
      <c r="D978" s="422"/>
      <c r="E978" s="422"/>
      <c r="F978" s="422"/>
      <c r="G978" s="422"/>
      <c r="H978" s="422"/>
      <c r="I978" s="422"/>
    </row>
    <row r="979">
      <c r="A979" s="430"/>
      <c r="B979" s="422"/>
      <c r="C979" s="422"/>
      <c r="D979" s="422"/>
      <c r="E979" s="422"/>
      <c r="F979" s="422"/>
      <c r="G979" s="422"/>
      <c r="H979" s="422"/>
      <c r="I979" s="422"/>
    </row>
    <row r="980">
      <c r="A980" s="430"/>
      <c r="B980" s="422"/>
      <c r="C980" s="422"/>
      <c r="D980" s="422"/>
      <c r="E980" s="422"/>
      <c r="F980" s="422"/>
      <c r="G980" s="422"/>
      <c r="H980" s="422"/>
      <c r="I980" s="422"/>
    </row>
    <row r="981">
      <c r="A981" s="430"/>
      <c r="B981" s="422"/>
      <c r="C981" s="422"/>
      <c r="D981" s="422"/>
      <c r="E981" s="422"/>
      <c r="F981" s="422"/>
      <c r="G981" s="422"/>
      <c r="H981" s="422"/>
      <c r="I981" s="422"/>
    </row>
    <row r="982">
      <c r="A982" s="430"/>
      <c r="B982" s="422"/>
      <c r="C982" s="422"/>
      <c r="D982" s="422"/>
      <c r="E982" s="422"/>
      <c r="F982" s="422"/>
      <c r="G982" s="422"/>
      <c r="H982" s="422"/>
      <c r="I982" s="422"/>
    </row>
    <row r="983">
      <c r="A983" s="430"/>
      <c r="B983" s="422"/>
      <c r="C983" s="422"/>
      <c r="D983" s="422"/>
      <c r="E983" s="422"/>
      <c r="F983" s="422"/>
      <c r="G983" s="422"/>
      <c r="H983" s="422"/>
      <c r="I983" s="422"/>
    </row>
    <row r="984">
      <c r="A984" s="430"/>
      <c r="B984" s="422"/>
      <c r="C984" s="422"/>
      <c r="D984" s="422"/>
      <c r="E984" s="422"/>
      <c r="F984" s="422"/>
      <c r="G984" s="422"/>
      <c r="H984" s="422"/>
      <c r="I984" s="422"/>
    </row>
    <row r="985">
      <c r="A985" s="430"/>
      <c r="B985" s="422"/>
      <c r="C985" s="422"/>
      <c r="D985" s="422"/>
      <c r="E985" s="422"/>
      <c r="F985" s="422"/>
      <c r="G985" s="422"/>
      <c r="H985" s="422"/>
      <c r="I985" s="422"/>
    </row>
    <row r="986">
      <c r="A986" s="430"/>
      <c r="B986" s="422"/>
      <c r="C986" s="422"/>
      <c r="D986" s="422"/>
      <c r="E986" s="422"/>
      <c r="F986" s="422"/>
      <c r="G986" s="422"/>
      <c r="H986" s="422"/>
      <c r="I986" s="422"/>
    </row>
    <row r="987">
      <c r="A987" s="430"/>
      <c r="B987" s="422"/>
      <c r="C987" s="422"/>
      <c r="D987" s="422"/>
      <c r="E987" s="422"/>
      <c r="F987" s="422"/>
      <c r="G987" s="422"/>
      <c r="H987" s="422"/>
      <c r="I987" s="422"/>
    </row>
    <row r="988">
      <c r="A988" s="430"/>
      <c r="B988" s="422"/>
      <c r="C988" s="422"/>
      <c r="D988" s="422"/>
      <c r="E988" s="422"/>
      <c r="F988" s="422"/>
      <c r="G988" s="422"/>
      <c r="H988" s="422"/>
      <c r="I988" s="422"/>
    </row>
    <row r="989">
      <c r="A989" s="430"/>
      <c r="B989" s="422"/>
      <c r="C989" s="422"/>
      <c r="D989" s="422"/>
      <c r="E989" s="422"/>
      <c r="F989" s="422"/>
      <c r="G989" s="422"/>
      <c r="H989" s="422"/>
      <c r="I989" s="422"/>
    </row>
    <row r="990">
      <c r="A990" s="430"/>
      <c r="B990" s="422"/>
      <c r="C990" s="422"/>
      <c r="D990" s="422"/>
      <c r="E990" s="422"/>
      <c r="F990" s="422"/>
      <c r="G990" s="422"/>
      <c r="H990" s="422"/>
      <c r="I990" s="422"/>
    </row>
    <row r="991">
      <c r="A991" s="430"/>
      <c r="B991" s="422"/>
      <c r="C991" s="422"/>
      <c r="D991" s="422"/>
      <c r="E991" s="422"/>
      <c r="F991" s="422"/>
      <c r="G991" s="422"/>
      <c r="H991" s="422"/>
      <c r="I991" s="422"/>
    </row>
    <row r="992">
      <c r="A992" s="430"/>
      <c r="B992" s="422"/>
      <c r="C992" s="422"/>
      <c r="D992" s="422"/>
      <c r="E992" s="422"/>
      <c r="F992" s="422"/>
      <c r="G992" s="422"/>
      <c r="H992" s="422"/>
      <c r="I992" s="422"/>
    </row>
    <row r="993">
      <c r="A993" s="430"/>
      <c r="B993" s="422"/>
      <c r="C993" s="422"/>
      <c r="D993" s="422"/>
      <c r="E993" s="422"/>
      <c r="F993" s="422"/>
      <c r="G993" s="422"/>
      <c r="H993" s="422"/>
      <c r="I993" s="422"/>
    </row>
    <row r="994">
      <c r="A994" s="430"/>
      <c r="B994" s="422"/>
      <c r="C994" s="422"/>
      <c r="D994" s="422"/>
      <c r="E994" s="422"/>
      <c r="F994" s="422"/>
      <c r="G994" s="422"/>
      <c r="H994" s="422"/>
      <c r="I994" s="422"/>
    </row>
    <row r="995">
      <c r="A995" s="430"/>
      <c r="B995" s="422"/>
      <c r="C995" s="422"/>
      <c r="D995" s="422"/>
      <c r="E995" s="422"/>
      <c r="F995" s="422"/>
      <c r="G995" s="422"/>
      <c r="H995" s="422"/>
      <c r="I995" s="422"/>
    </row>
    <row r="996">
      <c r="A996" s="430"/>
      <c r="B996" s="422"/>
      <c r="C996" s="422"/>
      <c r="D996" s="422"/>
      <c r="E996" s="422"/>
      <c r="F996" s="422"/>
      <c r="G996" s="422"/>
      <c r="H996" s="422"/>
      <c r="I996" s="422"/>
    </row>
    <row r="997">
      <c r="A997" s="430"/>
      <c r="B997" s="422"/>
      <c r="C997" s="422"/>
      <c r="D997" s="422"/>
      <c r="E997" s="422"/>
      <c r="F997" s="422"/>
      <c r="G997" s="422"/>
      <c r="H997" s="422"/>
      <c r="I997" s="422"/>
    </row>
    <row r="998">
      <c r="A998" s="430"/>
      <c r="B998" s="422"/>
      <c r="C998" s="422"/>
      <c r="D998" s="422"/>
      <c r="E998" s="422"/>
      <c r="F998" s="422"/>
      <c r="G998" s="422"/>
      <c r="H998" s="422"/>
      <c r="I998" s="422"/>
    </row>
    <row r="999">
      <c r="A999" s="430"/>
      <c r="B999" s="422"/>
      <c r="C999" s="422"/>
      <c r="D999" s="422"/>
      <c r="E999" s="422"/>
      <c r="F999" s="422"/>
      <c r="G999" s="422"/>
      <c r="H999" s="422"/>
      <c r="I999" s="42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35.0"/>
    <col customWidth="1" min="5" max="6" width="7.5"/>
  </cols>
  <sheetData>
    <row r="1" ht="14.25" customHeight="1">
      <c r="A1" s="433" t="s">
        <v>394</v>
      </c>
      <c r="B1" s="434" t="s">
        <v>395</v>
      </c>
      <c r="C1" s="435" t="s">
        <v>6</v>
      </c>
      <c r="D1" s="433" t="s">
        <v>396</v>
      </c>
      <c r="E1" s="436" t="s">
        <v>397</v>
      </c>
      <c r="F1" s="436" t="s">
        <v>398</v>
      </c>
      <c r="G1" s="437" t="s">
        <v>309</v>
      </c>
      <c r="H1" s="437" t="s">
        <v>399</v>
      </c>
      <c r="I1" s="437" t="s">
        <v>311</v>
      </c>
      <c r="J1" s="437" t="s">
        <v>312</v>
      </c>
      <c r="K1" s="437" t="s">
        <v>400</v>
      </c>
      <c r="L1" s="437" t="s">
        <v>314</v>
      </c>
    </row>
    <row r="2" ht="15.75" customHeight="1">
      <c r="A2" s="438">
        <v>13.0</v>
      </c>
      <c r="B2" s="425" t="s">
        <v>401</v>
      </c>
      <c r="C2" s="425" t="s">
        <v>199</v>
      </c>
      <c r="D2" s="439" t="str">
        <f t="shared" ref="D2:D283" si="1">A2&amp;C2</f>
        <v>13Indiferente</v>
      </c>
      <c r="E2" s="438">
        <v>3.0</v>
      </c>
      <c r="F2" s="438">
        <v>20.0</v>
      </c>
      <c r="G2" s="440">
        <v>3079.42</v>
      </c>
      <c r="H2" s="440">
        <v>3449.09</v>
      </c>
      <c r="I2" s="440">
        <v>3649.07</v>
      </c>
      <c r="J2" s="440">
        <v>3498.94</v>
      </c>
      <c r="K2" s="440">
        <v>3944.65</v>
      </c>
      <c r="L2" s="440">
        <v>4516.47</v>
      </c>
    </row>
    <row r="3" ht="15.75" customHeight="1">
      <c r="A3" s="438">
        <v>13.0</v>
      </c>
      <c r="B3" s="425" t="s">
        <v>401</v>
      </c>
      <c r="C3" s="425" t="s">
        <v>61</v>
      </c>
      <c r="D3" s="439" t="str">
        <f t="shared" si="1"/>
        <v>13Júnior</v>
      </c>
      <c r="E3" s="438">
        <v>2.0</v>
      </c>
      <c r="F3" s="438">
        <v>5.0</v>
      </c>
      <c r="G3" s="440">
        <v>0.0</v>
      </c>
      <c r="H3" s="440">
        <v>0.0</v>
      </c>
      <c r="I3" s="440">
        <v>0.0</v>
      </c>
      <c r="J3" s="440">
        <v>0.0</v>
      </c>
      <c r="K3" s="440">
        <v>0.0</v>
      </c>
      <c r="L3" s="440">
        <v>0.0</v>
      </c>
    </row>
    <row r="4" ht="15.75" customHeight="1">
      <c r="A4" s="438">
        <v>13.0</v>
      </c>
      <c r="B4" s="425" t="s">
        <v>401</v>
      </c>
      <c r="C4" s="425" t="s">
        <v>42</v>
      </c>
      <c r="D4" s="439" t="str">
        <f t="shared" si="1"/>
        <v>13Pleno</v>
      </c>
      <c r="E4" s="438">
        <v>2.0</v>
      </c>
      <c r="F4" s="438">
        <v>5.0</v>
      </c>
      <c r="G4" s="440">
        <v>0.0</v>
      </c>
      <c r="H4" s="440">
        <v>0.0</v>
      </c>
      <c r="I4" s="440">
        <v>0.0</v>
      </c>
      <c r="J4" s="440">
        <v>0.0</v>
      </c>
      <c r="K4" s="440">
        <v>0.0</v>
      </c>
      <c r="L4" s="440">
        <v>0.0</v>
      </c>
    </row>
    <row r="5" ht="15.75" customHeight="1">
      <c r="A5" s="438">
        <v>13.0</v>
      </c>
      <c r="B5" s="425" t="s">
        <v>401</v>
      </c>
      <c r="C5" s="425" t="s">
        <v>54</v>
      </c>
      <c r="D5" s="439" t="str">
        <f t="shared" si="1"/>
        <v>13Sênior</v>
      </c>
      <c r="E5" s="438">
        <v>2.0</v>
      </c>
      <c r="F5" s="438">
        <v>5.0</v>
      </c>
      <c r="G5" s="440">
        <v>0.0</v>
      </c>
      <c r="H5" s="440">
        <v>0.0</v>
      </c>
      <c r="I5" s="440">
        <v>0.0</v>
      </c>
      <c r="J5" s="440">
        <v>0.0</v>
      </c>
      <c r="K5" s="440">
        <v>0.0</v>
      </c>
      <c r="L5" s="440">
        <v>0.0</v>
      </c>
    </row>
    <row r="6" ht="15.75" customHeight="1">
      <c r="A6" s="438">
        <v>13.0</v>
      </c>
      <c r="B6" s="425" t="s">
        <v>401</v>
      </c>
      <c r="C6" s="425" t="s">
        <v>402</v>
      </c>
      <c r="D6" s="439" t="str">
        <f t="shared" si="1"/>
        <v>13Master</v>
      </c>
      <c r="E6" s="438">
        <v>0.0</v>
      </c>
      <c r="F6" s="438">
        <v>0.0</v>
      </c>
      <c r="G6" s="440">
        <v>0.0</v>
      </c>
      <c r="H6" s="440">
        <v>0.0</v>
      </c>
      <c r="I6" s="440">
        <v>0.0</v>
      </c>
      <c r="J6" s="440">
        <v>0.0</v>
      </c>
      <c r="K6" s="440">
        <v>0.0</v>
      </c>
      <c r="L6" s="440">
        <v>0.0</v>
      </c>
    </row>
    <row r="7" ht="15.75" customHeight="1">
      <c r="A7" s="438">
        <v>13.0</v>
      </c>
      <c r="B7" s="425" t="s">
        <v>401</v>
      </c>
      <c r="C7" s="425" t="s">
        <v>228</v>
      </c>
      <c r="D7" s="439" t="str">
        <f t="shared" si="1"/>
        <v>13Especialista</v>
      </c>
      <c r="E7" s="438">
        <v>0.0</v>
      </c>
      <c r="F7" s="438">
        <v>0.0</v>
      </c>
      <c r="G7" s="440">
        <v>0.0</v>
      </c>
      <c r="H7" s="440">
        <v>0.0</v>
      </c>
      <c r="I7" s="440">
        <v>0.0</v>
      </c>
      <c r="J7" s="440">
        <v>0.0</v>
      </c>
      <c r="K7" s="440">
        <v>0.0</v>
      </c>
      <c r="L7" s="440">
        <v>0.0</v>
      </c>
    </row>
    <row r="8" ht="15.75" customHeight="1">
      <c r="A8" s="438">
        <v>59.0</v>
      </c>
      <c r="B8" s="425" t="s">
        <v>198</v>
      </c>
      <c r="C8" s="425" t="s">
        <v>199</v>
      </c>
      <c r="D8" s="439" t="str">
        <f t="shared" si="1"/>
        <v>59Indiferente</v>
      </c>
      <c r="E8" s="438">
        <v>3.0</v>
      </c>
      <c r="F8" s="438">
        <v>9.0</v>
      </c>
      <c r="G8" s="440">
        <v>2204.31</v>
      </c>
      <c r="H8" s="440">
        <v>2247.82</v>
      </c>
      <c r="I8" s="440">
        <v>2616.76</v>
      </c>
      <c r="J8" s="440">
        <v>2640.74</v>
      </c>
      <c r="K8" s="440">
        <v>2760.72</v>
      </c>
      <c r="L8" s="440">
        <v>3466.93</v>
      </c>
    </row>
    <row r="9" ht="15.75" customHeight="1">
      <c r="A9" s="438">
        <v>59.0</v>
      </c>
      <c r="B9" s="425" t="s">
        <v>198</v>
      </c>
      <c r="C9" s="425" t="s">
        <v>61</v>
      </c>
      <c r="D9" s="439" t="str">
        <f t="shared" si="1"/>
        <v>59Júnior</v>
      </c>
      <c r="E9" s="438">
        <v>0.0</v>
      </c>
      <c r="F9" s="438">
        <v>0.0</v>
      </c>
      <c r="G9" s="440">
        <v>0.0</v>
      </c>
      <c r="H9" s="440">
        <v>0.0</v>
      </c>
      <c r="I9" s="440">
        <v>0.0</v>
      </c>
      <c r="J9" s="440">
        <v>0.0</v>
      </c>
      <c r="K9" s="440">
        <v>0.0</v>
      </c>
      <c r="L9" s="440">
        <v>0.0</v>
      </c>
    </row>
    <row r="10" ht="15.75" customHeight="1">
      <c r="A10" s="438">
        <v>59.0</v>
      </c>
      <c r="B10" s="425" t="s">
        <v>198</v>
      </c>
      <c r="C10" s="425" t="s">
        <v>42</v>
      </c>
      <c r="D10" s="439" t="str">
        <f t="shared" si="1"/>
        <v>59Pleno</v>
      </c>
      <c r="E10" s="438">
        <v>0.0</v>
      </c>
      <c r="F10" s="438">
        <v>0.0</v>
      </c>
      <c r="G10" s="440">
        <v>0.0</v>
      </c>
      <c r="H10" s="440">
        <v>0.0</v>
      </c>
      <c r="I10" s="440">
        <v>0.0</v>
      </c>
      <c r="J10" s="440">
        <v>0.0</v>
      </c>
      <c r="K10" s="440">
        <v>0.0</v>
      </c>
      <c r="L10" s="440">
        <v>0.0</v>
      </c>
    </row>
    <row r="11" ht="15.75" customHeight="1">
      <c r="A11" s="438">
        <v>59.0</v>
      </c>
      <c r="B11" s="425" t="s">
        <v>198</v>
      </c>
      <c r="C11" s="425" t="s">
        <v>54</v>
      </c>
      <c r="D11" s="439" t="str">
        <f t="shared" si="1"/>
        <v>59Sênior</v>
      </c>
      <c r="E11" s="438">
        <v>0.0</v>
      </c>
      <c r="F11" s="438">
        <v>0.0</v>
      </c>
      <c r="G11" s="440">
        <v>0.0</v>
      </c>
      <c r="H11" s="440">
        <v>0.0</v>
      </c>
      <c r="I11" s="440">
        <v>0.0</v>
      </c>
      <c r="J11" s="440">
        <v>0.0</v>
      </c>
      <c r="K11" s="440">
        <v>0.0</v>
      </c>
      <c r="L11" s="440">
        <v>0.0</v>
      </c>
    </row>
    <row r="12" ht="15.75" customHeight="1">
      <c r="A12" s="438">
        <v>59.0</v>
      </c>
      <c r="B12" s="425" t="s">
        <v>198</v>
      </c>
      <c r="C12" s="425" t="s">
        <v>402</v>
      </c>
      <c r="D12" s="439" t="str">
        <f t="shared" si="1"/>
        <v>59Master</v>
      </c>
      <c r="E12" s="438">
        <v>0.0</v>
      </c>
      <c r="F12" s="438">
        <v>0.0</v>
      </c>
      <c r="G12" s="440">
        <v>0.0</v>
      </c>
      <c r="H12" s="440">
        <v>0.0</v>
      </c>
      <c r="I12" s="440">
        <v>0.0</v>
      </c>
      <c r="J12" s="440">
        <v>0.0</v>
      </c>
      <c r="K12" s="440">
        <v>0.0</v>
      </c>
      <c r="L12" s="440">
        <v>0.0</v>
      </c>
    </row>
    <row r="13" ht="15.75" customHeight="1">
      <c r="A13" s="438">
        <v>59.0</v>
      </c>
      <c r="B13" s="425" t="s">
        <v>198</v>
      </c>
      <c r="C13" s="425" t="s">
        <v>228</v>
      </c>
      <c r="D13" s="439" t="str">
        <f t="shared" si="1"/>
        <v>59Especialista</v>
      </c>
      <c r="E13" s="438">
        <v>0.0</v>
      </c>
      <c r="F13" s="438">
        <v>0.0</v>
      </c>
      <c r="G13" s="440">
        <v>0.0</v>
      </c>
      <c r="H13" s="440">
        <v>0.0</v>
      </c>
      <c r="I13" s="440">
        <v>0.0</v>
      </c>
      <c r="J13" s="440">
        <v>0.0</v>
      </c>
      <c r="K13" s="440">
        <v>0.0</v>
      </c>
      <c r="L13" s="440">
        <v>0.0</v>
      </c>
    </row>
    <row r="14" ht="15.75" customHeight="1">
      <c r="A14" s="441">
        <v>83.0</v>
      </c>
      <c r="B14" s="442" t="s">
        <v>202</v>
      </c>
      <c r="C14" s="442" t="s">
        <v>199</v>
      </c>
      <c r="D14" s="439" t="str">
        <f t="shared" si="1"/>
        <v>83Indiferente</v>
      </c>
      <c r="E14" s="438">
        <v>96.0</v>
      </c>
      <c r="F14" s="438">
        <v>243.0</v>
      </c>
      <c r="G14" s="440">
        <v>1771.74</v>
      </c>
      <c r="H14" s="440">
        <v>2128.74</v>
      </c>
      <c r="I14" s="440">
        <v>2292.87</v>
      </c>
      <c r="J14" s="440">
        <v>2309.71</v>
      </c>
      <c r="K14" s="440">
        <v>2375.14</v>
      </c>
      <c r="L14" s="440">
        <v>3073.32</v>
      </c>
    </row>
    <row r="15" ht="15.75" customHeight="1">
      <c r="A15" s="441">
        <v>83.0</v>
      </c>
      <c r="B15" s="442" t="s">
        <v>202</v>
      </c>
      <c r="C15" s="442" t="s">
        <v>61</v>
      </c>
      <c r="D15" s="439" t="str">
        <f t="shared" si="1"/>
        <v>83Júnior</v>
      </c>
      <c r="E15" s="438">
        <v>17.0</v>
      </c>
      <c r="F15" s="438">
        <v>27.0</v>
      </c>
      <c r="G15" s="440">
        <v>1644.51</v>
      </c>
      <c r="H15" s="440">
        <v>1954.04</v>
      </c>
      <c r="I15" s="440">
        <v>2151.63</v>
      </c>
      <c r="J15" s="440">
        <v>2112.64</v>
      </c>
      <c r="K15" s="440">
        <v>2474.53</v>
      </c>
      <c r="L15" s="440">
        <v>2640.81</v>
      </c>
    </row>
    <row r="16" ht="15.75" customHeight="1">
      <c r="A16" s="441">
        <v>83.0</v>
      </c>
      <c r="B16" s="442" t="s">
        <v>202</v>
      </c>
      <c r="C16" s="442" t="s">
        <v>42</v>
      </c>
      <c r="D16" s="439" t="str">
        <f t="shared" si="1"/>
        <v>83Pleno</v>
      </c>
      <c r="E16" s="438">
        <v>17.0</v>
      </c>
      <c r="F16" s="438">
        <v>24.0</v>
      </c>
      <c r="G16" s="440">
        <v>1853.4</v>
      </c>
      <c r="H16" s="440">
        <v>2163.88</v>
      </c>
      <c r="I16" s="440">
        <v>2560.99</v>
      </c>
      <c r="J16" s="440">
        <v>2491.08</v>
      </c>
      <c r="K16" s="440">
        <v>2985.96</v>
      </c>
      <c r="L16" s="440">
        <v>3527.33</v>
      </c>
    </row>
    <row r="17" ht="15.75" customHeight="1">
      <c r="A17" s="441">
        <v>83.0</v>
      </c>
      <c r="B17" s="442" t="s">
        <v>202</v>
      </c>
      <c r="C17" s="442" t="s">
        <v>54</v>
      </c>
      <c r="D17" s="439" t="str">
        <f t="shared" si="1"/>
        <v>83Sênior</v>
      </c>
      <c r="E17" s="438">
        <v>3.0</v>
      </c>
      <c r="F17" s="438">
        <v>8.0</v>
      </c>
      <c r="G17" s="440">
        <v>2167.68</v>
      </c>
      <c r="H17" s="440">
        <v>2274.67</v>
      </c>
      <c r="I17" s="440">
        <v>2542.94</v>
      </c>
      <c r="J17" s="440">
        <v>2310.33</v>
      </c>
      <c r="K17" s="440">
        <v>2572.56</v>
      </c>
      <c r="L17" s="440">
        <v>3426.55</v>
      </c>
    </row>
    <row r="18" ht="15.75" customHeight="1">
      <c r="A18" s="441">
        <v>83.0</v>
      </c>
      <c r="B18" s="442" t="s">
        <v>202</v>
      </c>
      <c r="C18" s="442" t="s">
        <v>402</v>
      </c>
      <c r="D18" s="439" t="str">
        <f t="shared" si="1"/>
        <v>83Master</v>
      </c>
      <c r="E18" s="438">
        <v>0.0</v>
      </c>
      <c r="F18" s="438">
        <v>0.0</v>
      </c>
      <c r="G18" s="440">
        <v>0.0</v>
      </c>
      <c r="H18" s="440">
        <v>0.0</v>
      </c>
      <c r="I18" s="440">
        <v>0.0</v>
      </c>
      <c r="J18" s="440">
        <v>0.0</v>
      </c>
      <c r="K18" s="440">
        <v>0.0</v>
      </c>
      <c r="L18" s="440">
        <v>0.0</v>
      </c>
    </row>
    <row r="19" ht="15.75" customHeight="1">
      <c r="A19" s="441">
        <v>83.0</v>
      </c>
      <c r="B19" s="442" t="s">
        <v>202</v>
      </c>
      <c r="C19" s="442" t="s">
        <v>228</v>
      </c>
      <c r="D19" s="439" t="str">
        <f t="shared" si="1"/>
        <v>83Especialista</v>
      </c>
      <c r="E19" s="438">
        <v>1.0</v>
      </c>
      <c r="F19" s="438">
        <v>2.0</v>
      </c>
      <c r="G19" s="440">
        <v>0.0</v>
      </c>
      <c r="H19" s="440">
        <v>0.0</v>
      </c>
      <c r="I19" s="440">
        <v>0.0</v>
      </c>
      <c r="J19" s="440">
        <v>0.0</v>
      </c>
      <c r="K19" s="440">
        <v>0.0</v>
      </c>
      <c r="L19" s="440">
        <v>0.0</v>
      </c>
    </row>
    <row r="20" ht="15.75" customHeight="1">
      <c r="A20" s="441">
        <v>9.0</v>
      </c>
      <c r="B20" s="442" t="s">
        <v>205</v>
      </c>
      <c r="C20" s="442" t="s">
        <v>199</v>
      </c>
      <c r="D20" s="439" t="str">
        <f t="shared" si="1"/>
        <v>9Indiferente</v>
      </c>
      <c r="E20" s="438">
        <v>19.0</v>
      </c>
      <c r="F20" s="438">
        <v>39.0</v>
      </c>
      <c r="G20" s="440">
        <v>4656.08</v>
      </c>
      <c r="H20" s="440">
        <v>6014.23</v>
      </c>
      <c r="I20" s="440">
        <v>7108.01</v>
      </c>
      <c r="J20" s="440">
        <v>6971.77</v>
      </c>
      <c r="K20" s="440">
        <v>7973.99</v>
      </c>
      <c r="L20" s="440">
        <v>10957.61</v>
      </c>
    </row>
    <row r="21" ht="15.75" customHeight="1">
      <c r="A21" s="441">
        <v>9.0</v>
      </c>
      <c r="B21" s="442" t="s">
        <v>205</v>
      </c>
      <c r="C21" s="442" t="s">
        <v>61</v>
      </c>
      <c r="D21" s="439" t="str">
        <f t="shared" si="1"/>
        <v>9Júnior</v>
      </c>
      <c r="E21" s="438">
        <v>6.0</v>
      </c>
      <c r="F21" s="438">
        <v>9.0</v>
      </c>
      <c r="G21" s="440">
        <v>4656.08</v>
      </c>
      <c r="H21" s="440">
        <v>6567.25</v>
      </c>
      <c r="I21" s="440">
        <v>6561.48</v>
      </c>
      <c r="J21" s="440">
        <v>6971.77</v>
      </c>
      <c r="K21" s="440">
        <v>6971.77</v>
      </c>
      <c r="L21" s="440">
        <v>7274.37</v>
      </c>
    </row>
    <row r="22" ht="15.75" customHeight="1">
      <c r="A22" s="441">
        <v>9.0</v>
      </c>
      <c r="B22" s="442" t="s">
        <v>205</v>
      </c>
      <c r="C22" s="442" t="s">
        <v>42</v>
      </c>
      <c r="D22" s="439" t="str">
        <f t="shared" si="1"/>
        <v>9Pleno</v>
      </c>
      <c r="E22" s="438">
        <v>10.0</v>
      </c>
      <c r="F22" s="438">
        <v>14.0</v>
      </c>
      <c r="G22" s="440">
        <v>5453.38</v>
      </c>
      <c r="H22" s="440">
        <v>6049.45</v>
      </c>
      <c r="I22" s="440">
        <v>6572.08</v>
      </c>
      <c r="J22" s="440">
        <v>6248.75</v>
      </c>
      <c r="K22" s="440">
        <v>7153.65</v>
      </c>
      <c r="L22" s="440">
        <v>8044.01</v>
      </c>
    </row>
    <row r="23" ht="15.75" customHeight="1">
      <c r="A23" s="441">
        <v>9.0</v>
      </c>
      <c r="B23" s="442" t="s">
        <v>205</v>
      </c>
      <c r="C23" s="442" t="s">
        <v>54</v>
      </c>
      <c r="D23" s="439" t="str">
        <f t="shared" si="1"/>
        <v>9Sênior</v>
      </c>
      <c r="E23" s="438">
        <v>4.0</v>
      </c>
      <c r="F23" s="438">
        <v>5.0</v>
      </c>
      <c r="G23" s="440">
        <v>8566.38</v>
      </c>
      <c r="H23" s="440">
        <v>9284.95</v>
      </c>
      <c r="I23" s="440">
        <v>11453.66</v>
      </c>
      <c r="J23" s="440">
        <v>10957.61</v>
      </c>
      <c r="K23" s="440">
        <v>10957.61</v>
      </c>
      <c r="L23" s="440">
        <v>17501.76</v>
      </c>
    </row>
    <row r="24" ht="15.75" customHeight="1">
      <c r="A24" s="441">
        <v>9.0</v>
      </c>
      <c r="B24" s="442" t="s">
        <v>205</v>
      </c>
      <c r="C24" s="442" t="s">
        <v>402</v>
      </c>
      <c r="D24" s="439" t="str">
        <f t="shared" si="1"/>
        <v>9Master</v>
      </c>
      <c r="E24" s="438">
        <v>0.0</v>
      </c>
      <c r="F24" s="438">
        <v>0.0</v>
      </c>
      <c r="G24" s="440">
        <v>0.0</v>
      </c>
      <c r="H24" s="440">
        <v>0.0</v>
      </c>
      <c r="I24" s="440">
        <v>0.0</v>
      </c>
      <c r="J24" s="440">
        <v>0.0</v>
      </c>
      <c r="K24" s="440">
        <v>0.0</v>
      </c>
      <c r="L24" s="440">
        <v>0.0</v>
      </c>
    </row>
    <row r="25" ht="15.75" customHeight="1">
      <c r="A25" s="441">
        <v>9.0</v>
      </c>
      <c r="B25" s="442" t="s">
        <v>205</v>
      </c>
      <c r="C25" s="442" t="s">
        <v>228</v>
      </c>
      <c r="D25" s="439" t="str">
        <f t="shared" si="1"/>
        <v>9Especialista</v>
      </c>
      <c r="E25" s="438">
        <v>1.0</v>
      </c>
      <c r="F25" s="438">
        <v>3.0</v>
      </c>
      <c r="G25" s="440">
        <v>0.0</v>
      </c>
      <c r="H25" s="440">
        <v>0.0</v>
      </c>
      <c r="I25" s="440">
        <v>0.0</v>
      </c>
      <c r="J25" s="440">
        <v>0.0</v>
      </c>
      <c r="K25" s="440">
        <v>0.0</v>
      </c>
      <c r="L25" s="440">
        <v>0.0</v>
      </c>
    </row>
    <row r="26" ht="15.75" customHeight="1">
      <c r="A26" s="443">
        <v>338.0</v>
      </c>
      <c r="B26" s="444" t="s">
        <v>208</v>
      </c>
      <c r="C26" s="444" t="s">
        <v>199</v>
      </c>
      <c r="D26" s="439" t="str">
        <f t="shared" si="1"/>
        <v>338Indiferente</v>
      </c>
      <c r="E26" s="438">
        <v>4.0</v>
      </c>
      <c r="F26" s="438">
        <v>4.0</v>
      </c>
      <c r="G26" s="440">
        <f>2291.33*150/220</f>
        <v>1562.270455</v>
      </c>
      <c r="H26" s="440">
        <f>2374.48*150/220</f>
        <v>1618.963636</v>
      </c>
      <c r="I26" s="440">
        <f>2577.74*150/220</f>
        <v>1757.55</v>
      </c>
      <c r="J26" s="440">
        <f>2531.55*150/220</f>
        <v>1726.056818</v>
      </c>
      <c r="K26" s="440">
        <f>2734.81*150/220</f>
        <v>1864.643182</v>
      </c>
      <c r="L26" s="440">
        <f>2956.55*150/220</f>
        <v>2015.829545</v>
      </c>
    </row>
    <row r="27" ht="15.75" customHeight="1">
      <c r="A27" s="443">
        <v>338.0</v>
      </c>
      <c r="B27" s="444" t="s">
        <v>208</v>
      </c>
      <c r="C27" s="444" t="s">
        <v>61</v>
      </c>
      <c r="D27" s="439" t="str">
        <f t="shared" si="1"/>
        <v>338Júnior</v>
      </c>
      <c r="E27" s="438">
        <v>0.0</v>
      </c>
      <c r="F27" s="438">
        <v>0.0</v>
      </c>
      <c r="G27" s="440">
        <v>0.0</v>
      </c>
      <c r="H27" s="440">
        <v>0.0</v>
      </c>
      <c r="I27" s="440">
        <v>0.0</v>
      </c>
      <c r="J27" s="440">
        <v>0.0</v>
      </c>
      <c r="K27" s="440">
        <v>0.0</v>
      </c>
      <c r="L27" s="440">
        <v>0.0</v>
      </c>
    </row>
    <row r="28" ht="17.25" customHeight="1">
      <c r="A28" s="443">
        <v>338.0</v>
      </c>
      <c r="B28" s="444" t="s">
        <v>208</v>
      </c>
      <c r="C28" s="444" t="s">
        <v>42</v>
      </c>
      <c r="D28" s="439" t="str">
        <f t="shared" si="1"/>
        <v>338Pleno</v>
      </c>
      <c r="E28" s="438">
        <v>0.0</v>
      </c>
      <c r="F28" s="438">
        <v>0.0</v>
      </c>
      <c r="G28" s="440">
        <v>0.0</v>
      </c>
      <c r="H28" s="440">
        <v>0.0</v>
      </c>
      <c r="I28" s="440">
        <v>0.0</v>
      </c>
      <c r="J28" s="440">
        <v>0.0</v>
      </c>
      <c r="K28" s="440">
        <v>0.0</v>
      </c>
      <c r="L28" s="440">
        <v>0.0</v>
      </c>
    </row>
    <row r="29" ht="15.75" customHeight="1">
      <c r="A29" s="443">
        <v>338.0</v>
      </c>
      <c r="B29" s="444" t="s">
        <v>208</v>
      </c>
      <c r="C29" s="444" t="s">
        <v>54</v>
      </c>
      <c r="D29" s="439" t="str">
        <f t="shared" si="1"/>
        <v>338Sênior</v>
      </c>
      <c r="E29" s="438">
        <v>0.0</v>
      </c>
      <c r="F29" s="438">
        <v>0.0</v>
      </c>
      <c r="G29" s="440">
        <v>0.0</v>
      </c>
      <c r="H29" s="440">
        <v>0.0</v>
      </c>
      <c r="I29" s="440">
        <v>0.0</v>
      </c>
      <c r="J29" s="440">
        <v>0.0</v>
      </c>
      <c r="K29" s="440">
        <v>0.0</v>
      </c>
      <c r="L29" s="440">
        <v>0.0</v>
      </c>
    </row>
    <row r="30" ht="15.75" customHeight="1">
      <c r="A30" s="443">
        <v>338.0</v>
      </c>
      <c r="B30" s="444" t="s">
        <v>208</v>
      </c>
      <c r="C30" s="444" t="s">
        <v>402</v>
      </c>
      <c r="D30" s="439" t="str">
        <f t="shared" si="1"/>
        <v>338Master</v>
      </c>
      <c r="E30" s="438">
        <v>0.0</v>
      </c>
      <c r="F30" s="438">
        <v>0.0</v>
      </c>
      <c r="G30" s="440">
        <v>0.0</v>
      </c>
      <c r="H30" s="440">
        <v>0.0</v>
      </c>
      <c r="I30" s="440">
        <v>0.0</v>
      </c>
      <c r="J30" s="440">
        <v>0.0</v>
      </c>
      <c r="K30" s="440">
        <v>0.0</v>
      </c>
      <c r="L30" s="440">
        <v>0.0</v>
      </c>
    </row>
    <row r="31" ht="15.75" customHeight="1">
      <c r="A31" s="443">
        <v>338.0</v>
      </c>
      <c r="B31" s="444" t="s">
        <v>208</v>
      </c>
      <c r="C31" s="444" t="s">
        <v>228</v>
      </c>
      <c r="D31" s="439" t="str">
        <f t="shared" si="1"/>
        <v>338Especialista</v>
      </c>
      <c r="E31" s="438">
        <v>0.0</v>
      </c>
      <c r="F31" s="438">
        <v>0.0</v>
      </c>
      <c r="G31" s="440">
        <v>0.0</v>
      </c>
      <c r="H31" s="440">
        <v>0.0</v>
      </c>
      <c r="I31" s="440">
        <v>0.0</v>
      </c>
      <c r="J31" s="440">
        <v>0.0</v>
      </c>
      <c r="K31" s="440">
        <v>0.0</v>
      </c>
      <c r="L31" s="440">
        <v>0.0</v>
      </c>
    </row>
    <row r="32" ht="15.75" customHeight="1">
      <c r="A32" s="445">
        <v>106.0</v>
      </c>
      <c r="B32" s="446" t="s">
        <v>211</v>
      </c>
      <c r="C32" s="446" t="s">
        <v>199</v>
      </c>
      <c r="D32" s="439" t="str">
        <f t="shared" si="1"/>
        <v>106Indiferente</v>
      </c>
      <c r="E32" s="438">
        <v>29.0</v>
      </c>
      <c r="F32" s="438">
        <v>66.0</v>
      </c>
      <c r="G32" s="440">
        <v>8080.79</v>
      </c>
      <c r="H32" s="440">
        <v>10525.48</v>
      </c>
      <c r="I32" s="440">
        <v>13820.95</v>
      </c>
      <c r="J32" s="440">
        <v>13996.93</v>
      </c>
      <c r="K32" s="440">
        <v>16850.54</v>
      </c>
      <c r="L32" s="440">
        <v>27754.56</v>
      </c>
    </row>
    <row r="33" ht="15.75" customHeight="1">
      <c r="A33" s="445">
        <v>106.0</v>
      </c>
      <c r="B33" s="446" t="s">
        <v>211</v>
      </c>
      <c r="C33" s="446" t="s">
        <v>61</v>
      </c>
      <c r="D33" s="439" t="str">
        <f t="shared" si="1"/>
        <v>106Júnior</v>
      </c>
      <c r="E33" s="438">
        <v>1.0</v>
      </c>
      <c r="F33" s="438">
        <v>1.0</v>
      </c>
      <c r="G33" s="440">
        <v>0.0</v>
      </c>
      <c r="H33" s="440">
        <v>0.0</v>
      </c>
      <c r="I33" s="440">
        <v>0.0</v>
      </c>
      <c r="J33" s="440">
        <v>0.0</v>
      </c>
      <c r="K33" s="440">
        <v>0.0</v>
      </c>
      <c r="L33" s="440">
        <v>0.0</v>
      </c>
    </row>
    <row r="34" ht="15.75" customHeight="1">
      <c r="A34" s="445">
        <v>106.0</v>
      </c>
      <c r="B34" s="446" t="s">
        <v>211</v>
      </c>
      <c r="C34" s="446" t="s">
        <v>42</v>
      </c>
      <c r="D34" s="439" t="str">
        <f t="shared" si="1"/>
        <v>106Pleno</v>
      </c>
      <c r="E34" s="438">
        <v>2.0</v>
      </c>
      <c r="F34" s="438">
        <v>4.0</v>
      </c>
      <c r="G34" s="440">
        <v>0.0</v>
      </c>
      <c r="H34" s="440">
        <v>0.0</v>
      </c>
      <c r="I34" s="440">
        <v>0.0</v>
      </c>
      <c r="J34" s="440">
        <v>0.0</v>
      </c>
      <c r="K34" s="440">
        <v>0.0</v>
      </c>
      <c r="L34" s="440">
        <v>0.0</v>
      </c>
    </row>
    <row r="35" ht="15.75" customHeight="1">
      <c r="A35" s="445">
        <v>106.0</v>
      </c>
      <c r="B35" s="446" t="s">
        <v>211</v>
      </c>
      <c r="C35" s="446" t="s">
        <v>54</v>
      </c>
      <c r="D35" s="439" t="str">
        <f t="shared" si="1"/>
        <v>106Sênior</v>
      </c>
      <c r="E35" s="438">
        <v>2.0</v>
      </c>
      <c r="F35" s="438">
        <v>4.0</v>
      </c>
      <c r="G35" s="440">
        <v>0.0</v>
      </c>
      <c r="H35" s="440">
        <v>0.0</v>
      </c>
      <c r="I35" s="440">
        <v>0.0</v>
      </c>
      <c r="J35" s="440">
        <v>0.0</v>
      </c>
      <c r="K35" s="440">
        <v>0.0</v>
      </c>
      <c r="L35" s="440">
        <v>0.0</v>
      </c>
    </row>
    <row r="36" ht="15.75" customHeight="1">
      <c r="A36" s="445">
        <v>106.0</v>
      </c>
      <c r="B36" s="446" t="s">
        <v>211</v>
      </c>
      <c r="C36" s="446" t="s">
        <v>402</v>
      </c>
      <c r="D36" s="439" t="str">
        <f t="shared" si="1"/>
        <v>106Master</v>
      </c>
      <c r="E36" s="438">
        <v>1.0</v>
      </c>
      <c r="F36" s="438">
        <v>1.0</v>
      </c>
      <c r="G36" s="440">
        <v>0.0</v>
      </c>
      <c r="H36" s="440">
        <v>0.0</v>
      </c>
      <c r="I36" s="440">
        <v>0.0</v>
      </c>
      <c r="J36" s="440">
        <v>0.0</v>
      </c>
      <c r="K36" s="440">
        <v>0.0</v>
      </c>
      <c r="L36" s="440">
        <v>0.0</v>
      </c>
    </row>
    <row r="37" ht="15.75" customHeight="1">
      <c r="A37" s="445">
        <v>106.0</v>
      </c>
      <c r="B37" s="446" t="s">
        <v>211</v>
      </c>
      <c r="C37" s="446" t="s">
        <v>228</v>
      </c>
      <c r="D37" s="439" t="str">
        <f t="shared" si="1"/>
        <v>106Especialista</v>
      </c>
      <c r="E37" s="438">
        <v>0.0</v>
      </c>
      <c r="F37" s="438">
        <v>0.0</v>
      </c>
      <c r="G37" s="440">
        <v>0.0</v>
      </c>
      <c r="H37" s="440">
        <v>0.0</v>
      </c>
      <c r="I37" s="440">
        <v>0.0</v>
      </c>
      <c r="J37" s="440">
        <v>0.0</v>
      </c>
      <c r="K37" s="440">
        <v>0.0</v>
      </c>
      <c r="L37" s="440">
        <v>0.0</v>
      </c>
    </row>
    <row r="38" ht="15.75" customHeight="1">
      <c r="A38" s="441">
        <v>456.0</v>
      </c>
      <c r="B38" s="442" t="s">
        <v>213</v>
      </c>
      <c r="C38" s="442" t="s">
        <v>199</v>
      </c>
      <c r="D38" s="439" t="str">
        <f t="shared" si="1"/>
        <v>456Indiferente</v>
      </c>
      <c r="E38" s="438">
        <v>8.0</v>
      </c>
      <c r="F38" s="438">
        <v>8.0</v>
      </c>
      <c r="G38" s="440">
        <v>18287.31</v>
      </c>
      <c r="H38" s="440">
        <v>24816.78</v>
      </c>
      <c r="I38" s="440">
        <v>32648.36</v>
      </c>
      <c r="J38" s="440">
        <v>29147.75</v>
      </c>
      <c r="K38" s="440">
        <v>37122.89</v>
      </c>
      <c r="L38" s="440">
        <v>55429.54</v>
      </c>
    </row>
    <row r="39" ht="15.75" customHeight="1">
      <c r="A39" s="441">
        <v>456.0</v>
      </c>
      <c r="B39" s="442" t="s">
        <v>213</v>
      </c>
      <c r="C39" s="442" t="s">
        <v>61</v>
      </c>
      <c r="D39" s="439" t="str">
        <f t="shared" si="1"/>
        <v>456Júnior</v>
      </c>
      <c r="E39" s="438">
        <v>0.0</v>
      </c>
      <c r="F39" s="438">
        <v>0.0</v>
      </c>
      <c r="G39" s="440">
        <v>0.0</v>
      </c>
      <c r="H39" s="440">
        <v>0.0</v>
      </c>
      <c r="I39" s="440">
        <v>0.0</v>
      </c>
      <c r="J39" s="440">
        <v>0.0</v>
      </c>
      <c r="K39" s="440">
        <v>0.0</v>
      </c>
      <c r="L39" s="440">
        <v>0.0</v>
      </c>
    </row>
    <row r="40" ht="15.75" customHeight="1">
      <c r="A40" s="441">
        <v>456.0</v>
      </c>
      <c r="B40" s="442" t="s">
        <v>213</v>
      </c>
      <c r="C40" s="442" t="s">
        <v>42</v>
      </c>
      <c r="D40" s="439" t="str">
        <f t="shared" si="1"/>
        <v>456Pleno</v>
      </c>
      <c r="E40" s="438">
        <v>1.0</v>
      </c>
      <c r="F40" s="438">
        <v>1.0</v>
      </c>
      <c r="G40" s="440">
        <v>11085.91</v>
      </c>
      <c r="H40" s="440">
        <v>11085.91</v>
      </c>
      <c r="I40" s="440">
        <v>11085.91</v>
      </c>
      <c r="J40" s="440">
        <v>11085.91</v>
      </c>
      <c r="K40" s="440">
        <v>11085.91</v>
      </c>
      <c r="L40" s="440">
        <v>11085.91</v>
      </c>
    </row>
    <row r="41" ht="15.75" customHeight="1">
      <c r="A41" s="441">
        <v>456.0</v>
      </c>
      <c r="B41" s="442" t="s">
        <v>213</v>
      </c>
      <c r="C41" s="442" t="s">
        <v>54</v>
      </c>
      <c r="D41" s="439" t="str">
        <f t="shared" si="1"/>
        <v>456Sênior</v>
      </c>
      <c r="E41" s="438">
        <v>0.0</v>
      </c>
      <c r="F41" s="438">
        <v>0.0</v>
      </c>
      <c r="G41" s="440">
        <v>0.0</v>
      </c>
      <c r="H41" s="440">
        <v>0.0</v>
      </c>
      <c r="I41" s="440">
        <v>0.0</v>
      </c>
      <c r="J41" s="440">
        <v>0.0</v>
      </c>
      <c r="K41" s="440">
        <v>0.0</v>
      </c>
      <c r="L41" s="440">
        <v>0.0</v>
      </c>
    </row>
    <row r="42" ht="15.75" customHeight="1">
      <c r="A42" s="441">
        <v>456.0</v>
      </c>
      <c r="B42" s="442" t="s">
        <v>213</v>
      </c>
      <c r="C42" s="442" t="s">
        <v>402</v>
      </c>
      <c r="D42" s="439" t="str">
        <f t="shared" si="1"/>
        <v>456Master</v>
      </c>
      <c r="E42" s="438">
        <v>0.0</v>
      </c>
      <c r="F42" s="438">
        <v>0.0</v>
      </c>
      <c r="G42" s="440">
        <v>0.0</v>
      </c>
      <c r="H42" s="440">
        <v>0.0</v>
      </c>
      <c r="I42" s="440">
        <v>0.0</v>
      </c>
      <c r="J42" s="440">
        <v>0.0</v>
      </c>
      <c r="K42" s="440">
        <v>0.0</v>
      </c>
      <c r="L42" s="440">
        <v>0.0</v>
      </c>
    </row>
    <row r="43" ht="15.75" customHeight="1">
      <c r="A43" s="441">
        <v>456.0</v>
      </c>
      <c r="B43" s="442" t="s">
        <v>213</v>
      </c>
      <c r="C43" s="442" t="s">
        <v>228</v>
      </c>
      <c r="D43" s="439" t="str">
        <f t="shared" si="1"/>
        <v>456Especialista</v>
      </c>
      <c r="E43" s="438">
        <v>0.0</v>
      </c>
      <c r="F43" s="438">
        <v>0.0</v>
      </c>
      <c r="G43" s="440">
        <v>0.0</v>
      </c>
      <c r="H43" s="440">
        <v>0.0</v>
      </c>
      <c r="I43" s="440">
        <v>0.0</v>
      </c>
      <c r="J43" s="440">
        <v>0.0</v>
      </c>
      <c r="K43" s="440">
        <v>0.0</v>
      </c>
      <c r="L43" s="440">
        <v>0.0</v>
      </c>
    </row>
    <row r="44" ht="15.75" customHeight="1">
      <c r="A44" s="438">
        <v>19.0</v>
      </c>
      <c r="B44" s="425" t="s">
        <v>403</v>
      </c>
      <c r="C44" s="425" t="s">
        <v>199</v>
      </c>
      <c r="D44" s="439" t="str">
        <f t="shared" si="1"/>
        <v>19Indiferente</v>
      </c>
      <c r="E44" s="438">
        <v>5.0</v>
      </c>
      <c r="F44" s="438">
        <v>8.0</v>
      </c>
      <c r="G44" s="440">
        <v>3854.27</v>
      </c>
      <c r="H44" s="440">
        <v>5062.51</v>
      </c>
      <c r="I44" s="440">
        <v>5861.09</v>
      </c>
      <c r="J44" s="440">
        <v>5576.42</v>
      </c>
      <c r="K44" s="440">
        <v>7338.33</v>
      </c>
      <c r="L44" s="440">
        <v>7463.43</v>
      </c>
    </row>
    <row r="45" ht="15.75" customHeight="1">
      <c r="A45" s="438">
        <v>19.0</v>
      </c>
      <c r="B45" s="425" t="s">
        <v>403</v>
      </c>
      <c r="C45" s="425" t="s">
        <v>61</v>
      </c>
      <c r="D45" s="439" t="str">
        <f t="shared" si="1"/>
        <v>19Júnior</v>
      </c>
      <c r="E45" s="438">
        <v>2.0</v>
      </c>
      <c r="F45" s="438">
        <v>2.0</v>
      </c>
      <c r="G45" s="440">
        <v>0.0</v>
      </c>
      <c r="H45" s="440">
        <v>0.0</v>
      </c>
      <c r="I45" s="440">
        <v>0.0</v>
      </c>
      <c r="J45" s="440">
        <v>0.0</v>
      </c>
      <c r="K45" s="440">
        <v>0.0</v>
      </c>
      <c r="L45" s="440">
        <v>0.0</v>
      </c>
    </row>
    <row r="46" ht="15.75" customHeight="1">
      <c r="A46" s="438">
        <v>19.0</v>
      </c>
      <c r="B46" s="425" t="s">
        <v>403</v>
      </c>
      <c r="C46" s="425" t="s">
        <v>42</v>
      </c>
      <c r="D46" s="439" t="str">
        <f t="shared" si="1"/>
        <v>19Pleno</v>
      </c>
      <c r="E46" s="438">
        <v>3.0</v>
      </c>
      <c r="F46" s="438">
        <v>3.0</v>
      </c>
      <c r="G46" s="440">
        <v>4487.24</v>
      </c>
      <c r="H46" s="440">
        <v>4910.03</v>
      </c>
      <c r="I46" s="440">
        <v>5761.17</v>
      </c>
      <c r="J46" s="440">
        <v>5332.83</v>
      </c>
      <c r="K46" s="440">
        <v>6398.13</v>
      </c>
      <c r="L46" s="440">
        <v>7463.43</v>
      </c>
    </row>
    <row r="47" ht="15.75" customHeight="1">
      <c r="A47" s="438">
        <v>19.0</v>
      </c>
      <c r="B47" s="425" t="s">
        <v>403</v>
      </c>
      <c r="C47" s="425" t="s">
        <v>54</v>
      </c>
      <c r="D47" s="439" t="str">
        <f t="shared" si="1"/>
        <v>19Sênior</v>
      </c>
      <c r="E47" s="438">
        <v>2.0</v>
      </c>
      <c r="F47" s="438">
        <v>3.0</v>
      </c>
      <c r="G47" s="440">
        <v>0.0</v>
      </c>
      <c r="H47" s="440">
        <v>0.0</v>
      </c>
      <c r="I47" s="440">
        <v>0.0</v>
      </c>
      <c r="J47" s="440">
        <v>0.0</v>
      </c>
      <c r="K47" s="440">
        <v>0.0</v>
      </c>
      <c r="L47" s="440">
        <v>0.0</v>
      </c>
    </row>
    <row r="48" ht="15.75" customHeight="1">
      <c r="A48" s="438">
        <v>19.0</v>
      </c>
      <c r="B48" s="425" t="s">
        <v>403</v>
      </c>
      <c r="C48" s="425" t="s">
        <v>402</v>
      </c>
      <c r="D48" s="439" t="str">
        <f t="shared" si="1"/>
        <v>19Master</v>
      </c>
      <c r="E48" s="438">
        <v>0.0</v>
      </c>
      <c r="F48" s="438">
        <v>0.0</v>
      </c>
      <c r="G48" s="440">
        <v>0.0</v>
      </c>
      <c r="H48" s="440">
        <v>0.0</v>
      </c>
      <c r="I48" s="440">
        <v>0.0</v>
      </c>
      <c r="J48" s="440">
        <v>0.0</v>
      </c>
      <c r="K48" s="440">
        <v>0.0</v>
      </c>
      <c r="L48" s="440">
        <v>0.0</v>
      </c>
    </row>
    <row r="49" ht="15.75" customHeight="1">
      <c r="A49" s="438">
        <v>19.0</v>
      </c>
      <c r="B49" s="425" t="s">
        <v>403</v>
      </c>
      <c r="C49" s="425" t="s">
        <v>228</v>
      </c>
      <c r="D49" s="439" t="str">
        <f t="shared" si="1"/>
        <v>19Especialista</v>
      </c>
      <c r="E49" s="438">
        <v>0.0</v>
      </c>
      <c r="F49" s="438">
        <v>0.0</v>
      </c>
      <c r="G49" s="440">
        <v>0.0</v>
      </c>
      <c r="H49" s="440">
        <v>0.0</v>
      </c>
      <c r="I49" s="440">
        <v>0.0</v>
      </c>
      <c r="J49" s="440">
        <v>0.0</v>
      </c>
      <c r="K49" s="440">
        <v>0.0</v>
      </c>
      <c r="L49" s="440">
        <v>0.0</v>
      </c>
    </row>
    <row r="50" ht="15.75" customHeight="1">
      <c r="A50" s="441">
        <v>107.0</v>
      </c>
      <c r="B50" s="442" t="s">
        <v>215</v>
      </c>
      <c r="C50" s="442" t="s">
        <v>199</v>
      </c>
      <c r="D50" s="439" t="str">
        <f t="shared" si="1"/>
        <v>107Indiferente</v>
      </c>
      <c r="E50" s="438">
        <v>54.0</v>
      </c>
      <c r="F50" s="438">
        <v>91.0</v>
      </c>
      <c r="G50" s="440">
        <v>5570.67</v>
      </c>
      <c r="H50" s="440">
        <v>9778.91</v>
      </c>
      <c r="I50" s="440">
        <v>12281.04</v>
      </c>
      <c r="J50" s="440">
        <v>12107.57</v>
      </c>
      <c r="K50" s="440">
        <v>15321.87</v>
      </c>
      <c r="L50" s="440">
        <v>19289.48</v>
      </c>
    </row>
    <row r="51" ht="15.75" customHeight="1">
      <c r="A51" s="441">
        <v>107.0</v>
      </c>
      <c r="B51" s="442" t="s">
        <v>215</v>
      </c>
      <c r="C51" s="442" t="s">
        <v>61</v>
      </c>
      <c r="D51" s="439" t="str">
        <f t="shared" si="1"/>
        <v>107Júnior</v>
      </c>
      <c r="E51" s="438">
        <v>4.0</v>
      </c>
      <c r="F51" s="438">
        <v>12.0</v>
      </c>
      <c r="G51" s="440">
        <v>4367.85</v>
      </c>
      <c r="H51" s="440">
        <v>4367.85</v>
      </c>
      <c r="I51" s="440">
        <v>7160.96</v>
      </c>
      <c r="J51" s="440">
        <v>5423.31</v>
      </c>
      <c r="K51" s="440">
        <v>10530.6</v>
      </c>
      <c r="L51" s="440">
        <v>13022.01</v>
      </c>
    </row>
    <row r="52" ht="15.75" customHeight="1">
      <c r="A52" s="441">
        <v>107.0</v>
      </c>
      <c r="B52" s="442" t="s">
        <v>215</v>
      </c>
      <c r="C52" s="442" t="s">
        <v>42</v>
      </c>
      <c r="D52" s="439" t="str">
        <f t="shared" si="1"/>
        <v>107Pleno</v>
      </c>
      <c r="E52" s="438">
        <v>6.0</v>
      </c>
      <c r="F52" s="438">
        <v>10.0</v>
      </c>
      <c r="G52" s="440">
        <v>7540.03</v>
      </c>
      <c r="H52" s="440">
        <v>9742.46</v>
      </c>
      <c r="I52" s="440">
        <v>10294.07</v>
      </c>
      <c r="J52" s="440">
        <v>11017.54</v>
      </c>
      <c r="K52" s="440">
        <v>11017.54</v>
      </c>
      <c r="L52" s="440">
        <v>11574.7</v>
      </c>
    </row>
    <row r="53" ht="15.75" customHeight="1">
      <c r="A53" s="441">
        <v>107.0</v>
      </c>
      <c r="B53" s="442" t="s">
        <v>215</v>
      </c>
      <c r="C53" s="442" t="s">
        <v>54</v>
      </c>
      <c r="D53" s="439" t="str">
        <f t="shared" si="1"/>
        <v>107Sênior</v>
      </c>
      <c r="E53" s="438">
        <v>4.0</v>
      </c>
      <c r="F53" s="438">
        <v>5.0</v>
      </c>
      <c r="G53" s="440">
        <v>11652.29</v>
      </c>
      <c r="H53" s="440">
        <v>12107.57</v>
      </c>
      <c r="I53" s="440">
        <v>14199.45</v>
      </c>
      <c r="J53" s="440">
        <v>14067.05</v>
      </c>
      <c r="K53" s="440">
        <v>15320.02</v>
      </c>
      <c r="L53" s="440">
        <v>17850.33</v>
      </c>
    </row>
    <row r="54" ht="15.75" customHeight="1">
      <c r="A54" s="441">
        <v>107.0</v>
      </c>
      <c r="B54" s="442" t="s">
        <v>215</v>
      </c>
      <c r="C54" s="442" t="s">
        <v>402</v>
      </c>
      <c r="D54" s="439" t="str">
        <f t="shared" si="1"/>
        <v>107Master</v>
      </c>
      <c r="E54" s="438">
        <v>0.0</v>
      </c>
      <c r="F54" s="438">
        <v>0.0</v>
      </c>
      <c r="G54" s="440">
        <v>0.0</v>
      </c>
      <c r="H54" s="440">
        <v>0.0</v>
      </c>
      <c r="I54" s="440">
        <v>0.0</v>
      </c>
      <c r="J54" s="440">
        <v>0.0</v>
      </c>
      <c r="K54" s="440">
        <v>0.0</v>
      </c>
      <c r="L54" s="440">
        <v>0.0</v>
      </c>
    </row>
    <row r="55" ht="15.75" customHeight="1">
      <c r="A55" s="441">
        <v>107.0</v>
      </c>
      <c r="B55" s="442" t="s">
        <v>215</v>
      </c>
      <c r="C55" s="442" t="s">
        <v>228</v>
      </c>
      <c r="D55" s="439" t="str">
        <f t="shared" si="1"/>
        <v>107Especialista</v>
      </c>
      <c r="E55" s="438">
        <v>0.0</v>
      </c>
      <c r="F55" s="438">
        <v>0.0</v>
      </c>
      <c r="G55" s="440">
        <v>0.0</v>
      </c>
      <c r="H55" s="440">
        <v>0.0</v>
      </c>
      <c r="I55" s="440">
        <v>0.0</v>
      </c>
      <c r="J55" s="440">
        <v>0.0</v>
      </c>
      <c r="K55" s="440">
        <v>0.0</v>
      </c>
      <c r="L55" s="440">
        <v>0.0</v>
      </c>
    </row>
    <row r="56" ht="15.75" customHeight="1">
      <c r="A56" s="438">
        <v>1205.0</v>
      </c>
      <c r="B56" s="425" t="s">
        <v>218</v>
      </c>
      <c r="C56" s="425" t="s">
        <v>199</v>
      </c>
      <c r="D56" s="439" t="str">
        <f t="shared" si="1"/>
        <v>1205Indiferente</v>
      </c>
      <c r="E56" s="438">
        <v>2.0</v>
      </c>
      <c r="F56" s="438">
        <v>6.0</v>
      </c>
      <c r="G56" s="440">
        <v>0.0</v>
      </c>
      <c r="H56" s="440">
        <v>0.0</v>
      </c>
      <c r="I56" s="440">
        <v>0.0</v>
      </c>
      <c r="J56" s="440">
        <v>0.0</v>
      </c>
      <c r="K56" s="440">
        <v>0.0</v>
      </c>
      <c r="L56" s="440">
        <v>0.0</v>
      </c>
    </row>
    <row r="57" ht="15.75" customHeight="1">
      <c r="A57" s="438">
        <v>1205.0</v>
      </c>
      <c r="B57" s="425" t="s">
        <v>218</v>
      </c>
      <c r="C57" s="425" t="s">
        <v>61</v>
      </c>
      <c r="D57" s="439" t="str">
        <f t="shared" si="1"/>
        <v>1205Júnior</v>
      </c>
      <c r="E57" s="438">
        <v>0.0</v>
      </c>
      <c r="F57" s="438">
        <v>0.0</v>
      </c>
      <c r="G57" s="440">
        <v>0.0</v>
      </c>
      <c r="H57" s="440">
        <v>0.0</v>
      </c>
      <c r="I57" s="440">
        <v>0.0</v>
      </c>
      <c r="J57" s="440">
        <v>0.0</v>
      </c>
      <c r="K57" s="440">
        <v>0.0</v>
      </c>
      <c r="L57" s="440">
        <v>0.0</v>
      </c>
    </row>
    <row r="58" ht="15.75" customHeight="1">
      <c r="A58" s="438">
        <v>1205.0</v>
      </c>
      <c r="B58" s="425" t="s">
        <v>218</v>
      </c>
      <c r="C58" s="425" t="s">
        <v>42</v>
      </c>
      <c r="D58" s="439" t="str">
        <f t="shared" si="1"/>
        <v>1205Pleno</v>
      </c>
      <c r="E58" s="438">
        <v>0.0</v>
      </c>
      <c r="F58" s="438">
        <v>0.0</v>
      </c>
      <c r="G58" s="440">
        <v>0.0</v>
      </c>
      <c r="H58" s="440">
        <v>0.0</v>
      </c>
      <c r="I58" s="440">
        <v>0.0</v>
      </c>
      <c r="J58" s="440">
        <v>0.0</v>
      </c>
      <c r="K58" s="440">
        <v>0.0</v>
      </c>
      <c r="L58" s="440">
        <v>0.0</v>
      </c>
    </row>
    <row r="59" ht="15.75" customHeight="1">
      <c r="A59" s="438">
        <v>1205.0</v>
      </c>
      <c r="B59" s="425" t="s">
        <v>218</v>
      </c>
      <c r="C59" s="425" t="s">
        <v>54</v>
      </c>
      <c r="D59" s="439" t="str">
        <f t="shared" si="1"/>
        <v>1205Sênior</v>
      </c>
      <c r="E59" s="438">
        <v>0.0</v>
      </c>
      <c r="F59" s="438">
        <v>0.0</v>
      </c>
      <c r="G59" s="440">
        <v>0.0</v>
      </c>
      <c r="H59" s="440">
        <v>0.0</v>
      </c>
      <c r="I59" s="440">
        <v>0.0</v>
      </c>
      <c r="J59" s="440">
        <v>0.0</v>
      </c>
      <c r="K59" s="440">
        <v>0.0</v>
      </c>
      <c r="L59" s="440">
        <v>0.0</v>
      </c>
    </row>
    <row r="60" ht="15.75" customHeight="1">
      <c r="A60" s="438">
        <v>1205.0</v>
      </c>
      <c r="B60" s="425" t="s">
        <v>218</v>
      </c>
      <c r="C60" s="425" t="s">
        <v>402</v>
      </c>
      <c r="D60" s="439" t="str">
        <f t="shared" si="1"/>
        <v>1205Master</v>
      </c>
      <c r="E60" s="438">
        <v>0.0</v>
      </c>
      <c r="F60" s="438">
        <v>0.0</v>
      </c>
      <c r="G60" s="440">
        <v>0.0</v>
      </c>
      <c r="H60" s="440">
        <v>0.0</v>
      </c>
      <c r="I60" s="440">
        <v>0.0</v>
      </c>
      <c r="J60" s="440">
        <v>0.0</v>
      </c>
      <c r="K60" s="440">
        <v>0.0</v>
      </c>
      <c r="L60" s="440">
        <v>0.0</v>
      </c>
    </row>
    <row r="61" ht="15.75" customHeight="1">
      <c r="A61" s="438">
        <v>1205.0</v>
      </c>
      <c r="B61" s="425" t="s">
        <v>218</v>
      </c>
      <c r="C61" s="425" t="s">
        <v>228</v>
      </c>
      <c r="D61" s="439" t="str">
        <f t="shared" si="1"/>
        <v>1205Especialista</v>
      </c>
      <c r="E61" s="438">
        <v>0.0</v>
      </c>
      <c r="F61" s="438">
        <v>0.0</v>
      </c>
      <c r="G61" s="440">
        <v>0.0</v>
      </c>
      <c r="H61" s="440">
        <v>0.0</v>
      </c>
      <c r="I61" s="440">
        <v>0.0</v>
      </c>
      <c r="J61" s="440">
        <v>0.0</v>
      </c>
      <c r="K61" s="440">
        <v>0.0</v>
      </c>
      <c r="L61" s="440">
        <v>0.0</v>
      </c>
    </row>
    <row r="62" ht="15.75" customHeight="1">
      <c r="A62" s="441">
        <v>408.0</v>
      </c>
      <c r="B62" s="442" t="s">
        <v>220</v>
      </c>
      <c r="C62" s="442" t="s">
        <v>199</v>
      </c>
      <c r="D62" s="439" t="str">
        <f t="shared" si="1"/>
        <v>408Indiferente</v>
      </c>
      <c r="E62" s="438">
        <v>17.0</v>
      </c>
      <c r="F62" s="438">
        <v>18.0</v>
      </c>
      <c r="G62" s="440">
        <v>5772.56</v>
      </c>
      <c r="H62" s="440">
        <v>7608.96</v>
      </c>
      <c r="I62" s="440">
        <v>10973.95</v>
      </c>
      <c r="J62" s="440">
        <v>10996.97</v>
      </c>
      <c r="K62" s="440">
        <v>14004.27</v>
      </c>
      <c r="L62" s="440">
        <v>16628.86</v>
      </c>
    </row>
    <row r="63" ht="15.75" customHeight="1">
      <c r="A63" s="441">
        <v>408.0</v>
      </c>
      <c r="B63" s="442" t="s">
        <v>220</v>
      </c>
      <c r="C63" s="442" t="s">
        <v>61</v>
      </c>
      <c r="D63" s="439" t="str">
        <f t="shared" si="1"/>
        <v>408Júnior</v>
      </c>
      <c r="E63" s="438">
        <v>0.0</v>
      </c>
      <c r="F63" s="438">
        <v>0.0</v>
      </c>
      <c r="G63" s="440">
        <v>0.0</v>
      </c>
      <c r="H63" s="440">
        <v>0.0</v>
      </c>
      <c r="I63" s="440">
        <v>0.0</v>
      </c>
      <c r="J63" s="440">
        <v>0.0</v>
      </c>
      <c r="K63" s="440">
        <v>0.0</v>
      </c>
      <c r="L63" s="440">
        <v>0.0</v>
      </c>
    </row>
    <row r="64" ht="15.75" customHeight="1">
      <c r="A64" s="441">
        <v>408.0</v>
      </c>
      <c r="B64" s="442" t="s">
        <v>220</v>
      </c>
      <c r="C64" s="442" t="s">
        <v>42</v>
      </c>
      <c r="D64" s="439" t="str">
        <f t="shared" si="1"/>
        <v>408Pleno</v>
      </c>
      <c r="E64" s="438">
        <v>1.0</v>
      </c>
      <c r="F64" s="438">
        <v>1.0</v>
      </c>
      <c r="G64" s="440">
        <v>0.0</v>
      </c>
      <c r="H64" s="440">
        <v>0.0</v>
      </c>
      <c r="I64" s="440">
        <v>0.0</v>
      </c>
      <c r="J64" s="440">
        <v>0.0</v>
      </c>
      <c r="K64" s="440">
        <v>0.0</v>
      </c>
      <c r="L64" s="440">
        <v>0.0</v>
      </c>
    </row>
    <row r="65" ht="15.75" customHeight="1">
      <c r="A65" s="441">
        <v>408.0</v>
      </c>
      <c r="B65" s="442" t="s">
        <v>220</v>
      </c>
      <c r="C65" s="442" t="s">
        <v>54</v>
      </c>
      <c r="D65" s="439" t="str">
        <f t="shared" si="1"/>
        <v>408Sênior</v>
      </c>
      <c r="E65" s="438">
        <v>0.0</v>
      </c>
      <c r="F65" s="438">
        <v>0.0</v>
      </c>
      <c r="G65" s="440">
        <v>0.0</v>
      </c>
      <c r="H65" s="440">
        <v>0.0</v>
      </c>
      <c r="I65" s="440">
        <v>0.0</v>
      </c>
      <c r="J65" s="440">
        <v>0.0</v>
      </c>
      <c r="K65" s="440">
        <v>0.0</v>
      </c>
      <c r="L65" s="440">
        <v>0.0</v>
      </c>
    </row>
    <row r="66" ht="15.75" customHeight="1">
      <c r="A66" s="441">
        <v>408.0</v>
      </c>
      <c r="B66" s="442" t="s">
        <v>220</v>
      </c>
      <c r="C66" s="442" t="s">
        <v>402</v>
      </c>
      <c r="D66" s="439" t="str">
        <f t="shared" si="1"/>
        <v>408Master</v>
      </c>
      <c r="E66" s="438">
        <v>0.0</v>
      </c>
      <c r="F66" s="438">
        <v>0.0</v>
      </c>
      <c r="G66" s="440">
        <v>0.0</v>
      </c>
      <c r="H66" s="440">
        <v>0.0</v>
      </c>
      <c r="I66" s="440">
        <v>0.0</v>
      </c>
      <c r="J66" s="440">
        <v>0.0</v>
      </c>
      <c r="K66" s="440">
        <v>0.0</v>
      </c>
      <c r="L66" s="440">
        <v>0.0</v>
      </c>
    </row>
    <row r="67" ht="15.75" customHeight="1">
      <c r="A67" s="441">
        <v>408.0</v>
      </c>
      <c r="B67" s="442" t="s">
        <v>220</v>
      </c>
      <c r="C67" s="442" t="s">
        <v>228</v>
      </c>
      <c r="D67" s="439" t="str">
        <f t="shared" si="1"/>
        <v>408Especialista</v>
      </c>
      <c r="E67" s="438">
        <v>0.0</v>
      </c>
      <c r="F67" s="438">
        <v>0.0</v>
      </c>
      <c r="G67" s="440">
        <v>0.0</v>
      </c>
      <c r="H67" s="440">
        <v>0.0</v>
      </c>
      <c r="I67" s="440">
        <v>0.0</v>
      </c>
      <c r="J67" s="440">
        <v>0.0</v>
      </c>
      <c r="K67" s="440">
        <v>0.0</v>
      </c>
      <c r="L67" s="440">
        <v>0.0</v>
      </c>
    </row>
    <row r="68" ht="15.75" customHeight="1">
      <c r="A68" s="441">
        <v>26.0</v>
      </c>
      <c r="B68" s="442" t="s">
        <v>227</v>
      </c>
      <c r="C68" s="442" t="s">
        <v>199</v>
      </c>
      <c r="D68" s="439" t="str">
        <f t="shared" si="1"/>
        <v>26Indiferente</v>
      </c>
      <c r="E68" s="438">
        <v>41.0</v>
      </c>
      <c r="F68" s="438">
        <v>75.0</v>
      </c>
      <c r="G68" s="440">
        <v>3101.07</v>
      </c>
      <c r="H68" s="440">
        <v>4229.05</v>
      </c>
      <c r="I68" s="440">
        <v>5296.2</v>
      </c>
      <c r="J68" s="440">
        <v>5404.98</v>
      </c>
      <c r="K68" s="440">
        <v>6517.53</v>
      </c>
      <c r="L68" s="440">
        <v>7403.38</v>
      </c>
    </row>
    <row r="69" ht="15.75" customHeight="1">
      <c r="A69" s="441">
        <v>26.0</v>
      </c>
      <c r="B69" s="442" t="s">
        <v>227</v>
      </c>
      <c r="C69" s="442" t="s">
        <v>61</v>
      </c>
      <c r="D69" s="439" t="str">
        <f t="shared" si="1"/>
        <v>26Júnior</v>
      </c>
      <c r="E69" s="438">
        <v>8.0</v>
      </c>
      <c r="F69" s="438">
        <v>9.0</v>
      </c>
      <c r="G69" s="440">
        <v>3581.92</v>
      </c>
      <c r="H69" s="440">
        <v>3774.55</v>
      </c>
      <c r="I69" s="440">
        <v>4033.89</v>
      </c>
      <c r="J69" s="440">
        <v>3880.07</v>
      </c>
      <c r="K69" s="440">
        <v>4232.8</v>
      </c>
      <c r="L69" s="440">
        <v>4811.28</v>
      </c>
    </row>
    <row r="70" ht="15.75" customHeight="1">
      <c r="A70" s="441">
        <v>26.0</v>
      </c>
      <c r="B70" s="442" t="s">
        <v>227</v>
      </c>
      <c r="C70" s="442" t="s">
        <v>42</v>
      </c>
      <c r="D70" s="439" t="str">
        <f t="shared" si="1"/>
        <v>26Pleno</v>
      </c>
      <c r="E70" s="438">
        <v>12.0</v>
      </c>
      <c r="F70" s="438">
        <v>16.0</v>
      </c>
      <c r="G70" s="440">
        <v>3596.78</v>
      </c>
      <c r="H70" s="440">
        <v>4180.44</v>
      </c>
      <c r="I70" s="440">
        <v>4561.62</v>
      </c>
      <c r="J70" s="440">
        <v>4721.09</v>
      </c>
      <c r="K70" s="440">
        <v>4998.37</v>
      </c>
      <c r="L70" s="440">
        <v>5332.32</v>
      </c>
    </row>
    <row r="71" ht="15.75" customHeight="1">
      <c r="A71" s="441">
        <v>26.0</v>
      </c>
      <c r="B71" s="442" t="s">
        <v>227</v>
      </c>
      <c r="C71" s="442" t="s">
        <v>54</v>
      </c>
      <c r="D71" s="439" t="str">
        <f t="shared" si="1"/>
        <v>26Sênior</v>
      </c>
      <c r="E71" s="438">
        <v>14.0</v>
      </c>
      <c r="F71" s="438">
        <v>27.0</v>
      </c>
      <c r="G71" s="440">
        <v>5179.15</v>
      </c>
      <c r="H71" s="440">
        <v>6517.53</v>
      </c>
      <c r="I71" s="440">
        <v>6482.17</v>
      </c>
      <c r="J71" s="440">
        <v>6517.53</v>
      </c>
      <c r="K71" s="440">
        <v>6612.66</v>
      </c>
      <c r="L71" s="440">
        <v>7981.85</v>
      </c>
    </row>
    <row r="72" ht="15.75" customHeight="1">
      <c r="A72" s="441">
        <v>26.0</v>
      </c>
      <c r="B72" s="442" t="s">
        <v>227</v>
      </c>
      <c r="C72" s="442" t="s">
        <v>402</v>
      </c>
      <c r="D72" s="439" t="str">
        <f t="shared" si="1"/>
        <v>26Master</v>
      </c>
      <c r="E72" s="438">
        <v>0.0</v>
      </c>
      <c r="F72" s="438">
        <v>0.0</v>
      </c>
      <c r="G72" s="440">
        <v>0.0</v>
      </c>
      <c r="H72" s="440">
        <v>0.0</v>
      </c>
      <c r="I72" s="440">
        <v>0.0</v>
      </c>
      <c r="J72" s="440">
        <v>0.0</v>
      </c>
      <c r="K72" s="440">
        <v>0.0</v>
      </c>
      <c r="L72" s="440">
        <v>0.0</v>
      </c>
    </row>
    <row r="73" ht="15.75" customHeight="1">
      <c r="A73" s="441">
        <v>26.0</v>
      </c>
      <c r="B73" s="442" t="s">
        <v>227</v>
      </c>
      <c r="C73" s="442" t="s">
        <v>228</v>
      </c>
      <c r="D73" s="439" t="str">
        <f t="shared" si="1"/>
        <v>26Especialista</v>
      </c>
      <c r="E73" s="438">
        <v>4.0</v>
      </c>
      <c r="F73" s="438">
        <v>4.0</v>
      </c>
      <c r="G73" s="440">
        <v>6777.08</v>
      </c>
      <c r="H73" s="440">
        <v>10665.2</v>
      </c>
      <c r="I73" s="440">
        <v>12572.61</v>
      </c>
      <c r="J73" s="440">
        <v>13758.75</v>
      </c>
      <c r="K73" s="440">
        <v>15666.17</v>
      </c>
      <c r="L73" s="440">
        <v>15995.86</v>
      </c>
    </row>
    <row r="74" ht="15.75" customHeight="1">
      <c r="A74" s="441">
        <v>150.0</v>
      </c>
      <c r="B74" s="442" t="s">
        <v>223</v>
      </c>
      <c r="C74" s="442" t="s">
        <v>199</v>
      </c>
      <c r="D74" s="439" t="str">
        <f t="shared" si="1"/>
        <v>150Indiferente</v>
      </c>
      <c r="E74" s="438">
        <v>5.0</v>
      </c>
      <c r="F74" s="438">
        <v>5.0</v>
      </c>
      <c r="G74" s="440">
        <v>2148.56</v>
      </c>
      <c r="H74" s="440">
        <v>2640.81</v>
      </c>
      <c r="I74" s="440">
        <v>2821.08</v>
      </c>
      <c r="J74" s="440">
        <v>2766.4</v>
      </c>
      <c r="K74" s="440">
        <v>3222.24</v>
      </c>
      <c r="L74" s="440">
        <v>3327.42</v>
      </c>
    </row>
    <row r="75" ht="15.75" customHeight="1">
      <c r="A75" s="441">
        <v>150.0</v>
      </c>
      <c r="B75" s="442" t="s">
        <v>223</v>
      </c>
      <c r="C75" s="442" t="s">
        <v>61</v>
      </c>
      <c r="D75" s="439" t="str">
        <f t="shared" si="1"/>
        <v>150Júnior</v>
      </c>
      <c r="E75" s="438">
        <v>2.0</v>
      </c>
      <c r="F75" s="438">
        <v>2.0</v>
      </c>
      <c r="G75" s="440">
        <v>0.0</v>
      </c>
      <c r="H75" s="440">
        <v>0.0</v>
      </c>
      <c r="I75" s="440">
        <v>0.0</v>
      </c>
      <c r="J75" s="440">
        <v>0.0</v>
      </c>
      <c r="K75" s="440">
        <v>0.0</v>
      </c>
      <c r="L75" s="440">
        <v>0.0</v>
      </c>
    </row>
    <row r="76" ht="15.75" customHeight="1">
      <c r="A76" s="441">
        <v>150.0</v>
      </c>
      <c r="B76" s="442" t="s">
        <v>223</v>
      </c>
      <c r="C76" s="442" t="s">
        <v>42</v>
      </c>
      <c r="D76" s="439" t="str">
        <f t="shared" si="1"/>
        <v>150Pleno</v>
      </c>
      <c r="E76" s="438">
        <v>2.0</v>
      </c>
      <c r="F76" s="438">
        <v>2.0</v>
      </c>
      <c r="G76" s="440">
        <v>0.0</v>
      </c>
      <c r="H76" s="440">
        <v>0.0</v>
      </c>
      <c r="I76" s="440">
        <v>0.0</v>
      </c>
      <c r="J76" s="440">
        <v>0.0</v>
      </c>
      <c r="K76" s="440">
        <v>0.0</v>
      </c>
      <c r="L76" s="440">
        <v>0.0</v>
      </c>
    </row>
    <row r="77" ht="15.75" customHeight="1">
      <c r="A77" s="441">
        <v>150.0</v>
      </c>
      <c r="B77" s="442" t="s">
        <v>223</v>
      </c>
      <c r="C77" s="442" t="s">
        <v>54</v>
      </c>
      <c r="D77" s="439" t="str">
        <f t="shared" si="1"/>
        <v>150Sênior</v>
      </c>
      <c r="E77" s="438">
        <v>0.0</v>
      </c>
      <c r="F77" s="438">
        <v>0.0</v>
      </c>
      <c r="G77" s="440">
        <v>0.0</v>
      </c>
      <c r="H77" s="440">
        <v>0.0</v>
      </c>
      <c r="I77" s="440">
        <v>0.0</v>
      </c>
      <c r="J77" s="440">
        <v>0.0</v>
      </c>
      <c r="K77" s="440">
        <v>0.0</v>
      </c>
      <c r="L77" s="440">
        <v>0.0</v>
      </c>
    </row>
    <row r="78" ht="15.75" customHeight="1">
      <c r="A78" s="441">
        <v>150.0</v>
      </c>
      <c r="B78" s="442" t="s">
        <v>223</v>
      </c>
      <c r="C78" s="442" t="s">
        <v>402</v>
      </c>
      <c r="D78" s="439" t="str">
        <f t="shared" si="1"/>
        <v>150Master</v>
      </c>
      <c r="E78" s="438">
        <v>0.0</v>
      </c>
      <c r="F78" s="438">
        <v>0.0</v>
      </c>
      <c r="G78" s="440">
        <v>0.0</v>
      </c>
      <c r="H78" s="440">
        <v>0.0</v>
      </c>
      <c r="I78" s="440">
        <v>0.0</v>
      </c>
      <c r="J78" s="440">
        <v>0.0</v>
      </c>
      <c r="K78" s="440">
        <v>0.0</v>
      </c>
      <c r="L78" s="440">
        <v>0.0</v>
      </c>
    </row>
    <row r="79" ht="15.75" customHeight="1">
      <c r="A79" s="441">
        <v>150.0</v>
      </c>
      <c r="B79" s="442" t="s">
        <v>223</v>
      </c>
      <c r="C79" s="442" t="s">
        <v>228</v>
      </c>
      <c r="D79" s="439" t="str">
        <f t="shared" si="1"/>
        <v>150Especialista</v>
      </c>
      <c r="E79" s="438">
        <v>0.0</v>
      </c>
      <c r="F79" s="438">
        <v>0.0</v>
      </c>
      <c r="G79" s="440">
        <v>0.0</v>
      </c>
      <c r="H79" s="440">
        <v>0.0</v>
      </c>
      <c r="I79" s="440">
        <v>0.0</v>
      </c>
      <c r="J79" s="440">
        <v>0.0</v>
      </c>
      <c r="K79" s="440">
        <v>0.0</v>
      </c>
      <c r="L79" s="440">
        <v>0.0</v>
      </c>
    </row>
    <row r="80" ht="15.75" customHeight="1">
      <c r="A80" s="441">
        <v>95.0</v>
      </c>
      <c r="B80" s="442" t="s">
        <v>225</v>
      </c>
      <c r="C80" s="442" t="s">
        <v>199</v>
      </c>
      <c r="D80" s="439" t="str">
        <f t="shared" si="1"/>
        <v>95Indiferente</v>
      </c>
      <c r="E80" s="438">
        <v>6.0</v>
      </c>
      <c r="F80" s="438">
        <v>6.0</v>
      </c>
      <c r="G80" s="440">
        <v>14652.03</v>
      </c>
      <c r="H80" s="440">
        <v>15472.01</v>
      </c>
      <c r="I80" s="440">
        <v>16594.35</v>
      </c>
      <c r="J80" s="440">
        <v>16581.68</v>
      </c>
      <c r="K80" s="440">
        <v>17497.31</v>
      </c>
      <c r="L80" s="440">
        <v>18846.04</v>
      </c>
    </row>
    <row r="81" ht="15.75" customHeight="1">
      <c r="A81" s="441">
        <v>95.0</v>
      </c>
      <c r="B81" s="442" t="s">
        <v>225</v>
      </c>
      <c r="C81" s="442" t="s">
        <v>61</v>
      </c>
      <c r="D81" s="439" t="str">
        <f t="shared" si="1"/>
        <v>95Júnior</v>
      </c>
      <c r="E81" s="438">
        <v>0.0</v>
      </c>
      <c r="F81" s="438">
        <v>0.0</v>
      </c>
      <c r="G81" s="440">
        <v>0.0</v>
      </c>
      <c r="H81" s="440">
        <v>0.0</v>
      </c>
      <c r="I81" s="440">
        <v>0.0</v>
      </c>
      <c r="J81" s="440">
        <v>0.0</v>
      </c>
      <c r="K81" s="440">
        <v>0.0</v>
      </c>
      <c r="L81" s="440">
        <v>0.0</v>
      </c>
    </row>
    <row r="82" ht="15.75" customHeight="1">
      <c r="A82" s="441">
        <v>95.0</v>
      </c>
      <c r="B82" s="442" t="s">
        <v>225</v>
      </c>
      <c r="C82" s="442" t="s">
        <v>42</v>
      </c>
      <c r="D82" s="439" t="str">
        <f t="shared" si="1"/>
        <v>95Pleno</v>
      </c>
      <c r="E82" s="438">
        <v>0.0</v>
      </c>
      <c r="F82" s="438">
        <v>0.0</v>
      </c>
      <c r="G82" s="440">
        <v>0.0</v>
      </c>
      <c r="H82" s="440">
        <v>0.0</v>
      </c>
      <c r="I82" s="440">
        <v>0.0</v>
      </c>
      <c r="J82" s="440">
        <v>0.0</v>
      </c>
      <c r="K82" s="440">
        <v>0.0</v>
      </c>
      <c r="L82" s="440">
        <v>0.0</v>
      </c>
    </row>
    <row r="83" ht="15.75" customHeight="1">
      <c r="A83" s="441">
        <v>95.0</v>
      </c>
      <c r="B83" s="442" t="s">
        <v>225</v>
      </c>
      <c r="C83" s="442" t="s">
        <v>54</v>
      </c>
      <c r="D83" s="439" t="str">
        <f t="shared" si="1"/>
        <v>95Sênior</v>
      </c>
      <c r="E83" s="438">
        <v>2.0</v>
      </c>
      <c r="F83" s="438">
        <v>2.0</v>
      </c>
      <c r="G83" s="440">
        <v>0.0</v>
      </c>
      <c r="H83" s="440">
        <v>0.0</v>
      </c>
      <c r="I83" s="440">
        <v>0.0</v>
      </c>
      <c r="J83" s="440">
        <v>0.0</v>
      </c>
      <c r="K83" s="440">
        <v>0.0</v>
      </c>
      <c r="L83" s="440">
        <v>0.0</v>
      </c>
    </row>
    <row r="84" ht="15.75" customHeight="1">
      <c r="A84" s="441">
        <v>95.0</v>
      </c>
      <c r="B84" s="442" t="s">
        <v>225</v>
      </c>
      <c r="C84" s="442" t="s">
        <v>402</v>
      </c>
      <c r="D84" s="439" t="str">
        <f t="shared" si="1"/>
        <v>95Master</v>
      </c>
      <c r="E84" s="438">
        <v>0.0</v>
      </c>
      <c r="F84" s="438">
        <v>0.0</v>
      </c>
      <c r="G84" s="440">
        <v>0.0</v>
      </c>
      <c r="H84" s="440">
        <v>0.0</v>
      </c>
      <c r="I84" s="440">
        <v>0.0</v>
      </c>
      <c r="J84" s="440">
        <v>0.0</v>
      </c>
      <c r="K84" s="440">
        <v>0.0</v>
      </c>
      <c r="L84" s="440">
        <v>0.0</v>
      </c>
    </row>
    <row r="85" ht="15.75" customHeight="1">
      <c r="A85" s="441">
        <v>95.0</v>
      </c>
      <c r="B85" s="442" t="s">
        <v>225</v>
      </c>
      <c r="C85" s="442" t="s">
        <v>228</v>
      </c>
      <c r="D85" s="439" t="str">
        <f t="shared" si="1"/>
        <v>95Especialista</v>
      </c>
      <c r="E85" s="438">
        <v>1.0</v>
      </c>
      <c r="F85" s="438">
        <v>1.0</v>
      </c>
      <c r="G85" s="447">
        <v>0.0</v>
      </c>
      <c r="H85" s="447">
        <v>0.0</v>
      </c>
      <c r="I85" s="447">
        <v>0.0</v>
      </c>
      <c r="J85" s="447">
        <v>0.0</v>
      </c>
      <c r="K85" s="440">
        <v>0.0</v>
      </c>
      <c r="L85" s="440">
        <v>0.0</v>
      </c>
    </row>
    <row r="86" ht="15.75" customHeight="1">
      <c r="A86" s="448">
        <v>77.0</v>
      </c>
      <c r="B86" s="423" t="s">
        <v>230</v>
      </c>
      <c r="C86" s="423" t="s">
        <v>199</v>
      </c>
      <c r="D86" s="439" t="str">
        <f t="shared" si="1"/>
        <v>77Indiferente</v>
      </c>
      <c r="E86" s="448">
        <v>5.0</v>
      </c>
      <c r="F86" s="448">
        <v>6.0</v>
      </c>
      <c r="G86" s="447">
        <v>2259.75</v>
      </c>
      <c r="H86" s="447">
        <v>2625.37</v>
      </c>
      <c r="I86" s="447">
        <v>3105.32</v>
      </c>
      <c r="J86" s="447">
        <v>3087.62</v>
      </c>
      <c r="K86" s="440">
        <v>3499.72</v>
      </c>
      <c r="L86" s="440">
        <v>4088.57</v>
      </c>
    </row>
    <row r="87" ht="15.75" customHeight="1">
      <c r="A87" s="448">
        <v>77.0</v>
      </c>
      <c r="B87" s="423" t="s">
        <v>230</v>
      </c>
      <c r="C87" s="423" t="s">
        <v>61</v>
      </c>
      <c r="D87" s="439" t="str">
        <f t="shared" si="1"/>
        <v>77Júnior</v>
      </c>
      <c r="E87" s="448">
        <v>0.0</v>
      </c>
      <c r="F87" s="448">
        <v>0.0</v>
      </c>
      <c r="G87" s="447">
        <v>0.0</v>
      </c>
      <c r="H87" s="447">
        <v>0.0</v>
      </c>
      <c r="I87" s="447">
        <v>0.0</v>
      </c>
      <c r="J87" s="447">
        <v>0.0</v>
      </c>
      <c r="K87" s="440">
        <v>0.0</v>
      </c>
      <c r="L87" s="440">
        <v>0.0</v>
      </c>
    </row>
    <row r="88" ht="15.75" customHeight="1">
      <c r="A88" s="448">
        <v>77.0</v>
      </c>
      <c r="B88" s="423" t="s">
        <v>230</v>
      </c>
      <c r="C88" s="423" t="s">
        <v>42</v>
      </c>
      <c r="D88" s="439" t="str">
        <f t="shared" si="1"/>
        <v>77Pleno</v>
      </c>
      <c r="E88" s="448">
        <v>0.0</v>
      </c>
      <c r="F88" s="448">
        <v>0.0</v>
      </c>
      <c r="G88" s="447">
        <v>0.0</v>
      </c>
      <c r="H88" s="447">
        <v>0.0</v>
      </c>
      <c r="I88" s="447">
        <v>0.0</v>
      </c>
      <c r="J88" s="447">
        <v>0.0</v>
      </c>
      <c r="K88" s="440">
        <v>0.0</v>
      </c>
      <c r="L88" s="440">
        <v>0.0</v>
      </c>
    </row>
    <row r="89" ht="15.75" customHeight="1">
      <c r="A89" s="448">
        <v>77.0</v>
      </c>
      <c r="B89" s="423" t="s">
        <v>230</v>
      </c>
      <c r="C89" s="423" t="s">
        <v>54</v>
      </c>
      <c r="D89" s="439" t="str">
        <f t="shared" si="1"/>
        <v>77Sênior</v>
      </c>
      <c r="E89" s="448">
        <v>0.0</v>
      </c>
      <c r="F89" s="448">
        <v>0.0</v>
      </c>
      <c r="G89" s="447">
        <v>0.0</v>
      </c>
      <c r="H89" s="447">
        <v>0.0</v>
      </c>
      <c r="I89" s="447">
        <v>0.0</v>
      </c>
      <c r="J89" s="447">
        <v>0.0</v>
      </c>
      <c r="K89" s="440">
        <v>0.0</v>
      </c>
      <c r="L89" s="440">
        <v>0.0</v>
      </c>
    </row>
    <row r="90" ht="15.75" customHeight="1">
      <c r="A90" s="448">
        <v>77.0</v>
      </c>
      <c r="B90" s="423" t="s">
        <v>230</v>
      </c>
      <c r="C90" s="423" t="s">
        <v>402</v>
      </c>
      <c r="D90" s="439" t="str">
        <f t="shared" si="1"/>
        <v>77Master</v>
      </c>
      <c r="E90" s="448">
        <v>0.0</v>
      </c>
      <c r="F90" s="448">
        <v>0.0</v>
      </c>
      <c r="G90" s="447">
        <v>0.0</v>
      </c>
      <c r="H90" s="447">
        <v>0.0</v>
      </c>
      <c r="I90" s="447">
        <v>0.0</v>
      </c>
      <c r="J90" s="447">
        <v>0.0</v>
      </c>
      <c r="K90" s="440">
        <v>0.0</v>
      </c>
      <c r="L90" s="440">
        <v>0.0</v>
      </c>
    </row>
    <row r="91" ht="15.75" customHeight="1">
      <c r="A91" s="448">
        <v>77.0</v>
      </c>
      <c r="B91" s="423" t="s">
        <v>230</v>
      </c>
      <c r="C91" s="423" t="s">
        <v>228</v>
      </c>
      <c r="D91" s="439" t="str">
        <f t="shared" si="1"/>
        <v>77Especialista</v>
      </c>
      <c r="E91" s="448">
        <v>0.0</v>
      </c>
      <c r="F91" s="448">
        <v>0.0</v>
      </c>
      <c r="G91" s="447">
        <v>0.0</v>
      </c>
      <c r="H91" s="447">
        <v>0.0</v>
      </c>
      <c r="I91" s="447">
        <v>0.0</v>
      </c>
      <c r="J91" s="447">
        <v>0.0</v>
      </c>
      <c r="K91" s="440">
        <v>0.0</v>
      </c>
      <c r="L91" s="440">
        <v>0.0</v>
      </c>
    </row>
    <row r="92" ht="15.75" customHeight="1">
      <c r="A92" s="449">
        <v>121.0</v>
      </c>
      <c r="B92" s="450" t="s">
        <v>232</v>
      </c>
      <c r="C92" s="450" t="s">
        <v>199</v>
      </c>
      <c r="D92" s="439" t="str">
        <f t="shared" si="1"/>
        <v>121Indiferente</v>
      </c>
      <c r="E92" s="438">
        <v>53.0</v>
      </c>
      <c r="F92" s="438">
        <v>57.0</v>
      </c>
      <c r="G92" s="440">
        <v>4599.27</v>
      </c>
      <c r="H92" s="440">
        <v>6690.07</v>
      </c>
      <c r="I92" s="440">
        <v>8176.91</v>
      </c>
      <c r="J92" s="440">
        <v>7778.54</v>
      </c>
      <c r="K92" s="440">
        <v>9253.45</v>
      </c>
      <c r="L92" s="440">
        <v>17073.05</v>
      </c>
    </row>
    <row r="93" ht="15.75" customHeight="1">
      <c r="A93" s="449">
        <v>121.0</v>
      </c>
      <c r="B93" s="450" t="s">
        <v>232</v>
      </c>
      <c r="C93" s="450" t="s">
        <v>61</v>
      </c>
      <c r="D93" s="439" t="str">
        <f t="shared" si="1"/>
        <v>121Júnior</v>
      </c>
      <c r="E93" s="448">
        <v>0.0</v>
      </c>
      <c r="F93" s="448">
        <v>0.0</v>
      </c>
      <c r="G93" s="447">
        <v>0.0</v>
      </c>
      <c r="H93" s="447">
        <v>0.0</v>
      </c>
      <c r="I93" s="447">
        <v>0.0</v>
      </c>
      <c r="J93" s="447">
        <v>0.0</v>
      </c>
      <c r="K93" s="440">
        <v>0.0</v>
      </c>
      <c r="L93" s="440">
        <v>0.0</v>
      </c>
    </row>
    <row r="94" ht="15.75" customHeight="1">
      <c r="A94" s="449">
        <v>121.0</v>
      </c>
      <c r="B94" s="450" t="s">
        <v>232</v>
      </c>
      <c r="C94" s="450" t="s">
        <v>42</v>
      </c>
      <c r="D94" s="439" t="str">
        <f t="shared" si="1"/>
        <v>121Pleno</v>
      </c>
      <c r="E94" s="448">
        <v>0.0</v>
      </c>
      <c r="F94" s="448">
        <v>0.0</v>
      </c>
      <c r="G94" s="447">
        <v>0.0</v>
      </c>
      <c r="H94" s="447">
        <v>0.0</v>
      </c>
      <c r="I94" s="447">
        <v>0.0</v>
      </c>
      <c r="J94" s="447">
        <v>0.0</v>
      </c>
      <c r="K94" s="440">
        <v>0.0</v>
      </c>
      <c r="L94" s="440">
        <v>0.0</v>
      </c>
    </row>
    <row r="95" ht="15.75" customHeight="1">
      <c r="A95" s="449">
        <v>121.0</v>
      </c>
      <c r="B95" s="450" t="s">
        <v>232</v>
      </c>
      <c r="C95" s="450" t="s">
        <v>54</v>
      </c>
      <c r="D95" s="439" t="str">
        <f t="shared" si="1"/>
        <v>121Sênior</v>
      </c>
      <c r="E95" s="448">
        <v>0.0</v>
      </c>
      <c r="F95" s="448">
        <v>0.0</v>
      </c>
      <c r="G95" s="447">
        <v>0.0</v>
      </c>
      <c r="H95" s="447">
        <v>0.0</v>
      </c>
      <c r="I95" s="447">
        <v>0.0</v>
      </c>
      <c r="J95" s="447">
        <v>0.0</v>
      </c>
      <c r="K95" s="440">
        <v>0.0</v>
      </c>
      <c r="L95" s="440">
        <v>0.0</v>
      </c>
    </row>
    <row r="96" ht="15.75" customHeight="1">
      <c r="A96" s="449">
        <v>121.0</v>
      </c>
      <c r="B96" s="450" t="s">
        <v>232</v>
      </c>
      <c r="C96" s="450" t="s">
        <v>402</v>
      </c>
      <c r="D96" s="439" t="str">
        <f t="shared" si="1"/>
        <v>121Master</v>
      </c>
      <c r="E96" s="448">
        <v>0.0</v>
      </c>
      <c r="F96" s="448">
        <v>0.0</v>
      </c>
      <c r="G96" s="447">
        <v>0.0</v>
      </c>
      <c r="H96" s="447">
        <v>0.0</v>
      </c>
      <c r="I96" s="447">
        <v>0.0</v>
      </c>
      <c r="J96" s="447">
        <v>0.0</v>
      </c>
      <c r="K96" s="440">
        <v>0.0</v>
      </c>
      <c r="L96" s="440">
        <v>0.0</v>
      </c>
    </row>
    <row r="97" ht="15.75" customHeight="1">
      <c r="A97" s="449">
        <v>121.0</v>
      </c>
      <c r="B97" s="450" t="s">
        <v>232</v>
      </c>
      <c r="C97" s="450" t="s">
        <v>228</v>
      </c>
      <c r="D97" s="439" t="str">
        <f t="shared" si="1"/>
        <v>121Especialista</v>
      </c>
      <c r="E97" s="448">
        <v>0.0</v>
      </c>
      <c r="F97" s="448">
        <v>0.0</v>
      </c>
      <c r="G97" s="447">
        <v>0.0</v>
      </c>
      <c r="H97" s="447">
        <v>0.0</v>
      </c>
      <c r="I97" s="447">
        <v>0.0</v>
      </c>
      <c r="J97" s="447">
        <v>0.0</v>
      </c>
      <c r="K97" s="440">
        <v>0.0</v>
      </c>
      <c r="L97" s="440">
        <v>0.0</v>
      </c>
    </row>
    <row r="98" ht="15.75" customHeight="1">
      <c r="A98" s="448">
        <v>203.0</v>
      </c>
      <c r="B98" s="423" t="s">
        <v>235</v>
      </c>
      <c r="C98" s="423" t="s">
        <v>199</v>
      </c>
      <c r="D98" s="439" t="str">
        <f t="shared" si="1"/>
        <v>203Indiferente</v>
      </c>
      <c r="E98" s="448">
        <v>5.0</v>
      </c>
      <c r="F98" s="448">
        <v>18.0</v>
      </c>
      <c r="G98" s="447">
        <v>2973.35</v>
      </c>
      <c r="H98" s="447">
        <v>3096.32</v>
      </c>
      <c r="I98" s="447">
        <v>3405.54</v>
      </c>
      <c r="J98" s="447">
        <v>3096.32</v>
      </c>
      <c r="K98" s="440">
        <v>3712.15</v>
      </c>
      <c r="L98" s="440">
        <v>4435.84</v>
      </c>
    </row>
    <row r="99" ht="15.75" customHeight="1">
      <c r="A99" s="448">
        <v>203.0</v>
      </c>
      <c r="B99" s="423" t="s">
        <v>235</v>
      </c>
      <c r="C99" s="423" t="s">
        <v>61</v>
      </c>
      <c r="D99" s="439" t="str">
        <f t="shared" si="1"/>
        <v>203Júnior</v>
      </c>
      <c r="E99" s="448">
        <v>1.0</v>
      </c>
      <c r="F99" s="448">
        <v>1.0</v>
      </c>
      <c r="G99" s="447">
        <v>0.0</v>
      </c>
      <c r="H99" s="447">
        <v>0.0</v>
      </c>
      <c r="I99" s="447">
        <v>0.0</v>
      </c>
      <c r="J99" s="447">
        <v>0.0</v>
      </c>
      <c r="K99" s="440">
        <v>0.0</v>
      </c>
      <c r="L99" s="440">
        <v>0.0</v>
      </c>
    </row>
    <row r="100" ht="15.75" customHeight="1">
      <c r="A100" s="448">
        <v>203.0</v>
      </c>
      <c r="B100" s="423" t="s">
        <v>235</v>
      </c>
      <c r="C100" s="423" t="s">
        <v>42</v>
      </c>
      <c r="D100" s="439" t="str">
        <f t="shared" si="1"/>
        <v>203Pleno</v>
      </c>
      <c r="E100" s="448">
        <v>0.0</v>
      </c>
      <c r="F100" s="448">
        <v>0.0</v>
      </c>
      <c r="G100" s="447">
        <v>0.0</v>
      </c>
      <c r="H100" s="447">
        <v>0.0</v>
      </c>
      <c r="I100" s="447">
        <v>0.0</v>
      </c>
      <c r="J100" s="447">
        <v>0.0</v>
      </c>
      <c r="K100" s="440">
        <v>0.0</v>
      </c>
      <c r="L100" s="440">
        <v>0.0</v>
      </c>
    </row>
    <row r="101" ht="15.75" customHeight="1">
      <c r="A101" s="448">
        <v>203.0</v>
      </c>
      <c r="B101" s="423" t="s">
        <v>235</v>
      </c>
      <c r="C101" s="423" t="s">
        <v>54</v>
      </c>
      <c r="D101" s="439" t="str">
        <f t="shared" si="1"/>
        <v>203Sênior</v>
      </c>
      <c r="E101" s="448">
        <v>1.0</v>
      </c>
      <c r="F101" s="448">
        <v>1.0</v>
      </c>
      <c r="G101" s="447">
        <v>0.0</v>
      </c>
      <c r="H101" s="447">
        <v>0.0</v>
      </c>
      <c r="I101" s="447">
        <v>0.0</v>
      </c>
      <c r="J101" s="447">
        <v>0.0</v>
      </c>
      <c r="K101" s="440">
        <v>0.0</v>
      </c>
      <c r="L101" s="440">
        <v>0.0</v>
      </c>
    </row>
    <row r="102" ht="15.75" customHeight="1">
      <c r="A102" s="448">
        <v>203.0</v>
      </c>
      <c r="B102" s="423" t="s">
        <v>235</v>
      </c>
      <c r="C102" s="423" t="s">
        <v>402</v>
      </c>
      <c r="D102" s="439" t="str">
        <f t="shared" si="1"/>
        <v>203Master</v>
      </c>
      <c r="E102" s="448">
        <v>0.0</v>
      </c>
      <c r="F102" s="448">
        <v>0.0</v>
      </c>
      <c r="G102" s="447">
        <v>0.0</v>
      </c>
      <c r="H102" s="447">
        <v>0.0</v>
      </c>
      <c r="I102" s="447">
        <v>0.0</v>
      </c>
      <c r="J102" s="447">
        <v>0.0</v>
      </c>
      <c r="K102" s="440">
        <v>0.0</v>
      </c>
      <c r="L102" s="440">
        <v>0.0</v>
      </c>
    </row>
    <row r="103" ht="15.75" customHeight="1">
      <c r="A103" s="448">
        <v>203.0</v>
      </c>
      <c r="B103" s="423" t="s">
        <v>235</v>
      </c>
      <c r="C103" s="423" t="s">
        <v>228</v>
      </c>
      <c r="D103" s="439" t="str">
        <f t="shared" si="1"/>
        <v>203Especialista</v>
      </c>
      <c r="E103" s="448">
        <v>0.0</v>
      </c>
      <c r="F103" s="448">
        <v>0.0</v>
      </c>
      <c r="G103" s="447">
        <v>0.0</v>
      </c>
      <c r="H103" s="447">
        <v>0.0</v>
      </c>
      <c r="I103" s="447">
        <v>0.0</v>
      </c>
      <c r="J103" s="447">
        <v>0.0</v>
      </c>
      <c r="K103" s="440">
        <v>0.0</v>
      </c>
      <c r="L103" s="440">
        <v>0.0</v>
      </c>
    </row>
    <row r="104" ht="15.75" customHeight="1">
      <c r="A104" s="448">
        <v>531.0</v>
      </c>
      <c r="B104" s="423" t="s">
        <v>239</v>
      </c>
      <c r="C104" s="423" t="s">
        <v>199</v>
      </c>
      <c r="D104" s="439" t="str">
        <f t="shared" si="1"/>
        <v>531Indiferente</v>
      </c>
      <c r="E104" s="448">
        <v>5.0</v>
      </c>
      <c r="F104" s="448">
        <v>41.0</v>
      </c>
      <c r="G104" s="447">
        <v>3154.02</v>
      </c>
      <c r="H104" s="447">
        <v>3954.91</v>
      </c>
      <c r="I104" s="447">
        <v>4041.52</v>
      </c>
      <c r="J104" s="447">
        <v>3954.91</v>
      </c>
      <c r="K104" s="440">
        <v>3954.91</v>
      </c>
      <c r="L104" s="440">
        <v>5097.17</v>
      </c>
    </row>
    <row r="105" ht="15.75" customHeight="1">
      <c r="A105" s="448">
        <v>531.0</v>
      </c>
      <c r="B105" s="423" t="s">
        <v>239</v>
      </c>
      <c r="C105" s="423" t="s">
        <v>61</v>
      </c>
      <c r="D105" s="439" t="str">
        <f t="shared" si="1"/>
        <v>531Júnior</v>
      </c>
      <c r="E105" s="448">
        <v>1.0</v>
      </c>
      <c r="F105" s="448">
        <v>1.0</v>
      </c>
      <c r="G105" s="447">
        <v>0.0</v>
      </c>
      <c r="H105" s="447">
        <v>0.0</v>
      </c>
      <c r="I105" s="447">
        <v>0.0</v>
      </c>
      <c r="J105" s="447">
        <v>0.0</v>
      </c>
      <c r="K105" s="440">
        <v>0.0</v>
      </c>
      <c r="L105" s="440">
        <v>0.0</v>
      </c>
    </row>
    <row r="106" ht="15.75" customHeight="1">
      <c r="A106" s="448">
        <v>531.0</v>
      </c>
      <c r="B106" s="423" t="s">
        <v>239</v>
      </c>
      <c r="C106" s="423" t="s">
        <v>42</v>
      </c>
      <c r="D106" s="439" t="str">
        <f t="shared" si="1"/>
        <v>531Pleno</v>
      </c>
      <c r="E106" s="448">
        <v>1.0</v>
      </c>
      <c r="F106" s="448">
        <v>1.0</v>
      </c>
      <c r="G106" s="447">
        <v>0.0</v>
      </c>
      <c r="H106" s="447">
        <v>0.0</v>
      </c>
      <c r="I106" s="447">
        <v>0.0</v>
      </c>
      <c r="J106" s="447">
        <v>0.0</v>
      </c>
      <c r="K106" s="440">
        <v>0.0</v>
      </c>
      <c r="L106" s="440">
        <v>0.0</v>
      </c>
    </row>
    <row r="107" ht="15.75" customHeight="1">
      <c r="A107" s="448">
        <v>531.0</v>
      </c>
      <c r="B107" s="423" t="s">
        <v>239</v>
      </c>
      <c r="C107" s="423" t="s">
        <v>54</v>
      </c>
      <c r="D107" s="439" t="str">
        <f t="shared" si="1"/>
        <v>531Sênior</v>
      </c>
      <c r="E107" s="448">
        <v>1.0</v>
      </c>
      <c r="F107" s="448">
        <v>1.0</v>
      </c>
      <c r="G107" s="447">
        <v>0.0</v>
      </c>
      <c r="H107" s="447">
        <v>0.0</v>
      </c>
      <c r="I107" s="447">
        <v>0.0</v>
      </c>
      <c r="J107" s="447">
        <v>0.0</v>
      </c>
      <c r="K107" s="440">
        <v>0.0</v>
      </c>
      <c r="L107" s="440">
        <v>0.0</v>
      </c>
    </row>
    <row r="108" ht="15.75" customHeight="1">
      <c r="A108" s="448">
        <v>531.0</v>
      </c>
      <c r="B108" s="423" t="s">
        <v>239</v>
      </c>
      <c r="C108" s="423" t="s">
        <v>402</v>
      </c>
      <c r="D108" s="439" t="str">
        <f t="shared" si="1"/>
        <v>531Master</v>
      </c>
      <c r="E108" s="448">
        <v>0.0</v>
      </c>
      <c r="F108" s="448">
        <v>0.0</v>
      </c>
      <c r="G108" s="447">
        <v>0.0</v>
      </c>
      <c r="H108" s="447">
        <v>0.0</v>
      </c>
      <c r="I108" s="447">
        <v>0.0</v>
      </c>
      <c r="J108" s="447">
        <v>0.0</v>
      </c>
      <c r="K108" s="440">
        <v>0.0</v>
      </c>
      <c r="L108" s="440">
        <v>0.0</v>
      </c>
    </row>
    <row r="109" ht="15.75" customHeight="1">
      <c r="A109" s="448">
        <v>531.0</v>
      </c>
      <c r="B109" s="423" t="s">
        <v>239</v>
      </c>
      <c r="C109" s="423" t="s">
        <v>228</v>
      </c>
      <c r="D109" s="439" t="str">
        <f t="shared" si="1"/>
        <v>531Especialista</v>
      </c>
      <c r="E109" s="448">
        <v>0.0</v>
      </c>
      <c r="F109" s="448">
        <v>0.0</v>
      </c>
      <c r="G109" s="447">
        <v>0.0</v>
      </c>
      <c r="H109" s="447">
        <v>0.0</v>
      </c>
      <c r="I109" s="447">
        <v>0.0</v>
      </c>
      <c r="J109" s="447">
        <v>0.0</v>
      </c>
      <c r="K109" s="440">
        <v>0.0</v>
      </c>
      <c r="L109" s="440">
        <v>0.0</v>
      </c>
    </row>
    <row r="110" ht="15.75" customHeight="1">
      <c r="A110" s="448">
        <v>209.0</v>
      </c>
      <c r="B110" s="423" t="s">
        <v>241</v>
      </c>
      <c r="C110" s="423" t="s">
        <v>199</v>
      </c>
      <c r="D110" s="439" t="str">
        <f t="shared" si="1"/>
        <v>209Indiferente</v>
      </c>
      <c r="E110" s="448">
        <v>3.0</v>
      </c>
      <c r="F110" s="448">
        <v>7.0</v>
      </c>
      <c r="G110" s="447">
        <v>5608.963500000101</v>
      </c>
      <c r="H110" s="447">
        <v>9662.348490894065</v>
      </c>
      <c r="I110" s="447">
        <v>10653.144227649018</v>
      </c>
      <c r="J110" s="447">
        <v>11847.831125827786</v>
      </c>
      <c r="K110" s="447">
        <v>12838.626862582742</v>
      </c>
      <c r="L110" s="447">
        <v>13307.951158940397</v>
      </c>
    </row>
    <row r="111" ht="15.75" customHeight="1">
      <c r="A111" s="448">
        <v>209.0</v>
      </c>
      <c r="B111" s="423" t="s">
        <v>241</v>
      </c>
      <c r="C111" s="423" t="s">
        <v>61</v>
      </c>
      <c r="D111" s="439" t="str">
        <f t="shared" si="1"/>
        <v>209Júnior</v>
      </c>
      <c r="E111" s="448">
        <v>0.0</v>
      </c>
      <c r="F111" s="448">
        <v>0.0</v>
      </c>
      <c r="G111" s="447">
        <v>0.0</v>
      </c>
      <c r="H111" s="447">
        <v>0.0</v>
      </c>
      <c r="I111" s="447">
        <v>0.0</v>
      </c>
      <c r="J111" s="447">
        <v>0.0</v>
      </c>
      <c r="K111" s="440">
        <v>0.0</v>
      </c>
      <c r="L111" s="440">
        <v>0.0</v>
      </c>
    </row>
    <row r="112" ht="15.75" customHeight="1">
      <c r="A112" s="448">
        <v>209.0</v>
      </c>
      <c r="B112" s="423" t="s">
        <v>241</v>
      </c>
      <c r="C112" s="423" t="s">
        <v>42</v>
      </c>
      <c r="D112" s="439" t="str">
        <f t="shared" si="1"/>
        <v>209Pleno</v>
      </c>
      <c r="E112" s="448">
        <v>0.0</v>
      </c>
      <c r="F112" s="448">
        <v>0.0</v>
      </c>
      <c r="G112" s="447">
        <v>0.0</v>
      </c>
      <c r="H112" s="447">
        <v>0.0</v>
      </c>
      <c r="I112" s="447">
        <v>0.0</v>
      </c>
      <c r="J112" s="447">
        <v>0.0</v>
      </c>
      <c r="K112" s="440">
        <v>0.0</v>
      </c>
      <c r="L112" s="440">
        <v>0.0</v>
      </c>
    </row>
    <row r="113" ht="15.75" customHeight="1">
      <c r="A113" s="448">
        <v>209.0</v>
      </c>
      <c r="B113" s="423" t="s">
        <v>241</v>
      </c>
      <c r="C113" s="423" t="s">
        <v>54</v>
      </c>
      <c r="D113" s="439" t="str">
        <f t="shared" si="1"/>
        <v>209Sênior</v>
      </c>
      <c r="E113" s="448">
        <v>0.0</v>
      </c>
      <c r="F113" s="448">
        <v>0.0</v>
      </c>
      <c r="G113" s="447">
        <v>0.0</v>
      </c>
      <c r="H113" s="447">
        <v>0.0</v>
      </c>
      <c r="I113" s="447">
        <v>0.0</v>
      </c>
      <c r="J113" s="447">
        <v>0.0</v>
      </c>
      <c r="K113" s="440">
        <v>0.0</v>
      </c>
      <c r="L113" s="440">
        <v>0.0</v>
      </c>
    </row>
    <row r="114" ht="15.75" customHeight="1">
      <c r="A114" s="448">
        <v>209.0</v>
      </c>
      <c r="B114" s="423" t="s">
        <v>241</v>
      </c>
      <c r="C114" s="423" t="s">
        <v>402</v>
      </c>
      <c r="D114" s="439" t="str">
        <f t="shared" si="1"/>
        <v>209Master</v>
      </c>
      <c r="E114" s="448">
        <v>0.0</v>
      </c>
      <c r="F114" s="448">
        <v>0.0</v>
      </c>
      <c r="G114" s="447">
        <v>0.0</v>
      </c>
      <c r="H114" s="447">
        <v>0.0</v>
      </c>
      <c r="I114" s="447">
        <v>0.0</v>
      </c>
      <c r="J114" s="447">
        <v>0.0</v>
      </c>
      <c r="K114" s="440">
        <v>0.0</v>
      </c>
      <c r="L114" s="440">
        <v>0.0</v>
      </c>
    </row>
    <row r="115" ht="15.75" customHeight="1">
      <c r="A115" s="448">
        <v>209.0</v>
      </c>
      <c r="B115" s="423" t="s">
        <v>241</v>
      </c>
      <c r="C115" s="423" t="s">
        <v>228</v>
      </c>
      <c r="D115" s="439" t="str">
        <f t="shared" si="1"/>
        <v>209Especialista</v>
      </c>
      <c r="E115" s="448">
        <v>0.0</v>
      </c>
      <c r="F115" s="448">
        <v>0.0</v>
      </c>
      <c r="G115" s="447">
        <v>0.0</v>
      </c>
      <c r="H115" s="447">
        <v>0.0</v>
      </c>
      <c r="I115" s="447">
        <v>0.0</v>
      </c>
      <c r="J115" s="447">
        <v>0.0</v>
      </c>
      <c r="K115" s="440">
        <v>0.0</v>
      </c>
      <c r="L115" s="440">
        <v>0.0</v>
      </c>
    </row>
    <row r="116" ht="15.75" customHeight="1">
      <c r="A116" s="448">
        <v>876.0</v>
      </c>
      <c r="B116" s="423" t="s">
        <v>249</v>
      </c>
      <c r="C116" s="423" t="s">
        <v>199</v>
      </c>
      <c r="D116" s="439" t="str">
        <f t="shared" si="1"/>
        <v>876Indiferente</v>
      </c>
      <c r="E116" s="448">
        <v>4.0</v>
      </c>
      <c r="F116" s="448">
        <v>7.0</v>
      </c>
      <c r="G116" s="447">
        <v>6769.16</v>
      </c>
      <c r="H116" s="447">
        <v>6884.72</v>
      </c>
      <c r="I116" s="447">
        <v>7629.52</v>
      </c>
      <c r="J116" s="447">
        <v>7338.33</v>
      </c>
      <c r="K116" s="440">
        <v>8173.29</v>
      </c>
      <c r="L116" s="440">
        <v>9183.14</v>
      </c>
    </row>
    <row r="117" ht="15.75" customHeight="1">
      <c r="A117" s="448">
        <v>876.0</v>
      </c>
      <c r="B117" s="423" t="s">
        <v>249</v>
      </c>
      <c r="C117" s="423" t="s">
        <v>61</v>
      </c>
      <c r="D117" s="439" t="str">
        <f t="shared" si="1"/>
        <v>876Júnior</v>
      </c>
      <c r="E117" s="448">
        <v>3.0</v>
      </c>
      <c r="F117" s="448">
        <v>4.0</v>
      </c>
      <c r="G117" s="447">
        <v>3685.65</v>
      </c>
      <c r="H117" s="447">
        <v>6027.52</v>
      </c>
      <c r="I117" s="447">
        <v>6615.83</v>
      </c>
      <c r="J117" s="447">
        <v>6884.72</v>
      </c>
      <c r="K117" s="440">
        <v>7473.03</v>
      </c>
      <c r="L117" s="440">
        <v>9008.24</v>
      </c>
    </row>
    <row r="118" ht="15.75" customHeight="1">
      <c r="A118" s="448">
        <v>876.0</v>
      </c>
      <c r="B118" s="423" t="s">
        <v>249</v>
      </c>
      <c r="C118" s="423" t="s">
        <v>42</v>
      </c>
      <c r="D118" s="439" t="str">
        <f t="shared" si="1"/>
        <v>876Pleno</v>
      </c>
      <c r="E118" s="448">
        <v>1.0</v>
      </c>
      <c r="F118" s="448">
        <v>1.0</v>
      </c>
      <c r="G118" s="447">
        <v>0.0</v>
      </c>
      <c r="H118" s="447">
        <v>0.0</v>
      </c>
      <c r="I118" s="447">
        <v>0.0</v>
      </c>
      <c r="J118" s="447">
        <v>0.0</v>
      </c>
      <c r="K118" s="440">
        <v>0.0</v>
      </c>
      <c r="L118" s="440">
        <v>0.0</v>
      </c>
    </row>
    <row r="119" ht="15.75" customHeight="1">
      <c r="A119" s="448">
        <v>876.0</v>
      </c>
      <c r="B119" s="423" t="s">
        <v>249</v>
      </c>
      <c r="C119" s="423" t="s">
        <v>54</v>
      </c>
      <c r="D119" s="439" t="str">
        <f t="shared" si="1"/>
        <v>876Sênior</v>
      </c>
      <c r="E119" s="448">
        <v>1.0</v>
      </c>
      <c r="F119" s="448">
        <v>1.0</v>
      </c>
      <c r="G119" s="447">
        <v>0.0</v>
      </c>
      <c r="H119" s="447">
        <v>0.0</v>
      </c>
      <c r="I119" s="447">
        <v>0.0</v>
      </c>
      <c r="J119" s="447">
        <v>0.0</v>
      </c>
      <c r="K119" s="440">
        <v>0.0</v>
      </c>
      <c r="L119" s="440">
        <v>0.0</v>
      </c>
    </row>
    <row r="120" ht="15.75" customHeight="1">
      <c r="A120" s="448">
        <v>876.0</v>
      </c>
      <c r="B120" s="423" t="s">
        <v>249</v>
      </c>
      <c r="C120" s="423" t="s">
        <v>402</v>
      </c>
      <c r="D120" s="439" t="str">
        <f t="shared" si="1"/>
        <v>876Master</v>
      </c>
      <c r="E120" s="448">
        <v>0.0</v>
      </c>
      <c r="F120" s="448">
        <v>0.0</v>
      </c>
      <c r="G120" s="447">
        <v>0.0</v>
      </c>
      <c r="H120" s="447">
        <v>0.0</v>
      </c>
      <c r="I120" s="447">
        <v>0.0</v>
      </c>
      <c r="J120" s="447">
        <v>0.0</v>
      </c>
      <c r="K120" s="440">
        <v>0.0</v>
      </c>
      <c r="L120" s="440">
        <v>0.0</v>
      </c>
    </row>
    <row r="121" ht="15.75" customHeight="1">
      <c r="A121" s="448">
        <v>876.0</v>
      </c>
      <c r="B121" s="423" t="s">
        <v>249</v>
      </c>
      <c r="C121" s="423" t="s">
        <v>228</v>
      </c>
      <c r="D121" s="439" t="str">
        <f t="shared" si="1"/>
        <v>876Especialista</v>
      </c>
      <c r="E121" s="448">
        <v>0.0</v>
      </c>
      <c r="F121" s="448">
        <v>0.0</v>
      </c>
      <c r="G121" s="447">
        <v>0.0</v>
      </c>
      <c r="H121" s="447">
        <v>0.0</v>
      </c>
      <c r="I121" s="447">
        <v>0.0</v>
      </c>
      <c r="J121" s="447">
        <v>0.0</v>
      </c>
      <c r="K121" s="440">
        <v>0.0</v>
      </c>
      <c r="L121" s="440">
        <v>0.0</v>
      </c>
    </row>
    <row r="122" ht="15.75" customHeight="1">
      <c r="A122" s="448">
        <v>269.0</v>
      </c>
      <c r="B122" s="423" t="s">
        <v>251</v>
      </c>
      <c r="C122" s="423" t="s">
        <v>199</v>
      </c>
      <c r="D122" s="439" t="str">
        <f t="shared" si="1"/>
        <v>269Indiferente</v>
      </c>
      <c r="E122" s="448">
        <v>3.0</v>
      </c>
      <c r="F122" s="448">
        <v>8.0</v>
      </c>
      <c r="G122" s="447">
        <v>3023.75</v>
      </c>
      <c r="H122" s="447">
        <v>3741.13</v>
      </c>
      <c r="I122" s="447">
        <v>4594.42</v>
      </c>
      <c r="J122" s="447">
        <v>4031.66</v>
      </c>
      <c r="K122" s="440">
        <v>4427.77</v>
      </c>
      <c r="L122" s="440">
        <v>9097.17</v>
      </c>
    </row>
    <row r="123" ht="15.75" customHeight="1">
      <c r="A123" s="448">
        <v>269.0</v>
      </c>
      <c r="B123" s="423" t="s">
        <v>251</v>
      </c>
      <c r="C123" s="423" t="s">
        <v>61</v>
      </c>
      <c r="D123" s="439" t="str">
        <f t="shared" si="1"/>
        <v>269Júnior</v>
      </c>
      <c r="E123" s="448">
        <v>1.0</v>
      </c>
      <c r="F123" s="448">
        <v>2.0</v>
      </c>
      <c r="G123" s="447">
        <v>0.0</v>
      </c>
      <c r="H123" s="447">
        <v>0.0</v>
      </c>
      <c r="I123" s="447">
        <v>0.0</v>
      </c>
      <c r="J123" s="447">
        <v>0.0</v>
      </c>
      <c r="K123" s="440">
        <v>0.0</v>
      </c>
      <c r="L123" s="440">
        <v>0.0</v>
      </c>
    </row>
    <row r="124" ht="15.75" customHeight="1">
      <c r="A124" s="448">
        <v>269.0</v>
      </c>
      <c r="B124" s="423" t="s">
        <v>251</v>
      </c>
      <c r="C124" s="423" t="s">
        <v>42</v>
      </c>
      <c r="D124" s="439" t="str">
        <f t="shared" si="1"/>
        <v>269Pleno</v>
      </c>
      <c r="E124" s="448">
        <v>1.0</v>
      </c>
      <c r="F124" s="448">
        <v>3.0</v>
      </c>
      <c r="G124" s="447">
        <v>0.0</v>
      </c>
      <c r="H124" s="447">
        <v>0.0</v>
      </c>
      <c r="I124" s="447">
        <v>0.0</v>
      </c>
      <c r="J124" s="447">
        <v>0.0</v>
      </c>
      <c r="K124" s="440">
        <v>0.0</v>
      </c>
      <c r="L124" s="440">
        <v>0.0</v>
      </c>
    </row>
    <row r="125" ht="15.75" customHeight="1">
      <c r="A125" s="448">
        <v>269.0</v>
      </c>
      <c r="B125" s="423" t="s">
        <v>251</v>
      </c>
      <c r="C125" s="423" t="s">
        <v>54</v>
      </c>
      <c r="D125" s="439" t="str">
        <f t="shared" si="1"/>
        <v>269Sênior</v>
      </c>
      <c r="E125" s="448">
        <v>1.0</v>
      </c>
      <c r="F125" s="448">
        <v>1.0</v>
      </c>
      <c r="G125" s="447">
        <v>0.0</v>
      </c>
      <c r="H125" s="447">
        <v>0.0</v>
      </c>
      <c r="I125" s="447">
        <v>0.0</v>
      </c>
      <c r="J125" s="447">
        <v>0.0</v>
      </c>
      <c r="K125" s="440">
        <v>0.0</v>
      </c>
      <c r="L125" s="440">
        <v>0.0</v>
      </c>
    </row>
    <row r="126" ht="15.75" customHeight="1">
      <c r="A126" s="448">
        <v>269.0</v>
      </c>
      <c r="B126" s="423" t="s">
        <v>251</v>
      </c>
      <c r="C126" s="423" t="s">
        <v>402</v>
      </c>
      <c r="D126" s="439" t="str">
        <f t="shared" si="1"/>
        <v>269Master</v>
      </c>
      <c r="E126" s="448">
        <v>0.0</v>
      </c>
      <c r="F126" s="448">
        <v>0.0</v>
      </c>
      <c r="G126" s="447">
        <v>0.0</v>
      </c>
      <c r="H126" s="447">
        <v>0.0</v>
      </c>
      <c r="I126" s="447">
        <v>0.0</v>
      </c>
      <c r="J126" s="447">
        <v>0.0</v>
      </c>
      <c r="K126" s="440">
        <v>0.0</v>
      </c>
      <c r="L126" s="440">
        <v>0.0</v>
      </c>
    </row>
    <row r="127" ht="15.75" customHeight="1">
      <c r="A127" s="448">
        <v>269.0</v>
      </c>
      <c r="B127" s="423" t="s">
        <v>251</v>
      </c>
      <c r="C127" s="423" t="s">
        <v>228</v>
      </c>
      <c r="D127" s="439" t="str">
        <f t="shared" si="1"/>
        <v>269Especialista</v>
      </c>
      <c r="E127" s="448">
        <v>0.0</v>
      </c>
      <c r="F127" s="448">
        <v>0.0</v>
      </c>
      <c r="G127" s="447">
        <v>0.0</v>
      </c>
      <c r="H127" s="447">
        <v>0.0</v>
      </c>
      <c r="I127" s="447">
        <v>0.0</v>
      </c>
      <c r="J127" s="447">
        <v>0.0</v>
      </c>
      <c r="K127" s="440">
        <v>0.0</v>
      </c>
      <c r="L127" s="440">
        <v>0.0</v>
      </c>
    </row>
    <row r="128" ht="15.75" customHeight="1">
      <c r="A128" s="451">
        <v>16.0</v>
      </c>
      <c r="B128" s="452" t="s">
        <v>253</v>
      </c>
      <c r="C128" s="452" t="s">
        <v>199</v>
      </c>
      <c r="D128" s="439" t="str">
        <f t="shared" si="1"/>
        <v>16Indiferente</v>
      </c>
      <c r="E128" s="438">
        <v>128.0</v>
      </c>
      <c r="F128" s="438">
        <v>283.0</v>
      </c>
      <c r="G128" s="440">
        <v>3163.47</v>
      </c>
      <c r="H128" s="440">
        <v>3880.07</v>
      </c>
      <c r="I128" s="440">
        <v>4552.22</v>
      </c>
      <c r="J128" s="440">
        <v>4489.37</v>
      </c>
      <c r="K128" s="440">
        <v>5018.92</v>
      </c>
      <c r="L128" s="440">
        <v>6825.24</v>
      </c>
    </row>
    <row r="129" ht="15.75" customHeight="1">
      <c r="A129" s="451">
        <v>16.0</v>
      </c>
      <c r="B129" s="452" t="s">
        <v>253</v>
      </c>
      <c r="C129" s="452" t="s">
        <v>61</v>
      </c>
      <c r="D129" s="439" t="str">
        <f t="shared" si="1"/>
        <v>16Júnior</v>
      </c>
      <c r="E129" s="438">
        <v>54.0</v>
      </c>
      <c r="F129" s="438">
        <v>72.0</v>
      </c>
      <c r="G129" s="440">
        <v>2937.55</v>
      </c>
      <c r="H129" s="440">
        <v>3176.35</v>
      </c>
      <c r="I129" s="440">
        <v>3539.11</v>
      </c>
      <c r="J129" s="440">
        <v>3493.97</v>
      </c>
      <c r="K129" s="440">
        <v>3798.49</v>
      </c>
      <c r="L129" s="440">
        <v>4392.23</v>
      </c>
    </row>
    <row r="130" ht="15.75" customHeight="1">
      <c r="A130" s="451">
        <v>16.0</v>
      </c>
      <c r="B130" s="452" t="s">
        <v>253</v>
      </c>
      <c r="C130" s="452" t="s">
        <v>42</v>
      </c>
      <c r="D130" s="439" t="str">
        <f t="shared" si="1"/>
        <v>16Pleno</v>
      </c>
      <c r="E130" s="438">
        <v>79.0</v>
      </c>
      <c r="F130" s="438">
        <v>132.0</v>
      </c>
      <c r="G130" s="440">
        <v>3739.98</v>
      </c>
      <c r="H130" s="440">
        <v>4260.53</v>
      </c>
      <c r="I130" s="440">
        <v>4775.58</v>
      </c>
      <c r="J130" s="440">
        <v>4714.28</v>
      </c>
      <c r="K130" s="440">
        <v>5046.92</v>
      </c>
      <c r="L130" s="440">
        <v>6825.24</v>
      </c>
    </row>
    <row r="131" ht="15.75" customHeight="1">
      <c r="A131" s="451">
        <v>16.0</v>
      </c>
      <c r="B131" s="452" t="s">
        <v>253</v>
      </c>
      <c r="C131" s="452" t="s">
        <v>54</v>
      </c>
      <c r="D131" s="439" t="str">
        <f t="shared" si="1"/>
        <v>16Sênior</v>
      </c>
      <c r="E131" s="438">
        <v>30.0</v>
      </c>
      <c r="F131" s="438">
        <v>36.0</v>
      </c>
      <c r="G131" s="440">
        <v>4882.37</v>
      </c>
      <c r="H131" s="440">
        <v>5489.27</v>
      </c>
      <c r="I131" s="440">
        <v>6172.24</v>
      </c>
      <c r="J131" s="440">
        <v>5910.71</v>
      </c>
      <c r="K131" s="440">
        <v>6737.39</v>
      </c>
      <c r="L131" s="440">
        <v>8185.08</v>
      </c>
    </row>
    <row r="132" ht="15.75" customHeight="1">
      <c r="A132" s="451">
        <v>16.0</v>
      </c>
      <c r="B132" s="452" t="s">
        <v>253</v>
      </c>
      <c r="C132" s="452" t="s">
        <v>402</v>
      </c>
      <c r="D132" s="439" t="str">
        <f t="shared" si="1"/>
        <v>16Master</v>
      </c>
      <c r="E132" s="438">
        <v>1.0</v>
      </c>
      <c r="F132" s="438">
        <v>1.0</v>
      </c>
      <c r="G132" s="447">
        <v>0.0</v>
      </c>
      <c r="H132" s="447">
        <v>0.0</v>
      </c>
      <c r="I132" s="447">
        <v>0.0</v>
      </c>
      <c r="J132" s="447">
        <v>0.0</v>
      </c>
      <c r="K132" s="440">
        <v>0.0</v>
      </c>
      <c r="L132" s="440">
        <v>0.0</v>
      </c>
    </row>
    <row r="133" ht="15.75" customHeight="1">
      <c r="A133" s="451">
        <v>16.0</v>
      </c>
      <c r="B133" s="452" t="s">
        <v>253</v>
      </c>
      <c r="C133" s="452" t="s">
        <v>228</v>
      </c>
      <c r="D133" s="439" t="str">
        <f t="shared" si="1"/>
        <v>16Especialista</v>
      </c>
      <c r="E133" s="438">
        <v>5.0</v>
      </c>
      <c r="F133" s="438">
        <v>8.0</v>
      </c>
      <c r="G133" s="440">
        <v>4865.37</v>
      </c>
      <c r="H133" s="440">
        <v>8627.81</v>
      </c>
      <c r="I133" s="440">
        <v>9747.25</v>
      </c>
      <c r="J133" s="440">
        <v>10885.96</v>
      </c>
      <c r="K133" s="440">
        <v>11789.67</v>
      </c>
      <c r="L133" s="440">
        <v>11789.67</v>
      </c>
    </row>
    <row r="134" ht="15.75" customHeight="1">
      <c r="A134" s="448">
        <v>79.0</v>
      </c>
      <c r="B134" s="423" t="s">
        <v>257</v>
      </c>
      <c r="C134" s="423" t="s">
        <v>199</v>
      </c>
      <c r="D134" s="439" t="str">
        <f t="shared" si="1"/>
        <v>79Indiferente</v>
      </c>
      <c r="E134" s="448">
        <v>5.0</v>
      </c>
      <c r="F134" s="448">
        <v>9.0</v>
      </c>
      <c r="G134" s="447">
        <v>2471.26</v>
      </c>
      <c r="H134" s="447">
        <v>2566.19</v>
      </c>
      <c r="I134" s="447">
        <v>2805.74</v>
      </c>
      <c r="J134" s="447">
        <v>2665.28</v>
      </c>
      <c r="K134" s="440">
        <v>2942.11</v>
      </c>
      <c r="L134" s="440">
        <v>3639.58</v>
      </c>
    </row>
    <row r="135" ht="15.75" customHeight="1">
      <c r="A135" s="448">
        <v>79.0</v>
      </c>
      <c r="B135" s="423" t="s">
        <v>257</v>
      </c>
      <c r="C135" s="423" t="s">
        <v>61</v>
      </c>
      <c r="D135" s="439" t="str">
        <f t="shared" si="1"/>
        <v>79Júnior</v>
      </c>
      <c r="E135" s="448">
        <v>0.0</v>
      </c>
      <c r="F135" s="448">
        <v>0.0</v>
      </c>
      <c r="G135" s="447">
        <v>0.0</v>
      </c>
      <c r="H135" s="447">
        <v>0.0</v>
      </c>
      <c r="I135" s="447">
        <v>0.0</v>
      </c>
      <c r="J135" s="447">
        <v>0.0</v>
      </c>
      <c r="K135" s="440">
        <v>0.0</v>
      </c>
      <c r="L135" s="440">
        <v>0.0</v>
      </c>
    </row>
    <row r="136" ht="15.75" customHeight="1">
      <c r="A136" s="448">
        <v>79.0</v>
      </c>
      <c r="B136" s="423" t="s">
        <v>257</v>
      </c>
      <c r="C136" s="423" t="s">
        <v>42</v>
      </c>
      <c r="D136" s="439" t="str">
        <f t="shared" si="1"/>
        <v>79Pleno</v>
      </c>
      <c r="E136" s="448">
        <v>0.0</v>
      </c>
      <c r="F136" s="448">
        <v>0.0</v>
      </c>
      <c r="G136" s="447">
        <v>0.0</v>
      </c>
      <c r="H136" s="447">
        <v>0.0</v>
      </c>
      <c r="I136" s="447">
        <v>0.0</v>
      </c>
      <c r="J136" s="447">
        <v>0.0</v>
      </c>
      <c r="K136" s="440">
        <v>0.0</v>
      </c>
      <c r="L136" s="440">
        <v>0.0</v>
      </c>
    </row>
    <row r="137" ht="15.75" customHeight="1">
      <c r="A137" s="448">
        <v>79.0</v>
      </c>
      <c r="B137" s="423" t="s">
        <v>257</v>
      </c>
      <c r="C137" s="423" t="s">
        <v>54</v>
      </c>
      <c r="D137" s="439" t="str">
        <f t="shared" si="1"/>
        <v>79Sênior</v>
      </c>
      <c r="E137" s="448">
        <v>0.0</v>
      </c>
      <c r="F137" s="448">
        <v>0.0</v>
      </c>
      <c r="G137" s="447">
        <v>0.0</v>
      </c>
      <c r="H137" s="447">
        <v>0.0</v>
      </c>
      <c r="I137" s="447">
        <v>0.0</v>
      </c>
      <c r="J137" s="447">
        <v>0.0</v>
      </c>
      <c r="K137" s="440">
        <v>0.0</v>
      </c>
      <c r="L137" s="440">
        <v>0.0</v>
      </c>
    </row>
    <row r="138" ht="15.75" customHeight="1">
      <c r="A138" s="448">
        <v>79.0</v>
      </c>
      <c r="B138" s="423" t="s">
        <v>257</v>
      </c>
      <c r="C138" s="423" t="s">
        <v>402</v>
      </c>
      <c r="D138" s="439" t="str">
        <f t="shared" si="1"/>
        <v>79Master</v>
      </c>
      <c r="E138" s="448">
        <v>0.0</v>
      </c>
      <c r="F138" s="448">
        <v>0.0</v>
      </c>
      <c r="G138" s="447">
        <v>0.0</v>
      </c>
      <c r="H138" s="447">
        <v>0.0</v>
      </c>
      <c r="I138" s="447">
        <v>0.0</v>
      </c>
      <c r="J138" s="447">
        <v>0.0</v>
      </c>
      <c r="K138" s="440">
        <v>0.0</v>
      </c>
      <c r="L138" s="440">
        <v>0.0</v>
      </c>
    </row>
    <row r="139" ht="15.75" customHeight="1">
      <c r="A139" s="448">
        <v>79.0</v>
      </c>
      <c r="B139" s="423" t="s">
        <v>257</v>
      </c>
      <c r="C139" s="423" t="s">
        <v>228</v>
      </c>
      <c r="D139" s="439" t="str">
        <f t="shared" si="1"/>
        <v>79Especialista</v>
      </c>
      <c r="E139" s="448">
        <v>0.0</v>
      </c>
      <c r="F139" s="448">
        <v>0.0</v>
      </c>
      <c r="G139" s="447">
        <v>0.0</v>
      </c>
      <c r="H139" s="447">
        <v>0.0</v>
      </c>
      <c r="I139" s="447">
        <v>0.0</v>
      </c>
      <c r="J139" s="447">
        <v>0.0</v>
      </c>
      <c r="K139" s="440">
        <v>0.0</v>
      </c>
      <c r="L139" s="440">
        <v>0.0</v>
      </c>
    </row>
    <row r="140" ht="15.75" customHeight="1">
      <c r="A140" s="448">
        <v>42.0</v>
      </c>
      <c r="B140" s="423" t="s">
        <v>273</v>
      </c>
      <c r="C140" s="423" t="s">
        <v>199</v>
      </c>
      <c r="D140" s="439" t="str">
        <f t="shared" si="1"/>
        <v>42Indiferente</v>
      </c>
      <c r="E140" s="448">
        <v>4.0</v>
      </c>
      <c r="F140" s="448">
        <v>4.0</v>
      </c>
      <c r="G140" s="447">
        <v>4057.75</v>
      </c>
      <c r="H140" s="447">
        <v>4379.87</v>
      </c>
      <c r="I140" s="447">
        <v>4924.46</v>
      </c>
      <c r="J140" s="447">
        <v>4910.03</v>
      </c>
      <c r="K140" s="440">
        <v>5454.63</v>
      </c>
      <c r="L140" s="440">
        <v>5820.01</v>
      </c>
    </row>
    <row r="141" ht="15.75" customHeight="1">
      <c r="A141" s="448">
        <v>42.0</v>
      </c>
      <c r="B141" s="423" t="s">
        <v>273</v>
      </c>
      <c r="C141" s="423" t="s">
        <v>61</v>
      </c>
      <c r="D141" s="439" t="str">
        <f t="shared" si="1"/>
        <v>42Júnior</v>
      </c>
      <c r="E141" s="448">
        <v>3.0</v>
      </c>
      <c r="F141" s="448">
        <v>3.0</v>
      </c>
      <c r="G141" s="447">
        <v>3225.33</v>
      </c>
      <c r="H141" s="447">
        <v>3261.57</v>
      </c>
      <c r="I141" s="447">
        <v>4114.38</v>
      </c>
      <c r="J141" s="447">
        <v>3297.81</v>
      </c>
      <c r="K141" s="440">
        <v>4558.91</v>
      </c>
      <c r="L141" s="440">
        <v>5820.01</v>
      </c>
    </row>
    <row r="142" ht="15.75" customHeight="1">
      <c r="A142" s="448">
        <v>42.0</v>
      </c>
      <c r="B142" s="423" t="s">
        <v>273</v>
      </c>
      <c r="C142" s="423" t="s">
        <v>42</v>
      </c>
      <c r="D142" s="439" t="str">
        <f t="shared" si="1"/>
        <v>42Pleno</v>
      </c>
      <c r="E142" s="448">
        <v>2.0</v>
      </c>
      <c r="F142" s="448">
        <v>3.0</v>
      </c>
      <c r="G142" s="447">
        <v>0.0</v>
      </c>
      <c r="H142" s="447">
        <v>0.0</v>
      </c>
      <c r="I142" s="447">
        <v>0.0</v>
      </c>
      <c r="J142" s="447">
        <v>0.0</v>
      </c>
      <c r="K142" s="440">
        <v>0.0</v>
      </c>
      <c r="L142" s="440">
        <v>0.0</v>
      </c>
    </row>
    <row r="143" ht="15.75" customHeight="1">
      <c r="A143" s="448">
        <v>42.0</v>
      </c>
      <c r="B143" s="423" t="s">
        <v>273</v>
      </c>
      <c r="C143" s="423" t="s">
        <v>54</v>
      </c>
      <c r="D143" s="439" t="str">
        <f t="shared" si="1"/>
        <v>42Sênior</v>
      </c>
      <c r="E143" s="448">
        <v>1.0</v>
      </c>
      <c r="F143" s="448">
        <v>1.0</v>
      </c>
      <c r="G143" s="447">
        <v>0.0</v>
      </c>
      <c r="H143" s="447">
        <v>0.0</v>
      </c>
      <c r="I143" s="447">
        <v>0.0</v>
      </c>
      <c r="J143" s="447">
        <v>0.0</v>
      </c>
      <c r="K143" s="440">
        <v>0.0</v>
      </c>
      <c r="L143" s="440">
        <v>0.0</v>
      </c>
    </row>
    <row r="144" ht="15.75" customHeight="1">
      <c r="A144" s="448">
        <v>42.0</v>
      </c>
      <c r="B144" s="423" t="s">
        <v>273</v>
      </c>
      <c r="C144" s="423" t="s">
        <v>402</v>
      </c>
      <c r="D144" s="439" t="str">
        <f t="shared" si="1"/>
        <v>42Master</v>
      </c>
      <c r="E144" s="448">
        <v>0.0</v>
      </c>
      <c r="F144" s="448">
        <v>0.0</v>
      </c>
      <c r="G144" s="447">
        <v>0.0</v>
      </c>
      <c r="H144" s="447">
        <v>0.0</v>
      </c>
      <c r="I144" s="447">
        <v>0.0</v>
      </c>
      <c r="J144" s="447">
        <v>0.0</v>
      </c>
      <c r="K144" s="440">
        <v>0.0</v>
      </c>
      <c r="L144" s="440">
        <v>0.0</v>
      </c>
    </row>
    <row r="145" ht="15.75" customHeight="1">
      <c r="A145" s="448">
        <v>42.0</v>
      </c>
      <c r="B145" s="423" t="s">
        <v>273</v>
      </c>
      <c r="C145" s="423" t="s">
        <v>228</v>
      </c>
      <c r="D145" s="439" t="str">
        <f t="shared" si="1"/>
        <v>42Especialista</v>
      </c>
      <c r="E145" s="448">
        <v>0.0</v>
      </c>
      <c r="F145" s="448">
        <v>0.0</v>
      </c>
      <c r="G145" s="447">
        <v>0.0</v>
      </c>
      <c r="H145" s="447">
        <v>0.0</v>
      </c>
      <c r="I145" s="447">
        <v>0.0</v>
      </c>
      <c r="J145" s="447">
        <v>0.0</v>
      </c>
      <c r="K145" s="440">
        <v>0.0</v>
      </c>
      <c r="L145" s="440">
        <v>0.0</v>
      </c>
    </row>
    <row r="146" ht="15.75" customHeight="1">
      <c r="A146" s="448">
        <v>71.0</v>
      </c>
      <c r="B146" s="423" t="s">
        <v>275</v>
      </c>
      <c r="C146" s="423" t="s">
        <v>199</v>
      </c>
      <c r="D146" s="439" t="str">
        <f t="shared" si="1"/>
        <v>71Indiferente</v>
      </c>
      <c r="E146" s="448">
        <v>5.0</v>
      </c>
      <c r="F146" s="448">
        <v>6.0</v>
      </c>
      <c r="G146" s="447">
        <v>2353.58</v>
      </c>
      <c r="H146" s="447">
        <v>2726.74</v>
      </c>
      <c r="I146" s="447">
        <v>3023.98</v>
      </c>
      <c r="J146" s="447">
        <v>2889.19</v>
      </c>
      <c r="K146" s="440">
        <v>3160.38</v>
      </c>
      <c r="L146" s="440">
        <v>4088.57</v>
      </c>
    </row>
    <row r="147" ht="15.75" customHeight="1">
      <c r="A147" s="448">
        <v>71.0</v>
      </c>
      <c r="B147" s="423" t="s">
        <v>275</v>
      </c>
      <c r="C147" s="423" t="s">
        <v>61</v>
      </c>
      <c r="D147" s="439" t="str">
        <f t="shared" si="1"/>
        <v>71Júnior</v>
      </c>
      <c r="E147" s="448">
        <v>0.0</v>
      </c>
      <c r="F147" s="448">
        <v>0.0</v>
      </c>
      <c r="G147" s="447">
        <v>0.0</v>
      </c>
      <c r="H147" s="447">
        <v>0.0</v>
      </c>
      <c r="I147" s="447">
        <v>0.0</v>
      </c>
      <c r="J147" s="447">
        <v>0.0</v>
      </c>
      <c r="K147" s="440">
        <v>0.0</v>
      </c>
      <c r="L147" s="440">
        <v>0.0</v>
      </c>
    </row>
    <row r="148" ht="15.75" customHeight="1">
      <c r="A148" s="448">
        <v>71.0</v>
      </c>
      <c r="B148" s="423" t="s">
        <v>275</v>
      </c>
      <c r="C148" s="423" t="s">
        <v>42</v>
      </c>
      <c r="D148" s="439" t="str">
        <f t="shared" si="1"/>
        <v>71Pleno</v>
      </c>
      <c r="E148" s="448">
        <v>0.0</v>
      </c>
      <c r="F148" s="448">
        <v>0.0</v>
      </c>
      <c r="G148" s="447">
        <v>0.0</v>
      </c>
      <c r="H148" s="447">
        <v>0.0</v>
      </c>
      <c r="I148" s="447">
        <v>0.0</v>
      </c>
      <c r="J148" s="447">
        <v>0.0</v>
      </c>
      <c r="K148" s="440">
        <v>0.0</v>
      </c>
      <c r="L148" s="440">
        <v>0.0</v>
      </c>
    </row>
    <row r="149" ht="15.75" customHeight="1">
      <c r="A149" s="448">
        <v>71.0</v>
      </c>
      <c r="B149" s="423" t="s">
        <v>275</v>
      </c>
      <c r="C149" s="423" t="s">
        <v>54</v>
      </c>
      <c r="D149" s="439" t="str">
        <f t="shared" si="1"/>
        <v>71Sênior</v>
      </c>
      <c r="E149" s="448">
        <v>0.0</v>
      </c>
      <c r="F149" s="448">
        <v>0.0</v>
      </c>
      <c r="G149" s="447">
        <v>0.0</v>
      </c>
      <c r="H149" s="447">
        <v>0.0</v>
      </c>
      <c r="I149" s="447">
        <v>0.0</v>
      </c>
      <c r="J149" s="447">
        <v>0.0</v>
      </c>
      <c r="K149" s="440">
        <v>0.0</v>
      </c>
      <c r="L149" s="440">
        <v>0.0</v>
      </c>
    </row>
    <row r="150" ht="15.75" customHeight="1">
      <c r="A150" s="448">
        <v>71.0</v>
      </c>
      <c r="B150" s="423" t="s">
        <v>275</v>
      </c>
      <c r="C150" s="423" t="s">
        <v>402</v>
      </c>
      <c r="D150" s="439" t="str">
        <f t="shared" si="1"/>
        <v>71Master</v>
      </c>
      <c r="E150" s="448">
        <v>0.0</v>
      </c>
      <c r="F150" s="448">
        <v>0.0</v>
      </c>
      <c r="G150" s="447">
        <v>0.0</v>
      </c>
      <c r="H150" s="447">
        <v>0.0</v>
      </c>
      <c r="I150" s="447">
        <v>0.0</v>
      </c>
      <c r="J150" s="447">
        <v>0.0</v>
      </c>
      <c r="K150" s="440">
        <v>0.0</v>
      </c>
      <c r="L150" s="440">
        <v>0.0</v>
      </c>
    </row>
    <row r="151" ht="15.75" customHeight="1">
      <c r="A151" s="448">
        <v>71.0</v>
      </c>
      <c r="B151" s="423" t="s">
        <v>275</v>
      </c>
      <c r="C151" s="423" t="s">
        <v>228</v>
      </c>
      <c r="D151" s="439" t="str">
        <f t="shared" si="1"/>
        <v>71Especialista</v>
      </c>
      <c r="E151" s="448">
        <v>0.0</v>
      </c>
      <c r="F151" s="448">
        <v>0.0</v>
      </c>
      <c r="G151" s="447">
        <v>0.0</v>
      </c>
      <c r="H151" s="447">
        <v>0.0</v>
      </c>
      <c r="I151" s="447">
        <v>0.0</v>
      </c>
      <c r="J151" s="447">
        <v>0.0</v>
      </c>
      <c r="K151" s="440">
        <v>0.0</v>
      </c>
      <c r="L151" s="440">
        <v>0.0</v>
      </c>
    </row>
    <row r="152" ht="15.75" customHeight="1">
      <c r="A152" s="448">
        <v>19.0</v>
      </c>
      <c r="B152" s="423" t="s">
        <v>403</v>
      </c>
      <c r="C152" s="423" t="s">
        <v>199</v>
      </c>
      <c r="D152" s="439" t="str">
        <f t="shared" si="1"/>
        <v>19Indiferente</v>
      </c>
      <c r="E152" s="448">
        <v>5.0</v>
      </c>
      <c r="F152" s="448">
        <v>8.0</v>
      </c>
      <c r="G152" s="447">
        <v>3854.27</v>
      </c>
      <c r="H152" s="447">
        <v>5062.51</v>
      </c>
      <c r="I152" s="447">
        <v>5861.09</v>
      </c>
      <c r="J152" s="447">
        <v>5576.42</v>
      </c>
      <c r="K152" s="440">
        <v>7338.33</v>
      </c>
      <c r="L152" s="440">
        <v>7463.43</v>
      </c>
    </row>
    <row r="153" ht="15.75" customHeight="1">
      <c r="A153" s="448">
        <v>19.0</v>
      </c>
      <c r="B153" s="423" t="s">
        <v>403</v>
      </c>
      <c r="C153" s="423" t="s">
        <v>61</v>
      </c>
      <c r="D153" s="439" t="str">
        <f t="shared" si="1"/>
        <v>19Júnior</v>
      </c>
      <c r="E153" s="448">
        <v>2.0</v>
      </c>
      <c r="F153" s="448">
        <v>2.0</v>
      </c>
      <c r="G153" s="447">
        <v>0.0</v>
      </c>
      <c r="H153" s="447">
        <v>0.0</v>
      </c>
      <c r="I153" s="447">
        <v>0.0</v>
      </c>
      <c r="J153" s="447">
        <v>0.0</v>
      </c>
      <c r="K153" s="440">
        <v>0.0</v>
      </c>
      <c r="L153" s="440">
        <v>0.0</v>
      </c>
    </row>
    <row r="154" ht="15.75" customHeight="1">
      <c r="A154" s="448">
        <v>19.0</v>
      </c>
      <c r="B154" s="423" t="s">
        <v>403</v>
      </c>
      <c r="C154" s="423" t="s">
        <v>42</v>
      </c>
      <c r="D154" s="439" t="str">
        <f t="shared" si="1"/>
        <v>19Pleno</v>
      </c>
      <c r="E154" s="448">
        <v>3.0</v>
      </c>
      <c r="F154" s="448">
        <v>3.0</v>
      </c>
      <c r="G154" s="447">
        <v>4487.24</v>
      </c>
      <c r="H154" s="447">
        <v>4910.03</v>
      </c>
      <c r="I154" s="447">
        <v>5761.17</v>
      </c>
      <c r="J154" s="447">
        <v>5332.83</v>
      </c>
      <c r="K154" s="440">
        <v>6398.13</v>
      </c>
      <c r="L154" s="440">
        <v>7463.43</v>
      </c>
    </row>
    <row r="155" ht="15.75" customHeight="1">
      <c r="A155" s="448">
        <v>19.0</v>
      </c>
      <c r="B155" s="423" t="s">
        <v>403</v>
      </c>
      <c r="C155" s="423" t="s">
        <v>54</v>
      </c>
      <c r="D155" s="439" t="str">
        <f t="shared" si="1"/>
        <v>19Sênior</v>
      </c>
      <c r="E155" s="448">
        <v>2.0</v>
      </c>
      <c r="F155" s="448">
        <v>3.0</v>
      </c>
      <c r="G155" s="447">
        <v>0.0</v>
      </c>
      <c r="H155" s="447">
        <v>0.0</v>
      </c>
      <c r="I155" s="447">
        <v>0.0</v>
      </c>
      <c r="J155" s="447">
        <v>0.0</v>
      </c>
      <c r="K155" s="440">
        <v>0.0</v>
      </c>
      <c r="L155" s="440">
        <v>0.0</v>
      </c>
    </row>
    <row r="156" ht="15.75" customHeight="1">
      <c r="A156" s="448">
        <v>19.0</v>
      </c>
      <c r="B156" s="423" t="s">
        <v>403</v>
      </c>
      <c r="C156" s="423" t="s">
        <v>402</v>
      </c>
      <c r="D156" s="439" t="str">
        <f t="shared" si="1"/>
        <v>19Master</v>
      </c>
      <c r="E156" s="448">
        <v>0.0</v>
      </c>
      <c r="F156" s="448">
        <v>0.0</v>
      </c>
      <c r="G156" s="447">
        <v>0.0</v>
      </c>
      <c r="H156" s="447">
        <v>0.0</v>
      </c>
      <c r="I156" s="447">
        <v>0.0</v>
      </c>
      <c r="J156" s="447">
        <v>0.0</v>
      </c>
      <c r="K156" s="440">
        <v>0.0</v>
      </c>
      <c r="L156" s="440">
        <v>0.0</v>
      </c>
    </row>
    <row r="157" ht="15.75" customHeight="1">
      <c r="A157" s="448">
        <v>19.0</v>
      </c>
      <c r="B157" s="423" t="s">
        <v>403</v>
      </c>
      <c r="C157" s="423" t="s">
        <v>228</v>
      </c>
      <c r="D157" s="439" t="str">
        <f t="shared" si="1"/>
        <v>19Especialista</v>
      </c>
      <c r="E157" s="448">
        <v>0.0</v>
      </c>
      <c r="F157" s="448">
        <v>0.0</v>
      </c>
      <c r="G157" s="447">
        <v>0.0</v>
      </c>
      <c r="H157" s="447">
        <v>0.0</v>
      </c>
      <c r="I157" s="447">
        <v>0.0</v>
      </c>
      <c r="J157" s="447">
        <v>0.0</v>
      </c>
      <c r="K157" s="440">
        <v>0.0</v>
      </c>
      <c r="L157" s="440">
        <v>0.0</v>
      </c>
    </row>
    <row r="158" ht="15.75" customHeight="1">
      <c r="A158" s="448">
        <v>136.0</v>
      </c>
      <c r="B158" s="423" t="s">
        <v>286</v>
      </c>
      <c r="C158" s="423" t="s">
        <v>199</v>
      </c>
      <c r="D158" s="439" t="str">
        <f t="shared" si="1"/>
        <v>136Indiferente</v>
      </c>
      <c r="E158" s="448">
        <v>4.0</v>
      </c>
      <c r="F158" s="448">
        <v>13.0</v>
      </c>
      <c r="G158" s="447">
        <v>3997.39</v>
      </c>
      <c r="H158" s="447">
        <v>4535.62</v>
      </c>
      <c r="I158" s="447">
        <v>6300.68</v>
      </c>
      <c r="J158" s="447">
        <v>7338.33</v>
      </c>
      <c r="K158" s="440">
        <v>7338.33</v>
      </c>
      <c r="L158" s="440">
        <v>7861.72</v>
      </c>
    </row>
    <row r="159" ht="15.75" customHeight="1">
      <c r="A159" s="448">
        <v>136.0</v>
      </c>
      <c r="B159" s="423" t="s">
        <v>286</v>
      </c>
      <c r="C159" s="423" t="s">
        <v>61</v>
      </c>
      <c r="D159" s="439" t="str">
        <f t="shared" si="1"/>
        <v>136Júnior</v>
      </c>
      <c r="E159" s="448">
        <v>3.0</v>
      </c>
      <c r="F159" s="448">
        <v>5.0</v>
      </c>
      <c r="G159" s="447">
        <v>3225.33</v>
      </c>
      <c r="H159" s="447">
        <v>3311.72</v>
      </c>
      <c r="I159" s="447">
        <v>3627.03</v>
      </c>
      <c r="J159" s="447">
        <v>3492.43</v>
      </c>
      <c r="K159" s="440">
        <v>3997.39</v>
      </c>
      <c r="L159" s="440">
        <v>4108.26</v>
      </c>
    </row>
    <row r="160" ht="15.75" customHeight="1">
      <c r="A160" s="448">
        <v>136.0</v>
      </c>
      <c r="B160" s="423" t="s">
        <v>286</v>
      </c>
      <c r="C160" s="423" t="s">
        <v>42</v>
      </c>
      <c r="D160" s="439" t="str">
        <f t="shared" si="1"/>
        <v>136Pleno</v>
      </c>
      <c r="E160" s="448">
        <v>3.0</v>
      </c>
      <c r="F160" s="448">
        <v>5.0</v>
      </c>
      <c r="G160" s="447">
        <v>4535.62</v>
      </c>
      <c r="H160" s="447">
        <v>4535.62</v>
      </c>
      <c r="I160" s="447">
        <v>6016.64</v>
      </c>
      <c r="J160" s="447">
        <v>5288.53</v>
      </c>
      <c r="K160" s="440">
        <v>7861.72</v>
      </c>
      <c r="L160" s="440">
        <v>7861.72</v>
      </c>
    </row>
    <row r="161" ht="15.75" customHeight="1">
      <c r="A161" s="448">
        <v>136.0</v>
      </c>
      <c r="B161" s="423" t="s">
        <v>286</v>
      </c>
      <c r="C161" s="423" t="s">
        <v>54</v>
      </c>
      <c r="D161" s="439" t="str">
        <f t="shared" si="1"/>
        <v>136Sênior</v>
      </c>
      <c r="E161" s="448">
        <v>2.0</v>
      </c>
      <c r="F161" s="448">
        <v>5.0</v>
      </c>
      <c r="G161" s="447">
        <v>0.0</v>
      </c>
      <c r="H161" s="447">
        <v>0.0</v>
      </c>
      <c r="I161" s="447">
        <v>0.0</v>
      </c>
      <c r="J161" s="447">
        <v>0.0</v>
      </c>
      <c r="K161" s="440">
        <v>0.0</v>
      </c>
      <c r="L161" s="440">
        <v>0.0</v>
      </c>
    </row>
    <row r="162" ht="15.75" customHeight="1">
      <c r="A162" s="448">
        <v>136.0</v>
      </c>
      <c r="B162" s="423" t="s">
        <v>286</v>
      </c>
      <c r="C162" s="423" t="s">
        <v>402</v>
      </c>
      <c r="D162" s="439" t="str">
        <f t="shared" si="1"/>
        <v>136Master</v>
      </c>
      <c r="E162" s="448">
        <v>0.0</v>
      </c>
      <c r="F162" s="448">
        <v>0.0</v>
      </c>
      <c r="G162" s="447">
        <v>0.0</v>
      </c>
      <c r="H162" s="447">
        <v>0.0</v>
      </c>
      <c r="I162" s="447">
        <v>0.0</v>
      </c>
      <c r="J162" s="447">
        <v>0.0</v>
      </c>
      <c r="K162" s="440">
        <v>0.0</v>
      </c>
      <c r="L162" s="440">
        <v>0.0</v>
      </c>
    </row>
    <row r="163" ht="15.75" customHeight="1">
      <c r="A163" s="448">
        <v>136.0</v>
      </c>
      <c r="B163" s="423" t="s">
        <v>286</v>
      </c>
      <c r="C163" s="423" t="s">
        <v>228</v>
      </c>
      <c r="D163" s="439" t="str">
        <f t="shared" si="1"/>
        <v>136Especialista</v>
      </c>
      <c r="E163" s="448">
        <v>0.0</v>
      </c>
      <c r="F163" s="448">
        <v>0.0</v>
      </c>
      <c r="G163" s="447">
        <v>0.0</v>
      </c>
      <c r="H163" s="447">
        <v>0.0</v>
      </c>
      <c r="I163" s="447">
        <v>0.0</v>
      </c>
      <c r="J163" s="447">
        <v>0.0</v>
      </c>
      <c r="K163" s="440">
        <v>0.0</v>
      </c>
      <c r="L163" s="440">
        <v>0.0</v>
      </c>
    </row>
    <row r="164" ht="15.75" customHeight="1">
      <c r="A164" s="453">
        <v>137.0</v>
      </c>
      <c r="B164" s="454" t="s">
        <v>288</v>
      </c>
      <c r="C164" s="454" t="s">
        <v>199</v>
      </c>
      <c r="D164" s="439" t="str">
        <f t="shared" si="1"/>
        <v>137Indiferente</v>
      </c>
      <c r="E164" s="448">
        <v>3.0</v>
      </c>
      <c r="F164" s="448">
        <v>3.0</v>
      </c>
      <c r="G164" s="447">
        <v>5608.963500000101</v>
      </c>
      <c r="H164" s="447">
        <v>9662.348490894065</v>
      </c>
      <c r="I164" s="447">
        <v>10653.144227649018</v>
      </c>
      <c r="J164" s="447">
        <v>11847.831125827786</v>
      </c>
      <c r="K164" s="447">
        <v>12838.626862582742</v>
      </c>
      <c r="L164" s="447">
        <v>13307.951158940397</v>
      </c>
    </row>
    <row r="165" ht="15.75" customHeight="1">
      <c r="A165" s="453">
        <v>137.0</v>
      </c>
      <c r="B165" s="454" t="s">
        <v>288</v>
      </c>
      <c r="C165" s="454" t="s">
        <v>61</v>
      </c>
      <c r="D165" s="439" t="str">
        <f t="shared" si="1"/>
        <v>137Júnior</v>
      </c>
      <c r="E165" s="448">
        <v>0.0</v>
      </c>
      <c r="F165" s="448">
        <v>0.0</v>
      </c>
      <c r="G165" s="447">
        <v>0.0</v>
      </c>
      <c r="H165" s="447">
        <v>0.0</v>
      </c>
      <c r="I165" s="447">
        <v>0.0</v>
      </c>
      <c r="J165" s="447">
        <v>0.0</v>
      </c>
      <c r="K165" s="440">
        <v>0.0</v>
      </c>
      <c r="L165" s="440">
        <v>0.0</v>
      </c>
    </row>
    <row r="166" ht="15.75" customHeight="1">
      <c r="A166" s="453">
        <v>137.0</v>
      </c>
      <c r="B166" s="454" t="s">
        <v>288</v>
      </c>
      <c r="C166" s="454" t="s">
        <v>42</v>
      </c>
      <c r="D166" s="439" t="str">
        <f t="shared" si="1"/>
        <v>137Pleno</v>
      </c>
      <c r="E166" s="448">
        <v>0.0</v>
      </c>
      <c r="F166" s="448">
        <v>0.0</v>
      </c>
      <c r="G166" s="447">
        <v>0.0</v>
      </c>
      <c r="H166" s="447">
        <v>0.0</v>
      </c>
      <c r="I166" s="447">
        <v>0.0</v>
      </c>
      <c r="J166" s="447">
        <v>0.0</v>
      </c>
      <c r="K166" s="440">
        <v>0.0</v>
      </c>
      <c r="L166" s="440">
        <v>0.0</v>
      </c>
    </row>
    <row r="167" ht="15.75" customHeight="1">
      <c r="A167" s="453">
        <v>137.0</v>
      </c>
      <c r="B167" s="454" t="s">
        <v>288</v>
      </c>
      <c r="C167" s="454" t="s">
        <v>54</v>
      </c>
      <c r="D167" s="439" t="str">
        <f t="shared" si="1"/>
        <v>137Sênior</v>
      </c>
      <c r="E167" s="448">
        <v>0.0</v>
      </c>
      <c r="F167" s="448">
        <v>0.0</v>
      </c>
      <c r="G167" s="447">
        <v>0.0</v>
      </c>
      <c r="H167" s="447">
        <v>0.0</v>
      </c>
      <c r="I167" s="447">
        <v>0.0</v>
      </c>
      <c r="J167" s="447">
        <v>0.0</v>
      </c>
      <c r="K167" s="440">
        <v>0.0</v>
      </c>
      <c r="L167" s="440">
        <v>0.0</v>
      </c>
    </row>
    <row r="168" ht="15.75" customHeight="1">
      <c r="A168" s="453">
        <v>137.0</v>
      </c>
      <c r="B168" s="454" t="s">
        <v>288</v>
      </c>
      <c r="C168" s="454" t="s">
        <v>402</v>
      </c>
      <c r="D168" s="439" t="str">
        <f t="shared" si="1"/>
        <v>137Master</v>
      </c>
      <c r="E168" s="448">
        <v>0.0</v>
      </c>
      <c r="F168" s="448">
        <v>0.0</v>
      </c>
      <c r="G168" s="447">
        <v>0.0</v>
      </c>
      <c r="H168" s="447">
        <v>0.0</v>
      </c>
      <c r="I168" s="447">
        <v>0.0</v>
      </c>
      <c r="J168" s="447">
        <v>0.0</v>
      </c>
      <c r="K168" s="440">
        <v>0.0</v>
      </c>
      <c r="L168" s="440">
        <v>0.0</v>
      </c>
    </row>
    <row r="169" ht="15.75" customHeight="1">
      <c r="A169" s="453">
        <v>137.0</v>
      </c>
      <c r="B169" s="454" t="s">
        <v>288</v>
      </c>
      <c r="C169" s="454" t="s">
        <v>228</v>
      </c>
      <c r="D169" s="439" t="str">
        <f t="shared" si="1"/>
        <v>137Especialista</v>
      </c>
      <c r="E169" s="448">
        <v>0.0</v>
      </c>
      <c r="F169" s="448">
        <v>0.0</v>
      </c>
      <c r="G169" s="447">
        <v>0.0</v>
      </c>
      <c r="H169" s="447">
        <v>0.0</v>
      </c>
      <c r="I169" s="447">
        <v>0.0</v>
      </c>
      <c r="J169" s="447">
        <v>0.0</v>
      </c>
      <c r="K169" s="440">
        <v>0.0</v>
      </c>
      <c r="L169" s="440">
        <v>0.0</v>
      </c>
    </row>
    <row r="170" ht="15.75" customHeight="1">
      <c r="A170" s="448">
        <v>1199.0</v>
      </c>
      <c r="B170" s="423" t="s">
        <v>292</v>
      </c>
      <c r="C170" s="423" t="s">
        <v>199</v>
      </c>
      <c r="D170" s="439" t="str">
        <f t="shared" si="1"/>
        <v>1199Indiferente</v>
      </c>
      <c r="E170" s="448">
        <v>3.0</v>
      </c>
      <c r="F170" s="448">
        <v>6.0</v>
      </c>
      <c r="G170" s="447">
        <v>5876.15</v>
      </c>
      <c r="H170" s="447">
        <v>6106.16</v>
      </c>
      <c r="I170" s="447">
        <v>7655.79</v>
      </c>
      <c r="J170" s="447">
        <v>7867.3</v>
      </c>
      <c r="K170" s="440">
        <v>9183.14</v>
      </c>
      <c r="L170" s="440">
        <v>9183.14</v>
      </c>
    </row>
    <row r="171" ht="15.75" customHeight="1">
      <c r="A171" s="448">
        <v>1199.0</v>
      </c>
      <c r="B171" s="423" t="s">
        <v>292</v>
      </c>
      <c r="C171" s="423" t="s">
        <v>61</v>
      </c>
      <c r="D171" s="439" t="str">
        <f t="shared" si="1"/>
        <v>1199Júnior</v>
      </c>
      <c r="E171" s="448">
        <v>2.0</v>
      </c>
      <c r="F171" s="448">
        <v>2.0</v>
      </c>
      <c r="G171" s="447">
        <v>0.0</v>
      </c>
      <c r="H171" s="447">
        <v>0.0</v>
      </c>
      <c r="I171" s="447">
        <v>0.0</v>
      </c>
      <c r="J171" s="447">
        <v>0.0</v>
      </c>
      <c r="K171" s="440">
        <v>0.0</v>
      </c>
      <c r="L171" s="440">
        <v>0.0</v>
      </c>
    </row>
    <row r="172" ht="15.75" customHeight="1">
      <c r="A172" s="448">
        <v>1199.0</v>
      </c>
      <c r="B172" s="423" t="s">
        <v>292</v>
      </c>
      <c r="C172" s="423" t="s">
        <v>42</v>
      </c>
      <c r="D172" s="439" t="str">
        <f t="shared" si="1"/>
        <v>1199Pleno</v>
      </c>
      <c r="E172" s="448">
        <v>2.0</v>
      </c>
      <c r="F172" s="448">
        <v>4.0</v>
      </c>
      <c r="G172" s="447">
        <v>0.0</v>
      </c>
      <c r="H172" s="447">
        <v>0.0</v>
      </c>
      <c r="I172" s="447">
        <v>0.0</v>
      </c>
      <c r="J172" s="447">
        <v>0.0</v>
      </c>
      <c r="K172" s="440">
        <v>0.0</v>
      </c>
      <c r="L172" s="440">
        <v>0.0</v>
      </c>
    </row>
    <row r="173" ht="15.75" customHeight="1">
      <c r="A173" s="448">
        <v>1199.0</v>
      </c>
      <c r="B173" s="423" t="s">
        <v>292</v>
      </c>
      <c r="C173" s="423" t="s">
        <v>54</v>
      </c>
      <c r="D173" s="439" t="str">
        <f t="shared" si="1"/>
        <v>1199Sênior</v>
      </c>
      <c r="E173" s="448">
        <v>1.0</v>
      </c>
      <c r="F173" s="448">
        <v>2.0</v>
      </c>
      <c r="G173" s="447">
        <v>0.0</v>
      </c>
      <c r="H173" s="447">
        <v>0.0</v>
      </c>
      <c r="I173" s="447">
        <v>0.0</v>
      </c>
      <c r="J173" s="447">
        <v>0.0</v>
      </c>
      <c r="K173" s="440">
        <v>0.0</v>
      </c>
      <c r="L173" s="440">
        <v>0.0</v>
      </c>
    </row>
    <row r="174" ht="15.75" customHeight="1">
      <c r="A174" s="448">
        <v>1199.0</v>
      </c>
      <c r="B174" s="423" t="s">
        <v>292</v>
      </c>
      <c r="C174" s="423" t="s">
        <v>402</v>
      </c>
      <c r="D174" s="439" t="str">
        <f t="shared" si="1"/>
        <v>1199Master</v>
      </c>
      <c r="E174" s="448">
        <v>0.0</v>
      </c>
      <c r="F174" s="448">
        <v>0.0</v>
      </c>
      <c r="G174" s="447">
        <v>0.0</v>
      </c>
      <c r="H174" s="447">
        <v>0.0</v>
      </c>
      <c r="I174" s="447">
        <v>0.0</v>
      </c>
      <c r="J174" s="447">
        <v>0.0</v>
      </c>
      <c r="K174" s="440">
        <v>0.0</v>
      </c>
      <c r="L174" s="440">
        <v>0.0</v>
      </c>
    </row>
    <row r="175" ht="15.75" customHeight="1">
      <c r="A175" s="448">
        <v>1199.0</v>
      </c>
      <c r="B175" s="423" t="s">
        <v>292</v>
      </c>
      <c r="C175" s="423" t="s">
        <v>228</v>
      </c>
      <c r="D175" s="439" t="str">
        <f t="shared" si="1"/>
        <v>1199Especialista</v>
      </c>
      <c r="E175" s="448">
        <v>0.0</v>
      </c>
      <c r="F175" s="448">
        <v>0.0</v>
      </c>
      <c r="G175" s="447">
        <v>0.0</v>
      </c>
      <c r="H175" s="447">
        <v>0.0</v>
      </c>
      <c r="I175" s="447">
        <v>0.0</v>
      </c>
      <c r="J175" s="447">
        <v>0.0</v>
      </c>
      <c r="K175" s="440">
        <v>0.0</v>
      </c>
      <c r="L175" s="440">
        <v>0.0</v>
      </c>
    </row>
    <row r="176" ht="15.75" customHeight="1">
      <c r="A176" s="448">
        <v>207.0</v>
      </c>
      <c r="B176" s="423" t="s">
        <v>294</v>
      </c>
      <c r="C176" s="423" t="s">
        <v>199</v>
      </c>
      <c r="D176" s="439" t="str">
        <f t="shared" si="1"/>
        <v>207Indiferente</v>
      </c>
      <c r="E176" s="448">
        <v>3.0</v>
      </c>
      <c r="F176" s="448">
        <v>3.0</v>
      </c>
      <c r="G176" s="447">
        <v>2580.26</v>
      </c>
      <c r="H176" s="447">
        <v>2650.82</v>
      </c>
      <c r="I176" s="447">
        <v>2825.85</v>
      </c>
      <c r="J176" s="447">
        <v>2721.37</v>
      </c>
      <c r="K176" s="440">
        <v>2948.64</v>
      </c>
      <c r="L176" s="440">
        <v>3175.91</v>
      </c>
    </row>
    <row r="177" ht="15.75" customHeight="1">
      <c r="A177" s="448">
        <v>207.0</v>
      </c>
      <c r="B177" s="423" t="s">
        <v>294</v>
      </c>
      <c r="C177" s="423" t="s">
        <v>61</v>
      </c>
      <c r="D177" s="439" t="str">
        <f t="shared" si="1"/>
        <v>207Júnior</v>
      </c>
      <c r="E177" s="448">
        <v>0.0</v>
      </c>
      <c r="F177" s="448">
        <v>0.0</v>
      </c>
      <c r="G177" s="447">
        <v>0.0</v>
      </c>
      <c r="H177" s="447">
        <v>0.0</v>
      </c>
      <c r="I177" s="447">
        <v>0.0</v>
      </c>
      <c r="J177" s="447">
        <v>0.0</v>
      </c>
      <c r="K177" s="440">
        <v>0.0</v>
      </c>
      <c r="L177" s="440">
        <v>0.0</v>
      </c>
    </row>
    <row r="178" ht="15.75" customHeight="1">
      <c r="A178" s="448">
        <v>207.0</v>
      </c>
      <c r="B178" s="423" t="s">
        <v>294</v>
      </c>
      <c r="C178" s="423" t="s">
        <v>42</v>
      </c>
      <c r="D178" s="439" t="str">
        <f t="shared" si="1"/>
        <v>207Pleno</v>
      </c>
      <c r="E178" s="448">
        <v>0.0</v>
      </c>
      <c r="F178" s="448">
        <v>0.0</v>
      </c>
      <c r="G178" s="447">
        <v>0.0</v>
      </c>
      <c r="H178" s="447">
        <v>0.0</v>
      </c>
      <c r="I178" s="447">
        <v>0.0</v>
      </c>
      <c r="J178" s="447">
        <v>0.0</v>
      </c>
      <c r="K178" s="440">
        <v>0.0</v>
      </c>
      <c r="L178" s="440">
        <v>0.0</v>
      </c>
    </row>
    <row r="179" ht="15.75" customHeight="1">
      <c r="A179" s="448">
        <v>207.0</v>
      </c>
      <c r="B179" s="423" t="s">
        <v>294</v>
      </c>
      <c r="C179" s="423" t="s">
        <v>54</v>
      </c>
      <c r="D179" s="439" t="str">
        <f t="shared" si="1"/>
        <v>207Sênior</v>
      </c>
      <c r="E179" s="448">
        <v>0.0</v>
      </c>
      <c r="F179" s="448">
        <v>0.0</v>
      </c>
      <c r="G179" s="447">
        <v>0.0</v>
      </c>
      <c r="H179" s="447">
        <v>0.0</v>
      </c>
      <c r="I179" s="447">
        <v>0.0</v>
      </c>
      <c r="J179" s="447">
        <v>0.0</v>
      </c>
      <c r="K179" s="440">
        <v>0.0</v>
      </c>
      <c r="L179" s="440">
        <v>0.0</v>
      </c>
    </row>
    <row r="180" ht="15.75" customHeight="1">
      <c r="A180" s="448">
        <v>207.0</v>
      </c>
      <c r="B180" s="423" t="s">
        <v>294</v>
      </c>
      <c r="C180" s="423" t="s">
        <v>402</v>
      </c>
      <c r="D180" s="439" t="str">
        <f t="shared" si="1"/>
        <v>207Master</v>
      </c>
      <c r="E180" s="448">
        <v>0.0</v>
      </c>
      <c r="F180" s="448">
        <v>0.0</v>
      </c>
      <c r="G180" s="447">
        <v>0.0</v>
      </c>
      <c r="H180" s="447">
        <v>0.0</v>
      </c>
      <c r="I180" s="447">
        <v>0.0</v>
      </c>
      <c r="J180" s="447">
        <v>0.0</v>
      </c>
      <c r="K180" s="440">
        <v>0.0</v>
      </c>
      <c r="L180" s="440">
        <v>0.0</v>
      </c>
    </row>
    <row r="181" ht="15.75" customHeight="1">
      <c r="A181" s="448">
        <v>207.0</v>
      </c>
      <c r="B181" s="423" t="s">
        <v>294</v>
      </c>
      <c r="C181" s="423" t="s">
        <v>228</v>
      </c>
      <c r="D181" s="439" t="str">
        <f t="shared" si="1"/>
        <v>207Especialista</v>
      </c>
      <c r="E181" s="448">
        <v>0.0</v>
      </c>
      <c r="F181" s="448">
        <v>0.0</v>
      </c>
      <c r="G181" s="447">
        <v>0.0</v>
      </c>
      <c r="H181" s="447">
        <v>0.0</v>
      </c>
      <c r="I181" s="447">
        <v>0.0</v>
      </c>
      <c r="J181" s="447">
        <v>0.0</v>
      </c>
      <c r="K181" s="440">
        <v>0.0</v>
      </c>
      <c r="L181" s="440">
        <v>0.0</v>
      </c>
    </row>
    <row r="182" ht="15.75" customHeight="1">
      <c r="A182" s="448">
        <v>470.0</v>
      </c>
      <c r="B182" s="423" t="s">
        <v>243</v>
      </c>
      <c r="C182" s="423" t="s">
        <v>199</v>
      </c>
      <c r="D182" s="439" t="str">
        <f t="shared" si="1"/>
        <v>470Indiferente</v>
      </c>
      <c r="E182" s="448">
        <v>4.0</v>
      </c>
      <c r="F182" s="448">
        <v>17.0</v>
      </c>
      <c r="G182" s="447">
        <v>5543.53</v>
      </c>
      <c r="H182" s="447">
        <v>5543.53</v>
      </c>
      <c r="I182" s="447">
        <v>7707.59</v>
      </c>
      <c r="J182" s="447">
        <v>7478.73</v>
      </c>
      <c r="K182" s="440">
        <v>9809.03</v>
      </c>
      <c r="L182" s="440">
        <v>11165.69</v>
      </c>
    </row>
    <row r="183" ht="15.75" customHeight="1">
      <c r="A183" s="448">
        <v>470.0</v>
      </c>
      <c r="B183" s="423" t="s">
        <v>243</v>
      </c>
      <c r="C183" s="423" t="s">
        <v>61</v>
      </c>
      <c r="D183" s="439" t="str">
        <f t="shared" si="1"/>
        <v>470Júnior</v>
      </c>
      <c r="E183" s="448">
        <v>0.0</v>
      </c>
      <c r="F183" s="448">
        <v>0.0</v>
      </c>
      <c r="G183" s="447">
        <v>0.0</v>
      </c>
      <c r="H183" s="447">
        <v>0.0</v>
      </c>
      <c r="I183" s="447">
        <v>0.0</v>
      </c>
      <c r="J183" s="447">
        <v>0.0</v>
      </c>
      <c r="K183" s="440">
        <v>0.0</v>
      </c>
      <c r="L183" s="440">
        <v>0.0</v>
      </c>
    </row>
    <row r="184" ht="15.75" customHeight="1">
      <c r="A184" s="448">
        <v>470.0</v>
      </c>
      <c r="B184" s="423" t="s">
        <v>243</v>
      </c>
      <c r="C184" s="423" t="s">
        <v>42</v>
      </c>
      <c r="D184" s="439" t="str">
        <f t="shared" si="1"/>
        <v>470Pleno</v>
      </c>
      <c r="E184" s="448">
        <v>0.0</v>
      </c>
      <c r="F184" s="448">
        <v>0.0</v>
      </c>
      <c r="G184" s="447">
        <v>0.0</v>
      </c>
      <c r="H184" s="447">
        <v>0.0</v>
      </c>
      <c r="I184" s="447">
        <v>0.0</v>
      </c>
      <c r="J184" s="447">
        <v>0.0</v>
      </c>
      <c r="K184" s="440">
        <v>0.0</v>
      </c>
      <c r="L184" s="440">
        <v>0.0</v>
      </c>
    </row>
    <row r="185" ht="15.75" customHeight="1">
      <c r="A185" s="448">
        <v>470.0</v>
      </c>
      <c r="B185" s="423" t="s">
        <v>243</v>
      </c>
      <c r="C185" s="423" t="s">
        <v>54</v>
      </c>
      <c r="D185" s="439" t="str">
        <f t="shared" si="1"/>
        <v>470Sênior</v>
      </c>
      <c r="E185" s="448">
        <v>0.0</v>
      </c>
      <c r="F185" s="448">
        <v>0.0</v>
      </c>
      <c r="G185" s="447">
        <v>0.0</v>
      </c>
      <c r="H185" s="447">
        <v>0.0</v>
      </c>
      <c r="I185" s="447">
        <v>0.0</v>
      </c>
      <c r="J185" s="447">
        <v>0.0</v>
      </c>
      <c r="K185" s="440">
        <v>0.0</v>
      </c>
      <c r="L185" s="440">
        <v>0.0</v>
      </c>
    </row>
    <row r="186" ht="15.75" customHeight="1">
      <c r="A186" s="448">
        <v>470.0</v>
      </c>
      <c r="B186" s="423" t="s">
        <v>243</v>
      </c>
      <c r="C186" s="423" t="s">
        <v>402</v>
      </c>
      <c r="D186" s="439" t="str">
        <f t="shared" si="1"/>
        <v>470Master</v>
      </c>
      <c r="E186" s="448">
        <v>0.0</v>
      </c>
      <c r="F186" s="448">
        <v>0.0</v>
      </c>
      <c r="G186" s="447">
        <v>0.0</v>
      </c>
      <c r="H186" s="447">
        <v>0.0</v>
      </c>
      <c r="I186" s="447">
        <v>0.0</v>
      </c>
      <c r="J186" s="447">
        <v>0.0</v>
      </c>
      <c r="K186" s="440">
        <v>0.0</v>
      </c>
      <c r="L186" s="440">
        <v>0.0</v>
      </c>
    </row>
    <row r="187" ht="15.75" customHeight="1">
      <c r="A187" s="448">
        <v>470.0</v>
      </c>
      <c r="B187" s="423" t="s">
        <v>243</v>
      </c>
      <c r="C187" s="423" t="s">
        <v>228</v>
      </c>
      <c r="D187" s="439" t="str">
        <f t="shared" si="1"/>
        <v>470Especialista</v>
      </c>
      <c r="E187" s="448">
        <v>0.0</v>
      </c>
      <c r="F187" s="448">
        <v>0.0</v>
      </c>
      <c r="G187" s="447">
        <v>0.0</v>
      </c>
      <c r="H187" s="447">
        <v>0.0</v>
      </c>
      <c r="I187" s="447">
        <v>0.0</v>
      </c>
      <c r="J187" s="447">
        <v>0.0</v>
      </c>
      <c r="K187" s="440">
        <v>0.0</v>
      </c>
      <c r="L187" s="440">
        <v>0.0</v>
      </c>
    </row>
    <row r="188" ht="15.75" customHeight="1">
      <c r="A188" s="438">
        <v>820.0</v>
      </c>
      <c r="B188" s="425" t="s">
        <v>237</v>
      </c>
      <c r="C188" s="425" t="s">
        <v>199</v>
      </c>
      <c r="D188" s="439" t="str">
        <f t="shared" si="1"/>
        <v>820Indiferente</v>
      </c>
      <c r="E188" s="438">
        <v>14.0</v>
      </c>
      <c r="F188" s="438">
        <v>15.0</v>
      </c>
      <c r="G188" s="440">
        <v>4348.38</v>
      </c>
      <c r="H188" s="440">
        <v>5743.67</v>
      </c>
      <c r="I188" s="440">
        <v>6811.3</v>
      </c>
      <c r="J188" s="440">
        <v>6232.3</v>
      </c>
      <c r="K188" s="440">
        <v>8417.62</v>
      </c>
      <c r="L188" s="440">
        <v>9486.51</v>
      </c>
    </row>
    <row r="189" ht="15.75" customHeight="1">
      <c r="A189" s="438">
        <v>820.0</v>
      </c>
      <c r="B189" s="425" t="s">
        <v>237</v>
      </c>
      <c r="C189" s="425" t="s">
        <v>61</v>
      </c>
      <c r="D189" s="439" t="str">
        <f t="shared" si="1"/>
        <v>820Júnior</v>
      </c>
      <c r="E189" s="438">
        <v>0.0</v>
      </c>
      <c r="F189" s="438">
        <v>0.0</v>
      </c>
      <c r="G189" s="440">
        <v>0.0</v>
      </c>
      <c r="H189" s="440">
        <v>0.0</v>
      </c>
      <c r="I189" s="440">
        <v>0.0</v>
      </c>
      <c r="J189" s="440">
        <v>0.0</v>
      </c>
      <c r="K189" s="440">
        <v>0.0</v>
      </c>
      <c r="L189" s="440">
        <v>0.0</v>
      </c>
    </row>
    <row r="190" ht="15.75" customHeight="1">
      <c r="A190" s="438">
        <v>820.0</v>
      </c>
      <c r="B190" s="425" t="s">
        <v>237</v>
      </c>
      <c r="C190" s="425" t="s">
        <v>42</v>
      </c>
      <c r="D190" s="439" t="str">
        <f t="shared" si="1"/>
        <v>820Pleno</v>
      </c>
      <c r="E190" s="438">
        <v>2.0</v>
      </c>
      <c r="F190" s="438">
        <v>2.0</v>
      </c>
      <c r="G190" s="440">
        <v>0.0</v>
      </c>
      <c r="H190" s="440">
        <v>0.0</v>
      </c>
      <c r="I190" s="440">
        <v>0.0</v>
      </c>
      <c r="J190" s="440">
        <v>0.0</v>
      </c>
      <c r="K190" s="440">
        <v>0.0</v>
      </c>
      <c r="L190" s="440">
        <v>0.0</v>
      </c>
    </row>
    <row r="191" ht="15.75" customHeight="1">
      <c r="A191" s="438">
        <v>820.0</v>
      </c>
      <c r="B191" s="425" t="s">
        <v>237</v>
      </c>
      <c r="C191" s="425" t="s">
        <v>54</v>
      </c>
      <c r="D191" s="439" t="str">
        <f t="shared" si="1"/>
        <v>820Sênior</v>
      </c>
      <c r="E191" s="438">
        <v>2.0</v>
      </c>
      <c r="F191" s="438">
        <v>2.0</v>
      </c>
      <c r="G191" s="440">
        <v>0.0</v>
      </c>
      <c r="H191" s="440">
        <v>0.0</v>
      </c>
      <c r="I191" s="440">
        <v>0.0</v>
      </c>
      <c r="J191" s="440">
        <v>0.0</v>
      </c>
      <c r="K191" s="440">
        <v>0.0</v>
      </c>
      <c r="L191" s="440">
        <v>0.0</v>
      </c>
    </row>
    <row r="192" ht="15.75" customHeight="1">
      <c r="A192" s="438">
        <v>820.0</v>
      </c>
      <c r="B192" s="425" t="s">
        <v>237</v>
      </c>
      <c r="C192" s="425" t="s">
        <v>402</v>
      </c>
      <c r="D192" s="439" t="str">
        <f t="shared" si="1"/>
        <v>820Master</v>
      </c>
      <c r="E192" s="438">
        <v>0.0</v>
      </c>
      <c r="F192" s="438">
        <v>0.0</v>
      </c>
      <c r="G192" s="440">
        <v>0.0</v>
      </c>
      <c r="H192" s="440">
        <v>0.0</v>
      </c>
      <c r="I192" s="440">
        <v>0.0</v>
      </c>
      <c r="J192" s="440">
        <v>0.0</v>
      </c>
      <c r="K192" s="440">
        <v>0.0</v>
      </c>
      <c r="L192" s="440">
        <v>0.0</v>
      </c>
    </row>
    <row r="193" ht="15.75" customHeight="1">
      <c r="A193" s="438">
        <v>820.0</v>
      </c>
      <c r="B193" s="425" t="s">
        <v>237</v>
      </c>
      <c r="C193" s="425" t="s">
        <v>228</v>
      </c>
      <c r="D193" s="439" t="str">
        <f t="shared" si="1"/>
        <v>820Especialista</v>
      </c>
      <c r="E193" s="438">
        <v>1.0</v>
      </c>
      <c r="F193" s="438">
        <v>1.0</v>
      </c>
      <c r="G193" s="440">
        <v>0.0</v>
      </c>
      <c r="H193" s="440">
        <v>0.0</v>
      </c>
      <c r="I193" s="440">
        <v>0.0</v>
      </c>
      <c r="J193" s="440">
        <v>0.0</v>
      </c>
      <c r="K193" s="440">
        <v>0.0</v>
      </c>
      <c r="L193" s="440">
        <v>0.0</v>
      </c>
    </row>
    <row r="194" ht="15.75" customHeight="1">
      <c r="A194" s="455">
        <v>212.0</v>
      </c>
      <c r="B194" s="456" t="s">
        <v>245</v>
      </c>
      <c r="C194" s="456" t="s">
        <v>199</v>
      </c>
      <c r="D194" s="439" t="str">
        <f t="shared" si="1"/>
        <v>212Indiferente</v>
      </c>
      <c r="E194" s="438">
        <v>3.0</v>
      </c>
      <c r="F194" s="438">
        <v>12.0</v>
      </c>
      <c r="G194" s="440">
        <v>13744.09</v>
      </c>
      <c r="H194" s="440">
        <v>14781.36</v>
      </c>
      <c r="I194" s="440">
        <v>15210.85</v>
      </c>
      <c r="J194" s="440">
        <v>15118.5</v>
      </c>
      <c r="K194" s="440">
        <v>16203.19</v>
      </c>
      <c r="L194" s="440">
        <v>16203.19</v>
      </c>
    </row>
    <row r="195" ht="15.75" customHeight="1">
      <c r="A195" s="455">
        <v>212.0</v>
      </c>
      <c r="B195" s="456" t="s">
        <v>245</v>
      </c>
      <c r="C195" s="456" t="s">
        <v>61</v>
      </c>
      <c r="D195" s="439" t="str">
        <f t="shared" si="1"/>
        <v>212Júnior</v>
      </c>
      <c r="E195" s="438">
        <v>0.0</v>
      </c>
      <c r="F195" s="438">
        <v>0.0</v>
      </c>
      <c r="G195" s="440">
        <v>0.0</v>
      </c>
      <c r="H195" s="440">
        <v>0.0</v>
      </c>
      <c r="I195" s="440">
        <v>0.0</v>
      </c>
      <c r="J195" s="440">
        <v>0.0</v>
      </c>
      <c r="K195" s="440">
        <v>0.0</v>
      </c>
      <c r="L195" s="440">
        <v>0.0</v>
      </c>
    </row>
    <row r="196" ht="15.75" customHeight="1">
      <c r="A196" s="455">
        <v>212.0</v>
      </c>
      <c r="B196" s="456" t="s">
        <v>245</v>
      </c>
      <c r="C196" s="456" t="s">
        <v>42</v>
      </c>
      <c r="D196" s="439" t="str">
        <f t="shared" si="1"/>
        <v>212Pleno</v>
      </c>
      <c r="E196" s="438">
        <v>0.0</v>
      </c>
      <c r="F196" s="438">
        <v>0.0</v>
      </c>
      <c r="G196" s="440">
        <v>0.0</v>
      </c>
      <c r="H196" s="440">
        <v>0.0</v>
      </c>
      <c r="I196" s="440">
        <v>0.0</v>
      </c>
      <c r="J196" s="440">
        <v>0.0</v>
      </c>
      <c r="K196" s="440">
        <v>0.0</v>
      </c>
      <c r="L196" s="440">
        <v>0.0</v>
      </c>
    </row>
    <row r="197" ht="15.75" customHeight="1">
      <c r="A197" s="455">
        <v>212.0</v>
      </c>
      <c r="B197" s="456" t="s">
        <v>245</v>
      </c>
      <c r="C197" s="456" t="s">
        <v>54</v>
      </c>
      <c r="D197" s="439" t="str">
        <f t="shared" si="1"/>
        <v>212Sênior</v>
      </c>
      <c r="E197" s="438">
        <v>0.0</v>
      </c>
      <c r="F197" s="438">
        <v>0.0</v>
      </c>
      <c r="G197" s="440">
        <v>0.0</v>
      </c>
      <c r="H197" s="440">
        <v>0.0</v>
      </c>
      <c r="I197" s="440">
        <v>0.0</v>
      </c>
      <c r="J197" s="440">
        <v>0.0</v>
      </c>
      <c r="K197" s="440">
        <v>0.0</v>
      </c>
      <c r="L197" s="440">
        <v>0.0</v>
      </c>
    </row>
    <row r="198" ht="15.75" customHeight="1">
      <c r="A198" s="455">
        <v>212.0</v>
      </c>
      <c r="B198" s="456" t="s">
        <v>245</v>
      </c>
      <c r="C198" s="456" t="s">
        <v>402</v>
      </c>
      <c r="D198" s="439" t="str">
        <f t="shared" si="1"/>
        <v>212Master</v>
      </c>
      <c r="E198" s="438">
        <v>0.0</v>
      </c>
      <c r="F198" s="438">
        <v>0.0</v>
      </c>
      <c r="G198" s="440">
        <v>0.0</v>
      </c>
      <c r="H198" s="440">
        <v>0.0</v>
      </c>
      <c r="I198" s="440">
        <v>0.0</v>
      </c>
      <c r="J198" s="440">
        <v>0.0</v>
      </c>
      <c r="K198" s="440">
        <v>0.0</v>
      </c>
      <c r="L198" s="440">
        <v>0.0</v>
      </c>
    </row>
    <row r="199" ht="15.75" customHeight="1">
      <c r="A199" s="455">
        <v>212.0</v>
      </c>
      <c r="B199" s="456" t="s">
        <v>245</v>
      </c>
      <c r="C199" s="456" t="s">
        <v>228</v>
      </c>
      <c r="D199" s="439" t="str">
        <f t="shared" si="1"/>
        <v>212Especialista</v>
      </c>
      <c r="E199" s="438">
        <v>0.0</v>
      </c>
      <c r="F199" s="438">
        <v>0.0</v>
      </c>
      <c r="G199" s="440">
        <v>0.0</v>
      </c>
      <c r="H199" s="440">
        <v>0.0</v>
      </c>
      <c r="I199" s="440">
        <v>0.0</v>
      </c>
      <c r="J199" s="440">
        <v>0.0</v>
      </c>
      <c r="K199" s="440">
        <v>0.0</v>
      </c>
      <c r="L199" s="440">
        <v>0.0</v>
      </c>
    </row>
    <row r="200" ht="15.75" customHeight="1">
      <c r="A200" s="455">
        <v>213.0</v>
      </c>
      <c r="B200" s="456" t="s">
        <v>247</v>
      </c>
      <c r="C200" s="456" t="s">
        <v>199</v>
      </c>
      <c r="D200" s="439" t="str">
        <f t="shared" si="1"/>
        <v>213Indiferente</v>
      </c>
      <c r="E200" s="438">
        <v>5.0</v>
      </c>
      <c r="F200" s="438">
        <v>8.0</v>
      </c>
      <c r="G200" s="440">
        <v>17562.66</v>
      </c>
      <c r="H200" s="440">
        <v>18557.96</v>
      </c>
      <c r="I200" s="440">
        <v>19429.38</v>
      </c>
      <c r="J200" s="440">
        <v>19054.35</v>
      </c>
      <c r="K200" s="440">
        <v>20299.73</v>
      </c>
      <c r="L200" s="440">
        <v>30343.9</v>
      </c>
    </row>
    <row r="201" ht="15.75" customHeight="1">
      <c r="A201" s="455">
        <v>213.0</v>
      </c>
      <c r="B201" s="456" t="s">
        <v>247</v>
      </c>
      <c r="C201" s="456" t="s">
        <v>61</v>
      </c>
      <c r="D201" s="439" t="str">
        <f t="shared" si="1"/>
        <v>213Júnior</v>
      </c>
      <c r="E201" s="438">
        <v>0.0</v>
      </c>
      <c r="F201" s="438">
        <v>0.0</v>
      </c>
      <c r="G201" s="440">
        <v>0.0</v>
      </c>
      <c r="H201" s="440">
        <v>0.0</v>
      </c>
      <c r="I201" s="440">
        <v>0.0</v>
      </c>
      <c r="J201" s="440">
        <v>0.0</v>
      </c>
      <c r="K201" s="440">
        <v>0.0</v>
      </c>
      <c r="L201" s="440">
        <v>0.0</v>
      </c>
    </row>
    <row r="202" ht="15.75" customHeight="1">
      <c r="A202" s="455">
        <v>213.0</v>
      </c>
      <c r="B202" s="456" t="s">
        <v>247</v>
      </c>
      <c r="C202" s="456" t="s">
        <v>42</v>
      </c>
      <c r="D202" s="439" t="str">
        <f t="shared" si="1"/>
        <v>213Pleno</v>
      </c>
      <c r="E202" s="438">
        <v>0.0</v>
      </c>
      <c r="F202" s="438">
        <v>0.0</v>
      </c>
      <c r="G202" s="440">
        <v>0.0</v>
      </c>
      <c r="H202" s="440">
        <v>0.0</v>
      </c>
      <c r="I202" s="440">
        <v>0.0</v>
      </c>
      <c r="J202" s="440">
        <v>0.0</v>
      </c>
      <c r="K202" s="440">
        <v>0.0</v>
      </c>
      <c r="L202" s="440">
        <v>0.0</v>
      </c>
    </row>
    <row r="203" ht="15.75" customHeight="1">
      <c r="A203" s="455">
        <v>213.0</v>
      </c>
      <c r="B203" s="456" t="s">
        <v>247</v>
      </c>
      <c r="C203" s="456" t="s">
        <v>54</v>
      </c>
      <c r="D203" s="439" t="str">
        <f t="shared" si="1"/>
        <v>213Sênior</v>
      </c>
      <c r="E203" s="438">
        <v>0.0</v>
      </c>
      <c r="F203" s="438">
        <v>0.0</v>
      </c>
      <c r="G203" s="440">
        <v>0.0</v>
      </c>
      <c r="H203" s="440">
        <v>0.0</v>
      </c>
      <c r="I203" s="440">
        <v>0.0</v>
      </c>
      <c r="J203" s="440">
        <v>0.0</v>
      </c>
      <c r="K203" s="440">
        <v>0.0</v>
      </c>
      <c r="L203" s="440">
        <v>0.0</v>
      </c>
    </row>
    <row r="204" ht="15.75" customHeight="1">
      <c r="A204" s="455">
        <v>213.0</v>
      </c>
      <c r="B204" s="456" t="s">
        <v>247</v>
      </c>
      <c r="C204" s="456" t="s">
        <v>402</v>
      </c>
      <c r="D204" s="439" t="str">
        <f t="shared" si="1"/>
        <v>213Master</v>
      </c>
      <c r="E204" s="438">
        <v>0.0</v>
      </c>
      <c r="F204" s="438">
        <v>0.0</v>
      </c>
      <c r="G204" s="440">
        <v>0.0</v>
      </c>
      <c r="H204" s="440">
        <v>0.0</v>
      </c>
      <c r="I204" s="440">
        <v>0.0</v>
      </c>
      <c r="J204" s="440">
        <v>0.0</v>
      </c>
      <c r="K204" s="440">
        <v>0.0</v>
      </c>
      <c r="L204" s="440">
        <v>0.0</v>
      </c>
    </row>
    <row r="205" ht="15.75" customHeight="1">
      <c r="A205" s="455">
        <v>213.0</v>
      </c>
      <c r="B205" s="456" t="s">
        <v>247</v>
      </c>
      <c r="C205" s="456" t="s">
        <v>228</v>
      </c>
      <c r="D205" s="439" t="str">
        <f t="shared" si="1"/>
        <v>213Especialista</v>
      </c>
      <c r="E205" s="438">
        <v>0.0</v>
      </c>
      <c r="F205" s="438">
        <v>0.0</v>
      </c>
      <c r="G205" s="457">
        <v>0.0</v>
      </c>
      <c r="H205" s="440">
        <v>0.0</v>
      </c>
      <c r="I205" s="440">
        <v>0.0</v>
      </c>
      <c r="J205" s="440">
        <v>0.0</v>
      </c>
      <c r="K205" s="440">
        <v>0.0</v>
      </c>
      <c r="L205" s="440">
        <v>0.0</v>
      </c>
    </row>
    <row r="206" ht="15.75" customHeight="1">
      <c r="A206" s="455">
        <v>122.0</v>
      </c>
      <c r="B206" s="456" t="s">
        <v>259</v>
      </c>
      <c r="C206" s="456" t="s">
        <v>199</v>
      </c>
      <c r="D206" s="439" t="str">
        <f t="shared" si="1"/>
        <v>122Indiferente</v>
      </c>
      <c r="E206" s="438">
        <v>5.0</v>
      </c>
      <c r="F206" s="438">
        <v>5.0</v>
      </c>
      <c r="G206" s="440">
        <v>6551.35</v>
      </c>
      <c r="H206" s="440">
        <v>7801.212748</v>
      </c>
      <c r="I206" s="440">
        <v>9247.252886</v>
      </c>
      <c r="J206" s="440">
        <v>8009.801325</v>
      </c>
      <c r="K206" s="440">
        <v>10012.25166</v>
      </c>
      <c r="L206" s="440">
        <v>13861.6487</v>
      </c>
    </row>
    <row r="207" ht="15.75" customHeight="1">
      <c r="A207" s="455">
        <v>122.0</v>
      </c>
      <c r="B207" s="456" t="s">
        <v>259</v>
      </c>
      <c r="C207" s="456" t="s">
        <v>61</v>
      </c>
      <c r="D207" s="439" t="str">
        <f t="shared" si="1"/>
        <v>122Júnior</v>
      </c>
      <c r="E207" s="438">
        <v>0.0</v>
      </c>
      <c r="F207" s="438">
        <v>0.0</v>
      </c>
      <c r="G207" s="440">
        <v>0.0</v>
      </c>
      <c r="H207" s="440">
        <v>0.0</v>
      </c>
      <c r="I207" s="440">
        <v>0.0</v>
      </c>
      <c r="J207" s="440">
        <v>0.0</v>
      </c>
      <c r="K207" s="440">
        <v>0.0</v>
      </c>
      <c r="L207" s="440">
        <v>0.0</v>
      </c>
    </row>
    <row r="208" ht="15.75" customHeight="1">
      <c r="A208" s="455">
        <v>122.0</v>
      </c>
      <c r="B208" s="456" t="s">
        <v>259</v>
      </c>
      <c r="C208" s="456" t="s">
        <v>42</v>
      </c>
      <c r="D208" s="439" t="str">
        <f t="shared" si="1"/>
        <v>122Pleno</v>
      </c>
      <c r="E208" s="438">
        <v>0.0</v>
      </c>
      <c r="F208" s="438">
        <v>0.0</v>
      </c>
      <c r="G208" s="440">
        <v>0.0</v>
      </c>
      <c r="H208" s="440">
        <v>0.0</v>
      </c>
      <c r="I208" s="440">
        <v>0.0</v>
      </c>
      <c r="J208" s="440">
        <v>0.0</v>
      </c>
      <c r="K208" s="440">
        <v>0.0</v>
      </c>
      <c r="L208" s="440">
        <v>0.0</v>
      </c>
    </row>
    <row r="209" ht="15.75" customHeight="1">
      <c r="A209" s="455">
        <v>122.0</v>
      </c>
      <c r="B209" s="456" t="s">
        <v>259</v>
      </c>
      <c r="C209" s="456" t="s">
        <v>54</v>
      </c>
      <c r="D209" s="439" t="str">
        <f t="shared" si="1"/>
        <v>122Sênior</v>
      </c>
      <c r="E209" s="438">
        <v>1.0</v>
      </c>
      <c r="F209" s="438">
        <v>1.0</v>
      </c>
      <c r="G209" s="440">
        <v>0.0</v>
      </c>
      <c r="H209" s="440">
        <v>0.0</v>
      </c>
      <c r="I209" s="440">
        <v>0.0</v>
      </c>
      <c r="J209" s="440">
        <v>0.0</v>
      </c>
      <c r="K209" s="440">
        <v>0.0</v>
      </c>
      <c r="L209" s="440">
        <v>0.0</v>
      </c>
    </row>
    <row r="210" ht="15.75" customHeight="1">
      <c r="A210" s="455">
        <v>122.0</v>
      </c>
      <c r="B210" s="456" t="s">
        <v>259</v>
      </c>
      <c r="C210" s="456" t="s">
        <v>402</v>
      </c>
      <c r="D210" s="439" t="str">
        <f t="shared" si="1"/>
        <v>122Master</v>
      </c>
      <c r="E210" s="438">
        <v>0.0</v>
      </c>
      <c r="F210" s="438">
        <v>0.0</v>
      </c>
      <c r="G210" s="440">
        <v>0.0</v>
      </c>
      <c r="H210" s="440">
        <v>0.0</v>
      </c>
      <c r="I210" s="440">
        <v>0.0</v>
      </c>
      <c r="J210" s="440">
        <v>0.0</v>
      </c>
      <c r="K210" s="440">
        <v>0.0</v>
      </c>
      <c r="L210" s="440">
        <v>0.0</v>
      </c>
    </row>
    <row r="211" ht="15.75" customHeight="1">
      <c r="A211" s="455">
        <v>122.0</v>
      </c>
      <c r="B211" s="456" t="s">
        <v>259</v>
      </c>
      <c r="C211" s="456" t="s">
        <v>228</v>
      </c>
      <c r="D211" s="439" t="str">
        <f t="shared" si="1"/>
        <v>122Especialista</v>
      </c>
      <c r="E211" s="438">
        <v>0.0</v>
      </c>
      <c r="F211" s="438">
        <v>0.0</v>
      </c>
      <c r="G211" s="440">
        <v>0.0</v>
      </c>
      <c r="H211" s="440">
        <v>0.0</v>
      </c>
      <c r="I211" s="440">
        <v>0.0</v>
      </c>
      <c r="J211" s="440">
        <v>0.0</v>
      </c>
      <c r="K211" s="440">
        <v>0.0</v>
      </c>
      <c r="L211" s="440">
        <v>0.0</v>
      </c>
    </row>
    <row r="212" ht="15.75" customHeight="1">
      <c r="A212" s="441">
        <v>469.0</v>
      </c>
      <c r="B212" s="442" t="s">
        <v>261</v>
      </c>
      <c r="C212" s="442" t="s">
        <v>199</v>
      </c>
      <c r="D212" s="439" t="str">
        <f t="shared" si="1"/>
        <v>469Indiferente</v>
      </c>
      <c r="E212" s="438">
        <v>8.0</v>
      </c>
      <c r="F212" s="438">
        <v>12.0</v>
      </c>
      <c r="G212" s="440">
        <v>4254.14</v>
      </c>
      <c r="H212" s="440">
        <v>5291.84</v>
      </c>
      <c r="I212" s="440">
        <v>6690.95</v>
      </c>
      <c r="J212" s="440">
        <v>6196.82</v>
      </c>
      <c r="K212" s="440">
        <v>8126.61</v>
      </c>
      <c r="L212" s="440">
        <v>9844.29</v>
      </c>
    </row>
    <row r="213" ht="15.75" customHeight="1">
      <c r="A213" s="441">
        <v>469.0</v>
      </c>
      <c r="B213" s="442" t="s">
        <v>261</v>
      </c>
      <c r="C213" s="442" t="s">
        <v>61</v>
      </c>
      <c r="D213" s="439" t="str">
        <f t="shared" si="1"/>
        <v>469Júnior</v>
      </c>
      <c r="E213" s="438">
        <v>0.0</v>
      </c>
      <c r="F213" s="438">
        <v>0.0</v>
      </c>
      <c r="G213" s="440">
        <v>0.0</v>
      </c>
      <c r="H213" s="440">
        <v>0.0</v>
      </c>
      <c r="I213" s="440">
        <v>0.0</v>
      </c>
      <c r="J213" s="440">
        <v>0.0</v>
      </c>
      <c r="K213" s="440">
        <v>0.0</v>
      </c>
      <c r="L213" s="440">
        <v>0.0</v>
      </c>
    </row>
    <row r="214" ht="15.75" customHeight="1">
      <c r="A214" s="441">
        <v>469.0</v>
      </c>
      <c r="B214" s="442" t="s">
        <v>261</v>
      </c>
      <c r="C214" s="442" t="s">
        <v>42</v>
      </c>
      <c r="D214" s="439" t="str">
        <f t="shared" si="1"/>
        <v>469Pleno</v>
      </c>
      <c r="E214" s="438">
        <v>1.0</v>
      </c>
      <c r="F214" s="438">
        <v>2.0</v>
      </c>
      <c r="G214" s="440">
        <v>0.0</v>
      </c>
      <c r="H214" s="440">
        <v>0.0</v>
      </c>
      <c r="I214" s="440">
        <v>0.0</v>
      </c>
      <c r="J214" s="440">
        <v>0.0</v>
      </c>
      <c r="K214" s="440">
        <v>0.0</v>
      </c>
      <c r="L214" s="440">
        <v>0.0</v>
      </c>
    </row>
    <row r="215" ht="15.75" customHeight="1">
      <c r="A215" s="441">
        <v>469.0</v>
      </c>
      <c r="B215" s="442" t="s">
        <v>261</v>
      </c>
      <c r="C215" s="442" t="s">
        <v>54</v>
      </c>
      <c r="D215" s="439" t="str">
        <f t="shared" si="1"/>
        <v>469Sênior</v>
      </c>
      <c r="E215" s="438">
        <v>1.0</v>
      </c>
      <c r="F215" s="438">
        <v>1.0</v>
      </c>
      <c r="G215" s="440">
        <v>0.0</v>
      </c>
      <c r="H215" s="440">
        <v>0.0</v>
      </c>
      <c r="I215" s="440">
        <v>0.0</v>
      </c>
      <c r="J215" s="440">
        <v>0.0</v>
      </c>
      <c r="K215" s="440">
        <v>0.0</v>
      </c>
      <c r="L215" s="440">
        <v>0.0</v>
      </c>
    </row>
    <row r="216" ht="15.75" customHeight="1">
      <c r="A216" s="441">
        <v>469.0</v>
      </c>
      <c r="B216" s="442" t="s">
        <v>261</v>
      </c>
      <c r="C216" s="442" t="s">
        <v>402</v>
      </c>
      <c r="D216" s="439" t="str">
        <f t="shared" si="1"/>
        <v>469Master</v>
      </c>
      <c r="E216" s="438">
        <v>0.0</v>
      </c>
      <c r="F216" s="438">
        <v>0.0</v>
      </c>
      <c r="G216" s="440">
        <v>0.0</v>
      </c>
      <c r="H216" s="440">
        <v>0.0</v>
      </c>
      <c r="I216" s="440">
        <v>0.0</v>
      </c>
      <c r="J216" s="440">
        <v>0.0</v>
      </c>
      <c r="K216" s="440">
        <v>0.0</v>
      </c>
      <c r="L216" s="440">
        <v>0.0</v>
      </c>
    </row>
    <row r="217" ht="15.75" customHeight="1">
      <c r="A217" s="441">
        <v>469.0</v>
      </c>
      <c r="B217" s="442" t="s">
        <v>261</v>
      </c>
      <c r="C217" s="442" t="s">
        <v>228</v>
      </c>
      <c r="D217" s="439" t="str">
        <f t="shared" si="1"/>
        <v>469Especialista</v>
      </c>
      <c r="E217" s="438">
        <v>0.0</v>
      </c>
      <c r="F217" s="438">
        <v>0.0</v>
      </c>
      <c r="G217" s="440">
        <v>0.0</v>
      </c>
      <c r="H217" s="440">
        <v>0.0</v>
      </c>
      <c r="I217" s="440">
        <v>0.0</v>
      </c>
      <c r="J217" s="440">
        <v>0.0</v>
      </c>
      <c r="K217" s="440">
        <v>0.0</v>
      </c>
      <c r="L217" s="440">
        <v>0.0</v>
      </c>
    </row>
    <row r="218" ht="15.75" customHeight="1">
      <c r="A218" s="455">
        <v>548.0</v>
      </c>
      <c r="B218" s="456" t="s">
        <v>263</v>
      </c>
      <c r="C218" s="456" t="s">
        <v>199</v>
      </c>
      <c r="D218" s="439" t="str">
        <f t="shared" si="1"/>
        <v>548Indiferente</v>
      </c>
      <c r="E218" s="438">
        <v>4.0</v>
      </c>
      <c r="F218" s="438">
        <v>4.0</v>
      </c>
      <c r="G218" s="447">
        <v>9162.727272727348</v>
      </c>
      <c r="H218" s="447">
        <v>13744.09090909094</v>
      </c>
      <c r="I218" s="447">
        <v>18683.55297810972</v>
      </c>
      <c r="J218" s="447">
        <v>18908.46361060577</v>
      </c>
      <c r="K218" s="447">
        <v>23847.925679624546</v>
      </c>
      <c r="L218" s="447">
        <v>27754.5574185</v>
      </c>
    </row>
    <row r="219" ht="15.75" customHeight="1">
      <c r="A219" s="455">
        <v>548.0</v>
      </c>
      <c r="B219" s="456" t="s">
        <v>263</v>
      </c>
      <c r="C219" s="456" t="s">
        <v>61</v>
      </c>
      <c r="D219" s="439" t="str">
        <f t="shared" si="1"/>
        <v>548Júnior</v>
      </c>
      <c r="E219" s="438">
        <v>0.0</v>
      </c>
      <c r="F219" s="438">
        <v>0.0</v>
      </c>
      <c r="G219" s="440">
        <v>0.0</v>
      </c>
      <c r="H219" s="440">
        <v>0.0</v>
      </c>
      <c r="I219" s="440">
        <v>0.0</v>
      </c>
      <c r="J219" s="440">
        <v>0.0</v>
      </c>
      <c r="K219" s="440">
        <v>0.0</v>
      </c>
      <c r="L219" s="440">
        <v>0.0</v>
      </c>
    </row>
    <row r="220" ht="15.75" customHeight="1">
      <c r="A220" s="455">
        <v>548.0</v>
      </c>
      <c r="B220" s="456" t="s">
        <v>263</v>
      </c>
      <c r="C220" s="456" t="s">
        <v>42</v>
      </c>
      <c r="D220" s="439" t="str">
        <f t="shared" si="1"/>
        <v>548Pleno</v>
      </c>
      <c r="E220" s="438">
        <v>0.0</v>
      </c>
      <c r="F220" s="438">
        <v>0.0</v>
      </c>
      <c r="G220" s="440">
        <v>0.0</v>
      </c>
      <c r="H220" s="440">
        <v>0.0</v>
      </c>
      <c r="I220" s="440">
        <v>0.0</v>
      </c>
      <c r="J220" s="440">
        <v>0.0</v>
      </c>
      <c r="K220" s="440">
        <v>0.0</v>
      </c>
      <c r="L220" s="440">
        <v>0.0</v>
      </c>
    </row>
    <row r="221" ht="15.75" customHeight="1">
      <c r="A221" s="455">
        <v>548.0</v>
      </c>
      <c r="B221" s="456" t="s">
        <v>263</v>
      </c>
      <c r="C221" s="456" t="s">
        <v>54</v>
      </c>
      <c r="D221" s="439" t="str">
        <f t="shared" si="1"/>
        <v>548Sênior</v>
      </c>
      <c r="E221" s="438">
        <v>0.0</v>
      </c>
      <c r="F221" s="438">
        <v>0.0</v>
      </c>
      <c r="G221" s="440">
        <v>0.0</v>
      </c>
      <c r="H221" s="440">
        <v>0.0</v>
      </c>
      <c r="I221" s="440">
        <v>0.0</v>
      </c>
      <c r="J221" s="440">
        <v>0.0</v>
      </c>
      <c r="K221" s="440">
        <v>0.0</v>
      </c>
      <c r="L221" s="440">
        <v>0.0</v>
      </c>
    </row>
    <row r="222" ht="15.75" customHeight="1">
      <c r="A222" s="455">
        <v>548.0</v>
      </c>
      <c r="B222" s="456" t="s">
        <v>263</v>
      </c>
      <c r="C222" s="456" t="s">
        <v>402</v>
      </c>
      <c r="D222" s="439" t="str">
        <f t="shared" si="1"/>
        <v>548Master</v>
      </c>
      <c r="E222" s="438">
        <v>0.0</v>
      </c>
      <c r="F222" s="438">
        <v>0.0</v>
      </c>
      <c r="G222" s="440">
        <v>0.0</v>
      </c>
      <c r="H222" s="440">
        <v>0.0</v>
      </c>
      <c r="I222" s="440">
        <v>0.0</v>
      </c>
      <c r="J222" s="440">
        <v>0.0</v>
      </c>
      <c r="K222" s="440">
        <v>0.0</v>
      </c>
      <c r="L222" s="440">
        <v>0.0</v>
      </c>
    </row>
    <row r="223" ht="15.75" customHeight="1">
      <c r="A223" s="455">
        <v>548.0</v>
      </c>
      <c r="B223" s="456" t="s">
        <v>263</v>
      </c>
      <c r="C223" s="456" t="s">
        <v>228</v>
      </c>
      <c r="D223" s="439" t="str">
        <f t="shared" si="1"/>
        <v>548Especialista</v>
      </c>
      <c r="E223" s="438">
        <v>0.0</v>
      </c>
      <c r="F223" s="438">
        <v>0.0</v>
      </c>
      <c r="G223" s="440">
        <v>0.0</v>
      </c>
      <c r="H223" s="440">
        <v>0.0</v>
      </c>
      <c r="I223" s="440">
        <v>0.0</v>
      </c>
      <c r="J223" s="440">
        <v>0.0</v>
      </c>
      <c r="K223" s="440">
        <v>0.0</v>
      </c>
      <c r="L223" s="440">
        <v>0.0</v>
      </c>
    </row>
    <row r="224" ht="15.75" customHeight="1">
      <c r="A224" s="453">
        <v>437.0</v>
      </c>
      <c r="B224" s="458" t="s">
        <v>265</v>
      </c>
      <c r="C224" s="456" t="s">
        <v>199</v>
      </c>
      <c r="D224" s="439" t="str">
        <f t="shared" si="1"/>
        <v>437Indiferente</v>
      </c>
      <c r="E224" s="438">
        <v>3.0</v>
      </c>
      <c r="F224" s="438">
        <v>3.0</v>
      </c>
      <c r="G224" s="447">
        <v>5039.500000000061</v>
      </c>
      <c r="H224" s="447">
        <v>5955.772727272765</v>
      </c>
      <c r="I224" s="447">
        <v>6515.717171717171</v>
      </c>
      <c r="J224" s="447">
        <v>6872.0454545454695</v>
      </c>
      <c r="K224" s="447">
        <v>7253.825757575725</v>
      </c>
      <c r="L224" s="447">
        <v>7635.606060605983</v>
      </c>
    </row>
    <row r="225" ht="15.75" customHeight="1">
      <c r="A225" s="453">
        <v>437.0</v>
      </c>
      <c r="B225" s="458" t="s">
        <v>265</v>
      </c>
      <c r="C225" s="456" t="s">
        <v>61</v>
      </c>
      <c r="D225" s="439" t="str">
        <f t="shared" si="1"/>
        <v>437Júnior</v>
      </c>
      <c r="E225" s="438">
        <v>0.0</v>
      </c>
      <c r="F225" s="438">
        <v>0.0</v>
      </c>
      <c r="G225" s="440">
        <v>0.0</v>
      </c>
      <c r="H225" s="440">
        <v>0.0</v>
      </c>
      <c r="I225" s="440">
        <v>0.0</v>
      </c>
      <c r="J225" s="440">
        <v>0.0</v>
      </c>
      <c r="K225" s="440">
        <v>0.0</v>
      </c>
      <c r="L225" s="440">
        <v>0.0</v>
      </c>
    </row>
    <row r="226" ht="15.75" customHeight="1">
      <c r="A226" s="453">
        <v>437.0</v>
      </c>
      <c r="B226" s="458" t="s">
        <v>265</v>
      </c>
      <c r="C226" s="456" t="s">
        <v>42</v>
      </c>
      <c r="D226" s="439" t="str">
        <f t="shared" si="1"/>
        <v>437Pleno</v>
      </c>
      <c r="E226" s="438">
        <v>0.0</v>
      </c>
      <c r="F226" s="438">
        <v>0.0</v>
      </c>
      <c r="G226" s="440">
        <v>0.0</v>
      </c>
      <c r="H226" s="440">
        <v>0.0</v>
      </c>
      <c r="I226" s="440">
        <v>0.0</v>
      </c>
      <c r="J226" s="440">
        <v>0.0</v>
      </c>
      <c r="K226" s="440">
        <v>0.0</v>
      </c>
      <c r="L226" s="440">
        <v>0.0</v>
      </c>
    </row>
    <row r="227" ht="15.75" customHeight="1">
      <c r="A227" s="453">
        <v>437.0</v>
      </c>
      <c r="B227" s="458" t="s">
        <v>265</v>
      </c>
      <c r="C227" s="456" t="s">
        <v>54</v>
      </c>
      <c r="D227" s="439" t="str">
        <f t="shared" si="1"/>
        <v>437Sênior</v>
      </c>
      <c r="E227" s="438">
        <v>0.0</v>
      </c>
      <c r="F227" s="438">
        <v>0.0</v>
      </c>
      <c r="G227" s="440">
        <v>0.0</v>
      </c>
      <c r="H227" s="440">
        <v>0.0</v>
      </c>
      <c r="I227" s="440">
        <v>0.0</v>
      </c>
      <c r="J227" s="440">
        <v>0.0</v>
      </c>
      <c r="K227" s="440">
        <v>0.0</v>
      </c>
      <c r="L227" s="440">
        <v>0.0</v>
      </c>
    </row>
    <row r="228" ht="15.75" customHeight="1">
      <c r="A228" s="453">
        <v>437.0</v>
      </c>
      <c r="B228" s="458" t="s">
        <v>265</v>
      </c>
      <c r="C228" s="456" t="s">
        <v>402</v>
      </c>
      <c r="D228" s="439" t="str">
        <f t="shared" si="1"/>
        <v>437Master</v>
      </c>
      <c r="E228" s="438">
        <v>0.0</v>
      </c>
      <c r="F228" s="438">
        <v>0.0</v>
      </c>
      <c r="G228" s="440">
        <v>0.0</v>
      </c>
      <c r="H228" s="440">
        <v>0.0</v>
      </c>
      <c r="I228" s="440">
        <v>0.0</v>
      </c>
      <c r="J228" s="440">
        <v>0.0</v>
      </c>
      <c r="K228" s="440">
        <v>0.0</v>
      </c>
      <c r="L228" s="440">
        <v>0.0</v>
      </c>
    </row>
    <row r="229" ht="15.75" customHeight="1">
      <c r="A229" s="453">
        <v>437.0</v>
      </c>
      <c r="B229" s="458" t="s">
        <v>265</v>
      </c>
      <c r="C229" s="456" t="s">
        <v>228</v>
      </c>
      <c r="D229" s="439" t="str">
        <f t="shared" si="1"/>
        <v>437Especialista</v>
      </c>
      <c r="E229" s="438">
        <v>0.0</v>
      </c>
      <c r="F229" s="438">
        <v>0.0</v>
      </c>
      <c r="G229" s="440">
        <v>0.0</v>
      </c>
      <c r="H229" s="440">
        <v>0.0</v>
      </c>
      <c r="I229" s="440">
        <v>0.0</v>
      </c>
      <c r="J229" s="440">
        <v>0.0</v>
      </c>
      <c r="K229" s="440">
        <v>0.0</v>
      </c>
      <c r="L229" s="440">
        <v>0.0</v>
      </c>
    </row>
    <row r="230" ht="15.75" customHeight="1">
      <c r="A230" s="441">
        <v>1201.0</v>
      </c>
      <c r="B230" s="459" t="s">
        <v>267</v>
      </c>
      <c r="C230" s="442" t="s">
        <v>199</v>
      </c>
      <c r="D230" s="439" t="str">
        <f t="shared" si="1"/>
        <v>1201Indiferente</v>
      </c>
      <c r="E230" s="438">
        <v>3.0</v>
      </c>
      <c r="F230" s="438">
        <v>3.0</v>
      </c>
      <c r="G230" s="440">
        <v>2513.75</v>
      </c>
      <c r="H230" s="440">
        <v>2803.34</v>
      </c>
      <c r="I230" s="440">
        <v>3092.92</v>
      </c>
      <c r="J230" s="440">
        <v>3092.92</v>
      </c>
      <c r="K230" s="440">
        <v>3382.51</v>
      </c>
      <c r="L230" s="440">
        <v>3672.09</v>
      </c>
    </row>
    <row r="231" ht="15.75" customHeight="1">
      <c r="A231" s="441">
        <v>1201.0</v>
      </c>
      <c r="B231" s="459" t="s">
        <v>267</v>
      </c>
      <c r="C231" s="442" t="s">
        <v>61</v>
      </c>
      <c r="D231" s="439" t="str">
        <f t="shared" si="1"/>
        <v>1201Júnior</v>
      </c>
      <c r="E231" s="438">
        <v>0.0</v>
      </c>
      <c r="F231" s="438">
        <v>0.0</v>
      </c>
      <c r="G231" s="440">
        <v>0.0</v>
      </c>
      <c r="H231" s="440">
        <v>0.0</v>
      </c>
      <c r="I231" s="440">
        <v>0.0</v>
      </c>
      <c r="J231" s="440">
        <v>0.0</v>
      </c>
      <c r="K231" s="440">
        <v>0.0</v>
      </c>
      <c r="L231" s="440">
        <v>0.0</v>
      </c>
    </row>
    <row r="232" ht="15.75" customHeight="1">
      <c r="A232" s="441">
        <v>1201.0</v>
      </c>
      <c r="B232" s="459" t="s">
        <v>267</v>
      </c>
      <c r="C232" s="442" t="s">
        <v>42</v>
      </c>
      <c r="D232" s="439" t="str">
        <f t="shared" si="1"/>
        <v>1201Pleno</v>
      </c>
      <c r="E232" s="438">
        <v>0.0</v>
      </c>
      <c r="F232" s="438">
        <v>0.0</v>
      </c>
      <c r="G232" s="440">
        <v>0.0</v>
      </c>
      <c r="H232" s="440">
        <v>0.0</v>
      </c>
      <c r="I232" s="440">
        <v>0.0</v>
      </c>
      <c r="J232" s="440">
        <v>0.0</v>
      </c>
      <c r="K232" s="440">
        <v>0.0</v>
      </c>
      <c r="L232" s="440">
        <v>0.0</v>
      </c>
    </row>
    <row r="233" ht="15.75" customHeight="1">
      <c r="A233" s="441">
        <v>1201.0</v>
      </c>
      <c r="B233" s="459" t="s">
        <v>267</v>
      </c>
      <c r="C233" s="442" t="s">
        <v>54</v>
      </c>
      <c r="D233" s="439" t="str">
        <f t="shared" si="1"/>
        <v>1201Sênior</v>
      </c>
      <c r="E233" s="438">
        <v>0.0</v>
      </c>
      <c r="F233" s="438">
        <v>0.0</v>
      </c>
      <c r="G233" s="440">
        <v>0.0</v>
      </c>
      <c r="H233" s="440">
        <v>0.0</v>
      </c>
      <c r="I233" s="440">
        <v>0.0</v>
      </c>
      <c r="J233" s="440">
        <v>0.0</v>
      </c>
      <c r="K233" s="440">
        <v>0.0</v>
      </c>
      <c r="L233" s="440">
        <v>0.0</v>
      </c>
    </row>
    <row r="234" ht="15.75" customHeight="1">
      <c r="A234" s="441">
        <v>1201.0</v>
      </c>
      <c r="B234" s="459" t="s">
        <v>267</v>
      </c>
      <c r="C234" s="442" t="s">
        <v>402</v>
      </c>
      <c r="D234" s="439" t="str">
        <f t="shared" si="1"/>
        <v>1201Master</v>
      </c>
      <c r="E234" s="438">
        <v>0.0</v>
      </c>
      <c r="F234" s="438">
        <v>0.0</v>
      </c>
      <c r="G234" s="440">
        <v>0.0</v>
      </c>
      <c r="H234" s="440">
        <v>0.0</v>
      </c>
      <c r="I234" s="440">
        <v>0.0</v>
      </c>
      <c r="J234" s="440">
        <v>0.0</v>
      </c>
      <c r="K234" s="440">
        <v>0.0</v>
      </c>
      <c r="L234" s="440">
        <v>0.0</v>
      </c>
    </row>
    <row r="235" ht="15.75" customHeight="1">
      <c r="A235" s="441">
        <v>1201.0</v>
      </c>
      <c r="B235" s="459" t="s">
        <v>267</v>
      </c>
      <c r="C235" s="442" t="s">
        <v>228</v>
      </c>
      <c r="D235" s="439" t="str">
        <f t="shared" si="1"/>
        <v>1201Especialista</v>
      </c>
      <c r="E235" s="438">
        <v>0.0</v>
      </c>
      <c r="F235" s="438">
        <v>0.0</v>
      </c>
      <c r="G235" s="440">
        <v>0.0</v>
      </c>
      <c r="H235" s="440">
        <v>0.0</v>
      </c>
      <c r="I235" s="440">
        <v>0.0</v>
      </c>
      <c r="J235" s="440">
        <v>0.0</v>
      </c>
      <c r="K235" s="440">
        <v>0.0</v>
      </c>
      <c r="L235" s="440">
        <v>0.0</v>
      </c>
    </row>
    <row r="236" ht="15.75" customHeight="1">
      <c r="A236" s="441">
        <v>1203.0</v>
      </c>
      <c r="B236" s="459" t="s">
        <v>269</v>
      </c>
      <c r="C236" s="442" t="s">
        <v>199</v>
      </c>
      <c r="D236" s="439" t="str">
        <f t="shared" si="1"/>
        <v>1203Indiferente</v>
      </c>
      <c r="E236" s="438">
        <v>3.0</v>
      </c>
      <c r="F236" s="438">
        <v>3.0</v>
      </c>
      <c r="G236" s="440">
        <v>8694.57</v>
      </c>
      <c r="H236" s="440">
        <v>8783.31</v>
      </c>
      <c r="I236" s="440">
        <v>8872.04</v>
      </c>
      <c r="J236" s="440">
        <v>8872.04</v>
      </c>
      <c r="K236" s="440">
        <v>8960.78</v>
      </c>
      <c r="L236" s="440">
        <v>9049.51</v>
      </c>
    </row>
    <row r="237" ht="15.75" customHeight="1">
      <c r="A237" s="441">
        <v>1203.0</v>
      </c>
      <c r="B237" s="459" t="s">
        <v>269</v>
      </c>
      <c r="C237" s="442" t="s">
        <v>61</v>
      </c>
      <c r="D237" s="439" t="str">
        <f t="shared" si="1"/>
        <v>1203Júnior</v>
      </c>
      <c r="E237" s="438">
        <v>0.0</v>
      </c>
      <c r="F237" s="438">
        <v>0.0</v>
      </c>
      <c r="G237" s="440">
        <v>0.0</v>
      </c>
      <c r="H237" s="440">
        <v>0.0</v>
      </c>
      <c r="I237" s="440">
        <v>0.0</v>
      </c>
      <c r="J237" s="440">
        <v>0.0</v>
      </c>
      <c r="K237" s="440">
        <v>0.0</v>
      </c>
      <c r="L237" s="440">
        <v>0.0</v>
      </c>
    </row>
    <row r="238" ht="15.75" customHeight="1">
      <c r="A238" s="441">
        <v>1203.0</v>
      </c>
      <c r="B238" s="459" t="s">
        <v>269</v>
      </c>
      <c r="C238" s="442" t="s">
        <v>42</v>
      </c>
      <c r="D238" s="439" t="str">
        <f t="shared" si="1"/>
        <v>1203Pleno</v>
      </c>
      <c r="E238" s="438">
        <v>0.0</v>
      </c>
      <c r="F238" s="438">
        <v>0.0</v>
      </c>
      <c r="G238" s="440">
        <v>0.0</v>
      </c>
      <c r="H238" s="440">
        <v>0.0</v>
      </c>
      <c r="I238" s="440">
        <v>0.0</v>
      </c>
      <c r="J238" s="440">
        <v>0.0</v>
      </c>
      <c r="K238" s="440">
        <v>0.0</v>
      </c>
      <c r="L238" s="440">
        <v>0.0</v>
      </c>
    </row>
    <row r="239" ht="15.75" customHeight="1">
      <c r="A239" s="441">
        <v>1203.0</v>
      </c>
      <c r="B239" s="459" t="s">
        <v>269</v>
      </c>
      <c r="C239" s="442" t="s">
        <v>54</v>
      </c>
      <c r="D239" s="439" t="str">
        <f t="shared" si="1"/>
        <v>1203Sênior</v>
      </c>
      <c r="E239" s="438">
        <v>0.0</v>
      </c>
      <c r="F239" s="438">
        <v>0.0</v>
      </c>
      <c r="G239" s="440">
        <v>0.0</v>
      </c>
      <c r="H239" s="440">
        <v>0.0</v>
      </c>
      <c r="I239" s="440">
        <v>0.0</v>
      </c>
      <c r="J239" s="440">
        <v>0.0</v>
      </c>
      <c r="K239" s="440">
        <v>0.0</v>
      </c>
      <c r="L239" s="440">
        <v>0.0</v>
      </c>
    </row>
    <row r="240" ht="15.75" customHeight="1">
      <c r="A240" s="441">
        <v>1203.0</v>
      </c>
      <c r="B240" s="459" t="s">
        <v>269</v>
      </c>
      <c r="C240" s="442" t="s">
        <v>402</v>
      </c>
      <c r="D240" s="439" t="str">
        <f t="shared" si="1"/>
        <v>1203Master</v>
      </c>
      <c r="E240" s="438">
        <v>0.0</v>
      </c>
      <c r="F240" s="438">
        <v>0.0</v>
      </c>
      <c r="G240" s="440">
        <v>0.0</v>
      </c>
      <c r="H240" s="440">
        <v>0.0</v>
      </c>
      <c r="I240" s="440">
        <v>0.0</v>
      </c>
      <c r="J240" s="440">
        <v>0.0</v>
      </c>
      <c r="K240" s="440">
        <v>0.0</v>
      </c>
      <c r="L240" s="440">
        <v>0.0</v>
      </c>
    </row>
    <row r="241" ht="15.75" customHeight="1">
      <c r="A241" s="441">
        <v>1203.0</v>
      </c>
      <c r="B241" s="459" t="s">
        <v>269</v>
      </c>
      <c r="C241" s="442" t="s">
        <v>228</v>
      </c>
      <c r="D241" s="439" t="str">
        <f t="shared" si="1"/>
        <v>1203Especialista</v>
      </c>
      <c r="E241" s="438">
        <v>0.0</v>
      </c>
      <c r="F241" s="438">
        <v>0.0</v>
      </c>
      <c r="G241" s="440">
        <v>0.0</v>
      </c>
      <c r="H241" s="440">
        <v>0.0</v>
      </c>
      <c r="I241" s="440">
        <v>0.0</v>
      </c>
      <c r="J241" s="440">
        <v>0.0</v>
      </c>
      <c r="K241" s="440">
        <v>0.0</v>
      </c>
      <c r="L241" s="440">
        <v>0.0</v>
      </c>
    </row>
    <row r="242" ht="15.75" customHeight="1">
      <c r="A242" s="451">
        <v>45.0</v>
      </c>
      <c r="B242" s="460" t="s">
        <v>404</v>
      </c>
      <c r="C242" s="452" t="s">
        <v>199</v>
      </c>
      <c r="D242" s="439" t="str">
        <f t="shared" si="1"/>
        <v>45Indiferente</v>
      </c>
      <c r="E242" s="448">
        <v>21.0</v>
      </c>
      <c r="F242" s="448">
        <v>33.0</v>
      </c>
      <c r="G242" s="447">
        <v>2771.48</v>
      </c>
      <c r="H242" s="447">
        <v>3527.33</v>
      </c>
      <c r="I242" s="447">
        <v>4325.16</v>
      </c>
      <c r="J242" s="447">
        <v>4325.72</v>
      </c>
      <c r="K242" s="447">
        <v>4988.66</v>
      </c>
      <c r="L242" s="447">
        <v>6418.74</v>
      </c>
    </row>
    <row r="243" ht="15.75" customHeight="1">
      <c r="A243" s="451">
        <v>45.0</v>
      </c>
      <c r="B243" s="460" t="s">
        <v>404</v>
      </c>
      <c r="C243" s="452" t="s">
        <v>61</v>
      </c>
      <c r="D243" s="439" t="str">
        <f t="shared" si="1"/>
        <v>45Júnior</v>
      </c>
      <c r="E243" s="448">
        <v>6.0</v>
      </c>
      <c r="F243" s="448">
        <v>7.0</v>
      </c>
      <c r="G243" s="447">
        <v>2771.48</v>
      </c>
      <c r="H243" s="447">
        <v>2897.45</v>
      </c>
      <c r="I243" s="447">
        <v>3212.69</v>
      </c>
      <c r="J243" s="447">
        <v>3048.62</v>
      </c>
      <c r="K243" s="447">
        <v>3496.87</v>
      </c>
      <c r="L243" s="447">
        <v>3880.07</v>
      </c>
    </row>
    <row r="244" ht="15.75" customHeight="1">
      <c r="A244" s="451">
        <v>45.0</v>
      </c>
      <c r="B244" s="460" t="s">
        <v>404</v>
      </c>
      <c r="C244" s="452" t="s">
        <v>42</v>
      </c>
      <c r="D244" s="439" t="str">
        <f t="shared" si="1"/>
        <v>45Pleno</v>
      </c>
      <c r="E244" s="448">
        <v>9.0</v>
      </c>
      <c r="F244" s="448">
        <v>9.0</v>
      </c>
      <c r="G244" s="447">
        <v>3930.46</v>
      </c>
      <c r="H244" s="447">
        <v>4089.69</v>
      </c>
      <c r="I244" s="447">
        <v>4587.72</v>
      </c>
      <c r="J244" s="447">
        <v>4706.47</v>
      </c>
      <c r="K244" s="447">
        <v>4988.66</v>
      </c>
      <c r="L244" s="447">
        <v>5542.95</v>
      </c>
    </row>
    <row r="245" ht="15.75" customHeight="1">
      <c r="A245" s="451">
        <v>45.0</v>
      </c>
      <c r="B245" s="460" t="s">
        <v>404</v>
      </c>
      <c r="C245" s="452" t="s">
        <v>54</v>
      </c>
      <c r="D245" s="439" t="str">
        <f t="shared" si="1"/>
        <v>45Sênior</v>
      </c>
      <c r="E245" s="448">
        <v>4.0</v>
      </c>
      <c r="F245" s="448">
        <v>4.0</v>
      </c>
      <c r="G245" s="447">
        <v>4160.24</v>
      </c>
      <c r="H245" s="447">
        <v>5716.93</v>
      </c>
      <c r="I245" s="447">
        <v>5945.35</v>
      </c>
      <c r="J245" s="447">
        <v>6327.28</v>
      </c>
      <c r="K245" s="447">
        <v>6555.71</v>
      </c>
      <c r="L245" s="447">
        <v>6966.62</v>
      </c>
    </row>
    <row r="246" ht="15.75" customHeight="1">
      <c r="A246" s="451">
        <v>45.0</v>
      </c>
      <c r="B246" s="460" t="s">
        <v>404</v>
      </c>
      <c r="C246" s="452" t="s">
        <v>402</v>
      </c>
      <c r="D246" s="439" t="str">
        <f t="shared" si="1"/>
        <v>45Master</v>
      </c>
      <c r="E246" s="448">
        <v>0.0</v>
      </c>
      <c r="F246" s="448">
        <v>0.0</v>
      </c>
      <c r="G246" s="447">
        <v>0.0</v>
      </c>
      <c r="H246" s="447">
        <v>0.0</v>
      </c>
      <c r="I246" s="447">
        <v>0.0</v>
      </c>
      <c r="J246" s="447">
        <v>0.0</v>
      </c>
      <c r="K246" s="447">
        <v>0.0</v>
      </c>
      <c r="L246" s="447">
        <v>0.0</v>
      </c>
    </row>
    <row r="247" ht="15.75" customHeight="1">
      <c r="A247" s="451">
        <v>45.0</v>
      </c>
      <c r="B247" s="460" t="s">
        <v>404</v>
      </c>
      <c r="C247" s="452" t="s">
        <v>228</v>
      </c>
      <c r="D247" s="439" t="str">
        <f t="shared" si="1"/>
        <v>45Especialista</v>
      </c>
      <c r="E247" s="448">
        <v>1.0</v>
      </c>
      <c r="F247" s="448">
        <v>1.0</v>
      </c>
      <c r="G247" s="447">
        <v>15213.55</v>
      </c>
      <c r="H247" s="447">
        <v>15213.55</v>
      </c>
      <c r="I247" s="447">
        <v>15213.55</v>
      </c>
      <c r="J247" s="447">
        <v>15213.55</v>
      </c>
      <c r="K247" s="447">
        <v>15213.55</v>
      </c>
      <c r="L247" s="447">
        <v>15213.55</v>
      </c>
    </row>
    <row r="248" ht="15.75" customHeight="1">
      <c r="A248" s="451">
        <v>56.0</v>
      </c>
      <c r="B248" s="460" t="s">
        <v>277</v>
      </c>
      <c r="C248" s="452" t="s">
        <v>199</v>
      </c>
      <c r="D248" s="439" t="str">
        <f t="shared" si="1"/>
        <v>56Indiferente</v>
      </c>
      <c r="E248" s="448">
        <v>41.0</v>
      </c>
      <c r="F248" s="448">
        <v>50.0</v>
      </c>
      <c r="G248" s="447">
        <v>5322.81</v>
      </c>
      <c r="H248" s="447">
        <v>7141.59</v>
      </c>
      <c r="I248" s="447">
        <v>7927.07</v>
      </c>
      <c r="J248" s="447">
        <v>7958.59</v>
      </c>
      <c r="K248" s="447">
        <v>8825.19</v>
      </c>
      <c r="L248" s="447">
        <v>10531.61</v>
      </c>
    </row>
    <row r="249" ht="15.75" customHeight="1">
      <c r="A249" s="451">
        <v>56.0</v>
      </c>
      <c r="B249" s="460" t="s">
        <v>277</v>
      </c>
      <c r="C249" s="452" t="s">
        <v>61</v>
      </c>
      <c r="D249" s="439" t="str">
        <f t="shared" si="1"/>
        <v>56Júnior</v>
      </c>
      <c r="E249" s="448">
        <v>5.0</v>
      </c>
      <c r="F249" s="448">
        <v>7.0</v>
      </c>
      <c r="G249" s="447">
        <v>4856.68</v>
      </c>
      <c r="H249" s="447">
        <v>5266.05</v>
      </c>
      <c r="I249" s="447">
        <v>6403.55</v>
      </c>
      <c r="J249" s="447">
        <v>6866.1</v>
      </c>
      <c r="K249" s="447">
        <v>7404.92</v>
      </c>
      <c r="L249" s="447">
        <v>7760.14</v>
      </c>
    </row>
    <row r="250" ht="15.75" customHeight="1">
      <c r="A250" s="451">
        <v>56.0</v>
      </c>
      <c r="B250" s="460" t="s">
        <v>277</v>
      </c>
      <c r="C250" s="452" t="s">
        <v>42</v>
      </c>
      <c r="D250" s="439" t="str">
        <f t="shared" si="1"/>
        <v>56Pleno</v>
      </c>
      <c r="E250" s="448">
        <v>5.0</v>
      </c>
      <c r="F250" s="448">
        <v>6.0</v>
      </c>
      <c r="G250" s="447">
        <v>4242.19</v>
      </c>
      <c r="H250" s="447">
        <v>5011.52</v>
      </c>
      <c r="I250" s="447">
        <v>5806.6</v>
      </c>
      <c r="J250" s="447">
        <v>5237.36</v>
      </c>
      <c r="K250" s="447">
        <v>6961.84</v>
      </c>
      <c r="L250" s="447">
        <v>7649.78</v>
      </c>
    </row>
    <row r="251" ht="15.75" customHeight="1">
      <c r="A251" s="451">
        <v>56.0</v>
      </c>
      <c r="B251" s="460" t="s">
        <v>277</v>
      </c>
      <c r="C251" s="452" t="s">
        <v>54</v>
      </c>
      <c r="D251" s="439" t="str">
        <f t="shared" si="1"/>
        <v>56Sênior</v>
      </c>
      <c r="E251" s="448">
        <v>4.0</v>
      </c>
      <c r="F251" s="448">
        <v>4.0</v>
      </c>
      <c r="G251" s="447">
        <v>8868.73</v>
      </c>
      <c r="H251" s="447">
        <v>9397.83</v>
      </c>
      <c r="I251" s="447">
        <v>10265.78</v>
      </c>
      <c r="J251" s="447">
        <v>9801.11</v>
      </c>
      <c r="K251" s="447">
        <v>10669.07</v>
      </c>
      <c r="L251" s="447">
        <v>12592.17</v>
      </c>
    </row>
    <row r="252" ht="15.75" customHeight="1">
      <c r="A252" s="451">
        <v>56.0</v>
      </c>
      <c r="B252" s="460" t="s">
        <v>277</v>
      </c>
      <c r="C252" s="452" t="s">
        <v>402</v>
      </c>
      <c r="D252" s="439" t="str">
        <f t="shared" si="1"/>
        <v>56Master</v>
      </c>
      <c r="E252" s="448">
        <v>0.0</v>
      </c>
      <c r="F252" s="448">
        <v>0.0</v>
      </c>
      <c r="G252" s="447">
        <v>0.0</v>
      </c>
      <c r="H252" s="447">
        <v>0.0</v>
      </c>
      <c r="I252" s="447">
        <v>0.0</v>
      </c>
      <c r="J252" s="447">
        <v>0.0</v>
      </c>
      <c r="K252" s="447">
        <v>0.0</v>
      </c>
      <c r="L252" s="447">
        <v>0.0</v>
      </c>
    </row>
    <row r="253" ht="15.75" customHeight="1">
      <c r="A253" s="451">
        <v>56.0</v>
      </c>
      <c r="B253" s="460" t="s">
        <v>277</v>
      </c>
      <c r="C253" s="452" t="s">
        <v>228</v>
      </c>
      <c r="D253" s="439" t="str">
        <f t="shared" si="1"/>
        <v>56Especialista</v>
      </c>
      <c r="E253" s="448">
        <v>1.0</v>
      </c>
      <c r="F253" s="448">
        <v>2.0</v>
      </c>
      <c r="G253" s="447">
        <v>13735.58</v>
      </c>
      <c r="H253" s="447">
        <v>13735.58</v>
      </c>
      <c r="I253" s="447">
        <v>13735.58</v>
      </c>
      <c r="J253" s="447">
        <v>13735.58</v>
      </c>
      <c r="K253" s="447">
        <v>13735.58</v>
      </c>
      <c r="L253" s="447">
        <v>13735.58</v>
      </c>
    </row>
    <row r="254" ht="15.75" customHeight="1">
      <c r="A254" s="438">
        <v>376.0</v>
      </c>
      <c r="B254" s="461" t="s">
        <v>282</v>
      </c>
      <c r="C254" s="425" t="s">
        <v>199</v>
      </c>
      <c r="D254" s="439" t="str">
        <f t="shared" si="1"/>
        <v>376Indiferente</v>
      </c>
      <c r="E254" s="438">
        <v>3.0</v>
      </c>
      <c r="F254" s="438">
        <v>9.0</v>
      </c>
      <c r="G254" s="440">
        <v>2872.56</v>
      </c>
      <c r="H254" s="440">
        <v>3241.46</v>
      </c>
      <c r="I254" s="440">
        <v>3918.59</v>
      </c>
      <c r="J254" s="440">
        <v>3830.08</v>
      </c>
      <c r="K254" s="440">
        <v>4233.24</v>
      </c>
      <c r="L254" s="440">
        <v>5820.01</v>
      </c>
    </row>
    <row r="255" ht="15.75" customHeight="1">
      <c r="A255" s="438">
        <v>376.0</v>
      </c>
      <c r="B255" s="461" t="s">
        <v>282</v>
      </c>
      <c r="C255" s="425" t="s">
        <v>61</v>
      </c>
      <c r="D255" s="439" t="str">
        <f t="shared" si="1"/>
        <v>376Júnior</v>
      </c>
      <c r="E255" s="438">
        <v>2.0</v>
      </c>
      <c r="F255" s="438">
        <v>2.0</v>
      </c>
      <c r="G255" s="440">
        <v>0.0</v>
      </c>
      <c r="H255" s="440">
        <v>0.0</v>
      </c>
      <c r="I255" s="440">
        <v>0.0</v>
      </c>
      <c r="J255" s="440">
        <v>0.0</v>
      </c>
      <c r="K255" s="440">
        <v>0.0</v>
      </c>
      <c r="L255" s="440">
        <v>0.0</v>
      </c>
    </row>
    <row r="256" ht="15.75" customHeight="1">
      <c r="A256" s="438">
        <v>376.0</v>
      </c>
      <c r="B256" s="461" t="s">
        <v>282</v>
      </c>
      <c r="C256" s="425" t="s">
        <v>42</v>
      </c>
      <c r="D256" s="439" t="str">
        <f t="shared" si="1"/>
        <v>376Pleno</v>
      </c>
      <c r="E256" s="438">
        <v>2.0</v>
      </c>
      <c r="F256" s="438">
        <v>5.0</v>
      </c>
      <c r="G256" s="440">
        <v>0.0</v>
      </c>
      <c r="H256" s="440">
        <v>0.0</v>
      </c>
      <c r="I256" s="440">
        <v>0.0</v>
      </c>
      <c r="J256" s="440">
        <v>0.0</v>
      </c>
      <c r="K256" s="440">
        <v>0.0</v>
      </c>
      <c r="L256" s="440">
        <v>0.0</v>
      </c>
    </row>
    <row r="257" ht="15.75" customHeight="1">
      <c r="A257" s="438">
        <v>376.0</v>
      </c>
      <c r="B257" s="461" t="s">
        <v>282</v>
      </c>
      <c r="C257" s="425" t="s">
        <v>54</v>
      </c>
      <c r="D257" s="439" t="str">
        <f t="shared" si="1"/>
        <v>376Sênior</v>
      </c>
      <c r="E257" s="438">
        <v>0.0</v>
      </c>
      <c r="F257" s="438">
        <v>0.0</v>
      </c>
      <c r="G257" s="440">
        <v>0.0</v>
      </c>
      <c r="H257" s="440">
        <v>0.0</v>
      </c>
      <c r="I257" s="440">
        <v>0.0</v>
      </c>
      <c r="J257" s="440">
        <v>0.0</v>
      </c>
      <c r="K257" s="440">
        <v>0.0</v>
      </c>
      <c r="L257" s="440">
        <v>0.0</v>
      </c>
    </row>
    <row r="258" ht="15.75" customHeight="1">
      <c r="A258" s="438">
        <v>376.0</v>
      </c>
      <c r="B258" s="461" t="s">
        <v>282</v>
      </c>
      <c r="C258" s="425" t="s">
        <v>402</v>
      </c>
      <c r="D258" s="439" t="str">
        <f t="shared" si="1"/>
        <v>376Master</v>
      </c>
      <c r="E258" s="438">
        <v>0.0</v>
      </c>
      <c r="F258" s="438">
        <v>0.0</v>
      </c>
      <c r="G258" s="440">
        <v>0.0</v>
      </c>
      <c r="H258" s="440">
        <v>0.0</v>
      </c>
      <c r="I258" s="440">
        <v>0.0</v>
      </c>
      <c r="J258" s="440">
        <v>0.0</v>
      </c>
      <c r="K258" s="440">
        <v>0.0</v>
      </c>
      <c r="L258" s="440">
        <v>0.0</v>
      </c>
    </row>
    <row r="259" ht="15.75" customHeight="1">
      <c r="A259" s="438">
        <v>376.0</v>
      </c>
      <c r="B259" s="461" t="s">
        <v>282</v>
      </c>
      <c r="C259" s="425" t="s">
        <v>228</v>
      </c>
      <c r="D259" s="439" t="str">
        <f t="shared" si="1"/>
        <v>376Especialista</v>
      </c>
      <c r="E259" s="438">
        <v>0.0</v>
      </c>
      <c r="F259" s="438">
        <v>0.0</v>
      </c>
      <c r="G259" s="440">
        <v>0.0</v>
      </c>
      <c r="H259" s="440">
        <v>0.0</v>
      </c>
      <c r="I259" s="440">
        <v>0.0</v>
      </c>
      <c r="J259" s="440">
        <v>0.0</v>
      </c>
      <c r="K259" s="440">
        <v>0.0</v>
      </c>
      <c r="L259" s="440">
        <v>0.0</v>
      </c>
    </row>
    <row r="260" ht="15.75" customHeight="1">
      <c r="A260" s="451">
        <v>318.0</v>
      </c>
      <c r="B260" s="460" t="s">
        <v>284</v>
      </c>
      <c r="C260" s="452" t="s">
        <v>199</v>
      </c>
      <c r="D260" s="439" t="str">
        <f t="shared" si="1"/>
        <v>318Indiferente</v>
      </c>
      <c r="E260" s="439">
        <v>6.0</v>
      </c>
      <c r="F260" s="448">
        <v>8.0</v>
      </c>
      <c r="G260" s="447">
        <v>1731.3</v>
      </c>
      <c r="H260" s="447">
        <v>1778.55</v>
      </c>
      <c r="I260" s="447">
        <v>2041.06</v>
      </c>
      <c r="J260" s="447">
        <v>2052.94</v>
      </c>
      <c r="K260" s="447">
        <v>2169.15</v>
      </c>
      <c r="L260" s="447">
        <v>2574.08</v>
      </c>
    </row>
    <row r="261" ht="15.75" customHeight="1">
      <c r="A261" s="451">
        <v>318.0</v>
      </c>
      <c r="B261" s="460" t="s">
        <v>284</v>
      </c>
      <c r="C261" s="452" t="s">
        <v>61</v>
      </c>
      <c r="D261" s="439" t="str">
        <f t="shared" si="1"/>
        <v>318Júnior</v>
      </c>
      <c r="E261" s="439">
        <v>0.0</v>
      </c>
      <c r="F261" s="448">
        <v>0.0</v>
      </c>
      <c r="G261" s="447">
        <v>0.0</v>
      </c>
      <c r="H261" s="447">
        <v>0.0</v>
      </c>
      <c r="I261" s="447">
        <v>0.0</v>
      </c>
      <c r="J261" s="447">
        <v>0.0</v>
      </c>
      <c r="K261" s="447">
        <v>0.0</v>
      </c>
      <c r="L261" s="447">
        <v>0.0</v>
      </c>
    </row>
    <row r="262" ht="15.75" customHeight="1">
      <c r="A262" s="451">
        <v>318.0</v>
      </c>
      <c r="B262" s="460" t="s">
        <v>284</v>
      </c>
      <c r="C262" s="452" t="s">
        <v>42</v>
      </c>
      <c r="D262" s="439" t="str">
        <f t="shared" si="1"/>
        <v>318Pleno</v>
      </c>
      <c r="E262" s="439">
        <v>0.0</v>
      </c>
      <c r="F262" s="448">
        <v>0.0</v>
      </c>
      <c r="G262" s="447">
        <v>0.0</v>
      </c>
      <c r="H262" s="447">
        <v>0.0</v>
      </c>
      <c r="I262" s="447">
        <v>0.0</v>
      </c>
      <c r="J262" s="447">
        <v>0.0</v>
      </c>
      <c r="K262" s="447">
        <v>0.0</v>
      </c>
      <c r="L262" s="447">
        <v>0.0</v>
      </c>
    </row>
    <row r="263" ht="15.75" customHeight="1">
      <c r="A263" s="451">
        <v>318.0</v>
      </c>
      <c r="B263" s="460" t="s">
        <v>284</v>
      </c>
      <c r="C263" s="452" t="s">
        <v>54</v>
      </c>
      <c r="D263" s="439" t="str">
        <f t="shared" si="1"/>
        <v>318Sênior</v>
      </c>
      <c r="E263" s="439">
        <v>0.0</v>
      </c>
      <c r="F263" s="448">
        <v>0.0</v>
      </c>
      <c r="G263" s="447">
        <v>0.0</v>
      </c>
      <c r="H263" s="447">
        <v>0.0</v>
      </c>
      <c r="I263" s="447">
        <v>0.0</v>
      </c>
      <c r="J263" s="447">
        <v>0.0</v>
      </c>
      <c r="K263" s="447">
        <v>0.0</v>
      </c>
      <c r="L263" s="447">
        <v>0.0</v>
      </c>
    </row>
    <row r="264" ht="15.75" customHeight="1">
      <c r="A264" s="451">
        <v>318.0</v>
      </c>
      <c r="B264" s="460" t="s">
        <v>284</v>
      </c>
      <c r="C264" s="452" t="s">
        <v>402</v>
      </c>
      <c r="D264" s="439" t="str">
        <f t="shared" si="1"/>
        <v>318Master</v>
      </c>
      <c r="E264" s="439">
        <v>0.0</v>
      </c>
      <c r="F264" s="448">
        <v>0.0</v>
      </c>
      <c r="G264" s="447">
        <v>0.0</v>
      </c>
      <c r="H264" s="447">
        <v>0.0</v>
      </c>
      <c r="I264" s="447">
        <v>0.0</v>
      </c>
      <c r="J264" s="447">
        <v>0.0</v>
      </c>
      <c r="K264" s="447">
        <v>0.0</v>
      </c>
      <c r="L264" s="447">
        <v>0.0</v>
      </c>
    </row>
    <row r="265" ht="15.75" customHeight="1">
      <c r="A265" s="451">
        <v>318.0</v>
      </c>
      <c r="B265" s="460" t="s">
        <v>284</v>
      </c>
      <c r="C265" s="452" t="s">
        <v>228</v>
      </c>
      <c r="D265" s="439" t="str">
        <f t="shared" si="1"/>
        <v>318Especialista</v>
      </c>
      <c r="E265" s="439">
        <v>0.0</v>
      </c>
      <c r="F265" s="448">
        <v>0.0</v>
      </c>
      <c r="G265" s="447">
        <v>0.0</v>
      </c>
      <c r="H265" s="447">
        <v>0.0</v>
      </c>
      <c r="I265" s="447">
        <v>0.0</v>
      </c>
      <c r="J265" s="447">
        <v>0.0</v>
      </c>
      <c r="K265" s="447">
        <v>0.0</v>
      </c>
      <c r="L265" s="447">
        <v>0.0</v>
      </c>
    </row>
    <row r="266" ht="15.75" customHeight="1">
      <c r="A266" s="451">
        <v>31.0</v>
      </c>
      <c r="B266" s="460" t="s">
        <v>290</v>
      </c>
      <c r="C266" s="452" t="s">
        <v>199</v>
      </c>
      <c r="D266" s="439" t="str">
        <f t="shared" si="1"/>
        <v>31Indiferente</v>
      </c>
      <c r="E266" s="448">
        <v>12.0</v>
      </c>
      <c r="F266" s="448">
        <v>30.0</v>
      </c>
      <c r="G266" s="447">
        <v>2010.58</v>
      </c>
      <c r="H266" s="447">
        <v>2066.4</v>
      </c>
      <c r="I266" s="447">
        <v>2589.89</v>
      </c>
      <c r="J266" s="447">
        <v>2413.7</v>
      </c>
      <c r="K266" s="447">
        <v>3121.21</v>
      </c>
      <c r="L266" s="447">
        <v>3521.6</v>
      </c>
    </row>
    <row r="267" ht="15.75" customHeight="1">
      <c r="A267" s="451">
        <v>31.0</v>
      </c>
      <c r="B267" s="460" t="s">
        <v>290</v>
      </c>
      <c r="C267" s="452" t="s">
        <v>61</v>
      </c>
      <c r="D267" s="439" t="str">
        <f t="shared" si="1"/>
        <v>31Júnior</v>
      </c>
      <c r="E267" s="448">
        <v>4.0</v>
      </c>
      <c r="F267" s="448">
        <v>16.0</v>
      </c>
      <c r="G267" s="447">
        <v>2010.58</v>
      </c>
      <c r="H267" s="447">
        <v>2014.36</v>
      </c>
      <c r="I267" s="447">
        <v>2154.04</v>
      </c>
      <c r="J267" s="447">
        <v>2081.81</v>
      </c>
      <c r="K267" s="447">
        <v>2226.5</v>
      </c>
      <c r="L267" s="447">
        <v>2640.81</v>
      </c>
    </row>
    <row r="268" ht="15.75" customHeight="1">
      <c r="A268" s="451">
        <v>31.0</v>
      </c>
      <c r="B268" s="460" t="s">
        <v>290</v>
      </c>
      <c r="C268" s="452" t="s">
        <v>42</v>
      </c>
      <c r="D268" s="439" t="str">
        <f t="shared" si="1"/>
        <v>31Pleno</v>
      </c>
      <c r="E268" s="448">
        <v>0.0</v>
      </c>
      <c r="F268" s="448">
        <v>0.0</v>
      </c>
      <c r="G268" s="447">
        <v>0.0</v>
      </c>
      <c r="H268" s="447">
        <v>0.0</v>
      </c>
      <c r="I268" s="447">
        <v>0.0</v>
      </c>
      <c r="J268" s="447">
        <v>0.0</v>
      </c>
      <c r="K268" s="447">
        <v>0.0</v>
      </c>
      <c r="L268" s="447">
        <v>0.0</v>
      </c>
    </row>
    <row r="269" ht="15.75" customHeight="1">
      <c r="A269" s="451">
        <v>31.0</v>
      </c>
      <c r="B269" s="460" t="s">
        <v>290</v>
      </c>
      <c r="C269" s="452" t="s">
        <v>54</v>
      </c>
      <c r="D269" s="439" t="str">
        <f t="shared" si="1"/>
        <v>31Sênior</v>
      </c>
      <c r="E269" s="448">
        <v>2.0</v>
      </c>
      <c r="F269" s="448">
        <v>3.0</v>
      </c>
      <c r="G269" s="447">
        <v>3521.6</v>
      </c>
      <c r="H269" s="447">
        <v>4476.92</v>
      </c>
      <c r="I269" s="447">
        <v>4961.99</v>
      </c>
      <c r="J269" s="447">
        <v>5432.24</v>
      </c>
      <c r="K269" s="447">
        <v>5682.19</v>
      </c>
      <c r="L269" s="447">
        <v>5932.14</v>
      </c>
    </row>
    <row r="270" ht="15.75" customHeight="1">
      <c r="A270" s="451">
        <v>31.0</v>
      </c>
      <c r="B270" s="460" t="s">
        <v>290</v>
      </c>
      <c r="C270" s="452" t="s">
        <v>402</v>
      </c>
      <c r="D270" s="439" t="str">
        <f t="shared" si="1"/>
        <v>31Master</v>
      </c>
      <c r="E270" s="448">
        <v>0.0</v>
      </c>
      <c r="F270" s="448">
        <v>0.0</v>
      </c>
      <c r="G270" s="447">
        <v>0.0</v>
      </c>
      <c r="H270" s="447">
        <v>0.0</v>
      </c>
      <c r="I270" s="447">
        <v>0.0</v>
      </c>
      <c r="J270" s="447">
        <v>0.0</v>
      </c>
      <c r="K270" s="447">
        <v>0.0</v>
      </c>
      <c r="L270" s="447">
        <v>0.0</v>
      </c>
    </row>
    <row r="271" ht="15.75" customHeight="1">
      <c r="A271" s="451">
        <v>31.0</v>
      </c>
      <c r="B271" s="460" t="s">
        <v>290</v>
      </c>
      <c r="C271" s="452" t="s">
        <v>228</v>
      </c>
      <c r="D271" s="439" t="str">
        <f t="shared" si="1"/>
        <v>31Especialista</v>
      </c>
      <c r="E271" s="448">
        <v>0.0</v>
      </c>
      <c r="F271" s="448">
        <v>0.0</v>
      </c>
      <c r="G271" s="447">
        <v>0.0</v>
      </c>
      <c r="H271" s="447">
        <v>0.0</v>
      </c>
      <c r="I271" s="447">
        <v>0.0</v>
      </c>
      <c r="J271" s="447">
        <v>0.0</v>
      </c>
      <c r="K271" s="447">
        <v>0.0</v>
      </c>
      <c r="L271" s="447">
        <v>0.0</v>
      </c>
    </row>
    <row r="272" ht="15.75" customHeight="1">
      <c r="A272" s="455">
        <v>473.0</v>
      </c>
      <c r="B272" s="456" t="s">
        <v>300</v>
      </c>
      <c r="C272" s="454" t="s">
        <v>199</v>
      </c>
      <c r="D272" s="439" t="str">
        <f t="shared" si="1"/>
        <v>473Indiferente</v>
      </c>
      <c r="E272" s="438">
        <v>3.0</v>
      </c>
      <c r="F272" s="438">
        <v>3.0</v>
      </c>
      <c r="G272" s="440">
        <v>9162.73</v>
      </c>
      <c r="H272" s="440">
        <v>14601.4</v>
      </c>
      <c r="I272" s="440">
        <v>19151.52</v>
      </c>
      <c r="J272" s="440">
        <v>20040.08</v>
      </c>
      <c r="K272" s="440">
        <v>24145.91</v>
      </c>
      <c r="L272" s="440">
        <v>28251.74</v>
      </c>
    </row>
    <row r="273" ht="15.75" customHeight="1">
      <c r="A273" s="455">
        <v>473.0</v>
      </c>
      <c r="B273" s="456" t="s">
        <v>300</v>
      </c>
      <c r="C273" s="454" t="s">
        <v>61</v>
      </c>
      <c r="D273" s="439" t="str">
        <f t="shared" si="1"/>
        <v>473Júnior</v>
      </c>
      <c r="E273" s="448">
        <v>0.0</v>
      </c>
      <c r="F273" s="448">
        <v>0.0</v>
      </c>
      <c r="G273" s="447">
        <v>0.0</v>
      </c>
      <c r="H273" s="447">
        <v>0.0</v>
      </c>
      <c r="I273" s="447">
        <v>0.0</v>
      </c>
      <c r="J273" s="447">
        <v>0.0</v>
      </c>
      <c r="K273" s="447">
        <v>0.0</v>
      </c>
      <c r="L273" s="447">
        <v>0.0</v>
      </c>
    </row>
    <row r="274" ht="15.75" customHeight="1">
      <c r="A274" s="455">
        <v>473.0</v>
      </c>
      <c r="B274" s="456" t="s">
        <v>300</v>
      </c>
      <c r="C274" s="454" t="s">
        <v>42</v>
      </c>
      <c r="D274" s="439" t="str">
        <f t="shared" si="1"/>
        <v>473Pleno</v>
      </c>
      <c r="E274" s="448">
        <v>0.0</v>
      </c>
      <c r="F274" s="448">
        <v>0.0</v>
      </c>
      <c r="G274" s="447">
        <v>0.0</v>
      </c>
      <c r="H274" s="447">
        <v>0.0</v>
      </c>
      <c r="I274" s="447">
        <v>0.0</v>
      </c>
      <c r="J274" s="447">
        <v>0.0</v>
      </c>
      <c r="K274" s="447">
        <v>0.0</v>
      </c>
      <c r="L274" s="447">
        <v>0.0</v>
      </c>
    </row>
    <row r="275" ht="15.75" customHeight="1">
      <c r="A275" s="455">
        <v>473.0</v>
      </c>
      <c r="B275" s="456" t="s">
        <v>300</v>
      </c>
      <c r="C275" s="454" t="s">
        <v>54</v>
      </c>
      <c r="D275" s="439" t="str">
        <f t="shared" si="1"/>
        <v>473Sênior</v>
      </c>
      <c r="E275" s="448">
        <v>0.0</v>
      </c>
      <c r="F275" s="448">
        <v>0.0</v>
      </c>
      <c r="G275" s="447">
        <v>0.0</v>
      </c>
      <c r="H275" s="447">
        <v>0.0</v>
      </c>
      <c r="I275" s="447">
        <v>0.0</v>
      </c>
      <c r="J275" s="447">
        <v>0.0</v>
      </c>
      <c r="K275" s="447">
        <v>0.0</v>
      </c>
      <c r="L275" s="447">
        <v>0.0</v>
      </c>
    </row>
    <row r="276" ht="15.75" customHeight="1">
      <c r="A276" s="455">
        <v>473.0</v>
      </c>
      <c r="B276" s="456" t="s">
        <v>300</v>
      </c>
      <c r="C276" s="454" t="s">
        <v>402</v>
      </c>
      <c r="D276" s="439" t="str">
        <f t="shared" si="1"/>
        <v>473Master</v>
      </c>
      <c r="E276" s="448">
        <v>0.0</v>
      </c>
      <c r="F276" s="448">
        <v>0.0</v>
      </c>
      <c r="G276" s="447">
        <v>0.0</v>
      </c>
      <c r="H276" s="447">
        <v>0.0</v>
      </c>
      <c r="I276" s="447">
        <v>0.0</v>
      </c>
      <c r="J276" s="447">
        <v>0.0</v>
      </c>
      <c r="K276" s="447">
        <v>0.0</v>
      </c>
      <c r="L276" s="447">
        <v>0.0</v>
      </c>
    </row>
    <row r="277" ht="15.75" customHeight="1">
      <c r="A277" s="455">
        <v>473.0</v>
      </c>
      <c r="B277" s="456" t="s">
        <v>300</v>
      </c>
      <c r="C277" s="454" t="s">
        <v>228</v>
      </c>
      <c r="D277" s="439" t="str">
        <f t="shared" si="1"/>
        <v>473Especialista</v>
      </c>
      <c r="E277" s="448">
        <v>0.0</v>
      </c>
      <c r="F277" s="448">
        <v>0.0</v>
      </c>
      <c r="G277" s="447">
        <v>0.0</v>
      </c>
      <c r="H277" s="447">
        <v>0.0</v>
      </c>
      <c r="I277" s="447">
        <v>0.0</v>
      </c>
      <c r="J277" s="447">
        <v>0.0</v>
      </c>
      <c r="K277" s="447">
        <v>0.0</v>
      </c>
      <c r="L277" s="447">
        <v>0.0</v>
      </c>
    </row>
    <row r="278" ht="15.75" customHeight="1">
      <c r="A278" s="443">
        <v>1204.0</v>
      </c>
      <c r="B278" s="444" t="s">
        <v>298</v>
      </c>
      <c r="C278" s="444" t="s">
        <v>199</v>
      </c>
      <c r="D278" s="439" t="str">
        <f t="shared" si="1"/>
        <v>1204Indiferente</v>
      </c>
      <c r="E278" s="438">
        <v>5.0</v>
      </c>
      <c r="F278" s="438">
        <v>21.0</v>
      </c>
      <c r="G278" s="447">
        <f>2217.38*150/220</f>
        <v>1511.85</v>
      </c>
      <c r="H278" s="447">
        <f>2294.24917333341*150/220</f>
        <v>1564.2608</v>
      </c>
      <c r="I278" s="447">
        <f>2510.21494603174*150/220</f>
        <v>1711.51019</v>
      </c>
      <c r="J278" s="447">
        <f>2402.16166666659*150/220</f>
        <v>1637.8375</v>
      </c>
      <c r="K278" s="447">
        <f>2660.856*150/220</f>
        <v>1814.22</v>
      </c>
      <c r="L278" s="447">
        <f>3326.07*150/220</f>
        <v>2267.775</v>
      </c>
    </row>
    <row r="279" ht="15.75" customHeight="1">
      <c r="A279" s="443">
        <v>1204.0</v>
      </c>
      <c r="B279" s="444" t="s">
        <v>298</v>
      </c>
      <c r="C279" s="444" t="s">
        <v>61</v>
      </c>
      <c r="D279" s="439" t="str">
        <f t="shared" si="1"/>
        <v>1204Júnior</v>
      </c>
      <c r="E279" s="448">
        <v>0.0</v>
      </c>
      <c r="F279" s="448">
        <v>0.0</v>
      </c>
      <c r="G279" s="447">
        <v>0.0</v>
      </c>
      <c r="H279" s="447">
        <v>0.0</v>
      </c>
      <c r="I279" s="447">
        <v>0.0</v>
      </c>
      <c r="J279" s="447">
        <v>0.0</v>
      </c>
      <c r="K279" s="447">
        <v>0.0</v>
      </c>
      <c r="L279" s="447">
        <v>0.0</v>
      </c>
    </row>
    <row r="280" ht="15.75" customHeight="1">
      <c r="A280" s="443">
        <v>1204.0</v>
      </c>
      <c r="B280" s="444" t="s">
        <v>298</v>
      </c>
      <c r="C280" s="444" t="s">
        <v>42</v>
      </c>
      <c r="D280" s="439" t="str">
        <f t="shared" si="1"/>
        <v>1204Pleno</v>
      </c>
      <c r="E280" s="448">
        <v>0.0</v>
      </c>
      <c r="F280" s="448">
        <v>0.0</v>
      </c>
      <c r="G280" s="447">
        <v>0.0</v>
      </c>
      <c r="H280" s="447">
        <v>0.0</v>
      </c>
      <c r="I280" s="447">
        <v>0.0</v>
      </c>
      <c r="J280" s="447">
        <v>0.0</v>
      </c>
      <c r="K280" s="447">
        <v>0.0</v>
      </c>
      <c r="L280" s="447">
        <v>0.0</v>
      </c>
    </row>
    <row r="281" ht="15.75" customHeight="1">
      <c r="A281" s="443">
        <v>1204.0</v>
      </c>
      <c r="B281" s="444" t="s">
        <v>298</v>
      </c>
      <c r="C281" s="444" t="s">
        <v>54</v>
      </c>
      <c r="D281" s="439" t="str">
        <f t="shared" si="1"/>
        <v>1204Sênior</v>
      </c>
      <c r="E281" s="448">
        <v>0.0</v>
      </c>
      <c r="F281" s="448">
        <v>0.0</v>
      </c>
      <c r="G281" s="447">
        <v>0.0</v>
      </c>
      <c r="H281" s="447">
        <v>0.0</v>
      </c>
      <c r="I281" s="447">
        <v>0.0</v>
      </c>
      <c r="J281" s="447">
        <v>0.0</v>
      </c>
      <c r="K281" s="447">
        <v>0.0</v>
      </c>
      <c r="L281" s="447">
        <v>0.0</v>
      </c>
    </row>
    <row r="282" ht="15.75" customHeight="1">
      <c r="A282" s="443">
        <v>1204.0</v>
      </c>
      <c r="B282" s="444" t="s">
        <v>298</v>
      </c>
      <c r="C282" s="444" t="s">
        <v>402</v>
      </c>
      <c r="D282" s="439" t="str">
        <f t="shared" si="1"/>
        <v>1204Master</v>
      </c>
      <c r="E282" s="448">
        <v>0.0</v>
      </c>
      <c r="F282" s="448">
        <v>0.0</v>
      </c>
      <c r="G282" s="447">
        <v>0.0</v>
      </c>
      <c r="H282" s="447">
        <v>0.0</v>
      </c>
      <c r="I282" s="447">
        <v>0.0</v>
      </c>
      <c r="J282" s="447">
        <v>0.0</v>
      </c>
      <c r="K282" s="447">
        <v>0.0</v>
      </c>
      <c r="L282" s="447">
        <v>0.0</v>
      </c>
    </row>
    <row r="283" ht="15.75" customHeight="1">
      <c r="A283" s="443">
        <v>1204.0</v>
      </c>
      <c r="B283" s="444" t="s">
        <v>298</v>
      </c>
      <c r="C283" s="444" t="s">
        <v>228</v>
      </c>
      <c r="D283" s="439" t="str">
        <f t="shared" si="1"/>
        <v>1204Especialista</v>
      </c>
      <c r="E283" s="448">
        <v>0.0</v>
      </c>
      <c r="F283" s="448">
        <v>0.0</v>
      </c>
      <c r="G283" s="447">
        <v>0.0</v>
      </c>
      <c r="H283" s="447">
        <v>0.0</v>
      </c>
      <c r="I283" s="447">
        <v>0.0</v>
      </c>
      <c r="J283" s="447">
        <v>0.0</v>
      </c>
      <c r="K283" s="447">
        <v>0.0</v>
      </c>
      <c r="L283" s="447">
        <v>0.0</v>
      </c>
    </row>
  </sheetData>
  <autoFilter ref="$A$1:$L$283"/>
  <printOptions/>
  <pageMargins bottom="0.787401575" footer="0.0" header="0.0" left="0.511811024" right="0.511811024" top="0.787401575"/>
  <pageSetup orientation="landscape"/>
  <drawing r:id="rId1"/>
</worksheet>
</file>