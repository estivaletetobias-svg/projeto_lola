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11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4.xml"/>
  <Override ContentType="application/vnd.openxmlformats-officedocument.drawingml.chart+xml" PartName="/xl/charts/chart9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lha de Pagamento" sheetId="1" r:id="rId5"/>
    <sheet state="visible" name="Jobmatch" sheetId="2" r:id="rId6"/>
    <sheet state="visible" name="Cálculos Comparativos" sheetId="3" r:id="rId7"/>
    <sheet state="visible" name="Página24" sheetId="4" r:id="rId8"/>
    <sheet state="visible" name="Tabela 7" sheetId="5" r:id="rId9"/>
    <sheet state="hidden" name="Tabela" sheetId="6" r:id="rId10"/>
    <sheet state="hidden" name="Tabela2" sheetId="7" r:id="rId11"/>
    <sheet state="hidden" name="Tabela 4" sheetId="8" r:id="rId12"/>
    <sheet state="hidden" name="Tabela 3" sheetId="9" r:id="rId13"/>
    <sheet state="hidden" name="Tabela 5" sheetId="10" r:id="rId14"/>
    <sheet state="hidden" name="Tabela 6" sheetId="11" r:id="rId15"/>
    <sheet state="hidden" name="Página23" sheetId="12" r:id="rId16"/>
    <sheet state="visible" name="Painel Geral" sheetId="13" r:id="rId17"/>
    <sheet state="visible" name="Painel Áreas" sheetId="14" r:id="rId18"/>
    <sheet state="visible" name="Comparativo por Funcionário" sheetId="15" r:id="rId19"/>
    <sheet state="visible" name="Informações Relevantes Cenário" sheetId="16" r:id="rId20"/>
    <sheet state="visible" name="C-01" sheetId="17" r:id="rId21"/>
  </sheets>
  <definedNames>
    <definedName hidden="1" localSheetId="0" name="_xlnm._FilterDatabase">'Folha de Pagamento'!$A$3:$P$311</definedName>
    <definedName hidden="1" localSheetId="1" name="_xlnm._FilterDatabase">Jobmatch!$A$3:$O$97</definedName>
    <definedName hidden="1" localSheetId="2" name="_xlnm._FilterDatabase">'Cálculos Comparativos'!$A$3:$V$57</definedName>
    <definedName hidden="1" localSheetId="4" name="_xlnm._FilterDatabase">'Tabela 7'!$A$3:$U$48</definedName>
    <definedName hidden="1" localSheetId="5" name="_xlnm._FilterDatabase">Tabela!$A$3:$U$47</definedName>
    <definedName hidden="1" localSheetId="6" name="_xlnm._FilterDatabase">Tabela2!$A$3:$U$47</definedName>
    <definedName hidden="1" localSheetId="7" name="_xlnm._FilterDatabase">'Tabela 4'!$A$3:$U$47</definedName>
    <definedName hidden="1" localSheetId="8" name="_xlnm._FilterDatabase">'Tabela 3'!$A$3:$U$47</definedName>
    <definedName hidden="1" localSheetId="9" name="_xlnm._FilterDatabase">'Tabela 5'!$A$3:$U$47</definedName>
    <definedName hidden="1" localSheetId="10" name="_xlnm._FilterDatabase">'Tabela 6'!$A$3:$U$47</definedName>
    <definedName hidden="1" localSheetId="13" name="_xlnm._FilterDatabase">'Painel Áreas'!$B$87:$K$117</definedName>
    <definedName hidden="1" localSheetId="14" name="_xlnm._FilterDatabase">'Comparativo por Funcionário'!$A$3:$V$63</definedName>
    <definedName hidden="1" localSheetId="16" name="_xlnm._FilterDatabase">'C-01'!$A$1:$L$1869</definedName>
    <definedName hidden="1" localSheetId="1" name="Z_96C31A28_1028_4009_9DE6_63B3CF4DFB9B_.wvu.FilterData">Jobmatch!$A$3:$I$123</definedName>
    <definedName hidden="1" localSheetId="2" name="Z_96C31A28_1028_4009_9DE6_63B3CF4DFB9B_.wvu.FilterData">'Cálculos Comparativos'!$A$3:$V$57</definedName>
    <definedName hidden="1" localSheetId="4" name="Z_96C31A28_1028_4009_9DE6_63B3CF4DFB9B_.wvu.FilterData">'Tabela 7'!$A$3:$U$48</definedName>
    <definedName hidden="1" localSheetId="5" name="Z_96C31A28_1028_4009_9DE6_63B3CF4DFB9B_.wvu.FilterData">Tabela!$A$3:$U$47</definedName>
    <definedName hidden="1" localSheetId="6" name="Z_96C31A28_1028_4009_9DE6_63B3CF4DFB9B_.wvu.FilterData">Tabela2!$A$3:$U$47</definedName>
    <definedName hidden="1" localSheetId="7" name="Z_96C31A28_1028_4009_9DE6_63B3CF4DFB9B_.wvu.FilterData">'Tabela 4'!$A$3:$U$47</definedName>
    <definedName hidden="1" localSheetId="8" name="Z_96C31A28_1028_4009_9DE6_63B3CF4DFB9B_.wvu.FilterData">'Tabela 3'!$A$3:$U$47</definedName>
    <definedName hidden="1" localSheetId="9" name="Z_96C31A28_1028_4009_9DE6_63B3CF4DFB9B_.wvu.FilterData">'Tabela 5'!$A$3:$U$47</definedName>
    <definedName hidden="1" localSheetId="10" name="Z_96C31A28_1028_4009_9DE6_63B3CF4DFB9B_.wvu.FilterData">'Tabela 6'!$A$3:$U$47</definedName>
    <definedName hidden="1" localSheetId="14" name="Z_96C31A28_1028_4009_9DE6_63B3CF4DFB9B_.wvu.FilterData">'Comparativo por Funcionário'!$A$3:$U$3</definedName>
    <definedName hidden="1" localSheetId="2" name="Z_0075A802_B66C_4D7D_929F_34C2F59AE8A9_.wvu.FilterData">'Cálculos Comparativos'!$A$3:$V$57</definedName>
    <definedName hidden="1" localSheetId="4" name="Z_0075A802_B66C_4D7D_929F_34C2F59AE8A9_.wvu.FilterData">'Tabela 7'!$A$3:$U$48</definedName>
    <definedName hidden="1" localSheetId="5" name="Z_0075A802_B66C_4D7D_929F_34C2F59AE8A9_.wvu.FilterData">Tabela!$A$3:$U$47</definedName>
    <definedName hidden="1" localSheetId="6" name="Z_0075A802_B66C_4D7D_929F_34C2F59AE8A9_.wvu.FilterData">Tabela2!$A$3:$U$47</definedName>
    <definedName hidden="1" localSheetId="7" name="Z_0075A802_B66C_4D7D_929F_34C2F59AE8A9_.wvu.FilterData">'Tabela 4'!$A$3:$U$47</definedName>
    <definedName hidden="1" localSheetId="8" name="Z_0075A802_B66C_4D7D_929F_34C2F59AE8A9_.wvu.FilterData">'Tabela 3'!$A$3:$U$47</definedName>
    <definedName hidden="1" localSheetId="9" name="Z_0075A802_B66C_4D7D_929F_34C2F59AE8A9_.wvu.FilterData">'Tabela 5'!$A$3:$U$47</definedName>
    <definedName hidden="1" localSheetId="10" name="Z_0075A802_B66C_4D7D_929F_34C2F59AE8A9_.wvu.FilterData">'Tabela 6'!$A$3:$U$47</definedName>
    <definedName hidden="1" localSheetId="14" name="Z_0075A802_B66C_4D7D_929F_34C2F59AE8A9_.wvu.FilterData">'Comparativo por Funcionário'!$A$3:$U$3</definedName>
    <definedName hidden="1" localSheetId="2" name="Z_9ED18B37_6EB4_4260_A5FA_FAFBE39E0B69_.wvu.FilterData">'Cálculos Comparativos'!$A$3:$V$57</definedName>
    <definedName hidden="1" localSheetId="4" name="Z_9ED18B37_6EB4_4260_A5FA_FAFBE39E0B69_.wvu.FilterData">'Tabela 7'!$A$3:$U$48</definedName>
    <definedName hidden="1" localSheetId="5" name="Z_9ED18B37_6EB4_4260_A5FA_FAFBE39E0B69_.wvu.FilterData">Tabela!$A$3:$U$47</definedName>
    <definedName hidden="1" localSheetId="6" name="Z_9ED18B37_6EB4_4260_A5FA_FAFBE39E0B69_.wvu.FilterData">Tabela2!$A$3:$U$47</definedName>
    <definedName hidden="1" localSheetId="7" name="Z_9ED18B37_6EB4_4260_A5FA_FAFBE39E0B69_.wvu.FilterData">'Tabela 4'!$A$3:$U$47</definedName>
    <definedName hidden="1" localSheetId="8" name="Z_9ED18B37_6EB4_4260_A5FA_FAFBE39E0B69_.wvu.FilterData">'Tabela 3'!$A$3:$U$47</definedName>
    <definedName hidden="1" localSheetId="9" name="Z_9ED18B37_6EB4_4260_A5FA_FAFBE39E0B69_.wvu.FilterData">'Tabela 5'!$A$3:$U$47</definedName>
    <definedName hidden="1" localSheetId="10" name="Z_9ED18B37_6EB4_4260_A5FA_FAFBE39E0B69_.wvu.FilterData">'Tabela 6'!$A$3:$U$47</definedName>
    <definedName hidden="1" localSheetId="14" name="Z_9ED18B37_6EB4_4260_A5FA_FAFBE39E0B69_.wvu.FilterData">'Comparativo por Funcionário'!$A$3:$U$3</definedName>
    <definedName hidden="1" localSheetId="2" name="Z_3C6918C3_D868_4D69_A6CD_504F4B52EE22_.wvu.FilterData">'Cálculos Comparativos'!$A$3:$V$57</definedName>
    <definedName hidden="1" localSheetId="4" name="Z_3C6918C3_D868_4D69_A6CD_504F4B52EE22_.wvu.FilterData">'Tabela 7'!$A$3:$U$48</definedName>
    <definedName hidden="1" localSheetId="5" name="Z_3C6918C3_D868_4D69_A6CD_504F4B52EE22_.wvu.FilterData">Tabela!$A$3:$U$47</definedName>
    <definedName hidden="1" localSheetId="6" name="Z_3C6918C3_D868_4D69_A6CD_504F4B52EE22_.wvu.FilterData">Tabela2!$A$3:$U$47</definedName>
    <definedName hidden="1" localSheetId="7" name="Z_3C6918C3_D868_4D69_A6CD_504F4B52EE22_.wvu.FilterData">'Tabela 4'!$A$3:$U$47</definedName>
    <definedName hidden="1" localSheetId="8" name="Z_3C6918C3_D868_4D69_A6CD_504F4B52EE22_.wvu.FilterData">'Tabela 3'!$A$3:$U$47</definedName>
    <definedName hidden="1" localSheetId="9" name="Z_3C6918C3_D868_4D69_A6CD_504F4B52EE22_.wvu.FilterData">'Tabela 5'!$A$3:$U$47</definedName>
    <definedName hidden="1" localSheetId="10" name="Z_3C6918C3_D868_4D69_A6CD_504F4B52EE22_.wvu.FilterData">'Tabela 6'!$A$3:$U$47</definedName>
    <definedName hidden="1" localSheetId="14" name="Z_3C6918C3_D868_4D69_A6CD_504F4B52EE22_.wvu.FilterData">'Comparativo por Funcionário'!$A$3:$U$3</definedName>
    <definedName hidden="1" localSheetId="2" name="Z_A7CC0C28_C4CD_4D76_B1EF_29E890F45AC8_.wvu.FilterData">'Cálculos Comparativos'!$A$3:$V$57</definedName>
    <definedName hidden="1" localSheetId="4" name="Z_A7CC0C28_C4CD_4D76_B1EF_29E890F45AC8_.wvu.FilterData">'Tabela 7'!$A$3:$U$48</definedName>
    <definedName hidden="1" localSheetId="5" name="Z_A7CC0C28_C4CD_4D76_B1EF_29E890F45AC8_.wvu.FilterData">Tabela!$A$3:$U$47</definedName>
    <definedName hidden="1" localSheetId="6" name="Z_A7CC0C28_C4CD_4D76_B1EF_29E890F45AC8_.wvu.FilterData">Tabela2!$A$3:$U$47</definedName>
    <definedName hidden="1" localSheetId="7" name="Z_A7CC0C28_C4CD_4D76_B1EF_29E890F45AC8_.wvu.FilterData">'Tabela 4'!$A$3:$U$47</definedName>
    <definedName hidden="1" localSheetId="8" name="Z_A7CC0C28_C4CD_4D76_B1EF_29E890F45AC8_.wvu.FilterData">'Tabela 3'!$A$3:$U$47</definedName>
    <definedName hidden="1" localSheetId="9" name="Z_A7CC0C28_C4CD_4D76_B1EF_29E890F45AC8_.wvu.FilterData">'Tabela 5'!$A$3:$U$47</definedName>
    <definedName hidden="1" localSheetId="10" name="Z_A7CC0C28_C4CD_4D76_B1EF_29E890F45AC8_.wvu.FilterData">'Tabela 6'!$A$3:$U$47</definedName>
    <definedName hidden="1" localSheetId="14" name="Z_A7CC0C28_C4CD_4D76_B1EF_29E890F45AC8_.wvu.FilterData">'Comparativo por Funcionário'!$A$3:$U$3</definedName>
    <definedName hidden="1" localSheetId="2" name="Z_45EEC70B_EA86_49D3_A588_0A0D84BF9E52_.wvu.FilterData">'Cálculos Comparativos'!$B$1:$V$1</definedName>
    <definedName hidden="1" localSheetId="4" name="Z_45EEC70B_EA86_49D3_A588_0A0D84BF9E52_.wvu.FilterData">'Tabela 7'!$B$1:$U$1</definedName>
    <definedName hidden="1" localSheetId="5" name="Z_45EEC70B_EA86_49D3_A588_0A0D84BF9E52_.wvu.FilterData">Tabela!$B$1:$U$1</definedName>
    <definedName hidden="1" localSheetId="6" name="Z_45EEC70B_EA86_49D3_A588_0A0D84BF9E52_.wvu.FilterData">Tabela2!$B$1:$U$1</definedName>
    <definedName hidden="1" localSheetId="7" name="Z_45EEC70B_EA86_49D3_A588_0A0D84BF9E52_.wvu.FilterData">'Tabela 4'!$B$1:$U$1</definedName>
    <definedName hidden="1" localSheetId="8" name="Z_45EEC70B_EA86_49D3_A588_0A0D84BF9E52_.wvu.FilterData">'Tabela 3'!$B$1:$U$1</definedName>
    <definedName hidden="1" localSheetId="9" name="Z_45EEC70B_EA86_49D3_A588_0A0D84BF9E52_.wvu.FilterData">'Tabela 5'!$B$1:$U$1</definedName>
    <definedName hidden="1" localSheetId="10" name="Z_45EEC70B_EA86_49D3_A588_0A0D84BF9E52_.wvu.FilterData">'Tabela 6'!$B$1:$U$1</definedName>
    <definedName hidden="1" localSheetId="14" name="Z_45EEC70B_EA86_49D3_A588_0A0D84BF9E52_.wvu.FilterData">'Comparativo por Funcionário'!$A$1:$U$1</definedName>
    <definedName hidden="1" localSheetId="1" name="Z_B41F88BD_3F58_45D0_A0E7_C0E19BA24239_.wvu.FilterData">Jobmatch!$A$3:$I$123</definedName>
    <definedName hidden="1" localSheetId="2" name="Z_B41F88BD_3F58_45D0_A0E7_C0E19BA24239_.wvu.FilterData">'Cálculos Comparativos'!$A$3:$V$57</definedName>
    <definedName hidden="1" localSheetId="4" name="Z_B41F88BD_3F58_45D0_A0E7_C0E19BA24239_.wvu.FilterData">'Tabela 7'!$A$3:$U$48</definedName>
    <definedName hidden="1" localSheetId="5" name="Z_B41F88BD_3F58_45D0_A0E7_C0E19BA24239_.wvu.FilterData">Tabela!$A$3:$U$47</definedName>
    <definedName hidden="1" localSheetId="6" name="Z_B41F88BD_3F58_45D0_A0E7_C0E19BA24239_.wvu.FilterData">Tabela2!$A$3:$U$47</definedName>
    <definedName hidden="1" localSheetId="7" name="Z_B41F88BD_3F58_45D0_A0E7_C0E19BA24239_.wvu.FilterData">'Tabela 4'!$A$3:$U$47</definedName>
    <definedName hidden="1" localSheetId="8" name="Z_B41F88BD_3F58_45D0_A0E7_C0E19BA24239_.wvu.FilterData">'Tabela 3'!$A$3:$U$47</definedName>
    <definedName hidden="1" localSheetId="9" name="Z_B41F88BD_3F58_45D0_A0E7_C0E19BA24239_.wvu.FilterData">'Tabela 5'!$A$3:$U$47</definedName>
    <definedName hidden="1" localSheetId="10" name="Z_B41F88BD_3F58_45D0_A0E7_C0E19BA24239_.wvu.FilterData">'Tabela 6'!$A$3:$U$47</definedName>
    <definedName hidden="1" localSheetId="14" name="Z_B41F88BD_3F58_45D0_A0E7_C0E19BA24239_.wvu.FilterData">'Comparativo por Funcionário'!$A$3:$U$3</definedName>
  </definedNames>
  <calcPr/>
  <customWorkbookViews>
    <customWorkbookView activeSheetId="0" maximized="1" windowHeight="0" windowWidth="0" guid="{3C6918C3-D868-4D69-A6CD-504F4B52EE22}" name="Filter 6"/>
    <customWorkbookView activeSheetId="0" maximized="1" windowHeight="0" windowWidth="0" guid="{0075A802-B66C-4D7D-929F-34C2F59AE8A9}" name="Filter 7"/>
    <customWorkbookView activeSheetId="0" maximized="1" windowHeight="0" windowWidth="0" guid="{9ED18B37-6EB4-4260-A5FA-FAFBE39E0B69}" name="Filter 4"/>
    <customWorkbookView activeSheetId="0" maximized="1" windowHeight="0" windowWidth="0" guid="{A7CC0C28-C4CD-4D76-B1EF-29E890F45AC8}" name="Filter 5"/>
    <customWorkbookView activeSheetId="0" maximized="1" windowHeight="0" windowWidth="0" guid="{96C31A28-1028-4009-9DE6-63B3CF4DFB9B}" name="Filter 2"/>
    <customWorkbookView activeSheetId="0" maximized="1" windowHeight="0" windowWidth="0" guid="{B41F88BD-3F58-45D0-A0E7-C0E19BA24239}" name="Filter 3"/>
    <customWorkbookView activeSheetId="0" maximized="1" windowHeight="0" windowWidth="0" guid="{45EEC70B-EA86-49D3-A588-0A0D84BF9E52}" name="Filter 1"/>
  </customWorkbookViews>
</workbook>
</file>

<file path=xl/sharedStrings.xml><?xml version="1.0" encoding="utf-8"?>
<sst xmlns="http://schemas.openxmlformats.org/spreadsheetml/2006/main" count="3589" uniqueCount="554">
  <si>
    <t>Folha de Pagamento</t>
  </si>
  <si>
    <t xml:space="preserve">CNPJ da empresa: 
Referência da Folha de Pagamento:
Quantidade de horas mensais usada: 
Data de Construção: </t>
  </si>
  <si>
    <t>Cod.</t>
  </si>
  <si>
    <t>Cod. contrato funcionário</t>
  </si>
  <si>
    <t>Cargo atual</t>
  </si>
  <si>
    <t>Novo Cargo</t>
  </si>
  <si>
    <t>Senioridade</t>
  </si>
  <si>
    <t>Nível Organizacional</t>
  </si>
  <si>
    <t>Área</t>
  </si>
  <si>
    <t>Departamento</t>
  </si>
  <si>
    <t>Carga Horária</t>
  </si>
  <si>
    <t>Salários</t>
  </si>
  <si>
    <t>Tipo de Contratação</t>
  </si>
  <si>
    <t>CBO</t>
  </si>
  <si>
    <t>Gênero</t>
  </si>
  <si>
    <t>Data de Admissão</t>
  </si>
  <si>
    <t>Unidade</t>
  </si>
  <si>
    <t xml:space="preserve">Observações </t>
  </si>
  <si>
    <t>1</t>
  </si>
  <si>
    <t>ALMOXARIFE</t>
  </si>
  <si>
    <t>Não trabalhamos senioridade</t>
  </si>
  <si>
    <t>Operacional</t>
  </si>
  <si>
    <t>Edificação</t>
  </si>
  <si>
    <t>CLT</t>
  </si>
  <si>
    <t>Masculino</t>
  </si>
  <si>
    <t>Feminino</t>
  </si>
  <si>
    <t>2</t>
  </si>
  <si>
    <t>ANALISTA DE COMPRAS</t>
  </si>
  <si>
    <t xml:space="preserve">Suprimentos </t>
  </si>
  <si>
    <t>3</t>
  </si>
  <si>
    <t>ANALISTA DE CRIAÇAO</t>
  </si>
  <si>
    <t>Marketing</t>
  </si>
  <si>
    <t>1423-35</t>
  </si>
  <si>
    <t>4</t>
  </si>
  <si>
    <t>PJ1</t>
  </si>
  <si>
    <t>ANALISTA DE INOVAÇÃO</t>
  </si>
  <si>
    <t>Tático</t>
  </si>
  <si>
    <t>Inovação</t>
  </si>
  <si>
    <t>PJ</t>
  </si>
  <si>
    <t>5</t>
  </si>
  <si>
    <t>ANALISTA DE MANUTENÇÃO II</t>
  </si>
  <si>
    <t>Pleno</t>
  </si>
  <si>
    <t>5143-25</t>
  </si>
  <si>
    <t>6</t>
  </si>
  <si>
    <t>ANALISTA DE MARKETING l</t>
  </si>
  <si>
    <t>7</t>
  </si>
  <si>
    <t>ANALISTA DE PÓS VENDAS II</t>
  </si>
  <si>
    <t>Pós Vendas</t>
  </si>
  <si>
    <t>8</t>
  </si>
  <si>
    <t>ANALISTA DE URBANISMO</t>
  </si>
  <si>
    <t>Urbanismo</t>
  </si>
  <si>
    <t>9</t>
  </si>
  <si>
    <t>ANALISTA FINANCEIRO COMERCIAL III</t>
  </si>
  <si>
    <t>Sênior</t>
  </si>
  <si>
    <t>Financeiro</t>
  </si>
  <si>
    <t>10</t>
  </si>
  <si>
    <t>ANALISTA FINANCEIRO DE CAPTAÇÃO DE RECURSOS III</t>
  </si>
  <si>
    <t>2525-45</t>
  </si>
  <si>
    <t>11</t>
  </si>
  <si>
    <t>ANALISTA FINANCEIRO I</t>
  </si>
  <si>
    <t>Júnior</t>
  </si>
  <si>
    <t>12</t>
  </si>
  <si>
    <t>ASSISTENTE ADM DE LEGALIZAÇÃO III</t>
  </si>
  <si>
    <t xml:space="preserve">Legalização </t>
  </si>
  <si>
    <t>13</t>
  </si>
  <si>
    <t>ASSISTENTE ADMINISTRATIVO lll</t>
  </si>
  <si>
    <t>Administrativo</t>
  </si>
  <si>
    <t>14</t>
  </si>
  <si>
    <t>ASSISTENTE DE CONTROLADORIA III</t>
  </si>
  <si>
    <t>Controladoria</t>
  </si>
  <si>
    <t>15</t>
  </si>
  <si>
    <t>ASSISTENTE DE ENGENHARIA lll</t>
  </si>
  <si>
    <t>16</t>
  </si>
  <si>
    <t>ASSISTENTE DE MARKETING</t>
  </si>
  <si>
    <t>17</t>
  </si>
  <si>
    <t>ASSISTENTE DE RECURSOS HUMANOS</t>
  </si>
  <si>
    <t>DHO</t>
  </si>
  <si>
    <t>18</t>
  </si>
  <si>
    <t>ASSISTENTE DE TI</t>
  </si>
  <si>
    <t>Tecnologia da Informação</t>
  </si>
  <si>
    <t>19</t>
  </si>
  <si>
    <t>ASSISTENTE FINANCEIRO CONTAS A PAGAR</t>
  </si>
  <si>
    <t>ASSISTENTE FINANCEIRO CONTAS A PAGAR III</t>
  </si>
  <si>
    <t>20</t>
  </si>
  <si>
    <t>AUXILIAR ADMINISTRATIVO</t>
  </si>
  <si>
    <t>21</t>
  </si>
  <si>
    <t>AUXILIAR ADMINISTRATIVO III</t>
  </si>
  <si>
    <t>22</t>
  </si>
  <si>
    <t>AUXILIAR DE ATENDIMENTO II</t>
  </si>
  <si>
    <t>Recepção</t>
  </si>
  <si>
    <t>23</t>
  </si>
  <si>
    <t>AUXILIAR DE ENGENHARIA</t>
  </si>
  <si>
    <t>24</t>
  </si>
  <si>
    <t>PJ2</t>
  </si>
  <si>
    <t>CONTROLER JURÍDICO</t>
  </si>
  <si>
    <t>25</t>
  </si>
  <si>
    <t>PJ3</t>
  </si>
  <si>
    <t>CONTROLLER GERAL</t>
  </si>
  <si>
    <t>26</t>
  </si>
  <si>
    <t>PJ4</t>
  </si>
  <si>
    <t>CONTROLLER TÉCNICO</t>
  </si>
  <si>
    <t>27</t>
  </si>
  <si>
    <t>COORDENADOR DE DHO</t>
  </si>
  <si>
    <t>1422-05</t>
  </si>
  <si>
    <t>28</t>
  </si>
  <si>
    <t>COORDENADOR DE LEGAIZAÇÃO ll</t>
  </si>
  <si>
    <t>29</t>
  </si>
  <si>
    <t>COORDENADOR DE MARKETING II</t>
  </si>
  <si>
    <t>1423-15</t>
  </si>
  <si>
    <t>30</t>
  </si>
  <si>
    <t>COORDENADOR DE OBRAS</t>
  </si>
  <si>
    <t>1413-05</t>
  </si>
  <si>
    <t>31</t>
  </si>
  <si>
    <t>PJ5</t>
  </si>
  <si>
    <t>COORDENADOR DE SUPRIMENTOS</t>
  </si>
  <si>
    <t>32</t>
  </si>
  <si>
    <t>PJ6</t>
  </si>
  <si>
    <t>COORDENADOR FINANCEIRO</t>
  </si>
  <si>
    <t>33</t>
  </si>
  <si>
    <t>PJ7</t>
  </si>
  <si>
    <t>DIRETOR</t>
  </si>
  <si>
    <t>Estratégico</t>
  </si>
  <si>
    <t>Comercial</t>
  </si>
  <si>
    <t>34</t>
  </si>
  <si>
    <t>ENCARREGADO DE OBRAS</t>
  </si>
  <si>
    <t>35</t>
  </si>
  <si>
    <t>ENCARREGADO OBRAS/MANUTENCAO</t>
  </si>
  <si>
    <t>36</t>
  </si>
  <si>
    <t>PJ8</t>
  </si>
  <si>
    <t>ENGENHEIRO JUNIOR DE URBANISMO</t>
  </si>
  <si>
    <t>37</t>
  </si>
  <si>
    <t>PJ9</t>
  </si>
  <si>
    <t xml:space="preserve">ENGENHEIRO SÊNIOR </t>
  </si>
  <si>
    <t>38</t>
  </si>
  <si>
    <t>E01</t>
  </si>
  <si>
    <t>ESTAGIARIO (A)</t>
  </si>
  <si>
    <t>Novos Negócios</t>
  </si>
  <si>
    <t>Estagiário</t>
  </si>
  <si>
    <t>39</t>
  </si>
  <si>
    <t>E03</t>
  </si>
  <si>
    <t>ESTAGIÁRIO(A) ADM</t>
  </si>
  <si>
    <t>40</t>
  </si>
  <si>
    <t>E04</t>
  </si>
  <si>
    <t xml:space="preserve">ESTAGIARIO(A) ENG. CIVIL </t>
  </si>
  <si>
    <t>41</t>
  </si>
  <si>
    <t>ESTAGIÁRIO(A) RH/DP</t>
  </si>
  <si>
    <t>42</t>
  </si>
  <si>
    <t>PJ10</t>
  </si>
  <si>
    <t xml:space="preserve">GERENTE ADMINISTRATIVA </t>
  </si>
  <si>
    <t>43</t>
  </si>
  <si>
    <t>PJ11</t>
  </si>
  <si>
    <t>GERENTE COMERCIAL</t>
  </si>
  <si>
    <t>44</t>
  </si>
  <si>
    <t>PJ12</t>
  </si>
  <si>
    <t>GERENTE DE EDIFICAÇÕES</t>
  </si>
  <si>
    <t>45</t>
  </si>
  <si>
    <t>PJ13</t>
  </si>
  <si>
    <t>GERENTE DE HOUSE</t>
  </si>
  <si>
    <t>46</t>
  </si>
  <si>
    <t>PJ14</t>
  </si>
  <si>
    <t>GERENTE DE IMOBILIÁRIAS EXTERNAS</t>
  </si>
  <si>
    <t>PJ15</t>
  </si>
  <si>
    <t>47</t>
  </si>
  <si>
    <t>PJ16</t>
  </si>
  <si>
    <t xml:space="preserve">GERENTE DE INCORPORAÇÃO </t>
  </si>
  <si>
    <t>Incorporação</t>
  </si>
  <si>
    <t>48</t>
  </si>
  <si>
    <t>PJ17</t>
  </si>
  <si>
    <t>GERENTE DE PARCERIAS</t>
  </si>
  <si>
    <t>PJ18</t>
  </si>
  <si>
    <t xml:space="preserve">GERENTE DE PARCERIAS </t>
  </si>
  <si>
    <t>49</t>
  </si>
  <si>
    <t>PJ19</t>
  </si>
  <si>
    <t>GERENTE DE PARCERIAS EXTERNAS</t>
  </si>
  <si>
    <t>50</t>
  </si>
  <si>
    <t>PJ20</t>
  </si>
  <si>
    <t>GERENTE DE URBANISMO</t>
  </si>
  <si>
    <t>51</t>
  </si>
  <si>
    <t>PJ21</t>
  </si>
  <si>
    <t xml:space="preserve">SUPERVISOR DE NOVOS NEGÓCIOS </t>
  </si>
  <si>
    <t>52</t>
  </si>
  <si>
    <t>SUPERVISOR(A) FINANCEIRO I</t>
  </si>
  <si>
    <t>4102-35</t>
  </si>
  <si>
    <t>53</t>
  </si>
  <si>
    <t>PJ22</t>
  </si>
  <si>
    <t>TECNICO ANALISTA DE CUSTOS</t>
  </si>
  <si>
    <t>54</t>
  </si>
  <si>
    <t>TECNOLOGO EM CONSTRUÇÃO DE EDIFICIOS</t>
  </si>
  <si>
    <t>2142-80</t>
  </si>
  <si>
    <t>158</t>
  </si>
  <si>
    <t>125</t>
  </si>
  <si>
    <t>152</t>
  </si>
  <si>
    <t>153</t>
  </si>
  <si>
    <t>154</t>
  </si>
  <si>
    <t>155</t>
  </si>
  <si>
    <t>103</t>
  </si>
  <si>
    <t>144</t>
  </si>
  <si>
    <t>126</t>
  </si>
  <si>
    <t>127</t>
  </si>
  <si>
    <t>104</t>
  </si>
  <si>
    <t>105</t>
  </si>
  <si>
    <t>156</t>
  </si>
  <si>
    <t>Jobmatch</t>
  </si>
  <si>
    <t>Cargos Empresa</t>
  </si>
  <si>
    <t>Cod. Pesquisa</t>
  </si>
  <si>
    <t>Cargos Pesquisa</t>
  </si>
  <si>
    <t>Observações</t>
  </si>
  <si>
    <t>Tipo de Contrato</t>
  </si>
  <si>
    <t>Pesquisa</t>
  </si>
  <si>
    <t>Pesquisas</t>
  </si>
  <si>
    <t>8 - ADM PROJETOS</t>
  </si>
  <si>
    <t>Almoxarife</t>
  </si>
  <si>
    <t>Indiferente</t>
  </si>
  <si>
    <t>Construção</t>
  </si>
  <si>
    <t>TI</t>
  </si>
  <si>
    <t>Geral</t>
  </si>
  <si>
    <t>9 - ADM PROJETOS</t>
  </si>
  <si>
    <t>Analista de Compras</t>
  </si>
  <si>
    <t>Industria</t>
  </si>
  <si>
    <t>10 - ADM PROJETOS</t>
  </si>
  <si>
    <t>Analista de Criação</t>
  </si>
  <si>
    <t>11 - ADM PROJETOS</t>
  </si>
  <si>
    <t>Analista de Inovação</t>
  </si>
  <si>
    <t>12 - ADM PROJETOS</t>
  </si>
  <si>
    <t>Encarregado de Manutenção</t>
  </si>
  <si>
    <t>13 - ADM PROJETOS</t>
  </si>
  <si>
    <t>Analista de Marketing</t>
  </si>
  <si>
    <t>14 - ADM PROJETOS</t>
  </si>
  <si>
    <t>Analista Comercial</t>
  </si>
  <si>
    <t>15 - ADM PROJETOS</t>
  </si>
  <si>
    <t>Analista de Urbanismo</t>
  </si>
  <si>
    <t>16 - ADM PROJETOS</t>
  </si>
  <si>
    <t>Analista Financeiro</t>
  </si>
  <si>
    <t>17 - ADM PROJETOS</t>
  </si>
  <si>
    <t>18 - ADM PROJETOS</t>
  </si>
  <si>
    <t>19 - ADM PROJETOS</t>
  </si>
  <si>
    <t>Assistente de Legalização</t>
  </si>
  <si>
    <t>20 - ADM PROJETOS</t>
  </si>
  <si>
    <t>Assistente Administrativo</t>
  </si>
  <si>
    <t>21 - ADM PROJETOS</t>
  </si>
  <si>
    <t>Assistente de Controladoria</t>
  </si>
  <si>
    <t>22 - ADM PROJETOS</t>
  </si>
  <si>
    <t>Assistente de Engenharia</t>
  </si>
  <si>
    <t>23 - ADM PROJETOS</t>
  </si>
  <si>
    <t>Assistente de Marketing</t>
  </si>
  <si>
    <t>24 - ADM PROJETOS</t>
  </si>
  <si>
    <t>Assistente de Recursos Humanos</t>
  </si>
  <si>
    <t>25 - ADM PROJETOS</t>
  </si>
  <si>
    <t>Assistente de Tecnologia da Informação</t>
  </si>
  <si>
    <t>26 - ADM PROJETOS</t>
  </si>
  <si>
    <t>Assistente Financeiro</t>
  </si>
  <si>
    <t>27 - ADM PROJETOS</t>
  </si>
  <si>
    <t>Auxiliar Administrativo</t>
  </si>
  <si>
    <t>28 - ADM PROJETOS</t>
  </si>
  <si>
    <t>29 - ADM PROJETOS</t>
  </si>
  <si>
    <t>Auxiliar de Atendimento</t>
  </si>
  <si>
    <t>30 - ADM PROJETOS</t>
  </si>
  <si>
    <t>Auxiliar de Engenharia</t>
  </si>
  <si>
    <t>31 - ADM PROJETOS</t>
  </si>
  <si>
    <t>Advogado</t>
  </si>
  <si>
    <t>32 - ADM PROJETOS</t>
  </si>
  <si>
    <t>Controller</t>
  </si>
  <si>
    <t>33 - ADM PROJETOS</t>
  </si>
  <si>
    <t>Analista de Controladoria</t>
  </si>
  <si>
    <t>Especialista</t>
  </si>
  <si>
    <t>34 - ADM PROJETOS</t>
  </si>
  <si>
    <t>Coordenador de Recursos Humanos</t>
  </si>
  <si>
    <t>35 - ADM PROJETOS</t>
  </si>
  <si>
    <t>Coordenador de Legalização</t>
  </si>
  <si>
    <t>36 - ADM PROJETOS</t>
  </si>
  <si>
    <t>Coordenador de Marketing</t>
  </si>
  <si>
    <t>37 - ADM PROJETOS</t>
  </si>
  <si>
    <t>Coordenador de Obras</t>
  </si>
  <si>
    <t>38 - ADM PROJETOS</t>
  </si>
  <si>
    <t>Coordenador de Compras</t>
  </si>
  <si>
    <t>39 - ADM PROJETOS</t>
  </si>
  <si>
    <t>Coordenador Financeiro</t>
  </si>
  <si>
    <t>40 - ADM PROJETOS</t>
  </si>
  <si>
    <t>CEO</t>
  </si>
  <si>
    <t>41 - ADM PROJETOS</t>
  </si>
  <si>
    <t>Mestre de Obras</t>
  </si>
  <si>
    <t>42 - ADM PROJETOS</t>
  </si>
  <si>
    <t>43 - ADM PROJETOS</t>
  </si>
  <si>
    <t>Engenheiro de Urbanismo</t>
  </si>
  <si>
    <t>44 - ADM PROJETOS</t>
  </si>
  <si>
    <t>45 - ADM PROJETOS</t>
  </si>
  <si>
    <t>Estagiário Administrativo</t>
  </si>
  <si>
    <t>46 - ADM PROJETOS</t>
  </si>
  <si>
    <t>47 - ADM PROJETOS</t>
  </si>
  <si>
    <t>Estagiário de Engenharia Civil</t>
  </si>
  <si>
    <t>48 - ADM PROJETOS</t>
  </si>
  <si>
    <t>49 - ADM PROJETOS</t>
  </si>
  <si>
    <t>Gerente Administrativo</t>
  </si>
  <si>
    <t>50 - ADM PROJETOS</t>
  </si>
  <si>
    <t>Gerente Comercial</t>
  </si>
  <si>
    <t>51 - ADM PROJETOS</t>
  </si>
  <si>
    <t>Gerente de Operações</t>
  </si>
  <si>
    <t>52 - ADM PROJETOS</t>
  </si>
  <si>
    <t>53 - ADM PROJETOS</t>
  </si>
  <si>
    <t>Gerente de Imobiliárias</t>
  </si>
  <si>
    <t>54 - ADM PROJETOS</t>
  </si>
  <si>
    <t>Gerente de Incorporação</t>
  </si>
  <si>
    <t>55 - ADM PROJETOS</t>
  </si>
  <si>
    <t>Gerente de Relacionamento</t>
  </si>
  <si>
    <t>56 - ADM PROJETOS</t>
  </si>
  <si>
    <t>57 - ADM PROJETOS</t>
  </si>
  <si>
    <t>58 - ADM PROJETOS</t>
  </si>
  <si>
    <t>Supervisor de Negócios</t>
  </si>
  <si>
    <t>59 - ADM PROJETOS</t>
  </si>
  <si>
    <t>Supervisor Financeiro</t>
  </si>
  <si>
    <t>60 - ADM PROJETOS</t>
  </si>
  <si>
    <t>Analista de Custos</t>
  </si>
  <si>
    <t>61 - ADM PROJETOS</t>
  </si>
  <si>
    <t>Técnico em Edificações</t>
  </si>
  <si>
    <t>DADOS PARA COMPARAÇÃO</t>
  </si>
  <si>
    <t>Posicionamento</t>
  </si>
  <si>
    <t>Média Empresa</t>
  </si>
  <si>
    <t>Cod. Área</t>
  </si>
  <si>
    <t>Diretoria</t>
  </si>
  <si>
    <t>Centro de Custo</t>
  </si>
  <si>
    <t>Código+Senioridade</t>
  </si>
  <si>
    <t>Número de Colaboradores</t>
  </si>
  <si>
    <t>Menor Salário</t>
  </si>
  <si>
    <t>1º Quartil</t>
  </si>
  <si>
    <t>Média</t>
  </si>
  <si>
    <t>Mediana</t>
  </si>
  <si>
    <t>3º Quartil</t>
  </si>
  <si>
    <t>Maior Salário</t>
  </si>
  <si>
    <t>C-01</t>
  </si>
  <si>
    <t>C-01 (Posicionamento)</t>
  </si>
  <si>
    <t>Controller Jurídico</t>
  </si>
  <si>
    <t>Gerente Administrativa</t>
  </si>
  <si>
    <t>Diretor</t>
  </si>
  <si>
    <t>Gerente House</t>
  </si>
  <si>
    <t>Gerente Imobiliárias Externas</t>
  </si>
  <si>
    <t>Gerente Parcerias</t>
  </si>
  <si>
    <t>Gerente Parcerias Externas</t>
  </si>
  <si>
    <t>Assistente Controladoria</t>
  </si>
  <si>
    <t>Controller Geral</t>
  </si>
  <si>
    <t>Controller Técnico</t>
  </si>
  <si>
    <t>Assistente Recursos Humanos</t>
  </si>
  <si>
    <t>Coordenador DHO</t>
  </si>
  <si>
    <t>Estagiário Recursos Humanos</t>
  </si>
  <si>
    <t>Analista Manutenção Pl</t>
  </si>
  <si>
    <t>Assistente Engenharia</t>
  </si>
  <si>
    <t>Coordenador Obras</t>
  </si>
  <si>
    <t>Encarregado Obras / Manutenção</t>
  </si>
  <si>
    <t>Engenheiro Sr</t>
  </si>
  <si>
    <t>Gerente Edificações</t>
  </si>
  <si>
    <t>Técnico Analista Custos</t>
  </si>
  <si>
    <t>Tecnólogo Construção Edifícios</t>
  </si>
  <si>
    <t>Analista Financeiro Comercial Sr</t>
  </si>
  <si>
    <t>Analista Financeiro Captação Recursos Sr</t>
  </si>
  <si>
    <t>Analista Financeiro Jr</t>
  </si>
  <si>
    <t>Assistente Financeiro Contas a Pagar</t>
  </si>
  <si>
    <t>Supervisor Financeiro Jr</t>
  </si>
  <si>
    <t>Gerente Incorporação</t>
  </si>
  <si>
    <t>Analista Inovação</t>
  </si>
  <si>
    <t>Assistente Adm Legalização Sr</t>
  </si>
  <si>
    <t>Coordenador Legalização Pl</t>
  </si>
  <si>
    <t>Analista Criação</t>
  </si>
  <si>
    <t>Analista Marketing Jr</t>
  </si>
  <si>
    <t>Assistente Marketing</t>
  </si>
  <si>
    <t>Coordenador Marketing</t>
  </si>
  <si>
    <t>Supervisor Novos Negócios</t>
  </si>
  <si>
    <t>Analista Pós-Vendas Pl</t>
  </si>
  <si>
    <t>Auxiliar Atendimento</t>
  </si>
  <si>
    <t>Analista Compras</t>
  </si>
  <si>
    <t>Coordenador Suprimentos</t>
  </si>
  <si>
    <t>Assistente TI</t>
  </si>
  <si>
    <t>Analista Urbanismo</t>
  </si>
  <si>
    <t>Auxiliar Engenharia</t>
  </si>
  <si>
    <t>Encarregado Obras</t>
  </si>
  <si>
    <t>Engenheiro Urbanismo Jr</t>
  </si>
  <si>
    <t>Estagiário Engenharia Civil</t>
  </si>
  <si>
    <t>Gerente Urbanismo</t>
  </si>
  <si>
    <t>grade</t>
  </si>
  <si>
    <t>%</t>
  </si>
  <si>
    <t>ENGENHEIRO SÊNIOR</t>
  </si>
  <si>
    <t>Engenheiro Urbanismo Sr</t>
  </si>
  <si>
    <t>ESTAGIARIO(A) ENG. CIVIL</t>
  </si>
  <si>
    <t>Estagiário Engenharia Civel</t>
  </si>
  <si>
    <t>Estagiário RH</t>
  </si>
  <si>
    <t>GERENTE ADMINISTRATIVA</t>
  </si>
  <si>
    <t>GERENTE DE INCORPORAÇÃO</t>
  </si>
  <si>
    <t>SUPERVISOR DE NOVOS NEGÓCIOS</t>
  </si>
  <si>
    <t>Posicionamento e Gráficos em Relação à:</t>
  </si>
  <si>
    <t>▇</t>
  </si>
  <si>
    <t>&lt;=80%</t>
  </si>
  <si>
    <t>Muito Defasado</t>
  </si>
  <si>
    <t>80% - 90%</t>
  </si>
  <si>
    <t>Defasado</t>
  </si>
  <si>
    <t>90% - 100%</t>
  </si>
  <si>
    <t>Na Média</t>
  </si>
  <si>
    <t>100% - 110%</t>
  </si>
  <si>
    <t>Competitivo</t>
  </si>
  <si>
    <t>110% - 120%</t>
  </si>
  <si>
    <t>Muito Competitivo</t>
  </si>
  <si>
    <t>&gt;120%</t>
  </si>
  <si>
    <t>Agressivo</t>
  </si>
  <si>
    <t>Cenário 1</t>
  </si>
  <si>
    <t>cargos com amostra</t>
  </si>
  <si>
    <t xml:space="preserve"> </t>
  </si>
  <si>
    <t>Posição</t>
  </si>
  <si>
    <t>Percentual</t>
  </si>
  <si>
    <t>Qtde de Cargos</t>
  </si>
  <si>
    <t>Total Geral</t>
  </si>
  <si>
    <t>ANÁLISE DE SALÁRIOS</t>
  </si>
  <si>
    <t>NÍVEIS ORGANIZACIONAIS</t>
  </si>
  <si>
    <t>C1</t>
  </si>
  <si>
    <t>Nº de Cargos Total</t>
  </si>
  <si>
    <t>Classificado pelo C-01</t>
  </si>
  <si>
    <t>Média empresa</t>
  </si>
  <si>
    <t>Administrativo, Recepção, Suprimentos, Tecnologia da Informação</t>
  </si>
  <si>
    <t>(Para alterar o dado de comparação use a aba Painel Geral)</t>
  </si>
  <si>
    <t>Incorporação, Inovação, Legalização</t>
  </si>
  <si>
    <t xml:space="preserve">ANÁLISE DE </t>
  </si>
  <si>
    <t>Novos Negócios, Pós Vendas</t>
  </si>
  <si>
    <t>COMPARATIVOS SALARIAIS</t>
  </si>
  <si>
    <t>POR ÁREAS</t>
  </si>
  <si>
    <t>Percentual C-01</t>
  </si>
  <si>
    <t>Qtd Cargos</t>
  </si>
  <si>
    <t>Posicionamento por Quantidade de Colaboradores por Cargo</t>
  </si>
  <si>
    <t>Cód Cargo</t>
  </si>
  <si>
    <t>Cargo Empresa</t>
  </si>
  <si>
    <t>- C-01</t>
  </si>
  <si>
    <t>Abaixo da Mediana</t>
  </si>
  <si>
    <t>Setor</t>
  </si>
  <si>
    <t>ADM, RH &amp; TI</t>
  </si>
  <si>
    <t>Suprimentos, Qualidade &amp; Segurança</t>
  </si>
  <si>
    <t>Obras</t>
  </si>
  <si>
    <t>Planejamento</t>
  </si>
  <si>
    <t>Jurídico</t>
  </si>
  <si>
    <t>Acima da Mediana</t>
  </si>
  <si>
    <t>DADOS PARA COMPARAÇÃO - POR FUNCIONÁRIO</t>
  </si>
  <si>
    <t>Cod. do funcionário</t>
  </si>
  <si>
    <t>Tempo de empresa (anos)</t>
  </si>
  <si>
    <t>Salário Funcionário</t>
  </si>
  <si>
    <t>Cod. Setor</t>
  </si>
  <si>
    <t>Cenário 01: Pesquisas Consolidadas - Nacional</t>
  </si>
  <si>
    <t>Plooral Salary Research :: Remuneração Inteligente</t>
  </si>
  <si>
    <t>Pesquisa de Remuneração e Benefícios do Setor de Construção Civil - 2025</t>
  </si>
  <si>
    <t>Período de Coleta: 27/10/2025 à 26/11/2025</t>
  </si>
  <si>
    <t>Divulgação dos Resultados: 10/12/2025</t>
  </si>
  <si>
    <t>Carga Horária: 220 horas</t>
  </si>
  <si>
    <t>INPC Acumulado Aplicado: 0,55%</t>
  </si>
  <si>
    <t>* O índice acumulado aplicado pode variar havendo diferentes coletas no escopo da pesquisa.</t>
  </si>
  <si>
    <t>FILTROS UTILIZADOS</t>
  </si>
  <si>
    <t>Segmentos de Negócio: Não Definido</t>
  </si>
  <si>
    <t>Áreas de Atuação: Não Definido</t>
  </si>
  <si>
    <t>Formas de Contratação: CLT</t>
  </si>
  <si>
    <t>Porte (Colaboradores): Não Definido</t>
  </si>
  <si>
    <t>Porte (Receita Bruta): Não Definido</t>
  </si>
  <si>
    <t>Região: Não Definido</t>
  </si>
  <si>
    <t>Estado: Não Definido</t>
  </si>
  <si>
    <t>Cidade: Não Definido</t>
  </si>
  <si>
    <t>Atenção: Os dados contidos neste documento são para uso exclusivo da CBA</t>
  </si>
  <si>
    <t>Complementada com:</t>
  </si>
  <si>
    <t>### RELATÓRIO CONSOLIDADO ###</t>
  </si>
  <si>
    <t>INPC Acumulado Aplicado: 19,30%</t>
  </si>
  <si>
    <t>Segmentos de Negócio:</t>
  </si>
  <si>
    <t>Áreas de Atuação:</t>
  </si>
  <si>
    <t>Porte (Colaboradores):</t>
  </si>
  <si>
    <t>Porte (Receita Bruta):</t>
  </si>
  <si>
    <t>Região:</t>
  </si>
  <si>
    <t>Estado:</t>
  </si>
  <si>
    <t>Cidade:</t>
  </si>
  <si>
    <t>Atenção: Os dados contidos neste documento são de uso exclusivo e restrito da CBA</t>
  </si>
  <si>
    <t>Código do Cargo</t>
  </si>
  <si>
    <t>Nome do Cargo</t>
  </si>
  <si>
    <t>Código do CargoSenioridade</t>
  </si>
  <si>
    <t>Dados Estatísticos - Empresas</t>
  </si>
  <si>
    <t>Dados Estatísticos - Salários</t>
  </si>
  <si>
    <t>1o Quartil</t>
  </si>
  <si>
    <t>3o Quartil</t>
  </si>
  <si>
    <t>Assessor Jurídico</t>
  </si>
  <si>
    <t>Master</t>
  </si>
  <si>
    <t>Analista Administrativo</t>
  </si>
  <si>
    <t>Analista de Captação de Recursos</t>
  </si>
  <si>
    <t>Analista de Incorporação</t>
  </si>
  <si>
    <t>Analista de Negócios</t>
  </si>
  <si>
    <t>Analista de Planejamento Financeiro</t>
  </si>
  <si>
    <t>Analista de Produto</t>
  </si>
  <si>
    <t>Analista de Projetos</t>
  </si>
  <si>
    <t>Analista de Recursos Humanos</t>
  </si>
  <si>
    <t>Analista de Relacionamento</t>
  </si>
  <si>
    <t>Analista de Tecnologia da Informação</t>
  </si>
  <si>
    <t>Arquiteto</t>
  </si>
  <si>
    <t>Assistente Comercial</t>
  </si>
  <si>
    <t>Assistente de Compras</t>
  </si>
  <si>
    <t>Assistente de Incorporação</t>
  </si>
  <si>
    <t>Analista de Manutenção Predial</t>
  </si>
  <si>
    <t>Assistente de Planejamento Financeiro</t>
  </si>
  <si>
    <t>Assistente de Relacionamento</t>
  </si>
  <si>
    <t>Auxiliar de Serviços Gerais</t>
  </si>
  <si>
    <t>Controller de Obras</t>
  </si>
  <si>
    <t>Coordenador Administrativo</t>
  </si>
  <si>
    <t>Coordenador Comercial</t>
  </si>
  <si>
    <t>Coordenador de Controladoria</t>
  </si>
  <si>
    <t>Coordenador de Incorporação</t>
  </si>
  <si>
    <t>Coordenador de Planejamento Financeiro</t>
  </si>
  <si>
    <t>Coordenador de Produto</t>
  </si>
  <si>
    <t>Coordenador de Projetos</t>
  </si>
  <si>
    <t>Coordenador de Relacionamento</t>
  </si>
  <si>
    <t>Coordenador de Tecnologia da Informação</t>
  </si>
  <si>
    <t>Diretor Administrativo</t>
  </si>
  <si>
    <t>Diretor Comercial</t>
  </si>
  <si>
    <t>Diretor de Incorporação</t>
  </si>
  <si>
    <t>Diretor de Tecnologia</t>
  </si>
  <si>
    <t>Executivo de Contas</t>
  </si>
  <si>
    <t>Gerente de Compras</t>
  </si>
  <si>
    <t>Gerente de Controladoria</t>
  </si>
  <si>
    <t>Gerente de Engenharia</t>
  </si>
  <si>
    <t>Gerente de Marketing</t>
  </si>
  <si>
    <t>Gerente de Negócios</t>
  </si>
  <si>
    <t>Gerente de Planejamento Financeiro</t>
  </si>
  <si>
    <t>Gerente de Produto</t>
  </si>
  <si>
    <t>Gerente de Projetos</t>
  </si>
  <si>
    <t>Gerente de Recursos Humanos</t>
  </si>
  <si>
    <t>Gerente de Tecnologia da Informação</t>
  </si>
  <si>
    <t>Gerente Financeiro</t>
  </si>
  <si>
    <t>Gerente de Urbanismo</t>
  </si>
  <si>
    <t>Servente de Obras</t>
  </si>
  <si>
    <t>Supervisor de Obras</t>
  </si>
  <si>
    <t>Técnico em Segurança do Trabalho</t>
  </si>
  <si>
    <t>Analista de Dados</t>
  </si>
  <si>
    <t>Desenvolvedor</t>
  </si>
  <si>
    <t>Atendente de Recepção</t>
  </si>
  <si>
    <t>Coordenador de Processos</t>
  </si>
  <si>
    <t>Analista de Qualidade</t>
  </si>
  <si>
    <t>Gerente de Qualidade</t>
  </si>
  <si>
    <t>Coordenador de Segurança do Trabalho</t>
  </si>
  <si>
    <t>Gerente de Obras</t>
  </si>
  <si>
    <t>Diretor de Operações</t>
  </si>
  <si>
    <t>Designer</t>
  </si>
  <si>
    <t>Designer Gráfico</t>
  </si>
  <si>
    <t>Auxiliar de Almoxarifado</t>
  </si>
  <si>
    <t>Analista de Engenharia</t>
  </si>
  <si>
    <t>Assistente de Negócios</t>
  </si>
  <si>
    <t>Coordenador de Negócios</t>
  </si>
  <si>
    <t>Analista de Marketing Digital</t>
  </si>
  <si>
    <t>Produtor Audiovisual</t>
  </si>
  <si>
    <t>Analista Jurídico</t>
  </si>
  <si>
    <t>Coordenador Jurídico</t>
  </si>
  <si>
    <t>Analista de Departamento Pessoal</t>
  </si>
  <si>
    <t>Assistente de Departamento Pessoal</t>
  </si>
  <si>
    <t>Diretor Financeiro</t>
  </si>
  <si>
    <t>Analista Fiscal</t>
  </si>
  <si>
    <t>Diretor de Projetos</t>
  </si>
  <si>
    <t>Coordenador de Qualidade</t>
  </si>
  <si>
    <t>Gerente Jurídico</t>
  </si>
  <si>
    <t>Analista de Planejamento e Controle de Manutenção</t>
  </si>
  <si>
    <t>Gerente Business Partner</t>
  </si>
  <si>
    <t>Gerente Geral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</si>
</sst>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1">
    <numFmt numFmtId="164" formatCode="[$R$]#,##0.00"/>
    <numFmt numFmtId="165" formatCode="yyyy-mm"/>
    <numFmt numFmtId="166" formatCode="mm/yyyy"/>
    <numFmt numFmtId="167" formatCode="yyyy-m"/>
    <numFmt numFmtId="168" formatCode="dd&quot;/&quot;mm&quot;/&quot;yy"/>
    <numFmt numFmtId="169" formatCode="[$R$ -416]#,##0.00"/>
    <numFmt numFmtId="170" formatCode="d/m/yyyy"/>
    <numFmt numFmtId="171" formatCode="dd/mm/yyyy"/>
    <numFmt numFmtId="172" formatCode="&quot;R$&quot;\ #,##0.00"/>
    <numFmt numFmtId="173" formatCode="mmmm yyyy"/>
    <numFmt numFmtId="174" formatCode="0.0"/>
  </numFmts>
  <fonts count="79">
    <font>
      <sz val="10.0"/>
      <color rgb="FF000000"/>
      <name val="Arial"/>
      <scheme val="minor"/>
    </font>
    <font>
      <sz val="10.0"/>
      <color theme="1"/>
      <name val="Arial"/>
    </font>
    <font>
      <sz val="18.0"/>
      <color rgb="FF434343"/>
      <name val="Montserrat"/>
    </font>
    <font/>
    <font>
      <sz val="10.0"/>
      <color rgb="FF434343"/>
      <name val="Montserrat"/>
    </font>
    <font>
      <color theme="1"/>
      <name val="Arial"/>
    </font>
    <font>
      <b/>
      <color theme="1"/>
      <name val="Arial"/>
    </font>
    <font>
      <sz val="11.0"/>
      <color theme="1"/>
      <name val="Calibri"/>
    </font>
    <font>
      <color theme="1"/>
      <name val="Calibri"/>
    </font>
    <font>
      <sz val="11.0"/>
      <color rgb="FF000000"/>
      <name val="Docs-Calibri"/>
    </font>
    <font>
      <sz val="11.0"/>
      <color rgb="FF000000"/>
      <name val="Calibri"/>
    </font>
    <font>
      <b/>
      <color theme="1"/>
      <name val="Calibri"/>
    </font>
    <font>
      <sz val="24.0"/>
      <color rgb="FF434343"/>
      <name val="Montserrat"/>
    </font>
    <font>
      <b/>
      <sz val="16.0"/>
      <color rgb="FF434343"/>
      <name val="Calibri"/>
    </font>
    <font>
      <b/>
      <sz val="12.0"/>
      <color theme="1"/>
      <name val="Calibri"/>
    </font>
    <font>
      <b/>
      <sz val="10.0"/>
      <color theme="1"/>
      <name val="Calibri"/>
    </font>
    <font>
      <sz val="10.0"/>
      <color theme="1"/>
      <name val="Calibri"/>
    </font>
    <font>
      <sz val="10.0"/>
      <color rgb="FF000000"/>
      <name val="Calibri"/>
    </font>
    <font>
      <sz val="11.0"/>
      <color rgb="FF576071"/>
      <name val="Inter"/>
    </font>
    <font>
      <color theme="1"/>
      <name val="Arial"/>
      <scheme val="minor"/>
    </font>
    <font>
      <b/>
      <sz val="18.0"/>
      <color rgb="FFFFFFFF"/>
      <name val="Calibri"/>
    </font>
    <font>
      <b/>
      <sz val="18.0"/>
      <color rgb="FF434343"/>
      <name val="Calibri"/>
    </font>
    <font>
      <b/>
      <sz val="18.0"/>
      <color rgb="FF000000"/>
      <name val="Calibri"/>
    </font>
    <font>
      <sz val="10.0"/>
      <color rgb="FFFFFFFF"/>
      <name val="Calibri"/>
    </font>
    <font>
      <color rgb="FF434343"/>
      <name val="Calibri"/>
    </font>
    <font>
      <color rgb="FF000000"/>
      <name val="Calibri"/>
    </font>
    <font>
      <b/>
      <sz val="14.0"/>
      <color rgb="FF434343"/>
      <name val="Montserrat"/>
    </font>
    <font>
      <b/>
      <color rgb="FF434343"/>
      <name val="Calibri"/>
    </font>
    <font>
      <color rgb="FFFFFFFF"/>
      <name val="Calibri"/>
    </font>
    <font>
      <sz val="13.0"/>
      <color theme="5"/>
      <name val="Arial"/>
    </font>
    <font>
      <b/>
      <sz val="14.0"/>
      <color rgb="FFFFFFFF"/>
      <name val="Montserrat"/>
    </font>
    <font>
      <sz val="14.0"/>
      <color rgb="FF434343"/>
      <name val="Montserrat"/>
    </font>
    <font>
      <sz val="13.0"/>
      <color theme="7"/>
      <name val="Arial"/>
    </font>
    <font>
      <b/>
      <color rgb="FF000000"/>
      <name val="Calibri"/>
    </font>
    <font>
      <sz val="14.0"/>
      <color rgb="FFFFFFFF"/>
      <name val="Montserrat"/>
    </font>
    <font>
      <sz val="14.0"/>
      <color theme="1"/>
      <name val="Montserrat"/>
    </font>
    <font>
      <sz val="13.0"/>
      <color theme="9"/>
      <name val="Arial"/>
    </font>
    <font>
      <sz val="18.0"/>
      <color rgb="FFFFFFFF"/>
      <name val="Calibri"/>
    </font>
    <font>
      <sz val="13.0"/>
      <color theme="8"/>
      <name val="Arial"/>
    </font>
    <font>
      <sz val="13.0"/>
      <color theme="4"/>
      <name val="Arial"/>
    </font>
    <font>
      <sz val="13.0"/>
      <color rgb="FF0533CA"/>
      <name val="Arial"/>
    </font>
    <font>
      <b/>
      <sz val="20.0"/>
      <color rgb="FFE4841E"/>
      <name val="Calibri"/>
    </font>
    <font>
      <b/>
      <sz val="20.0"/>
      <color rgb="FFF1C232"/>
      <name val="Calibri"/>
    </font>
    <font>
      <b/>
      <sz val="20.0"/>
      <color theme="1"/>
      <name val="Calibri"/>
    </font>
    <font>
      <b/>
      <sz val="20.0"/>
      <color rgb="FF1B5BFF"/>
      <name val="Calibri"/>
    </font>
    <font>
      <b/>
      <sz val="24.0"/>
      <color rgb="FFE4841E"/>
      <name val="Calibri"/>
    </font>
    <font>
      <b/>
      <sz val="24.0"/>
      <color theme="1"/>
      <name val="Calibri"/>
    </font>
    <font>
      <sz val="14.0"/>
      <color rgb="FFFFFFFF"/>
      <name val="Calibri"/>
    </font>
    <font>
      <b/>
      <sz val="24.0"/>
      <color rgb="FFF1C232"/>
      <name val="Calibri"/>
    </font>
    <font>
      <b/>
      <sz val="24.0"/>
      <color rgb="FF1B5BFF"/>
      <name val="Calibri"/>
    </font>
    <font>
      <b/>
      <color rgb="FFFFFFFF"/>
      <name val="Calibri"/>
    </font>
    <font>
      <sz val="22.0"/>
      <color rgb="FFED5B2A"/>
      <name val="Montserrat"/>
    </font>
    <font>
      <b/>
      <sz val="22.0"/>
      <color rgb="FFE4841E"/>
      <name val="Montserrat"/>
    </font>
    <font>
      <b/>
      <sz val="22.0"/>
      <color rgb="FFF7BF34"/>
      <name val="Montserrat"/>
    </font>
    <font>
      <b/>
      <sz val="16.0"/>
      <color rgb="FFE4841E"/>
      <name val="Calibri"/>
    </font>
    <font>
      <sz val="12.0"/>
      <color rgb="FFFFFFFF"/>
      <name val="Calibri"/>
    </font>
    <font>
      <b/>
      <sz val="12.0"/>
      <color rgb="FF0533CA"/>
      <name val="Calibri"/>
    </font>
    <font>
      <b/>
      <sz val="12.0"/>
      <color rgb="FF434343"/>
      <name val="Calibri"/>
    </font>
    <font>
      <b/>
      <sz val="11.0"/>
      <color rgb="FF434343"/>
      <name val="Calibri"/>
    </font>
    <font>
      <b/>
      <sz val="11.0"/>
      <color rgb="FFFFFFFF"/>
      <name val="Calibri"/>
    </font>
    <font>
      <color rgb="FF999999"/>
      <name val="Calibri"/>
    </font>
    <font>
      <b/>
      <sz val="12.0"/>
      <color rgb="FFFF0000"/>
      <name val="Calibri"/>
    </font>
    <font>
      <color rgb="FF000000"/>
      <name val="Arial"/>
      <scheme val="minor"/>
    </font>
    <font>
      <b/>
      <sz val="12.0"/>
      <color rgb="FFE4841E"/>
      <name val="Arial"/>
      <scheme val="minor"/>
    </font>
    <font>
      <b/>
      <sz val="12.0"/>
      <color rgb="FF000000"/>
      <name val="Calibri"/>
    </font>
    <font>
      <b/>
      <sz val="19.0"/>
      <color rgb="FF434343"/>
      <name val="Montserrat"/>
    </font>
    <font>
      <b/>
      <sz val="24.0"/>
      <color rgb="FF000000"/>
      <name val="Calibri"/>
    </font>
    <font>
      <sz val="12.0"/>
      <color rgb="FF000000"/>
      <name val="Calibri"/>
    </font>
    <font>
      <i/>
      <sz val="9.0"/>
      <color theme="1"/>
      <name val="Montserrat"/>
    </font>
    <font>
      <sz val="19.0"/>
      <color rgb="FFED5B2A"/>
      <name val="Montserrat"/>
    </font>
    <font>
      <b/>
      <sz val="19.0"/>
      <color rgb="FFE4841E"/>
      <name val="Docs-Montserrat"/>
    </font>
    <font>
      <sz val="19.0"/>
      <color theme="1"/>
      <name val="Arial"/>
      <scheme val="minor"/>
    </font>
    <font>
      <b/>
      <sz val="16.0"/>
      <color rgb="FFFFFFFF"/>
      <name val="Montserrat"/>
    </font>
    <font>
      <b/>
      <sz val="18.0"/>
      <color rgb="FFFFFFFF"/>
      <name val="Montserrat"/>
    </font>
    <font>
      <color rgb="FFFFFFFF"/>
      <name val="Arial"/>
      <scheme val="minor"/>
    </font>
    <font>
      <b/>
      <sz val="14.0"/>
      <color rgb="FFED5B2A"/>
      <name val="Calibri"/>
    </font>
    <font>
      <b/>
      <color rgb="FFED5B2A"/>
      <name val="Calibri"/>
    </font>
    <font>
      <b/>
      <sz val="11.0"/>
      <color theme="1"/>
      <name val="Calibri"/>
    </font>
    <font>
      <b/>
      <sz val="11.0"/>
      <color rgb="FF000000"/>
      <name val="Calibri"/>
    </font>
  </fonts>
  <fills count="26">
    <fill>
      <patternFill patternType="none"/>
    </fill>
    <fill>
      <patternFill patternType="lightGray"/>
    </fill>
    <fill>
      <patternFill patternType="solid">
        <fgColor rgb="FFED5B2A"/>
        <bgColor rgb="FFED5B2A"/>
      </patternFill>
    </fill>
    <fill>
      <patternFill patternType="solid">
        <fgColor rgb="FFD9D2E9"/>
        <bgColor rgb="FFD9D2E9"/>
      </patternFill>
    </fill>
    <fill>
      <patternFill patternType="solid">
        <fgColor rgb="FFF7DABB"/>
        <bgColor rgb="FFF7DABB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rgb="FFC9DAF8"/>
        <bgColor rgb="FFC9DAF8"/>
      </patternFill>
    </fill>
    <fill>
      <patternFill patternType="solid">
        <fgColor rgb="FFFFF2CC"/>
        <bgColor rgb="FFFFF2CC"/>
      </patternFill>
    </fill>
    <fill>
      <patternFill patternType="solid">
        <fgColor rgb="FF00FFFF"/>
        <bgColor rgb="FF00FFFF"/>
      </patternFill>
    </fill>
    <fill>
      <patternFill patternType="solid">
        <fgColor rgb="FFF4CCCC"/>
        <bgColor rgb="FFF4CCCC"/>
      </patternFill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F3F3F3"/>
        <bgColor rgb="FFF3F3F3"/>
      </patternFill>
    </fill>
    <fill>
      <patternFill patternType="solid">
        <fgColor rgb="FFFCE5CD"/>
        <bgColor rgb="FFFCE5CD"/>
      </patternFill>
    </fill>
    <fill>
      <patternFill patternType="solid">
        <fgColor rgb="FFEFEFEF"/>
        <bgColor rgb="FFEFEFEF"/>
      </patternFill>
    </fill>
    <fill>
      <patternFill patternType="solid">
        <fgColor rgb="FFECA860"/>
        <bgColor rgb="FFECA860"/>
      </patternFill>
    </fill>
    <fill>
      <patternFill patternType="solid">
        <fgColor rgb="FF674EA7"/>
        <bgColor rgb="FF674EA7"/>
      </patternFill>
    </fill>
    <fill>
      <patternFill patternType="solid">
        <fgColor rgb="FF999999"/>
        <bgColor rgb="FF999999"/>
      </patternFill>
    </fill>
    <fill>
      <patternFill patternType="solid">
        <fgColor rgb="FFE4841E"/>
        <bgColor rgb="FFE4841E"/>
      </patternFill>
    </fill>
    <fill>
      <patternFill patternType="solid">
        <fgColor rgb="FFBDBDBD"/>
        <bgColor rgb="FFBDBDBD"/>
      </patternFill>
    </fill>
    <fill>
      <patternFill patternType="solid">
        <fgColor theme="0"/>
        <bgColor theme="0"/>
      </patternFill>
    </fill>
    <fill>
      <patternFill patternType="solid">
        <fgColor rgb="FFF7CB4D"/>
        <bgColor rgb="FFF7CB4D"/>
      </patternFill>
    </fill>
    <fill>
      <patternFill patternType="solid">
        <fgColor rgb="FFFEF8E3"/>
        <bgColor rgb="FFFEF8E3"/>
      </patternFill>
    </fill>
    <fill>
      <patternFill patternType="solid">
        <fgColor rgb="FFCCCCCC"/>
        <bgColor rgb="FFCCCCCC"/>
      </patternFill>
    </fill>
    <fill>
      <patternFill patternType="solid">
        <fgColor rgb="FFB7B7B7"/>
        <bgColor rgb="FFB7B7B7"/>
      </patternFill>
    </fill>
  </fills>
  <borders count="71">
    <border/>
    <border>
      <top style="thin">
        <color rgb="FFCCCCCC"/>
      </top>
      <bottom style="thin">
        <color rgb="FFCCCCCC"/>
      </bottom>
    </border>
    <border>
      <left/>
      <right/>
      <bottom/>
    </border>
    <border>
      <left/>
      <right style="thin">
        <color rgb="FFCCCCCC"/>
      </right>
      <top style="double">
        <color rgb="FF666666"/>
      </top>
      <bottom/>
    </border>
    <border>
      <left style="thin">
        <color rgb="FFCCCCCC"/>
      </left>
      <right style="thin">
        <color rgb="FFCCCCCC"/>
      </right>
      <top style="double">
        <color rgb="FF666666"/>
      </top>
      <bottom/>
    </border>
    <border>
      <left style="thin">
        <color rgb="FFCCCCCC"/>
      </left>
      <right style="thin">
        <color rgb="FFCCCCCC"/>
      </right>
      <top style="double">
        <color rgb="FF666666"/>
      </top>
    </border>
    <border>
      <left style="thin">
        <color rgb="FFCCCCCC"/>
      </left>
      <right style="thin">
        <color rgb="FFCCCCCC"/>
      </right>
      <top style="double">
        <color rgb="FF666666"/>
      </top>
      <bottom style="thin">
        <color rgb="FFCCCCCC"/>
      </bottom>
    </border>
    <border>
      <left style="thin">
        <color rgb="FFCCCCCC"/>
      </left>
      <right/>
      <top style="double">
        <color rgb="FF666666"/>
      </top>
      <bottom/>
    </border>
    <border>
      <left style="thin">
        <color rgb="FFD9D9D9"/>
      </left>
      <right style="thin">
        <color rgb="FFD9D9D9"/>
      </right>
      <bottom style="thin">
        <color rgb="FFD9D9D9"/>
      </bottom>
    </border>
    <border>
      <left/>
      <right style="thin">
        <color rgb="FFBFBFBF"/>
      </right>
      <top style="thin">
        <color rgb="FFBFBFBF"/>
      </top>
      <bottom/>
    </border>
    <border>
      <left style="thin">
        <color rgb="FFBFBFBF"/>
      </left>
      <right style="thin">
        <color rgb="FFBFBFBF"/>
      </right>
      <top style="thin">
        <color rgb="FFBFBFBF"/>
      </top>
      <bottom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/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</border>
    <border>
      <right style="thin">
        <color rgb="FFBFBFBF"/>
      </right>
      <bottom style="thin">
        <color rgb="FFBFBFBF"/>
      </bottom>
    </border>
    <border>
      <left style="thin">
        <color rgb="FFBFBFBF"/>
      </left>
      <right style="thin">
        <color rgb="FFBFBFBF"/>
      </right>
      <bottom style="thin">
        <color rgb="FFBFBFBF"/>
      </bottom>
    </border>
    <border>
      <left style="thin">
        <color rgb="FFB7B7B7"/>
      </left>
      <top style="thin">
        <color rgb="FFB7B7B7"/>
      </top>
      <bottom style="thin">
        <color rgb="FFB7B7B7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CCCCCC"/>
      </left>
      <right/>
      <top style="double">
        <color rgb="FF666666"/>
      </top>
    </border>
    <border>
      <left style="thin">
        <color rgb="FFCCCCCC"/>
      </left>
      <top style="double">
        <color rgb="FF666666"/>
      </top>
    </border>
    <border>
      <top style="double">
        <color rgb="FF666666"/>
      </top>
    </border>
    <border>
      <right/>
      <top style="double">
        <color rgb="FF666666"/>
      </top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>
      <top style="thin">
        <color rgb="FF666666"/>
      </top>
      <bottom style="thin">
        <color rgb="FFCCCCCC"/>
      </bottom>
    </border>
    <border>
      <left style="thin">
        <color rgb="FF666666"/>
      </left>
      <top style="thin">
        <color rgb="FF666666"/>
      </top>
      <bottom style="thin">
        <color rgb="FFCCCCCC"/>
      </bottom>
    </border>
    <border>
      <left style="thin">
        <color rgb="FFAEABAB"/>
      </left>
      <top style="thin">
        <color rgb="FFAEABAB"/>
      </top>
    </border>
    <border>
      <top style="thin">
        <color rgb="FFAEABAB"/>
      </top>
    </border>
    <border>
      <right style="thin">
        <color rgb="FFAEABAB"/>
      </right>
      <top style="thin">
        <color rgb="FFAEABAB"/>
      </top>
    </border>
    <border>
      <left style="thin">
        <color rgb="FFAEABAB"/>
      </left>
      <right style="thin">
        <color rgb="FFAEABAB"/>
      </right>
      <top style="thin">
        <color rgb="FFAEABAB"/>
      </top>
    </border>
    <border>
      <left style="thin">
        <color rgb="FF666666"/>
      </left>
      <right/>
      <bottom/>
    </border>
    <border>
      <left/>
      <right style="thin">
        <color rgb="FF666666"/>
      </right>
      <bottom/>
    </border>
    <border>
      <left/>
      <bottom/>
    </border>
    <border>
      <left/>
      <right/>
      <top/>
      <bottom/>
    </border>
    <border>
      <left/>
      <right/>
      <top/>
      <bottom style="double">
        <color rgb="FF666666"/>
      </bottom>
    </border>
    <border>
      <left style="thin">
        <color rgb="FF666666"/>
      </left>
      <right style="thin">
        <color rgb="FFCCCCCC"/>
      </right>
      <top style="double">
        <color rgb="FF666666"/>
      </top>
      <bottom style="thin">
        <color rgb="FF666666"/>
      </bottom>
    </border>
    <border>
      <left style="thin">
        <color rgb="FFCCCCCC"/>
      </left>
      <right style="thin">
        <color rgb="FFCCCCCC"/>
      </right>
      <top style="double">
        <color rgb="FF666666"/>
      </top>
      <bottom style="thin">
        <color rgb="FF666666"/>
      </bottom>
    </border>
    <border>
      <left style="thin">
        <color rgb="FF666666"/>
      </left>
      <right style="thin">
        <color rgb="FF666666"/>
      </right>
      <top style="double">
        <color rgb="FF666666"/>
      </top>
      <bottom/>
    </border>
    <border>
      <left style="thin">
        <color rgb="FFCCCCCC"/>
      </left>
      <right/>
      <top style="double">
        <color rgb="FF666666"/>
      </top>
      <bottom style="thin">
        <color rgb="FF666666"/>
      </bottom>
    </border>
    <border>
      <left/>
      <right/>
      <top style="double">
        <color rgb="FF666666"/>
      </top>
      <bottom/>
    </border>
    <border>
      <top style="double">
        <color rgb="FF666666"/>
      </top>
      <bottom/>
    </border>
    <border>
      <left style="thin">
        <color rgb="FFCCCCCC"/>
      </left>
      <right style="thin">
        <color rgb="FF666666"/>
      </right>
      <top style="double">
        <color rgb="FF666666"/>
      </top>
      <bottom style="thin">
        <color rgb="FF666666"/>
      </bottom>
    </border>
    <border>
      <left/>
      <right/>
      <top style="double">
        <color rgb="FF666666"/>
      </top>
      <bottom style="thin">
        <color rgb="FF666666"/>
      </bottom>
    </border>
    <border>
      <left style="thin">
        <color rgb="FF666666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AEABAB"/>
      </left>
      <right style="thin">
        <color rgb="FFAEABAB"/>
      </right>
      <top style="thin">
        <color rgb="FFAEABAB"/>
      </top>
      <bottom style="thin">
        <color rgb="FFAEABAB"/>
      </bottom>
    </border>
    <border>
      <left style="thin">
        <color rgb="FFCCCCCC"/>
      </left>
      <top style="thin">
        <color rgb="FFCCCCCC"/>
      </top>
      <bottom style="thin">
        <color rgb="FFCCCCCC"/>
      </bottom>
    </border>
    <border>
      <left style="thin">
        <color rgb="FFAEABAB"/>
      </left>
      <right style="thin">
        <color rgb="FFAEABAB"/>
      </right>
      <top style="thin">
        <color rgb="FFCCCCCC"/>
      </top>
      <bottom style="thin">
        <color rgb="FFCCCCCC"/>
      </bottom>
    </border>
    <border>
      <right style="thin">
        <color rgb="FFCCCCCC"/>
      </right>
      <top style="thin">
        <color rgb="FFCCCCCC"/>
      </top>
      <bottom style="thin">
        <color rgb="FFCCCCCC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666666"/>
      </left>
      <right/>
      <top/>
      <bottom/>
    </border>
    <border>
      <bottom style="thin">
        <color rgb="FF000000"/>
      </bottom>
    </border>
    <border>
      <bottom style="medium">
        <color rgb="FFE4841E"/>
      </bottom>
    </border>
    <border>
      <top style="thin">
        <color rgb="FFFFFFFF"/>
      </top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FFFFFF"/>
      </left>
      <bottom style="thin">
        <color rgb="FFFFFFFF"/>
      </bottom>
    </border>
    <border>
      <right style="thin">
        <color rgb="FFFFFFFF"/>
      </right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top style="dotted">
        <color rgb="FFE4841E"/>
      </top>
    </border>
    <border>
      <top style="dotted">
        <color rgb="FFF9CF67"/>
      </top>
      <bottom style="dotted">
        <color rgb="FFF9CF67"/>
      </bottom>
    </border>
    <border>
      <left style="thin">
        <color rgb="FFFFFFFF"/>
      </left>
      <top style="thin">
        <color rgb="FFFFFFFF"/>
      </top>
    </border>
    <border>
      <right style="thin">
        <color rgb="FFFFFFFF"/>
      </right>
      <top style="thin">
        <color rgb="FFFFFFFF"/>
      </top>
    </border>
    <border>
      <top style="dotted">
        <color rgb="FFFFC000"/>
      </top>
    </border>
    <border>
      <top style="thin">
        <color rgb="FFFFFFFF"/>
      </top>
      <bottom style="thin">
        <color rgb="FFFFFFFF"/>
      </bottom>
    </border>
    <border>
      <left style="thin">
        <color rgb="FFD9D9D9"/>
      </left>
    </border>
    <border>
      <right/>
      <top/>
      <bottom/>
    </border>
    <border>
      <left/>
      <right style="thin">
        <color rgb="FF666666"/>
      </right>
      <top/>
      <bottom/>
    </border>
    <border>
      <right style="thin">
        <color rgb="FFCCCCCC"/>
      </right>
      <top style="double">
        <color rgb="FF666666"/>
      </top>
      <bottom style="thin">
        <color rgb="FF666666"/>
      </bottom>
    </border>
  </borders>
  <cellStyleXfs count="1">
    <xf borderId="0" fillId="0" fontId="0" numFmtId="0" applyAlignment="1" applyFont="1"/>
  </cellStyleXfs>
  <cellXfs count="531">
    <xf borderId="0" fillId="0" fontId="0" numFmtId="0" xfId="0" applyAlignment="1" applyFont="1">
      <alignment readingOrder="0" shrinkToFit="0" vertical="bottom" wrapText="0"/>
    </xf>
    <xf borderId="0" fillId="0" fontId="1" numFmtId="49" xfId="0" applyFont="1" applyNumberFormat="1"/>
    <xf borderId="1" fillId="0" fontId="2" numFmtId="0" xfId="0" applyAlignment="1" applyBorder="1" applyFont="1">
      <alignment horizontal="center" vertical="center"/>
    </xf>
    <xf borderId="1" fillId="0" fontId="3" numFmtId="0" xfId="0" applyBorder="1" applyFont="1"/>
    <xf borderId="1" fillId="0" fontId="4" numFmtId="0" xfId="0" applyAlignment="1" applyBorder="1" applyFont="1">
      <alignment horizontal="left" readingOrder="0" vertical="center"/>
    </xf>
    <xf borderId="2" fillId="2" fontId="5" numFmtId="49" xfId="0" applyAlignment="1" applyBorder="1" applyFill="1" applyFont="1" applyNumberFormat="1">
      <alignment vertical="bottom"/>
    </xf>
    <xf borderId="2" fillId="2" fontId="5" numFmtId="0" xfId="0" applyAlignment="1" applyBorder="1" applyFont="1">
      <alignment vertical="bottom"/>
    </xf>
    <xf borderId="2" fillId="2" fontId="5" numFmtId="3" xfId="0" applyBorder="1" applyFont="1" applyNumberFormat="1"/>
    <xf borderId="2" fillId="2" fontId="5" numFmtId="164" xfId="0" applyAlignment="1" applyBorder="1" applyFont="1" applyNumberFormat="1">
      <alignment vertical="bottom"/>
    </xf>
    <xf borderId="0" fillId="2" fontId="5" numFmtId="0" xfId="0" applyAlignment="1" applyFont="1">
      <alignment vertical="bottom"/>
    </xf>
    <xf borderId="3" fillId="3" fontId="1" numFmtId="49" xfId="0" applyAlignment="1" applyBorder="1" applyFill="1" applyFont="1" applyNumberFormat="1">
      <alignment horizontal="center"/>
    </xf>
    <xf borderId="4" fillId="4" fontId="6" numFmtId="0" xfId="0" applyAlignment="1" applyBorder="1" applyFill="1" applyFont="1">
      <alignment horizontal="center" vertical="bottom"/>
    </xf>
    <xf borderId="5" fillId="4" fontId="6" numFmtId="0" xfId="0" applyAlignment="1" applyBorder="1" applyFont="1">
      <alignment horizontal="center" vertical="bottom"/>
    </xf>
    <xf borderId="5" fillId="4" fontId="6" numFmtId="0" xfId="0" applyAlignment="1" applyBorder="1" applyFont="1">
      <alignment horizontal="center" vertical="bottom"/>
    </xf>
    <xf borderId="4" fillId="4" fontId="6" numFmtId="3" xfId="0" applyBorder="1" applyFont="1" applyNumberFormat="1"/>
    <xf borderId="6" fillId="4" fontId="6" numFmtId="164" xfId="0" applyAlignment="1" applyBorder="1" applyFont="1" applyNumberFormat="1">
      <alignment horizontal="center" vertical="bottom"/>
    </xf>
    <xf borderId="7" fillId="4" fontId="6" numFmtId="0" xfId="0" applyAlignment="1" applyBorder="1" applyFont="1">
      <alignment horizontal="center" vertical="bottom"/>
    </xf>
    <xf borderId="8" fillId="5" fontId="6" numFmtId="49" xfId="0" applyAlignment="1" applyBorder="1" applyFill="1" applyFont="1" applyNumberFormat="1">
      <alignment horizontal="center" readingOrder="0" vertical="bottom"/>
    </xf>
    <xf borderId="9" fillId="6" fontId="7" numFmtId="1" xfId="0" applyAlignment="1" applyBorder="1" applyFill="1" applyFont="1" applyNumberFormat="1">
      <alignment horizontal="center" shrinkToFit="0" wrapText="1"/>
    </xf>
    <xf borderId="10" fillId="6" fontId="7" numFmtId="0" xfId="0" applyAlignment="1" applyBorder="1" applyFont="1">
      <alignment horizontal="left" shrinkToFit="0" wrapText="1"/>
    </xf>
    <xf borderId="11" fillId="0" fontId="7" numFmtId="0" xfId="0" applyAlignment="1" applyBorder="1" applyFont="1">
      <alignment shrinkToFit="0" vertical="top" wrapText="1"/>
    </xf>
    <xf borderId="11" fillId="0" fontId="7" numFmtId="0" xfId="0" applyAlignment="1" applyBorder="1" applyFont="1">
      <alignment readingOrder="0" shrinkToFit="0" vertical="top" wrapText="1"/>
    </xf>
    <xf borderId="12" fillId="0" fontId="8" numFmtId="1" xfId="0" applyAlignment="1" applyBorder="1" applyFont="1" applyNumberFormat="1">
      <alignment shrinkToFit="0" wrapText="1"/>
    </xf>
    <xf borderId="10" fillId="6" fontId="7" numFmtId="0" xfId="0" applyAlignment="1" applyBorder="1" applyFont="1">
      <alignment horizontal="center" shrinkToFit="0" wrapText="1"/>
    </xf>
    <xf borderId="10" fillId="6" fontId="7" numFmtId="4" xfId="0" applyAlignment="1" applyBorder="1" applyFont="1" applyNumberFormat="1">
      <alignment horizontal="center" shrinkToFit="0" vertical="bottom" wrapText="1"/>
    </xf>
    <xf borderId="10" fillId="6" fontId="7" numFmtId="4" xfId="0" applyAlignment="1" applyBorder="1" applyFont="1" applyNumberFormat="1">
      <alignment horizontal="center" shrinkToFit="0" wrapText="1"/>
    </xf>
    <xf borderId="11" fillId="0" fontId="7" numFmtId="165" xfId="0" applyAlignment="1" applyBorder="1" applyFont="1" applyNumberFormat="1">
      <alignment horizontal="center" shrinkToFit="0" vertical="top" wrapText="1"/>
    </xf>
    <xf borderId="11" fillId="0" fontId="7" numFmtId="166" xfId="0" applyAlignment="1" applyBorder="1" applyFont="1" applyNumberFormat="1">
      <alignment shrinkToFit="0" vertical="top" wrapText="1"/>
    </xf>
    <xf borderId="13" fillId="0" fontId="1" numFmtId="4" xfId="0" applyAlignment="1" applyBorder="1" applyFont="1" applyNumberFormat="1">
      <alignment readingOrder="0"/>
    </xf>
    <xf borderId="14" fillId="6" fontId="7" numFmtId="1" xfId="0" applyAlignment="1" applyBorder="1" applyFont="1" applyNumberFormat="1">
      <alignment horizontal="center" shrinkToFit="0" wrapText="1"/>
    </xf>
    <xf borderId="15" fillId="6" fontId="7" numFmtId="0" xfId="0" applyAlignment="1" applyBorder="1" applyFont="1">
      <alignment horizontal="left" shrinkToFit="0" wrapText="1"/>
    </xf>
    <xf borderId="16" fillId="0" fontId="8" numFmtId="1" xfId="0" applyAlignment="1" applyBorder="1" applyFont="1" applyNumberFormat="1">
      <alignment shrinkToFit="0" wrapText="1"/>
    </xf>
    <xf borderId="17" fillId="0" fontId="7" numFmtId="0" xfId="0" applyAlignment="1" applyBorder="1" applyFont="1">
      <alignment shrinkToFit="0" vertical="top" wrapText="1"/>
    </xf>
    <xf borderId="15" fillId="6" fontId="7" numFmtId="0" xfId="0" applyAlignment="1" applyBorder="1" applyFont="1">
      <alignment horizontal="center" shrinkToFit="0" wrapText="1"/>
    </xf>
    <xf borderId="15" fillId="6" fontId="7" numFmtId="4" xfId="0" applyAlignment="1" applyBorder="1" applyFont="1" applyNumberFormat="1">
      <alignment horizontal="center" shrinkToFit="0" vertical="bottom" wrapText="1"/>
    </xf>
    <xf borderId="0" fillId="6" fontId="7" numFmtId="4" xfId="0" applyAlignment="1" applyFont="1" applyNumberFormat="1">
      <alignment horizontal="center" shrinkToFit="0" wrapText="1"/>
    </xf>
    <xf borderId="17" fillId="0" fontId="7" numFmtId="165" xfId="0" applyAlignment="1" applyBorder="1" applyFont="1" applyNumberFormat="1">
      <alignment horizontal="center" shrinkToFit="0" vertical="top" wrapText="1"/>
    </xf>
    <xf borderId="15" fillId="6" fontId="7" numFmtId="4" xfId="0" applyAlignment="1" applyBorder="1" applyFont="1" applyNumberFormat="1">
      <alignment horizontal="center" shrinkToFit="0" wrapText="1"/>
    </xf>
    <xf borderId="15" fillId="6" fontId="7" numFmtId="1" xfId="0" applyAlignment="1" applyBorder="1" applyFont="1" applyNumberFormat="1">
      <alignment horizontal="left" shrinkToFit="0" wrapText="1"/>
    </xf>
    <xf borderId="10" fillId="0" fontId="7" numFmtId="0" xfId="0" applyAlignment="1" applyBorder="1" applyFont="1">
      <alignment horizontal="left" shrinkToFit="0" wrapText="1"/>
    </xf>
    <xf borderId="10" fillId="6" fontId="7" numFmtId="1" xfId="0" applyAlignment="1" applyBorder="1" applyFont="1" applyNumberFormat="1">
      <alignment horizontal="left" shrinkToFit="0" wrapText="1"/>
    </xf>
    <xf borderId="11" fillId="0" fontId="7" numFmtId="4" xfId="0" applyAlignment="1" applyBorder="1" applyFont="1" applyNumberFormat="1">
      <alignment horizontal="center" shrinkToFit="0" vertical="bottom" wrapText="1"/>
    </xf>
    <xf borderId="11" fillId="6" fontId="7" numFmtId="4" xfId="0" applyAlignment="1" applyBorder="1" applyFont="1" applyNumberFormat="1">
      <alignment horizontal="center" shrinkToFit="0" wrapText="1"/>
    </xf>
    <xf borderId="13" fillId="0" fontId="7" numFmtId="0" xfId="0" applyAlignment="1" applyBorder="1" applyFont="1">
      <alignment shrinkToFit="0" vertical="top" wrapText="1"/>
    </xf>
    <xf borderId="10" fillId="0" fontId="7" numFmtId="4" xfId="0" applyAlignment="1" applyBorder="1" applyFont="1" applyNumberFormat="1">
      <alignment horizontal="center" shrinkToFit="0" vertical="bottom" wrapText="1"/>
    </xf>
    <xf borderId="10" fillId="0" fontId="7" numFmtId="4" xfId="0" applyAlignment="1" applyBorder="1" applyFont="1" applyNumberFormat="1">
      <alignment horizontal="center" shrinkToFit="0" wrapText="1"/>
    </xf>
    <xf borderId="17" fillId="0" fontId="7" numFmtId="167" xfId="0" applyAlignment="1" applyBorder="1" applyFont="1" applyNumberFormat="1">
      <alignment horizontal="center" shrinkToFit="0" vertical="top" wrapText="1"/>
    </xf>
    <xf borderId="10" fillId="6" fontId="7" numFmtId="4" xfId="0" applyAlignment="1" applyBorder="1" applyFont="1" applyNumberFormat="1">
      <alignment horizontal="left" shrinkToFit="0" wrapText="1"/>
    </xf>
    <xf borderId="15" fillId="0" fontId="7" numFmtId="0" xfId="0" applyAlignment="1" applyBorder="1" applyFont="1">
      <alignment horizontal="left" shrinkToFit="0" wrapText="1"/>
    </xf>
    <xf borderId="10" fillId="0" fontId="7" numFmtId="0" xfId="0" applyAlignment="1" applyBorder="1" applyFont="1">
      <alignment horizontal="center" shrinkToFit="0" wrapText="1"/>
    </xf>
    <xf borderId="15" fillId="0" fontId="7" numFmtId="4" xfId="0" applyAlignment="1" applyBorder="1" applyFont="1" applyNumberFormat="1">
      <alignment horizontal="center" shrinkToFit="0" vertical="bottom" wrapText="1"/>
    </xf>
    <xf borderId="10" fillId="0" fontId="7" numFmtId="4" xfId="0" applyAlignment="1" applyBorder="1" applyFont="1" applyNumberFormat="1">
      <alignment horizontal="center"/>
    </xf>
    <xf borderId="9" fillId="6" fontId="7" numFmtId="1" xfId="0" applyAlignment="1" applyBorder="1" applyFont="1" applyNumberFormat="1">
      <alignment horizontal="left" shrinkToFit="0" wrapText="1"/>
    </xf>
    <xf borderId="9" fillId="6" fontId="7" numFmtId="0" xfId="0" applyAlignment="1" applyBorder="1" applyFont="1">
      <alignment horizontal="left" shrinkToFit="0" wrapText="1"/>
    </xf>
    <xf borderId="9" fillId="0" fontId="7" numFmtId="0" xfId="0" applyAlignment="1" applyBorder="1" applyFont="1">
      <alignment horizontal="left" shrinkToFit="0" wrapText="1"/>
    </xf>
    <xf borderId="17" fillId="0" fontId="7" numFmtId="0" xfId="0" applyAlignment="1" applyBorder="1" applyFont="1">
      <alignment horizontal="center" shrinkToFit="0" vertical="top" wrapText="1"/>
    </xf>
    <xf borderId="11" fillId="0" fontId="9" numFmtId="0" xfId="0" applyAlignment="1" applyBorder="1" applyFont="1">
      <alignment horizontal="left"/>
    </xf>
    <xf borderId="8" fillId="5" fontId="6" numFmtId="49" xfId="0" applyAlignment="1" applyBorder="1" applyFont="1" applyNumberFormat="1">
      <alignment horizontal="center" vertical="bottom"/>
    </xf>
    <xf borderId="17" fillId="0" fontId="7" numFmtId="49" xfId="0" applyAlignment="1" applyBorder="1" applyFont="1" applyNumberFormat="1">
      <alignment horizontal="center" shrinkToFit="0" vertical="top" wrapText="1"/>
    </xf>
    <xf borderId="11" fillId="0" fontId="7" numFmtId="0" xfId="0" applyAlignment="1" applyBorder="1" applyFont="1">
      <alignment horizontal="center" shrinkToFit="0" vertical="top" wrapText="1"/>
    </xf>
    <xf borderId="17" fillId="0" fontId="7" numFmtId="4" xfId="0" applyAlignment="1" applyBorder="1" applyFont="1" applyNumberFormat="1">
      <alignment horizontal="center" readingOrder="0" shrinkToFit="0" vertical="top" wrapText="1"/>
    </xf>
    <xf borderId="17" fillId="0" fontId="7" numFmtId="4" xfId="0" applyAlignment="1" applyBorder="1" applyFont="1" applyNumberFormat="1">
      <alignment shrinkToFit="0" vertical="top" wrapText="1"/>
    </xf>
    <xf borderId="11" fillId="0" fontId="7" numFmtId="1" xfId="0" applyAlignment="1" applyBorder="1" applyFont="1" applyNumberFormat="1">
      <alignment shrinkToFit="0" vertical="top" wrapText="1"/>
    </xf>
    <xf borderId="11" fillId="0" fontId="7" numFmtId="168" xfId="0" applyAlignment="1" applyBorder="1" applyFont="1" applyNumberFormat="1">
      <alignment shrinkToFit="0" vertical="top" wrapText="1"/>
    </xf>
    <xf borderId="17" fillId="0" fontId="5" numFmtId="49" xfId="0" applyAlignment="1" applyBorder="1" applyFont="1" applyNumberFormat="1">
      <alignment horizontal="center" vertical="bottom"/>
    </xf>
    <xf borderId="11" fillId="7" fontId="7" numFmtId="0" xfId="0" applyAlignment="1" applyBorder="1" applyFill="1" applyFont="1">
      <alignment shrinkToFit="0" vertical="top" wrapText="1"/>
    </xf>
    <xf borderId="17" fillId="0" fontId="7" numFmtId="0" xfId="0" applyAlignment="1" applyBorder="1" applyFont="1">
      <alignment vertical="top"/>
    </xf>
    <xf borderId="17" fillId="8" fontId="7" numFmtId="4" xfId="0" applyAlignment="1" applyBorder="1" applyFill="1" applyFont="1" applyNumberFormat="1">
      <alignment horizontal="center" readingOrder="0" shrinkToFit="0" vertical="top" wrapText="1"/>
    </xf>
    <xf borderId="17" fillId="0" fontId="7" numFmtId="4" xfId="0" applyAlignment="1" applyBorder="1" applyFont="1" applyNumberFormat="1">
      <alignment horizontal="center" shrinkToFit="0" vertical="top" wrapText="1"/>
    </xf>
    <xf borderId="13" fillId="9" fontId="1" numFmtId="4" xfId="0" applyAlignment="1" applyBorder="1" applyFill="1" applyFont="1" applyNumberFormat="1">
      <alignment readingOrder="0"/>
    </xf>
    <xf borderId="13" fillId="0" fontId="1" numFmtId="4" xfId="0" applyAlignment="1" applyBorder="1" applyFont="1" applyNumberFormat="1">
      <alignment horizontal="center" readingOrder="0"/>
    </xf>
    <xf borderId="11" fillId="7" fontId="10" numFmtId="0" xfId="0" applyAlignment="1" applyBorder="1" applyFont="1">
      <alignment shrinkToFit="0" vertical="top" wrapText="1"/>
    </xf>
    <xf borderId="17" fillId="0" fontId="7" numFmtId="0" xfId="0" applyAlignment="1" applyBorder="1" applyFont="1">
      <alignment readingOrder="0" shrinkToFit="0" vertical="top" wrapText="1"/>
    </xf>
    <xf borderId="8" fillId="10" fontId="6" numFmtId="49" xfId="0" applyAlignment="1" applyBorder="1" applyFill="1" applyFont="1" applyNumberFormat="1">
      <alignment horizontal="center" vertical="bottom"/>
    </xf>
    <xf borderId="11" fillId="0" fontId="5" numFmtId="0" xfId="0" applyAlignment="1" applyBorder="1" applyFont="1">
      <alignment vertical="top"/>
    </xf>
    <xf borderId="11" fillId="0" fontId="5" numFmtId="0" xfId="0" applyAlignment="1" applyBorder="1" applyFont="1">
      <alignment vertical="bottom"/>
    </xf>
    <xf borderId="17" fillId="11" fontId="7" numFmtId="4" xfId="0" applyAlignment="1" applyBorder="1" applyFill="1" applyFont="1" applyNumberFormat="1">
      <alignment horizontal="center" readingOrder="0" shrinkToFit="0" vertical="top" wrapText="1"/>
    </xf>
    <xf borderId="17" fillId="0" fontId="7" numFmtId="49" xfId="0" applyAlignment="1" applyBorder="1" applyFont="1" applyNumberFormat="1">
      <alignment horizontal="center" readingOrder="0" shrinkToFit="0" vertical="top" wrapText="1"/>
    </xf>
    <xf borderId="11" fillId="0" fontId="5" numFmtId="0" xfId="0" applyAlignment="1" applyBorder="1" applyFont="1">
      <alignment readingOrder="0" vertical="bottom"/>
    </xf>
    <xf borderId="16" fillId="0" fontId="8" numFmtId="1" xfId="0" applyAlignment="1" applyBorder="1" applyFont="1" applyNumberFormat="1">
      <alignment readingOrder="0" shrinkToFit="0" wrapText="1"/>
    </xf>
    <xf borderId="11" fillId="0" fontId="7" numFmtId="0" xfId="0" applyAlignment="1" applyBorder="1" applyFont="1">
      <alignment horizontal="center" readingOrder="0" shrinkToFit="0" vertical="top" wrapText="1"/>
    </xf>
    <xf borderId="17" fillId="0" fontId="7" numFmtId="169" xfId="0" applyAlignment="1" applyBorder="1" applyFont="1" applyNumberFormat="1">
      <alignment horizontal="center" readingOrder="0" shrinkToFit="0" vertical="top" wrapText="1"/>
    </xf>
    <xf borderId="17" fillId="0" fontId="7" numFmtId="4" xfId="0" applyAlignment="1" applyBorder="1" applyFont="1" applyNumberFormat="1">
      <alignment readingOrder="0" shrinkToFit="0" vertical="top" wrapText="1"/>
    </xf>
    <xf borderId="17" fillId="0" fontId="7" numFmtId="0" xfId="0" applyAlignment="1" applyBorder="1" applyFont="1">
      <alignment horizontal="center" readingOrder="0" shrinkToFit="0" vertical="top" wrapText="1"/>
    </xf>
    <xf borderId="11" fillId="0" fontId="7" numFmtId="170" xfId="0" applyAlignment="1" applyBorder="1" applyFont="1" applyNumberFormat="1">
      <alignment readingOrder="0" shrinkToFit="0" vertical="top" wrapText="1"/>
    </xf>
    <xf borderId="0" fillId="0" fontId="7" numFmtId="0" xfId="0" applyAlignment="1" applyFont="1">
      <alignment readingOrder="0" shrinkToFit="0" vertical="top" wrapText="1"/>
    </xf>
    <xf borderId="17" fillId="8" fontId="7" numFmtId="169" xfId="0" applyAlignment="1" applyBorder="1" applyFont="1" applyNumberFormat="1">
      <alignment horizontal="center" readingOrder="0" shrinkToFit="0" vertical="top" wrapText="1"/>
    </xf>
    <xf borderId="17" fillId="0" fontId="5" numFmtId="49" xfId="0" applyAlignment="1" applyBorder="1" applyFont="1" applyNumberFormat="1">
      <alignment horizontal="center" readingOrder="0" vertical="bottom"/>
    </xf>
    <xf borderId="17" fillId="0" fontId="5" numFmtId="0" xfId="0" applyAlignment="1" applyBorder="1" applyFont="1">
      <alignment horizontal="center" readingOrder="0" vertical="bottom"/>
    </xf>
    <xf borderId="11" fillId="0" fontId="7" numFmtId="171" xfId="0" applyAlignment="1" applyBorder="1" applyFont="1" applyNumberFormat="1">
      <alignment readingOrder="0" shrinkToFit="0" vertical="top" wrapText="1"/>
    </xf>
    <xf borderId="11" fillId="0" fontId="9" numFmtId="0" xfId="0" applyAlignment="1" applyBorder="1" applyFont="1">
      <alignment horizontal="left" readingOrder="0"/>
    </xf>
    <xf borderId="8" fillId="5" fontId="11" numFmtId="49" xfId="0" applyAlignment="1" applyBorder="1" applyFont="1" applyNumberFormat="1">
      <alignment horizontal="center"/>
    </xf>
    <xf borderId="17" fillId="0" fontId="8" numFmtId="1" xfId="0" applyAlignment="1" applyBorder="1" applyFont="1" applyNumberFormat="1">
      <alignment horizontal="center" vertical="bottom"/>
    </xf>
    <xf borderId="11" fillId="0" fontId="8" numFmtId="1" xfId="0" applyAlignment="1" applyBorder="1" applyFont="1" applyNumberFormat="1">
      <alignment shrinkToFit="0" vertical="bottom" wrapText="0"/>
    </xf>
    <xf borderId="11" fillId="0" fontId="5" numFmtId="0" xfId="0" applyBorder="1" applyFont="1"/>
    <xf borderId="11" fillId="6" fontId="8" numFmtId="3" xfId="0" applyAlignment="1" applyBorder="1" applyFont="1" applyNumberFormat="1">
      <alignment horizontal="center"/>
    </xf>
    <xf borderId="17" fillId="0" fontId="8" numFmtId="0" xfId="0" applyAlignment="1" applyBorder="1" applyFont="1">
      <alignment horizontal="center" readingOrder="0" vertical="bottom"/>
    </xf>
    <xf borderId="17" fillId="0" fontId="8" numFmtId="1" xfId="0" applyAlignment="1" applyBorder="1" applyFont="1" applyNumberFormat="1">
      <alignment readingOrder="0" shrinkToFit="0" wrapText="1"/>
    </xf>
    <xf borderId="11" fillId="6" fontId="8" numFmtId="0" xfId="0" applyAlignment="1" applyBorder="1" applyFont="1">
      <alignment horizontal="center" shrinkToFit="0" wrapText="1"/>
    </xf>
    <xf borderId="17" fillId="0" fontId="7" numFmtId="172" xfId="0" applyAlignment="1" applyBorder="1" applyFont="1" applyNumberFormat="1">
      <alignment vertical="bottom"/>
    </xf>
    <xf borderId="11" fillId="0" fontId="7" numFmtId="14" xfId="0" applyAlignment="1" applyBorder="1" applyFont="1" applyNumberFormat="1">
      <alignment horizontal="center" readingOrder="0" vertical="bottom"/>
    </xf>
    <xf borderId="17" fillId="0" fontId="7" numFmtId="0" xfId="0" applyAlignment="1" applyBorder="1" applyFont="1">
      <alignment readingOrder="0" vertical="top"/>
    </xf>
    <xf borderId="0" fillId="0" fontId="7" numFmtId="0" xfId="0" applyAlignment="1" applyFont="1">
      <alignment shrinkToFit="0" vertical="top" wrapText="1"/>
    </xf>
    <xf borderId="18" fillId="5" fontId="6" numFmtId="49" xfId="0" applyAlignment="1" applyBorder="1" applyFont="1" applyNumberFormat="1">
      <alignment horizontal="center" readingOrder="0" vertical="bottom"/>
    </xf>
    <xf borderId="13" fillId="0" fontId="7" numFmtId="49" xfId="0" applyAlignment="1" applyBorder="1" applyFont="1" applyNumberFormat="1">
      <alignment horizontal="center" readingOrder="0" shrinkToFit="0" vertical="top" wrapText="1"/>
    </xf>
    <xf borderId="13" fillId="0" fontId="7" numFmtId="0" xfId="0" applyAlignment="1" applyBorder="1" applyFont="1">
      <alignment readingOrder="0" shrinkToFit="0" vertical="top" wrapText="1"/>
    </xf>
    <xf borderId="16" fillId="0" fontId="7" numFmtId="0" xfId="0" applyAlignment="1" applyBorder="1" applyFont="1">
      <alignment readingOrder="0" shrinkToFit="0" vertical="top" wrapText="1"/>
    </xf>
    <xf borderId="13" fillId="0" fontId="7" numFmtId="0" xfId="0" applyAlignment="1" applyBorder="1" applyFont="1">
      <alignment horizontal="center" readingOrder="0" shrinkToFit="0" vertical="top" wrapText="1"/>
    </xf>
    <xf borderId="13" fillId="0" fontId="7" numFmtId="169" xfId="0" applyAlignment="1" applyBorder="1" applyFont="1" applyNumberFormat="1">
      <alignment horizontal="center" readingOrder="0" shrinkToFit="0" vertical="top" wrapText="1"/>
    </xf>
    <xf borderId="19" fillId="0" fontId="7" numFmtId="170" xfId="0" applyAlignment="1" applyBorder="1" applyFont="1" applyNumberFormat="1">
      <alignment readingOrder="0" shrinkToFit="0" vertical="top" wrapText="1"/>
    </xf>
    <xf borderId="0" fillId="0" fontId="1" numFmtId="4" xfId="0" applyAlignment="1" applyFont="1" applyNumberFormat="1">
      <alignment readingOrder="0"/>
    </xf>
    <xf borderId="1" fillId="0" fontId="12" numFmtId="49" xfId="0" applyAlignment="1" applyBorder="1" applyFont="1" applyNumberFormat="1">
      <alignment horizontal="center" vertical="center"/>
    </xf>
    <xf borderId="2" fillId="2" fontId="5" numFmtId="0" xfId="0" applyBorder="1" applyFont="1"/>
    <xf borderId="2" fillId="12" fontId="5" numFmtId="0" xfId="0" applyAlignment="1" applyBorder="1" applyFill="1" applyFont="1">
      <alignment vertical="bottom"/>
    </xf>
    <xf borderId="3" fillId="3" fontId="6" numFmtId="49" xfId="0" applyAlignment="1" applyBorder="1" applyFont="1" applyNumberFormat="1">
      <alignment horizontal="center" vertical="bottom"/>
    </xf>
    <xf borderId="4" fillId="4" fontId="6" numFmtId="0" xfId="0" applyAlignment="1" applyBorder="1" applyFont="1">
      <alignment vertical="bottom"/>
    </xf>
    <xf borderId="5" fillId="13" fontId="6" numFmtId="0" xfId="0" applyAlignment="1" applyBorder="1" applyFill="1" applyFont="1">
      <alignment horizontal="center"/>
    </xf>
    <xf borderId="5" fillId="13" fontId="6" numFmtId="0" xfId="0" applyAlignment="1" applyBorder="1" applyFont="1">
      <alignment horizontal="center" vertical="bottom"/>
    </xf>
    <xf borderId="20" fillId="4" fontId="6" numFmtId="0" xfId="0" applyAlignment="1" applyBorder="1" applyFont="1">
      <alignment horizontal="center" shrinkToFit="0" vertical="bottom" wrapText="0"/>
    </xf>
    <xf borderId="20" fillId="4" fontId="6" numFmtId="0" xfId="0" applyAlignment="1" applyBorder="1" applyFont="1">
      <alignment horizontal="center" vertical="bottom"/>
    </xf>
    <xf borderId="21" fillId="14" fontId="6" numFmtId="0" xfId="0" applyAlignment="1" applyBorder="1" applyFill="1" applyFont="1">
      <alignment horizontal="center" vertical="bottom"/>
    </xf>
    <xf borderId="22" fillId="0" fontId="3" numFmtId="0" xfId="0" applyBorder="1" applyFont="1"/>
    <xf borderId="23" fillId="0" fontId="3" numFmtId="0" xfId="0" applyBorder="1" applyFont="1"/>
    <xf borderId="24" fillId="5" fontId="11" numFmtId="49" xfId="0" applyAlignment="1" applyBorder="1" applyFont="1" applyNumberFormat="1">
      <alignment horizontal="center" readingOrder="0"/>
    </xf>
    <xf borderId="13" fillId="6" fontId="8" numFmtId="1" xfId="0" applyAlignment="1" applyBorder="1" applyFont="1" applyNumberFormat="1">
      <alignment shrinkToFit="0" wrapText="0"/>
    </xf>
    <xf borderId="13" fillId="6" fontId="8" numFmtId="1" xfId="0" applyAlignment="1" applyBorder="1" applyFont="1" applyNumberFormat="1">
      <alignment horizontal="left"/>
    </xf>
    <xf borderId="13" fillId="6" fontId="8" numFmtId="0" xfId="0" applyAlignment="1" applyBorder="1" applyFont="1">
      <alignment horizontal="left"/>
    </xf>
    <xf borderId="13" fillId="13" fontId="8" numFmtId="1" xfId="0" applyAlignment="1" applyBorder="1" applyFont="1" applyNumberFormat="1">
      <alignment horizontal="center" shrinkToFit="0" wrapText="1"/>
    </xf>
    <xf borderId="13" fillId="13" fontId="8" numFmtId="0" xfId="0" applyAlignment="1" applyBorder="1" applyFont="1">
      <alignment shrinkToFit="0" wrapText="1"/>
    </xf>
    <xf borderId="13" fillId="13" fontId="8" numFmtId="0" xfId="0" applyAlignment="1" applyBorder="1" applyFont="1">
      <alignment horizontal="center"/>
    </xf>
    <xf borderId="13" fillId="6" fontId="5" numFmtId="0" xfId="0" applyAlignment="1" applyBorder="1" applyFont="1">
      <alignment shrinkToFit="0" wrapText="0"/>
    </xf>
    <xf borderId="13" fillId="6" fontId="5" numFmtId="0" xfId="0" applyBorder="1" applyFont="1"/>
    <xf borderId="13" fillId="6" fontId="5" numFmtId="0" xfId="0" applyBorder="1" applyFont="1"/>
    <xf borderId="13" fillId="13" fontId="8" numFmtId="0" xfId="0" applyAlignment="1" applyBorder="1" applyFont="1">
      <alignment horizontal="center" readingOrder="0"/>
    </xf>
    <xf borderId="13" fillId="12" fontId="8" numFmtId="1" xfId="0" applyAlignment="1" applyBorder="1" applyFont="1" applyNumberFormat="1">
      <alignment horizontal="left"/>
    </xf>
    <xf borderId="13" fillId="15" fontId="8" numFmtId="1" xfId="0" applyAlignment="1" applyBorder="1" applyFill="1" applyFont="1" applyNumberFormat="1">
      <alignment horizontal="center" shrinkToFit="0" wrapText="1"/>
    </xf>
    <xf borderId="13" fillId="15" fontId="8" numFmtId="0" xfId="0" applyAlignment="1" applyBorder="1" applyFont="1">
      <alignment shrinkToFit="0" wrapText="1"/>
    </xf>
    <xf borderId="13" fillId="15" fontId="8" numFmtId="0" xfId="0" applyAlignment="1" applyBorder="1" applyFont="1">
      <alignment horizontal="center"/>
    </xf>
    <xf borderId="13" fillId="9" fontId="5" numFmtId="0" xfId="0" applyBorder="1" applyFont="1"/>
    <xf borderId="13" fillId="8" fontId="8" numFmtId="1" xfId="0" applyAlignment="1" applyBorder="1" applyFont="1" applyNumberFormat="1">
      <alignment horizontal="center" readingOrder="0" shrinkToFit="0" wrapText="1"/>
    </xf>
    <xf borderId="13" fillId="8" fontId="8" numFmtId="0" xfId="0" applyAlignment="1" applyBorder="1" applyFont="1">
      <alignment readingOrder="0" shrinkToFit="0" wrapText="1"/>
    </xf>
    <xf borderId="13" fillId="8" fontId="8" numFmtId="0" xfId="0" applyAlignment="1" applyBorder="1" applyFont="1">
      <alignment horizontal="center" readingOrder="0"/>
    </xf>
    <xf borderId="13" fillId="8" fontId="8" numFmtId="1" xfId="0" applyAlignment="1" applyBorder="1" applyFont="1" applyNumberFormat="1">
      <alignment horizontal="center" shrinkToFit="0" wrapText="1"/>
    </xf>
    <xf borderId="13" fillId="8" fontId="8" numFmtId="0" xfId="0" applyAlignment="1" applyBorder="1" applyFont="1">
      <alignment shrinkToFit="0" wrapText="1"/>
    </xf>
    <xf borderId="13" fillId="8" fontId="8" numFmtId="0" xfId="0" applyAlignment="1" applyBorder="1" applyFont="1">
      <alignment horizontal="center"/>
    </xf>
    <xf borderId="13" fillId="12" fontId="8" numFmtId="1" xfId="0" applyAlignment="1" applyBorder="1" applyFont="1" applyNumberFormat="1">
      <alignment horizontal="left" readingOrder="0"/>
    </xf>
    <xf borderId="13" fillId="0" fontId="8" numFmtId="1" xfId="0" applyAlignment="1" applyBorder="1" applyFont="1" applyNumberFormat="1">
      <alignment shrinkToFit="0" wrapText="0"/>
    </xf>
    <xf borderId="13" fillId="14" fontId="8" numFmtId="1" xfId="0" applyAlignment="1" applyBorder="1" applyFont="1" applyNumberFormat="1">
      <alignment shrinkToFit="0" wrapText="0"/>
    </xf>
    <xf borderId="13" fillId="13" fontId="8" numFmtId="49" xfId="0" applyAlignment="1" applyBorder="1" applyFont="1" applyNumberFormat="1">
      <alignment horizontal="center" shrinkToFit="0" wrapText="1"/>
    </xf>
    <xf borderId="24" fillId="5" fontId="11" numFmtId="49" xfId="0" applyAlignment="1" applyBorder="1" applyFont="1" applyNumberFormat="1">
      <alignment horizontal="center"/>
    </xf>
    <xf borderId="13" fillId="6" fontId="8" numFmtId="0" xfId="0" applyAlignment="1" applyBorder="1" applyFont="1">
      <alignment horizontal="center"/>
    </xf>
    <xf borderId="13" fillId="6" fontId="8" numFmtId="1" xfId="0" applyAlignment="1" applyBorder="1" applyFont="1" applyNumberFormat="1">
      <alignment horizontal="center"/>
    </xf>
    <xf borderId="13" fillId="13" fontId="8" numFmtId="0" xfId="0" applyAlignment="1" applyBorder="1" applyFont="1">
      <alignment horizontal="center" shrinkToFit="0" wrapText="1"/>
    </xf>
    <xf borderId="13" fillId="6" fontId="8" numFmtId="0" xfId="0" applyAlignment="1" applyBorder="1" applyFont="1">
      <alignment shrinkToFit="0" wrapText="0"/>
    </xf>
    <xf borderId="13" fillId="6" fontId="8" numFmtId="0" xfId="0" applyBorder="1" applyFont="1"/>
    <xf borderId="13" fillId="6" fontId="5" numFmtId="0" xfId="0" applyAlignment="1" applyBorder="1" applyFont="1">
      <alignment readingOrder="0" shrinkToFit="0" wrapText="0"/>
    </xf>
    <xf borderId="13" fillId="6" fontId="5" numFmtId="0" xfId="0" applyAlignment="1" applyBorder="1" applyFont="1">
      <alignment readingOrder="0"/>
    </xf>
    <xf borderId="25" fillId="0" fontId="13" numFmtId="0" xfId="0" applyAlignment="1" applyBorder="1" applyFont="1">
      <alignment horizontal="center" readingOrder="0" vertical="center"/>
    </xf>
    <xf borderId="26" fillId="0" fontId="13" numFmtId="0" xfId="0" applyAlignment="1" applyBorder="1" applyFont="1">
      <alignment horizontal="center" readingOrder="0" vertical="center"/>
    </xf>
    <xf borderId="27" fillId="0" fontId="14" numFmtId="0" xfId="0" applyAlignment="1" applyBorder="1" applyFont="1">
      <alignment horizontal="center" vertical="center"/>
    </xf>
    <xf borderId="28" fillId="0" fontId="3" numFmtId="0" xfId="0" applyBorder="1" applyFont="1"/>
    <xf borderId="28" fillId="0" fontId="14" numFmtId="0" xfId="0" applyAlignment="1" applyBorder="1" applyFont="1">
      <alignment horizontal="center" vertical="center"/>
    </xf>
    <xf borderId="29" fillId="0" fontId="14" numFmtId="0" xfId="0" applyAlignment="1" applyBorder="1" applyFont="1">
      <alignment horizontal="center" vertical="center"/>
    </xf>
    <xf borderId="30" fillId="16" fontId="14" numFmtId="0" xfId="0" applyAlignment="1" applyBorder="1" applyFill="1" applyFont="1">
      <alignment horizontal="center" vertical="center"/>
    </xf>
    <xf borderId="31" fillId="17" fontId="15" numFmtId="0" xfId="0" applyAlignment="1" applyBorder="1" applyFill="1" applyFont="1">
      <alignment horizontal="center" vertical="center"/>
    </xf>
    <xf borderId="2" fillId="18" fontId="16" numFmtId="0" xfId="0" applyAlignment="1" applyBorder="1" applyFill="1" applyFont="1">
      <alignment vertical="center"/>
    </xf>
    <xf borderId="32" fillId="18" fontId="15" numFmtId="0" xfId="0" applyAlignment="1" applyBorder="1" applyFont="1">
      <alignment vertical="center"/>
    </xf>
    <xf borderId="2" fillId="18" fontId="16" numFmtId="0" xfId="0" applyAlignment="1" applyBorder="1" applyFont="1">
      <alignment horizontal="center" vertical="center"/>
    </xf>
    <xf borderId="33" fillId="18" fontId="16" numFmtId="0" xfId="0" applyAlignment="1" applyBorder="1" applyFont="1">
      <alignment horizontal="center" vertical="center"/>
    </xf>
    <xf borderId="34" fillId="2" fontId="16" numFmtId="0" xfId="0" applyAlignment="1" applyBorder="1" applyFont="1">
      <alignment horizontal="center" vertical="center"/>
    </xf>
    <xf borderId="35" fillId="2" fontId="16" numFmtId="0" xfId="0" applyAlignment="1" applyBorder="1" applyFont="1">
      <alignment horizontal="center" vertical="center"/>
    </xf>
    <xf borderId="35" fillId="2" fontId="17" numFmtId="10" xfId="0" applyAlignment="1" applyBorder="1" applyFont="1" applyNumberFormat="1">
      <alignment horizontal="center" vertical="center"/>
    </xf>
    <xf borderId="36" fillId="3" fontId="15" numFmtId="0" xfId="0" applyAlignment="1" applyBorder="1" applyFont="1">
      <alignment horizontal="center" vertical="center"/>
    </xf>
    <xf borderId="37" fillId="0" fontId="16" numFmtId="0" xfId="0" applyAlignment="1" applyBorder="1" applyFont="1">
      <alignment horizontal="center" vertical="center"/>
    </xf>
    <xf borderId="38" fillId="13" fontId="15" numFmtId="0" xfId="0" applyAlignment="1" applyBorder="1" applyFont="1">
      <alignment horizontal="center" vertical="center"/>
    </xf>
    <xf borderId="37" fillId="13" fontId="16" numFmtId="0" xfId="0" applyAlignment="1" applyBorder="1" applyFont="1">
      <alignment horizontal="center" readingOrder="0" vertical="center"/>
    </xf>
    <xf borderId="37" fillId="13" fontId="16" numFmtId="0" xfId="0" applyAlignment="1" applyBorder="1" applyFont="1">
      <alignment horizontal="center" vertical="center"/>
    </xf>
    <xf borderId="39" fillId="13" fontId="16" numFmtId="0" xfId="0" applyAlignment="1" applyBorder="1" applyFont="1">
      <alignment horizontal="center" vertical="center"/>
    </xf>
    <xf borderId="40" fillId="13" fontId="16" numFmtId="0" xfId="0" applyAlignment="1" applyBorder="1" applyFont="1">
      <alignment horizontal="center" vertical="center"/>
    </xf>
    <xf borderId="41" fillId="13" fontId="16" numFmtId="0" xfId="0" applyAlignment="1" applyBorder="1" applyFont="1">
      <alignment horizontal="center" vertical="center"/>
    </xf>
    <xf borderId="37" fillId="19" fontId="16" numFmtId="0" xfId="0" applyAlignment="1" applyBorder="1" applyFill="1" applyFont="1">
      <alignment horizontal="center" vertical="center"/>
    </xf>
    <xf borderId="42" fillId="19" fontId="16" numFmtId="0" xfId="0" applyAlignment="1" applyBorder="1" applyFont="1">
      <alignment horizontal="center" vertical="center"/>
    </xf>
    <xf borderId="43" fillId="19" fontId="17" numFmtId="10" xfId="0" applyAlignment="1" applyBorder="1" applyFont="1" applyNumberFormat="1">
      <alignment horizontal="center" vertical="center"/>
    </xf>
    <xf borderId="43" fillId="19" fontId="16" numFmtId="0" xfId="0" applyAlignment="1" applyBorder="1" applyFont="1">
      <alignment horizontal="center" vertical="center"/>
    </xf>
    <xf borderId="44" fillId="3" fontId="15" numFmtId="49" xfId="0" applyAlignment="1" applyBorder="1" applyFont="1" applyNumberFormat="1">
      <alignment horizontal="center" readingOrder="0" vertical="center"/>
    </xf>
    <xf borderId="13" fillId="0" fontId="16" numFmtId="1" xfId="0" applyAlignment="1" applyBorder="1" applyFont="1" applyNumberFormat="1">
      <alignment vertical="center"/>
    </xf>
    <xf borderId="45" fillId="13" fontId="15" numFmtId="169" xfId="0" applyAlignment="1" applyBorder="1" applyFont="1" applyNumberFormat="1">
      <alignment horizontal="center" vertical="center"/>
    </xf>
    <xf borderId="13" fillId="0" fontId="16" numFmtId="3" xfId="0" applyAlignment="1" applyBorder="1" applyFont="1" applyNumberFormat="1">
      <alignment horizontal="center" readingOrder="0" vertical="center"/>
    </xf>
    <xf borderId="13" fillId="0" fontId="8" numFmtId="0" xfId="0" applyBorder="1" applyFont="1"/>
    <xf borderId="13" fillId="0" fontId="8" numFmtId="0" xfId="0" applyAlignment="1" applyBorder="1" applyFont="1">
      <alignment readingOrder="0"/>
    </xf>
    <xf borderId="13" fillId="0" fontId="16" numFmtId="0" xfId="0" applyAlignment="1" applyBorder="1" applyFont="1">
      <alignment readingOrder="0" vertical="center"/>
    </xf>
    <xf borderId="13" fillId="0" fontId="16" numFmtId="1" xfId="0" applyAlignment="1" applyBorder="1" applyFont="1" applyNumberFormat="1">
      <alignment readingOrder="0" vertical="center"/>
    </xf>
    <xf borderId="13" fillId="0" fontId="16" numFmtId="1" xfId="0" applyAlignment="1" applyBorder="1" applyFont="1" applyNumberFormat="1">
      <alignment horizontal="center" readingOrder="0" vertical="center"/>
    </xf>
    <xf borderId="46" fillId="0" fontId="16" numFmtId="0" xfId="0" applyAlignment="1" applyBorder="1" applyFont="1">
      <alignment readingOrder="0" vertical="center"/>
    </xf>
    <xf borderId="45" fillId="0" fontId="16" numFmtId="0" xfId="0" applyAlignment="1" applyBorder="1" applyFont="1">
      <alignment vertical="center"/>
    </xf>
    <xf borderId="45" fillId="0" fontId="16" numFmtId="0" xfId="0" applyAlignment="1" applyBorder="1" applyFont="1">
      <alignment horizontal="center" vertical="center"/>
    </xf>
    <xf borderId="47" fillId="4" fontId="16" numFmtId="4" xfId="0" applyAlignment="1" applyBorder="1" applyFont="1" applyNumberFormat="1">
      <alignment horizontal="center" vertical="center"/>
    </xf>
    <xf borderId="48" fillId="4" fontId="16" numFmtId="4" xfId="0" applyAlignment="1" applyBorder="1" applyFont="1" applyNumberFormat="1">
      <alignment horizontal="center" vertical="center"/>
    </xf>
    <xf borderId="13" fillId="4" fontId="17" numFmtId="10" xfId="0" applyAlignment="1" applyBorder="1" applyFont="1" applyNumberFormat="1">
      <alignment horizontal="center" vertical="center"/>
    </xf>
    <xf borderId="13" fillId="4" fontId="16" numFmtId="0" xfId="0" applyAlignment="1" applyBorder="1" applyFont="1">
      <alignment vertical="center"/>
    </xf>
    <xf borderId="0" fillId="3" fontId="15" numFmtId="49" xfId="0" applyAlignment="1" applyFont="1" applyNumberFormat="1">
      <alignment horizontal="center" readingOrder="0" vertical="center"/>
    </xf>
    <xf borderId="0" fillId="0" fontId="16" numFmtId="0" xfId="0" applyAlignment="1" applyFont="1">
      <alignment vertical="center"/>
    </xf>
    <xf borderId="0" fillId="13" fontId="15" numFmtId="169" xfId="0" applyAlignment="1" applyFont="1" applyNumberFormat="1">
      <alignment horizontal="center" vertical="center"/>
    </xf>
    <xf borderId="0" fillId="0" fontId="16" numFmtId="3" xfId="0" applyAlignment="1" applyFont="1" applyNumberFormat="1">
      <alignment horizontal="center" readingOrder="0" vertical="center"/>
    </xf>
    <xf borderId="0" fillId="0" fontId="8" numFmtId="0" xfId="0" applyFont="1"/>
    <xf borderId="0" fillId="0" fontId="16" numFmtId="0" xfId="0" applyAlignment="1" applyFont="1">
      <alignment readingOrder="0" vertical="center"/>
    </xf>
    <xf borderId="0" fillId="0" fontId="16" numFmtId="0" xfId="0" applyAlignment="1" applyFont="1">
      <alignment horizontal="center" readingOrder="0" vertical="center"/>
    </xf>
    <xf borderId="0" fillId="0" fontId="16" numFmtId="0" xfId="0" applyAlignment="1" applyFont="1">
      <alignment horizontal="center" vertical="center"/>
    </xf>
    <xf borderId="0" fillId="4" fontId="16" numFmtId="4" xfId="0" applyAlignment="1" applyFont="1" applyNumberFormat="1">
      <alignment horizontal="center" vertical="center"/>
    </xf>
    <xf borderId="0" fillId="4" fontId="17" numFmtId="10" xfId="0" applyAlignment="1" applyFont="1" applyNumberFormat="1">
      <alignment horizontal="center" vertical="center"/>
    </xf>
    <xf borderId="0" fillId="4" fontId="16" numFmtId="0" xfId="0" applyAlignment="1" applyFont="1">
      <alignment vertical="center"/>
    </xf>
    <xf borderId="49" fillId="0" fontId="7" numFmtId="49" xfId="0" applyAlignment="1" applyBorder="1" applyFont="1" applyNumberFormat="1">
      <alignment vertical="bottom"/>
    </xf>
    <xf borderId="49" fillId="0" fontId="7" numFmtId="49" xfId="0" applyAlignment="1" applyBorder="1" applyFont="1" applyNumberFormat="1">
      <alignment readingOrder="0" vertical="bottom"/>
    </xf>
    <xf borderId="0" fillId="0" fontId="14" numFmtId="0" xfId="0" applyAlignment="1" applyFont="1">
      <alignment horizontal="center" vertical="center"/>
    </xf>
    <xf borderId="50" fillId="0" fontId="16" numFmtId="0" xfId="0" applyAlignment="1" applyBorder="1" applyFont="1">
      <alignment horizontal="center" vertical="center"/>
    </xf>
    <xf borderId="36" fillId="0" fontId="16" numFmtId="0" xfId="0" applyAlignment="1" applyBorder="1" applyFont="1">
      <alignment horizontal="center" vertical="center"/>
    </xf>
    <xf borderId="48" fillId="0" fontId="16" numFmtId="0" xfId="0" applyAlignment="1" applyBorder="1" applyFont="1">
      <alignment horizontal="center" vertical="center"/>
    </xf>
    <xf borderId="48" fillId="0" fontId="16" numFmtId="0" xfId="0" applyAlignment="1" applyBorder="1" applyFont="1">
      <alignment horizontal="center" readingOrder="0" vertical="center"/>
    </xf>
    <xf borderId="51" fillId="0" fontId="18" numFmtId="0" xfId="0" applyAlignment="1" applyBorder="1" applyFont="1">
      <alignment readingOrder="0" vertical="bottom"/>
    </xf>
    <xf borderId="0" fillId="0" fontId="8" numFmtId="3" xfId="0" applyAlignment="1" applyFont="1" applyNumberFormat="1">
      <alignment horizontal="center" readingOrder="0"/>
    </xf>
    <xf borderId="0" fillId="0" fontId="8" numFmtId="0" xfId="0" applyAlignment="1" applyFont="1">
      <alignment horizontal="right"/>
    </xf>
    <xf borderId="0" fillId="0" fontId="5" numFmtId="0" xfId="0" applyFont="1"/>
    <xf borderId="0" fillId="0" fontId="8" numFmtId="173" xfId="0" applyAlignment="1" applyFont="1" applyNumberFormat="1">
      <alignment horizontal="right"/>
    </xf>
    <xf borderId="0" fillId="0" fontId="8" numFmtId="0" xfId="0" applyAlignment="1" applyFont="1">
      <alignment horizontal="right" readingOrder="0"/>
    </xf>
    <xf borderId="0" fillId="0" fontId="16" numFmtId="10" xfId="0" applyAlignment="1" applyFont="1" applyNumberFormat="1">
      <alignment vertical="center"/>
    </xf>
    <xf borderId="0" fillId="0" fontId="5" numFmtId="0" xfId="0" applyAlignment="1" applyFont="1">
      <alignment horizontal="right" vertical="bottom"/>
    </xf>
    <xf borderId="0" fillId="0" fontId="5" numFmtId="4" xfId="0" applyAlignment="1" applyFont="1" applyNumberFormat="1">
      <alignment horizontal="right" vertical="bottom"/>
    </xf>
    <xf borderId="0" fillId="0" fontId="16" numFmtId="4" xfId="0" applyAlignment="1" applyFont="1" applyNumberFormat="1">
      <alignment readingOrder="0" vertical="center"/>
    </xf>
    <xf borderId="0" fillId="0" fontId="8" numFmtId="9" xfId="0" applyAlignment="1" applyFont="1" applyNumberFormat="1">
      <alignment horizontal="center" vertical="bottom"/>
    </xf>
    <xf borderId="0" fillId="0" fontId="8" numFmtId="4" xfId="0" applyAlignment="1" applyFont="1" applyNumberFormat="1">
      <alignment horizontal="center" vertical="bottom"/>
    </xf>
    <xf borderId="0" fillId="0" fontId="5" numFmtId="0" xfId="0" applyAlignment="1" applyFont="1">
      <alignment readingOrder="0"/>
    </xf>
    <xf borderId="0" fillId="0" fontId="5" numFmtId="4" xfId="0" applyFont="1" applyNumberFormat="1"/>
    <xf borderId="0" fillId="0" fontId="8" numFmtId="0" xfId="0" applyAlignment="1" applyFont="1">
      <alignment horizontal="center" readingOrder="0"/>
    </xf>
    <xf borderId="0" fillId="0" fontId="8" numFmtId="4" xfId="0" applyAlignment="1" applyFont="1" applyNumberFormat="1">
      <alignment horizontal="center" readingOrder="0"/>
    </xf>
    <xf borderId="0" fillId="0" fontId="5" numFmtId="10" xfId="0" applyFont="1" applyNumberFormat="1"/>
    <xf borderId="0" fillId="0" fontId="8" numFmtId="4" xfId="0" applyAlignment="1" applyFont="1" applyNumberFormat="1">
      <alignment horizontal="center"/>
    </xf>
    <xf borderId="0" fillId="11" fontId="16" numFmtId="169" xfId="0" applyAlignment="1" applyFont="1" applyNumberFormat="1">
      <alignment horizontal="center" vertical="center"/>
    </xf>
    <xf borderId="0" fillId="0" fontId="16" numFmtId="169" xfId="0" applyAlignment="1" applyFont="1" applyNumberFormat="1">
      <alignment horizontal="center" vertical="center"/>
    </xf>
    <xf borderId="48" fillId="0" fontId="16" numFmtId="3" xfId="0" applyAlignment="1" applyBorder="1" applyFont="1" applyNumberFormat="1">
      <alignment horizontal="center" readingOrder="0" vertical="center"/>
    </xf>
    <xf borderId="0" fillId="0" fontId="8" numFmtId="3" xfId="0" applyAlignment="1" applyFont="1" applyNumberFormat="1">
      <alignment horizontal="right" readingOrder="0"/>
    </xf>
    <xf borderId="0" fillId="0" fontId="8" numFmtId="0" xfId="0" applyAlignment="1" applyFont="1">
      <alignment horizontal="center"/>
    </xf>
    <xf borderId="0" fillId="0" fontId="16" numFmtId="4" xfId="0" applyAlignment="1" applyFont="1" applyNumberFormat="1">
      <alignment vertical="center"/>
    </xf>
    <xf borderId="0" fillId="0" fontId="7" numFmtId="49" xfId="0" applyAlignment="1" applyFont="1" applyNumberFormat="1">
      <alignment vertical="bottom"/>
    </xf>
    <xf borderId="0" fillId="0" fontId="19" numFmtId="0" xfId="0" applyFont="1"/>
    <xf borderId="0" fillId="0" fontId="19" numFmtId="49" xfId="0" applyFont="1" applyNumberFormat="1"/>
    <xf borderId="0" fillId="0" fontId="19" numFmtId="0" xfId="0" applyFont="1"/>
    <xf borderId="0" fillId="0" fontId="19" numFmtId="0" xfId="0" applyFont="1"/>
    <xf borderId="0" fillId="6" fontId="20" numFmtId="0" xfId="0" applyAlignment="1" applyFont="1">
      <alignment horizontal="left" shrinkToFit="0" vertical="center" wrapText="0"/>
    </xf>
    <xf borderId="0" fillId="6" fontId="21" numFmtId="0" xfId="0" applyAlignment="1" applyFont="1">
      <alignment horizontal="left" shrinkToFit="0" vertical="center" wrapText="0"/>
    </xf>
    <xf borderId="0" fillId="6" fontId="22" numFmtId="0" xfId="0" applyAlignment="1" applyFont="1">
      <alignment horizontal="left" shrinkToFit="0" vertical="center" wrapText="0"/>
    </xf>
    <xf borderId="0" fillId="0" fontId="23" numFmtId="0" xfId="0" applyAlignment="1" applyFont="1">
      <alignment vertical="center"/>
    </xf>
    <xf borderId="0" fillId="0" fontId="24" numFmtId="0" xfId="0" applyAlignment="1" applyFont="1">
      <alignment vertical="center"/>
    </xf>
    <xf borderId="0" fillId="0" fontId="25" numFmtId="0" xfId="0" applyAlignment="1" applyFont="1">
      <alignment vertical="center"/>
    </xf>
    <xf borderId="0" fillId="6" fontId="26" numFmtId="0" xfId="0" applyAlignment="1" applyFont="1">
      <alignment horizontal="left" readingOrder="0" shrinkToFit="0" vertical="center" wrapText="0"/>
    </xf>
    <xf borderId="0" fillId="20" fontId="27" numFmtId="0" xfId="0" applyAlignment="1" applyFill="1" applyFont="1">
      <alignment horizontal="left" shrinkToFit="0" vertical="center" wrapText="0"/>
    </xf>
    <xf borderId="0" fillId="0" fontId="28" numFmtId="0" xfId="0" applyAlignment="1" applyFont="1">
      <alignment vertical="center"/>
    </xf>
    <xf borderId="0" fillId="6" fontId="29" numFmtId="0" xfId="0" applyAlignment="1" applyFont="1">
      <alignment horizontal="center" readingOrder="0" vertical="top"/>
    </xf>
    <xf borderId="0" fillId="6" fontId="24" numFmtId="0" xfId="0" applyAlignment="1" applyFont="1">
      <alignment horizontal="left" shrinkToFit="0" vertical="center" wrapText="0"/>
    </xf>
    <xf borderId="0" fillId="0" fontId="24" numFmtId="0" xfId="0" applyAlignment="1" applyFont="1">
      <alignment shrinkToFit="0" vertical="center" wrapText="0"/>
    </xf>
    <xf borderId="0" fillId="0" fontId="25" numFmtId="0" xfId="0" applyAlignment="1" applyFont="1">
      <alignment shrinkToFit="0" vertical="center" wrapText="0"/>
    </xf>
    <xf borderId="0" fillId="2" fontId="30" numFmtId="0" xfId="0" applyAlignment="1" applyFont="1">
      <alignment horizontal="center" readingOrder="0" shrinkToFit="0" vertical="center" wrapText="0"/>
    </xf>
    <xf borderId="0" fillId="6" fontId="31" numFmtId="0" xfId="0" applyAlignment="1" applyFont="1">
      <alignment vertical="center"/>
    </xf>
    <xf borderId="0" fillId="13" fontId="32" numFmtId="0" xfId="0" applyAlignment="1" applyFont="1">
      <alignment horizontal="center" readingOrder="0" vertical="top"/>
    </xf>
    <xf borderId="0" fillId="13" fontId="24" numFmtId="0" xfId="0" applyAlignment="1" applyFont="1">
      <alignment horizontal="left" shrinkToFit="0" vertical="center" wrapText="0"/>
    </xf>
    <xf borderId="0" fillId="0" fontId="27" numFmtId="0" xfId="0" applyAlignment="1" applyFont="1">
      <alignment horizontal="left" shrinkToFit="0" vertical="center" wrapText="0"/>
    </xf>
    <xf borderId="0" fillId="0" fontId="33" numFmtId="0" xfId="0" applyAlignment="1" applyFont="1">
      <alignment horizontal="left" shrinkToFit="0" vertical="center" wrapText="0"/>
    </xf>
    <xf borderId="0" fillId="6" fontId="34" numFmtId="0" xfId="0" applyAlignment="1" applyFont="1">
      <alignment horizontal="center" readingOrder="0" shrinkToFit="0" vertical="center" wrapText="0"/>
    </xf>
    <xf borderId="0" fillId="6" fontId="35" numFmtId="0" xfId="0" applyFont="1"/>
    <xf borderId="0" fillId="6" fontId="36" numFmtId="0" xfId="0" applyAlignment="1" applyFont="1">
      <alignment horizontal="center" readingOrder="0" vertical="top"/>
    </xf>
    <xf borderId="0" fillId="6" fontId="19" numFmtId="0" xfId="0" applyFont="1"/>
    <xf borderId="0" fillId="6" fontId="37" numFmtId="0" xfId="0" applyAlignment="1" applyFont="1">
      <alignment horizontal="center" readingOrder="0" shrinkToFit="0" vertical="center" wrapText="0"/>
    </xf>
    <xf borderId="0" fillId="13" fontId="38" numFmtId="0" xfId="0" applyAlignment="1" applyFont="1">
      <alignment horizontal="center" readingOrder="0" vertical="top"/>
    </xf>
    <xf borderId="0" fillId="6" fontId="29" numFmtId="0" xfId="0" applyAlignment="1" applyFont="1">
      <alignment readingOrder="0"/>
    </xf>
    <xf borderId="0" fillId="6" fontId="39" numFmtId="0" xfId="0" applyAlignment="1" applyFont="1">
      <alignment horizontal="center" readingOrder="0" vertical="top"/>
    </xf>
    <xf borderId="0" fillId="13" fontId="40" numFmtId="0" xfId="0" applyAlignment="1" applyFont="1">
      <alignment horizontal="center" readingOrder="0" vertical="top"/>
    </xf>
    <xf borderId="0" fillId="0" fontId="24" numFmtId="0" xfId="0" applyAlignment="1" applyFont="1">
      <alignment readingOrder="0" shrinkToFit="0" vertical="center" wrapText="0"/>
    </xf>
    <xf borderId="0" fillId="0" fontId="41" numFmtId="0" xfId="0" applyAlignment="1" applyFont="1">
      <alignment horizontal="center" shrinkToFit="0" vertical="center" wrapText="0"/>
    </xf>
    <xf borderId="0" fillId="0" fontId="42" numFmtId="0" xfId="0" applyAlignment="1" applyFont="1">
      <alignment horizontal="center" shrinkToFit="0" vertical="center" wrapText="0"/>
    </xf>
    <xf borderId="0" fillId="0" fontId="43" numFmtId="0" xfId="0" applyAlignment="1" applyFont="1">
      <alignment horizontal="center" readingOrder="0" shrinkToFit="0" vertical="center" wrapText="0"/>
    </xf>
    <xf borderId="0" fillId="0" fontId="44" numFmtId="0" xfId="0" applyAlignment="1" applyFont="1">
      <alignment horizontal="center" readingOrder="0" shrinkToFit="0" vertical="center" wrapText="0"/>
    </xf>
    <xf borderId="0" fillId="0" fontId="22" numFmtId="0" xfId="0" applyAlignment="1" applyFont="1">
      <alignment horizontal="center" readingOrder="0" shrinkToFit="0" vertical="center" wrapText="0"/>
    </xf>
    <xf borderId="52" fillId="0" fontId="3" numFmtId="0" xfId="0" applyBorder="1" applyFont="1"/>
    <xf borderId="0" fillId="21" fontId="8" numFmtId="0" xfId="0" applyAlignment="1" applyFill="1" applyFont="1">
      <alignment shrinkToFit="0" vertical="center" wrapText="0"/>
    </xf>
    <xf borderId="0" fillId="21" fontId="19" numFmtId="0" xfId="0" applyFont="1"/>
    <xf borderId="0" fillId="0" fontId="45" numFmtId="0" xfId="0" applyAlignment="1" applyFont="1">
      <alignment horizontal="center" shrinkToFit="0" vertical="bottom" wrapText="0"/>
    </xf>
    <xf borderId="0" fillId="21" fontId="46" numFmtId="0" xfId="0" applyAlignment="1" applyFont="1">
      <alignment horizontal="center" shrinkToFit="0" vertical="bottom" wrapText="0"/>
    </xf>
    <xf borderId="0" fillId="19" fontId="47" numFmtId="0" xfId="0" applyAlignment="1" applyFont="1">
      <alignment horizontal="center" readingOrder="0" shrinkToFit="0" vertical="center" wrapText="1"/>
    </xf>
    <xf borderId="0" fillId="21" fontId="24" numFmtId="0" xfId="0" applyAlignment="1" applyFont="1">
      <alignment shrinkToFit="0" vertical="center" wrapText="0"/>
    </xf>
    <xf borderId="0" fillId="21" fontId="47" numFmtId="0" xfId="0" applyAlignment="1" applyFont="1">
      <alignment horizontal="center" readingOrder="0" shrinkToFit="0" vertical="center" wrapText="1"/>
    </xf>
    <xf borderId="0" fillId="0" fontId="25" numFmtId="0" xfId="0" applyAlignment="1" applyFont="1">
      <alignment readingOrder="0" shrinkToFit="0" vertical="center" wrapText="0"/>
    </xf>
    <xf borderId="0" fillId="0" fontId="48" numFmtId="0" xfId="0" applyAlignment="1" applyFont="1">
      <alignment horizontal="center" shrinkToFit="0" vertical="bottom" wrapText="0"/>
    </xf>
    <xf borderId="0" fillId="21" fontId="49" numFmtId="0" xfId="0" applyAlignment="1" applyFont="1">
      <alignment horizontal="center" shrinkToFit="0" vertical="bottom" wrapText="0"/>
    </xf>
    <xf borderId="0" fillId="0" fontId="41" numFmtId="10" xfId="0" applyAlignment="1" applyFont="1" applyNumberFormat="1">
      <alignment horizontal="center" shrinkToFit="0" vertical="bottom" wrapText="0"/>
    </xf>
    <xf borderId="0" fillId="0" fontId="27" numFmtId="0" xfId="0" applyAlignment="1" applyFont="1">
      <alignment horizontal="left" readingOrder="0" shrinkToFit="0" vertical="center" wrapText="0"/>
    </xf>
    <xf borderId="0" fillId="0" fontId="24" numFmtId="0" xfId="0" applyAlignment="1" applyFont="1">
      <alignment horizontal="center" shrinkToFit="0" vertical="center" wrapText="0"/>
    </xf>
    <xf borderId="53" fillId="6" fontId="27" numFmtId="0" xfId="0" applyAlignment="1" applyBorder="1" applyFont="1">
      <alignment horizontal="center" readingOrder="0" shrinkToFit="0" vertical="center" wrapText="0"/>
    </xf>
    <xf borderId="0" fillId="21" fontId="27" numFmtId="0" xfId="0" applyAlignment="1" applyFont="1">
      <alignment horizontal="left" readingOrder="0" shrinkToFit="0" vertical="center" wrapText="0"/>
    </xf>
    <xf borderId="0" fillId="21" fontId="24" numFmtId="0" xfId="0" applyAlignment="1" applyFont="1">
      <alignment horizontal="center" shrinkToFit="0" vertical="center" wrapText="0"/>
    </xf>
    <xf borderId="0" fillId="21" fontId="24" numFmtId="0" xfId="0" applyAlignment="1" applyFont="1">
      <alignment vertical="center"/>
    </xf>
    <xf borderId="54" fillId="19" fontId="27" numFmtId="0" xfId="0" applyAlignment="1" applyBorder="1" applyFont="1">
      <alignment horizontal="center" shrinkToFit="0" vertical="center" wrapText="0"/>
    </xf>
    <xf borderId="55" fillId="6" fontId="27" numFmtId="0" xfId="0" applyAlignment="1" applyBorder="1" applyFont="1">
      <alignment horizontal="center" shrinkToFit="0" vertical="center" wrapText="0"/>
    </xf>
    <xf borderId="56" fillId="21" fontId="50" numFmtId="0" xfId="0" applyAlignment="1" applyBorder="1" applyFont="1">
      <alignment horizontal="center" shrinkToFit="0" vertical="center" wrapText="0"/>
    </xf>
    <xf borderId="57" fillId="22" fontId="3" numFmtId="0" xfId="0" applyBorder="1" applyFill="1" applyFont="1"/>
    <xf borderId="58" fillId="16" fontId="24" numFmtId="0" xfId="0" applyAlignment="1" applyBorder="1" applyFont="1">
      <alignment horizontal="center" shrinkToFit="0" vertical="center" wrapText="0"/>
    </xf>
    <xf borderId="58" fillId="16" fontId="24" numFmtId="10" xfId="0" applyAlignment="1" applyBorder="1" applyFont="1" applyNumberFormat="1">
      <alignment horizontal="center" shrinkToFit="0" vertical="center" wrapText="0"/>
    </xf>
    <xf borderId="59" fillId="16" fontId="24" numFmtId="0" xfId="0" applyAlignment="1" applyBorder="1" applyFont="1">
      <alignment horizontal="center" shrinkToFit="0" vertical="center" wrapText="0"/>
    </xf>
    <xf borderId="0" fillId="6" fontId="24" numFmtId="0" xfId="0" applyAlignment="1" applyFont="1">
      <alignment horizontal="center" shrinkToFit="0" vertical="center" wrapText="0"/>
    </xf>
    <xf borderId="59" fillId="21" fontId="24" numFmtId="0" xfId="0" applyAlignment="1" applyBorder="1" applyFont="1">
      <alignment horizontal="center" shrinkToFit="0" vertical="center" wrapText="0"/>
    </xf>
    <xf borderId="60" fillId="6" fontId="3" numFmtId="0" xfId="0" applyBorder="1" applyFont="1"/>
    <xf borderId="59" fillId="21" fontId="24" numFmtId="10" xfId="0" applyAlignment="1" applyBorder="1" applyFont="1" applyNumberFormat="1">
      <alignment horizontal="center" shrinkToFit="0" vertical="center" wrapText="0"/>
    </xf>
    <xf borderId="60" fillId="23" fontId="3" numFmtId="0" xfId="0" applyBorder="1" applyFill="1" applyFont="1"/>
    <xf borderId="58" fillId="19" fontId="27" numFmtId="0" xfId="0" applyAlignment="1" applyBorder="1" applyFont="1">
      <alignment horizontal="center" shrinkToFit="0" vertical="center" wrapText="0"/>
    </xf>
    <xf borderId="58" fillId="19" fontId="27" numFmtId="10" xfId="0" applyAlignment="1" applyBorder="1" applyFont="1" applyNumberFormat="1">
      <alignment horizontal="center" shrinkToFit="0" vertical="center" wrapText="0"/>
    </xf>
    <xf borderId="59" fillId="19" fontId="27" numFmtId="0" xfId="0" applyAlignment="1" applyBorder="1" applyFont="1">
      <alignment horizontal="center" shrinkToFit="0" vertical="center" wrapText="0"/>
    </xf>
    <xf borderId="59" fillId="21" fontId="50" numFmtId="0" xfId="0" applyAlignment="1" applyBorder="1" applyFont="1">
      <alignment horizontal="center" shrinkToFit="0" vertical="center" wrapText="0"/>
    </xf>
    <xf borderId="0" fillId="21" fontId="27" numFmtId="0" xfId="0" applyAlignment="1" applyFont="1">
      <alignment horizontal="left" shrinkToFit="0" vertical="center" wrapText="0"/>
    </xf>
    <xf borderId="0" fillId="6" fontId="24" numFmtId="0" xfId="0" applyAlignment="1" applyFont="1">
      <alignment horizontal="center" shrinkToFit="0" vertical="center" wrapText="0"/>
    </xf>
    <xf borderId="0" fillId="6" fontId="28" numFmtId="0" xfId="0" applyAlignment="1" applyFont="1">
      <alignment horizontal="center" shrinkToFit="0" vertical="center" wrapText="0"/>
    </xf>
    <xf borderId="61" fillId="0" fontId="19" numFmtId="0" xfId="0" applyBorder="1" applyFont="1"/>
    <xf borderId="61" fillId="6" fontId="27" numFmtId="0" xfId="0" applyAlignment="1" applyBorder="1" applyFont="1">
      <alignment horizontal="center" readingOrder="0" shrinkToFit="0" vertical="center" wrapText="0"/>
    </xf>
    <xf borderId="61" fillId="6" fontId="28" numFmtId="0" xfId="0" applyAlignment="1" applyBorder="1" applyFont="1">
      <alignment vertical="center"/>
    </xf>
    <xf borderId="61" fillId="0" fontId="24" numFmtId="0" xfId="0" applyAlignment="1" applyBorder="1" applyFont="1">
      <alignment vertical="center"/>
    </xf>
    <xf borderId="0" fillId="0" fontId="51" numFmtId="0" xfId="0" applyAlignment="1" applyFont="1">
      <alignment readingOrder="0"/>
    </xf>
    <xf borderId="0" fillId="6" fontId="27" numFmtId="0" xfId="0" applyAlignment="1" applyFont="1">
      <alignment horizontal="center" readingOrder="0" shrinkToFit="0" vertical="center" wrapText="0"/>
    </xf>
    <xf borderId="0" fillId="6" fontId="28" numFmtId="0" xfId="0" applyAlignment="1" applyFont="1">
      <alignment vertical="center"/>
    </xf>
    <xf borderId="0" fillId="0" fontId="52" numFmtId="0" xfId="0" applyAlignment="1" applyFont="1">
      <alignment readingOrder="0"/>
    </xf>
    <xf borderId="0" fillId="0" fontId="53" numFmtId="0" xfId="0" applyFont="1"/>
    <xf borderId="0" fillId="2" fontId="20" numFmtId="0" xfId="0" applyAlignment="1" applyFont="1">
      <alignment horizontal="center" readingOrder="0" shrinkToFit="0" vertical="center" wrapText="0"/>
    </xf>
    <xf borderId="0" fillId="6" fontId="24" numFmtId="0" xfId="0" applyAlignment="1" applyFont="1">
      <alignment vertical="center"/>
    </xf>
    <xf borderId="0" fillId="6" fontId="27" numFmtId="0" xfId="0" applyAlignment="1" applyFont="1">
      <alignment horizontal="center" shrinkToFit="0" vertical="center" wrapText="0"/>
    </xf>
    <xf borderId="0" fillId="6" fontId="50" numFmtId="0" xfId="0" applyAlignment="1" applyFont="1">
      <alignment horizontal="center" shrinkToFit="0" vertical="center" wrapText="0"/>
    </xf>
    <xf borderId="0" fillId="6" fontId="28" numFmtId="10" xfId="0" applyAlignment="1" applyFont="1" applyNumberFormat="1">
      <alignment horizontal="center" shrinkToFit="0" vertical="center" wrapText="0"/>
    </xf>
    <xf borderId="0" fillId="24" fontId="27" numFmtId="0" xfId="0" applyAlignment="1" applyFill="1" applyFont="1">
      <alignment horizontal="center" vertical="center"/>
    </xf>
    <xf borderId="0" fillId="6" fontId="27" numFmtId="0" xfId="0" applyAlignment="1" applyFont="1">
      <alignment horizontal="center" vertical="center"/>
    </xf>
    <xf borderId="0" fillId="6" fontId="24" numFmtId="0" xfId="0" applyAlignment="1" applyFont="1">
      <alignment horizontal="center" vertical="center"/>
    </xf>
    <xf borderId="0" fillId="6" fontId="24" numFmtId="10" xfId="0" applyAlignment="1" applyFont="1" applyNumberFormat="1">
      <alignment horizontal="center" vertical="center"/>
    </xf>
    <xf borderId="0" fillId="13" fontId="24" numFmtId="0" xfId="0" applyAlignment="1" applyFont="1">
      <alignment horizontal="center" vertical="center"/>
    </xf>
    <xf borderId="0" fillId="13" fontId="24" numFmtId="10" xfId="0" applyAlignment="1" applyFont="1" applyNumberFormat="1">
      <alignment horizontal="center" vertical="center"/>
    </xf>
    <xf borderId="62" fillId="24" fontId="24" numFmtId="0" xfId="0" applyAlignment="1" applyBorder="1" applyFont="1">
      <alignment horizontal="center" vertical="center"/>
    </xf>
    <xf borderId="0" fillId="0" fontId="24" numFmtId="0" xfId="0" applyAlignment="1" applyFont="1">
      <alignment horizontal="left" shrinkToFit="0" vertical="center" wrapText="0"/>
    </xf>
    <xf borderId="0" fillId="0" fontId="27" numFmtId="0" xfId="0" applyAlignment="1" applyFont="1">
      <alignment horizontal="center" shrinkToFit="0" vertical="center" wrapText="0"/>
    </xf>
    <xf borderId="0" fillId="0" fontId="54" numFmtId="10" xfId="0" applyAlignment="1" applyFont="1" applyNumberFormat="1">
      <alignment horizontal="center" vertical="center"/>
    </xf>
    <xf borderId="0" fillId="19" fontId="55" numFmtId="0" xfId="0" applyAlignment="1" applyFont="1">
      <alignment shrinkToFit="0" vertical="center" wrapText="1"/>
    </xf>
    <xf borderId="61" fillId="0" fontId="24" numFmtId="0" xfId="0" applyAlignment="1" applyBorder="1" applyFont="1">
      <alignment horizontal="left" shrinkToFit="0" vertical="center" wrapText="0"/>
    </xf>
    <xf borderId="61" fillId="0" fontId="27" numFmtId="0" xfId="0" applyAlignment="1" applyBorder="1" applyFont="1">
      <alignment horizontal="center" shrinkToFit="0" vertical="center" wrapText="0"/>
    </xf>
    <xf borderId="61" fillId="6" fontId="27" numFmtId="0" xfId="0" applyAlignment="1" applyBorder="1" applyFont="1">
      <alignment horizontal="center" shrinkToFit="0" vertical="center" wrapText="0"/>
    </xf>
    <xf borderId="61" fillId="6" fontId="50" numFmtId="0" xfId="0" applyAlignment="1" applyBorder="1" applyFont="1">
      <alignment horizontal="center" shrinkToFit="0" vertical="center" wrapText="0"/>
    </xf>
    <xf borderId="63" fillId="0" fontId="56" numFmtId="0" xfId="0" applyAlignment="1" applyBorder="1" applyFont="1">
      <alignment horizontal="center" readingOrder="0" shrinkToFit="0" vertical="center" wrapText="0"/>
    </xf>
    <xf borderId="53" fillId="0" fontId="3" numFmtId="0" xfId="0" applyBorder="1" applyFont="1"/>
    <xf borderId="64" fillId="0" fontId="3" numFmtId="0" xfId="0" applyBorder="1" applyFont="1"/>
    <xf borderId="0" fillId="0" fontId="57" numFmtId="0" xfId="0" applyAlignment="1" applyFont="1">
      <alignment readingOrder="0" vertical="center"/>
    </xf>
    <xf borderId="0" fillId="19" fontId="58" numFmtId="0" xfId="0" applyAlignment="1" applyFont="1">
      <alignment horizontal="center" readingOrder="0" shrinkToFit="0" vertical="center" wrapText="0"/>
    </xf>
    <xf borderId="0" fillId="6" fontId="59" numFmtId="0" xfId="0" applyAlignment="1" applyFont="1">
      <alignment horizontal="center" readingOrder="0" shrinkToFit="0" vertical="center" wrapText="0"/>
    </xf>
    <xf borderId="0" fillId="0" fontId="59" numFmtId="0" xfId="0" applyAlignment="1" applyFont="1">
      <alignment horizontal="center" readingOrder="0" shrinkToFit="0" vertical="center" wrapText="0"/>
    </xf>
    <xf borderId="55" fillId="25" fontId="27" numFmtId="0" xfId="0" applyAlignment="1" applyBorder="1" applyFill="1" applyFont="1">
      <alignment horizontal="center" readingOrder="0" shrinkToFit="0" vertical="center" wrapText="0"/>
    </xf>
    <xf borderId="58" fillId="25" fontId="27" numFmtId="0" xfId="0" applyAlignment="1" applyBorder="1" applyFont="1">
      <alignment horizontal="center" readingOrder="0" shrinkToFit="0" vertical="center" wrapText="0"/>
    </xf>
    <xf borderId="58" fillId="19" fontId="27" numFmtId="0" xfId="0" applyAlignment="1" applyBorder="1" applyFont="1">
      <alignment horizontal="center" readingOrder="0" shrinkToFit="0" vertical="center" wrapText="0"/>
    </xf>
    <xf borderId="58" fillId="6" fontId="50" numFmtId="0" xfId="0" applyAlignment="1" applyBorder="1" applyFont="1">
      <alignment horizontal="center" readingOrder="0" shrinkToFit="0" vertical="center" wrapText="0"/>
    </xf>
    <xf borderId="58" fillId="0" fontId="50" numFmtId="0" xfId="0" applyAlignment="1" applyBorder="1" applyFont="1">
      <alignment horizontal="center" readingOrder="0" shrinkToFit="0" vertical="center" wrapText="0"/>
    </xf>
    <xf borderId="0" fillId="0" fontId="28" numFmtId="49" xfId="0" applyAlignment="1" applyFont="1" applyNumberFormat="1">
      <alignment vertical="center"/>
    </xf>
    <xf borderId="19" fillId="6" fontId="24" numFmtId="0" xfId="0" applyAlignment="1" applyBorder="1" applyFont="1">
      <alignment horizontal="center" shrinkToFit="0" vertical="center" wrapText="0"/>
    </xf>
    <xf borderId="60" fillId="5" fontId="24" numFmtId="169" xfId="0" applyAlignment="1" applyBorder="1" applyFont="1" applyNumberFormat="1">
      <alignment horizontal="center" shrinkToFit="0" vertical="center" wrapText="0"/>
    </xf>
    <xf borderId="58" fillId="16" fontId="24" numFmtId="169" xfId="0" applyAlignment="1" applyBorder="1" applyFont="1" applyNumberFormat="1">
      <alignment horizontal="center" shrinkToFit="0" vertical="center" wrapText="0"/>
    </xf>
    <xf borderId="58" fillId="6" fontId="60" numFmtId="169" xfId="0" applyAlignment="1" applyBorder="1" applyFont="1" applyNumberFormat="1">
      <alignment horizontal="center" shrinkToFit="0" vertical="center" wrapText="0"/>
    </xf>
    <xf borderId="58" fillId="6" fontId="60" numFmtId="10" xfId="0" applyAlignment="1" applyBorder="1" applyFont="1" applyNumberFormat="1">
      <alignment horizontal="center" shrinkToFit="0" vertical="center" wrapText="0"/>
    </xf>
    <xf borderId="58" fillId="0" fontId="24" numFmtId="49" xfId="0" applyAlignment="1" applyBorder="1" applyFont="1" applyNumberFormat="1">
      <alignment horizontal="center" readingOrder="0" shrinkToFit="0" vertical="center" wrapText="0"/>
    </xf>
    <xf borderId="58" fillId="0" fontId="24" numFmtId="10" xfId="0" applyAlignment="1" applyBorder="1" applyFont="1" applyNumberFormat="1">
      <alignment horizontal="center" shrinkToFit="0" vertical="center" wrapText="0"/>
    </xf>
    <xf borderId="0" fillId="0" fontId="56" numFmtId="0" xfId="0" applyAlignment="1" applyFont="1">
      <alignment horizontal="center" readingOrder="0" shrinkToFit="0" vertical="center" wrapText="0"/>
    </xf>
    <xf borderId="63" fillId="0" fontId="61" numFmtId="0" xfId="0" applyAlignment="1" applyBorder="1" applyFont="1">
      <alignment horizontal="center" readingOrder="0" shrinkToFit="0" vertical="center" wrapText="0"/>
    </xf>
    <xf borderId="0" fillId="0" fontId="24" numFmtId="0" xfId="0" applyAlignment="1" applyFont="1">
      <alignment readingOrder="0" vertical="center"/>
    </xf>
    <xf borderId="0" fillId="0" fontId="24" numFmtId="49" xfId="0" applyAlignment="1" applyFont="1" applyNumberFormat="1">
      <alignment readingOrder="0" vertical="center"/>
    </xf>
    <xf borderId="0" fillId="0" fontId="62" numFmtId="0" xfId="0" applyFont="1"/>
    <xf borderId="0" fillId="0" fontId="25" numFmtId="3" xfId="0" applyAlignment="1" applyFont="1" applyNumberFormat="1">
      <alignment readingOrder="0" vertical="center"/>
    </xf>
    <xf borderId="52" fillId="0" fontId="63" numFmtId="0" xfId="0" applyAlignment="1" applyBorder="1" applyFont="1">
      <alignment horizontal="center" readingOrder="0"/>
    </xf>
    <xf borderId="0" fillId="0" fontId="64" numFmtId="0" xfId="0" applyAlignment="1" applyFont="1">
      <alignment horizontal="center" readingOrder="0"/>
    </xf>
    <xf borderId="0" fillId="0" fontId="62" numFmtId="0" xfId="0" applyAlignment="1" applyFont="1">
      <alignment readingOrder="0"/>
    </xf>
    <xf borderId="0" fillId="0" fontId="62" numFmtId="0" xfId="0" applyFont="1"/>
    <xf borderId="0" fillId="6" fontId="65" numFmtId="0" xfId="0" applyAlignment="1" applyFont="1">
      <alignment horizontal="left" readingOrder="0" shrinkToFit="0" vertical="center" wrapText="0"/>
    </xf>
    <xf borderId="0" fillId="6" fontId="62" numFmtId="0" xfId="0" applyFont="1"/>
    <xf borderId="0" fillId="6" fontId="45" numFmtId="0" xfId="0" applyAlignment="1" applyFont="1">
      <alignment horizontal="center" shrinkToFit="0" vertical="bottom" wrapText="0"/>
    </xf>
    <xf borderId="0" fillId="6" fontId="66" numFmtId="0" xfId="0" applyAlignment="1" applyFont="1">
      <alignment horizontal="center" shrinkToFit="0" vertical="bottom" wrapText="0"/>
    </xf>
    <xf borderId="0" fillId="6" fontId="26" numFmtId="0" xfId="0" applyAlignment="1" applyFont="1">
      <alignment horizontal="left" readingOrder="0" shrinkToFit="0" vertical="center" wrapText="0"/>
    </xf>
    <xf borderId="0" fillId="19" fontId="55" numFmtId="0" xfId="0" applyAlignment="1" applyFont="1">
      <alignment horizontal="center" readingOrder="0" shrinkToFit="0" vertical="center" wrapText="1"/>
    </xf>
    <xf borderId="0" fillId="6" fontId="67" numFmtId="0" xfId="0" applyAlignment="1" applyFont="1">
      <alignment horizontal="center" readingOrder="0" shrinkToFit="0" vertical="center" wrapText="1"/>
    </xf>
    <xf borderId="0" fillId="6" fontId="68" numFmtId="0" xfId="0" applyAlignment="1" applyFont="1">
      <alignment horizontal="center" readingOrder="0" shrinkToFit="0" vertical="center" wrapText="0"/>
    </xf>
    <xf borderId="0" fillId="6" fontId="65" numFmtId="0" xfId="0" applyAlignment="1" applyFont="1">
      <alignment horizontal="left" readingOrder="0" shrinkToFit="0" vertical="center" wrapText="0"/>
    </xf>
    <xf borderId="0" fillId="0" fontId="69" numFmtId="0" xfId="0" applyAlignment="1" applyFont="1">
      <alignment horizontal="center" vertical="bottom"/>
    </xf>
    <xf borderId="0" fillId="6" fontId="70" numFmtId="0" xfId="0" applyAlignment="1" applyFont="1">
      <alignment horizontal="center" vertical="bottom"/>
    </xf>
    <xf borderId="0" fillId="0" fontId="41" numFmtId="9" xfId="0" applyAlignment="1" applyFont="1" applyNumberFormat="1">
      <alignment horizontal="center" shrinkToFit="0" vertical="bottom" wrapText="0"/>
    </xf>
    <xf borderId="0" fillId="6" fontId="66" numFmtId="9" xfId="0" applyAlignment="1" applyFont="1" applyNumberFormat="1">
      <alignment horizontal="center" shrinkToFit="0" vertical="bottom" wrapText="0"/>
    </xf>
    <xf borderId="0" fillId="0" fontId="71" numFmtId="0" xfId="0" applyFont="1"/>
    <xf borderId="0" fillId="2" fontId="72" numFmtId="0" xfId="0" applyAlignment="1" applyFont="1">
      <alignment horizontal="center" readingOrder="0" shrinkToFit="0" vertical="center" wrapText="0"/>
    </xf>
    <xf borderId="0" fillId="6" fontId="73" numFmtId="0" xfId="0" applyAlignment="1" applyFont="1">
      <alignment horizontal="center" readingOrder="0" shrinkToFit="0" vertical="center" wrapText="0"/>
    </xf>
    <xf borderId="0" fillId="0" fontId="28" numFmtId="3" xfId="0" applyAlignment="1" applyFont="1" applyNumberFormat="1">
      <alignment readingOrder="0" vertical="center"/>
    </xf>
    <xf borderId="65" fillId="25" fontId="27" numFmtId="0" xfId="0" applyAlignment="1" applyBorder="1" applyFont="1">
      <alignment horizontal="center"/>
    </xf>
    <xf borderId="0" fillId="6" fontId="27" numFmtId="0" xfId="0" applyAlignment="1" applyFont="1">
      <alignment horizontal="center"/>
    </xf>
    <xf borderId="0" fillId="0" fontId="62" numFmtId="3" xfId="0" applyAlignment="1" applyFont="1" applyNumberFormat="1">
      <alignment readingOrder="0"/>
    </xf>
    <xf borderId="0" fillId="25" fontId="27" numFmtId="0" xfId="0" applyAlignment="1" applyFont="1">
      <alignment horizontal="center" shrinkToFit="0" vertical="center" wrapText="0"/>
    </xf>
    <xf borderId="63" fillId="19" fontId="27" numFmtId="0" xfId="0" applyAlignment="1" applyBorder="1" applyFont="1">
      <alignment horizontal="center" readingOrder="0" shrinkToFit="0" vertical="center" wrapText="0"/>
    </xf>
    <xf borderId="0" fillId="6" fontId="50" numFmtId="0" xfId="0" applyAlignment="1" applyFont="1">
      <alignment horizontal="center" readingOrder="0" shrinkToFit="0" vertical="center" wrapText="0"/>
    </xf>
    <xf borderId="0" fillId="6" fontId="24" numFmtId="0" xfId="0" applyAlignment="1" applyFont="1">
      <alignment horizontal="center"/>
    </xf>
    <xf borderId="0" fillId="6" fontId="24" numFmtId="9" xfId="0" applyAlignment="1" applyFont="1" applyNumberFormat="1">
      <alignment horizontal="center"/>
    </xf>
    <xf borderId="59" fillId="16" fontId="24" numFmtId="9" xfId="0" applyAlignment="1" applyBorder="1" applyFont="1" applyNumberFormat="1">
      <alignment horizontal="center" shrinkToFit="0" vertical="center" wrapText="0"/>
    </xf>
    <xf borderId="0" fillId="6" fontId="24" numFmtId="9" xfId="0" applyAlignment="1" applyFont="1" applyNumberFormat="1">
      <alignment horizontal="center" shrinkToFit="0" vertical="center" wrapText="0"/>
    </xf>
    <xf borderId="0" fillId="13" fontId="24" numFmtId="0" xfId="0" applyAlignment="1" applyFont="1">
      <alignment horizontal="center"/>
    </xf>
    <xf borderId="0" fillId="13" fontId="24" numFmtId="9" xfId="0" applyAlignment="1" applyFont="1" applyNumberFormat="1">
      <alignment horizontal="center"/>
    </xf>
    <xf borderId="0" fillId="13" fontId="24" numFmtId="0" xfId="0" applyAlignment="1" applyFont="1">
      <alignment horizontal="center" shrinkToFit="0" vertical="center" wrapText="0"/>
    </xf>
    <xf borderId="0" fillId="0" fontId="74" numFmtId="0" xfId="0" applyFont="1"/>
    <xf borderId="0" fillId="15" fontId="24" numFmtId="9" xfId="0" applyAlignment="1" applyFont="1" applyNumberFormat="1">
      <alignment horizontal="center"/>
    </xf>
    <xf borderId="0" fillId="24" fontId="27" numFmtId="0" xfId="0" applyAlignment="1" applyFont="1">
      <alignment horizontal="center"/>
    </xf>
    <xf borderId="0" fillId="24" fontId="27" numFmtId="10" xfId="0" applyAlignment="1" applyFont="1" applyNumberFormat="1">
      <alignment horizontal="center"/>
    </xf>
    <xf borderId="0" fillId="6" fontId="27" numFmtId="10" xfId="0" applyAlignment="1" applyFont="1" applyNumberFormat="1">
      <alignment horizontal="center"/>
    </xf>
    <xf borderId="0" fillId="24" fontId="27" numFmtId="0" xfId="0" applyAlignment="1" applyFont="1">
      <alignment horizontal="center" shrinkToFit="0" vertical="center" wrapText="0"/>
    </xf>
    <xf borderId="59" fillId="19" fontId="27" numFmtId="9" xfId="0" applyAlignment="1" applyBorder="1" applyFont="1" applyNumberFormat="1">
      <alignment horizontal="center" shrinkToFit="0" vertical="center" wrapText="0"/>
    </xf>
    <xf borderId="66" fillId="19" fontId="27" numFmtId="0" xfId="0" applyAlignment="1" applyBorder="1" applyFont="1">
      <alignment horizontal="center" shrinkToFit="0" vertical="center" wrapText="0"/>
    </xf>
    <xf borderId="0" fillId="6" fontId="50" numFmtId="9" xfId="0" applyAlignment="1" applyFont="1" applyNumberFormat="1">
      <alignment horizontal="center" shrinkToFit="0" vertical="center" wrapText="0"/>
    </xf>
    <xf borderId="0" fillId="6" fontId="50" numFmtId="0" xfId="0" applyAlignment="1" applyFont="1">
      <alignment horizontal="center" shrinkToFit="0" vertical="center" wrapText="0"/>
    </xf>
    <xf borderId="0" fillId="21" fontId="59" numFmtId="0" xfId="0" applyAlignment="1" applyFont="1">
      <alignment horizontal="center" readingOrder="0" shrinkToFit="0" vertical="center" wrapText="0"/>
    </xf>
    <xf borderId="59" fillId="19" fontId="27" numFmtId="0" xfId="0" applyAlignment="1" applyBorder="1" applyFont="1">
      <alignment horizontal="center" readingOrder="0" shrinkToFit="0" vertical="center" wrapText="0"/>
    </xf>
    <xf borderId="60" fillId="0" fontId="3" numFmtId="0" xfId="0" applyBorder="1" applyFont="1"/>
    <xf borderId="59" fillId="21" fontId="50" numFmtId="0" xfId="0" applyAlignment="1" applyBorder="1" applyFont="1">
      <alignment horizontal="center" readingOrder="0" shrinkToFit="0" vertical="center" wrapText="0"/>
    </xf>
    <xf borderId="0" fillId="21" fontId="50" numFmtId="0" xfId="0" applyAlignment="1" applyFont="1">
      <alignment horizontal="center" readingOrder="0" shrinkToFit="0" vertical="center" wrapText="0"/>
    </xf>
    <xf borderId="0" fillId="21" fontId="27" numFmtId="0" xfId="0" applyAlignment="1" applyFont="1">
      <alignment horizontal="center" readingOrder="0" shrinkToFit="0" vertical="center" wrapText="0"/>
    </xf>
    <xf borderId="0" fillId="0" fontId="27" numFmtId="1" xfId="0" applyAlignment="1" applyFont="1" applyNumberFormat="1">
      <alignment horizontal="center" shrinkToFit="0" vertical="center" wrapText="0"/>
    </xf>
    <xf borderId="0" fillId="0" fontId="28" numFmtId="49" xfId="0" applyAlignment="1" applyFont="1" applyNumberFormat="1">
      <alignment readingOrder="0" vertical="center"/>
    </xf>
    <xf borderId="58" fillId="16" fontId="24" numFmtId="3" xfId="0" applyAlignment="1" applyBorder="1" applyFont="1" applyNumberFormat="1">
      <alignment horizontal="center" shrinkToFit="0" vertical="center" wrapText="0"/>
    </xf>
    <xf borderId="59" fillId="21" fontId="24" numFmtId="169" xfId="0" applyAlignment="1" applyBorder="1" applyFont="1" applyNumberFormat="1">
      <alignment horizontal="center" shrinkToFit="0" vertical="center" wrapText="0"/>
    </xf>
    <xf borderId="0" fillId="21" fontId="24" numFmtId="10" xfId="0" applyAlignment="1" applyFont="1" applyNumberFormat="1">
      <alignment horizontal="center" shrinkToFit="0" vertical="center" wrapText="0"/>
    </xf>
    <xf borderId="0" fillId="21" fontId="24" numFmtId="3" xfId="0" applyAlignment="1" applyFont="1" applyNumberFormat="1">
      <alignment horizontal="center" shrinkToFit="0" vertical="center" wrapText="0"/>
    </xf>
    <xf borderId="0" fillId="0" fontId="27" numFmtId="1" xfId="0" applyAlignment="1" applyFont="1" applyNumberFormat="1">
      <alignment horizontal="center" readingOrder="0" shrinkToFit="0" vertical="center" wrapText="0"/>
    </xf>
    <xf borderId="0" fillId="0" fontId="74" numFmtId="49" xfId="0" applyFont="1" applyNumberFormat="1"/>
    <xf borderId="0" fillId="0" fontId="74" numFmtId="3" xfId="0" applyFont="1" applyNumberFormat="1"/>
    <xf borderId="63" fillId="0" fontId="75" numFmtId="0" xfId="0" applyAlignment="1" applyBorder="1" applyFont="1">
      <alignment horizontal="center" readingOrder="0" shrinkToFit="0" vertical="center" wrapText="0"/>
    </xf>
    <xf borderId="0" fillId="0" fontId="27" numFmtId="0" xfId="0" applyAlignment="1" applyFont="1">
      <alignment horizontal="center" shrinkToFit="0" wrapText="0"/>
    </xf>
    <xf borderId="0" fillId="0" fontId="27" numFmtId="0" xfId="0" applyAlignment="1" applyFont="1">
      <alignment horizontal="left" shrinkToFit="0" wrapText="0"/>
    </xf>
    <xf borderId="0" fillId="25" fontId="27" numFmtId="0" xfId="0" applyAlignment="1" applyFont="1">
      <alignment horizontal="center" shrinkToFit="0" wrapText="0"/>
    </xf>
    <xf borderId="0" fillId="25" fontId="27" numFmtId="0" xfId="0" applyAlignment="1" applyFont="1">
      <alignment horizontal="left" shrinkToFit="0" wrapText="0"/>
    </xf>
    <xf borderId="67" fillId="6" fontId="25" numFmtId="49" xfId="0" applyAlignment="1" applyBorder="1" applyFont="1" applyNumberFormat="1">
      <alignment horizontal="center" readingOrder="0"/>
    </xf>
    <xf borderId="0" fillId="21" fontId="24" numFmtId="0" xfId="0" applyAlignment="1" applyFont="1">
      <alignment horizontal="left" shrinkToFit="0" wrapText="0"/>
    </xf>
    <xf borderId="0" fillId="0" fontId="24" numFmtId="3" xfId="0" applyAlignment="1" applyFont="1" applyNumberFormat="1">
      <alignment horizontal="center" shrinkToFit="0" wrapText="0"/>
    </xf>
    <xf borderId="0" fillId="0" fontId="24" numFmtId="3" xfId="0" applyAlignment="1" applyFont="1" applyNumberFormat="1">
      <alignment horizontal="left" shrinkToFit="0" wrapText="0"/>
    </xf>
    <xf borderId="67" fillId="15" fontId="25" numFmtId="49" xfId="0" applyAlignment="1" applyBorder="1" applyFont="1" applyNumberFormat="1">
      <alignment horizontal="center" readingOrder="0"/>
    </xf>
    <xf borderId="0" fillId="15" fontId="24" numFmtId="0" xfId="0" applyAlignment="1" applyFont="1">
      <alignment horizontal="left" shrinkToFit="0" wrapText="0"/>
    </xf>
    <xf borderId="0" fillId="15" fontId="24" numFmtId="3" xfId="0" applyAlignment="1" applyFont="1" applyNumberFormat="1">
      <alignment horizontal="center" shrinkToFit="0" wrapText="0"/>
    </xf>
    <xf borderId="0" fillId="15" fontId="24" numFmtId="3" xfId="0" applyAlignment="1" applyFont="1" applyNumberFormat="1">
      <alignment horizontal="left" shrinkToFit="0" wrapText="0"/>
    </xf>
    <xf borderId="0" fillId="0" fontId="19" numFmtId="49" xfId="0" applyAlignment="1" applyFont="1" applyNumberFormat="1">
      <alignment readingOrder="0"/>
    </xf>
    <xf borderId="67" fillId="6" fontId="8" numFmtId="49" xfId="0" applyAlignment="1" applyBorder="1" applyFont="1" applyNumberFormat="1">
      <alignment horizontal="center" vertical="bottom"/>
    </xf>
    <xf borderId="0" fillId="6" fontId="24" numFmtId="0" xfId="0" applyAlignment="1" applyFont="1">
      <alignment vertical="bottom"/>
    </xf>
    <xf borderId="0" fillId="0" fontId="24" numFmtId="3" xfId="0" applyAlignment="1" applyFont="1" applyNumberFormat="1">
      <alignment horizontal="center" vertical="bottom"/>
    </xf>
    <xf borderId="0" fillId="0" fontId="24" numFmtId="3" xfId="0" applyAlignment="1" applyFont="1" applyNumberFormat="1">
      <alignment vertical="bottom"/>
    </xf>
    <xf borderId="67" fillId="15" fontId="8" numFmtId="49" xfId="0" applyAlignment="1" applyBorder="1" applyFont="1" applyNumberFormat="1">
      <alignment horizontal="center" vertical="bottom"/>
    </xf>
    <xf borderId="0" fillId="15" fontId="24" numFmtId="0" xfId="0" applyAlignment="1" applyFont="1">
      <alignment vertical="bottom"/>
    </xf>
    <xf borderId="0" fillId="15" fontId="24" numFmtId="3" xfId="0" applyAlignment="1" applyFont="1" applyNumberFormat="1">
      <alignment horizontal="center" vertical="bottom"/>
    </xf>
    <xf borderId="0" fillId="15" fontId="24" numFmtId="3" xfId="0" applyAlignment="1" applyFont="1" applyNumberFormat="1">
      <alignment vertical="bottom"/>
    </xf>
    <xf borderId="0" fillId="6" fontId="8" numFmtId="49" xfId="0" applyAlignment="1" applyFont="1" applyNumberFormat="1">
      <alignment horizontal="center" vertical="bottom"/>
    </xf>
    <xf borderId="0" fillId="0" fontId="76" numFmtId="0" xfId="0" applyAlignment="1" applyFont="1">
      <alignment readingOrder="0"/>
    </xf>
    <xf borderId="0" fillId="0" fontId="24" numFmtId="0" xfId="0" applyFont="1"/>
    <xf borderId="0" fillId="25" fontId="27" numFmtId="0" xfId="0" applyFont="1"/>
    <xf borderId="0" fillId="6" fontId="27" numFmtId="0" xfId="0" applyFont="1"/>
    <xf borderId="0" fillId="0" fontId="74" numFmtId="0" xfId="0" applyAlignment="1" applyFont="1">
      <alignment readingOrder="0"/>
    </xf>
    <xf borderId="0" fillId="0" fontId="19" numFmtId="10" xfId="0" applyFont="1" applyNumberFormat="1"/>
    <xf borderId="0" fillId="6" fontId="19" numFmtId="10" xfId="0" applyFont="1" applyNumberFormat="1"/>
    <xf borderId="0" fillId="0" fontId="19" numFmtId="10" xfId="0" applyAlignment="1" applyFont="1" applyNumberFormat="1">
      <alignment readingOrder="0"/>
    </xf>
    <xf borderId="0" fillId="0" fontId="76" numFmtId="0" xfId="0" applyFont="1"/>
    <xf borderId="25" fillId="0" fontId="3" numFmtId="0" xfId="0" applyBorder="1" applyFont="1"/>
    <xf borderId="27" fillId="0" fontId="16" numFmtId="0" xfId="0" applyAlignment="1" applyBorder="1" applyFont="1">
      <alignment horizontal="center" vertical="center"/>
    </xf>
    <xf borderId="29" fillId="0" fontId="3" numFmtId="0" xfId="0" applyBorder="1" applyFont="1"/>
    <xf borderId="30" fillId="0" fontId="16" numFmtId="0" xfId="0" applyAlignment="1" applyBorder="1" applyFont="1">
      <alignment vertical="center"/>
    </xf>
    <xf borderId="30" fillId="0" fontId="16" numFmtId="0" xfId="0" applyAlignment="1" applyBorder="1" applyFont="1">
      <alignment horizontal="center" vertical="center"/>
    </xf>
    <xf borderId="50" fillId="17" fontId="15" numFmtId="0" xfId="0" applyAlignment="1" applyBorder="1" applyFont="1">
      <alignment horizontal="center"/>
    </xf>
    <xf borderId="68" fillId="18" fontId="16" numFmtId="0" xfId="0" applyBorder="1" applyFont="1"/>
    <xf borderId="34" fillId="18" fontId="16" numFmtId="0" xfId="0" applyBorder="1" applyFont="1"/>
    <xf borderId="34" fillId="18" fontId="16" numFmtId="0" xfId="0" applyAlignment="1" applyBorder="1" applyFont="1">
      <alignment horizontal="center"/>
    </xf>
    <xf borderId="69" fillId="18" fontId="15" numFmtId="0" xfId="0" applyBorder="1" applyFont="1"/>
    <xf borderId="50" fillId="2" fontId="16" numFmtId="0" xfId="0" applyAlignment="1" applyBorder="1" applyFont="1">
      <alignment horizontal="center"/>
    </xf>
    <xf borderId="34" fillId="2" fontId="16" numFmtId="0" xfId="0" applyAlignment="1" applyBorder="1" applyFont="1">
      <alignment horizontal="center"/>
    </xf>
    <xf borderId="35" fillId="2" fontId="16" numFmtId="0" xfId="0" applyAlignment="1" applyBorder="1" applyFont="1">
      <alignment horizontal="center"/>
    </xf>
    <xf borderId="35" fillId="2" fontId="17" numFmtId="10" xfId="0" applyAlignment="1" applyBorder="1" applyFont="1" applyNumberFormat="1">
      <alignment horizontal="center"/>
    </xf>
    <xf borderId="36" fillId="3" fontId="15" numFmtId="0" xfId="0" applyAlignment="1" applyBorder="1" applyFont="1">
      <alignment horizontal="center"/>
    </xf>
    <xf borderId="70" fillId="13" fontId="16" numFmtId="0" xfId="0" applyAlignment="1" applyBorder="1" applyFont="1">
      <alignment horizontal="center"/>
    </xf>
    <xf borderId="37" fillId="13" fontId="16" numFmtId="0" xfId="0" applyAlignment="1" applyBorder="1" applyFont="1">
      <alignment horizontal="center"/>
    </xf>
    <xf borderId="37" fillId="13" fontId="16" numFmtId="0" xfId="0" applyAlignment="1" applyBorder="1" applyFont="1">
      <alignment horizontal="center" readingOrder="0"/>
    </xf>
    <xf borderId="39" fillId="13" fontId="16" numFmtId="0" xfId="0" applyAlignment="1" applyBorder="1" applyFont="1">
      <alignment horizontal="center"/>
    </xf>
    <xf borderId="40" fillId="13" fontId="16" numFmtId="0" xfId="0" applyAlignment="1" applyBorder="1" applyFont="1">
      <alignment horizontal="center"/>
    </xf>
    <xf borderId="38" fillId="13" fontId="15" numFmtId="0" xfId="0" applyAlignment="1" applyBorder="1" applyFont="1">
      <alignment horizontal="center"/>
    </xf>
    <xf borderId="36" fillId="19" fontId="16" numFmtId="0" xfId="0" applyAlignment="1" applyBorder="1" applyFont="1">
      <alignment horizontal="center"/>
    </xf>
    <xf borderId="37" fillId="19" fontId="16" numFmtId="0" xfId="0" applyAlignment="1" applyBorder="1" applyFont="1">
      <alignment horizontal="center"/>
    </xf>
    <xf borderId="42" fillId="19" fontId="16" numFmtId="0" xfId="0" applyAlignment="1" applyBorder="1" applyFont="1">
      <alignment horizontal="center"/>
    </xf>
    <xf borderId="43" fillId="19" fontId="17" numFmtId="10" xfId="0" applyAlignment="1" applyBorder="1" applyFont="1" applyNumberFormat="1">
      <alignment horizontal="center"/>
    </xf>
    <xf borderId="43" fillId="19" fontId="16" numFmtId="0" xfId="0" applyAlignment="1" applyBorder="1" applyFont="1">
      <alignment horizontal="center"/>
    </xf>
    <xf borderId="13" fillId="0" fontId="16" numFmtId="1" xfId="0" applyBorder="1" applyFont="1" applyNumberFormat="1"/>
    <xf borderId="13" fillId="0" fontId="16" numFmtId="0" xfId="0" applyBorder="1" applyFont="1"/>
    <xf borderId="13" fillId="0" fontId="16" numFmtId="166" xfId="0" applyBorder="1" applyFont="1" applyNumberFormat="1"/>
    <xf borderId="13" fillId="0" fontId="16" numFmtId="174" xfId="0" applyBorder="1" applyFont="1" applyNumberFormat="1"/>
    <xf borderId="13" fillId="0" fontId="16" numFmtId="1" xfId="0" applyAlignment="1" applyBorder="1" applyFont="1" applyNumberFormat="1">
      <alignment horizontal="center"/>
    </xf>
    <xf borderId="46" fillId="0" fontId="16" numFmtId="0" xfId="0" applyBorder="1" applyFont="1"/>
    <xf borderId="45" fillId="0" fontId="16" numFmtId="0" xfId="0" applyBorder="1" applyFont="1"/>
    <xf borderId="45" fillId="13" fontId="15" numFmtId="169" xfId="0" applyAlignment="1" applyBorder="1" applyFont="1" applyNumberFormat="1">
      <alignment horizontal="center"/>
    </xf>
    <xf borderId="48" fillId="0" fontId="16" numFmtId="4" xfId="0" applyAlignment="1" applyBorder="1" applyFont="1" applyNumberFormat="1">
      <alignment horizontal="center"/>
    </xf>
    <xf borderId="47" fillId="0" fontId="16" numFmtId="4" xfId="0" applyAlignment="1" applyBorder="1" applyFont="1" applyNumberFormat="1">
      <alignment horizontal="center"/>
    </xf>
    <xf borderId="13" fillId="0" fontId="17" numFmtId="10" xfId="0" applyAlignment="1" applyBorder="1" applyFont="1" applyNumberFormat="1">
      <alignment horizontal="center"/>
    </xf>
    <xf borderId="13" fillId="0" fontId="16" numFmtId="3" xfId="0" applyBorder="1" applyFont="1" applyNumberFormat="1"/>
    <xf borderId="13" fillId="0" fontId="16" numFmtId="170" xfId="0" applyBorder="1" applyFont="1" applyNumberFormat="1"/>
    <xf borderId="0" fillId="19" fontId="14" numFmtId="0" xfId="0" applyAlignment="1" applyFont="1">
      <alignment readingOrder="0" shrinkToFit="0" vertical="center" wrapText="1"/>
    </xf>
    <xf borderId="0" fillId="0" fontId="14" numFmtId="0" xfId="0" applyAlignment="1" applyFont="1">
      <alignment vertical="center"/>
    </xf>
    <xf borderId="0" fillId="0" fontId="77" numFmtId="0" xfId="0" applyAlignment="1" applyFont="1">
      <alignment vertical="bottom"/>
    </xf>
    <xf borderId="0" fillId="0" fontId="8" numFmtId="0" xfId="0" applyAlignment="1" applyFont="1">
      <alignment vertical="center"/>
    </xf>
    <xf borderId="0" fillId="0" fontId="7" numFmtId="0" xfId="0" applyAlignment="1" applyFont="1">
      <alignment vertical="bottom"/>
    </xf>
    <xf borderId="0" fillId="0" fontId="16" numFmtId="0" xfId="0" applyAlignment="1" applyFont="1">
      <alignment vertical="center"/>
    </xf>
    <xf borderId="0" fillId="0" fontId="7" numFmtId="0" xfId="0" applyAlignment="1" applyFont="1">
      <alignment readingOrder="0" vertical="bottom"/>
    </xf>
    <xf borderId="0" fillId="0" fontId="7" numFmtId="0" xfId="0" applyAlignment="1" applyFont="1">
      <alignment vertical="bottom"/>
    </xf>
    <xf borderId="0" fillId="0" fontId="7" numFmtId="0" xfId="0" applyAlignment="1" applyFont="1">
      <alignment vertical="bottom"/>
    </xf>
    <xf borderId="0" fillId="0" fontId="8" numFmtId="0" xfId="0" applyAlignment="1" applyFont="1">
      <alignment readingOrder="0" shrinkToFit="0" vertical="center" wrapText="1"/>
    </xf>
    <xf borderId="0" fillId="0" fontId="8" numFmtId="0" xfId="0" applyAlignment="1" applyFont="1">
      <alignment shrinkToFit="0" vertical="center" wrapText="1"/>
    </xf>
    <xf borderId="0" fillId="0" fontId="8" numFmtId="0" xfId="0" applyAlignment="1" applyFont="1">
      <alignment readingOrder="0" shrinkToFit="0" vertical="center" wrapText="1"/>
    </xf>
    <xf borderId="0" fillId="0" fontId="11" numFmtId="0" xfId="0" applyAlignment="1" applyFont="1">
      <alignment readingOrder="0" shrinkToFit="0" vertical="center" wrapText="1"/>
    </xf>
    <xf borderId="0" fillId="0" fontId="78" numFmtId="1" xfId="0" applyAlignment="1" applyFont="1" applyNumberFormat="1">
      <alignment shrinkToFit="0" vertical="bottom" wrapText="0"/>
    </xf>
    <xf borderId="0" fillId="0" fontId="78" numFmtId="0" xfId="0" applyAlignment="1" applyFont="1">
      <alignment shrinkToFit="0" vertical="bottom" wrapText="0"/>
    </xf>
    <xf borderId="0" fillId="0" fontId="78" numFmtId="0" xfId="0" applyAlignment="1" applyFont="1">
      <alignment readingOrder="0" shrinkToFit="0" vertical="bottom" wrapText="0"/>
    </xf>
    <xf borderId="0" fillId="0" fontId="78" numFmtId="1" xfId="0" applyAlignment="1" applyFont="1" applyNumberFormat="1">
      <alignment shrinkToFit="0" vertical="center" wrapText="0"/>
    </xf>
    <xf borderId="0" fillId="0" fontId="78" numFmtId="164" xfId="0" applyAlignment="1" applyFont="1" applyNumberFormat="1">
      <alignment shrinkToFit="0" vertical="bottom" wrapText="0"/>
    </xf>
    <xf borderId="0" fillId="0" fontId="7" numFmtId="1" xfId="0" applyAlignment="1" applyFont="1" applyNumberFormat="1">
      <alignment horizontal="right" vertical="bottom"/>
    </xf>
    <xf borderId="0" fillId="0" fontId="17" numFmtId="1" xfId="0" applyAlignment="1" applyFont="1" applyNumberFormat="1">
      <alignment horizontal="right" vertical="bottom"/>
    </xf>
    <xf borderId="0" fillId="0" fontId="7" numFmtId="1" xfId="0" applyAlignment="1" applyFont="1" applyNumberFormat="1">
      <alignment horizontal="right" readingOrder="0" vertical="bottom"/>
    </xf>
    <xf borderId="0" fillId="0" fontId="7" numFmtId="2" xfId="0" applyAlignment="1" applyFont="1" applyNumberFormat="1">
      <alignment horizontal="right" readingOrder="0" vertical="bottom"/>
    </xf>
    <xf borderId="0" fillId="0" fontId="7" numFmtId="2" xfId="0" applyAlignment="1" applyFont="1" applyNumberFormat="1">
      <alignment horizontal="right" vertical="bottom"/>
    </xf>
    <xf borderId="0" fillId="0" fontId="17" numFmtId="3" xfId="0" applyAlignment="1" applyFont="1" applyNumberFormat="1">
      <alignment horizontal="right" readingOrder="0" vertical="bottom"/>
    </xf>
    <xf borderId="0" fillId="0" fontId="17" numFmtId="4" xfId="0" applyAlignment="1" applyFont="1" applyNumberFormat="1">
      <alignment horizontal="right" readingOrder="0" vertical="bottom"/>
    </xf>
    <xf borderId="0" fillId="0" fontId="17" numFmtId="0" xfId="0" applyAlignment="1" applyFont="1">
      <alignment horizontal="right" readingOrder="0" vertical="bottom"/>
    </xf>
    <xf borderId="0" fillId="0" fontId="8" numFmtId="3" xfId="0" applyAlignment="1" applyFont="1" applyNumberFormat="1">
      <alignment horizontal="right" readingOrder="0" vertical="bottom"/>
    </xf>
    <xf borderId="0" fillId="0" fontId="8" numFmtId="4" xfId="0" applyAlignment="1" applyFont="1" applyNumberFormat="1">
      <alignment horizontal="right" readingOrder="0" vertical="bottom"/>
    </xf>
  </cellXfs>
  <cellStyles count="1">
    <cellStyle xfId="0" name="Normal" builtinId="0"/>
  </cellStyles>
  <dxfs count="5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FCE5CD"/>
          <bgColor rgb="FFFCE5CD"/>
        </patternFill>
      </fill>
      <border/>
    </dxf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exp"/>
            <c:dispRSqr val="1"/>
            <c:dispEq val="1"/>
          </c:trendline>
          <c:xVal>
            <c:numRef>
              <c:f>'Tabela 7'!$N$4:$N$48</c:f>
            </c:numRef>
          </c:xVal>
          <c:yVal>
            <c:numRef>
              <c:f>'Tabela 7'!$Q$4:$Q$48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47205382"/>
        <c:axId val="1136436942"/>
      </c:scatterChart>
      <c:valAx>
        <c:axId val="1147205382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Grade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36436942"/>
      </c:valAx>
      <c:valAx>
        <c:axId val="113643694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Mediana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4720538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exp"/>
            <c:dispRSqr val="1"/>
            <c:dispEq val="1"/>
          </c:trendline>
          <c:xVal>
            <c:numRef>
              <c:f>Tabela!$N$4:$N$47</c:f>
            </c:numRef>
          </c:xVal>
          <c:yVal>
            <c:numRef>
              <c:f>Tabela!$Q$4:$Q$47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5902284"/>
        <c:axId val="1109290815"/>
      </c:scatterChart>
      <c:valAx>
        <c:axId val="265902284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Grade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09290815"/>
      </c:valAx>
      <c:valAx>
        <c:axId val="110929081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Mediana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6590228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exp"/>
            <c:dispRSqr val="1"/>
            <c:dispEq val="1"/>
          </c:trendline>
          <c:xVal>
            <c:numRef>
              <c:f>Tabela2!$N$4:$N$47</c:f>
            </c:numRef>
          </c:xVal>
          <c:yVal>
            <c:numRef>
              <c:f>Tabela2!$Q$4:$Q$47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729075"/>
        <c:axId val="2026371562"/>
      </c:scatterChart>
      <c:valAx>
        <c:axId val="25729075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Grade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26371562"/>
      </c:valAx>
      <c:valAx>
        <c:axId val="202637156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Mediana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572907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exp"/>
            <c:dispRSqr val="1"/>
            <c:dispEq val="1"/>
          </c:trendline>
          <c:xVal>
            <c:numRef>
              <c:f>'Tabela 4'!$N$4:$N$47</c:f>
            </c:numRef>
          </c:xVal>
          <c:yVal>
            <c:numRef>
              <c:f>'Tabela 4'!$Q$4:$Q$47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33972893"/>
        <c:axId val="92536176"/>
      </c:scatterChart>
      <c:valAx>
        <c:axId val="333972893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Grade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2536176"/>
      </c:valAx>
      <c:valAx>
        <c:axId val="9253617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Mediana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3397289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exp"/>
            <c:dispRSqr val="1"/>
            <c:dispEq val="1"/>
          </c:trendline>
          <c:xVal>
            <c:numRef>
              <c:f>'Tabela 3'!$N$4:$N$47</c:f>
            </c:numRef>
          </c:xVal>
          <c:yVal>
            <c:numRef>
              <c:f>'Tabela 3'!$Q$4:$Q$47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4916176"/>
        <c:axId val="2031585049"/>
      </c:scatterChart>
      <c:valAx>
        <c:axId val="584916176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Grade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31585049"/>
      </c:valAx>
      <c:valAx>
        <c:axId val="203158504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Mediana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8491617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exp"/>
            <c:dispRSqr val="1"/>
            <c:dispEq val="1"/>
          </c:trendline>
          <c:xVal>
            <c:numRef>
              <c:f>'Tabela 5'!$N$4:$N$47</c:f>
            </c:numRef>
          </c:xVal>
          <c:yVal>
            <c:numRef>
              <c:f>'Tabela 5'!$Q$4:$Q$47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5066094"/>
        <c:axId val="799598993"/>
      </c:scatterChart>
      <c:valAx>
        <c:axId val="445066094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Grade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99598993"/>
      </c:valAx>
      <c:valAx>
        <c:axId val="79959899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Mediana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4506609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exp"/>
            <c:dispRSqr val="1"/>
            <c:dispEq val="1"/>
          </c:trendline>
          <c:xVal>
            <c:numRef>
              <c:f>'Tabela 6'!$N$4:$N$47</c:f>
            </c:numRef>
          </c:xVal>
          <c:yVal>
            <c:numRef>
              <c:f>'Tabela 6'!$Q$4:$Q$47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90912872"/>
        <c:axId val="1482615014"/>
      </c:scatterChart>
      <c:valAx>
        <c:axId val="1090912872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Grade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82615014"/>
      </c:valAx>
      <c:valAx>
        <c:axId val="148261501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Mediana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9091287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chemeClr val="accent2"/>
              </a:solidFill>
              <a:ln cmpd="sng">
                <a:solidFill>
                  <a:srgbClr val="000000"/>
                </a:solidFill>
              </a:ln>
            </c:spPr>
          </c:dPt>
          <c:dPt>
            <c:idx val="1"/>
            <c:spPr>
              <a:solidFill>
                <a:schemeClr val="accent4"/>
              </a:solidFill>
              <a:ln cmpd="sng">
                <a:solidFill>
                  <a:srgbClr val="000000"/>
                </a:solidFill>
              </a:ln>
            </c:spPr>
          </c:dPt>
          <c:dPt>
            <c:idx val="2"/>
            <c:spPr>
              <a:solidFill>
                <a:schemeClr val="accent6"/>
              </a:solidFill>
              <a:ln cmpd="sng">
                <a:solidFill>
                  <a:srgbClr val="000000"/>
                </a:solidFill>
              </a:ln>
            </c:spPr>
          </c:dPt>
          <c:dPt>
            <c:idx val="3"/>
            <c:spPr>
              <a:solidFill>
                <a:schemeClr val="accent5"/>
              </a:solidFill>
              <a:ln cmpd="sng">
                <a:solidFill>
                  <a:srgbClr val="000000"/>
                </a:solidFill>
              </a:ln>
            </c:spPr>
          </c:dPt>
          <c:dPt>
            <c:idx val="4"/>
            <c:spPr>
              <a:solidFill>
                <a:schemeClr val="accent1"/>
              </a:solidFill>
              <a:ln cmpd="sng">
                <a:solidFill>
                  <a:srgbClr val="000000"/>
                </a:solidFill>
              </a:ln>
            </c:spPr>
          </c:dPt>
          <c:dPt>
            <c:idx val="5"/>
            <c:spPr>
              <a:solidFill>
                <a:srgbClr val="021CCA"/>
              </a:solidFill>
              <a:ln cmpd="sng">
                <a:solidFill>
                  <a:srgbClr val="000000"/>
                </a:solidFill>
              </a:ln>
            </c:spPr>
          </c:dPt>
          <c:dLbls>
            <c:numFmt formatCode="0%" sourceLinked="0"/>
            <c:txPr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'Painel Geral'!$B$36:$B$41</c:f>
            </c:strRef>
          </c:cat>
          <c:val>
            <c:numRef>
              <c:f>'Painel Geral'!$C$36:$C$41</c:f>
              <c:numCache/>
            </c:numRef>
          </c:val>
        </c:ser>
        <c:axId val="1719361147"/>
        <c:axId val="302688519"/>
      </c:barChart>
      <c:catAx>
        <c:axId val="171936114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 rot="0"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302688519"/>
      </c:catAx>
      <c:valAx>
        <c:axId val="302688519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0%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719361147"/>
      </c:valAx>
    </c:plotArea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3533077660594439"/>
          <c:y val="0.11567834681042227"/>
          <c:w val="0.6317204825281272"/>
          <c:h val="0.7858041329739441"/>
        </c:manualLayout>
      </c:layout>
      <c:barChart>
        <c:barDir val="bar"/>
        <c:grouping val="stacked"/>
        <c:ser>
          <c:idx val="0"/>
          <c:order val="0"/>
          <c:tx>
            <c:strRef>
              <c:f>'Painel Áreas'!$F$87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'Painel Áreas'!$E$88:$E$119</c:f>
            </c:strRef>
          </c:cat>
          <c:val>
            <c:numRef>
              <c:f>'Painel Áreas'!$F$88:$F$119</c:f>
              <c:numCache/>
            </c:numRef>
          </c:val>
        </c:ser>
        <c:ser>
          <c:idx val="1"/>
          <c:order val="1"/>
          <c:tx>
            <c:strRef>
              <c:f>'Painel Áreas'!$G$87</c:f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'Painel Áreas'!$E$88:$E$119</c:f>
            </c:strRef>
          </c:cat>
          <c:val>
            <c:numRef>
              <c:f>'Painel Áreas'!$G$88:$G$119</c:f>
              <c:numCache/>
            </c:numRef>
          </c:val>
        </c:ser>
        <c:ser>
          <c:idx val="2"/>
          <c:order val="2"/>
          <c:tx>
            <c:strRef>
              <c:f>'Painel Áreas'!$H$87</c:f>
            </c:strRef>
          </c:tx>
          <c:spPr>
            <a:solidFill>
              <a:schemeClr val="accent6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'Painel Áreas'!$E$88:$E$119</c:f>
            </c:strRef>
          </c:cat>
          <c:val>
            <c:numRef>
              <c:f>'Painel Áreas'!$H$88:$H$119</c:f>
              <c:numCache/>
            </c:numRef>
          </c:val>
        </c:ser>
        <c:ser>
          <c:idx val="3"/>
          <c:order val="3"/>
          <c:tx>
            <c:strRef>
              <c:f>'Painel Áreas'!$I$87</c:f>
            </c:strRef>
          </c:tx>
          <c:spPr>
            <a:solidFill>
              <a:schemeClr val="accent5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'Painel Áreas'!$E$88:$E$119</c:f>
            </c:strRef>
          </c:cat>
          <c:val>
            <c:numRef>
              <c:f>'Painel Áreas'!$I$88:$I$119</c:f>
              <c:numCache/>
            </c:numRef>
          </c:val>
        </c:ser>
        <c:ser>
          <c:idx val="4"/>
          <c:order val="4"/>
          <c:tx>
            <c:strRef>
              <c:f>'Painel Áreas'!$J$87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'Painel Áreas'!$E$88:$E$119</c:f>
            </c:strRef>
          </c:cat>
          <c:val>
            <c:numRef>
              <c:f>'Painel Áreas'!$J$88:$J$119</c:f>
              <c:numCache/>
            </c:numRef>
          </c:val>
        </c:ser>
        <c:ser>
          <c:idx val="5"/>
          <c:order val="5"/>
          <c:tx>
            <c:strRef>
              <c:f>'Painel Áreas'!$K$87</c:f>
            </c:strRef>
          </c:tx>
          <c:spPr>
            <a:solidFill>
              <a:srgbClr val="021CCA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'Painel Áreas'!$E$88:$E$119</c:f>
            </c:strRef>
          </c:cat>
          <c:val>
            <c:numRef>
              <c:f>'Painel Áreas'!$K$88:$K$119</c:f>
              <c:numCache/>
            </c:numRef>
          </c:val>
        </c:ser>
        <c:overlap val="100"/>
        <c:axId val="1756475739"/>
        <c:axId val="512721106"/>
      </c:barChart>
      <c:catAx>
        <c:axId val="1756475739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512721106"/>
      </c:catAx>
      <c:valAx>
        <c:axId val="51272110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756475739"/>
        <c:crosses val="max"/>
      </c:valAx>
    </c:plotArea>
    <c:legend>
      <c:legendPos val="t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3354792560801144"/>
          <c:y val="0.05000000000000001"/>
          <c:w val="0.5848800253570113"/>
          <c:h val="0.8999999999999996"/>
        </c:manualLayout>
      </c:layout>
      <c:barChart>
        <c:barDir val="bar"/>
        <c:ser>
          <c:idx val="0"/>
          <c:order val="0"/>
          <c:spPr>
            <a:solidFill>
              <a:srgbClr val="F5CBCC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'Painel Áreas'!$F$123:$F$132</c:f>
            </c:strRef>
          </c:cat>
          <c:val>
            <c:numRef>
              <c:f>'Painel Áreas'!$G$123:$G$132</c:f>
              <c:numCache/>
            </c:numRef>
          </c:val>
        </c:ser>
        <c:axId val="1011957935"/>
        <c:axId val="580823479"/>
      </c:barChart>
      <c:catAx>
        <c:axId val="1011957935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580823479"/>
      </c:catAx>
      <c:valAx>
        <c:axId val="580823479"/>
        <c:scaling>
          <c:orientation val="minMax"/>
          <c:max val="1.0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0.00%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011957935"/>
        <c:crosses val="max"/>
      </c:valAx>
    </c:plotArea>
    <c:plotVisOnly val="1"/>
  </c:chart>
</c:chartSpace>
</file>

<file path=xl/charts/chart1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3315539739027284"/>
          <c:y val="0.05000000000000001"/>
          <c:w val="0.5923981219056548"/>
          <c:h val="0.8999999999999998"/>
        </c:manualLayout>
      </c:layout>
      <c:barChart>
        <c:barDir val="bar"/>
        <c:ser>
          <c:idx val="0"/>
          <c:order val="0"/>
          <c:spPr>
            <a:solidFill>
              <a:srgbClr val="4472C4"/>
            </a:solidFill>
            <a:ln cmpd="sng">
              <a:solidFill>
                <a:srgbClr val="000000"/>
              </a:solidFill>
            </a:ln>
          </c:spPr>
          <c:dPt>
            <c:idx val="0"/>
          </c:dPt>
          <c:dLbls>
            <c:numFmt formatCode="General" sourceLinked="1"/>
            <c:txPr>
              <a:bodyPr/>
              <a:lstStyle/>
              <a:p>
                <a:pPr lvl="0">
                  <a:defRPr b="1" i="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'Painel Áreas'!$F$151:$F$160</c:f>
            </c:strRef>
          </c:cat>
          <c:val>
            <c:numRef>
              <c:f>'Painel Áreas'!$G$151:$G$160</c:f>
              <c:numCache/>
            </c:numRef>
          </c:val>
        </c:ser>
        <c:axId val="1137461406"/>
        <c:axId val="470158999"/>
      </c:barChart>
      <c:catAx>
        <c:axId val="1137461406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470158999"/>
      </c:catAx>
      <c:valAx>
        <c:axId val="470158999"/>
        <c:scaling>
          <c:orientation val="minMax"/>
          <c:max val="1.001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0.00%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137461406"/>
        <c:crosses val="max"/>
      </c:valAx>
    </c:plotArea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Chart8.png"/><Relationship Id="rId2" Type="http://schemas.openxmlformats.org/officeDocument/2006/relationships/chart" Target="../charts/chart8.xml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Chart10.png"/><Relationship Id="rId2" Type="http://schemas.openxmlformats.org/officeDocument/2006/relationships/chart" Target="../charts/chart9.xml"/><Relationship Id="rId3" Type="http://schemas.openxmlformats.org/officeDocument/2006/relationships/chart" Target="../charts/chart10.xml"/><Relationship Id="rId4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123825</xdr:colOff>
      <xdr:row>0</xdr:row>
      <xdr:rowOff>123825</xdr:rowOff>
    </xdr:from>
    <xdr:ext cx="1819275" cy="476250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123825</xdr:colOff>
      <xdr:row>0</xdr:row>
      <xdr:rowOff>123825</xdr:rowOff>
    </xdr:from>
    <xdr:ext cx="1819275" cy="476250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22</xdr:col>
      <xdr:colOff>85725</xdr:colOff>
      <xdr:row>7</xdr:row>
      <xdr:rowOff>104775</xdr:rowOff>
    </xdr:from>
    <xdr:ext cx="5715000" cy="353377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22</xdr:col>
      <xdr:colOff>85725</xdr:colOff>
      <xdr:row>7</xdr:row>
      <xdr:rowOff>104775</xdr:rowOff>
    </xdr:from>
    <xdr:ext cx="5715000" cy="3533775"/>
    <xdr:graphicFrame>
      <xdr:nvGraphicFramePr>
        <xdr:cNvPr id="2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22</xdr:col>
      <xdr:colOff>85725</xdr:colOff>
      <xdr:row>7</xdr:row>
      <xdr:rowOff>104775</xdr:rowOff>
    </xdr:from>
    <xdr:ext cx="5715000" cy="3533775"/>
    <xdr:graphicFrame>
      <xdr:nvGraphicFramePr>
        <xdr:cNvPr id="3" name="Chart 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22</xdr:col>
      <xdr:colOff>85725</xdr:colOff>
      <xdr:row>7</xdr:row>
      <xdr:rowOff>104775</xdr:rowOff>
    </xdr:from>
    <xdr:ext cx="5715000" cy="3533775"/>
    <xdr:graphicFrame>
      <xdr:nvGraphicFramePr>
        <xdr:cNvPr id="4" name="Chart 4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22</xdr:col>
      <xdr:colOff>85725</xdr:colOff>
      <xdr:row>7</xdr:row>
      <xdr:rowOff>104775</xdr:rowOff>
    </xdr:from>
    <xdr:ext cx="5715000" cy="3533775"/>
    <xdr:graphicFrame>
      <xdr:nvGraphicFramePr>
        <xdr:cNvPr id="5" name="Chart 5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22</xdr:col>
      <xdr:colOff>85725</xdr:colOff>
      <xdr:row>7</xdr:row>
      <xdr:rowOff>104775</xdr:rowOff>
    </xdr:from>
    <xdr:ext cx="5715000" cy="3533775"/>
    <xdr:graphicFrame>
      <xdr:nvGraphicFramePr>
        <xdr:cNvPr id="6" name="Chart 6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22</xdr:col>
      <xdr:colOff>85725</xdr:colOff>
      <xdr:row>7</xdr:row>
      <xdr:rowOff>104775</xdr:rowOff>
    </xdr:from>
    <xdr:ext cx="5715000" cy="3533775"/>
    <xdr:graphicFrame>
      <xdr:nvGraphicFramePr>
        <xdr:cNvPr id="7" name="Chart 7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533400</xdr:colOff>
      <xdr:row>40</xdr:row>
      <xdr:rowOff>104775</xdr:rowOff>
    </xdr:from>
    <xdr:ext cx="6410325" cy="4143375"/>
    <xdr:pic>
      <xdr:nvPicPr>
        <xdr:cNvPr id="89653505" name="Chart8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13</xdr:row>
      <xdr:rowOff>28575</xdr:rowOff>
    </xdr:from>
    <xdr:ext cx="5048250" cy="3124200"/>
    <xdr:graphicFrame>
      <xdr:nvGraphicFramePr>
        <xdr:cNvPr id="9" name="Chart 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342900</xdr:colOff>
      <xdr:row>1</xdr:row>
      <xdr:rowOff>85725</xdr:rowOff>
    </xdr:from>
    <xdr:ext cx="6267450" cy="3695700"/>
    <xdr:pic>
      <xdr:nvPicPr>
        <xdr:cNvPr id="1050546206" name="Chart10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2181225</xdr:colOff>
      <xdr:row>64</xdr:row>
      <xdr:rowOff>38100</xdr:rowOff>
    </xdr:from>
    <xdr:ext cx="9934575" cy="4048125"/>
    <xdr:graphicFrame>
      <xdr:nvGraphicFramePr>
        <xdr:cNvPr id="11" name="Chart 1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3</xdr:col>
      <xdr:colOff>914400</xdr:colOff>
      <xdr:row>120</xdr:row>
      <xdr:rowOff>76200</xdr:rowOff>
    </xdr:from>
    <xdr:ext cx="7953375" cy="4314825"/>
    <xdr:graphicFrame>
      <xdr:nvGraphicFramePr>
        <xdr:cNvPr id="12" name="Chart 1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3</xdr:col>
      <xdr:colOff>914400</xdr:colOff>
      <xdr:row>147</xdr:row>
      <xdr:rowOff>19050</xdr:rowOff>
    </xdr:from>
    <xdr:ext cx="7953375" cy="4314825"/>
    <xdr:graphicFrame>
      <xdr:nvGraphicFramePr>
        <xdr:cNvPr id="13" name="Chart 1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0"/>
    <outlinePr summaryBelow="0" summaryRight="0"/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7.25"/>
    <col customWidth="1" min="2" max="2" width="23.38"/>
    <col customWidth="1" min="3" max="3" width="32.63"/>
    <col customWidth="1" min="4" max="4" width="19.75"/>
    <col customWidth="1" min="5" max="5" width="9.88"/>
    <col customWidth="1" min="6" max="6" width="19.88"/>
    <col customWidth="1" min="7" max="7" width="31.75"/>
    <col customWidth="1" min="8" max="8" width="15.13"/>
    <col customWidth="1" min="9" max="9" width="11.5"/>
    <col customWidth="1" min="10" max="10" width="11.0"/>
    <col customWidth="1" min="11" max="11" width="19.63"/>
    <col customWidth="1" min="12" max="12" width="9.38"/>
    <col customWidth="1" min="13" max="13" width="6.38"/>
    <col customWidth="1" min="14" max="14" width="9.38"/>
    <col customWidth="1" hidden="1" min="15" max="15" width="9.38"/>
    <col customWidth="1" min="16" max="16" width="26.88"/>
  </cols>
  <sheetData>
    <row r="1" ht="48.0" customHeight="1">
      <c r="A1" s="1"/>
      <c r="B1" s="2" t="s">
        <v>0</v>
      </c>
      <c r="C1" s="3"/>
      <c r="D1" s="3"/>
      <c r="E1" s="2"/>
      <c r="F1" s="4"/>
      <c r="G1" s="4" t="s">
        <v>1</v>
      </c>
      <c r="H1" s="4"/>
      <c r="I1" s="2"/>
      <c r="J1" s="2"/>
      <c r="K1" s="2"/>
      <c r="L1" s="2"/>
      <c r="M1" s="2"/>
      <c r="N1" s="2"/>
      <c r="O1" s="2"/>
      <c r="P1" s="2"/>
    </row>
    <row r="2" ht="5.25" customHeight="1">
      <c r="A2" s="5"/>
      <c r="B2" s="6"/>
      <c r="C2" s="6"/>
      <c r="D2" s="6"/>
      <c r="E2" s="6"/>
      <c r="F2" s="6"/>
      <c r="G2" s="6"/>
      <c r="H2" s="6"/>
      <c r="I2" s="7"/>
      <c r="J2" s="8"/>
      <c r="K2" s="9"/>
      <c r="L2" s="9"/>
      <c r="M2" s="9"/>
      <c r="N2" s="9"/>
      <c r="O2" s="9"/>
      <c r="P2" s="6"/>
    </row>
    <row r="3" ht="15.75" customHeight="1">
      <c r="A3" s="10" t="s">
        <v>2</v>
      </c>
      <c r="B3" s="11" t="s">
        <v>3</v>
      </c>
      <c r="C3" s="12" t="s">
        <v>4</v>
      </c>
      <c r="D3" s="13" t="s">
        <v>5</v>
      </c>
      <c r="E3" s="13" t="s">
        <v>6</v>
      </c>
      <c r="F3" s="13" t="s">
        <v>7</v>
      </c>
      <c r="G3" s="11" t="s">
        <v>8</v>
      </c>
      <c r="H3" s="11" t="s">
        <v>9</v>
      </c>
      <c r="I3" s="14" t="s">
        <v>10</v>
      </c>
      <c r="J3" s="15" t="s">
        <v>11</v>
      </c>
      <c r="K3" s="16" t="s">
        <v>12</v>
      </c>
      <c r="L3" s="16" t="s">
        <v>13</v>
      </c>
      <c r="M3" s="16" t="s">
        <v>14</v>
      </c>
      <c r="N3" s="16" t="s">
        <v>15</v>
      </c>
      <c r="O3" s="16" t="s">
        <v>16</v>
      </c>
      <c r="P3" s="16" t="s">
        <v>17</v>
      </c>
    </row>
    <row r="4" ht="15.75" customHeight="1">
      <c r="A4" s="17" t="s">
        <v>18</v>
      </c>
      <c r="B4" s="18">
        <v>1362.0</v>
      </c>
      <c r="C4" s="19" t="s">
        <v>19</v>
      </c>
      <c r="D4" s="20"/>
      <c r="E4" s="21" t="s">
        <v>20</v>
      </c>
      <c r="F4" s="20" t="s">
        <v>21</v>
      </c>
      <c r="G4" s="22" t="s">
        <v>22</v>
      </c>
      <c r="H4" s="20"/>
      <c r="I4" s="23">
        <v>220.0</v>
      </c>
      <c r="J4" s="24">
        <v>3683.0</v>
      </c>
      <c r="K4" s="25" t="s">
        <v>23</v>
      </c>
      <c r="L4" s="26">
        <v>818631.0</v>
      </c>
      <c r="M4" s="18" t="s">
        <v>24</v>
      </c>
      <c r="N4" s="27">
        <v>45871.0</v>
      </c>
      <c r="O4" s="21"/>
      <c r="P4" s="28"/>
    </row>
    <row r="5" ht="15.75" customHeight="1">
      <c r="A5" s="17" t="s">
        <v>18</v>
      </c>
      <c r="B5" s="29">
        <v>1957.0</v>
      </c>
      <c r="C5" s="30" t="s">
        <v>19</v>
      </c>
      <c r="D5" s="20"/>
      <c r="E5" s="21" t="s">
        <v>20</v>
      </c>
      <c r="F5" s="20" t="s">
        <v>21</v>
      </c>
      <c r="G5" s="31" t="s">
        <v>22</v>
      </c>
      <c r="H5" s="32"/>
      <c r="I5" s="33">
        <v>220.0</v>
      </c>
      <c r="J5" s="34">
        <v>3683.0</v>
      </c>
      <c r="K5" s="35" t="s">
        <v>23</v>
      </c>
      <c r="L5" s="36">
        <v>818631.0</v>
      </c>
      <c r="M5" s="18" t="s">
        <v>25</v>
      </c>
      <c r="N5" s="27">
        <v>45870.0</v>
      </c>
      <c r="O5" s="21"/>
      <c r="P5" s="28"/>
    </row>
    <row r="6" ht="15.75" customHeight="1">
      <c r="A6" s="17" t="s">
        <v>26</v>
      </c>
      <c r="B6" s="29">
        <v>1964.0</v>
      </c>
      <c r="C6" s="30" t="s">
        <v>27</v>
      </c>
      <c r="D6" s="20"/>
      <c r="E6" s="21" t="s">
        <v>20</v>
      </c>
      <c r="F6" s="20" t="s">
        <v>21</v>
      </c>
      <c r="G6" s="31" t="s">
        <v>28</v>
      </c>
      <c r="H6" s="32"/>
      <c r="I6" s="23">
        <v>220.0</v>
      </c>
      <c r="J6" s="34">
        <v>3780.0</v>
      </c>
      <c r="K6" s="37" t="s">
        <v>23</v>
      </c>
      <c r="L6" s="36">
        <v>599850.0</v>
      </c>
      <c r="M6" s="18" t="s">
        <v>24</v>
      </c>
      <c r="N6" s="27">
        <v>45872.0</v>
      </c>
      <c r="O6" s="21"/>
      <c r="P6" s="28"/>
    </row>
    <row r="7" ht="15.75" customHeight="1">
      <c r="A7" s="17" t="s">
        <v>29</v>
      </c>
      <c r="B7" s="29">
        <v>1910.0</v>
      </c>
      <c r="C7" s="19" t="s">
        <v>30</v>
      </c>
      <c r="D7" s="20"/>
      <c r="E7" s="21" t="s">
        <v>20</v>
      </c>
      <c r="F7" s="20" t="s">
        <v>21</v>
      </c>
      <c r="G7" s="31" t="s">
        <v>31</v>
      </c>
      <c r="H7" s="32"/>
      <c r="I7" s="23">
        <v>220.0</v>
      </c>
      <c r="J7" s="24">
        <v>5429.0</v>
      </c>
      <c r="K7" s="25" t="s">
        <v>23</v>
      </c>
      <c r="L7" s="36" t="s">
        <v>32</v>
      </c>
      <c r="M7" s="18" t="s">
        <v>24</v>
      </c>
      <c r="N7" s="27">
        <v>45873.0</v>
      </c>
      <c r="O7" s="21"/>
      <c r="P7" s="28"/>
    </row>
    <row r="8" ht="15.75" customHeight="1">
      <c r="A8" s="17" t="s">
        <v>33</v>
      </c>
      <c r="B8" s="29" t="s">
        <v>34</v>
      </c>
      <c r="C8" s="38" t="s">
        <v>35</v>
      </c>
      <c r="D8" s="20"/>
      <c r="E8" s="21" t="s">
        <v>20</v>
      </c>
      <c r="F8" s="20" t="s">
        <v>36</v>
      </c>
      <c r="G8" s="31" t="s">
        <v>37</v>
      </c>
      <c r="H8" s="32"/>
      <c r="I8" s="23">
        <v>220.0</v>
      </c>
      <c r="J8" s="24">
        <f>10000/1.37</f>
        <v>7299.270073</v>
      </c>
      <c r="K8" s="25" t="s">
        <v>38</v>
      </c>
      <c r="L8" s="36"/>
      <c r="M8" s="18" t="s">
        <v>24</v>
      </c>
      <c r="N8" s="27">
        <v>45874.0</v>
      </c>
      <c r="O8" s="21"/>
      <c r="P8" s="28"/>
    </row>
    <row r="9" ht="15.75" customHeight="1">
      <c r="A9" s="17" t="s">
        <v>39</v>
      </c>
      <c r="B9" s="29">
        <v>1373.0</v>
      </c>
      <c r="C9" s="39" t="s">
        <v>40</v>
      </c>
      <c r="D9" s="20"/>
      <c r="E9" s="21" t="s">
        <v>41</v>
      </c>
      <c r="F9" s="20" t="s">
        <v>21</v>
      </c>
      <c r="G9" s="31" t="s">
        <v>22</v>
      </c>
      <c r="H9" s="32"/>
      <c r="I9" s="23">
        <v>220.0</v>
      </c>
      <c r="J9" s="24">
        <v>4550.0</v>
      </c>
      <c r="K9" s="25" t="s">
        <v>23</v>
      </c>
      <c r="L9" s="36" t="s">
        <v>42</v>
      </c>
      <c r="M9" s="18" t="s">
        <v>24</v>
      </c>
      <c r="N9" s="27">
        <v>45875.0</v>
      </c>
      <c r="O9" s="21"/>
      <c r="P9" s="28"/>
    </row>
    <row r="10" ht="15.75" customHeight="1">
      <c r="A10" s="17" t="s">
        <v>43</v>
      </c>
      <c r="B10" s="29">
        <v>139.0</v>
      </c>
      <c r="C10" s="40" t="s">
        <v>44</v>
      </c>
      <c r="D10" s="20"/>
      <c r="E10" s="21" t="s">
        <v>20</v>
      </c>
      <c r="F10" s="20" t="s">
        <v>21</v>
      </c>
      <c r="G10" s="31" t="s">
        <v>31</v>
      </c>
      <c r="H10" s="32"/>
      <c r="I10" s="23">
        <v>220.0</v>
      </c>
      <c r="J10" s="24">
        <v>4025.88</v>
      </c>
      <c r="K10" s="25" t="s">
        <v>23</v>
      </c>
      <c r="L10" s="36" t="s">
        <v>32</v>
      </c>
      <c r="M10" s="18" t="s">
        <v>25</v>
      </c>
      <c r="N10" s="27">
        <v>45876.0</v>
      </c>
      <c r="O10" s="21"/>
      <c r="P10" s="28"/>
    </row>
    <row r="11" ht="15.75" customHeight="1">
      <c r="A11" s="17" t="s">
        <v>45</v>
      </c>
      <c r="B11" s="29">
        <v>1962.0</v>
      </c>
      <c r="C11" s="39" t="s">
        <v>46</v>
      </c>
      <c r="D11" s="20"/>
      <c r="E11" s="21" t="s">
        <v>41</v>
      </c>
      <c r="F11" s="20" t="s">
        <v>21</v>
      </c>
      <c r="G11" s="31" t="s">
        <v>47</v>
      </c>
      <c r="H11" s="32"/>
      <c r="I11" s="23">
        <v>220.0</v>
      </c>
      <c r="J11" s="24">
        <v>4550.0</v>
      </c>
      <c r="K11" s="25" t="s">
        <v>23</v>
      </c>
      <c r="L11" s="36">
        <v>226938.0</v>
      </c>
      <c r="M11" s="18" t="s">
        <v>24</v>
      </c>
      <c r="N11" s="27">
        <v>45877.0</v>
      </c>
      <c r="O11" s="21"/>
      <c r="P11" s="28"/>
    </row>
    <row r="12" ht="15.75" customHeight="1">
      <c r="A12" s="17" t="s">
        <v>48</v>
      </c>
      <c r="B12" s="29">
        <v>187.0</v>
      </c>
      <c r="C12" s="40" t="s">
        <v>49</v>
      </c>
      <c r="D12" s="20"/>
      <c r="E12" s="21" t="s">
        <v>20</v>
      </c>
      <c r="F12" s="20" t="s">
        <v>21</v>
      </c>
      <c r="G12" s="31" t="s">
        <v>50</v>
      </c>
      <c r="H12" s="32"/>
      <c r="I12" s="23">
        <v>220.0</v>
      </c>
      <c r="J12" s="24">
        <v>5830.0</v>
      </c>
      <c r="K12" s="25" t="s">
        <v>23</v>
      </c>
      <c r="L12" s="36">
        <v>446083.0</v>
      </c>
      <c r="M12" s="18" t="s">
        <v>25</v>
      </c>
      <c r="N12" s="27">
        <v>45878.0</v>
      </c>
      <c r="O12" s="21"/>
      <c r="P12" s="28"/>
    </row>
    <row r="13" ht="15.75" customHeight="1">
      <c r="A13" s="17" t="s">
        <v>51</v>
      </c>
      <c r="B13" s="29">
        <v>1868.0</v>
      </c>
      <c r="C13" s="30" t="s">
        <v>52</v>
      </c>
      <c r="D13" s="20"/>
      <c r="E13" s="21" t="s">
        <v>53</v>
      </c>
      <c r="F13" s="20" t="s">
        <v>21</v>
      </c>
      <c r="G13" s="31" t="s">
        <v>54</v>
      </c>
      <c r="H13" s="32"/>
      <c r="I13" s="23">
        <v>220.0</v>
      </c>
      <c r="J13" s="34">
        <v>5213.0</v>
      </c>
      <c r="K13" s="37" t="s">
        <v>23</v>
      </c>
      <c r="L13" s="36">
        <v>226938.0</v>
      </c>
      <c r="M13" s="18" t="s">
        <v>25</v>
      </c>
      <c r="N13" s="27">
        <v>45879.0</v>
      </c>
      <c r="O13" s="21"/>
      <c r="P13" s="28"/>
    </row>
    <row r="14" ht="15.75" customHeight="1">
      <c r="A14" s="17" t="s">
        <v>55</v>
      </c>
      <c r="B14" s="29">
        <v>176.0</v>
      </c>
      <c r="C14" s="39" t="s">
        <v>56</v>
      </c>
      <c r="D14" s="20"/>
      <c r="E14" s="21" t="s">
        <v>53</v>
      </c>
      <c r="F14" s="20" t="s">
        <v>21</v>
      </c>
      <c r="G14" s="31" t="s">
        <v>54</v>
      </c>
      <c r="H14" s="32"/>
      <c r="I14" s="23">
        <v>220.0</v>
      </c>
      <c r="J14" s="41">
        <v>5213.0</v>
      </c>
      <c r="K14" s="42" t="s">
        <v>23</v>
      </c>
      <c r="L14" s="36" t="s">
        <v>57</v>
      </c>
      <c r="M14" s="18" t="s">
        <v>25</v>
      </c>
      <c r="N14" s="27">
        <v>45880.0</v>
      </c>
      <c r="O14" s="21"/>
      <c r="P14" s="28"/>
    </row>
    <row r="15" ht="15.75" customHeight="1">
      <c r="A15" s="17" t="s">
        <v>58</v>
      </c>
      <c r="B15" s="29">
        <v>1927.0</v>
      </c>
      <c r="C15" s="39" t="s">
        <v>59</v>
      </c>
      <c r="D15" s="43"/>
      <c r="E15" s="21" t="s">
        <v>60</v>
      </c>
      <c r="F15" s="20" t="s">
        <v>21</v>
      </c>
      <c r="G15" s="31" t="s">
        <v>54</v>
      </c>
      <c r="H15" s="32"/>
      <c r="I15" s="23">
        <v>220.0</v>
      </c>
      <c r="J15" s="44">
        <v>3993.0</v>
      </c>
      <c r="K15" s="45" t="s">
        <v>23</v>
      </c>
      <c r="L15" s="36">
        <v>226938.0</v>
      </c>
      <c r="M15" s="18" t="s">
        <v>25</v>
      </c>
      <c r="N15" s="27">
        <v>45881.0</v>
      </c>
      <c r="O15" s="21"/>
      <c r="P15" s="28"/>
    </row>
    <row r="16" ht="15.75" customHeight="1">
      <c r="A16" s="17" t="s">
        <v>61</v>
      </c>
      <c r="B16" s="29">
        <v>164.0</v>
      </c>
      <c r="C16" s="19" t="s">
        <v>62</v>
      </c>
      <c r="D16" s="20"/>
      <c r="E16" s="21" t="s">
        <v>53</v>
      </c>
      <c r="F16" s="20" t="s">
        <v>21</v>
      </c>
      <c r="G16" s="31" t="s">
        <v>63</v>
      </c>
      <c r="H16" s="32"/>
      <c r="I16" s="23">
        <v>220.0</v>
      </c>
      <c r="J16" s="24">
        <v>3652.0</v>
      </c>
      <c r="K16" s="25" t="s">
        <v>23</v>
      </c>
      <c r="L16" s="46">
        <v>807461.0</v>
      </c>
      <c r="M16" s="18" t="s">
        <v>25</v>
      </c>
      <c r="N16" s="27">
        <v>45882.0</v>
      </c>
      <c r="O16" s="21"/>
      <c r="P16" s="28"/>
    </row>
    <row r="17" ht="15.75" customHeight="1">
      <c r="A17" s="17" t="s">
        <v>64</v>
      </c>
      <c r="B17" s="29">
        <v>1892.0</v>
      </c>
      <c r="C17" s="19" t="s">
        <v>65</v>
      </c>
      <c r="D17" s="20"/>
      <c r="E17" s="21" t="s">
        <v>53</v>
      </c>
      <c r="F17" s="20" t="s">
        <v>21</v>
      </c>
      <c r="G17" s="31" t="s">
        <v>66</v>
      </c>
      <c r="H17" s="32"/>
      <c r="I17" s="23">
        <v>220.0</v>
      </c>
      <c r="J17" s="24">
        <v>3439.7</v>
      </c>
      <c r="K17" s="25" t="s">
        <v>23</v>
      </c>
      <c r="L17" s="46">
        <v>807461.0</v>
      </c>
      <c r="M17" s="18" t="s">
        <v>25</v>
      </c>
      <c r="N17" s="27">
        <v>45883.0</v>
      </c>
      <c r="O17" s="21"/>
      <c r="P17" s="28"/>
    </row>
    <row r="18" ht="15.75" customHeight="1">
      <c r="A18" s="17" t="s">
        <v>67</v>
      </c>
      <c r="B18" s="29">
        <v>1940.0</v>
      </c>
      <c r="C18" s="47" t="s">
        <v>68</v>
      </c>
      <c r="D18" s="43"/>
      <c r="E18" s="21" t="s">
        <v>53</v>
      </c>
      <c r="F18" s="20" t="s">
        <v>21</v>
      </c>
      <c r="G18" s="31" t="s">
        <v>69</v>
      </c>
      <c r="H18" s="32"/>
      <c r="I18" s="23">
        <v>220.0</v>
      </c>
      <c r="J18" s="24">
        <v>3652.0</v>
      </c>
      <c r="K18" s="25" t="s">
        <v>23</v>
      </c>
      <c r="L18" s="46">
        <v>807461.0</v>
      </c>
      <c r="M18" s="18" t="s">
        <v>25</v>
      </c>
      <c r="N18" s="27">
        <v>45884.0</v>
      </c>
      <c r="O18" s="21"/>
      <c r="P18" s="28"/>
    </row>
    <row r="19" ht="15.75" customHeight="1">
      <c r="A19" s="17" t="s">
        <v>70</v>
      </c>
      <c r="B19" s="29">
        <v>1963.0</v>
      </c>
      <c r="C19" s="19" t="s">
        <v>71</v>
      </c>
      <c r="D19" s="43"/>
      <c r="E19" s="21" t="s">
        <v>53</v>
      </c>
      <c r="F19" s="20" t="s">
        <v>21</v>
      </c>
      <c r="G19" s="31" t="s">
        <v>22</v>
      </c>
      <c r="H19" s="32"/>
      <c r="I19" s="23">
        <v>220.0</v>
      </c>
      <c r="J19" s="24">
        <v>3652.0</v>
      </c>
      <c r="K19" s="25" t="s">
        <v>23</v>
      </c>
      <c r="L19" s="36">
        <v>446083.0</v>
      </c>
      <c r="M19" s="18" t="s">
        <v>25</v>
      </c>
      <c r="N19" s="27">
        <v>45885.0</v>
      </c>
      <c r="O19" s="21"/>
      <c r="P19" s="28"/>
    </row>
    <row r="20" ht="15.75" customHeight="1">
      <c r="A20" s="17" t="s">
        <v>72</v>
      </c>
      <c r="B20" s="29">
        <v>190.0</v>
      </c>
      <c r="C20" s="40" t="s">
        <v>73</v>
      </c>
      <c r="D20" s="43"/>
      <c r="E20" s="21" t="s">
        <v>20</v>
      </c>
      <c r="F20" s="20" t="s">
        <v>21</v>
      </c>
      <c r="G20" s="31" t="s">
        <v>31</v>
      </c>
      <c r="H20" s="32"/>
      <c r="I20" s="23">
        <v>220.0</v>
      </c>
      <c r="J20" s="24">
        <v>2919.0</v>
      </c>
      <c r="K20" s="25" t="s">
        <v>23</v>
      </c>
      <c r="L20" s="46">
        <v>807461.0</v>
      </c>
      <c r="M20" s="18" t="s">
        <v>25</v>
      </c>
      <c r="N20" s="27">
        <v>45886.0</v>
      </c>
      <c r="O20" s="21"/>
      <c r="P20" s="28"/>
    </row>
    <row r="21" ht="15.75" customHeight="1">
      <c r="A21" s="17" t="s">
        <v>74</v>
      </c>
      <c r="B21" s="29">
        <v>189.0</v>
      </c>
      <c r="C21" s="40" t="s">
        <v>75</v>
      </c>
      <c r="D21" s="43"/>
      <c r="E21" s="21" t="s">
        <v>20</v>
      </c>
      <c r="F21" s="20" t="s">
        <v>21</v>
      </c>
      <c r="G21" s="31" t="s">
        <v>76</v>
      </c>
      <c r="H21" s="32"/>
      <c r="I21" s="23">
        <v>220.0</v>
      </c>
      <c r="J21" s="24">
        <v>2919.0</v>
      </c>
      <c r="K21" s="25" t="s">
        <v>23</v>
      </c>
      <c r="L21" s="46">
        <v>807461.0</v>
      </c>
      <c r="M21" s="18" t="s">
        <v>25</v>
      </c>
      <c r="N21" s="27">
        <v>45887.0</v>
      </c>
      <c r="O21" s="21"/>
      <c r="P21" s="28"/>
    </row>
    <row r="22" ht="15.75" customHeight="1">
      <c r="A22" s="17" t="s">
        <v>77</v>
      </c>
      <c r="B22" s="29">
        <v>1656.0</v>
      </c>
      <c r="C22" s="39" t="s">
        <v>78</v>
      </c>
      <c r="D22" s="43"/>
      <c r="E22" s="21" t="s">
        <v>20</v>
      </c>
      <c r="F22" s="20" t="s">
        <v>21</v>
      </c>
      <c r="G22" s="31" t="s">
        <v>79</v>
      </c>
      <c r="H22" s="32"/>
      <c r="I22" s="23">
        <v>220.0</v>
      </c>
      <c r="J22" s="44">
        <v>2919.0</v>
      </c>
      <c r="K22" s="45" t="s">
        <v>23</v>
      </c>
      <c r="L22" s="46">
        <v>464864.0</v>
      </c>
      <c r="M22" s="18" t="s">
        <v>24</v>
      </c>
      <c r="N22" s="27">
        <v>45888.0</v>
      </c>
      <c r="O22" s="21"/>
      <c r="P22" s="28"/>
    </row>
    <row r="23" ht="15.75" customHeight="1">
      <c r="A23" s="17" t="s">
        <v>80</v>
      </c>
      <c r="B23" s="29">
        <v>192.0</v>
      </c>
      <c r="C23" s="38" t="s">
        <v>81</v>
      </c>
      <c r="D23" s="43"/>
      <c r="E23" s="21" t="s">
        <v>20</v>
      </c>
      <c r="F23" s="20" t="s">
        <v>21</v>
      </c>
      <c r="G23" s="31" t="s">
        <v>54</v>
      </c>
      <c r="H23" s="32"/>
      <c r="I23" s="23">
        <v>220.0</v>
      </c>
      <c r="J23" s="24">
        <v>2919.0</v>
      </c>
      <c r="K23" s="25" t="s">
        <v>23</v>
      </c>
      <c r="L23" s="46">
        <v>815131.0</v>
      </c>
      <c r="M23" s="18" t="s">
        <v>24</v>
      </c>
      <c r="N23" s="27">
        <v>45889.0</v>
      </c>
      <c r="O23" s="21"/>
      <c r="P23" s="28"/>
    </row>
    <row r="24" ht="15.75" customHeight="1">
      <c r="A24" s="17" t="s">
        <v>80</v>
      </c>
      <c r="B24" s="29">
        <v>193.0</v>
      </c>
      <c r="C24" s="48" t="s">
        <v>81</v>
      </c>
      <c r="D24" s="43"/>
      <c r="E24" s="21" t="s">
        <v>20</v>
      </c>
      <c r="F24" s="20" t="s">
        <v>21</v>
      </c>
      <c r="G24" s="31" t="s">
        <v>54</v>
      </c>
      <c r="H24" s="32"/>
      <c r="I24" s="23">
        <v>220.0</v>
      </c>
      <c r="J24" s="44">
        <v>2919.0</v>
      </c>
      <c r="K24" s="25" t="s">
        <v>23</v>
      </c>
      <c r="L24" s="46">
        <v>815131.0</v>
      </c>
      <c r="M24" s="18" t="s">
        <v>24</v>
      </c>
      <c r="N24" s="27">
        <v>45890.0</v>
      </c>
      <c r="O24" s="21"/>
      <c r="P24" s="28"/>
    </row>
    <row r="25" ht="15.75" customHeight="1">
      <c r="A25" s="17" t="s">
        <v>80</v>
      </c>
      <c r="B25" s="29">
        <v>1941.0</v>
      </c>
      <c r="C25" s="48" t="s">
        <v>82</v>
      </c>
      <c r="D25" s="20"/>
      <c r="E25" s="21" t="s">
        <v>20</v>
      </c>
      <c r="F25" s="20" t="s">
        <v>21</v>
      </c>
      <c r="G25" s="31" t="s">
        <v>54</v>
      </c>
      <c r="H25" s="32"/>
      <c r="I25" s="49">
        <v>220.0</v>
      </c>
      <c r="J25" s="50">
        <v>3652.0</v>
      </c>
      <c r="K25" s="51" t="s">
        <v>23</v>
      </c>
      <c r="L25" s="46">
        <v>815131.0</v>
      </c>
      <c r="M25" s="18" t="s">
        <v>24</v>
      </c>
      <c r="N25" s="27">
        <v>45891.0</v>
      </c>
      <c r="O25" s="21"/>
      <c r="P25" s="28"/>
    </row>
    <row r="26" ht="15.75" customHeight="1">
      <c r="A26" s="17" t="s">
        <v>83</v>
      </c>
      <c r="B26" s="29">
        <v>1961.0</v>
      </c>
      <c r="C26" s="30" t="s">
        <v>84</v>
      </c>
      <c r="D26" s="43"/>
      <c r="E26" s="21" t="s">
        <v>20</v>
      </c>
      <c r="F26" s="20" t="s">
        <v>21</v>
      </c>
      <c r="G26" s="31" t="s">
        <v>66</v>
      </c>
      <c r="H26" s="32"/>
      <c r="I26" s="23">
        <v>220.0</v>
      </c>
      <c r="J26" s="34">
        <v>2254.0</v>
      </c>
      <c r="K26" s="25" t="s">
        <v>23</v>
      </c>
      <c r="L26" s="36">
        <v>807308.0</v>
      </c>
      <c r="M26" s="18" t="s">
        <v>25</v>
      </c>
      <c r="N26" s="27">
        <v>45892.0</v>
      </c>
      <c r="O26" s="21"/>
      <c r="P26" s="28"/>
    </row>
    <row r="27" ht="15.75" customHeight="1">
      <c r="A27" s="17" t="s">
        <v>85</v>
      </c>
      <c r="B27" s="29">
        <v>184.0</v>
      </c>
      <c r="C27" s="40" t="s">
        <v>86</v>
      </c>
      <c r="D27" s="43"/>
      <c r="E27" s="21" t="s">
        <v>53</v>
      </c>
      <c r="F27" s="20" t="s">
        <v>21</v>
      </c>
      <c r="G27" s="31" t="s">
        <v>66</v>
      </c>
      <c r="H27" s="32"/>
      <c r="I27" s="23">
        <v>220.0</v>
      </c>
      <c r="J27" s="24">
        <v>2739.04</v>
      </c>
      <c r="K27" s="25" t="s">
        <v>23</v>
      </c>
      <c r="L27" s="36">
        <v>807308.0</v>
      </c>
      <c r="M27" s="18" t="s">
        <v>25</v>
      </c>
      <c r="N27" s="27">
        <v>45893.0</v>
      </c>
      <c r="O27" s="21"/>
      <c r="P27" s="28"/>
    </row>
    <row r="28" ht="15.75" customHeight="1">
      <c r="A28" s="17" t="s">
        <v>87</v>
      </c>
      <c r="B28" s="29">
        <v>1951.0</v>
      </c>
      <c r="C28" s="19" t="s">
        <v>88</v>
      </c>
      <c r="D28" s="43"/>
      <c r="E28" s="21" t="s">
        <v>41</v>
      </c>
      <c r="F28" s="20" t="s">
        <v>21</v>
      </c>
      <c r="G28" s="31" t="s">
        <v>89</v>
      </c>
      <c r="H28" s="32"/>
      <c r="I28" s="23">
        <v>220.0</v>
      </c>
      <c r="J28" s="44">
        <v>2560.0</v>
      </c>
      <c r="K28" s="45" t="s">
        <v>23</v>
      </c>
      <c r="L28" s="36">
        <v>807308.0</v>
      </c>
      <c r="M28" s="18" t="s">
        <v>25</v>
      </c>
      <c r="N28" s="27">
        <v>45894.0</v>
      </c>
      <c r="O28" s="21"/>
      <c r="P28" s="28"/>
    </row>
    <row r="29" ht="15.75" customHeight="1">
      <c r="A29" s="17" t="s">
        <v>90</v>
      </c>
      <c r="B29" s="29">
        <v>191.0</v>
      </c>
      <c r="C29" s="40" t="s">
        <v>91</v>
      </c>
      <c r="D29" s="20"/>
      <c r="E29" s="21" t="s">
        <v>20</v>
      </c>
      <c r="F29" s="20" t="s">
        <v>21</v>
      </c>
      <c r="G29" s="31" t="s">
        <v>50</v>
      </c>
      <c r="H29" s="32"/>
      <c r="I29" s="23">
        <v>220.0</v>
      </c>
      <c r="J29" s="24">
        <v>2560.0</v>
      </c>
      <c r="K29" s="25" t="s">
        <v>23</v>
      </c>
      <c r="L29" s="36">
        <v>446083.0</v>
      </c>
      <c r="M29" s="18" t="s">
        <v>24</v>
      </c>
      <c r="N29" s="27">
        <v>45895.0</v>
      </c>
      <c r="O29" s="21"/>
      <c r="P29" s="28"/>
    </row>
    <row r="30" ht="15.75" customHeight="1">
      <c r="A30" s="17" t="s">
        <v>92</v>
      </c>
      <c r="B30" s="29" t="s">
        <v>93</v>
      </c>
      <c r="C30" s="40" t="s">
        <v>94</v>
      </c>
      <c r="D30" s="20"/>
      <c r="E30" s="21" t="s">
        <v>20</v>
      </c>
      <c r="F30" s="32" t="s">
        <v>36</v>
      </c>
      <c r="G30" s="31" t="s">
        <v>66</v>
      </c>
      <c r="H30" s="32"/>
      <c r="I30" s="23">
        <v>220.0</v>
      </c>
      <c r="J30" s="24">
        <f>11339/1.37</f>
        <v>8276.642336</v>
      </c>
      <c r="K30" s="25" t="s">
        <v>38</v>
      </c>
      <c r="L30" s="36"/>
      <c r="M30" s="18" t="s">
        <v>25</v>
      </c>
      <c r="N30" s="27">
        <v>45896.0</v>
      </c>
      <c r="O30" s="21"/>
      <c r="P30" s="28"/>
    </row>
    <row r="31" ht="15.75" customHeight="1">
      <c r="A31" s="17" t="s">
        <v>95</v>
      </c>
      <c r="B31" s="29" t="s">
        <v>96</v>
      </c>
      <c r="C31" s="40" t="s">
        <v>97</v>
      </c>
      <c r="D31" s="43"/>
      <c r="E31" s="21" t="s">
        <v>20</v>
      </c>
      <c r="F31" s="32" t="s">
        <v>36</v>
      </c>
      <c r="G31" s="31" t="s">
        <v>69</v>
      </c>
      <c r="H31" s="32"/>
      <c r="I31" s="23">
        <v>220.0</v>
      </c>
      <c r="J31" s="24">
        <f>16000/1.37</f>
        <v>11678.83212</v>
      </c>
      <c r="K31" s="25" t="s">
        <v>38</v>
      </c>
      <c r="L31" s="36"/>
      <c r="M31" s="18" t="s">
        <v>25</v>
      </c>
      <c r="N31" s="27">
        <v>45897.0</v>
      </c>
      <c r="O31" s="21"/>
      <c r="P31" s="28"/>
    </row>
    <row r="32" ht="15.75" customHeight="1">
      <c r="A32" s="17" t="s">
        <v>98</v>
      </c>
      <c r="B32" s="29" t="s">
        <v>99</v>
      </c>
      <c r="C32" s="52" t="s">
        <v>100</v>
      </c>
      <c r="D32" s="43"/>
      <c r="E32" s="21" t="s">
        <v>20</v>
      </c>
      <c r="F32" s="32" t="s">
        <v>36</v>
      </c>
      <c r="G32" s="31" t="s">
        <v>69</v>
      </c>
      <c r="H32" s="32"/>
      <c r="I32" s="23">
        <v>220.0</v>
      </c>
      <c r="J32" s="24">
        <f>12663.6/1.37</f>
        <v>9243.50365</v>
      </c>
      <c r="K32" s="25" t="s">
        <v>38</v>
      </c>
      <c r="L32" s="36"/>
      <c r="M32" s="29" t="s">
        <v>24</v>
      </c>
      <c r="N32" s="27">
        <v>45898.0</v>
      </c>
      <c r="O32" s="21"/>
      <c r="P32" s="28"/>
    </row>
    <row r="33" ht="15.75" customHeight="1">
      <c r="A33" s="17" t="s">
        <v>101</v>
      </c>
      <c r="B33" s="29">
        <v>1959.0</v>
      </c>
      <c r="C33" s="53" t="s">
        <v>102</v>
      </c>
      <c r="D33" s="43"/>
      <c r="E33" s="21" t="s">
        <v>20</v>
      </c>
      <c r="F33" s="32" t="s">
        <v>36</v>
      </c>
      <c r="G33" s="31" t="s">
        <v>76</v>
      </c>
      <c r="H33" s="32"/>
      <c r="I33" s="23">
        <v>220.0</v>
      </c>
      <c r="J33" s="24">
        <v>7420.0</v>
      </c>
      <c r="K33" s="25" t="s">
        <v>23</v>
      </c>
      <c r="L33" s="36" t="s">
        <v>103</v>
      </c>
      <c r="M33" s="29" t="s">
        <v>25</v>
      </c>
      <c r="N33" s="27">
        <v>45899.0</v>
      </c>
      <c r="O33" s="21"/>
      <c r="P33" s="28"/>
    </row>
    <row r="34" ht="15.75" customHeight="1">
      <c r="A34" s="17" t="s">
        <v>104</v>
      </c>
      <c r="B34" s="29">
        <v>151.0</v>
      </c>
      <c r="C34" s="52" t="s">
        <v>105</v>
      </c>
      <c r="D34" s="20"/>
      <c r="E34" s="21" t="s">
        <v>41</v>
      </c>
      <c r="F34" s="32" t="s">
        <v>36</v>
      </c>
      <c r="G34" s="31" t="s">
        <v>63</v>
      </c>
      <c r="H34" s="32"/>
      <c r="I34" s="23">
        <v>220.0</v>
      </c>
      <c r="J34" s="24">
        <v>8647.0</v>
      </c>
      <c r="K34" s="25" t="s">
        <v>23</v>
      </c>
      <c r="L34" s="46">
        <v>840698.0</v>
      </c>
      <c r="M34" s="29" t="s">
        <v>24</v>
      </c>
      <c r="N34" s="27">
        <v>45900.0</v>
      </c>
      <c r="O34" s="21"/>
      <c r="P34" s="28"/>
    </row>
    <row r="35" ht="15.75" customHeight="1">
      <c r="A35" s="17" t="s">
        <v>106</v>
      </c>
      <c r="B35" s="29">
        <v>1911.0</v>
      </c>
      <c r="C35" s="53" t="s">
        <v>107</v>
      </c>
      <c r="D35" s="43"/>
      <c r="E35" s="21" t="s">
        <v>41</v>
      </c>
      <c r="F35" s="32" t="s">
        <v>36</v>
      </c>
      <c r="G35" s="31" t="s">
        <v>31</v>
      </c>
      <c r="H35" s="32"/>
      <c r="I35" s="23">
        <v>220.0</v>
      </c>
      <c r="J35" s="24">
        <v>8647.0</v>
      </c>
      <c r="K35" s="25" t="s">
        <v>23</v>
      </c>
      <c r="L35" s="46" t="s">
        <v>108</v>
      </c>
      <c r="M35" s="29" t="s">
        <v>25</v>
      </c>
      <c r="N35" s="27">
        <v>45870.0</v>
      </c>
      <c r="O35" s="21"/>
      <c r="P35" s="28"/>
    </row>
    <row r="36" ht="15.75" customHeight="1">
      <c r="A36" s="17" t="s">
        <v>109</v>
      </c>
      <c r="B36" s="29">
        <v>1452.0</v>
      </c>
      <c r="C36" s="54" t="s">
        <v>110</v>
      </c>
      <c r="D36" s="43"/>
      <c r="E36" s="21" t="s">
        <v>20</v>
      </c>
      <c r="F36" s="32" t="s">
        <v>21</v>
      </c>
      <c r="G36" s="31" t="s">
        <v>22</v>
      </c>
      <c r="H36" s="32"/>
      <c r="I36" s="23">
        <v>220.0</v>
      </c>
      <c r="J36" s="24">
        <v>8714.0</v>
      </c>
      <c r="K36" s="25" t="s">
        <v>23</v>
      </c>
      <c r="L36" s="36" t="s">
        <v>111</v>
      </c>
      <c r="M36" s="29" t="s">
        <v>24</v>
      </c>
      <c r="N36" s="27">
        <v>45871.0</v>
      </c>
      <c r="O36" s="21"/>
      <c r="P36" s="28"/>
    </row>
    <row r="37" ht="15.75" customHeight="1">
      <c r="A37" s="17" t="s">
        <v>112</v>
      </c>
      <c r="B37" s="29" t="s">
        <v>113</v>
      </c>
      <c r="C37" s="52" t="s">
        <v>114</v>
      </c>
      <c r="D37" s="20"/>
      <c r="E37" s="21" t="s">
        <v>20</v>
      </c>
      <c r="F37" s="32" t="s">
        <v>36</v>
      </c>
      <c r="G37" s="31" t="s">
        <v>28</v>
      </c>
      <c r="H37" s="32"/>
      <c r="I37" s="23">
        <v>220.0</v>
      </c>
      <c r="J37" s="24">
        <f>16000/1.51</f>
        <v>10596.02649</v>
      </c>
      <c r="K37" s="25" t="s">
        <v>38</v>
      </c>
      <c r="L37" s="36"/>
      <c r="M37" s="29" t="s">
        <v>25</v>
      </c>
      <c r="N37" s="27">
        <v>45872.0</v>
      </c>
      <c r="O37" s="21"/>
      <c r="P37" s="28"/>
    </row>
    <row r="38" ht="15.75" customHeight="1">
      <c r="A38" s="17" t="s">
        <v>115</v>
      </c>
      <c r="B38" s="29" t="s">
        <v>116</v>
      </c>
      <c r="C38" s="52" t="s">
        <v>117</v>
      </c>
      <c r="D38" s="20"/>
      <c r="E38" s="21" t="s">
        <v>20</v>
      </c>
      <c r="F38" s="32" t="s">
        <v>36</v>
      </c>
      <c r="G38" s="31" t="s">
        <v>54</v>
      </c>
      <c r="H38" s="32"/>
      <c r="I38" s="23">
        <v>220.0</v>
      </c>
      <c r="J38" s="24">
        <f>12000/1.51</f>
        <v>7947.019868</v>
      </c>
      <c r="K38" s="25" t="s">
        <v>38</v>
      </c>
      <c r="L38" s="36"/>
      <c r="M38" s="29" t="s">
        <v>24</v>
      </c>
      <c r="N38" s="27">
        <v>45873.0</v>
      </c>
      <c r="O38" s="21"/>
      <c r="P38" s="28"/>
    </row>
    <row r="39" ht="15.75" customHeight="1">
      <c r="A39" s="17" t="s">
        <v>118</v>
      </c>
      <c r="B39" s="29" t="s">
        <v>119</v>
      </c>
      <c r="C39" s="52" t="s">
        <v>120</v>
      </c>
      <c r="D39" s="20"/>
      <c r="E39" s="21" t="s">
        <v>20</v>
      </c>
      <c r="F39" s="32" t="s">
        <v>121</v>
      </c>
      <c r="G39" s="31" t="s">
        <v>122</v>
      </c>
      <c r="H39" s="32"/>
      <c r="I39" s="23">
        <v>220.0</v>
      </c>
      <c r="J39" s="24">
        <f>58000/1.04</f>
        <v>55769.23077</v>
      </c>
      <c r="K39" s="25" t="s">
        <v>38</v>
      </c>
      <c r="L39" s="36"/>
      <c r="M39" s="29" t="s">
        <v>24</v>
      </c>
      <c r="N39" s="27">
        <v>45874.0</v>
      </c>
      <c r="O39" s="21"/>
      <c r="P39" s="28"/>
    </row>
    <row r="40" ht="15.75" customHeight="1">
      <c r="A40" s="17" t="s">
        <v>123</v>
      </c>
      <c r="B40" s="29">
        <v>132.0</v>
      </c>
      <c r="C40" s="53" t="s">
        <v>124</v>
      </c>
      <c r="D40" s="20"/>
      <c r="E40" s="21" t="s">
        <v>20</v>
      </c>
      <c r="F40" s="20" t="s">
        <v>21</v>
      </c>
      <c r="G40" s="31" t="s">
        <v>50</v>
      </c>
      <c r="H40" s="32"/>
      <c r="I40" s="23">
        <v>220.0</v>
      </c>
      <c r="J40" s="24">
        <v>8461.0</v>
      </c>
      <c r="K40" s="25" t="s">
        <v>23</v>
      </c>
      <c r="L40" s="36">
        <v>1900113.0</v>
      </c>
      <c r="M40" s="29" t="s">
        <v>24</v>
      </c>
      <c r="N40" s="27">
        <v>45875.0</v>
      </c>
      <c r="O40" s="21"/>
      <c r="P40" s="28"/>
    </row>
    <row r="41" ht="15.75" customHeight="1">
      <c r="A41" s="17" t="s">
        <v>123</v>
      </c>
      <c r="B41" s="29">
        <v>182.0</v>
      </c>
      <c r="C41" s="53" t="s">
        <v>124</v>
      </c>
      <c r="D41" s="20"/>
      <c r="E41" s="21" t="s">
        <v>20</v>
      </c>
      <c r="F41" s="20" t="s">
        <v>21</v>
      </c>
      <c r="G41" s="31" t="s">
        <v>50</v>
      </c>
      <c r="H41" s="32"/>
      <c r="I41" s="23">
        <v>220.0</v>
      </c>
      <c r="J41" s="24">
        <v>11540.0</v>
      </c>
      <c r="K41" s="25" t="s">
        <v>23</v>
      </c>
      <c r="L41" s="36">
        <v>1900113.0</v>
      </c>
      <c r="M41" s="29" t="s">
        <v>24</v>
      </c>
      <c r="N41" s="27">
        <v>45876.0</v>
      </c>
      <c r="O41" s="21"/>
      <c r="P41" s="28"/>
    </row>
    <row r="42" ht="15.75" customHeight="1">
      <c r="A42" s="17" t="s">
        <v>125</v>
      </c>
      <c r="B42" s="29">
        <v>1351.0</v>
      </c>
      <c r="C42" s="53" t="s">
        <v>126</v>
      </c>
      <c r="D42" s="20"/>
      <c r="E42" s="21" t="s">
        <v>20</v>
      </c>
      <c r="F42" s="20" t="s">
        <v>21</v>
      </c>
      <c r="G42" s="31" t="s">
        <v>22</v>
      </c>
      <c r="H42" s="32"/>
      <c r="I42" s="23">
        <v>220.0</v>
      </c>
      <c r="J42" s="24">
        <v>8714.0</v>
      </c>
      <c r="K42" s="25" t="s">
        <v>23</v>
      </c>
      <c r="L42" s="36" t="s">
        <v>42</v>
      </c>
      <c r="M42" s="29" t="s">
        <v>24</v>
      </c>
      <c r="N42" s="27"/>
      <c r="O42" s="21"/>
      <c r="P42" s="28"/>
    </row>
    <row r="43" ht="15.75" customHeight="1">
      <c r="A43" s="17" t="s">
        <v>127</v>
      </c>
      <c r="B43" s="29" t="s">
        <v>128</v>
      </c>
      <c r="C43" s="52" t="s">
        <v>129</v>
      </c>
      <c r="D43" s="20"/>
      <c r="E43" s="21" t="s">
        <v>60</v>
      </c>
      <c r="F43" s="20" t="s">
        <v>21</v>
      </c>
      <c r="G43" s="31" t="s">
        <v>50</v>
      </c>
      <c r="H43" s="32"/>
      <c r="I43" s="23">
        <v>220.0</v>
      </c>
      <c r="J43" s="24">
        <f>8390/1.49</f>
        <v>5630.872483</v>
      </c>
      <c r="K43" s="25" t="s">
        <v>38</v>
      </c>
      <c r="L43" s="36"/>
      <c r="M43" s="29" t="s">
        <v>24</v>
      </c>
      <c r="N43" s="27"/>
      <c r="O43" s="21"/>
      <c r="P43" s="28"/>
    </row>
    <row r="44" ht="15.75" customHeight="1">
      <c r="A44" s="17" t="s">
        <v>130</v>
      </c>
      <c r="B44" s="29" t="s">
        <v>131</v>
      </c>
      <c r="C44" s="52" t="s">
        <v>132</v>
      </c>
      <c r="D44" s="20"/>
      <c r="E44" s="21" t="s">
        <v>53</v>
      </c>
      <c r="F44" s="20" t="s">
        <v>36</v>
      </c>
      <c r="G44" s="31" t="s">
        <v>22</v>
      </c>
      <c r="H44" s="32"/>
      <c r="I44" s="23">
        <v>220.0</v>
      </c>
      <c r="J44" s="24">
        <f>19000/1.32</f>
        <v>14393.93939</v>
      </c>
      <c r="K44" s="25" t="s">
        <v>38</v>
      </c>
      <c r="L44" s="36"/>
      <c r="M44" s="29" t="s">
        <v>25</v>
      </c>
      <c r="N44" s="27"/>
      <c r="O44" s="21"/>
      <c r="P44" s="28"/>
    </row>
    <row r="45" ht="15.75" customHeight="1">
      <c r="A45" s="17" t="s">
        <v>133</v>
      </c>
      <c r="B45" s="29" t="s">
        <v>134</v>
      </c>
      <c r="C45" s="53" t="s">
        <v>135</v>
      </c>
      <c r="D45" s="20"/>
      <c r="E45" s="21" t="s">
        <v>20</v>
      </c>
      <c r="F45" s="20" t="s">
        <v>21</v>
      </c>
      <c r="G45" s="31" t="s">
        <v>136</v>
      </c>
      <c r="H45" s="32"/>
      <c r="I45" s="23">
        <v>150.0</v>
      </c>
      <c r="J45" s="24">
        <v>1521.0</v>
      </c>
      <c r="K45" s="25" t="s">
        <v>137</v>
      </c>
      <c r="L45" s="36">
        <v>446083.0</v>
      </c>
      <c r="M45" s="29" t="s">
        <v>25</v>
      </c>
      <c r="N45" s="27"/>
      <c r="O45" s="21"/>
      <c r="P45" s="28"/>
    </row>
    <row r="46" ht="15.75" customHeight="1">
      <c r="A46" s="17" t="s">
        <v>138</v>
      </c>
      <c r="B46" s="29" t="s">
        <v>139</v>
      </c>
      <c r="C46" s="52" t="s">
        <v>140</v>
      </c>
      <c r="D46" s="20"/>
      <c r="E46" s="21" t="s">
        <v>20</v>
      </c>
      <c r="F46" s="20" t="s">
        <v>21</v>
      </c>
      <c r="G46" s="31" t="s">
        <v>66</v>
      </c>
      <c r="H46" s="32"/>
      <c r="I46" s="23">
        <v>150.0</v>
      </c>
      <c r="J46" s="24">
        <v>1521.0</v>
      </c>
      <c r="K46" s="25" t="s">
        <v>137</v>
      </c>
      <c r="L46" s="36">
        <v>807308.0</v>
      </c>
      <c r="M46" s="29" t="s">
        <v>24</v>
      </c>
      <c r="N46" s="27"/>
      <c r="O46" s="21"/>
      <c r="P46" s="28"/>
    </row>
    <row r="47" ht="15.75" customHeight="1">
      <c r="A47" s="17" t="s">
        <v>141</v>
      </c>
      <c r="B47" s="29" t="s">
        <v>142</v>
      </c>
      <c r="C47" s="53" t="s">
        <v>143</v>
      </c>
      <c r="D47" s="20"/>
      <c r="E47" s="21" t="s">
        <v>20</v>
      </c>
      <c r="F47" s="20" t="s">
        <v>21</v>
      </c>
      <c r="G47" s="31" t="s">
        <v>50</v>
      </c>
      <c r="H47" s="32"/>
      <c r="I47" s="23">
        <v>150.0</v>
      </c>
      <c r="J47" s="24">
        <v>1521.0</v>
      </c>
      <c r="K47" s="25" t="s">
        <v>137</v>
      </c>
      <c r="L47" s="36"/>
      <c r="M47" s="29" t="s">
        <v>25</v>
      </c>
      <c r="N47" s="27"/>
      <c r="O47" s="21"/>
      <c r="P47" s="28"/>
    </row>
    <row r="48" ht="15.75" customHeight="1">
      <c r="A48" s="17" t="s">
        <v>144</v>
      </c>
      <c r="B48" s="29">
        <v>1940.0</v>
      </c>
      <c r="C48" s="53" t="s">
        <v>145</v>
      </c>
      <c r="D48" s="20"/>
      <c r="E48" s="21" t="s">
        <v>20</v>
      </c>
      <c r="F48" s="20" t="s">
        <v>21</v>
      </c>
      <c r="G48" s="31" t="s">
        <v>76</v>
      </c>
      <c r="H48" s="32"/>
      <c r="I48" s="23">
        <v>100.0</v>
      </c>
      <c r="J48" s="24">
        <v>1014.0</v>
      </c>
      <c r="K48" s="25" t="s">
        <v>137</v>
      </c>
      <c r="L48" s="36">
        <v>807308.0</v>
      </c>
      <c r="M48" s="29" t="s">
        <v>25</v>
      </c>
      <c r="N48" s="27"/>
      <c r="O48" s="21"/>
      <c r="P48" s="28"/>
    </row>
    <row r="49" ht="15.75" customHeight="1">
      <c r="A49" s="17" t="s">
        <v>146</v>
      </c>
      <c r="B49" s="29" t="s">
        <v>147</v>
      </c>
      <c r="C49" s="52" t="s">
        <v>148</v>
      </c>
      <c r="D49" s="20"/>
      <c r="E49" s="21" t="s">
        <v>20</v>
      </c>
      <c r="F49" s="32" t="s">
        <v>36</v>
      </c>
      <c r="G49" s="31" t="s">
        <v>66</v>
      </c>
      <c r="H49" s="32"/>
      <c r="I49" s="23">
        <v>220.0</v>
      </c>
      <c r="J49" s="24">
        <f>16160/1.32</f>
        <v>12242.42424</v>
      </c>
      <c r="K49" s="25" t="s">
        <v>38</v>
      </c>
      <c r="L49" s="36"/>
      <c r="M49" s="29" t="s">
        <v>25</v>
      </c>
      <c r="N49" s="27"/>
      <c r="O49" s="21"/>
      <c r="P49" s="28"/>
    </row>
    <row r="50" ht="15.75" customHeight="1">
      <c r="A50" s="17" t="s">
        <v>149</v>
      </c>
      <c r="B50" s="29" t="s">
        <v>150</v>
      </c>
      <c r="C50" s="52" t="s">
        <v>151</v>
      </c>
      <c r="D50" s="20"/>
      <c r="E50" s="21" t="s">
        <v>20</v>
      </c>
      <c r="F50" s="32" t="s">
        <v>36</v>
      </c>
      <c r="G50" s="31" t="s">
        <v>122</v>
      </c>
      <c r="H50" s="32"/>
      <c r="I50" s="23">
        <v>220.0</v>
      </c>
      <c r="J50" s="24">
        <f>15960/1.32</f>
        <v>12090.90909</v>
      </c>
      <c r="K50" s="25" t="s">
        <v>38</v>
      </c>
      <c r="L50" s="36"/>
      <c r="M50" s="29" t="s">
        <v>24</v>
      </c>
      <c r="N50" s="27"/>
      <c r="O50" s="21"/>
      <c r="P50" s="28"/>
    </row>
    <row r="51" ht="15.75" customHeight="1">
      <c r="A51" s="17" t="s">
        <v>152</v>
      </c>
      <c r="B51" s="29" t="s">
        <v>153</v>
      </c>
      <c r="C51" s="52" t="s">
        <v>154</v>
      </c>
      <c r="D51" s="20"/>
      <c r="E51" s="21" t="s">
        <v>20</v>
      </c>
      <c r="F51" s="32" t="s">
        <v>36</v>
      </c>
      <c r="G51" s="31" t="s">
        <v>22</v>
      </c>
      <c r="H51" s="32"/>
      <c r="I51" s="23">
        <v>220.0</v>
      </c>
      <c r="J51" s="24">
        <f>39740/1.32</f>
        <v>30106.06061</v>
      </c>
      <c r="K51" s="25" t="s">
        <v>38</v>
      </c>
      <c r="L51" s="55"/>
      <c r="M51" s="29" t="s">
        <v>24</v>
      </c>
      <c r="N51" s="27"/>
      <c r="O51" s="21"/>
      <c r="P51" s="28"/>
    </row>
    <row r="52" ht="15.75" customHeight="1">
      <c r="A52" s="17" t="s">
        <v>155</v>
      </c>
      <c r="B52" s="29" t="s">
        <v>156</v>
      </c>
      <c r="C52" s="52" t="s">
        <v>157</v>
      </c>
      <c r="D52" s="20"/>
      <c r="E52" s="21" t="s">
        <v>20</v>
      </c>
      <c r="F52" s="32" t="s">
        <v>36</v>
      </c>
      <c r="G52" s="31" t="s">
        <v>122</v>
      </c>
      <c r="H52" s="32"/>
      <c r="I52" s="23">
        <v>220.0</v>
      </c>
      <c r="J52" s="24">
        <f>5125</f>
        <v>5125</v>
      </c>
      <c r="K52" s="25" t="s">
        <v>38</v>
      </c>
      <c r="L52" s="46"/>
      <c r="M52" s="29" t="s">
        <v>25</v>
      </c>
      <c r="N52" s="27"/>
      <c r="O52" s="21"/>
      <c r="P52" s="28"/>
    </row>
    <row r="53" ht="15.75" customHeight="1">
      <c r="A53" s="17" t="s">
        <v>158</v>
      </c>
      <c r="B53" s="29" t="s">
        <v>159</v>
      </c>
      <c r="C53" s="52" t="s">
        <v>160</v>
      </c>
      <c r="D53" s="56"/>
      <c r="E53" s="21" t="s">
        <v>20</v>
      </c>
      <c r="F53" s="32" t="s">
        <v>36</v>
      </c>
      <c r="G53" s="31" t="s">
        <v>122</v>
      </c>
      <c r="H53" s="32"/>
      <c r="I53" s="23">
        <v>220.0</v>
      </c>
      <c r="J53" s="24">
        <f>5266</f>
        <v>5266</v>
      </c>
      <c r="K53" s="25" t="s">
        <v>38</v>
      </c>
      <c r="L53" s="36"/>
      <c r="M53" s="29" t="s">
        <v>24</v>
      </c>
      <c r="N53" s="27"/>
      <c r="O53" s="21"/>
      <c r="P53" s="28"/>
    </row>
    <row r="54" ht="15.75" customHeight="1">
      <c r="A54" s="17" t="s">
        <v>158</v>
      </c>
      <c r="B54" s="29" t="s">
        <v>161</v>
      </c>
      <c r="C54" s="52" t="s">
        <v>160</v>
      </c>
      <c r="D54" s="56"/>
      <c r="E54" s="21" t="s">
        <v>20</v>
      </c>
      <c r="F54" s="32" t="s">
        <v>36</v>
      </c>
      <c r="G54" s="31" t="s">
        <v>122</v>
      </c>
      <c r="H54" s="32"/>
      <c r="I54" s="23">
        <v>220.0</v>
      </c>
      <c r="J54" s="24">
        <f>5795</f>
        <v>5795</v>
      </c>
      <c r="K54" s="25" t="s">
        <v>38</v>
      </c>
      <c r="L54" s="36"/>
      <c r="M54" s="29" t="s">
        <v>24</v>
      </c>
      <c r="N54" s="27"/>
      <c r="O54" s="21"/>
      <c r="P54" s="28"/>
    </row>
    <row r="55" ht="15.75" customHeight="1">
      <c r="A55" s="17" t="s">
        <v>162</v>
      </c>
      <c r="B55" s="29" t="s">
        <v>163</v>
      </c>
      <c r="C55" s="52" t="s">
        <v>164</v>
      </c>
      <c r="D55" s="20"/>
      <c r="E55" s="21" t="s">
        <v>20</v>
      </c>
      <c r="F55" s="32" t="s">
        <v>36</v>
      </c>
      <c r="G55" s="31" t="s">
        <v>165</v>
      </c>
      <c r="H55" s="32"/>
      <c r="I55" s="23">
        <v>220.0</v>
      </c>
      <c r="J55" s="24">
        <f>18540/1.32</f>
        <v>14045.45455</v>
      </c>
      <c r="K55" s="25" t="s">
        <v>38</v>
      </c>
      <c r="L55" s="36"/>
      <c r="M55" s="29" t="s">
        <v>25</v>
      </c>
      <c r="N55" s="27"/>
      <c r="O55" s="21"/>
      <c r="P55" s="28"/>
    </row>
    <row r="56" ht="15.75" customHeight="1">
      <c r="A56" s="17" t="s">
        <v>166</v>
      </c>
      <c r="B56" s="29" t="s">
        <v>167</v>
      </c>
      <c r="C56" s="52" t="s">
        <v>168</v>
      </c>
      <c r="D56" s="20"/>
      <c r="E56" s="21" t="s">
        <v>20</v>
      </c>
      <c r="F56" s="32" t="s">
        <v>36</v>
      </c>
      <c r="G56" s="31" t="s">
        <v>122</v>
      </c>
      <c r="H56" s="32"/>
      <c r="I56" s="23">
        <v>220.0</v>
      </c>
      <c r="J56" s="24">
        <f>5640</f>
        <v>5640</v>
      </c>
      <c r="K56" s="25" t="s">
        <v>38</v>
      </c>
      <c r="L56" s="36"/>
      <c r="M56" s="29" t="s">
        <v>25</v>
      </c>
      <c r="N56" s="27"/>
      <c r="O56" s="21"/>
      <c r="P56" s="28"/>
    </row>
    <row r="57" ht="15.75" customHeight="1">
      <c r="A57" s="17" t="s">
        <v>166</v>
      </c>
      <c r="B57" s="29" t="s">
        <v>169</v>
      </c>
      <c r="C57" s="52" t="s">
        <v>170</v>
      </c>
      <c r="D57" s="20"/>
      <c r="E57" s="21" t="s">
        <v>20</v>
      </c>
      <c r="F57" s="32" t="s">
        <v>36</v>
      </c>
      <c r="G57" s="31" t="s">
        <v>122</v>
      </c>
      <c r="H57" s="32"/>
      <c r="I57" s="23">
        <v>220.0</v>
      </c>
      <c r="J57" s="24">
        <f>5050</f>
        <v>5050</v>
      </c>
      <c r="K57" s="25" t="s">
        <v>38</v>
      </c>
      <c r="L57" s="36"/>
      <c r="M57" s="29" t="s">
        <v>25</v>
      </c>
      <c r="N57" s="27"/>
      <c r="O57" s="21"/>
      <c r="P57" s="28"/>
    </row>
    <row r="58" ht="15.75" customHeight="1">
      <c r="A58" s="17" t="s">
        <v>171</v>
      </c>
      <c r="B58" s="29" t="s">
        <v>172</v>
      </c>
      <c r="C58" s="52" t="s">
        <v>173</v>
      </c>
      <c r="D58" s="20"/>
      <c r="E58" s="21" t="s">
        <v>20</v>
      </c>
      <c r="F58" s="32" t="s">
        <v>36</v>
      </c>
      <c r="G58" s="31" t="s">
        <v>122</v>
      </c>
      <c r="H58" s="32"/>
      <c r="I58" s="23">
        <v>220.0</v>
      </c>
      <c r="J58" s="24">
        <f>5000</f>
        <v>5000</v>
      </c>
      <c r="K58" s="25" t="s">
        <v>38</v>
      </c>
      <c r="L58" s="46"/>
      <c r="M58" s="29" t="s">
        <v>24</v>
      </c>
      <c r="N58" s="27"/>
      <c r="O58" s="21"/>
      <c r="P58" s="28"/>
    </row>
    <row r="59" ht="15.75" customHeight="1">
      <c r="A59" s="17" t="s">
        <v>174</v>
      </c>
      <c r="B59" s="29" t="s">
        <v>175</v>
      </c>
      <c r="C59" s="52" t="s">
        <v>176</v>
      </c>
      <c r="D59" s="20"/>
      <c r="E59" s="21" t="s">
        <v>20</v>
      </c>
      <c r="F59" s="32" t="s">
        <v>36</v>
      </c>
      <c r="G59" s="31" t="s">
        <v>50</v>
      </c>
      <c r="H59" s="32"/>
      <c r="I59" s="23">
        <v>220.0</v>
      </c>
      <c r="J59" s="24">
        <f>37000/1.32</f>
        <v>28030.30303</v>
      </c>
      <c r="K59" s="25" t="s">
        <v>38</v>
      </c>
      <c r="L59" s="46"/>
      <c r="M59" s="29" t="s">
        <v>24</v>
      </c>
      <c r="N59" s="27"/>
      <c r="O59" s="21"/>
      <c r="P59" s="28"/>
    </row>
    <row r="60" ht="15.75" customHeight="1">
      <c r="A60" s="17" t="s">
        <v>177</v>
      </c>
      <c r="B60" s="29" t="s">
        <v>178</v>
      </c>
      <c r="C60" s="52" t="s">
        <v>179</v>
      </c>
      <c r="D60" s="20"/>
      <c r="E60" s="21" t="s">
        <v>20</v>
      </c>
      <c r="F60" s="32" t="s">
        <v>36</v>
      </c>
      <c r="G60" s="31" t="s">
        <v>136</v>
      </c>
      <c r="H60" s="32"/>
      <c r="I60" s="23">
        <v>220.0</v>
      </c>
      <c r="J60" s="24">
        <f>12000/1.37</f>
        <v>8759.124088</v>
      </c>
      <c r="K60" s="25" t="s">
        <v>38</v>
      </c>
      <c r="L60" s="36"/>
      <c r="M60" s="29" t="s">
        <v>24</v>
      </c>
      <c r="N60" s="27"/>
      <c r="O60" s="21"/>
      <c r="P60" s="28"/>
    </row>
    <row r="61" ht="15.75" customHeight="1">
      <c r="A61" s="17" t="s">
        <v>180</v>
      </c>
      <c r="B61" s="29">
        <v>186.0</v>
      </c>
      <c r="C61" s="52" t="s">
        <v>181</v>
      </c>
      <c r="D61" s="20"/>
      <c r="E61" s="21" t="s">
        <v>60</v>
      </c>
      <c r="F61" s="32" t="s">
        <v>21</v>
      </c>
      <c r="G61" s="31" t="s">
        <v>54</v>
      </c>
      <c r="H61" s="32"/>
      <c r="I61" s="23">
        <v>220.0</v>
      </c>
      <c r="J61" s="24">
        <v>5955.08</v>
      </c>
      <c r="K61" s="25" t="s">
        <v>23</v>
      </c>
      <c r="L61" s="55" t="s">
        <v>182</v>
      </c>
      <c r="M61" s="29" t="s">
        <v>25</v>
      </c>
      <c r="N61" s="27"/>
      <c r="O61" s="21"/>
      <c r="P61" s="28"/>
    </row>
    <row r="62" ht="15.75" customHeight="1">
      <c r="A62" s="17" t="s">
        <v>183</v>
      </c>
      <c r="B62" s="29" t="s">
        <v>184</v>
      </c>
      <c r="C62" s="52" t="s">
        <v>185</v>
      </c>
      <c r="D62" s="20"/>
      <c r="E62" s="21" t="s">
        <v>20</v>
      </c>
      <c r="F62" s="20" t="s">
        <v>21</v>
      </c>
      <c r="G62" s="31" t="s">
        <v>22</v>
      </c>
      <c r="H62" s="32"/>
      <c r="I62" s="23">
        <v>220.0</v>
      </c>
      <c r="J62" s="24">
        <f>10430/1.49</f>
        <v>7000</v>
      </c>
      <c r="K62" s="25" t="s">
        <v>38</v>
      </c>
      <c r="L62" s="55"/>
      <c r="M62" s="29" t="s">
        <v>24</v>
      </c>
      <c r="N62" s="27"/>
      <c r="O62" s="21"/>
      <c r="P62" s="28"/>
    </row>
    <row r="63" ht="15.75" customHeight="1">
      <c r="A63" s="17" t="s">
        <v>186</v>
      </c>
      <c r="B63" s="29">
        <v>1871.0</v>
      </c>
      <c r="C63" s="53" t="s">
        <v>187</v>
      </c>
      <c r="D63" s="20"/>
      <c r="E63" s="21" t="s">
        <v>20</v>
      </c>
      <c r="F63" s="20" t="s">
        <v>21</v>
      </c>
      <c r="G63" s="31" t="s">
        <v>22</v>
      </c>
      <c r="H63" s="32"/>
      <c r="I63" s="23">
        <v>220.0</v>
      </c>
      <c r="J63" s="24">
        <v>8585.0</v>
      </c>
      <c r="K63" s="25" t="s">
        <v>23</v>
      </c>
      <c r="L63" s="46" t="s">
        <v>188</v>
      </c>
      <c r="M63" s="29" t="s">
        <v>24</v>
      </c>
      <c r="N63" s="27"/>
      <c r="O63" s="21"/>
      <c r="P63" s="28"/>
    </row>
    <row r="64" ht="15.75" customHeight="1">
      <c r="A64" s="57"/>
      <c r="B64" s="58"/>
      <c r="C64" s="20"/>
      <c r="D64" s="20"/>
      <c r="E64" s="20"/>
      <c r="F64" s="32"/>
      <c r="G64" s="31"/>
      <c r="H64" s="32"/>
      <c r="I64" s="59"/>
      <c r="J64" s="60"/>
      <c r="K64" s="61"/>
      <c r="L64" s="55"/>
      <c r="M64" s="62"/>
      <c r="N64" s="63"/>
      <c r="O64" s="21"/>
      <c r="P64" s="28"/>
    </row>
    <row r="65" ht="15.75" customHeight="1">
      <c r="A65" s="57"/>
      <c r="B65" s="58"/>
      <c r="C65" s="20"/>
      <c r="D65" s="20"/>
      <c r="E65" s="20"/>
      <c r="F65" s="32"/>
      <c r="G65" s="31"/>
      <c r="H65" s="32"/>
      <c r="I65" s="59"/>
      <c r="J65" s="60"/>
      <c r="K65" s="61"/>
      <c r="L65" s="36"/>
      <c r="M65" s="62"/>
      <c r="N65" s="63"/>
      <c r="O65" s="21"/>
      <c r="P65" s="28"/>
    </row>
    <row r="66" ht="15.75" customHeight="1">
      <c r="A66" s="57"/>
      <c r="B66" s="58"/>
      <c r="C66" s="20"/>
      <c r="D66" s="20"/>
      <c r="E66" s="20"/>
      <c r="F66" s="32"/>
      <c r="G66" s="31"/>
      <c r="H66" s="32"/>
      <c r="I66" s="59"/>
      <c r="J66" s="60"/>
      <c r="K66" s="61"/>
      <c r="L66" s="36"/>
      <c r="M66" s="62"/>
      <c r="N66" s="63"/>
      <c r="O66" s="21"/>
      <c r="P66" s="28"/>
    </row>
    <row r="67" ht="15.75" customHeight="1">
      <c r="A67" s="57"/>
      <c r="B67" s="58"/>
      <c r="C67" s="20"/>
      <c r="D67" s="20"/>
      <c r="E67" s="20"/>
      <c r="F67" s="32"/>
      <c r="G67" s="31"/>
      <c r="H67" s="32"/>
      <c r="I67" s="59"/>
      <c r="J67" s="60"/>
      <c r="K67" s="61"/>
      <c r="L67" s="55"/>
      <c r="M67" s="62"/>
      <c r="N67" s="63"/>
      <c r="O67" s="21"/>
      <c r="P67" s="28"/>
    </row>
    <row r="68" ht="15.75" customHeight="1">
      <c r="A68" s="57"/>
      <c r="B68" s="58"/>
      <c r="C68" s="20"/>
      <c r="D68" s="20"/>
      <c r="E68" s="20"/>
      <c r="F68" s="32"/>
      <c r="G68" s="31"/>
      <c r="H68" s="32"/>
      <c r="I68" s="59"/>
      <c r="J68" s="60"/>
      <c r="K68" s="61"/>
      <c r="L68" s="36"/>
      <c r="M68" s="62"/>
      <c r="N68" s="63"/>
      <c r="O68" s="21"/>
      <c r="P68" s="28"/>
    </row>
    <row r="69" ht="15.75" customHeight="1">
      <c r="A69" s="57"/>
      <c r="B69" s="58"/>
      <c r="C69" s="20"/>
      <c r="D69" s="20"/>
      <c r="E69" s="20"/>
      <c r="F69" s="32"/>
      <c r="G69" s="31"/>
      <c r="H69" s="32"/>
      <c r="I69" s="59"/>
      <c r="J69" s="60"/>
      <c r="K69" s="61"/>
      <c r="L69" s="36"/>
      <c r="M69" s="62"/>
      <c r="N69" s="63"/>
      <c r="O69" s="21"/>
      <c r="P69" s="28"/>
    </row>
    <row r="70" ht="15.75" customHeight="1">
      <c r="A70" s="57"/>
      <c r="B70" s="58"/>
      <c r="C70" s="20"/>
      <c r="D70" s="20"/>
      <c r="E70" s="20"/>
      <c r="F70" s="32"/>
      <c r="G70" s="31"/>
      <c r="H70" s="32"/>
      <c r="I70" s="59"/>
      <c r="J70" s="60"/>
      <c r="K70" s="61"/>
      <c r="L70" s="55"/>
      <c r="M70" s="62"/>
      <c r="N70" s="63"/>
      <c r="O70" s="21"/>
      <c r="P70" s="28"/>
    </row>
    <row r="71" ht="15.75" customHeight="1">
      <c r="A71" s="57"/>
      <c r="B71" s="58"/>
      <c r="C71" s="20"/>
      <c r="D71" s="20"/>
      <c r="E71" s="20"/>
      <c r="F71" s="32"/>
      <c r="G71" s="31"/>
      <c r="H71" s="32"/>
      <c r="I71" s="59"/>
      <c r="J71" s="60"/>
      <c r="K71" s="61"/>
      <c r="L71" s="55"/>
      <c r="M71" s="62"/>
      <c r="N71" s="63"/>
      <c r="O71" s="21"/>
      <c r="P71" s="28"/>
    </row>
    <row r="72" ht="15.75" customHeight="1">
      <c r="A72" s="57"/>
      <c r="B72" s="58"/>
      <c r="C72" s="20"/>
      <c r="D72" s="20"/>
      <c r="E72" s="20"/>
      <c r="F72" s="32"/>
      <c r="G72" s="31"/>
      <c r="H72" s="32"/>
      <c r="I72" s="59"/>
      <c r="J72" s="60"/>
      <c r="K72" s="61"/>
      <c r="L72" s="36"/>
      <c r="M72" s="62"/>
      <c r="N72" s="63"/>
      <c r="O72" s="21"/>
      <c r="P72" s="28"/>
    </row>
    <row r="73" ht="15.75" customHeight="1">
      <c r="A73" s="57"/>
      <c r="B73" s="58"/>
      <c r="C73" s="20"/>
      <c r="D73" s="20"/>
      <c r="E73" s="20"/>
      <c r="F73" s="32"/>
      <c r="G73" s="31"/>
      <c r="H73" s="32"/>
      <c r="I73" s="59"/>
      <c r="J73" s="60"/>
      <c r="K73" s="61"/>
      <c r="L73" s="36"/>
      <c r="M73" s="62"/>
      <c r="N73" s="63"/>
      <c r="O73" s="21"/>
      <c r="P73" s="28"/>
    </row>
    <row r="74" ht="15.75" customHeight="1">
      <c r="A74" s="57"/>
      <c r="B74" s="58"/>
      <c r="C74" s="20"/>
      <c r="D74" s="20"/>
      <c r="E74" s="20"/>
      <c r="F74" s="32"/>
      <c r="G74" s="31"/>
      <c r="H74" s="32"/>
      <c r="I74" s="59"/>
      <c r="J74" s="60"/>
      <c r="K74" s="61"/>
      <c r="L74" s="46"/>
      <c r="M74" s="62"/>
      <c r="N74" s="63"/>
      <c r="O74" s="21"/>
      <c r="P74" s="28"/>
    </row>
    <row r="75" ht="15.75" customHeight="1">
      <c r="A75" s="57"/>
      <c r="B75" s="58"/>
      <c r="C75" s="20"/>
      <c r="D75" s="20"/>
      <c r="E75" s="20"/>
      <c r="F75" s="32"/>
      <c r="G75" s="31"/>
      <c r="H75" s="32"/>
      <c r="I75" s="59"/>
      <c r="J75" s="60"/>
      <c r="K75" s="61"/>
      <c r="L75" s="36"/>
      <c r="M75" s="62"/>
      <c r="N75" s="63"/>
      <c r="O75" s="21"/>
      <c r="P75" s="28"/>
    </row>
    <row r="76" ht="15.75" customHeight="1">
      <c r="A76" s="57"/>
      <c r="B76" s="58"/>
      <c r="C76" s="20"/>
      <c r="D76" s="20"/>
      <c r="E76" s="20"/>
      <c r="F76" s="32"/>
      <c r="G76" s="31"/>
      <c r="H76" s="32"/>
      <c r="I76" s="59"/>
      <c r="J76" s="60"/>
      <c r="K76" s="61"/>
      <c r="L76" s="36"/>
      <c r="M76" s="62"/>
      <c r="N76" s="63"/>
      <c r="O76" s="21"/>
      <c r="P76" s="28"/>
    </row>
    <row r="77" ht="15.75" customHeight="1">
      <c r="A77" s="57"/>
      <c r="B77" s="58"/>
      <c r="C77" s="20"/>
      <c r="D77" s="20"/>
      <c r="E77" s="20"/>
      <c r="F77" s="32"/>
      <c r="G77" s="31"/>
      <c r="H77" s="32"/>
      <c r="I77" s="59"/>
      <c r="J77" s="60"/>
      <c r="K77" s="61"/>
      <c r="L77" s="36"/>
      <c r="M77" s="62"/>
      <c r="N77" s="63"/>
      <c r="O77" s="21"/>
      <c r="P77" s="28"/>
    </row>
    <row r="78" ht="15.75" customHeight="1">
      <c r="A78" s="57"/>
      <c r="B78" s="58"/>
      <c r="C78" s="20"/>
      <c r="D78" s="20"/>
      <c r="E78" s="20"/>
      <c r="F78" s="32"/>
      <c r="G78" s="31"/>
      <c r="H78" s="32"/>
      <c r="I78" s="59"/>
      <c r="J78" s="60"/>
      <c r="K78" s="61"/>
      <c r="L78" s="36"/>
      <c r="M78" s="62"/>
      <c r="N78" s="63"/>
      <c r="O78" s="21"/>
      <c r="P78" s="28"/>
    </row>
    <row r="79" ht="15.75" customHeight="1">
      <c r="A79" s="57"/>
      <c r="B79" s="58"/>
      <c r="C79" s="20"/>
      <c r="D79" s="20"/>
      <c r="E79" s="20"/>
      <c r="F79" s="32"/>
      <c r="G79" s="31"/>
      <c r="H79" s="32"/>
      <c r="I79" s="59"/>
      <c r="J79" s="60"/>
      <c r="K79" s="61"/>
      <c r="L79" s="36"/>
      <c r="M79" s="62"/>
      <c r="N79" s="63"/>
      <c r="O79" s="21"/>
      <c r="P79" s="28"/>
    </row>
    <row r="80" ht="15.75" customHeight="1">
      <c r="A80" s="57"/>
      <c r="B80" s="58"/>
      <c r="C80" s="20"/>
      <c r="D80" s="20"/>
      <c r="E80" s="20"/>
      <c r="F80" s="32"/>
      <c r="G80" s="31"/>
      <c r="H80" s="32"/>
      <c r="I80" s="59"/>
      <c r="J80" s="60"/>
      <c r="K80" s="61"/>
      <c r="L80" s="46"/>
      <c r="M80" s="62"/>
      <c r="N80" s="63"/>
      <c r="O80" s="21"/>
      <c r="P80" s="28"/>
    </row>
    <row r="81" ht="15.75" customHeight="1">
      <c r="A81" s="57"/>
      <c r="B81" s="58"/>
      <c r="C81" s="20"/>
      <c r="D81" s="20"/>
      <c r="E81" s="20"/>
      <c r="F81" s="32"/>
      <c r="G81" s="31"/>
      <c r="H81" s="32"/>
      <c r="I81" s="59"/>
      <c r="J81" s="60"/>
      <c r="K81" s="61"/>
      <c r="L81" s="36"/>
      <c r="M81" s="62"/>
      <c r="N81" s="63"/>
      <c r="O81" s="21"/>
      <c r="P81" s="28"/>
    </row>
    <row r="82" ht="15.75" customHeight="1">
      <c r="A82" s="57"/>
      <c r="B82" s="58"/>
      <c r="C82" s="20"/>
      <c r="D82" s="20"/>
      <c r="E82" s="20"/>
      <c r="F82" s="32"/>
      <c r="G82" s="31"/>
      <c r="H82" s="32"/>
      <c r="I82" s="59"/>
      <c r="J82" s="60"/>
      <c r="K82" s="61"/>
      <c r="L82" s="36"/>
      <c r="M82" s="62"/>
      <c r="N82" s="63"/>
      <c r="O82" s="21"/>
      <c r="P82" s="28"/>
    </row>
    <row r="83" ht="15.75" customHeight="1">
      <c r="A83" s="57"/>
      <c r="B83" s="58"/>
      <c r="C83" s="20"/>
      <c r="D83" s="20"/>
      <c r="E83" s="20"/>
      <c r="F83" s="32"/>
      <c r="G83" s="31"/>
      <c r="H83" s="32"/>
      <c r="I83" s="59"/>
      <c r="J83" s="60"/>
      <c r="K83" s="61"/>
      <c r="L83" s="46"/>
      <c r="M83" s="62"/>
      <c r="N83" s="63"/>
      <c r="O83" s="21"/>
      <c r="P83" s="28"/>
    </row>
    <row r="84" ht="15.75" customHeight="1">
      <c r="A84" s="57"/>
      <c r="B84" s="58"/>
      <c r="C84" s="20"/>
      <c r="D84" s="20"/>
      <c r="E84" s="20"/>
      <c r="F84" s="32"/>
      <c r="G84" s="31"/>
      <c r="H84" s="32"/>
      <c r="I84" s="59"/>
      <c r="J84" s="60"/>
      <c r="K84" s="61"/>
      <c r="L84" s="36"/>
      <c r="M84" s="62"/>
      <c r="N84" s="63"/>
      <c r="O84" s="21"/>
      <c r="P84" s="28"/>
    </row>
    <row r="85" ht="15.75" customHeight="1">
      <c r="A85" s="57"/>
      <c r="B85" s="58"/>
      <c r="C85" s="20"/>
      <c r="D85" s="20"/>
      <c r="E85" s="20"/>
      <c r="F85" s="32"/>
      <c r="G85" s="31"/>
      <c r="H85" s="32"/>
      <c r="I85" s="59"/>
      <c r="J85" s="60"/>
      <c r="K85" s="61"/>
      <c r="L85" s="46"/>
      <c r="M85" s="62"/>
      <c r="N85" s="63"/>
      <c r="O85" s="21"/>
      <c r="P85" s="28"/>
    </row>
    <row r="86" ht="15.75" customHeight="1">
      <c r="A86" s="57"/>
      <c r="B86" s="58"/>
      <c r="C86" s="20"/>
      <c r="D86" s="20"/>
      <c r="E86" s="20"/>
      <c r="F86" s="32"/>
      <c r="G86" s="31"/>
      <c r="H86" s="32"/>
      <c r="I86" s="59"/>
      <c r="J86" s="60"/>
      <c r="K86" s="61"/>
      <c r="L86" s="55"/>
      <c r="M86" s="62"/>
      <c r="N86" s="63"/>
      <c r="O86" s="21"/>
      <c r="P86" s="28"/>
    </row>
    <row r="87" ht="15.75" customHeight="1">
      <c r="A87" s="57"/>
      <c r="B87" s="58"/>
      <c r="C87" s="20"/>
      <c r="D87" s="20"/>
      <c r="E87" s="20"/>
      <c r="F87" s="32"/>
      <c r="G87" s="31"/>
      <c r="H87" s="32"/>
      <c r="I87" s="59"/>
      <c r="J87" s="60"/>
      <c r="K87" s="61"/>
      <c r="L87" s="55"/>
      <c r="M87" s="62"/>
      <c r="N87" s="63"/>
      <c r="O87" s="21"/>
      <c r="P87" s="28"/>
    </row>
    <row r="88" ht="15.75" customHeight="1">
      <c r="A88" s="57"/>
      <c r="B88" s="58"/>
      <c r="C88" s="20"/>
      <c r="D88" s="20"/>
      <c r="E88" s="20"/>
      <c r="F88" s="32"/>
      <c r="G88" s="31"/>
      <c r="H88" s="32"/>
      <c r="I88" s="59"/>
      <c r="J88" s="60"/>
      <c r="K88" s="61"/>
      <c r="L88" s="46"/>
      <c r="M88" s="62"/>
      <c r="N88" s="63"/>
      <c r="O88" s="21"/>
      <c r="P88" s="28"/>
    </row>
    <row r="89" ht="15.75" customHeight="1">
      <c r="A89" s="57"/>
      <c r="B89" s="58"/>
      <c r="C89" s="20"/>
      <c r="D89" s="20"/>
      <c r="E89" s="20"/>
      <c r="F89" s="32"/>
      <c r="G89" s="31"/>
      <c r="H89" s="32"/>
      <c r="I89" s="59"/>
      <c r="J89" s="60"/>
      <c r="K89" s="61"/>
      <c r="L89" s="36"/>
      <c r="M89" s="62"/>
      <c r="N89" s="63"/>
      <c r="O89" s="21"/>
      <c r="P89" s="28"/>
    </row>
    <row r="90" ht="15.75" customHeight="1">
      <c r="A90" s="57"/>
      <c r="B90" s="58"/>
      <c r="C90" s="20"/>
      <c r="D90" s="20"/>
      <c r="E90" s="20"/>
      <c r="F90" s="32"/>
      <c r="G90" s="31"/>
      <c r="H90" s="32"/>
      <c r="I90" s="59"/>
      <c r="J90" s="60"/>
      <c r="K90" s="61"/>
      <c r="L90" s="36"/>
      <c r="M90" s="62"/>
      <c r="N90" s="63"/>
      <c r="O90" s="21"/>
      <c r="P90" s="28"/>
    </row>
    <row r="91" ht="15.75" customHeight="1">
      <c r="A91" s="57"/>
      <c r="B91" s="58"/>
      <c r="C91" s="20"/>
      <c r="D91" s="20"/>
      <c r="E91" s="20"/>
      <c r="F91" s="32"/>
      <c r="G91" s="31"/>
      <c r="H91" s="32"/>
      <c r="I91" s="59"/>
      <c r="J91" s="60"/>
      <c r="K91" s="61"/>
      <c r="L91" s="46"/>
      <c r="M91" s="62"/>
      <c r="N91" s="63"/>
      <c r="O91" s="21"/>
      <c r="P91" s="28"/>
    </row>
    <row r="92" ht="15.75" customHeight="1">
      <c r="A92" s="57"/>
      <c r="B92" s="64"/>
      <c r="C92" s="20"/>
      <c r="D92" s="20"/>
      <c r="E92" s="20"/>
      <c r="F92" s="32"/>
      <c r="G92" s="31"/>
      <c r="H92" s="32"/>
      <c r="I92" s="59"/>
      <c r="J92" s="60"/>
      <c r="K92" s="61"/>
      <c r="L92" s="46"/>
      <c r="M92" s="62"/>
      <c r="N92" s="63"/>
      <c r="O92" s="21"/>
      <c r="P92" s="28"/>
    </row>
    <row r="93" ht="15.75" customHeight="1">
      <c r="A93" s="57"/>
      <c r="B93" s="58"/>
      <c r="C93" s="65"/>
      <c r="D93" s="20"/>
      <c r="E93" s="20"/>
      <c r="F93" s="32"/>
      <c r="G93" s="31"/>
      <c r="H93" s="32"/>
      <c r="I93" s="59"/>
      <c r="J93" s="60"/>
      <c r="K93" s="61"/>
      <c r="L93" s="36"/>
      <c r="M93" s="62"/>
      <c r="N93" s="63"/>
      <c r="O93" s="21"/>
      <c r="P93" s="28"/>
    </row>
    <row r="94" ht="15.75" customHeight="1">
      <c r="A94" s="57"/>
      <c r="B94" s="58"/>
      <c r="C94" s="65"/>
      <c r="D94" s="20"/>
      <c r="E94" s="20"/>
      <c r="F94" s="32"/>
      <c r="G94" s="31"/>
      <c r="H94" s="32"/>
      <c r="I94" s="59"/>
      <c r="J94" s="60"/>
      <c r="K94" s="61"/>
      <c r="L94" s="46"/>
      <c r="M94" s="62"/>
      <c r="N94" s="63"/>
      <c r="O94" s="21"/>
      <c r="P94" s="28"/>
    </row>
    <row r="95" ht="15.75" customHeight="1">
      <c r="A95" s="57"/>
      <c r="B95" s="58"/>
      <c r="C95" s="65"/>
      <c r="D95" s="20"/>
      <c r="E95" s="20"/>
      <c r="F95" s="32"/>
      <c r="G95" s="31"/>
      <c r="H95" s="32"/>
      <c r="I95" s="59"/>
      <c r="J95" s="60"/>
      <c r="K95" s="61"/>
      <c r="L95" s="36"/>
      <c r="M95" s="62"/>
      <c r="N95" s="63"/>
      <c r="O95" s="21"/>
      <c r="P95" s="28"/>
    </row>
    <row r="96" ht="15.75" customHeight="1">
      <c r="A96" s="57"/>
      <c r="B96" s="58"/>
      <c r="C96" s="20"/>
      <c r="D96" s="20"/>
      <c r="E96" s="20"/>
      <c r="F96" s="32"/>
      <c r="G96" s="31"/>
      <c r="H96" s="32"/>
      <c r="I96" s="59"/>
      <c r="J96" s="60"/>
      <c r="K96" s="61"/>
      <c r="L96" s="46"/>
      <c r="M96" s="62"/>
      <c r="N96" s="63"/>
      <c r="O96" s="21"/>
      <c r="P96" s="28"/>
    </row>
    <row r="97" ht="15.75" customHeight="1">
      <c r="A97" s="57"/>
      <c r="B97" s="58"/>
      <c r="C97" s="20"/>
      <c r="D97" s="20"/>
      <c r="E97" s="20"/>
      <c r="F97" s="32"/>
      <c r="G97" s="31"/>
      <c r="H97" s="32"/>
      <c r="I97" s="59"/>
      <c r="J97" s="60"/>
      <c r="K97" s="61"/>
      <c r="L97" s="55"/>
      <c r="M97" s="62"/>
      <c r="N97" s="63"/>
      <c r="O97" s="21"/>
      <c r="P97" s="28"/>
    </row>
    <row r="98" ht="15.75" customHeight="1">
      <c r="A98" s="57"/>
      <c r="B98" s="58"/>
      <c r="C98" s="20"/>
      <c r="D98" s="20"/>
      <c r="E98" s="20"/>
      <c r="F98" s="32"/>
      <c r="G98" s="31"/>
      <c r="H98" s="32"/>
      <c r="I98" s="59"/>
      <c r="J98" s="60"/>
      <c r="K98" s="61"/>
      <c r="L98" s="46"/>
      <c r="M98" s="62"/>
      <c r="N98" s="63"/>
      <c r="O98" s="21"/>
      <c r="P98" s="28"/>
    </row>
    <row r="99" ht="15.75" customHeight="1">
      <c r="A99" s="57"/>
      <c r="B99" s="58"/>
      <c r="C99" s="20"/>
      <c r="D99" s="20"/>
      <c r="E99" s="20"/>
      <c r="F99" s="32"/>
      <c r="G99" s="31"/>
      <c r="H99" s="32"/>
      <c r="I99" s="59"/>
      <c r="J99" s="60"/>
      <c r="K99" s="61"/>
      <c r="L99" s="36"/>
      <c r="M99" s="62"/>
      <c r="N99" s="63"/>
      <c r="O99" s="21"/>
      <c r="P99" s="28"/>
    </row>
    <row r="100" ht="15.75" customHeight="1">
      <c r="A100" s="57"/>
      <c r="B100" s="58"/>
      <c r="C100" s="20"/>
      <c r="D100" s="20"/>
      <c r="E100" s="20"/>
      <c r="F100" s="32"/>
      <c r="G100" s="31"/>
      <c r="H100" s="32"/>
      <c r="I100" s="59"/>
      <c r="J100" s="60"/>
      <c r="K100" s="61"/>
      <c r="L100" s="46"/>
      <c r="M100" s="62"/>
      <c r="N100" s="63"/>
      <c r="O100" s="21"/>
      <c r="P100" s="28"/>
    </row>
    <row r="101" ht="15.75" customHeight="1">
      <c r="A101" s="57"/>
      <c r="B101" s="58"/>
      <c r="C101" s="20"/>
      <c r="D101" s="20"/>
      <c r="E101" s="20"/>
      <c r="F101" s="32"/>
      <c r="G101" s="31"/>
      <c r="H101" s="32"/>
      <c r="I101" s="59"/>
      <c r="J101" s="60"/>
      <c r="K101" s="61"/>
      <c r="L101" s="36"/>
      <c r="M101" s="62"/>
      <c r="N101" s="63"/>
      <c r="O101" s="21"/>
      <c r="P101" s="28"/>
    </row>
    <row r="102" ht="15.75" customHeight="1">
      <c r="A102" s="57"/>
      <c r="B102" s="58"/>
      <c r="C102" s="20"/>
      <c r="D102" s="20"/>
      <c r="E102" s="20"/>
      <c r="F102" s="32"/>
      <c r="G102" s="31"/>
      <c r="H102" s="32"/>
      <c r="I102" s="59"/>
      <c r="J102" s="60"/>
      <c r="K102" s="61"/>
      <c r="L102" s="36"/>
      <c r="M102" s="62"/>
      <c r="N102" s="63"/>
      <c r="O102" s="21"/>
      <c r="P102" s="28"/>
    </row>
    <row r="103" ht="15.75" customHeight="1">
      <c r="A103" s="57"/>
      <c r="B103" s="64"/>
      <c r="C103" s="20"/>
      <c r="D103" s="20"/>
      <c r="E103" s="20"/>
      <c r="F103" s="32"/>
      <c r="G103" s="31"/>
      <c r="H103" s="32"/>
      <c r="I103" s="59"/>
      <c r="J103" s="60"/>
      <c r="K103" s="61"/>
      <c r="L103" s="55"/>
      <c r="M103" s="62"/>
      <c r="N103" s="63"/>
      <c r="O103" s="21"/>
      <c r="P103" s="28"/>
    </row>
    <row r="104" ht="15.75" customHeight="1">
      <c r="A104" s="57"/>
      <c r="B104" s="58"/>
      <c r="C104" s="20"/>
      <c r="D104" s="20"/>
      <c r="E104" s="20"/>
      <c r="F104" s="32"/>
      <c r="G104" s="31"/>
      <c r="H104" s="32"/>
      <c r="I104" s="59"/>
      <c r="J104" s="60"/>
      <c r="K104" s="61"/>
      <c r="L104" s="55"/>
      <c r="M104" s="62"/>
      <c r="N104" s="63"/>
      <c r="O104" s="21"/>
      <c r="P104" s="28"/>
    </row>
    <row r="105" ht="15.75" customHeight="1">
      <c r="A105" s="57"/>
      <c r="B105" s="58"/>
      <c r="C105" s="20"/>
      <c r="D105" s="20"/>
      <c r="E105" s="20"/>
      <c r="F105" s="32"/>
      <c r="G105" s="31"/>
      <c r="H105" s="32"/>
      <c r="I105" s="59"/>
      <c r="J105" s="60"/>
      <c r="K105" s="61"/>
      <c r="L105" s="46"/>
      <c r="M105" s="62"/>
      <c r="N105" s="63"/>
      <c r="O105" s="21"/>
      <c r="P105" s="28"/>
    </row>
    <row r="106" ht="15.75" customHeight="1">
      <c r="A106" s="57"/>
      <c r="B106" s="58"/>
      <c r="C106" s="20"/>
      <c r="D106" s="20"/>
      <c r="E106" s="20"/>
      <c r="F106" s="32"/>
      <c r="G106" s="31"/>
      <c r="H106" s="32"/>
      <c r="I106" s="59"/>
      <c r="J106" s="60"/>
      <c r="K106" s="61"/>
      <c r="L106" s="55"/>
      <c r="M106" s="62"/>
      <c r="N106" s="63"/>
      <c r="O106" s="21"/>
      <c r="P106" s="28"/>
    </row>
    <row r="107" ht="15.75" customHeight="1">
      <c r="A107" s="57"/>
      <c r="B107" s="58"/>
      <c r="C107" s="20"/>
      <c r="D107" s="20"/>
      <c r="E107" s="20"/>
      <c r="F107" s="32"/>
      <c r="G107" s="31"/>
      <c r="H107" s="32"/>
      <c r="I107" s="59"/>
      <c r="J107" s="60"/>
      <c r="K107" s="61"/>
      <c r="L107" s="46"/>
      <c r="M107" s="62"/>
      <c r="N107" s="63"/>
      <c r="O107" s="21"/>
      <c r="P107" s="28"/>
    </row>
    <row r="108" ht="15.75" customHeight="1">
      <c r="A108" s="57"/>
      <c r="B108" s="64"/>
      <c r="C108" s="20"/>
      <c r="D108" s="20"/>
      <c r="E108" s="20"/>
      <c r="F108" s="66"/>
      <c r="G108" s="31"/>
      <c r="H108" s="66"/>
      <c r="I108" s="59"/>
      <c r="J108" s="60"/>
      <c r="K108" s="61"/>
      <c r="L108" s="46"/>
      <c r="M108" s="62"/>
      <c r="N108" s="63"/>
      <c r="O108" s="21"/>
      <c r="P108" s="28"/>
    </row>
    <row r="109" ht="15.75" customHeight="1">
      <c r="A109" s="57"/>
      <c r="B109" s="58"/>
      <c r="C109" s="20"/>
      <c r="D109" s="56"/>
      <c r="E109" s="20"/>
      <c r="F109" s="32"/>
      <c r="G109" s="31"/>
      <c r="H109" s="32"/>
      <c r="I109" s="59"/>
      <c r="J109" s="67"/>
      <c r="K109" s="61"/>
      <c r="L109" s="55"/>
      <c r="M109" s="62"/>
      <c r="N109" s="63"/>
      <c r="O109" s="21"/>
      <c r="P109" s="28"/>
    </row>
    <row r="110" ht="15.75" customHeight="1">
      <c r="A110" s="57"/>
      <c r="B110" s="58"/>
      <c r="C110" s="20"/>
      <c r="D110" s="20"/>
      <c r="E110" s="20"/>
      <c r="F110" s="32"/>
      <c r="G110" s="31"/>
      <c r="H110" s="32"/>
      <c r="I110" s="59"/>
      <c r="J110" s="60"/>
      <c r="K110" s="61"/>
      <c r="L110" s="36"/>
      <c r="M110" s="62"/>
      <c r="N110" s="63"/>
      <c r="O110" s="21"/>
      <c r="P110" s="28"/>
    </row>
    <row r="111" ht="15.75" customHeight="1">
      <c r="A111" s="57"/>
      <c r="B111" s="58"/>
      <c r="C111" s="20"/>
      <c r="D111" s="20"/>
      <c r="E111" s="20"/>
      <c r="F111" s="32"/>
      <c r="G111" s="31"/>
      <c r="H111" s="32"/>
      <c r="I111" s="59"/>
      <c r="J111" s="60"/>
      <c r="K111" s="61"/>
      <c r="L111" s="46"/>
      <c r="M111" s="62"/>
      <c r="N111" s="63"/>
      <c r="O111" s="21"/>
      <c r="P111" s="28"/>
    </row>
    <row r="112" ht="15.75" customHeight="1">
      <c r="A112" s="57"/>
      <c r="B112" s="58"/>
      <c r="C112" s="20"/>
      <c r="D112" s="20"/>
      <c r="E112" s="20"/>
      <c r="F112" s="32"/>
      <c r="G112" s="31"/>
      <c r="H112" s="32"/>
      <c r="I112" s="59"/>
      <c r="J112" s="60"/>
      <c r="K112" s="61"/>
      <c r="L112" s="46"/>
      <c r="M112" s="62"/>
      <c r="N112" s="63"/>
      <c r="O112" s="21"/>
      <c r="P112" s="28"/>
    </row>
    <row r="113" ht="15.75" customHeight="1">
      <c r="A113" s="57"/>
      <c r="B113" s="58"/>
      <c r="C113" s="20"/>
      <c r="D113" s="20"/>
      <c r="E113" s="20"/>
      <c r="F113" s="32"/>
      <c r="G113" s="31"/>
      <c r="H113" s="32"/>
      <c r="I113" s="59"/>
      <c r="J113" s="60"/>
      <c r="K113" s="61"/>
      <c r="L113" s="55"/>
      <c r="M113" s="62"/>
      <c r="N113" s="63"/>
      <c r="O113" s="21"/>
      <c r="P113" s="28"/>
    </row>
    <row r="114" ht="15.75" customHeight="1">
      <c r="A114" s="57"/>
      <c r="B114" s="58"/>
      <c r="C114" s="20"/>
      <c r="D114" s="20"/>
      <c r="E114" s="20"/>
      <c r="F114" s="32"/>
      <c r="G114" s="31"/>
      <c r="H114" s="32"/>
      <c r="I114" s="59"/>
      <c r="J114" s="60"/>
      <c r="K114" s="61"/>
      <c r="L114" s="46"/>
      <c r="M114" s="62"/>
      <c r="N114" s="63"/>
      <c r="O114" s="21"/>
      <c r="P114" s="28"/>
    </row>
    <row r="115" ht="15.75" customHeight="1">
      <c r="A115" s="57"/>
      <c r="B115" s="58"/>
      <c r="C115" s="20"/>
      <c r="D115" s="20"/>
      <c r="E115" s="20"/>
      <c r="F115" s="32"/>
      <c r="G115" s="31"/>
      <c r="H115" s="32"/>
      <c r="I115" s="59"/>
      <c r="J115" s="60"/>
      <c r="K115" s="61"/>
      <c r="L115" s="46"/>
      <c r="M115" s="62"/>
      <c r="N115" s="63"/>
      <c r="O115" s="21"/>
      <c r="P115" s="28"/>
    </row>
    <row r="116" ht="15.75" customHeight="1">
      <c r="A116" s="57"/>
      <c r="B116" s="58"/>
      <c r="C116" s="20"/>
      <c r="D116" s="20"/>
      <c r="E116" s="20"/>
      <c r="F116" s="32"/>
      <c r="G116" s="31"/>
      <c r="H116" s="32"/>
      <c r="I116" s="59"/>
      <c r="J116" s="60"/>
      <c r="K116" s="61"/>
      <c r="L116" s="55"/>
      <c r="M116" s="62"/>
      <c r="N116" s="63"/>
      <c r="O116" s="21"/>
      <c r="P116" s="28"/>
    </row>
    <row r="117" ht="15.75" customHeight="1">
      <c r="A117" s="57"/>
      <c r="B117" s="58"/>
      <c r="C117" s="20"/>
      <c r="D117" s="20"/>
      <c r="E117" s="20"/>
      <c r="F117" s="32"/>
      <c r="G117" s="31"/>
      <c r="H117" s="32"/>
      <c r="I117" s="59"/>
      <c r="J117" s="60"/>
      <c r="K117" s="61"/>
      <c r="L117" s="46"/>
      <c r="M117" s="62"/>
      <c r="N117" s="63"/>
      <c r="O117" s="21"/>
      <c r="P117" s="28"/>
    </row>
    <row r="118" ht="15.75" customHeight="1">
      <c r="A118" s="57"/>
      <c r="B118" s="58"/>
      <c r="C118" s="20"/>
      <c r="D118" s="20"/>
      <c r="E118" s="20"/>
      <c r="F118" s="32"/>
      <c r="G118" s="31"/>
      <c r="H118" s="32"/>
      <c r="I118" s="59"/>
      <c r="J118" s="60"/>
      <c r="K118" s="61"/>
      <c r="L118" s="46"/>
      <c r="M118" s="62"/>
      <c r="N118" s="63"/>
      <c r="O118" s="21"/>
      <c r="P118" s="28"/>
    </row>
    <row r="119" ht="15.75" customHeight="1">
      <c r="A119" s="57"/>
      <c r="B119" s="58"/>
      <c r="C119" s="20"/>
      <c r="D119" s="20"/>
      <c r="E119" s="20"/>
      <c r="F119" s="32"/>
      <c r="G119" s="31"/>
      <c r="H119" s="32"/>
      <c r="I119" s="59"/>
      <c r="J119" s="60"/>
      <c r="K119" s="61"/>
      <c r="L119" s="36"/>
      <c r="M119" s="62"/>
      <c r="N119" s="63"/>
      <c r="O119" s="21"/>
      <c r="P119" s="28"/>
    </row>
    <row r="120" ht="15.75" customHeight="1">
      <c r="A120" s="57"/>
      <c r="B120" s="64"/>
      <c r="C120" s="20"/>
      <c r="D120" s="20"/>
      <c r="E120" s="20"/>
      <c r="F120" s="32"/>
      <c r="G120" s="31"/>
      <c r="H120" s="32"/>
      <c r="I120" s="59"/>
      <c r="J120" s="60"/>
      <c r="K120" s="61"/>
      <c r="L120" s="46"/>
      <c r="M120" s="62"/>
      <c r="N120" s="63"/>
      <c r="O120" s="21"/>
      <c r="P120" s="28"/>
    </row>
    <row r="121" ht="15.75" customHeight="1">
      <c r="A121" s="57"/>
      <c r="B121" s="64"/>
      <c r="C121" s="20"/>
      <c r="D121" s="20"/>
      <c r="E121" s="20"/>
      <c r="F121" s="66"/>
      <c r="G121" s="31"/>
      <c r="H121" s="66"/>
      <c r="I121" s="59"/>
      <c r="J121" s="60"/>
      <c r="K121" s="61"/>
      <c r="L121" s="46"/>
      <c r="M121" s="62"/>
      <c r="N121" s="63"/>
      <c r="O121" s="21"/>
      <c r="P121" s="28"/>
    </row>
    <row r="122" ht="15.75" customHeight="1">
      <c r="A122" s="57"/>
      <c r="B122" s="58"/>
      <c r="C122" s="20"/>
      <c r="D122" s="20"/>
      <c r="E122" s="20"/>
      <c r="F122" s="32"/>
      <c r="G122" s="31"/>
      <c r="H122" s="32"/>
      <c r="I122" s="59"/>
      <c r="J122" s="28"/>
      <c r="K122" s="61"/>
      <c r="L122" s="36"/>
      <c r="M122" s="62"/>
      <c r="N122" s="63"/>
      <c r="O122" s="21"/>
      <c r="P122" s="28"/>
    </row>
    <row r="123" ht="15.75" customHeight="1">
      <c r="A123" s="57"/>
      <c r="B123" s="58"/>
      <c r="C123" s="20"/>
      <c r="D123" s="20"/>
      <c r="E123" s="20"/>
      <c r="F123" s="32"/>
      <c r="G123" s="31"/>
      <c r="H123" s="32"/>
      <c r="I123" s="59"/>
      <c r="J123" s="28"/>
      <c r="K123" s="61"/>
      <c r="L123" s="36"/>
      <c r="M123" s="62"/>
      <c r="N123" s="63"/>
      <c r="O123" s="21"/>
      <c r="P123" s="28"/>
    </row>
    <row r="124" ht="15.75" customHeight="1">
      <c r="A124" s="57"/>
      <c r="B124" s="58"/>
      <c r="C124" s="20"/>
      <c r="D124" s="20"/>
      <c r="E124" s="20"/>
      <c r="F124" s="32"/>
      <c r="G124" s="31"/>
      <c r="H124" s="32"/>
      <c r="I124" s="59"/>
      <c r="J124" s="68"/>
      <c r="K124" s="61"/>
      <c r="L124" s="46"/>
      <c r="M124" s="62"/>
      <c r="N124" s="63"/>
      <c r="O124" s="21"/>
      <c r="P124" s="28"/>
    </row>
    <row r="125" ht="15.75" customHeight="1">
      <c r="A125" s="57"/>
      <c r="B125" s="58"/>
      <c r="C125" s="20"/>
      <c r="D125" s="20"/>
      <c r="E125" s="20"/>
      <c r="F125" s="32"/>
      <c r="G125" s="31"/>
      <c r="H125" s="32"/>
      <c r="I125" s="59"/>
      <c r="J125" s="28"/>
      <c r="K125" s="61"/>
      <c r="L125" s="36"/>
      <c r="M125" s="62"/>
      <c r="N125" s="63"/>
      <c r="O125" s="21"/>
      <c r="P125" s="28"/>
    </row>
    <row r="126" ht="15.75" customHeight="1">
      <c r="A126" s="57"/>
      <c r="B126" s="58"/>
      <c r="C126" s="20"/>
      <c r="D126" s="20"/>
      <c r="E126" s="20"/>
      <c r="F126" s="32"/>
      <c r="G126" s="31"/>
      <c r="H126" s="32"/>
      <c r="I126" s="59"/>
      <c r="J126" s="68"/>
      <c r="K126" s="61"/>
      <c r="L126" s="36"/>
      <c r="M126" s="62"/>
      <c r="N126" s="63"/>
      <c r="O126" s="21"/>
      <c r="P126" s="28"/>
    </row>
    <row r="127" ht="15.75" customHeight="1">
      <c r="A127" s="57"/>
      <c r="B127" s="58"/>
      <c r="C127" s="20"/>
      <c r="D127" s="20"/>
      <c r="E127" s="20"/>
      <c r="F127" s="32"/>
      <c r="G127" s="31"/>
      <c r="H127" s="32"/>
      <c r="I127" s="59"/>
      <c r="J127" s="28"/>
      <c r="K127" s="61"/>
      <c r="L127" s="36"/>
      <c r="M127" s="62"/>
      <c r="N127" s="63"/>
      <c r="O127" s="21"/>
      <c r="P127" s="28"/>
    </row>
    <row r="128" ht="15.75" customHeight="1">
      <c r="A128" s="57"/>
      <c r="B128" s="58"/>
      <c r="C128" s="20"/>
      <c r="D128" s="20"/>
      <c r="E128" s="20"/>
      <c r="F128" s="32"/>
      <c r="G128" s="31"/>
      <c r="H128" s="32"/>
      <c r="I128" s="59"/>
      <c r="J128" s="69"/>
      <c r="K128" s="61"/>
      <c r="L128" s="36"/>
      <c r="M128" s="62"/>
      <c r="N128" s="63"/>
      <c r="O128" s="21"/>
      <c r="P128" s="28"/>
    </row>
    <row r="129" ht="15.75" customHeight="1">
      <c r="A129" s="57"/>
      <c r="B129" s="58"/>
      <c r="C129" s="20"/>
      <c r="D129" s="20"/>
      <c r="E129" s="20"/>
      <c r="F129" s="32"/>
      <c r="G129" s="31"/>
      <c r="H129" s="32"/>
      <c r="I129" s="59"/>
      <c r="J129" s="70"/>
      <c r="K129" s="61"/>
      <c r="L129" s="36"/>
      <c r="M129" s="62"/>
      <c r="N129" s="63"/>
      <c r="O129" s="21"/>
      <c r="P129" s="28"/>
    </row>
    <row r="130" ht="15.75" customHeight="1">
      <c r="A130" s="57"/>
      <c r="B130" s="58"/>
      <c r="C130" s="20"/>
      <c r="D130" s="20"/>
      <c r="E130" s="20"/>
      <c r="F130" s="32"/>
      <c r="G130" s="31"/>
      <c r="H130" s="32"/>
      <c r="I130" s="59"/>
      <c r="J130" s="28"/>
      <c r="K130" s="61"/>
      <c r="L130" s="36"/>
      <c r="M130" s="62"/>
      <c r="N130" s="63"/>
      <c r="O130" s="21"/>
      <c r="P130" s="28"/>
    </row>
    <row r="131" ht="15.75" customHeight="1">
      <c r="A131" s="57"/>
      <c r="B131" s="58"/>
      <c r="C131" s="20"/>
      <c r="D131" s="20"/>
      <c r="E131" s="20"/>
      <c r="F131" s="32"/>
      <c r="G131" s="31"/>
      <c r="H131" s="32"/>
      <c r="I131" s="59"/>
      <c r="J131" s="70"/>
      <c r="K131" s="61"/>
      <c r="L131" s="55"/>
      <c r="M131" s="62"/>
      <c r="N131" s="63"/>
      <c r="O131" s="21"/>
      <c r="P131" s="28"/>
    </row>
    <row r="132" ht="15.75" customHeight="1">
      <c r="A132" s="57"/>
      <c r="B132" s="58"/>
      <c r="C132" s="20"/>
      <c r="D132" s="20"/>
      <c r="E132" s="20"/>
      <c r="F132" s="32"/>
      <c r="G132" s="31"/>
      <c r="H132" s="32"/>
      <c r="I132" s="59"/>
      <c r="J132" s="28"/>
      <c r="K132" s="61"/>
      <c r="L132" s="36"/>
      <c r="M132" s="62"/>
      <c r="N132" s="63"/>
      <c r="O132" s="21"/>
      <c r="P132" s="28"/>
    </row>
    <row r="133" ht="15.75" customHeight="1">
      <c r="A133" s="57"/>
      <c r="B133" s="58"/>
      <c r="C133" s="20"/>
      <c r="D133" s="20"/>
      <c r="E133" s="20"/>
      <c r="F133" s="32"/>
      <c r="G133" s="31"/>
      <c r="H133" s="32"/>
      <c r="I133" s="59"/>
      <c r="J133" s="70"/>
      <c r="K133" s="61"/>
      <c r="L133" s="36"/>
      <c r="M133" s="62"/>
      <c r="N133" s="63"/>
      <c r="O133" s="21"/>
      <c r="P133" s="28"/>
    </row>
    <row r="134" ht="15.75" customHeight="1">
      <c r="A134" s="57"/>
      <c r="B134" s="58"/>
      <c r="C134" s="20"/>
      <c r="D134" s="20"/>
      <c r="E134" s="20"/>
      <c r="F134" s="32"/>
      <c r="G134" s="31"/>
      <c r="H134" s="32"/>
      <c r="I134" s="59"/>
      <c r="J134" s="70"/>
      <c r="K134" s="61"/>
      <c r="L134" s="36"/>
      <c r="M134" s="62"/>
      <c r="N134" s="63"/>
      <c r="O134" s="21"/>
      <c r="P134" s="28"/>
    </row>
    <row r="135" ht="15.75" customHeight="1">
      <c r="A135" s="57"/>
      <c r="B135" s="58"/>
      <c r="C135" s="20"/>
      <c r="D135" s="20"/>
      <c r="E135" s="20"/>
      <c r="F135" s="32"/>
      <c r="G135" s="31"/>
      <c r="H135" s="32"/>
      <c r="I135" s="59"/>
      <c r="J135" s="70"/>
      <c r="K135" s="61"/>
      <c r="L135" s="55"/>
      <c r="M135" s="62"/>
      <c r="N135" s="63"/>
      <c r="O135" s="21"/>
      <c r="P135" s="28"/>
    </row>
    <row r="136" ht="15.75" customHeight="1">
      <c r="A136" s="57"/>
      <c r="B136" s="58"/>
      <c r="C136" s="20"/>
      <c r="D136" s="20"/>
      <c r="E136" s="20"/>
      <c r="F136" s="32"/>
      <c r="G136" s="31"/>
      <c r="H136" s="32"/>
      <c r="I136" s="59"/>
      <c r="J136" s="70"/>
      <c r="K136" s="61"/>
      <c r="L136" s="55"/>
      <c r="M136" s="62"/>
      <c r="N136" s="63"/>
      <c r="O136" s="21"/>
      <c r="P136" s="28"/>
    </row>
    <row r="137" ht="15.75" customHeight="1">
      <c r="A137" s="57"/>
      <c r="B137" s="58"/>
      <c r="C137" s="20"/>
      <c r="D137" s="20"/>
      <c r="E137" s="20"/>
      <c r="F137" s="32"/>
      <c r="G137" s="31"/>
      <c r="H137" s="32"/>
      <c r="I137" s="59"/>
      <c r="J137" s="70"/>
      <c r="K137" s="61"/>
      <c r="L137" s="36"/>
      <c r="M137" s="62"/>
      <c r="N137" s="63"/>
      <c r="O137" s="21"/>
      <c r="P137" s="28"/>
    </row>
    <row r="138" ht="15.75" customHeight="1">
      <c r="A138" s="57"/>
      <c r="B138" s="58"/>
      <c r="C138" s="20"/>
      <c r="D138" s="20"/>
      <c r="E138" s="20"/>
      <c r="F138" s="32"/>
      <c r="G138" s="31"/>
      <c r="H138" s="32"/>
      <c r="I138" s="59"/>
      <c r="J138" s="70"/>
      <c r="K138" s="61"/>
      <c r="L138" s="46"/>
      <c r="M138" s="62"/>
      <c r="N138" s="63"/>
      <c r="O138" s="21"/>
      <c r="P138" s="28"/>
    </row>
    <row r="139" ht="15.75" customHeight="1">
      <c r="A139" s="57"/>
      <c r="B139" s="58"/>
      <c r="C139" s="20"/>
      <c r="D139" s="20"/>
      <c r="E139" s="20"/>
      <c r="F139" s="32"/>
      <c r="G139" s="31"/>
      <c r="H139" s="32"/>
      <c r="I139" s="59"/>
      <c r="J139" s="28"/>
      <c r="K139" s="61"/>
      <c r="L139" s="36"/>
      <c r="M139" s="62"/>
      <c r="N139" s="63"/>
      <c r="O139" s="21"/>
      <c r="P139" s="28"/>
    </row>
    <row r="140" ht="15.75" customHeight="1">
      <c r="A140" s="57"/>
      <c r="B140" s="58"/>
      <c r="C140" s="20"/>
      <c r="D140" s="20"/>
      <c r="E140" s="20"/>
      <c r="F140" s="32"/>
      <c r="G140" s="31"/>
      <c r="H140" s="32"/>
      <c r="I140" s="59"/>
      <c r="J140" s="70"/>
      <c r="K140" s="61"/>
      <c r="L140" s="36"/>
      <c r="M140" s="62"/>
      <c r="N140" s="63"/>
      <c r="O140" s="21"/>
      <c r="P140" s="28"/>
    </row>
    <row r="141" ht="15.75" customHeight="1">
      <c r="A141" s="57"/>
      <c r="B141" s="58"/>
      <c r="C141" s="20"/>
      <c r="D141" s="20"/>
      <c r="E141" s="20"/>
      <c r="F141" s="32"/>
      <c r="G141" s="31"/>
      <c r="H141" s="32"/>
      <c r="I141" s="59"/>
      <c r="J141" s="68"/>
      <c r="K141" s="61"/>
      <c r="L141" s="55"/>
      <c r="M141" s="62"/>
      <c r="N141" s="63"/>
      <c r="O141" s="21"/>
      <c r="P141" s="28"/>
    </row>
    <row r="142" ht="15.75" customHeight="1">
      <c r="A142" s="57"/>
      <c r="B142" s="58"/>
      <c r="C142" s="20"/>
      <c r="D142" s="20"/>
      <c r="E142" s="20"/>
      <c r="F142" s="32"/>
      <c r="G142" s="31"/>
      <c r="H142" s="32"/>
      <c r="I142" s="59"/>
      <c r="J142" s="70"/>
      <c r="K142" s="61"/>
      <c r="L142" s="55"/>
      <c r="M142" s="62"/>
      <c r="N142" s="63"/>
      <c r="O142" s="21"/>
      <c r="P142" s="28"/>
    </row>
    <row r="143" ht="15.75" customHeight="1">
      <c r="A143" s="57"/>
      <c r="B143" s="58"/>
      <c r="C143" s="20"/>
      <c r="D143" s="20"/>
      <c r="E143" s="20"/>
      <c r="F143" s="32"/>
      <c r="G143" s="31"/>
      <c r="H143" s="32"/>
      <c r="I143" s="59"/>
      <c r="J143" s="70"/>
      <c r="K143" s="61"/>
      <c r="L143" s="36"/>
      <c r="M143" s="62"/>
      <c r="N143" s="63"/>
      <c r="O143" s="21"/>
      <c r="P143" s="28"/>
    </row>
    <row r="144" ht="15.75" customHeight="1">
      <c r="A144" s="57"/>
      <c r="B144" s="58"/>
      <c r="C144" s="20"/>
      <c r="D144" s="20"/>
      <c r="E144" s="20"/>
      <c r="F144" s="32"/>
      <c r="G144" s="31"/>
      <c r="H144" s="32"/>
      <c r="I144" s="59"/>
      <c r="J144" s="70"/>
      <c r="K144" s="61"/>
      <c r="L144" s="36"/>
      <c r="M144" s="62"/>
      <c r="N144" s="63"/>
      <c r="O144" s="21"/>
      <c r="P144" s="28"/>
    </row>
    <row r="145" ht="15.75" customHeight="1">
      <c r="A145" s="57"/>
      <c r="B145" s="58"/>
      <c r="C145" s="20"/>
      <c r="D145" s="20"/>
      <c r="E145" s="20"/>
      <c r="F145" s="32"/>
      <c r="G145" s="31"/>
      <c r="H145" s="32"/>
      <c r="I145" s="59"/>
      <c r="J145" s="70"/>
      <c r="K145" s="61"/>
      <c r="L145" s="46"/>
      <c r="M145" s="62"/>
      <c r="N145" s="63"/>
      <c r="O145" s="21"/>
      <c r="P145" s="28"/>
    </row>
    <row r="146" ht="15.75" customHeight="1">
      <c r="A146" s="57"/>
      <c r="B146" s="58"/>
      <c r="C146" s="71"/>
      <c r="D146" s="20"/>
      <c r="E146" s="20"/>
      <c r="F146" s="72"/>
      <c r="G146" s="31"/>
      <c r="H146" s="32"/>
      <c r="I146" s="59"/>
      <c r="J146" s="68"/>
      <c r="K146" s="61"/>
      <c r="L146" s="55"/>
      <c r="M146" s="62"/>
      <c r="N146" s="63"/>
      <c r="O146" s="21"/>
      <c r="P146" s="28"/>
    </row>
    <row r="147" ht="15.75" customHeight="1">
      <c r="A147" s="57"/>
      <c r="B147" s="58"/>
      <c r="C147" s="20"/>
      <c r="D147" s="20"/>
      <c r="E147" s="20"/>
      <c r="F147" s="32"/>
      <c r="G147" s="31"/>
      <c r="H147" s="32"/>
      <c r="I147" s="59"/>
      <c r="J147" s="70"/>
      <c r="K147" s="61"/>
      <c r="L147" s="36"/>
      <c r="M147" s="62"/>
      <c r="N147" s="63"/>
      <c r="O147" s="21"/>
      <c r="P147" s="28"/>
    </row>
    <row r="148" ht="15.75" customHeight="1">
      <c r="A148" s="57"/>
      <c r="B148" s="58"/>
      <c r="C148" s="20"/>
      <c r="D148" s="20"/>
      <c r="E148" s="20"/>
      <c r="F148" s="32"/>
      <c r="G148" s="31"/>
      <c r="H148" s="32"/>
      <c r="I148" s="59"/>
      <c r="J148" s="28"/>
      <c r="K148" s="61"/>
      <c r="L148" s="55"/>
      <c r="M148" s="62"/>
      <c r="N148" s="63"/>
      <c r="O148" s="21"/>
      <c r="P148" s="28"/>
    </row>
    <row r="149" ht="15.75" customHeight="1">
      <c r="A149" s="57"/>
      <c r="B149" s="58"/>
      <c r="C149" s="20"/>
      <c r="D149" s="20"/>
      <c r="E149" s="20"/>
      <c r="F149" s="32"/>
      <c r="G149" s="31"/>
      <c r="H149" s="32"/>
      <c r="I149" s="59"/>
      <c r="J149" s="70"/>
      <c r="K149" s="61"/>
      <c r="L149" s="36"/>
      <c r="M149" s="62"/>
      <c r="N149" s="63"/>
      <c r="O149" s="21"/>
      <c r="P149" s="28"/>
    </row>
    <row r="150" ht="15.75" customHeight="1">
      <c r="A150" s="57"/>
      <c r="B150" s="58"/>
      <c r="C150" s="20"/>
      <c r="D150" s="20"/>
      <c r="E150" s="20"/>
      <c r="F150" s="32"/>
      <c r="G150" s="31"/>
      <c r="H150" s="32"/>
      <c r="I150" s="59"/>
      <c r="J150" s="28"/>
      <c r="K150" s="61"/>
      <c r="L150" s="36"/>
      <c r="M150" s="62"/>
      <c r="N150" s="63"/>
      <c r="O150" s="21"/>
      <c r="P150" s="28"/>
    </row>
    <row r="151" ht="15.75" customHeight="1">
      <c r="A151" s="57"/>
      <c r="B151" s="58"/>
      <c r="C151" s="20"/>
      <c r="D151" s="20"/>
      <c r="E151" s="20"/>
      <c r="F151" s="32"/>
      <c r="G151" s="31"/>
      <c r="H151" s="32"/>
      <c r="I151" s="59"/>
      <c r="J151" s="68"/>
      <c r="K151" s="61"/>
      <c r="L151" s="36"/>
      <c r="M151" s="62"/>
      <c r="N151" s="63"/>
      <c r="O151" s="21"/>
      <c r="P151" s="28"/>
    </row>
    <row r="152" ht="15.75" customHeight="1">
      <c r="A152" s="57"/>
      <c r="B152" s="58"/>
      <c r="C152" s="20"/>
      <c r="D152" s="20"/>
      <c r="E152" s="20"/>
      <c r="F152" s="32"/>
      <c r="G152" s="31"/>
      <c r="H152" s="32"/>
      <c r="I152" s="59"/>
      <c r="J152" s="28"/>
      <c r="K152" s="61"/>
      <c r="L152" s="55"/>
      <c r="M152" s="62"/>
      <c r="N152" s="63"/>
      <c r="O152" s="21"/>
      <c r="P152" s="28"/>
    </row>
    <row r="153" ht="15.75" customHeight="1">
      <c r="A153" s="57"/>
      <c r="B153" s="58"/>
      <c r="C153" s="20"/>
      <c r="D153" s="20"/>
      <c r="E153" s="20"/>
      <c r="F153" s="32"/>
      <c r="G153" s="31"/>
      <c r="H153" s="32"/>
      <c r="I153" s="59"/>
      <c r="J153" s="28"/>
      <c r="K153" s="61"/>
      <c r="L153" s="36"/>
      <c r="M153" s="62"/>
      <c r="N153" s="63"/>
      <c r="O153" s="21"/>
      <c r="P153" s="28"/>
    </row>
    <row r="154" ht="15.75" customHeight="1">
      <c r="A154" s="57"/>
      <c r="B154" s="58"/>
      <c r="C154" s="20"/>
      <c r="D154" s="20"/>
      <c r="E154" s="20"/>
      <c r="F154" s="32"/>
      <c r="G154" s="31"/>
      <c r="H154" s="32"/>
      <c r="I154" s="59"/>
      <c r="J154" s="28"/>
      <c r="K154" s="61"/>
      <c r="L154" s="36"/>
      <c r="M154" s="62"/>
      <c r="N154" s="63"/>
      <c r="O154" s="21"/>
      <c r="P154" s="28"/>
    </row>
    <row r="155" ht="15.75" customHeight="1">
      <c r="A155" s="73"/>
      <c r="B155" s="58"/>
      <c r="C155" s="20"/>
      <c r="D155" s="20"/>
      <c r="E155" s="20"/>
      <c r="F155" s="32"/>
      <c r="G155" s="31"/>
      <c r="H155" s="32"/>
      <c r="I155" s="59"/>
      <c r="J155" s="70"/>
      <c r="K155" s="61"/>
      <c r="L155" s="36"/>
      <c r="M155" s="62"/>
      <c r="N155" s="63"/>
      <c r="O155" s="21"/>
      <c r="P155" s="28"/>
    </row>
    <row r="156" ht="15.75" customHeight="1">
      <c r="A156" s="57"/>
      <c r="B156" s="64"/>
      <c r="C156" s="20"/>
      <c r="D156" s="20"/>
      <c r="E156" s="20"/>
      <c r="F156" s="66"/>
      <c r="G156" s="31"/>
      <c r="H156" s="66"/>
      <c r="I156" s="59"/>
      <c r="J156" s="28"/>
      <c r="K156" s="61"/>
      <c r="L156" s="36"/>
      <c r="M156" s="62"/>
      <c r="N156" s="63"/>
      <c r="O156" s="21"/>
      <c r="P156" s="28"/>
    </row>
    <row r="157" ht="15.75" customHeight="1">
      <c r="A157" s="57"/>
      <c r="B157" s="64"/>
      <c r="C157" s="20"/>
      <c r="D157" s="20"/>
      <c r="E157" s="20"/>
      <c r="F157" s="32"/>
      <c r="G157" s="31"/>
      <c r="H157" s="32"/>
      <c r="I157" s="59"/>
      <c r="J157" s="70"/>
      <c r="K157" s="61"/>
      <c r="L157" s="36"/>
      <c r="M157" s="62"/>
      <c r="N157" s="63"/>
      <c r="O157" s="21"/>
      <c r="P157" s="28"/>
    </row>
    <row r="158" ht="15.75" customHeight="1">
      <c r="A158" s="57"/>
      <c r="B158" s="58"/>
      <c r="C158" s="20"/>
      <c r="D158" s="20"/>
      <c r="E158" s="20"/>
      <c r="F158" s="32"/>
      <c r="G158" s="31"/>
      <c r="H158" s="32"/>
      <c r="I158" s="59"/>
      <c r="J158" s="68"/>
      <c r="K158" s="61"/>
      <c r="L158" s="36"/>
      <c r="M158" s="62"/>
      <c r="N158" s="63"/>
      <c r="O158" s="21"/>
      <c r="P158" s="28"/>
    </row>
    <row r="159" ht="15.75" customHeight="1">
      <c r="A159" s="57"/>
      <c r="B159" s="58"/>
      <c r="C159" s="20"/>
      <c r="D159" s="20"/>
      <c r="E159" s="20"/>
      <c r="F159" s="32"/>
      <c r="G159" s="31"/>
      <c r="H159" s="32"/>
      <c r="I159" s="59"/>
      <c r="J159" s="28"/>
      <c r="K159" s="61"/>
      <c r="L159" s="46"/>
      <c r="M159" s="62"/>
      <c r="N159" s="63"/>
      <c r="O159" s="21"/>
      <c r="P159" s="28"/>
    </row>
    <row r="160" ht="15.75" customHeight="1">
      <c r="A160" s="57"/>
      <c r="B160" s="58"/>
      <c r="C160" s="20"/>
      <c r="D160" s="20"/>
      <c r="E160" s="20"/>
      <c r="F160" s="32"/>
      <c r="G160" s="31"/>
      <c r="H160" s="32"/>
      <c r="I160" s="59"/>
      <c r="J160" s="68"/>
      <c r="K160" s="61"/>
      <c r="L160" s="55"/>
      <c r="M160" s="62"/>
      <c r="N160" s="63"/>
      <c r="O160" s="21"/>
      <c r="P160" s="28"/>
    </row>
    <row r="161" ht="15.75" customHeight="1">
      <c r="A161" s="57"/>
      <c r="B161" s="58"/>
      <c r="C161" s="20"/>
      <c r="D161" s="20"/>
      <c r="E161" s="20"/>
      <c r="F161" s="32"/>
      <c r="G161" s="31"/>
      <c r="H161" s="32"/>
      <c r="I161" s="59"/>
      <c r="J161" s="70"/>
      <c r="K161" s="61"/>
      <c r="L161" s="36"/>
      <c r="M161" s="62"/>
      <c r="N161" s="63"/>
      <c r="O161" s="21"/>
      <c r="P161" s="28"/>
    </row>
    <row r="162" ht="15.75" customHeight="1">
      <c r="A162" s="57"/>
      <c r="B162" s="58"/>
      <c r="C162" s="20"/>
      <c r="D162" s="20"/>
      <c r="E162" s="20"/>
      <c r="F162" s="32"/>
      <c r="G162" s="31"/>
      <c r="H162" s="32"/>
      <c r="I162" s="59"/>
      <c r="J162" s="28"/>
      <c r="K162" s="61"/>
      <c r="L162" s="36"/>
      <c r="M162" s="62"/>
      <c r="N162" s="63"/>
      <c r="O162" s="21"/>
      <c r="P162" s="28"/>
    </row>
    <row r="163" ht="15.75" customHeight="1">
      <c r="A163" s="57"/>
      <c r="B163" s="58"/>
      <c r="C163" s="20"/>
      <c r="D163" s="20"/>
      <c r="E163" s="20"/>
      <c r="F163" s="32"/>
      <c r="G163" s="31"/>
      <c r="H163" s="32"/>
      <c r="I163" s="59"/>
      <c r="J163" s="28"/>
      <c r="K163" s="61"/>
      <c r="L163" s="36"/>
      <c r="M163" s="62"/>
      <c r="N163" s="63"/>
      <c r="O163" s="21"/>
      <c r="P163" s="28"/>
    </row>
    <row r="164" ht="15.75" customHeight="1">
      <c r="A164" s="57"/>
      <c r="B164" s="58"/>
      <c r="C164" s="20"/>
      <c r="D164" s="20"/>
      <c r="E164" s="20"/>
      <c r="F164" s="32"/>
      <c r="G164" s="31"/>
      <c r="H164" s="32"/>
      <c r="I164" s="59"/>
      <c r="J164" s="70"/>
      <c r="K164" s="61"/>
      <c r="L164" s="55"/>
      <c r="M164" s="62"/>
      <c r="N164" s="63"/>
      <c r="O164" s="21"/>
      <c r="P164" s="28"/>
    </row>
    <row r="165" ht="15.75" customHeight="1">
      <c r="A165" s="57"/>
      <c r="B165" s="58"/>
      <c r="C165" s="20"/>
      <c r="D165" s="20"/>
      <c r="E165" s="20"/>
      <c r="F165" s="32"/>
      <c r="G165" s="31"/>
      <c r="H165" s="32"/>
      <c r="I165" s="59"/>
      <c r="J165" s="28"/>
      <c r="K165" s="61"/>
      <c r="L165" s="36"/>
      <c r="M165" s="62"/>
      <c r="N165" s="63"/>
      <c r="O165" s="21"/>
      <c r="P165" s="28"/>
    </row>
    <row r="166" ht="15.75" customHeight="1">
      <c r="A166" s="57"/>
      <c r="B166" s="64"/>
      <c r="C166" s="20"/>
      <c r="D166" s="20"/>
      <c r="E166" s="20"/>
      <c r="F166" s="32"/>
      <c r="G166" s="31"/>
      <c r="H166" s="32"/>
      <c r="I166" s="59"/>
      <c r="J166" s="28"/>
      <c r="K166" s="61"/>
      <c r="L166" s="36"/>
      <c r="M166" s="62"/>
      <c r="N166" s="63"/>
      <c r="O166" s="21"/>
      <c r="P166" s="28"/>
    </row>
    <row r="167" ht="15.75" customHeight="1">
      <c r="A167" s="57"/>
      <c r="B167" s="58"/>
      <c r="C167" s="20"/>
      <c r="D167" s="20"/>
      <c r="E167" s="20"/>
      <c r="F167" s="72"/>
      <c r="G167" s="31"/>
      <c r="H167" s="32"/>
      <c r="I167" s="59"/>
      <c r="J167" s="68"/>
      <c r="K167" s="61"/>
      <c r="L167" s="36"/>
      <c r="M167" s="62"/>
      <c r="N167" s="63"/>
      <c r="O167" s="21"/>
      <c r="P167" s="28"/>
    </row>
    <row r="168" ht="15.75" customHeight="1">
      <c r="A168" s="57"/>
      <c r="B168" s="58"/>
      <c r="C168" s="20"/>
      <c r="D168" s="20"/>
      <c r="E168" s="20"/>
      <c r="F168" s="32"/>
      <c r="G168" s="31"/>
      <c r="H168" s="32"/>
      <c r="I168" s="59"/>
      <c r="J168" s="28"/>
      <c r="K168" s="61"/>
      <c r="L168" s="36"/>
      <c r="M168" s="62"/>
      <c r="N168" s="63"/>
      <c r="O168" s="21"/>
      <c r="P168" s="28"/>
    </row>
    <row r="169" ht="15.75" customHeight="1">
      <c r="A169" s="57"/>
      <c r="B169" s="58"/>
      <c r="C169" s="20"/>
      <c r="D169" s="20"/>
      <c r="E169" s="20"/>
      <c r="F169" s="32"/>
      <c r="G169" s="31"/>
      <c r="H169" s="32"/>
      <c r="I169" s="59"/>
      <c r="J169" s="28"/>
      <c r="K169" s="61"/>
      <c r="L169" s="55"/>
      <c r="M169" s="62"/>
      <c r="N169" s="63"/>
      <c r="O169" s="21"/>
      <c r="P169" s="28"/>
    </row>
    <row r="170" ht="15.75" customHeight="1">
      <c r="A170" s="57"/>
      <c r="B170" s="58"/>
      <c r="C170" s="20"/>
      <c r="D170" s="20"/>
      <c r="E170" s="20"/>
      <c r="F170" s="32"/>
      <c r="G170" s="31"/>
      <c r="H170" s="32"/>
      <c r="I170" s="59"/>
      <c r="J170" s="28"/>
      <c r="K170" s="61"/>
      <c r="L170" s="46"/>
      <c r="M170" s="62"/>
      <c r="N170" s="63"/>
      <c r="O170" s="21"/>
      <c r="P170" s="28"/>
    </row>
    <row r="171" ht="15.75" customHeight="1">
      <c r="A171" s="57"/>
      <c r="B171" s="58"/>
      <c r="C171" s="20"/>
      <c r="D171" s="20"/>
      <c r="E171" s="20"/>
      <c r="F171" s="32"/>
      <c r="G171" s="31"/>
      <c r="H171" s="32"/>
      <c r="I171" s="59"/>
      <c r="J171" s="28"/>
      <c r="K171" s="61"/>
      <c r="L171" s="36"/>
      <c r="M171" s="62"/>
      <c r="N171" s="63"/>
      <c r="O171" s="21"/>
      <c r="P171" s="28"/>
    </row>
    <row r="172" ht="15.75" customHeight="1">
      <c r="A172" s="57"/>
      <c r="B172" s="58"/>
      <c r="C172" s="20"/>
      <c r="D172" s="20"/>
      <c r="E172" s="20"/>
      <c r="F172" s="32"/>
      <c r="G172" s="31"/>
      <c r="H172" s="32"/>
      <c r="I172" s="59"/>
      <c r="J172" s="70"/>
      <c r="K172" s="61"/>
      <c r="L172" s="36"/>
      <c r="M172" s="62"/>
      <c r="N172" s="63"/>
      <c r="O172" s="21"/>
      <c r="P172" s="28"/>
    </row>
    <row r="173" ht="15.75" customHeight="1">
      <c r="A173" s="57"/>
      <c r="B173" s="58"/>
      <c r="C173" s="65"/>
      <c r="D173" s="20"/>
      <c r="E173" s="20"/>
      <c r="F173" s="32"/>
      <c r="G173" s="31"/>
      <c r="H173" s="32"/>
      <c r="I173" s="59"/>
      <c r="J173" s="70"/>
      <c r="K173" s="61"/>
      <c r="L173" s="36"/>
      <c r="M173" s="62"/>
      <c r="N173" s="63"/>
      <c r="O173" s="21"/>
      <c r="P173" s="28"/>
    </row>
    <row r="174" ht="15.75" customHeight="1">
      <c r="A174" s="57"/>
      <c r="B174" s="58"/>
      <c r="C174" s="65"/>
      <c r="D174" s="20"/>
      <c r="E174" s="20"/>
      <c r="F174" s="32"/>
      <c r="G174" s="31"/>
      <c r="H174" s="32"/>
      <c r="I174" s="59"/>
      <c r="J174" s="28"/>
      <c r="K174" s="61"/>
      <c r="L174" s="55"/>
      <c r="M174" s="62"/>
      <c r="N174" s="63"/>
      <c r="O174" s="21"/>
      <c r="P174" s="28"/>
    </row>
    <row r="175" ht="15.75" customHeight="1">
      <c r="A175" s="57"/>
      <c r="B175" s="58"/>
      <c r="C175" s="65"/>
      <c r="D175" s="20"/>
      <c r="E175" s="20"/>
      <c r="F175" s="32"/>
      <c r="G175" s="31"/>
      <c r="H175" s="32"/>
      <c r="I175" s="59"/>
      <c r="J175" s="28"/>
      <c r="K175" s="61"/>
      <c r="L175" s="36"/>
      <c r="M175" s="62"/>
      <c r="N175" s="63"/>
      <c r="O175" s="21"/>
      <c r="P175" s="28"/>
    </row>
    <row r="176" ht="15.75" customHeight="1">
      <c r="A176" s="57"/>
      <c r="B176" s="58"/>
      <c r="C176" s="20"/>
      <c r="D176" s="20"/>
      <c r="E176" s="74"/>
      <c r="F176" s="72"/>
      <c r="G176" s="31"/>
      <c r="H176" s="32"/>
      <c r="I176" s="59"/>
      <c r="J176" s="68"/>
      <c r="K176" s="61"/>
      <c r="L176" s="36"/>
      <c r="M176" s="62"/>
      <c r="N176" s="63"/>
      <c r="O176" s="21"/>
      <c r="P176" s="28"/>
    </row>
    <row r="177" ht="15.75" customHeight="1">
      <c r="A177" s="57"/>
      <c r="B177" s="58"/>
      <c r="C177" s="20"/>
      <c r="D177" s="20"/>
      <c r="E177" s="74"/>
      <c r="F177" s="32"/>
      <c r="G177" s="31"/>
      <c r="H177" s="32"/>
      <c r="I177" s="59"/>
      <c r="J177" s="70"/>
      <c r="K177" s="61"/>
      <c r="L177" s="55"/>
      <c r="M177" s="62"/>
      <c r="N177" s="63"/>
      <c r="O177" s="21"/>
      <c r="P177" s="28"/>
    </row>
    <row r="178" ht="15.75" customHeight="1">
      <c r="A178" s="57"/>
      <c r="B178" s="58"/>
      <c r="C178" s="20"/>
      <c r="D178" s="74"/>
      <c r="E178" s="20"/>
      <c r="F178" s="32"/>
      <c r="G178" s="31"/>
      <c r="H178" s="32"/>
      <c r="I178" s="59"/>
      <c r="J178" s="70"/>
      <c r="K178" s="61"/>
      <c r="L178" s="55"/>
      <c r="M178" s="62"/>
      <c r="N178" s="63"/>
      <c r="O178" s="21"/>
      <c r="P178" s="28"/>
    </row>
    <row r="179" ht="15.75" customHeight="1">
      <c r="A179" s="57"/>
      <c r="B179" s="58"/>
      <c r="C179" s="20"/>
      <c r="D179" s="20"/>
      <c r="E179" s="20"/>
      <c r="F179" s="32"/>
      <c r="G179" s="31"/>
      <c r="H179" s="32"/>
      <c r="I179" s="59"/>
      <c r="J179" s="70"/>
      <c r="K179" s="61"/>
      <c r="L179" s="36"/>
      <c r="M179" s="62"/>
      <c r="N179" s="63"/>
      <c r="O179" s="21"/>
      <c r="P179" s="28"/>
    </row>
    <row r="180" ht="15.75" customHeight="1">
      <c r="A180" s="57"/>
      <c r="B180" s="58"/>
      <c r="C180" s="20"/>
      <c r="D180" s="20"/>
      <c r="E180" s="20"/>
      <c r="F180" s="32"/>
      <c r="G180" s="31"/>
      <c r="H180" s="32"/>
      <c r="I180" s="59"/>
      <c r="J180" s="70"/>
      <c r="K180" s="61"/>
      <c r="L180" s="36"/>
      <c r="M180" s="62"/>
      <c r="N180" s="63"/>
      <c r="O180" s="21"/>
      <c r="P180" s="28"/>
    </row>
    <row r="181" ht="15.75" customHeight="1">
      <c r="A181" s="57"/>
      <c r="B181" s="58"/>
      <c r="C181" s="20"/>
      <c r="D181" s="20"/>
      <c r="E181" s="20"/>
      <c r="F181" s="32"/>
      <c r="G181" s="31"/>
      <c r="H181" s="32"/>
      <c r="I181" s="59"/>
      <c r="J181" s="70"/>
      <c r="K181" s="61"/>
      <c r="L181" s="36"/>
      <c r="M181" s="62"/>
      <c r="N181" s="63"/>
      <c r="O181" s="21"/>
      <c r="P181" s="28"/>
    </row>
    <row r="182" ht="15.75" customHeight="1">
      <c r="A182" s="57"/>
      <c r="B182" s="58"/>
      <c r="C182" s="20"/>
      <c r="D182" s="20"/>
      <c r="E182" s="20"/>
      <c r="F182" s="32"/>
      <c r="G182" s="31"/>
      <c r="H182" s="32"/>
      <c r="I182" s="59"/>
      <c r="J182" s="60"/>
      <c r="K182" s="61"/>
      <c r="L182" s="55"/>
      <c r="M182" s="62"/>
      <c r="N182" s="63"/>
      <c r="O182" s="21"/>
      <c r="P182" s="28"/>
    </row>
    <row r="183" ht="15.75" customHeight="1">
      <c r="A183" s="57"/>
      <c r="B183" s="58"/>
      <c r="C183" s="20"/>
      <c r="D183" s="20"/>
      <c r="E183" s="20"/>
      <c r="F183" s="32"/>
      <c r="G183" s="31"/>
      <c r="H183" s="32"/>
      <c r="I183" s="59"/>
      <c r="J183" s="60"/>
      <c r="K183" s="61"/>
      <c r="L183" s="55"/>
      <c r="M183" s="62"/>
      <c r="N183" s="63"/>
      <c r="O183" s="21"/>
      <c r="P183" s="28"/>
    </row>
    <row r="184" ht="15.75" customHeight="1">
      <c r="A184" s="57"/>
      <c r="B184" s="58"/>
      <c r="C184" s="20"/>
      <c r="D184" s="20"/>
      <c r="E184" s="20"/>
      <c r="F184" s="32"/>
      <c r="G184" s="31"/>
      <c r="H184" s="32"/>
      <c r="I184" s="59"/>
      <c r="J184" s="60"/>
      <c r="K184" s="61"/>
      <c r="L184" s="55"/>
      <c r="M184" s="62"/>
      <c r="N184" s="63"/>
      <c r="O184" s="21"/>
      <c r="P184" s="28"/>
    </row>
    <row r="185" ht="15.75" customHeight="1">
      <c r="A185" s="57"/>
      <c r="B185" s="58"/>
      <c r="C185" s="20"/>
      <c r="D185" s="20"/>
      <c r="E185" s="20"/>
      <c r="F185" s="32"/>
      <c r="G185" s="31"/>
      <c r="H185" s="32"/>
      <c r="I185" s="59"/>
      <c r="J185" s="60"/>
      <c r="K185" s="61"/>
      <c r="L185" s="55"/>
      <c r="M185" s="62"/>
      <c r="N185" s="63"/>
      <c r="O185" s="21"/>
      <c r="P185" s="28"/>
    </row>
    <row r="186" ht="15.75" customHeight="1">
      <c r="A186" s="57"/>
      <c r="B186" s="58"/>
      <c r="C186" s="20"/>
      <c r="D186" s="20"/>
      <c r="E186" s="20"/>
      <c r="F186" s="32"/>
      <c r="G186" s="31"/>
      <c r="H186" s="32"/>
      <c r="I186" s="59"/>
      <c r="J186" s="60"/>
      <c r="K186" s="61"/>
      <c r="L186" s="55"/>
      <c r="M186" s="62"/>
      <c r="N186" s="63"/>
      <c r="O186" s="21"/>
      <c r="P186" s="28"/>
    </row>
    <row r="187" ht="15.75" customHeight="1">
      <c r="A187" s="57"/>
      <c r="B187" s="58"/>
      <c r="C187" s="20"/>
      <c r="D187" s="75"/>
      <c r="E187" s="20"/>
      <c r="F187" s="32"/>
      <c r="G187" s="31"/>
      <c r="H187" s="32"/>
      <c r="I187" s="59"/>
      <c r="J187" s="60"/>
      <c r="K187" s="61"/>
      <c r="L187" s="55"/>
      <c r="M187" s="62"/>
      <c r="N187" s="63"/>
      <c r="O187" s="21"/>
      <c r="P187" s="28"/>
    </row>
    <row r="188" ht="15.75" customHeight="1">
      <c r="A188" s="57"/>
      <c r="B188" s="58"/>
      <c r="C188" s="20"/>
      <c r="D188" s="20"/>
      <c r="E188" s="20"/>
      <c r="F188" s="32"/>
      <c r="G188" s="31"/>
      <c r="H188" s="32"/>
      <c r="I188" s="59"/>
      <c r="J188" s="60"/>
      <c r="K188" s="61"/>
      <c r="L188" s="55"/>
      <c r="M188" s="62"/>
      <c r="N188" s="63"/>
      <c r="O188" s="21"/>
      <c r="P188" s="28"/>
    </row>
    <row r="189" ht="15.75" customHeight="1">
      <c r="A189" s="57"/>
      <c r="B189" s="58"/>
      <c r="C189" s="20"/>
      <c r="D189" s="20"/>
      <c r="E189" s="20"/>
      <c r="F189" s="32"/>
      <c r="G189" s="31"/>
      <c r="H189" s="32"/>
      <c r="I189" s="59"/>
      <c r="J189" s="76"/>
      <c r="K189" s="61"/>
      <c r="L189" s="55"/>
      <c r="M189" s="62"/>
      <c r="N189" s="63"/>
      <c r="O189" s="21"/>
      <c r="P189" s="28"/>
    </row>
    <row r="190" ht="15.75" customHeight="1">
      <c r="A190" s="57"/>
      <c r="B190" s="58"/>
      <c r="C190" s="20"/>
      <c r="D190" s="75"/>
      <c r="E190" s="20"/>
      <c r="F190" s="32"/>
      <c r="G190" s="31"/>
      <c r="H190" s="32"/>
      <c r="I190" s="59"/>
      <c r="J190" s="60"/>
      <c r="K190" s="61"/>
      <c r="L190" s="55"/>
      <c r="M190" s="62"/>
      <c r="N190" s="63"/>
      <c r="O190" s="21"/>
      <c r="P190" s="28"/>
    </row>
    <row r="191" ht="15.75" customHeight="1">
      <c r="A191" s="57"/>
      <c r="B191" s="64"/>
      <c r="C191" s="20"/>
      <c r="D191" s="75"/>
      <c r="E191" s="20"/>
      <c r="F191" s="32"/>
      <c r="G191" s="31"/>
      <c r="H191" s="32"/>
      <c r="I191" s="59"/>
      <c r="J191" s="60"/>
      <c r="K191" s="61"/>
      <c r="L191" s="55"/>
      <c r="M191" s="62"/>
      <c r="N191" s="63"/>
      <c r="O191" s="21"/>
      <c r="P191" s="28"/>
    </row>
    <row r="192" ht="15.75" customHeight="1">
      <c r="A192" s="57"/>
      <c r="B192" s="58"/>
      <c r="C192" s="20"/>
      <c r="D192" s="75"/>
      <c r="E192" s="20"/>
      <c r="F192" s="32"/>
      <c r="G192" s="31"/>
      <c r="H192" s="32"/>
      <c r="I192" s="59"/>
      <c r="J192" s="60"/>
      <c r="K192" s="61"/>
      <c r="L192" s="55"/>
      <c r="M192" s="62"/>
      <c r="N192" s="63"/>
      <c r="O192" s="21"/>
      <c r="P192" s="28"/>
    </row>
    <row r="193" ht="15.75" customHeight="1">
      <c r="A193" s="57"/>
      <c r="B193" s="58"/>
      <c r="C193" s="20"/>
      <c r="D193" s="75"/>
      <c r="E193" s="20"/>
      <c r="F193" s="32"/>
      <c r="G193" s="31"/>
      <c r="H193" s="32"/>
      <c r="I193" s="59"/>
      <c r="J193" s="60"/>
      <c r="K193" s="61"/>
      <c r="L193" s="55"/>
      <c r="M193" s="62"/>
      <c r="N193" s="63"/>
      <c r="O193" s="21"/>
      <c r="P193" s="28"/>
    </row>
    <row r="194" ht="15.75" customHeight="1">
      <c r="A194" s="17"/>
      <c r="B194" s="77"/>
      <c r="C194" s="21"/>
      <c r="D194" s="78"/>
      <c r="E194" s="21"/>
      <c r="F194" s="72"/>
      <c r="G194" s="79"/>
      <c r="H194" s="72"/>
      <c r="I194" s="80"/>
      <c r="J194" s="81"/>
      <c r="K194" s="82"/>
      <c r="L194" s="83"/>
      <c r="M194" s="21"/>
      <c r="N194" s="84"/>
      <c r="O194" s="21"/>
      <c r="P194" s="28"/>
    </row>
    <row r="195" ht="15.75" customHeight="1">
      <c r="A195" s="17"/>
      <c r="B195" s="77"/>
      <c r="C195" s="21"/>
      <c r="D195" s="78"/>
      <c r="E195" s="21"/>
      <c r="F195" s="72"/>
      <c r="G195" s="79"/>
      <c r="H195" s="72"/>
      <c r="I195" s="80"/>
      <c r="J195" s="81"/>
      <c r="K195" s="82"/>
      <c r="L195" s="83"/>
      <c r="M195" s="21"/>
      <c r="N195" s="84"/>
      <c r="O195" s="21"/>
      <c r="P195" s="28"/>
    </row>
    <row r="196" ht="15.75" customHeight="1">
      <c r="A196" s="17"/>
      <c r="B196" s="77"/>
      <c r="C196" s="21"/>
      <c r="D196" s="78"/>
      <c r="E196" s="21"/>
      <c r="F196" s="72"/>
      <c r="G196" s="79"/>
      <c r="H196" s="72"/>
      <c r="I196" s="80"/>
      <c r="J196" s="81"/>
      <c r="K196" s="82"/>
      <c r="L196" s="83"/>
      <c r="M196" s="21"/>
      <c r="N196" s="84"/>
      <c r="O196" s="21"/>
      <c r="P196" s="28"/>
    </row>
    <row r="197" ht="15.75" customHeight="1">
      <c r="A197" s="17"/>
      <c r="B197" s="77"/>
      <c r="C197" s="21"/>
      <c r="D197" s="78"/>
      <c r="E197" s="21"/>
      <c r="F197" s="72"/>
      <c r="G197" s="79"/>
      <c r="H197" s="72"/>
      <c r="I197" s="80"/>
      <c r="J197" s="81"/>
      <c r="K197" s="82"/>
      <c r="L197" s="83"/>
      <c r="M197" s="21"/>
      <c r="N197" s="84"/>
      <c r="O197" s="21"/>
      <c r="P197" s="28"/>
    </row>
    <row r="198" ht="15.75" customHeight="1">
      <c r="A198" s="17"/>
      <c r="B198" s="77"/>
      <c r="C198" s="21"/>
      <c r="D198" s="78"/>
      <c r="E198" s="21"/>
      <c r="F198" s="72"/>
      <c r="G198" s="79"/>
      <c r="H198" s="72"/>
      <c r="I198" s="80"/>
      <c r="J198" s="81"/>
      <c r="K198" s="82"/>
      <c r="L198" s="83"/>
      <c r="M198" s="21"/>
      <c r="N198" s="84"/>
      <c r="O198" s="21"/>
      <c r="P198" s="28"/>
    </row>
    <row r="199" ht="15.75" customHeight="1">
      <c r="A199" s="17"/>
      <c r="B199" s="77"/>
      <c r="C199" s="21"/>
      <c r="D199" s="78"/>
      <c r="E199" s="21"/>
      <c r="F199" s="72"/>
      <c r="G199" s="79"/>
      <c r="H199" s="72"/>
      <c r="I199" s="80"/>
      <c r="J199" s="81"/>
      <c r="K199" s="82"/>
      <c r="L199" s="83"/>
      <c r="M199" s="21"/>
      <c r="N199" s="84"/>
      <c r="O199" s="21"/>
      <c r="P199" s="28"/>
    </row>
    <row r="200" ht="15.75" customHeight="1">
      <c r="A200" s="17"/>
      <c r="B200" s="77"/>
      <c r="C200" s="21"/>
      <c r="D200" s="78"/>
      <c r="E200" s="21"/>
      <c r="F200" s="72"/>
      <c r="G200" s="79"/>
      <c r="H200" s="72"/>
      <c r="I200" s="80"/>
      <c r="J200" s="81"/>
      <c r="K200" s="82"/>
      <c r="L200" s="83"/>
      <c r="M200" s="21"/>
      <c r="N200" s="84"/>
      <c r="O200" s="21"/>
      <c r="P200" s="28"/>
    </row>
    <row r="201" ht="15.75" customHeight="1">
      <c r="A201" s="17"/>
      <c r="B201" s="77"/>
      <c r="C201" s="21"/>
      <c r="D201" s="78"/>
      <c r="E201" s="21"/>
      <c r="F201" s="72"/>
      <c r="G201" s="79"/>
      <c r="H201" s="72"/>
      <c r="I201" s="80"/>
      <c r="J201" s="81"/>
      <c r="K201" s="82"/>
      <c r="L201" s="83"/>
      <c r="M201" s="21"/>
      <c r="N201" s="84"/>
      <c r="O201" s="21"/>
      <c r="P201" s="28"/>
    </row>
    <row r="202" ht="15.75" customHeight="1">
      <c r="A202" s="17"/>
      <c r="B202" s="77"/>
      <c r="C202" s="21"/>
      <c r="D202" s="21"/>
      <c r="E202" s="21"/>
      <c r="F202" s="72"/>
      <c r="G202" s="79"/>
      <c r="H202" s="72"/>
      <c r="I202" s="80"/>
      <c r="J202" s="81"/>
      <c r="K202" s="82"/>
      <c r="L202" s="83"/>
      <c r="M202" s="21"/>
      <c r="N202" s="84"/>
      <c r="O202" s="21"/>
      <c r="P202" s="28"/>
    </row>
    <row r="203" ht="15.75" customHeight="1">
      <c r="A203" s="17"/>
      <c r="B203" s="77"/>
      <c r="C203" s="21"/>
      <c r="D203" s="21"/>
      <c r="E203" s="21"/>
      <c r="F203" s="72"/>
      <c r="G203" s="79"/>
      <c r="H203" s="72"/>
      <c r="I203" s="80"/>
      <c r="J203" s="81"/>
      <c r="K203" s="82"/>
      <c r="L203" s="83"/>
      <c r="M203" s="21"/>
      <c r="N203" s="84"/>
      <c r="O203" s="21"/>
      <c r="P203" s="28"/>
    </row>
    <row r="204" ht="15.75" customHeight="1">
      <c r="A204" s="17"/>
      <c r="B204" s="77"/>
      <c r="C204" s="21"/>
      <c r="D204" s="21"/>
      <c r="E204" s="21"/>
      <c r="F204" s="72"/>
      <c r="G204" s="79"/>
      <c r="H204" s="72"/>
      <c r="I204" s="80"/>
      <c r="J204" s="81"/>
      <c r="K204" s="82"/>
      <c r="L204" s="83"/>
      <c r="M204" s="21"/>
      <c r="N204" s="84"/>
      <c r="O204" s="21"/>
      <c r="P204" s="28"/>
    </row>
    <row r="205" ht="15.75" customHeight="1">
      <c r="A205" s="17"/>
      <c r="B205" s="77"/>
      <c r="C205" s="21"/>
      <c r="D205" s="21"/>
      <c r="E205" s="21"/>
      <c r="F205" s="72"/>
      <c r="G205" s="79"/>
      <c r="H205" s="72"/>
      <c r="I205" s="80"/>
      <c r="J205" s="81"/>
      <c r="K205" s="82"/>
      <c r="L205" s="83"/>
      <c r="M205" s="21"/>
      <c r="N205" s="84"/>
      <c r="O205" s="21"/>
      <c r="P205" s="28"/>
    </row>
    <row r="206" ht="15.75" customHeight="1">
      <c r="A206" s="17"/>
      <c r="B206" s="77"/>
      <c r="C206" s="21"/>
      <c r="D206" s="21"/>
      <c r="E206" s="21"/>
      <c r="F206" s="72"/>
      <c r="G206" s="79"/>
      <c r="H206" s="72"/>
      <c r="I206" s="80"/>
      <c r="J206" s="81"/>
      <c r="K206" s="82"/>
      <c r="L206" s="83"/>
      <c r="M206" s="21"/>
      <c r="N206" s="84"/>
      <c r="O206" s="21"/>
      <c r="P206" s="28"/>
    </row>
    <row r="207" ht="15.75" customHeight="1">
      <c r="A207" s="17"/>
      <c r="B207" s="77"/>
      <c r="C207" s="21"/>
      <c r="D207" s="21"/>
      <c r="E207" s="21"/>
      <c r="F207" s="72"/>
      <c r="G207" s="79"/>
      <c r="H207" s="72"/>
      <c r="I207" s="80"/>
      <c r="J207" s="81"/>
      <c r="K207" s="82"/>
      <c r="L207" s="83"/>
      <c r="M207" s="21"/>
      <c r="N207" s="84"/>
      <c r="O207" s="21"/>
      <c r="P207" s="28"/>
    </row>
    <row r="208" ht="15.75" customHeight="1">
      <c r="A208" s="17"/>
      <c r="B208" s="77"/>
      <c r="C208" s="21"/>
      <c r="D208" s="21"/>
      <c r="E208" s="21"/>
      <c r="F208" s="72"/>
      <c r="G208" s="79"/>
      <c r="H208" s="72"/>
      <c r="I208" s="80"/>
      <c r="J208" s="81"/>
      <c r="K208" s="82"/>
      <c r="L208" s="83"/>
      <c r="M208" s="21"/>
      <c r="N208" s="84"/>
      <c r="O208" s="21"/>
      <c r="P208" s="28"/>
    </row>
    <row r="209" ht="15.75" customHeight="1">
      <c r="A209" s="17"/>
      <c r="B209" s="77"/>
      <c r="C209" s="21"/>
      <c r="D209" s="21"/>
      <c r="E209" s="21"/>
      <c r="F209" s="72"/>
      <c r="G209" s="79"/>
      <c r="H209" s="72"/>
      <c r="I209" s="80"/>
      <c r="J209" s="81"/>
      <c r="K209" s="82"/>
      <c r="L209" s="83"/>
      <c r="M209" s="21"/>
      <c r="N209" s="84"/>
      <c r="O209" s="21"/>
      <c r="P209" s="28"/>
    </row>
    <row r="210" ht="15.75" customHeight="1">
      <c r="A210" s="17"/>
      <c r="B210" s="77"/>
      <c r="C210" s="21"/>
      <c r="D210" s="21"/>
      <c r="E210" s="21"/>
      <c r="F210" s="72"/>
      <c r="G210" s="79"/>
      <c r="H210" s="72"/>
      <c r="I210" s="80"/>
      <c r="J210" s="81"/>
      <c r="K210" s="82"/>
      <c r="L210" s="83"/>
      <c r="M210" s="21"/>
      <c r="N210" s="84"/>
      <c r="O210" s="21"/>
      <c r="P210" s="28"/>
    </row>
    <row r="211" ht="15.75" customHeight="1">
      <c r="A211" s="17"/>
      <c r="B211" s="77"/>
      <c r="C211" s="21"/>
      <c r="D211" s="21"/>
      <c r="E211" s="21"/>
      <c r="F211" s="72"/>
      <c r="G211" s="79"/>
      <c r="H211" s="72"/>
      <c r="I211" s="80"/>
      <c r="J211" s="81"/>
      <c r="K211" s="82"/>
      <c r="L211" s="83"/>
      <c r="M211" s="21"/>
      <c r="N211" s="84"/>
      <c r="O211" s="21"/>
      <c r="P211" s="28"/>
    </row>
    <row r="212" ht="15.75" customHeight="1">
      <c r="A212" s="17"/>
      <c r="B212" s="77"/>
      <c r="C212" s="21"/>
      <c r="D212" s="21"/>
      <c r="E212" s="21"/>
      <c r="F212" s="72"/>
      <c r="G212" s="79"/>
      <c r="H212" s="72"/>
      <c r="I212" s="80"/>
      <c r="J212" s="81"/>
      <c r="K212" s="82"/>
      <c r="L212" s="83"/>
      <c r="M212" s="21"/>
      <c r="N212" s="84"/>
      <c r="O212" s="21"/>
      <c r="P212" s="28"/>
    </row>
    <row r="213" ht="15.75" customHeight="1">
      <c r="A213" s="17"/>
      <c r="B213" s="77"/>
      <c r="C213" s="21"/>
      <c r="D213" s="21"/>
      <c r="E213" s="21"/>
      <c r="F213" s="72"/>
      <c r="G213" s="79"/>
      <c r="H213" s="72"/>
      <c r="I213" s="80"/>
      <c r="J213" s="81"/>
      <c r="K213" s="82"/>
      <c r="L213" s="83"/>
      <c r="M213" s="21"/>
      <c r="N213" s="84"/>
      <c r="O213" s="21"/>
      <c r="P213" s="28"/>
    </row>
    <row r="214" ht="15.75" customHeight="1">
      <c r="A214" s="17"/>
      <c r="B214" s="77"/>
      <c r="C214" s="21"/>
      <c r="D214" s="21"/>
      <c r="E214" s="21"/>
      <c r="F214" s="72"/>
      <c r="G214" s="79"/>
      <c r="H214" s="72"/>
      <c r="I214" s="80"/>
      <c r="J214" s="81"/>
      <c r="K214" s="82"/>
      <c r="L214" s="83"/>
      <c r="M214" s="21"/>
      <c r="N214" s="84"/>
      <c r="O214" s="21"/>
      <c r="P214" s="28"/>
    </row>
    <row r="215" ht="15.75" customHeight="1">
      <c r="A215" s="17"/>
      <c r="B215" s="77"/>
      <c r="C215" s="21"/>
      <c r="D215" s="21"/>
      <c r="E215" s="21"/>
      <c r="F215" s="72"/>
      <c r="G215" s="79"/>
      <c r="H215" s="72"/>
      <c r="I215" s="80"/>
      <c r="J215" s="81"/>
      <c r="K215" s="82"/>
      <c r="L215" s="83"/>
      <c r="M215" s="21"/>
      <c r="N215" s="84"/>
      <c r="O215" s="21"/>
      <c r="P215" s="28"/>
    </row>
    <row r="216" ht="15.75" customHeight="1">
      <c r="A216" s="17"/>
      <c r="B216" s="77"/>
      <c r="C216" s="21"/>
      <c r="D216" s="21"/>
      <c r="E216" s="21"/>
      <c r="F216" s="72"/>
      <c r="G216" s="79"/>
      <c r="H216" s="72"/>
      <c r="I216" s="80"/>
      <c r="J216" s="81"/>
      <c r="K216" s="82"/>
      <c r="L216" s="83"/>
      <c r="M216" s="21"/>
      <c r="N216" s="84"/>
      <c r="O216" s="21"/>
      <c r="P216" s="28"/>
    </row>
    <row r="217" ht="15.75" customHeight="1">
      <c r="A217" s="17"/>
      <c r="B217" s="77"/>
      <c r="C217" s="21"/>
      <c r="D217" s="21"/>
      <c r="E217" s="21"/>
      <c r="F217" s="72"/>
      <c r="G217" s="79"/>
      <c r="H217" s="72"/>
      <c r="I217" s="80"/>
      <c r="J217" s="81"/>
      <c r="K217" s="82"/>
      <c r="L217" s="83"/>
      <c r="M217" s="21"/>
      <c r="N217" s="84"/>
      <c r="O217" s="21"/>
      <c r="P217" s="28"/>
    </row>
    <row r="218" ht="15.75" customHeight="1">
      <c r="A218" s="17"/>
      <c r="B218" s="77"/>
      <c r="C218" s="21"/>
      <c r="D218" s="21"/>
      <c r="E218" s="21"/>
      <c r="F218" s="72"/>
      <c r="G218" s="79"/>
      <c r="H218" s="72"/>
      <c r="I218" s="80"/>
      <c r="J218" s="81"/>
      <c r="K218" s="82"/>
      <c r="L218" s="83"/>
      <c r="M218" s="21"/>
      <c r="N218" s="84"/>
      <c r="O218" s="21"/>
      <c r="P218" s="28"/>
    </row>
    <row r="219" ht="15.75" customHeight="1">
      <c r="A219" s="17"/>
      <c r="B219" s="77"/>
      <c r="C219" s="21"/>
      <c r="D219" s="21"/>
      <c r="E219" s="21"/>
      <c r="F219" s="72"/>
      <c r="G219" s="79"/>
      <c r="H219" s="72"/>
      <c r="I219" s="80"/>
      <c r="J219" s="81"/>
      <c r="K219" s="82"/>
      <c r="L219" s="83"/>
      <c r="M219" s="21"/>
      <c r="N219" s="84"/>
      <c r="O219" s="21"/>
      <c r="P219" s="28"/>
    </row>
    <row r="220" ht="15.75" customHeight="1">
      <c r="A220" s="17"/>
      <c r="B220" s="77"/>
      <c r="C220" s="21"/>
      <c r="D220" s="21"/>
      <c r="E220" s="21"/>
      <c r="F220" s="72"/>
      <c r="G220" s="79"/>
      <c r="H220" s="72"/>
      <c r="I220" s="80"/>
      <c r="J220" s="81"/>
      <c r="K220" s="82"/>
      <c r="L220" s="83"/>
      <c r="M220" s="21"/>
      <c r="N220" s="84"/>
      <c r="O220" s="21"/>
      <c r="P220" s="28"/>
    </row>
    <row r="221" ht="15.75" customHeight="1">
      <c r="A221" s="17"/>
      <c r="B221" s="77"/>
      <c r="C221" s="21"/>
      <c r="D221" s="21"/>
      <c r="E221" s="21"/>
      <c r="F221" s="72"/>
      <c r="G221" s="79"/>
      <c r="H221" s="72"/>
      <c r="I221" s="80"/>
      <c r="J221" s="81"/>
      <c r="K221" s="82"/>
      <c r="L221" s="83"/>
      <c r="M221" s="21"/>
      <c r="N221" s="84"/>
      <c r="O221" s="21"/>
      <c r="P221" s="28"/>
    </row>
    <row r="222" ht="15.75" customHeight="1">
      <c r="A222" s="17"/>
      <c r="B222" s="77"/>
      <c r="C222" s="21"/>
      <c r="D222" s="21"/>
      <c r="E222" s="21"/>
      <c r="F222" s="72"/>
      <c r="G222" s="79"/>
      <c r="H222" s="72"/>
      <c r="I222" s="80"/>
      <c r="J222" s="81"/>
      <c r="K222" s="82"/>
      <c r="L222" s="83"/>
      <c r="M222" s="21"/>
      <c r="N222" s="84"/>
      <c r="O222" s="21"/>
      <c r="P222" s="28"/>
    </row>
    <row r="223" ht="15.75" customHeight="1">
      <c r="A223" s="17"/>
      <c r="B223" s="77"/>
      <c r="C223" s="21"/>
      <c r="D223" s="21"/>
      <c r="E223" s="21"/>
      <c r="F223" s="72"/>
      <c r="G223" s="79"/>
      <c r="H223" s="72"/>
      <c r="I223" s="80"/>
      <c r="J223" s="81"/>
      <c r="K223" s="82"/>
      <c r="L223" s="83"/>
      <c r="M223" s="21"/>
      <c r="N223" s="84"/>
      <c r="O223" s="21"/>
      <c r="P223" s="28"/>
    </row>
    <row r="224" ht="15.75" customHeight="1">
      <c r="A224" s="17"/>
      <c r="B224" s="77"/>
      <c r="C224" s="21"/>
      <c r="D224" s="21"/>
      <c r="E224" s="21"/>
      <c r="F224" s="72"/>
      <c r="G224" s="79"/>
      <c r="H224" s="72"/>
      <c r="I224" s="80"/>
      <c r="J224" s="81"/>
      <c r="K224" s="82"/>
      <c r="L224" s="83"/>
      <c r="M224" s="21"/>
      <c r="N224" s="84"/>
      <c r="O224" s="21"/>
      <c r="P224" s="28"/>
    </row>
    <row r="225" ht="15.75" customHeight="1">
      <c r="A225" s="17"/>
      <c r="B225" s="77"/>
      <c r="C225" s="21"/>
      <c r="D225" s="21"/>
      <c r="E225" s="21"/>
      <c r="F225" s="72"/>
      <c r="G225" s="79"/>
      <c r="H225" s="72"/>
      <c r="I225" s="80"/>
      <c r="J225" s="81"/>
      <c r="K225" s="82"/>
      <c r="L225" s="83"/>
      <c r="M225" s="21"/>
      <c r="N225" s="84"/>
      <c r="O225" s="21"/>
      <c r="P225" s="28"/>
    </row>
    <row r="226" ht="15.75" customHeight="1">
      <c r="A226" s="17"/>
      <c r="B226" s="77"/>
      <c r="C226" s="21"/>
      <c r="D226" s="21"/>
      <c r="E226" s="21"/>
      <c r="F226" s="72"/>
      <c r="G226" s="79"/>
      <c r="H226" s="72"/>
      <c r="I226" s="80"/>
      <c r="J226" s="81"/>
      <c r="K226" s="82"/>
      <c r="L226" s="83"/>
      <c r="M226" s="21"/>
      <c r="N226" s="84"/>
      <c r="O226" s="21"/>
      <c r="P226" s="28"/>
    </row>
    <row r="227" ht="15.75" customHeight="1">
      <c r="A227" s="17"/>
      <c r="B227" s="77"/>
      <c r="C227" s="21"/>
      <c r="D227" s="21"/>
      <c r="E227" s="21"/>
      <c r="F227" s="72"/>
      <c r="G227" s="79"/>
      <c r="H227" s="72"/>
      <c r="I227" s="80"/>
      <c r="J227" s="81"/>
      <c r="K227" s="82"/>
      <c r="L227" s="83"/>
      <c r="M227" s="21"/>
      <c r="N227" s="84"/>
      <c r="O227" s="21"/>
      <c r="P227" s="28"/>
    </row>
    <row r="228" ht="15.75" customHeight="1">
      <c r="A228" s="17"/>
      <c r="B228" s="77"/>
      <c r="C228" s="21"/>
      <c r="D228" s="21"/>
      <c r="E228" s="21"/>
      <c r="F228" s="72"/>
      <c r="G228" s="79"/>
      <c r="H228" s="72"/>
      <c r="I228" s="80"/>
      <c r="J228" s="81"/>
      <c r="K228" s="82"/>
      <c r="L228" s="83"/>
      <c r="M228" s="21"/>
      <c r="N228" s="84"/>
      <c r="O228" s="21"/>
      <c r="P228" s="28"/>
    </row>
    <row r="229" ht="15.75" customHeight="1">
      <c r="A229" s="17"/>
      <c r="B229" s="77"/>
      <c r="C229" s="21"/>
      <c r="D229" s="21"/>
      <c r="E229" s="21"/>
      <c r="F229" s="72"/>
      <c r="G229" s="79"/>
      <c r="H229" s="72"/>
      <c r="I229" s="80"/>
      <c r="J229" s="81"/>
      <c r="K229" s="82"/>
      <c r="L229" s="83"/>
      <c r="M229" s="21"/>
      <c r="N229" s="84"/>
      <c r="O229" s="21"/>
      <c r="P229" s="28"/>
    </row>
    <row r="230" ht="15.75" customHeight="1">
      <c r="A230" s="17"/>
      <c r="B230" s="77"/>
      <c r="C230" s="21"/>
      <c r="D230" s="21"/>
      <c r="E230" s="21"/>
      <c r="F230" s="72"/>
      <c r="G230" s="79"/>
      <c r="H230" s="72"/>
      <c r="I230" s="80"/>
      <c r="J230" s="81"/>
      <c r="K230" s="82"/>
      <c r="L230" s="83"/>
      <c r="M230" s="21"/>
      <c r="N230" s="84"/>
      <c r="O230" s="21"/>
      <c r="P230" s="28"/>
    </row>
    <row r="231" ht="15.75" customHeight="1">
      <c r="A231" s="17"/>
      <c r="B231" s="77"/>
      <c r="C231" s="21"/>
      <c r="D231" s="21"/>
      <c r="E231" s="21"/>
      <c r="F231" s="72"/>
      <c r="G231" s="79"/>
      <c r="H231" s="72"/>
      <c r="I231" s="80"/>
      <c r="J231" s="81"/>
      <c r="K231" s="82"/>
      <c r="L231" s="83"/>
      <c r="M231" s="21"/>
      <c r="N231" s="84"/>
      <c r="O231" s="21"/>
      <c r="P231" s="28"/>
    </row>
    <row r="232" ht="15.75" customHeight="1">
      <c r="A232" s="17"/>
      <c r="B232" s="77"/>
      <c r="C232" s="21"/>
      <c r="D232" s="85"/>
      <c r="E232" s="21"/>
      <c r="F232" s="72"/>
      <c r="G232" s="79"/>
      <c r="H232" s="72"/>
      <c r="I232" s="80"/>
      <c r="J232" s="81"/>
      <c r="K232" s="82"/>
      <c r="L232" s="83"/>
      <c r="M232" s="21"/>
      <c r="N232" s="84"/>
      <c r="O232" s="21"/>
      <c r="P232" s="28"/>
    </row>
    <row r="233" ht="15.75" customHeight="1">
      <c r="A233" s="17"/>
      <c r="B233" s="77"/>
      <c r="C233" s="21"/>
      <c r="D233" s="21"/>
      <c r="E233" s="21"/>
      <c r="F233" s="72"/>
      <c r="G233" s="79"/>
      <c r="H233" s="72"/>
      <c r="I233" s="80"/>
      <c r="J233" s="81"/>
      <c r="K233" s="82"/>
      <c r="L233" s="83"/>
      <c r="M233" s="21"/>
      <c r="N233" s="84"/>
      <c r="O233" s="21"/>
      <c r="P233" s="28"/>
    </row>
    <row r="234" ht="15.75" customHeight="1">
      <c r="A234" s="17"/>
      <c r="B234" s="77"/>
      <c r="C234" s="21"/>
      <c r="D234" s="21"/>
      <c r="E234" s="21"/>
      <c r="F234" s="72"/>
      <c r="G234" s="79"/>
      <c r="H234" s="72"/>
      <c r="I234" s="80"/>
      <c r="J234" s="81"/>
      <c r="K234" s="82"/>
      <c r="L234" s="83"/>
      <c r="M234" s="21"/>
      <c r="N234" s="84"/>
      <c r="O234" s="21"/>
      <c r="P234" s="28"/>
    </row>
    <row r="235" ht="15.75" customHeight="1">
      <c r="A235" s="17"/>
      <c r="B235" s="77"/>
      <c r="C235" s="21"/>
      <c r="D235" s="20"/>
      <c r="E235" s="21"/>
      <c r="F235" s="72"/>
      <c r="G235" s="79"/>
      <c r="H235" s="72"/>
      <c r="I235" s="80"/>
      <c r="J235" s="81"/>
      <c r="K235" s="82"/>
      <c r="L235" s="83"/>
      <c r="M235" s="21"/>
      <c r="N235" s="84"/>
      <c r="O235" s="21"/>
      <c r="P235" s="28"/>
    </row>
    <row r="236" ht="15.75" customHeight="1">
      <c r="A236" s="17"/>
      <c r="B236" s="77"/>
      <c r="C236" s="21"/>
      <c r="D236" s="21"/>
      <c r="E236" s="21"/>
      <c r="F236" s="72"/>
      <c r="G236" s="79"/>
      <c r="H236" s="72"/>
      <c r="I236" s="80"/>
      <c r="J236" s="81"/>
      <c r="K236" s="82"/>
      <c r="L236" s="83"/>
      <c r="M236" s="21"/>
      <c r="N236" s="84"/>
      <c r="O236" s="21"/>
      <c r="P236" s="28"/>
    </row>
    <row r="237" ht="15.75" customHeight="1">
      <c r="A237" s="17"/>
      <c r="B237" s="77"/>
      <c r="C237" s="21"/>
      <c r="D237" s="21"/>
      <c r="E237" s="21"/>
      <c r="F237" s="72"/>
      <c r="G237" s="79"/>
      <c r="H237" s="72"/>
      <c r="I237" s="80"/>
      <c r="J237" s="86"/>
      <c r="K237" s="82"/>
      <c r="L237" s="83"/>
      <c r="M237" s="21"/>
      <c r="N237" s="84"/>
      <c r="O237" s="21"/>
      <c r="P237" s="28"/>
    </row>
    <row r="238" ht="15.75" customHeight="1">
      <c r="A238" s="17"/>
      <c r="B238" s="77"/>
      <c r="C238" s="21"/>
      <c r="D238" s="21"/>
      <c r="E238" s="21"/>
      <c r="F238" s="72"/>
      <c r="G238" s="79"/>
      <c r="H238" s="72"/>
      <c r="I238" s="80"/>
      <c r="J238" s="81"/>
      <c r="K238" s="82"/>
      <c r="L238" s="83"/>
      <c r="M238" s="21"/>
      <c r="N238" s="84"/>
      <c r="O238" s="21"/>
      <c r="P238" s="28"/>
    </row>
    <row r="239" ht="15.75" customHeight="1">
      <c r="A239" s="17"/>
      <c r="B239" s="77"/>
      <c r="C239" s="21"/>
      <c r="D239" s="21"/>
      <c r="E239" s="21"/>
      <c r="F239" s="72"/>
      <c r="G239" s="79"/>
      <c r="H239" s="72"/>
      <c r="I239" s="80"/>
      <c r="J239" s="81"/>
      <c r="K239" s="82"/>
      <c r="L239" s="83"/>
      <c r="M239" s="21"/>
      <c r="N239" s="84"/>
      <c r="O239" s="21"/>
      <c r="P239" s="28"/>
    </row>
    <row r="240" ht="15.75" customHeight="1">
      <c r="A240" s="17"/>
      <c r="B240" s="77"/>
      <c r="C240" s="21"/>
      <c r="D240" s="21"/>
      <c r="E240" s="21"/>
      <c r="F240" s="72"/>
      <c r="G240" s="79"/>
      <c r="H240" s="72"/>
      <c r="I240" s="80"/>
      <c r="J240" s="81"/>
      <c r="K240" s="82"/>
      <c r="L240" s="83"/>
      <c r="M240" s="21"/>
      <c r="N240" s="84"/>
      <c r="O240" s="21"/>
      <c r="P240" s="28"/>
    </row>
    <row r="241" ht="15.75" customHeight="1">
      <c r="A241" s="17"/>
      <c r="B241" s="77"/>
      <c r="C241" s="21"/>
      <c r="D241" s="21"/>
      <c r="E241" s="21"/>
      <c r="F241" s="72"/>
      <c r="G241" s="79"/>
      <c r="H241" s="72"/>
      <c r="I241" s="80"/>
      <c r="J241" s="81"/>
      <c r="K241" s="82"/>
      <c r="L241" s="83"/>
      <c r="M241" s="21"/>
      <c r="N241" s="84"/>
      <c r="O241" s="21"/>
      <c r="P241" s="28"/>
    </row>
    <row r="242" ht="15.75" customHeight="1">
      <c r="A242" s="17"/>
      <c r="B242" s="77"/>
      <c r="C242" s="21"/>
      <c r="D242" s="21"/>
      <c r="E242" s="21"/>
      <c r="F242" s="72"/>
      <c r="G242" s="79"/>
      <c r="H242" s="72"/>
      <c r="I242" s="80"/>
      <c r="J242" s="81"/>
      <c r="K242" s="82"/>
      <c r="L242" s="83"/>
      <c r="M242" s="21"/>
      <c r="N242" s="84"/>
      <c r="O242" s="21"/>
      <c r="P242" s="28"/>
    </row>
    <row r="243" ht="15.75" customHeight="1">
      <c r="A243" s="17"/>
      <c r="B243" s="77"/>
      <c r="C243" s="21"/>
      <c r="D243" s="21"/>
      <c r="E243" s="21"/>
      <c r="F243" s="72"/>
      <c r="G243" s="79"/>
      <c r="H243" s="72"/>
      <c r="I243" s="80"/>
      <c r="J243" s="81"/>
      <c r="K243" s="82"/>
      <c r="L243" s="83"/>
      <c r="M243" s="21"/>
      <c r="N243" s="84"/>
      <c r="O243" s="21"/>
      <c r="P243" s="28"/>
    </row>
    <row r="244" ht="15.75" customHeight="1">
      <c r="A244" s="17"/>
      <c r="B244" s="77"/>
      <c r="C244" s="21"/>
      <c r="D244" s="20"/>
      <c r="E244" s="21"/>
      <c r="F244" s="72"/>
      <c r="G244" s="79"/>
      <c r="H244" s="72"/>
      <c r="I244" s="80"/>
      <c r="J244" s="81"/>
      <c r="K244" s="82"/>
      <c r="L244" s="83"/>
      <c r="M244" s="21"/>
      <c r="N244" s="84"/>
      <c r="O244" s="21"/>
      <c r="P244" s="28"/>
    </row>
    <row r="245" ht="15.75" customHeight="1">
      <c r="A245" s="17"/>
      <c r="B245" s="77"/>
      <c r="C245" s="21"/>
      <c r="D245" s="21"/>
      <c r="E245" s="21"/>
      <c r="F245" s="72"/>
      <c r="G245" s="79"/>
      <c r="H245" s="72"/>
      <c r="I245" s="80"/>
      <c r="J245" s="81"/>
      <c r="K245" s="82"/>
      <c r="L245" s="83"/>
      <c r="M245" s="21"/>
      <c r="N245" s="84"/>
      <c r="O245" s="21"/>
      <c r="P245" s="28"/>
    </row>
    <row r="246" ht="15.75" customHeight="1">
      <c r="A246" s="17"/>
      <c r="B246" s="87"/>
      <c r="C246" s="21"/>
      <c r="D246" s="21"/>
      <c r="E246" s="21"/>
      <c r="F246" s="72"/>
      <c r="G246" s="79"/>
      <c r="H246" s="72"/>
      <c r="I246" s="80"/>
      <c r="J246" s="81"/>
      <c r="K246" s="82"/>
      <c r="L246" s="83"/>
      <c r="M246" s="21"/>
      <c r="N246" s="84"/>
      <c r="O246" s="21"/>
      <c r="P246" s="28"/>
    </row>
    <row r="247" ht="15.75" customHeight="1">
      <c r="A247" s="17"/>
      <c r="B247" s="88"/>
      <c r="C247" s="21"/>
      <c r="D247" s="20"/>
      <c r="E247" s="21"/>
      <c r="F247" s="72"/>
      <c r="G247" s="79"/>
      <c r="H247" s="72"/>
      <c r="I247" s="80"/>
      <c r="J247" s="81"/>
      <c r="K247" s="82"/>
      <c r="L247" s="83"/>
      <c r="M247" s="21"/>
      <c r="N247" s="84"/>
      <c r="O247" s="21"/>
      <c r="P247" s="28"/>
    </row>
    <row r="248" ht="15.75" customHeight="1">
      <c r="A248" s="17"/>
      <c r="B248" s="77"/>
      <c r="C248" s="21"/>
      <c r="D248" s="21"/>
      <c r="E248" s="21"/>
      <c r="F248" s="72"/>
      <c r="G248" s="79"/>
      <c r="H248" s="72"/>
      <c r="I248" s="80"/>
      <c r="J248" s="81"/>
      <c r="K248" s="82"/>
      <c r="L248" s="83"/>
      <c r="M248" s="21"/>
      <c r="N248" s="84"/>
      <c r="O248" s="21"/>
      <c r="P248" s="28"/>
    </row>
    <row r="249" ht="15.75" customHeight="1">
      <c r="A249" s="17"/>
      <c r="B249" s="77"/>
      <c r="C249" s="21"/>
      <c r="D249" s="85"/>
      <c r="E249" s="21"/>
      <c r="F249" s="72"/>
      <c r="G249" s="79"/>
      <c r="H249" s="72"/>
      <c r="I249" s="80"/>
      <c r="J249" s="81"/>
      <c r="K249" s="82"/>
      <c r="L249" s="83"/>
      <c r="M249" s="21"/>
      <c r="N249" s="84"/>
      <c r="O249" s="21"/>
      <c r="P249" s="28"/>
    </row>
    <row r="250" ht="15.75" customHeight="1">
      <c r="A250" s="17"/>
      <c r="B250" s="77"/>
      <c r="C250" s="21"/>
      <c r="D250" s="21"/>
      <c r="E250" s="21"/>
      <c r="F250" s="72"/>
      <c r="G250" s="79"/>
      <c r="H250" s="72"/>
      <c r="I250" s="80"/>
      <c r="J250" s="81"/>
      <c r="K250" s="82"/>
      <c r="L250" s="83"/>
      <c r="M250" s="21"/>
      <c r="N250" s="84"/>
      <c r="O250" s="21"/>
      <c r="P250" s="28"/>
    </row>
    <row r="251" ht="15.75" customHeight="1">
      <c r="A251" s="17"/>
      <c r="B251" s="77"/>
      <c r="C251" s="21"/>
      <c r="D251" s="85"/>
      <c r="E251" s="21"/>
      <c r="F251" s="72"/>
      <c r="G251" s="79"/>
      <c r="H251" s="72"/>
      <c r="I251" s="80"/>
      <c r="J251" s="81"/>
      <c r="K251" s="82"/>
      <c r="L251" s="83"/>
      <c r="M251" s="21"/>
      <c r="N251" s="89"/>
      <c r="O251" s="21"/>
      <c r="P251" s="28"/>
    </row>
    <row r="252" ht="15.75" customHeight="1">
      <c r="A252" s="17"/>
      <c r="B252" s="77"/>
      <c r="C252" s="21"/>
      <c r="D252" s="21"/>
      <c r="E252" s="21"/>
      <c r="F252" s="72"/>
      <c r="G252" s="79"/>
      <c r="H252" s="72"/>
      <c r="I252" s="80"/>
      <c r="J252" s="86"/>
      <c r="K252" s="82"/>
      <c r="L252" s="83"/>
      <c r="M252" s="21"/>
      <c r="N252" s="84"/>
      <c r="O252" s="21"/>
      <c r="P252" s="28"/>
    </row>
    <row r="253" ht="15.75" customHeight="1">
      <c r="A253" s="17"/>
      <c r="B253" s="88"/>
      <c r="C253" s="21"/>
      <c r="D253" s="21"/>
      <c r="E253" s="21"/>
      <c r="F253" s="72"/>
      <c r="G253" s="79"/>
      <c r="H253" s="72"/>
      <c r="I253" s="80"/>
      <c r="J253" s="86"/>
      <c r="K253" s="82"/>
      <c r="L253" s="83"/>
      <c r="M253" s="21"/>
      <c r="N253" s="84"/>
      <c r="O253" s="21"/>
      <c r="P253" s="28"/>
    </row>
    <row r="254" ht="15.75" customHeight="1">
      <c r="A254" s="17"/>
      <c r="B254" s="77"/>
      <c r="C254" s="21"/>
      <c r="D254" s="21"/>
      <c r="E254" s="21"/>
      <c r="F254" s="72"/>
      <c r="G254" s="79"/>
      <c r="H254" s="72"/>
      <c r="I254" s="80"/>
      <c r="J254" s="86"/>
      <c r="K254" s="82"/>
      <c r="L254" s="83"/>
      <c r="M254" s="21"/>
      <c r="N254" s="84"/>
      <c r="O254" s="21"/>
      <c r="P254" s="28"/>
    </row>
    <row r="255" ht="15.75" customHeight="1">
      <c r="A255" s="17"/>
      <c r="B255" s="77"/>
      <c r="C255" s="21"/>
      <c r="D255" s="21"/>
      <c r="E255" s="21"/>
      <c r="F255" s="72"/>
      <c r="G255" s="79"/>
      <c r="H255" s="72"/>
      <c r="I255" s="80"/>
      <c r="J255" s="86"/>
      <c r="K255" s="82"/>
      <c r="L255" s="83"/>
      <c r="M255" s="21"/>
      <c r="N255" s="84"/>
      <c r="O255" s="21"/>
      <c r="P255" s="28"/>
    </row>
    <row r="256" ht="15.75" customHeight="1">
      <c r="A256" s="17"/>
      <c r="B256" s="77"/>
      <c r="C256" s="21"/>
      <c r="D256" s="21"/>
      <c r="E256" s="21"/>
      <c r="F256" s="72"/>
      <c r="G256" s="79"/>
      <c r="H256" s="72"/>
      <c r="I256" s="80"/>
      <c r="J256" s="86"/>
      <c r="K256" s="82"/>
      <c r="L256" s="83"/>
      <c r="M256" s="21"/>
      <c r="N256" s="84"/>
      <c r="O256" s="21"/>
      <c r="P256" s="28"/>
    </row>
    <row r="257" ht="15.75" customHeight="1">
      <c r="A257" s="17"/>
      <c r="B257" s="77"/>
      <c r="C257" s="21"/>
      <c r="D257" s="21"/>
      <c r="E257" s="21"/>
      <c r="F257" s="72"/>
      <c r="G257" s="79"/>
      <c r="H257" s="72"/>
      <c r="I257" s="80"/>
      <c r="J257" s="86"/>
      <c r="K257" s="82"/>
      <c r="L257" s="83"/>
      <c r="M257" s="21"/>
      <c r="N257" s="84"/>
      <c r="O257" s="21"/>
      <c r="P257" s="28"/>
    </row>
    <row r="258" ht="15.75" customHeight="1">
      <c r="A258" s="17"/>
      <c r="B258" s="77"/>
      <c r="C258" s="21"/>
      <c r="D258" s="20"/>
      <c r="E258" s="21"/>
      <c r="F258" s="72"/>
      <c r="G258" s="79"/>
      <c r="H258" s="72"/>
      <c r="I258" s="80"/>
      <c r="J258" s="81"/>
      <c r="K258" s="82"/>
      <c r="L258" s="83"/>
      <c r="M258" s="21"/>
      <c r="N258" s="84"/>
      <c r="O258" s="21"/>
      <c r="P258" s="28"/>
    </row>
    <row r="259" ht="15.75" customHeight="1">
      <c r="A259" s="17"/>
      <c r="B259" s="77"/>
      <c r="C259" s="21"/>
      <c r="D259" s="21"/>
      <c r="E259" s="21"/>
      <c r="F259" s="72"/>
      <c r="G259" s="79"/>
      <c r="H259" s="72"/>
      <c r="I259" s="80"/>
      <c r="J259" s="86"/>
      <c r="K259" s="82"/>
      <c r="L259" s="83"/>
      <c r="M259" s="21"/>
      <c r="N259" s="84"/>
      <c r="O259" s="21"/>
      <c r="P259" s="28"/>
    </row>
    <row r="260" ht="15.75" customHeight="1">
      <c r="A260" s="17"/>
      <c r="B260" s="77"/>
      <c r="C260" s="21"/>
      <c r="D260" s="21"/>
      <c r="E260" s="21"/>
      <c r="F260" s="72"/>
      <c r="G260" s="79"/>
      <c r="H260" s="72"/>
      <c r="I260" s="80"/>
      <c r="J260" s="86"/>
      <c r="K260" s="82"/>
      <c r="L260" s="83"/>
      <c r="M260" s="21"/>
      <c r="N260" s="84"/>
      <c r="O260" s="21"/>
      <c r="P260" s="28"/>
    </row>
    <row r="261" ht="15.75" customHeight="1">
      <c r="A261" s="17"/>
      <c r="B261" s="77"/>
      <c r="C261" s="21"/>
      <c r="D261" s="21"/>
      <c r="E261" s="21"/>
      <c r="F261" s="72"/>
      <c r="G261" s="79"/>
      <c r="H261" s="72"/>
      <c r="I261" s="80"/>
      <c r="J261" s="86"/>
      <c r="K261" s="82"/>
      <c r="L261" s="83"/>
      <c r="M261" s="21"/>
      <c r="N261" s="84"/>
      <c r="O261" s="21"/>
      <c r="P261" s="28"/>
    </row>
    <row r="262" ht="15.75" customHeight="1">
      <c r="A262" s="17"/>
      <c r="B262" s="77"/>
      <c r="C262" s="21"/>
      <c r="D262" s="21"/>
      <c r="E262" s="21"/>
      <c r="F262" s="72"/>
      <c r="G262" s="79"/>
      <c r="H262" s="72"/>
      <c r="I262" s="80"/>
      <c r="J262" s="86"/>
      <c r="K262" s="82"/>
      <c r="L262" s="83"/>
      <c r="M262" s="21"/>
      <c r="N262" s="84"/>
      <c r="O262" s="21"/>
      <c r="P262" s="28"/>
    </row>
    <row r="263" ht="15.75" customHeight="1">
      <c r="A263" s="17"/>
      <c r="B263" s="77"/>
      <c r="C263" s="21"/>
      <c r="D263" s="21"/>
      <c r="E263" s="21"/>
      <c r="F263" s="72"/>
      <c r="G263" s="79"/>
      <c r="H263" s="72"/>
      <c r="I263" s="80"/>
      <c r="J263" s="86"/>
      <c r="K263" s="82"/>
      <c r="L263" s="83"/>
      <c r="M263" s="21"/>
      <c r="N263" s="84"/>
      <c r="O263" s="21"/>
      <c r="P263" s="28"/>
    </row>
    <row r="264" ht="15.75" customHeight="1">
      <c r="A264" s="17"/>
      <c r="B264" s="77"/>
      <c r="C264" s="21"/>
      <c r="D264" s="21"/>
      <c r="E264" s="21"/>
      <c r="F264" s="72"/>
      <c r="G264" s="79"/>
      <c r="H264" s="72"/>
      <c r="I264" s="80"/>
      <c r="J264" s="81"/>
      <c r="K264" s="82"/>
      <c r="L264" s="83"/>
      <c r="M264" s="21"/>
      <c r="N264" s="84"/>
      <c r="O264" s="21"/>
      <c r="P264" s="28"/>
    </row>
    <row r="265" ht="15.75" customHeight="1">
      <c r="A265" s="17"/>
      <c r="B265" s="77"/>
      <c r="C265" s="21"/>
      <c r="D265" s="20"/>
      <c r="E265" s="21"/>
      <c r="F265" s="72"/>
      <c r="G265" s="79"/>
      <c r="H265" s="72"/>
      <c r="I265" s="80"/>
      <c r="J265" s="81"/>
      <c r="K265" s="82"/>
      <c r="L265" s="83"/>
      <c r="M265" s="21"/>
      <c r="N265" s="84"/>
      <c r="O265" s="21"/>
      <c r="P265" s="28"/>
    </row>
    <row r="266" ht="15.75" customHeight="1">
      <c r="A266" s="17"/>
      <c r="B266" s="77"/>
      <c r="C266" s="21"/>
      <c r="D266" s="21"/>
      <c r="E266" s="21"/>
      <c r="F266" s="72"/>
      <c r="G266" s="79"/>
      <c r="H266" s="72"/>
      <c r="I266" s="80"/>
      <c r="J266" s="81"/>
      <c r="K266" s="82"/>
      <c r="L266" s="83"/>
      <c r="M266" s="21"/>
      <c r="N266" s="84"/>
      <c r="O266" s="21"/>
      <c r="P266" s="28"/>
    </row>
    <row r="267" ht="15.75" customHeight="1">
      <c r="A267" s="17"/>
      <c r="B267" s="77"/>
      <c r="C267" s="21"/>
      <c r="D267" s="90"/>
      <c r="E267" s="21"/>
      <c r="F267" s="72"/>
      <c r="G267" s="79"/>
      <c r="H267" s="72"/>
      <c r="I267" s="80"/>
      <c r="J267" s="81"/>
      <c r="K267" s="82"/>
      <c r="L267" s="83"/>
      <c r="M267" s="21"/>
      <c r="N267" s="84"/>
      <c r="O267" s="21"/>
      <c r="P267" s="28"/>
    </row>
    <row r="268" ht="15.75" customHeight="1">
      <c r="A268" s="17"/>
      <c r="B268" s="77"/>
      <c r="C268" s="21"/>
      <c r="D268" s="21"/>
      <c r="E268" s="21"/>
      <c r="F268" s="72"/>
      <c r="G268" s="79"/>
      <c r="H268" s="72"/>
      <c r="I268" s="80"/>
      <c r="J268" s="81"/>
      <c r="K268" s="82"/>
      <c r="L268" s="83"/>
      <c r="M268" s="21"/>
      <c r="N268" s="84"/>
      <c r="O268" s="21"/>
      <c r="P268" s="28"/>
    </row>
    <row r="269" ht="15.75" customHeight="1">
      <c r="A269" s="17"/>
      <c r="B269" s="77"/>
      <c r="C269" s="21"/>
      <c r="D269" s="21"/>
      <c r="E269" s="21"/>
      <c r="F269" s="72"/>
      <c r="G269" s="79"/>
      <c r="H269" s="72"/>
      <c r="I269" s="80"/>
      <c r="J269" s="81"/>
      <c r="K269" s="82"/>
      <c r="L269" s="83"/>
      <c r="M269" s="21"/>
      <c r="N269" s="84"/>
      <c r="O269" s="21"/>
      <c r="P269" s="28"/>
    </row>
    <row r="270" ht="15.75" customHeight="1">
      <c r="A270" s="17"/>
      <c r="B270" s="77"/>
      <c r="C270" s="21"/>
      <c r="D270" s="21"/>
      <c r="E270" s="21"/>
      <c r="F270" s="72"/>
      <c r="G270" s="79"/>
      <c r="H270" s="72"/>
      <c r="I270" s="80"/>
      <c r="J270" s="81"/>
      <c r="K270" s="82"/>
      <c r="L270" s="83"/>
      <c r="M270" s="21"/>
      <c r="N270" s="84"/>
      <c r="O270" s="21"/>
      <c r="P270" s="28"/>
    </row>
    <row r="271" ht="15.75" customHeight="1">
      <c r="A271" s="91" t="s">
        <v>189</v>
      </c>
      <c r="B271" s="92"/>
      <c r="C271" s="93"/>
      <c r="D271" s="94"/>
      <c r="E271" s="95"/>
      <c r="F271" s="96"/>
      <c r="G271" s="79"/>
      <c r="H271" s="97"/>
      <c r="I271" s="98"/>
      <c r="J271" s="99"/>
      <c r="K271" s="82"/>
      <c r="L271" s="83"/>
      <c r="M271" s="21"/>
      <c r="N271" s="100"/>
      <c r="O271" s="21"/>
      <c r="P271" s="28"/>
    </row>
    <row r="272" ht="15.75" customHeight="1">
      <c r="A272" s="17" t="s">
        <v>190</v>
      </c>
      <c r="B272" s="77"/>
      <c r="C272" s="21"/>
      <c r="D272" s="21"/>
      <c r="E272" s="21"/>
      <c r="F272" s="72"/>
      <c r="G272" s="79"/>
      <c r="H272" s="72"/>
      <c r="I272" s="80"/>
      <c r="J272" s="86"/>
      <c r="K272" s="82"/>
      <c r="L272" s="83"/>
      <c r="M272" s="21"/>
      <c r="N272" s="84"/>
      <c r="O272" s="21"/>
      <c r="P272" s="28"/>
    </row>
    <row r="273" ht="15.75" customHeight="1">
      <c r="A273" s="17" t="s">
        <v>191</v>
      </c>
      <c r="B273" s="77"/>
      <c r="C273" s="21"/>
      <c r="D273" s="20"/>
      <c r="E273" s="21"/>
      <c r="F273" s="72"/>
      <c r="G273" s="79"/>
      <c r="H273" s="72"/>
      <c r="I273" s="80"/>
      <c r="J273" s="81"/>
      <c r="K273" s="82"/>
      <c r="L273" s="83"/>
      <c r="M273" s="21"/>
      <c r="N273" s="84"/>
      <c r="O273" s="21"/>
      <c r="P273" s="28"/>
    </row>
    <row r="274" ht="15.75" customHeight="1">
      <c r="A274" s="17" t="s">
        <v>191</v>
      </c>
      <c r="B274" s="77"/>
      <c r="C274" s="21"/>
      <c r="D274" s="20"/>
      <c r="E274" s="21"/>
      <c r="F274" s="72"/>
      <c r="G274" s="79"/>
      <c r="H274" s="72"/>
      <c r="I274" s="80"/>
      <c r="J274" s="81"/>
      <c r="K274" s="82"/>
      <c r="L274" s="83"/>
      <c r="M274" s="21"/>
      <c r="N274" s="84"/>
      <c r="O274" s="21"/>
      <c r="P274" s="28"/>
    </row>
    <row r="275" ht="15.75" customHeight="1">
      <c r="A275" s="17" t="s">
        <v>191</v>
      </c>
      <c r="B275" s="77"/>
      <c r="C275" s="21"/>
      <c r="D275" s="20"/>
      <c r="E275" s="21"/>
      <c r="F275" s="72"/>
      <c r="G275" s="79"/>
      <c r="H275" s="72"/>
      <c r="I275" s="80"/>
      <c r="J275" s="81"/>
      <c r="K275" s="82"/>
      <c r="L275" s="83"/>
      <c r="M275" s="21"/>
      <c r="N275" s="84"/>
      <c r="O275" s="21"/>
      <c r="P275" s="28"/>
    </row>
    <row r="276" ht="15.75" customHeight="1">
      <c r="A276" s="17" t="s">
        <v>191</v>
      </c>
      <c r="B276" s="77"/>
      <c r="C276" s="21"/>
      <c r="D276" s="21"/>
      <c r="E276" s="21"/>
      <c r="F276" s="72"/>
      <c r="G276" s="79"/>
      <c r="H276" s="72"/>
      <c r="I276" s="80"/>
      <c r="J276" s="81"/>
      <c r="K276" s="82"/>
      <c r="L276" s="83"/>
      <c r="M276" s="21"/>
      <c r="N276" s="84"/>
      <c r="O276" s="21"/>
      <c r="P276" s="28"/>
    </row>
    <row r="277" ht="15.75" customHeight="1">
      <c r="A277" s="17" t="s">
        <v>191</v>
      </c>
      <c r="B277" s="77"/>
      <c r="C277" s="21"/>
      <c r="D277" s="21"/>
      <c r="E277" s="21"/>
      <c r="F277" s="72"/>
      <c r="G277" s="79"/>
      <c r="H277" s="72"/>
      <c r="I277" s="80"/>
      <c r="J277" s="81"/>
      <c r="K277" s="82"/>
      <c r="L277" s="83"/>
      <c r="M277" s="21"/>
      <c r="N277" s="84"/>
      <c r="O277" s="21"/>
      <c r="P277" s="28"/>
    </row>
    <row r="278" ht="15.75" customHeight="1">
      <c r="A278" s="17" t="s">
        <v>191</v>
      </c>
      <c r="B278" s="88"/>
      <c r="C278" s="21"/>
      <c r="D278" s="20"/>
      <c r="E278" s="21"/>
      <c r="F278" s="72"/>
      <c r="G278" s="79"/>
      <c r="H278" s="72"/>
      <c r="I278" s="80"/>
      <c r="J278" s="81"/>
      <c r="K278" s="82"/>
      <c r="L278" s="83"/>
      <c r="M278" s="21"/>
      <c r="N278" s="84"/>
      <c r="O278" s="21"/>
      <c r="P278" s="28"/>
    </row>
    <row r="279" ht="15.75" customHeight="1">
      <c r="A279" s="17" t="s">
        <v>192</v>
      </c>
      <c r="B279" s="88"/>
      <c r="C279" s="21"/>
      <c r="D279" s="20"/>
      <c r="E279" s="21"/>
      <c r="F279" s="101"/>
      <c r="G279" s="79"/>
      <c r="H279" s="101"/>
      <c r="I279" s="80"/>
      <c r="J279" s="81"/>
      <c r="K279" s="82"/>
      <c r="L279" s="83"/>
      <c r="M279" s="21"/>
      <c r="N279" s="84"/>
      <c r="O279" s="21"/>
      <c r="P279" s="28"/>
    </row>
    <row r="280" ht="15.75" customHeight="1">
      <c r="A280" s="17" t="s">
        <v>193</v>
      </c>
      <c r="B280" s="77"/>
      <c r="C280" s="21"/>
      <c r="D280" s="20"/>
      <c r="E280" s="21"/>
      <c r="F280" s="72"/>
      <c r="G280" s="79"/>
      <c r="H280" s="72"/>
      <c r="I280" s="80"/>
      <c r="J280" s="81"/>
      <c r="K280" s="82"/>
      <c r="L280" s="83"/>
      <c r="M280" s="21"/>
      <c r="N280" s="84"/>
      <c r="O280" s="21"/>
      <c r="P280" s="28"/>
    </row>
    <row r="281" ht="15.75" customHeight="1">
      <c r="A281" s="17" t="s">
        <v>193</v>
      </c>
      <c r="B281" s="77"/>
      <c r="C281" s="21"/>
      <c r="D281" s="20"/>
      <c r="E281" s="21"/>
      <c r="F281" s="72"/>
      <c r="G281" s="79"/>
      <c r="H281" s="72"/>
      <c r="I281" s="80"/>
      <c r="J281" s="81"/>
      <c r="K281" s="82"/>
      <c r="L281" s="83"/>
      <c r="M281" s="21"/>
      <c r="N281" s="84"/>
      <c r="O281" s="21"/>
      <c r="P281" s="28"/>
    </row>
    <row r="282" ht="15.75" customHeight="1">
      <c r="A282" s="17" t="s">
        <v>193</v>
      </c>
      <c r="B282" s="77"/>
      <c r="C282" s="21"/>
      <c r="D282" s="102"/>
      <c r="E282" s="21"/>
      <c r="F282" s="72"/>
      <c r="G282" s="79"/>
      <c r="H282" s="72"/>
      <c r="I282" s="80"/>
      <c r="J282" s="81"/>
      <c r="K282" s="82"/>
      <c r="L282" s="83"/>
      <c r="M282" s="21"/>
      <c r="N282" s="84"/>
      <c r="O282" s="21"/>
      <c r="P282" s="28"/>
    </row>
    <row r="283" ht="15.75" customHeight="1">
      <c r="A283" s="17" t="s">
        <v>194</v>
      </c>
      <c r="B283" s="77"/>
      <c r="C283" s="21"/>
      <c r="D283" s="102"/>
      <c r="E283" s="21"/>
      <c r="F283" s="72"/>
      <c r="G283" s="79"/>
      <c r="H283" s="72"/>
      <c r="I283" s="80"/>
      <c r="J283" s="81"/>
      <c r="K283" s="82"/>
      <c r="L283" s="83"/>
      <c r="M283" s="21"/>
      <c r="N283" s="84"/>
      <c r="O283" s="21"/>
      <c r="P283" s="28"/>
    </row>
    <row r="284" ht="15.75" customHeight="1">
      <c r="A284" s="17" t="s">
        <v>194</v>
      </c>
      <c r="B284" s="77"/>
      <c r="C284" s="21"/>
      <c r="D284" s="20"/>
      <c r="E284" s="21"/>
      <c r="F284" s="72"/>
      <c r="G284" s="79"/>
      <c r="H284" s="72"/>
      <c r="I284" s="80"/>
      <c r="J284" s="81"/>
      <c r="K284" s="82"/>
      <c r="L284" s="83"/>
      <c r="M284" s="21"/>
      <c r="N284" s="84"/>
      <c r="O284" s="21"/>
      <c r="P284" s="28"/>
    </row>
    <row r="285" ht="15.75" customHeight="1">
      <c r="A285" s="17" t="s">
        <v>195</v>
      </c>
      <c r="B285" s="77"/>
      <c r="C285" s="21"/>
      <c r="D285" s="20"/>
      <c r="E285" s="21"/>
      <c r="F285" s="72"/>
      <c r="G285" s="79"/>
      <c r="H285" s="72"/>
      <c r="I285" s="80"/>
      <c r="J285" s="81"/>
      <c r="K285" s="82"/>
      <c r="L285" s="83"/>
      <c r="M285" s="21"/>
      <c r="N285" s="84"/>
      <c r="O285" s="21"/>
      <c r="P285" s="28"/>
    </row>
    <row r="286" ht="15.75" customHeight="1">
      <c r="A286" s="17" t="s">
        <v>195</v>
      </c>
      <c r="B286" s="77"/>
      <c r="C286" s="21"/>
      <c r="D286" s="20"/>
      <c r="E286" s="21"/>
      <c r="F286" s="72"/>
      <c r="G286" s="79"/>
      <c r="H286" s="72"/>
      <c r="I286" s="80"/>
      <c r="J286" s="81"/>
      <c r="K286" s="82"/>
      <c r="L286" s="83"/>
      <c r="M286" s="21"/>
      <c r="N286" s="84"/>
      <c r="O286" s="21"/>
      <c r="P286" s="28"/>
    </row>
    <row r="287" ht="15.75" customHeight="1">
      <c r="A287" s="17" t="s">
        <v>171</v>
      </c>
      <c r="B287" s="77"/>
      <c r="C287" s="21"/>
      <c r="D287" s="20"/>
      <c r="E287" s="21"/>
      <c r="F287" s="72"/>
      <c r="G287" s="79"/>
      <c r="H287" s="72"/>
      <c r="I287" s="80"/>
      <c r="J287" s="81"/>
      <c r="K287" s="82"/>
      <c r="L287" s="83"/>
      <c r="M287" s="21"/>
      <c r="N287" s="84"/>
      <c r="O287" s="21"/>
      <c r="P287" s="28"/>
    </row>
    <row r="288" ht="15.75" customHeight="1">
      <c r="A288" s="17" t="s">
        <v>196</v>
      </c>
      <c r="B288" s="77"/>
      <c r="C288" s="21"/>
      <c r="D288" s="21"/>
      <c r="E288" s="21"/>
      <c r="F288" s="72"/>
      <c r="G288" s="79"/>
      <c r="H288" s="72"/>
      <c r="I288" s="80"/>
      <c r="J288" s="81"/>
      <c r="K288" s="82"/>
      <c r="L288" s="83"/>
      <c r="M288" s="21"/>
      <c r="N288" s="84"/>
      <c r="O288" s="21"/>
      <c r="P288" s="28"/>
    </row>
    <row r="289" ht="15.75" customHeight="1">
      <c r="A289" s="17" t="s">
        <v>196</v>
      </c>
      <c r="B289" s="77"/>
      <c r="C289" s="21"/>
      <c r="D289" s="21"/>
      <c r="E289" s="21"/>
      <c r="F289" s="72"/>
      <c r="G289" s="79"/>
      <c r="H289" s="72"/>
      <c r="I289" s="80"/>
      <c r="J289" s="81"/>
      <c r="K289" s="82"/>
      <c r="L289" s="83"/>
      <c r="M289" s="21"/>
      <c r="N289" s="84"/>
      <c r="O289" s="21"/>
      <c r="P289" s="28"/>
    </row>
    <row r="290" ht="15.75" customHeight="1">
      <c r="A290" s="17" t="s">
        <v>197</v>
      </c>
      <c r="B290" s="77"/>
      <c r="C290" s="21"/>
      <c r="D290" s="21"/>
      <c r="E290" s="21"/>
      <c r="F290" s="72"/>
      <c r="G290" s="79"/>
      <c r="H290" s="72"/>
      <c r="I290" s="80"/>
      <c r="J290" s="81"/>
      <c r="K290" s="82"/>
      <c r="L290" s="83"/>
      <c r="M290" s="21"/>
      <c r="N290" s="84"/>
      <c r="O290" s="21"/>
      <c r="P290" s="28"/>
    </row>
    <row r="291" ht="15.75" customHeight="1">
      <c r="A291" s="17" t="s">
        <v>197</v>
      </c>
      <c r="B291" s="77"/>
      <c r="C291" s="21"/>
      <c r="D291" s="21"/>
      <c r="E291" s="21"/>
      <c r="F291" s="72"/>
      <c r="G291" s="79"/>
      <c r="H291" s="72"/>
      <c r="I291" s="80"/>
      <c r="J291" s="81"/>
      <c r="K291" s="82"/>
      <c r="L291" s="83"/>
      <c r="M291" s="21"/>
      <c r="N291" s="84"/>
      <c r="O291" s="21"/>
      <c r="P291" s="28"/>
    </row>
    <row r="292" ht="15.75" customHeight="1">
      <c r="A292" s="17" t="s">
        <v>197</v>
      </c>
      <c r="B292" s="77"/>
      <c r="C292" s="21"/>
      <c r="D292" s="21"/>
      <c r="E292" s="21"/>
      <c r="F292" s="72"/>
      <c r="G292" s="79"/>
      <c r="H292" s="72"/>
      <c r="I292" s="80"/>
      <c r="J292" s="81"/>
      <c r="K292" s="82"/>
      <c r="L292" s="83"/>
      <c r="M292" s="21"/>
      <c r="N292" s="84"/>
      <c r="O292" s="21"/>
      <c r="P292" s="28"/>
    </row>
    <row r="293" ht="15.75" customHeight="1">
      <c r="A293" s="17" t="s">
        <v>198</v>
      </c>
      <c r="B293" s="77"/>
      <c r="C293" s="21"/>
      <c r="D293" s="21"/>
      <c r="E293" s="21"/>
      <c r="F293" s="72"/>
      <c r="G293" s="79"/>
      <c r="H293" s="72"/>
      <c r="I293" s="80"/>
      <c r="J293" s="81"/>
      <c r="K293" s="82"/>
      <c r="L293" s="83"/>
      <c r="M293" s="21"/>
      <c r="N293" s="84"/>
      <c r="O293" s="21"/>
      <c r="P293" s="28"/>
    </row>
    <row r="294" ht="15.75" customHeight="1">
      <c r="A294" s="17" t="s">
        <v>198</v>
      </c>
      <c r="B294" s="77"/>
      <c r="C294" s="21"/>
      <c r="D294" s="21"/>
      <c r="E294" s="21"/>
      <c r="F294" s="72"/>
      <c r="G294" s="79"/>
      <c r="H294" s="72"/>
      <c r="I294" s="80"/>
      <c r="J294" s="81"/>
      <c r="K294" s="82"/>
      <c r="L294" s="83"/>
      <c r="M294" s="21"/>
      <c r="N294" s="84"/>
      <c r="O294" s="21"/>
      <c r="P294" s="28"/>
    </row>
    <row r="295" ht="15.75" customHeight="1">
      <c r="A295" s="17" t="s">
        <v>198</v>
      </c>
      <c r="B295" s="77"/>
      <c r="C295" s="21"/>
      <c r="D295" s="21"/>
      <c r="E295" s="21"/>
      <c r="F295" s="72"/>
      <c r="G295" s="79"/>
      <c r="H295" s="72"/>
      <c r="I295" s="80"/>
      <c r="J295" s="81"/>
      <c r="K295" s="82"/>
      <c r="L295" s="83"/>
      <c r="M295" s="21"/>
      <c r="N295" s="84"/>
      <c r="O295" s="21"/>
      <c r="P295" s="28"/>
    </row>
    <row r="296" ht="15.75" customHeight="1">
      <c r="A296" s="17" t="s">
        <v>199</v>
      </c>
      <c r="B296" s="77"/>
      <c r="C296" s="21"/>
      <c r="D296" s="21"/>
      <c r="E296" s="21"/>
      <c r="F296" s="72"/>
      <c r="G296" s="79"/>
      <c r="H296" s="72"/>
      <c r="I296" s="80"/>
      <c r="J296" s="81"/>
      <c r="K296" s="82"/>
      <c r="L296" s="83"/>
      <c r="M296" s="21"/>
      <c r="N296" s="84"/>
      <c r="O296" s="21"/>
      <c r="P296" s="28"/>
    </row>
    <row r="297" ht="15.75" customHeight="1">
      <c r="A297" s="17" t="s">
        <v>199</v>
      </c>
      <c r="B297" s="77"/>
      <c r="C297" s="21"/>
      <c r="D297" s="20"/>
      <c r="E297" s="21"/>
      <c r="F297" s="72"/>
      <c r="G297" s="79"/>
      <c r="H297" s="72"/>
      <c r="I297" s="80"/>
      <c r="J297" s="81"/>
      <c r="K297" s="82"/>
      <c r="L297" s="83"/>
      <c r="M297" s="21"/>
      <c r="N297" s="84"/>
      <c r="O297" s="21"/>
      <c r="P297" s="28"/>
    </row>
    <row r="298" ht="15.75" customHeight="1">
      <c r="A298" s="17" t="s">
        <v>146</v>
      </c>
      <c r="B298" s="77"/>
      <c r="C298" s="21"/>
      <c r="D298" s="21"/>
      <c r="E298" s="21"/>
      <c r="F298" s="72"/>
      <c r="G298" s="79"/>
      <c r="H298" s="72"/>
      <c r="I298" s="80"/>
      <c r="J298" s="81"/>
      <c r="K298" s="82"/>
      <c r="L298" s="83"/>
      <c r="M298" s="21"/>
      <c r="N298" s="84"/>
      <c r="O298" s="21"/>
      <c r="P298" s="28"/>
    </row>
    <row r="299" ht="15.75" customHeight="1">
      <c r="A299" s="17" t="s">
        <v>61</v>
      </c>
      <c r="B299" s="77"/>
      <c r="C299" s="21"/>
      <c r="D299" s="21"/>
      <c r="E299" s="21"/>
      <c r="F299" s="72"/>
      <c r="G299" s="79"/>
      <c r="H299" s="72"/>
      <c r="I299" s="80"/>
      <c r="J299" s="81"/>
      <c r="K299" s="82"/>
      <c r="L299" s="83"/>
      <c r="M299" s="21"/>
      <c r="N299" s="84"/>
      <c r="O299" s="21"/>
      <c r="P299" s="28"/>
    </row>
    <row r="300" ht="15.75" customHeight="1">
      <c r="A300" s="17" t="s">
        <v>174</v>
      </c>
      <c r="B300" s="77"/>
      <c r="C300" s="21"/>
      <c r="D300" s="20"/>
      <c r="E300" s="21"/>
      <c r="F300" s="72"/>
      <c r="G300" s="79"/>
      <c r="H300" s="72"/>
      <c r="I300" s="80"/>
      <c r="J300" s="81"/>
      <c r="K300" s="82"/>
      <c r="L300" s="83"/>
      <c r="M300" s="21"/>
      <c r="N300" s="84"/>
      <c r="O300" s="21"/>
      <c r="P300" s="28"/>
    </row>
    <row r="301" ht="15.75" customHeight="1">
      <c r="A301" s="17" t="s">
        <v>177</v>
      </c>
      <c r="B301" s="77"/>
      <c r="C301" s="21"/>
      <c r="D301" s="20"/>
      <c r="E301" s="21"/>
      <c r="F301" s="72"/>
      <c r="G301" s="79"/>
      <c r="H301" s="72"/>
      <c r="I301" s="80"/>
      <c r="J301" s="81"/>
      <c r="K301" s="82"/>
      <c r="L301" s="83"/>
      <c r="M301" s="21"/>
      <c r="N301" s="84"/>
      <c r="O301" s="21"/>
      <c r="P301" s="28"/>
    </row>
    <row r="302" ht="15.75" customHeight="1">
      <c r="A302" s="17" t="s">
        <v>149</v>
      </c>
      <c r="B302" s="77"/>
      <c r="C302" s="21"/>
      <c r="D302" s="20"/>
      <c r="E302" s="21"/>
      <c r="F302" s="72"/>
      <c r="G302" s="79"/>
      <c r="H302" s="72"/>
      <c r="I302" s="80"/>
      <c r="J302" s="81"/>
      <c r="K302" s="82"/>
      <c r="L302" s="83"/>
      <c r="M302" s="21"/>
      <c r="N302" s="84"/>
      <c r="O302" s="21"/>
      <c r="P302" s="28"/>
    </row>
    <row r="303" ht="15.75" customHeight="1">
      <c r="A303" s="17" t="s">
        <v>149</v>
      </c>
      <c r="B303" s="77"/>
      <c r="C303" s="21"/>
      <c r="D303" s="21"/>
      <c r="E303" s="21"/>
      <c r="F303" s="72"/>
      <c r="G303" s="79"/>
      <c r="H303" s="72"/>
      <c r="I303" s="80"/>
      <c r="J303" s="81"/>
      <c r="K303" s="82"/>
      <c r="L303" s="83"/>
      <c r="M303" s="21"/>
      <c r="N303" s="84"/>
      <c r="O303" s="21"/>
      <c r="P303" s="28"/>
    </row>
    <row r="304" ht="15.75" customHeight="1">
      <c r="A304" s="17" t="s">
        <v>149</v>
      </c>
      <c r="B304" s="77"/>
      <c r="C304" s="21"/>
      <c r="D304" s="20"/>
      <c r="E304" s="21"/>
      <c r="F304" s="72"/>
      <c r="G304" s="79"/>
      <c r="H304" s="72"/>
      <c r="I304" s="80"/>
      <c r="J304" s="81"/>
      <c r="K304" s="82"/>
      <c r="L304" s="83"/>
      <c r="M304" s="21"/>
      <c r="N304" s="84"/>
      <c r="O304" s="21"/>
      <c r="P304" s="28"/>
    </row>
    <row r="305" ht="15.75" customHeight="1">
      <c r="A305" s="17" t="s">
        <v>180</v>
      </c>
      <c r="B305" s="88"/>
      <c r="C305" s="21"/>
      <c r="D305" s="20"/>
      <c r="E305" s="21"/>
      <c r="F305" s="72"/>
      <c r="G305" s="79"/>
      <c r="H305" s="72"/>
      <c r="I305" s="80"/>
      <c r="J305" s="81"/>
      <c r="K305" s="82"/>
      <c r="L305" s="83"/>
      <c r="M305" s="21"/>
      <c r="N305" s="84"/>
      <c r="O305" s="21"/>
      <c r="P305" s="28"/>
    </row>
    <row r="306" ht="15.75" customHeight="1">
      <c r="A306" s="17" t="s">
        <v>77</v>
      </c>
      <c r="B306" s="77"/>
      <c r="C306" s="21"/>
      <c r="D306" s="21"/>
      <c r="E306" s="21"/>
      <c r="F306" s="72"/>
      <c r="G306" s="79"/>
      <c r="H306" s="72"/>
      <c r="I306" s="80"/>
      <c r="J306" s="81"/>
      <c r="K306" s="82"/>
      <c r="L306" s="83"/>
      <c r="M306" s="21"/>
      <c r="N306" s="84"/>
      <c r="O306" s="21"/>
      <c r="P306" s="28"/>
    </row>
    <row r="307" ht="15.75" customHeight="1">
      <c r="A307" s="17" t="s">
        <v>183</v>
      </c>
      <c r="B307" s="77"/>
      <c r="C307" s="21"/>
      <c r="D307" s="20"/>
      <c r="E307" s="21"/>
      <c r="F307" s="72"/>
      <c r="G307" s="79"/>
      <c r="H307" s="72"/>
      <c r="I307" s="80"/>
      <c r="J307" s="81"/>
      <c r="K307" s="82"/>
      <c r="L307" s="83"/>
      <c r="M307" s="21"/>
      <c r="N307" s="84"/>
      <c r="O307" s="21"/>
      <c r="P307" s="28"/>
    </row>
    <row r="308" ht="15.75" customHeight="1">
      <c r="A308" s="17" t="s">
        <v>183</v>
      </c>
      <c r="B308" s="77"/>
      <c r="C308" s="21"/>
      <c r="D308" s="20"/>
      <c r="E308" s="21"/>
      <c r="F308" s="72"/>
      <c r="G308" s="79"/>
      <c r="H308" s="72"/>
      <c r="I308" s="80"/>
      <c r="J308" s="81"/>
      <c r="K308" s="82"/>
      <c r="L308" s="83"/>
      <c r="M308" s="21"/>
      <c r="N308" s="84"/>
      <c r="O308" s="21"/>
      <c r="P308" s="28"/>
    </row>
    <row r="309" ht="15.75" customHeight="1">
      <c r="A309" s="17" t="s">
        <v>200</v>
      </c>
      <c r="B309" s="77"/>
      <c r="C309" s="21"/>
      <c r="D309" s="20"/>
      <c r="E309" s="21"/>
      <c r="F309" s="72"/>
      <c r="G309" s="79"/>
      <c r="H309" s="72"/>
      <c r="I309" s="80"/>
      <c r="J309" s="81"/>
      <c r="K309" s="82"/>
      <c r="L309" s="83"/>
      <c r="M309" s="21"/>
      <c r="N309" s="84"/>
      <c r="O309" s="21"/>
      <c r="P309" s="28"/>
    </row>
    <row r="310" ht="15.75" customHeight="1">
      <c r="A310" s="17" t="s">
        <v>200</v>
      </c>
      <c r="B310" s="77"/>
      <c r="C310" s="21"/>
      <c r="D310" s="20"/>
      <c r="E310" s="21"/>
      <c r="F310" s="72"/>
      <c r="G310" s="79"/>
      <c r="H310" s="72"/>
      <c r="I310" s="80"/>
      <c r="J310" s="81"/>
      <c r="K310" s="82"/>
      <c r="L310" s="83"/>
      <c r="M310" s="21"/>
      <c r="N310" s="84"/>
      <c r="O310" s="21"/>
      <c r="P310" s="28"/>
    </row>
    <row r="311" ht="15.75" customHeight="1">
      <c r="A311" s="103" t="s">
        <v>201</v>
      </c>
      <c r="B311" s="104"/>
      <c r="C311" s="105"/>
      <c r="D311" s="43"/>
      <c r="E311" s="105"/>
      <c r="F311" s="105"/>
      <c r="G311" s="79"/>
      <c r="H311" s="106"/>
      <c r="I311" s="107"/>
      <c r="J311" s="108"/>
      <c r="K311" s="82"/>
      <c r="L311" s="83"/>
      <c r="M311" s="21"/>
      <c r="N311" s="109"/>
      <c r="O311" s="21"/>
      <c r="P311" s="110"/>
    </row>
  </sheetData>
  <autoFilter ref="$A$3:$P$311">
    <sortState ref="A3:P311">
      <sortCondition ref="C3:C311"/>
      <sortCondition ref="G3:G311"/>
      <sortCondition ref="J3:J311"/>
      <sortCondition ref="A3:A311"/>
    </sortState>
  </autoFilter>
  <mergeCells count="1">
    <mergeCell ref="B1:D1"/>
  </mergeCells>
  <dataValidations>
    <dataValidation type="list" allowBlank="1" showErrorMessage="1" sqref="M4:M63">
      <formula1>"Masculino,Feminino"</formula1>
    </dataValidation>
    <dataValidation type="list" allowBlank="1" showErrorMessage="1" sqref="K271">
      <formula1>"CLT,PJ,Estagiário,Menor Aprendiz,Pró-labore"</formula1>
    </dataValidation>
    <dataValidation type="list" allowBlank="1" showErrorMessage="1" sqref="E4:E175">
      <formula1>"Júnior,Pleno,Sênior,Especialista,Não trabalhamos senioridade"</formula1>
    </dataValidation>
    <dataValidation type="list" allowBlank="1" showErrorMessage="1" sqref="F4:F311">
      <formula1>"Estratégico,Tático,Operacional"</formula1>
    </dataValidation>
    <dataValidation type="list" allowBlank="1" showErrorMessage="1" sqref="K4:K270 K272:K311">
      <formula1>"CLT,PJ,Estagiário,Menor Aprendiz,Pró-labore"</formula1>
    </dataValidation>
  </dataValidations>
  <printOptions/>
  <pageMargins bottom="0.787401575" footer="0.0" header="0.0" left="0.511811024" right="0.511811024" top="0.7874015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8.0"/>
    <col customWidth="1" min="2" max="2" width="33.5"/>
    <col customWidth="1" min="3" max="3" width="21.75"/>
    <col customWidth="1" hidden="1" min="4" max="4" width="25.75"/>
    <col customWidth="1" min="5" max="5" width="19.75"/>
    <col customWidth="1" min="6" max="6" width="15.0"/>
    <col customWidth="1" min="7" max="7" width="35.13"/>
    <col customWidth="1" min="8" max="8" width="15.88"/>
    <col customWidth="1" min="9" max="9" width="40.5"/>
    <col customWidth="1" min="10" max="11" width="18.0"/>
    <col customWidth="1" hidden="1" min="12" max="15" width="18.0"/>
  </cols>
  <sheetData>
    <row r="1" ht="48.0" customHeight="1">
      <c r="A1" s="111" t="s">
        <v>202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 ht="6.0" customHeight="1">
      <c r="A2" s="5"/>
      <c r="B2" s="6"/>
      <c r="C2" s="6"/>
      <c r="D2" s="6"/>
      <c r="E2" s="6"/>
      <c r="F2" s="112"/>
      <c r="G2" s="6"/>
      <c r="H2" s="6"/>
      <c r="I2" s="6"/>
      <c r="J2" s="6"/>
      <c r="K2" s="6"/>
      <c r="L2" s="113"/>
      <c r="M2" s="113"/>
      <c r="N2" s="113"/>
      <c r="O2" s="113"/>
    </row>
    <row r="3" ht="15.75" customHeight="1">
      <c r="A3" s="114" t="s">
        <v>2</v>
      </c>
      <c r="B3" s="12" t="s">
        <v>203</v>
      </c>
      <c r="C3" s="12" t="s">
        <v>8</v>
      </c>
      <c r="D3" s="13" t="s">
        <v>9</v>
      </c>
      <c r="E3" s="115" t="s">
        <v>7</v>
      </c>
      <c r="F3" s="116" t="s">
        <v>204</v>
      </c>
      <c r="G3" s="117" t="s">
        <v>205</v>
      </c>
      <c r="H3" s="117" t="s">
        <v>6</v>
      </c>
      <c r="I3" s="118" t="s">
        <v>206</v>
      </c>
      <c r="J3" s="119" t="s">
        <v>207</v>
      </c>
      <c r="K3" s="119" t="s">
        <v>208</v>
      </c>
      <c r="L3" s="120" t="s">
        <v>209</v>
      </c>
      <c r="M3" s="121"/>
      <c r="N3" s="121"/>
      <c r="O3" s="122"/>
    </row>
    <row r="4" ht="15.75" customHeight="1">
      <c r="A4" s="123" t="s">
        <v>18</v>
      </c>
      <c r="B4" s="124" t="str">
        <f>VLOOKUP(A4,'Folha de Pagamento'!A:C,3,0)</f>
        <v>ALMOXARIFE</v>
      </c>
      <c r="C4" s="125" t="str">
        <f>VLOOKUP(A4,'Folha de Pagamento'!A:G,7,0)</f>
        <v>Edificação</v>
      </c>
      <c r="D4" s="126" t="s">
        <v>210</v>
      </c>
      <c r="E4" s="125" t="str">
        <f>VLOOKUP(A4,'Folha de Pagamento'!A:F,6,0)</f>
        <v>Operacional</v>
      </c>
      <c r="F4" s="127">
        <v>203.0</v>
      </c>
      <c r="G4" s="128" t="s">
        <v>211</v>
      </c>
      <c r="H4" s="129" t="s">
        <v>212</v>
      </c>
      <c r="I4" s="130"/>
      <c r="J4" s="131"/>
      <c r="K4" s="132"/>
      <c r="L4" s="132" t="s">
        <v>213</v>
      </c>
      <c r="M4" s="132" t="s">
        <v>214</v>
      </c>
      <c r="N4" s="132"/>
      <c r="O4" s="132" t="s">
        <v>215</v>
      </c>
    </row>
    <row r="5" ht="15.75" customHeight="1">
      <c r="A5" s="123" t="s">
        <v>26</v>
      </c>
      <c r="B5" s="124" t="str">
        <f>VLOOKUP(A5,'Folha de Pagamento'!A:C,3,0)</f>
        <v>ANALISTA DE COMPRAS</v>
      </c>
      <c r="C5" s="125" t="str">
        <f>VLOOKUP(A5,'Folha de Pagamento'!A:G,7,0)</f>
        <v>Suprimentos </v>
      </c>
      <c r="D5" s="126" t="s">
        <v>216</v>
      </c>
      <c r="E5" s="125" t="str">
        <f>VLOOKUP(A5,'Folha de Pagamento'!A:F,6,0)</f>
        <v>Operacional</v>
      </c>
      <c r="F5" s="127">
        <v>136.0</v>
      </c>
      <c r="G5" s="128" t="s">
        <v>217</v>
      </c>
      <c r="H5" s="133" t="s">
        <v>41</v>
      </c>
      <c r="I5" s="130"/>
      <c r="J5" s="131"/>
      <c r="K5" s="132"/>
      <c r="L5" s="132" t="s">
        <v>213</v>
      </c>
      <c r="M5" s="132" t="s">
        <v>214</v>
      </c>
      <c r="N5" s="132" t="s">
        <v>218</v>
      </c>
      <c r="O5" s="132" t="s">
        <v>215</v>
      </c>
    </row>
    <row r="6" ht="15.75" customHeight="1">
      <c r="A6" s="123" t="s">
        <v>29</v>
      </c>
      <c r="B6" s="124" t="str">
        <f>VLOOKUP(A6,'Folha de Pagamento'!A:C,3,0)</f>
        <v>ANALISTA DE CRIAÇAO</v>
      </c>
      <c r="C6" s="125" t="str">
        <f>VLOOKUP(A6,'Folha de Pagamento'!A:G,7,0)</f>
        <v>Marketing</v>
      </c>
      <c r="D6" s="126" t="s">
        <v>219</v>
      </c>
      <c r="E6" s="125" t="str">
        <f>VLOOKUP(A6,'Folha de Pagamento'!A:F,6,0)</f>
        <v>Operacional</v>
      </c>
      <c r="F6" s="127">
        <v>45.0</v>
      </c>
      <c r="G6" s="128" t="s">
        <v>220</v>
      </c>
      <c r="H6" s="129" t="s">
        <v>212</v>
      </c>
      <c r="I6" s="130"/>
      <c r="J6" s="131"/>
      <c r="K6" s="132"/>
      <c r="L6" s="132" t="s">
        <v>213</v>
      </c>
      <c r="M6" s="132"/>
      <c r="N6" s="132"/>
      <c r="O6" s="132" t="s">
        <v>215</v>
      </c>
    </row>
    <row r="7" ht="15.75" customHeight="1">
      <c r="A7" s="123" t="s">
        <v>33</v>
      </c>
      <c r="B7" s="124" t="str">
        <f>VLOOKUP(A7,'Folha de Pagamento'!A:C,3,0)</f>
        <v>ANALISTA DE INOVAÇÃO</v>
      </c>
      <c r="C7" s="125" t="str">
        <f>VLOOKUP(A7,'Folha de Pagamento'!A:G,7,0)</f>
        <v>Inovação</v>
      </c>
      <c r="D7" s="126" t="s">
        <v>221</v>
      </c>
      <c r="E7" s="134" t="str">
        <f>VLOOKUP(A7,'Folha de Pagamento'!A:F,6,0)</f>
        <v>Tático</v>
      </c>
      <c r="F7" s="127">
        <v>437.0</v>
      </c>
      <c r="G7" s="128" t="s">
        <v>222</v>
      </c>
      <c r="H7" s="129" t="s">
        <v>212</v>
      </c>
      <c r="I7" s="130"/>
      <c r="J7" s="131"/>
      <c r="K7" s="132"/>
      <c r="L7" s="132"/>
      <c r="M7" s="132"/>
      <c r="N7" s="132"/>
      <c r="O7" s="132"/>
    </row>
    <row r="8" ht="15.75" customHeight="1">
      <c r="A8" s="123" t="s">
        <v>39</v>
      </c>
      <c r="B8" s="124" t="str">
        <f>VLOOKUP(A8,'Folha de Pagamento'!A:C,3,0)</f>
        <v>ANALISTA DE MANUTENÇÃO II</v>
      </c>
      <c r="C8" s="125" t="str">
        <f>VLOOKUP(A8,'Folha de Pagamento'!A:G,7,0)</f>
        <v>Edificação</v>
      </c>
      <c r="D8" s="126" t="s">
        <v>223</v>
      </c>
      <c r="E8" s="125" t="str">
        <f>VLOOKUP(A8,'Folha de Pagamento'!A:F,6,0)</f>
        <v>Operacional</v>
      </c>
      <c r="F8" s="135">
        <v>820.0</v>
      </c>
      <c r="G8" s="136" t="s">
        <v>224</v>
      </c>
      <c r="H8" s="137" t="s">
        <v>212</v>
      </c>
      <c r="I8" s="130"/>
      <c r="J8" s="131"/>
      <c r="K8" s="132"/>
      <c r="L8" s="132" t="s">
        <v>213</v>
      </c>
      <c r="M8" s="132" t="s">
        <v>214</v>
      </c>
      <c r="N8" s="132"/>
      <c r="O8" s="132" t="s">
        <v>215</v>
      </c>
    </row>
    <row r="9" ht="15.75" customHeight="1">
      <c r="A9" s="123" t="s">
        <v>43</v>
      </c>
      <c r="B9" s="124" t="str">
        <f>VLOOKUP(A9,'Folha de Pagamento'!A:C,3,0)</f>
        <v>ANALISTA DE MARKETING l</v>
      </c>
      <c r="C9" s="125" t="str">
        <f>VLOOKUP(A9,'Folha de Pagamento'!A:G,7,0)</f>
        <v>Marketing</v>
      </c>
      <c r="D9" s="126" t="s">
        <v>225</v>
      </c>
      <c r="E9" s="125" t="str">
        <f>VLOOKUP(A9,'Folha de Pagamento'!A:F,6,0)</f>
        <v>Operacional</v>
      </c>
      <c r="F9" s="127">
        <v>42.0</v>
      </c>
      <c r="G9" s="128" t="s">
        <v>226</v>
      </c>
      <c r="H9" s="129" t="s">
        <v>60</v>
      </c>
      <c r="I9" s="130"/>
      <c r="J9" s="131"/>
      <c r="K9" s="132"/>
      <c r="L9" s="132"/>
      <c r="M9" s="132"/>
      <c r="N9" s="132"/>
      <c r="O9" s="132" t="s">
        <v>215</v>
      </c>
    </row>
    <row r="10" ht="15.75" customHeight="1">
      <c r="A10" s="123" t="s">
        <v>45</v>
      </c>
      <c r="B10" s="124" t="str">
        <f>VLOOKUP(A10,'Folha de Pagamento'!A:C,3,0)</f>
        <v>ANALISTA DE PÓS VENDAS II</v>
      </c>
      <c r="C10" s="125" t="str">
        <f>VLOOKUP(A10,'Folha de Pagamento'!A:G,7,0)</f>
        <v>Pós Vendas</v>
      </c>
      <c r="D10" s="126" t="s">
        <v>227</v>
      </c>
      <c r="E10" s="125" t="str">
        <f>VLOOKUP(A10,'Folha de Pagamento'!A:F,6,0)</f>
        <v>Operacional</v>
      </c>
      <c r="F10" s="127">
        <v>19.0</v>
      </c>
      <c r="G10" s="128" t="s">
        <v>228</v>
      </c>
      <c r="H10" s="129" t="s">
        <v>41</v>
      </c>
      <c r="I10" s="130"/>
      <c r="J10" s="131"/>
      <c r="K10" s="132"/>
      <c r="L10" s="138"/>
      <c r="M10" s="138"/>
      <c r="N10" s="138"/>
      <c r="O10" s="138" t="s">
        <v>215</v>
      </c>
    </row>
    <row r="11" ht="15.75" customHeight="1">
      <c r="A11" s="123" t="s">
        <v>48</v>
      </c>
      <c r="B11" s="124" t="str">
        <f>VLOOKUP(A11,'Folha de Pagamento'!A:C,3,0)</f>
        <v>ANALISTA DE URBANISMO</v>
      </c>
      <c r="C11" s="125" t="str">
        <f>VLOOKUP(A11,'Folha de Pagamento'!A:G,7,0)</f>
        <v>Urbanismo</v>
      </c>
      <c r="D11" s="126" t="s">
        <v>229</v>
      </c>
      <c r="E11" s="125" t="str">
        <f>VLOOKUP(A11,'Folha de Pagamento'!A:F,6,0)</f>
        <v>Operacional</v>
      </c>
      <c r="F11" s="127">
        <v>1199.0</v>
      </c>
      <c r="G11" s="128" t="s">
        <v>230</v>
      </c>
      <c r="H11" s="129" t="s">
        <v>212</v>
      </c>
      <c r="I11" s="130"/>
      <c r="J11" s="131"/>
      <c r="K11" s="132"/>
      <c r="L11" s="132" t="s">
        <v>213</v>
      </c>
      <c r="M11" s="132" t="s">
        <v>214</v>
      </c>
      <c r="N11" s="132" t="s">
        <v>218</v>
      </c>
      <c r="O11" s="132" t="s">
        <v>215</v>
      </c>
    </row>
    <row r="12" ht="15.75" customHeight="1">
      <c r="A12" s="123" t="s">
        <v>51</v>
      </c>
      <c r="B12" s="124" t="str">
        <f>VLOOKUP(A12,'Folha de Pagamento'!A:C,3,0)</f>
        <v>ANALISTA FINANCEIRO COMERCIAL III</v>
      </c>
      <c r="C12" s="125" t="str">
        <f>VLOOKUP(A12,'Folha de Pagamento'!A:G,7,0)</f>
        <v>Financeiro</v>
      </c>
      <c r="D12" s="126" t="s">
        <v>231</v>
      </c>
      <c r="E12" s="125" t="str">
        <f>VLOOKUP(A12,'Folha de Pagamento'!A:F,6,0)</f>
        <v>Operacional</v>
      </c>
      <c r="F12" s="127">
        <v>16.0</v>
      </c>
      <c r="G12" s="128" t="s">
        <v>232</v>
      </c>
      <c r="H12" s="129" t="s">
        <v>53</v>
      </c>
      <c r="I12" s="130"/>
      <c r="J12" s="131"/>
      <c r="K12" s="132"/>
      <c r="L12" s="132" t="s">
        <v>213</v>
      </c>
      <c r="M12" s="132" t="s">
        <v>214</v>
      </c>
      <c r="N12" s="132"/>
      <c r="O12" s="132" t="s">
        <v>215</v>
      </c>
    </row>
    <row r="13" ht="15.75" customHeight="1">
      <c r="A13" s="123" t="s">
        <v>55</v>
      </c>
      <c r="B13" s="124" t="str">
        <f>VLOOKUP(A13,'Folha de Pagamento'!A:C,3,0)</f>
        <v>ANALISTA FINANCEIRO DE CAPTAÇÃO DE RECURSOS III</v>
      </c>
      <c r="C13" s="125" t="str">
        <f>VLOOKUP(A13,'Folha de Pagamento'!A:G,7,0)</f>
        <v>Financeiro</v>
      </c>
      <c r="D13" s="126" t="s">
        <v>233</v>
      </c>
      <c r="E13" s="125" t="str">
        <f>VLOOKUP(A13,'Folha de Pagamento'!A:F,6,0)</f>
        <v>Operacional</v>
      </c>
      <c r="F13" s="127">
        <v>16.0</v>
      </c>
      <c r="G13" s="128" t="s">
        <v>232</v>
      </c>
      <c r="H13" s="129" t="s">
        <v>53</v>
      </c>
      <c r="I13" s="130"/>
      <c r="J13" s="131"/>
      <c r="K13" s="132"/>
      <c r="L13" s="132" t="s">
        <v>213</v>
      </c>
      <c r="M13" s="132" t="s">
        <v>214</v>
      </c>
      <c r="N13" s="132" t="s">
        <v>218</v>
      </c>
      <c r="O13" s="132" t="s">
        <v>215</v>
      </c>
    </row>
    <row r="14">
      <c r="A14" s="123" t="s">
        <v>58</v>
      </c>
      <c r="B14" s="124" t="str">
        <f>VLOOKUP(A14,'Folha de Pagamento'!A:C,3,0)</f>
        <v>ANALISTA FINANCEIRO I</v>
      </c>
      <c r="C14" s="125" t="str">
        <f>VLOOKUP(A14,'Folha de Pagamento'!A:G,7,0)</f>
        <v>Financeiro</v>
      </c>
      <c r="D14" s="126" t="s">
        <v>234</v>
      </c>
      <c r="E14" s="125" t="str">
        <f>VLOOKUP(A14,'Folha de Pagamento'!A:F,6,0)</f>
        <v>Operacional</v>
      </c>
      <c r="F14" s="127">
        <v>16.0</v>
      </c>
      <c r="G14" s="128" t="s">
        <v>232</v>
      </c>
      <c r="H14" s="133" t="s">
        <v>60</v>
      </c>
      <c r="I14" s="130"/>
      <c r="J14" s="131"/>
      <c r="K14" s="132"/>
      <c r="L14" s="132" t="s">
        <v>213</v>
      </c>
      <c r="M14" s="132" t="s">
        <v>214</v>
      </c>
      <c r="N14" s="132" t="s">
        <v>218</v>
      </c>
      <c r="O14" s="132" t="s">
        <v>215</v>
      </c>
    </row>
    <row r="15">
      <c r="A15" s="123" t="s">
        <v>61</v>
      </c>
      <c r="B15" s="124" t="str">
        <f>VLOOKUP(A15,'Folha de Pagamento'!A:C,3,0)</f>
        <v>ASSISTENTE ADM DE LEGALIZAÇÃO III</v>
      </c>
      <c r="C15" s="125" t="str">
        <f>VLOOKUP(A15,'Folha de Pagamento'!A:G,7,0)</f>
        <v>Legalização </v>
      </c>
      <c r="D15" s="126" t="s">
        <v>235</v>
      </c>
      <c r="E15" s="125" t="str">
        <f>VLOOKUP(A15,'Folha de Pagamento'!A:F,6,0)</f>
        <v>Operacional</v>
      </c>
      <c r="F15" s="127">
        <v>1201.0</v>
      </c>
      <c r="G15" s="128" t="s">
        <v>236</v>
      </c>
      <c r="H15" s="129" t="s">
        <v>212</v>
      </c>
      <c r="I15" s="130"/>
      <c r="J15" s="131"/>
      <c r="K15" s="132"/>
      <c r="L15" s="132"/>
      <c r="M15" s="132"/>
      <c r="N15" s="132"/>
      <c r="O15" s="132"/>
    </row>
    <row r="16" ht="15.75" customHeight="1">
      <c r="A16" s="123" t="s">
        <v>64</v>
      </c>
      <c r="B16" s="124" t="str">
        <f>VLOOKUP(A16,'Folha de Pagamento'!A:C,3,0)</f>
        <v>ASSISTENTE ADMINISTRATIVO lll</v>
      </c>
      <c r="C16" s="125" t="str">
        <f>VLOOKUP(A16,'Folha de Pagamento'!A:G,7,0)</f>
        <v>Administrativo</v>
      </c>
      <c r="D16" s="126" t="s">
        <v>237</v>
      </c>
      <c r="E16" s="125" t="str">
        <f>VLOOKUP(A16,'Folha de Pagamento'!A:F,6,0)</f>
        <v>Operacional</v>
      </c>
      <c r="F16" s="127">
        <v>59.0</v>
      </c>
      <c r="G16" s="128" t="s">
        <v>238</v>
      </c>
      <c r="H16" s="129" t="s">
        <v>212</v>
      </c>
      <c r="I16" s="130"/>
      <c r="J16" s="131"/>
      <c r="K16" s="132"/>
      <c r="L16" s="132"/>
      <c r="M16" s="132"/>
      <c r="N16" s="132"/>
      <c r="O16" s="132" t="s">
        <v>215</v>
      </c>
    </row>
    <row r="17" ht="15.75" customHeight="1">
      <c r="A17" s="123" t="s">
        <v>67</v>
      </c>
      <c r="B17" s="124" t="str">
        <f>VLOOKUP(A17,'Folha de Pagamento'!A:C,3,0)</f>
        <v>ASSISTENTE DE CONTROLADORIA III</v>
      </c>
      <c r="C17" s="125" t="str">
        <f>VLOOKUP(A17,'Folha de Pagamento'!A:G,7,0)</f>
        <v>Controladoria</v>
      </c>
      <c r="D17" s="126" t="s">
        <v>239</v>
      </c>
      <c r="E17" s="125" t="str">
        <f>VLOOKUP(A17,'Folha de Pagamento'!A:F,6,0)</f>
        <v>Operacional</v>
      </c>
      <c r="F17" s="127">
        <v>150.0</v>
      </c>
      <c r="G17" s="128" t="s">
        <v>240</v>
      </c>
      <c r="H17" s="129" t="s">
        <v>212</v>
      </c>
      <c r="I17" s="130"/>
      <c r="J17" s="131"/>
      <c r="K17" s="132"/>
      <c r="L17" s="132"/>
      <c r="M17" s="132"/>
      <c r="N17" s="132"/>
      <c r="O17" s="132"/>
    </row>
    <row r="18" ht="15.75" customHeight="1">
      <c r="A18" s="123" t="s">
        <v>70</v>
      </c>
      <c r="B18" s="124" t="str">
        <f>VLOOKUP(A18,'Folha de Pagamento'!A:C,3,0)</f>
        <v>ASSISTENTE DE ENGENHARIA lll</v>
      </c>
      <c r="C18" s="125" t="str">
        <f>VLOOKUP(A18,'Folha de Pagamento'!A:G,7,0)</f>
        <v>Edificação</v>
      </c>
      <c r="D18" s="126" t="s">
        <v>241</v>
      </c>
      <c r="E18" s="125" t="str">
        <f>VLOOKUP(A18,'Folha de Pagamento'!A:F,6,0)</f>
        <v>Operacional</v>
      </c>
      <c r="F18" s="127">
        <v>531.0</v>
      </c>
      <c r="G18" s="128" t="s">
        <v>242</v>
      </c>
      <c r="H18" s="129" t="s">
        <v>212</v>
      </c>
      <c r="I18" s="130"/>
      <c r="J18" s="131"/>
      <c r="K18" s="132"/>
      <c r="L18" s="132"/>
      <c r="M18" s="132"/>
      <c r="N18" s="132"/>
      <c r="O18" s="132" t="s">
        <v>215</v>
      </c>
    </row>
    <row r="19" ht="15.75" customHeight="1">
      <c r="A19" s="123" t="s">
        <v>72</v>
      </c>
      <c r="B19" s="124" t="str">
        <f>VLOOKUP(A19,'Folha de Pagamento'!A:C,3,0)</f>
        <v>ASSISTENTE DE MARKETING</v>
      </c>
      <c r="C19" s="125" t="str">
        <f>VLOOKUP(A19,'Folha de Pagamento'!A:G,7,0)</f>
        <v>Marketing</v>
      </c>
      <c r="D19" s="126" t="s">
        <v>243</v>
      </c>
      <c r="E19" s="125" t="str">
        <f>VLOOKUP(A19,'Folha de Pagamento'!A:F,6,0)</f>
        <v>Operacional</v>
      </c>
      <c r="F19" s="127">
        <v>71.0</v>
      </c>
      <c r="G19" s="128" t="s">
        <v>244</v>
      </c>
      <c r="H19" s="129" t="s">
        <v>212</v>
      </c>
      <c r="I19" s="130"/>
      <c r="J19" s="131"/>
      <c r="K19" s="132"/>
      <c r="L19" s="132" t="s">
        <v>213</v>
      </c>
      <c r="M19" s="132" t="s">
        <v>214</v>
      </c>
      <c r="N19" s="132"/>
      <c r="O19" s="132" t="s">
        <v>215</v>
      </c>
    </row>
    <row r="20" ht="15.75" customHeight="1">
      <c r="A20" s="123" t="s">
        <v>74</v>
      </c>
      <c r="B20" s="124" t="str">
        <f>VLOOKUP(A20,'Folha de Pagamento'!A:C,3,0)</f>
        <v>ASSISTENTE DE RECURSOS HUMANOS</v>
      </c>
      <c r="C20" s="125" t="str">
        <f>VLOOKUP(A20,'Folha de Pagamento'!A:G,7,0)</f>
        <v>DHO</v>
      </c>
      <c r="D20" s="126" t="s">
        <v>245</v>
      </c>
      <c r="E20" s="125" t="str">
        <f>VLOOKUP(A20,'Folha de Pagamento'!A:F,6,0)</f>
        <v>Operacional</v>
      </c>
      <c r="F20" s="127">
        <v>77.0</v>
      </c>
      <c r="G20" s="128" t="s">
        <v>246</v>
      </c>
      <c r="H20" s="129" t="s">
        <v>212</v>
      </c>
      <c r="I20" s="130"/>
      <c r="J20" s="131"/>
      <c r="K20" s="132"/>
      <c r="L20" s="132" t="s">
        <v>213</v>
      </c>
      <c r="M20" s="132" t="s">
        <v>214</v>
      </c>
      <c r="N20" s="132" t="s">
        <v>218</v>
      </c>
      <c r="O20" s="132" t="s">
        <v>215</v>
      </c>
    </row>
    <row r="21">
      <c r="A21" s="123" t="s">
        <v>77</v>
      </c>
      <c r="B21" s="124" t="str">
        <f>VLOOKUP(A21,'Folha de Pagamento'!A:C,3,0)</f>
        <v>ASSISTENTE DE TI</v>
      </c>
      <c r="C21" s="125" t="str">
        <f>VLOOKUP(A21,'Folha de Pagamento'!A:G,7,0)</f>
        <v>Tecnologia da Informação</v>
      </c>
      <c r="D21" s="126" t="s">
        <v>247</v>
      </c>
      <c r="E21" s="125" t="str">
        <f>VLOOKUP(A21,'Folha de Pagamento'!A:F,6,0)</f>
        <v>Operacional</v>
      </c>
      <c r="F21" s="127">
        <v>31.0</v>
      </c>
      <c r="G21" s="128" t="s">
        <v>248</v>
      </c>
      <c r="H21" s="129" t="s">
        <v>212</v>
      </c>
      <c r="I21" s="130"/>
      <c r="J21" s="131"/>
      <c r="K21" s="132"/>
      <c r="L21" s="132" t="s">
        <v>213</v>
      </c>
      <c r="M21" s="132"/>
      <c r="N21" s="132"/>
      <c r="O21" s="132" t="s">
        <v>215</v>
      </c>
    </row>
    <row r="22">
      <c r="A22" s="123" t="s">
        <v>80</v>
      </c>
      <c r="B22" s="124" t="str">
        <f>VLOOKUP(A22,'Folha de Pagamento'!A:C,3,0)</f>
        <v>ASSISTENTE FINANCEIRO CONTAS A PAGAR</v>
      </c>
      <c r="C22" s="125" t="str">
        <f>VLOOKUP(A22,'Folha de Pagamento'!A:G,7,0)</f>
        <v>Financeiro</v>
      </c>
      <c r="D22" s="126" t="s">
        <v>249</v>
      </c>
      <c r="E22" s="125" t="str">
        <f>VLOOKUP(A22,'Folha de Pagamento'!A:F,6,0)</f>
        <v>Operacional</v>
      </c>
      <c r="F22" s="127">
        <v>79.0</v>
      </c>
      <c r="G22" s="128" t="s">
        <v>250</v>
      </c>
      <c r="H22" s="129" t="s">
        <v>212</v>
      </c>
      <c r="I22" s="130"/>
      <c r="J22" s="131"/>
      <c r="K22" s="132"/>
      <c r="L22" s="132" t="s">
        <v>213</v>
      </c>
      <c r="M22" s="132" t="s">
        <v>214</v>
      </c>
      <c r="N22" s="132"/>
      <c r="O22" s="132" t="s">
        <v>215</v>
      </c>
    </row>
    <row r="23">
      <c r="A23" s="123" t="s">
        <v>83</v>
      </c>
      <c r="B23" s="124" t="str">
        <f>VLOOKUP(A23,'Folha de Pagamento'!A:C,3,0)</f>
        <v>AUXILIAR ADMINISTRATIVO</v>
      </c>
      <c r="C23" s="125" t="str">
        <f>VLOOKUP(A23,'Folha de Pagamento'!A:G,7,0)</f>
        <v>Administrativo</v>
      </c>
      <c r="D23" s="126" t="s">
        <v>251</v>
      </c>
      <c r="E23" s="125" t="str">
        <f>VLOOKUP(A23,'Folha de Pagamento'!A:F,6,0)</f>
        <v>Operacional</v>
      </c>
      <c r="F23" s="127">
        <v>83.0</v>
      </c>
      <c r="G23" s="128" t="s">
        <v>252</v>
      </c>
      <c r="H23" s="129" t="s">
        <v>212</v>
      </c>
      <c r="I23" s="130"/>
      <c r="J23" s="131"/>
      <c r="K23" s="132"/>
      <c r="L23" s="132" t="s">
        <v>213</v>
      </c>
      <c r="M23" s="132"/>
      <c r="N23" s="132"/>
      <c r="O23" s="132" t="s">
        <v>215</v>
      </c>
    </row>
    <row r="24" ht="15.75" customHeight="1">
      <c r="A24" s="123" t="s">
        <v>85</v>
      </c>
      <c r="B24" s="124" t="str">
        <f>VLOOKUP(A24,'Folha de Pagamento'!A:C,3,0)</f>
        <v>AUXILIAR ADMINISTRATIVO III</v>
      </c>
      <c r="C24" s="125" t="str">
        <f>VLOOKUP(A24,'Folha de Pagamento'!A:G,7,0)</f>
        <v>Administrativo</v>
      </c>
      <c r="D24" s="126" t="s">
        <v>253</v>
      </c>
      <c r="E24" s="125" t="str">
        <f>VLOOKUP(A24,'Folha de Pagamento'!A:F,6,0)</f>
        <v>Operacional</v>
      </c>
      <c r="F24" s="127">
        <v>83.0</v>
      </c>
      <c r="G24" s="128" t="s">
        <v>252</v>
      </c>
      <c r="H24" s="129" t="s">
        <v>212</v>
      </c>
      <c r="I24" s="130"/>
      <c r="J24" s="131"/>
      <c r="K24" s="132"/>
      <c r="L24" s="132"/>
      <c r="M24" s="132" t="s">
        <v>214</v>
      </c>
      <c r="N24" s="132"/>
      <c r="O24" s="132" t="s">
        <v>215</v>
      </c>
    </row>
    <row r="25" ht="15.75" customHeight="1">
      <c r="A25" s="123" t="s">
        <v>87</v>
      </c>
      <c r="B25" s="124" t="str">
        <f>VLOOKUP(A25,'Folha de Pagamento'!A:C,3,0)</f>
        <v>AUXILIAR DE ATENDIMENTO II</v>
      </c>
      <c r="C25" s="125" t="str">
        <f>VLOOKUP(A25,'Folha de Pagamento'!A:G,7,0)</f>
        <v>Recepção</v>
      </c>
      <c r="D25" s="126" t="s">
        <v>254</v>
      </c>
      <c r="E25" s="125" t="str">
        <f>VLOOKUP(A25,'Folha de Pagamento'!A:F,6,0)</f>
        <v>Operacional</v>
      </c>
      <c r="F25" s="127">
        <v>318.0</v>
      </c>
      <c r="G25" s="128" t="s">
        <v>255</v>
      </c>
      <c r="H25" s="129" t="s">
        <v>212</v>
      </c>
      <c r="I25" s="130"/>
      <c r="J25" s="131"/>
      <c r="K25" s="132"/>
      <c r="L25" s="132" t="s">
        <v>213</v>
      </c>
      <c r="M25" s="132" t="s">
        <v>214</v>
      </c>
      <c r="N25" s="132"/>
      <c r="O25" s="132" t="s">
        <v>215</v>
      </c>
    </row>
    <row r="26">
      <c r="A26" s="123" t="s">
        <v>90</v>
      </c>
      <c r="B26" s="124" t="str">
        <f>VLOOKUP(A26,'Folha de Pagamento'!A:C,3,0)</f>
        <v>AUXILIAR DE ENGENHARIA</v>
      </c>
      <c r="C26" s="125" t="str">
        <f>VLOOKUP(A26,'Folha de Pagamento'!A:G,7,0)</f>
        <v>Urbanismo</v>
      </c>
      <c r="D26" s="126" t="s">
        <v>256</v>
      </c>
      <c r="E26" s="125" t="str">
        <f>VLOOKUP(A26,'Folha de Pagamento'!A:F,6,0)</f>
        <v>Operacional</v>
      </c>
      <c r="F26" s="127">
        <v>207.0</v>
      </c>
      <c r="G26" s="128" t="s">
        <v>257</v>
      </c>
      <c r="H26" s="129" t="s">
        <v>212</v>
      </c>
      <c r="I26" s="130"/>
      <c r="J26" s="131"/>
      <c r="K26" s="132"/>
      <c r="L26" s="132"/>
      <c r="M26" s="132" t="s">
        <v>214</v>
      </c>
      <c r="N26" s="132"/>
      <c r="O26" s="132" t="s">
        <v>215</v>
      </c>
    </row>
    <row r="27" ht="15.75" customHeight="1">
      <c r="A27" s="123" t="s">
        <v>92</v>
      </c>
      <c r="B27" s="124" t="str">
        <f>VLOOKUP(A27,'Folha de Pagamento'!A:C,3,0)</f>
        <v>CONTROLER JURÍDICO</v>
      </c>
      <c r="C27" s="125" t="str">
        <f>VLOOKUP(A27,'Folha de Pagamento'!A:G,7,0)</f>
        <v>Administrativo</v>
      </c>
      <c r="D27" s="126" t="s">
        <v>258</v>
      </c>
      <c r="E27" s="125" t="str">
        <f>VLOOKUP(A27,'Folha de Pagamento'!A:F,6,0)</f>
        <v>Tático</v>
      </c>
      <c r="F27" s="139">
        <v>9.0</v>
      </c>
      <c r="G27" s="140" t="s">
        <v>259</v>
      </c>
      <c r="H27" s="141" t="s">
        <v>53</v>
      </c>
      <c r="I27" s="130"/>
      <c r="J27" s="131"/>
      <c r="K27" s="132"/>
      <c r="L27" s="132"/>
      <c r="M27" s="132" t="s">
        <v>214</v>
      </c>
      <c r="N27" s="132"/>
      <c r="O27" s="132" t="s">
        <v>215</v>
      </c>
    </row>
    <row r="28" ht="15.75" customHeight="1">
      <c r="A28" s="123" t="s">
        <v>95</v>
      </c>
      <c r="B28" s="124" t="str">
        <f>VLOOKUP(A28,'Folha de Pagamento'!A:C,3,0)</f>
        <v>CONTROLLER GERAL</v>
      </c>
      <c r="C28" s="125" t="str">
        <f>VLOOKUP(A28,'Folha de Pagamento'!A:G,7,0)</f>
        <v>Controladoria</v>
      </c>
      <c r="D28" s="126" t="s">
        <v>260</v>
      </c>
      <c r="E28" s="125" t="str">
        <f>VLOOKUP(A28,'Folha de Pagamento'!A:F,6,0)</f>
        <v>Tático</v>
      </c>
      <c r="F28" s="142">
        <v>95.0</v>
      </c>
      <c r="G28" s="143" t="s">
        <v>261</v>
      </c>
      <c r="H28" s="144" t="s">
        <v>212</v>
      </c>
      <c r="I28" s="130"/>
      <c r="J28" s="131"/>
      <c r="K28" s="132"/>
      <c r="L28" s="132"/>
      <c r="M28" s="132" t="s">
        <v>214</v>
      </c>
      <c r="N28" s="132" t="s">
        <v>218</v>
      </c>
      <c r="O28" s="132" t="s">
        <v>215</v>
      </c>
    </row>
    <row r="29" ht="15.75" customHeight="1">
      <c r="A29" s="123" t="s">
        <v>98</v>
      </c>
      <c r="B29" s="124" t="str">
        <f>VLOOKUP(A29,'Folha de Pagamento'!A:C,3,0)</f>
        <v>CONTROLLER TÉCNICO</v>
      </c>
      <c r="C29" s="125" t="str">
        <f>VLOOKUP(A29,'Folha de Pagamento'!A:G,7,0)</f>
        <v>Controladoria</v>
      </c>
      <c r="D29" s="126" t="s">
        <v>262</v>
      </c>
      <c r="E29" s="125" t="str">
        <f>VLOOKUP(A29,'Folha de Pagamento'!A:F,6,0)</f>
        <v>Tático</v>
      </c>
      <c r="F29" s="142">
        <v>26.0</v>
      </c>
      <c r="G29" s="143" t="s">
        <v>263</v>
      </c>
      <c r="H29" s="141" t="s">
        <v>264</v>
      </c>
      <c r="I29" s="130"/>
      <c r="J29" s="131"/>
      <c r="K29" s="132"/>
      <c r="L29" s="132"/>
      <c r="M29" s="132" t="s">
        <v>214</v>
      </c>
      <c r="N29" s="132"/>
      <c r="O29" s="132" t="s">
        <v>215</v>
      </c>
    </row>
    <row r="30">
      <c r="A30" s="123" t="s">
        <v>101</v>
      </c>
      <c r="B30" s="124" t="str">
        <f>VLOOKUP(A30,'Folha de Pagamento'!A:C,3,0)</f>
        <v>COORDENADOR DE DHO</v>
      </c>
      <c r="C30" s="125" t="str">
        <f>VLOOKUP(A30,'Folha de Pagamento'!A:G,7,0)</f>
        <v>DHO</v>
      </c>
      <c r="D30" s="126" t="s">
        <v>265</v>
      </c>
      <c r="E30" s="125" t="str">
        <f>VLOOKUP(A30,'Folha de Pagamento'!A:F,6,0)</f>
        <v>Tático</v>
      </c>
      <c r="F30" s="127">
        <v>121.0</v>
      </c>
      <c r="G30" s="128" t="s">
        <v>266</v>
      </c>
      <c r="H30" s="129" t="s">
        <v>212</v>
      </c>
      <c r="I30" s="130"/>
      <c r="J30" s="131"/>
      <c r="K30" s="132"/>
      <c r="L30" s="132" t="s">
        <v>213</v>
      </c>
      <c r="M30" s="132" t="s">
        <v>214</v>
      </c>
      <c r="N30" s="132" t="s">
        <v>218</v>
      </c>
      <c r="O30" s="132" t="s">
        <v>215</v>
      </c>
    </row>
    <row r="31" ht="15.75" customHeight="1">
      <c r="A31" s="123" t="s">
        <v>104</v>
      </c>
      <c r="B31" s="124" t="str">
        <f>VLOOKUP(A31,'Folha de Pagamento'!A:C,3,0)</f>
        <v>COORDENADOR DE LEGAIZAÇÃO ll</v>
      </c>
      <c r="C31" s="125" t="str">
        <f>VLOOKUP(A31,'Folha de Pagamento'!A:G,7,0)</f>
        <v>Legalização </v>
      </c>
      <c r="D31" s="126" t="s">
        <v>267</v>
      </c>
      <c r="E31" s="125" t="str">
        <f>VLOOKUP(A31,'Folha de Pagamento'!A:F,6,0)</f>
        <v>Tático</v>
      </c>
      <c r="F31" s="127">
        <v>1203.0</v>
      </c>
      <c r="G31" s="128" t="s">
        <v>268</v>
      </c>
      <c r="H31" s="133" t="s">
        <v>212</v>
      </c>
      <c r="I31" s="130"/>
      <c r="J31" s="131"/>
      <c r="K31" s="132"/>
      <c r="L31" s="132" t="s">
        <v>213</v>
      </c>
      <c r="M31" s="132" t="s">
        <v>214</v>
      </c>
      <c r="N31" s="132" t="s">
        <v>218</v>
      </c>
      <c r="O31" s="132" t="s">
        <v>215</v>
      </c>
    </row>
    <row r="32" ht="15.75" customHeight="1">
      <c r="A32" s="123" t="s">
        <v>106</v>
      </c>
      <c r="B32" s="124" t="str">
        <f>VLOOKUP(A32,'Folha de Pagamento'!A:C,3,0)</f>
        <v>COORDENADOR DE MARKETING II</v>
      </c>
      <c r="C32" s="125" t="str">
        <f>VLOOKUP(A32,'Folha de Pagamento'!A:G,7,0)</f>
        <v>Marketing</v>
      </c>
      <c r="D32" s="126" t="s">
        <v>269</v>
      </c>
      <c r="E32" s="125" t="str">
        <f>VLOOKUP(A32,'Folha de Pagamento'!A:F,6,0)</f>
        <v>Tático</v>
      </c>
      <c r="F32" s="127">
        <v>56.0</v>
      </c>
      <c r="G32" s="128" t="s">
        <v>270</v>
      </c>
      <c r="H32" s="133" t="s">
        <v>212</v>
      </c>
      <c r="I32" s="130"/>
      <c r="J32" s="131"/>
      <c r="K32" s="132"/>
      <c r="L32" s="132" t="s">
        <v>213</v>
      </c>
      <c r="M32" s="132" t="s">
        <v>214</v>
      </c>
      <c r="N32" s="132" t="s">
        <v>218</v>
      </c>
      <c r="O32" s="132" t="s">
        <v>215</v>
      </c>
    </row>
    <row r="33" ht="15.75" customHeight="1">
      <c r="A33" s="123" t="s">
        <v>109</v>
      </c>
      <c r="B33" s="124" t="str">
        <f>VLOOKUP(A33,'Folha de Pagamento'!A:C,3,0)</f>
        <v>COORDENADOR DE OBRAS</v>
      </c>
      <c r="C33" s="125" t="str">
        <f>VLOOKUP(A33,'Folha de Pagamento'!A:G,7,0)</f>
        <v>Edificação</v>
      </c>
      <c r="D33" s="126" t="s">
        <v>271</v>
      </c>
      <c r="E33" s="145" t="s">
        <v>36</v>
      </c>
      <c r="F33" s="127">
        <v>209.0</v>
      </c>
      <c r="G33" s="128" t="s">
        <v>272</v>
      </c>
      <c r="H33" s="129" t="s">
        <v>212</v>
      </c>
      <c r="I33" s="130"/>
      <c r="J33" s="131"/>
      <c r="K33" s="132"/>
      <c r="L33" s="132" t="s">
        <v>213</v>
      </c>
      <c r="M33" s="132" t="s">
        <v>214</v>
      </c>
      <c r="N33" s="132" t="s">
        <v>218</v>
      </c>
      <c r="O33" s="132" t="s">
        <v>215</v>
      </c>
    </row>
    <row r="34" ht="15.75" customHeight="1">
      <c r="A34" s="123" t="s">
        <v>112</v>
      </c>
      <c r="B34" s="124" t="str">
        <f>VLOOKUP(A34,'Folha de Pagamento'!A:C,3,0)</f>
        <v>COORDENADOR DE SUPRIMENTOS</v>
      </c>
      <c r="C34" s="125" t="str">
        <f>VLOOKUP(A34,'Folha de Pagamento'!A:G,7,0)</f>
        <v>Suprimentos </v>
      </c>
      <c r="D34" s="126" t="s">
        <v>273</v>
      </c>
      <c r="E34" s="125" t="str">
        <f>VLOOKUP(A34,'Folha de Pagamento'!A:F,6,0)</f>
        <v>Tático</v>
      </c>
      <c r="F34" s="127">
        <v>137.0</v>
      </c>
      <c r="G34" s="128" t="s">
        <v>274</v>
      </c>
      <c r="H34" s="129" t="s">
        <v>212</v>
      </c>
      <c r="I34" s="130"/>
      <c r="J34" s="131"/>
      <c r="K34" s="132"/>
      <c r="L34" s="132" t="s">
        <v>213</v>
      </c>
      <c r="M34" s="132" t="s">
        <v>214</v>
      </c>
      <c r="N34" s="132"/>
      <c r="O34" s="132" t="s">
        <v>215</v>
      </c>
    </row>
    <row r="35" ht="15.75" customHeight="1">
      <c r="A35" s="123" t="s">
        <v>115</v>
      </c>
      <c r="B35" s="124" t="str">
        <f>VLOOKUP(A35,'Folha de Pagamento'!A:C,3,0)</f>
        <v>COORDENADOR FINANCEIRO</v>
      </c>
      <c r="C35" s="125" t="str">
        <f>VLOOKUP(A35,'Folha de Pagamento'!A:G,7,0)</f>
        <v>Financeiro</v>
      </c>
      <c r="D35" s="126" t="s">
        <v>275</v>
      </c>
      <c r="E35" s="125" t="str">
        <f>VLOOKUP(A35,'Folha de Pagamento'!A:F,6,0)</f>
        <v>Tático</v>
      </c>
      <c r="F35" s="127">
        <v>122.0</v>
      </c>
      <c r="G35" s="128" t="s">
        <v>276</v>
      </c>
      <c r="H35" s="129" t="s">
        <v>212</v>
      </c>
      <c r="I35" s="130"/>
      <c r="J35" s="131"/>
      <c r="K35" s="132"/>
      <c r="L35" s="132" t="s">
        <v>213</v>
      </c>
      <c r="M35" s="132" t="s">
        <v>214</v>
      </c>
      <c r="N35" s="132"/>
      <c r="O35" s="132" t="s">
        <v>215</v>
      </c>
    </row>
    <row r="36" ht="15.75" customHeight="1">
      <c r="A36" s="123" t="s">
        <v>118</v>
      </c>
      <c r="B36" s="146" t="str">
        <f>VLOOKUP(A36,'Folha de Pagamento'!A:C,3,0)</f>
        <v>DIRETOR</v>
      </c>
      <c r="C36" s="125" t="str">
        <f>VLOOKUP(A36,'Folha de Pagamento'!A:G,7,0)</f>
        <v>Comercial</v>
      </c>
      <c r="D36" s="126" t="s">
        <v>277</v>
      </c>
      <c r="E36" s="125" t="str">
        <f>VLOOKUP(A36,'Folha de Pagamento'!A:F,6,0)</f>
        <v>Estratégico</v>
      </c>
      <c r="F36" s="127">
        <v>456.0</v>
      </c>
      <c r="G36" s="128" t="s">
        <v>278</v>
      </c>
      <c r="H36" s="129" t="s">
        <v>212</v>
      </c>
      <c r="I36" s="130"/>
      <c r="J36" s="131"/>
      <c r="K36" s="132"/>
      <c r="L36" s="132" t="s">
        <v>213</v>
      </c>
      <c r="M36" s="132" t="s">
        <v>214</v>
      </c>
      <c r="N36" s="132" t="s">
        <v>218</v>
      </c>
      <c r="O36" s="132" t="s">
        <v>215</v>
      </c>
    </row>
    <row r="37" ht="15.75" customHeight="1">
      <c r="A37" s="123" t="s">
        <v>123</v>
      </c>
      <c r="B37" s="124" t="str">
        <f>VLOOKUP(A37,'Folha de Pagamento'!A:C,3,0)</f>
        <v>ENCARREGADO DE OBRAS</v>
      </c>
      <c r="C37" s="125" t="str">
        <f>VLOOKUP(A37,'Folha de Pagamento'!A:G,7,0)</f>
        <v>Urbanismo</v>
      </c>
      <c r="D37" s="126" t="s">
        <v>279</v>
      </c>
      <c r="E37" s="125" t="str">
        <f>VLOOKUP(A37,'Folha de Pagamento'!A:F,6,0)</f>
        <v>Operacional</v>
      </c>
      <c r="F37" s="127">
        <v>470.0</v>
      </c>
      <c r="G37" s="128" t="s">
        <v>280</v>
      </c>
      <c r="H37" s="129" t="s">
        <v>212</v>
      </c>
      <c r="I37" s="130"/>
      <c r="J37" s="131"/>
      <c r="K37" s="132"/>
      <c r="L37" s="132" t="s">
        <v>213</v>
      </c>
      <c r="M37" s="132" t="s">
        <v>214</v>
      </c>
      <c r="N37" s="132"/>
      <c r="O37" s="132" t="s">
        <v>215</v>
      </c>
    </row>
    <row r="38" ht="15.75" customHeight="1">
      <c r="A38" s="123" t="s">
        <v>125</v>
      </c>
      <c r="B38" s="124" t="str">
        <f>VLOOKUP(A38,'Folha de Pagamento'!A:C,3,0)</f>
        <v>ENCARREGADO OBRAS/MANUTENCAO</v>
      </c>
      <c r="C38" s="125" t="str">
        <f>VLOOKUP(A38,'Folha de Pagamento'!A:G,7,0)</f>
        <v>Edificação</v>
      </c>
      <c r="D38" s="126" t="s">
        <v>281</v>
      </c>
      <c r="E38" s="125" t="str">
        <f>VLOOKUP(A38,'Folha de Pagamento'!A:F,6,0)</f>
        <v>Operacional</v>
      </c>
      <c r="F38" s="127">
        <v>470.0</v>
      </c>
      <c r="G38" s="128" t="s">
        <v>280</v>
      </c>
      <c r="H38" s="129" t="s">
        <v>212</v>
      </c>
      <c r="I38" s="130"/>
      <c r="J38" s="131"/>
      <c r="K38" s="132"/>
      <c r="L38" s="132"/>
      <c r="M38" s="132"/>
      <c r="N38" s="132"/>
      <c r="O38" s="132"/>
    </row>
    <row r="39" ht="15.75" customHeight="1">
      <c r="A39" s="123" t="s">
        <v>127</v>
      </c>
      <c r="B39" s="124" t="str">
        <f>VLOOKUP(A39,'Folha de Pagamento'!A:C,3,0)</f>
        <v>ENGENHEIRO JUNIOR DE URBANISMO</v>
      </c>
      <c r="C39" s="125" t="str">
        <f>VLOOKUP(A39,'Folha de Pagamento'!A:G,7,0)</f>
        <v>Urbanismo</v>
      </c>
      <c r="D39" s="126" t="s">
        <v>282</v>
      </c>
      <c r="E39" s="125" t="str">
        <f>VLOOKUP(A39,'Folha de Pagamento'!A:F,6,0)</f>
        <v>Operacional</v>
      </c>
      <c r="F39" s="127">
        <v>212.0</v>
      </c>
      <c r="G39" s="128" t="s">
        <v>283</v>
      </c>
      <c r="H39" s="129" t="s">
        <v>212</v>
      </c>
      <c r="I39" s="130"/>
      <c r="J39" s="131"/>
      <c r="K39" s="132"/>
      <c r="L39" s="132" t="s">
        <v>213</v>
      </c>
      <c r="M39" s="132" t="s">
        <v>214</v>
      </c>
      <c r="N39" s="132"/>
      <c r="O39" s="132" t="s">
        <v>215</v>
      </c>
    </row>
    <row r="40">
      <c r="A40" s="123" t="s">
        <v>130</v>
      </c>
      <c r="B40" s="124" t="str">
        <f>VLOOKUP(A40,'Folha de Pagamento'!A:C,3,0)</f>
        <v>ENGENHEIRO SÊNIOR </v>
      </c>
      <c r="C40" s="125" t="str">
        <f>VLOOKUP(A40,'Folha de Pagamento'!A:G,7,0)</f>
        <v>Edificação</v>
      </c>
      <c r="D40" s="126" t="s">
        <v>284</v>
      </c>
      <c r="E40" s="125" t="str">
        <f>VLOOKUP(A40,'Folha de Pagamento'!A:F,6,0)</f>
        <v>Tático</v>
      </c>
      <c r="F40" s="127">
        <v>212.0</v>
      </c>
      <c r="G40" s="128" t="s">
        <v>283</v>
      </c>
      <c r="H40" s="129" t="s">
        <v>212</v>
      </c>
      <c r="I40" s="130"/>
      <c r="J40" s="131"/>
      <c r="K40" s="132"/>
      <c r="L40" s="132" t="s">
        <v>213</v>
      </c>
      <c r="M40" s="132"/>
      <c r="N40" s="132"/>
      <c r="O40" s="132" t="s">
        <v>215</v>
      </c>
    </row>
    <row r="41" ht="15.75" customHeight="1">
      <c r="A41" s="123" t="s">
        <v>133</v>
      </c>
      <c r="B41" s="124" t="str">
        <f>VLOOKUP(A41,'Folha de Pagamento'!A:C,3,0)</f>
        <v>ESTAGIARIO (A)</v>
      </c>
      <c r="C41" s="125" t="str">
        <f>VLOOKUP(A41,'Folha de Pagamento'!A:G,7,0)</f>
        <v>Novos Negócios</v>
      </c>
      <c r="D41" s="126" t="s">
        <v>285</v>
      </c>
      <c r="E41" s="125" t="str">
        <f>VLOOKUP(A41,'Folha de Pagamento'!A:F,6,0)</f>
        <v>Operacional</v>
      </c>
      <c r="F41" s="127">
        <v>338.0</v>
      </c>
      <c r="G41" s="128" t="s">
        <v>286</v>
      </c>
      <c r="H41" s="129" t="s">
        <v>212</v>
      </c>
      <c r="I41" s="130"/>
      <c r="J41" s="131"/>
      <c r="K41" s="132"/>
      <c r="L41" s="132" t="s">
        <v>213</v>
      </c>
      <c r="M41" s="132" t="s">
        <v>214</v>
      </c>
      <c r="N41" s="132" t="s">
        <v>218</v>
      </c>
      <c r="O41" s="132" t="s">
        <v>215</v>
      </c>
    </row>
    <row r="42">
      <c r="A42" s="123" t="s">
        <v>138</v>
      </c>
      <c r="B42" s="124" t="str">
        <f>VLOOKUP(A42,'Folha de Pagamento'!A:C,3,0)</f>
        <v>ESTAGIÁRIO(A) ADM</v>
      </c>
      <c r="C42" s="125" t="str">
        <f>VLOOKUP(A42,'Folha de Pagamento'!A:G,7,0)</f>
        <v>Administrativo</v>
      </c>
      <c r="D42" s="126" t="s">
        <v>287</v>
      </c>
      <c r="E42" s="125" t="str">
        <f>VLOOKUP(A42,'Folha de Pagamento'!A:F,6,0)</f>
        <v>Operacional</v>
      </c>
      <c r="F42" s="127">
        <v>338.0</v>
      </c>
      <c r="G42" s="128" t="s">
        <v>286</v>
      </c>
      <c r="H42" s="129" t="s">
        <v>212</v>
      </c>
      <c r="I42" s="130"/>
      <c r="J42" s="131"/>
      <c r="K42" s="132"/>
      <c r="L42" s="132" t="s">
        <v>213</v>
      </c>
      <c r="M42" s="132" t="s">
        <v>214</v>
      </c>
      <c r="N42" s="132" t="s">
        <v>218</v>
      </c>
      <c r="O42" s="132" t="s">
        <v>215</v>
      </c>
    </row>
    <row r="43" ht="15.75" customHeight="1">
      <c r="A43" s="123" t="s">
        <v>141</v>
      </c>
      <c r="B43" s="124" t="str">
        <f>VLOOKUP(A43,'Folha de Pagamento'!A:C,3,0)</f>
        <v>ESTAGIARIO(A) ENG. CIVIL </v>
      </c>
      <c r="C43" s="125" t="str">
        <f>VLOOKUP(A43,'Folha de Pagamento'!A:G,7,0)</f>
        <v>Urbanismo</v>
      </c>
      <c r="D43" s="126" t="s">
        <v>288</v>
      </c>
      <c r="E43" s="125" t="str">
        <f>VLOOKUP(A43,'Folha de Pagamento'!A:F,6,0)</f>
        <v>Operacional</v>
      </c>
      <c r="F43" s="127">
        <v>1204.0</v>
      </c>
      <c r="G43" s="128" t="s">
        <v>289</v>
      </c>
      <c r="H43" s="129" t="s">
        <v>212</v>
      </c>
      <c r="I43" s="130"/>
      <c r="J43" s="131"/>
      <c r="K43" s="132"/>
      <c r="L43" s="132"/>
      <c r="M43" s="132"/>
      <c r="N43" s="132"/>
      <c r="O43" s="132" t="s">
        <v>215</v>
      </c>
    </row>
    <row r="44">
      <c r="A44" s="123" t="s">
        <v>144</v>
      </c>
      <c r="B44" s="124" t="str">
        <f>VLOOKUP(A44,'Folha de Pagamento'!A:C,3,0)</f>
        <v>ESTAGIÁRIO(A) RH/DP</v>
      </c>
      <c r="C44" s="125" t="str">
        <f>VLOOKUP(A44,'Folha de Pagamento'!A:G,7,0)</f>
        <v>DHO</v>
      </c>
      <c r="D44" s="126" t="s">
        <v>290</v>
      </c>
      <c r="E44" s="125" t="str">
        <f>VLOOKUP(A44,'Folha de Pagamento'!A:F,6,0)</f>
        <v>Operacional</v>
      </c>
      <c r="F44" s="127">
        <v>338.0</v>
      </c>
      <c r="G44" s="128" t="s">
        <v>286</v>
      </c>
      <c r="H44" s="129" t="s">
        <v>212</v>
      </c>
      <c r="I44" s="130"/>
      <c r="J44" s="131"/>
      <c r="K44" s="132"/>
      <c r="L44" s="132" t="s">
        <v>213</v>
      </c>
      <c r="M44" s="132" t="s">
        <v>214</v>
      </c>
      <c r="N44" s="132"/>
      <c r="O44" s="132" t="s">
        <v>215</v>
      </c>
    </row>
    <row r="45">
      <c r="A45" s="123" t="s">
        <v>146</v>
      </c>
      <c r="B45" s="124" t="str">
        <f>VLOOKUP(A45,'Folha de Pagamento'!A:C,3,0)</f>
        <v>GERENTE ADMINISTRATIVA </v>
      </c>
      <c r="C45" s="125" t="str">
        <f>VLOOKUP(A45,'Folha de Pagamento'!A:G,7,0)</f>
        <v>Administrativo</v>
      </c>
      <c r="D45" s="126" t="s">
        <v>291</v>
      </c>
      <c r="E45" s="125" t="str">
        <f>VLOOKUP(A45,'Folha de Pagamento'!A:F,6,0)</f>
        <v>Tático</v>
      </c>
      <c r="F45" s="127">
        <v>106.0</v>
      </c>
      <c r="G45" s="128" t="s">
        <v>292</v>
      </c>
      <c r="H45" s="129" t="s">
        <v>212</v>
      </c>
      <c r="I45" s="130"/>
      <c r="J45" s="131"/>
      <c r="K45" s="132"/>
      <c r="L45" s="132"/>
      <c r="M45" s="132"/>
      <c r="N45" s="132"/>
      <c r="O45" s="132"/>
    </row>
    <row r="46" ht="15.75" customHeight="1">
      <c r="A46" s="123" t="s">
        <v>149</v>
      </c>
      <c r="B46" s="146" t="str">
        <f>VLOOKUP(A46,'Folha de Pagamento'!A:C,3,0)</f>
        <v>GERENTE COMERCIAL</v>
      </c>
      <c r="C46" s="125" t="str">
        <f>VLOOKUP(A46,'Folha de Pagamento'!A:G,7,0)</f>
        <v>Comercial</v>
      </c>
      <c r="D46" s="126" t="s">
        <v>293</v>
      </c>
      <c r="E46" s="125" t="str">
        <f>VLOOKUP(A46,'Folha de Pagamento'!A:F,6,0)</f>
        <v>Tático</v>
      </c>
      <c r="F46" s="127">
        <v>107.0</v>
      </c>
      <c r="G46" s="128" t="s">
        <v>294</v>
      </c>
      <c r="H46" s="129" t="s">
        <v>212</v>
      </c>
      <c r="I46" s="130"/>
      <c r="J46" s="131"/>
      <c r="K46" s="132"/>
      <c r="L46" s="132" t="s">
        <v>213</v>
      </c>
      <c r="M46" s="132" t="s">
        <v>214</v>
      </c>
      <c r="N46" s="132"/>
      <c r="O46" s="132" t="s">
        <v>215</v>
      </c>
    </row>
    <row r="47" ht="15.75" customHeight="1">
      <c r="A47" s="123" t="s">
        <v>152</v>
      </c>
      <c r="B47" s="146" t="str">
        <f>VLOOKUP(A47,'Folha de Pagamento'!A:C,3,0)</f>
        <v>GERENTE DE EDIFICAÇÕES</v>
      </c>
      <c r="C47" s="125" t="str">
        <f>VLOOKUP(A47,'Folha de Pagamento'!A:G,7,0)</f>
        <v>Edificação</v>
      </c>
      <c r="D47" s="126" t="s">
        <v>295</v>
      </c>
      <c r="E47" s="125" t="str">
        <f>VLOOKUP(A47,'Folha de Pagamento'!A:F,6,0)</f>
        <v>Tático</v>
      </c>
      <c r="F47" s="127">
        <v>311.0</v>
      </c>
      <c r="G47" s="128" t="s">
        <v>296</v>
      </c>
      <c r="H47" s="129" t="s">
        <v>212</v>
      </c>
      <c r="I47" s="130"/>
      <c r="J47" s="131"/>
      <c r="K47" s="132"/>
      <c r="L47" s="132"/>
      <c r="M47" s="132"/>
      <c r="N47" s="132" t="s">
        <v>218</v>
      </c>
      <c r="O47" s="132" t="s">
        <v>215</v>
      </c>
    </row>
    <row r="48" ht="15.75" customHeight="1">
      <c r="A48" s="123" t="s">
        <v>155</v>
      </c>
      <c r="B48" s="146" t="str">
        <f>VLOOKUP(A48,'Folha de Pagamento'!A:C,3,0)</f>
        <v>GERENTE DE HOUSE</v>
      </c>
      <c r="C48" s="125" t="str">
        <f>VLOOKUP(A48,'Folha de Pagamento'!A:G,7,0)</f>
        <v>Comercial</v>
      </c>
      <c r="D48" s="126" t="s">
        <v>297</v>
      </c>
      <c r="E48" s="125" t="str">
        <f>VLOOKUP(A48,'Folha de Pagamento'!A:F,6,0)</f>
        <v>Tático</v>
      </c>
      <c r="F48" s="127">
        <v>107.0</v>
      </c>
      <c r="G48" s="128" t="s">
        <v>294</v>
      </c>
      <c r="H48" s="129" t="s">
        <v>212</v>
      </c>
      <c r="I48" s="130"/>
      <c r="J48" s="131"/>
      <c r="K48" s="132"/>
      <c r="L48" s="132"/>
      <c r="M48" s="132"/>
      <c r="N48" s="132"/>
      <c r="O48" s="132"/>
    </row>
    <row r="49" ht="15.75" customHeight="1">
      <c r="A49" s="123" t="s">
        <v>158</v>
      </c>
      <c r="B49" s="146" t="str">
        <f>VLOOKUP(A49,'Folha de Pagamento'!A:C,3,0)</f>
        <v>GERENTE DE IMOBILIÁRIAS EXTERNAS</v>
      </c>
      <c r="C49" s="125" t="str">
        <f>VLOOKUP(A49,'Folha de Pagamento'!A:G,7,0)</f>
        <v>Comercial</v>
      </c>
      <c r="D49" s="126" t="s">
        <v>298</v>
      </c>
      <c r="E49" s="125" t="str">
        <f>VLOOKUP(A49,'Folha de Pagamento'!A:F,6,0)</f>
        <v>Tático</v>
      </c>
      <c r="F49" s="127">
        <v>1205.0</v>
      </c>
      <c r="G49" s="128" t="s">
        <v>299</v>
      </c>
      <c r="H49" s="129" t="s">
        <v>212</v>
      </c>
      <c r="I49" s="130"/>
      <c r="J49" s="131"/>
      <c r="K49" s="132"/>
      <c r="L49" s="132" t="s">
        <v>213</v>
      </c>
      <c r="M49" s="132"/>
      <c r="N49" s="132"/>
      <c r="O49" s="132" t="s">
        <v>215</v>
      </c>
    </row>
    <row r="50" ht="15.75" customHeight="1">
      <c r="A50" s="123" t="s">
        <v>162</v>
      </c>
      <c r="B50" s="146" t="str">
        <f>VLOOKUP(A50,'Folha de Pagamento'!A:C,3,0)</f>
        <v>GERENTE DE INCORPORAÇÃO </v>
      </c>
      <c r="C50" s="125" t="str">
        <f>VLOOKUP(A50,'Folha de Pagamento'!A:G,7,0)</f>
        <v>Incorporação</v>
      </c>
      <c r="D50" s="126" t="s">
        <v>300</v>
      </c>
      <c r="E50" s="125" t="str">
        <f>VLOOKUP(A50,'Folha de Pagamento'!A:F,6,0)</f>
        <v>Tático</v>
      </c>
      <c r="F50" s="127">
        <v>548.0</v>
      </c>
      <c r="G50" s="128" t="s">
        <v>301</v>
      </c>
      <c r="H50" s="129" t="s">
        <v>212</v>
      </c>
      <c r="I50" s="130"/>
      <c r="J50" s="131"/>
      <c r="K50" s="132"/>
      <c r="L50" s="132" t="s">
        <v>213</v>
      </c>
      <c r="M50" s="132" t="s">
        <v>214</v>
      </c>
      <c r="N50" s="132" t="s">
        <v>218</v>
      </c>
      <c r="O50" s="132" t="s">
        <v>215</v>
      </c>
    </row>
    <row r="51" ht="15.75" customHeight="1">
      <c r="A51" s="123" t="s">
        <v>166</v>
      </c>
      <c r="B51" s="146" t="str">
        <f>VLOOKUP(A51,'Folha de Pagamento'!A:C,3,0)</f>
        <v>GERENTE DE PARCERIAS</v>
      </c>
      <c r="C51" s="125" t="str">
        <f>VLOOKUP(A51,'Folha de Pagamento'!A:G,7,0)</f>
        <v>Comercial</v>
      </c>
      <c r="D51" s="126" t="s">
        <v>302</v>
      </c>
      <c r="E51" s="125" t="str">
        <f>VLOOKUP(A51,'Folha de Pagamento'!A:F,6,0)</f>
        <v>Tático</v>
      </c>
      <c r="F51" s="135">
        <v>408.0</v>
      </c>
      <c r="G51" s="136" t="s">
        <v>303</v>
      </c>
      <c r="H51" s="137" t="s">
        <v>212</v>
      </c>
      <c r="I51" s="130"/>
      <c r="J51" s="131"/>
      <c r="K51" s="132"/>
      <c r="L51" s="132"/>
      <c r="M51" s="132"/>
      <c r="N51" s="132"/>
      <c r="O51" s="132"/>
    </row>
    <row r="52" ht="15.75" customHeight="1">
      <c r="A52" s="123" t="s">
        <v>171</v>
      </c>
      <c r="B52" s="146" t="str">
        <f>VLOOKUP(A52,'Folha de Pagamento'!A:C,3,0)</f>
        <v>GERENTE DE PARCERIAS EXTERNAS</v>
      </c>
      <c r="C52" s="125" t="str">
        <f>VLOOKUP(A52,'Folha de Pagamento'!A:G,7,0)</f>
        <v>Comercial</v>
      </c>
      <c r="D52" s="126" t="s">
        <v>304</v>
      </c>
      <c r="E52" s="125" t="str">
        <f>VLOOKUP(A52,'Folha de Pagamento'!A:F,6,0)</f>
        <v>Tático</v>
      </c>
      <c r="F52" s="135">
        <v>408.0</v>
      </c>
      <c r="G52" s="136" t="s">
        <v>303</v>
      </c>
      <c r="H52" s="137" t="s">
        <v>212</v>
      </c>
      <c r="I52" s="130"/>
      <c r="J52" s="131"/>
      <c r="K52" s="132"/>
      <c r="L52" s="132" t="s">
        <v>213</v>
      </c>
      <c r="M52" s="132" t="s">
        <v>214</v>
      </c>
      <c r="N52" s="132" t="s">
        <v>218</v>
      </c>
      <c r="O52" s="132" t="s">
        <v>215</v>
      </c>
    </row>
    <row r="53" ht="15.75" customHeight="1">
      <c r="A53" s="123" t="s">
        <v>174</v>
      </c>
      <c r="B53" s="147" t="str">
        <f>VLOOKUP(A53,'Folha de Pagamento'!A:C,3,0)</f>
        <v>GERENTE DE URBANISMO</v>
      </c>
      <c r="C53" s="125" t="str">
        <f>VLOOKUP(A53,'Folha de Pagamento'!A:G,7,0)</f>
        <v>Urbanismo</v>
      </c>
      <c r="D53" s="126" t="s">
        <v>305</v>
      </c>
      <c r="E53" s="125" t="str">
        <f>VLOOKUP(A53,'Folha de Pagamento'!A:F,6,0)</f>
        <v>Tático</v>
      </c>
      <c r="F53" s="127">
        <v>311.0</v>
      </c>
      <c r="G53" s="128" t="s">
        <v>296</v>
      </c>
      <c r="H53" s="129" t="s">
        <v>212</v>
      </c>
      <c r="I53" s="130"/>
      <c r="J53" s="131"/>
      <c r="K53" s="132"/>
      <c r="L53" s="132" t="s">
        <v>213</v>
      </c>
      <c r="M53" s="132" t="s">
        <v>214</v>
      </c>
      <c r="N53" s="132" t="s">
        <v>218</v>
      </c>
      <c r="O53" s="132" t="s">
        <v>215</v>
      </c>
    </row>
    <row r="54" ht="15.75" customHeight="1">
      <c r="A54" s="123" t="s">
        <v>177</v>
      </c>
      <c r="B54" s="146" t="str">
        <f>VLOOKUP(A54,'Folha de Pagamento'!A:C,3,0)</f>
        <v>SUPERVISOR DE NOVOS NEGÓCIOS </v>
      </c>
      <c r="C54" s="125" t="str">
        <f>VLOOKUP(A54,'Folha de Pagamento'!A:G,7,0)</f>
        <v>Novos Negócios</v>
      </c>
      <c r="D54" s="126" t="s">
        <v>306</v>
      </c>
      <c r="E54" s="125" t="str">
        <f>VLOOKUP(A54,'Folha de Pagamento'!A:F,6,0)</f>
        <v>Tático</v>
      </c>
      <c r="F54" s="127">
        <v>583.0</v>
      </c>
      <c r="G54" s="128" t="s">
        <v>307</v>
      </c>
      <c r="H54" s="129" t="s">
        <v>212</v>
      </c>
      <c r="I54" s="130"/>
      <c r="J54" s="131"/>
      <c r="K54" s="132"/>
      <c r="L54" s="132" t="s">
        <v>213</v>
      </c>
      <c r="M54" s="132" t="s">
        <v>214</v>
      </c>
      <c r="N54" s="132" t="s">
        <v>218</v>
      </c>
      <c r="O54" s="132" t="s">
        <v>215</v>
      </c>
    </row>
    <row r="55" ht="15.75" customHeight="1">
      <c r="A55" s="123" t="s">
        <v>180</v>
      </c>
      <c r="B55" s="146" t="str">
        <f>VLOOKUP(A55,'Folha de Pagamento'!A:C,3,0)</f>
        <v>SUPERVISOR(A) FINANCEIRO I</v>
      </c>
      <c r="C55" s="125" t="str">
        <f>VLOOKUP(A55,'Folha de Pagamento'!A:G,7,0)</f>
        <v>Financeiro</v>
      </c>
      <c r="D55" s="126" t="s">
        <v>308</v>
      </c>
      <c r="E55" s="125" t="str">
        <f>VLOOKUP(A55,'Folha de Pagamento'!A:F,6,0)</f>
        <v>Operacional</v>
      </c>
      <c r="F55" s="127">
        <v>469.0</v>
      </c>
      <c r="G55" s="128" t="s">
        <v>309</v>
      </c>
      <c r="H55" s="129" t="s">
        <v>60</v>
      </c>
      <c r="I55" s="130"/>
      <c r="J55" s="131"/>
      <c r="K55" s="132"/>
      <c r="L55" s="132" t="s">
        <v>213</v>
      </c>
      <c r="M55" s="132"/>
      <c r="N55" s="132"/>
      <c r="O55" s="132" t="s">
        <v>215</v>
      </c>
    </row>
    <row r="56" ht="15.75" customHeight="1">
      <c r="A56" s="123" t="s">
        <v>183</v>
      </c>
      <c r="B56" s="146" t="str">
        <f>VLOOKUP(A56,'Folha de Pagamento'!A:C,3,0)</f>
        <v>TECNICO ANALISTA DE CUSTOS</v>
      </c>
      <c r="C56" s="125" t="str">
        <f>VLOOKUP(A56,'Folha de Pagamento'!A:G,7,0)</f>
        <v>Edificação</v>
      </c>
      <c r="D56" s="126" t="s">
        <v>310</v>
      </c>
      <c r="E56" s="125" t="str">
        <f>VLOOKUP(A56,'Folha de Pagamento'!A:F,6,0)</f>
        <v>Operacional</v>
      </c>
      <c r="F56" s="127">
        <v>876.0</v>
      </c>
      <c r="G56" s="128" t="s">
        <v>311</v>
      </c>
      <c r="H56" s="129" t="s">
        <v>212</v>
      </c>
      <c r="I56" s="130"/>
      <c r="J56" s="131"/>
      <c r="K56" s="132"/>
      <c r="L56" s="132"/>
      <c r="M56" s="132"/>
      <c r="N56" s="132"/>
      <c r="O56" s="132" t="s">
        <v>215</v>
      </c>
    </row>
    <row r="57" ht="15.75" customHeight="1">
      <c r="A57" s="123" t="s">
        <v>186</v>
      </c>
      <c r="B57" s="146" t="str">
        <f>VLOOKUP(A57,'Folha de Pagamento'!A:C,3,0)</f>
        <v>TECNOLOGO EM CONSTRUÇÃO DE EDIFICIOS</v>
      </c>
      <c r="C57" s="125" t="str">
        <f>VLOOKUP(A57,'Folha de Pagamento'!A:G,7,0)</f>
        <v>Edificação</v>
      </c>
      <c r="D57" s="126" t="s">
        <v>312</v>
      </c>
      <c r="E57" s="125" t="str">
        <f>VLOOKUP(A57,'Folha de Pagamento'!A:F,6,0)</f>
        <v>Operacional</v>
      </c>
      <c r="F57" s="142">
        <v>269.0</v>
      </c>
      <c r="G57" s="143" t="s">
        <v>313</v>
      </c>
      <c r="H57" s="144" t="s">
        <v>212</v>
      </c>
      <c r="I57" s="130"/>
      <c r="J57" s="131"/>
      <c r="K57" s="132"/>
      <c r="L57" s="132" t="s">
        <v>213</v>
      </c>
      <c r="M57" s="132" t="s">
        <v>214</v>
      </c>
      <c r="N57" s="132" t="s">
        <v>218</v>
      </c>
      <c r="O57" s="132" t="s">
        <v>215</v>
      </c>
    </row>
    <row r="58" ht="15.75" customHeight="1">
      <c r="A58" s="123"/>
      <c r="B58" s="124"/>
      <c r="C58" s="125"/>
      <c r="D58" s="126"/>
      <c r="E58" s="125"/>
      <c r="F58" s="148"/>
      <c r="G58" s="128"/>
      <c r="H58" s="129"/>
      <c r="I58" s="130"/>
      <c r="J58" s="131"/>
      <c r="K58" s="132"/>
      <c r="L58" s="132"/>
      <c r="M58" s="132"/>
      <c r="N58" s="132"/>
      <c r="O58" s="132"/>
    </row>
    <row r="59" ht="15.75" customHeight="1">
      <c r="A59" s="123"/>
      <c r="B59" s="124"/>
      <c r="C59" s="125"/>
      <c r="D59" s="126"/>
      <c r="E59" s="125"/>
      <c r="F59" s="148"/>
      <c r="G59" s="128"/>
      <c r="H59" s="129"/>
      <c r="I59" s="130"/>
      <c r="J59" s="131"/>
      <c r="K59" s="132"/>
      <c r="L59" s="132"/>
      <c r="M59" s="132"/>
      <c r="N59" s="132"/>
      <c r="O59" s="132"/>
    </row>
    <row r="60" ht="15.75" customHeight="1">
      <c r="A60" s="123"/>
      <c r="B60" s="124"/>
      <c r="C60" s="125"/>
      <c r="D60" s="126"/>
      <c r="E60" s="125"/>
      <c r="F60" s="148"/>
      <c r="G60" s="128"/>
      <c r="H60" s="129"/>
      <c r="I60" s="130"/>
      <c r="J60" s="131"/>
      <c r="K60" s="132"/>
      <c r="L60" s="132"/>
      <c r="M60" s="132"/>
      <c r="N60" s="132"/>
      <c r="O60" s="132"/>
    </row>
    <row r="61">
      <c r="A61" s="123"/>
      <c r="B61" s="124"/>
      <c r="C61" s="125"/>
      <c r="D61" s="126"/>
      <c r="E61" s="125"/>
      <c r="F61" s="148"/>
      <c r="G61" s="128"/>
      <c r="H61" s="129"/>
      <c r="I61" s="130"/>
      <c r="J61" s="131"/>
      <c r="K61" s="132"/>
      <c r="L61" s="132"/>
      <c r="M61" s="132"/>
      <c r="N61" s="132"/>
      <c r="O61" s="132"/>
    </row>
    <row r="62" ht="15.75" customHeight="1">
      <c r="A62" s="123"/>
      <c r="B62" s="124"/>
      <c r="C62" s="125"/>
      <c r="D62" s="126"/>
      <c r="E62" s="125"/>
      <c r="F62" s="148"/>
      <c r="G62" s="128"/>
      <c r="H62" s="129"/>
      <c r="I62" s="130"/>
      <c r="J62" s="131"/>
      <c r="K62" s="132"/>
      <c r="L62" s="132"/>
      <c r="M62" s="132"/>
      <c r="N62" s="132"/>
      <c r="O62" s="132"/>
    </row>
    <row r="63" ht="15.75" customHeight="1">
      <c r="A63" s="123"/>
      <c r="B63" s="124"/>
      <c r="C63" s="125"/>
      <c r="D63" s="126"/>
      <c r="E63" s="125"/>
      <c r="F63" s="148"/>
      <c r="G63" s="128"/>
      <c r="H63" s="129"/>
      <c r="I63" s="130"/>
      <c r="J63" s="131"/>
      <c r="K63" s="132"/>
      <c r="L63" s="132"/>
      <c r="M63" s="132"/>
      <c r="N63" s="132"/>
      <c r="O63" s="132"/>
    </row>
    <row r="64" ht="15.75" customHeight="1">
      <c r="A64" s="123"/>
      <c r="B64" s="124"/>
      <c r="C64" s="125"/>
      <c r="D64" s="126"/>
      <c r="E64" s="125"/>
      <c r="F64" s="148"/>
      <c r="G64" s="128"/>
      <c r="H64" s="129"/>
      <c r="I64" s="130"/>
      <c r="J64" s="131"/>
      <c r="K64" s="132"/>
      <c r="L64" s="132"/>
      <c r="M64" s="132"/>
      <c r="N64" s="132"/>
      <c r="O64" s="132"/>
    </row>
    <row r="65" ht="15.75" customHeight="1">
      <c r="A65" s="123"/>
      <c r="B65" s="124"/>
      <c r="C65" s="125"/>
      <c r="D65" s="126"/>
      <c r="E65" s="125"/>
      <c r="F65" s="148"/>
      <c r="G65" s="128"/>
      <c r="H65" s="129"/>
      <c r="I65" s="130"/>
      <c r="J65" s="131"/>
      <c r="K65" s="132"/>
      <c r="L65" s="132"/>
      <c r="M65" s="132"/>
      <c r="N65" s="132"/>
      <c r="O65" s="132"/>
    </row>
    <row r="66" ht="15.75" customHeight="1">
      <c r="A66" s="123"/>
      <c r="B66" s="124"/>
      <c r="C66" s="125"/>
      <c r="D66" s="126"/>
      <c r="E66" s="125"/>
      <c r="F66" s="148"/>
      <c r="G66" s="128"/>
      <c r="H66" s="129"/>
      <c r="I66" s="130"/>
      <c r="J66" s="131"/>
      <c r="K66" s="132"/>
      <c r="L66" s="132"/>
      <c r="M66" s="132"/>
      <c r="N66" s="132"/>
      <c r="O66" s="132"/>
    </row>
    <row r="67" ht="16.5" customHeight="1">
      <c r="A67" s="123"/>
      <c r="B67" s="124"/>
      <c r="C67" s="125"/>
      <c r="D67" s="126"/>
      <c r="E67" s="125"/>
      <c r="F67" s="148"/>
      <c r="G67" s="128"/>
      <c r="H67" s="129"/>
      <c r="I67" s="130"/>
      <c r="J67" s="131"/>
      <c r="K67" s="132"/>
      <c r="L67" s="132"/>
      <c r="M67" s="132"/>
      <c r="N67" s="132"/>
      <c r="O67" s="132"/>
    </row>
    <row r="68" ht="15.75" customHeight="1">
      <c r="A68" s="123"/>
      <c r="B68" s="124"/>
      <c r="C68" s="125"/>
      <c r="D68" s="126"/>
      <c r="E68" s="125"/>
      <c r="F68" s="148"/>
      <c r="G68" s="128"/>
      <c r="H68" s="129"/>
      <c r="I68" s="130"/>
      <c r="J68" s="131"/>
      <c r="K68" s="132"/>
      <c r="L68" s="132"/>
      <c r="M68" s="132"/>
      <c r="N68" s="132"/>
      <c r="O68" s="132"/>
    </row>
    <row r="69">
      <c r="A69" s="123"/>
      <c r="B69" s="124"/>
      <c r="C69" s="125"/>
      <c r="D69" s="126"/>
      <c r="E69" s="125"/>
      <c r="F69" s="148"/>
      <c r="G69" s="128"/>
      <c r="H69" s="129"/>
      <c r="I69" s="130"/>
      <c r="J69" s="131"/>
      <c r="K69" s="132"/>
      <c r="L69" s="132"/>
      <c r="M69" s="132"/>
      <c r="N69" s="132"/>
      <c r="O69" s="132"/>
    </row>
    <row r="70" ht="15.75" customHeight="1">
      <c r="A70" s="123"/>
      <c r="B70" s="124"/>
      <c r="C70" s="125"/>
      <c r="D70" s="126"/>
      <c r="E70" s="125"/>
      <c r="F70" s="148"/>
      <c r="G70" s="128"/>
      <c r="H70" s="129"/>
      <c r="I70" s="130"/>
      <c r="J70" s="131"/>
      <c r="K70" s="132"/>
      <c r="L70" s="132"/>
      <c r="M70" s="132"/>
      <c r="N70" s="132"/>
      <c r="O70" s="132"/>
    </row>
    <row r="71" ht="15.75" customHeight="1">
      <c r="A71" s="123"/>
      <c r="B71" s="124"/>
      <c r="C71" s="125"/>
      <c r="D71" s="126"/>
      <c r="E71" s="125"/>
      <c r="F71" s="148"/>
      <c r="G71" s="128"/>
      <c r="H71" s="129"/>
      <c r="I71" s="130"/>
      <c r="J71" s="131"/>
      <c r="K71" s="132"/>
      <c r="L71" s="132"/>
      <c r="M71" s="132"/>
      <c r="N71" s="132"/>
      <c r="O71" s="132"/>
    </row>
    <row r="72" ht="15.75" customHeight="1">
      <c r="A72" s="123"/>
      <c r="B72" s="124"/>
      <c r="C72" s="125"/>
      <c r="D72" s="126"/>
      <c r="E72" s="125"/>
      <c r="F72" s="148"/>
      <c r="G72" s="128"/>
      <c r="H72" s="129"/>
      <c r="I72" s="130"/>
      <c r="J72" s="131"/>
      <c r="K72" s="132"/>
      <c r="L72" s="132"/>
      <c r="M72" s="132"/>
      <c r="N72" s="132"/>
      <c r="O72" s="132"/>
    </row>
    <row r="73" ht="15.75" customHeight="1">
      <c r="A73" s="123"/>
      <c r="B73" s="124"/>
      <c r="C73" s="125"/>
      <c r="D73" s="126"/>
      <c r="E73" s="125"/>
      <c r="F73" s="148"/>
      <c r="G73" s="128"/>
      <c r="H73" s="129"/>
      <c r="I73" s="130"/>
      <c r="J73" s="131"/>
      <c r="K73" s="132"/>
      <c r="L73" s="132"/>
      <c r="M73" s="132"/>
      <c r="N73" s="132"/>
      <c r="O73" s="132"/>
    </row>
    <row r="74" ht="15.75" customHeight="1">
      <c r="A74" s="123"/>
      <c r="B74" s="124"/>
      <c r="C74" s="125"/>
      <c r="D74" s="126"/>
      <c r="E74" s="125"/>
      <c r="F74" s="148"/>
      <c r="G74" s="128"/>
      <c r="H74" s="129"/>
      <c r="I74" s="130"/>
      <c r="J74" s="131"/>
      <c r="K74" s="132"/>
      <c r="L74" s="132"/>
      <c r="M74" s="132"/>
      <c r="N74" s="132"/>
      <c r="O74" s="132"/>
    </row>
    <row r="75" ht="15.75" customHeight="1">
      <c r="A75" s="123"/>
      <c r="B75" s="124"/>
      <c r="C75" s="125"/>
      <c r="D75" s="126"/>
      <c r="E75" s="125"/>
      <c r="F75" s="148"/>
      <c r="G75" s="128"/>
      <c r="H75" s="129"/>
      <c r="I75" s="130"/>
      <c r="J75" s="131"/>
      <c r="K75" s="132"/>
      <c r="L75" s="132"/>
      <c r="M75" s="132"/>
      <c r="N75" s="132"/>
      <c r="O75" s="132"/>
    </row>
    <row r="76" ht="15.75" customHeight="1">
      <c r="A76" s="123"/>
      <c r="B76" s="124"/>
      <c r="C76" s="125"/>
      <c r="D76" s="126"/>
      <c r="E76" s="125"/>
      <c r="F76" s="148"/>
      <c r="G76" s="128"/>
      <c r="H76" s="129"/>
      <c r="I76" s="130"/>
      <c r="J76" s="131"/>
      <c r="K76" s="132"/>
      <c r="L76" s="132"/>
      <c r="M76" s="132"/>
      <c r="N76" s="132"/>
      <c r="O76" s="132"/>
    </row>
    <row r="77" ht="15.75" customHeight="1">
      <c r="A77" s="123"/>
      <c r="B77" s="124"/>
      <c r="C77" s="125"/>
      <c r="D77" s="126"/>
      <c r="E77" s="125"/>
      <c r="F77" s="148"/>
      <c r="G77" s="128"/>
      <c r="H77" s="129"/>
      <c r="I77" s="130"/>
      <c r="J77" s="131"/>
      <c r="K77" s="132"/>
      <c r="L77" s="132"/>
      <c r="M77" s="132"/>
      <c r="N77" s="132"/>
      <c r="O77" s="132"/>
    </row>
    <row r="78" ht="15.75" customHeight="1">
      <c r="A78" s="123"/>
      <c r="B78" s="124"/>
      <c r="C78" s="125"/>
      <c r="D78" s="126"/>
      <c r="E78" s="125"/>
      <c r="F78" s="148"/>
      <c r="G78" s="128"/>
      <c r="H78" s="129"/>
      <c r="I78" s="130"/>
      <c r="J78" s="131"/>
      <c r="K78" s="132"/>
      <c r="L78" s="132"/>
      <c r="M78" s="132"/>
      <c r="N78" s="132"/>
      <c r="O78" s="132"/>
    </row>
    <row r="79" ht="15.75" customHeight="1">
      <c r="A79" s="123"/>
      <c r="B79" s="124"/>
      <c r="C79" s="125"/>
      <c r="D79" s="126"/>
      <c r="E79" s="125"/>
      <c r="F79" s="148"/>
      <c r="G79" s="128"/>
      <c r="H79" s="129"/>
      <c r="I79" s="130"/>
      <c r="J79" s="131"/>
      <c r="K79" s="132"/>
      <c r="L79" s="132"/>
      <c r="M79" s="132"/>
      <c r="N79" s="132"/>
      <c r="O79" s="132"/>
    </row>
    <row r="80" ht="15.75" customHeight="1">
      <c r="A80" s="123"/>
      <c r="B80" s="124"/>
      <c r="C80" s="125"/>
      <c r="D80" s="126"/>
      <c r="E80" s="125"/>
      <c r="F80" s="148"/>
      <c r="G80" s="128"/>
      <c r="H80" s="129"/>
      <c r="I80" s="130"/>
      <c r="J80" s="131"/>
      <c r="K80" s="132"/>
      <c r="L80" s="132"/>
      <c r="M80" s="132"/>
      <c r="N80" s="132"/>
      <c r="O80" s="132"/>
    </row>
    <row r="81">
      <c r="A81" s="123"/>
      <c r="B81" s="124"/>
      <c r="C81" s="125"/>
      <c r="D81" s="126"/>
      <c r="E81" s="125"/>
      <c r="F81" s="148"/>
      <c r="G81" s="128"/>
      <c r="H81" s="129"/>
      <c r="I81" s="130"/>
      <c r="J81" s="131"/>
      <c r="K81" s="132"/>
      <c r="L81" s="132"/>
      <c r="M81" s="132"/>
      <c r="N81" s="132"/>
      <c r="O81" s="132"/>
    </row>
    <row r="82" ht="15.75" customHeight="1">
      <c r="A82" s="123"/>
      <c r="B82" s="124"/>
      <c r="C82" s="125"/>
      <c r="D82" s="126"/>
      <c r="E82" s="125"/>
      <c r="F82" s="148"/>
      <c r="G82" s="128"/>
      <c r="H82" s="129"/>
      <c r="I82" s="130"/>
      <c r="J82" s="131"/>
      <c r="K82" s="132"/>
      <c r="L82" s="132"/>
      <c r="M82" s="132"/>
      <c r="N82" s="132"/>
      <c r="O82" s="132"/>
    </row>
    <row r="83" ht="15.75" customHeight="1">
      <c r="A83" s="123"/>
      <c r="B83" s="124"/>
      <c r="C83" s="125"/>
      <c r="D83" s="126"/>
      <c r="E83" s="125"/>
      <c r="F83" s="148"/>
      <c r="G83" s="128"/>
      <c r="H83" s="129"/>
      <c r="I83" s="130"/>
      <c r="J83" s="131"/>
      <c r="K83" s="132"/>
      <c r="L83" s="132"/>
      <c r="M83" s="132"/>
      <c r="N83" s="132"/>
      <c r="O83" s="132"/>
    </row>
    <row r="84" ht="15.75" customHeight="1">
      <c r="A84" s="123"/>
      <c r="B84" s="124"/>
      <c r="C84" s="125"/>
      <c r="D84" s="126"/>
      <c r="E84" s="125"/>
      <c r="F84" s="148"/>
      <c r="G84" s="128"/>
      <c r="H84" s="129"/>
      <c r="I84" s="130"/>
      <c r="J84" s="131"/>
      <c r="K84" s="132"/>
      <c r="L84" s="132"/>
      <c r="M84" s="132"/>
      <c r="N84" s="132"/>
      <c r="O84" s="132"/>
    </row>
    <row r="85" ht="15.75" customHeight="1">
      <c r="A85" s="123"/>
      <c r="B85" s="124"/>
      <c r="C85" s="125"/>
      <c r="D85" s="126"/>
      <c r="E85" s="125"/>
      <c r="F85" s="148"/>
      <c r="G85" s="128"/>
      <c r="H85" s="129"/>
      <c r="I85" s="130"/>
      <c r="J85" s="131"/>
      <c r="K85" s="132"/>
      <c r="L85" s="132"/>
      <c r="M85" s="132"/>
      <c r="N85" s="132"/>
      <c r="O85" s="132"/>
    </row>
    <row r="86" ht="15.75" customHeight="1">
      <c r="A86" s="123"/>
      <c r="B86" s="124"/>
      <c r="C86" s="125"/>
      <c r="D86" s="126"/>
      <c r="E86" s="125"/>
      <c r="F86" s="148"/>
      <c r="G86" s="128"/>
      <c r="H86" s="129"/>
      <c r="I86" s="130"/>
      <c r="J86" s="131"/>
      <c r="K86" s="132"/>
      <c r="L86" s="132"/>
      <c r="M86" s="132"/>
      <c r="N86" s="132"/>
      <c r="O86" s="132"/>
    </row>
    <row r="87" ht="15.75" customHeight="1">
      <c r="A87" s="123"/>
      <c r="B87" s="124"/>
      <c r="C87" s="125"/>
      <c r="D87" s="126"/>
      <c r="E87" s="125"/>
      <c r="F87" s="148"/>
      <c r="G87" s="128"/>
      <c r="H87" s="129"/>
      <c r="I87" s="130"/>
      <c r="J87" s="131"/>
      <c r="K87" s="132"/>
      <c r="L87" s="132"/>
      <c r="M87" s="132"/>
      <c r="N87" s="132"/>
      <c r="O87" s="132"/>
    </row>
    <row r="88" ht="15.75" customHeight="1">
      <c r="A88" s="123"/>
      <c r="B88" s="124"/>
      <c r="C88" s="125"/>
      <c r="D88" s="126"/>
      <c r="E88" s="125"/>
      <c r="F88" s="148"/>
      <c r="G88" s="128"/>
      <c r="H88" s="129"/>
      <c r="I88" s="130"/>
      <c r="J88" s="131"/>
      <c r="K88" s="132"/>
      <c r="L88" s="132"/>
      <c r="M88" s="132"/>
      <c r="N88" s="132"/>
      <c r="O88" s="132"/>
    </row>
    <row r="89" ht="15.75" customHeight="1">
      <c r="A89" s="123"/>
      <c r="B89" s="124"/>
      <c r="C89" s="125"/>
      <c r="D89" s="126"/>
      <c r="E89" s="125"/>
      <c r="F89" s="148"/>
      <c r="G89" s="128"/>
      <c r="H89" s="129"/>
      <c r="I89" s="130"/>
      <c r="J89" s="131"/>
      <c r="K89" s="132"/>
      <c r="L89" s="132"/>
      <c r="M89" s="132"/>
      <c r="N89" s="132"/>
      <c r="O89" s="132"/>
    </row>
    <row r="90" ht="15.75" customHeight="1">
      <c r="A90" s="123"/>
      <c r="B90" s="124"/>
      <c r="C90" s="125"/>
      <c r="D90" s="126"/>
      <c r="E90" s="125"/>
      <c r="F90" s="148"/>
      <c r="G90" s="128"/>
      <c r="H90" s="129"/>
      <c r="I90" s="130"/>
      <c r="J90" s="131"/>
      <c r="K90" s="132"/>
      <c r="L90" s="132"/>
      <c r="M90" s="132"/>
      <c r="N90" s="132"/>
      <c r="O90" s="132"/>
    </row>
    <row r="91" ht="15.75" customHeight="1">
      <c r="A91" s="123"/>
      <c r="B91" s="124"/>
      <c r="C91" s="125"/>
      <c r="D91" s="126"/>
      <c r="E91" s="125"/>
      <c r="F91" s="148"/>
      <c r="G91" s="128"/>
      <c r="H91" s="129"/>
      <c r="I91" s="130"/>
      <c r="J91" s="131"/>
      <c r="K91" s="132"/>
      <c r="L91" s="132"/>
      <c r="M91" s="132"/>
      <c r="N91" s="132"/>
      <c r="O91" s="132"/>
    </row>
    <row r="92" ht="15.75" customHeight="1">
      <c r="A92" s="123"/>
      <c r="B92" s="124"/>
      <c r="C92" s="125"/>
      <c r="D92" s="126"/>
      <c r="E92" s="125"/>
      <c r="F92" s="148"/>
      <c r="G92" s="128"/>
      <c r="H92" s="129"/>
      <c r="I92" s="130"/>
      <c r="J92" s="131"/>
      <c r="K92" s="132"/>
      <c r="L92" s="132"/>
      <c r="M92" s="132"/>
      <c r="N92" s="132"/>
      <c r="O92" s="132"/>
    </row>
    <row r="93" ht="15.75" customHeight="1">
      <c r="A93" s="123"/>
      <c r="B93" s="124"/>
      <c r="C93" s="125"/>
      <c r="D93" s="126"/>
      <c r="E93" s="125"/>
      <c r="F93" s="148"/>
      <c r="G93" s="128"/>
      <c r="H93" s="129"/>
      <c r="I93" s="130"/>
      <c r="J93" s="131"/>
      <c r="K93" s="132"/>
      <c r="L93" s="132"/>
      <c r="M93" s="132"/>
      <c r="N93" s="132"/>
      <c r="O93" s="132"/>
    </row>
    <row r="94" ht="15.75" customHeight="1">
      <c r="A94" s="123"/>
      <c r="B94" s="124"/>
      <c r="C94" s="125"/>
      <c r="D94" s="126"/>
      <c r="E94" s="125"/>
      <c r="F94" s="148"/>
      <c r="G94" s="128"/>
      <c r="H94" s="129"/>
      <c r="I94" s="130"/>
      <c r="J94" s="131"/>
      <c r="K94" s="132"/>
      <c r="L94" s="132"/>
      <c r="M94" s="132"/>
      <c r="N94" s="132"/>
      <c r="O94" s="132"/>
    </row>
    <row r="95" ht="15.75" customHeight="1">
      <c r="A95" s="123"/>
      <c r="B95" s="124"/>
      <c r="C95" s="125"/>
      <c r="D95" s="126"/>
      <c r="E95" s="125"/>
      <c r="F95" s="148"/>
      <c r="G95" s="128"/>
      <c r="H95" s="129"/>
      <c r="I95" s="130"/>
      <c r="J95" s="131"/>
      <c r="K95" s="132"/>
      <c r="L95" s="132"/>
      <c r="M95" s="132"/>
      <c r="N95" s="132"/>
      <c r="O95" s="132"/>
    </row>
    <row r="96" ht="15.75" customHeight="1">
      <c r="A96" s="123"/>
      <c r="B96" s="124"/>
      <c r="C96" s="125"/>
      <c r="D96" s="126"/>
      <c r="E96" s="125"/>
      <c r="F96" s="148"/>
      <c r="G96" s="128"/>
      <c r="H96" s="129"/>
      <c r="I96" s="130"/>
      <c r="J96" s="131"/>
      <c r="K96" s="132"/>
      <c r="L96" s="132"/>
      <c r="M96" s="132"/>
      <c r="N96" s="132"/>
      <c r="O96" s="132"/>
    </row>
    <row r="97" ht="15.75" customHeight="1">
      <c r="A97" s="123"/>
      <c r="B97" s="124"/>
      <c r="C97" s="125"/>
      <c r="D97" s="126"/>
      <c r="E97" s="125"/>
      <c r="F97" s="148"/>
      <c r="G97" s="128"/>
      <c r="H97" s="129"/>
      <c r="I97" s="130"/>
      <c r="J97" s="131"/>
      <c r="K97" s="132"/>
      <c r="L97" s="132"/>
      <c r="M97" s="132"/>
      <c r="N97" s="132"/>
      <c r="O97" s="132"/>
    </row>
    <row r="98" ht="15.75" customHeight="1">
      <c r="A98" s="149"/>
      <c r="B98" s="124"/>
      <c r="C98" s="150"/>
      <c r="D98" s="150"/>
      <c r="E98" s="151"/>
      <c r="F98" s="127"/>
      <c r="G98" s="128"/>
      <c r="H98" s="129"/>
      <c r="I98" s="130"/>
      <c r="J98" s="132"/>
      <c r="K98" s="132"/>
      <c r="L98" s="132"/>
      <c r="M98" s="132"/>
      <c r="N98" s="132"/>
      <c r="O98" s="132"/>
    </row>
    <row r="99" ht="15.75" customHeight="1">
      <c r="A99" s="149"/>
      <c r="B99" s="124"/>
      <c r="C99" s="150"/>
      <c r="D99" s="150"/>
      <c r="E99" s="151"/>
      <c r="F99" s="127"/>
      <c r="G99" s="128"/>
      <c r="H99" s="129"/>
      <c r="I99" s="130"/>
      <c r="J99" s="132"/>
      <c r="K99" s="132"/>
      <c r="L99" s="132"/>
      <c r="M99" s="132"/>
      <c r="N99" s="132"/>
      <c r="O99" s="132"/>
    </row>
    <row r="100" ht="15.75" customHeight="1">
      <c r="A100" s="149"/>
      <c r="B100" s="124"/>
      <c r="C100" s="150"/>
      <c r="D100" s="150"/>
      <c r="E100" s="151"/>
      <c r="F100" s="127"/>
      <c r="G100" s="128"/>
      <c r="H100" s="129"/>
      <c r="I100" s="130"/>
      <c r="J100" s="132"/>
      <c r="K100" s="132"/>
      <c r="L100" s="132"/>
      <c r="M100" s="132"/>
      <c r="N100" s="132"/>
      <c r="O100" s="132"/>
    </row>
    <row r="101" ht="15.75" customHeight="1">
      <c r="A101" s="149"/>
      <c r="B101" s="124"/>
      <c r="C101" s="150"/>
      <c r="D101" s="150"/>
      <c r="E101" s="151"/>
      <c r="F101" s="127"/>
      <c r="G101" s="128"/>
      <c r="H101" s="129"/>
      <c r="I101" s="130"/>
      <c r="J101" s="132"/>
      <c r="K101" s="132"/>
      <c r="L101" s="132"/>
      <c r="M101" s="132"/>
      <c r="N101" s="132"/>
      <c r="O101" s="132"/>
    </row>
    <row r="102" ht="15.75" customHeight="1">
      <c r="A102" s="149"/>
      <c r="B102" s="124"/>
      <c r="C102" s="150"/>
      <c r="D102" s="150"/>
      <c r="E102" s="151"/>
      <c r="F102" s="152"/>
      <c r="G102" s="128"/>
      <c r="H102" s="129"/>
      <c r="I102" s="130"/>
      <c r="J102" s="132"/>
      <c r="K102" s="132"/>
      <c r="L102" s="132"/>
      <c r="M102" s="132"/>
      <c r="N102" s="132"/>
      <c r="O102" s="132"/>
    </row>
    <row r="103" ht="15.75" customHeight="1">
      <c r="A103" s="123"/>
      <c r="B103" s="124"/>
      <c r="C103" s="150"/>
      <c r="D103" s="150"/>
      <c r="E103" s="151"/>
      <c r="F103" s="152"/>
      <c r="G103" s="128"/>
      <c r="H103" s="129"/>
      <c r="I103" s="130"/>
      <c r="J103" s="132"/>
      <c r="K103" s="132"/>
      <c r="L103" s="132"/>
      <c r="M103" s="132"/>
      <c r="N103" s="132"/>
      <c r="O103" s="132"/>
    </row>
    <row r="104" ht="15.75" customHeight="1">
      <c r="A104" s="149"/>
      <c r="B104" s="124"/>
      <c r="C104" s="150"/>
      <c r="D104" s="150"/>
      <c r="E104" s="151"/>
      <c r="F104" s="127"/>
      <c r="G104" s="128"/>
      <c r="H104" s="129"/>
      <c r="I104" s="130"/>
      <c r="J104" s="132"/>
      <c r="K104" s="132"/>
      <c r="L104" s="132"/>
      <c r="M104" s="132"/>
      <c r="N104" s="132"/>
      <c r="O104" s="132"/>
    </row>
    <row r="105" ht="15.75" customHeight="1">
      <c r="A105" s="149"/>
      <c r="B105" s="124"/>
      <c r="C105" s="150"/>
      <c r="D105" s="150"/>
      <c r="E105" s="151"/>
      <c r="F105" s="152"/>
      <c r="G105" s="128"/>
      <c r="H105" s="129"/>
      <c r="I105" s="130"/>
      <c r="J105" s="132"/>
      <c r="K105" s="132"/>
      <c r="L105" s="132"/>
      <c r="M105" s="132"/>
      <c r="N105" s="132"/>
      <c r="O105" s="132"/>
    </row>
    <row r="106" ht="15.75" customHeight="1">
      <c r="A106" s="149"/>
      <c r="B106" s="124"/>
      <c r="C106" s="150"/>
      <c r="D106" s="150"/>
      <c r="E106" s="151"/>
      <c r="F106" s="152"/>
      <c r="G106" s="128"/>
      <c r="H106" s="129"/>
      <c r="I106" s="130"/>
      <c r="J106" s="132"/>
      <c r="K106" s="132"/>
      <c r="L106" s="132"/>
      <c r="M106" s="132"/>
      <c r="N106" s="132"/>
      <c r="O106" s="132"/>
    </row>
    <row r="107" ht="15.75" customHeight="1">
      <c r="A107" s="149"/>
      <c r="B107" s="124"/>
      <c r="C107" s="150"/>
      <c r="D107" s="150"/>
      <c r="E107" s="151"/>
      <c r="F107" s="152"/>
      <c r="G107" s="128"/>
      <c r="H107" s="129"/>
      <c r="I107" s="130"/>
      <c r="J107" s="132"/>
      <c r="K107" s="132"/>
      <c r="L107" s="132"/>
      <c r="M107" s="132"/>
      <c r="N107" s="132"/>
      <c r="O107" s="132"/>
    </row>
    <row r="108" ht="15.75" customHeight="1">
      <c r="A108" s="149"/>
      <c r="B108" s="124"/>
      <c r="C108" s="150"/>
      <c r="D108" s="150"/>
      <c r="E108" s="151"/>
      <c r="F108" s="127"/>
      <c r="G108" s="128"/>
      <c r="H108" s="129"/>
      <c r="I108" s="130"/>
      <c r="J108" s="132"/>
      <c r="K108" s="132"/>
      <c r="L108" s="132"/>
      <c r="M108" s="132"/>
      <c r="N108" s="132"/>
      <c r="O108" s="132"/>
    </row>
    <row r="109" ht="15.75" customHeight="1">
      <c r="A109" s="149"/>
      <c r="B109" s="124"/>
      <c r="C109" s="150"/>
      <c r="D109" s="150"/>
      <c r="E109" s="151"/>
      <c r="F109" s="127"/>
      <c r="G109" s="128"/>
      <c r="H109" s="129"/>
      <c r="I109" s="130"/>
      <c r="J109" s="132"/>
      <c r="K109" s="132"/>
      <c r="L109" s="132"/>
      <c r="M109" s="132"/>
      <c r="N109" s="132"/>
      <c r="O109" s="132"/>
    </row>
    <row r="110" ht="15.75" customHeight="1">
      <c r="A110" s="149"/>
      <c r="B110" s="124"/>
      <c r="C110" s="150"/>
      <c r="D110" s="150"/>
      <c r="E110" s="151"/>
      <c r="F110" s="127"/>
      <c r="G110" s="128"/>
      <c r="H110" s="129"/>
      <c r="I110" s="130"/>
      <c r="J110" s="132"/>
      <c r="K110" s="132"/>
      <c r="L110" s="132"/>
      <c r="M110" s="132"/>
      <c r="N110" s="132"/>
      <c r="O110" s="132"/>
    </row>
    <row r="111" ht="15.75" customHeight="1">
      <c r="A111" s="149"/>
      <c r="B111" s="124"/>
      <c r="C111" s="150"/>
      <c r="D111" s="150"/>
      <c r="E111" s="151"/>
      <c r="F111" s="127"/>
      <c r="G111" s="128"/>
      <c r="H111" s="129"/>
      <c r="I111" s="130"/>
      <c r="J111" s="132"/>
      <c r="K111" s="132"/>
      <c r="L111" s="132"/>
      <c r="M111" s="132"/>
      <c r="N111" s="132"/>
      <c r="O111" s="132"/>
    </row>
    <row r="112" ht="15.75" customHeight="1">
      <c r="A112" s="149"/>
      <c r="B112" s="124"/>
      <c r="C112" s="150"/>
      <c r="D112" s="150"/>
      <c r="E112" s="151"/>
      <c r="F112" s="127"/>
      <c r="G112" s="128"/>
      <c r="H112" s="129"/>
      <c r="I112" s="130"/>
      <c r="J112" s="132"/>
      <c r="K112" s="132"/>
      <c r="L112" s="132"/>
      <c r="M112" s="132"/>
      <c r="N112" s="132"/>
      <c r="O112" s="132"/>
    </row>
    <row r="113" ht="15.75" customHeight="1">
      <c r="A113" s="149"/>
      <c r="B113" s="124"/>
      <c r="C113" s="150"/>
      <c r="D113" s="150"/>
      <c r="E113" s="151"/>
      <c r="F113" s="127"/>
      <c r="G113" s="128"/>
      <c r="H113" s="129"/>
      <c r="I113" s="130"/>
      <c r="J113" s="132"/>
      <c r="K113" s="132"/>
      <c r="L113" s="132"/>
      <c r="M113" s="132"/>
      <c r="N113" s="132"/>
      <c r="O113" s="132"/>
    </row>
    <row r="114" ht="15.75" customHeight="1">
      <c r="A114" s="149"/>
      <c r="B114" s="124"/>
      <c r="C114" s="150"/>
      <c r="D114" s="150"/>
      <c r="E114" s="151"/>
      <c r="F114" s="127"/>
      <c r="G114" s="128"/>
      <c r="H114" s="129"/>
      <c r="I114" s="130"/>
      <c r="J114" s="132"/>
      <c r="K114" s="132"/>
      <c r="L114" s="132"/>
      <c r="M114" s="132"/>
      <c r="N114" s="132"/>
      <c r="O114" s="132"/>
    </row>
    <row r="115" ht="15.75" customHeight="1">
      <c r="A115" s="149"/>
      <c r="B115" s="124"/>
      <c r="C115" s="150"/>
      <c r="D115" s="150"/>
      <c r="E115" s="151"/>
      <c r="F115" s="127"/>
      <c r="G115" s="128"/>
      <c r="H115" s="129"/>
      <c r="I115" s="130"/>
      <c r="J115" s="132"/>
      <c r="K115" s="132"/>
      <c r="L115" s="132"/>
      <c r="M115" s="132"/>
      <c r="N115" s="132"/>
      <c r="O115" s="132"/>
    </row>
    <row r="116" ht="15.75" customHeight="1">
      <c r="A116" s="149"/>
      <c r="B116" s="124"/>
      <c r="C116" s="150"/>
      <c r="D116" s="150"/>
      <c r="E116" s="151"/>
      <c r="F116" s="127"/>
      <c r="G116" s="128"/>
      <c r="H116" s="129"/>
      <c r="I116" s="130"/>
      <c r="J116" s="132"/>
      <c r="K116" s="132"/>
      <c r="L116" s="132"/>
      <c r="M116" s="132"/>
      <c r="N116" s="132"/>
      <c r="O116" s="132"/>
    </row>
    <row r="117" ht="15.75" customHeight="1">
      <c r="A117" s="149"/>
      <c r="B117" s="124"/>
      <c r="C117" s="150"/>
      <c r="D117" s="150"/>
      <c r="E117" s="151"/>
      <c r="F117" s="127"/>
      <c r="G117" s="128"/>
      <c r="H117" s="129"/>
      <c r="I117" s="130"/>
      <c r="J117" s="132"/>
      <c r="K117" s="132"/>
      <c r="L117" s="132"/>
      <c r="M117" s="132"/>
      <c r="N117" s="132"/>
      <c r="O117" s="132"/>
    </row>
    <row r="118" ht="15.75" customHeight="1">
      <c r="A118" s="149"/>
      <c r="B118" s="124"/>
      <c r="C118" s="150"/>
      <c r="D118" s="150"/>
      <c r="E118" s="151"/>
      <c r="F118" s="127"/>
      <c r="G118" s="128"/>
      <c r="H118" s="129"/>
      <c r="I118" s="130"/>
      <c r="J118" s="132"/>
      <c r="K118" s="132"/>
      <c r="L118" s="132"/>
      <c r="M118" s="132"/>
      <c r="N118" s="132"/>
      <c r="O118" s="132"/>
    </row>
    <row r="119" ht="15.75" customHeight="1">
      <c r="A119" s="149"/>
      <c r="B119" s="124"/>
      <c r="C119" s="150"/>
      <c r="D119" s="150"/>
      <c r="E119" s="151"/>
      <c r="F119" s="127"/>
      <c r="G119" s="128"/>
      <c r="H119" s="129"/>
      <c r="I119" s="130"/>
      <c r="J119" s="132"/>
      <c r="K119" s="132"/>
      <c r="L119" s="132"/>
      <c r="M119" s="132"/>
      <c r="N119" s="132"/>
      <c r="O119" s="132"/>
    </row>
    <row r="120" ht="15.75" customHeight="1">
      <c r="A120" s="149"/>
      <c r="B120" s="124"/>
      <c r="C120" s="150"/>
      <c r="D120" s="150"/>
      <c r="E120" s="151"/>
      <c r="F120" s="127"/>
      <c r="G120" s="128"/>
      <c r="H120" s="129"/>
      <c r="I120" s="130"/>
      <c r="J120" s="132"/>
      <c r="K120" s="132"/>
      <c r="L120" s="132"/>
      <c r="M120" s="132"/>
      <c r="N120" s="132"/>
      <c r="O120" s="132"/>
    </row>
    <row r="121" ht="15.75" customHeight="1">
      <c r="A121" s="149"/>
      <c r="B121" s="124"/>
      <c r="C121" s="150"/>
      <c r="D121" s="150"/>
      <c r="E121" s="151"/>
      <c r="F121" s="152"/>
      <c r="G121" s="128"/>
      <c r="H121" s="129"/>
      <c r="I121" s="130"/>
      <c r="J121" s="132"/>
      <c r="K121" s="132"/>
      <c r="L121" s="132"/>
      <c r="M121" s="132"/>
      <c r="N121" s="132"/>
      <c r="O121" s="132"/>
    </row>
    <row r="122" ht="15.75" customHeight="1">
      <c r="A122" s="149"/>
      <c r="B122" s="124"/>
      <c r="C122" s="150"/>
      <c r="D122" s="150"/>
      <c r="E122" s="151"/>
      <c r="F122" s="127"/>
      <c r="G122" s="128"/>
      <c r="H122" s="129"/>
      <c r="I122" s="130"/>
      <c r="J122" s="132"/>
      <c r="K122" s="132"/>
      <c r="L122" s="132"/>
      <c r="M122" s="132"/>
      <c r="N122" s="132"/>
      <c r="O122" s="132"/>
    </row>
    <row r="123" ht="15.75" customHeight="1">
      <c r="A123" s="149"/>
      <c r="B123" s="124"/>
      <c r="C123" s="150"/>
      <c r="D123" s="150"/>
      <c r="E123" s="151"/>
      <c r="F123" s="152"/>
      <c r="G123" s="128"/>
      <c r="H123" s="129"/>
      <c r="I123" s="130"/>
      <c r="J123" s="132"/>
      <c r="K123" s="132"/>
      <c r="L123" s="132"/>
      <c r="M123" s="132"/>
      <c r="N123" s="132"/>
      <c r="O123" s="132"/>
    </row>
    <row r="124" ht="15.75" customHeight="1">
      <c r="A124" s="149"/>
      <c r="B124" s="124"/>
      <c r="C124" s="150"/>
      <c r="D124" s="150"/>
      <c r="E124" s="151"/>
      <c r="F124" s="152"/>
      <c r="G124" s="128"/>
      <c r="H124" s="129"/>
      <c r="I124" s="130"/>
      <c r="J124" s="132"/>
      <c r="K124" s="132"/>
      <c r="L124" s="132"/>
      <c r="M124" s="132"/>
      <c r="N124" s="132"/>
      <c r="O124" s="132"/>
    </row>
    <row r="125" ht="15.75" customHeight="1">
      <c r="A125" s="149"/>
      <c r="B125" s="124"/>
      <c r="C125" s="150"/>
      <c r="D125" s="150"/>
      <c r="E125" s="151"/>
      <c r="F125" s="152"/>
      <c r="G125" s="128"/>
      <c r="H125" s="129"/>
      <c r="I125" s="130"/>
      <c r="J125" s="132"/>
      <c r="K125" s="132"/>
      <c r="L125" s="132"/>
      <c r="M125" s="132"/>
      <c r="N125" s="132"/>
      <c r="O125" s="132"/>
    </row>
    <row r="126" ht="15.75" customHeight="1">
      <c r="A126" s="149"/>
      <c r="B126" s="124"/>
      <c r="C126" s="150"/>
      <c r="D126" s="150"/>
      <c r="E126" s="151"/>
      <c r="F126" s="152"/>
      <c r="G126" s="128"/>
      <c r="H126" s="129"/>
      <c r="I126" s="130"/>
      <c r="J126" s="132"/>
      <c r="K126" s="132"/>
      <c r="L126" s="132"/>
      <c r="M126" s="132"/>
      <c r="N126" s="132"/>
      <c r="O126" s="132"/>
    </row>
    <row r="127" ht="15.75" customHeight="1">
      <c r="A127" s="149"/>
      <c r="B127" s="124"/>
      <c r="C127" s="150"/>
      <c r="D127" s="150"/>
      <c r="E127" s="151"/>
      <c r="F127" s="152"/>
      <c r="G127" s="128"/>
      <c r="H127" s="129"/>
      <c r="I127" s="130"/>
      <c r="J127" s="132"/>
      <c r="K127" s="132"/>
      <c r="L127" s="132"/>
      <c r="M127" s="132"/>
      <c r="N127" s="132"/>
      <c r="O127" s="132"/>
    </row>
    <row r="128" ht="15.75" customHeight="1">
      <c r="A128" s="149"/>
      <c r="B128" s="124"/>
      <c r="C128" s="150"/>
      <c r="D128" s="150"/>
      <c r="E128" s="151"/>
      <c r="F128" s="152"/>
      <c r="G128" s="128"/>
      <c r="H128" s="129"/>
      <c r="I128" s="130"/>
      <c r="J128" s="132"/>
      <c r="K128" s="132"/>
      <c r="L128" s="132"/>
      <c r="M128" s="132"/>
      <c r="N128" s="132"/>
      <c r="O128" s="132"/>
    </row>
    <row r="129" ht="15.75" customHeight="1">
      <c r="A129" s="149"/>
      <c r="B129" s="124"/>
      <c r="C129" s="150"/>
      <c r="D129" s="150"/>
      <c r="E129" s="151"/>
      <c r="F129" s="152"/>
      <c r="G129" s="128"/>
      <c r="H129" s="129"/>
      <c r="I129" s="153"/>
      <c r="J129" s="154"/>
      <c r="K129" s="154"/>
      <c r="L129" s="154"/>
      <c r="M129" s="154"/>
      <c r="N129" s="154"/>
      <c r="O129" s="154"/>
    </row>
    <row r="130" ht="15.75" customHeight="1">
      <c r="A130" s="149"/>
      <c r="B130" s="124"/>
      <c r="C130" s="150"/>
      <c r="D130" s="150"/>
      <c r="E130" s="151"/>
      <c r="F130" s="152"/>
      <c r="G130" s="128"/>
      <c r="H130" s="129"/>
      <c r="I130" s="130"/>
      <c r="J130" s="132"/>
      <c r="K130" s="132"/>
      <c r="L130" s="132"/>
      <c r="M130" s="132"/>
      <c r="N130" s="132"/>
      <c r="O130" s="132"/>
    </row>
    <row r="131" ht="15.75" customHeight="1">
      <c r="A131" s="149"/>
      <c r="B131" s="124"/>
      <c r="C131" s="150"/>
      <c r="D131" s="150"/>
      <c r="E131" s="151"/>
      <c r="F131" s="152"/>
      <c r="G131" s="128"/>
      <c r="H131" s="129"/>
      <c r="I131" s="130"/>
      <c r="J131" s="132"/>
      <c r="K131" s="132"/>
      <c r="L131" s="132"/>
      <c r="M131" s="132"/>
      <c r="N131" s="132"/>
      <c r="O131" s="132"/>
    </row>
    <row r="132" ht="15.75" customHeight="1">
      <c r="A132" s="149"/>
      <c r="B132" s="124"/>
      <c r="C132" s="150"/>
      <c r="D132" s="150"/>
      <c r="E132" s="151"/>
      <c r="F132" s="152"/>
      <c r="G132" s="128"/>
      <c r="H132" s="129"/>
      <c r="I132" s="130"/>
      <c r="J132" s="132"/>
      <c r="K132" s="132"/>
      <c r="L132" s="132"/>
      <c r="M132" s="132"/>
      <c r="N132" s="132"/>
      <c r="O132" s="132"/>
    </row>
    <row r="133" ht="15.75" customHeight="1">
      <c r="A133" s="149"/>
      <c r="B133" s="124"/>
      <c r="C133" s="150"/>
      <c r="D133" s="150"/>
      <c r="E133" s="151"/>
      <c r="F133" s="152"/>
      <c r="G133" s="128"/>
      <c r="H133" s="129"/>
      <c r="I133" s="130"/>
      <c r="J133" s="132"/>
      <c r="K133" s="132"/>
      <c r="L133" s="132"/>
      <c r="M133" s="132"/>
      <c r="N133" s="132"/>
      <c r="O133" s="132"/>
    </row>
    <row r="134" ht="15.75" customHeight="1">
      <c r="A134" s="149"/>
      <c r="B134" s="124"/>
      <c r="C134" s="150"/>
      <c r="D134" s="150"/>
      <c r="E134" s="151"/>
      <c r="F134" s="152"/>
      <c r="G134" s="128"/>
      <c r="H134" s="129"/>
      <c r="I134" s="130"/>
      <c r="J134" s="132"/>
      <c r="K134" s="132"/>
      <c r="L134" s="132"/>
      <c r="M134" s="132"/>
      <c r="N134" s="132"/>
      <c r="O134" s="132"/>
    </row>
    <row r="135" ht="15.75" customHeight="1">
      <c r="A135" s="149"/>
      <c r="B135" s="124"/>
      <c r="C135" s="150"/>
      <c r="D135" s="150"/>
      <c r="E135" s="151"/>
      <c r="F135" s="152"/>
      <c r="G135" s="128"/>
      <c r="H135" s="129"/>
      <c r="I135" s="130"/>
      <c r="J135" s="132"/>
      <c r="K135" s="132"/>
      <c r="L135" s="132"/>
      <c r="M135" s="132"/>
      <c r="N135" s="132"/>
      <c r="O135" s="132"/>
    </row>
    <row r="136" ht="15.75" customHeight="1">
      <c r="A136" s="149"/>
      <c r="B136" s="124"/>
      <c r="C136" s="150"/>
      <c r="D136" s="150"/>
      <c r="E136" s="151"/>
      <c r="F136" s="152"/>
      <c r="G136" s="128"/>
      <c r="H136" s="129"/>
      <c r="I136" s="130"/>
      <c r="J136" s="132"/>
      <c r="K136" s="132"/>
      <c r="L136" s="132"/>
      <c r="M136" s="132"/>
      <c r="N136" s="132"/>
      <c r="O136" s="132"/>
    </row>
    <row r="137" ht="15.75" customHeight="1">
      <c r="A137" s="149"/>
      <c r="B137" s="124"/>
      <c r="C137" s="150"/>
      <c r="D137" s="150"/>
      <c r="E137" s="151"/>
      <c r="F137" s="152"/>
      <c r="G137" s="128"/>
      <c r="H137" s="129"/>
      <c r="I137" s="130"/>
      <c r="J137" s="132"/>
      <c r="K137" s="132"/>
      <c r="L137" s="132"/>
      <c r="M137" s="132"/>
      <c r="N137" s="132"/>
      <c r="O137" s="132"/>
    </row>
    <row r="138" ht="15.75" customHeight="1">
      <c r="A138" s="149"/>
      <c r="B138" s="124"/>
      <c r="C138" s="150"/>
      <c r="D138" s="150"/>
      <c r="E138" s="151"/>
      <c r="F138" s="152"/>
      <c r="G138" s="128"/>
      <c r="H138" s="129"/>
      <c r="I138" s="130"/>
      <c r="J138" s="132"/>
      <c r="K138" s="132"/>
      <c r="L138" s="132"/>
      <c r="M138" s="132"/>
      <c r="N138" s="132"/>
      <c r="O138" s="132"/>
    </row>
    <row r="139" ht="15.75" customHeight="1">
      <c r="A139" s="149"/>
      <c r="B139" s="124"/>
      <c r="C139" s="150"/>
      <c r="D139" s="150"/>
      <c r="E139" s="151"/>
      <c r="F139" s="152"/>
      <c r="G139" s="128"/>
      <c r="H139" s="129"/>
      <c r="I139" s="155"/>
      <c r="J139" s="156"/>
      <c r="K139" s="156"/>
      <c r="L139" s="156"/>
      <c r="M139" s="156"/>
      <c r="N139" s="156"/>
      <c r="O139" s="156"/>
    </row>
    <row r="140" ht="15.75" customHeight="1">
      <c r="A140" s="149"/>
      <c r="B140" s="124"/>
      <c r="C140" s="150"/>
      <c r="D140" s="150"/>
      <c r="E140" s="151"/>
      <c r="F140" s="152"/>
      <c r="G140" s="128"/>
      <c r="H140" s="129"/>
      <c r="I140" s="130"/>
      <c r="J140" s="132"/>
      <c r="K140" s="132"/>
      <c r="L140" s="132"/>
      <c r="M140" s="132"/>
      <c r="N140" s="132"/>
      <c r="O140" s="132"/>
    </row>
    <row r="141" ht="15.75" customHeight="1">
      <c r="A141" s="149"/>
      <c r="B141" s="124"/>
      <c r="C141" s="150"/>
      <c r="D141" s="150"/>
      <c r="E141" s="151"/>
      <c r="F141" s="152"/>
      <c r="G141" s="128"/>
      <c r="H141" s="129"/>
      <c r="I141" s="130"/>
      <c r="J141" s="132"/>
      <c r="K141" s="132"/>
      <c r="L141" s="132"/>
      <c r="M141" s="132"/>
      <c r="N141" s="132"/>
      <c r="O141" s="132"/>
    </row>
    <row r="142" ht="15.75" customHeight="1">
      <c r="A142" s="149"/>
      <c r="B142" s="124"/>
      <c r="C142" s="150"/>
      <c r="D142" s="150"/>
      <c r="E142" s="151"/>
      <c r="F142" s="152"/>
      <c r="G142" s="128"/>
      <c r="H142" s="129"/>
      <c r="I142" s="130"/>
      <c r="J142" s="132"/>
      <c r="K142" s="132"/>
      <c r="L142" s="132"/>
      <c r="M142" s="132"/>
      <c r="N142" s="132"/>
      <c r="O142" s="132"/>
    </row>
    <row r="143" ht="15.75" customHeight="1">
      <c r="A143" s="123"/>
      <c r="B143" s="124"/>
      <c r="C143" s="150"/>
      <c r="D143" s="150"/>
      <c r="E143" s="151"/>
      <c r="F143" s="152"/>
      <c r="G143" s="128"/>
      <c r="H143" s="129"/>
      <c r="I143" s="130"/>
      <c r="J143" s="132"/>
      <c r="K143" s="132"/>
      <c r="L143" s="132"/>
      <c r="M143" s="132"/>
      <c r="N143" s="132"/>
      <c r="O143" s="132"/>
    </row>
    <row r="144" ht="15.75" customHeight="1">
      <c r="A144" s="123"/>
      <c r="B144" s="124"/>
      <c r="C144" s="150"/>
      <c r="D144" s="150"/>
      <c r="E144" s="151"/>
      <c r="F144" s="152"/>
      <c r="G144" s="128"/>
      <c r="H144" s="129"/>
      <c r="I144" s="130"/>
      <c r="J144" s="132"/>
      <c r="K144" s="132"/>
      <c r="L144" s="132"/>
      <c r="M144" s="132"/>
      <c r="N144" s="132"/>
      <c r="O144" s="132"/>
    </row>
    <row r="145" ht="15.75" customHeight="1">
      <c r="A145" s="123"/>
      <c r="B145" s="124"/>
      <c r="C145" s="150"/>
      <c r="D145" s="150"/>
      <c r="E145" s="151"/>
      <c r="F145" s="152"/>
      <c r="G145" s="128"/>
      <c r="H145" s="129"/>
      <c r="I145" s="130"/>
      <c r="J145" s="132"/>
      <c r="K145" s="132"/>
      <c r="L145" s="132"/>
      <c r="M145" s="132"/>
      <c r="N145" s="132"/>
      <c r="O145" s="132"/>
    </row>
    <row r="146" ht="15.75" customHeight="1">
      <c r="A146" s="123"/>
      <c r="B146" s="124"/>
      <c r="C146" s="150"/>
      <c r="D146" s="150"/>
      <c r="E146" s="151"/>
      <c r="F146" s="152"/>
      <c r="G146" s="128"/>
      <c r="H146" s="129"/>
      <c r="I146" s="153"/>
      <c r="J146" s="154"/>
      <c r="K146" s="154"/>
      <c r="L146" s="154"/>
      <c r="M146" s="154"/>
      <c r="N146" s="154"/>
      <c r="O146" s="154"/>
    </row>
    <row r="147" ht="15.75" customHeight="1">
      <c r="A147" s="123"/>
      <c r="B147" s="124"/>
      <c r="C147" s="150"/>
      <c r="D147" s="150"/>
      <c r="E147" s="151"/>
      <c r="F147" s="152"/>
      <c r="G147" s="128"/>
      <c r="H147" s="129"/>
      <c r="I147" s="130"/>
      <c r="J147" s="132"/>
      <c r="K147" s="132"/>
      <c r="L147" s="132"/>
      <c r="M147" s="132"/>
      <c r="N147" s="132"/>
      <c r="O147" s="132"/>
    </row>
    <row r="148" ht="15.75" customHeight="1">
      <c r="A148" s="123"/>
      <c r="B148" s="124"/>
      <c r="C148" s="150"/>
      <c r="D148" s="150"/>
      <c r="E148" s="151"/>
      <c r="F148" s="152"/>
      <c r="G148" s="128"/>
      <c r="H148" s="129"/>
      <c r="I148" s="130"/>
      <c r="J148" s="132"/>
      <c r="K148" s="132"/>
      <c r="L148" s="132"/>
      <c r="M148" s="132"/>
      <c r="N148" s="132"/>
      <c r="O148" s="132"/>
    </row>
    <row r="149" ht="15.75" customHeight="1">
      <c r="A149" s="123"/>
      <c r="B149" s="124"/>
      <c r="C149" s="150"/>
      <c r="D149" s="150"/>
      <c r="E149" s="151"/>
      <c r="F149" s="152"/>
      <c r="G149" s="128"/>
      <c r="H149" s="129"/>
      <c r="I149" s="130"/>
      <c r="J149" s="132"/>
      <c r="K149" s="132"/>
      <c r="L149" s="132"/>
      <c r="M149" s="132"/>
      <c r="N149" s="132"/>
      <c r="O149" s="132"/>
    </row>
    <row r="150" ht="15.75" customHeight="1">
      <c r="A150" s="123"/>
      <c r="B150" s="124"/>
      <c r="C150" s="150"/>
      <c r="D150" s="150"/>
      <c r="E150" s="151"/>
      <c r="F150" s="152"/>
      <c r="G150" s="128"/>
      <c r="H150" s="129"/>
      <c r="I150" s="130"/>
      <c r="J150" s="132"/>
      <c r="K150" s="132"/>
      <c r="L150" s="132"/>
      <c r="M150" s="132"/>
      <c r="N150" s="132"/>
      <c r="O150" s="132"/>
    </row>
    <row r="151" ht="15.75" customHeight="1">
      <c r="A151" s="123"/>
      <c r="B151" s="124"/>
      <c r="C151" s="150"/>
      <c r="D151" s="150"/>
      <c r="E151" s="151"/>
      <c r="F151" s="152"/>
      <c r="G151" s="128"/>
      <c r="H151" s="129"/>
      <c r="I151" s="130"/>
      <c r="J151" s="132"/>
      <c r="K151" s="132"/>
      <c r="L151" s="132"/>
      <c r="M151" s="132"/>
      <c r="N151" s="132"/>
      <c r="O151" s="132"/>
    </row>
    <row r="152" ht="15.75" customHeight="1">
      <c r="A152" s="123"/>
      <c r="B152" s="124"/>
      <c r="C152" s="150"/>
      <c r="D152" s="150"/>
      <c r="E152" s="151"/>
      <c r="F152" s="152"/>
      <c r="G152" s="128"/>
      <c r="H152" s="129"/>
      <c r="I152" s="130"/>
      <c r="J152" s="132"/>
      <c r="K152" s="132"/>
      <c r="L152" s="132"/>
      <c r="M152" s="132"/>
      <c r="N152" s="132"/>
      <c r="O152" s="132"/>
    </row>
    <row r="153" ht="15.75" customHeight="1">
      <c r="A153" s="123"/>
      <c r="B153" s="124"/>
      <c r="C153" s="150"/>
      <c r="D153" s="150"/>
      <c r="E153" s="151"/>
      <c r="F153" s="152"/>
      <c r="G153" s="128"/>
      <c r="H153" s="129"/>
      <c r="I153" s="130"/>
      <c r="J153" s="132"/>
      <c r="K153" s="132"/>
      <c r="L153" s="132"/>
      <c r="M153" s="132"/>
      <c r="N153" s="132"/>
      <c r="O153" s="132"/>
    </row>
    <row r="154" ht="15.75" customHeight="1">
      <c r="A154" s="123"/>
      <c r="B154" s="124"/>
      <c r="C154" s="150"/>
      <c r="D154" s="150"/>
      <c r="E154" s="151"/>
      <c r="F154" s="152"/>
      <c r="G154" s="128"/>
      <c r="H154" s="129"/>
      <c r="I154" s="130"/>
      <c r="J154" s="132"/>
      <c r="K154" s="132"/>
      <c r="L154" s="132"/>
      <c r="M154" s="132"/>
      <c r="N154" s="132"/>
      <c r="O154" s="132"/>
    </row>
    <row r="155" ht="15.75" customHeight="1">
      <c r="A155" s="123"/>
      <c r="B155" s="124"/>
      <c r="C155" s="150"/>
      <c r="D155" s="150"/>
      <c r="E155" s="151"/>
      <c r="F155" s="152"/>
      <c r="G155" s="128"/>
      <c r="H155" s="129"/>
      <c r="I155" s="130"/>
      <c r="J155" s="132"/>
      <c r="K155" s="132"/>
      <c r="L155" s="132"/>
      <c r="M155" s="132"/>
      <c r="N155" s="132"/>
      <c r="O155" s="132"/>
    </row>
  </sheetData>
  <autoFilter ref="$A$3:$O$97">
    <sortState ref="A3:O97">
      <sortCondition ref="C3:C97"/>
    </sortState>
  </autoFilter>
  <customSheetViews>
    <customSheetView guid="{B41F88BD-3F58-45D0-A0E7-C0E19BA24239}" filter="1" showAutoFilter="1">
      <autoFilter ref="$A$3:$I$123"/>
    </customSheetView>
    <customSheetView guid="{96C31A28-1028-4009-9DE6-63B3CF4DFB9B}" filter="1" showAutoFilter="1">
      <autoFilter ref="$A$3:$I$123"/>
    </customSheetView>
  </customSheetViews>
  <mergeCells count="2">
    <mergeCell ref="A1:O1"/>
    <mergeCell ref="L3:O3"/>
  </mergeCells>
  <conditionalFormatting sqref="K1:K155">
    <cfRule type="cellIs" dxfId="0" priority="1" operator="equal">
      <formula>"Construção"</formula>
    </cfRule>
  </conditionalFormatting>
  <conditionalFormatting sqref="K1:K155">
    <cfRule type="cellIs" dxfId="1" priority="2" operator="equal">
      <formula>"TI"</formula>
    </cfRule>
  </conditionalFormatting>
  <conditionalFormatting sqref="K1:K155">
    <cfRule type="cellIs" dxfId="2" priority="3" operator="equal">
      <formula>"Geral"</formula>
    </cfRule>
  </conditionalFormatting>
  <conditionalFormatting sqref="K1:K155">
    <cfRule type="cellIs" dxfId="3" priority="4" operator="equal">
      <formula>"Industria"</formula>
    </cfRule>
  </conditionalFormatting>
  <dataValidations>
    <dataValidation type="list" allowBlank="1" showErrorMessage="1" sqref="E4:E155">
      <formula1>"Estratégico,Tático,Operacional"</formula1>
    </dataValidation>
    <dataValidation type="list" allowBlank="1" sqref="H4:H155">
      <formula1>"Indiferente,Júnior,Pleno,Sênior,Master,Especialista"</formula1>
    </dataValidation>
  </dataValidations>
  <printOptions/>
  <pageMargins bottom="0.787401575" footer="0.0" header="0.0" left="0.511811024" right="0.511811024" top="0.7874015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7.0"/>
    <col customWidth="1" min="2" max="2" width="38.13"/>
    <col customWidth="1" min="3" max="3" width="15.75"/>
    <col customWidth="1" min="4" max="4" width="10.25"/>
    <col customWidth="1" min="5" max="7" width="22.63"/>
    <col customWidth="1" min="8" max="8" width="25.13"/>
    <col customWidth="1" min="9" max="9" width="19.88"/>
    <col customWidth="1" min="10" max="10" width="13.0"/>
    <col customWidth="1" min="11" max="11" width="28.88"/>
    <col customWidth="1" min="12" max="12" width="11.75"/>
    <col customWidth="1" min="13" max="13" width="17.38"/>
    <col customWidth="1" min="14" max="14" width="21.63"/>
    <col customWidth="1" min="15" max="15" width="14.75"/>
    <col customWidth="1" min="16" max="16" width="10.88"/>
    <col customWidth="1" min="17" max="18" width="10.13"/>
    <col customWidth="1" hidden="1" min="19" max="19" width="10.88"/>
    <col customWidth="1" hidden="1" min="20" max="20" width="14.0"/>
    <col customWidth="1" hidden="1" min="21" max="21" width="18.75"/>
    <col customWidth="1" hidden="1" min="22" max="22" width="27.38"/>
  </cols>
  <sheetData>
    <row r="1">
      <c r="B1" s="157"/>
      <c r="C1" s="157"/>
      <c r="D1" s="157"/>
      <c r="E1" s="157"/>
      <c r="F1" s="157"/>
      <c r="G1" s="157"/>
      <c r="H1" s="157"/>
      <c r="I1" s="157"/>
      <c r="J1" s="158" t="s">
        <v>314</v>
      </c>
      <c r="K1" s="157"/>
      <c r="L1" s="157"/>
      <c r="M1" s="157"/>
      <c r="N1" s="157"/>
      <c r="O1" s="159" t="str">
        <f>'Informações Relevantes Cenário'!A1</f>
        <v>Cenário 01: Pesquisas Consolidadas - Nacional</v>
      </c>
      <c r="P1" s="160"/>
      <c r="Q1" s="160"/>
      <c r="R1" s="160"/>
      <c r="S1" s="161"/>
      <c r="T1" s="162"/>
      <c r="U1" s="163" t="str">
        <f>"% Distância da "&amp;'Painel Geral'!B5</f>
        <v>% Distância da Mediana</v>
      </c>
      <c r="V1" s="163" t="s">
        <v>315</v>
      </c>
    </row>
    <row r="2" ht="6.0" customHeight="1">
      <c r="A2" s="164"/>
      <c r="B2" s="165"/>
      <c r="C2" s="166"/>
      <c r="D2" s="167"/>
      <c r="E2" s="165"/>
      <c r="F2" s="165"/>
      <c r="G2" s="165"/>
      <c r="H2" s="165"/>
      <c r="I2" s="165"/>
      <c r="J2" s="167"/>
      <c r="K2" s="165"/>
      <c r="L2" s="165"/>
      <c r="M2" s="165"/>
      <c r="N2" s="168"/>
      <c r="O2" s="169"/>
      <c r="P2" s="169"/>
      <c r="Q2" s="169"/>
      <c r="R2" s="169"/>
      <c r="S2" s="169"/>
      <c r="T2" s="170"/>
      <c r="U2" s="171"/>
      <c r="V2" s="170"/>
    </row>
    <row r="3">
      <c r="A3" s="172" t="s">
        <v>2</v>
      </c>
      <c r="B3" s="173" t="s">
        <v>203</v>
      </c>
      <c r="C3" s="174" t="s">
        <v>316</v>
      </c>
      <c r="D3" s="175" t="s">
        <v>317</v>
      </c>
      <c r="E3" s="175" t="s">
        <v>318</v>
      </c>
      <c r="F3" s="175" t="s">
        <v>5</v>
      </c>
      <c r="G3" s="175"/>
      <c r="H3" s="175" t="s">
        <v>319</v>
      </c>
      <c r="I3" s="176" t="s">
        <v>7</v>
      </c>
      <c r="J3" s="176" t="s">
        <v>204</v>
      </c>
      <c r="K3" s="176" t="s">
        <v>205</v>
      </c>
      <c r="L3" s="177" t="s">
        <v>6</v>
      </c>
      <c r="M3" s="178" t="s">
        <v>320</v>
      </c>
      <c r="N3" s="179" t="s">
        <v>321</v>
      </c>
      <c r="O3" s="180" t="s">
        <v>322</v>
      </c>
      <c r="P3" s="180" t="s">
        <v>323</v>
      </c>
      <c r="Q3" s="180" t="s">
        <v>324</v>
      </c>
      <c r="R3" s="180" t="s">
        <v>325</v>
      </c>
      <c r="S3" s="180" t="s">
        <v>326</v>
      </c>
      <c r="T3" s="181" t="s">
        <v>327</v>
      </c>
      <c r="U3" s="182" t="s">
        <v>328</v>
      </c>
      <c r="V3" s="183" t="s">
        <v>329</v>
      </c>
    </row>
    <row r="4" ht="15.75" customHeight="1">
      <c r="A4" s="184" t="s">
        <v>64</v>
      </c>
      <c r="B4" s="185" t="str">
        <f>VLOOKUP(A4,Jobmatch!A:G,2,0)</f>
        <v>ASSISTENTE ADMINISTRATIVO lll</v>
      </c>
      <c r="C4" s="186">
        <f>IFERROR(AVERAGEIF('Folha de Pagamento'!A:A,A4,'Folha de Pagamento'!J:J),"")</f>
        <v>3439.7</v>
      </c>
      <c r="D4" s="187">
        <v>1.0</v>
      </c>
      <c r="E4" s="185" t="str">
        <f>VLOOKUP(A4,Jobmatch!A:H,3,0)</f>
        <v>Administrativo</v>
      </c>
      <c r="F4" s="188" t="s">
        <v>238</v>
      </c>
      <c r="G4" s="189" t="str">
        <f>VLOOKUP(F4,'Página24'!A:A,1,0)</f>
        <v>Assistente Administrativo</v>
      </c>
      <c r="H4" s="190" t="str">
        <f>VLOOKUP(A4,Jobmatch!A:I,4,0)</f>
        <v>20 - ADM PROJETOS</v>
      </c>
      <c r="I4" s="191" t="str">
        <f>VLOOKUP(A4,Jobmatch!A:I,5,0)</f>
        <v>Operacional</v>
      </c>
      <c r="J4" s="192">
        <f>VLOOKUP(A4,Jobmatch!A:I,6,0)</f>
        <v>59</v>
      </c>
      <c r="K4" s="190" t="str">
        <f>VLOOKUP(A4,Jobmatch!A:I,7,0)</f>
        <v>Assistente Administrativo</v>
      </c>
      <c r="L4" s="193" t="str">
        <f>VLOOKUP(A4,Jobmatch!A:I,8,0)</f>
        <v>Indiferente</v>
      </c>
      <c r="M4" s="194" t="str">
        <f t="shared" ref="M4:M57" si="1">J4&amp;L4</f>
        <v>59Indiferente</v>
      </c>
      <c r="N4" s="195">
        <f>COUNTIF('Folha de Pagamento'!A:A,A4)</f>
        <v>1</v>
      </c>
      <c r="O4" s="196">
        <f>IFERROR(VLOOKUP(M4,'C-01'!$D:$L,4,0),"")</f>
        <v>2076.09</v>
      </c>
      <c r="P4" s="196">
        <f>IFERROR(VLOOKUP(M4,'C-01'!$D:$L,5,0),"")</f>
        <v>2329.53</v>
      </c>
      <c r="Q4" s="196">
        <f>IFERROR(VLOOKUP(M4,'C-01'!$D:$L,6,0),"")</f>
        <v>2673.92</v>
      </c>
      <c r="R4" s="196">
        <f>IFERROR(VLOOKUP(M4,'C-01'!$D:$L,7,0),"")</f>
        <v>2630.61</v>
      </c>
      <c r="S4" s="196">
        <f>IFERROR(VLOOKUP(M4,'C-01'!$D:$L,8,0),"")</f>
        <v>2914.75</v>
      </c>
      <c r="T4" s="197">
        <f>IFERROR(VLOOKUP(M4,'C-01'!$D:$L,9,0),"")</f>
        <v>3662.52</v>
      </c>
      <c r="U4" s="198">
        <f>IFS('Painel Geral'!$B$5="Mediana",IFERROR(IF(OR(C4="",R4=0,R4=""),"",($C4/$R4)),""),'Painel Geral'!$B$5="Menor Salário",IFERROR(IF(OR(C4="",R4=0,R4=""),"",($C4/$O4)),""),'Painel Geral'!$B$5="1º Quartil",IFERROR(IF(OR(C4="",R4=0,R4=""),"",($C4/$P4)),""), 'Painel Geral'!$B$5="Média",IFERROR(IF(OR(C4="",R4=0,R4=""),"",($C4/$Q4)),""),'Painel Geral'!$B$5="3º Quartil",IFERROR(IF(OR(C4="",R4=0,R4=""),"",($C4/$S4)),""),'Painel Geral'!$B$5="Maior Salário",IFERROR(IF(OR(C4="",R4=0,R4=""),"",($C4/$T4)),""))</f>
        <v>1.307567446</v>
      </c>
      <c r="V4" s="199" t="str">
        <f t="shared" ref="V4:V57" si="2">IFS(OR(O4="",O4=0,C4="", C4=0),"",U4&lt;=80%,"Muito Defasado",U4&lt;=90%,"Defasado",U4&lt;=100%,"Na Média",U4&lt;=110%,"Competitivo",U4&lt;=120%,"Muito Competitivo",U4&gt;120%,"Agressivo")</f>
        <v>Agressivo</v>
      </c>
    </row>
    <row r="5" ht="15.75" customHeight="1">
      <c r="A5" s="184" t="s">
        <v>83</v>
      </c>
      <c r="B5" s="185" t="str">
        <f>VLOOKUP(A5,Jobmatch!A:G,2,0)</f>
        <v>AUXILIAR ADMINISTRATIVO</v>
      </c>
      <c r="C5" s="186">
        <f>IFERROR(AVERAGEIF('Folha de Pagamento'!A:A,A5,'Folha de Pagamento'!J:J),"")</f>
        <v>2254</v>
      </c>
      <c r="D5" s="187">
        <v>1.0</v>
      </c>
      <c r="E5" s="185" t="str">
        <f>VLOOKUP(A5,Jobmatch!A:H,3,0)</f>
        <v>Administrativo</v>
      </c>
      <c r="F5" s="188" t="s">
        <v>252</v>
      </c>
      <c r="G5" s="189" t="str">
        <f>VLOOKUP(F5,'Página24'!A:A,1,0)</f>
        <v>Auxiliar Administrativo</v>
      </c>
      <c r="H5" s="190" t="str">
        <f>VLOOKUP(A5,Jobmatch!A:I,4,0)</f>
        <v>27 - ADM PROJETOS</v>
      </c>
      <c r="I5" s="191" t="str">
        <f>VLOOKUP(A5,Jobmatch!A:I,5,0)</f>
        <v>Operacional</v>
      </c>
      <c r="J5" s="192">
        <f>VLOOKUP(A5,Jobmatch!A:I,6,0)</f>
        <v>83</v>
      </c>
      <c r="K5" s="190" t="str">
        <f>VLOOKUP(A5,Jobmatch!A:I,7,0)</f>
        <v>Auxiliar Administrativo</v>
      </c>
      <c r="L5" s="193" t="str">
        <f>VLOOKUP(A5,Jobmatch!A:I,8,0)</f>
        <v>Indiferente</v>
      </c>
      <c r="M5" s="194" t="str">
        <f t="shared" si="1"/>
        <v>83Indiferente</v>
      </c>
      <c r="N5" s="195">
        <f>COUNTIF('Folha de Pagamento'!A:A,A5)</f>
        <v>1</v>
      </c>
      <c r="O5" s="196">
        <f>IFERROR(VLOOKUP(M5,'C-01'!$D:$L,4,0),"")</f>
        <v>1771.74</v>
      </c>
      <c r="P5" s="196">
        <f>IFERROR(VLOOKUP(M5,'C-01'!$D:$L,5,0),"")</f>
        <v>2128.74</v>
      </c>
      <c r="Q5" s="196">
        <f>IFERROR(VLOOKUP(M5,'C-01'!$D:$L,6,0),"")</f>
        <v>2292.87</v>
      </c>
      <c r="R5" s="196">
        <f>IFERROR(VLOOKUP(M5,'C-01'!$D:$L,7,0),"")</f>
        <v>2309.71</v>
      </c>
      <c r="S5" s="196">
        <f>IFERROR(VLOOKUP(M5,'C-01'!$D:$L,8,0),"")</f>
        <v>2375.14</v>
      </c>
      <c r="T5" s="197">
        <f>IFERROR(VLOOKUP(M5,'C-01'!$D:$L,9,0),"")</f>
        <v>3073.32</v>
      </c>
      <c r="U5" s="198">
        <f>IFS('Painel Geral'!$B$5="Mediana",IFERROR(IF(OR(C5="",R5=0,R5=""),"",($C5/$R5)),""),'Painel Geral'!$B$5="Menor Salário",IFERROR(IF(OR(C5="",R5=0,R5=""),"",($C5/$O5)),""),'Painel Geral'!$B$5="1º Quartil",IFERROR(IF(OR(C5="",R5=0,R5=""),"",($C5/$P5)),""), 'Painel Geral'!$B$5="Média",IFERROR(IF(OR(C5="",R5=0,R5=""),"",($C5/$Q5)),""),'Painel Geral'!$B$5="3º Quartil",IFERROR(IF(OR(C5="",R5=0,R5=""),"",($C5/$S5)),""),'Painel Geral'!$B$5="Maior Salário",IFERROR(IF(OR(C5="",R5=0,R5=""),"",($C5/$T5)),""))</f>
        <v>0.9758800888</v>
      </c>
      <c r="V5" s="199" t="str">
        <f t="shared" si="2"/>
        <v>Na Média</v>
      </c>
    </row>
    <row r="6" ht="15.75" customHeight="1">
      <c r="A6" s="184" t="s">
        <v>85</v>
      </c>
      <c r="B6" s="185" t="str">
        <f>VLOOKUP(A6,Jobmatch!A:G,2,0)</f>
        <v>AUXILIAR ADMINISTRATIVO III</v>
      </c>
      <c r="C6" s="186">
        <f>IFERROR(AVERAGEIF('Folha de Pagamento'!A:A,A6,'Folha de Pagamento'!J:J),"")</f>
        <v>2739.04</v>
      </c>
      <c r="D6" s="187">
        <v>1.0</v>
      </c>
      <c r="E6" s="185" t="str">
        <f>VLOOKUP(A6,Jobmatch!A:H,3,0)</f>
        <v>Administrativo</v>
      </c>
      <c r="F6" s="188" t="s">
        <v>252</v>
      </c>
      <c r="G6" s="189" t="str">
        <f>VLOOKUP(F6,'Página24'!A:A,1,0)</f>
        <v>Auxiliar Administrativo</v>
      </c>
      <c r="H6" s="190" t="str">
        <f>VLOOKUP(A6,Jobmatch!A:I,4,0)</f>
        <v>28 - ADM PROJETOS</v>
      </c>
      <c r="I6" s="191" t="str">
        <f>VLOOKUP(A6,Jobmatch!A:I,5,0)</f>
        <v>Operacional</v>
      </c>
      <c r="J6" s="192">
        <f>VLOOKUP(A6,Jobmatch!A:I,6,0)</f>
        <v>83</v>
      </c>
      <c r="K6" s="190" t="str">
        <f>VLOOKUP(A6,Jobmatch!A:I,7,0)</f>
        <v>Auxiliar Administrativo</v>
      </c>
      <c r="L6" s="193" t="str">
        <f>VLOOKUP(A6,Jobmatch!A:I,8,0)</f>
        <v>Indiferente</v>
      </c>
      <c r="M6" s="194" t="str">
        <f t="shared" si="1"/>
        <v>83Indiferente</v>
      </c>
      <c r="N6" s="195">
        <f>COUNTIF('Folha de Pagamento'!A:A,A6)</f>
        <v>1</v>
      </c>
      <c r="O6" s="196">
        <f>IFERROR(VLOOKUP(M6,'C-01'!$D:$L,4,0),"")</f>
        <v>1771.74</v>
      </c>
      <c r="P6" s="196">
        <f>IFERROR(VLOOKUP(M6,'C-01'!$D:$L,5,0),"")</f>
        <v>2128.74</v>
      </c>
      <c r="Q6" s="196">
        <f>IFERROR(VLOOKUP(M6,'C-01'!$D:$L,6,0),"")</f>
        <v>2292.87</v>
      </c>
      <c r="R6" s="196">
        <f>IFERROR(VLOOKUP(M6,'C-01'!$D:$L,7,0),"")</f>
        <v>2309.71</v>
      </c>
      <c r="S6" s="196">
        <f>IFERROR(VLOOKUP(M6,'C-01'!$D:$L,8,0),"")</f>
        <v>2375.14</v>
      </c>
      <c r="T6" s="197">
        <f>IFERROR(VLOOKUP(M6,'C-01'!$D:$L,9,0),"")</f>
        <v>3073.32</v>
      </c>
      <c r="U6" s="198">
        <f>IFS('Painel Geral'!$B$5="Mediana",IFERROR(IF(OR(C6="",R6=0,R6=""),"",($C6/$R6)),""),'Painel Geral'!$B$5="Menor Salário",IFERROR(IF(OR(C6="",R6=0,R6=""),"",($C6/$O6)),""),'Painel Geral'!$B$5="1º Quartil",IFERROR(IF(OR(C6="",R6=0,R6=""),"",($C6/$P6)),""), 'Painel Geral'!$B$5="Média",IFERROR(IF(OR(C6="",R6=0,R6=""),"",($C6/$Q6)),""),'Painel Geral'!$B$5="3º Quartil",IFERROR(IF(OR(C6="",R6=0,R6=""),"",($C6/$S6)),""),'Painel Geral'!$B$5="Maior Salário",IFERROR(IF(OR(C6="",R6=0,R6=""),"",($C6/$T6)),""))</f>
        <v>1.185880479</v>
      </c>
      <c r="V6" s="199" t="str">
        <f t="shared" si="2"/>
        <v>Muito Competitivo</v>
      </c>
    </row>
    <row r="7" ht="15.75" customHeight="1">
      <c r="A7" s="184" t="s">
        <v>92</v>
      </c>
      <c r="B7" s="185" t="str">
        <f>VLOOKUP(A7,Jobmatch!A:G,2,0)</f>
        <v>CONTROLER JURÍDICO</v>
      </c>
      <c r="C7" s="186">
        <f>IFERROR(AVERAGEIF('Folha de Pagamento'!A:A,A7,'Folha de Pagamento'!J:J),"")</f>
        <v>8276.642336</v>
      </c>
      <c r="D7" s="187">
        <v>1.0</v>
      </c>
      <c r="E7" s="185" t="str">
        <f>VLOOKUP(A7,Jobmatch!A:H,3,0)</f>
        <v>Administrativo</v>
      </c>
      <c r="F7" s="188" t="s">
        <v>330</v>
      </c>
      <c r="G7" s="189" t="str">
        <f>VLOOKUP(F7,'Página24'!A:A,1,0)</f>
        <v>#N/A</v>
      </c>
      <c r="H7" s="190" t="str">
        <f>VLOOKUP(A7,Jobmatch!A:I,4,0)</f>
        <v>31 - ADM PROJETOS</v>
      </c>
      <c r="I7" s="191" t="str">
        <f>VLOOKUP(A7,Jobmatch!A:I,5,0)</f>
        <v>Tático</v>
      </c>
      <c r="J7" s="192">
        <f>VLOOKUP(A7,Jobmatch!A:I,6,0)</f>
        <v>9</v>
      </c>
      <c r="K7" s="190" t="str">
        <f>VLOOKUP(A7,Jobmatch!A:I,7,0)</f>
        <v>Advogado</v>
      </c>
      <c r="L7" s="193" t="str">
        <f>VLOOKUP(A7,Jobmatch!A:I,8,0)</f>
        <v>Sênior</v>
      </c>
      <c r="M7" s="194" t="str">
        <f t="shared" si="1"/>
        <v>9Sênior</v>
      </c>
      <c r="N7" s="195">
        <f>COUNTIF('Folha de Pagamento'!A:A,A7)</f>
        <v>1</v>
      </c>
      <c r="O7" s="196">
        <f>IFERROR(VLOOKUP(M7,'C-01'!$D:$L,4,0),"")</f>
        <v>0</v>
      </c>
      <c r="P7" s="196">
        <f>IFERROR(VLOOKUP(M7,'C-01'!$D:$L,5,0),"")</f>
        <v>0</v>
      </c>
      <c r="Q7" s="196">
        <f>IFERROR(VLOOKUP(M7,'C-01'!$D:$L,6,0),"")</f>
        <v>0</v>
      </c>
      <c r="R7" s="196">
        <f>IFERROR(VLOOKUP(M7,'C-01'!$D:$L,7,0),"")</f>
        <v>0</v>
      </c>
      <c r="S7" s="196">
        <f>IFERROR(VLOOKUP(M7,'C-01'!$D:$L,8,0),"")</f>
        <v>0</v>
      </c>
      <c r="T7" s="197">
        <f>IFERROR(VLOOKUP(M7,'C-01'!$D:$L,9,0),"")</f>
        <v>0</v>
      </c>
      <c r="U7" s="198" t="str">
        <f>IFS('Painel Geral'!$B$5="Mediana",IFERROR(IF(OR(C7="",R7=0,R7=""),"",($C7/$R7)),""),'Painel Geral'!$B$5="Menor Salário",IFERROR(IF(OR(C7="",R7=0,R7=""),"",($C7/$O7)),""),'Painel Geral'!$B$5="1º Quartil",IFERROR(IF(OR(C7="",R7=0,R7=""),"",($C7/$P7)),""), 'Painel Geral'!$B$5="Média",IFERROR(IF(OR(C7="",R7=0,R7=""),"",($C7/$Q7)),""),'Painel Geral'!$B$5="3º Quartil",IFERROR(IF(OR(C7="",R7=0,R7=""),"",($C7/$S7)),""),'Painel Geral'!$B$5="Maior Salário",IFERROR(IF(OR(C7="",R7=0,R7=""),"",($C7/$T7)),""))</f>
        <v/>
      </c>
      <c r="V7" s="199" t="str">
        <f t="shared" si="2"/>
        <v/>
      </c>
    </row>
    <row r="8" ht="15.75" hidden="1" customHeight="1">
      <c r="A8" s="184" t="s">
        <v>138</v>
      </c>
      <c r="B8" s="185" t="str">
        <f>VLOOKUP(A8,Jobmatch!A:G,2,0)</f>
        <v>ESTAGIÁRIO(A) ADM</v>
      </c>
      <c r="C8" s="186">
        <f>IFERROR(AVERAGEIF('Folha de Pagamento'!A:A,A8,'Folha de Pagamento'!J:J),"")</f>
        <v>1521</v>
      </c>
      <c r="D8" s="187">
        <v>1.0</v>
      </c>
      <c r="E8" s="185" t="str">
        <f>VLOOKUP(A8,Jobmatch!A:H,3,0)</f>
        <v>Administrativo</v>
      </c>
      <c r="F8" s="188" t="s">
        <v>286</v>
      </c>
      <c r="G8" s="189" t="str">
        <f>VLOOKUP(F8,'Página24'!A:A,1,0)</f>
        <v>#N/A</v>
      </c>
      <c r="H8" s="190" t="str">
        <f>VLOOKUP(A8,Jobmatch!A:I,4,0)</f>
        <v>46 - ADM PROJETOS</v>
      </c>
      <c r="I8" s="191" t="str">
        <f>VLOOKUP(A8,Jobmatch!A:I,5,0)</f>
        <v>Operacional</v>
      </c>
      <c r="J8" s="192">
        <f>VLOOKUP(A8,Jobmatch!A:I,6,0)</f>
        <v>338</v>
      </c>
      <c r="K8" s="190" t="str">
        <f>VLOOKUP(A8,Jobmatch!A:I,7,0)</f>
        <v>Estagiário Administrativo</v>
      </c>
      <c r="L8" s="193" t="str">
        <f>VLOOKUP(A8,Jobmatch!A:I,8,0)</f>
        <v>Indiferente</v>
      </c>
      <c r="M8" s="194" t="str">
        <f t="shared" si="1"/>
        <v>338Indiferente</v>
      </c>
      <c r="N8" s="195">
        <f>COUNTIF('Folha de Pagamento'!A:A,A8)</f>
        <v>1</v>
      </c>
      <c r="O8" s="196">
        <f>IFERROR(VLOOKUP(M8,'C-01'!$D:$L,4,0),"")</f>
        <v>1558.527273</v>
      </c>
      <c r="P8" s="196">
        <f>IFERROR(VLOOKUP(M8,'C-01'!$D:$L,5,0),"")</f>
        <v>1615.084091</v>
      </c>
      <c r="Q8" s="196">
        <f>IFERROR(VLOOKUP(M8,'C-01'!$D:$L,6,0),"")</f>
        <v>1753.343182</v>
      </c>
      <c r="R8" s="196">
        <f>IFERROR(VLOOKUP(M8,'C-01'!$D:$L,7,0),"")</f>
        <v>1721.918182</v>
      </c>
      <c r="S8" s="196">
        <f>IFERROR(VLOOKUP(M8,'C-01'!$D:$L,8,0),"")</f>
        <v>1860.177273</v>
      </c>
      <c r="T8" s="197">
        <f>IFERROR(VLOOKUP(M8,'C-01'!$D:$L,9,0),"")</f>
        <v>2011.002273</v>
      </c>
      <c r="U8" s="198">
        <f>IFS('Painel Geral'!$B$5="Mediana",IFERROR(IF(OR(C8="",R8=0,R8=""),"",($C8/$R8)),""),'Painel Geral'!$B$5="Menor Salário",IFERROR(IF(OR(C8="",R8=0,R8=""),"",($C8/$O8)),""),'Painel Geral'!$B$5="1º Quartil",IFERROR(IF(OR(C8="",R8=0,R8=""),"",($C8/$P8)),""), 'Painel Geral'!$B$5="Média",IFERROR(IF(OR(C8="",R8=0,R8=""),"",($C8/$Q8)),""),'Painel Geral'!$B$5="3º Quartil",IFERROR(IF(OR(C8="",R8=0,R8=""),"",($C8/$S8)),""),'Painel Geral'!$B$5="Maior Salário",IFERROR(IF(OR(C8="",R8=0,R8=""),"",($C8/$T8)),""))</f>
        <v>0.8833172308</v>
      </c>
      <c r="V8" s="199" t="str">
        <f t="shared" si="2"/>
        <v>Defasado</v>
      </c>
    </row>
    <row r="9" ht="15.75" customHeight="1">
      <c r="A9" s="184" t="s">
        <v>146</v>
      </c>
      <c r="B9" s="185" t="str">
        <f>VLOOKUP(A9,Jobmatch!A:G,2,0)</f>
        <v>GERENTE ADMINISTRATIVA </v>
      </c>
      <c r="C9" s="186">
        <f>IFERROR(AVERAGEIF('Folha de Pagamento'!A:A,A9,'Folha de Pagamento'!J:J),"")</f>
        <v>12242.42424</v>
      </c>
      <c r="D9" s="187">
        <v>1.0</v>
      </c>
      <c r="E9" s="185" t="str">
        <f>VLOOKUP(A9,Jobmatch!A:H,3,0)</f>
        <v>Administrativo</v>
      </c>
      <c r="F9" s="188" t="s">
        <v>331</v>
      </c>
      <c r="G9" s="189" t="str">
        <f>VLOOKUP(F9,'Página24'!A:A,1,0)</f>
        <v>Gerente Administrativa</v>
      </c>
      <c r="H9" s="190" t="str">
        <f>VLOOKUP(A9,Jobmatch!A:I,4,0)</f>
        <v>49 - ADM PROJETOS</v>
      </c>
      <c r="I9" s="191" t="str">
        <f>VLOOKUP(A9,Jobmatch!A:I,5,0)</f>
        <v>Tático</v>
      </c>
      <c r="J9" s="192">
        <f>VLOOKUP(A9,Jobmatch!A:I,6,0)</f>
        <v>106</v>
      </c>
      <c r="K9" s="190" t="str">
        <f>VLOOKUP(A9,Jobmatch!A:I,7,0)</f>
        <v>Gerente Administrativo</v>
      </c>
      <c r="L9" s="193" t="str">
        <f>VLOOKUP(A9,Jobmatch!A:I,8,0)</f>
        <v>Indiferente</v>
      </c>
      <c r="M9" s="194" t="str">
        <f t="shared" si="1"/>
        <v>106Indiferente</v>
      </c>
      <c r="N9" s="195">
        <f>COUNTIF('Folha de Pagamento'!A:A,A9)</f>
        <v>2</v>
      </c>
      <c r="O9" s="196">
        <f>IFERROR(VLOOKUP(M9,'C-01'!$D:$L,4,0),"")</f>
        <v>5281.61</v>
      </c>
      <c r="P9" s="196">
        <f>IFERROR(VLOOKUP(M9,'C-01'!$D:$L,5,0),"")</f>
        <v>6616.13</v>
      </c>
      <c r="Q9" s="196">
        <f>IFERROR(VLOOKUP(M9,'C-01'!$D:$L,6,0),"")</f>
        <v>9881.52</v>
      </c>
      <c r="R9" s="196">
        <f>IFERROR(VLOOKUP(M9,'C-01'!$D:$L,7,0),"")</f>
        <v>10052.23</v>
      </c>
      <c r="S9" s="196">
        <f>IFERROR(VLOOKUP(M9,'C-01'!$D:$L,8,0),"")</f>
        <v>12479.94</v>
      </c>
      <c r="T9" s="197">
        <f>IFERROR(VLOOKUP(M9,'C-01'!$D:$L,9,0),"")</f>
        <v>15257.82</v>
      </c>
      <c r="U9" s="198">
        <f>IFS('Painel Geral'!$B$5="Mediana",IFERROR(IF(OR(C9="",R9=0,R9=""),"",($C9/$R9)),""),'Painel Geral'!$B$5="Menor Salário",IFERROR(IF(OR(C9="",R9=0,R9=""),"",($C9/$O9)),""),'Painel Geral'!$B$5="1º Quartil",IFERROR(IF(OR(C9="",R9=0,R9=""),"",($C9/$P9)),""), 'Painel Geral'!$B$5="Média",IFERROR(IF(OR(C9="",R9=0,R9=""),"",($C9/$Q9)),""),'Painel Geral'!$B$5="3º Quartil",IFERROR(IF(OR(C9="",R9=0,R9=""),"",($C9/$S9)),""),'Painel Geral'!$B$5="Maior Salário",IFERROR(IF(OR(C9="",R9=0,R9=""),"",($C9/$T9)),""))</f>
        <v>1.21788143</v>
      </c>
      <c r="V9" s="199" t="str">
        <f t="shared" si="2"/>
        <v>Agressivo</v>
      </c>
    </row>
    <row r="10" ht="15.75" customHeight="1">
      <c r="A10" s="184" t="s">
        <v>118</v>
      </c>
      <c r="B10" s="185" t="str">
        <f>VLOOKUP(A10,Jobmatch!A:G,2,0)</f>
        <v>DIRETOR</v>
      </c>
      <c r="C10" s="186">
        <f>IFERROR(AVERAGEIF('Folha de Pagamento'!A:A,A10,'Folha de Pagamento'!J:J),"")</f>
        <v>55769.23077</v>
      </c>
      <c r="D10" s="187">
        <v>2.0</v>
      </c>
      <c r="E10" s="185" t="str">
        <f>VLOOKUP(A10,Jobmatch!A:H,3,0)</f>
        <v>Comercial</v>
      </c>
      <c r="F10" s="188" t="s">
        <v>332</v>
      </c>
      <c r="G10" s="189" t="str">
        <f>VLOOKUP(F10,'Página24'!A:A,1,0)</f>
        <v>Diretor</v>
      </c>
      <c r="H10" s="190" t="str">
        <f>VLOOKUP(A10,Jobmatch!A:I,4,0)</f>
        <v>40 - ADM PROJETOS</v>
      </c>
      <c r="I10" s="191" t="str">
        <f>VLOOKUP(A10,Jobmatch!A:I,5,0)</f>
        <v>Estratégico</v>
      </c>
      <c r="J10" s="192">
        <f>VLOOKUP(A10,Jobmatch!A:I,6,0)</f>
        <v>456</v>
      </c>
      <c r="K10" s="190" t="str">
        <f>VLOOKUP(A10,Jobmatch!A:I,7,0)</f>
        <v>CEO</v>
      </c>
      <c r="L10" s="193" t="str">
        <f>VLOOKUP(A10,Jobmatch!A:I,8,0)</f>
        <v>Indiferente</v>
      </c>
      <c r="M10" s="194" t="str">
        <f t="shared" si="1"/>
        <v>456Indiferente</v>
      </c>
      <c r="N10" s="195">
        <f>COUNTIF('Folha de Pagamento'!A:A,A10)</f>
        <v>1</v>
      </c>
      <c r="O10" s="196">
        <f>IFERROR(VLOOKUP(M10,'C-01'!$D:$L,4,0),"")</f>
        <v>18287.31</v>
      </c>
      <c r="P10" s="196">
        <f>IFERROR(VLOOKUP(M10,'C-01'!$D:$L,5,0),"")</f>
        <v>24816.78</v>
      </c>
      <c r="Q10" s="196">
        <f>IFERROR(VLOOKUP(M10,'C-01'!$D:$L,6,0),"")</f>
        <v>32648.36</v>
      </c>
      <c r="R10" s="196">
        <f>IFERROR(VLOOKUP(M10,'C-01'!$D:$L,7,0),"")</f>
        <v>29147.75</v>
      </c>
      <c r="S10" s="196">
        <f>IFERROR(VLOOKUP(M10,'C-01'!$D:$L,8,0),"")</f>
        <v>37122.89</v>
      </c>
      <c r="T10" s="197">
        <f>IFERROR(VLOOKUP(M10,'C-01'!$D:$L,9,0),"")</f>
        <v>55429.54</v>
      </c>
      <c r="U10" s="198">
        <f>IFS('Painel Geral'!$B$5="Mediana",IFERROR(IF(OR(C10="",R10=0,R10=""),"",($C10/$R10)),""),'Painel Geral'!$B$5="Menor Salário",IFERROR(IF(OR(C10="",R10=0,R10=""),"",($C10/$O10)),""),'Painel Geral'!$B$5="1º Quartil",IFERROR(IF(OR(C10="",R10=0,R10=""),"",($C10/$P10)),""), 'Painel Geral'!$B$5="Média",IFERROR(IF(OR(C10="",R10=0,R10=""),"",($C10/$Q10)),""),'Painel Geral'!$B$5="3º Quartil",IFERROR(IF(OR(C10="",R10=0,R10=""),"",($C10/$S10)),""),'Painel Geral'!$B$5="Maior Salário",IFERROR(IF(OR(C10="",R10=0,R10=""),"",($C10/$T10)),""))</f>
        <v>1.913328843</v>
      </c>
      <c r="V10" s="199" t="str">
        <f t="shared" si="2"/>
        <v>Agressivo</v>
      </c>
    </row>
    <row r="11" ht="15.75" customHeight="1">
      <c r="A11" s="184" t="s">
        <v>149</v>
      </c>
      <c r="B11" s="185" t="str">
        <f>VLOOKUP(A11,Jobmatch!A:G,2,0)</f>
        <v>GERENTE COMERCIAL</v>
      </c>
      <c r="C11" s="186">
        <f>IFERROR(AVERAGEIF('Folha de Pagamento'!A:A,A11,'Folha de Pagamento'!J:J),"")</f>
        <v>12090.90909</v>
      </c>
      <c r="D11" s="187">
        <v>2.0</v>
      </c>
      <c r="E11" s="185" t="str">
        <f>VLOOKUP(A11,Jobmatch!A:H,3,0)</f>
        <v>Comercial</v>
      </c>
      <c r="F11" s="188" t="s">
        <v>294</v>
      </c>
      <c r="G11" s="189" t="str">
        <f>VLOOKUP(F11,'Página24'!A:A,1,0)</f>
        <v>Gerente Comercial</v>
      </c>
      <c r="H11" s="190" t="str">
        <f>VLOOKUP(A11,Jobmatch!A:I,4,0)</f>
        <v>50 - ADM PROJETOS</v>
      </c>
      <c r="I11" s="191" t="str">
        <f>VLOOKUP(A11,Jobmatch!A:I,5,0)</f>
        <v>Tático</v>
      </c>
      <c r="J11" s="192">
        <f>VLOOKUP(A11,Jobmatch!A:I,6,0)</f>
        <v>107</v>
      </c>
      <c r="K11" s="190" t="str">
        <f>VLOOKUP(A11,Jobmatch!A:I,7,0)</f>
        <v>Gerente Comercial</v>
      </c>
      <c r="L11" s="193" t="str">
        <f>VLOOKUP(A11,Jobmatch!A:I,8,0)</f>
        <v>Indiferente</v>
      </c>
      <c r="M11" s="194" t="str">
        <f t="shared" si="1"/>
        <v>107Indiferente</v>
      </c>
      <c r="N11" s="195">
        <f>COUNTIF('Folha de Pagamento'!A:A,A11)</f>
        <v>4</v>
      </c>
      <c r="O11" s="196">
        <f>IFERROR(VLOOKUP(M11,'C-01'!$D:$L,4,0),"")</f>
        <v>5570.67</v>
      </c>
      <c r="P11" s="196">
        <f>IFERROR(VLOOKUP(M11,'C-01'!$D:$L,5,0),"")</f>
        <v>9778.91</v>
      </c>
      <c r="Q11" s="196">
        <f>IFERROR(VLOOKUP(M11,'C-01'!$D:$L,6,0),"")</f>
        <v>12281.04</v>
      </c>
      <c r="R11" s="196">
        <f>IFERROR(VLOOKUP(M11,'C-01'!$D:$L,7,0),"")</f>
        <v>12107.57</v>
      </c>
      <c r="S11" s="196">
        <f>IFERROR(VLOOKUP(M11,'C-01'!$D:$L,8,0),"")</f>
        <v>15321.87</v>
      </c>
      <c r="T11" s="197">
        <f>IFERROR(VLOOKUP(M11,'C-01'!$D:$L,9,0),"")</f>
        <v>19289.48</v>
      </c>
      <c r="U11" s="198">
        <f>IFS('Painel Geral'!$B$5="Mediana",IFERROR(IF(OR(C11="",R11=0,R11=""),"",($C11/$R11)),""),'Painel Geral'!$B$5="Menor Salário",IFERROR(IF(OR(C11="",R11=0,R11=""),"",($C11/$O11)),""),'Painel Geral'!$B$5="1º Quartil",IFERROR(IF(OR(C11="",R11=0,R11=""),"",($C11/$P11)),""), 'Painel Geral'!$B$5="Média",IFERROR(IF(OR(C11="",R11=0,R11=""),"",($C11/$Q11)),""),'Painel Geral'!$B$5="3º Quartil",IFERROR(IF(OR(C11="",R11=0,R11=""),"",($C11/$S11)),""),'Painel Geral'!$B$5="Maior Salário",IFERROR(IF(OR(C11="",R11=0,R11=""),"",($C11/$T11)),""))</f>
        <v>0.9986239263</v>
      </c>
      <c r="V11" s="199" t="str">
        <f t="shared" si="2"/>
        <v>Na Média</v>
      </c>
    </row>
    <row r="12" ht="15.75" customHeight="1">
      <c r="A12" s="184" t="s">
        <v>155</v>
      </c>
      <c r="B12" s="185" t="str">
        <f>VLOOKUP(A12,Jobmatch!A:G,2,0)</f>
        <v>GERENTE DE HOUSE</v>
      </c>
      <c r="C12" s="186">
        <f>IFERROR(AVERAGEIF('Folha de Pagamento'!A:A,A12,'Folha de Pagamento'!J:J),"")</f>
        <v>5125</v>
      </c>
      <c r="D12" s="187">
        <v>2.0</v>
      </c>
      <c r="E12" s="185" t="str">
        <f>VLOOKUP(A12,Jobmatch!A:H,3,0)</f>
        <v>Comercial</v>
      </c>
      <c r="F12" s="188" t="s">
        <v>333</v>
      </c>
      <c r="G12" s="189" t="str">
        <f>VLOOKUP(F12,'Página24'!A:A,1,0)</f>
        <v>Gerente House</v>
      </c>
      <c r="H12" s="190" t="str">
        <f>VLOOKUP(A12,Jobmatch!A:I,4,0)</f>
        <v>52 - ADM PROJETOS</v>
      </c>
      <c r="I12" s="191" t="str">
        <f>VLOOKUP(A12,Jobmatch!A:I,5,0)</f>
        <v>Tático</v>
      </c>
      <c r="J12" s="192">
        <f>VLOOKUP(A12,Jobmatch!A:I,6,0)</f>
        <v>107</v>
      </c>
      <c r="K12" s="190" t="str">
        <f>VLOOKUP(A12,Jobmatch!A:I,7,0)</f>
        <v>Gerente Comercial</v>
      </c>
      <c r="L12" s="193" t="str">
        <f>VLOOKUP(A12,Jobmatch!A:I,8,0)</f>
        <v>Indiferente</v>
      </c>
      <c r="M12" s="194" t="str">
        <f t="shared" si="1"/>
        <v>107Indiferente</v>
      </c>
      <c r="N12" s="195">
        <f>COUNTIF('Folha de Pagamento'!A:A,A12)</f>
        <v>1</v>
      </c>
      <c r="O12" s="196">
        <f>IFERROR(VLOOKUP(M12,'C-01'!$D:$L,4,0),"")</f>
        <v>5570.67</v>
      </c>
      <c r="P12" s="196">
        <f>IFERROR(VLOOKUP(M12,'C-01'!$D:$L,5,0),"")</f>
        <v>9778.91</v>
      </c>
      <c r="Q12" s="196">
        <f>IFERROR(VLOOKUP(M12,'C-01'!$D:$L,6,0),"")</f>
        <v>12281.04</v>
      </c>
      <c r="R12" s="196">
        <f>IFERROR(VLOOKUP(M12,'C-01'!$D:$L,7,0),"")</f>
        <v>12107.57</v>
      </c>
      <c r="S12" s="196">
        <f>IFERROR(VLOOKUP(M12,'C-01'!$D:$L,8,0),"")</f>
        <v>15321.87</v>
      </c>
      <c r="T12" s="197">
        <f>IFERROR(VLOOKUP(M12,'C-01'!$D:$L,9,0),"")</f>
        <v>19289.48</v>
      </c>
      <c r="U12" s="198">
        <f>IFS('Painel Geral'!$B$5="Mediana",IFERROR(IF(OR(C12="",R12=0,R12=""),"",($C12/$R12)),""),'Painel Geral'!$B$5="Menor Salário",IFERROR(IF(OR(C12="",R12=0,R12=""),"",($C12/$O12)),""),'Painel Geral'!$B$5="1º Quartil",IFERROR(IF(OR(C12="",R12=0,R12=""),"",($C12/$P12)),""), 'Painel Geral'!$B$5="Média",IFERROR(IF(OR(C12="",R12=0,R12=""),"",($C12/$Q12)),""),'Painel Geral'!$B$5="3º Quartil",IFERROR(IF(OR(C12="",R12=0,R12=""),"",($C12/$S12)),""),'Painel Geral'!$B$5="Maior Salário",IFERROR(IF(OR(C12="",R12=0,R12=""),"",($C12/$T12)),""))</f>
        <v>0.4232889011</v>
      </c>
      <c r="V12" s="199" t="str">
        <f t="shared" si="2"/>
        <v>Muito Defasado</v>
      </c>
    </row>
    <row r="13" ht="15.75" customHeight="1">
      <c r="A13" s="184" t="s">
        <v>158</v>
      </c>
      <c r="B13" s="185" t="str">
        <f>VLOOKUP(A13,Jobmatch!A:G,2,0)</f>
        <v>GERENTE DE IMOBILIÁRIAS EXTERNAS</v>
      </c>
      <c r="C13" s="186">
        <f>IFERROR(AVERAGEIF('Folha de Pagamento'!A:A,A13,'Folha de Pagamento'!J:J),"")</f>
        <v>5530.5</v>
      </c>
      <c r="D13" s="187">
        <v>2.0</v>
      </c>
      <c r="E13" s="185" t="str">
        <f>VLOOKUP(A13,Jobmatch!A:H,3,0)</f>
        <v>Comercial</v>
      </c>
      <c r="F13" s="188" t="s">
        <v>334</v>
      </c>
      <c r="G13" s="189" t="str">
        <f>VLOOKUP(F13,'Página24'!A:A,1,0)</f>
        <v>#N/A</v>
      </c>
      <c r="H13" s="190" t="str">
        <f>VLOOKUP(A13,Jobmatch!A:I,4,0)</f>
        <v>53 - ADM PROJETOS</v>
      </c>
      <c r="I13" s="191" t="str">
        <f>VLOOKUP(A13,Jobmatch!A:I,5,0)</f>
        <v>Tático</v>
      </c>
      <c r="J13" s="192">
        <f>VLOOKUP(A13,Jobmatch!A:I,6,0)</f>
        <v>1205</v>
      </c>
      <c r="K13" s="190" t="str">
        <f>VLOOKUP(A13,Jobmatch!A:I,7,0)</f>
        <v>Gerente de Imobiliárias</v>
      </c>
      <c r="L13" s="193" t="str">
        <f>VLOOKUP(A13,Jobmatch!A:I,8,0)</f>
        <v>Indiferente</v>
      </c>
      <c r="M13" s="194" t="str">
        <f t="shared" si="1"/>
        <v>1205Indiferente</v>
      </c>
      <c r="N13" s="195">
        <f>COUNTIF('Folha de Pagamento'!A:A,A13)</f>
        <v>2</v>
      </c>
      <c r="O13" s="196">
        <f>IFERROR(VLOOKUP(M13,'C-01'!$D:$L,4,0),"")</f>
        <v>0</v>
      </c>
      <c r="P13" s="196">
        <f>IFERROR(VLOOKUP(M13,'C-01'!$D:$L,5,0),"")</f>
        <v>0</v>
      </c>
      <c r="Q13" s="196">
        <f>IFERROR(VLOOKUP(M13,'C-01'!$D:$L,6,0),"")</f>
        <v>0</v>
      </c>
      <c r="R13" s="196">
        <f>IFERROR(VLOOKUP(M13,'C-01'!$D:$L,7,0),"")</f>
        <v>0</v>
      </c>
      <c r="S13" s="196">
        <f>IFERROR(VLOOKUP(M13,'C-01'!$D:$L,8,0),"")</f>
        <v>0</v>
      </c>
      <c r="T13" s="197">
        <f>IFERROR(VLOOKUP(M13,'C-01'!$D:$L,9,0),"")</f>
        <v>0</v>
      </c>
      <c r="U13" s="198" t="str">
        <f>IFS('Painel Geral'!$B$5="Mediana",IFERROR(IF(OR(C13="",R13=0,R13=""),"",($C13/$R13)),""),'Painel Geral'!$B$5="Menor Salário",IFERROR(IF(OR(C13="",R13=0,R13=""),"",($C13/$O13)),""),'Painel Geral'!$B$5="1º Quartil",IFERROR(IF(OR(C13="",R13=0,R13=""),"",($C13/$P13)),""), 'Painel Geral'!$B$5="Média",IFERROR(IF(OR(C13="",R13=0,R13=""),"",($C13/$Q13)),""),'Painel Geral'!$B$5="3º Quartil",IFERROR(IF(OR(C13="",R13=0,R13=""),"",($C13/$S13)),""),'Painel Geral'!$B$5="Maior Salário",IFERROR(IF(OR(C13="",R13=0,R13=""),"",($C13/$T13)),""))</f>
        <v/>
      </c>
      <c r="V13" s="199" t="str">
        <f t="shared" si="2"/>
        <v/>
      </c>
    </row>
    <row r="14" ht="15.75" customHeight="1">
      <c r="A14" s="184" t="s">
        <v>166</v>
      </c>
      <c r="B14" s="185" t="str">
        <f>VLOOKUP(A14,Jobmatch!A:G,2,0)</f>
        <v>GERENTE DE PARCERIAS</v>
      </c>
      <c r="C14" s="186">
        <f>IFERROR(AVERAGEIF('Folha de Pagamento'!A:A,A14,'Folha de Pagamento'!J:J),"")</f>
        <v>5345</v>
      </c>
      <c r="D14" s="187">
        <v>2.0</v>
      </c>
      <c r="E14" s="185" t="str">
        <f>VLOOKUP(A14,Jobmatch!A:H,3,0)</f>
        <v>Comercial</v>
      </c>
      <c r="F14" s="188" t="s">
        <v>335</v>
      </c>
      <c r="G14" s="189" t="str">
        <f>VLOOKUP(F14,'Página24'!A:A,1,0)</f>
        <v>Gerente Parcerias</v>
      </c>
      <c r="H14" s="190" t="str">
        <f>VLOOKUP(A14,Jobmatch!A:I,4,0)</f>
        <v>55 - ADM PROJETOS</v>
      </c>
      <c r="I14" s="191" t="str">
        <f>VLOOKUP(A14,Jobmatch!A:I,5,0)</f>
        <v>Tático</v>
      </c>
      <c r="J14" s="192">
        <f>VLOOKUP(A14,Jobmatch!A:I,6,0)</f>
        <v>408</v>
      </c>
      <c r="K14" s="190" t="str">
        <f>VLOOKUP(A14,Jobmatch!A:I,7,0)</f>
        <v>Gerente de Relacionamento</v>
      </c>
      <c r="L14" s="193" t="str">
        <f>VLOOKUP(A14,Jobmatch!A:I,8,0)</f>
        <v>Indiferente</v>
      </c>
      <c r="M14" s="194" t="str">
        <f t="shared" si="1"/>
        <v>408Indiferente</v>
      </c>
      <c r="N14" s="195">
        <f>COUNTIF('Folha de Pagamento'!A:A,A14)</f>
        <v>2</v>
      </c>
      <c r="O14" s="196">
        <f>IFERROR(VLOOKUP(M14,'C-01'!$D:$L,4,0),"")</f>
        <v>5772.56</v>
      </c>
      <c r="P14" s="196">
        <f>IFERROR(VLOOKUP(M14,'C-01'!$D:$L,5,0),"")</f>
        <v>7608.96</v>
      </c>
      <c r="Q14" s="196">
        <f>IFERROR(VLOOKUP(M14,'C-01'!$D:$L,6,0),"")</f>
        <v>10973.95</v>
      </c>
      <c r="R14" s="196">
        <f>IFERROR(VLOOKUP(M14,'C-01'!$D:$L,7,0),"")</f>
        <v>10996.97</v>
      </c>
      <c r="S14" s="196">
        <f>IFERROR(VLOOKUP(M14,'C-01'!$D:$L,8,0),"")</f>
        <v>14004.27</v>
      </c>
      <c r="T14" s="197">
        <f>IFERROR(VLOOKUP(M14,'C-01'!$D:$L,9,0),"")</f>
        <v>16628.86</v>
      </c>
      <c r="U14" s="198">
        <f>IFS('Painel Geral'!$B$5="Mediana",IFERROR(IF(OR(C14="",R14=0,R14=""),"",($C14/$R14)),""),'Painel Geral'!$B$5="Menor Salário",IFERROR(IF(OR(C14="",R14=0,R14=""),"",($C14/$O14)),""),'Painel Geral'!$B$5="1º Quartil",IFERROR(IF(OR(C14="",R14=0,R14=""),"",($C14/$P14)),""), 'Painel Geral'!$B$5="Média",IFERROR(IF(OR(C14="",R14=0,R14=""),"",($C14/$Q14)),""),'Painel Geral'!$B$5="3º Quartil",IFERROR(IF(OR(C14="",R14=0,R14=""),"",($C14/$S14)),""),'Painel Geral'!$B$5="Maior Salário",IFERROR(IF(OR(C14="",R14=0,R14=""),"",($C14/$T14)),""))</f>
        <v>0.4860429737</v>
      </c>
      <c r="V14" s="199" t="str">
        <f t="shared" si="2"/>
        <v>Muito Defasado</v>
      </c>
    </row>
    <row r="15" ht="15.75" customHeight="1">
      <c r="A15" s="184" t="s">
        <v>171</v>
      </c>
      <c r="B15" s="185" t="str">
        <f>VLOOKUP(A15,Jobmatch!A:G,2,0)</f>
        <v>GERENTE DE PARCERIAS EXTERNAS</v>
      </c>
      <c r="C15" s="186">
        <f>IFERROR(AVERAGEIF('Folha de Pagamento'!A:A,A15,'Folha de Pagamento'!J:J),"")</f>
        <v>5000</v>
      </c>
      <c r="D15" s="187">
        <v>2.0</v>
      </c>
      <c r="E15" s="185" t="str">
        <f>VLOOKUP(A15,Jobmatch!A:H,3,0)</f>
        <v>Comercial</v>
      </c>
      <c r="F15" s="188" t="s">
        <v>336</v>
      </c>
      <c r="G15" s="189" t="str">
        <f>VLOOKUP(F15,'Página24'!A:A,1,0)</f>
        <v>Gerente Parcerias Externas</v>
      </c>
      <c r="H15" s="190" t="str">
        <f>VLOOKUP(A15,Jobmatch!A:I,4,0)</f>
        <v>56 - ADM PROJETOS</v>
      </c>
      <c r="I15" s="191" t="str">
        <f>VLOOKUP(A15,Jobmatch!A:I,5,0)</f>
        <v>Tático</v>
      </c>
      <c r="J15" s="192">
        <f>VLOOKUP(A15,Jobmatch!A:I,6,0)</f>
        <v>408</v>
      </c>
      <c r="K15" s="190" t="str">
        <f>VLOOKUP(A15,Jobmatch!A:I,7,0)</f>
        <v>Gerente de Relacionamento</v>
      </c>
      <c r="L15" s="193" t="str">
        <f>VLOOKUP(A15,Jobmatch!A:I,8,0)</f>
        <v>Indiferente</v>
      </c>
      <c r="M15" s="194" t="str">
        <f t="shared" si="1"/>
        <v>408Indiferente</v>
      </c>
      <c r="N15" s="195">
        <f>COUNTIF('Folha de Pagamento'!A:A,A15)</f>
        <v>2</v>
      </c>
      <c r="O15" s="196">
        <f>IFERROR(VLOOKUP(M15,'C-01'!$D:$L,4,0),"")</f>
        <v>5772.56</v>
      </c>
      <c r="P15" s="196">
        <f>IFERROR(VLOOKUP(M15,'C-01'!$D:$L,5,0),"")</f>
        <v>7608.96</v>
      </c>
      <c r="Q15" s="196">
        <f>IFERROR(VLOOKUP(M15,'C-01'!$D:$L,6,0),"")</f>
        <v>10973.95</v>
      </c>
      <c r="R15" s="196">
        <f>IFERROR(VLOOKUP(M15,'C-01'!$D:$L,7,0),"")</f>
        <v>10996.97</v>
      </c>
      <c r="S15" s="196">
        <f>IFERROR(VLOOKUP(M15,'C-01'!$D:$L,8,0),"")</f>
        <v>14004.27</v>
      </c>
      <c r="T15" s="197">
        <f>IFERROR(VLOOKUP(M15,'C-01'!$D:$L,9,0),"")</f>
        <v>16628.86</v>
      </c>
      <c r="U15" s="198">
        <f>IFS('Painel Geral'!$B$5="Mediana",IFERROR(IF(OR(C15="",R15=0,R15=""),"",($C15/$R15)),""),'Painel Geral'!$B$5="Menor Salário",IFERROR(IF(OR(C15="",R15=0,R15=""),"",($C15/$O15)),""),'Painel Geral'!$B$5="1º Quartil",IFERROR(IF(OR(C15="",R15=0,R15=""),"",($C15/$P15)),""), 'Painel Geral'!$B$5="Média",IFERROR(IF(OR(C15="",R15=0,R15=""),"",($C15/$Q15)),""),'Painel Geral'!$B$5="3º Quartil",IFERROR(IF(OR(C15="",R15=0,R15=""),"",($C15/$S15)),""),'Painel Geral'!$B$5="Maior Salário",IFERROR(IF(OR(C15="",R15=0,R15=""),"",($C15/$T15)),""))</f>
        <v>0.4546706957</v>
      </c>
      <c r="V15" s="199" t="str">
        <f t="shared" si="2"/>
        <v>Muito Defasado</v>
      </c>
    </row>
    <row r="16" ht="15.75" customHeight="1">
      <c r="A16" s="184" t="s">
        <v>67</v>
      </c>
      <c r="B16" s="185" t="str">
        <f>VLOOKUP(A16,Jobmatch!A:G,2,0)</f>
        <v>ASSISTENTE DE CONTROLADORIA III</v>
      </c>
      <c r="C16" s="186">
        <f>IFERROR(AVERAGEIF('Folha de Pagamento'!A:A,A16,'Folha de Pagamento'!J:J),"")</f>
        <v>3652</v>
      </c>
      <c r="D16" s="187">
        <v>3.0</v>
      </c>
      <c r="E16" s="185" t="str">
        <f>VLOOKUP(A16,Jobmatch!A:H,3,0)</f>
        <v>Controladoria</v>
      </c>
      <c r="F16" s="188" t="s">
        <v>337</v>
      </c>
      <c r="G16" s="189" t="str">
        <f>VLOOKUP(F16,'Página24'!A:A,1,0)</f>
        <v>Assistente Controladoria</v>
      </c>
      <c r="H16" s="190" t="str">
        <f>VLOOKUP(A16,Jobmatch!A:I,4,0)</f>
        <v>21 - ADM PROJETOS</v>
      </c>
      <c r="I16" s="191" t="str">
        <f>VLOOKUP(A16,Jobmatch!A:I,5,0)</f>
        <v>Operacional</v>
      </c>
      <c r="J16" s="192">
        <f>VLOOKUP(A16,Jobmatch!A:I,6,0)</f>
        <v>150</v>
      </c>
      <c r="K16" s="190" t="str">
        <f>VLOOKUP(A16,Jobmatch!A:I,7,0)</f>
        <v>Assistente de Controladoria</v>
      </c>
      <c r="L16" s="193" t="str">
        <f>VLOOKUP(A16,Jobmatch!A:I,8,0)</f>
        <v>Indiferente</v>
      </c>
      <c r="M16" s="194" t="str">
        <f t="shared" si="1"/>
        <v>150Indiferente</v>
      </c>
      <c r="N16" s="195">
        <f>COUNTIF('Folha de Pagamento'!A:A,A16)</f>
        <v>1</v>
      </c>
      <c r="O16" s="196">
        <f>IFERROR(VLOOKUP(M16,'C-01'!$D:$L,4,0),"")</f>
        <v>2148.56</v>
      </c>
      <c r="P16" s="196">
        <f>IFERROR(VLOOKUP(M16,'C-01'!$D:$L,5,0),"")</f>
        <v>2640.81</v>
      </c>
      <c r="Q16" s="196">
        <f>IFERROR(VLOOKUP(M16,'C-01'!$D:$L,6,0),"")</f>
        <v>2821.08</v>
      </c>
      <c r="R16" s="196">
        <f>IFERROR(VLOOKUP(M16,'C-01'!$D:$L,7,0),"")</f>
        <v>2766.4</v>
      </c>
      <c r="S16" s="196">
        <f>IFERROR(VLOOKUP(M16,'C-01'!$D:$L,8,0),"")</f>
        <v>3222.24</v>
      </c>
      <c r="T16" s="197">
        <f>IFERROR(VLOOKUP(M16,'C-01'!$D:$L,9,0),"")</f>
        <v>3327.42</v>
      </c>
      <c r="U16" s="198">
        <f>IFS('Painel Geral'!$B$5="Mediana",IFERROR(IF(OR(C16="",R16=0,R16=""),"",($C16/$R16)),""),'Painel Geral'!$B$5="Menor Salário",IFERROR(IF(OR(C16="",R16=0,R16=""),"",($C16/$O16)),""),'Painel Geral'!$B$5="1º Quartil",IFERROR(IF(OR(C16="",R16=0,R16=""),"",($C16/$P16)),""), 'Painel Geral'!$B$5="Média",IFERROR(IF(OR(C16="",R16=0,R16=""),"",($C16/$Q16)),""),'Painel Geral'!$B$5="3º Quartil",IFERROR(IF(OR(C16="",R16=0,R16=""),"",($C16/$S16)),""),'Painel Geral'!$B$5="Maior Salário",IFERROR(IF(OR(C16="",R16=0,R16=""),"",($C16/$T16)),""))</f>
        <v>1.320127241</v>
      </c>
      <c r="V16" s="199" t="str">
        <f t="shared" si="2"/>
        <v>Agressivo</v>
      </c>
    </row>
    <row r="17" ht="15.75" customHeight="1">
      <c r="A17" s="184" t="s">
        <v>95</v>
      </c>
      <c r="B17" s="185" t="str">
        <f>VLOOKUP(A17,Jobmatch!A:G,2,0)</f>
        <v>CONTROLLER GERAL</v>
      </c>
      <c r="C17" s="186">
        <f>IFERROR(AVERAGEIF('Folha de Pagamento'!A:A,A17,'Folha de Pagamento'!J:J),"")</f>
        <v>11678.83212</v>
      </c>
      <c r="D17" s="187">
        <v>3.0</v>
      </c>
      <c r="E17" s="185" t="str">
        <f>VLOOKUP(A17,Jobmatch!A:H,3,0)</f>
        <v>Controladoria</v>
      </c>
      <c r="F17" s="188" t="s">
        <v>338</v>
      </c>
      <c r="G17" s="189" t="str">
        <f>VLOOKUP(F17,'Página24'!A:A,1,0)</f>
        <v>Controller Geral</v>
      </c>
      <c r="H17" s="190" t="str">
        <f>VLOOKUP(A17,Jobmatch!A:I,4,0)</f>
        <v>32 - ADM PROJETOS</v>
      </c>
      <c r="I17" s="191" t="str">
        <f>VLOOKUP(A17,Jobmatch!A:I,5,0)</f>
        <v>Tático</v>
      </c>
      <c r="J17" s="192">
        <f>VLOOKUP(A17,Jobmatch!A:I,6,0)</f>
        <v>95</v>
      </c>
      <c r="K17" s="190" t="str">
        <f>VLOOKUP(A17,Jobmatch!A:I,7,0)</f>
        <v>Controller</v>
      </c>
      <c r="L17" s="193" t="str">
        <f>VLOOKUP(A17,Jobmatch!A:I,8,0)</f>
        <v>Indiferente</v>
      </c>
      <c r="M17" s="194" t="str">
        <f t="shared" si="1"/>
        <v>95Indiferente</v>
      </c>
      <c r="N17" s="195">
        <f>COUNTIF('Folha de Pagamento'!A:A,A17)</f>
        <v>1</v>
      </c>
      <c r="O17" s="196">
        <f>IFERROR(VLOOKUP(M17,'C-01'!$D:$L,4,0),"")</f>
        <v>14652.03</v>
      </c>
      <c r="P17" s="196">
        <f>IFERROR(VLOOKUP(M17,'C-01'!$D:$L,5,0),"")</f>
        <v>15472.01</v>
      </c>
      <c r="Q17" s="196">
        <f>IFERROR(VLOOKUP(M17,'C-01'!$D:$L,6,0),"")</f>
        <v>16594.35</v>
      </c>
      <c r="R17" s="196">
        <f>IFERROR(VLOOKUP(M17,'C-01'!$D:$L,7,0),"")</f>
        <v>16581.68</v>
      </c>
      <c r="S17" s="196">
        <f>IFERROR(VLOOKUP(M17,'C-01'!$D:$L,8,0),"")</f>
        <v>17497.31</v>
      </c>
      <c r="T17" s="197">
        <f>IFERROR(VLOOKUP(M17,'C-01'!$D:$L,9,0),"")</f>
        <v>18846.04</v>
      </c>
      <c r="U17" s="198">
        <f>IFS('Painel Geral'!$B$5="Mediana",IFERROR(IF(OR(C17="",R17=0,R17=""),"",($C17/$R17)),""),'Painel Geral'!$B$5="Menor Salário",IFERROR(IF(OR(C17="",R17=0,R17=""),"",($C17/$O17)),""),'Painel Geral'!$B$5="1º Quartil",IFERROR(IF(OR(C17="",R17=0,R17=""),"",($C17/$P17)),""), 'Painel Geral'!$B$5="Média",IFERROR(IF(OR(C17="",R17=0,R17=""),"",($C17/$Q17)),""),'Painel Geral'!$B$5="3º Quartil",IFERROR(IF(OR(C17="",R17=0,R17=""),"",($C17/$S17)),""),'Painel Geral'!$B$5="Maior Salário",IFERROR(IF(OR(C17="",R17=0,R17=""),"",($C17/$T17)),""))</f>
        <v>0.7043214027</v>
      </c>
      <c r="V17" s="199" t="str">
        <f t="shared" si="2"/>
        <v>Muito Defasado</v>
      </c>
    </row>
    <row r="18" ht="15.75" customHeight="1">
      <c r="A18" s="184" t="s">
        <v>98</v>
      </c>
      <c r="B18" s="185" t="str">
        <f>VLOOKUP(A18,Jobmatch!A:G,2,0)</f>
        <v>CONTROLLER TÉCNICO</v>
      </c>
      <c r="C18" s="186">
        <f>IFERROR(AVERAGEIF('Folha de Pagamento'!A:A,A18,'Folha de Pagamento'!J:J),"")</f>
        <v>9243.50365</v>
      </c>
      <c r="D18" s="187">
        <v>3.0</v>
      </c>
      <c r="E18" s="185" t="str">
        <f>VLOOKUP(A18,Jobmatch!A:H,3,0)</f>
        <v>Controladoria</v>
      </c>
      <c r="F18" s="188" t="s">
        <v>339</v>
      </c>
      <c r="G18" s="189" t="str">
        <f>VLOOKUP(F18,'Página24'!A:A,1,0)</f>
        <v>Controller Técnico</v>
      </c>
      <c r="H18" s="190" t="str">
        <f>VLOOKUP(A18,Jobmatch!A:I,4,0)</f>
        <v>33 - ADM PROJETOS</v>
      </c>
      <c r="I18" s="191" t="str">
        <f>VLOOKUP(A18,Jobmatch!A:I,5,0)</f>
        <v>Tático</v>
      </c>
      <c r="J18" s="192">
        <f>VLOOKUP(A18,Jobmatch!A:I,6,0)</f>
        <v>26</v>
      </c>
      <c r="K18" s="190" t="str">
        <f>VLOOKUP(A18,Jobmatch!A:I,7,0)</f>
        <v>Analista de Controladoria</v>
      </c>
      <c r="L18" s="193" t="str">
        <f>VLOOKUP(A18,Jobmatch!A:I,8,0)</f>
        <v>Especialista</v>
      </c>
      <c r="M18" s="194" t="str">
        <f t="shared" si="1"/>
        <v>26Especialista</v>
      </c>
      <c r="N18" s="195">
        <f>COUNTIF('Folha de Pagamento'!A:A,A18)</f>
        <v>1</v>
      </c>
      <c r="O18" s="196">
        <f>IFERROR(VLOOKUP(M18,'C-01'!$D:$L,4,0),"")</f>
        <v>6777.08</v>
      </c>
      <c r="P18" s="196">
        <f>IFERROR(VLOOKUP(M18,'C-01'!$D:$L,5,0),"")</f>
        <v>10665.2</v>
      </c>
      <c r="Q18" s="196">
        <f>IFERROR(VLOOKUP(M18,'C-01'!$D:$L,6,0),"")</f>
        <v>12572.61</v>
      </c>
      <c r="R18" s="196">
        <f>IFERROR(VLOOKUP(M18,'C-01'!$D:$L,7,0),"")</f>
        <v>13758.75</v>
      </c>
      <c r="S18" s="196">
        <f>IFERROR(VLOOKUP(M18,'C-01'!$D:$L,8,0),"")</f>
        <v>15666.17</v>
      </c>
      <c r="T18" s="197">
        <f>IFERROR(VLOOKUP(M18,'C-01'!$D:$L,9,0),"")</f>
        <v>15995.86</v>
      </c>
      <c r="U18" s="198">
        <f>IFS('Painel Geral'!$B$5="Mediana",IFERROR(IF(OR(C18="",R18=0,R18=""),"",($C18/$R18)),""),'Painel Geral'!$B$5="Menor Salário",IFERROR(IF(OR(C18="",R18=0,R18=""),"",($C18/$O18)),""),'Painel Geral'!$B$5="1º Quartil",IFERROR(IF(OR(C18="",R18=0,R18=""),"",($C18/$P18)),""), 'Painel Geral'!$B$5="Média",IFERROR(IF(OR(C18="",R18=0,R18=""),"",($C18/$Q18)),""),'Painel Geral'!$B$5="3º Quartil",IFERROR(IF(OR(C18="",R18=0,R18=""),"",($C18/$S18)),""),'Painel Geral'!$B$5="Maior Salário",IFERROR(IF(OR(C18="",R18=0,R18=""),"",($C18/$T18)),""))</f>
        <v>0.6718272844</v>
      </c>
      <c r="V18" s="199" t="str">
        <f t="shared" si="2"/>
        <v>Muito Defasado</v>
      </c>
    </row>
    <row r="19" ht="15.75" customHeight="1">
      <c r="A19" s="184" t="s">
        <v>74</v>
      </c>
      <c r="B19" s="185" t="str">
        <f>VLOOKUP(A19,Jobmatch!A:G,2,0)</f>
        <v>ASSISTENTE DE RECURSOS HUMANOS</v>
      </c>
      <c r="C19" s="186">
        <f>IFERROR(AVERAGEIF('Folha de Pagamento'!A:A,A19,'Folha de Pagamento'!J:J),"")</f>
        <v>2919</v>
      </c>
      <c r="D19" s="187">
        <v>4.0</v>
      </c>
      <c r="E19" s="185" t="str">
        <f>VLOOKUP(A19,Jobmatch!A:H,3,0)</f>
        <v>DHO</v>
      </c>
      <c r="F19" s="188" t="s">
        <v>340</v>
      </c>
      <c r="G19" s="189" t="str">
        <f>VLOOKUP(F19,'Página24'!A:A,1,0)</f>
        <v>Assistente Recursos Humanos</v>
      </c>
      <c r="H19" s="190" t="str">
        <f>VLOOKUP(A19,Jobmatch!A:I,4,0)</f>
        <v>24 - ADM PROJETOS</v>
      </c>
      <c r="I19" s="191" t="str">
        <f>VLOOKUP(A19,Jobmatch!A:I,5,0)</f>
        <v>Operacional</v>
      </c>
      <c r="J19" s="192">
        <f>VLOOKUP(A19,Jobmatch!A:I,6,0)</f>
        <v>77</v>
      </c>
      <c r="K19" s="190" t="str">
        <f>VLOOKUP(A19,Jobmatch!A:I,7,0)</f>
        <v>Assistente de Recursos Humanos</v>
      </c>
      <c r="L19" s="193" t="str">
        <f>VLOOKUP(A19,Jobmatch!A:I,8,0)</f>
        <v>Indiferente</v>
      </c>
      <c r="M19" s="194" t="str">
        <f t="shared" si="1"/>
        <v>77Indiferente</v>
      </c>
      <c r="N19" s="195">
        <f>COUNTIF('Folha de Pagamento'!A:A,A19)</f>
        <v>1</v>
      </c>
      <c r="O19" s="196">
        <f>IFERROR(VLOOKUP(M19,'C-01'!$D:$L,4,0),"")</f>
        <v>2254.33</v>
      </c>
      <c r="P19" s="196">
        <f>IFERROR(VLOOKUP(M19,'C-01'!$D:$L,5,0),"")</f>
        <v>2619.08</v>
      </c>
      <c r="Q19" s="196">
        <f>IFERROR(VLOOKUP(M19,'C-01'!$D:$L,6,0),"")</f>
        <v>3097.88</v>
      </c>
      <c r="R19" s="196">
        <f>IFERROR(VLOOKUP(M19,'C-01'!$D:$L,7,0),"")</f>
        <v>3080.23</v>
      </c>
      <c r="S19" s="196">
        <f>IFERROR(VLOOKUP(M19,'C-01'!$D:$L,8,0),"")</f>
        <v>3491.33</v>
      </c>
      <c r="T19" s="197">
        <f>IFERROR(VLOOKUP(M19,'C-01'!$D:$L,9,0),"")</f>
        <v>4078.78</v>
      </c>
      <c r="U19" s="198">
        <f>IFS('Painel Geral'!$B$5="Mediana",IFERROR(IF(OR(C19="",R19=0,R19=""),"",($C19/$R19)),""),'Painel Geral'!$B$5="Menor Salário",IFERROR(IF(OR(C19="",R19=0,R19=""),"",($C19/$O19)),""),'Painel Geral'!$B$5="1º Quartil",IFERROR(IF(OR(C19="",R19=0,R19=""),"",($C19/$P19)),""), 'Painel Geral'!$B$5="Média",IFERROR(IF(OR(C19="",R19=0,R19=""),"",($C19/$Q19)),""),'Painel Geral'!$B$5="3º Quartil",IFERROR(IF(OR(C19="",R19=0,R19=""),"",($C19/$S19)),""),'Painel Geral'!$B$5="Maior Salário",IFERROR(IF(OR(C19="",R19=0,R19=""),"",($C19/$T19)),""))</f>
        <v>0.9476565062</v>
      </c>
      <c r="V19" s="199" t="str">
        <f t="shared" si="2"/>
        <v>Na Média</v>
      </c>
    </row>
    <row r="20" ht="15.75" customHeight="1">
      <c r="A20" s="184" t="s">
        <v>101</v>
      </c>
      <c r="B20" s="185" t="str">
        <f>VLOOKUP(A20,Jobmatch!A:G,2,0)</f>
        <v>COORDENADOR DE DHO</v>
      </c>
      <c r="C20" s="186">
        <f>IFERROR(AVERAGEIF('Folha de Pagamento'!A:A,A20,'Folha de Pagamento'!J:J),"")</f>
        <v>7420</v>
      </c>
      <c r="D20" s="187">
        <v>4.0</v>
      </c>
      <c r="E20" s="185" t="str">
        <f>VLOOKUP(A20,Jobmatch!A:H,3,0)</f>
        <v>DHO</v>
      </c>
      <c r="F20" s="188" t="s">
        <v>341</v>
      </c>
      <c r="G20" s="189" t="str">
        <f>VLOOKUP(F20,'Página24'!A:A,1,0)</f>
        <v>Coordenador DHO</v>
      </c>
      <c r="H20" s="190" t="str">
        <f>VLOOKUP(A20,Jobmatch!A:I,4,0)</f>
        <v>34 - ADM PROJETOS</v>
      </c>
      <c r="I20" s="191" t="str">
        <f>VLOOKUP(A20,Jobmatch!A:I,5,0)</f>
        <v>Tático</v>
      </c>
      <c r="J20" s="192">
        <f>VLOOKUP(A20,Jobmatch!A:I,6,0)</f>
        <v>121</v>
      </c>
      <c r="K20" s="190" t="str">
        <f>VLOOKUP(A20,Jobmatch!A:I,7,0)</f>
        <v>Coordenador de Recursos Humanos</v>
      </c>
      <c r="L20" s="193" t="str">
        <f>VLOOKUP(A20,Jobmatch!A:I,8,0)</f>
        <v>Indiferente</v>
      </c>
      <c r="M20" s="194" t="str">
        <f t="shared" si="1"/>
        <v>121Indiferente</v>
      </c>
      <c r="N20" s="195">
        <f>COUNTIF('Folha de Pagamento'!A:A,A20)</f>
        <v>1</v>
      </c>
      <c r="O20" s="196">
        <f>IFERROR(VLOOKUP(M20,'C-01'!$D:$L,4,0),"")</f>
        <v>7460.82</v>
      </c>
      <c r="P20" s="196">
        <f>IFERROR(VLOOKUP(M20,'C-01'!$D:$L,5,0),"")</f>
        <v>10014.8</v>
      </c>
      <c r="Q20" s="196">
        <f>IFERROR(VLOOKUP(M20,'C-01'!$D:$L,6,0),"")</f>
        <v>11303.85</v>
      </c>
      <c r="R20" s="196">
        <f>IFERROR(VLOOKUP(M20,'C-01'!$D:$L,7,0),"")</f>
        <v>12568.77</v>
      </c>
      <c r="S20" s="196">
        <f>IFERROR(VLOOKUP(M20,'C-01'!$D:$L,8,0),"")</f>
        <v>13225.36</v>
      </c>
      <c r="T20" s="197">
        <f>IFERROR(VLOOKUP(M20,'C-01'!$D:$L,9,0),"")</f>
        <v>13881.95</v>
      </c>
      <c r="U20" s="198">
        <f>IFS('Painel Geral'!$B$5="Mediana",IFERROR(IF(OR(C20="",R20=0,R20=""),"",($C20/$R20)),""),'Painel Geral'!$B$5="Menor Salário",IFERROR(IF(OR(C20="",R20=0,R20=""),"",($C20/$O20)),""),'Painel Geral'!$B$5="1º Quartil",IFERROR(IF(OR(C20="",R20=0,R20=""),"",($C20/$P20)),""), 'Painel Geral'!$B$5="Média",IFERROR(IF(OR(C20="",R20=0,R20=""),"",($C20/$Q20)),""),'Painel Geral'!$B$5="3º Quartil",IFERROR(IF(OR(C20="",R20=0,R20=""),"",($C20/$S20)),""),'Painel Geral'!$B$5="Maior Salário",IFERROR(IF(OR(C20="",R20=0,R20=""),"",($C20/$T20)),""))</f>
        <v>0.5903521188</v>
      </c>
      <c r="V20" s="199" t="str">
        <f t="shared" si="2"/>
        <v>Muito Defasado</v>
      </c>
    </row>
    <row r="21" ht="15.75" hidden="1" customHeight="1">
      <c r="A21" s="184" t="s">
        <v>144</v>
      </c>
      <c r="B21" s="185" t="str">
        <f>VLOOKUP(A21,Jobmatch!A:G,2,0)</f>
        <v>ESTAGIÁRIO(A) RH/DP</v>
      </c>
      <c r="C21" s="186">
        <f>IFERROR(AVERAGEIF('Folha de Pagamento'!A:A,A21,'Folha de Pagamento'!J:J),"")</f>
        <v>1014</v>
      </c>
      <c r="D21" s="187">
        <v>4.0</v>
      </c>
      <c r="E21" s="185" t="str">
        <f>VLOOKUP(A21,Jobmatch!A:H,3,0)</f>
        <v>DHO</v>
      </c>
      <c r="F21" s="188" t="s">
        <v>342</v>
      </c>
      <c r="G21" s="189" t="str">
        <f>VLOOKUP(F21,'Página24'!A:A,1,0)</f>
        <v>#N/A</v>
      </c>
      <c r="H21" s="190" t="str">
        <f>VLOOKUP(A21,Jobmatch!A:I,4,0)</f>
        <v>48 - ADM PROJETOS</v>
      </c>
      <c r="I21" s="191" t="str">
        <f>VLOOKUP(A21,Jobmatch!A:I,5,0)</f>
        <v>Operacional</v>
      </c>
      <c r="J21" s="192">
        <f>VLOOKUP(A21,Jobmatch!A:I,6,0)</f>
        <v>338</v>
      </c>
      <c r="K21" s="190" t="str">
        <f>VLOOKUP(A21,Jobmatch!A:I,7,0)</f>
        <v>Estagiário Administrativo</v>
      </c>
      <c r="L21" s="193" t="str">
        <f>VLOOKUP(A21,Jobmatch!A:I,8,0)</f>
        <v>Indiferente</v>
      </c>
      <c r="M21" s="194" t="str">
        <f t="shared" si="1"/>
        <v>338Indiferente</v>
      </c>
      <c r="N21" s="195">
        <f>COUNTIF('Folha de Pagamento'!A:A,A21)</f>
        <v>1</v>
      </c>
      <c r="O21" s="196">
        <f>IFERROR(VLOOKUP(M21,'C-01'!$D:$L,4,0),"")</f>
        <v>1558.527273</v>
      </c>
      <c r="P21" s="196">
        <f>IFERROR(VLOOKUP(M21,'C-01'!$D:$L,5,0),"")</f>
        <v>1615.084091</v>
      </c>
      <c r="Q21" s="196">
        <f>IFERROR(VLOOKUP(M21,'C-01'!$D:$L,6,0),"")</f>
        <v>1753.343182</v>
      </c>
      <c r="R21" s="196">
        <f>IFERROR(VLOOKUP(M21,'C-01'!$D:$L,7,0),"")</f>
        <v>1721.918182</v>
      </c>
      <c r="S21" s="196">
        <f>IFERROR(VLOOKUP(M21,'C-01'!$D:$L,8,0),"")</f>
        <v>1860.177273</v>
      </c>
      <c r="T21" s="197">
        <f>IFERROR(VLOOKUP(M21,'C-01'!$D:$L,9,0),"")</f>
        <v>2011.002273</v>
      </c>
      <c r="U21" s="198">
        <f>IFS('Painel Geral'!$B$5="Mediana",IFERROR(IF(OR(C21="",R21=0,R21=""),"",($C21/$R21)),""),'Painel Geral'!$B$5="Menor Salário",IFERROR(IF(OR(C21="",R21=0,R21=""),"",($C21/$O21)),""),'Painel Geral'!$B$5="1º Quartil",IFERROR(IF(OR(C21="",R21=0,R21=""),"",($C21/$P21)),""), 'Painel Geral'!$B$5="Média",IFERROR(IF(OR(C21="",R21=0,R21=""),"",($C21/$Q21)),""),'Painel Geral'!$B$5="3º Quartil",IFERROR(IF(OR(C21="",R21=0,R21=""),"",($C21/$S21)),""),'Painel Geral'!$B$5="Maior Salário",IFERROR(IF(OR(C21="",R21=0,R21=""),"",($C21/$T21)),""))</f>
        <v>0.5888781539</v>
      </c>
      <c r="V21" s="199" t="str">
        <f t="shared" si="2"/>
        <v>Muito Defasado</v>
      </c>
    </row>
    <row r="22" ht="15.75" customHeight="1">
      <c r="A22" s="184" t="s">
        <v>18</v>
      </c>
      <c r="B22" s="185" t="str">
        <f>VLOOKUP(A22,Jobmatch!A:G,2,0)</f>
        <v>ALMOXARIFE</v>
      </c>
      <c r="C22" s="186">
        <f>IFERROR(AVERAGEIF('Folha de Pagamento'!A:A,A22,'Folha de Pagamento'!J:J),"")</f>
        <v>3683</v>
      </c>
      <c r="D22" s="187">
        <v>5.0</v>
      </c>
      <c r="E22" s="185" t="str">
        <f>VLOOKUP(A22,Jobmatch!A:H,3,0)</f>
        <v>Edificação</v>
      </c>
      <c r="F22" s="188" t="s">
        <v>211</v>
      </c>
      <c r="G22" s="189" t="str">
        <f>VLOOKUP(F22,'Página24'!A:A,1,0)</f>
        <v>Almoxarife</v>
      </c>
      <c r="H22" s="190" t="str">
        <f>VLOOKUP(A22,Jobmatch!A:I,4,0)</f>
        <v>8 - ADM PROJETOS</v>
      </c>
      <c r="I22" s="191" t="str">
        <f>VLOOKUP(A22,Jobmatch!A:I,5,0)</f>
        <v>Operacional</v>
      </c>
      <c r="J22" s="192">
        <f>VLOOKUP(A22,Jobmatch!A:I,6,0)</f>
        <v>203</v>
      </c>
      <c r="K22" s="190" t="str">
        <f>VLOOKUP(A22,Jobmatch!A:I,7,0)</f>
        <v>Almoxarife</v>
      </c>
      <c r="L22" s="193" t="str">
        <f>VLOOKUP(A22,Jobmatch!A:I,8,0)</f>
        <v>Indiferente</v>
      </c>
      <c r="M22" s="194" t="str">
        <f t="shared" si="1"/>
        <v>203Indiferente</v>
      </c>
      <c r="N22" s="195">
        <f>COUNTIF('Folha de Pagamento'!A:A,A22)</f>
        <v>2</v>
      </c>
      <c r="O22" s="196">
        <f>IFERROR(VLOOKUP(M22,'C-01'!$D:$L,4,0),"")</f>
        <v>2966.23</v>
      </c>
      <c r="P22" s="196">
        <f>IFERROR(VLOOKUP(M22,'C-01'!$D:$L,5,0),"")</f>
        <v>3088.9</v>
      </c>
      <c r="Q22" s="196">
        <f>IFERROR(VLOOKUP(M22,'C-01'!$D:$L,6,0),"")</f>
        <v>3397.38</v>
      </c>
      <c r="R22" s="196">
        <f>IFERROR(VLOOKUP(M22,'C-01'!$D:$L,7,0),"")</f>
        <v>3088.9</v>
      </c>
      <c r="S22" s="196">
        <f>IFERROR(VLOOKUP(M22,'C-01'!$D:$L,8,0),"")</f>
        <v>3703.26</v>
      </c>
      <c r="T22" s="197">
        <f>IFERROR(VLOOKUP(M22,'C-01'!$D:$L,9,0),"")</f>
        <v>4425.21</v>
      </c>
      <c r="U22" s="198">
        <f>IFS('Painel Geral'!$B$5="Mediana",IFERROR(IF(OR(C22="",R22=0,R22=""),"",($C22/$R22)),""),'Painel Geral'!$B$5="Menor Salário",IFERROR(IF(OR(C22="",R22=0,R22=""),"",($C22/$O22)),""),'Painel Geral'!$B$5="1º Quartil",IFERROR(IF(OR(C22="",R22=0,R22=""),"",($C22/$P22)),""), 'Painel Geral'!$B$5="Média",IFERROR(IF(OR(C22="",R22=0,R22=""),"",($C22/$Q22)),""),'Painel Geral'!$B$5="3º Quartil",IFERROR(IF(OR(C22="",R22=0,R22=""),"",($C22/$S22)),""),'Painel Geral'!$B$5="Maior Salário",IFERROR(IF(OR(C22="",R22=0,R22=""),"",($C22/$T22)),""))</f>
        <v>1.192333841</v>
      </c>
      <c r="V22" s="199" t="str">
        <f t="shared" si="2"/>
        <v>Muito Competitivo</v>
      </c>
    </row>
    <row r="23" ht="15.75" customHeight="1">
      <c r="A23" s="184" t="s">
        <v>39</v>
      </c>
      <c r="B23" s="185" t="str">
        <f>VLOOKUP(A23,Jobmatch!A:G,2,0)</f>
        <v>ANALISTA DE MANUTENÇÃO II</v>
      </c>
      <c r="C23" s="186">
        <f>IFERROR(AVERAGEIF('Folha de Pagamento'!A:A,A23,'Folha de Pagamento'!J:J),"")</f>
        <v>4550</v>
      </c>
      <c r="D23" s="187">
        <v>5.0</v>
      </c>
      <c r="E23" s="185" t="str">
        <f>VLOOKUP(A23,Jobmatch!A:H,3,0)</f>
        <v>Edificação</v>
      </c>
      <c r="F23" s="188" t="s">
        <v>343</v>
      </c>
      <c r="G23" s="189" t="str">
        <f>VLOOKUP(F23,'Página24'!A:A,1,0)</f>
        <v>#N/A</v>
      </c>
      <c r="H23" s="190" t="str">
        <f>VLOOKUP(A23,Jobmatch!A:I,4,0)</f>
        <v>12 - ADM PROJETOS</v>
      </c>
      <c r="I23" s="191" t="str">
        <f>VLOOKUP(A23,Jobmatch!A:I,5,0)</f>
        <v>Operacional</v>
      </c>
      <c r="J23" s="192">
        <f>VLOOKUP(A23,Jobmatch!A:I,6,0)</f>
        <v>820</v>
      </c>
      <c r="K23" s="190" t="str">
        <f>VLOOKUP(A23,Jobmatch!A:I,7,0)</f>
        <v>Encarregado de Manutenção</v>
      </c>
      <c r="L23" s="193" t="str">
        <f>VLOOKUP(A23,Jobmatch!A:I,8,0)</f>
        <v>Indiferente</v>
      </c>
      <c r="M23" s="194" t="str">
        <f t="shared" si="1"/>
        <v>820Indiferente</v>
      </c>
      <c r="N23" s="195">
        <f>COUNTIF('Folha de Pagamento'!A:A,A23)</f>
        <v>1</v>
      </c>
      <c r="O23" s="196" t="str">
        <f>IFERROR(VLOOKUP(M23,'C-01'!$D:$L,4,0),"")</f>
        <v/>
      </c>
      <c r="P23" s="196" t="str">
        <f>IFERROR(VLOOKUP(M23,'C-01'!$D:$L,5,0),"")</f>
        <v/>
      </c>
      <c r="Q23" s="196" t="str">
        <f>IFERROR(VLOOKUP(M23,'C-01'!$D:$L,6,0),"")</f>
        <v/>
      </c>
      <c r="R23" s="196" t="str">
        <f>IFERROR(VLOOKUP(M23,'C-01'!$D:$L,7,0),"")</f>
        <v/>
      </c>
      <c r="S23" s="196" t="str">
        <f>IFERROR(VLOOKUP(M23,'C-01'!$D:$L,8,0),"")</f>
        <v/>
      </c>
      <c r="T23" s="197" t="str">
        <f>IFERROR(VLOOKUP(M23,'C-01'!$D:$L,9,0),"")</f>
        <v/>
      </c>
      <c r="U23" s="198" t="str">
        <f>IFS('Painel Geral'!$B$5="Mediana",IFERROR(IF(OR(C23="",R23=0,R23=""),"",($C23/$R23)),""),'Painel Geral'!$B$5="Menor Salário",IFERROR(IF(OR(C23="",R23=0,R23=""),"",($C23/$O23)),""),'Painel Geral'!$B$5="1º Quartil",IFERROR(IF(OR(C23="",R23=0,R23=""),"",($C23/$P23)),""), 'Painel Geral'!$B$5="Média",IFERROR(IF(OR(C23="",R23=0,R23=""),"",($C23/$Q23)),""),'Painel Geral'!$B$5="3º Quartil",IFERROR(IF(OR(C23="",R23=0,R23=""),"",($C23/$S23)),""),'Painel Geral'!$B$5="Maior Salário",IFERROR(IF(OR(C23="",R23=0,R23=""),"",($C23/$T23)),""))</f>
        <v/>
      </c>
      <c r="V23" s="199" t="str">
        <f t="shared" si="2"/>
        <v/>
      </c>
    </row>
    <row r="24" ht="15.75" customHeight="1">
      <c r="A24" s="184" t="s">
        <v>70</v>
      </c>
      <c r="B24" s="185" t="str">
        <f>VLOOKUP(A24,Jobmatch!A:G,2,0)</f>
        <v>ASSISTENTE DE ENGENHARIA lll</v>
      </c>
      <c r="C24" s="186">
        <f>IFERROR(AVERAGEIF('Folha de Pagamento'!A:A,A24,'Folha de Pagamento'!J:J),"")</f>
        <v>3652</v>
      </c>
      <c r="D24" s="187">
        <v>5.0</v>
      </c>
      <c r="E24" s="185" t="str">
        <f>VLOOKUP(A24,Jobmatch!A:H,3,0)</f>
        <v>Edificação</v>
      </c>
      <c r="F24" s="188" t="s">
        <v>344</v>
      </c>
      <c r="G24" s="189" t="str">
        <f>VLOOKUP(F24,'Página24'!A:A,1,0)</f>
        <v>Assistente Engenharia</v>
      </c>
      <c r="H24" s="190" t="str">
        <f>VLOOKUP(A24,Jobmatch!A:I,4,0)</f>
        <v>22 - ADM PROJETOS</v>
      </c>
      <c r="I24" s="191" t="str">
        <f>VLOOKUP(A24,Jobmatch!A:I,5,0)</f>
        <v>Operacional</v>
      </c>
      <c r="J24" s="192">
        <f>VLOOKUP(A24,Jobmatch!A:I,6,0)</f>
        <v>531</v>
      </c>
      <c r="K24" s="190" t="str">
        <f>VLOOKUP(A24,Jobmatch!A:I,7,0)</f>
        <v>Assistente de Engenharia</v>
      </c>
      <c r="L24" s="193" t="str">
        <f>VLOOKUP(A24,Jobmatch!A:I,8,0)</f>
        <v>Indiferente</v>
      </c>
      <c r="M24" s="194" t="str">
        <f t="shared" si="1"/>
        <v>531Indiferente</v>
      </c>
      <c r="N24" s="195">
        <f>COUNTIF('Folha de Pagamento'!A:A,A24)</f>
        <v>1</v>
      </c>
      <c r="O24" s="196">
        <f>IFERROR(VLOOKUP(M24,'C-01'!$D:$L,4,0),"")</f>
        <v>3146.47</v>
      </c>
      <c r="P24" s="196">
        <f>IFERROR(VLOOKUP(M24,'C-01'!$D:$L,5,0),"")</f>
        <v>3945.44</v>
      </c>
      <c r="Q24" s="196">
        <f>IFERROR(VLOOKUP(M24,'C-01'!$D:$L,6,0),"")</f>
        <v>4031.84</v>
      </c>
      <c r="R24" s="196">
        <f>IFERROR(VLOOKUP(M24,'C-01'!$D:$L,7,0),"")</f>
        <v>3945.44</v>
      </c>
      <c r="S24" s="196">
        <f>IFERROR(VLOOKUP(M24,'C-01'!$D:$L,8,0),"")</f>
        <v>3945.44</v>
      </c>
      <c r="T24" s="197">
        <f>IFERROR(VLOOKUP(M24,'C-01'!$D:$L,9,0),"")</f>
        <v>5084.96</v>
      </c>
      <c r="U24" s="198">
        <f>IFS('Painel Geral'!$B$5="Mediana",IFERROR(IF(OR(C24="",R24=0,R24=""),"",($C24/$R24)),""),'Painel Geral'!$B$5="Menor Salário",IFERROR(IF(OR(C24="",R24=0,R24=""),"",($C24/$O24)),""),'Painel Geral'!$B$5="1º Quartil",IFERROR(IF(OR(C24="",R24=0,R24=""),"",($C24/$P24)),""), 'Painel Geral'!$B$5="Média",IFERROR(IF(OR(C24="",R24=0,R24=""),"",($C24/$Q24)),""),'Painel Geral'!$B$5="3º Quartil",IFERROR(IF(OR(C24="",R24=0,R24=""),"",($C24/$S24)),""),'Painel Geral'!$B$5="Maior Salário",IFERROR(IF(OR(C24="",R24=0,R24=""),"",($C24/$T24)),""))</f>
        <v>0.9256255323</v>
      </c>
      <c r="V24" s="199" t="str">
        <f t="shared" si="2"/>
        <v>Na Média</v>
      </c>
    </row>
    <row r="25" ht="15.75" customHeight="1">
      <c r="A25" s="184" t="s">
        <v>109</v>
      </c>
      <c r="B25" s="185" t="str">
        <f>VLOOKUP(A25,Jobmatch!A:G,2,0)</f>
        <v>COORDENADOR DE OBRAS</v>
      </c>
      <c r="C25" s="186">
        <f>IFERROR(AVERAGEIF('Folha de Pagamento'!A:A,A25,'Folha de Pagamento'!J:J),"")</f>
        <v>8714</v>
      </c>
      <c r="D25" s="187">
        <v>5.0</v>
      </c>
      <c r="E25" s="185" t="str">
        <f>VLOOKUP(A25,Jobmatch!A:H,3,0)</f>
        <v>Edificação</v>
      </c>
      <c r="F25" s="188" t="s">
        <v>345</v>
      </c>
      <c r="G25" s="189" t="str">
        <f>VLOOKUP(F25,'Página24'!A:A,1,0)</f>
        <v>Coordenador Obras</v>
      </c>
      <c r="H25" s="190" t="str">
        <f>VLOOKUP(A25,Jobmatch!A:I,4,0)</f>
        <v>37 - ADM PROJETOS</v>
      </c>
      <c r="I25" s="191" t="str">
        <f>VLOOKUP(A25,Jobmatch!A:I,5,0)</f>
        <v>Tático</v>
      </c>
      <c r="J25" s="192">
        <f>VLOOKUP(A25,Jobmatch!A:I,6,0)</f>
        <v>209</v>
      </c>
      <c r="K25" s="190" t="str">
        <f>VLOOKUP(A25,Jobmatch!A:I,7,0)</f>
        <v>Coordenador de Obras</v>
      </c>
      <c r="L25" s="193" t="str">
        <f>VLOOKUP(A25,Jobmatch!A:I,8,0)</f>
        <v>Indiferente</v>
      </c>
      <c r="M25" s="194" t="str">
        <f t="shared" si="1"/>
        <v>209Indiferente</v>
      </c>
      <c r="N25" s="195">
        <f>COUNTIF('Folha de Pagamento'!A:A,A25)</f>
        <v>1</v>
      </c>
      <c r="O25" s="196">
        <f>IFERROR(VLOOKUP(M25,'C-01'!$D:$L,4,0),"")</f>
        <v>5595.62</v>
      </c>
      <c r="P25" s="196">
        <f>IFERROR(VLOOKUP(M25,'C-01'!$D:$L,5,0),"")</f>
        <v>10017.83</v>
      </c>
      <c r="Q25" s="196">
        <f>IFERROR(VLOOKUP(M25,'C-01'!$D:$L,6,0),"")</f>
        <v>16217.22</v>
      </c>
      <c r="R25" s="196">
        <f>IFERROR(VLOOKUP(M25,'C-01'!$D:$L,7,0),"")</f>
        <v>16164.64</v>
      </c>
      <c r="S25" s="196">
        <f>IFERROR(VLOOKUP(M25,'C-01'!$D:$L,8,0),"")</f>
        <v>23908.2</v>
      </c>
      <c r="T25" s="197">
        <f>IFERROR(VLOOKUP(M25,'C-01'!$D:$L,9,0),"")</f>
        <v>23908.2</v>
      </c>
      <c r="U25" s="198">
        <f>IFS('Painel Geral'!$B$5="Mediana",IFERROR(IF(OR(C25="",R25=0,R25=""),"",($C25/$R25)),""),'Painel Geral'!$B$5="Menor Salário",IFERROR(IF(OR(C25="",R25=0,R25=""),"",($C25/$O25)),""),'Painel Geral'!$B$5="1º Quartil",IFERROR(IF(OR(C25="",R25=0,R25=""),"",($C25/$P25)),""), 'Painel Geral'!$B$5="Média",IFERROR(IF(OR(C25="",R25=0,R25=""),"",($C25/$Q25)),""),'Painel Geral'!$B$5="3º Quartil",IFERROR(IF(OR(C25="",R25=0,R25=""),"",($C25/$S25)),""),'Painel Geral'!$B$5="Maior Salário",IFERROR(IF(OR(C25="",R25=0,R25=""),"",($C25/$T25)),""))</f>
        <v>0.5390778885</v>
      </c>
      <c r="V25" s="199" t="str">
        <f t="shared" si="2"/>
        <v>Muito Defasado</v>
      </c>
    </row>
    <row r="26" ht="15.75" customHeight="1">
      <c r="A26" s="184" t="s">
        <v>125</v>
      </c>
      <c r="B26" s="185" t="str">
        <f>VLOOKUP(A26,Jobmatch!A:G,2,0)</f>
        <v>ENCARREGADO OBRAS/MANUTENCAO</v>
      </c>
      <c r="C26" s="186">
        <f>IFERROR(AVERAGEIF('Folha de Pagamento'!A:A,A26,'Folha de Pagamento'!J:J),"")</f>
        <v>8714</v>
      </c>
      <c r="D26" s="187">
        <v>5.0</v>
      </c>
      <c r="E26" s="185" t="str">
        <f>VLOOKUP(A26,Jobmatch!A:H,3,0)</f>
        <v>Edificação</v>
      </c>
      <c r="F26" s="188" t="s">
        <v>346</v>
      </c>
      <c r="G26" s="189" t="str">
        <f>VLOOKUP(F26,'Página24'!A:A,1,0)</f>
        <v>Encarregado Obras / Manutenção</v>
      </c>
      <c r="H26" s="190" t="str">
        <f>VLOOKUP(A26,Jobmatch!A:I,4,0)</f>
        <v>42 - ADM PROJETOS</v>
      </c>
      <c r="I26" s="191" t="str">
        <f>VLOOKUP(A26,Jobmatch!A:I,5,0)</f>
        <v>Operacional</v>
      </c>
      <c r="J26" s="192">
        <f>VLOOKUP(A26,Jobmatch!A:I,6,0)</f>
        <v>470</v>
      </c>
      <c r="K26" s="190" t="str">
        <f>VLOOKUP(A26,Jobmatch!A:I,7,0)</f>
        <v>Mestre de Obras</v>
      </c>
      <c r="L26" s="193" t="str">
        <f>VLOOKUP(A26,Jobmatch!A:I,8,0)</f>
        <v>Indiferente</v>
      </c>
      <c r="M26" s="194" t="str">
        <f t="shared" si="1"/>
        <v>470Indiferente</v>
      </c>
      <c r="N26" s="195">
        <f>COUNTIF('Folha de Pagamento'!A:A,A26)</f>
        <v>1</v>
      </c>
      <c r="O26" s="196">
        <f>IFERROR(VLOOKUP(M26,'C-01'!$D:$L,4,0),"")</f>
        <v>5530.26</v>
      </c>
      <c r="P26" s="196">
        <f>IFERROR(VLOOKUP(M26,'C-01'!$D:$L,5,0),"")</f>
        <v>5530.26</v>
      </c>
      <c r="Q26" s="196">
        <f>IFERROR(VLOOKUP(M26,'C-01'!$D:$L,6,0),"")</f>
        <v>7689.13</v>
      </c>
      <c r="R26" s="196">
        <f>IFERROR(VLOOKUP(M26,'C-01'!$D:$L,7,0),"")</f>
        <v>7460.82</v>
      </c>
      <c r="S26" s="196">
        <f>IFERROR(VLOOKUP(M26,'C-01'!$D:$L,8,0),"")</f>
        <v>9785.54</v>
      </c>
      <c r="T26" s="197">
        <f>IFERROR(VLOOKUP(M26,'C-01'!$D:$L,9,0),"")</f>
        <v>11138.95</v>
      </c>
      <c r="U26" s="198">
        <f>IFS('Painel Geral'!$B$5="Mediana",IFERROR(IF(OR(C26="",R26=0,R26=""),"",($C26/$R26)),""),'Painel Geral'!$B$5="Menor Salário",IFERROR(IF(OR(C26="",R26=0,R26=""),"",($C26/$O26)),""),'Painel Geral'!$B$5="1º Quartil",IFERROR(IF(OR(C26="",R26=0,R26=""),"",($C26/$P26)),""), 'Painel Geral'!$B$5="Média",IFERROR(IF(OR(C26="",R26=0,R26=""),"",($C26/$Q26)),""),'Painel Geral'!$B$5="3º Quartil",IFERROR(IF(OR(C26="",R26=0,R26=""),"",($C26/$S26)),""),'Painel Geral'!$B$5="Maior Salário",IFERROR(IF(OR(C26="",R26=0,R26=""),"",($C26/$T26)),""))</f>
        <v>1.167968132</v>
      </c>
      <c r="V26" s="199" t="str">
        <f t="shared" si="2"/>
        <v>Muito Competitivo</v>
      </c>
    </row>
    <row r="27" ht="15.75" customHeight="1">
      <c r="A27" s="184" t="s">
        <v>130</v>
      </c>
      <c r="B27" s="185" t="str">
        <f>VLOOKUP(A27,Jobmatch!A:G,2,0)</f>
        <v>ENGENHEIRO SÊNIOR </v>
      </c>
      <c r="C27" s="186">
        <f>IFERROR(AVERAGEIF('Folha de Pagamento'!A:A,A27,'Folha de Pagamento'!J:J),"")</f>
        <v>14393.93939</v>
      </c>
      <c r="D27" s="187">
        <v>5.0</v>
      </c>
      <c r="E27" s="185" t="str">
        <f>VLOOKUP(A27,Jobmatch!A:H,3,0)</f>
        <v>Edificação</v>
      </c>
      <c r="F27" s="188" t="s">
        <v>347</v>
      </c>
      <c r="G27" s="189" t="str">
        <f>VLOOKUP(F27,'Página24'!A:A,1,0)</f>
        <v>Engenheiro Sr</v>
      </c>
      <c r="H27" s="190" t="str">
        <f>VLOOKUP(A27,Jobmatch!A:I,4,0)</f>
        <v>44 - ADM PROJETOS</v>
      </c>
      <c r="I27" s="191" t="str">
        <f>VLOOKUP(A27,Jobmatch!A:I,5,0)</f>
        <v>Tático</v>
      </c>
      <c r="J27" s="192">
        <f>VLOOKUP(A27,Jobmatch!A:I,6,0)</f>
        <v>212</v>
      </c>
      <c r="K27" s="190" t="str">
        <f>VLOOKUP(A27,Jobmatch!A:I,7,0)</f>
        <v>Engenheiro de Urbanismo</v>
      </c>
      <c r="L27" s="193" t="str">
        <f>VLOOKUP(A27,Jobmatch!A:I,8,0)</f>
        <v>Indiferente</v>
      </c>
      <c r="M27" s="194" t="str">
        <f t="shared" si="1"/>
        <v>212Indiferente</v>
      </c>
      <c r="N27" s="195">
        <f>COUNTIF('Folha de Pagamento'!A:A,A27)</f>
        <v>1</v>
      </c>
      <c r="O27" s="196">
        <f>IFERROR(VLOOKUP(M27,'C-01'!$D:$L,4,0),"")</f>
        <v>10281.25</v>
      </c>
      <c r="P27" s="196">
        <f>IFERROR(VLOOKUP(M27,'C-01'!$D:$L,5,0),"")</f>
        <v>12766.6</v>
      </c>
      <c r="Q27" s="196">
        <f>IFERROR(VLOOKUP(M27,'C-01'!$D:$L,6,0),"")</f>
        <v>14293.39</v>
      </c>
      <c r="R27" s="196">
        <f>IFERROR(VLOOKUP(M27,'C-01'!$D:$L,7,0),"")</f>
        <v>15082.52</v>
      </c>
      <c r="S27" s="196">
        <f>IFERROR(VLOOKUP(M27,'C-01'!$D:$L,8,0),"")</f>
        <v>16110.29</v>
      </c>
      <c r="T27" s="197">
        <f>IFERROR(VLOOKUP(M27,'C-01'!$D:$L,9,0),"")</f>
        <v>16164.64</v>
      </c>
      <c r="U27" s="198">
        <f>IFS('Painel Geral'!$B$5="Mediana",IFERROR(IF(OR(C27="",R27=0,R27=""),"",($C27/$R27)),""),'Painel Geral'!$B$5="Menor Salário",IFERROR(IF(OR(C27="",R27=0,R27=""),"",($C27/$O27)),""),'Painel Geral'!$B$5="1º Quartil",IFERROR(IF(OR(C27="",R27=0,R27=""),"",($C27/$P27)),""), 'Painel Geral'!$B$5="Média",IFERROR(IF(OR(C27="",R27=0,R27=""),"",($C27/$Q27)),""),'Painel Geral'!$B$5="3º Quartil",IFERROR(IF(OR(C27="",R27=0,R27=""),"",($C27/$S27)),""),'Painel Geral'!$B$5="Maior Salário",IFERROR(IF(OR(C27="",R27=0,R27=""),"",($C27/$T27)),""))</f>
        <v>0.9543457853</v>
      </c>
      <c r="V27" s="199" t="str">
        <f t="shared" si="2"/>
        <v>Na Média</v>
      </c>
    </row>
    <row r="28" ht="15.75" customHeight="1">
      <c r="A28" s="184" t="s">
        <v>152</v>
      </c>
      <c r="B28" s="185" t="str">
        <f>VLOOKUP(A28,Jobmatch!A:G,2,0)</f>
        <v>GERENTE DE EDIFICAÇÕES</v>
      </c>
      <c r="C28" s="186">
        <f>IFERROR(AVERAGEIF('Folha de Pagamento'!A:A,A28,'Folha de Pagamento'!J:J),"")</f>
        <v>30106.06061</v>
      </c>
      <c r="D28" s="187">
        <v>5.0</v>
      </c>
      <c r="E28" s="185" t="str">
        <f>VLOOKUP(A28,Jobmatch!A:H,3,0)</f>
        <v>Edificação</v>
      </c>
      <c r="F28" s="188" t="s">
        <v>348</v>
      </c>
      <c r="G28" s="189" t="str">
        <f>VLOOKUP(F28,'Página24'!A:A,1,0)</f>
        <v>Gerente Edificações</v>
      </c>
      <c r="H28" s="190" t="str">
        <f>VLOOKUP(A28,Jobmatch!A:I,4,0)</f>
        <v>51 - ADM PROJETOS</v>
      </c>
      <c r="I28" s="191" t="str">
        <f>VLOOKUP(A28,Jobmatch!A:I,5,0)</f>
        <v>Tático</v>
      </c>
      <c r="J28" s="192">
        <f>VLOOKUP(A28,Jobmatch!A:I,6,0)</f>
        <v>311</v>
      </c>
      <c r="K28" s="190" t="str">
        <f>VLOOKUP(A28,Jobmatch!A:I,7,0)</f>
        <v>Gerente de Operações</v>
      </c>
      <c r="L28" s="193" t="str">
        <f>VLOOKUP(A28,Jobmatch!A:I,8,0)</f>
        <v>Indiferente</v>
      </c>
      <c r="M28" s="194" t="str">
        <f t="shared" si="1"/>
        <v>311Indiferente</v>
      </c>
      <c r="N28" s="195">
        <f>COUNTIF('Folha de Pagamento'!A:A,A28)</f>
        <v>1</v>
      </c>
      <c r="O28" s="196">
        <f>IFERROR(VLOOKUP(M28,'C-01'!$D:$L,4,0),"")</f>
        <v>7331.45</v>
      </c>
      <c r="P28" s="196">
        <f>IFERROR(VLOOKUP(M28,'C-01'!$D:$L,5,0),"")</f>
        <v>10114.75</v>
      </c>
      <c r="Q28" s="196">
        <f>IFERROR(VLOOKUP(M28,'C-01'!$D:$L,6,0),"")</f>
        <v>12711.42</v>
      </c>
      <c r="R28" s="196">
        <f>IFERROR(VLOOKUP(M28,'C-01'!$D:$L,7,0),"")</f>
        <v>12517.82</v>
      </c>
      <c r="S28" s="196">
        <f>IFERROR(VLOOKUP(M28,'C-01'!$D:$L,8,0),"")</f>
        <v>14749</v>
      </c>
      <c r="T28" s="197">
        <f>IFERROR(VLOOKUP(M28,'C-01'!$D:$L,9,0),"")</f>
        <v>19098.65</v>
      </c>
      <c r="U28" s="198">
        <f>IFS('Painel Geral'!$B$5="Mediana",IFERROR(IF(OR(C28="",R28=0,R28=""),"",($C28/$R28)),""),'Painel Geral'!$B$5="Menor Salário",IFERROR(IF(OR(C28="",R28=0,R28=""),"",($C28/$O28)),""),'Painel Geral'!$B$5="1º Quartil",IFERROR(IF(OR(C28="",R28=0,R28=""),"",($C28/$P28)),""), 'Painel Geral'!$B$5="Média",IFERROR(IF(OR(C28="",R28=0,R28=""),"",($C28/$Q28)),""),'Painel Geral'!$B$5="3º Quartil",IFERROR(IF(OR(C28="",R28=0,R28=""),"",($C28/$S28)),""),'Painel Geral'!$B$5="Maior Salário",IFERROR(IF(OR(C28="",R28=0,R28=""),"",($C28/$T28)),""))</f>
        <v>2.4050562</v>
      </c>
      <c r="V28" s="199" t="str">
        <f t="shared" si="2"/>
        <v>Agressivo</v>
      </c>
    </row>
    <row r="29" ht="15.75" customHeight="1">
      <c r="A29" s="184" t="s">
        <v>183</v>
      </c>
      <c r="B29" s="185" t="str">
        <f>VLOOKUP(A29,Jobmatch!A:G,2,0)</f>
        <v>TECNICO ANALISTA DE CUSTOS</v>
      </c>
      <c r="C29" s="186">
        <f>IFERROR(AVERAGEIF('Folha de Pagamento'!A:A,A29,'Folha de Pagamento'!J:J),"")</f>
        <v>7000</v>
      </c>
      <c r="D29" s="187">
        <v>5.0</v>
      </c>
      <c r="E29" s="185" t="str">
        <f>VLOOKUP(A29,Jobmatch!A:H,3,0)</f>
        <v>Edificação</v>
      </c>
      <c r="F29" s="188" t="s">
        <v>349</v>
      </c>
      <c r="G29" s="189" t="str">
        <f>VLOOKUP(F29,'Página24'!A:A,1,0)</f>
        <v>Técnico Analista Custos</v>
      </c>
      <c r="H29" s="190" t="str">
        <f>VLOOKUP(A29,Jobmatch!A:I,4,0)</f>
        <v>60 - ADM PROJETOS</v>
      </c>
      <c r="I29" s="191" t="str">
        <f>VLOOKUP(A29,Jobmatch!A:I,5,0)</f>
        <v>Operacional</v>
      </c>
      <c r="J29" s="192">
        <f>VLOOKUP(A29,Jobmatch!A:I,6,0)</f>
        <v>876</v>
      </c>
      <c r="K29" s="190" t="str">
        <f>VLOOKUP(A29,Jobmatch!A:I,7,0)</f>
        <v>Analista de Custos</v>
      </c>
      <c r="L29" s="193" t="str">
        <f>VLOOKUP(A29,Jobmatch!A:I,8,0)</f>
        <v>Indiferente</v>
      </c>
      <c r="M29" s="194" t="str">
        <f t="shared" si="1"/>
        <v>876Indiferente</v>
      </c>
      <c r="N29" s="195">
        <f>COUNTIF('Folha de Pagamento'!A:A,A29)</f>
        <v>3</v>
      </c>
      <c r="O29" s="196">
        <f>IFERROR(VLOOKUP(M29,'C-01'!$D:$L,4,0),"")</f>
        <v>6752.95</v>
      </c>
      <c r="P29" s="196">
        <f>IFERROR(VLOOKUP(M29,'C-01'!$D:$L,5,0),"")</f>
        <v>6868.23</v>
      </c>
      <c r="Q29" s="196">
        <f>IFERROR(VLOOKUP(M29,'C-01'!$D:$L,6,0),"")</f>
        <v>7611.25</v>
      </c>
      <c r="R29" s="196">
        <f>IFERROR(VLOOKUP(M29,'C-01'!$D:$L,7,0),"")</f>
        <v>7320.76</v>
      </c>
      <c r="S29" s="196">
        <f>IFERROR(VLOOKUP(M29,'C-01'!$D:$L,8,0),"")</f>
        <v>8153.71</v>
      </c>
      <c r="T29" s="197">
        <f>IFERROR(VLOOKUP(M29,'C-01'!$D:$L,9,0),"")</f>
        <v>9161.15</v>
      </c>
      <c r="U29" s="198">
        <f>IFS('Painel Geral'!$B$5="Mediana",IFERROR(IF(OR(C29="",R29=0,R29=""),"",($C29/$R29)),""),'Painel Geral'!$B$5="Menor Salário",IFERROR(IF(OR(C29="",R29=0,R29=""),"",($C29/$O29)),""),'Painel Geral'!$B$5="1º Quartil",IFERROR(IF(OR(C29="",R29=0,R29=""),"",($C29/$P29)),""), 'Painel Geral'!$B$5="Média",IFERROR(IF(OR(C29="",R29=0,R29=""),"",($C29/$Q29)),""),'Painel Geral'!$B$5="3º Quartil",IFERROR(IF(OR(C29="",R29=0,R29=""),"",($C29/$S29)),""),'Painel Geral'!$B$5="Maior Salário",IFERROR(IF(OR(C29="",R29=0,R29=""),"",($C29/$T29)),""))</f>
        <v>0.956184877</v>
      </c>
      <c r="V29" s="199" t="str">
        <f t="shared" si="2"/>
        <v>Na Média</v>
      </c>
    </row>
    <row r="30" ht="15.75" customHeight="1">
      <c r="A30" s="184" t="s">
        <v>186</v>
      </c>
      <c r="B30" s="185" t="str">
        <f>VLOOKUP(A30,Jobmatch!A:G,2,0)</f>
        <v>TECNOLOGO EM CONSTRUÇÃO DE EDIFICIOS</v>
      </c>
      <c r="C30" s="186">
        <f>IFERROR(AVERAGEIF('Folha de Pagamento'!A:A,A30,'Folha de Pagamento'!J:J),"")</f>
        <v>8585</v>
      </c>
      <c r="D30" s="187">
        <v>5.0</v>
      </c>
      <c r="E30" s="185" t="str">
        <f>VLOOKUP(A30,Jobmatch!A:H,3,0)</f>
        <v>Edificação</v>
      </c>
      <c r="F30" s="188" t="s">
        <v>350</v>
      </c>
      <c r="G30" s="189" t="str">
        <f>VLOOKUP(F30,'Página24'!A:A,1,0)</f>
        <v>Tecnólogo Construção Edifícios</v>
      </c>
      <c r="H30" s="190" t="str">
        <f>VLOOKUP(A30,Jobmatch!A:I,4,0)</f>
        <v>61 - ADM PROJETOS</v>
      </c>
      <c r="I30" s="191" t="str">
        <f>VLOOKUP(A30,Jobmatch!A:I,5,0)</f>
        <v>Operacional</v>
      </c>
      <c r="J30" s="192">
        <f>VLOOKUP(A30,Jobmatch!A:I,6,0)</f>
        <v>269</v>
      </c>
      <c r="K30" s="190" t="str">
        <f>VLOOKUP(A30,Jobmatch!A:I,7,0)</f>
        <v>Técnico em Edificações</v>
      </c>
      <c r="L30" s="193" t="str">
        <f>VLOOKUP(A30,Jobmatch!A:I,8,0)</f>
        <v>Indiferente</v>
      </c>
      <c r="M30" s="194" t="str">
        <f t="shared" si="1"/>
        <v>269Indiferente</v>
      </c>
      <c r="N30" s="195">
        <f>COUNTIF('Folha de Pagamento'!A:A,A30)</f>
        <v>1</v>
      </c>
      <c r="O30" s="196">
        <f>IFERROR(VLOOKUP(M30,'C-01'!$D:$L,4,0),"")</f>
        <v>3016.5</v>
      </c>
      <c r="P30" s="196">
        <f>IFERROR(VLOOKUP(M30,'C-01'!$D:$L,5,0),"")</f>
        <v>3732.17</v>
      </c>
      <c r="Q30" s="196">
        <f>IFERROR(VLOOKUP(M30,'C-01'!$D:$L,6,0),"")</f>
        <v>4583.42</v>
      </c>
      <c r="R30" s="196">
        <f>IFERROR(VLOOKUP(M30,'C-01'!$D:$L,7,0),"")</f>
        <v>4022.01</v>
      </c>
      <c r="S30" s="196">
        <f>IFERROR(VLOOKUP(M30,'C-01'!$D:$L,8,0),"")</f>
        <v>4417.17</v>
      </c>
      <c r="T30" s="197">
        <f>IFERROR(VLOOKUP(M30,'C-01'!$D:$L,9,0),"")</f>
        <v>9075.39</v>
      </c>
      <c r="U30" s="198">
        <f>IFS('Painel Geral'!$B$5="Mediana",IFERROR(IF(OR(C30="",R30=0,R30=""),"",($C30/$R30)),""),'Painel Geral'!$B$5="Menor Salário",IFERROR(IF(OR(C30="",R30=0,R30=""),"",($C30/$O30)),""),'Painel Geral'!$B$5="1º Quartil",IFERROR(IF(OR(C30="",R30=0,R30=""),"",($C30/$P30)),""), 'Painel Geral'!$B$5="Média",IFERROR(IF(OR(C30="",R30=0,R30=""),"",($C30/$Q30)),""),'Painel Geral'!$B$5="3º Quartil",IFERROR(IF(OR(C30="",R30=0,R30=""),"",($C30/$S30)),""),'Painel Geral'!$B$5="Maior Salário",IFERROR(IF(OR(C30="",R30=0,R30=""),"",($C30/$T30)),""))</f>
        <v>2.134504887</v>
      </c>
      <c r="V30" s="199" t="str">
        <f t="shared" si="2"/>
        <v>Agressivo</v>
      </c>
    </row>
    <row r="31" ht="15.75" customHeight="1">
      <c r="A31" s="184" t="s">
        <v>51</v>
      </c>
      <c r="B31" s="185" t="str">
        <f>VLOOKUP(A31,Jobmatch!A:G,2,0)</f>
        <v>ANALISTA FINANCEIRO COMERCIAL III</v>
      </c>
      <c r="C31" s="186">
        <f>IFERROR(AVERAGEIF('Folha de Pagamento'!A:A,A31,'Folha de Pagamento'!J:J),"")</f>
        <v>5213</v>
      </c>
      <c r="D31" s="187">
        <v>6.0</v>
      </c>
      <c r="E31" s="185" t="str">
        <f>VLOOKUP(A31,Jobmatch!A:H,3,0)</f>
        <v>Financeiro</v>
      </c>
      <c r="F31" s="188" t="s">
        <v>351</v>
      </c>
      <c r="G31" s="189" t="str">
        <f>VLOOKUP(F31,'Página24'!A:A,1,0)</f>
        <v>Analista Financeiro Comercial Sr</v>
      </c>
      <c r="H31" s="190" t="str">
        <f>VLOOKUP(A31,Jobmatch!A:I,4,0)</f>
        <v>16 - ADM PROJETOS</v>
      </c>
      <c r="I31" s="191" t="str">
        <f>VLOOKUP(A31,Jobmatch!A:I,5,0)</f>
        <v>Operacional</v>
      </c>
      <c r="J31" s="192">
        <f>VLOOKUP(A31,Jobmatch!A:I,6,0)</f>
        <v>16</v>
      </c>
      <c r="K31" s="190" t="str">
        <f>VLOOKUP(A31,Jobmatch!A:I,7,0)</f>
        <v>Analista Financeiro</v>
      </c>
      <c r="L31" s="193" t="str">
        <f>VLOOKUP(A31,Jobmatch!A:I,8,0)</f>
        <v>Sênior</v>
      </c>
      <c r="M31" s="194" t="str">
        <f t="shared" si="1"/>
        <v>16Sênior</v>
      </c>
      <c r="N31" s="195">
        <f>COUNTIF('Folha de Pagamento'!A:A,A31)</f>
        <v>1</v>
      </c>
      <c r="O31" s="196">
        <f>IFERROR(VLOOKUP(M31,'C-01'!$D:$L,4,0),"")</f>
        <v>4882.37</v>
      </c>
      <c r="P31" s="196">
        <f>IFERROR(VLOOKUP(M31,'C-01'!$D:$L,5,0),"")</f>
        <v>5489.27</v>
      </c>
      <c r="Q31" s="196">
        <f>IFERROR(VLOOKUP(M31,'C-01'!$D:$L,6,0),"")</f>
        <v>6172.24</v>
      </c>
      <c r="R31" s="196">
        <f>IFERROR(VLOOKUP(M31,'C-01'!$D:$L,7,0),"")</f>
        <v>5910.71</v>
      </c>
      <c r="S31" s="196">
        <f>IFERROR(VLOOKUP(M31,'C-01'!$D:$L,8,0),"")</f>
        <v>6737.39</v>
      </c>
      <c r="T31" s="197">
        <f>IFERROR(VLOOKUP(M31,'C-01'!$D:$L,9,0),"")</f>
        <v>8185.08</v>
      </c>
      <c r="U31" s="198">
        <f>IFS('Painel Geral'!$B$5="Mediana",IFERROR(IF(OR(C31="",R31=0,R31=""),"",($C31/$R31)),""),'Painel Geral'!$B$5="Menor Salário",IFERROR(IF(OR(C31="",R31=0,R31=""),"",($C31/$O31)),""),'Painel Geral'!$B$5="1º Quartil",IFERROR(IF(OR(C31="",R31=0,R31=""),"",($C31/$P31)),""), 'Painel Geral'!$B$5="Média",IFERROR(IF(OR(C31="",R31=0,R31=""),"",($C31/$Q31)),""),'Painel Geral'!$B$5="3º Quartil",IFERROR(IF(OR(C31="",R31=0,R31=""),"",($C31/$S31)),""),'Painel Geral'!$B$5="Maior Salário",IFERROR(IF(OR(C31="",R31=0,R31=""),"",($C31/$T31)),""))</f>
        <v>0.8819583434</v>
      </c>
      <c r="V31" s="199" t="str">
        <f t="shared" si="2"/>
        <v>Defasado</v>
      </c>
    </row>
    <row r="32" ht="15.75" customHeight="1">
      <c r="A32" s="184" t="s">
        <v>55</v>
      </c>
      <c r="B32" s="185" t="str">
        <f>VLOOKUP(A32,Jobmatch!A:G,2,0)</f>
        <v>ANALISTA FINANCEIRO DE CAPTAÇÃO DE RECURSOS III</v>
      </c>
      <c r="C32" s="186">
        <f>IFERROR(AVERAGEIF('Folha de Pagamento'!A:A,A32,'Folha de Pagamento'!J:J),"")</f>
        <v>5213</v>
      </c>
      <c r="D32" s="187">
        <v>6.0</v>
      </c>
      <c r="E32" s="185" t="str">
        <f>VLOOKUP(A32,Jobmatch!A:H,3,0)</f>
        <v>Financeiro</v>
      </c>
      <c r="F32" s="188" t="s">
        <v>352</v>
      </c>
      <c r="G32" s="189" t="str">
        <f>VLOOKUP(F32,'Página24'!A:A,1,0)</f>
        <v>Analista Financeiro Captação Recursos Sr</v>
      </c>
      <c r="H32" s="190" t="str">
        <f>VLOOKUP(A32,Jobmatch!A:I,4,0)</f>
        <v>17 - ADM PROJETOS</v>
      </c>
      <c r="I32" s="191" t="str">
        <f>VLOOKUP(A32,Jobmatch!A:I,5,0)</f>
        <v>Operacional</v>
      </c>
      <c r="J32" s="192">
        <f>VLOOKUP(A32,Jobmatch!A:I,6,0)</f>
        <v>16</v>
      </c>
      <c r="K32" s="190" t="str">
        <f>VLOOKUP(A32,Jobmatch!A:I,7,0)</f>
        <v>Analista Financeiro</v>
      </c>
      <c r="L32" s="193" t="str">
        <f>VLOOKUP(A32,Jobmatch!A:I,8,0)</f>
        <v>Sênior</v>
      </c>
      <c r="M32" s="194" t="str">
        <f t="shared" si="1"/>
        <v>16Sênior</v>
      </c>
      <c r="N32" s="195">
        <f>COUNTIF('Folha de Pagamento'!A:A,A32)</f>
        <v>1</v>
      </c>
      <c r="O32" s="196">
        <f>IFERROR(VLOOKUP(M32,'C-01'!$D:$L,4,0),"")</f>
        <v>4882.37</v>
      </c>
      <c r="P32" s="196">
        <f>IFERROR(VLOOKUP(M32,'C-01'!$D:$L,5,0),"")</f>
        <v>5489.27</v>
      </c>
      <c r="Q32" s="196">
        <f>IFERROR(VLOOKUP(M32,'C-01'!$D:$L,6,0),"")</f>
        <v>6172.24</v>
      </c>
      <c r="R32" s="196">
        <f>IFERROR(VLOOKUP(M32,'C-01'!$D:$L,7,0),"")</f>
        <v>5910.71</v>
      </c>
      <c r="S32" s="196">
        <f>IFERROR(VLOOKUP(M32,'C-01'!$D:$L,8,0),"")</f>
        <v>6737.39</v>
      </c>
      <c r="T32" s="197">
        <f>IFERROR(VLOOKUP(M32,'C-01'!$D:$L,9,0),"")</f>
        <v>8185.08</v>
      </c>
      <c r="U32" s="198">
        <f>IFS('Painel Geral'!$B$5="Mediana",IFERROR(IF(OR(C32="",R32=0,R32=""),"",($C32/$R32)),""),'Painel Geral'!$B$5="Menor Salário",IFERROR(IF(OR(C32="",R32=0,R32=""),"",($C32/$O32)),""),'Painel Geral'!$B$5="1º Quartil",IFERROR(IF(OR(C32="",R32=0,R32=""),"",($C32/$P32)),""), 'Painel Geral'!$B$5="Média",IFERROR(IF(OR(C32="",R32=0,R32=""),"",($C32/$Q32)),""),'Painel Geral'!$B$5="3º Quartil",IFERROR(IF(OR(C32="",R32=0,R32=""),"",($C32/$S32)),""),'Painel Geral'!$B$5="Maior Salário",IFERROR(IF(OR(C32="",R32=0,R32=""),"",($C32/$T32)),""))</f>
        <v>0.8819583434</v>
      </c>
      <c r="V32" s="199" t="str">
        <f t="shared" si="2"/>
        <v>Defasado</v>
      </c>
    </row>
    <row r="33" ht="15.75" customHeight="1">
      <c r="A33" s="184" t="s">
        <v>58</v>
      </c>
      <c r="B33" s="185" t="str">
        <f>VLOOKUP(A33,Jobmatch!A:G,2,0)</f>
        <v>ANALISTA FINANCEIRO I</v>
      </c>
      <c r="C33" s="186">
        <f>IFERROR(AVERAGEIF('Folha de Pagamento'!A:A,A33,'Folha de Pagamento'!J:J),"")</f>
        <v>3993</v>
      </c>
      <c r="D33" s="187">
        <v>6.0</v>
      </c>
      <c r="E33" s="185" t="str">
        <f>VLOOKUP(A33,Jobmatch!A:H,3,0)</f>
        <v>Financeiro</v>
      </c>
      <c r="F33" s="188" t="s">
        <v>353</v>
      </c>
      <c r="G33" s="189" t="str">
        <f>VLOOKUP(F33,'Página24'!A:A,1,0)</f>
        <v>Analista Financeiro Jr</v>
      </c>
      <c r="H33" s="190" t="str">
        <f>VLOOKUP(A33,Jobmatch!A:I,4,0)</f>
        <v>18 - ADM PROJETOS</v>
      </c>
      <c r="I33" s="191" t="str">
        <f>VLOOKUP(A33,Jobmatch!A:I,5,0)</f>
        <v>Operacional</v>
      </c>
      <c r="J33" s="192">
        <f>VLOOKUP(A33,Jobmatch!A:I,6,0)</f>
        <v>16</v>
      </c>
      <c r="K33" s="190" t="str">
        <f>VLOOKUP(A33,Jobmatch!A:I,7,0)</f>
        <v>Analista Financeiro</v>
      </c>
      <c r="L33" s="193" t="str">
        <f>VLOOKUP(A33,Jobmatch!A:I,8,0)</f>
        <v>Júnior</v>
      </c>
      <c r="M33" s="194" t="str">
        <f t="shared" si="1"/>
        <v>16Júnior</v>
      </c>
      <c r="N33" s="195">
        <f>COUNTIF('Folha de Pagamento'!A:A,A33)</f>
        <v>1</v>
      </c>
      <c r="O33" s="196">
        <f>IFERROR(VLOOKUP(M33,'C-01'!$D:$L,4,0),"")</f>
        <v>2937.55</v>
      </c>
      <c r="P33" s="196">
        <f>IFERROR(VLOOKUP(M33,'C-01'!$D:$L,5,0),"")</f>
        <v>3176.35</v>
      </c>
      <c r="Q33" s="196">
        <f>IFERROR(VLOOKUP(M33,'C-01'!$D:$L,6,0),"")</f>
        <v>3539.11</v>
      </c>
      <c r="R33" s="196">
        <f>IFERROR(VLOOKUP(M33,'C-01'!$D:$L,7,0),"")</f>
        <v>3493.97</v>
      </c>
      <c r="S33" s="196">
        <f>IFERROR(VLOOKUP(M33,'C-01'!$D:$L,8,0),"")</f>
        <v>3798.49</v>
      </c>
      <c r="T33" s="197">
        <f>IFERROR(VLOOKUP(M33,'C-01'!$D:$L,9,0),"")</f>
        <v>4392.23</v>
      </c>
      <c r="U33" s="198">
        <f>IFS('Painel Geral'!$B$5="Mediana",IFERROR(IF(OR(C33="",R33=0,R33=""),"",($C33/$R33)),""),'Painel Geral'!$B$5="Menor Salário",IFERROR(IF(OR(C33="",R33=0,R33=""),"",($C33/$O33)),""),'Painel Geral'!$B$5="1º Quartil",IFERROR(IF(OR(C33="",R33=0,R33=""),"",($C33/$P33)),""), 'Painel Geral'!$B$5="Média",IFERROR(IF(OR(C33="",R33=0,R33=""),"",($C33/$Q33)),""),'Painel Geral'!$B$5="3º Quartil",IFERROR(IF(OR(C33="",R33=0,R33=""),"",($C33/$S33)),""),'Painel Geral'!$B$5="Maior Salário",IFERROR(IF(OR(C33="",R33=0,R33=""),"",($C33/$T33)),""))</f>
        <v>1.142826069</v>
      </c>
      <c r="V33" s="199" t="str">
        <f t="shared" si="2"/>
        <v>Muito Competitivo</v>
      </c>
    </row>
    <row r="34" ht="15.75" customHeight="1">
      <c r="A34" s="184" t="s">
        <v>80</v>
      </c>
      <c r="B34" s="185" t="str">
        <f>VLOOKUP(A34,Jobmatch!A:G,2,0)</f>
        <v>ASSISTENTE FINANCEIRO CONTAS A PAGAR</v>
      </c>
      <c r="C34" s="186">
        <f>IFERROR(AVERAGEIF('Folha de Pagamento'!A:A,A34,'Folha de Pagamento'!J:J),"")</f>
        <v>3163.333333</v>
      </c>
      <c r="D34" s="187">
        <v>6.0</v>
      </c>
      <c r="E34" s="185" t="str">
        <f>VLOOKUP(A34,Jobmatch!A:H,3,0)</f>
        <v>Financeiro</v>
      </c>
      <c r="F34" s="188" t="s">
        <v>354</v>
      </c>
      <c r="G34" s="189" t="str">
        <f>VLOOKUP(F34,'Página24'!A:A,1,0)</f>
        <v>Assistente Financeiro Contas a Pagar</v>
      </c>
      <c r="H34" s="190" t="str">
        <f>VLOOKUP(A34,Jobmatch!A:I,4,0)</f>
        <v>26 - ADM PROJETOS</v>
      </c>
      <c r="I34" s="191" t="str">
        <f>VLOOKUP(A34,Jobmatch!A:I,5,0)</f>
        <v>Operacional</v>
      </c>
      <c r="J34" s="192">
        <f>VLOOKUP(A34,Jobmatch!A:I,6,0)</f>
        <v>79</v>
      </c>
      <c r="K34" s="190" t="str">
        <f>VLOOKUP(A34,Jobmatch!A:I,7,0)</f>
        <v>Assistente Financeiro</v>
      </c>
      <c r="L34" s="193" t="str">
        <f>VLOOKUP(A34,Jobmatch!A:I,8,0)</f>
        <v>Indiferente</v>
      </c>
      <c r="M34" s="194" t="str">
        <f t="shared" si="1"/>
        <v>79Indiferente</v>
      </c>
      <c r="N34" s="195">
        <f>COUNTIF('Folha de Pagamento'!A:A,A34)</f>
        <v>3</v>
      </c>
      <c r="O34" s="196">
        <f>IFERROR(VLOOKUP(M34,'C-01'!$D:$L,4,0),"")</f>
        <v>2465.34</v>
      </c>
      <c r="P34" s="196">
        <f>IFERROR(VLOOKUP(M34,'C-01'!$D:$L,5,0),"")</f>
        <v>2560.05</v>
      </c>
      <c r="Q34" s="196">
        <f>IFERROR(VLOOKUP(M34,'C-01'!$D:$L,6,0),"")</f>
        <v>2799.02</v>
      </c>
      <c r="R34" s="196">
        <f>IFERROR(VLOOKUP(M34,'C-01'!$D:$L,7,0),"")</f>
        <v>2658.89</v>
      </c>
      <c r="S34" s="196">
        <f>IFERROR(VLOOKUP(M34,'C-01'!$D:$L,8,0),"")</f>
        <v>2935.06</v>
      </c>
      <c r="T34" s="197">
        <f>IFERROR(VLOOKUP(M34,'C-01'!$D:$L,9,0),"")</f>
        <v>3630.87</v>
      </c>
      <c r="U34" s="198">
        <f>IFS('Painel Geral'!$B$5="Mediana",IFERROR(IF(OR(C34="",R34=0,R34=""),"",($C34/$R34)),""),'Painel Geral'!$B$5="Menor Salário",IFERROR(IF(OR(C34="",R34=0,R34=""),"",($C34/$O34)),""),'Painel Geral'!$B$5="1º Quartil",IFERROR(IF(OR(C34="",R34=0,R34=""),"",($C34/$P34)),""), 'Painel Geral'!$B$5="Média",IFERROR(IF(OR(C34="",R34=0,R34=""),"",($C34/$Q34)),""),'Painel Geral'!$B$5="3º Quartil",IFERROR(IF(OR(C34="",R34=0,R34=""),"",($C34/$S34)),""),'Painel Geral'!$B$5="Maior Salário",IFERROR(IF(OR(C34="",R34=0,R34=""),"",($C34/$T34)),""))</f>
        <v>1.18971952</v>
      </c>
      <c r="V34" s="199" t="str">
        <f t="shared" si="2"/>
        <v>Muito Competitivo</v>
      </c>
    </row>
    <row r="35" ht="15.75" customHeight="1">
      <c r="A35" s="184" t="s">
        <v>115</v>
      </c>
      <c r="B35" s="185" t="str">
        <f>VLOOKUP(A35,Jobmatch!A:G,2,0)</f>
        <v>COORDENADOR FINANCEIRO</v>
      </c>
      <c r="C35" s="186">
        <f>IFERROR(AVERAGEIF('Folha de Pagamento'!A:A,A35,'Folha de Pagamento'!J:J),"")</f>
        <v>7947.019868</v>
      </c>
      <c r="D35" s="187">
        <v>6.0</v>
      </c>
      <c r="E35" s="185" t="str">
        <f>VLOOKUP(A35,Jobmatch!A:H,3,0)</f>
        <v>Financeiro</v>
      </c>
      <c r="F35" s="188" t="s">
        <v>276</v>
      </c>
      <c r="G35" s="189" t="str">
        <f>VLOOKUP(F35,'Página24'!A:A,1,0)</f>
        <v>Coordenador Financeiro</v>
      </c>
      <c r="H35" s="190" t="str">
        <f>VLOOKUP(A35,Jobmatch!A:I,4,0)</f>
        <v>39 - ADM PROJETOS</v>
      </c>
      <c r="I35" s="191" t="str">
        <f>VLOOKUP(A35,Jobmatch!A:I,5,0)</f>
        <v>Tático</v>
      </c>
      <c r="J35" s="192">
        <f>VLOOKUP(A35,Jobmatch!A:I,6,0)</f>
        <v>122</v>
      </c>
      <c r="K35" s="190" t="str">
        <f>VLOOKUP(A35,Jobmatch!A:I,7,0)</f>
        <v>Coordenador Financeiro</v>
      </c>
      <c r="L35" s="193" t="str">
        <f>VLOOKUP(A35,Jobmatch!A:I,8,0)</f>
        <v>Indiferente</v>
      </c>
      <c r="M35" s="194" t="str">
        <f t="shared" si="1"/>
        <v>122Indiferente</v>
      </c>
      <c r="N35" s="195">
        <f>COUNTIF('Folha de Pagamento'!A:A,A35)</f>
        <v>1</v>
      </c>
      <c r="O35" s="196">
        <f>IFERROR(VLOOKUP(M35,'C-01'!$D:$L,4,0),"")</f>
        <v>5281.61</v>
      </c>
      <c r="P35" s="196">
        <f>IFERROR(VLOOKUP(M35,'C-01'!$D:$L,5,0),"")</f>
        <v>6325.01</v>
      </c>
      <c r="Q35" s="196">
        <f>IFERROR(VLOOKUP(M35,'C-01'!$D:$L,6,0),"")</f>
        <v>7452.59</v>
      </c>
      <c r="R35" s="196">
        <f>IFERROR(VLOOKUP(M35,'C-01'!$D:$L,7,0),"")</f>
        <v>7558.57</v>
      </c>
      <c r="S35" s="196">
        <f>IFERROR(VLOOKUP(M35,'C-01'!$D:$L,8,0),"")</f>
        <v>8691.7</v>
      </c>
      <c r="T35" s="197">
        <f>IFERROR(VLOOKUP(M35,'C-01'!$D:$L,9,0),"")</f>
        <v>9982.25</v>
      </c>
      <c r="U35" s="198">
        <f>IFS('Painel Geral'!$B$5="Mediana",IFERROR(IF(OR(C35="",R35=0,R35=""),"",($C35/$R35)),""),'Painel Geral'!$B$5="Menor Salário",IFERROR(IF(OR(C35="",R35=0,R35=""),"",($C35/$O35)),""),'Painel Geral'!$B$5="1º Quartil",IFERROR(IF(OR(C35="",R35=0,R35=""),"",($C35/$P35)),""), 'Painel Geral'!$B$5="Média",IFERROR(IF(OR(C35="",R35=0,R35=""),"",($C35/$Q35)),""),'Painel Geral'!$B$5="3º Quartil",IFERROR(IF(OR(C35="",R35=0,R35=""),"",($C35/$S35)),""),'Painel Geral'!$B$5="Maior Salário",IFERROR(IF(OR(C35="",R35=0,R35=""),"",($C35/$T35)),""))</f>
        <v>1.051391979</v>
      </c>
      <c r="V35" s="199" t="str">
        <f t="shared" si="2"/>
        <v>Competitivo</v>
      </c>
    </row>
    <row r="36" ht="15.75" customHeight="1">
      <c r="A36" s="184" t="s">
        <v>180</v>
      </c>
      <c r="B36" s="185" t="str">
        <f>VLOOKUP(A36,Jobmatch!A:G,2,0)</f>
        <v>SUPERVISOR(A) FINANCEIRO I</v>
      </c>
      <c r="C36" s="186">
        <f>IFERROR(AVERAGEIF('Folha de Pagamento'!A:A,A36,'Folha de Pagamento'!J:J),"")</f>
        <v>5955.08</v>
      </c>
      <c r="D36" s="187">
        <v>6.0</v>
      </c>
      <c r="E36" s="185" t="str">
        <f>VLOOKUP(A36,Jobmatch!A:H,3,0)</f>
        <v>Financeiro</v>
      </c>
      <c r="F36" s="188" t="s">
        <v>355</v>
      </c>
      <c r="G36" s="189" t="str">
        <f>VLOOKUP(F36,'Página24'!A:A,1,0)</f>
        <v>#N/A</v>
      </c>
      <c r="H36" s="190" t="str">
        <f>VLOOKUP(A36,Jobmatch!A:I,4,0)</f>
        <v>59 - ADM PROJETOS</v>
      </c>
      <c r="I36" s="191" t="str">
        <f>VLOOKUP(A36,Jobmatch!A:I,5,0)</f>
        <v>Operacional</v>
      </c>
      <c r="J36" s="192">
        <f>VLOOKUP(A36,Jobmatch!A:I,6,0)</f>
        <v>469</v>
      </c>
      <c r="K36" s="190" t="str">
        <f>VLOOKUP(A36,Jobmatch!A:I,7,0)</f>
        <v>Supervisor Financeiro</v>
      </c>
      <c r="L36" s="193" t="str">
        <f>VLOOKUP(A36,Jobmatch!A:I,8,0)</f>
        <v>Júnior</v>
      </c>
      <c r="M36" s="194" t="str">
        <f t="shared" si="1"/>
        <v>469Júnior</v>
      </c>
      <c r="N36" s="195">
        <f>COUNTIF('Folha de Pagamento'!A:A,A36)</f>
        <v>2</v>
      </c>
      <c r="O36" s="196">
        <f>IFERROR(VLOOKUP(M36,'C-01'!$D:$L,4,0),"")</f>
        <v>0</v>
      </c>
      <c r="P36" s="196">
        <f>IFERROR(VLOOKUP(M36,'C-01'!$D:$L,5,0),"")</f>
        <v>0</v>
      </c>
      <c r="Q36" s="196">
        <f>IFERROR(VLOOKUP(M36,'C-01'!$D:$L,6,0),"")</f>
        <v>0</v>
      </c>
      <c r="R36" s="196">
        <f>IFERROR(VLOOKUP(M36,'C-01'!$D:$L,7,0),"")</f>
        <v>0</v>
      </c>
      <c r="S36" s="196">
        <f>IFERROR(VLOOKUP(M36,'C-01'!$D:$L,8,0),"")</f>
        <v>0</v>
      </c>
      <c r="T36" s="197">
        <f>IFERROR(VLOOKUP(M36,'C-01'!$D:$L,9,0),"")</f>
        <v>0</v>
      </c>
      <c r="U36" s="198" t="str">
        <f>IFS('Painel Geral'!$B$5="Mediana",IFERROR(IF(OR(C36="",R36=0,R36=""),"",($C36/$R36)),""),'Painel Geral'!$B$5="Menor Salário",IFERROR(IF(OR(C36="",R36=0,R36=""),"",($C36/$O36)),""),'Painel Geral'!$B$5="1º Quartil",IFERROR(IF(OR(C36="",R36=0,R36=""),"",($C36/$P36)),""), 'Painel Geral'!$B$5="Média",IFERROR(IF(OR(C36="",R36=0,R36=""),"",($C36/$Q36)),""),'Painel Geral'!$B$5="3º Quartil",IFERROR(IF(OR(C36="",R36=0,R36=""),"",($C36/$S36)),""),'Painel Geral'!$B$5="Maior Salário",IFERROR(IF(OR(C36="",R36=0,R36=""),"",($C36/$T36)),""))</f>
        <v/>
      </c>
      <c r="V36" s="199" t="str">
        <f t="shared" si="2"/>
        <v/>
      </c>
    </row>
    <row r="37" ht="15.75" customHeight="1">
      <c r="A37" s="184" t="s">
        <v>162</v>
      </c>
      <c r="B37" s="185" t="str">
        <f>VLOOKUP(A37,Jobmatch!A:G,2,0)</f>
        <v>GERENTE DE INCORPORAÇÃO </v>
      </c>
      <c r="C37" s="186">
        <f>IFERROR(AVERAGEIF('Folha de Pagamento'!A:A,A37,'Folha de Pagamento'!J:J),"")</f>
        <v>14045.45455</v>
      </c>
      <c r="D37" s="187">
        <v>7.0</v>
      </c>
      <c r="E37" s="185" t="str">
        <f>VLOOKUP(A37,Jobmatch!A:H,3,0)</f>
        <v>Incorporação</v>
      </c>
      <c r="F37" s="188" t="s">
        <v>356</v>
      </c>
      <c r="G37" s="189" t="str">
        <f>VLOOKUP(F37,'Página24'!A:A,1,0)</f>
        <v>#N/A</v>
      </c>
      <c r="H37" s="190" t="str">
        <f>VLOOKUP(A37,Jobmatch!A:I,4,0)</f>
        <v>54 - ADM PROJETOS</v>
      </c>
      <c r="I37" s="191" t="str">
        <f>VLOOKUP(A37,Jobmatch!A:I,5,0)</f>
        <v>Tático</v>
      </c>
      <c r="J37" s="192">
        <f>VLOOKUP(A37,Jobmatch!A:I,6,0)</f>
        <v>548</v>
      </c>
      <c r="K37" s="190" t="str">
        <f>VLOOKUP(A37,Jobmatch!A:I,7,0)</f>
        <v>Gerente de Incorporação</v>
      </c>
      <c r="L37" s="193" t="str">
        <f>VLOOKUP(A37,Jobmatch!A:I,8,0)</f>
        <v>Indiferente</v>
      </c>
      <c r="M37" s="194" t="str">
        <f t="shared" si="1"/>
        <v>548Indiferente</v>
      </c>
      <c r="N37" s="195">
        <f>COUNTIF('Folha de Pagamento'!A:A,A37)</f>
        <v>1</v>
      </c>
      <c r="O37" s="196">
        <f>IFERROR(VLOOKUP(M37,'C-01'!$D:$L,4,0),"")</f>
        <v>0</v>
      </c>
      <c r="P37" s="196">
        <f>IFERROR(VLOOKUP(M37,'C-01'!$D:$L,5,0),"")</f>
        <v>0</v>
      </c>
      <c r="Q37" s="196">
        <f>IFERROR(VLOOKUP(M37,'C-01'!$D:$L,6,0),"")</f>
        <v>0</v>
      </c>
      <c r="R37" s="196">
        <f>IFERROR(VLOOKUP(M37,'C-01'!$D:$L,7,0),"")</f>
        <v>0</v>
      </c>
      <c r="S37" s="196">
        <f>IFERROR(VLOOKUP(M37,'C-01'!$D:$L,8,0),"")</f>
        <v>0</v>
      </c>
      <c r="T37" s="197">
        <f>IFERROR(VLOOKUP(M37,'C-01'!$D:$L,9,0),"")</f>
        <v>0</v>
      </c>
      <c r="U37" s="198" t="str">
        <f>IFS('Painel Geral'!$B$5="Mediana",IFERROR(IF(OR(C37="",R37=0,R37=""),"",($C37/$R37)),""),'Painel Geral'!$B$5="Menor Salário",IFERROR(IF(OR(C37="",R37=0,R37=""),"",($C37/$O37)),""),'Painel Geral'!$B$5="1º Quartil",IFERROR(IF(OR(C37="",R37=0,R37=""),"",($C37/$P37)),""), 'Painel Geral'!$B$5="Média",IFERROR(IF(OR(C37="",R37=0,R37=""),"",($C37/$Q37)),""),'Painel Geral'!$B$5="3º Quartil",IFERROR(IF(OR(C37="",R37=0,R37=""),"",($C37/$S37)),""),'Painel Geral'!$B$5="Maior Salário",IFERROR(IF(OR(C37="",R37=0,R37=""),"",($C37/$T37)),""))</f>
        <v/>
      </c>
      <c r="V37" s="199" t="str">
        <f t="shared" si="2"/>
        <v/>
      </c>
    </row>
    <row r="38" ht="15.75" customHeight="1">
      <c r="A38" s="184" t="s">
        <v>33</v>
      </c>
      <c r="B38" s="185" t="str">
        <f>VLOOKUP(A38,Jobmatch!A:G,2,0)</f>
        <v>ANALISTA DE INOVAÇÃO</v>
      </c>
      <c r="C38" s="186">
        <f>IFERROR(AVERAGEIF('Folha de Pagamento'!A:A,A38,'Folha de Pagamento'!J:J),"")</f>
        <v>7299.270073</v>
      </c>
      <c r="D38" s="187">
        <v>7.0</v>
      </c>
      <c r="E38" s="185" t="str">
        <f>VLOOKUP(A38,Jobmatch!A:H,3,0)</f>
        <v>Inovação</v>
      </c>
      <c r="F38" s="188" t="s">
        <v>357</v>
      </c>
      <c r="G38" s="189" t="str">
        <f>VLOOKUP(F38,'Página24'!A:A,1,0)</f>
        <v>Analista Inovação</v>
      </c>
      <c r="H38" s="190" t="str">
        <f>VLOOKUP(A38,Jobmatch!A:I,4,0)</f>
        <v>11 - ADM PROJETOS</v>
      </c>
      <c r="I38" s="191" t="str">
        <f>VLOOKUP(A38,Jobmatch!A:I,5,0)</f>
        <v>Tático</v>
      </c>
      <c r="J38" s="192">
        <f>VLOOKUP(A38,Jobmatch!A:I,6,0)</f>
        <v>437</v>
      </c>
      <c r="K38" s="190" t="str">
        <f>VLOOKUP(A38,Jobmatch!A:I,7,0)</f>
        <v>Analista de Inovação</v>
      </c>
      <c r="L38" s="193" t="str">
        <f>VLOOKUP(A38,Jobmatch!A:I,8,0)</f>
        <v>Indiferente</v>
      </c>
      <c r="M38" s="194" t="str">
        <f t="shared" si="1"/>
        <v>437Indiferente</v>
      </c>
      <c r="N38" s="195">
        <f>COUNTIF('Folha de Pagamento'!A:A,A38)</f>
        <v>1</v>
      </c>
      <c r="O38" s="196">
        <f>IFERROR(VLOOKUP(M38,'C-01'!$D:$L,4,0),"")</f>
        <v>4634.38</v>
      </c>
      <c r="P38" s="196">
        <f>IFERROR(VLOOKUP(M38,'C-01'!$D:$L,5,0),"")</f>
        <v>5268.47</v>
      </c>
      <c r="Q38" s="196">
        <f>IFERROR(VLOOKUP(M38,'C-01'!$D:$L,6,0),"")</f>
        <v>5831.57</v>
      </c>
      <c r="R38" s="196">
        <f>IFERROR(VLOOKUP(M38,'C-01'!$D:$L,7,0),"")</f>
        <v>5268.47</v>
      </c>
      <c r="S38" s="196">
        <f>IFERROR(VLOOKUP(M38,'C-01'!$D:$L,8,0),"")</f>
        <v>6822.26</v>
      </c>
      <c r="T38" s="197">
        <f>IFERROR(VLOOKUP(M38,'C-01'!$D:$L,9,0),"")</f>
        <v>7760.14</v>
      </c>
      <c r="U38" s="198">
        <f>IFS('Painel Geral'!$B$5="Mediana",IFERROR(IF(OR(C38="",R38=0,R38=""),"",($C38/$R38)),""),'Painel Geral'!$B$5="Menor Salário",IFERROR(IF(OR(C38="",R38=0,R38=""),"",($C38/$O38)),""),'Painel Geral'!$B$5="1º Quartil",IFERROR(IF(OR(C38="",R38=0,R38=""),"",($C38/$P38)),""), 'Painel Geral'!$B$5="Média",IFERROR(IF(OR(C38="",R38=0,R38=""),"",($C38/$Q38)),""),'Painel Geral'!$B$5="3º Quartil",IFERROR(IF(OR(C38="",R38=0,R38=""),"",($C38/$S38)),""),'Painel Geral'!$B$5="Maior Salário",IFERROR(IF(OR(C38="",R38=0,R38=""),"",($C38/$T38)),""))</f>
        <v>1.385462966</v>
      </c>
      <c r="V38" s="199" t="str">
        <f t="shared" si="2"/>
        <v>Agressivo</v>
      </c>
    </row>
    <row r="39" ht="15.75" customHeight="1">
      <c r="A39" s="184" t="s">
        <v>61</v>
      </c>
      <c r="B39" s="185" t="str">
        <f>VLOOKUP(A39,Jobmatch!A:G,2,0)</f>
        <v>ASSISTENTE ADM DE LEGALIZAÇÃO III</v>
      </c>
      <c r="C39" s="186">
        <f>IFERROR(AVERAGEIF('Folha de Pagamento'!A:A,A39,'Folha de Pagamento'!J:J),"")</f>
        <v>3652</v>
      </c>
      <c r="D39" s="187">
        <v>7.0</v>
      </c>
      <c r="E39" s="185" t="str">
        <f>VLOOKUP(A39,Jobmatch!A:H,3,0)</f>
        <v>Legalização </v>
      </c>
      <c r="F39" s="188" t="s">
        <v>358</v>
      </c>
      <c r="G39" s="189" t="str">
        <f>VLOOKUP(F39,'Página24'!A:A,1,0)</f>
        <v>Assistente Adm Legalização Sr</v>
      </c>
      <c r="H39" s="190" t="str">
        <f>VLOOKUP(A39,Jobmatch!A:I,4,0)</f>
        <v>19 - ADM PROJETOS</v>
      </c>
      <c r="I39" s="191" t="str">
        <f>VLOOKUP(A39,Jobmatch!A:I,5,0)</f>
        <v>Operacional</v>
      </c>
      <c r="J39" s="192">
        <f>VLOOKUP(A39,Jobmatch!A:I,6,0)</f>
        <v>1201</v>
      </c>
      <c r="K39" s="190" t="str">
        <f>VLOOKUP(A39,Jobmatch!A:I,7,0)</f>
        <v>Assistente de Legalização</v>
      </c>
      <c r="L39" s="193" t="str">
        <f>VLOOKUP(A39,Jobmatch!A:I,8,0)</f>
        <v>Indiferente</v>
      </c>
      <c r="M39" s="194" t="str">
        <f t="shared" si="1"/>
        <v>1201Indiferente</v>
      </c>
      <c r="N39" s="195">
        <f>COUNTIF('Folha de Pagamento'!A:A,A39)</f>
        <v>2</v>
      </c>
      <c r="O39" s="196">
        <f>IFERROR(VLOOKUP(M39,'C-01'!$D:$L,4,0),"")</f>
        <v>2513.75</v>
      </c>
      <c r="P39" s="196">
        <f>IFERROR(VLOOKUP(M39,'C-01'!$D:$L,5,0),"")</f>
        <v>2803.34</v>
      </c>
      <c r="Q39" s="196">
        <f>IFERROR(VLOOKUP(M39,'C-01'!$D:$L,6,0),"")</f>
        <v>3092.92</v>
      </c>
      <c r="R39" s="196">
        <f>IFERROR(VLOOKUP(M39,'C-01'!$D:$L,7,0),"")</f>
        <v>3092.92</v>
      </c>
      <c r="S39" s="196">
        <f>IFERROR(VLOOKUP(M39,'C-01'!$D:$L,8,0),"")</f>
        <v>3382.51</v>
      </c>
      <c r="T39" s="197">
        <f>IFERROR(VLOOKUP(M39,'C-01'!$D:$L,9,0),"")</f>
        <v>3672.09</v>
      </c>
      <c r="U39" s="198">
        <f>IFS('Painel Geral'!$B$5="Mediana",IFERROR(IF(OR(C39="",R39=0,R39=""),"",($C39/$R39)),""),'Painel Geral'!$B$5="Menor Salário",IFERROR(IF(OR(C39="",R39=0,R39=""),"",($C39/$O39)),""),'Painel Geral'!$B$5="1º Quartil",IFERROR(IF(OR(C39="",R39=0,R39=""),"",($C39/$P39)),""), 'Painel Geral'!$B$5="Média",IFERROR(IF(OR(C39="",R39=0,R39=""),"",($C39/$Q39)),""),'Painel Geral'!$B$5="3º Quartil",IFERROR(IF(OR(C39="",R39=0,R39=""),"",($C39/$S39)),""),'Painel Geral'!$B$5="Maior Salário",IFERROR(IF(OR(C39="",R39=0,R39=""),"",($C39/$T39)),""))</f>
        <v>1.180761222</v>
      </c>
      <c r="V39" s="199" t="str">
        <f t="shared" si="2"/>
        <v>Muito Competitivo</v>
      </c>
    </row>
    <row r="40" ht="15.75" customHeight="1">
      <c r="A40" s="184" t="s">
        <v>104</v>
      </c>
      <c r="B40" s="185" t="str">
        <f>VLOOKUP(A40,Jobmatch!A:G,2,0)</f>
        <v>COORDENADOR DE LEGAIZAÇÃO ll</v>
      </c>
      <c r="C40" s="186">
        <f>IFERROR(AVERAGEIF('Folha de Pagamento'!A:A,A40,'Folha de Pagamento'!J:J),"")</f>
        <v>8647</v>
      </c>
      <c r="D40" s="187">
        <v>7.0</v>
      </c>
      <c r="E40" s="185" t="str">
        <f>VLOOKUP(A40,Jobmatch!A:H,3,0)</f>
        <v>Legalização </v>
      </c>
      <c r="F40" s="188" t="s">
        <v>359</v>
      </c>
      <c r="G40" s="189" t="str">
        <f>VLOOKUP(F40,'Página24'!A:A,1,0)</f>
        <v>Coordenador Legalização Pl</v>
      </c>
      <c r="H40" s="190" t="str">
        <f>VLOOKUP(A40,Jobmatch!A:I,4,0)</f>
        <v>35 - ADM PROJETOS</v>
      </c>
      <c r="I40" s="191" t="str">
        <f>VLOOKUP(A40,Jobmatch!A:I,5,0)</f>
        <v>Tático</v>
      </c>
      <c r="J40" s="192">
        <f>VLOOKUP(A40,Jobmatch!A:I,6,0)</f>
        <v>1203</v>
      </c>
      <c r="K40" s="190" t="str">
        <f>VLOOKUP(A40,Jobmatch!A:I,7,0)</f>
        <v>Coordenador de Legalização</v>
      </c>
      <c r="L40" s="193" t="str">
        <f>VLOOKUP(A40,Jobmatch!A:I,8,0)</f>
        <v>Indiferente</v>
      </c>
      <c r="M40" s="194" t="str">
        <f t="shared" si="1"/>
        <v>1203Indiferente</v>
      </c>
      <c r="N40" s="195">
        <f>COUNTIF('Folha de Pagamento'!A:A,A40)</f>
        <v>1</v>
      </c>
      <c r="O40" s="196">
        <f>IFERROR(VLOOKUP(M40,'C-01'!$D:$L,4,0),"")</f>
        <v>8694.57</v>
      </c>
      <c r="P40" s="196">
        <f>IFERROR(VLOOKUP(M40,'C-01'!$D:$L,5,0),"")</f>
        <v>8783.31</v>
      </c>
      <c r="Q40" s="196">
        <f>IFERROR(VLOOKUP(M40,'C-01'!$D:$L,6,0),"")</f>
        <v>8872.04</v>
      </c>
      <c r="R40" s="196">
        <f>IFERROR(VLOOKUP(M40,'C-01'!$D:$L,7,0),"")</f>
        <v>8872.04</v>
      </c>
      <c r="S40" s="196">
        <f>IFERROR(VLOOKUP(M40,'C-01'!$D:$L,8,0),"")</f>
        <v>8960.78</v>
      </c>
      <c r="T40" s="197">
        <f>IFERROR(VLOOKUP(M40,'C-01'!$D:$L,9,0),"")</f>
        <v>9049.51</v>
      </c>
      <c r="U40" s="198">
        <f>IFS('Painel Geral'!$B$5="Mediana",IFERROR(IF(OR(C40="",R40=0,R40=""),"",($C40/$R40)),""),'Painel Geral'!$B$5="Menor Salário",IFERROR(IF(OR(C40="",R40=0,R40=""),"",($C40/$O40)),""),'Painel Geral'!$B$5="1º Quartil",IFERROR(IF(OR(C40="",R40=0,R40=""),"",($C40/$P40)),""), 'Painel Geral'!$B$5="Média",IFERROR(IF(OR(C40="",R40=0,R40=""),"",($C40/$Q40)),""),'Painel Geral'!$B$5="3º Quartil",IFERROR(IF(OR(C40="",R40=0,R40=""),"",($C40/$S40)),""),'Painel Geral'!$B$5="Maior Salário",IFERROR(IF(OR(C40="",R40=0,R40=""),"",($C40/$T40)),""))</f>
        <v>0.9746349205</v>
      </c>
      <c r="V40" s="199" t="str">
        <f t="shared" si="2"/>
        <v>Na Média</v>
      </c>
    </row>
    <row r="41" ht="15.75" customHeight="1">
      <c r="A41" s="184" t="s">
        <v>29</v>
      </c>
      <c r="B41" s="185" t="str">
        <f>VLOOKUP(A41,Jobmatch!A:G,2,0)</f>
        <v>ANALISTA DE CRIAÇAO</v>
      </c>
      <c r="C41" s="186">
        <f>IFERROR(AVERAGEIF('Folha de Pagamento'!A:A,A41,'Folha de Pagamento'!J:J),"")</f>
        <v>5429</v>
      </c>
      <c r="D41" s="187">
        <v>8.0</v>
      </c>
      <c r="E41" s="185" t="str">
        <f>VLOOKUP(A41,Jobmatch!A:H,3,0)</f>
        <v>Marketing</v>
      </c>
      <c r="F41" s="188" t="s">
        <v>360</v>
      </c>
      <c r="G41" s="189" t="str">
        <f>VLOOKUP(F41,'Página24'!A:A,1,0)</f>
        <v>Analista Criação</v>
      </c>
      <c r="H41" s="190" t="str">
        <f>VLOOKUP(A41,Jobmatch!A:I,4,0)</f>
        <v>10 - ADM PROJETOS</v>
      </c>
      <c r="I41" s="191" t="str">
        <f>VLOOKUP(A41,Jobmatch!A:I,5,0)</f>
        <v>Operacional</v>
      </c>
      <c r="J41" s="192">
        <f>VLOOKUP(A41,Jobmatch!A:I,6,0)</f>
        <v>45</v>
      </c>
      <c r="K41" s="190" t="str">
        <f>VLOOKUP(A41,Jobmatch!A:I,7,0)</f>
        <v>Analista de Criação</v>
      </c>
      <c r="L41" s="193" t="str">
        <f>VLOOKUP(A41,Jobmatch!A:I,8,0)</f>
        <v>Indiferente</v>
      </c>
      <c r="M41" s="194" t="str">
        <f t="shared" si="1"/>
        <v>45Indiferente</v>
      </c>
      <c r="N41" s="195">
        <f>COUNTIF('Folha de Pagamento'!A:A,A41)</f>
        <v>1</v>
      </c>
      <c r="O41" s="196">
        <f>IFERROR(VLOOKUP(M41,'C-01'!$D:$L,4,0),"")</f>
        <v>2771.48</v>
      </c>
      <c r="P41" s="196">
        <f>IFERROR(VLOOKUP(M41,'C-01'!$D:$L,5,0),"")</f>
        <v>3527.33</v>
      </c>
      <c r="Q41" s="196">
        <f>IFERROR(VLOOKUP(M41,'C-01'!$D:$L,6,0),"")</f>
        <v>4325.16</v>
      </c>
      <c r="R41" s="196">
        <f>IFERROR(VLOOKUP(M41,'C-01'!$D:$L,7,0),"")</f>
        <v>4325.72</v>
      </c>
      <c r="S41" s="196">
        <f>IFERROR(VLOOKUP(M41,'C-01'!$D:$L,8,0),"")</f>
        <v>4988.66</v>
      </c>
      <c r="T41" s="197">
        <f>IFERROR(VLOOKUP(M41,'C-01'!$D:$L,9,0),"")</f>
        <v>6418.74</v>
      </c>
      <c r="U41" s="198">
        <f>IFS('Painel Geral'!$B$5="Mediana",IFERROR(IF(OR(C41="",R41=0,R41=""),"",($C41/$R41)),""),'Painel Geral'!$B$5="Menor Salário",IFERROR(IF(OR(C41="",R41=0,R41=""),"",($C41/$O41)),""),'Painel Geral'!$B$5="1º Quartil",IFERROR(IF(OR(C41="",R41=0,R41=""),"",($C41/$P41)),""), 'Painel Geral'!$B$5="Média",IFERROR(IF(OR(C41="",R41=0,R41=""),"",($C41/$Q41)),""),'Painel Geral'!$B$5="3º Quartil",IFERROR(IF(OR(C41="",R41=0,R41=""),"",($C41/$S41)),""),'Painel Geral'!$B$5="Maior Salário",IFERROR(IF(OR(C41="",R41=0,R41=""),"",($C41/$T41)),""))</f>
        <v>1.255051182</v>
      </c>
      <c r="V41" s="199" t="str">
        <f t="shared" si="2"/>
        <v>Agressivo</v>
      </c>
    </row>
    <row r="42" ht="15.75" customHeight="1">
      <c r="A42" s="184" t="s">
        <v>43</v>
      </c>
      <c r="B42" s="185" t="str">
        <f>VLOOKUP(A42,Jobmatch!A:G,2,0)</f>
        <v>ANALISTA DE MARKETING l</v>
      </c>
      <c r="C42" s="186">
        <f>IFERROR(AVERAGEIF('Folha de Pagamento'!A:A,A42,'Folha de Pagamento'!J:J),"")</f>
        <v>4025.88</v>
      </c>
      <c r="D42" s="187">
        <v>8.0</v>
      </c>
      <c r="E42" s="185" t="str">
        <f>VLOOKUP(A42,Jobmatch!A:H,3,0)</f>
        <v>Marketing</v>
      </c>
      <c r="F42" s="188" t="s">
        <v>361</v>
      </c>
      <c r="G42" s="189" t="str">
        <f>VLOOKUP(F42,'Página24'!A:A,1,0)</f>
        <v>Analista Marketing Jr</v>
      </c>
      <c r="H42" s="190" t="str">
        <f>VLOOKUP(A42,Jobmatch!A:I,4,0)</f>
        <v>13 - ADM PROJETOS</v>
      </c>
      <c r="I42" s="191" t="str">
        <f>VLOOKUP(A42,Jobmatch!A:I,5,0)</f>
        <v>Operacional</v>
      </c>
      <c r="J42" s="192">
        <f>VLOOKUP(A42,Jobmatch!A:I,6,0)</f>
        <v>42</v>
      </c>
      <c r="K42" s="190" t="str">
        <f>VLOOKUP(A42,Jobmatch!A:I,7,0)</f>
        <v>Analista de Marketing</v>
      </c>
      <c r="L42" s="193" t="str">
        <f>VLOOKUP(A42,Jobmatch!A:I,8,0)</f>
        <v>Júnior</v>
      </c>
      <c r="M42" s="194" t="str">
        <f t="shared" si="1"/>
        <v>42Júnior</v>
      </c>
      <c r="N42" s="195">
        <f>COUNTIF('Folha de Pagamento'!A:A,A42)</f>
        <v>1</v>
      </c>
      <c r="O42" s="196">
        <f>IFERROR(VLOOKUP(M42,'C-01'!$D:$L,4,0),"")</f>
        <v>2523.15</v>
      </c>
      <c r="P42" s="196">
        <f>IFERROR(VLOOKUP(M42,'C-01'!$D:$L,5,0),"")</f>
        <v>3503.85</v>
      </c>
      <c r="Q42" s="196">
        <f>IFERROR(VLOOKUP(M42,'C-01'!$D:$L,6,0),"")</f>
        <v>3792.81</v>
      </c>
      <c r="R42" s="196">
        <f>IFERROR(VLOOKUP(M42,'C-01'!$D:$L,7,0),"")</f>
        <v>3674.96</v>
      </c>
      <c r="S42" s="196">
        <f>IFERROR(VLOOKUP(M42,'C-01'!$D:$L,8,0),"")</f>
        <v>3977.13</v>
      </c>
      <c r="T42" s="197">
        <f>IFERROR(VLOOKUP(M42,'C-01'!$D:$L,9,0),"")</f>
        <v>5225.68</v>
      </c>
      <c r="U42" s="198">
        <f>IFS('Painel Geral'!$B$5="Mediana",IFERROR(IF(OR(C42="",R42=0,R42=""),"",($C42/$R42)),""),'Painel Geral'!$B$5="Menor Salário",IFERROR(IF(OR(C42="",R42=0,R42=""),"",($C42/$O42)),""),'Painel Geral'!$B$5="1º Quartil",IFERROR(IF(OR(C42="",R42=0,R42=""),"",($C42/$P42)),""), 'Painel Geral'!$B$5="Média",IFERROR(IF(OR(C42="",R42=0,R42=""),"",($C42/$Q42)),""),'Painel Geral'!$B$5="3º Quartil",IFERROR(IF(OR(C42="",R42=0,R42=""),"",($C42/$S42)),""),'Painel Geral'!$B$5="Maior Salário",IFERROR(IF(OR(C42="",R42=0,R42=""),"",($C42/$T42)),""))</f>
        <v>1.095489475</v>
      </c>
      <c r="V42" s="199" t="str">
        <f t="shared" si="2"/>
        <v>Competitivo</v>
      </c>
    </row>
    <row r="43" ht="15.75" customHeight="1">
      <c r="A43" s="184" t="s">
        <v>72</v>
      </c>
      <c r="B43" s="185" t="str">
        <f>VLOOKUP(A43,Jobmatch!A:G,2,0)</f>
        <v>ASSISTENTE DE MARKETING</v>
      </c>
      <c r="C43" s="186">
        <f>IFERROR(AVERAGEIF('Folha de Pagamento'!A:A,A43,'Folha de Pagamento'!J:J),"")</f>
        <v>2919</v>
      </c>
      <c r="D43" s="187">
        <v>8.0</v>
      </c>
      <c r="E43" s="185" t="str">
        <f>VLOOKUP(A43,Jobmatch!A:H,3,0)</f>
        <v>Marketing</v>
      </c>
      <c r="F43" s="188" t="s">
        <v>362</v>
      </c>
      <c r="G43" s="189" t="str">
        <f>VLOOKUP(F43,'Página24'!A:A,1,0)</f>
        <v>Assistente Marketing</v>
      </c>
      <c r="H43" s="190" t="str">
        <f>VLOOKUP(A43,Jobmatch!A:I,4,0)</f>
        <v>23 - ADM PROJETOS</v>
      </c>
      <c r="I43" s="191" t="str">
        <f>VLOOKUP(A43,Jobmatch!A:I,5,0)</f>
        <v>Operacional</v>
      </c>
      <c r="J43" s="192">
        <f>VLOOKUP(A43,Jobmatch!A:I,6,0)</f>
        <v>71</v>
      </c>
      <c r="K43" s="190" t="str">
        <f>VLOOKUP(A43,Jobmatch!A:I,7,0)</f>
        <v>Assistente de Marketing</v>
      </c>
      <c r="L43" s="193" t="str">
        <f>VLOOKUP(A43,Jobmatch!A:I,8,0)</f>
        <v>Indiferente</v>
      </c>
      <c r="M43" s="194" t="str">
        <f t="shared" si="1"/>
        <v>71Indiferente</v>
      </c>
      <c r="N43" s="195">
        <f>COUNTIF('Folha de Pagamento'!A:A,A43)</f>
        <v>1</v>
      </c>
      <c r="O43" s="196">
        <f>IFERROR(VLOOKUP(M43,'C-01'!$D:$L,4,0),"")</f>
        <v>2347.95</v>
      </c>
      <c r="P43" s="196">
        <f>IFERROR(VLOOKUP(M43,'C-01'!$D:$L,5,0),"")</f>
        <v>2720.21</v>
      </c>
      <c r="Q43" s="196">
        <f>IFERROR(VLOOKUP(M43,'C-01'!$D:$L,6,0),"")</f>
        <v>3016.74</v>
      </c>
      <c r="R43" s="196">
        <f>IFERROR(VLOOKUP(M43,'C-01'!$D:$L,7,0),"")</f>
        <v>2882.27</v>
      </c>
      <c r="S43" s="196">
        <f>IFERROR(VLOOKUP(M43,'C-01'!$D:$L,8,0),"")</f>
        <v>3152.81</v>
      </c>
      <c r="T43" s="197">
        <f>IFERROR(VLOOKUP(M43,'C-01'!$D:$L,9,0),"")</f>
        <v>4078.78</v>
      </c>
      <c r="U43" s="198">
        <f>IFS('Painel Geral'!$B$5="Mediana",IFERROR(IF(OR(C43="",R43=0,R43=""),"",($C43/$R43)),""),'Painel Geral'!$B$5="Menor Salário",IFERROR(IF(OR(C43="",R43=0,R43=""),"",($C43/$O43)),""),'Painel Geral'!$B$5="1º Quartil",IFERROR(IF(OR(C43="",R43=0,R43=""),"",($C43/$P43)),""), 'Painel Geral'!$B$5="Média",IFERROR(IF(OR(C43="",R43=0,R43=""),"",($C43/$Q43)),""),'Painel Geral'!$B$5="3º Quartil",IFERROR(IF(OR(C43="",R43=0,R43=""),"",($C43/$S43)),""),'Painel Geral'!$B$5="Maior Salário",IFERROR(IF(OR(C43="",R43=0,R43=""),"",($C43/$T43)),""))</f>
        <v>1.012743428</v>
      </c>
      <c r="V43" s="199" t="str">
        <f t="shared" si="2"/>
        <v>Competitivo</v>
      </c>
    </row>
    <row r="44" ht="15.75" customHeight="1">
      <c r="A44" s="184" t="s">
        <v>106</v>
      </c>
      <c r="B44" s="185" t="str">
        <f>VLOOKUP(A44,Jobmatch!A:G,2,0)</f>
        <v>COORDENADOR DE MARKETING II</v>
      </c>
      <c r="C44" s="186">
        <f>IFERROR(AVERAGEIF('Folha de Pagamento'!A:A,A44,'Folha de Pagamento'!J:J),"")</f>
        <v>8647</v>
      </c>
      <c r="D44" s="187">
        <v>8.0</v>
      </c>
      <c r="E44" s="185" t="str">
        <f>VLOOKUP(A44,Jobmatch!A:H,3,0)</f>
        <v>Marketing</v>
      </c>
      <c r="F44" s="188" t="s">
        <v>363</v>
      </c>
      <c r="G44" s="189" t="str">
        <f>VLOOKUP(F44,'Página24'!A:A,1,0)</f>
        <v>Coordenador Marketing</v>
      </c>
      <c r="H44" s="190" t="str">
        <f>VLOOKUP(A44,Jobmatch!A:I,4,0)</f>
        <v>36 - ADM PROJETOS</v>
      </c>
      <c r="I44" s="191" t="str">
        <f>VLOOKUP(A44,Jobmatch!A:I,5,0)</f>
        <v>Tático</v>
      </c>
      <c r="J44" s="192">
        <f>VLOOKUP(A44,Jobmatch!A:I,6,0)</f>
        <v>56</v>
      </c>
      <c r="K44" s="190" t="str">
        <f>VLOOKUP(A44,Jobmatch!A:I,7,0)</f>
        <v>Coordenador de Marketing</v>
      </c>
      <c r="L44" s="193" t="str">
        <f>VLOOKUP(A44,Jobmatch!A:I,8,0)</f>
        <v>Indiferente</v>
      </c>
      <c r="M44" s="194" t="str">
        <f t="shared" si="1"/>
        <v>56Indiferente</v>
      </c>
      <c r="N44" s="195">
        <f>COUNTIF('Folha de Pagamento'!A:A,A44)</f>
        <v>1</v>
      </c>
      <c r="O44" s="196">
        <f>IFERROR(VLOOKUP(M44,'C-01'!$D:$L,4,0),"")</f>
        <v>5322.81</v>
      </c>
      <c r="P44" s="196">
        <f>IFERROR(VLOOKUP(M44,'C-01'!$D:$L,5,0),"")</f>
        <v>7141.59</v>
      </c>
      <c r="Q44" s="196">
        <f>IFERROR(VLOOKUP(M44,'C-01'!$D:$L,6,0),"")</f>
        <v>7927.07</v>
      </c>
      <c r="R44" s="196">
        <f>IFERROR(VLOOKUP(M44,'C-01'!$D:$L,7,0),"")</f>
        <v>7958.59</v>
      </c>
      <c r="S44" s="196">
        <f>IFERROR(VLOOKUP(M44,'C-01'!$D:$L,8,0),"")</f>
        <v>8825.19</v>
      </c>
      <c r="T44" s="197">
        <f>IFERROR(VLOOKUP(M44,'C-01'!$D:$L,9,0),"")</f>
        <v>10531.61</v>
      </c>
      <c r="U44" s="198">
        <f>IFS('Painel Geral'!$B$5="Mediana",IFERROR(IF(OR(C44="",R44=0,R44=""),"",($C44/$R44)),""),'Painel Geral'!$B$5="Menor Salário",IFERROR(IF(OR(C44="",R44=0,R44=""),"",($C44/$O44)),""),'Painel Geral'!$B$5="1º Quartil",IFERROR(IF(OR(C44="",R44=0,R44=""),"",($C44/$P44)),""), 'Painel Geral'!$B$5="Média",IFERROR(IF(OR(C44="",R44=0,R44=""),"",($C44/$Q44)),""),'Painel Geral'!$B$5="3º Quartil",IFERROR(IF(OR(C44="",R44=0,R44=""),"",($C44/$S44)),""),'Painel Geral'!$B$5="Maior Salário",IFERROR(IF(OR(C44="",R44=0,R44=""),"",($C44/$T44)),""))</f>
        <v>1.08649899</v>
      </c>
      <c r="V44" s="199" t="str">
        <f t="shared" si="2"/>
        <v>Competitivo</v>
      </c>
    </row>
    <row r="45" ht="15.75" hidden="1" customHeight="1">
      <c r="A45" s="184" t="s">
        <v>133</v>
      </c>
      <c r="B45" s="185" t="str">
        <f>VLOOKUP(A45,Jobmatch!A:G,2,0)</f>
        <v>ESTAGIARIO (A)</v>
      </c>
      <c r="C45" s="186">
        <f>IFERROR(AVERAGEIF('Folha de Pagamento'!A:A,A45,'Folha de Pagamento'!J:J),"")</f>
        <v>1521</v>
      </c>
      <c r="D45" s="187">
        <v>9.0</v>
      </c>
      <c r="E45" s="185" t="str">
        <f>VLOOKUP(A45,Jobmatch!A:H,3,0)</f>
        <v>Novos Negócios</v>
      </c>
      <c r="F45" s="188" t="s">
        <v>137</v>
      </c>
      <c r="G45" s="189" t="str">
        <f>VLOOKUP(F45,'Página24'!A:A,1,0)</f>
        <v>#N/A</v>
      </c>
      <c r="H45" s="190" t="str">
        <f>VLOOKUP(A45,Jobmatch!A:I,4,0)</f>
        <v>45 - ADM PROJETOS</v>
      </c>
      <c r="I45" s="191" t="str">
        <f>VLOOKUP(A45,Jobmatch!A:I,5,0)</f>
        <v>Operacional</v>
      </c>
      <c r="J45" s="192">
        <f>VLOOKUP(A45,Jobmatch!A:I,6,0)</f>
        <v>338</v>
      </c>
      <c r="K45" s="190" t="str">
        <f>VLOOKUP(A45,Jobmatch!A:I,7,0)</f>
        <v>Estagiário Administrativo</v>
      </c>
      <c r="L45" s="193" t="str">
        <f>VLOOKUP(A45,Jobmatch!A:I,8,0)</f>
        <v>Indiferente</v>
      </c>
      <c r="M45" s="194" t="str">
        <f t="shared" si="1"/>
        <v>338Indiferente</v>
      </c>
      <c r="N45" s="195">
        <f>COUNTIF('Folha de Pagamento'!A:A,A45)</f>
        <v>1</v>
      </c>
      <c r="O45" s="196">
        <f>IFERROR(VLOOKUP(M45,'C-01'!$D:$L,4,0),"")</f>
        <v>1558.527273</v>
      </c>
      <c r="P45" s="196">
        <f>IFERROR(VLOOKUP(M45,'C-01'!$D:$L,5,0),"")</f>
        <v>1615.084091</v>
      </c>
      <c r="Q45" s="196">
        <f>IFERROR(VLOOKUP(M45,'C-01'!$D:$L,6,0),"")</f>
        <v>1753.343182</v>
      </c>
      <c r="R45" s="196">
        <f>IFERROR(VLOOKUP(M45,'C-01'!$D:$L,7,0),"")</f>
        <v>1721.918182</v>
      </c>
      <c r="S45" s="196">
        <f>IFERROR(VLOOKUP(M45,'C-01'!$D:$L,8,0),"")</f>
        <v>1860.177273</v>
      </c>
      <c r="T45" s="197">
        <f>IFERROR(VLOOKUP(M45,'C-01'!$D:$L,9,0),"")</f>
        <v>2011.002273</v>
      </c>
      <c r="U45" s="198">
        <f>IFS('Painel Geral'!$B$5="Mediana",IFERROR(IF(OR(C45="",R45=0,R45=""),"",($C45/$R45)),""),'Painel Geral'!$B$5="Menor Salário",IFERROR(IF(OR(C45="",R45=0,R45=""),"",($C45/$O45)),""),'Painel Geral'!$B$5="1º Quartil",IFERROR(IF(OR(C45="",R45=0,R45=""),"",($C45/$P45)),""), 'Painel Geral'!$B$5="Média",IFERROR(IF(OR(C45="",R45=0,R45=""),"",($C45/$Q45)),""),'Painel Geral'!$B$5="3º Quartil",IFERROR(IF(OR(C45="",R45=0,R45=""),"",($C45/$S45)),""),'Painel Geral'!$B$5="Maior Salário",IFERROR(IF(OR(C45="",R45=0,R45=""),"",($C45/$T45)),""))</f>
        <v>0.8833172308</v>
      </c>
      <c r="V45" s="199" t="str">
        <f t="shared" si="2"/>
        <v>Defasado</v>
      </c>
    </row>
    <row r="46" ht="15.75" customHeight="1">
      <c r="A46" s="184" t="s">
        <v>177</v>
      </c>
      <c r="B46" s="185" t="str">
        <f>VLOOKUP(A46,Jobmatch!A:G,2,0)</f>
        <v>SUPERVISOR DE NOVOS NEGÓCIOS </v>
      </c>
      <c r="C46" s="186">
        <f>IFERROR(AVERAGEIF('Folha de Pagamento'!A:A,A46,'Folha de Pagamento'!J:J),"")</f>
        <v>8759.124088</v>
      </c>
      <c r="D46" s="187">
        <v>9.0</v>
      </c>
      <c r="E46" s="185" t="str">
        <f>VLOOKUP(A46,Jobmatch!A:H,3,0)</f>
        <v>Novos Negócios</v>
      </c>
      <c r="F46" s="188" t="s">
        <v>364</v>
      </c>
      <c r="G46" s="189" t="str">
        <f>VLOOKUP(F46,'Página24'!A:A,1,0)</f>
        <v>#N/A</v>
      </c>
      <c r="H46" s="190" t="str">
        <f>VLOOKUP(A46,Jobmatch!A:I,4,0)</f>
        <v>58 - ADM PROJETOS</v>
      </c>
      <c r="I46" s="191" t="str">
        <f>VLOOKUP(A46,Jobmatch!A:I,5,0)</f>
        <v>Tático</v>
      </c>
      <c r="J46" s="192">
        <f>VLOOKUP(A46,Jobmatch!A:I,6,0)</f>
        <v>583</v>
      </c>
      <c r="K46" s="190" t="str">
        <f>VLOOKUP(A46,Jobmatch!A:I,7,0)</f>
        <v>Supervisor de Negócios</v>
      </c>
      <c r="L46" s="193" t="str">
        <f>VLOOKUP(A46,Jobmatch!A:I,8,0)</f>
        <v>Indiferente</v>
      </c>
      <c r="M46" s="194" t="str">
        <f t="shared" si="1"/>
        <v>583Indiferente</v>
      </c>
      <c r="N46" s="195">
        <f>COUNTIF('Folha de Pagamento'!A:A,A46)</f>
        <v>2</v>
      </c>
      <c r="O46" s="196">
        <f>IFERROR(VLOOKUP(M46,'C-01'!$D:$L,4,0),"")</f>
        <v>0</v>
      </c>
      <c r="P46" s="196">
        <f>IFERROR(VLOOKUP(M46,'C-01'!$D:$L,5,0),"")</f>
        <v>0</v>
      </c>
      <c r="Q46" s="196">
        <f>IFERROR(VLOOKUP(M46,'C-01'!$D:$L,6,0),"")</f>
        <v>0</v>
      </c>
      <c r="R46" s="196">
        <f>IFERROR(VLOOKUP(M46,'C-01'!$D:$L,7,0),"")</f>
        <v>0</v>
      </c>
      <c r="S46" s="196">
        <f>IFERROR(VLOOKUP(M46,'C-01'!$D:$L,8,0),"")</f>
        <v>0</v>
      </c>
      <c r="T46" s="197">
        <f>IFERROR(VLOOKUP(M46,'C-01'!$D:$L,9,0),"")</f>
        <v>0</v>
      </c>
      <c r="U46" s="198" t="str">
        <f>IFS('Painel Geral'!$B$5="Mediana",IFERROR(IF(OR(C46="",R46=0,R46=""),"",($C46/$R46)),""),'Painel Geral'!$B$5="Menor Salário",IFERROR(IF(OR(C46="",R46=0,R46=""),"",($C46/$O46)),""),'Painel Geral'!$B$5="1º Quartil",IFERROR(IF(OR(C46="",R46=0,R46=""),"",($C46/$P46)),""), 'Painel Geral'!$B$5="Média",IFERROR(IF(OR(C46="",R46=0,R46=""),"",($C46/$Q46)),""),'Painel Geral'!$B$5="3º Quartil",IFERROR(IF(OR(C46="",R46=0,R46=""),"",($C46/$S46)),""),'Painel Geral'!$B$5="Maior Salário",IFERROR(IF(OR(C46="",R46=0,R46=""),"",($C46/$T46)),""))</f>
        <v/>
      </c>
      <c r="V46" s="199" t="str">
        <f t="shared" si="2"/>
        <v/>
      </c>
    </row>
    <row r="47" ht="15.75" customHeight="1">
      <c r="A47" s="184" t="s">
        <v>45</v>
      </c>
      <c r="B47" s="185" t="str">
        <f>VLOOKUP(A47,Jobmatch!A:G,2,0)</f>
        <v>ANALISTA DE PÓS VENDAS II</v>
      </c>
      <c r="C47" s="186">
        <f>IFERROR(AVERAGEIF('Folha de Pagamento'!A:A,A47,'Folha de Pagamento'!J:J),"")</f>
        <v>4550</v>
      </c>
      <c r="D47" s="187">
        <v>9.0</v>
      </c>
      <c r="E47" s="185" t="str">
        <f>VLOOKUP(A47,Jobmatch!A:H,3,0)</f>
        <v>Pós Vendas</v>
      </c>
      <c r="F47" s="188" t="s">
        <v>365</v>
      </c>
      <c r="G47" s="189" t="str">
        <f>VLOOKUP(F47,'Página24'!A:A,1,0)</f>
        <v>Analista Pós-Vendas Pl</v>
      </c>
      <c r="H47" s="190" t="str">
        <f>VLOOKUP(A47,Jobmatch!A:I,4,0)</f>
        <v>14 - ADM PROJETOS</v>
      </c>
      <c r="I47" s="191" t="str">
        <f>VLOOKUP(A47,Jobmatch!A:I,5,0)</f>
        <v>Operacional</v>
      </c>
      <c r="J47" s="192">
        <f>VLOOKUP(A47,Jobmatch!A:I,6,0)</f>
        <v>19</v>
      </c>
      <c r="K47" s="190" t="str">
        <f>VLOOKUP(A47,Jobmatch!A:I,7,0)</f>
        <v>Analista Comercial</v>
      </c>
      <c r="L47" s="193" t="str">
        <f>VLOOKUP(A47,Jobmatch!A:I,8,0)</f>
        <v>Pleno</v>
      </c>
      <c r="M47" s="194" t="str">
        <f t="shared" si="1"/>
        <v>19Pleno</v>
      </c>
      <c r="N47" s="195">
        <f>COUNTIF('Folha de Pagamento'!A:A,A47)</f>
        <v>1</v>
      </c>
      <c r="O47" s="196">
        <f>IFERROR(VLOOKUP(M47,'C-01'!$D:$L,4,0),"")</f>
        <v>4476.49</v>
      </c>
      <c r="P47" s="196">
        <f>IFERROR(VLOOKUP(M47,'C-01'!$D:$L,5,0),"")</f>
        <v>4898.28</v>
      </c>
      <c r="Q47" s="196">
        <f>IFERROR(VLOOKUP(M47,'C-01'!$D:$L,6,0),"")</f>
        <v>5747.37</v>
      </c>
      <c r="R47" s="196">
        <f>IFERROR(VLOOKUP(M47,'C-01'!$D:$L,7,0),"")</f>
        <v>5320.06</v>
      </c>
      <c r="S47" s="196">
        <f>IFERROR(VLOOKUP(M47,'C-01'!$D:$L,8,0),"")</f>
        <v>6382.81</v>
      </c>
      <c r="T47" s="197">
        <f>IFERROR(VLOOKUP(M47,'C-01'!$D:$L,9,0),"")</f>
        <v>7445.55</v>
      </c>
      <c r="U47" s="198">
        <f>IFS('Painel Geral'!$B$5="Mediana",IFERROR(IF(OR(C47="",R47=0,R47=""),"",($C47/$R47)),""),'Painel Geral'!$B$5="Menor Salário",IFERROR(IF(OR(C47="",R47=0,R47=""),"",($C47/$O47)),""),'Painel Geral'!$B$5="1º Quartil",IFERROR(IF(OR(C47="",R47=0,R47=""),"",($C47/$P47)),""), 'Painel Geral'!$B$5="Média",IFERROR(IF(OR(C47="",R47=0,R47=""),"",($C47/$Q47)),""),'Painel Geral'!$B$5="3º Quartil",IFERROR(IF(OR(C47="",R47=0,R47=""),"",($C47/$S47)),""),'Painel Geral'!$B$5="Maior Salário",IFERROR(IF(OR(C47="",R47=0,R47=""),"",($C47/$T47)),""))</f>
        <v>0.8552535122</v>
      </c>
      <c r="V47" s="199" t="str">
        <f t="shared" si="2"/>
        <v>Defasado</v>
      </c>
    </row>
    <row r="48" ht="15.75" customHeight="1">
      <c r="A48" s="184" t="s">
        <v>87</v>
      </c>
      <c r="B48" s="185" t="str">
        <f>VLOOKUP(A48,Jobmatch!A:G,2,0)</f>
        <v>AUXILIAR DE ATENDIMENTO II</v>
      </c>
      <c r="C48" s="186">
        <f>IFERROR(AVERAGEIF('Folha de Pagamento'!A:A,A48,'Folha de Pagamento'!J:J),"")</f>
        <v>2560</v>
      </c>
      <c r="D48" s="187">
        <v>1.0</v>
      </c>
      <c r="E48" s="185" t="str">
        <f>VLOOKUP(A48,Jobmatch!A:H,3,0)</f>
        <v>Recepção</v>
      </c>
      <c r="F48" s="188" t="s">
        <v>366</v>
      </c>
      <c r="G48" s="189" t="str">
        <f>VLOOKUP(F48,'Página24'!A:A,1,0)</f>
        <v>Auxiliar Atendimento</v>
      </c>
      <c r="H48" s="190" t="str">
        <f>VLOOKUP(A48,Jobmatch!A:I,4,0)</f>
        <v>29 - ADM PROJETOS</v>
      </c>
      <c r="I48" s="191" t="str">
        <f>VLOOKUP(A48,Jobmatch!A:I,5,0)</f>
        <v>Operacional</v>
      </c>
      <c r="J48" s="192">
        <f>VLOOKUP(A48,Jobmatch!A:I,6,0)</f>
        <v>318</v>
      </c>
      <c r="K48" s="190" t="str">
        <f>VLOOKUP(A48,Jobmatch!A:I,7,0)</f>
        <v>Auxiliar de Atendimento</v>
      </c>
      <c r="L48" s="193" t="str">
        <f>VLOOKUP(A48,Jobmatch!A:I,8,0)</f>
        <v>Indiferente</v>
      </c>
      <c r="M48" s="194" t="str">
        <f t="shared" si="1"/>
        <v>318Indiferente</v>
      </c>
      <c r="N48" s="195">
        <f>COUNTIF('Folha de Pagamento'!A:A,A48)</f>
        <v>1</v>
      </c>
      <c r="O48" s="196">
        <f>IFERROR(VLOOKUP(M48,'C-01'!$D:$L,4,0),"")</f>
        <v>1731.3</v>
      </c>
      <c r="P48" s="196">
        <f>IFERROR(VLOOKUP(M48,'C-01'!$D:$L,5,0),"")</f>
        <v>1778.55</v>
      </c>
      <c r="Q48" s="196">
        <f>IFERROR(VLOOKUP(M48,'C-01'!$D:$L,6,0),"")</f>
        <v>2041.06</v>
      </c>
      <c r="R48" s="196">
        <f>IFERROR(VLOOKUP(M48,'C-01'!$D:$L,7,0),"")</f>
        <v>2052.94</v>
      </c>
      <c r="S48" s="196">
        <f>IFERROR(VLOOKUP(M48,'C-01'!$D:$L,8,0),"")</f>
        <v>2169.15</v>
      </c>
      <c r="T48" s="197">
        <f>IFERROR(VLOOKUP(M48,'C-01'!$D:$L,9,0),"")</f>
        <v>2574.08</v>
      </c>
      <c r="U48" s="198">
        <f>IFS('Painel Geral'!$B$5="Mediana",IFERROR(IF(OR(C48="",R48=0,R48=""),"",($C48/$R48)),""),'Painel Geral'!$B$5="Menor Salário",IFERROR(IF(OR(C48="",R48=0,R48=""),"",($C48/$O48)),""),'Painel Geral'!$B$5="1º Quartil",IFERROR(IF(OR(C48="",R48=0,R48=""),"",($C48/$P48)),""), 'Painel Geral'!$B$5="Média",IFERROR(IF(OR(C48="",R48=0,R48=""),"",($C48/$Q48)),""),'Painel Geral'!$B$5="3º Quartil",IFERROR(IF(OR(C48="",R48=0,R48=""),"",($C48/$S48)),""),'Painel Geral'!$B$5="Maior Salário",IFERROR(IF(OR(C48="",R48=0,R48=""),"",($C48/$T48)),""))</f>
        <v>1.246992119</v>
      </c>
      <c r="V48" s="199" t="str">
        <f t="shared" si="2"/>
        <v>Agressivo</v>
      </c>
    </row>
    <row r="49" ht="15.75" customHeight="1">
      <c r="A49" s="184" t="s">
        <v>26</v>
      </c>
      <c r="B49" s="185" t="str">
        <f>VLOOKUP(A49,Jobmatch!A:G,2,0)</f>
        <v>ANALISTA DE COMPRAS</v>
      </c>
      <c r="C49" s="186">
        <f>IFERROR(AVERAGEIF('Folha de Pagamento'!A:A,A49,'Folha de Pagamento'!J:J),"")</f>
        <v>3780</v>
      </c>
      <c r="D49" s="187">
        <v>1.0</v>
      </c>
      <c r="E49" s="185" t="str">
        <f>VLOOKUP(A49,Jobmatch!A:H,3,0)</f>
        <v>Suprimentos </v>
      </c>
      <c r="F49" s="188" t="s">
        <v>367</v>
      </c>
      <c r="G49" s="189" t="str">
        <f>VLOOKUP(F49,'Página24'!A:A,1,0)</f>
        <v>Analista Compras</v>
      </c>
      <c r="H49" s="190" t="str">
        <f>VLOOKUP(A49,Jobmatch!A:I,4,0)</f>
        <v>9 - ADM PROJETOS</v>
      </c>
      <c r="I49" s="191" t="str">
        <f>VLOOKUP(A49,Jobmatch!A:I,5,0)</f>
        <v>Operacional</v>
      </c>
      <c r="J49" s="192">
        <f>VLOOKUP(A49,Jobmatch!A:I,6,0)</f>
        <v>136</v>
      </c>
      <c r="K49" s="190" t="str">
        <f>VLOOKUP(A49,Jobmatch!A:I,7,0)</f>
        <v>Analista de Compras</v>
      </c>
      <c r="L49" s="193" t="str">
        <f>VLOOKUP(A49,Jobmatch!A:I,8,0)</f>
        <v>Pleno</v>
      </c>
      <c r="M49" s="194" t="str">
        <f t="shared" si="1"/>
        <v>136Pleno</v>
      </c>
      <c r="N49" s="195">
        <f>COUNTIF('Folha de Pagamento'!A:A,A49)</f>
        <v>1</v>
      </c>
      <c r="O49" s="196">
        <f>IFERROR(VLOOKUP(M49,'C-01'!$D:$L,4,0),"")</f>
        <v>4524.76</v>
      </c>
      <c r="P49" s="196">
        <f>IFERROR(VLOOKUP(M49,'C-01'!$D:$L,5,0),"")</f>
        <v>4524.76</v>
      </c>
      <c r="Q49" s="196">
        <f>IFERROR(VLOOKUP(M49,'C-01'!$D:$L,6,0),"")</f>
        <v>6002.23</v>
      </c>
      <c r="R49" s="196">
        <f>IFERROR(VLOOKUP(M49,'C-01'!$D:$L,7,0),"")</f>
        <v>5275.87</v>
      </c>
      <c r="S49" s="196">
        <f>IFERROR(VLOOKUP(M49,'C-01'!$D:$L,8,0),"")</f>
        <v>7842.89</v>
      </c>
      <c r="T49" s="197">
        <f>IFERROR(VLOOKUP(M49,'C-01'!$D:$L,9,0),"")</f>
        <v>7842.89</v>
      </c>
      <c r="U49" s="198">
        <f>IFS('Painel Geral'!$B$5="Mediana",IFERROR(IF(OR(C49="",R49=0,R49=""),"",($C49/$R49)),""),'Painel Geral'!$B$5="Menor Salário",IFERROR(IF(OR(C49="",R49=0,R49=""),"",($C49/$O49)),""),'Painel Geral'!$B$5="1º Quartil",IFERROR(IF(OR(C49="",R49=0,R49=""),"",($C49/$P49)),""), 'Painel Geral'!$B$5="Média",IFERROR(IF(OR(C49="",R49=0,R49=""),"",($C49/$Q49)),""),'Painel Geral'!$B$5="3º Quartil",IFERROR(IF(OR(C49="",R49=0,R49=""),"",($C49/$S49)),""),'Painel Geral'!$B$5="Maior Salário",IFERROR(IF(OR(C49="",R49=0,R49=""),"",($C49/$T49)),""))</f>
        <v>0.7164695112</v>
      </c>
      <c r="V49" s="199" t="str">
        <f t="shared" si="2"/>
        <v>Muito Defasado</v>
      </c>
    </row>
    <row r="50" ht="15.75" customHeight="1">
      <c r="A50" s="184" t="s">
        <v>112</v>
      </c>
      <c r="B50" s="185" t="str">
        <f>VLOOKUP(A50,Jobmatch!A:G,2,0)</f>
        <v>COORDENADOR DE SUPRIMENTOS</v>
      </c>
      <c r="C50" s="186">
        <f>IFERROR(AVERAGEIF('Folha de Pagamento'!A:A,A50,'Folha de Pagamento'!J:J),"")</f>
        <v>10596.02649</v>
      </c>
      <c r="D50" s="187">
        <v>1.0</v>
      </c>
      <c r="E50" s="185" t="str">
        <f>VLOOKUP(A50,Jobmatch!A:H,3,0)</f>
        <v>Suprimentos </v>
      </c>
      <c r="F50" s="188" t="s">
        <v>368</v>
      </c>
      <c r="G50" s="189" t="str">
        <f>VLOOKUP(F50,'Página24'!A:A,1,0)</f>
        <v>Coordenador Suprimentos</v>
      </c>
      <c r="H50" s="190" t="str">
        <f>VLOOKUP(A50,Jobmatch!A:I,4,0)</f>
        <v>38 - ADM PROJETOS</v>
      </c>
      <c r="I50" s="191" t="str">
        <f>VLOOKUP(A50,Jobmatch!A:I,5,0)</f>
        <v>Tático</v>
      </c>
      <c r="J50" s="192">
        <f>VLOOKUP(A50,Jobmatch!A:I,6,0)</f>
        <v>137</v>
      </c>
      <c r="K50" s="190" t="str">
        <f>VLOOKUP(A50,Jobmatch!A:I,7,0)</f>
        <v>Coordenador de Compras</v>
      </c>
      <c r="L50" s="193" t="str">
        <f>VLOOKUP(A50,Jobmatch!A:I,8,0)</f>
        <v>Indiferente</v>
      </c>
      <c r="M50" s="194" t="str">
        <f t="shared" si="1"/>
        <v>137Indiferente</v>
      </c>
      <c r="N50" s="195">
        <f>COUNTIF('Folha de Pagamento'!A:A,A50)</f>
        <v>1</v>
      </c>
      <c r="O50" s="196">
        <f>IFERROR(VLOOKUP(M50,'C-01'!$D:$L,4,0),"")</f>
        <v>10055.02</v>
      </c>
      <c r="P50" s="196">
        <f>IFERROR(VLOOKUP(M50,'C-01'!$D:$L,5,0),"")</f>
        <v>10557.77</v>
      </c>
      <c r="Q50" s="196">
        <f>IFERROR(VLOOKUP(M50,'C-01'!$D:$L,6,0),"")</f>
        <v>13345.69</v>
      </c>
      <c r="R50" s="196">
        <f>IFERROR(VLOOKUP(M50,'C-01'!$D:$L,7,0),"")</f>
        <v>11060.52</v>
      </c>
      <c r="S50" s="196">
        <f>IFERROR(VLOOKUP(M50,'C-01'!$D:$L,8,0),"")</f>
        <v>14991.02</v>
      </c>
      <c r="T50" s="197">
        <f>IFERROR(VLOOKUP(M50,'C-01'!$D:$L,9,0),"")</f>
        <v>18921.53</v>
      </c>
      <c r="U50" s="198">
        <f>IFS('Painel Geral'!$B$5="Mediana",IFERROR(IF(OR(C50="",R50=0,R50=""),"",($C50/$R50)),""),'Painel Geral'!$B$5="Menor Salário",IFERROR(IF(OR(C50="",R50=0,R50=""),"",($C50/$O50)),""),'Painel Geral'!$B$5="1º Quartil",IFERROR(IF(OR(C50="",R50=0,R50=""),"",($C50/$P50)),""), 'Painel Geral'!$B$5="Média",IFERROR(IF(OR(C50="",R50=0,R50=""),"",($C50/$Q50)),""),'Painel Geral'!$B$5="3º Quartil",IFERROR(IF(OR(C50="",R50=0,R50=""),"",($C50/$S50)),""),'Painel Geral'!$B$5="Maior Salário",IFERROR(IF(OR(C50="",R50=0,R50=""),"",($C50/$T50)),""))</f>
        <v>0.9580043696</v>
      </c>
      <c r="V50" s="199" t="str">
        <f t="shared" si="2"/>
        <v>Na Média</v>
      </c>
    </row>
    <row r="51" ht="15.75" customHeight="1">
      <c r="A51" s="184" t="s">
        <v>77</v>
      </c>
      <c r="B51" s="185" t="str">
        <f>VLOOKUP(A51,Jobmatch!A:G,2,0)</f>
        <v>ASSISTENTE DE TI</v>
      </c>
      <c r="C51" s="186">
        <f>IFERROR(AVERAGEIF('Folha de Pagamento'!A:A,A51,'Folha de Pagamento'!J:J),"")</f>
        <v>2919</v>
      </c>
      <c r="D51" s="187">
        <v>1.0</v>
      </c>
      <c r="E51" s="185" t="str">
        <f>VLOOKUP(A51,Jobmatch!A:H,3,0)</f>
        <v>Tecnologia da Informação</v>
      </c>
      <c r="F51" s="188" t="s">
        <v>369</v>
      </c>
      <c r="G51" s="189" t="str">
        <f>VLOOKUP(F51,'Página24'!A:A,1,0)</f>
        <v>Assistente TI</v>
      </c>
      <c r="H51" s="190" t="str">
        <f>VLOOKUP(A51,Jobmatch!A:I,4,0)</f>
        <v>25 - ADM PROJETOS</v>
      </c>
      <c r="I51" s="191" t="str">
        <f>VLOOKUP(A51,Jobmatch!A:I,5,0)</f>
        <v>Operacional</v>
      </c>
      <c r="J51" s="192">
        <f>VLOOKUP(A51,Jobmatch!A:I,6,0)</f>
        <v>31</v>
      </c>
      <c r="K51" s="190" t="str">
        <f>VLOOKUP(A51,Jobmatch!A:I,7,0)</f>
        <v>Assistente de Tecnologia da Informação</v>
      </c>
      <c r="L51" s="193" t="str">
        <f>VLOOKUP(A51,Jobmatch!A:I,8,0)</f>
        <v>Indiferente</v>
      </c>
      <c r="M51" s="194" t="str">
        <f t="shared" si="1"/>
        <v>31Indiferente</v>
      </c>
      <c r="N51" s="195">
        <f>COUNTIF('Folha de Pagamento'!A:A,A51)</f>
        <v>2</v>
      </c>
      <c r="O51" s="196">
        <f>IFERROR(VLOOKUP(M51,'C-01'!$D:$L,4,0),"")</f>
        <v>2010.58</v>
      </c>
      <c r="P51" s="196">
        <f>IFERROR(VLOOKUP(M51,'C-01'!$D:$L,5,0),"")</f>
        <v>2066.4</v>
      </c>
      <c r="Q51" s="196">
        <f>IFERROR(VLOOKUP(M51,'C-01'!$D:$L,6,0),"")</f>
        <v>2589.89</v>
      </c>
      <c r="R51" s="196">
        <f>IFERROR(VLOOKUP(M51,'C-01'!$D:$L,7,0),"")</f>
        <v>2413.7</v>
      </c>
      <c r="S51" s="196">
        <f>IFERROR(VLOOKUP(M51,'C-01'!$D:$L,8,0),"")</f>
        <v>3121.21</v>
      </c>
      <c r="T51" s="197">
        <f>IFERROR(VLOOKUP(M51,'C-01'!$D:$L,9,0),"")</f>
        <v>3521.6</v>
      </c>
      <c r="U51" s="198">
        <f>IFS('Painel Geral'!$B$5="Mediana",IFERROR(IF(OR(C51="",R51=0,R51=""),"",($C51/$R51)),""),'Painel Geral'!$B$5="Menor Salário",IFERROR(IF(OR(C51="",R51=0,R51=""),"",($C51/$O51)),""),'Painel Geral'!$B$5="1º Quartil",IFERROR(IF(OR(C51="",R51=0,R51=""),"",($C51/$P51)),""), 'Painel Geral'!$B$5="Média",IFERROR(IF(OR(C51="",R51=0,R51=""),"",($C51/$Q51)),""),'Painel Geral'!$B$5="3º Quartil",IFERROR(IF(OR(C51="",R51=0,R51=""),"",($C51/$S51)),""),'Painel Geral'!$B$5="Maior Salário",IFERROR(IF(OR(C51="",R51=0,R51=""),"",($C51/$T51)),""))</f>
        <v>1.209346646</v>
      </c>
      <c r="V51" s="199" t="str">
        <f t="shared" si="2"/>
        <v>Agressivo</v>
      </c>
    </row>
    <row r="52" ht="15.75" customHeight="1">
      <c r="A52" s="184" t="s">
        <v>48</v>
      </c>
      <c r="B52" s="185" t="str">
        <f>VLOOKUP(A52,Jobmatch!A:G,2,0)</f>
        <v>ANALISTA DE URBANISMO</v>
      </c>
      <c r="C52" s="186">
        <f>IFERROR(AVERAGEIF('Folha de Pagamento'!A:A,A52,'Folha de Pagamento'!J:J),"")</f>
        <v>5830</v>
      </c>
      <c r="D52" s="187">
        <v>10.0</v>
      </c>
      <c r="E52" s="185" t="str">
        <f>VLOOKUP(A52,Jobmatch!A:H,3,0)</f>
        <v>Urbanismo</v>
      </c>
      <c r="F52" s="188" t="s">
        <v>370</v>
      </c>
      <c r="G52" s="189" t="str">
        <f>VLOOKUP(F52,'Página24'!A:A,1,0)</f>
        <v>Analista Urbanismo</v>
      </c>
      <c r="H52" s="190" t="str">
        <f>VLOOKUP(A52,Jobmatch!A:I,4,0)</f>
        <v>15 - ADM PROJETOS</v>
      </c>
      <c r="I52" s="191" t="str">
        <f>VLOOKUP(A52,Jobmatch!A:I,5,0)</f>
        <v>Operacional</v>
      </c>
      <c r="J52" s="192">
        <f>VLOOKUP(A52,Jobmatch!A:I,6,0)</f>
        <v>1199</v>
      </c>
      <c r="K52" s="190" t="str">
        <f>VLOOKUP(A52,Jobmatch!A:I,7,0)</f>
        <v>Analista de Urbanismo</v>
      </c>
      <c r="L52" s="193" t="str">
        <f>VLOOKUP(A52,Jobmatch!A:I,8,0)</f>
        <v>Indiferente</v>
      </c>
      <c r="M52" s="194" t="str">
        <f t="shared" si="1"/>
        <v>1199Indiferente</v>
      </c>
      <c r="N52" s="195">
        <f>COUNTIF('Folha de Pagamento'!A:A,A52)</f>
        <v>1</v>
      </c>
      <c r="O52" s="196">
        <f>IFERROR(VLOOKUP(M52,'C-01'!$D:$L,4,0),"")</f>
        <v>5862.07</v>
      </c>
      <c r="P52" s="196">
        <f>IFERROR(VLOOKUP(M52,'C-01'!$D:$L,5,0),"")</f>
        <v>6091.54</v>
      </c>
      <c r="Q52" s="196">
        <f>IFERROR(VLOOKUP(M52,'C-01'!$D:$L,6,0),"")</f>
        <v>7637.46</v>
      </c>
      <c r="R52" s="196">
        <f>IFERROR(VLOOKUP(M52,'C-01'!$D:$L,7,0),"")</f>
        <v>7848.45</v>
      </c>
      <c r="S52" s="196">
        <f>IFERROR(VLOOKUP(M52,'C-01'!$D:$L,8,0),"")</f>
        <v>9161.15</v>
      </c>
      <c r="T52" s="197">
        <f>IFERROR(VLOOKUP(M52,'C-01'!$D:$L,9,0),"")</f>
        <v>9161.15</v>
      </c>
      <c r="U52" s="198">
        <f>IFS('Painel Geral'!$B$5="Mediana",IFERROR(IF(OR(C52="",R52=0,R52=""),"",($C52/$R52)),""),'Painel Geral'!$B$5="Menor Salário",IFERROR(IF(OR(C52="",R52=0,R52=""),"",($C52/$O52)),""),'Painel Geral'!$B$5="1º Quartil",IFERROR(IF(OR(C52="",R52=0,R52=""),"",($C52/$P52)),""), 'Painel Geral'!$B$5="Média",IFERROR(IF(OR(C52="",R52=0,R52=""),"",($C52/$Q52)),""),'Painel Geral'!$B$5="3º Quartil",IFERROR(IF(OR(C52="",R52=0,R52=""),"",($C52/$S52)),""),'Painel Geral'!$B$5="Maior Salário",IFERROR(IF(OR(C52="",R52=0,R52=""),"",($C52/$T52)),""))</f>
        <v>0.7428218311</v>
      </c>
      <c r="V52" s="199" t="str">
        <f t="shared" si="2"/>
        <v>Muito Defasado</v>
      </c>
    </row>
    <row r="53" ht="15.75" customHeight="1">
      <c r="A53" s="184" t="s">
        <v>90</v>
      </c>
      <c r="B53" s="185" t="str">
        <f>VLOOKUP(A53,Jobmatch!A:G,2,0)</f>
        <v>AUXILIAR DE ENGENHARIA</v>
      </c>
      <c r="C53" s="186">
        <f>IFERROR(AVERAGEIF('Folha de Pagamento'!A:A,A53,'Folha de Pagamento'!J:J),"")</f>
        <v>2560</v>
      </c>
      <c r="D53" s="187">
        <v>10.0</v>
      </c>
      <c r="E53" s="185" t="str">
        <f>VLOOKUP(A53,Jobmatch!A:H,3,0)</f>
        <v>Urbanismo</v>
      </c>
      <c r="F53" s="188" t="s">
        <v>371</v>
      </c>
      <c r="G53" s="189" t="str">
        <f>VLOOKUP(F53,'Página24'!A:A,1,0)</f>
        <v>Auxiliar Engenharia</v>
      </c>
      <c r="H53" s="190" t="str">
        <f>VLOOKUP(A53,Jobmatch!A:I,4,0)</f>
        <v>30 - ADM PROJETOS</v>
      </c>
      <c r="I53" s="191" t="str">
        <f>VLOOKUP(A53,Jobmatch!A:I,5,0)</f>
        <v>Operacional</v>
      </c>
      <c r="J53" s="192">
        <f>VLOOKUP(A53,Jobmatch!A:I,6,0)</f>
        <v>207</v>
      </c>
      <c r="K53" s="190" t="str">
        <f>VLOOKUP(A53,Jobmatch!A:I,7,0)</f>
        <v>Auxiliar de Engenharia</v>
      </c>
      <c r="L53" s="193" t="str">
        <f>VLOOKUP(A53,Jobmatch!A:I,8,0)</f>
        <v>Indiferente</v>
      </c>
      <c r="M53" s="194" t="str">
        <f t="shared" si="1"/>
        <v>207Indiferente</v>
      </c>
      <c r="N53" s="195">
        <f>COUNTIF('Folha de Pagamento'!A:A,A53)</f>
        <v>1</v>
      </c>
      <c r="O53" s="196">
        <f>IFERROR(VLOOKUP(M53,'C-01'!$D:$L,4,0),"")</f>
        <v>2574.08</v>
      </c>
      <c r="P53" s="196">
        <f>IFERROR(VLOOKUP(M53,'C-01'!$D:$L,5,0),"")</f>
        <v>2644.47</v>
      </c>
      <c r="Q53" s="196">
        <f>IFERROR(VLOOKUP(M53,'C-01'!$D:$L,6,0),"")</f>
        <v>2819.08</v>
      </c>
      <c r="R53" s="196">
        <f>IFERROR(VLOOKUP(M53,'C-01'!$D:$L,7,0),"")</f>
        <v>2714.85</v>
      </c>
      <c r="S53" s="196">
        <f>IFERROR(VLOOKUP(M53,'C-01'!$D:$L,8,0),"")</f>
        <v>2941.58</v>
      </c>
      <c r="T53" s="197">
        <f>IFERROR(VLOOKUP(M53,'C-01'!$D:$L,9,0),"")</f>
        <v>3168.31</v>
      </c>
      <c r="U53" s="198">
        <f>IFS('Painel Geral'!$B$5="Mediana",IFERROR(IF(OR(C53="",R53=0,R53=""),"",($C53/$R53)),""),'Painel Geral'!$B$5="Menor Salário",IFERROR(IF(OR(C53="",R53=0,R53=""),"",($C53/$O53)),""),'Painel Geral'!$B$5="1º Quartil",IFERROR(IF(OR(C53="",R53=0,R53=""),"",($C53/$P53)),""), 'Painel Geral'!$B$5="Média",IFERROR(IF(OR(C53="",R53=0,R53=""),"",($C53/$Q53)),""),'Painel Geral'!$B$5="3º Quartil",IFERROR(IF(OR(C53="",R53=0,R53=""),"",($C53/$S53)),""),'Painel Geral'!$B$5="Maior Salário",IFERROR(IF(OR(C53="",R53=0,R53=""),"",($C53/$T53)),""))</f>
        <v>0.9429618579</v>
      </c>
      <c r="V53" s="199" t="str">
        <f t="shared" si="2"/>
        <v>Na Média</v>
      </c>
    </row>
    <row r="54" ht="15.75" customHeight="1">
      <c r="A54" s="184" t="s">
        <v>123</v>
      </c>
      <c r="B54" s="185" t="str">
        <f>VLOOKUP(A54,Jobmatch!A:G,2,0)</f>
        <v>ENCARREGADO DE OBRAS</v>
      </c>
      <c r="C54" s="186">
        <f>IFERROR(AVERAGEIF('Folha de Pagamento'!A:A,A54,'Folha de Pagamento'!J:J),"")</f>
        <v>10000.5</v>
      </c>
      <c r="D54" s="187">
        <v>10.0</v>
      </c>
      <c r="E54" s="185" t="str">
        <f>VLOOKUP(A54,Jobmatch!A:H,3,0)</f>
        <v>Urbanismo</v>
      </c>
      <c r="F54" s="188" t="s">
        <v>372</v>
      </c>
      <c r="G54" s="189" t="str">
        <f>VLOOKUP(F54,'Página24'!A:A,1,0)</f>
        <v>Encarregado Obras</v>
      </c>
      <c r="H54" s="190" t="str">
        <f>VLOOKUP(A54,Jobmatch!A:I,4,0)</f>
        <v>41 - ADM PROJETOS</v>
      </c>
      <c r="I54" s="191" t="str">
        <f>VLOOKUP(A54,Jobmatch!A:I,5,0)</f>
        <v>Operacional</v>
      </c>
      <c r="J54" s="192">
        <f>VLOOKUP(A54,Jobmatch!A:I,6,0)</f>
        <v>470</v>
      </c>
      <c r="K54" s="190" t="str">
        <f>VLOOKUP(A54,Jobmatch!A:I,7,0)</f>
        <v>Mestre de Obras</v>
      </c>
      <c r="L54" s="193" t="str">
        <f>VLOOKUP(A54,Jobmatch!A:I,8,0)</f>
        <v>Indiferente</v>
      </c>
      <c r="M54" s="194" t="str">
        <f t="shared" si="1"/>
        <v>470Indiferente</v>
      </c>
      <c r="N54" s="195">
        <f>COUNTIF('Folha de Pagamento'!A:A,A54)</f>
        <v>2</v>
      </c>
      <c r="O54" s="196">
        <f>IFERROR(VLOOKUP(M54,'C-01'!$D:$L,4,0),"")</f>
        <v>5530.26</v>
      </c>
      <c r="P54" s="196">
        <f>IFERROR(VLOOKUP(M54,'C-01'!$D:$L,5,0),"")</f>
        <v>5530.26</v>
      </c>
      <c r="Q54" s="196">
        <f>IFERROR(VLOOKUP(M54,'C-01'!$D:$L,6,0),"")</f>
        <v>7689.13</v>
      </c>
      <c r="R54" s="196">
        <f>IFERROR(VLOOKUP(M54,'C-01'!$D:$L,7,0),"")</f>
        <v>7460.82</v>
      </c>
      <c r="S54" s="196">
        <f>IFERROR(VLOOKUP(M54,'C-01'!$D:$L,8,0),"")</f>
        <v>9785.54</v>
      </c>
      <c r="T54" s="197">
        <f>IFERROR(VLOOKUP(M54,'C-01'!$D:$L,9,0),"")</f>
        <v>11138.95</v>
      </c>
      <c r="U54" s="198">
        <f>IFS('Painel Geral'!$B$5="Mediana",IFERROR(IF(OR(C54="",R54=0,R54=""),"",($C54/$R54)),""),'Painel Geral'!$B$5="Menor Salário",IFERROR(IF(OR(C54="",R54=0,R54=""),"",($C54/$O54)),""),'Painel Geral'!$B$5="1º Quartil",IFERROR(IF(OR(C54="",R54=0,R54=""),"",($C54/$P54)),""), 'Painel Geral'!$B$5="Média",IFERROR(IF(OR(C54="",R54=0,R54=""),"",($C54/$Q54)),""),'Painel Geral'!$B$5="3º Quartil",IFERROR(IF(OR(C54="",R54=0,R54=""),"",($C54/$S54)),""),'Painel Geral'!$B$5="Maior Salário",IFERROR(IF(OR(C54="",R54=0,R54=""),"",($C54/$T54)),""))</f>
        <v>1.340402261</v>
      </c>
      <c r="V54" s="199" t="str">
        <f t="shared" si="2"/>
        <v>Agressivo</v>
      </c>
    </row>
    <row r="55" ht="15.75" customHeight="1">
      <c r="A55" s="184" t="s">
        <v>127</v>
      </c>
      <c r="B55" s="185" t="str">
        <f>VLOOKUP(A55,Jobmatch!A:G,2,0)</f>
        <v>ENGENHEIRO JUNIOR DE URBANISMO</v>
      </c>
      <c r="C55" s="186">
        <f>IFERROR(AVERAGEIF('Folha de Pagamento'!A:A,A55,'Folha de Pagamento'!J:J),"")</f>
        <v>5630.872483</v>
      </c>
      <c r="D55" s="187">
        <v>10.0</v>
      </c>
      <c r="E55" s="185" t="str">
        <f>VLOOKUP(A55,Jobmatch!A:H,3,0)</f>
        <v>Urbanismo</v>
      </c>
      <c r="F55" s="188" t="s">
        <v>373</v>
      </c>
      <c r="G55" s="189" t="str">
        <f>VLOOKUP(F55,'Página24'!A:A,1,0)</f>
        <v>Engenheiro Urbanismo Jr</v>
      </c>
      <c r="H55" s="190" t="str">
        <f>VLOOKUP(A55,Jobmatch!A:I,4,0)</f>
        <v>43 - ADM PROJETOS</v>
      </c>
      <c r="I55" s="191" t="str">
        <f>VLOOKUP(A55,Jobmatch!A:I,5,0)</f>
        <v>Operacional</v>
      </c>
      <c r="J55" s="192">
        <f>VLOOKUP(A55,Jobmatch!A:I,6,0)</f>
        <v>212</v>
      </c>
      <c r="K55" s="190" t="str">
        <f>VLOOKUP(A55,Jobmatch!A:I,7,0)</f>
        <v>Engenheiro de Urbanismo</v>
      </c>
      <c r="L55" s="193" t="str">
        <f>VLOOKUP(A55,Jobmatch!A:I,8,0)</f>
        <v>Indiferente</v>
      </c>
      <c r="M55" s="194" t="str">
        <f t="shared" si="1"/>
        <v>212Indiferente</v>
      </c>
      <c r="N55" s="195">
        <f>COUNTIF('Folha de Pagamento'!A:A,A55)</f>
        <v>1</v>
      </c>
      <c r="O55" s="196">
        <f>IFERROR(VLOOKUP(M55,'C-01'!$D:$L,4,0),"")</f>
        <v>10281.25</v>
      </c>
      <c r="P55" s="196">
        <f>IFERROR(VLOOKUP(M55,'C-01'!$D:$L,5,0),"")</f>
        <v>12766.6</v>
      </c>
      <c r="Q55" s="196">
        <f>IFERROR(VLOOKUP(M55,'C-01'!$D:$L,6,0),"")</f>
        <v>14293.39</v>
      </c>
      <c r="R55" s="196">
        <f>IFERROR(VLOOKUP(M55,'C-01'!$D:$L,7,0),"")</f>
        <v>15082.52</v>
      </c>
      <c r="S55" s="196">
        <f>IFERROR(VLOOKUP(M55,'C-01'!$D:$L,8,0),"")</f>
        <v>16110.29</v>
      </c>
      <c r="T55" s="197">
        <f>IFERROR(VLOOKUP(M55,'C-01'!$D:$L,9,0),"")</f>
        <v>16164.64</v>
      </c>
      <c r="U55" s="198">
        <f>IFS('Painel Geral'!$B$5="Mediana",IFERROR(IF(OR(C55="",R55=0,R55=""),"",($C55/$R55)),""),'Painel Geral'!$B$5="Menor Salário",IFERROR(IF(OR(C55="",R55=0,R55=""),"",($C55/$O55)),""),'Painel Geral'!$B$5="1º Quartil",IFERROR(IF(OR(C55="",R55=0,R55=""),"",($C55/$P55)),""), 'Painel Geral'!$B$5="Média",IFERROR(IF(OR(C55="",R55=0,R55=""),"",($C55/$Q55)),""),'Painel Geral'!$B$5="3º Quartil",IFERROR(IF(OR(C55="",R55=0,R55=""),"",($C55/$S55)),""),'Painel Geral'!$B$5="Maior Salário",IFERROR(IF(OR(C55="",R55=0,R55=""),"",($C55/$T55)),""))</f>
        <v>0.3733376441</v>
      </c>
      <c r="V55" s="199" t="str">
        <f t="shared" si="2"/>
        <v>Muito Defasado</v>
      </c>
    </row>
    <row r="56" ht="15.75" hidden="1" customHeight="1">
      <c r="A56" s="184" t="s">
        <v>141</v>
      </c>
      <c r="B56" s="185" t="str">
        <f>VLOOKUP(A56,Jobmatch!A:G,2,0)</f>
        <v>ESTAGIARIO(A) ENG. CIVIL </v>
      </c>
      <c r="C56" s="186">
        <f>IFERROR(AVERAGEIF('Folha de Pagamento'!A:A,A56,'Folha de Pagamento'!J:J),"")</f>
        <v>1521</v>
      </c>
      <c r="D56" s="187">
        <v>10.0</v>
      </c>
      <c r="E56" s="185" t="str">
        <f>VLOOKUP(A56,Jobmatch!A:H,3,0)</f>
        <v>Urbanismo</v>
      </c>
      <c r="F56" s="188" t="s">
        <v>374</v>
      </c>
      <c r="G56" s="189" t="str">
        <f>VLOOKUP(F56,'Página24'!A:A,1,0)</f>
        <v>#N/A</v>
      </c>
      <c r="H56" s="190" t="str">
        <f>VLOOKUP(A56,Jobmatch!A:I,4,0)</f>
        <v>47 - ADM PROJETOS</v>
      </c>
      <c r="I56" s="191" t="str">
        <f>VLOOKUP(A56,Jobmatch!A:I,5,0)</f>
        <v>Operacional</v>
      </c>
      <c r="J56" s="192">
        <f>VLOOKUP(A56,Jobmatch!A:I,6,0)</f>
        <v>1204</v>
      </c>
      <c r="K56" s="190" t="str">
        <f>VLOOKUP(A56,Jobmatch!A:I,7,0)</f>
        <v>Estagiário de Engenharia Civil</v>
      </c>
      <c r="L56" s="193" t="str">
        <f>VLOOKUP(A56,Jobmatch!A:I,8,0)</f>
        <v>Indiferente</v>
      </c>
      <c r="M56" s="194" t="str">
        <f t="shared" si="1"/>
        <v>1204Indiferente</v>
      </c>
      <c r="N56" s="195">
        <f>COUNTIF('Folha de Pagamento'!A:A,A56)</f>
        <v>1</v>
      </c>
      <c r="O56" s="196">
        <f>IFERROR(VLOOKUP(M56,'C-01'!$D:$L,4,0),"")</f>
        <v>0</v>
      </c>
      <c r="P56" s="196">
        <f>IFERROR(VLOOKUP(M56,'C-01'!$D:$L,5,0),"")</f>
        <v>0</v>
      </c>
      <c r="Q56" s="196">
        <f>IFERROR(VLOOKUP(M56,'C-01'!$D:$L,6,0),"")</f>
        <v>0</v>
      </c>
      <c r="R56" s="196">
        <f>IFERROR(VLOOKUP(M56,'C-01'!$D:$L,7,0),"")</f>
        <v>0</v>
      </c>
      <c r="S56" s="196">
        <f>IFERROR(VLOOKUP(M56,'C-01'!$D:$L,8,0),"")</f>
        <v>0</v>
      </c>
      <c r="T56" s="197">
        <f>IFERROR(VLOOKUP(M56,'C-01'!$D:$L,9,0),"")</f>
        <v>0</v>
      </c>
      <c r="U56" s="198" t="str">
        <f>IFS('Painel Geral'!$B$5="Mediana",IFERROR(IF(OR(C56="",R56=0,R56=""),"",($C56/$R56)),""),'Painel Geral'!$B$5="Menor Salário",IFERROR(IF(OR(C56="",R56=0,R56=""),"",($C56/$O56)),""),'Painel Geral'!$B$5="1º Quartil",IFERROR(IF(OR(C56="",R56=0,R56=""),"",($C56/$P56)),""), 'Painel Geral'!$B$5="Média",IFERROR(IF(OR(C56="",R56=0,R56=""),"",($C56/$Q56)),""),'Painel Geral'!$B$5="3º Quartil",IFERROR(IF(OR(C56="",R56=0,R56=""),"",($C56/$S56)),""),'Painel Geral'!$B$5="Maior Salário",IFERROR(IF(OR(C56="",R56=0,R56=""),"",($C56/$T56)),""))</f>
        <v/>
      </c>
      <c r="V56" s="199" t="str">
        <f t="shared" si="2"/>
        <v/>
      </c>
    </row>
    <row r="57" ht="15.75" customHeight="1">
      <c r="A57" s="184" t="s">
        <v>174</v>
      </c>
      <c r="B57" s="185" t="str">
        <f>VLOOKUP(A57,Jobmatch!A:G,2,0)</f>
        <v>GERENTE DE URBANISMO</v>
      </c>
      <c r="C57" s="186">
        <f>IFERROR(AVERAGEIF('Folha de Pagamento'!A:A,A57,'Folha de Pagamento'!J:J),"")</f>
        <v>28030.30303</v>
      </c>
      <c r="D57" s="187">
        <v>10.0</v>
      </c>
      <c r="E57" s="185" t="str">
        <f>VLOOKUP(A57,Jobmatch!A:H,3,0)</f>
        <v>Urbanismo</v>
      </c>
      <c r="F57" s="188" t="s">
        <v>375</v>
      </c>
      <c r="G57" s="189" t="str">
        <f>VLOOKUP(F57,'Página24'!A:A,1,0)</f>
        <v>Gerente Urbanismo</v>
      </c>
      <c r="H57" s="190" t="str">
        <f>VLOOKUP(A57,Jobmatch!A:I,4,0)</f>
        <v>57 - ADM PROJETOS</v>
      </c>
      <c r="I57" s="191" t="str">
        <f>VLOOKUP(A57,Jobmatch!A:I,5,0)</f>
        <v>Tático</v>
      </c>
      <c r="J57" s="192">
        <f>VLOOKUP(A57,Jobmatch!A:I,6,0)</f>
        <v>311</v>
      </c>
      <c r="K57" s="190" t="str">
        <f>VLOOKUP(A57,Jobmatch!A:I,7,0)</f>
        <v>Gerente de Operações</v>
      </c>
      <c r="L57" s="193" t="str">
        <f>VLOOKUP(A57,Jobmatch!A:I,8,0)</f>
        <v>Indiferente</v>
      </c>
      <c r="M57" s="194" t="str">
        <f t="shared" si="1"/>
        <v>311Indiferente</v>
      </c>
      <c r="N57" s="195">
        <f>COUNTIF('Folha de Pagamento'!A:A,A57)</f>
        <v>2</v>
      </c>
      <c r="O57" s="196">
        <f>IFERROR(VLOOKUP(M57,'C-01'!$D:$L,4,0),"")</f>
        <v>7331.45</v>
      </c>
      <c r="P57" s="196">
        <f>IFERROR(VLOOKUP(M57,'C-01'!$D:$L,5,0),"")</f>
        <v>10114.75</v>
      </c>
      <c r="Q57" s="196">
        <f>IFERROR(VLOOKUP(M57,'C-01'!$D:$L,6,0),"")</f>
        <v>12711.42</v>
      </c>
      <c r="R57" s="196">
        <f>IFERROR(VLOOKUP(M57,'C-01'!$D:$L,7,0),"")</f>
        <v>12517.82</v>
      </c>
      <c r="S57" s="196">
        <f>IFERROR(VLOOKUP(M57,'C-01'!$D:$L,8,0),"")</f>
        <v>14749</v>
      </c>
      <c r="T57" s="197">
        <f>IFERROR(VLOOKUP(M57,'C-01'!$D:$L,9,0),"")</f>
        <v>19098.65</v>
      </c>
      <c r="U57" s="198">
        <f>IFS('Painel Geral'!$B$5="Mediana",IFERROR(IF(OR(C57="",R57=0,R57=""),"",($C57/$R57)),""),'Painel Geral'!$B$5="Menor Salário",IFERROR(IF(OR(C57="",R57=0,R57=""),"",($C57/$O57)),""),'Painel Geral'!$B$5="1º Quartil",IFERROR(IF(OR(C57="",R57=0,R57=""),"",($C57/$P57)),""), 'Painel Geral'!$B$5="Média",IFERROR(IF(OR(C57="",R57=0,R57=""),"",($C57/$Q57)),""),'Painel Geral'!$B$5="3º Quartil",IFERROR(IF(OR(C57="",R57=0,R57=""),"",($C57/$S57)),""),'Painel Geral'!$B$5="Maior Salário",IFERROR(IF(OR(C57="",R57=0,R57=""),"",($C57/$T57)),""))</f>
        <v>2.239231993</v>
      </c>
      <c r="V57" s="199" t="str">
        <f t="shared" si="2"/>
        <v>Agressivo</v>
      </c>
    </row>
    <row r="58" ht="15.75" customHeight="1">
      <c r="A58" s="200"/>
      <c r="B58" s="201"/>
      <c r="C58" s="202"/>
      <c r="D58" s="203"/>
      <c r="E58" s="201"/>
      <c r="F58" s="204"/>
      <c r="G58" s="204"/>
      <c r="H58" s="205"/>
      <c r="I58" s="205"/>
      <c r="J58" s="206"/>
      <c r="K58" s="205"/>
      <c r="L58" s="205"/>
      <c r="M58" s="201"/>
      <c r="N58" s="207"/>
      <c r="O58" s="208"/>
      <c r="P58" s="208"/>
      <c r="Q58" s="208"/>
      <c r="R58" s="208"/>
      <c r="S58" s="208"/>
      <c r="T58" s="208"/>
      <c r="U58" s="209"/>
      <c r="V58" s="210"/>
    </row>
    <row r="59" ht="15.75" customHeight="1">
      <c r="A59" s="200"/>
      <c r="B59" s="201"/>
      <c r="C59" s="202"/>
      <c r="D59" s="203"/>
      <c r="E59" s="201"/>
      <c r="F59" s="204"/>
      <c r="G59" s="204"/>
      <c r="H59" s="205"/>
      <c r="I59" s="205"/>
      <c r="J59" s="206"/>
      <c r="K59" s="205"/>
      <c r="L59" s="205"/>
      <c r="M59" s="201"/>
      <c r="N59" s="207"/>
      <c r="O59" s="208"/>
      <c r="P59" s="208"/>
      <c r="Q59" s="208"/>
      <c r="R59" s="208"/>
      <c r="S59" s="208"/>
      <c r="T59" s="208"/>
      <c r="U59" s="209"/>
      <c r="V59" s="210"/>
    </row>
    <row r="60" ht="15.75" customHeight="1">
      <c r="A60" s="200"/>
      <c r="B60" s="201"/>
      <c r="C60" s="202"/>
      <c r="D60" s="203"/>
      <c r="E60" s="201"/>
      <c r="F60" s="204"/>
      <c r="G60" s="204"/>
      <c r="H60" s="205"/>
      <c r="I60" s="205"/>
      <c r="J60" s="206"/>
      <c r="K60" s="205"/>
      <c r="L60" s="205"/>
      <c r="M60" s="201"/>
      <c r="N60" s="207"/>
      <c r="O60" s="208"/>
      <c r="P60" s="208"/>
      <c r="Q60" s="208"/>
      <c r="R60" s="208"/>
      <c r="S60" s="208"/>
      <c r="T60" s="208"/>
      <c r="U60" s="209"/>
      <c r="V60" s="210"/>
    </row>
    <row r="61" ht="15.75" customHeight="1">
      <c r="A61" s="200"/>
      <c r="B61" s="201"/>
      <c r="C61" s="202"/>
      <c r="D61" s="203"/>
      <c r="E61" s="201"/>
      <c r="F61" s="204"/>
      <c r="G61" s="204"/>
      <c r="H61" s="205"/>
      <c r="I61" s="205"/>
      <c r="J61" s="206"/>
      <c r="K61" s="205"/>
      <c r="L61" s="205"/>
      <c r="M61" s="201"/>
      <c r="N61" s="207"/>
      <c r="O61" s="208"/>
      <c r="P61" s="208"/>
      <c r="Q61" s="208"/>
      <c r="R61" s="208"/>
      <c r="S61" s="208"/>
      <c r="T61" s="208"/>
      <c r="U61" s="209"/>
      <c r="V61" s="210"/>
    </row>
    <row r="62" ht="15.75" customHeight="1">
      <c r="A62" s="200"/>
      <c r="B62" s="201"/>
      <c r="C62" s="202"/>
      <c r="D62" s="203"/>
      <c r="E62" s="201"/>
      <c r="F62" s="204"/>
      <c r="G62" s="204"/>
      <c r="H62" s="205"/>
      <c r="I62" s="205"/>
      <c r="J62" s="206"/>
      <c r="K62" s="205"/>
      <c r="L62" s="205"/>
      <c r="M62" s="201"/>
      <c r="N62" s="207"/>
      <c r="O62" s="208"/>
      <c r="P62" s="208"/>
      <c r="Q62" s="208"/>
      <c r="R62" s="208"/>
      <c r="S62" s="208"/>
      <c r="T62" s="208"/>
      <c r="U62" s="209"/>
      <c r="V62" s="210"/>
    </row>
    <row r="63" ht="15.75" customHeight="1">
      <c r="A63" s="200"/>
      <c r="B63" s="201"/>
      <c r="C63" s="202"/>
      <c r="D63" s="203"/>
      <c r="E63" s="201"/>
      <c r="F63" s="204"/>
      <c r="G63" s="204"/>
      <c r="H63" s="205"/>
      <c r="I63" s="205"/>
      <c r="J63" s="206"/>
      <c r="K63" s="205"/>
      <c r="L63" s="205"/>
      <c r="M63" s="201"/>
      <c r="N63" s="207"/>
      <c r="O63" s="208"/>
      <c r="P63" s="208"/>
      <c r="Q63" s="208"/>
      <c r="R63" s="208"/>
      <c r="S63" s="208"/>
      <c r="T63" s="208"/>
      <c r="U63" s="209"/>
      <c r="V63" s="210"/>
    </row>
    <row r="64" ht="15.75" customHeight="1">
      <c r="A64" s="200"/>
      <c r="B64" s="201"/>
      <c r="C64" s="202"/>
      <c r="D64" s="203"/>
      <c r="E64" s="201"/>
      <c r="F64" s="204"/>
      <c r="G64" s="204"/>
      <c r="H64" s="205"/>
      <c r="I64" s="205"/>
      <c r="J64" s="206"/>
      <c r="K64" s="205"/>
      <c r="L64" s="205"/>
      <c r="M64" s="201"/>
      <c r="N64" s="207"/>
      <c r="O64" s="208"/>
      <c r="P64" s="208"/>
      <c r="Q64" s="208"/>
      <c r="R64" s="208"/>
      <c r="S64" s="208"/>
      <c r="T64" s="208"/>
      <c r="U64" s="209"/>
      <c r="V64" s="210"/>
    </row>
    <row r="65" ht="15.75" customHeight="1">
      <c r="A65" s="200"/>
      <c r="B65" s="201"/>
      <c r="C65" s="202"/>
      <c r="D65" s="203"/>
      <c r="E65" s="201"/>
      <c r="F65" s="204"/>
      <c r="G65" s="204"/>
      <c r="H65" s="205"/>
      <c r="I65" s="205"/>
      <c r="J65" s="206"/>
      <c r="K65" s="205"/>
      <c r="L65" s="205"/>
      <c r="M65" s="201"/>
      <c r="N65" s="207"/>
      <c r="O65" s="208"/>
      <c r="P65" s="208"/>
      <c r="Q65" s="208"/>
      <c r="R65" s="208"/>
      <c r="S65" s="208"/>
      <c r="T65" s="208"/>
      <c r="U65" s="209"/>
      <c r="V65" s="210"/>
    </row>
    <row r="66" ht="15.75" customHeight="1">
      <c r="A66" s="200"/>
      <c r="B66" s="201"/>
      <c r="C66" s="202"/>
      <c r="D66" s="203"/>
      <c r="E66" s="201"/>
      <c r="F66" s="204"/>
      <c r="G66" s="204"/>
      <c r="H66" s="205"/>
      <c r="I66" s="205"/>
      <c r="J66" s="206"/>
      <c r="K66" s="205"/>
      <c r="L66" s="205"/>
      <c r="M66" s="201"/>
      <c r="N66" s="207"/>
      <c r="O66" s="208"/>
      <c r="P66" s="208"/>
      <c r="Q66" s="208"/>
      <c r="R66" s="208"/>
      <c r="S66" s="208"/>
      <c r="T66" s="208"/>
      <c r="U66" s="209"/>
      <c r="V66" s="210"/>
    </row>
    <row r="67" ht="15.75" customHeight="1">
      <c r="A67" s="200"/>
      <c r="B67" s="201"/>
      <c r="C67" s="202"/>
      <c r="D67" s="203"/>
      <c r="E67" s="201"/>
      <c r="F67" s="204"/>
      <c r="G67" s="204"/>
      <c r="H67" s="205"/>
      <c r="I67" s="205"/>
      <c r="J67" s="206"/>
      <c r="K67" s="205"/>
      <c r="L67" s="205"/>
      <c r="M67" s="201"/>
      <c r="N67" s="207"/>
      <c r="O67" s="208"/>
      <c r="P67" s="208"/>
      <c r="Q67" s="208"/>
      <c r="R67" s="208"/>
      <c r="S67" s="208"/>
      <c r="T67" s="208"/>
      <c r="U67" s="209"/>
      <c r="V67" s="210"/>
    </row>
    <row r="68" ht="15.75" customHeight="1">
      <c r="A68" s="200"/>
      <c r="B68" s="201"/>
      <c r="C68" s="202"/>
      <c r="D68" s="203"/>
      <c r="E68" s="201"/>
      <c r="F68" s="204"/>
      <c r="G68" s="204"/>
      <c r="H68" s="205"/>
      <c r="I68" s="205"/>
      <c r="J68" s="206"/>
      <c r="K68" s="205"/>
      <c r="L68" s="205"/>
      <c r="M68" s="201"/>
      <c r="N68" s="207"/>
      <c r="O68" s="208"/>
      <c r="P68" s="208"/>
      <c r="Q68" s="208"/>
      <c r="R68" s="208"/>
      <c r="S68" s="208"/>
      <c r="T68" s="208"/>
      <c r="U68" s="209"/>
      <c r="V68" s="210"/>
    </row>
    <row r="69" ht="15.75" customHeight="1">
      <c r="A69" s="200"/>
      <c r="B69" s="201"/>
      <c r="C69" s="202"/>
      <c r="D69" s="203"/>
      <c r="E69" s="201"/>
      <c r="F69" s="204"/>
      <c r="G69" s="204"/>
      <c r="H69" s="205"/>
      <c r="I69" s="205"/>
      <c r="J69" s="206"/>
      <c r="K69" s="205"/>
      <c r="L69" s="205"/>
      <c r="M69" s="201"/>
      <c r="N69" s="207"/>
      <c r="O69" s="208"/>
      <c r="P69" s="208"/>
      <c r="Q69" s="208"/>
      <c r="R69" s="208"/>
      <c r="S69" s="208"/>
      <c r="T69" s="208"/>
      <c r="U69" s="209"/>
      <c r="V69" s="210"/>
    </row>
    <row r="70" ht="15.75" customHeight="1">
      <c r="A70" s="200"/>
      <c r="B70" s="201"/>
      <c r="C70" s="202"/>
      <c r="D70" s="203"/>
      <c r="E70" s="201"/>
      <c r="F70" s="204"/>
      <c r="G70" s="204"/>
      <c r="H70" s="205"/>
      <c r="I70" s="205"/>
      <c r="J70" s="206"/>
      <c r="K70" s="205"/>
      <c r="L70" s="205"/>
      <c r="M70" s="201"/>
      <c r="N70" s="207"/>
      <c r="O70" s="208"/>
      <c r="P70" s="208"/>
      <c r="Q70" s="208"/>
      <c r="R70" s="208"/>
      <c r="S70" s="208"/>
      <c r="T70" s="208"/>
      <c r="U70" s="209"/>
      <c r="V70" s="210"/>
    </row>
    <row r="71" ht="15.75" customHeight="1">
      <c r="A71" s="200"/>
      <c r="B71" s="201"/>
      <c r="C71" s="202"/>
      <c r="D71" s="203"/>
      <c r="E71" s="201"/>
      <c r="F71" s="204"/>
      <c r="G71" s="204"/>
      <c r="H71" s="205"/>
      <c r="I71" s="205"/>
      <c r="J71" s="206"/>
      <c r="K71" s="205"/>
      <c r="L71" s="205"/>
      <c r="M71" s="201"/>
      <c r="N71" s="207"/>
      <c r="O71" s="208"/>
      <c r="P71" s="208"/>
      <c r="Q71" s="208"/>
      <c r="R71" s="208"/>
      <c r="S71" s="208"/>
      <c r="T71" s="208"/>
      <c r="U71" s="209"/>
      <c r="V71" s="210"/>
    </row>
    <row r="72" ht="15.75" customHeight="1">
      <c r="A72" s="200"/>
      <c r="B72" s="201"/>
      <c r="C72" s="202"/>
      <c r="D72" s="203"/>
      <c r="E72" s="201"/>
      <c r="F72" s="204"/>
      <c r="G72" s="204"/>
      <c r="H72" s="205"/>
      <c r="I72" s="205"/>
      <c r="J72" s="206"/>
      <c r="K72" s="205"/>
      <c r="L72" s="205"/>
      <c r="M72" s="201"/>
      <c r="N72" s="207"/>
      <c r="O72" s="208"/>
      <c r="P72" s="208"/>
      <c r="Q72" s="208"/>
      <c r="R72" s="208"/>
      <c r="S72" s="208"/>
      <c r="T72" s="208"/>
      <c r="U72" s="209"/>
      <c r="V72" s="210"/>
    </row>
    <row r="73" ht="15.75" customHeight="1">
      <c r="A73" s="200"/>
      <c r="B73" s="201"/>
      <c r="C73" s="202"/>
      <c r="D73" s="203"/>
      <c r="E73" s="201"/>
      <c r="F73" s="204"/>
      <c r="G73" s="204"/>
      <c r="H73" s="205"/>
      <c r="I73" s="205"/>
      <c r="J73" s="206"/>
      <c r="K73" s="205"/>
      <c r="L73" s="205"/>
      <c r="M73" s="201"/>
      <c r="N73" s="207"/>
      <c r="O73" s="208"/>
      <c r="P73" s="208"/>
      <c r="Q73" s="208"/>
      <c r="R73" s="208"/>
      <c r="S73" s="208"/>
      <c r="T73" s="208"/>
      <c r="U73" s="209"/>
      <c r="V73" s="210"/>
    </row>
    <row r="74" ht="15.75" customHeight="1">
      <c r="A74" s="200"/>
      <c r="B74" s="201"/>
      <c r="C74" s="202"/>
      <c r="D74" s="203"/>
      <c r="E74" s="201"/>
      <c r="F74" s="204"/>
      <c r="G74" s="204"/>
      <c r="H74" s="205"/>
      <c r="I74" s="205"/>
      <c r="J74" s="206"/>
      <c r="K74" s="205"/>
      <c r="L74" s="205"/>
      <c r="M74" s="201"/>
      <c r="N74" s="207"/>
      <c r="O74" s="208"/>
      <c r="P74" s="208"/>
      <c r="Q74" s="208"/>
      <c r="R74" s="208"/>
      <c r="S74" s="208"/>
      <c r="T74" s="208"/>
      <c r="U74" s="209"/>
      <c r="V74" s="210"/>
    </row>
    <row r="75" ht="15.75" customHeight="1">
      <c r="A75" s="200"/>
      <c r="B75" s="201"/>
      <c r="C75" s="202"/>
      <c r="D75" s="203"/>
      <c r="E75" s="201"/>
      <c r="F75" s="204"/>
      <c r="G75" s="204"/>
      <c r="H75" s="205"/>
      <c r="I75" s="205"/>
      <c r="J75" s="206"/>
      <c r="K75" s="205"/>
      <c r="L75" s="205"/>
      <c r="M75" s="201"/>
      <c r="N75" s="207"/>
      <c r="O75" s="208"/>
      <c r="P75" s="208"/>
      <c r="Q75" s="208"/>
      <c r="R75" s="208"/>
      <c r="S75" s="208"/>
      <c r="T75" s="208"/>
      <c r="U75" s="209"/>
      <c r="V75" s="210"/>
    </row>
    <row r="76" ht="15.75" customHeight="1">
      <c r="A76" s="200"/>
      <c r="B76" s="201"/>
      <c r="C76" s="202"/>
      <c r="D76" s="203"/>
      <c r="E76" s="201"/>
      <c r="F76" s="204"/>
      <c r="G76" s="204"/>
      <c r="H76" s="205"/>
      <c r="I76" s="205"/>
      <c r="J76" s="206"/>
      <c r="K76" s="205"/>
      <c r="L76" s="205"/>
      <c r="M76" s="201"/>
      <c r="N76" s="207"/>
      <c r="O76" s="208"/>
      <c r="P76" s="208"/>
      <c r="Q76" s="208"/>
      <c r="R76" s="208"/>
      <c r="S76" s="208"/>
      <c r="T76" s="208"/>
      <c r="U76" s="209"/>
      <c r="V76" s="210"/>
    </row>
    <row r="77" ht="15.75" customHeight="1">
      <c r="A77" s="200"/>
      <c r="B77" s="201"/>
      <c r="C77" s="202"/>
      <c r="D77" s="203"/>
      <c r="E77" s="201"/>
      <c r="F77" s="204"/>
      <c r="G77" s="204"/>
      <c r="H77" s="205"/>
      <c r="I77" s="205"/>
      <c r="J77" s="206"/>
      <c r="K77" s="205"/>
      <c r="L77" s="205"/>
      <c r="M77" s="201"/>
      <c r="N77" s="207"/>
      <c r="O77" s="208"/>
      <c r="P77" s="208"/>
      <c r="Q77" s="208"/>
      <c r="R77" s="208"/>
      <c r="S77" s="208"/>
      <c r="T77" s="208"/>
      <c r="U77" s="209"/>
      <c r="V77" s="210"/>
    </row>
    <row r="78" ht="15.75" customHeight="1">
      <c r="A78" s="200"/>
      <c r="B78" s="201"/>
      <c r="C78" s="202"/>
      <c r="D78" s="203"/>
      <c r="E78" s="201"/>
      <c r="F78" s="204"/>
      <c r="G78" s="204"/>
      <c r="H78" s="205"/>
      <c r="I78" s="205"/>
      <c r="J78" s="206"/>
      <c r="K78" s="205"/>
      <c r="L78" s="205"/>
      <c r="M78" s="201"/>
      <c r="N78" s="207"/>
      <c r="O78" s="208"/>
      <c r="P78" s="208"/>
      <c r="Q78" s="208"/>
      <c r="R78" s="208"/>
      <c r="S78" s="208"/>
      <c r="T78" s="208"/>
      <c r="U78" s="209"/>
      <c r="V78" s="210"/>
    </row>
    <row r="79" ht="15.75" customHeight="1">
      <c r="A79" s="200"/>
      <c r="B79" s="201"/>
      <c r="C79" s="202"/>
      <c r="D79" s="203"/>
      <c r="E79" s="201"/>
      <c r="F79" s="204"/>
      <c r="G79" s="204"/>
      <c r="H79" s="205"/>
      <c r="I79" s="205"/>
      <c r="J79" s="206"/>
      <c r="K79" s="205"/>
      <c r="L79" s="205"/>
      <c r="M79" s="201"/>
      <c r="N79" s="207"/>
      <c r="O79" s="208"/>
      <c r="P79" s="208"/>
      <c r="Q79" s="208"/>
      <c r="R79" s="208"/>
      <c r="S79" s="208"/>
      <c r="T79" s="208"/>
      <c r="U79" s="209"/>
      <c r="V79" s="210"/>
    </row>
    <row r="80" ht="15.75" customHeight="1">
      <c r="A80" s="200"/>
      <c r="B80" s="201"/>
      <c r="C80" s="202"/>
      <c r="D80" s="203"/>
      <c r="E80" s="201"/>
      <c r="F80" s="204"/>
      <c r="G80" s="204"/>
      <c r="H80" s="205"/>
      <c r="I80" s="205"/>
      <c r="J80" s="206"/>
      <c r="K80" s="205"/>
      <c r="L80" s="205"/>
      <c r="M80" s="201"/>
      <c r="N80" s="207"/>
      <c r="O80" s="208"/>
      <c r="P80" s="208"/>
      <c r="Q80" s="208"/>
      <c r="R80" s="208"/>
      <c r="S80" s="208"/>
      <c r="T80" s="208"/>
      <c r="U80" s="209"/>
      <c r="V80" s="210"/>
    </row>
    <row r="81" ht="15.75" customHeight="1">
      <c r="A81" s="200"/>
      <c r="B81" s="201"/>
      <c r="C81" s="202"/>
      <c r="D81" s="203"/>
      <c r="E81" s="201"/>
      <c r="F81" s="204"/>
      <c r="G81" s="204"/>
      <c r="H81" s="205"/>
      <c r="I81" s="205"/>
      <c r="J81" s="206"/>
      <c r="K81" s="205"/>
      <c r="L81" s="205"/>
      <c r="M81" s="201"/>
      <c r="N81" s="207"/>
      <c r="O81" s="208"/>
      <c r="P81" s="208"/>
      <c r="Q81" s="208"/>
      <c r="R81" s="208"/>
      <c r="S81" s="208"/>
      <c r="T81" s="208"/>
      <c r="U81" s="209"/>
      <c r="V81" s="210"/>
    </row>
    <row r="82" ht="15.75" customHeight="1">
      <c r="A82" s="200"/>
      <c r="B82" s="201"/>
      <c r="C82" s="202"/>
      <c r="D82" s="203"/>
      <c r="E82" s="201"/>
      <c r="F82" s="204"/>
      <c r="G82" s="204"/>
      <c r="H82" s="205"/>
      <c r="I82" s="205"/>
      <c r="J82" s="206"/>
      <c r="K82" s="205"/>
      <c r="L82" s="205"/>
      <c r="M82" s="201"/>
      <c r="N82" s="207"/>
      <c r="O82" s="208"/>
      <c r="P82" s="208"/>
      <c r="Q82" s="208"/>
      <c r="R82" s="208"/>
      <c r="S82" s="208"/>
      <c r="T82" s="208"/>
      <c r="U82" s="209"/>
      <c r="V82" s="210"/>
    </row>
    <row r="83" ht="15.75" customHeight="1">
      <c r="A83" s="200"/>
      <c r="B83" s="201"/>
      <c r="C83" s="202"/>
      <c r="D83" s="203"/>
      <c r="E83" s="201"/>
      <c r="F83" s="204"/>
      <c r="G83" s="204"/>
      <c r="H83" s="205"/>
      <c r="I83" s="205"/>
      <c r="J83" s="206"/>
      <c r="K83" s="205"/>
      <c r="L83" s="205"/>
      <c r="M83" s="201"/>
      <c r="N83" s="207"/>
      <c r="O83" s="208"/>
      <c r="P83" s="208"/>
      <c r="Q83" s="208"/>
      <c r="R83" s="208"/>
      <c r="S83" s="208"/>
      <c r="T83" s="208"/>
      <c r="U83" s="209"/>
      <c r="V83" s="210"/>
    </row>
    <row r="84" ht="15.75" customHeight="1">
      <c r="A84" s="200"/>
      <c r="B84" s="201"/>
      <c r="C84" s="202"/>
      <c r="D84" s="203"/>
      <c r="E84" s="201"/>
      <c r="F84" s="204"/>
      <c r="G84" s="204"/>
      <c r="H84" s="205"/>
      <c r="I84" s="205"/>
      <c r="J84" s="206"/>
      <c r="K84" s="205"/>
      <c r="L84" s="205"/>
      <c r="M84" s="201"/>
      <c r="N84" s="207"/>
      <c r="O84" s="208"/>
      <c r="P84" s="208"/>
      <c r="Q84" s="208"/>
      <c r="R84" s="208"/>
      <c r="S84" s="208"/>
      <c r="T84" s="208"/>
      <c r="U84" s="209"/>
      <c r="V84" s="210"/>
    </row>
    <row r="85" ht="15.75" customHeight="1">
      <c r="A85" s="200"/>
      <c r="B85" s="201"/>
      <c r="C85" s="202"/>
      <c r="D85" s="203"/>
      <c r="E85" s="201"/>
      <c r="F85" s="204"/>
      <c r="G85" s="204"/>
      <c r="H85" s="205"/>
      <c r="I85" s="205"/>
      <c r="J85" s="206"/>
      <c r="K85" s="205"/>
      <c r="L85" s="205"/>
      <c r="M85" s="201"/>
      <c r="N85" s="207"/>
      <c r="O85" s="208"/>
      <c r="P85" s="208"/>
      <c r="Q85" s="208"/>
      <c r="R85" s="208"/>
      <c r="S85" s="208"/>
      <c r="T85" s="208"/>
      <c r="U85" s="209"/>
      <c r="V85" s="210"/>
    </row>
    <row r="86" ht="15.75" customHeight="1">
      <c r="A86" s="200"/>
      <c r="B86" s="201"/>
      <c r="C86" s="202"/>
      <c r="D86" s="203"/>
      <c r="E86" s="201"/>
      <c r="F86" s="204"/>
      <c r="G86" s="204"/>
      <c r="H86" s="205"/>
      <c r="I86" s="205"/>
      <c r="J86" s="206"/>
      <c r="K86" s="205"/>
      <c r="L86" s="205"/>
      <c r="M86" s="201"/>
      <c r="N86" s="207"/>
      <c r="O86" s="208"/>
      <c r="P86" s="208"/>
      <c r="Q86" s="208"/>
      <c r="R86" s="208"/>
      <c r="S86" s="208"/>
      <c r="T86" s="208"/>
      <c r="U86" s="209"/>
      <c r="V86" s="210"/>
    </row>
    <row r="87" ht="15.75" customHeight="1">
      <c r="A87" s="200"/>
      <c r="B87" s="201"/>
      <c r="C87" s="202"/>
      <c r="D87" s="203"/>
      <c r="E87" s="201"/>
      <c r="F87" s="204"/>
      <c r="G87" s="204"/>
      <c r="H87" s="205"/>
      <c r="I87" s="205"/>
      <c r="J87" s="206"/>
      <c r="K87" s="205"/>
      <c r="L87" s="205"/>
      <c r="M87" s="201"/>
      <c r="N87" s="207"/>
      <c r="O87" s="208"/>
      <c r="P87" s="208"/>
      <c r="Q87" s="208"/>
      <c r="R87" s="208"/>
      <c r="S87" s="208"/>
      <c r="T87" s="208"/>
      <c r="U87" s="209"/>
      <c r="V87" s="210"/>
    </row>
    <row r="88" ht="15.75" customHeight="1">
      <c r="A88" s="200"/>
      <c r="B88" s="201"/>
      <c r="C88" s="202"/>
      <c r="D88" s="203"/>
      <c r="E88" s="201"/>
      <c r="F88" s="204"/>
      <c r="G88" s="204"/>
      <c r="H88" s="205"/>
      <c r="I88" s="205"/>
      <c r="J88" s="206"/>
      <c r="K88" s="205"/>
      <c r="L88" s="205"/>
      <c r="M88" s="201"/>
      <c r="N88" s="207"/>
      <c r="O88" s="208"/>
      <c r="P88" s="208"/>
      <c r="Q88" s="208"/>
      <c r="R88" s="208"/>
      <c r="S88" s="208"/>
      <c r="T88" s="208"/>
      <c r="U88" s="209"/>
      <c r="V88" s="210"/>
    </row>
    <row r="89" ht="15.75" customHeight="1">
      <c r="A89" s="200"/>
      <c r="B89" s="201"/>
      <c r="C89" s="202"/>
      <c r="D89" s="203"/>
      <c r="E89" s="201"/>
      <c r="F89" s="204"/>
      <c r="G89" s="204"/>
      <c r="H89" s="205"/>
      <c r="I89" s="205"/>
      <c r="J89" s="206"/>
      <c r="K89" s="205"/>
      <c r="L89" s="205"/>
      <c r="M89" s="201"/>
      <c r="N89" s="207"/>
      <c r="O89" s="208"/>
      <c r="P89" s="208"/>
      <c r="Q89" s="208"/>
      <c r="R89" s="208"/>
      <c r="S89" s="208"/>
      <c r="T89" s="208"/>
      <c r="U89" s="209"/>
      <c r="V89" s="210"/>
    </row>
    <row r="90" ht="15.75" customHeight="1">
      <c r="A90" s="200"/>
      <c r="B90" s="201"/>
      <c r="C90" s="202"/>
      <c r="D90" s="203"/>
      <c r="E90" s="201"/>
      <c r="F90" s="204"/>
      <c r="G90" s="204"/>
      <c r="H90" s="205"/>
      <c r="I90" s="205"/>
      <c r="J90" s="206"/>
      <c r="K90" s="205"/>
      <c r="L90" s="205"/>
      <c r="M90" s="201"/>
      <c r="N90" s="207"/>
      <c r="O90" s="208"/>
      <c r="P90" s="208"/>
      <c r="Q90" s="208"/>
      <c r="R90" s="208"/>
      <c r="S90" s="208"/>
      <c r="T90" s="208"/>
      <c r="U90" s="209"/>
      <c r="V90" s="210"/>
    </row>
    <row r="91" ht="15.75" customHeight="1">
      <c r="A91" s="200"/>
      <c r="B91" s="201"/>
      <c r="C91" s="202"/>
      <c r="D91" s="203"/>
      <c r="E91" s="201"/>
      <c r="F91" s="204"/>
      <c r="G91" s="204"/>
      <c r="H91" s="205"/>
      <c r="I91" s="205"/>
      <c r="J91" s="206"/>
      <c r="K91" s="205"/>
      <c r="L91" s="205"/>
      <c r="M91" s="201"/>
      <c r="N91" s="207"/>
      <c r="O91" s="208"/>
      <c r="P91" s="208"/>
      <c r="Q91" s="208"/>
      <c r="R91" s="208"/>
      <c r="S91" s="208"/>
      <c r="T91" s="208"/>
      <c r="U91" s="209"/>
      <c r="V91" s="210"/>
    </row>
    <row r="92" ht="15.75" customHeight="1">
      <c r="A92" s="200"/>
      <c r="B92" s="201"/>
      <c r="C92" s="202"/>
      <c r="D92" s="203"/>
      <c r="E92" s="201"/>
      <c r="F92" s="204"/>
      <c r="G92" s="204"/>
      <c r="H92" s="205"/>
      <c r="I92" s="205"/>
      <c r="J92" s="206"/>
      <c r="K92" s="205"/>
      <c r="L92" s="205"/>
      <c r="M92" s="201"/>
      <c r="N92" s="207"/>
      <c r="O92" s="208"/>
      <c r="P92" s="208"/>
      <c r="Q92" s="208"/>
      <c r="R92" s="208"/>
      <c r="S92" s="208"/>
      <c r="T92" s="208"/>
      <c r="U92" s="209"/>
      <c r="V92" s="210"/>
    </row>
    <row r="93" ht="15.75" customHeight="1">
      <c r="A93" s="200"/>
      <c r="B93" s="201"/>
      <c r="C93" s="202"/>
      <c r="D93" s="203"/>
      <c r="E93" s="201"/>
      <c r="F93" s="204"/>
      <c r="G93" s="204"/>
      <c r="H93" s="205"/>
      <c r="I93" s="205"/>
      <c r="J93" s="206"/>
      <c r="K93" s="205"/>
      <c r="L93" s="205"/>
      <c r="M93" s="201"/>
      <c r="N93" s="207"/>
      <c r="O93" s="208"/>
      <c r="P93" s="208"/>
      <c r="Q93" s="208"/>
      <c r="R93" s="208"/>
      <c r="S93" s="208"/>
      <c r="T93" s="208"/>
      <c r="U93" s="209"/>
      <c r="V93" s="210"/>
    </row>
    <row r="94" ht="15.75" customHeight="1">
      <c r="A94" s="200"/>
      <c r="B94" s="201"/>
      <c r="C94" s="202"/>
      <c r="D94" s="203"/>
      <c r="E94" s="201"/>
      <c r="F94" s="204"/>
      <c r="G94" s="204"/>
      <c r="H94" s="205"/>
      <c r="I94" s="205"/>
      <c r="J94" s="206"/>
      <c r="K94" s="205"/>
      <c r="L94" s="205"/>
      <c r="M94" s="201"/>
      <c r="N94" s="207"/>
      <c r="O94" s="208"/>
      <c r="P94" s="208"/>
      <c r="Q94" s="208"/>
      <c r="R94" s="208"/>
      <c r="S94" s="208"/>
      <c r="T94" s="208"/>
      <c r="U94" s="209"/>
      <c r="V94" s="210"/>
    </row>
    <row r="95" ht="15.75" customHeight="1">
      <c r="A95" s="200"/>
      <c r="B95" s="201"/>
      <c r="C95" s="202"/>
      <c r="D95" s="203"/>
      <c r="E95" s="201"/>
      <c r="F95" s="204"/>
      <c r="G95" s="204"/>
      <c r="H95" s="205"/>
      <c r="I95" s="205"/>
      <c r="J95" s="206"/>
      <c r="K95" s="205"/>
      <c r="L95" s="205"/>
      <c r="M95" s="201"/>
      <c r="N95" s="207"/>
      <c r="O95" s="208"/>
      <c r="P95" s="208"/>
      <c r="Q95" s="208"/>
      <c r="R95" s="208"/>
      <c r="S95" s="208"/>
      <c r="T95" s="208"/>
      <c r="U95" s="209"/>
      <c r="V95" s="210"/>
    </row>
    <row r="96" ht="15.75" customHeight="1">
      <c r="A96" s="200"/>
      <c r="B96" s="201"/>
      <c r="C96" s="202"/>
      <c r="D96" s="203"/>
      <c r="E96" s="201"/>
      <c r="F96" s="204"/>
      <c r="G96" s="204"/>
      <c r="H96" s="205"/>
      <c r="I96" s="205"/>
      <c r="J96" s="206"/>
      <c r="K96" s="205"/>
      <c r="L96" s="205"/>
      <c r="M96" s="201"/>
      <c r="N96" s="207"/>
      <c r="O96" s="208"/>
      <c r="P96" s="208"/>
      <c r="Q96" s="208"/>
      <c r="R96" s="208"/>
      <c r="S96" s="208"/>
      <c r="T96" s="208"/>
      <c r="U96" s="209"/>
      <c r="V96" s="210"/>
    </row>
    <row r="97" ht="15.75" customHeight="1">
      <c r="A97" s="200"/>
      <c r="B97" s="201"/>
      <c r="C97" s="202"/>
      <c r="D97" s="203"/>
      <c r="E97" s="201"/>
      <c r="F97" s="204"/>
      <c r="G97" s="204"/>
      <c r="H97" s="205"/>
      <c r="I97" s="205"/>
      <c r="J97" s="206"/>
      <c r="K97" s="205"/>
      <c r="L97" s="205"/>
      <c r="M97" s="201"/>
      <c r="N97" s="207"/>
      <c r="O97" s="208"/>
      <c r="P97" s="208"/>
      <c r="Q97" s="208"/>
      <c r="R97" s="208"/>
      <c r="S97" s="208"/>
      <c r="T97" s="208"/>
      <c r="U97" s="209"/>
      <c r="V97" s="210"/>
    </row>
    <row r="98" ht="15.75" customHeight="1">
      <c r="A98" s="200"/>
      <c r="B98" s="201"/>
      <c r="C98" s="202"/>
      <c r="D98" s="203"/>
      <c r="E98" s="201"/>
      <c r="F98" s="204"/>
      <c r="G98" s="204"/>
      <c r="H98" s="205"/>
      <c r="I98" s="205"/>
      <c r="J98" s="206"/>
      <c r="K98" s="205"/>
      <c r="L98" s="205"/>
      <c r="M98" s="201"/>
      <c r="N98" s="207"/>
      <c r="O98" s="208"/>
      <c r="P98" s="208"/>
      <c r="Q98" s="208"/>
      <c r="R98" s="208"/>
      <c r="S98" s="208"/>
      <c r="T98" s="208"/>
      <c r="U98" s="209"/>
      <c r="V98" s="210"/>
    </row>
    <row r="99" ht="15.75" customHeight="1">
      <c r="A99" s="200"/>
      <c r="B99" s="201"/>
      <c r="C99" s="202"/>
      <c r="D99" s="203"/>
      <c r="E99" s="201"/>
      <c r="F99" s="204"/>
      <c r="G99" s="204"/>
      <c r="H99" s="205"/>
      <c r="I99" s="205"/>
      <c r="J99" s="206"/>
      <c r="K99" s="205"/>
      <c r="L99" s="205"/>
      <c r="M99" s="201"/>
      <c r="N99" s="207"/>
      <c r="O99" s="208"/>
      <c r="P99" s="208"/>
      <c r="Q99" s="208"/>
      <c r="R99" s="208"/>
      <c r="S99" s="208"/>
      <c r="T99" s="208"/>
      <c r="U99" s="209"/>
      <c r="V99" s="210"/>
    </row>
    <row r="100" ht="15.75" customHeight="1">
      <c r="A100" s="200"/>
      <c r="B100" s="201"/>
      <c r="C100" s="202"/>
      <c r="D100" s="203"/>
      <c r="E100" s="201"/>
      <c r="F100" s="204"/>
      <c r="G100" s="204"/>
      <c r="H100" s="205"/>
      <c r="I100" s="205"/>
      <c r="J100" s="206"/>
      <c r="K100" s="205"/>
      <c r="L100" s="205"/>
      <c r="M100" s="201"/>
      <c r="N100" s="207"/>
      <c r="O100" s="208"/>
      <c r="P100" s="208"/>
      <c r="Q100" s="208"/>
      <c r="R100" s="208"/>
      <c r="S100" s="208"/>
      <c r="T100" s="208"/>
      <c r="U100" s="209"/>
      <c r="V100" s="210"/>
    </row>
    <row r="101" ht="15.75" customHeight="1">
      <c r="A101" s="200"/>
      <c r="B101" s="201"/>
      <c r="C101" s="202"/>
      <c r="D101" s="203"/>
      <c r="E101" s="201"/>
      <c r="F101" s="204"/>
      <c r="G101" s="204"/>
      <c r="H101" s="205"/>
      <c r="I101" s="205"/>
      <c r="J101" s="206"/>
      <c r="K101" s="205"/>
      <c r="L101" s="205"/>
      <c r="M101" s="201"/>
      <c r="N101" s="207"/>
      <c r="O101" s="208"/>
      <c r="P101" s="208"/>
      <c r="Q101" s="208"/>
      <c r="R101" s="208"/>
      <c r="S101" s="208"/>
      <c r="T101" s="208"/>
      <c r="U101" s="209"/>
      <c r="V101" s="210"/>
    </row>
    <row r="102" ht="15.75" customHeight="1">
      <c r="A102" s="200"/>
      <c r="B102" s="201"/>
      <c r="C102" s="202"/>
      <c r="D102" s="203"/>
      <c r="E102" s="201"/>
      <c r="F102" s="204"/>
      <c r="G102" s="204"/>
      <c r="H102" s="205"/>
      <c r="I102" s="205"/>
      <c r="J102" s="206"/>
      <c r="K102" s="205"/>
      <c r="L102" s="205"/>
      <c r="M102" s="201"/>
      <c r="N102" s="207"/>
      <c r="O102" s="208"/>
      <c r="P102" s="208"/>
      <c r="Q102" s="208"/>
      <c r="R102" s="208"/>
      <c r="S102" s="208"/>
      <c r="T102" s="208"/>
      <c r="U102" s="209"/>
      <c r="V102" s="210"/>
    </row>
    <row r="103" ht="15.75" customHeight="1">
      <c r="A103" s="200"/>
      <c r="B103" s="201"/>
      <c r="C103" s="202"/>
      <c r="D103" s="203"/>
      <c r="E103" s="201"/>
      <c r="F103" s="204"/>
      <c r="G103" s="204"/>
      <c r="H103" s="205"/>
      <c r="I103" s="205"/>
      <c r="J103" s="206"/>
      <c r="K103" s="205"/>
      <c r="L103" s="205"/>
      <c r="M103" s="201"/>
      <c r="N103" s="207"/>
      <c r="O103" s="208"/>
      <c r="P103" s="208"/>
      <c r="Q103" s="208"/>
      <c r="R103" s="208"/>
      <c r="S103" s="208"/>
      <c r="T103" s="208"/>
      <c r="U103" s="209"/>
      <c r="V103" s="210"/>
    </row>
    <row r="104" ht="15.75" customHeight="1">
      <c r="A104" s="200"/>
      <c r="B104" s="201"/>
      <c r="C104" s="202"/>
      <c r="D104" s="203"/>
      <c r="E104" s="201"/>
      <c r="F104" s="204"/>
      <c r="G104" s="204"/>
      <c r="H104" s="205"/>
      <c r="I104" s="205"/>
      <c r="J104" s="206"/>
      <c r="K104" s="205"/>
      <c r="L104" s="205"/>
      <c r="M104" s="201"/>
      <c r="N104" s="207"/>
      <c r="O104" s="208"/>
      <c r="P104" s="208"/>
      <c r="Q104" s="208"/>
      <c r="R104" s="208"/>
      <c r="S104" s="208"/>
      <c r="T104" s="208"/>
      <c r="U104" s="209"/>
      <c r="V104" s="210"/>
    </row>
    <row r="105" ht="15.75" customHeight="1">
      <c r="A105" s="200"/>
      <c r="B105" s="201"/>
      <c r="C105" s="202"/>
      <c r="D105" s="203"/>
      <c r="E105" s="201"/>
      <c r="F105" s="204"/>
      <c r="G105" s="204"/>
      <c r="H105" s="205"/>
      <c r="I105" s="205"/>
      <c r="J105" s="206"/>
      <c r="K105" s="205"/>
      <c r="L105" s="205"/>
      <c r="M105" s="201"/>
      <c r="N105" s="207"/>
      <c r="O105" s="208"/>
      <c r="P105" s="208"/>
      <c r="Q105" s="208"/>
      <c r="R105" s="208"/>
      <c r="S105" s="208"/>
      <c r="T105" s="208"/>
      <c r="U105" s="209"/>
      <c r="V105" s="210"/>
    </row>
    <row r="106" ht="15.75" customHeight="1">
      <c r="A106" s="200"/>
      <c r="B106" s="201"/>
      <c r="C106" s="202"/>
      <c r="D106" s="203"/>
      <c r="E106" s="201"/>
      <c r="F106" s="204"/>
      <c r="G106" s="204"/>
      <c r="H106" s="205"/>
      <c r="I106" s="205"/>
      <c r="J106" s="206"/>
      <c r="K106" s="205"/>
      <c r="L106" s="205"/>
      <c r="M106" s="201"/>
      <c r="N106" s="207"/>
      <c r="O106" s="208"/>
      <c r="P106" s="208"/>
      <c r="Q106" s="208"/>
      <c r="R106" s="208"/>
      <c r="S106" s="208"/>
      <c r="T106" s="208"/>
      <c r="U106" s="209"/>
      <c r="V106" s="210"/>
    </row>
    <row r="107" ht="15.75" customHeight="1">
      <c r="A107" s="200"/>
      <c r="B107" s="201"/>
      <c r="C107" s="202"/>
      <c r="D107" s="203"/>
      <c r="E107" s="201"/>
      <c r="F107" s="204"/>
      <c r="G107" s="204"/>
      <c r="H107" s="205"/>
      <c r="I107" s="205"/>
      <c r="J107" s="206"/>
      <c r="K107" s="205"/>
      <c r="L107" s="205"/>
      <c r="M107" s="201"/>
      <c r="N107" s="207"/>
      <c r="O107" s="208"/>
      <c r="P107" s="208"/>
      <c r="Q107" s="208"/>
      <c r="R107" s="208"/>
      <c r="S107" s="208"/>
      <c r="T107" s="208"/>
      <c r="U107" s="209"/>
      <c r="V107" s="210"/>
    </row>
    <row r="108" ht="15.75" customHeight="1">
      <c r="A108" s="200"/>
      <c r="B108" s="201"/>
      <c r="C108" s="202"/>
      <c r="D108" s="203"/>
      <c r="E108" s="201"/>
      <c r="F108" s="204"/>
      <c r="G108" s="204"/>
      <c r="H108" s="205"/>
      <c r="I108" s="205"/>
      <c r="J108" s="206"/>
      <c r="K108" s="205"/>
      <c r="L108" s="205"/>
      <c r="M108" s="201"/>
      <c r="N108" s="207"/>
      <c r="O108" s="208"/>
      <c r="P108" s="208"/>
      <c r="Q108" s="208"/>
      <c r="R108" s="208"/>
      <c r="S108" s="208"/>
      <c r="T108" s="208"/>
      <c r="U108" s="209"/>
      <c r="V108" s="210"/>
    </row>
    <row r="109" ht="15.75" customHeight="1">
      <c r="A109" s="200"/>
      <c r="B109" s="201"/>
      <c r="C109" s="202"/>
      <c r="D109" s="203"/>
      <c r="E109" s="201"/>
      <c r="F109" s="204"/>
      <c r="G109" s="204"/>
      <c r="H109" s="205"/>
      <c r="I109" s="205"/>
      <c r="J109" s="206"/>
      <c r="K109" s="205"/>
      <c r="L109" s="205"/>
      <c r="M109" s="201"/>
      <c r="N109" s="207"/>
      <c r="O109" s="208"/>
      <c r="P109" s="208"/>
      <c r="Q109" s="208"/>
      <c r="R109" s="208"/>
      <c r="S109" s="208"/>
      <c r="T109" s="208"/>
      <c r="U109" s="209"/>
      <c r="V109" s="210"/>
    </row>
    <row r="110" ht="15.75" customHeight="1">
      <c r="A110" s="200"/>
      <c r="B110" s="201"/>
      <c r="C110" s="202"/>
      <c r="D110" s="203"/>
      <c r="E110" s="201"/>
      <c r="F110" s="204"/>
      <c r="G110" s="204"/>
      <c r="H110" s="205"/>
      <c r="I110" s="205"/>
      <c r="J110" s="206"/>
      <c r="K110" s="205"/>
      <c r="L110" s="205"/>
      <c r="M110" s="201"/>
      <c r="N110" s="207"/>
      <c r="O110" s="208"/>
      <c r="P110" s="208"/>
      <c r="Q110" s="208"/>
      <c r="R110" s="208"/>
      <c r="S110" s="208"/>
      <c r="T110" s="208"/>
      <c r="U110" s="209"/>
      <c r="V110" s="210"/>
    </row>
    <row r="111" ht="15.75" customHeight="1">
      <c r="A111" s="200"/>
      <c r="B111" s="201"/>
      <c r="C111" s="202"/>
      <c r="D111" s="203"/>
      <c r="E111" s="201"/>
      <c r="F111" s="204"/>
      <c r="G111" s="204"/>
      <c r="H111" s="205"/>
      <c r="I111" s="205"/>
      <c r="J111" s="206"/>
      <c r="K111" s="205"/>
      <c r="L111" s="205"/>
      <c r="M111" s="201"/>
      <c r="N111" s="207"/>
      <c r="O111" s="208"/>
      <c r="P111" s="208"/>
      <c r="Q111" s="208"/>
      <c r="R111" s="208"/>
      <c r="S111" s="208"/>
      <c r="T111" s="208"/>
      <c r="U111" s="209"/>
      <c r="V111" s="210"/>
    </row>
    <row r="112" ht="15.75" customHeight="1">
      <c r="A112" s="200"/>
      <c r="B112" s="201"/>
      <c r="C112" s="202"/>
      <c r="D112" s="203"/>
      <c r="E112" s="201"/>
      <c r="F112" s="204"/>
      <c r="G112" s="204"/>
      <c r="H112" s="205"/>
      <c r="I112" s="205"/>
      <c r="J112" s="206"/>
      <c r="K112" s="205"/>
      <c r="L112" s="205"/>
      <c r="M112" s="201"/>
      <c r="N112" s="207"/>
      <c r="O112" s="208"/>
      <c r="P112" s="208"/>
      <c r="Q112" s="208"/>
      <c r="R112" s="208"/>
      <c r="S112" s="208"/>
      <c r="T112" s="208"/>
      <c r="U112" s="209"/>
      <c r="V112" s="210"/>
    </row>
    <row r="113" ht="15.75" customHeight="1">
      <c r="A113" s="200"/>
      <c r="B113" s="201"/>
      <c r="C113" s="202"/>
      <c r="D113" s="203"/>
      <c r="E113" s="201"/>
      <c r="F113" s="204"/>
      <c r="G113" s="204"/>
      <c r="H113" s="205"/>
      <c r="I113" s="205"/>
      <c r="J113" s="206"/>
      <c r="K113" s="205"/>
      <c r="L113" s="205"/>
      <c r="M113" s="201"/>
      <c r="N113" s="207"/>
      <c r="O113" s="208"/>
      <c r="P113" s="208"/>
      <c r="Q113" s="208"/>
      <c r="R113" s="208"/>
      <c r="S113" s="208"/>
      <c r="T113" s="208"/>
      <c r="U113" s="209"/>
      <c r="V113" s="210"/>
    </row>
    <row r="114" ht="15.75" customHeight="1">
      <c r="A114" s="200"/>
      <c r="B114" s="201"/>
      <c r="C114" s="202"/>
      <c r="D114" s="203"/>
      <c r="E114" s="201"/>
      <c r="F114" s="204"/>
      <c r="G114" s="204"/>
      <c r="H114" s="205"/>
      <c r="I114" s="205"/>
      <c r="J114" s="206"/>
      <c r="K114" s="205"/>
      <c r="L114" s="205"/>
      <c r="M114" s="201"/>
      <c r="N114" s="207"/>
      <c r="O114" s="208"/>
      <c r="P114" s="208"/>
      <c r="Q114" s="208"/>
      <c r="R114" s="208"/>
      <c r="S114" s="208"/>
      <c r="T114" s="208"/>
      <c r="U114" s="209"/>
      <c r="V114" s="210"/>
    </row>
    <row r="115" ht="15.75" customHeight="1">
      <c r="A115" s="200"/>
      <c r="B115" s="201"/>
      <c r="C115" s="202"/>
      <c r="D115" s="203"/>
      <c r="E115" s="201"/>
      <c r="F115" s="204"/>
      <c r="G115" s="204"/>
      <c r="H115" s="205"/>
      <c r="I115" s="205"/>
      <c r="J115" s="206"/>
      <c r="K115" s="205"/>
      <c r="L115" s="205"/>
      <c r="M115" s="201"/>
      <c r="N115" s="207"/>
      <c r="O115" s="208"/>
      <c r="P115" s="208"/>
      <c r="Q115" s="208"/>
      <c r="R115" s="208"/>
      <c r="S115" s="208"/>
      <c r="T115" s="208"/>
      <c r="U115" s="209"/>
      <c r="V115" s="210"/>
    </row>
    <row r="116" ht="15.75" customHeight="1">
      <c r="A116" s="200"/>
      <c r="B116" s="201"/>
      <c r="C116" s="202"/>
      <c r="D116" s="203"/>
      <c r="E116" s="201"/>
      <c r="F116" s="204"/>
      <c r="G116" s="204"/>
      <c r="H116" s="205"/>
      <c r="I116" s="205"/>
      <c r="J116" s="206"/>
      <c r="K116" s="205"/>
      <c r="L116" s="205"/>
      <c r="M116" s="201"/>
      <c r="N116" s="207"/>
      <c r="O116" s="208"/>
      <c r="P116" s="208"/>
      <c r="Q116" s="208"/>
      <c r="R116" s="208"/>
      <c r="S116" s="208"/>
      <c r="T116" s="208"/>
      <c r="U116" s="209"/>
      <c r="V116" s="210"/>
    </row>
    <row r="117" ht="15.75" customHeight="1">
      <c r="A117" s="200"/>
      <c r="B117" s="201"/>
      <c r="C117" s="202"/>
      <c r="D117" s="203"/>
      <c r="E117" s="201"/>
      <c r="F117" s="204"/>
      <c r="G117" s="204"/>
      <c r="H117" s="205"/>
      <c r="I117" s="205"/>
      <c r="J117" s="206"/>
      <c r="K117" s="205"/>
      <c r="L117" s="205"/>
      <c r="M117" s="201"/>
      <c r="N117" s="207"/>
      <c r="O117" s="208"/>
      <c r="P117" s="208"/>
      <c r="Q117" s="208"/>
      <c r="R117" s="208"/>
      <c r="S117" s="208"/>
      <c r="T117" s="208"/>
      <c r="U117" s="209"/>
      <c r="V117" s="210"/>
    </row>
    <row r="118" ht="15.75" customHeight="1">
      <c r="A118" s="200"/>
      <c r="B118" s="201"/>
      <c r="C118" s="202"/>
      <c r="D118" s="203"/>
      <c r="E118" s="201"/>
      <c r="F118" s="204"/>
      <c r="G118" s="204"/>
      <c r="H118" s="205"/>
      <c r="I118" s="205"/>
      <c r="J118" s="206"/>
      <c r="K118" s="205"/>
      <c r="L118" s="205"/>
      <c r="M118" s="201"/>
      <c r="N118" s="207"/>
      <c r="O118" s="208"/>
      <c r="P118" s="208"/>
      <c r="Q118" s="208"/>
      <c r="R118" s="208"/>
      <c r="S118" s="208"/>
      <c r="T118" s="208"/>
      <c r="U118" s="209"/>
      <c r="V118" s="210"/>
    </row>
    <row r="119" ht="15.75" customHeight="1">
      <c r="A119" s="200"/>
      <c r="B119" s="201"/>
      <c r="C119" s="202"/>
      <c r="D119" s="203"/>
      <c r="E119" s="201"/>
      <c r="F119" s="204"/>
      <c r="G119" s="204"/>
      <c r="H119" s="205"/>
      <c r="I119" s="205"/>
      <c r="J119" s="206"/>
      <c r="K119" s="205"/>
      <c r="L119" s="205"/>
      <c r="M119" s="201"/>
      <c r="N119" s="207"/>
      <c r="O119" s="208"/>
      <c r="P119" s="208"/>
      <c r="Q119" s="208"/>
      <c r="R119" s="208"/>
      <c r="S119" s="208"/>
      <c r="T119" s="208"/>
      <c r="U119" s="209"/>
      <c r="V119" s="210"/>
    </row>
    <row r="120" ht="15.75" customHeight="1">
      <c r="A120" s="200"/>
      <c r="B120" s="201"/>
      <c r="C120" s="202"/>
      <c r="D120" s="203"/>
      <c r="E120" s="201"/>
      <c r="F120" s="204"/>
      <c r="G120" s="204"/>
      <c r="H120" s="205"/>
      <c r="I120" s="205"/>
      <c r="J120" s="206"/>
      <c r="K120" s="205"/>
      <c r="L120" s="205"/>
      <c r="M120" s="201"/>
      <c r="N120" s="207"/>
      <c r="O120" s="208"/>
      <c r="P120" s="208"/>
      <c r="Q120" s="208"/>
      <c r="R120" s="208"/>
      <c r="S120" s="208"/>
      <c r="T120" s="208"/>
      <c r="U120" s="209"/>
      <c r="V120" s="210"/>
    </row>
    <row r="121" ht="15.75" customHeight="1">
      <c r="A121" s="200"/>
      <c r="B121" s="201"/>
      <c r="C121" s="202"/>
      <c r="D121" s="203"/>
      <c r="E121" s="201"/>
      <c r="F121" s="204"/>
      <c r="G121" s="204"/>
      <c r="H121" s="205"/>
      <c r="I121" s="205"/>
      <c r="J121" s="206"/>
      <c r="K121" s="205"/>
      <c r="L121" s="205"/>
      <c r="M121" s="201"/>
      <c r="N121" s="207"/>
      <c r="O121" s="208"/>
      <c r="P121" s="208"/>
      <c r="Q121" s="208"/>
      <c r="R121" s="208"/>
      <c r="S121" s="208"/>
      <c r="T121" s="208"/>
      <c r="U121" s="209"/>
      <c r="V121" s="210"/>
    </row>
    <row r="122" ht="15.75" customHeight="1">
      <c r="A122" s="200"/>
      <c r="B122" s="201"/>
      <c r="C122" s="202"/>
      <c r="D122" s="203"/>
      <c r="E122" s="201"/>
      <c r="F122" s="204"/>
      <c r="G122" s="204"/>
      <c r="H122" s="205"/>
      <c r="I122" s="205"/>
      <c r="J122" s="206"/>
      <c r="K122" s="205"/>
      <c r="L122" s="205"/>
      <c r="M122" s="201"/>
      <c r="N122" s="207"/>
      <c r="O122" s="208"/>
      <c r="P122" s="208"/>
      <c r="Q122" s="208"/>
      <c r="R122" s="208"/>
      <c r="S122" s="208"/>
      <c r="T122" s="208"/>
      <c r="U122" s="209"/>
      <c r="V122" s="210"/>
    </row>
    <row r="123" ht="15.75" customHeight="1">
      <c r="A123" s="200"/>
      <c r="B123" s="201"/>
      <c r="C123" s="202"/>
      <c r="D123" s="203"/>
      <c r="E123" s="201"/>
      <c r="F123" s="204"/>
      <c r="G123" s="204"/>
      <c r="H123" s="205"/>
      <c r="I123" s="205"/>
      <c r="J123" s="206"/>
      <c r="K123" s="205"/>
      <c r="L123" s="205"/>
      <c r="M123" s="201"/>
      <c r="N123" s="207"/>
      <c r="O123" s="208"/>
      <c r="P123" s="208"/>
      <c r="Q123" s="208"/>
      <c r="R123" s="208"/>
      <c r="S123" s="208"/>
      <c r="T123" s="208"/>
      <c r="U123" s="209"/>
      <c r="V123" s="210"/>
    </row>
    <row r="124" ht="15.75" customHeight="1">
      <c r="A124" s="200"/>
      <c r="B124" s="201"/>
      <c r="C124" s="202"/>
      <c r="D124" s="203"/>
      <c r="E124" s="201"/>
      <c r="F124" s="204"/>
      <c r="G124" s="204"/>
      <c r="H124" s="205"/>
      <c r="I124" s="205"/>
      <c r="J124" s="206"/>
      <c r="K124" s="205"/>
      <c r="L124" s="205"/>
      <c r="M124" s="201"/>
      <c r="N124" s="207"/>
      <c r="O124" s="208"/>
      <c r="P124" s="208"/>
      <c r="Q124" s="208"/>
      <c r="R124" s="208"/>
      <c r="S124" s="208"/>
      <c r="T124" s="208"/>
      <c r="U124" s="209"/>
      <c r="V124" s="210"/>
    </row>
    <row r="125" ht="15.75" customHeight="1">
      <c r="A125" s="200"/>
      <c r="B125" s="201"/>
      <c r="C125" s="202"/>
      <c r="D125" s="203"/>
      <c r="E125" s="201"/>
      <c r="F125" s="204"/>
      <c r="G125" s="204"/>
      <c r="H125" s="205"/>
      <c r="I125" s="205"/>
      <c r="J125" s="206"/>
      <c r="K125" s="205"/>
      <c r="L125" s="205"/>
      <c r="M125" s="201"/>
      <c r="N125" s="207"/>
      <c r="O125" s="208"/>
      <c r="P125" s="208"/>
      <c r="Q125" s="208"/>
      <c r="R125" s="208"/>
      <c r="S125" s="208"/>
      <c r="T125" s="208"/>
      <c r="U125" s="209"/>
      <c r="V125" s="210"/>
    </row>
    <row r="126" ht="15.75" customHeight="1">
      <c r="A126" s="200"/>
      <c r="B126" s="201"/>
      <c r="C126" s="202"/>
      <c r="D126" s="203"/>
      <c r="E126" s="201"/>
      <c r="F126" s="204"/>
      <c r="G126" s="204"/>
      <c r="H126" s="205"/>
      <c r="I126" s="205"/>
      <c r="J126" s="206"/>
      <c r="K126" s="205"/>
      <c r="L126" s="205"/>
      <c r="M126" s="201"/>
      <c r="N126" s="207"/>
      <c r="O126" s="208"/>
      <c r="P126" s="208"/>
      <c r="Q126" s="208"/>
      <c r="R126" s="208"/>
      <c r="S126" s="208"/>
      <c r="T126" s="208"/>
      <c r="U126" s="209"/>
      <c r="V126" s="210"/>
    </row>
    <row r="127" ht="15.75" customHeight="1">
      <c r="A127" s="200"/>
      <c r="B127" s="201"/>
      <c r="C127" s="202"/>
      <c r="D127" s="203"/>
      <c r="E127" s="201"/>
      <c r="F127" s="204"/>
      <c r="G127" s="204"/>
      <c r="H127" s="205"/>
      <c r="I127" s="205"/>
      <c r="J127" s="206"/>
      <c r="K127" s="205"/>
      <c r="L127" s="205"/>
      <c r="M127" s="201"/>
      <c r="N127" s="207"/>
      <c r="O127" s="208"/>
      <c r="P127" s="208"/>
      <c r="Q127" s="208"/>
      <c r="R127" s="208"/>
      <c r="S127" s="208"/>
      <c r="T127" s="208"/>
      <c r="U127" s="209"/>
      <c r="V127" s="210"/>
    </row>
    <row r="128" ht="15.75" customHeight="1">
      <c r="A128" s="200"/>
      <c r="B128" s="201"/>
      <c r="C128" s="202"/>
      <c r="D128" s="203"/>
      <c r="E128" s="201"/>
      <c r="F128" s="204"/>
      <c r="G128" s="204"/>
      <c r="H128" s="205"/>
      <c r="I128" s="205"/>
      <c r="J128" s="206"/>
      <c r="K128" s="205"/>
      <c r="L128" s="205"/>
      <c r="M128" s="201"/>
      <c r="N128" s="207"/>
      <c r="O128" s="208"/>
      <c r="P128" s="208"/>
      <c r="Q128" s="208"/>
      <c r="R128" s="208"/>
      <c r="S128" s="208"/>
      <c r="T128" s="208"/>
      <c r="U128" s="209"/>
      <c r="V128" s="210"/>
    </row>
    <row r="129" ht="15.75" customHeight="1">
      <c r="A129" s="200"/>
      <c r="B129" s="201"/>
      <c r="C129" s="202"/>
      <c r="D129" s="203"/>
      <c r="E129" s="201"/>
      <c r="F129" s="204"/>
      <c r="G129" s="204"/>
      <c r="H129" s="205"/>
      <c r="I129" s="205"/>
      <c r="J129" s="206"/>
      <c r="K129" s="205"/>
      <c r="L129" s="205"/>
      <c r="M129" s="201"/>
      <c r="N129" s="207"/>
      <c r="O129" s="208"/>
      <c r="P129" s="208"/>
      <c r="Q129" s="208"/>
      <c r="R129" s="208"/>
      <c r="S129" s="208"/>
      <c r="T129" s="208"/>
      <c r="U129" s="209"/>
      <c r="V129" s="210"/>
    </row>
    <row r="130" ht="15.75" customHeight="1">
      <c r="A130" s="200"/>
      <c r="B130" s="201"/>
      <c r="C130" s="202"/>
      <c r="D130" s="203"/>
      <c r="E130" s="201"/>
      <c r="F130" s="204"/>
      <c r="G130" s="204"/>
      <c r="H130" s="205"/>
      <c r="I130" s="205"/>
      <c r="J130" s="206"/>
      <c r="K130" s="205"/>
      <c r="L130" s="205"/>
      <c r="M130" s="201"/>
      <c r="N130" s="207"/>
      <c r="O130" s="208"/>
      <c r="P130" s="208"/>
      <c r="Q130" s="208"/>
      <c r="R130" s="208"/>
      <c r="S130" s="208"/>
      <c r="T130" s="208"/>
      <c r="U130" s="209"/>
      <c r="V130" s="210"/>
    </row>
    <row r="131" ht="15.75" customHeight="1">
      <c r="A131" s="200"/>
      <c r="B131" s="201"/>
      <c r="C131" s="202"/>
      <c r="D131" s="203"/>
      <c r="E131" s="201"/>
      <c r="F131" s="204"/>
      <c r="G131" s="204"/>
      <c r="H131" s="205"/>
      <c r="I131" s="205"/>
      <c r="J131" s="206"/>
      <c r="K131" s="205"/>
      <c r="L131" s="205"/>
      <c r="M131" s="201"/>
      <c r="N131" s="207"/>
      <c r="O131" s="208"/>
      <c r="P131" s="208"/>
      <c r="Q131" s="208"/>
      <c r="R131" s="208"/>
      <c r="S131" s="208"/>
      <c r="T131" s="208"/>
      <c r="U131" s="209"/>
      <c r="V131" s="210"/>
    </row>
    <row r="132" ht="15.75" customHeight="1">
      <c r="A132" s="200"/>
      <c r="B132" s="201"/>
      <c r="C132" s="202"/>
      <c r="D132" s="203"/>
      <c r="E132" s="201"/>
      <c r="F132" s="204"/>
      <c r="G132" s="204"/>
      <c r="H132" s="205"/>
      <c r="I132" s="205"/>
      <c r="J132" s="206"/>
      <c r="K132" s="205"/>
      <c r="L132" s="205"/>
      <c r="M132" s="201"/>
      <c r="N132" s="207"/>
      <c r="O132" s="208"/>
      <c r="P132" s="208"/>
      <c r="Q132" s="208"/>
      <c r="R132" s="208"/>
      <c r="S132" s="208"/>
      <c r="T132" s="208"/>
      <c r="U132" s="209"/>
      <c r="V132" s="210"/>
    </row>
    <row r="133" ht="15.75" customHeight="1">
      <c r="A133" s="200"/>
      <c r="B133" s="201"/>
      <c r="C133" s="202"/>
      <c r="D133" s="203"/>
      <c r="E133" s="201"/>
      <c r="F133" s="204"/>
      <c r="G133" s="204"/>
      <c r="H133" s="205"/>
      <c r="I133" s="205"/>
      <c r="J133" s="206"/>
      <c r="K133" s="205"/>
      <c r="L133" s="205"/>
      <c r="M133" s="201"/>
      <c r="N133" s="207"/>
      <c r="O133" s="208"/>
      <c r="P133" s="208"/>
      <c r="Q133" s="208"/>
      <c r="R133" s="208"/>
      <c r="S133" s="208"/>
      <c r="T133" s="208"/>
      <c r="U133" s="209"/>
      <c r="V133" s="210"/>
    </row>
    <row r="134" ht="15.75" customHeight="1">
      <c r="A134" s="200"/>
      <c r="B134" s="201"/>
      <c r="C134" s="202"/>
      <c r="D134" s="203"/>
      <c r="E134" s="201"/>
      <c r="F134" s="204"/>
      <c r="G134" s="204"/>
      <c r="H134" s="205"/>
      <c r="I134" s="205"/>
      <c r="J134" s="206"/>
      <c r="K134" s="205"/>
      <c r="L134" s="205"/>
      <c r="M134" s="201"/>
      <c r="N134" s="207"/>
      <c r="O134" s="208"/>
      <c r="P134" s="208"/>
      <c r="Q134" s="208"/>
      <c r="R134" s="208"/>
      <c r="S134" s="208"/>
      <c r="T134" s="208"/>
      <c r="U134" s="209"/>
      <c r="V134" s="210"/>
    </row>
    <row r="135" ht="15.75" customHeight="1">
      <c r="A135" s="200"/>
      <c r="B135" s="201"/>
      <c r="C135" s="202"/>
      <c r="D135" s="203"/>
      <c r="E135" s="201"/>
      <c r="F135" s="204"/>
      <c r="G135" s="204"/>
      <c r="H135" s="205"/>
      <c r="I135" s="205"/>
      <c r="J135" s="206"/>
      <c r="K135" s="205"/>
      <c r="L135" s="205"/>
      <c r="M135" s="201"/>
      <c r="N135" s="207"/>
      <c r="O135" s="208"/>
      <c r="P135" s="208"/>
      <c r="Q135" s="208"/>
      <c r="R135" s="208"/>
      <c r="S135" s="208"/>
      <c r="T135" s="208"/>
      <c r="U135" s="209"/>
      <c r="V135" s="210"/>
    </row>
    <row r="136" ht="15.75" customHeight="1">
      <c r="A136" s="200"/>
      <c r="B136" s="201"/>
      <c r="C136" s="202"/>
      <c r="D136" s="203"/>
      <c r="E136" s="201"/>
      <c r="F136" s="204"/>
      <c r="G136" s="204"/>
      <c r="H136" s="205"/>
      <c r="I136" s="205"/>
      <c r="J136" s="206"/>
      <c r="K136" s="205"/>
      <c r="L136" s="205"/>
      <c r="M136" s="201"/>
      <c r="N136" s="207"/>
      <c r="O136" s="208"/>
      <c r="P136" s="208"/>
      <c r="Q136" s="208"/>
      <c r="R136" s="208"/>
      <c r="S136" s="208"/>
      <c r="T136" s="208"/>
      <c r="U136" s="209"/>
      <c r="V136" s="210"/>
    </row>
    <row r="137" ht="15.75" customHeight="1">
      <c r="A137" s="200"/>
      <c r="B137" s="201"/>
      <c r="C137" s="202"/>
      <c r="D137" s="203"/>
      <c r="E137" s="201"/>
      <c r="F137" s="204"/>
      <c r="G137" s="204"/>
      <c r="H137" s="205"/>
      <c r="I137" s="205"/>
      <c r="J137" s="206"/>
      <c r="K137" s="205"/>
      <c r="L137" s="205"/>
      <c r="M137" s="201"/>
      <c r="N137" s="207"/>
      <c r="O137" s="208"/>
      <c r="P137" s="208"/>
      <c r="Q137" s="208"/>
      <c r="R137" s="208"/>
      <c r="S137" s="208"/>
      <c r="T137" s="208"/>
      <c r="U137" s="209"/>
      <c r="V137" s="210"/>
    </row>
    <row r="138" ht="15.75" customHeight="1">
      <c r="A138" s="200"/>
      <c r="B138" s="201"/>
      <c r="C138" s="202"/>
      <c r="D138" s="203"/>
      <c r="E138" s="201"/>
      <c r="F138" s="204"/>
      <c r="G138" s="204"/>
      <c r="H138" s="205"/>
      <c r="I138" s="205"/>
      <c r="J138" s="206"/>
      <c r="K138" s="205"/>
      <c r="L138" s="205"/>
      <c r="M138" s="201"/>
      <c r="N138" s="207"/>
      <c r="O138" s="208"/>
      <c r="P138" s="208"/>
      <c r="Q138" s="208"/>
      <c r="R138" s="208"/>
      <c r="S138" s="208"/>
      <c r="T138" s="208"/>
      <c r="U138" s="209"/>
      <c r="V138" s="210"/>
    </row>
    <row r="139" ht="15.75" customHeight="1">
      <c r="A139" s="200"/>
      <c r="B139" s="201"/>
      <c r="C139" s="202"/>
      <c r="D139" s="203"/>
      <c r="E139" s="201"/>
      <c r="F139" s="204"/>
      <c r="G139" s="204"/>
      <c r="H139" s="205"/>
      <c r="I139" s="205"/>
      <c r="J139" s="206"/>
      <c r="K139" s="205"/>
      <c r="L139" s="205"/>
      <c r="M139" s="201"/>
      <c r="N139" s="207"/>
      <c r="O139" s="208"/>
      <c r="P139" s="208"/>
      <c r="Q139" s="208"/>
      <c r="R139" s="208"/>
      <c r="S139" s="208"/>
      <c r="T139" s="208"/>
      <c r="U139" s="209"/>
      <c r="V139" s="210"/>
    </row>
    <row r="140" ht="15.75" customHeight="1">
      <c r="A140" s="200"/>
      <c r="B140" s="201"/>
      <c r="C140" s="202"/>
      <c r="D140" s="203"/>
      <c r="E140" s="201"/>
      <c r="F140" s="204"/>
      <c r="G140" s="204"/>
      <c r="H140" s="205"/>
      <c r="I140" s="205"/>
      <c r="J140" s="206"/>
      <c r="K140" s="205"/>
      <c r="L140" s="205"/>
      <c r="M140" s="201"/>
      <c r="N140" s="207"/>
      <c r="O140" s="208"/>
      <c r="P140" s="208"/>
      <c r="Q140" s="208"/>
      <c r="R140" s="208"/>
      <c r="S140" s="208"/>
      <c r="T140" s="208"/>
      <c r="U140" s="209"/>
      <c r="V140" s="210"/>
    </row>
    <row r="141" ht="15.75" customHeight="1">
      <c r="A141" s="200"/>
      <c r="B141" s="201"/>
      <c r="C141" s="202"/>
      <c r="D141" s="203"/>
      <c r="E141" s="201"/>
      <c r="F141" s="204"/>
      <c r="G141" s="204"/>
      <c r="H141" s="205"/>
      <c r="I141" s="205"/>
      <c r="J141" s="206"/>
      <c r="K141" s="205"/>
      <c r="L141" s="205"/>
      <c r="M141" s="201"/>
      <c r="N141" s="207"/>
      <c r="O141" s="208"/>
      <c r="P141" s="208"/>
      <c r="Q141" s="208"/>
      <c r="R141" s="208"/>
      <c r="S141" s="208"/>
      <c r="T141" s="208"/>
      <c r="U141" s="209"/>
      <c r="V141" s="210"/>
    </row>
    <row r="142" ht="15.75" customHeight="1">
      <c r="A142" s="200"/>
      <c r="B142" s="201"/>
      <c r="C142" s="202"/>
      <c r="D142" s="203"/>
      <c r="E142" s="201"/>
      <c r="F142" s="204"/>
      <c r="G142" s="204"/>
      <c r="H142" s="205"/>
      <c r="I142" s="205"/>
      <c r="J142" s="206"/>
      <c r="K142" s="205"/>
      <c r="L142" s="205"/>
      <c r="M142" s="201"/>
      <c r="N142" s="207"/>
      <c r="O142" s="208"/>
      <c r="P142" s="208"/>
      <c r="Q142" s="208"/>
      <c r="R142" s="208"/>
      <c r="S142" s="208"/>
      <c r="T142" s="208"/>
      <c r="U142" s="209"/>
      <c r="V142" s="210"/>
    </row>
    <row r="143" ht="15.75" customHeight="1">
      <c r="A143" s="200"/>
      <c r="B143" s="201"/>
      <c r="C143" s="202"/>
      <c r="D143" s="203"/>
      <c r="E143" s="201"/>
      <c r="F143" s="204"/>
      <c r="G143" s="204"/>
      <c r="H143" s="205"/>
      <c r="I143" s="205"/>
      <c r="J143" s="206"/>
      <c r="K143" s="205"/>
      <c r="L143" s="205"/>
      <c r="M143" s="201"/>
      <c r="N143" s="207"/>
      <c r="O143" s="208"/>
      <c r="P143" s="208"/>
      <c r="Q143" s="208"/>
      <c r="R143" s="208"/>
      <c r="S143" s="208"/>
      <c r="T143" s="208"/>
      <c r="U143" s="209"/>
      <c r="V143" s="210"/>
    </row>
    <row r="144" ht="15.75" customHeight="1">
      <c r="A144" s="200"/>
      <c r="B144" s="201"/>
      <c r="C144" s="202"/>
      <c r="D144" s="203"/>
      <c r="E144" s="201"/>
      <c r="F144" s="204"/>
      <c r="G144" s="204"/>
      <c r="H144" s="205"/>
      <c r="I144" s="205"/>
      <c r="J144" s="206"/>
      <c r="K144" s="205"/>
      <c r="L144" s="205"/>
      <c r="M144" s="201"/>
      <c r="N144" s="207"/>
      <c r="O144" s="208"/>
      <c r="P144" s="208"/>
      <c r="Q144" s="208"/>
      <c r="R144" s="208"/>
      <c r="S144" s="208"/>
      <c r="T144" s="208"/>
      <c r="U144" s="209"/>
      <c r="V144" s="210"/>
    </row>
    <row r="145" ht="15.75" customHeight="1">
      <c r="A145" s="200"/>
      <c r="B145" s="201"/>
      <c r="C145" s="202"/>
      <c r="D145" s="203"/>
      <c r="E145" s="201"/>
      <c r="F145" s="204"/>
      <c r="G145" s="204"/>
      <c r="H145" s="205"/>
      <c r="I145" s="205"/>
      <c r="J145" s="206"/>
      <c r="K145" s="205"/>
      <c r="L145" s="205"/>
      <c r="M145" s="201"/>
      <c r="N145" s="207"/>
      <c r="O145" s="208"/>
      <c r="P145" s="208"/>
      <c r="Q145" s="208"/>
      <c r="R145" s="208"/>
      <c r="S145" s="208"/>
      <c r="T145" s="208"/>
      <c r="U145" s="209"/>
      <c r="V145" s="210"/>
    </row>
    <row r="146" ht="15.75" customHeight="1">
      <c r="A146" s="200"/>
      <c r="B146" s="201"/>
      <c r="C146" s="202"/>
      <c r="D146" s="203"/>
      <c r="E146" s="201"/>
      <c r="F146" s="204"/>
      <c r="G146" s="204"/>
      <c r="H146" s="205"/>
      <c r="I146" s="205"/>
      <c r="J146" s="206"/>
      <c r="K146" s="205"/>
      <c r="L146" s="205"/>
      <c r="M146" s="201"/>
      <c r="N146" s="207"/>
      <c r="O146" s="208"/>
      <c r="P146" s="208"/>
      <c r="Q146" s="208"/>
      <c r="R146" s="208"/>
      <c r="S146" s="208"/>
      <c r="T146" s="208"/>
      <c r="U146" s="209"/>
      <c r="V146" s="210"/>
    </row>
    <row r="147" ht="15.75" customHeight="1">
      <c r="A147" s="200"/>
      <c r="B147" s="201"/>
      <c r="C147" s="202"/>
      <c r="D147" s="203"/>
      <c r="E147" s="201"/>
      <c r="F147" s="204"/>
      <c r="G147" s="204"/>
      <c r="H147" s="205"/>
      <c r="I147" s="205"/>
      <c r="J147" s="206"/>
      <c r="K147" s="205"/>
      <c r="L147" s="205"/>
      <c r="M147" s="201"/>
      <c r="N147" s="207"/>
      <c r="O147" s="208"/>
      <c r="P147" s="208"/>
      <c r="Q147" s="208"/>
      <c r="R147" s="208"/>
      <c r="S147" s="208"/>
      <c r="T147" s="208"/>
      <c r="U147" s="209"/>
      <c r="V147" s="210"/>
    </row>
    <row r="148" ht="15.75" customHeight="1">
      <c r="A148" s="200"/>
      <c r="B148" s="201"/>
      <c r="C148" s="202"/>
      <c r="D148" s="203"/>
      <c r="E148" s="201"/>
      <c r="F148" s="204"/>
      <c r="G148" s="204"/>
      <c r="H148" s="205"/>
      <c r="I148" s="205"/>
      <c r="J148" s="206"/>
      <c r="K148" s="205"/>
      <c r="L148" s="205"/>
      <c r="M148" s="201"/>
      <c r="N148" s="207"/>
      <c r="O148" s="208"/>
      <c r="P148" s="208"/>
      <c r="Q148" s="208"/>
      <c r="R148" s="208"/>
      <c r="S148" s="208"/>
      <c r="T148" s="208"/>
      <c r="U148" s="209"/>
      <c r="V148" s="210"/>
    </row>
    <row r="149" ht="15.75" customHeight="1">
      <c r="A149" s="200"/>
      <c r="B149" s="201"/>
      <c r="C149" s="202"/>
      <c r="D149" s="203"/>
      <c r="E149" s="201"/>
      <c r="F149" s="204"/>
      <c r="G149" s="204"/>
      <c r="H149" s="205"/>
      <c r="I149" s="205"/>
      <c r="J149" s="206"/>
      <c r="K149" s="205"/>
      <c r="L149" s="205"/>
      <c r="M149" s="201"/>
      <c r="N149" s="207"/>
      <c r="O149" s="208"/>
      <c r="P149" s="208"/>
      <c r="Q149" s="208"/>
      <c r="R149" s="208"/>
      <c r="S149" s="208"/>
      <c r="T149" s="208"/>
      <c r="U149" s="209"/>
      <c r="V149" s="210"/>
    </row>
    <row r="150" ht="15.75" customHeight="1">
      <c r="A150" s="200"/>
      <c r="B150" s="201"/>
      <c r="C150" s="202"/>
      <c r="D150" s="203"/>
      <c r="E150" s="201"/>
      <c r="F150" s="204"/>
      <c r="G150" s="204"/>
      <c r="H150" s="205"/>
      <c r="I150" s="205"/>
      <c r="J150" s="206"/>
      <c r="K150" s="205"/>
      <c r="L150" s="205"/>
      <c r="M150" s="201"/>
      <c r="N150" s="207"/>
      <c r="O150" s="208"/>
      <c r="P150" s="208"/>
      <c r="Q150" s="208"/>
      <c r="R150" s="208"/>
      <c r="S150" s="208"/>
      <c r="T150" s="208"/>
      <c r="U150" s="209"/>
      <c r="V150" s="210"/>
    </row>
    <row r="151" ht="15.75" customHeight="1">
      <c r="A151" s="200"/>
      <c r="B151" s="201"/>
      <c r="C151" s="202"/>
      <c r="D151" s="203"/>
      <c r="E151" s="201"/>
      <c r="F151" s="204"/>
      <c r="G151" s="204"/>
      <c r="H151" s="205"/>
      <c r="I151" s="205"/>
      <c r="J151" s="206"/>
      <c r="K151" s="205"/>
      <c r="L151" s="205"/>
      <c r="M151" s="201"/>
      <c r="N151" s="207"/>
      <c r="O151" s="208"/>
      <c r="P151" s="208"/>
      <c r="Q151" s="208"/>
      <c r="R151" s="208"/>
      <c r="S151" s="208"/>
      <c r="T151" s="208"/>
      <c r="U151" s="209"/>
      <c r="V151" s="210"/>
    </row>
    <row r="152" ht="15.75" customHeight="1">
      <c r="A152" s="200"/>
      <c r="B152" s="201"/>
      <c r="C152" s="202"/>
      <c r="D152" s="203"/>
      <c r="E152" s="201"/>
      <c r="F152" s="204"/>
      <c r="G152" s="204"/>
      <c r="H152" s="205"/>
      <c r="I152" s="205"/>
      <c r="J152" s="206"/>
      <c r="K152" s="205"/>
      <c r="L152" s="205"/>
      <c r="M152" s="201"/>
      <c r="N152" s="207"/>
      <c r="O152" s="208"/>
      <c r="P152" s="208"/>
      <c r="Q152" s="208"/>
      <c r="R152" s="208"/>
      <c r="S152" s="208"/>
      <c r="T152" s="208"/>
      <c r="U152" s="209"/>
      <c r="V152" s="210"/>
    </row>
    <row r="153" ht="15.75" customHeight="1">
      <c r="A153" s="200"/>
      <c r="B153" s="201"/>
      <c r="C153" s="202"/>
      <c r="D153" s="203"/>
      <c r="E153" s="201"/>
      <c r="F153" s="204"/>
      <c r="G153" s="204"/>
      <c r="H153" s="205"/>
      <c r="I153" s="205"/>
      <c r="J153" s="206"/>
      <c r="K153" s="205"/>
      <c r="L153" s="205"/>
      <c r="M153" s="201"/>
      <c r="N153" s="207"/>
      <c r="O153" s="208"/>
      <c r="P153" s="208"/>
      <c r="Q153" s="208"/>
      <c r="R153" s="208"/>
      <c r="S153" s="208"/>
      <c r="T153" s="208"/>
      <c r="U153" s="209"/>
      <c r="V153" s="210"/>
    </row>
    <row r="154" ht="15.75" customHeight="1">
      <c r="A154" s="200"/>
      <c r="B154" s="201"/>
      <c r="C154" s="202"/>
      <c r="D154" s="203"/>
      <c r="E154" s="201"/>
      <c r="F154" s="204"/>
      <c r="G154" s="204"/>
      <c r="H154" s="205"/>
      <c r="I154" s="205"/>
      <c r="J154" s="206"/>
      <c r="K154" s="205"/>
      <c r="L154" s="205"/>
      <c r="M154" s="201"/>
      <c r="N154" s="207"/>
      <c r="O154" s="208"/>
      <c r="P154" s="208"/>
      <c r="Q154" s="208"/>
      <c r="R154" s="208"/>
      <c r="S154" s="208"/>
      <c r="T154" s="208"/>
      <c r="U154" s="209"/>
      <c r="V154" s="210"/>
    </row>
    <row r="155" ht="15.75" customHeight="1">
      <c r="A155" s="200"/>
      <c r="B155" s="201"/>
      <c r="C155" s="202"/>
      <c r="D155" s="203"/>
      <c r="E155" s="201"/>
      <c r="F155" s="204"/>
      <c r="G155" s="204"/>
      <c r="H155" s="205"/>
      <c r="I155" s="205"/>
      <c r="J155" s="206"/>
      <c r="K155" s="205"/>
      <c r="L155" s="205"/>
      <c r="M155" s="201"/>
      <c r="N155" s="207"/>
      <c r="O155" s="208"/>
      <c r="P155" s="208"/>
      <c r="Q155" s="208"/>
      <c r="R155" s="208"/>
      <c r="S155" s="208"/>
      <c r="T155" s="208"/>
      <c r="U155" s="209"/>
      <c r="V155" s="210"/>
    </row>
    <row r="156" ht="15.75" customHeight="1">
      <c r="A156" s="200"/>
      <c r="B156" s="201"/>
      <c r="C156" s="202"/>
      <c r="D156" s="203"/>
      <c r="E156" s="201"/>
      <c r="F156" s="204"/>
      <c r="G156" s="204"/>
      <c r="H156" s="205"/>
      <c r="I156" s="205"/>
      <c r="J156" s="206"/>
      <c r="K156" s="205"/>
      <c r="L156" s="205"/>
      <c r="M156" s="201"/>
      <c r="N156" s="207"/>
      <c r="O156" s="208"/>
      <c r="P156" s="208"/>
      <c r="Q156" s="208"/>
      <c r="R156" s="208"/>
      <c r="S156" s="208"/>
      <c r="T156" s="208"/>
      <c r="U156" s="209"/>
      <c r="V156" s="210"/>
    </row>
    <row r="157" ht="15.75" customHeight="1">
      <c r="A157" s="200"/>
      <c r="B157" s="201"/>
      <c r="C157" s="202"/>
      <c r="D157" s="203"/>
      <c r="E157" s="201"/>
      <c r="F157" s="204"/>
      <c r="G157" s="204"/>
      <c r="H157" s="205"/>
      <c r="I157" s="205"/>
      <c r="J157" s="206"/>
      <c r="K157" s="205"/>
      <c r="L157" s="205"/>
      <c r="M157" s="201"/>
      <c r="N157" s="207"/>
      <c r="O157" s="208"/>
      <c r="P157" s="208"/>
      <c r="Q157" s="208"/>
      <c r="R157" s="208"/>
      <c r="S157" s="208"/>
      <c r="T157" s="208"/>
      <c r="U157" s="209"/>
      <c r="V157" s="210"/>
    </row>
    <row r="158" ht="15.75" customHeight="1">
      <c r="A158" s="200"/>
      <c r="B158" s="201"/>
      <c r="C158" s="202"/>
      <c r="D158" s="203"/>
      <c r="E158" s="201"/>
      <c r="F158" s="204"/>
      <c r="G158" s="204"/>
      <c r="H158" s="205"/>
      <c r="I158" s="205"/>
      <c r="J158" s="206"/>
      <c r="K158" s="205"/>
      <c r="L158" s="205"/>
      <c r="M158" s="201"/>
      <c r="N158" s="207"/>
      <c r="O158" s="208"/>
      <c r="P158" s="208"/>
      <c r="Q158" s="208"/>
      <c r="R158" s="208"/>
      <c r="S158" s="208"/>
      <c r="T158" s="208"/>
      <c r="U158" s="209"/>
      <c r="V158" s="210"/>
    </row>
    <row r="159" ht="15.75" customHeight="1">
      <c r="A159" s="200"/>
      <c r="B159" s="201"/>
      <c r="C159" s="202"/>
      <c r="D159" s="203"/>
      <c r="E159" s="201"/>
      <c r="F159" s="204"/>
      <c r="G159" s="204"/>
      <c r="H159" s="205"/>
      <c r="I159" s="205"/>
      <c r="J159" s="206"/>
      <c r="K159" s="205"/>
      <c r="L159" s="205"/>
      <c r="M159" s="201"/>
      <c r="N159" s="207"/>
      <c r="O159" s="208"/>
      <c r="P159" s="208"/>
      <c r="Q159" s="208"/>
      <c r="R159" s="208"/>
      <c r="S159" s="208"/>
      <c r="T159" s="208"/>
      <c r="U159" s="209"/>
      <c r="V159" s="210"/>
    </row>
    <row r="160" ht="15.75" customHeight="1">
      <c r="A160" s="200"/>
      <c r="B160" s="201"/>
      <c r="C160" s="202"/>
      <c r="D160" s="203"/>
      <c r="E160" s="201"/>
      <c r="F160" s="204"/>
      <c r="G160" s="204"/>
      <c r="H160" s="205"/>
      <c r="I160" s="205"/>
      <c r="J160" s="206"/>
      <c r="K160" s="205"/>
      <c r="L160" s="205"/>
      <c r="M160" s="201"/>
      <c r="N160" s="207"/>
      <c r="O160" s="208"/>
      <c r="P160" s="208"/>
      <c r="Q160" s="208"/>
      <c r="R160" s="208"/>
      <c r="S160" s="208"/>
      <c r="T160" s="208"/>
      <c r="U160" s="209"/>
      <c r="V160" s="210"/>
    </row>
    <row r="161" ht="15.75" customHeight="1">
      <c r="A161" s="200"/>
      <c r="B161" s="201"/>
      <c r="C161" s="202"/>
      <c r="D161" s="203"/>
      <c r="E161" s="201"/>
      <c r="F161" s="204"/>
      <c r="G161" s="204"/>
      <c r="H161" s="205"/>
      <c r="I161" s="205"/>
      <c r="J161" s="206"/>
      <c r="K161" s="205"/>
      <c r="L161" s="205"/>
      <c r="M161" s="201"/>
      <c r="N161" s="207"/>
      <c r="O161" s="208"/>
      <c r="P161" s="208"/>
      <c r="Q161" s="208"/>
      <c r="R161" s="208"/>
      <c r="S161" s="208"/>
      <c r="T161" s="208"/>
      <c r="U161" s="209"/>
      <c r="V161" s="210"/>
    </row>
    <row r="162" ht="15.75" customHeight="1">
      <c r="A162" s="200"/>
      <c r="B162" s="201"/>
      <c r="C162" s="202"/>
      <c r="D162" s="203"/>
      <c r="E162" s="201"/>
      <c r="F162" s="204"/>
      <c r="G162" s="204"/>
      <c r="H162" s="205"/>
      <c r="I162" s="205"/>
      <c r="J162" s="206"/>
      <c r="K162" s="205"/>
      <c r="L162" s="205"/>
      <c r="M162" s="201"/>
      <c r="N162" s="207"/>
      <c r="O162" s="208"/>
      <c r="P162" s="208"/>
      <c r="Q162" s="208"/>
      <c r="R162" s="208"/>
      <c r="S162" s="208"/>
      <c r="T162" s="208"/>
      <c r="U162" s="209"/>
      <c r="V162" s="210"/>
    </row>
    <row r="163" ht="15.75" customHeight="1">
      <c r="A163" s="200"/>
      <c r="B163" s="201"/>
      <c r="C163" s="202"/>
      <c r="D163" s="203"/>
      <c r="E163" s="201"/>
      <c r="F163" s="204"/>
      <c r="G163" s="204"/>
      <c r="H163" s="205"/>
      <c r="I163" s="205"/>
      <c r="J163" s="206"/>
      <c r="K163" s="205"/>
      <c r="L163" s="205"/>
      <c r="M163" s="201"/>
      <c r="N163" s="207"/>
      <c r="O163" s="208"/>
      <c r="P163" s="208"/>
      <c r="Q163" s="208"/>
      <c r="R163" s="208"/>
      <c r="S163" s="208"/>
      <c r="T163" s="208"/>
      <c r="U163" s="209"/>
      <c r="V163" s="210"/>
    </row>
    <row r="164" ht="15.75" customHeight="1">
      <c r="A164" s="200"/>
      <c r="B164" s="201"/>
      <c r="C164" s="202"/>
      <c r="D164" s="203"/>
      <c r="E164" s="201"/>
      <c r="F164" s="204"/>
      <c r="G164" s="204"/>
      <c r="H164" s="205"/>
      <c r="I164" s="205"/>
      <c r="J164" s="206"/>
      <c r="K164" s="205"/>
      <c r="L164" s="205"/>
      <c r="M164" s="201"/>
      <c r="N164" s="207"/>
      <c r="O164" s="208"/>
      <c r="P164" s="208"/>
      <c r="Q164" s="208"/>
      <c r="R164" s="208"/>
      <c r="S164" s="208"/>
      <c r="T164" s="208"/>
      <c r="U164" s="209"/>
      <c r="V164" s="210"/>
    </row>
    <row r="165" ht="15.75" customHeight="1">
      <c r="A165" s="200"/>
      <c r="B165" s="201"/>
      <c r="C165" s="202"/>
      <c r="D165" s="203"/>
      <c r="E165" s="201"/>
      <c r="F165" s="204"/>
      <c r="G165" s="204"/>
      <c r="H165" s="205"/>
      <c r="I165" s="205"/>
      <c r="J165" s="206"/>
      <c r="K165" s="205"/>
      <c r="L165" s="205"/>
      <c r="M165" s="201"/>
      <c r="N165" s="207"/>
      <c r="O165" s="208"/>
      <c r="P165" s="208"/>
      <c r="Q165" s="208"/>
      <c r="R165" s="208"/>
      <c r="S165" s="208"/>
      <c r="T165" s="208"/>
      <c r="U165" s="209"/>
      <c r="V165" s="210"/>
    </row>
    <row r="166" ht="15.75" customHeight="1">
      <c r="A166" s="200"/>
      <c r="B166" s="201"/>
      <c r="C166" s="202"/>
      <c r="D166" s="203"/>
      <c r="E166" s="201"/>
      <c r="F166" s="204"/>
      <c r="G166" s="204"/>
      <c r="H166" s="205"/>
      <c r="I166" s="205"/>
      <c r="J166" s="206"/>
      <c r="K166" s="205"/>
      <c r="L166" s="205"/>
      <c r="M166" s="201"/>
      <c r="N166" s="207"/>
      <c r="O166" s="208"/>
      <c r="P166" s="208"/>
      <c r="Q166" s="208"/>
      <c r="R166" s="208"/>
      <c r="S166" s="208"/>
      <c r="T166" s="208"/>
      <c r="U166" s="209"/>
      <c r="V166" s="210"/>
    </row>
    <row r="167" ht="15.75" customHeight="1">
      <c r="A167" s="200"/>
      <c r="B167" s="201"/>
      <c r="C167" s="202"/>
      <c r="D167" s="203"/>
      <c r="E167" s="201"/>
      <c r="F167" s="204"/>
      <c r="G167" s="204"/>
      <c r="H167" s="205"/>
      <c r="I167" s="205"/>
      <c r="J167" s="206"/>
      <c r="K167" s="205"/>
      <c r="L167" s="205"/>
      <c r="M167" s="201"/>
      <c r="N167" s="207"/>
      <c r="O167" s="208"/>
      <c r="P167" s="208"/>
      <c r="Q167" s="208"/>
      <c r="R167" s="208"/>
      <c r="S167" s="208"/>
      <c r="T167" s="208"/>
      <c r="U167" s="209"/>
      <c r="V167" s="210"/>
    </row>
    <row r="168" ht="15.75" customHeight="1">
      <c r="A168" s="200"/>
      <c r="B168" s="201"/>
      <c r="C168" s="202"/>
      <c r="D168" s="203"/>
      <c r="E168" s="201"/>
      <c r="F168" s="204"/>
      <c r="G168" s="204"/>
      <c r="H168" s="205"/>
      <c r="I168" s="205"/>
      <c r="J168" s="206"/>
      <c r="K168" s="205"/>
      <c r="L168" s="205"/>
      <c r="M168" s="201"/>
      <c r="N168" s="207"/>
      <c r="O168" s="208"/>
      <c r="P168" s="208"/>
      <c r="Q168" s="208"/>
      <c r="R168" s="208"/>
      <c r="S168" s="208"/>
      <c r="T168" s="208"/>
      <c r="U168" s="209"/>
      <c r="V168" s="210"/>
    </row>
    <row r="169" ht="15.75" customHeight="1">
      <c r="A169" s="200"/>
      <c r="B169" s="201"/>
      <c r="C169" s="202"/>
      <c r="D169" s="203"/>
      <c r="E169" s="201"/>
      <c r="F169" s="204"/>
      <c r="G169" s="204"/>
      <c r="H169" s="205"/>
      <c r="I169" s="205"/>
      <c r="J169" s="206"/>
      <c r="K169" s="205"/>
      <c r="L169" s="205"/>
      <c r="M169" s="201"/>
      <c r="N169" s="207"/>
      <c r="O169" s="208"/>
      <c r="P169" s="208"/>
      <c r="Q169" s="208"/>
      <c r="R169" s="208"/>
      <c r="S169" s="208"/>
      <c r="T169" s="208"/>
      <c r="U169" s="209"/>
      <c r="V169" s="210"/>
    </row>
    <row r="170" ht="15.75" customHeight="1">
      <c r="A170" s="200"/>
      <c r="B170" s="201"/>
      <c r="C170" s="202"/>
      <c r="D170" s="203"/>
      <c r="E170" s="201"/>
      <c r="F170" s="204"/>
      <c r="G170" s="204"/>
      <c r="H170" s="205"/>
      <c r="I170" s="205"/>
      <c r="J170" s="206"/>
      <c r="K170" s="205"/>
      <c r="L170" s="205"/>
      <c r="M170" s="201"/>
      <c r="N170" s="207"/>
      <c r="O170" s="208"/>
      <c r="P170" s="208"/>
      <c r="Q170" s="208"/>
      <c r="R170" s="208"/>
      <c r="S170" s="208"/>
      <c r="T170" s="208"/>
      <c r="U170" s="209"/>
      <c r="V170" s="210"/>
    </row>
    <row r="171" ht="15.75" customHeight="1">
      <c r="A171" s="200"/>
      <c r="B171" s="201"/>
      <c r="C171" s="202"/>
      <c r="D171" s="203"/>
      <c r="E171" s="201"/>
      <c r="F171" s="204"/>
      <c r="G171" s="204"/>
      <c r="H171" s="205"/>
      <c r="I171" s="205"/>
      <c r="J171" s="206"/>
      <c r="K171" s="205"/>
      <c r="L171" s="205"/>
      <c r="M171" s="201"/>
      <c r="N171" s="207"/>
      <c r="O171" s="208"/>
      <c r="P171" s="208"/>
      <c r="Q171" s="208"/>
      <c r="R171" s="208"/>
      <c r="S171" s="208"/>
      <c r="T171" s="208"/>
      <c r="U171" s="209"/>
      <c r="V171" s="210"/>
    </row>
    <row r="172" ht="15.75" customHeight="1">
      <c r="A172" s="200"/>
      <c r="B172" s="201"/>
      <c r="C172" s="202"/>
      <c r="D172" s="203"/>
      <c r="E172" s="201"/>
      <c r="F172" s="204"/>
      <c r="G172" s="204"/>
      <c r="H172" s="205"/>
      <c r="I172" s="205"/>
      <c r="J172" s="206"/>
      <c r="K172" s="205"/>
      <c r="L172" s="205"/>
      <c r="M172" s="201"/>
      <c r="N172" s="207"/>
      <c r="O172" s="208"/>
      <c r="P172" s="208"/>
      <c r="Q172" s="208"/>
      <c r="R172" s="208"/>
      <c r="S172" s="208"/>
      <c r="T172" s="208"/>
      <c r="U172" s="209"/>
      <c r="V172" s="210"/>
    </row>
    <row r="173" ht="15.75" customHeight="1">
      <c r="A173" s="200"/>
      <c r="B173" s="201"/>
      <c r="C173" s="202"/>
      <c r="D173" s="203"/>
      <c r="E173" s="201"/>
      <c r="F173" s="204"/>
      <c r="G173" s="204"/>
      <c r="H173" s="205"/>
      <c r="I173" s="205"/>
      <c r="J173" s="206"/>
      <c r="K173" s="205"/>
      <c r="L173" s="205"/>
      <c r="M173" s="201"/>
      <c r="N173" s="207"/>
      <c r="O173" s="208"/>
      <c r="P173" s="208"/>
      <c r="Q173" s="208"/>
      <c r="R173" s="208"/>
      <c r="S173" s="208"/>
      <c r="T173" s="208"/>
      <c r="U173" s="209"/>
      <c r="V173" s="210"/>
    </row>
    <row r="174" ht="15.75" customHeight="1">
      <c r="A174" s="200"/>
      <c r="B174" s="201"/>
      <c r="C174" s="202"/>
      <c r="D174" s="203"/>
      <c r="E174" s="201"/>
      <c r="F174" s="204"/>
      <c r="G174" s="204"/>
      <c r="H174" s="205"/>
      <c r="I174" s="205"/>
      <c r="J174" s="206"/>
      <c r="K174" s="205"/>
      <c r="L174" s="205"/>
      <c r="M174" s="201"/>
      <c r="N174" s="207"/>
      <c r="O174" s="208"/>
      <c r="P174" s="208"/>
      <c r="Q174" s="208"/>
      <c r="R174" s="208"/>
      <c r="S174" s="208"/>
      <c r="T174" s="208"/>
      <c r="U174" s="209"/>
      <c r="V174" s="210"/>
    </row>
    <row r="175" ht="15.75" customHeight="1">
      <c r="A175" s="200"/>
      <c r="B175" s="201"/>
      <c r="C175" s="202"/>
      <c r="D175" s="203"/>
      <c r="E175" s="201"/>
      <c r="F175" s="204"/>
      <c r="G175" s="204"/>
      <c r="H175" s="205"/>
      <c r="I175" s="205"/>
      <c r="J175" s="206"/>
      <c r="K175" s="205"/>
      <c r="L175" s="205"/>
      <c r="M175" s="201"/>
      <c r="N175" s="207"/>
      <c r="O175" s="208"/>
      <c r="P175" s="208"/>
      <c r="Q175" s="208"/>
      <c r="R175" s="208"/>
      <c r="S175" s="208"/>
      <c r="T175" s="208"/>
      <c r="U175" s="209"/>
      <c r="V175" s="210"/>
    </row>
    <row r="176" ht="15.75" customHeight="1">
      <c r="A176" s="200"/>
      <c r="B176" s="201"/>
      <c r="C176" s="202"/>
      <c r="D176" s="203"/>
      <c r="E176" s="201"/>
      <c r="F176" s="204"/>
      <c r="G176" s="204"/>
      <c r="H176" s="205"/>
      <c r="I176" s="205"/>
      <c r="J176" s="206"/>
      <c r="K176" s="205"/>
      <c r="L176" s="205"/>
      <c r="M176" s="201"/>
      <c r="N176" s="207"/>
      <c r="O176" s="208"/>
      <c r="P176" s="208"/>
      <c r="Q176" s="208"/>
      <c r="R176" s="208"/>
      <c r="S176" s="208"/>
      <c r="T176" s="208"/>
      <c r="U176" s="209"/>
      <c r="V176" s="210"/>
    </row>
    <row r="177" ht="15.75" customHeight="1">
      <c r="A177" s="200"/>
      <c r="B177" s="201"/>
      <c r="C177" s="202"/>
      <c r="D177" s="203"/>
      <c r="E177" s="201"/>
      <c r="F177" s="204"/>
      <c r="G177" s="204"/>
      <c r="H177" s="205"/>
      <c r="I177" s="205"/>
      <c r="J177" s="206"/>
      <c r="K177" s="205"/>
      <c r="L177" s="205"/>
      <c r="M177" s="201"/>
      <c r="N177" s="207"/>
      <c r="O177" s="208"/>
      <c r="P177" s="208"/>
      <c r="Q177" s="208"/>
      <c r="R177" s="208"/>
      <c r="S177" s="208"/>
      <c r="T177" s="208"/>
      <c r="U177" s="209"/>
      <c r="V177" s="210"/>
    </row>
    <row r="178" ht="15.75" customHeight="1">
      <c r="A178" s="200"/>
      <c r="B178" s="201"/>
      <c r="C178" s="202"/>
      <c r="D178" s="203"/>
      <c r="E178" s="201"/>
      <c r="F178" s="204"/>
      <c r="G178" s="204"/>
      <c r="H178" s="205"/>
      <c r="I178" s="205"/>
      <c r="J178" s="206"/>
      <c r="K178" s="205"/>
      <c r="L178" s="205"/>
      <c r="M178" s="201"/>
      <c r="N178" s="207"/>
      <c r="O178" s="208"/>
      <c r="P178" s="208"/>
      <c r="Q178" s="208"/>
      <c r="R178" s="208"/>
      <c r="S178" s="208"/>
      <c r="T178" s="208"/>
      <c r="U178" s="209"/>
      <c r="V178" s="210"/>
    </row>
    <row r="179" ht="15.75" customHeight="1">
      <c r="A179" s="200"/>
      <c r="B179" s="201"/>
      <c r="C179" s="202"/>
      <c r="D179" s="203"/>
      <c r="E179" s="201"/>
      <c r="F179" s="204"/>
      <c r="G179" s="204"/>
      <c r="H179" s="205"/>
      <c r="I179" s="205"/>
      <c r="J179" s="206"/>
      <c r="K179" s="205"/>
      <c r="L179" s="205"/>
      <c r="M179" s="201"/>
      <c r="N179" s="207"/>
      <c r="O179" s="208"/>
      <c r="P179" s="208"/>
      <c r="Q179" s="208"/>
      <c r="R179" s="208"/>
      <c r="S179" s="208"/>
      <c r="T179" s="208"/>
      <c r="U179" s="209"/>
      <c r="V179" s="210"/>
    </row>
    <row r="180" ht="15.75" customHeight="1">
      <c r="A180" s="200"/>
      <c r="B180" s="201"/>
      <c r="C180" s="202"/>
      <c r="D180" s="203"/>
      <c r="E180" s="201"/>
      <c r="F180" s="204"/>
      <c r="G180" s="204"/>
      <c r="H180" s="205"/>
      <c r="I180" s="205"/>
      <c r="J180" s="206"/>
      <c r="K180" s="205"/>
      <c r="L180" s="205"/>
      <c r="M180" s="201"/>
      <c r="N180" s="207"/>
      <c r="O180" s="208"/>
      <c r="P180" s="208"/>
      <c r="Q180" s="208"/>
      <c r="R180" s="208"/>
      <c r="S180" s="208"/>
      <c r="T180" s="208"/>
      <c r="U180" s="209"/>
      <c r="V180" s="210"/>
    </row>
    <row r="181" ht="15.75" customHeight="1">
      <c r="A181" s="200"/>
      <c r="B181" s="201"/>
      <c r="C181" s="202"/>
      <c r="D181" s="203"/>
      <c r="E181" s="201"/>
      <c r="F181" s="204"/>
      <c r="G181" s="204"/>
      <c r="H181" s="205"/>
      <c r="I181" s="205"/>
      <c r="J181" s="206"/>
      <c r="K181" s="205"/>
      <c r="L181" s="205"/>
      <c r="M181" s="201"/>
      <c r="N181" s="207"/>
      <c r="O181" s="208"/>
      <c r="P181" s="208"/>
      <c r="Q181" s="208"/>
      <c r="R181" s="208"/>
      <c r="S181" s="208"/>
      <c r="T181" s="208"/>
      <c r="U181" s="209"/>
      <c r="V181" s="210"/>
    </row>
    <row r="182" ht="15.75" customHeight="1">
      <c r="A182" s="200"/>
      <c r="B182" s="201"/>
      <c r="C182" s="202"/>
      <c r="D182" s="203"/>
      <c r="E182" s="201"/>
      <c r="F182" s="204"/>
      <c r="G182" s="204"/>
      <c r="H182" s="205"/>
      <c r="I182" s="205"/>
      <c r="J182" s="206"/>
      <c r="K182" s="205"/>
      <c r="L182" s="205"/>
      <c r="M182" s="201"/>
      <c r="N182" s="207"/>
      <c r="O182" s="208"/>
      <c r="P182" s="208"/>
      <c r="Q182" s="208"/>
      <c r="R182" s="208"/>
      <c r="S182" s="208"/>
      <c r="T182" s="208"/>
      <c r="U182" s="209"/>
      <c r="V182" s="210"/>
    </row>
    <row r="183" ht="15.75" customHeight="1">
      <c r="A183" s="200"/>
      <c r="B183" s="201"/>
      <c r="C183" s="202"/>
      <c r="D183" s="203"/>
      <c r="E183" s="201"/>
      <c r="F183" s="204"/>
      <c r="G183" s="204"/>
      <c r="H183" s="205"/>
      <c r="I183" s="205"/>
      <c r="J183" s="206"/>
      <c r="K183" s="205"/>
      <c r="L183" s="205"/>
      <c r="M183" s="201"/>
      <c r="N183" s="207"/>
      <c r="O183" s="208"/>
      <c r="P183" s="208"/>
      <c r="Q183" s="208"/>
      <c r="R183" s="208"/>
      <c r="S183" s="208"/>
      <c r="T183" s="208"/>
      <c r="U183" s="209"/>
      <c r="V183" s="210"/>
    </row>
    <row r="184" ht="15.75" customHeight="1">
      <c r="A184" s="200"/>
      <c r="B184" s="201"/>
      <c r="C184" s="202"/>
      <c r="D184" s="203"/>
      <c r="E184" s="201"/>
      <c r="F184" s="204"/>
      <c r="G184" s="204"/>
      <c r="H184" s="205"/>
      <c r="I184" s="205"/>
      <c r="J184" s="206"/>
      <c r="K184" s="205"/>
      <c r="L184" s="205"/>
      <c r="M184" s="201"/>
      <c r="N184" s="207"/>
      <c r="O184" s="208"/>
      <c r="P184" s="208"/>
      <c r="Q184" s="208"/>
      <c r="R184" s="208"/>
      <c r="S184" s="208"/>
      <c r="T184" s="208"/>
      <c r="U184" s="209"/>
      <c r="V184" s="210"/>
    </row>
    <row r="185" ht="15.75" customHeight="1">
      <c r="A185" s="200"/>
      <c r="B185" s="201"/>
      <c r="C185" s="202"/>
      <c r="D185" s="203"/>
      <c r="E185" s="201"/>
      <c r="F185" s="204"/>
      <c r="G185" s="204"/>
      <c r="H185" s="205"/>
      <c r="I185" s="205"/>
      <c r="J185" s="206"/>
      <c r="K185" s="205"/>
      <c r="L185" s="205"/>
      <c r="M185" s="201"/>
      <c r="N185" s="207"/>
      <c r="O185" s="208"/>
      <c r="P185" s="208"/>
      <c r="Q185" s="208"/>
      <c r="R185" s="208"/>
      <c r="S185" s="208"/>
      <c r="T185" s="208"/>
      <c r="U185" s="209"/>
      <c r="V185" s="210"/>
    </row>
    <row r="186" ht="15.75" customHeight="1">
      <c r="A186" s="200"/>
      <c r="B186" s="201"/>
      <c r="C186" s="202"/>
      <c r="D186" s="203"/>
      <c r="E186" s="201"/>
      <c r="F186" s="204"/>
      <c r="G186" s="204"/>
      <c r="H186" s="205"/>
      <c r="I186" s="205"/>
      <c r="J186" s="206"/>
      <c r="K186" s="205"/>
      <c r="L186" s="205"/>
      <c r="M186" s="201"/>
      <c r="N186" s="207"/>
      <c r="O186" s="208"/>
      <c r="P186" s="208"/>
      <c r="Q186" s="208"/>
      <c r="R186" s="208"/>
      <c r="S186" s="208"/>
      <c r="T186" s="208"/>
      <c r="U186" s="209"/>
      <c r="V186" s="210"/>
    </row>
    <row r="187" ht="15.75" customHeight="1">
      <c r="A187" s="200"/>
      <c r="B187" s="201"/>
      <c r="C187" s="202"/>
      <c r="D187" s="203"/>
      <c r="E187" s="201"/>
      <c r="F187" s="204"/>
      <c r="G187" s="204"/>
      <c r="H187" s="205"/>
      <c r="I187" s="205"/>
      <c r="J187" s="206"/>
      <c r="K187" s="205"/>
      <c r="L187" s="205"/>
      <c r="M187" s="201"/>
      <c r="N187" s="207"/>
      <c r="O187" s="208"/>
      <c r="P187" s="208"/>
      <c r="Q187" s="208"/>
      <c r="R187" s="208"/>
      <c r="S187" s="208"/>
      <c r="T187" s="208"/>
      <c r="U187" s="209"/>
      <c r="V187" s="210"/>
    </row>
    <row r="188" ht="15.75" customHeight="1">
      <c r="A188" s="200"/>
      <c r="B188" s="201"/>
      <c r="C188" s="202"/>
      <c r="D188" s="203"/>
      <c r="E188" s="201"/>
      <c r="F188" s="204"/>
      <c r="G188" s="204"/>
      <c r="H188" s="205"/>
      <c r="I188" s="205"/>
      <c r="J188" s="206"/>
      <c r="K188" s="205"/>
      <c r="L188" s="205"/>
      <c r="M188" s="201"/>
      <c r="N188" s="207"/>
      <c r="O188" s="208"/>
      <c r="P188" s="208"/>
      <c r="Q188" s="208"/>
      <c r="R188" s="208"/>
      <c r="S188" s="208"/>
      <c r="T188" s="208"/>
      <c r="U188" s="209"/>
      <c r="V188" s="210"/>
    </row>
    <row r="189" ht="15.75" customHeight="1">
      <c r="A189" s="200"/>
      <c r="B189" s="201"/>
      <c r="C189" s="202"/>
      <c r="D189" s="203"/>
      <c r="E189" s="201"/>
      <c r="F189" s="204"/>
      <c r="G189" s="204"/>
      <c r="H189" s="205"/>
      <c r="I189" s="205"/>
      <c r="J189" s="206"/>
      <c r="K189" s="205"/>
      <c r="L189" s="205"/>
      <c r="M189" s="201"/>
      <c r="N189" s="207"/>
      <c r="O189" s="208"/>
      <c r="P189" s="208"/>
      <c r="Q189" s="208"/>
      <c r="R189" s="208"/>
      <c r="S189" s="208"/>
      <c r="T189" s="208"/>
      <c r="U189" s="209"/>
      <c r="V189" s="210"/>
    </row>
    <row r="190" ht="15.75" customHeight="1">
      <c r="A190" s="200"/>
      <c r="B190" s="201"/>
      <c r="C190" s="202"/>
      <c r="D190" s="203"/>
      <c r="E190" s="201"/>
      <c r="F190" s="204"/>
      <c r="G190" s="204"/>
      <c r="H190" s="205"/>
      <c r="I190" s="205"/>
      <c r="J190" s="206"/>
      <c r="K190" s="205"/>
      <c r="L190" s="205"/>
      <c r="M190" s="201"/>
      <c r="N190" s="207"/>
      <c r="O190" s="208"/>
      <c r="P190" s="208"/>
      <c r="Q190" s="208"/>
      <c r="R190" s="208"/>
      <c r="S190" s="208"/>
      <c r="T190" s="208"/>
      <c r="U190" s="209"/>
      <c r="V190" s="210"/>
    </row>
    <row r="191" ht="15.75" customHeight="1">
      <c r="A191" s="200"/>
      <c r="B191" s="201"/>
      <c r="C191" s="202"/>
      <c r="D191" s="203"/>
      <c r="E191" s="201"/>
      <c r="F191" s="204"/>
      <c r="G191" s="204"/>
      <c r="H191" s="205"/>
      <c r="I191" s="205"/>
      <c r="J191" s="206"/>
      <c r="K191" s="205"/>
      <c r="L191" s="205"/>
      <c r="M191" s="201"/>
      <c r="N191" s="207"/>
      <c r="O191" s="208"/>
      <c r="P191" s="208"/>
      <c r="Q191" s="208"/>
      <c r="R191" s="208"/>
      <c r="S191" s="208"/>
      <c r="T191" s="208"/>
      <c r="U191" s="209"/>
      <c r="V191" s="210"/>
    </row>
    <row r="192" ht="15.75" customHeight="1">
      <c r="A192" s="200"/>
      <c r="B192" s="201"/>
      <c r="C192" s="202"/>
      <c r="D192" s="203"/>
      <c r="E192" s="201"/>
      <c r="F192" s="204"/>
      <c r="G192" s="204"/>
      <c r="H192" s="205"/>
      <c r="I192" s="205"/>
      <c r="J192" s="206"/>
      <c r="K192" s="205"/>
      <c r="L192" s="205"/>
      <c r="M192" s="201"/>
      <c r="N192" s="207"/>
      <c r="O192" s="208"/>
      <c r="P192" s="208"/>
      <c r="Q192" s="208"/>
      <c r="R192" s="208"/>
      <c r="S192" s="208"/>
      <c r="T192" s="208"/>
      <c r="U192" s="209"/>
      <c r="V192" s="210"/>
    </row>
    <row r="193" ht="15.75" customHeight="1">
      <c r="A193" s="200"/>
      <c r="B193" s="201"/>
      <c r="C193" s="202"/>
      <c r="D193" s="203"/>
      <c r="E193" s="201"/>
      <c r="F193" s="204"/>
      <c r="G193" s="204"/>
      <c r="H193" s="205"/>
      <c r="I193" s="205"/>
      <c r="J193" s="206"/>
      <c r="K193" s="205"/>
      <c r="L193" s="205"/>
      <c r="M193" s="201"/>
      <c r="N193" s="207"/>
      <c r="O193" s="208"/>
      <c r="P193" s="208"/>
      <c r="Q193" s="208"/>
      <c r="R193" s="208"/>
      <c r="S193" s="208"/>
      <c r="T193" s="208"/>
      <c r="U193" s="209"/>
      <c r="V193" s="210"/>
    </row>
    <row r="194" ht="15.75" customHeight="1">
      <c r="A194" s="200"/>
      <c r="B194" s="201"/>
      <c r="C194" s="202"/>
      <c r="D194" s="203"/>
      <c r="E194" s="201"/>
      <c r="F194" s="204"/>
      <c r="G194" s="204"/>
      <c r="H194" s="205"/>
      <c r="I194" s="205"/>
      <c r="J194" s="206"/>
      <c r="K194" s="205"/>
      <c r="L194" s="205"/>
      <c r="M194" s="201"/>
      <c r="N194" s="207"/>
      <c r="O194" s="208"/>
      <c r="P194" s="208"/>
      <c r="Q194" s="208"/>
      <c r="R194" s="208"/>
      <c r="S194" s="208"/>
      <c r="T194" s="208"/>
      <c r="U194" s="209"/>
      <c r="V194" s="210"/>
    </row>
    <row r="195" ht="15.75" customHeight="1">
      <c r="A195" s="200"/>
      <c r="B195" s="201"/>
      <c r="C195" s="202"/>
      <c r="D195" s="203"/>
      <c r="E195" s="201"/>
      <c r="F195" s="204"/>
      <c r="G195" s="204"/>
      <c r="H195" s="205"/>
      <c r="I195" s="205"/>
      <c r="J195" s="206"/>
      <c r="K195" s="205"/>
      <c r="L195" s="205"/>
      <c r="M195" s="201"/>
      <c r="N195" s="207"/>
      <c r="O195" s="208"/>
      <c r="P195" s="208"/>
      <c r="Q195" s="208"/>
      <c r="R195" s="208"/>
      <c r="S195" s="208"/>
      <c r="T195" s="208"/>
      <c r="U195" s="209"/>
      <c r="V195" s="210"/>
    </row>
    <row r="196" ht="15.75" customHeight="1">
      <c r="A196" s="200"/>
      <c r="B196" s="201"/>
      <c r="C196" s="202"/>
      <c r="D196" s="203"/>
      <c r="E196" s="201"/>
      <c r="F196" s="204"/>
      <c r="G196" s="204"/>
      <c r="H196" s="205"/>
      <c r="I196" s="205"/>
      <c r="J196" s="206"/>
      <c r="K196" s="205"/>
      <c r="L196" s="205"/>
      <c r="M196" s="201"/>
      <c r="N196" s="207"/>
      <c r="O196" s="208"/>
      <c r="P196" s="208"/>
      <c r="Q196" s="208"/>
      <c r="R196" s="208"/>
      <c r="S196" s="208"/>
      <c r="T196" s="208"/>
      <c r="U196" s="209"/>
      <c r="V196" s="210"/>
    </row>
    <row r="197" ht="15.75" customHeight="1">
      <c r="A197" s="200"/>
      <c r="B197" s="201"/>
      <c r="C197" s="202"/>
      <c r="D197" s="203"/>
      <c r="E197" s="201"/>
      <c r="F197" s="204"/>
      <c r="G197" s="204"/>
      <c r="H197" s="205"/>
      <c r="I197" s="205"/>
      <c r="J197" s="206"/>
      <c r="K197" s="205"/>
      <c r="L197" s="205"/>
      <c r="M197" s="201"/>
      <c r="N197" s="207"/>
      <c r="O197" s="208"/>
      <c r="P197" s="208"/>
      <c r="Q197" s="208"/>
      <c r="R197" s="208"/>
      <c r="S197" s="208"/>
      <c r="T197" s="208"/>
      <c r="U197" s="209"/>
      <c r="V197" s="210"/>
    </row>
    <row r="198" ht="15.75" customHeight="1">
      <c r="A198" s="200"/>
      <c r="B198" s="201"/>
      <c r="C198" s="202"/>
      <c r="D198" s="203"/>
      <c r="E198" s="201"/>
      <c r="F198" s="204"/>
      <c r="G198" s="204"/>
      <c r="H198" s="205"/>
      <c r="I198" s="205"/>
      <c r="J198" s="206"/>
      <c r="K198" s="205"/>
      <c r="L198" s="205"/>
      <c r="M198" s="201"/>
      <c r="N198" s="207"/>
      <c r="O198" s="208"/>
      <c r="P198" s="208"/>
      <c r="Q198" s="208"/>
      <c r="R198" s="208"/>
      <c r="S198" s="208"/>
      <c r="T198" s="208"/>
      <c r="U198" s="209"/>
      <c r="V198" s="210"/>
    </row>
    <row r="199" ht="15.75" customHeight="1">
      <c r="A199" s="200"/>
      <c r="B199" s="201"/>
      <c r="C199" s="202"/>
      <c r="D199" s="203"/>
      <c r="E199" s="201"/>
      <c r="F199" s="204"/>
      <c r="G199" s="204"/>
      <c r="H199" s="205"/>
      <c r="I199" s="205"/>
      <c r="J199" s="206"/>
      <c r="K199" s="205"/>
      <c r="L199" s="205"/>
      <c r="M199" s="201"/>
      <c r="N199" s="207"/>
      <c r="O199" s="208"/>
      <c r="P199" s="208"/>
      <c r="Q199" s="208"/>
      <c r="R199" s="208"/>
      <c r="S199" s="208"/>
      <c r="T199" s="208"/>
      <c r="U199" s="209"/>
      <c r="V199" s="210"/>
    </row>
    <row r="200" ht="15.75" customHeight="1">
      <c r="A200" s="200"/>
      <c r="B200" s="201"/>
      <c r="C200" s="202"/>
      <c r="D200" s="203"/>
      <c r="E200" s="201"/>
      <c r="F200" s="204"/>
      <c r="G200" s="204"/>
      <c r="H200" s="205"/>
      <c r="I200" s="205"/>
      <c r="J200" s="206"/>
      <c r="K200" s="205"/>
      <c r="L200" s="205"/>
      <c r="M200" s="201"/>
      <c r="N200" s="207"/>
      <c r="O200" s="208"/>
      <c r="P200" s="208"/>
      <c r="Q200" s="208"/>
      <c r="R200" s="208"/>
      <c r="S200" s="208"/>
      <c r="T200" s="208"/>
      <c r="U200" s="209"/>
      <c r="V200" s="210"/>
    </row>
    <row r="201" ht="15.75" customHeight="1">
      <c r="A201" s="200"/>
      <c r="B201" s="201"/>
      <c r="C201" s="202"/>
      <c r="D201" s="203"/>
      <c r="E201" s="201"/>
      <c r="F201" s="204"/>
      <c r="G201" s="204"/>
      <c r="H201" s="205"/>
      <c r="I201" s="205"/>
      <c r="J201" s="206"/>
      <c r="K201" s="205"/>
      <c r="L201" s="205"/>
      <c r="M201" s="201"/>
      <c r="N201" s="207"/>
      <c r="O201" s="208"/>
      <c r="P201" s="208"/>
      <c r="Q201" s="208"/>
      <c r="R201" s="208"/>
      <c r="S201" s="208"/>
      <c r="T201" s="208"/>
      <c r="U201" s="209"/>
      <c r="V201" s="210"/>
    </row>
    <row r="202" ht="15.75" customHeight="1">
      <c r="A202" s="200"/>
      <c r="B202" s="201"/>
      <c r="C202" s="202"/>
      <c r="D202" s="203"/>
      <c r="E202" s="201"/>
      <c r="F202" s="204"/>
      <c r="G202" s="204"/>
      <c r="H202" s="205"/>
      <c r="I202" s="205"/>
      <c r="J202" s="206"/>
      <c r="K202" s="205"/>
      <c r="L202" s="205"/>
      <c r="M202" s="201"/>
      <c r="N202" s="207"/>
      <c r="O202" s="208"/>
      <c r="P202" s="208"/>
      <c r="Q202" s="208"/>
      <c r="R202" s="208"/>
      <c r="S202" s="208"/>
      <c r="T202" s="208"/>
      <c r="U202" s="209"/>
      <c r="V202" s="210"/>
    </row>
    <row r="203" ht="15.75" customHeight="1">
      <c r="A203" s="200"/>
      <c r="B203" s="201"/>
      <c r="C203" s="202"/>
      <c r="D203" s="203"/>
      <c r="E203" s="201"/>
      <c r="F203" s="204"/>
      <c r="G203" s="204"/>
      <c r="H203" s="205"/>
      <c r="I203" s="205"/>
      <c r="J203" s="206"/>
      <c r="K203" s="205"/>
      <c r="L203" s="205"/>
      <c r="M203" s="201"/>
      <c r="N203" s="207"/>
      <c r="O203" s="208"/>
      <c r="P203" s="208"/>
      <c r="Q203" s="208"/>
      <c r="R203" s="208"/>
      <c r="S203" s="208"/>
      <c r="T203" s="208"/>
      <c r="U203" s="209"/>
      <c r="V203" s="210"/>
    </row>
    <row r="204" ht="15.75" customHeight="1">
      <c r="A204" s="200"/>
      <c r="B204" s="201"/>
      <c r="C204" s="202"/>
      <c r="D204" s="203"/>
      <c r="E204" s="201"/>
      <c r="F204" s="204"/>
      <c r="G204" s="204"/>
      <c r="H204" s="205"/>
      <c r="I204" s="205"/>
      <c r="J204" s="206"/>
      <c r="K204" s="205"/>
      <c r="L204" s="205"/>
      <c r="M204" s="201"/>
      <c r="N204" s="207"/>
      <c r="O204" s="208"/>
      <c r="P204" s="208"/>
      <c r="Q204" s="208"/>
      <c r="R204" s="208"/>
      <c r="S204" s="208"/>
      <c r="T204" s="208"/>
      <c r="U204" s="209"/>
      <c r="V204" s="210"/>
    </row>
    <row r="205" ht="15.75" customHeight="1">
      <c r="A205" s="200"/>
      <c r="B205" s="201"/>
      <c r="C205" s="202"/>
      <c r="D205" s="203"/>
      <c r="E205" s="201"/>
      <c r="F205" s="204"/>
      <c r="G205" s="204"/>
      <c r="H205" s="205"/>
      <c r="I205" s="205"/>
      <c r="J205" s="206"/>
      <c r="K205" s="205"/>
      <c r="L205" s="205"/>
      <c r="M205" s="201"/>
      <c r="N205" s="207"/>
      <c r="O205" s="208"/>
      <c r="P205" s="208"/>
      <c r="Q205" s="208"/>
      <c r="R205" s="208"/>
      <c r="S205" s="208"/>
      <c r="T205" s="208"/>
      <c r="U205" s="209"/>
      <c r="V205" s="210"/>
    </row>
    <row r="206" ht="15.75" customHeight="1">
      <c r="A206" s="200"/>
      <c r="B206" s="201"/>
      <c r="C206" s="202"/>
      <c r="D206" s="203"/>
      <c r="E206" s="201"/>
      <c r="F206" s="204"/>
      <c r="G206" s="204"/>
      <c r="H206" s="205"/>
      <c r="I206" s="205"/>
      <c r="J206" s="206"/>
      <c r="K206" s="205"/>
      <c r="L206" s="205"/>
      <c r="M206" s="201"/>
      <c r="N206" s="207"/>
      <c r="O206" s="208"/>
      <c r="P206" s="208"/>
      <c r="Q206" s="208"/>
      <c r="R206" s="208"/>
      <c r="S206" s="208"/>
      <c r="T206" s="208"/>
      <c r="U206" s="209"/>
      <c r="V206" s="210"/>
    </row>
    <row r="207" ht="15.75" customHeight="1">
      <c r="A207" s="200"/>
      <c r="B207" s="201"/>
      <c r="C207" s="202"/>
      <c r="D207" s="203"/>
      <c r="E207" s="201"/>
      <c r="F207" s="204"/>
      <c r="G207" s="204"/>
      <c r="H207" s="205"/>
      <c r="I207" s="205"/>
      <c r="J207" s="206"/>
      <c r="K207" s="205"/>
      <c r="L207" s="205"/>
      <c r="M207" s="201"/>
      <c r="N207" s="207"/>
      <c r="O207" s="208"/>
      <c r="P207" s="208"/>
      <c r="Q207" s="208"/>
      <c r="R207" s="208"/>
      <c r="S207" s="208"/>
      <c r="T207" s="208"/>
      <c r="U207" s="209"/>
      <c r="V207" s="210"/>
    </row>
    <row r="208" ht="15.75" customHeight="1">
      <c r="A208" s="200"/>
      <c r="B208" s="201"/>
      <c r="C208" s="202"/>
      <c r="D208" s="203"/>
      <c r="E208" s="201"/>
      <c r="F208" s="204"/>
      <c r="G208" s="204"/>
      <c r="H208" s="205"/>
      <c r="I208" s="205"/>
      <c r="J208" s="206"/>
      <c r="K208" s="205"/>
      <c r="L208" s="205"/>
      <c r="M208" s="201"/>
      <c r="N208" s="207"/>
      <c r="O208" s="208"/>
      <c r="P208" s="208"/>
      <c r="Q208" s="208"/>
      <c r="R208" s="208"/>
      <c r="S208" s="208"/>
      <c r="T208" s="208"/>
      <c r="U208" s="209"/>
      <c r="V208" s="210"/>
    </row>
    <row r="209" ht="15.75" customHeight="1">
      <c r="A209" s="200"/>
      <c r="B209" s="201"/>
      <c r="C209" s="202"/>
      <c r="D209" s="203"/>
      <c r="E209" s="201"/>
      <c r="F209" s="204"/>
      <c r="G209" s="204"/>
      <c r="H209" s="205"/>
      <c r="I209" s="205"/>
      <c r="J209" s="206"/>
      <c r="K209" s="205"/>
      <c r="L209" s="205"/>
      <c r="M209" s="201"/>
      <c r="N209" s="207"/>
      <c r="O209" s="208"/>
      <c r="P209" s="208"/>
      <c r="Q209" s="208"/>
      <c r="R209" s="208"/>
      <c r="S209" s="208"/>
      <c r="T209" s="208"/>
      <c r="U209" s="209"/>
      <c r="V209" s="210"/>
    </row>
    <row r="210" ht="15.75" customHeight="1">
      <c r="A210" s="200"/>
      <c r="B210" s="201"/>
      <c r="C210" s="202"/>
      <c r="D210" s="203"/>
      <c r="E210" s="201"/>
      <c r="F210" s="204"/>
      <c r="G210" s="204"/>
      <c r="H210" s="205"/>
      <c r="I210" s="205"/>
      <c r="J210" s="206"/>
      <c r="K210" s="205"/>
      <c r="L210" s="205"/>
      <c r="M210" s="201"/>
      <c r="N210" s="207"/>
      <c r="O210" s="208"/>
      <c r="P210" s="208"/>
      <c r="Q210" s="208"/>
      <c r="R210" s="208"/>
      <c r="S210" s="208"/>
      <c r="T210" s="208"/>
      <c r="U210" s="209"/>
      <c r="V210" s="210"/>
    </row>
    <row r="211" ht="15.75" customHeight="1">
      <c r="A211" s="200"/>
      <c r="B211" s="201"/>
      <c r="C211" s="202"/>
      <c r="D211" s="203"/>
      <c r="E211" s="201"/>
      <c r="F211" s="204"/>
      <c r="G211" s="204"/>
      <c r="H211" s="205"/>
      <c r="I211" s="205"/>
      <c r="J211" s="206"/>
      <c r="K211" s="205"/>
      <c r="L211" s="205"/>
      <c r="M211" s="201"/>
      <c r="N211" s="207"/>
      <c r="O211" s="208"/>
      <c r="P211" s="208"/>
      <c r="Q211" s="208"/>
      <c r="R211" s="208"/>
      <c r="S211" s="208"/>
      <c r="T211" s="208"/>
      <c r="U211" s="209"/>
      <c r="V211" s="210"/>
    </row>
    <row r="212" ht="15.75" customHeight="1">
      <c r="A212" s="200"/>
      <c r="B212" s="201"/>
      <c r="C212" s="202"/>
      <c r="D212" s="203"/>
      <c r="E212" s="201"/>
      <c r="F212" s="204"/>
      <c r="G212" s="204"/>
      <c r="H212" s="205"/>
      <c r="I212" s="205"/>
      <c r="J212" s="206"/>
      <c r="K212" s="205"/>
      <c r="L212" s="205"/>
      <c r="M212" s="201"/>
      <c r="N212" s="207"/>
      <c r="O212" s="208"/>
      <c r="P212" s="208"/>
      <c r="Q212" s="208"/>
      <c r="R212" s="208"/>
      <c r="S212" s="208"/>
      <c r="T212" s="208"/>
      <c r="U212" s="209"/>
      <c r="V212" s="210"/>
    </row>
    <row r="213" ht="15.75" customHeight="1">
      <c r="A213" s="200"/>
      <c r="B213" s="201"/>
      <c r="C213" s="202"/>
      <c r="D213" s="203"/>
      <c r="E213" s="201"/>
      <c r="F213" s="204"/>
      <c r="G213" s="204"/>
      <c r="H213" s="205"/>
      <c r="I213" s="205"/>
      <c r="J213" s="206"/>
      <c r="K213" s="205"/>
      <c r="L213" s="205"/>
      <c r="M213" s="201"/>
      <c r="N213" s="207"/>
      <c r="O213" s="208"/>
      <c r="P213" s="208"/>
      <c r="Q213" s="208"/>
      <c r="R213" s="208"/>
      <c r="S213" s="208"/>
      <c r="T213" s="208"/>
      <c r="U213" s="209"/>
      <c r="V213" s="210"/>
    </row>
    <row r="214" ht="15.75" customHeight="1">
      <c r="A214" s="200"/>
      <c r="B214" s="201"/>
      <c r="C214" s="202"/>
      <c r="D214" s="203"/>
      <c r="E214" s="201"/>
      <c r="F214" s="204"/>
      <c r="G214" s="204"/>
      <c r="H214" s="205"/>
      <c r="I214" s="205"/>
      <c r="J214" s="206"/>
      <c r="K214" s="205"/>
      <c r="L214" s="205"/>
      <c r="M214" s="201"/>
      <c r="N214" s="207"/>
      <c r="O214" s="208"/>
      <c r="P214" s="208"/>
      <c r="Q214" s="208"/>
      <c r="R214" s="208"/>
      <c r="S214" s="208"/>
      <c r="T214" s="208"/>
      <c r="U214" s="209"/>
      <c r="V214" s="210"/>
    </row>
    <row r="215" ht="15.75" customHeight="1">
      <c r="A215" s="200"/>
      <c r="B215" s="201"/>
      <c r="C215" s="202"/>
      <c r="D215" s="203"/>
      <c r="E215" s="201"/>
      <c r="F215" s="204"/>
      <c r="G215" s="204"/>
      <c r="H215" s="205"/>
      <c r="I215" s="205"/>
      <c r="J215" s="206"/>
      <c r="K215" s="205"/>
      <c r="L215" s="205"/>
      <c r="M215" s="201"/>
      <c r="N215" s="207"/>
      <c r="O215" s="208"/>
      <c r="P215" s="208"/>
      <c r="Q215" s="208"/>
      <c r="R215" s="208"/>
      <c r="S215" s="208"/>
      <c r="T215" s="208"/>
      <c r="U215" s="209"/>
      <c r="V215" s="210"/>
    </row>
    <row r="216" ht="15.75" customHeight="1">
      <c r="A216" s="200"/>
      <c r="B216" s="201"/>
      <c r="C216" s="202"/>
      <c r="D216" s="203"/>
      <c r="E216" s="201"/>
      <c r="F216" s="204"/>
      <c r="G216" s="204"/>
      <c r="H216" s="205"/>
      <c r="I216" s="205"/>
      <c r="J216" s="206"/>
      <c r="K216" s="205"/>
      <c r="L216" s="205"/>
      <c r="M216" s="201"/>
      <c r="N216" s="207"/>
      <c r="O216" s="208"/>
      <c r="P216" s="208"/>
      <c r="Q216" s="208"/>
      <c r="R216" s="208"/>
      <c r="S216" s="208"/>
      <c r="T216" s="208"/>
      <c r="U216" s="209"/>
      <c r="V216" s="210"/>
    </row>
    <row r="217" ht="15.75" customHeight="1">
      <c r="A217" s="200"/>
      <c r="B217" s="201"/>
      <c r="C217" s="202"/>
      <c r="D217" s="203"/>
      <c r="E217" s="201"/>
      <c r="F217" s="204"/>
      <c r="G217" s="204"/>
      <c r="H217" s="205"/>
      <c r="I217" s="205"/>
      <c r="J217" s="206"/>
      <c r="K217" s="205"/>
      <c r="L217" s="205"/>
      <c r="M217" s="201"/>
      <c r="N217" s="207"/>
      <c r="O217" s="208"/>
      <c r="P217" s="208"/>
      <c r="Q217" s="208"/>
      <c r="R217" s="208"/>
      <c r="S217" s="208"/>
      <c r="T217" s="208"/>
      <c r="U217" s="209"/>
      <c r="V217" s="210"/>
    </row>
    <row r="218" ht="15.75" customHeight="1">
      <c r="A218" s="200"/>
      <c r="B218" s="201"/>
      <c r="C218" s="202"/>
      <c r="D218" s="203"/>
      <c r="E218" s="201"/>
      <c r="F218" s="204"/>
      <c r="G218" s="204"/>
      <c r="H218" s="205"/>
      <c r="I218" s="205"/>
      <c r="J218" s="206"/>
      <c r="K218" s="205"/>
      <c r="L218" s="205"/>
      <c r="M218" s="201"/>
      <c r="N218" s="207"/>
      <c r="O218" s="208"/>
      <c r="P218" s="208"/>
      <c r="Q218" s="208"/>
      <c r="R218" s="208"/>
      <c r="S218" s="208"/>
      <c r="T218" s="208"/>
      <c r="U218" s="209"/>
      <c r="V218" s="210"/>
    </row>
    <row r="219" ht="15.75" customHeight="1">
      <c r="A219" s="200"/>
      <c r="B219" s="201"/>
      <c r="C219" s="202"/>
      <c r="D219" s="203"/>
      <c r="E219" s="201"/>
      <c r="F219" s="204"/>
      <c r="G219" s="204"/>
      <c r="H219" s="205"/>
      <c r="I219" s="205"/>
      <c r="J219" s="206"/>
      <c r="K219" s="205"/>
      <c r="L219" s="205"/>
      <c r="M219" s="201"/>
      <c r="N219" s="207"/>
      <c r="O219" s="208"/>
      <c r="P219" s="208"/>
      <c r="Q219" s="208"/>
      <c r="R219" s="208"/>
      <c r="S219" s="208"/>
      <c r="T219" s="208"/>
      <c r="U219" s="209"/>
      <c r="V219" s="210"/>
    </row>
    <row r="220" ht="15.75" customHeight="1">
      <c r="A220" s="200"/>
      <c r="B220" s="201"/>
      <c r="C220" s="202"/>
      <c r="D220" s="203"/>
      <c r="E220" s="201"/>
      <c r="F220" s="204"/>
      <c r="G220" s="204"/>
      <c r="H220" s="205"/>
      <c r="I220" s="205"/>
      <c r="J220" s="206"/>
      <c r="K220" s="205"/>
      <c r="L220" s="205"/>
      <c r="M220" s="201"/>
      <c r="N220" s="207"/>
      <c r="O220" s="208"/>
      <c r="P220" s="208"/>
      <c r="Q220" s="208"/>
      <c r="R220" s="208"/>
      <c r="S220" s="208"/>
      <c r="T220" s="208"/>
      <c r="U220" s="209"/>
      <c r="V220" s="210"/>
    </row>
    <row r="221" ht="15.75" customHeight="1">
      <c r="A221" s="200"/>
      <c r="B221" s="201"/>
      <c r="C221" s="202"/>
      <c r="D221" s="203"/>
      <c r="E221" s="201"/>
      <c r="F221" s="204"/>
      <c r="G221" s="204"/>
      <c r="H221" s="205"/>
      <c r="I221" s="205"/>
      <c r="J221" s="206"/>
      <c r="K221" s="205"/>
      <c r="L221" s="205"/>
      <c r="M221" s="201"/>
      <c r="N221" s="207"/>
      <c r="O221" s="208"/>
      <c r="P221" s="208"/>
      <c r="Q221" s="208"/>
      <c r="R221" s="208"/>
      <c r="S221" s="208"/>
      <c r="T221" s="208"/>
      <c r="U221" s="209"/>
      <c r="V221" s="210"/>
    </row>
    <row r="222" ht="15.75" customHeight="1">
      <c r="A222" s="200"/>
      <c r="B222" s="201"/>
      <c r="C222" s="202"/>
      <c r="D222" s="203"/>
      <c r="E222" s="201"/>
      <c r="F222" s="204"/>
      <c r="G222" s="204"/>
      <c r="H222" s="205"/>
      <c r="I222" s="205"/>
      <c r="J222" s="206"/>
      <c r="K222" s="205"/>
      <c r="L222" s="205"/>
      <c r="M222" s="201"/>
      <c r="N222" s="207"/>
      <c r="O222" s="208"/>
      <c r="P222" s="208"/>
      <c r="Q222" s="208"/>
      <c r="R222" s="208"/>
      <c r="S222" s="208"/>
      <c r="T222" s="208"/>
      <c r="U222" s="209"/>
      <c r="V222" s="210"/>
    </row>
    <row r="223" ht="15.75" customHeight="1">
      <c r="A223" s="200"/>
      <c r="B223" s="201"/>
      <c r="C223" s="202"/>
      <c r="D223" s="203"/>
      <c r="E223" s="201"/>
      <c r="F223" s="204"/>
      <c r="G223" s="204"/>
      <c r="H223" s="205"/>
      <c r="I223" s="205"/>
      <c r="J223" s="206"/>
      <c r="K223" s="205"/>
      <c r="L223" s="205"/>
      <c r="M223" s="201"/>
      <c r="N223" s="207"/>
      <c r="O223" s="208"/>
      <c r="P223" s="208"/>
      <c r="Q223" s="208"/>
      <c r="R223" s="208"/>
      <c r="S223" s="208"/>
      <c r="T223" s="208"/>
      <c r="U223" s="209"/>
      <c r="V223" s="210"/>
    </row>
    <row r="224" ht="15.75" customHeight="1">
      <c r="A224" s="200"/>
      <c r="B224" s="201"/>
      <c r="C224" s="202"/>
      <c r="D224" s="203"/>
      <c r="E224" s="201"/>
      <c r="F224" s="204"/>
      <c r="G224" s="204"/>
      <c r="H224" s="205"/>
      <c r="I224" s="205"/>
      <c r="J224" s="206"/>
      <c r="K224" s="205"/>
      <c r="L224" s="205"/>
      <c r="M224" s="201"/>
      <c r="N224" s="207"/>
      <c r="O224" s="208"/>
      <c r="P224" s="208"/>
      <c r="Q224" s="208"/>
      <c r="R224" s="208"/>
      <c r="S224" s="208"/>
      <c r="T224" s="208"/>
      <c r="U224" s="209"/>
      <c r="V224" s="210"/>
    </row>
    <row r="225" ht="15.75" customHeight="1">
      <c r="A225" s="200"/>
      <c r="B225" s="201"/>
      <c r="C225" s="202"/>
      <c r="D225" s="203"/>
      <c r="E225" s="201"/>
      <c r="F225" s="204"/>
      <c r="G225" s="204"/>
      <c r="H225" s="205"/>
      <c r="I225" s="205"/>
      <c r="J225" s="206"/>
      <c r="K225" s="205"/>
      <c r="L225" s="205"/>
      <c r="M225" s="201"/>
      <c r="N225" s="207"/>
      <c r="O225" s="208"/>
      <c r="P225" s="208"/>
      <c r="Q225" s="208"/>
      <c r="R225" s="208"/>
      <c r="S225" s="208"/>
      <c r="T225" s="208"/>
      <c r="U225" s="209"/>
      <c r="V225" s="210"/>
    </row>
    <row r="226" ht="15.75" customHeight="1">
      <c r="A226" s="200"/>
      <c r="B226" s="201"/>
      <c r="C226" s="202"/>
      <c r="D226" s="203"/>
      <c r="E226" s="201"/>
      <c r="F226" s="204"/>
      <c r="G226" s="204"/>
      <c r="H226" s="205"/>
      <c r="I226" s="205"/>
      <c r="J226" s="206"/>
      <c r="K226" s="205"/>
      <c r="L226" s="205"/>
      <c r="M226" s="201"/>
      <c r="N226" s="207"/>
      <c r="O226" s="208"/>
      <c r="P226" s="208"/>
      <c r="Q226" s="208"/>
      <c r="R226" s="208"/>
      <c r="S226" s="208"/>
      <c r="T226" s="208"/>
      <c r="U226" s="209"/>
      <c r="V226" s="210"/>
    </row>
    <row r="227" ht="15.75" customHeight="1">
      <c r="A227" s="200"/>
      <c r="B227" s="201"/>
      <c r="C227" s="202"/>
      <c r="D227" s="203"/>
      <c r="E227" s="201"/>
      <c r="F227" s="204"/>
      <c r="G227" s="204"/>
      <c r="H227" s="205"/>
      <c r="I227" s="205"/>
      <c r="J227" s="206"/>
      <c r="K227" s="205"/>
      <c r="L227" s="205"/>
      <c r="M227" s="201"/>
      <c r="N227" s="207"/>
      <c r="O227" s="208"/>
      <c r="P227" s="208"/>
      <c r="Q227" s="208"/>
      <c r="R227" s="208"/>
      <c r="S227" s="208"/>
      <c r="T227" s="208"/>
      <c r="U227" s="209"/>
      <c r="V227" s="210"/>
    </row>
    <row r="228" ht="15.75" customHeight="1">
      <c r="A228" s="200"/>
      <c r="B228" s="201"/>
      <c r="C228" s="202"/>
      <c r="D228" s="203"/>
      <c r="E228" s="201"/>
      <c r="F228" s="204"/>
      <c r="G228" s="204"/>
      <c r="H228" s="205"/>
      <c r="I228" s="205"/>
      <c r="J228" s="206"/>
      <c r="K228" s="205"/>
      <c r="L228" s="205"/>
      <c r="M228" s="201"/>
      <c r="N228" s="207"/>
      <c r="O228" s="208"/>
      <c r="P228" s="208"/>
      <c r="Q228" s="208"/>
      <c r="R228" s="208"/>
      <c r="S228" s="208"/>
      <c r="T228" s="208"/>
      <c r="U228" s="209"/>
      <c r="V228" s="210"/>
    </row>
    <row r="229" ht="15.75" customHeight="1">
      <c r="A229" s="200"/>
      <c r="B229" s="201"/>
      <c r="C229" s="202"/>
      <c r="D229" s="203"/>
      <c r="E229" s="201"/>
      <c r="F229" s="204"/>
      <c r="G229" s="204"/>
      <c r="H229" s="205"/>
      <c r="I229" s="205"/>
      <c r="J229" s="206"/>
      <c r="K229" s="205"/>
      <c r="L229" s="205"/>
      <c r="M229" s="201"/>
      <c r="N229" s="207"/>
      <c r="O229" s="208"/>
      <c r="P229" s="208"/>
      <c r="Q229" s="208"/>
      <c r="R229" s="208"/>
      <c r="S229" s="208"/>
      <c r="T229" s="208"/>
      <c r="U229" s="209"/>
      <c r="V229" s="210"/>
    </row>
    <row r="230" ht="15.75" customHeight="1">
      <c r="A230" s="200"/>
      <c r="B230" s="201"/>
      <c r="C230" s="202"/>
      <c r="D230" s="203"/>
      <c r="E230" s="201"/>
      <c r="F230" s="204"/>
      <c r="G230" s="204"/>
      <c r="H230" s="205"/>
      <c r="I230" s="205"/>
      <c r="J230" s="206"/>
      <c r="K230" s="205"/>
      <c r="L230" s="205"/>
      <c r="M230" s="201"/>
      <c r="N230" s="207"/>
      <c r="O230" s="208"/>
      <c r="P230" s="208"/>
      <c r="Q230" s="208"/>
      <c r="R230" s="208"/>
      <c r="S230" s="208"/>
      <c r="T230" s="208"/>
      <c r="U230" s="209"/>
      <c r="V230" s="210"/>
    </row>
    <row r="231" ht="15.75" customHeight="1">
      <c r="A231" s="200"/>
      <c r="B231" s="201"/>
      <c r="C231" s="202"/>
      <c r="D231" s="203"/>
      <c r="E231" s="201"/>
      <c r="F231" s="204"/>
      <c r="G231" s="204"/>
      <c r="H231" s="205"/>
      <c r="I231" s="205"/>
      <c r="J231" s="206"/>
      <c r="K231" s="205"/>
      <c r="L231" s="205"/>
      <c r="M231" s="201"/>
      <c r="N231" s="207"/>
      <c r="O231" s="208"/>
      <c r="P231" s="208"/>
      <c r="Q231" s="208"/>
      <c r="R231" s="208"/>
      <c r="S231" s="208"/>
      <c r="T231" s="208"/>
      <c r="U231" s="209"/>
      <c r="V231" s="210"/>
    </row>
    <row r="232" ht="15.75" customHeight="1">
      <c r="A232" s="200"/>
      <c r="B232" s="201"/>
      <c r="C232" s="202"/>
      <c r="D232" s="203"/>
      <c r="E232" s="201"/>
      <c r="F232" s="204"/>
      <c r="G232" s="204"/>
      <c r="H232" s="205"/>
      <c r="I232" s="205"/>
      <c r="J232" s="206"/>
      <c r="K232" s="205"/>
      <c r="L232" s="205"/>
      <c r="M232" s="201"/>
      <c r="N232" s="207"/>
      <c r="O232" s="208"/>
      <c r="P232" s="208"/>
      <c r="Q232" s="208"/>
      <c r="R232" s="208"/>
      <c r="S232" s="208"/>
      <c r="T232" s="208"/>
      <c r="U232" s="209"/>
      <c r="V232" s="210"/>
    </row>
    <row r="233" ht="15.75" customHeight="1">
      <c r="A233" s="200"/>
      <c r="B233" s="201"/>
      <c r="C233" s="202"/>
      <c r="D233" s="203"/>
      <c r="E233" s="201"/>
      <c r="F233" s="204"/>
      <c r="G233" s="204"/>
      <c r="H233" s="205"/>
      <c r="I233" s="205"/>
      <c r="J233" s="206"/>
      <c r="K233" s="205"/>
      <c r="L233" s="205"/>
      <c r="M233" s="201"/>
      <c r="N233" s="207"/>
      <c r="O233" s="208"/>
      <c r="P233" s="208"/>
      <c r="Q233" s="208"/>
      <c r="R233" s="208"/>
      <c r="S233" s="208"/>
      <c r="T233" s="208"/>
      <c r="U233" s="209"/>
      <c r="V233" s="210"/>
    </row>
    <row r="234" ht="15.75" customHeight="1">
      <c r="A234" s="200"/>
      <c r="B234" s="201"/>
      <c r="C234" s="202"/>
      <c r="D234" s="203"/>
      <c r="E234" s="201"/>
      <c r="F234" s="204"/>
      <c r="G234" s="204"/>
      <c r="H234" s="205"/>
      <c r="I234" s="205"/>
      <c r="J234" s="206"/>
      <c r="K234" s="205"/>
      <c r="L234" s="205"/>
      <c r="M234" s="201"/>
      <c r="N234" s="207"/>
      <c r="O234" s="208"/>
      <c r="P234" s="208"/>
      <c r="Q234" s="208"/>
      <c r="R234" s="208"/>
      <c r="S234" s="208"/>
      <c r="T234" s="208"/>
      <c r="U234" s="209"/>
      <c r="V234" s="210"/>
    </row>
    <row r="235" ht="15.75" customHeight="1">
      <c r="A235" s="200"/>
      <c r="B235" s="201"/>
      <c r="C235" s="202"/>
      <c r="D235" s="203"/>
      <c r="E235" s="201"/>
      <c r="F235" s="204"/>
      <c r="G235" s="204"/>
      <c r="H235" s="205"/>
      <c r="I235" s="205"/>
      <c r="J235" s="206"/>
      <c r="K235" s="205"/>
      <c r="L235" s="205"/>
      <c r="M235" s="201"/>
      <c r="N235" s="207"/>
      <c r="O235" s="208"/>
      <c r="P235" s="208"/>
      <c r="Q235" s="208"/>
      <c r="R235" s="208"/>
      <c r="S235" s="208"/>
      <c r="T235" s="208"/>
      <c r="U235" s="209"/>
      <c r="V235" s="210"/>
    </row>
    <row r="236" ht="15.75" customHeight="1">
      <c r="A236" s="200"/>
      <c r="B236" s="201"/>
      <c r="C236" s="202"/>
      <c r="D236" s="203"/>
      <c r="E236" s="201"/>
      <c r="F236" s="204"/>
      <c r="G236" s="204"/>
      <c r="H236" s="205"/>
      <c r="I236" s="205"/>
      <c r="J236" s="206"/>
      <c r="K236" s="205"/>
      <c r="L236" s="205"/>
      <c r="M236" s="201"/>
      <c r="N236" s="207"/>
      <c r="O236" s="208"/>
      <c r="P236" s="208"/>
      <c r="Q236" s="208"/>
      <c r="R236" s="208"/>
      <c r="S236" s="208"/>
      <c r="T236" s="208"/>
      <c r="U236" s="209"/>
      <c r="V236" s="210"/>
    </row>
    <row r="237" ht="15.75" customHeight="1">
      <c r="A237" s="200"/>
      <c r="B237" s="201"/>
      <c r="C237" s="202"/>
      <c r="D237" s="203"/>
      <c r="E237" s="201"/>
      <c r="F237" s="204"/>
      <c r="G237" s="204"/>
      <c r="H237" s="205"/>
      <c r="I237" s="205"/>
      <c r="J237" s="206"/>
      <c r="K237" s="205"/>
      <c r="L237" s="205"/>
      <c r="M237" s="201"/>
      <c r="N237" s="207"/>
      <c r="O237" s="208"/>
      <c r="P237" s="208"/>
      <c r="Q237" s="208"/>
      <c r="R237" s="208"/>
      <c r="S237" s="208"/>
      <c r="T237" s="208"/>
      <c r="U237" s="209"/>
      <c r="V237" s="210"/>
    </row>
    <row r="238" ht="15.75" customHeight="1">
      <c r="A238" s="200"/>
      <c r="B238" s="201"/>
      <c r="C238" s="202"/>
      <c r="D238" s="203"/>
      <c r="E238" s="201"/>
      <c r="F238" s="204"/>
      <c r="G238" s="204"/>
      <c r="H238" s="205"/>
      <c r="I238" s="205"/>
      <c r="J238" s="206"/>
      <c r="K238" s="205"/>
      <c r="L238" s="205"/>
      <c r="M238" s="201"/>
      <c r="N238" s="207"/>
      <c r="O238" s="208"/>
      <c r="P238" s="208"/>
      <c r="Q238" s="208"/>
      <c r="R238" s="208"/>
      <c r="S238" s="208"/>
      <c r="T238" s="208"/>
      <c r="U238" s="209"/>
      <c r="V238" s="210"/>
    </row>
    <row r="239" ht="15.75" customHeight="1">
      <c r="A239" s="200"/>
      <c r="B239" s="201"/>
      <c r="C239" s="202"/>
      <c r="D239" s="203"/>
      <c r="E239" s="201"/>
      <c r="F239" s="204"/>
      <c r="G239" s="204"/>
      <c r="H239" s="205"/>
      <c r="I239" s="205"/>
      <c r="J239" s="206"/>
      <c r="K239" s="205"/>
      <c r="L239" s="205"/>
      <c r="M239" s="201"/>
      <c r="N239" s="207"/>
      <c r="O239" s="208"/>
      <c r="P239" s="208"/>
      <c r="Q239" s="208"/>
      <c r="R239" s="208"/>
      <c r="S239" s="208"/>
      <c r="T239" s="208"/>
      <c r="U239" s="209"/>
      <c r="V239" s="210"/>
    </row>
    <row r="240" ht="15.75" customHeight="1">
      <c r="A240" s="200"/>
      <c r="B240" s="201"/>
      <c r="C240" s="202"/>
      <c r="D240" s="203"/>
      <c r="E240" s="201"/>
      <c r="F240" s="204"/>
      <c r="G240" s="204"/>
      <c r="H240" s="205"/>
      <c r="I240" s="205"/>
      <c r="J240" s="206"/>
      <c r="K240" s="205"/>
      <c r="L240" s="205"/>
      <c r="M240" s="201"/>
      <c r="N240" s="207"/>
      <c r="O240" s="208"/>
      <c r="P240" s="208"/>
      <c r="Q240" s="208"/>
      <c r="R240" s="208"/>
      <c r="S240" s="208"/>
      <c r="T240" s="208"/>
      <c r="U240" s="209"/>
      <c r="V240" s="210"/>
    </row>
    <row r="241" ht="15.75" customHeight="1">
      <c r="A241" s="200"/>
      <c r="B241" s="201"/>
      <c r="C241" s="202"/>
      <c r="D241" s="203"/>
      <c r="E241" s="201"/>
      <c r="F241" s="204"/>
      <c r="G241" s="204"/>
      <c r="H241" s="205"/>
      <c r="I241" s="205"/>
      <c r="J241" s="206"/>
      <c r="K241" s="205"/>
      <c r="L241" s="205"/>
      <c r="M241" s="201"/>
      <c r="N241" s="207"/>
      <c r="O241" s="208"/>
      <c r="P241" s="208"/>
      <c r="Q241" s="208"/>
      <c r="R241" s="208"/>
      <c r="S241" s="208"/>
      <c r="T241" s="208"/>
      <c r="U241" s="209"/>
      <c r="V241" s="210"/>
    </row>
    <row r="242" ht="15.75" customHeight="1">
      <c r="A242" s="200"/>
      <c r="B242" s="201"/>
      <c r="C242" s="202"/>
      <c r="D242" s="203"/>
      <c r="E242" s="201"/>
      <c r="F242" s="204"/>
      <c r="G242" s="204"/>
      <c r="H242" s="205"/>
      <c r="I242" s="205"/>
      <c r="J242" s="206"/>
      <c r="K242" s="205"/>
      <c r="L242" s="205"/>
      <c r="M242" s="201"/>
      <c r="N242" s="207"/>
      <c r="O242" s="208"/>
      <c r="P242" s="208"/>
      <c r="Q242" s="208"/>
      <c r="R242" s="208"/>
      <c r="S242" s="208"/>
      <c r="T242" s="208"/>
      <c r="U242" s="209"/>
      <c r="V242" s="210"/>
    </row>
    <row r="243" ht="15.75" customHeight="1">
      <c r="A243" s="200"/>
      <c r="B243" s="201"/>
      <c r="C243" s="202"/>
      <c r="D243" s="203"/>
      <c r="E243" s="201"/>
      <c r="F243" s="204"/>
      <c r="G243" s="204"/>
      <c r="H243" s="205"/>
      <c r="I243" s="205"/>
      <c r="J243" s="206"/>
      <c r="K243" s="205"/>
      <c r="L243" s="205"/>
      <c r="M243" s="201"/>
      <c r="N243" s="207"/>
      <c r="O243" s="208"/>
      <c r="P243" s="208"/>
      <c r="Q243" s="208"/>
      <c r="R243" s="208"/>
      <c r="S243" s="208"/>
      <c r="T243" s="208"/>
      <c r="U243" s="209"/>
      <c r="V243" s="210"/>
    </row>
    <row r="244" ht="15.75" customHeight="1">
      <c r="A244" s="200"/>
      <c r="B244" s="201"/>
      <c r="C244" s="202"/>
      <c r="D244" s="203"/>
      <c r="E244" s="201"/>
      <c r="F244" s="204"/>
      <c r="G244" s="204"/>
      <c r="H244" s="205"/>
      <c r="I244" s="205"/>
      <c r="J244" s="206"/>
      <c r="K244" s="205"/>
      <c r="L244" s="205"/>
      <c r="M244" s="201"/>
      <c r="N244" s="207"/>
      <c r="O244" s="208"/>
      <c r="P244" s="208"/>
      <c r="Q244" s="208"/>
      <c r="R244" s="208"/>
      <c r="S244" s="208"/>
      <c r="T244" s="208"/>
      <c r="U244" s="209"/>
      <c r="V244" s="210"/>
    </row>
    <row r="245" ht="15.75" customHeight="1">
      <c r="A245" s="200"/>
      <c r="B245" s="201"/>
      <c r="C245" s="202"/>
      <c r="D245" s="203"/>
      <c r="E245" s="201"/>
      <c r="F245" s="204"/>
      <c r="G245" s="204"/>
      <c r="H245" s="205"/>
      <c r="I245" s="205"/>
      <c r="J245" s="206"/>
      <c r="K245" s="205"/>
      <c r="L245" s="205"/>
      <c r="M245" s="201"/>
      <c r="N245" s="207"/>
      <c r="O245" s="208"/>
      <c r="P245" s="208"/>
      <c r="Q245" s="208"/>
      <c r="R245" s="208"/>
      <c r="S245" s="208"/>
      <c r="T245" s="208"/>
      <c r="U245" s="209"/>
      <c r="V245" s="210"/>
    </row>
    <row r="246" ht="15.75" customHeight="1">
      <c r="A246" s="200"/>
      <c r="B246" s="201"/>
      <c r="C246" s="202"/>
      <c r="D246" s="203"/>
      <c r="E246" s="201"/>
      <c r="F246" s="204"/>
      <c r="G246" s="204"/>
      <c r="H246" s="205"/>
      <c r="I246" s="205"/>
      <c r="J246" s="206"/>
      <c r="K246" s="205"/>
      <c r="L246" s="205"/>
      <c r="M246" s="201"/>
      <c r="N246" s="207"/>
      <c r="O246" s="208"/>
      <c r="P246" s="208"/>
      <c r="Q246" s="208"/>
      <c r="R246" s="208"/>
      <c r="S246" s="208"/>
      <c r="T246" s="208"/>
      <c r="U246" s="209"/>
      <c r="V246" s="210"/>
    </row>
    <row r="247" ht="15.75" customHeight="1">
      <c r="A247" s="200"/>
      <c r="B247" s="201"/>
      <c r="C247" s="202"/>
      <c r="D247" s="203"/>
      <c r="E247" s="201"/>
      <c r="F247" s="204"/>
      <c r="G247" s="204"/>
      <c r="H247" s="205"/>
      <c r="I247" s="205"/>
      <c r="J247" s="206"/>
      <c r="K247" s="205"/>
      <c r="L247" s="205"/>
      <c r="M247" s="201"/>
      <c r="N247" s="207"/>
      <c r="O247" s="208"/>
      <c r="P247" s="208"/>
      <c r="Q247" s="208"/>
      <c r="R247" s="208"/>
      <c r="S247" s="208"/>
      <c r="T247" s="208"/>
      <c r="U247" s="209"/>
      <c r="V247" s="210"/>
    </row>
    <row r="248" ht="15.75" customHeight="1">
      <c r="A248" s="200"/>
      <c r="B248" s="201"/>
      <c r="C248" s="202"/>
      <c r="D248" s="203"/>
      <c r="E248" s="201"/>
      <c r="F248" s="204"/>
      <c r="G248" s="204"/>
      <c r="H248" s="205"/>
      <c r="I248" s="205"/>
      <c r="J248" s="206"/>
      <c r="K248" s="205"/>
      <c r="L248" s="205"/>
      <c r="M248" s="201"/>
      <c r="N248" s="207"/>
      <c r="O248" s="208"/>
      <c r="P248" s="208"/>
      <c r="Q248" s="208"/>
      <c r="R248" s="208"/>
      <c r="S248" s="208"/>
      <c r="T248" s="208"/>
      <c r="U248" s="209"/>
      <c r="V248" s="210"/>
    </row>
    <row r="249" ht="15.75" customHeight="1">
      <c r="A249" s="200"/>
      <c r="B249" s="201"/>
      <c r="C249" s="202"/>
      <c r="D249" s="203"/>
      <c r="E249" s="201"/>
      <c r="F249" s="204"/>
      <c r="G249" s="204"/>
      <c r="H249" s="205"/>
      <c r="I249" s="205"/>
      <c r="J249" s="206"/>
      <c r="K249" s="205"/>
      <c r="L249" s="205"/>
      <c r="M249" s="201"/>
      <c r="N249" s="207"/>
      <c r="O249" s="208"/>
      <c r="P249" s="208"/>
      <c r="Q249" s="208"/>
      <c r="R249" s="208"/>
      <c r="S249" s="208"/>
      <c r="T249" s="208"/>
      <c r="U249" s="209"/>
      <c r="V249" s="210"/>
    </row>
    <row r="250" ht="15.75" customHeight="1">
      <c r="A250" s="200"/>
      <c r="B250" s="201"/>
      <c r="C250" s="202"/>
      <c r="D250" s="203"/>
      <c r="E250" s="201"/>
      <c r="F250" s="204"/>
      <c r="G250" s="204"/>
      <c r="H250" s="205"/>
      <c r="I250" s="205"/>
      <c r="J250" s="206"/>
      <c r="K250" s="205"/>
      <c r="L250" s="205"/>
      <c r="M250" s="201"/>
      <c r="N250" s="207"/>
      <c r="O250" s="208"/>
      <c r="P250" s="208"/>
      <c r="Q250" s="208"/>
      <c r="R250" s="208"/>
      <c r="S250" s="208"/>
      <c r="T250" s="208"/>
      <c r="U250" s="209"/>
      <c r="V250" s="210"/>
    </row>
    <row r="251" ht="15.75" customHeight="1">
      <c r="A251" s="200"/>
      <c r="B251" s="201"/>
      <c r="C251" s="202"/>
      <c r="D251" s="203"/>
      <c r="E251" s="201"/>
      <c r="F251" s="204"/>
      <c r="G251" s="204"/>
      <c r="H251" s="205"/>
      <c r="I251" s="205"/>
      <c r="J251" s="206"/>
      <c r="K251" s="205"/>
      <c r="L251" s="205"/>
      <c r="M251" s="201"/>
      <c r="N251" s="207"/>
      <c r="O251" s="208"/>
      <c r="P251" s="208"/>
      <c r="Q251" s="208"/>
      <c r="R251" s="208"/>
      <c r="S251" s="208"/>
      <c r="T251" s="208"/>
      <c r="U251" s="209"/>
      <c r="V251" s="210"/>
    </row>
    <row r="252" ht="15.75" customHeight="1">
      <c r="A252" s="200"/>
      <c r="B252" s="201"/>
      <c r="C252" s="202"/>
      <c r="D252" s="203"/>
      <c r="E252" s="201"/>
      <c r="F252" s="204"/>
      <c r="G252" s="204"/>
      <c r="H252" s="205"/>
      <c r="I252" s="205"/>
      <c r="J252" s="206"/>
      <c r="K252" s="205"/>
      <c r="L252" s="205"/>
      <c r="M252" s="201"/>
      <c r="N252" s="207"/>
      <c r="O252" s="208"/>
      <c r="P252" s="208"/>
      <c r="Q252" s="208"/>
      <c r="R252" s="208"/>
      <c r="S252" s="208"/>
      <c r="T252" s="208"/>
      <c r="U252" s="209"/>
      <c r="V252" s="210"/>
    </row>
    <row r="253" ht="15.75" customHeight="1">
      <c r="A253" s="200"/>
      <c r="B253" s="201"/>
      <c r="C253" s="202"/>
      <c r="D253" s="203"/>
      <c r="E253" s="201"/>
      <c r="F253" s="204"/>
      <c r="G253" s="204"/>
      <c r="H253" s="205"/>
      <c r="I253" s="205"/>
      <c r="J253" s="206"/>
      <c r="K253" s="205"/>
      <c r="L253" s="205"/>
      <c r="M253" s="201"/>
      <c r="N253" s="207"/>
      <c r="O253" s="208"/>
      <c r="P253" s="208"/>
      <c r="Q253" s="208"/>
      <c r="R253" s="208"/>
      <c r="S253" s="208"/>
      <c r="T253" s="208"/>
      <c r="U253" s="209"/>
      <c r="V253" s="210"/>
    </row>
    <row r="254" ht="15.75" customHeight="1">
      <c r="A254" s="200"/>
      <c r="B254" s="201"/>
      <c r="C254" s="202"/>
      <c r="D254" s="203"/>
      <c r="E254" s="201"/>
      <c r="F254" s="204"/>
      <c r="G254" s="204"/>
      <c r="H254" s="205"/>
      <c r="I254" s="205"/>
      <c r="J254" s="206"/>
      <c r="K254" s="205"/>
      <c r="L254" s="205"/>
      <c r="M254" s="201"/>
      <c r="N254" s="207"/>
      <c r="O254" s="208"/>
      <c r="P254" s="208"/>
      <c r="Q254" s="208"/>
      <c r="R254" s="208"/>
      <c r="S254" s="208"/>
      <c r="T254" s="208"/>
      <c r="U254" s="209"/>
      <c r="V254" s="210"/>
    </row>
    <row r="255" ht="15.75" customHeight="1">
      <c r="A255" s="200"/>
      <c r="B255" s="201"/>
      <c r="C255" s="202"/>
      <c r="D255" s="203"/>
      <c r="E255" s="201"/>
      <c r="F255" s="204"/>
      <c r="G255" s="204"/>
      <c r="H255" s="205"/>
      <c r="I255" s="205"/>
      <c r="J255" s="206"/>
      <c r="K255" s="205"/>
      <c r="L255" s="205"/>
      <c r="M255" s="201"/>
      <c r="N255" s="207"/>
      <c r="O255" s="208"/>
      <c r="P255" s="208"/>
      <c r="Q255" s="208"/>
      <c r="R255" s="208"/>
      <c r="S255" s="208"/>
      <c r="T255" s="208"/>
      <c r="U255" s="209"/>
      <c r="V255" s="210"/>
    </row>
    <row r="256" ht="15.75" customHeight="1">
      <c r="A256" s="200"/>
      <c r="B256" s="201"/>
      <c r="C256" s="202"/>
      <c r="D256" s="203"/>
      <c r="E256" s="201"/>
      <c r="F256" s="204"/>
      <c r="G256" s="204"/>
      <c r="H256" s="205"/>
      <c r="I256" s="205"/>
      <c r="J256" s="206"/>
      <c r="K256" s="205"/>
      <c r="L256" s="205"/>
      <c r="M256" s="201"/>
      <c r="N256" s="207"/>
      <c r="O256" s="208"/>
      <c r="P256" s="208"/>
      <c r="Q256" s="208"/>
      <c r="R256" s="208"/>
      <c r="S256" s="208"/>
      <c r="T256" s="208"/>
      <c r="U256" s="209"/>
      <c r="V256" s="210"/>
    </row>
    <row r="257" ht="15.75" customHeight="1">
      <c r="A257" s="200"/>
      <c r="B257" s="201"/>
      <c r="C257" s="202"/>
      <c r="D257" s="203"/>
      <c r="E257" s="201"/>
      <c r="F257" s="204"/>
      <c r="G257" s="204"/>
      <c r="H257" s="205"/>
      <c r="I257" s="205"/>
      <c r="J257" s="206"/>
      <c r="K257" s="205"/>
      <c r="L257" s="205"/>
      <c r="M257" s="201"/>
      <c r="N257" s="207"/>
      <c r="O257" s="208"/>
      <c r="P257" s="208"/>
      <c r="Q257" s="208"/>
      <c r="R257" s="208"/>
      <c r="S257" s="208"/>
      <c r="T257" s="208"/>
      <c r="U257" s="209"/>
      <c r="V257" s="210"/>
    </row>
    <row r="258" ht="15.75" customHeight="1">
      <c r="A258" s="200"/>
      <c r="B258" s="201"/>
      <c r="C258" s="202"/>
      <c r="D258" s="203"/>
      <c r="E258" s="201"/>
      <c r="F258" s="204"/>
      <c r="G258" s="204"/>
      <c r="H258" s="205"/>
      <c r="I258" s="205"/>
      <c r="J258" s="206"/>
      <c r="K258" s="205"/>
      <c r="L258" s="205"/>
      <c r="M258" s="201"/>
      <c r="N258" s="207"/>
      <c r="O258" s="208"/>
      <c r="P258" s="208"/>
      <c r="Q258" s="208"/>
      <c r="R258" s="208"/>
      <c r="S258" s="208"/>
      <c r="T258" s="208"/>
      <c r="U258" s="209"/>
      <c r="V258" s="210"/>
    </row>
    <row r="259" ht="15.75" customHeight="1">
      <c r="A259" s="200"/>
      <c r="B259" s="201"/>
      <c r="C259" s="202"/>
      <c r="D259" s="203"/>
      <c r="E259" s="201"/>
      <c r="F259" s="204"/>
      <c r="G259" s="204"/>
      <c r="H259" s="205"/>
      <c r="I259" s="205"/>
      <c r="J259" s="206"/>
      <c r="K259" s="205"/>
      <c r="L259" s="205"/>
      <c r="M259" s="201"/>
      <c r="N259" s="207"/>
      <c r="O259" s="208"/>
      <c r="P259" s="208"/>
      <c r="Q259" s="208"/>
      <c r="R259" s="208"/>
      <c r="S259" s="208"/>
      <c r="T259" s="208"/>
      <c r="U259" s="209"/>
      <c r="V259" s="210"/>
    </row>
    <row r="260" ht="15.75" customHeight="1">
      <c r="A260" s="200"/>
      <c r="B260" s="201"/>
      <c r="C260" s="202"/>
      <c r="D260" s="203"/>
      <c r="E260" s="201"/>
      <c r="F260" s="204"/>
      <c r="G260" s="204"/>
      <c r="H260" s="205"/>
      <c r="I260" s="205"/>
      <c r="J260" s="206"/>
      <c r="K260" s="205"/>
      <c r="L260" s="205"/>
      <c r="M260" s="201"/>
      <c r="N260" s="207"/>
      <c r="O260" s="208"/>
      <c r="P260" s="208"/>
      <c r="Q260" s="208"/>
      <c r="R260" s="208"/>
      <c r="S260" s="208"/>
      <c r="T260" s="208"/>
      <c r="U260" s="209"/>
      <c r="V260" s="210"/>
    </row>
    <row r="261" ht="15.75" customHeight="1">
      <c r="A261" s="200"/>
      <c r="B261" s="201"/>
      <c r="C261" s="202"/>
      <c r="D261" s="203"/>
      <c r="E261" s="201"/>
      <c r="F261" s="204"/>
      <c r="G261" s="204"/>
      <c r="H261" s="205"/>
      <c r="I261" s="205"/>
      <c r="J261" s="206"/>
      <c r="K261" s="205"/>
      <c r="L261" s="205"/>
      <c r="M261" s="201"/>
      <c r="N261" s="207"/>
      <c r="O261" s="208"/>
      <c r="P261" s="208"/>
      <c r="Q261" s="208"/>
      <c r="R261" s="208"/>
      <c r="S261" s="208"/>
      <c r="T261" s="208"/>
      <c r="U261" s="209"/>
      <c r="V261" s="210"/>
    </row>
    <row r="262" ht="15.75" customHeight="1">
      <c r="A262" s="200"/>
      <c r="B262" s="201"/>
      <c r="C262" s="202"/>
      <c r="D262" s="203"/>
      <c r="E262" s="201"/>
      <c r="F262" s="204"/>
      <c r="G262" s="204"/>
      <c r="H262" s="205"/>
      <c r="I262" s="205"/>
      <c r="J262" s="206"/>
      <c r="K262" s="205"/>
      <c r="L262" s="205"/>
      <c r="M262" s="201"/>
      <c r="N262" s="207"/>
      <c r="O262" s="208"/>
      <c r="P262" s="208"/>
      <c r="Q262" s="208"/>
      <c r="R262" s="208"/>
      <c r="S262" s="208"/>
      <c r="T262" s="208"/>
      <c r="U262" s="209"/>
      <c r="V262" s="210"/>
    </row>
    <row r="263" ht="15.75" customHeight="1">
      <c r="A263" s="200"/>
      <c r="B263" s="201"/>
      <c r="C263" s="202"/>
      <c r="D263" s="203"/>
      <c r="E263" s="201"/>
      <c r="F263" s="204"/>
      <c r="G263" s="204"/>
      <c r="H263" s="205"/>
      <c r="I263" s="205"/>
      <c r="J263" s="206"/>
      <c r="K263" s="205"/>
      <c r="L263" s="205"/>
      <c r="M263" s="201"/>
      <c r="N263" s="207"/>
      <c r="O263" s="208"/>
      <c r="P263" s="208"/>
      <c r="Q263" s="208"/>
      <c r="R263" s="208"/>
      <c r="S263" s="208"/>
      <c r="T263" s="208"/>
      <c r="U263" s="209"/>
      <c r="V263" s="210"/>
    </row>
    <row r="264" ht="15.75" customHeight="1">
      <c r="A264" s="200"/>
      <c r="B264" s="201"/>
      <c r="C264" s="202"/>
      <c r="D264" s="203"/>
      <c r="E264" s="201"/>
      <c r="F264" s="204"/>
      <c r="G264" s="204"/>
      <c r="H264" s="205"/>
      <c r="I264" s="205"/>
      <c r="J264" s="206"/>
      <c r="K264" s="205"/>
      <c r="L264" s="205"/>
      <c r="M264" s="201"/>
      <c r="N264" s="207"/>
      <c r="O264" s="208"/>
      <c r="P264" s="208"/>
      <c r="Q264" s="208"/>
      <c r="R264" s="208"/>
      <c r="S264" s="208"/>
      <c r="T264" s="208"/>
      <c r="U264" s="209"/>
      <c r="V264" s="210"/>
    </row>
    <row r="265" ht="15.75" customHeight="1">
      <c r="A265" s="200"/>
      <c r="B265" s="201"/>
      <c r="C265" s="202"/>
      <c r="D265" s="203"/>
      <c r="E265" s="201"/>
      <c r="F265" s="204"/>
      <c r="G265" s="204"/>
      <c r="H265" s="205"/>
      <c r="I265" s="205"/>
      <c r="J265" s="206"/>
      <c r="K265" s="205"/>
      <c r="L265" s="205"/>
      <c r="M265" s="201"/>
      <c r="N265" s="207"/>
      <c r="O265" s="208"/>
      <c r="P265" s="208"/>
      <c r="Q265" s="208"/>
      <c r="R265" s="208"/>
      <c r="S265" s="208"/>
      <c r="T265" s="208"/>
      <c r="U265" s="209"/>
      <c r="V265" s="210"/>
    </row>
    <row r="266" ht="15.75" customHeight="1">
      <c r="A266" s="200"/>
      <c r="B266" s="201"/>
      <c r="C266" s="202"/>
      <c r="D266" s="203"/>
      <c r="E266" s="201"/>
      <c r="F266" s="204"/>
      <c r="G266" s="204"/>
      <c r="H266" s="205"/>
      <c r="I266" s="205"/>
      <c r="J266" s="206"/>
      <c r="K266" s="205"/>
      <c r="L266" s="205"/>
      <c r="M266" s="201"/>
      <c r="N266" s="207"/>
      <c r="O266" s="208"/>
      <c r="P266" s="208"/>
      <c r="Q266" s="208"/>
      <c r="R266" s="208"/>
      <c r="S266" s="208"/>
      <c r="T266" s="208"/>
      <c r="U266" s="209"/>
      <c r="V266" s="210"/>
    </row>
    <row r="267" ht="15.75" customHeight="1">
      <c r="A267" s="200"/>
      <c r="B267" s="201"/>
      <c r="C267" s="202"/>
      <c r="D267" s="203"/>
      <c r="E267" s="201"/>
      <c r="F267" s="204"/>
      <c r="G267" s="204"/>
      <c r="H267" s="205"/>
      <c r="I267" s="205"/>
      <c r="J267" s="206"/>
      <c r="K267" s="205"/>
      <c r="L267" s="205"/>
      <c r="M267" s="201"/>
      <c r="N267" s="207"/>
      <c r="O267" s="208"/>
      <c r="P267" s="208"/>
      <c r="Q267" s="208"/>
      <c r="R267" s="208"/>
      <c r="S267" s="208"/>
      <c r="T267" s="208"/>
      <c r="U267" s="209"/>
      <c r="V267" s="210"/>
    </row>
    <row r="268" ht="15.75" customHeight="1">
      <c r="A268" s="200"/>
      <c r="B268" s="201"/>
      <c r="C268" s="202"/>
      <c r="D268" s="203"/>
      <c r="E268" s="201"/>
      <c r="F268" s="204"/>
      <c r="G268" s="204"/>
      <c r="H268" s="205"/>
      <c r="I268" s="205"/>
      <c r="J268" s="206"/>
      <c r="K268" s="205"/>
      <c r="L268" s="205"/>
      <c r="M268" s="201"/>
      <c r="N268" s="207"/>
      <c r="O268" s="208"/>
      <c r="P268" s="208"/>
      <c r="Q268" s="208"/>
      <c r="R268" s="208"/>
      <c r="S268" s="208"/>
      <c r="T268" s="208"/>
      <c r="U268" s="209"/>
      <c r="V268" s="210"/>
    </row>
    <row r="269" ht="15.75" customHeight="1">
      <c r="A269" s="200"/>
      <c r="B269" s="201"/>
      <c r="C269" s="202"/>
      <c r="D269" s="203"/>
      <c r="E269" s="201"/>
      <c r="F269" s="204"/>
      <c r="G269" s="204"/>
      <c r="H269" s="205"/>
      <c r="I269" s="205"/>
      <c r="J269" s="206"/>
      <c r="K269" s="205"/>
      <c r="L269" s="205"/>
      <c r="M269" s="201"/>
      <c r="N269" s="207"/>
      <c r="O269" s="208"/>
      <c r="P269" s="208"/>
      <c r="Q269" s="208"/>
      <c r="R269" s="208"/>
      <c r="S269" s="208"/>
      <c r="T269" s="208"/>
      <c r="U269" s="209"/>
      <c r="V269" s="210"/>
    </row>
    <row r="270" ht="15.75" customHeight="1">
      <c r="A270" s="200"/>
      <c r="B270" s="201"/>
      <c r="C270" s="202"/>
      <c r="D270" s="203"/>
      <c r="E270" s="201"/>
      <c r="F270" s="204"/>
      <c r="G270" s="204"/>
      <c r="H270" s="205"/>
      <c r="I270" s="205"/>
      <c r="J270" s="206"/>
      <c r="K270" s="205"/>
      <c r="L270" s="205"/>
      <c r="M270" s="201"/>
      <c r="N270" s="207"/>
      <c r="O270" s="208"/>
      <c r="P270" s="208"/>
      <c r="Q270" s="208"/>
      <c r="R270" s="208"/>
      <c r="S270" s="208"/>
      <c r="T270" s="208"/>
      <c r="U270" s="209"/>
      <c r="V270" s="210"/>
    </row>
    <row r="271" ht="15.75" customHeight="1">
      <c r="A271" s="200"/>
      <c r="B271" s="201"/>
      <c r="C271" s="202"/>
      <c r="D271" s="203"/>
      <c r="E271" s="201"/>
      <c r="F271" s="204"/>
      <c r="G271" s="204"/>
      <c r="H271" s="205"/>
      <c r="I271" s="205"/>
      <c r="J271" s="206"/>
      <c r="K271" s="205"/>
      <c r="L271" s="205"/>
      <c r="M271" s="201"/>
      <c r="N271" s="207"/>
      <c r="O271" s="208"/>
      <c r="P271" s="208"/>
      <c r="Q271" s="208"/>
      <c r="R271" s="208"/>
      <c r="S271" s="208"/>
      <c r="T271" s="208"/>
      <c r="U271" s="209"/>
      <c r="V271" s="210"/>
    </row>
    <row r="272" ht="15.75" customHeight="1">
      <c r="A272" s="200"/>
      <c r="B272" s="201"/>
      <c r="C272" s="202"/>
      <c r="D272" s="203"/>
      <c r="E272" s="201"/>
      <c r="F272" s="204"/>
      <c r="G272" s="204"/>
      <c r="H272" s="205"/>
      <c r="I272" s="205"/>
      <c r="J272" s="206"/>
      <c r="K272" s="205"/>
      <c r="L272" s="205"/>
      <c r="M272" s="201"/>
      <c r="N272" s="207"/>
      <c r="O272" s="208"/>
      <c r="P272" s="208"/>
      <c r="Q272" s="208"/>
      <c r="R272" s="208"/>
      <c r="S272" s="208"/>
      <c r="T272" s="208"/>
      <c r="U272" s="209"/>
      <c r="V272" s="210"/>
    </row>
    <row r="273" ht="15.75" customHeight="1">
      <c r="A273" s="200"/>
      <c r="B273" s="201"/>
      <c r="C273" s="202"/>
      <c r="D273" s="203"/>
      <c r="E273" s="201"/>
      <c r="F273" s="204"/>
      <c r="G273" s="204"/>
      <c r="H273" s="205"/>
      <c r="I273" s="205"/>
      <c r="J273" s="206"/>
      <c r="K273" s="205"/>
      <c r="L273" s="205"/>
      <c r="M273" s="201"/>
      <c r="N273" s="207"/>
      <c r="O273" s="208"/>
      <c r="P273" s="208"/>
      <c r="Q273" s="208"/>
      <c r="R273" s="208"/>
      <c r="S273" s="208"/>
      <c r="T273" s="208"/>
      <c r="U273" s="209"/>
      <c r="V273" s="210"/>
    </row>
    <row r="274" ht="15.75" customHeight="1">
      <c r="A274" s="200"/>
      <c r="B274" s="201"/>
      <c r="C274" s="202"/>
      <c r="D274" s="203"/>
      <c r="E274" s="201"/>
      <c r="F274" s="204"/>
      <c r="G274" s="204"/>
      <c r="H274" s="205"/>
      <c r="I274" s="205"/>
      <c r="J274" s="206"/>
      <c r="K274" s="205"/>
      <c r="L274" s="205"/>
      <c r="M274" s="201"/>
      <c r="N274" s="207"/>
      <c r="O274" s="208"/>
      <c r="P274" s="208"/>
      <c r="Q274" s="208"/>
      <c r="R274" s="208"/>
      <c r="S274" s="208"/>
      <c r="T274" s="208"/>
      <c r="U274" s="209"/>
      <c r="V274" s="210"/>
    </row>
    <row r="275" ht="15.75" customHeight="1">
      <c r="A275" s="200"/>
      <c r="B275" s="201"/>
      <c r="C275" s="202"/>
      <c r="D275" s="203"/>
      <c r="E275" s="201"/>
      <c r="F275" s="204"/>
      <c r="G275" s="204"/>
      <c r="H275" s="205"/>
      <c r="I275" s="205"/>
      <c r="J275" s="206"/>
      <c r="K275" s="205"/>
      <c r="L275" s="205"/>
      <c r="M275" s="201"/>
      <c r="N275" s="207"/>
      <c r="O275" s="208"/>
      <c r="P275" s="208"/>
      <c r="Q275" s="208"/>
      <c r="R275" s="208"/>
      <c r="S275" s="208"/>
      <c r="T275" s="208"/>
      <c r="U275" s="209"/>
      <c r="V275" s="210"/>
    </row>
    <row r="276" ht="15.75" customHeight="1">
      <c r="A276" s="200"/>
      <c r="B276" s="201"/>
      <c r="C276" s="202"/>
      <c r="D276" s="203"/>
      <c r="E276" s="201"/>
      <c r="F276" s="204"/>
      <c r="G276" s="204"/>
      <c r="H276" s="205"/>
      <c r="I276" s="205"/>
      <c r="J276" s="206"/>
      <c r="K276" s="205"/>
      <c r="L276" s="205"/>
      <c r="M276" s="201"/>
      <c r="N276" s="207"/>
      <c r="O276" s="208"/>
      <c r="P276" s="208"/>
      <c r="Q276" s="208"/>
      <c r="R276" s="208"/>
      <c r="S276" s="208"/>
      <c r="T276" s="208"/>
      <c r="U276" s="209"/>
      <c r="V276" s="210"/>
    </row>
    <row r="277" ht="15.75" customHeight="1">
      <c r="A277" s="200"/>
      <c r="B277" s="201"/>
      <c r="C277" s="202"/>
      <c r="D277" s="203"/>
      <c r="E277" s="201"/>
      <c r="F277" s="204"/>
      <c r="G277" s="204"/>
      <c r="H277" s="205"/>
      <c r="I277" s="205"/>
      <c r="J277" s="206"/>
      <c r="K277" s="205"/>
      <c r="L277" s="205"/>
      <c r="M277" s="201"/>
      <c r="N277" s="207"/>
      <c r="O277" s="208"/>
      <c r="P277" s="208"/>
      <c r="Q277" s="208"/>
      <c r="R277" s="208"/>
      <c r="S277" s="208"/>
      <c r="T277" s="208"/>
      <c r="U277" s="209"/>
      <c r="V277" s="210"/>
    </row>
    <row r="278" ht="15.75" customHeight="1">
      <c r="A278" s="200"/>
      <c r="B278" s="201"/>
      <c r="C278" s="202"/>
      <c r="D278" s="203"/>
      <c r="E278" s="201"/>
      <c r="F278" s="204"/>
      <c r="G278" s="204"/>
      <c r="H278" s="205"/>
      <c r="I278" s="205"/>
      <c r="J278" s="206"/>
      <c r="K278" s="205"/>
      <c r="L278" s="205"/>
      <c r="M278" s="201"/>
      <c r="N278" s="207"/>
      <c r="O278" s="208"/>
      <c r="P278" s="208"/>
      <c r="Q278" s="208"/>
      <c r="R278" s="208"/>
      <c r="S278" s="208"/>
      <c r="T278" s="208"/>
      <c r="U278" s="209"/>
      <c r="V278" s="210"/>
    </row>
    <row r="279" ht="15.75" customHeight="1">
      <c r="A279" s="200"/>
      <c r="B279" s="201"/>
      <c r="C279" s="202"/>
      <c r="D279" s="203"/>
      <c r="E279" s="201"/>
      <c r="F279" s="204"/>
      <c r="G279" s="204"/>
      <c r="H279" s="205"/>
      <c r="I279" s="205"/>
      <c r="J279" s="206"/>
      <c r="K279" s="205"/>
      <c r="L279" s="205"/>
      <c r="M279" s="201"/>
      <c r="N279" s="207"/>
      <c r="O279" s="208"/>
      <c r="P279" s="208"/>
      <c r="Q279" s="208"/>
      <c r="R279" s="208"/>
      <c r="S279" s="208"/>
      <c r="T279" s="208"/>
      <c r="U279" s="209"/>
      <c r="V279" s="210"/>
    </row>
    <row r="280" ht="15.75" customHeight="1">
      <c r="A280" s="200"/>
      <c r="B280" s="201"/>
      <c r="C280" s="202"/>
      <c r="D280" s="203"/>
      <c r="E280" s="201"/>
      <c r="F280" s="204"/>
      <c r="G280" s="204"/>
      <c r="H280" s="205"/>
      <c r="I280" s="205"/>
      <c r="J280" s="206"/>
      <c r="K280" s="205"/>
      <c r="L280" s="205"/>
      <c r="M280" s="201"/>
      <c r="N280" s="207"/>
      <c r="O280" s="208"/>
      <c r="P280" s="208"/>
      <c r="Q280" s="208"/>
      <c r="R280" s="208"/>
      <c r="S280" s="208"/>
      <c r="T280" s="208"/>
      <c r="U280" s="209"/>
      <c r="V280" s="210"/>
    </row>
    <row r="281" ht="15.75" customHeight="1">
      <c r="A281" s="200"/>
      <c r="B281" s="201"/>
      <c r="C281" s="202"/>
      <c r="D281" s="203"/>
      <c r="E281" s="201"/>
      <c r="F281" s="204"/>
      <c r="G281" s="204"/>
      <c r="H281" s="205"/>
      <c r="I281" s="205"/>
      <c r="J281" s="206"/>
      <c r="K281" s="205"/>
      <c r="L281" s="205"/>
      <c r="M281" s="201"/>
      <c r="N281" s="207"/>
      <c r="O281" s="208"/>
      <c r="P281" s="208"/>
      <c r="Q281" s="208"/>
      <c r="R281" s="208"/>
      <c r="S281" s="208"/>
      <c r="T281" s="208"/>
      <c r="U281" s="209"/>
      <c r="V281" s="210"/>
    </row>
    <row r="282" ht="15.75" customHeight="1">
      <c r="A282" s="200"/>
      <c r="B282" s="201"/>
      <c r="C282" s="202"/>
      <c r="D282" s="203"/>
      <c r="E282" s="201"/>
      <c r="F282" s="204"/>
      <c r="G282" s="204"/>
      <c r="H282" s="205"/>
      <c r="I282" s="205"/>
      <c r="J282" s="206"/>
      <c r="K282" s="205"/>
      <c r="L282" s="205"/>
      <c r="M282" s="201"/>
      <c r="N282" s="207"/>
      <c r="O282" s="208"/>
      <c r="P282" s="208"/>
      <c r="Q282" s="208"/>
      <c r="R282" s="208"/>
      <c r="S282" s="208"/>
      <c r="T282" s="208"/>
      <c r="U282" s="209"/>
      <c r="V282" s="210"/>
    </row>
    <row r="283" ht="15.75" customHeight="1">
      <c r="A283" s="200"/>
      <c r="B283" s="201"/>
      <c r="C283" s="202"/>
      <c r="D283" s="203"/>
      <c r="E283" s="201"/>
      <c r="F283" s="204"/>
      <c r="G283" s="204"/>
      <c r="H283" s="205"/>
      <c r="I283" s="205"/>
      <c r="J283" s="206"/>
      <c r="K283" s="205"/>
      <c r="L283" s="205"/>
      <c r="M283" s="201"/>
      <c r="N283" s="207"/>
      <c r="O283" s="208"/>
      <c r="P283" s="208"/>
      <c r="Q283" s="208"/>
      <c r="R283" s="208"/>
      <c r="S283" s="208"/>
      <c r="T283" s="208"/>
      <c r="U283" s="209"/>
      <c r="V283" s="210"/>
    </row>
    <row r="284" ht="15.75" customHeight="1">
      <c r="A284" s="200"/>
      <c r="B284" s="201"/>
      <c r="C284" s="202"/>
      <c r="D284" s="203"/>
      <c r="E284" s="201"/>
      <c r="F284" s="204"/>
      <c r="G284" s="204"/>
      <c r="H284" s="205"/>
      <c r="I284" s="205"/>
      <c r="J284" s="206"/>
      <c r="K284" s="205"/>
      <c r="L284" s="205"/>
      <c r="M284" s="201"/>
      <c r="N284" s="207"/>
      <c r="O284" s="208"/>
      <c r="P284" s="208"/>
      <c r="Q284" s="208"/>
      <c r="R284" s="208"/>
      <c r="S284" s="208"/>
      <c r="T284" s="208"/>
      <c r="U284" s="209"/>
      <c r="V284" s="210"/>
    </row>
    <row r="285" ht="15.75" customHeight="1">
      <c r="A285" s="200"/>
      <c r="B285" s="201"/>
      <c r="C285" s="202"/>
      <c r="D285" s="203"/>
      <c r="E285" s="201"/>
      <c r="F285" s="204"/>
      <c r="G285" s="204"/>
      <c r="H285" s="205"/>
      <c r="I285" s="205"/>
      <c r="J285" s="206"/>
      <c r="K285" s="205"/>
      <c r="L285" s="205"/>
      <c r="M285" s="201"/>
      <c r="N285" s="207"/>
      <c r="O285" s="208"/>
      <c r="P285" s="208"/>
      <c r="Q285" s="208"/>
      <c r="R285" s="208"/>
      <c r="S285" s="208"/>
      <c r="T285" s="208"/>
      <c r="U285" s="209"/>
      <c r="V285" s="210"/>
    </row>
    <row r="286" ht="15.75" customHeight="1">
      <c r="A286" s="200"/>
      <c r="B286" s="201"/>
      <c r="C286" s="202"/>
      <c r="D286" s="203"/>
      <c r="E286" s="201"/>
      <c r="F286" s="204"/>
      <c r="G286" s="204"/>
      <c r="H286" s="205"/>
      <c r="I286" s="205"/>
      <c r="J286" s="206"/>
      <c r="K286" s="205"/>
      <c r="L286" s="205"/>
      <c r="M286" s="201"/>
      <c r="N286" s="207"/>
      <c r="O286" s="208"/>
      <c r="P286" s="208"/>
      <c r="Q286" s="208"/>
      <c r="R286" s="208"/>
      <c r="S286" s="208"/>
      <c r="T286" s="208"/>
      <c r="U286" s="209"/>
      <c r="V286" s="210"/>
    </row>
    <row r="287" ht="15.75" customHeight="1">
      <c r="A287" s="200"/>
      <c r="B287" s="201"/>
      <c r="C287" s="202"/>
      <c r="D287" s="203"/>
      <c r="E287" s="201"/>
      <c r="F287" s="204"/>
      <c r="G287" s="204"/>
      <c r="H287" s="205"/>
      <c r="I287" s="205"/>
      <c r="J287" s="206"/>
      <c r="K287" s="205"/>
      <c r="L287" s="205"/>
      <c r="M287" s="201"/>
      <c r="N287" s="207"/>
      <c r="O287" s="208"/>
      <c r="P287" s="208"/>
      <c r="Q287" s="208"/>
      <c r="R287" s="208"/>
      <c r="S287" s="208"/>
      <c r="T287" s="208"/>
      <c r="U287" s="209"/>
      <c r="V287" s="210"/>
    </row>
    <row r="288" ht="15.75" customHeight="1">
      <c r="A288" s="200"/>
      <c r="B288" s="201"/>
      <c r="C288" s="202"/>
      <c r="D288" s="203"/>
      <c r="E288" s="201"/>
      <c r="F288" s="204"/>
      <c r="G288" s="204"/>
      <c r="H288" s="205"/>
      <c r="I288" s="205"/>
      <c r="J288" s="206"/>
      <c r="K288" s="205"/>
      <c r="L288" s="205"/>
      <c r="M288" s="201"/>
      <c r="N288" s="207"/>
      <c r="O288" s="208"/>
      <c r="P288" s="208"/>
      <c r="Q288" s="208"/>
      <c r="R288" s="208"/>
      <c r="S288" s="208"/>
      <c r="T288" s="208"/>
      <c r="U288" s="209"/>
      <c r="V288" s="210"/>
    </row>
    <row r="289" ht="15.75" customHeight="1">
      <c r="A289" s="200"/>
      <c r="B289" s="201"/>
      <c r="C289" s="202"/>
      <c r="D289" s="203"/>
      <c r="E289" s="201"/>
      <c r="F289" s="204"/>
      <c r="G289" s="204"/>
      <c r="H289" s="205"/>
      <c r="I289" s="205"/>
      <c r="J289" s="206"/>
      <c r="K289" s="205"/>
      <c r="L289" s="205"/>
      <c r="M289" s="201"/>
      <c r="N289" s="207"/>
      <c r="O289" s="208"/>
      <c r="P289" s="208"/>
      <c r="Q289" s="208"/>
      <c r="R289" s="208"/>
      <c r="S289" s="208"/>
      <c r="T289" s="208"/>
      <c r="U289" s="209"/>
      <c r="V289" s="210"/>
    </row>
    <row r="290" ht="15.75" customHeight="1">
      <c r="A290" s="200"/>
      <c r="B290" s="201"/>
      <c r="C290" s="202"/>
      <c r="D290" s="203"/>
      <c r="E290" s="201"/>
      <c r="F290" s="204"/>
      <c r="G290" s="204"/>
      <c r="H290" s="205"/>
      <c r="I290" s="205"/>
      <c r="J290" s="206"/>
      <c r="K290" s="205"/>
      <c r="L290" s="205"/>
      <c r="M290" s="201"/>
      <c r="N290" s="207"/>
      <c r="O290" s="208"/>
      <c r="P290" s="208"/>
      <c r="Q290" s="208"/>
      <c r="R290" s="208"/>
      <c r="S290" s="208"/>
      <c r="T290" s="208"/>
      <c r="U290" s="209"/>
      <c r="V290" s="210"/>
    </row>
    <row r="291" ht="15.75" customHeight="1">
      <c r="A291" s="200"/>
      <c r="B291" s="201"/>
      <c r="C291" s="202"/>
      <c r="D291" s="203"/>
      <c r="E291" s="201"/>
      <c r="F291" s="204"/>
      <c r="G291" s="204"/>
      <c r="H291" s="205"/>
      <c r="I291" s="205"/>
      <c r="J291" s="206"/>
      <c r="K291" s="205"/>
      <c r="L291" s="205"/>
      <c r="M291" s="201"/>
      <c r="N291" s="207"/>
      <c r="O291" s="208"/>
      <c r="P291" s="208"/>
      <c r="Q291" s="208"/>
      <c r="R291" s="208"/>
      <c r="S291" s="208"/>
      <c r="T291" s="208"/>
      <c r="U291" s="209"/>
      <c r="V291" s="210"/>
    </row>
    <row r="292" ht="15.75" customHeight="1">
      <c r="A292" s="200"/>
      <c r="B292" s="201"/>
      <c r="C292" s="202"/>
      <c r="D292" s="203"/>
      <c r="E292" s="201"/>
      <c r="F292" s="204"/>
      <c r="G292" s="204"/>
      <c r="H292" s="205"/>
      <c r="I292" s="205"/>
      <c r="J292" s="206"/>
      <c r="K292" s="205"/>
      <c r="L292" s="205"/>
      <c r="M292" s="201"/>
      <c r="N292" s="207"/>
      <c r="O292" s="208"/>
      <c r="P292" s="208"/>
      <c r="Q292" s="208"/>
      <c r="R292" s="208"/>
      <c r="S292" s="208"/>
      <c r="T292" s="208"/>
      <c r="U292" s="209"/>
      <c r="V292" s="210"/>
    </row>
    <row r="293" ht="15.75" customHeight="1">
      <c r="A293" s="200"/>
      <c r="B293" s="201"/>
      <c r="C293" s="202"/>
      <c r="D293" s="203"/>
      <c r="E293" s="201"/>
      <c r="F293" s="204"/>
      <c r="G293" s="204"/>
      <c r="H293" s="205"/>
      <c r="I293" s="205"/>
      <c r="J293" s="206"/>
      <c r="K293" s="205"/>
      <c r="L293" s="205"/>
      <c r="M293" s="201"/>
      <c r="N293" s="207"/>
      <c r="O293" s="208"/>
      <c r="P293" s="208"/>
      <c r="Q293" s="208"/>
      <c r="R293" s="208"/>
      <c r="S293" s="208"/>
      <c r="T293" s="208"/>
      <c r="U293" s="209"/>
      <c r="V293" s="210"/>
    </row>
    <row r="294" ht="15.75" customHeight="1">
      <c r="A294" s="200"/>
      <c r="B294" s="201"/>
      <c r="C294" s="202"/>
      <c r="D294" s="203"/>
      <c r="E294" s="201"/>
      <c r="F294" s="204"/>
      <c r="G294" s="204"/>
      <c r="H294" s="205"/>
      <c r="I294" s="205"/>
      <c r="J294" s="206"/>
      <c r="K294" s="205"/>
      <c r="L294" s="205"/>
      <c r="M294" s="201"/>
      <c r="N294" s="207"/>
      <c r="O294" s="208"/>
      <c r="P294" s="208"/>
      <c r="Q294" s="208"/>
      <c r="R294" s="208"/>
      <c r="S294" s="208"/>
      <c r="T294" s="208"/>
      <c r="U294" s="209"/>
      <c r="V294" s="210"/>
    </row>
    <row r="295" ht="15.75" customHeight="1">
      <c r="A295" s="200"/>
      <c r="B295" s="201"/>
      <c r="C295" s="202"/>
      <c r="D295" s="203"/>
      <c r="E295" s="201"/>
      <c r="F295" s="204"/>
      <c r="G295" s="204"/>
      <c r="H295" s="205"/>
      <c r="I295" s="205"/>
      <c r="J295" s="206"/>
      <c r="K295" s="205"/>
      <c r="L295" s="205"/>
      <c r="M295" s="201"/>
      <c r="N295" s="207"/>
      <c r="O295" s="208"/>
      <c r="P295" s="208"/>
      <c r="Q295" s="208"/>
      <c r="R295" s="208"/>
      <c r="S295" s="208"/>
      <c r="T295" s="208"/>
      <c r="U295" s="209"/>
      <c r="V295" s="210"/>
    </row>
    <row r="296" ht="15.75" customHeight="1">
      <c r="A296" s="200"/>
      <c r="B296" s="201"/>
      <c r="C296" s="202"/>
      <c r="D296" s="203"/>
      <c r="E296" s="201"/>
      <c r="F296" s="204"/>
      <c r="G296" s="204"/>
      <c r="H296" s="205"/>
      <c r="I296" s="205"/>
      <c r="J296" s="206"/>
      <c r="K296" s="205"/>
      <c r="L296" s="205"/>
      <c r="M296" s="201"/>
      <c r="N296" s="207"/>
      <c r="O296" s="208"/>
      <c r="P296" s="208"/>
      <c r="Q296" s="208"/>
      <c r="R296" s="208"/>
      <c r="S296" s="208"/>
      <c r="T296" s="208"/>
      <c r="U296" s="209"/>
      <c r="V296" s="210"/>
    </row>
    <row r="297" ht="15.75" customHeight="1">
      <c r="A297" s="200"/>
      <c r="B297" s="201"/>
      <c r="C297" s="202"/>
      <c r="D297" s="203"/>
      <c r="E297" s="201"/>
      <c r="F297" s="204"/>
      <c r="G297" s="204"/>
      <c r="H297" s="205"/>
      <c r="I297" s="205"/>
      <c r="J297" s="206"/>
      <c r="K297" s="205"/>
      <c r="L297" s="205"/>
      <c r="M297" s="201"/>
      <c r="N297" s="207"/>
      <c r="O297" s="208"/>
      <c r="P297" s="208"/>
      <c r="Q297" s="208"/>
      <c r="R297" s="208"/>
      <c r="S297" s="208"/>
      <c r="T297" s="208"/>
      <c r="U297" s="209"/>
      <c r="V297" s="210"/>
    </row>
    <row r="298" ht="15.75" customHeight="1">
      <c r="A298" s="200"/>
      <c r="B298" s="201"/>
      <c r="C298" s="202"/>
      <c r="D298" s="203"/>
      <c r="E298" s="201"/>
      <c r="F298" s="204"/>
      <c r="G298" s="204"/>
      <c r="H298" s="205"/>
      <c r="I298" s="205"/>
      <c r="J298" s="206"/>
      <c r="K298" s="205"/>
      <c r="L298" s="205"/>
      <c r="M298" s="201"/>
      <c r="N298" s="207"/>
      <c r="O298" s="208"/>
      <c r="P298" s="208"/>
      <c r="Q298" s="208"/>
      <c r="R298" s="208"/>
      <c r="S298" s="208"/>
      <c r="T298" s="208"/>
      <c r="U298" s="209"/>
      <c r="V298" s="210"/>
    </row>
    <row r="299" ht="15.75" customHeight="1">
      <c r="A299" s="200"/>
      <c r="B299" s="201"/>
      <c r="C299" s="202"/>
      <c r="D299" s="203"/>
      <c r="E299" s="201"/>
      <c r="F299" s="204"/>
      <c r="G299" s="204"/>
      <c r="H299" s="205"/>
      <c r="I299" s="205"/>
      <c r="J299" s="206"/>
      <c r="K299" s="205"/>
      <c r="L299" s="205"/>
      <c r="M299" s="201"/>
      <c r="N299" s="207"/>
      <c r="O299" s="208"/>
      <c r="P299" s="208"/>
      <c r="Q299" s="208"/>
      <c r="R299" s="208"/>
      <c r="S299" s="208"/>
      <c r="T299" s="208"/>
      <c r="U299" s="209"/>
      <c r="V299" s="210"/>
    </row>
    <row r="300" ht="15.75" customHeight="1">
      <c r="A300" s="200"/>
      <c r="B300" s="201"/>
      <c r="C300" s="202"/>
      <c r="D300" s="203"/>
      <c r="E300" s="201"/>
      <c r="F300" s="204"/>
      <c r="G300" s="204"/>
      <c r="H300" s="205"/>
      <c r="I300" s="205"/>
      <c r="J300" s="206"/>
      <c r="K300" s="205"/>
      <c r="L300" s="205"/>
      <c r="M300" s="201"/>
      <c r="N300" s="207"/>
      <c r="O300" s="208"/>
      <c r="P300" s="208"/>
      <c r="Q300" s="208"/>
      <c r="R300" s="208"/>
      <c r="S300" s="208"/>
      <c r="T300" s="208"/>
      <c r="U300" s="209"/>
      <c r="V300" s="210"/>
    </row>
    <row r="301" ht="15.75" customHeight="1">
      <c r="A301" s="200"/>
      <c r="B301" s="201"/>
      <c r="C301" s="202"/>
      <c r="D301" s="203"/>
      <c r="E301" s="201"/>
      <c r="F301" s="204"/>
      <c r="G301" s="204"/>
      <c r="H301" s="205"/>
      <c r="I301" s="205"/>
      <c r="J301" s="206"/>
      <c r="K301" s="205"/>
      <c r="L301" s="205"/>
      <c r="M301" s="201"/>
      <c r="N301" s="207"/>
      <c r="O301" s="208"/>
      <c r="P301" s="208"/>
      <c r="Q301" s="208"/>
      <c r="R301" s="208"/>
      <c r="S301" s="208"/>
      <c r="T301" s="208"/>
      <c r="U301" s="209"/>
      <c r="V301" s="210"/>
    </row>
    <row r="302" ht="15.75" customHeight="1">
      <c r="A302" s="200"/>
      <c r="B302" s="201"/>
      <c r="C302" s="202"/>
      <c r="D302" s="203"/>
      <c r="E302" s="201"/>
      <c r="F302" s="204"/>
      <c r="G302" s="204"/>
      <c r="H302" s="205"/>
      <c r="I302" s="205"/>
      <c r="J302" s="206"/>
      <c r="K302" s="205"/>
      <c r="L302" s="205"/>
      <c r="M302" s="201"/>
      <c r="N302" s="207"/>
      <c r="O302" s="208"/>
      <c r="P302" s="208"/>
      <c r="Q302" s="208"/>
      <c r="R302" s="208"/>
      <c r="S302" s="208"/>
      <c r="T302" s="208"/>
      <c r="U302" s="209"/>
      <c r="V302" s="210"/>
    </row>
    <row r="303" ht="15.75" customHeight="1">
      <c r="A303" s="200"/>
      <c r="B303" s="201"/>
      <c r="C303" s="202"/>
      <c r="D303" s="203"/>
      <c r="E303" s="201"/>
      <c r="F303" s="204"/>
      <c r="G303" s="204"/>
      <c r="H303" s="205"/>
      <c r="I303" s="205"/>
      <c r="J303" s="206"/>
      <c r="K303" s="205"/>
      <c r="L303" s="205"/>
      <c r="M303" s="201"/>
      <c r="N303" s="207"/>
      <c r="O303" s="208"/>
      <c r="P303" s="208"/>
      <c r="Q303" s="208"/>
      <c r="R303" s="208"/>
      <c r="S303" s="208"/>
      <c r="T303" s="208"/>
      <c r="U303" s="209"/>
      <c r="V303" s="210"/>
    </row>
    <row r="304" ht="15.75" customHeight="1">
      <c r="A304" s="200"/>
      <c r="B304" s="201"/>
      <c r="C304" s="202"/>
      <c r="D304" s="203"/>
      <c r="E304" s="201"/>
      <c r="F304" s="204"/>
      <c r="G304" s="204"/>
      <c r="H304" s="205"/>
      <c r="I304" s="205"/>
      <c r="J304" s="206"/>
      <c r="K304" s="205"/>
      <c r="L304" s="205"/>
      <c r="M304" s="201"/>
      <c r="N304" s="207"/>
      <c r="O304" s="208"/>
      <c r="P304" s="208"/>
      <c r="Q304" s="208"/>
      <c r="R304" s="208"/>
      <c r="S304" s="208"/>
      <c r="T304" s="208"/>
      <c r="U304" s="209"/>
      <c r="V304" s="210"/>
    </row>
    <row r="305" ht="15.75" customHeight="1">
      <c r="A305" s="200"/>
      <c r="B305" s="201"/>
      <c r="C305" s="202"/>
      <c r="D305" s="203"/>
      <c r="E305" s="201"/>
      <c r="F305" s="204"/>
      <c r="G305" s="204"/>
      <c r="H305" s="205"/>
      <c r="I305" s="205"/>
      <c r="J305" s="206"/>
      <c r="K305" s="205"/>
      <c r="L305" s="205"/>
      <c r="M305" s="201"/>
      <c r="N305" s="207"/>
      <c r="O305" s="208"/>
      <c r="P305" s="208"/>
      <c r="Q305" s="208"/>
      <c r="R305" s="208"/>
      <c r="S305" s="208"/>
      <c r="T305" s="208"/>
      <c r="U305" s="209"/>
      <c r="V305" s="210"/>
    </row>
    <row r="306" ht="15.75" customHeight="1">
      <c r="A306" s="200"/>
      <c r="B306" s="201"/>
      <c r="C306" s="202"/>
      <c r="D306" s="203"/>
      <c r="E306" s="201"/>
      <c r="F306" s="204"/>
      <c r="G306" s="204"/>
      <c r="H306" s="205"/>
      <c r="I306" s="205"/>
      <c r="J306" s="206"/>
      <c r="K306" s="205"/>
      <c r="L306" s="205"/>
      <c r="M306" s="201"/>
      <c r="N306" s="207"/>
      <c r="O306" s="208"/>
      <c r="P306" s="208"/>
      <c r="Q306" s="208"/>
      <c r="R306" s="208"/>
      <c r="S306" s="208"/>
      <c r="T306" s="208"/>
      <c r="U306" s="209"/>
      <c r="V306" s="210"/>
    </row>
    <row r="307" ht="15.75" customHeight="1">
      <c r="A307" s="200"/>
      <c r="B307" s="201"/>
      <c r="C307" s="202"/>
      <c r="D307" s="203"/>
      <c r="E307" s="201"/>
      <c r="F307" s="204"/>
      <c r="G307" s="204"/>
      <c r="H307" s="205"/>
      <c r="I307" s="205"/>
      <c r="J307" s="206"/>
      <c r="K307" s="205"/>
      <c r="L307" s="205"/>
      <c r="M307" s="201"/>
      <c r="N307" s="207"/>
      <c r="O307" s="208"/>
      <c r="P307" s="208"/>
      <c r="Q307" s="208"/>
      <c r="R307" s="208"/>
      <c r="S307" s="208"/>
      <c r="T307" s="208"/>
      <c r="U307" s="209"/>
      <c r="V307" s="210"/>
    </row>
    <row r="308" ht="15.75" customHeight="1">
      <c r="A308" s="200"/>
      <c r="B308" s="201"/>
      <c r="C308" s="202"/>
      <c r="D308" s="203"/>
      <c r="E308" s="201"/>
      <c r="F308" s="204"/>
      <c r="G308" s="204"/>
      <c r="H308" s="205"/>
      <c r="I308" s="205"/>
      <c r="J308" s="206"/>
      <c r="K308" s="205"/>
      <c r="L308" s="205"/>
      <c r="M308" s="201"/>
      <c r="N308" s="207"/>
      <c r="O308" s="208"/>
      <c r="P308" s="208"/>
      <c r="Q308" s="208"/>
      <c r="R308" s="208"/>
      <c r="S308" s="208"/>
      <c r="T308" s="208"/>
      <c r="U308" s="209"/>
      <c r="V308" s="210"/>
    </row>
    <row r="309" ht="15.75" customHeight="1">
      <c r="A309" s="200"/>
      <c r="B309" s="201"/>
      <c r="C309" s="202"/>
      <c r="D309" s="203"/>
      <c r="E309" s="201"/>
      <c r="F309" s="204"/>
      <c r="G309" s="204"/>
      <c r="H309" s="205"/>
      <c r="I309" s="205"/>
      <c r="J309" s="206"/>
      <c r="K309" s="205"/>
      <c r="L309" s="205"/>
      <c r="M309" s="201"/>
      <c r="N309" s="207"/>
      <c r="O309" s="208"/>
      <c r="P309" s="208"/>
      <c r="Q309" s="208"/>
      <c r="R309" s="208"/>
      <c r="S309" s="208"/>
      <c r="T309" s="208"/>
      <c r="U309" s="209"/>
      <c r="V309" s="210"/>
    </row>
    <row r="310" ht="15.75" customHeight="1">
      <c r="A310" s="200"/>
      <c r="B310" s="201"/>
      <c r="C310" s="202"/>
      <c r="D310" s="203"/>
      <c r="E310" s="201"/>
      <c r="F310" s="204"/>
      <c r="G310" s="204"/>
      <c r="H310" s="205"/>
      <c r="I310" s="205"/>
      <c r="J310" s="206"/>
      <c r="K310" s="205"/>
      <c r="L310" s="205"/>
      <c r="M310" s="201"/>
      <c r="N310" s="207"/>
      <c r="O310" s="208"/>
      <c r="P310" s="208"/>
      <c r="Q310" s="208"/>
      <c r="R310" s="208"/>
      <c r="S310" s="208"/>
      <c r="T310" s="208"/>
      <c r="U310" s="209"/>
      <c r="V310" s="210"/>
    </row>
    <row r="311" ht="15.75" customHeight="1">
      <c r="A311" s="200"/>
      <c r="B311" s="201"/>
      <c r="C311" s="202"/>
      <c r="D311" s="203"/>
      <c r="E311" s="201"/>
      <c r="F311" s="204"/>
      <c r="G311" s="204"/>
      <c r="H311" s="205"/>
      <c r="I311" s="205"/>
      <c r="J311" s="206"/>
      <c r="K311" s="205"/>
      <c r="L311" s="205"/>
      <c r="M311" s="201"/>
      <c r="N311" s="207"/>
      <c r="O311" s="208"/>
      <c r="P311" s="208"/>
      <c r="Q311" s="208"/>
      <c r="R311" s="208"/>
      <c r="S311" s="208"/>
      <c r="T311" s="208"/>
      <c r="U311" s="209"/>
      <c r="V311" s="210"/>
    </row>
    <row r="312" ht="15.75" customHeight="1">
      <c r="A312" s="200"/>
      <c r="B312" s="201"/>
      <c r="C312" s="202"/>
      <c r="D312" s="203"/>
      <c r="E312" s="201"/>
      <c r="F312" s="204"/>
      <c r="G312" s="204"/>
      <c r="H312" s="205"/>
      <c r="I312" s="205"/>
      <c r="J312" s="206"/>
      <c r="K312" s="205"/>
      <c r="L312" s="205"/>
      <c r="M312" s="201"/>
      <c r="N312" s="207"/>
      <c r="O312" s="208"/>
      <c r="P312" s="208"/>
      <c r="Q312" s="208"/>
      <c r="R312" s="208"/>
      <c r="S312" s="208"/>
      <c r="T312" s="208"/>
      <c r="U312" s="209"/>
      <c r="V312" s="210"/>
    </row>
    <row r="313" ht="15.75" customHeight="1">
      <c r="A313" s="200"/>
      <c r="B313" s="201"/>
      <c r="C313" s="202"/>
      <c r="D313" s="203"/>
      <c r="E313" s="201"/>
      <c r="F313" s="204"/>
      <c r="G313" s="204"/>
      <c r="H313" s="205"/>
      <c r="I313" s="205"/>
      <c r="J313" s="206"/>
      <c r="K313" s="205"/>
      <c r="L313" s="205"/>
      <c r="M313" s="201"/>
      <c r="N313" s="207"/>
      <c r="O313" s="208"/>
      <c r="P313" s="208"/>
      <c r="Q313" s="208"/>
      <c r="R313" s="208"/>
      <c r="S313" s="208"/>
      <c r="T313" s="208"/>
      <c r="U313" s="209"/>
      <c r="V313" s="210"/>
    </row>
    <row r="314" ht="15.75" customHeight="1">
      <c r="A314" s="200"/>
      <c r="B314" s="201"/>
      <c r="C314" s="202"/>
      <c r="D314" s="203"/>
      <c r="E314" s="201"/>
      <c r="F314" s="204"/>
      <c r="G314" s="204"/>
      <c r="H314" s="205"/>
      <c r="I314" s="205"/>
      <c r="J314" s="206"/>
      <c r="K314" s="205"/>
      <c r="L314" s="205"/>
      <c r="M314" s="201"/>
      <c r="N314" s="207"/>
      <c r="O314" s="208"/>
      <c r="P314" s="208"/>
      <c r="Q314" s="208"/>
      <c r="R314" s="208"/>
      <c r="S314" s="208"/>
      <c r="T314" s="208"/>
      <c r="U314" s="209"/>
      <c r="V314" s="210"/>
    </row>
    <row r="315" ht="15.75" customHeight="1">
      <c r="A315" s="200"/>
      <c r="B315" s="201"/>
      <c r="C315" s="202"/>
      <c r="D315" s="203"/>
      <c r="E315" s="201"/>
      <c r="F315" s="204"/>
      <c r="G315" s="204"/>
      <c r="H315" s="205"/>
      <c r="I315" s="205"/>
      <c r="J315" s="206"/>
      <c r="K315" s="205"/>
      <c r="L315" s="205"/>
      <c r="M315" s="201"/>
      <c r="N315" s="207"/>
      <c r="O315" s="208"/>
      <c r="P315" s="208"/>
      <c r="Q315" s="208"/>
      <c r="R315" s="208"/>
      <c r="S315" s="208"/>
      <c r="T315" s="208"/>
      <c r="U315" s="209"/>
      <c r="V315" s="210"/>
    </row>
    <row r="316" ht="15.75" customHeight="1">
      <c r="A316" s="200"/>
      <c r="B316" s="201"/>
      <c r="C316" s="202"/>
      <c r="D316" s="203"/>
      <c r="E316" s="201"/>
      <c r="F316" s="204"/>
      <c r="G316" s="204"/>
      <c r="H316" s="205"/>
      <c r="I316" s="205"/>
      <c r="J316" s="206"/>
      <c r="K316" s="205"/>
      <c r="L316" s="205"/>
      <c r="M316" s="201"/>
      <c r="N316" s="207"/>
      <c r="O316" s="208"/>
      <c r="P316" s="208"/>
      <c r="Q316" s="208"/>
      <c r="R316" s="208"/>
      <c r="S316" s="208"/>
      <c r="T316" s="208"/>
      <c r="U316" s="209"/>
      <c r="V316" s="210"/>
    </row>
    <row r="317" ht="15.75" customHeight="1">
      <c r="A317" s="200"/>
      <c r="B317" s="201"/>
      <c r="C317" s="202"/>
      <c r="D317" s="203"/>
      <c r="E317" s="201"/>
      <c r="F317" s="204"/>
      <c r="G317" s="204"/>
      <c r="H317" s="205"/>
      <c r="I317" s="205"/>
      <c r="J317" s="206"/>
      <c r="K317" s="205"/>
      <c r="L317" s="205"/>
      <c r="M317" s="201"/>
      <c r="N317" s="207"/>
      <c r="O317" s="208"/>
      <c r="P317" s="208"/>
      <c r="Q317" s="208"/>
      <c r="R317" s="208"/>
      <c r="S317" s="208"/>
      <c r="T317" s="208"/>
      <c r="U317" s="209"/>
      <c r="V317" s="210"/>
    </row>
    <row r="318" ht="15.75" customHeight="1">
      <c r="A318" s="200"/>
      <c r="B318" s="201"/>
      <c r="C318" s="202"/>
      <c r="D318" s="203"/>
      <c r="E318" s="201"/>
      <c r="F318" s="204"/>
      <c r="G318" s="204"/>
      <c r="H318" s="205"/>
      <c r="I318" s="205"/>
      <c r="J318" s="206"/>
      <c r="K318" s="205"/>
      <c r="L318" s="205"/>
      <c r="M318" s="201"/>
      <c r="N318" s="207"/>
      <c r="O318" s="208"/>
      <c r="P318" s="208"/>
      <c r="Q318" s="208"/>
      <c r="R318" s="208"/>
      <c r="S318" s="208"/>
      <c r="T318" s="208"/>
      <c r="U318" s="209"/>
      <c r="V318" s="210"/>
    </row>
    <row r="319" ht="15.75" customHeight="1">
      <c r="A319" s="200"/>
      <c r="B319" s="201"/>
      <c r="C319" s="202"/>
      <c r="D319" s="203"/>
      <c r="E319" s="201"/>
      <c r="F319" s="204"/>
      <c r="G319" s="204"/>
      <c r="H319" s="205"/>
      <c r="I319" s="205"/>
      <c r="J319" s="206"/>
      <c r="K319" s="205"/>
      <c r="L319" s="205"/>
      <c r="M319" s="201"/>
      <c r="N319" s="207"/>
      <c r="O319" s="208"/>
      <c r="P319" s="208"/>
      <c r="Q319" s="208"/>
      <c r="R319" s="208"/>
      <c r="S319" s="208"/>
      <c r="T319" s="208"/>
      <c r="U319" s="209"/>
      <c r="V319" s="210"/>
    </row>
    <row r="320" ht="15.75" customHeight="1">
      <c r="A320" s="200"/>
      <c r="B320" s="201"/>
      <c r="C320" s="202"/>
      <c r="D320" s="203"/>
      <c r="E320" s="201"/>
      <c r="F320" s="204"/>
      <c r="G320" s="204"/>
      <c r="H320" s="205"/>
      <c r="I320" s="205"/>
      <c r="J320" s="206"/>
      <c r="K320" s="205"/>
      <c r="L320" s="205"/>
      <c r="M320" s="201"/>
      <c r="N320" s="207"/>
      <c r="O320" s="208"/>
      <c r="P320" s="208"/>
      <c r="Q320" s="208"/>
      <c r="R320" s="208"/>
      <c r="S320" s="208"/>
      <c r="T320" s="208"/>
      <c r="U320" s="209"/>
      <c r="V320" s="210"/>
    </row>
    <row r="321" ht="15.75" customHeight="1">
      <c r="A321" s="200"/>
      <c r="B321" s="201"/>
      <c r="C321" s="202"/>
      <c r="D321" s="203"/>
      <c r="E321" s="201"/>
      <c r="F321" s="204"/>
      <c r="G321" s="204"/>
      <c r="H321" s="205"/>
      <c r="I321" s="205"/>
      <c r="J321" s="206"/>
      <c r="K321" s="205"/>
      <c r="L321" s="205"/>
      <c r="M321" s="201"/>
      <c r="N321" s="207"/>
      <c r="O321" s="208"/>
      <c r="P321" s="208"/>
      <c r="Q321" s="208"/>
      <c r="R321" s="208"/>
      <c r="S321" s="208"/>
      <c r="T321" s="208"/>
      <c r="U321" s="209"/>
      <c r="V321" s="210"/>
    </row>
    <row r="322" ht="15.75" customHeight="1">
      <c r="A322" s="200"/>
      <c r="B322" s="201"/>
      <c r="C322" s="202"/>
      <c r="D322" s="203"/>
      <c r="E322" s="201"/>
      <c r="F322" s="204"/>
      <c r="G322" s="204"/>
      <c r="H322" s="205"/>
      <c r="I322" s="205"/>
      <c r="J322" s="206"/>
      <c r="K322" s="205"/>
      <c r="L322" s="205"/>
      <c r="M322" s="201"/>
      <c r="N322" s="207"/>
      <c r="O322" s="208"/>
      <c r="P322" s="208"/>
      <c r="Q322" s="208"/>
      <c r="R322" s="208"/>
      <c r="S322" s="208"/>
      <c r="T322" s="208"/>
      <c r="U322" s="209"/>
      <c r="V322" s="210"/>
    </row>
    <row r="323" ht="15.75" customHeight="1">
      <c r="A323" s="200"/>
      <c r="B323" s="201"/>
      <c r="C323" s="202"/>
      <c r="D323" s="203"/>
      <c r="E323" s="201"/>
      <c r="F323" s="204"/>
      <c r="G323" s="204"/>
      <c r="H323" s="205"/>
      <c r="I323" s="205"/>
      <c r="J323" s="206"/>
      <c r="K323" s="205"/>
      <c r="L323" s="205"/>
      <c r="M323" s="201"/>
      <c r="N323" s="207"/>
      <c r="O323" s="208"/>
      <c r="P323" s="208"/>
      <c r="Q323" s="208"/>
      <c r="R323" s="208"/>
      <c r="S323" s="208"/>
      <c r="T323" s="208"/>
      <c r="U323" s="209"/>
      <c r="V323" s="210"/>
    </row>
    <row r="324" ht="15.75" customHeight="1">
      <c r="A324" s="200"/>
      <c r="B324" s="201"/>
      <c r="C324" s="202"/>
      <c r="D324" s="203"/>
      <c r="E324" s="201"/>
      <c r="F324" s="204"/>
      <c r="G324" s="204"/>
      <c r="H324" s="205"/>
      <c r="I324" s="205"/>
      <c r="J324" s="206"/>
      <c r="K324" s="205"/>
      <c r="L324" s="205"/>
      <c r="M324" s="201"/>
      <c r="N324" s="207"/>
      <c r="O324" s="208"/>
      <c r="P324" s="208"/>
      <c r="Q324" s="208"/>
      <c r="R324" s="208"/>
      <c r="S324" s="208"/>
      <c r="T324" s="208"/>
      <c r="U324" s="209"/>
      <c r="V324" s="210"/>
    </row>
    <row r="325" ht="15.75" customHeight="1">
      <c r="A325" s="200"/>
      <c r="B325" s="201"/>
      <c r="C325" s="202"/>
      <c r="D325" s="203"/>
      <c r="E325" s="201"/>
      <c r="F325" s="204"/>
      <c r="G325" s="204"/>
      <c r="H325" s="205"/>
      <c r="I325" s="205"/>
      <c r="J325" s="206"/>
      <c r="K325" s="205"/>
      <c r="L325" s="205"/>
      <c r="M325" s="201"/>
      <c r="N325" s="207"/>
      <c r="O325" s="208"/>
      <c r="P325" s="208"/>
      <c r="Q325" s="208"/>
      <c r="R325" s="208"/>
      <c r="S325" s="208"/>
      <c r="T325" s="208"/>
      <c r="U325" s="209"/>
      <c r="V325" s="210"/>
    </row>
    <row r="326" ht="15.75" customHeight="1">
      <c r="A326" s="200"/>
      <c r="B326" s="201"/>
      <c r="C326" s="202"/>
      <c r="D326" s="203"/>
      <c r="E326" s="201"/>
      <c r="F326" s="204"/>
      <c r="G326" s="204"/>
      <c r="H326" s="205"/>
      <c r="I326" s="205"/>
      <c r="J326" s="206"/>
      <c r="K326" s="205"/>
      <c r="L326" s="205"/>
      <c r="M326" s="201"/>
      <c r="N326" s="207"/>
      <c r="O326" s="208"/>
      <c r="P326" s="208"/>
      <c r="Q326" s="208"/>
      <c r="R326" s="208"/>
      <c r="S326" s="208"/>
      <c r="T326" s="208"/>
      <c r="U326" s="209"/>
      <c r="V326" s="210"/>
    </row>
    <row r="327" ht="15.75" customHeight="1">
      <c r="A327" s="200"/>
      <c r="B327" s="201"/>
      <c r="C327" s="202"/>
      <c r="D327" s="203"/>
      <c r="E327" s="201"/>
      <c r="F327" s="204"/>
      <c r="G327" s="204"/>
      <c r="H327" s="205"/>
      <c r="I327" s="205"/>
      <c r="J327" s="206"/>
      <c r="K327" s="205"/>
      <c r="L327" s="205"/>
      <c r="M327" s="201"/>
      <c r="N327" s="207"/>
      <c r="O327" s="208"/>
      <c r="P327" s="208"/>
      <c r="Q327" s="208"/>
      <c r="R327" s="208"/>
      <c r="S327" s="208"/>
      <c r="T327" s="208"/>
      <c r="U327" s="209"/>
      <c r="V327" s="210"/>
    </row>
    <row r="328" ht="15.75" customHeight="1">
      <c r="A328" s="200"/>
      <c r="B328" s="201"/>
      <c r="C328" s="202"/>
      <c r="D328" s="203"/>
      <c r="E328" s="201"/>
      <c r="F328" s="204"/>
      <c r="G328" s="204"/>
      <c r="H328" s="205"/>
      <c r="I328" s="205"/>
      <c r="J328" s="206"/>
      <c r="K328" s="205"/>
      <c r="L328" s="205"/>
      <c r="M328" s="201"/>
      <c r="N328" s="207"/>
      <c r="O328" s="208"/>
      <c r="P328" s="208"/>
      <c r="Q328" s="208"/>
      <c r="R328" s="208"/>
      <c r="S328" s="208"/>
      <c r="T328" s="208"/>
      <c r="U328" s="209"/>
      <c r="V328" s="210"/>
    </row>
    <row r="329" ht="15.75" customHeight="1">
      <c r="A329" s="200"/>
      <c r="B329" s="201"/>
      <c r="C329" s="202"/>
      <c r="D329" s="203"/>
      <c r="E329" s="201"/>
      <c r="F329" s="204"/>
      <c r="G329" s="204"/>
      <c r="H329" s="205"/>
      <c r="I329" s="205"/>
      <c r="J329" s="206"/>
      <c r="K329" s="205"/>
      <c r="L329" s="205"/>
      <c r="M329" s="201"/>
      <c r="N329" s="207"/>
      <c r="O329" s="208"/>
      <c r="P329" s="208"/>
      <c r="Q329" s="208"/>
      <c r="R329" s="208"/>
      <c r="S329" s="208"/>
      <c r="T329" s="208"/>
      <c r="U329" s="209"/>
      <c r="V329" s="210"/>
    </row>
    <row r="330" ht="15.75" customHeight="1">
      <c r="A330" s="200"/>
      <c r="B330" s="201"/>
      <c r="C330" s="202"/>
      <c r="D330" s="203"/>
      <c r="E330" s="201"/>
      <c r="F330" s="204"/>
      <c r="G330" s="204"/>
      <c r="H330" s="205"/>
      <c r="I330" s="205"/>
      <c r="J330" s="206"/>
      <c r="K330" s="205"/>
      <c r="L330" s="205"/>
      <c r="M330" s="201"/>
      <c r="N330" s="207"/>
      <c r="O330" s="208"/>
      <c r="P330" s="208"/>
      <c r="Q330" s="208"/>
      <c r="R330" s="208"/>
      <c r="S330" s="208"/>
      <c r="T330" s="208"/>
      <c r="U330" s="209"/>
      <c r="V330" s="210"/>
    </row>
    <row r="331" ht="15.75" customHeight="1">
      <c r="A331" s="200"/>
      <c r="B331" s="201"/>
      <c r="C331" s="202"/>
      <c r="D331" s="203"/>
      <c r="E331" s="201"/>
      <c r="F331" s="204"/>
      <c r="G331" s="204"/>
      <c r="H331" s="205"/>
      <c r="I331" s="205"/>
      <c r="J331" s="206"/>
      <c r="K331" s="205"/>
      <c r="L331" s="205"/>
      <c r="M331" s="201"/>
      <c r="N331" s="207"/>
      <c r="O331" s="208"/>
      <c r="P331" s="208"/>
      <c r="Q331" s="208"/>
      <c r="R331" s="208"/>
      <c r="S331" s="208"/>
      <c r="T331" s="208"/>
      <c r="U331" s="209"/>
      <c r="V331" s="210"/>
    </row>
    <row r="332" ht="15.75" customHeight="1">
      <c r="A332" s="200"/>
      <c r="B332" s="201"/>
      <c r="C332" s="202"/>
      <c r="D332" s="203"/>
      <c r="E332" s="201"/>
      <c r="F332" s="204"/>
      <c r="G332" s="204"/>
      <c r="H332" s="205"/>
      <c r="I332" s="205"/>
      <c r="J332" s="206"/>
      <c r="K332" s="205"/>
      <c r="L332" s="205"/>
      <c r="M332" s="201"/>
      <c r="N332" s="207"/>
      <c r="O332" s="208"/>
      <c r="P332" s="208"/>
      <c r="Q332" s="208"/>
      <c r="R332" s="208"/>
      <c r="S332" s="208"/>
      <c r="T332" s="208"/>
      <c r="U332" s="209"/>
      <c r="V332" s="210"/>
    </row>
    <row r="333" ht="15.75" customHeight="1">
      <c r="A333" s="200"/>
      <c r="B333" s="201"/>
      <c r="C333" s="202"/>
      <c r="D333" s="203"/>
      <c r="E333" s="201"/>
      <c r="F333" s="204"/>
      <c r="G333" s="204"/>
      <c r="H333" s="205"/>
      <c r="I333" s="205"/>
      <c r="J333" s="206"/>
      <c r="K333" s="205"/>
      <c r="L333" s="205"/>
      <c r="M333" s="201"/>
      <c r="N333" s="207"/>
      <c r="O333" s="208"/>
      <c r="P333" s="208"/>
      <c r="Q333" s="208"/>
      <c r="R333" s="208"/>
      <c r="S333" s="208"/>
      <c r="T333" s="208"/>
      <c r="U333" s="209"/>
      <c r="V333" s="210"/>
    </row>
    <row r="334" ht="15.75" customHeight="1">
      <c r="A334" s="200"/>
      <c r="B334" s="201"/>
      <c r="C334" s="202"/>
      <c r="D334" s="203"/>
      <c r="E334" s="201"/>
      <c r="F334" s="204"/>
      <c r="G334" s="204"/>
      <c r="H334" s="205"/>
      <c r="I334" s="205"/>
      <c r="J334" s="206"/>
      <c r="K334" s="205"/>
      <c r="L334" s="205"/>
      <c r="M334" s="201"/>
      <c r="N334" s="207"/>
      <c r="O334" s="208"/>
      <c r="P334" s="208"/>
      <c r="Q334" s="208"/>
      <c r="R334" s="208"/>
      <c r="S334" s="208"/>
      <c r="T334" s="208"/>
      <c r="U334" s="209"/>
      <c r="V334" s="210"/>
    </row>
    <row r="335" ht="15.75" customHeight="1">
      <c r="A335" s="200"/>
      <c r="B335" s="201"/>
      <c r="C335" s="202"/>
      <c r="D335" s="203"/>
      <c r="E335" s="201"/>
      <c r="F335" s="204"/>
      <c r="G335" s="204"/>
      <c r="H335" s="205"/>
      <c r="I335" s="205"/>
      <c r="J335" s="206"/>
      <c r="K335" s="205"/>
      <c r="L335" s="205"/>
      <c r="M335" s="201"/>
      <c r="N335" s="207"/>
      <c r="O335" s="208"/>
      <c r="P335" s="208"/>
      <c r="Q335" s="208"/>
      <c r="R335" s="208"/>
      <c r="S335" s="208"/>
      <c r="T335" s="208"/>
      <c r="U335" s="209"/>
      <c r="V335" s="210"/>
    </row>
    <row r="336" ht="15.75" customHeight="1">
      <c r="A336" s="200"/>
      <c r="B336" s="201"/>
      <c r="C336" s="202"/>
      <c r="D336" s="203"/>
      <c r="E336" s="201"/>
      <c r="F336" s="204"/>
      <c r="G336" s="204"/>
      <c r="H336" s="205"/>
      <c r="I336" s="205"/>
      <c r="J336" s="206"/>
      <c r="K336" s="205"/>
      <c r="L336" s="205"/>
      <c r="M336" s="201"/>
      <c r="N336" s="207"/>
      <c r="O336" s="208"/>
      <c r="P336" s="208"/>
      <c r="Q336" s="208"/>
      <c r="R336" s="208"/>
      <c r="S336" s="208"/>
      <c r="T336" s="208"/>
      <c r="U336" s="209"/>
      <c r="V336" s="210"/>
    </row>
    <row r="337" ht="15.75" customHeight="1">
      <c r="A337" s="200"/>
      <c r="B337" s="201"/>
      <c r="C337" s="202"/>
      <c r="D337" s="203"/>
      <c r="E337" s="201"/>
      <c r="F337" s="204"/>
      <c r="G337" s="204"/>
      <c r="H337" s="205"/>
      <c r="I337" s="205"/>
      <c r="J337" s="206"/>
      <c r="K337" s="205"/>
      <c r="L337" s="205"/>
      <c r="M337" s="201"/>
      <c r="N337" s="207"/>
      <c r="O337" s="208"/>
      <c r="P337" s="208"/>
      <c r="Q337" s="208"/>
      <c r="R337" s="208"/>
      <c r="S337" s="208"/>
      <c r="T337" s="208"/>
      <c r="U337" s="209"/>
      <c r="V337" s="210"/>
    </row>
    <row r="338" ht="15.75" customHeight="1">
      <c r="A338" s="200"/>
      <c r="B338" s="201"/>
      <c r="C338" s="202"/>
      <c r="D338" s="203"/>
      <c r="E338" s="201"/>
      <c r="F338" s="204"/>
      <c r="G338" s="204"/>
      <c r="H338" s="205"/>
      <c r="I338" s="205"/>
      <c r="J338" s="206"/>
      <c r="K338" s="205"/>
      <c r="L338" s="205"/>
      <c r="M338" s="201"/>
      <c r="N338" s="207"/>
      <c r="O338" s="208"/>
      <c r="P338" s="208"/>
      <c r="Q338" s="208"/>
      <c r="R338" s="208"/>
      <c r="S338" s="208"/>
      <c r="T338" s="208"/>
      <c r="U338" s="209"/>
      <c r="V338" s="210"/>
    </row>
    <row r="339" ht="15.75" customHeight="1">
      <c r="A339" s="200"/>
      <c r="B339" s="201"/>
      <c r="C339" s="202"/>
      <c r="D339" s="203"/>
      <c r="E339" s="201"/>
      <c r="F339" s="204"/>
      <c r="G339" s="204"/>
      <c r="H339" s="205"/>
      <c r="I339" s="205"/>
      <c r="J339" s="206"/>
      <c r="K339" s="205"/>
      <c r="L339" s="205"/>
      <c r="M339" s="201"/>
      <c r="N339" s="207"/>
      <c r="O339" s="208"/>
      <c r="P339" s="208"/>
      <c r="Q339" s="208"/>
      <c r="R339" s="208"/>
      <c r="S339" s="208"/>
      <c r="T339" s="208"/>
      <c r="U339" s="209"/>
      <c r="V339" s="210"/>
    </row>
    <row r="340" ht="15.75" customHeight="1">
      <c r="A340" s="200"/>
      <c r="B340" s="201"/>
      <c r="C340" s="202"/>
      <c r="D340" s="203"/>
      <c r="E340" s="201"/>
      <c r="F340" s="204"/>
      <c r="G340" s="204"/>
      <c r="H340" s="205"/>
      <c r="I340" s="205"/>
      <c r="J340" s="206"/>
      <c r="K340" s="205"/>
      <c r="L340" s="205"/>
      <c r="M340" s="201"/>
      <c r="N340" s="207"/>
      <c r="O340" s="208"/>
      <c r="P340" s="208"/>
      <c r="Q340" s="208"/>
      <c r="R340" s="208"/>
      <c r="S340" s="208"/>
      <c r="T340" s="208"/>
      <c r="U340" s="209"/>
      <c r="V340" s="210"/>
    </row>
    <row r="341" ht="15.75" customHeight="1">
      <c r="A341" s="200"/>
      <c r="B341" s="201"/>
      <c r="C341" s="202"/>
      <c r="D341" s="203"/>
      <c r="E341" s="201"/>
      <c r="F341" s="204"/>
      <c r="G341" s="204"/>
      <c r="H341" s="205"/>
      <c r="I341" s="205"/>
      <c r="J341" s="206"/>
      <c r="K341" s="205"/>
      <c r="L341" s="205"/>
      <c r="M341" s="201"/>
      <c r="N341" s="207"/>
      <c r="O341" s="208"/>
      <c r="P341" s="208"/>
      <c r="Q341" s="208"/>
      <c r="R341" s="208"/>
      <c r="S341" s="208"/>
      <c r="T341" s="208"/>
      <c r="U341" s="209"/>
      <c r="V341" s="210"/>
    </row>
    <row r="342" ht="15.75" customHeight="1">
      <c r="A342" s="200"/>
      <c r="B342" s="201"/>
      <c r="C342" s="202"/>
      <c r="D342" s="203"/>
      <c r="E342" s="201"/>
      <c r="F342" s="204"/>
      <c r="G342" s="204"/>
      <c r="H342" s="205"/>
      <c r="I342" s="205"/>
      <c r="J342" s="206"/>
      <c r="K342" s="205"/>
      <c r="L342" s="205"/>
      <c r="M342" s="201"/>
      <c r="N342" s="207"/>
      <c r="O342" s="208"/>
      <c r="P342" s="208"/>
      <c r="Q342" s="208"/>
      <c r="R342" s="208"/>
      <c r="S342" s="208"/>
      <c r="T342" s="208"/>
      <c r="U342" s="209"/>
      <c r="V342" s="210"/>
    </row>
    <row r="343" ht="15.75" customHeight="1">
      <c r="A343" s="200"/>
      <c r="B343" s="201"/>
      <c r="C343" s="202"/>
      <c r="D343" s="203"/>
      <c r="E343" s="201"/>
      <c r="F343" s="204"/>
      <c r="G343" s="204"/>
      <c r="H343" s="205"/>
      <c r="I343" s="205"/>
      <c r="J343" s="206"/>
      <c r="K343" s="205"/>
      <c r="L343" s="205"/>
      <c r="M343" s="201"/>
      <c r="N343" s="207"/>
      <c r="O343" s="208"/>
      <c r="P343" s="208"/>
      <c r="Q343" s="208"/>
      <c r="R343" s="208"/>
      <c r="S343" s="208"/>
      <c r="T343" s="208"/>
      <c r="U343" s="209"/>
      <c r="V343" s="210"/>
    </row>
    <row r="344" ht="15.75" customHeight="1">
      <c r="A344" s="200"/>
      <c r="B344" s="201"/>
      <c r="C344" s="202"/>
      <c r="D344" s="203"/>
      <c r="E344" s="201"/>
      <c r="F344" s="204"/>
      <c r="G344" s="204"/>
      <c r="H344" s="205"/>
      <c r="I344" s="205"/>
      <c r="J344" s="206"/>
      <c r="K344" s="205"/>
      <c r="L344" s="205"/>
      <c r="M344" s="201"/>
      <c r="N344" s="207"/>
      <c r="O344" s="208"/>
      <c r="P344" s="208"/>
      <c r="Q344" s="208"/>
      <c r="R344" s="208"/>
      <c r="S344" s="208"/>
      <c r="T344" s="208"/>
      <c r="U344" s="209"/>
      <c r="V344" s="210"/>
    </row>
    <row r="345" ht="15.75" customHeight="1">
      <c r="A345" s="200"/>
      <c r="B345" s="201"/>
      <c r="C345" s="202"/>
      <c r="D345" s="203"/>
      <c r="E345" s="201"/>
      <c r="F345" s="204"/>
      <c r="G345" s="204"/>
      <c r="H345" s="205"/>
      <c r="I345" s="205"/>
      <c r="J345" s="206"/>
      <c r="K345" s="205"/>
      <c r="L345" s="205"/>
      <c r="M345" s="201"/>
      <c r="N345" s="207"/>
      <c r="O345" s="208"/>
      <c r="P345" s="208"/>
      <c r="Q345" s="208"/>
      <c r="R345" s="208"/>
      <c r="S345" s="208"/>
      <c r="T345" s="208"/>
      <c r="U345" s="209"/>
      <c r="V345" s="210"/>
    </row>
    <row r="346" ht="15.75" customHeight="1">
      <c r="A346" s="200"/>
      <c r="B346" s="201"/>
      <c r="C346" s="202"/>
      <c r="D346" s="203"/>
      <c r="E346" s="201"/>
      <c r="F346" s="204"/>
      <c r="G346" s="204"/>
      <c r="H346" s="205"/>
      <c r="I346" s="205"/>
      <c r="J346" s="206"/>
      <c r="K346" s="205"/>
      <c r="L346" s="205"/>
      <c r="M346" s="201"/>
      <c r="N346" s="207"/>
      <c r="O346" s="208"/>
      <c r="P346" s="208"/>
      <c r="Q346" s="208"/>
      <c r="R346" s="208"/>
      <c r="S346" s="208"/>
      <c r="T346" s="208"/>
      <c r="U346" s="209"/>
      <c r="V346" s="210"/>
    </row>
    <row r="347" ht="15.75" customHeight="1">
      <c r="A347" s="200"/>
      <c r="B347" s="201"/>
      <c r="C347" s="202"/>
      <c r="D347" s="203"/>
      <c r="E347" s="201"/>
      <c r="F347" s="204"/>
      <c r="G347" s="204"/>
      <c r="H347" s="205"/>
      <c r="I347" s="205"/>
      <c r="J347" s="206"/>
      <c r="K347" s="205"/>
      <c r="L347" s="205"/>
      <c r="M347" s="201"/>
      <c r="N347" s="207"/>
      <c r="O347" s="208"/>
      <c r="P347" s="208"/>
      <c r="Q347" s="208"/>
      <c r="R347" s="208"/>
      <c r="S347" s="208"/>
      <c r="T347" s="208"/>
      <c r="U347" s="209"/>
      <c r="V347" s="210"/>
    </row>
    <row r="348" ht="15.75" customHeight="1">
      <c r="A348" s="200"/>
      <c r="B348" s="201"/>
      <c r="C348" s="202"/>
      <c r="D348" s="203"/>
      <c r="E348" s="201"/>
      <c r="F348" s="204"/>
      <c r="G348" s="204"/>
      <c r="H348" s="205"/>
      <c r="I348" s="205"/>
      <c r="J348" s="206"/>
      <c r="K348" s="205"/>
      <c r="L348" s="205"/>
      <c r="M348" s="201"/>
      <c r="N348" s="207"/>
      <c r="O348" s="208"/>
      <c r="P348" s="208"/>
      <c r="Q348" s="208"/>
      <c r="R348" s="208"/>
      <c r="S348" s="208"/>
      <c r="T348" s="208"/>
      <c r="U348" s="209"/>
      <c r="V348" s="210"/>
    </row>
    <row r="349" ht="15.75" customHeight="1">
      <c r="A349" s="200"/>
      <c r="B349" s="201"/>
      <c r="C349" s="202"/>
      <c r="D349" s="203"/>
      <c r="E349" s="201"/>
      <c r="F349" s="204"/>
      <c r="G349" s="204"/>
      <c r="H349" s="205"/>
      <c r="I349" s="205"/>
      <c r="J349" s="206"/>
      <c r="K349" s="205"/>
      <c r="L349" s="205"/>
      <c r="M349" s="201"/>
      <c r="N349" s="207"/>
      <c r="O349" s="208"/>
      <c r="P349" s="208"/>
      <c r="Q349" s="208"/>
      <c r="R349" s="208"/>
      <c r="S349" s="208"/>
      <c r="T349" s="208"/>
      <c r="U349" s="209"/>
      <c r="V349" s="210"/>
    </row>
    <row r="350" ht="15.75" customHeight="1">
      <c r="A350" s="200"/>
      <c r="B350" s="201"/>
      <c r="C350" s="202"/>
      <c r="D350" s="203"/>
      <c r="E350" s="201"/>
      <c r="F350" s="204"/>
      <c r="G350" s="204"/>
      <c r="H350" s="205"/>
      <c r="I350" s="205"/>
      <c r="J350" s="206"/>
      <c r="K350" s="205"/>
      <c r="L350" s="205"/>
      <c r="M350" s="201"/>
      <c r="N350" s="207"/>
      <c r="O350" s="208"/>
      <c r="P350" s="208"/>
      <c r="Q350" s="208"/>
      <c r="R350" s="208"/>
      <c r="S350" s="208"/>
      <c r="T350" s="208"/>
      <c r="U350" s="209"/>
      <c r="V350" s="210"/>
    </row>
    <row r="351" ht="15.75" customHeight="1">
      <c r="A351" s="200"/>
      <c r="B351" s="201"/>
      <c r="C351" s="202"/>
      <c r="D351" s="203"/>
      <c r="E351" s="201"/>
      <c r="F351" s="204"/>
      <c r="G351" s="204"/>
      <c r="H351" s="205"/>
      <c r="I351" s="205"/>
      <c r="J351" s="206"/>
      <c r="K351" s="205"/>
      <c r="L351" s="205"/>
      <c r="M351" s="201"/>
      <c r="N351" s="207"/>
      <c r="O351" s="208"/>
      <c r="P351" s="208"/>
      <c r="Q351" s="208"/>
      <c r="R351" s="208"/>
      <c r="S351" s="208"/>
      <c r="T351" s="208"/>
      <c r="U351" s="209"/>
      <c r="V351" s="210"/>
    </row>
    <row r="352" ht="15.75" customHeight="1">
      <c r="A352" s="200"/>
      <c r="B352" s="201"/>
      <c r="C352" s="202"/>
      <c r="D352" s="203"/>
      <c r="E352" s="201"/>
      <c r="F352" s="204"/>
      <c r="G352" s="204"/>
      <c r="H352" s="205"/>
      <c r="I352" s="205"/>
      <c r="J352" s="206"/>
      <c r="K352" s="205"/>
      <c r="L352" s="205"/>
      <c r="M352" s="201"/>
      <c r="N352" s="207"/>
      <c r="O352" s="208"/>
      <c r="P352" s="208"/>
      <c r="Q352" s="208"/>
      <c r="R352" s="208"/>
      <c r="S352" s="208"/>
      <c r="T352" s="208"/>
      <c r="U352" s="209"/>
      <c r="V352" s="210"/>
    </row>
    <row r="353" ht="15.75" customHeight="1">
      <c r="A353" s="200"/>
      <c r="B353" s="201"/>
      <c r="C353" s="202"/>
      <c r="D353" s="203"/>
      <c r="E353" s="201"/>
      <c r="F353" s="204"/>
      <c r="G353" s="204"/>
      <c r="H353" s="205"/>
      <c r="I353" s="205"/>
      <c r="J353" s="206"/>
      <c r="K353" s="205"/>
      <c r="L353" s="205"/>
      <c r="M353" s="201"/>
      <c r="N353" s="207"/>
      <c r="O353" s="208"/>
      <c r="P353" s="208"/>
      <c r="Q353" s="208"/>
      <c r="R353" s="208"/>
      <c r="S353" s="208"/>
      <c r="T353" s="208"/>
      <c r="U353" s="209"/>
      <c r="V353" s="210"/>
    </row>
    <row r="354" ht="15.75" customHeight="1">
      <c r="A354" s="200"/>
      <c r="B354" s="201"/>
      <c r="C354" s="202"/>
      <c r="D354" s="203"/>
      <c r="E354" s="201"/>
      <c r="F354" s="204"/>
      <c r="G354" s="204"/>
      <c r="H354" s="205"/>
      <c r="I354" s="205"/>
      <c r="J354" s="206"/>
      <c r="K354" s="205"/>
      <c r="L354" s="205"/>
      <c r="M354" s="201"/>
      <c r="N354" s="207"/>
      <c r="O354" s="208"/>
      <c r="P354" s="208"/>
      <c r="Q354" s="208"/>
      <c r="R354" s="208"/>
      <c r="S354" s="208"/>
      <c r="T354" s="208"/>
      <c r="U354" s="209"/>
      <c r="V354" s="210"/>
    </row>
    <row r="355" ht="15.75" customHeight="1">
      <c r="A355" s="200"/>
      <c r="B355" s="201"/>
      <c r="C355" s="202"/>
      <c r="D355" s="203"/>
      <c r="E355" s="201"/>
      <c r="F355" s="204"/>
      <c r="G355" s="204"/>
      <c r="H355" s="205"/>
      <c r="I355" s="205"/>
      <c r="J355" s="206"/>
      <c r="K355" s="205"/>
      <c r="L355" s="205"/>
      <c r="M355" s="201"/>
      <c r="N355" s="207"/>
      <c r="O355" s="208"/>
      <c r="P355" s="208"/>
      <c r="Q355" s="208"/>
      <c r="R355" s="208"/>
      <c r="S355" s="208"/>
      <c r="T355" s="208"/>
      <c r="U355" s="209"/>
      <c r="V355" s="210"/>
    </row>
    <row r="356" ht="15.75" customHeight="1">
      <c r="A356" s="200"/>
      <c r="B356" s="201"/>
      <c r="C356" s="202"/>
      <c r="D356" s="203"/>
      <c r="E356" s="201"/>
      <c r="F356" s="204"/>
      <c r="G356" s="204"/>
      <c r="H356" s="205"/>
      <c r="I356" s="205"/>
      <c r="J356" s="206"/>
      <c r="K356" s="205"/>
      <c r="L356" s="205"/>
      <c r="M356" s="201"/>
      <c r="N356" s="207"/>
      <c r="O356" s="208"/>
      <c r="P356" s="208"/>
      <c r="Q356" s="208"/>
      <c r="R356" s="208"/>
      <c r="S356" s="208"/>
      <c r="T356" s="208"/>
      <c r="U356" s="209"/>
      <c r="V356" s="210"/>
    </row>
    <row r="357" ht="15.75" customHeight="1">
      <c r="A357" s="200"/>
      <c r="B357" s="201"/>
      <c r="C357" s="202"/>
      <c r="D357" s="203"/>
      <c r="E357" s="201"/>
      <c r="F357" s="204"/>
      <c r="G357" s="204"/>
      <c r="H357" s="205"/>
      <c r="I357" s="205"/>
      <c r="J357" s="206"/>
      <c r="K357" s="205"/>
      <c r="L357" s="205"/>
      <c r="M357" s="201"/>
      <c r="N357" s="207"/>
      <c r="O357" s="208"/>
      <c r="P357" s="208"/>
      <c r="Q357" s="208"/>
      <c r="R357" s="208"/>
      <c r="S357" s="208"/>
      <c r="T357" s="208"/>
      <c r="U357" s="209"/>
      <c r="V357" s="210"/>
    </row>
    <row r="358" ht="15.75" customHeight="1">
      <c r="A358" s="200"/>
      <c r="B358" s="201"/>
      <c r="C358" s="202"/>
      <c r="D358" s="203"/>
      <c r="E358" s="201"/>
      <c r="F358" s="204"/>
      <c r="G358" s="204"/>
      <c r="H358" s="205"/>
      <c r="I358" s="205"/>
      <c r="J358" s="206"/>
      <c r="K358" s="205"/>
      <c r="L358" s="205"/>
      <c r="M358" s="201"/>
      <c r="N358" s="207"/>
      <c r="O358" s="208"/>
      <c r="P358" s="208"/>
      <c r="Q358" s="208"/>
      <c r="R358" s="208"/>
      <c r="S358" s="208"/>
      <c r="T358" s="208"/>
      <c r="U358" s="209"/>
      <c r="V358" s="210"/>
    </row>
    <row r="359" ht="15.75" customHeight="1">
      <c r="A359" s="200"/>
      <c r="B359" s="201"/>
      <c r="C359" s="202"/>
      <c r="D359" s="203"/>
      <c r="E359" s="201"/>
      <c r="F359" s="204"/>
      <c r="G359" s="204"/>
      <c r="H359" s="205"/>
      <c r="I359" s="205"/>
      <c r="J359" s="206"/>
      <c r="K359" s="205"/>
      <c r="L359" s="205"/>
      <c r="M359" s="201"/>
      <c r="N359" s="207"/>
      <c r="O359" s="208"/>
      <c r="P359" s="208"/>
      <c r="Q359" s="208"/>
      <c r="R359" s="208"/>
      <c r="S359" s="208"/>
      <c r="T359" s="208"/>
      <c r="U359" s="209"/>
      <c r="V359" s="210"/>
    </row>
    <row r="360" ht="15.75" customHeight="1">
      <c r="A360" s="200"/>
      <c r="B360" s="201"/>
      <c r="C360" s="202"/>
      <c r="D360" s="203"/>
      <c r="E360" s="201"/>
      <c r="F360" s="204"/>
      <c r="G360" s="204"/>
      <c r="H360" s="205"/>
      <c r="I360" s="205"/>
      <c r="J360" s="206"/>
      <c r="K360" s="205"/>
      <c r="L360" s="205"/>
      <c r="M360" s="201"/>
      <c r="N360" s="207"/>
      <c r="O360" s="208"/>
      <c r="P360" s="208"/>
      <c r="Q360" s="208"/>
      <c r="R360" s="208"/>
      <c r="S360" s="208"/>
      <c r="T360" s="208"/>
      <c r="U360" s="209"/>
      <c r="V360" s="210"/>
    </row>
    <row r="361" ht="15.75" customHeight="1">
      <c r="A361" s="200"/>
      <c r="B361" s="201"/>
      <c r="C361" s="202"/>
      <c r="D361" s="203"/>
      <c r="E361" s="201"/>
      <c r="F361" s="204"/>
      <c r="G361" s="204"/>
      <c r="H361" s="205"/>
      <c r="I361" s="205"/>
      <c r="J361" s="206"/>
      <c r="K361" s="205"/>
      <c r="L361" s="205"/>
      <c r="M361" s="201"/>
      <c r="N361" s="207"/>
      <c r="O361" s="208"/>
      <c r="P361" s="208"/>
      <c r="Q361" s="208"/>
      <c r="R361" s="208"/>
      <c r="S361" s="208"/>
      <c r="T361" s="208"/>
      <c r="U361" s="209"/>
      <c r="V361" s="210"/>
    </row>
    <row r="362" ht="15.75" customHeight="1">
      <c r="A362" s="200"/>
      <c r="B362" s="201"/>
      <c r="C362" s="202"/>
      <c r="D362" s="203"/>
      <c r="E362" s="201"/>
      <c r="F362" s="204"/>
      <c r="G362" s="204"/>
      <c r="H362" s="205"/>
      <c r="I362" s="205"/>
      <c r="J362" s="206"/>
      <c r="K362" s="205"/>
      <c r="L362" s="205"/>
      <c r="M362" s="201"/>
      <c r="N362" s="207"/>
      <c r="O362" s="208"/>
      <c r="P362" s="208"/>
      <c r="Q362" s="208"/>
      <c r="R362" s="208"/>
      <c r="S362" s="208"/>
      <c r="T362" s="208"/>
      <c r="U362" s="209"/>
      <c r="V362" s="210"/>
    </row>
    <row r="363" ht="15.75" customHeight="1">
      <c r="A363" s="200"/>
      <c r="B363" s="201"/>
      <c r="C363" s="202"/>
      <c r="D363" s="203"/>
      <c r="E363" s="201"/>
      <c r="F363" s="204"/>
      <c r="G363" s="204"/>
      <c r="H363" s="205"/>
      <c r="I363" s="205"/>
      <c r="J363" s="206"/>
      <c r="K363" s="205"/>
      <c r="L363" s="205"/>
      <c r="M363" s="201"/>
      <c r="N363" s="207"/>
      <c r="O363" s="208"/>
      <c r="P363" s="208"/>
      <c r="Q363" s="208"/>
      <c r="R363" s="208"/>
      <c r="S363" s="208"/>
      <c r="T363" s="208"/>
      <c r="U363" s="209"/>
      <c r="V363" s="210"/>
    </row>
    <row r="364" ht="15.75" customHeight="1">
      <c r="A364" s="200"/>
      <c r="B364" s="201"/>
      <c r="C364" s="202"/>
      <c r="D364" s="203"/>
      <c r="E364" s="201"/>
      <c r="F364" s="204"/>
      <c r="G364" s="204"/>
      <c r="H364" s="205"/>
      <c r="I364" s="205"/>
      <c r="J364" s="206"/>
      <c r="K364" s="205"/>
      <c r="L364" s="205"/>
      <c r="M364" s="201"/>
      <c r="N364" s="207"/>
      <c r="O364" s="208"/>
      <c r="P364" s="208"/>
      <c r="Q364" s="208"/>
      <c r="R364" s="208"/>
      <c r="S364" s="208"/>
      <c r="T364" s="208"/>
      <c r="U364" s="209"/>
      <c r="V364" s="210"/>
    </row>
    <row r="365" ht="15.75" customHeight="1">
      <c r="A365" s="200"/>
      <c r="B365" s="201"/>
      <c r="C365" s="202"/>
      <c r="D365" s="203"/>
      <c r="E365" s="201"/>
      <c r="F365" s="204"/>
      <c r="G365" s="204"/>
      <c r="H365" s="205"/>
      <c r="I365" s="205"/>
      <c r="J365" s="206"/>
      <c r="K365" s="205"/>
      <c r="L365" s="205"/>
      <c r="M365" s="201"/>
      <c r="N365" s="207"/>
      <c r="O365" s="208"/>
      <c r="P365" s="208"/>
      <c r="Q365" s="208"/>
      <c r="R365" s="208"/>
      <c r="S365" s="208"/>
      <c r="T365" s="208"/>
      <c r="U365" s="209"/>
      <c r="V365" s="210"/>
    </row>
    <row r="366" ht="15.75" customHeight="1">
      <c r="A366" s="200"/>
      <c r="B366" s="201"/>
      <c r="C366" s="202"/>
      <c r="D366" s="203"/>
      <c r="E366" s="201"/>
      <c r="F366" s="204"/>
      <c r="G366" s="204"/>
      <c r="H366" s="205"/>
      <c r="I366" s="205"/>
      <c r="J366" s="206"/>
      <c r="K366" s="205"/>
      <c r="L366" s="205"/>
      <c r="M366" s="201"/>
      <c r="N366" s="207"/>
      <c r="O366" s="208"/>
      <c r="P366" s="208"/>
      <c r="Q366" s="208"/>
      <c r="R366" s="208"/>
      <c r="S366" s="208"/>
      <c r="T366" s="208"/>
      <c r="U366" s="209"/>
      <c r="V366" s="210"/>
    </row>
    <row r="367" ht="15.75" customHeight="1">
      <c r="A367" s="200"/>
      <c r="B367" s="201"/>
      <c r="C367" s="202"/>
      <c r="D367" s="203"/>
      <c r="E367" s="201"/>
      <c r="F367" s="204"/>
      <c r="G367" s="204"/>
      <c r="H367" s="205"/>
      <c r="I367" s="205"/>
      <c r="J367" s="206"/>
      <c r="K367" s="205"/>
      <c r="L367" s="205"/>
      <c r="M367" s="201"/>
      <c r="N367" s="207"/>
      <c r="O367" s="208"/>
      <c r="P367" s="208"/>
      <c r="Q367" s="208"/>
      <c r="R367" s="208"/>
      <c r="S367" s="208"/>
      <c r="T367" s="208"/>
      <c r="U367" s="209"/>
      <c r="V367" s="210"/>
    </row>
    <row r="368" ht="15.75" customHeight="1">
      <c r="A368" s="200"/>
      <c r="B368" s="201"/>
      <c r="C368" s="202"/>
      <c r="D368" s="203"/>
      <c r="E368" s="201"/>
      <c r="F368" s="204"/>
      <c r="G368" s="204"/>
      <c r="H368" s="205"/>
      <c r="I368" s="205"/>
      <c r="J368" s="206"/>
      <c r="K368" s="205"/>
      <c r="L368" s="205"/>
      <c r="M368" s="201"/>
      <c r="N368" s="207"/>
      <c r="O368" s="208"/>
      <c r="P368" s="208"/>
      <c r="Q368" s="208"/>
      <c r="R368" s="208"/>
      <c r="S368" s="208"/>
      <c r="T368" s="208"/>
      <c r="U368" s="209"/>
      <c r="V368" s="210"/>
    </row>
    <row r="369" ht="15.75" customHeight="1">
      <c r="A369" s="200"/>
      <c r="B369" s="201"/>
      <c r="C369" s="202"/>
      <c r="D369" s="203"/>
      <c r="E369" s="201"/>
      <c r="F369" s="204"/>
      <c r="G369" s="204"/>
      <c r="H369" s="205"/>
      <c r="I369" s="205"/>
      <c r="J369" s="206"/>
      <c r="K369" s="205"/>
      <c r="L369" s="205"/>
      <c r="M369" s="201"/>
      <c r="N369" s="207"/>
      <c r="O369" s="208"/>
      <c r="P369" s="208"/>
      <c r="Q369" s="208"/>
      <c r="R369" s="208"/>
      <c r="S369" s="208"/>
      <c r="T369" s="208"/>
      <c r="U369" s="209"/>
      <c r="V369" s="210"/>
    </row>
    <row r="370" ht="15.75" customHeight="1">
      <c r="A370" s="200"/>
      <c r="B370" s="201"/>
      <c r="C370" s="202"/>
      <c r="D370" s="203"/>
      <c r="E370" s="201"/>
      <c r="F370" s="204"/>
      <c r="G370" s="204"/>
      <c r="H370" s="205"/>
      <c r="I370" s="205"/>
      <c r="J370" s="206"/>
      <c r="K370" s="205"/>
      <c r="L370" s="205"/>
      <c r="M370" s="201"/>
      <c r="N370" s="207"/>
      <c r="O370" s="208"/>
      <c r="P370" s="208"/>
      <c r="Q370" s="208"/>
      <c r="R370" s="208"/>
      <c r="S370" s="208"/>
      <c r="T370" s="208"/>
      <c r="U370" s="209"/>
      <c r="V370" s="210"/>
    </row>
    <row r="371" ht="15.75" customHeight="1">
      <c r="A371" s="200"/>
      <c r="B371" s="201"/>
      <c r="C371" s="202"/>
      <c r="D371" s="203"/>
      <c r="E371" s="201"/>
      <c r="F371" s="204"/>
      <c r="G371" s="204"/>
      <c r="H371" s="205"/>
      <c r="I371" s="205"/>
      <c r="J371" s="206"/>
      <c r="K371" s="205"/>
      <c r="L371" s="205"/>
      <c r="M371" s="201"/>
      <c r="N371" s="207"/>
      <c r="O371" s="208"/>
      <c r="P371" s="208"/>
      <c r="Q371" s="208"/>
      <c r="R371" s="208"/>
      <c r="S371" s="208"/>
      <c r="T371" s="208"/>
      <c r="U371" s="209"/>
      <c r="V371" s="210"/>
    </row>
    <row r="372" ht="15.75" customHeight="1">
      <c r="A372" s="200"/>
      <c r="B372" s="201"/>
      <c r="C372" s="202"/>
      <c r="D372" s="203"/>
      <c r="E372" s="201"/>
      <c r="F372" s="204"/>
      <c r="G372" s="204"/>
      <c r="H372" s="205"/>
      <c r="I372" s="205"/>
      <c r="J372" s="206"/>
      <c r="K372" s="205"/>
      <c r="L372" s="205"/>
      <c r="M372" s="201"/>
      <c r="N372" s="207"/>
      <c r="O372" s="208"/>
      <c r="P372" s="208"/>
      <c r="Q372" s="208"/>
      <c r="R372" s="208"/>
      <c r="S372" s="208"/>
      <c r="T372" s="208"/>
      <c r="U372" s="209"/>
      <c r="V372" s="210"/>
    </row>
    <row r="373" ht="15.75" customHeight="1">
      <c r="A373" s="200"/>
      <c r="B373" s="201"/>
      <c r="C373" s="202"/>
      <c r="D373" s="203"/>
      <c r="E373" s="201"/>
      <c r="F373" s="204"/>
      <c r="G373" s="204"/>
      <c r="H373" s="205"/>
      <c r="I373" s="205"/>
      <c r="J373" s="206"/>
      <c r="K373" s="205"/>
      <c r="L373" s="205"/>
      <c r="M373" s="201"/>
      <c r="N373" s="207"/>
      <c r="O373" s="208"/>
      <c r="P373" s="208"/>
      <c r="Q373" s="208"/>
      <c r="R373" s="208"/>
      <c r="S373" s="208"/>
      <c r="T373" s="208"/>
      <c r="U373" s="209"/>
      <c r="V373" s="210"/>
    </row>
    <row r="374" ht="15.75" customHeight="1">
      <c r="A374" s="200"/>
      <c r="B374" s="201"/>
      <c r="C374" s="202"/>
      <c r="D374" s="203"/>
      <c r="E374" s="201"/>
      <c r="F374" s="204"/>
      <c r="G374" s="204"/>
      <c r="H374" s="205"/>
      <c r="I374" s="205"/>
      <c r="J374" s="206"/>
      <c r="K374" s="205"/>
      <c r="L374" s="205"/>
      <c r="M374" s="201"/>
      <c r="N374" s="207"/>
      <c r="O374" s="208"/>
      <c r="P374" s="208"/>
      <c r="Q374" s="208"/>
      <c r="R374" s="208"/>
      <c r="S374" s="208"/>
      <c r="T374" s="208"/>
      <c r="U374" s="209"/>
      <c r="V374" s="210"/>
    </row>
    <row r="375" ht="15.75" customHeight="1">
      <c r="A375" s="200"/>
      <c r="B375" s="201"/>
      <c r="C375" s="202"/>
      <c r="D375" s="203"/>
      <c r="E375" s="201"/>
      <c r="F375" s="204"/>
      <c r="G375" s="204"/>
      <c r="H375" s="205"/>
      <c r="I375" s="205"/>
      <c r="J375" s="206"/>
      <c r="K375" s="205"/>
      <c r="L375" s="205"/>
      <c r="M375" s="201"/>
      <c r="N375" s="207"/>
      <c r="O375" s="208"/>
      <c r="P375" s="208"/>
      <c r="Q375" s="208"/>
      <c r="R375" s="208"/>
      <c r="S375" s="208"/>
      <c r="T375" s="208"/>
      <c r="U375" s="209"/>
      <c r="V375" s="210"/>
    </row>
    <row r="376" ht="15.75" customHeight="1">
      <c r="A376" s="200"/>
      <c r="B376" s="201"/>
      <c r="C376" s="202"/>
      <c r="D376" s="203"/>
      <c r="E376" s="201"/>
      <c r="F376" s="204"/>
      <c r="G376" s="204"/>
      <c r="H376" s="205"/>
      <c r="I376" s="205"/>
      <c r="J376" s="206"/>
      <c r="K376" s="205"/>
      <c r="L376" s="205"/>
      <c r="M376" s="201"/>
      <c r="N376" s="207"/>
      <c r="O376" s="208"/>
      <c r="P376" s="208"/>
      <c r="Q376" s="208"/>
      <c r="R376" s="208"/>
      <c r="S376" s="208"/>
      <c r="T376" s="208"/>
      <c r="U376" s="209"/>
      <c r="V376" s="210"/>
    </row>
    <row r="377" ht="15.75" customHeight="1">
      <c r="A377" s="200"/>
      <c r="B377" s="201"/>
      <c r="C377" s="202"/>
      <c r="D377" s="203"/>
      <c r="E377" s="201"/>
      <c r="F377" s="204"/>
      <c r="G377" s="204"/>
      <c r="H377" s="205"/>
      <c r="I377" s="205"/>
      <c r="J377" s="206"/>
      <c r="K377" s="205"/>
      <c r="L377" s="205"/>
      <c r="M377" s="201"/>
      <c r="N377" s="207"/>
      <c r="O377" s="208"/>
      <c r="P377" s="208"/>
      <c r="Q377" s="208"/>
      <c r="R377" s="208"/>
      <c r="S377" s="208"/>
      <c r="T377" s="208"/>
      <c r="U377" s="209"/>
      <c r="V377" s="210"/>
    </row>
    <row r="378" ht="15.75" customHeight="1">
      <c r="A378" s="200"/>
      <c r="B378" s="201"/>
      <c r="C378" s="202"/>
      <c r="D378" s="203"/>
      <c r="E378" s="201"/>
      <c r="F378" s="204"/>
      <c r="G378" s="204"/>
      <c r="H378" s="205"/>
      <c r="I378" s="205"/>
      <c r="J378" s="206"/>
      <c r="K378" s="205"/>
      <c r="L378" s="205"/>
      <c r="M378" s="201"/>
      <c r="N378" s="207"/>
      <c r="O378" s="208"/>
      <c r="P378" s="208"/>
      <c r="Q378" s="208"/>
      <c r="R378" s="208"/>
      <c r="S378" s="208"/>
      <c r="T378" s="208"/>
      <c r="U378" s="209"/>
      <c r="V378" s="210"/>
    </row>
    <row r="379" ht="15.75" customHeight="1">
      <c r="A379" s="200"/>
      <c r="B379" s="201"/>
      <c r="C379" s="202"/>
      <c r="D379" s="203"/>
      <c r="E379" s="201"/>
      <c r="F379" s="204"/>
      <c r="G379" s="204"/>
      <c r="H379" s="205"/>
      <c r="I379" s="205"/>
      <c r="J379" s="206"/>
      <c r="K379" s="205"/>
      <c r="L379" s="205"/>
      <c r="M379" s="201"/>
      <c r="N379" s="207"/>
      <c r="O379" s="208"/>
      <c r="P379" s="208"/>
      <c r="Q379" s="208"/>
      <c r="R379" s="208"/>
      <c r="S379" s="208"/>
      <c r="T379" s="208"/>
      <c r="U379" s="209"/>
      <c r="V379" s="210"/>
    </row>
    <row r="380" ht="15.75" customHeight="1">
      <c r="A380" s="200"/>
      <c r="B380" s="201"/>
      <c r="C380" s="202"/>
      <c r="D380" s="203"/>
      <c r="E380" s="201"/>
      <c r="F380" s="204"/>
      <c r="G380" s="204"/>
      <c r="H380" s="205"/>
      <c r="I380" s="205"/>
      <c r="J380" s="206"/>
      <c r="K380" s="205"/>
      <c r="L380" s="205"/>
      <c r="M380" s="201"/>
      <c r="N380" s="207"/>
      <c r="O380" s="208"/>
      <c r="P380" s="208"/>
      <c r="Q380" s="208"/>
      <c r="R380" s="208"/>
      <c r="S380" s="208"/>
      <c r="T380" s="208"/>
      <c r="U380" s="209"/>
      <c r="V380" s="210"/>
    </row>
    <row r="381" ht="15.75" customHeight="1">
      <c r="A381" s="200"/>
      <c r="B381" s="201"/>
      <c r="C381" s="202"/>
      <c r="D381" s="203"/>
      <c r="E381" s="201"/>
      <c r="F381" s="204"/>
      <c r="G381" s="204"/>
      <c r="H381" s="205"/>
      <c r="I381" s="205"/>
      <c r="J381" s="206"/>
      <c r="K381" s="205"/>
      <c r="L381" s="205"/>
      <c r="M381" s="201"/>
      <c r="N381" s="207"/>
      <c r="O381" s="208"/>
      <c r="P381" s="208"/>
      <c r="Q381" s="208"/>
      <c r="R381" s="208"/>
      <c r="S381" s="208"/>
      <c r="T381" s="208"/>
      <c r="U381" s="209"/>
      <c r="V381" s="210"/>
    </row>
    <row r="382" ht="15.75" customHeight="1">
      <c r="A382" s="200"/>
      <c r="B382" s="201"/>
      <c r="C382" s="202"/>
      <c r="D382" s="203"/>
      <c r="E382" s="201"/>
      <c r="F382" s="204"/>
      <c r="G382" s="204"/>
      <c r="H382" s="205"/>
      <c r="I382" s="205"/>
      <c r="J382" s="206"/>
      <c r="K382" s="205"/>
      <c r="L382" s="205"/>
      <c r="M382" s="201"/>
      <c r="N382" s="207"/>
      <c r="O382" s="208"/>
      <c r="P382" s="208"/>
      <c r="Q382" s="208"/>
      <c r="R382" s="208"/>
      <c r="S382" s="208"/>
      <c r="T382" s="208"/>
      <c r="U382" s="209"/>
      <c r="V382" s="210"/>
    </row>
    <row r="383" ht="15.75" customHeight="1">
      <c r="A383" s="200"/>
      <c r="B383" s="201"/>
      <c r="C383" s="202"/>
      <c r="D383" s="203"/>
      <c r="E383" s="201"/>
      <c r="F383" s="204"/>
      <c r="G383" s="204"/>
      <c r="H383" s="205"/>
      <c r="I383" s="205"/>
      <c r="J383" s="206"/>
      <c r="K383" s="205"/>
      <c r="L383" s="205"/>
      <c r="M383" s="201"/>
      <c r="N383" s="207"/>
      <c r="O383" s="208"/>
      <c r="P383" s="208"/>
      <c r="Q383" s="208"/>
      <c r="R383" s="208"/>
      <c r="S383" s="208"/>
      <c r="T383" s="208"/>
      <c r="U383" s="209"/>
      <c r="V383" s="210"/>
    </row>
    <row r="384" ht="15.75" customHeight="1">
      <c r="A384" s="200"/>
      <c r="B384" s="201"/>
      <c r="C384" s="202"/>
      <c r="D384" s="203"/>
      <c r="E384" s="201"/>
      <c r="F384" s="204"/>
      <c r="G384" s="204"/>
      <c r="H384" s="205"/>
      <c r="I384" s="205"/>
      <c r="J384" s="206"/>
      <c r="K384" s="205"/>
      <c r="L384" s="205"/>
      <c r="M384" s="201"/>
      <c r="N384" s="207"/>
      <c r="O384" s="208"/>
      <c r="P384" s="208"/>
      <c r="Q384" s="208"/>
      <c r="R384" s="208"/>
      <c r="S384" s="208"/>
      <c r="T384" s="208"/>
      <c r="U384" s="209"/>
      <c r="V384" s="210"/>
    </row>
    <row r="385" ht="15.75" customHeight="1">
      <c r="A385" s="200"/>
      <c r="B385" s="201"/>
      <c r="C385" s="202"/>
      <c r="D385" s="203"/>
      <c r="E385" s="201"/>
      <c r="F385" s="204"/>
      <c r="G385" s="204"/>
      <c r="H385" s="205"/>
      <c r="I385" s="205"/>
      <c r="J385" s="206"/>
      <c r="K385" s="205"/>
      <c r="L385" s="205"/>
      <c r="M385" s="201"/>
      <c r="N385" s="207"/>
      <c r="O385" s="208"/>
      <c r="P385" s="208"/>
      <c r="Q385" s="208"/>
      <c r="R385" s="208"/>
      <c r="S385" s="208"/>
      <c r="T385" s="208"/>
      <c r="U385" s="209"/>
      <c r="V385" s="210"/>
    </row>
    <row r="386" ht="15.75" customHeight="1">
      <c r="A386" s="200"/>
      <c r="B386" s="201"/>
      <c r="C386" s="202"/>
      <c r="D386" s="203"/>
      <c r="E386" s="201"/>
      <c r="F386" s="204"/>
      <c r="G386" s="204"/>
      <c r="H386" s="205"/>
      <c r="I386" s="205"/>
      <c r="J386" s="206"/>
      <c r="K386" s="205"/>
      <c r="L386" s="205"/>
      <c r="M386" s="201"/>
      <c r="N386" s="207"/>
      <c r="O386" s="208"/>
      <c r="P386" s="208"/>
      <c r="Q386" s="208"/>
      <c r="R386" s="208"/>
      <c r="S386" s="208"/>
      <c r="T386" s="208"/>
      <c r="U386" s="209"/>
      <c r="V386" s="210"/>
    </row>
    <row r="387" ht="15.75" customHeight="1">
      <c r="A387" s="200"/>
      <c r="B387" s="201"/>
      <c r="C387" s="202"/>
      <c r="D387" s="203"/>
      <c r="E387" s="201"/>
      <c r="F387" s="204"/>
      <c r="G387" s="204"/>
      <c r="H387" s="205"/>
      <c r="I387" s="205"/>
      <c r="J387" s="206"/>
      <c r="K387" s="205"/>
      <c r="L387" s="205"/>
      <c r="M387" s="201"/>
      <c r="N387" s="207"/>
      <c r="O387" s="208"/>
      <c r="P387" s="208"/>
      <c r="Q387" s="208"/>
      <c r="R387" s="208"/>
      <c r="S387" s="208"/>
      <c r="T387" s="208"/>
      <c r="U387" s="209"/>
      <c r="V387" s="210"/>
    </row>
    <row r="388" ht="15.75" customHeight="1">
      <c r="A388" s="200"/>
      <c r="B388" s="201"/>
      <c r="C388" s="202"/>
      <c r="D388" s="203"/>
      <c r="E388" s="201"/>
      <c r="F388" s="204"/>
      <c r="G388" s="204"/>
      <c r="H388" s="205"/>
      <c r="I388" s="205"/>
      <c r="J388" s="206"/>
      <c r="K388" s="205"/>
      <c r="L388" s="205"/>
      <c r="M388" s="201"/>
      <c r="N388" s="207"/>
      <c r="O388" s="208"/>
      <c r="P388" s="208"/>
      <c r="Q388" s="208"/>
      <c r="R388" s="208"/>
      <c r="S388" s="208"/>
      <c r="T388" s="208"/>
      <c r="U388" s="209"/>
      <c r="V388" s="210"/>
    </row>
    <row r="389" ht="15.75" customHeight="1">
      <c r="A389" s="200"/>
      <c r="B389" s="201"/>
      <c r="C389" s="202"/>
      <c r="D389" s="203"/>
      <c r="E389" s="201"/>
      <c r="F389" s="204"/>
      <c r="G389" s="204"/>
      <c r="H389" s="205"/>
      <c r="I389" s="205"/>
      <c r="J389" s="206"/>
      <c r="K389" s="205"/>
      <c r="L389" s="205"/>
      <c r="M389" s="201"/>
      <c r="N389" s="207"/>
      <c r="O389" s="208"/>
      <c r="P389" s="208"/>
      <c r="Q389" s="208"/>
      <c r="R389" s="208"/>
      <c r="S389" s="208"/>
      <c r="T389" s="208"/>
      <c r="U389" s="209"/>
      <c r="V389" s="210"/>
    </row>
    <row r="390" ht="15.75" customHeight="1">
      <c r="A390" s="200"/>
      <c r="B390" s="201"/>
      <c r="C390" s="202"/>
      <c r="D390" s="203"/>
      <c r="E390" s="201"/>
      <c r="F390" s="204"/>
      <c r="G390" s="204"/>
      <c r="H390" s="205"/>
      <c r="I390" s="205"/>
      <c r="J390" s="206"/>
      <c r="K390" s="205"/>
      <c r="L390" s="205"/>
      <c r="M390" s="201"/>
      <c r="N390" s="207"/>
      <c r="O390" s="208"/>
      <c r="P390" s="208"/>
      <c r="Q390" s="208"/>
      <c r="R390" s="208"/>
      <c r="S390" s="208"/>
      <c r="T390" s="208"/>
      <c r="U390" s="209"/>
      <c r="V390" s="210"/>
    </row>
    <row r="391" ht="15.75" customHeight="1">
      <c r="A391" s="200"/>
      <c r="B391" s="201"/>
      <c r="C391" s="202"/>
      <c r="D391" s="203"/>
      <c r="E391" s="201"/>
      <c r="F391" s="204"/>
      <c r="G391" s="204"/>
      <c r="H391" s="205"/>
      <c r="I391" s="205"/>
      <c r="J391" s="206"/>
      <c r="K391" s="205"/>
      <c r="L391" s="205"/>
      <c r="M391" s="201"/>
      <c r="N391" s="207"/>
      <c r="O391" s="208"/>
      <c r="P391" s="208"/>
      <c r="Q391" s="208"/>
      <c r="R391" s="208"/>
      <c r="S391" s="208"/>
      <c r="T391" s="208"/>
      <c r="U391" s="209"/>
      <c r="V391" s="210"/>
    </row>
    <row r="392" ht="15.75" customHeight="1">
      <c r="A392" s="200"/>
      <c r="B392" s="201"/>
      <c r="C392" s="202"/>
      <c r="D392" s="203"/>
      <c r="E392" s="201"/>
      <c r="F392" s="204"/>
      <c r="G392" s="204"/>
      <c r="H392" s="205"/>
      <c r="I392" s="205"/>
      <c r="J392" s="206"/>
      <c r="K392" s="205"/>
      <c r="L392" s="205"/>
      <c r="M392" s="201"/>
      <c r="N392" s="207"/>
      <c r="O392" s="208"/>
      <c r="P392" s="208"/>
      <c r="Q392" s="208"/>
      <c r="R392" s="208"/>
      <c r="S392" s="208"/>
      <c r="T392" s="208"/>
      <c r="U392" s="209"/>
      <c r="V392" s="210"/>
    </row>
    <row r="393" ht="15.75" customHeight="1">
      <c r="A393" s="200"/>
      <c r="B393" s="201"/>
      <c r="C393" s="202"/>
      <c r="D393" s="203"/>
      <c r="E393" s="201"/>
      <c r="F393" s="204"/>
      <c r="G393" s="204"/>
      <c r="H393" s="205"/>
      <c r="I393" s="205"/>
      <c r="J393" s="206"/>
      <c r="K393" s="205"/>
      <c r="L393" s="205"/>
      <c r="M393" s="201"/>
      <c r="N393" s="207"/>
      <c r="O393" s="208"/>
      <c r="P393" s="208"/>
      <c r="Q393" s="208"/>
      <c r="R393" s="208"/>
      <c r="S393" s="208"/>
      <c r="T393" s="208"/>
      <c r="U393" s="209"/>
      <c r="V393" s="210"/>
    </row>
    <row r="394" ht="15.75" customHeight="1">
      <c r="A394" s="200"/>
      <c r="B394" s="201"/>
      <c r="C394" s="202"/>
      <c r="D394" s="203"/>
      <c r="E394" s="201"/>
      <c r="F394" s="204"/>
      <c r="G394" s="204"/>
      <c r="H394" s="205"/>
      <c r="I394" s="205"/>
      <c r="J394" s="206"/>
      <c r="K394" s="205"/>
      <c r="L394" s="205"/>
      <c r="M394" s="201"/>
      <c r="N394" s="207"/>
      <c r="O394" s="208"/>
      <c r="P394" s="208"/>
      <c r="Q394" s="208"/>
      <c r="R394" s="208"/>
      <c r="S394" s="208"/>
      <c r="T394" s="208"/>
      <c r="U394" s="209"/>
      <c r="V394" s="210"/>
    </row>
    <row r="395" ht="15.75" customHeight="1">
      <c r="A395" s="200"/>
      <c r="B395" s="201"/>
      <c r="C395" s="202"/>
      <c r="D395" s="203"/>
      <c r="E395" s="201"/>
      <c r="F395" s="204"/>
      <c r="G395" s="204"/>
      <c r="H395" s="205"/>
      <c r="I395" s="205"/>
      <c r="J395" s="206"/>
      <c r="K395" s="205"/>
      <c r="L395" s="205"/>
      <c r="M395" s="201"/>
      <c r="N395" s="207"/>
      <c r="O395" s="208"/>
      <c r="P395" s="208"/>
      <c r="Q395" s="208"/>
      <c r="R395" s="208"/>
      <c r="S395" s="208"/>
      <c r="T395" s="208"/>
      <c r="U395" s="209"/>
      <c r="V395" s="210"/>
    </row>
    <row r="396" ht="15.75" customHeight="1">
      <c r="A396" s="200"/>
      <c r="B396" s="201"/>
      <c r="C396" s="202"/>
      <c r="D396" s="203"/>
      <c r="E396" s="201"/>
      <c r="F396" s="204"/>
      <c r="G396" s="204"/>
      <c r="H396" s="205"/>
      <c r="I396" s="205"/>
      <c r="J396" s="206"/>
      <c r="K396" s="205"/>
      <c r="L396" s="205"/>
      <c r="M396" s="201"/>
      <c r="N396" s="207"/>
      <c r="O396" s="208"/>
      <c r="P396" s="208"/>
      <c r="Q396" s="208"/>
      <c r="R396" s="208"/>
      <c r="S396" s="208"/>
      <c r="T396" s="208"/>
      <c r="U396" s="209"/>
      <c r="V396" s="210"/>
    </row>
    <row r="397" ht="15.75" customHeight="1">
      <c r="A397" s="200"/>
      <c r="B397" s="201"/>
      <c r="C397" s="202"/>
      <c r="D397" s="203"/>
      <c r="E397" s="201"/>
      <c r="F397" s="204"/>
      <c r="G397" s="204"/>
      <c r="H397" s="205"/>
      <c r="I397" s="205"/>
      <c r="J397" s="206"/>
      <c r="K397" s="205"/>
      <c r="L397" s="205"/>
      <c r="M397" s="201"/>
      <c r="N397" s="207"/>
      <c r="O397" s="208"/>
      <c r="P397" s="208"/>
      <c r="Q397" s="208"/>
      <c r="R397" s="208"/>
      <c r="S397" s="208"/>
      <c r="T397" s="208"/>
      <c r="U397" s="209"/>
      <c r="V397" s="210"/>
    </row>
    <row r="398" ht="15.75" customHeight="1">
      <c r="A398" s="200"/>
      <c r="B398" s="201"/>
      <c r="C398" s="202"/>
      <c r="D398" s="203"/>
      <c r="E398" s="201"/>
      <c r="F398" s="204"/>
      <c r="G398" s="204"/>
      <c r="H398" s="205"/>
      <c r="I398" s="205"/>
      <c r="J398" s="206"/>
      <c r="K398" s="205"/>
      <c r="L398" s="205"/>
      <c r="M398" s="201"/>
      <c r="N398" s="207"/>
      <c r="O398" s="208"/>
      <c r="P398" s="208"/>
      <c r="Q398" s="208"/>
      <c r="R398" s="208"/>
      <c r="S398" s="208"/>
      <c r="T398" s="208"/>
      <c r="U398" s="209"/>
      <c r="V398" s="210"/>
    </row>
    <row r="399" ht="15.75" customHeight="1">
      <c r="A399" s="200"/>
      <c r="B399" s="201"/>
      <c r="C399" s="202"/>
      <c r="D399" s="203"/>
      <c r="E399" s="201"/>
      <c r="F399" s="204"/>
      <c r="G399" s="204"/>
      <c r="H399" s="205"/>
      <c r="I399" s="205"/>
      <c r="J399" s="206"/>
      <c r="K399" s="205"/>
      <c r="L399" s="205"/>
      <c r="M399" s="201"/>
      <c r="N399" s="207"/>
      <c r="O399" s="208"/>
      <c r="P399" s="208"/>
      <c r="Q399" s="208"/>
      <c r="R399" s="208"/>
      <c r="S399" s="208"/>
      <c r="T399" s="208"/>
      <c r="U399" s="209"/>
      <c r="V399" s="210"/>
    </row>
    <row r="400" ht="15.75" customHeight="1">
      <c r="A400" s="200"/>
      <c r="B400" s="201"/>
      <c r="C400" s="202"/>
      <c r="D400" s="203"/>
      <c r="E400" s="201"/>
      <c r="F400" s="204"/>
      <c r="G400" s="204"/>
      <c r="H400" s="205"/>
      <c r="I400" s="205"/>
      <c r="J400" s="206"/>
      <c r="K400" s="205"/>
      <c r="L400" s="205"/>
      <c r="M400" s="201"/>
      <c r="N400" s="207"/>
      <c r="O400" s="208"/>
      <c r="P400" s="208"/>
      <c r="Q400" s="208"/>
      <c r="R400" s="208"/>
      <c r="S400" s="208"/>
      <c r="T400" s="208"/>
      <c r="U400" s="209"/>
      <c r="V400" s="210"/>
    </row>
    <row r="401" ht="15.75" customHeight="1">
      <c r="A401" s="200"/>
      <c r="B401" s="201"/>
      <c r="C401" s="202"/>
      <c r="D401" s="203"/>
      <c r="E401" s="201"/>
      <c r="F401" s="204"/>
      <c r="G401" s="204"/>
      <c r="H401" s="205"/>
      <c r="I401" s="205"/>
      <c r="J401" s="206"/>
      <c r="K401" s="205"/>
      <c r="L401" s="205"/>
      <c r="M401" s="201"/>
      <c r="N401" s="207"/>
      <c r="O401" s="208"/>
      <c r="P401" s="208"/>
      <c r="Q401" s="208"/>
      <c r="R401" s="208"/>
      <c r="S401" s="208"/>
      <c r="T401" s="208"/>
      <c r="U401" s="209"/>
      <c r="V401" s="210"/>
    </row>
    <row r="402" ht="15.75" customHeight="1">
      <c r="A402" s="200"/>
      <c r="B402" s="201"/>
      <c r="C402" s="202"/>
      <c r="D402" s="203"/>
      <c r="E402" s="201"/>
      <c r="F402" s="204"/>
      <c r="G402" s="204"/>
      <c r="H402" s="205"/>
      <c r="I402" s="205"/>
      <c r="J402" s="206"/>
      <c r="K402" s="205"/>
      <c r="L402" s="205"/>
      <c r="M402" s="201"/>
      <c r="N402" s="207"/>
      <c r="O402" s="208"/>
      <c r="P402" s="208"/>
      <c r="Q402" s="208"/>
      <c r="R402" s="208"/>
      <c r="S402" s="208"/>
      <c r="T402" s="208"/>
      <c r="U402" s="209"/>
      <c r="V402" s="210"/>
    </row>
    <row r="403" ht="15.75" customHeight="1">
      <c r="A403" s="200"/>
      <c r="B403" s="201"/>
      <c r="C403" s="202"/>
      <c r="D403" s="203"/>
      <c r="E403" s="201"/>
      <c r="F403" s="204"/>
      <c r="G403" s="204"/>
      <c r="H403" s="205"/>
      <c r="I403" s="205"/>
      <c r="J403" s="206"/>
      <c r="K403" s="205"/>
      <c r="L403" s="205"/>
      <c r="M403" s="201"/>
      <c r="N403" s="207"/>
      <c r="O403" s="208"/>
      <c r="P403" s="208"/>
      <c r="Q403" s="208"/>
      <c r="R403" s="208"/>
      <c r="S403" s="208"/>
      <c r="T403" s="208"/>
      <c r="U403" s="209"/>
      <c r="V403" s="210"/>
    </row>
    <row r="404" ht="15.75" customHeight="1">
      <c r="A404" s="200"/>
      <c r="B404" s="201"/>
      <c r="C404" s="202"/>
      <c r="D404" s="203"/>
      <c r="E404" s="201"/>
      <c r="F404" s="204"/>
      <c r="G404" s="204"/>
      <c r="H404" s="205"/>
      <c r="I404" s="205"/>
      <c r="J404" s="206"/>
      <c r="K404" s="205"/>
      <c r="L404" s="205"/>
      <c r="M404" s="201"/>
      <c r="N404" s="207"/>
      <c r="O404" s="208"/>
      <c r="P404" s="208"/>
      <c r="Q404" s="208"/>
      <c r="R404" s="208"/>
      <c r="S404" s="208"/>
      <c r="T404" s="208"/>
      <c r="U404" s="209"/>
      <c r="V404" s="210"/>
    </row>
    <row r="405" ht="15.75" customHeight="1">
      <c r="A405" s="200"/>
      <c r="B405" s="201"/>
      <c r="C405" s="202"/>
      <c r="D405" s="203"/>
      <c r="E405" s="201"/>
      <c r="F405" s="204"/>
      <c r="G405" s="204"/>
      <c r="H405" s="205"/>
      <c r="I405" s="205"/>
      <c r="J405" s="206"/>
      <c r="K405" s="205"/>
      <c r="L405" s="205"/>
      <c r="M405" s="201"/>
      <c r="N405" s="207"/>
      <c r="O405" s="208"/>
      <c r="P405" s="208"/>
      <c r="Q405" s="208"/>
      <c r="R405" s="208"/>
      <c r="S405" s="208"/>
      <c r="T405" s="208"/>
      <c r="U405" s="209"/>
      <c r="V405" s="210"/>
    </row>
    <row r="406" ht="15.75" customHeight="1">
      <c r="A406" s="200"/>
      <c r="B406" s="201"/>
      <c r="C406" s="202"/>
      <c r="D406" s="203"/>
      <c r="E406" s="201"/>
      <c r="F406" s="204"/>
      <c r="G406" s="204"/>
      <c r="H406" s="205"/>
      <c r="I406" s="205"/>
      <c r="J406" s="206"/>
      <c r="K406" s="205"/>
      <c r="L406" s="205"/>
      <c r="M406" s="201"/>
      <c r="N406" s="207"/>
      <c r="O406" s="208"/>
      <c r="P406" s="208"/>
      <c r="Q406" s="208"/>
      <c r="R406" s="208"/>
      <c r="S406" s="208"/>
      <c r="T406" s="208"/>
      <c r="U406" s="209"/>
      <c r="V406" s="210"/>
    </row>
    <row r="407" ht="15.75" customHeight="1">
      <c r="A407" s="200"/>
      <c r="B407" s="201"/>
      <c r="C407" s="202"/>
      <c r="D407" s="203"/>
      <c r="E407" s="201"/>
      <c r="F407" s="204"/>
      <c r="G407" s="204"/>
      <c r="H407" s="205"/>
      <c r="I407" s="205"/>
      <c r="J407" s="206"/>
      <c r="K407" s="205"/>
      <c r="L407" s="205"/>
      <c r="M407" s="201"/>
      <c r="N407" s="207"/>
      <c r="O407" s="208"/>
      <c r="P407" s="208"/>
      <c r="Q407" s="208"/>
      <c r="R407" s="208"/>
      <c r="S407" s="208"/>
      <c r="T407" s="208"/>
      <c r="U407" s="209"/>
      <c r="V407" s="210"/>
    </row>
    <row r="408" ht="15.75" customHeight="1">
      <c r="A408" s="200"/>
      <c r="B408" s="201"/>
      <c r="C408" s="202"/>
      <c r="D408" s="203"/>
      <c r="E408" s="201"/>
      <c r="F408" s="204"/>
      <c r="G408" s="204"/>
      <c r="H408" s="205"/>
      <c r="I408" s="205"/>
      <c r="J408" s="206"/>
      <c r="K408" s="205"/>
      <c r="L408" s="205"/>
      <c r="M408" s="201"/>
      <c r="N408" s="207"/>
      <c r="O408" s="208"/>
      <c r="P408" s="208"/>
      <c r="Q408" s="208"/>
      <c r="R408" s="208"/>
      <c r="S408" s="208"/>
      <c r="T408" s="208"/>
      <c r="U408" s="209"/>
      <c r="V408" s="210"/>
    </row>
    <row r="409" ht="15.75" customHeight="1">
      <c r="A409" s="200"/>
      <c r="B409" s="201"/>
      <c r="C409" s="202"/>
      <c r="D409" s="203"/>
      <c r="E409" s="201"/>
      <c r="F409" s="204"/>
      <c r="G409" s="204"/>
      <c r="H409" s="205"/>
      <c r="I409" s="205"/>
      <c r="J409" s="206"/>
      <c r="K409" s="205"/>
      <c r="L409" s="205"/>
      <c r="M409" s="201"/>
      <c r="N409" s="207"/>
      <c r="O409" s="208"/>
      <c r="P409" s="208"/>
      <c r="Q409" s="208"/>
      <c r="R409" s="208"/>
      <c r="S409" s="208"/>
      <c r="T409" s="208"/>
      <c r="U409" s="209"/>
      <c r="V409" s="210"/>
    </row>
    <row r="410" ht="15.75" customHeight="1">
      <c r="A410" s="200"/>
      <c r="B410" s="201"/>
      <c r="C410" s="202"/>
      <c r="D410" s="203"/>
      <c r="E410" s="201"/>
      <c r="F410" s="204"/>
      <c r="G410" s="204"/>
      <c r="H410" s="205"/>
      <c r="I410" s="205"/>
      <c r="J410" s="206"/>
      <c r="K410" s="205"/>
      <c r="L410" s="205"/>
      <c r="M410" s="201"/>
      <c r="N410" s="207"/>
      <c r="O410" s="208"/>
      <c r="P410" s="208"/>
      <c r="Q410" s="208"/>
      <c r="R410" s="208"/>
      <c r="S410" s="208"/>
      <c r="T410" s="208"/>
      <c r="U410" s="209"/>
      <c r="V410" s="210"/>
    </row>
    <row r="411" ht="15.75" customHeight="1">
      <c r="A411" s="200"/>
      <c r="B411" s="201"/>
      <c r="C411" s="202"/>
      <c r="D411" s="203"/>
      <c r="E411" s="201"/>
      <c r="F411" s="204"/>
      <c r="G411" s="204"/>
      <c r="H411" s="205"/>
      <c r="I411" s="205"/>
      <c r="J411" s="206"/>
      <c r="K411" s="205"/>
      <c r="L411" s="205"/>
      <c r="M411" s="201"/>
      <c r="N411" s="207"/>
      <c r="O411" s="208"/>
      <c r="P411" s="208"/>
      <c r="Q411" s="208"/>
      <c r="R411" s="208"/>
      <c r="S411" s="208"/>
      <c r="T411" s="208"/>
      <c r="U411" s="209"/>
      <c r="V411" s="210"/>
    </row>
    <row r="412" ht="15.75" customHeight="1">
      <c r="A412" s="200"/>
      <c r="B412" s="201"/>
      <c r="C412" s="202"/>
      <c r="D412" s="203"/>
      <c r="E412" s="201"/>
      <c r="F412" s="204"/>
      <c r="G412" s="204"/>
      <c r="H412" s="205"/>
      <c r="I412" s="205"/>
      <c r="J412" s="206"/>
      <c r="K412" s="205"/>
      <c r="L412" s="205"/>
      <c r="M412" s="201"/>
      <c r="N412" s="207"/>
      <c r="O412" s="208"/>
      <c r="P412" s="208"/>
      <c r="Q412" s="208"/>
      <c r="R412" s="208"/>
      <c r="S412" s="208"/>
      <c r="T412" s="208"/>
      <c r="U412" s="209"/>
      <c r="V412" s="210"/>
    </row>
    <row r="413" ht="15.75" customHeight="1">
      <c r="A413" s="200"/>
      <c r="B413" s="201"/>
      <c r="C413" s="202"/>
      <c r="D413" s="203"/>
      <c r="E413" s="201"/>
      <c r="F413" s="204"/>
      <c r="G413" s="204"/>
      <c r="H413" s="205"/>
      <c r="I413" s="205"/>
      <c r="J413" s="206"/>
      <c r="K413" s="205"/>
      <c r="L413" s="205"/>
      <c r="M413" s="201"/>
      <c r="N413" s="207"/>
      <c r="O413" s="208"/>
      <c r="P413" s="208"/>
      <c r="Q413" s="208"/>
      <c r="R413" s="208"/>
      <c r="S413" s="208"/>
      <c r="T413" s="208"/>
      <c r="U413" s="209"/>
      <c r="V413" s="210"/>
    </row>
    <row r="414" ht="15.75" customHeight="1">
      <c r="A414" s="200"/>
      <c r="B414" s="201"/>
      <c r="C414" s="202"/>
      <c r="D414" s="203"/>
      <c r="E414" s="201"/>
      <c r="F414" s="204"/>
      <c r="G414" s="204"/>
      <c r="H414" s="205"/>
      <c r="I414" s="205"/>
      <c r="J414" s="206"/>
      <c r="K414" s="205"/>
      <c r="L414" s="205"/>
      <c r="M414" s="201"/>
      <c r="N414" s="207"/>
      <c r="O414" s="208"/>
      <c r="P414" s="208"/>
      <c r="Q414" s="208"/>
      <c r="R414" s="208"/>
      <c r="S414" s="208"/>
      <c r="T414" s="208"/>
      <c r="U414" s="209"/>
      <c r="V414" s="210"/>
    </row>
    <row r="415" ht="15.75" customHeight="1">
      <c r="A415" s="200"/>
      <c r="B415" s="201"/>
      <c r="C415" s="202"/>
      <c r="D415" s="203"/>
      <c r="E415" s="201"/>
      <c r="F415" s="204"/>
      <c r="G415" s="204"/>
      <c r="H415" s="205"/>
      <c r="I415" s="205"/>
      <c r="J415" s="206"/>
      <c r="K415" s="205"/>
      <c r="L415" s="205"/>
      <c r="M415" s="201"/>
      <c r="N415" s="207"/>
      <c r="O415" s="208"/>
      <c r="P415" s="208"/>
      <c r="Q415" s="208"/>
      <c r="R415" s="208"/>
      <c r="S415" s="208"/>
      <c r="T415" s="208"/>
      <c r="U415" s="209"/>
      <c r="V415" s="210"/>
    </row>
    <row r="416" ht="15.75" customHeight="1">
      <c r="A416" s="200"/>
      <c r="B416" s="201"/>
      <c r="C416" s="202"/>
      <c r="D416" s="203"/>
      <c r="E416" s="201"/>
      <c r="F416" s="204"/>
      <c r="G416" s="204"/>
      <c r="H416" s="205"/>
      <c r="I416" s="205"/>
      <c r="J416" s="206"/>
      <c r="K416" s="205"/>
      <c r="L416" s="205"/>
      <c r="M416" s="201"/>
      <c r="N416" s="207"/>
      <c r="O416" s="208"/>
      <c r="P416" s="208"/>
      <c r="Q416" s="208"/>
      <c r="R416" s="208"/>
      <c r="S416" s="208"/>
      <c r="T416" s="208"/>
      <c r="U416" s="209"/>
      <c r="V416" s="210"/>
    </row>
    <row r="417" ht="15.75" customHeight="1">
      <c r="A417" s="200"/>
      <c r="B417" s="201"/>
      <c r="C417" s="202"/>
      <c r="D417" s="203"/>
      <c r="E417" s="201"/>
      <c r="F417" s="204"/>
      <c r="G417" s="204"/>
      <c r="H417" s="205"/>
      <c r="I417" s="205"/>
      <c r="J417" s="206"/>
      <c r="K417" s="205"/>
      <c r="L417" s="205"/>
      <c r="M417" s="201"/>
      <c r="N417" s="207"/>
      <c r="O417" s="208"/>
      <c r="P417" s="208"/>
      <c r="Q417" s="208"/>
      <c r="R417" s="208"/>
      <c r="S417" s="208"/>
      <c r="T417" s="208"/>
      <c r="U417" s="209"/>
      <c r="V417" s="210"/>
    </row>
    <row r="418" ht="15.75" customHeight="1">
      <c r="A418" s="200"/>
      <c r="B418" s="201"/>
      <c r="C418" s="202"/>
      <c r="D418" s="203"/>
      <c r="E418" s="201"/>
      <c r="F418" s="204"/>
      <c r="G418" s="204"/>
      <c r="H418" s="205"/>
      <c r="I418" s="205"/>
      <c r="J418" s="206"/>
      <c r="K418" s="205"/>
      <c r="L418" s="205"/>
      <c r="M418" s="201"/>
      <c r="N418" s="207"/>
      <c r="O418" s="208"/>
      <c r="P418" s="208"/>
      <c r="Q418" s="208"/>
      <c r="R418" s="208"/>
      <c r="S418" s="208"/>
      <c r="T418" s="208"/>
      <c r="U418" s="209"/>
      <c r="V418" s="210"/>
    </row>
    <row r="419" ht="15.75" customHeight="1">
      <c r="A419" s="200"/>
      <c r="B419" s="201"/>
      <c r="C419" s="202"/>
      <c r="D419" s="203"/>
      <c r="E419" s="201"/>
      <c r="F419" s="204"/>
      <c r="G419" s="204"/>
      <c r="H419" s="205"/>
      <c r="I419" s="205"/>
      <c r="J419" s="206"/>
      <c r="K419" s="205"/>
      <c r="L419" s="205"/>
      <c r="M419" s="201"/>
      <c r="N419" s="207"/>
      <c r="O419" s="208"/>
      <c r="P419" s="208"/>
      <c r="Q419" s="208"/>
      <c r="R419" s="208"/>
      <c r="S419" s="208"/>
      <c r="T419" s="208"/>
      <c r="U419" s="209"/>
      <c r="V419" s="210"/>
    </row>
    <row r="420" ht="15.75" customHeight="1">
      <c r="A420" s="200"/>
      <c r="B420" s="201"/>
      <c r="C420" s="202"/>
      <c r="D420" s="203"/>
      <c r="E420" s="201"/>
      <c r="F420" s="204"/>
      <c r="G420" s="204"/>
      <c r="H420" s="205"/>
      <c r="I420" s="205"/>
      <c r="J420" s="206"/>
      <c r="K420" s="205"/>
      <c r="L420" s="205"/>
      <c r="M420" s="201"/>
      <c r="N420" s="207"/>
      <c r="O420" s="208"/>
      <c r="P420" s="208"/>
      <c r="Q420" s="208"/>
      <c r="R420" s="208"/>
      <c r="S420" s="208"/>
      <c r="T420" s="208"/>
      <c r="U420" s="209"/>
      <c r="V420" s="210"/>
    </row>
    <row r="421" ht="15.75" customHeight="1">
      <c r="A421" s="200"/>
      <c r="B421" s="201"/>
      <c r="C421" s="202"/>
      <c r="D421" s="203"/>
      <c r="E421" s="201"/>
      <c r="F421" s="204"/>
      <c r="G421" s="204"/>
      <c r="H421" s="205"/>
      <c r="I421" s="205"/>
      <c r="J421" s="206"/>
      <c r="K421" s="205"/>
      <c r="L421" s="205"/>
      <c r="M421" s="201"/>
      <c r="N421" s="207"/>
      <c r="O421" s="208"/>
      <c r="P421" s="208"/>
      <c r="Q421" s="208"/>
      <c r="R421" s="208"/>
      <c r="S421" s="208"/>
      <c r="T421" s="208"/>
      <c r="U421" s="209"/>
      <c r="V421" s="210"/>
    </row>
    <row r="422" ht="15.75" customHeight="1">
      <c r="A422" s="200"/>
      <c r="B422" s="201"/>
      <c r="C422" s="202"/>
      <c r="D422" s="203"/>
      <c r="E422" s="201"/>
      <c r="F422" s="204"/>
      <c r="G422" s="204"/>
      <c r="H422" s="205"/>
      <c r="I422" s="205"/>
      <c r="J422" s="206"/>
      <c r="K422" s="205"/>
      <c r="L422" s="205"/>
      <c r="M422" s="201"/>
      <c r="N422" s="207"/>
      <c r="O422" s="208"/>
      <c r="P422" s="208"/>
      <c r="Q422" s="208"/>
      <c r="R422" s="208"/>
      <c r="S422" s="208"/>
      <c r="T422" s="208"/>
      <c r="U422" s="209"/>
      <c r="V422" s="210"/>
    </row>
    <row r="423" ht="15.75" customHeight="1">
      <c r="A423" s="200"/>
      <c r="B423" s="201"/>
      <c r="C423" s="202"/>
      <c r="D423" s="203"/>
      <c r="E423" s="201"/>
      <c r="F423" s="204"/>
      <c r="G423" s="204"/>
      <c r="H423" s="205"/>
      <c r="I423" s="205"/>
      <c r="J423" s="206"/>
      <c r="K423" s="205"/>
      <c r="L423" s="205"/>
      <c r="M423" s="201"/>
      <c r="N423" s="207"/>
      <c r="O423" s="208"/>
      <c r="P423" s="208"/>
      <c r="Q423" s="208"/>
      <c r="R423" s="208"/>
      <c r="S423" s="208"/>
      <c r="T423" s="208"/>
      <c r="U423" s="209"/>
      <c r="V423" s="210"/>
    </row>
    <row r="424" ht="15.75" customHeight="1">
      <c r="A424" s="200"/>
      <c r="B424" s="201"/>
      <c r="C424" s="202"/>
      <c r="D424" s="203"/>
      <c r="E424" s="201"/>
      <c r="F424" s="204"/>
      <c r="G424" s="204"/>
      <c r="H424" s="205"/>
      <c r="I424" s="205"/>
      <c r="J424" s="206"/>
      <c r="K424" s="205"/>
      <c r="L424" s="205"/>
      <c r="M424" s="201"/>
      <c r="N424" s="207"/>
      <c r="O424" s="208"/>
      <c r="P424" s="208"/>
      <c r="Q424" s="208"/>
      <c r="R424" s="208"/>
      <c r="S424" s="208"/>
      <c r="T424" s="208"/>
      <c r="U424" s="209"/>
      <c r="V424" s="210"/>
    </row>
    <row r="425" ht="15.75" customHeight="1">
      <c r="A425" s="200"/>
      <c r="B425" s="201"/>
      <c r="C425" s="202"/>
      <c r="D425" s="203"/>
      <c r="E425" s="201"/>
      <c r="F425" s="204"/>
      <c r="G425" s="204"/>
      <c r="H425" s="205"/>
      <c r="I425" s="205"/>
      <c r="J425" s="206"/>
      <c r="K425" s="205"/>
      <c r="L425" s="205"/>
      <c r="M425" s="201"/>
      <c r="N425" s="207"/>
      <c r="O425" s="208"/>
      <c r="P425" s="208"/>
      <c r="Q425" s="208"/>
      <c r="R425" s="208"/>
      <c r="S425" s="208"/>
      <c r="T425" s="208"/>
      <c r="U425" s="209"/>
      <c r="V425" s="210"/>
    </row>
    <row r="426" ht="15.75" customHeight="1">
      <c r="A426" s="200"/>
      <c r="B426" s="201"/>
      <c r="C426" s="202"/>
      <c r="D426" s="203"/>
      <c r="E426" s="201"/>
      <c r="F426" s="204"/>
      <c r="G426" s="204"/>
      <c r="H426" s="205"/>
      <c r="I426" s="205"/>
      <c r="J426" s="206"/>
      <c r="K426" s="205"/>
      <c r="L426" s="205"/>
      <c r="M426" s="201"/>
      <c r="N426" s="207"/>
      <c r="O426" s="208"/>
      <c r="P426" s="208"/>
      <c r="Q426" s="208"/>
      <c r="R426" s="208"/>
      <c r="S426" s="208"/>
      <c r="T426" s="208"/>
      <c r="U426" s="209"/>
      <c r="V426" s="210"/>
    </row>
    <row r="427" ht="15.75" customHeight="1">
      <c r="A427" s="200"/>
      <c r="B427" s="201"/>
      <c r="C427" s="202"/>
      <c r="D427" s="203"/>
      <c r="E427" s="201"/>
      <c r="F427" s="204"/>
      <c r="G427" s="204"/>
      <c r="H427" s="205"/>
      <c r="I427" s="205"/>
      <c r="J427" s="206"/>
      <c r="K427" s="205"/>
      <c r="L427" s="205"/>
      <c r="M427" s="201"/>
      <c r="N427" s="207"/>
      <c r="O427" s="208"/>
      <c r="P427" s="208"/>
      <c r="Q427" s="208"/>
      <c r="R427" s="208"/>
      <c r="S427" s="208"/>
      <c r="T427" s="208"/>
      <c r="U427" s="209"/>
      <c r="V427" s="210"/>
    </row>
    <row r="428" ht="15.75" customHeight="1">
      <c r="A428" s="200"/>
      <c r="B428" s="201"/>
      <c r="C428" s="202"/>
      <c r="D428" s="203"/>
      <c r="E428" s="201"/>
      <c r="F428" s="204"/>
      <c r="G428" s="204"/>
      <c r="H428" s="205"/>
      <c r="I428" s="205"/>
      <c r="J428" s="206"/>
      <c r="K428" s="205"/>
      <c r="L428" s="205"/>
      <c r="M428" s="201"/>
      <c r="N428" s="207"/>
      <c r="O428" s="208"/>
      <c r="P428" s="208"/>
      <c r="Q428" s="208"/>
      <c r="R428" s="208"/>
      <c r="S428" s="208"/>
      <c r="T428" s="208"/>
      <c r="U428" s="209"/>
      <c r="V428" s="210"/>
    </row>
    <row r="429" ht="15.75" customHeight="1">
      <c r="A429" s="200"/>
      <c r="B429" s="201"/>
      <c r="C429" s="202"/>
      <c r="D429" s="203"/>
      <c r="E429" s="201"/>
      <c r="F429" s="204"/>
      <c r="G429" s="204"/>
      <c r="H429" s="205"/>
      <c r="I429" s="205"/>
      <c r="J429" s="206"/>
      <c r="K429" s="205"/>
      <c r="L429" s="205"/>
      <c r="M429" s="201"/>
      <c r="N429" s="207"/>
      <c r="O429" s="208"/>
      <c r="P429" s="208"/>
      <c r="Q429" s="208"/>
      <c r="R429" s="208"/>
      <c r="S429" s="208"/>
      <c r="T429" s="208"/>
      <c r="U429" s="209"/>
      <c r="V429" s="210"/>
    </row>
    <row r="430" ht="15.75" customHeight="1">
      <c r="A430" s="200"/>
      <c r="B430" s="201"/>
      <c r="C430" s="202"/>
      <c r="D430" s="203"/>
      <c r="E430" s="201"/>
      <c r="F430" s="204"/>
      <c r="G430" s="204"/>
      <c r="H430" s="205"/>
      <c r="I430" s="205"/>
      <c r="J430" s="206"/>
      <c r="K430" s="205"/>
      <c r="L430" s="205"/>
      <c r="M430" s="201"/>
      <c r="N430" s="207"/>
      <c r="O430" s="208"/>
      <c r="P430" s="208"/>
      <c r="Q430" s="208"/>
      <c r="R430" s="208"/>
      <c r="S430" s="208"/>
      <c r="T430" s="208"/>
      <c r="U430" s="209"/>
      <c r="V430" s="210"/>
    </row>
    <row r="431" ht="15.75" customHeight="1">
      <c r="A431" s="200"/>
      <c r="B431" s="201"/>
      <c r="C431" s="202"/>
      <c r="D431" s="203"/>
      <c r="E431" s="201"/>
      <c r="F431" s="204"/>
      <c r="G431" s="204"/>
      <c r="H431" s="205"/>
      <c r="I431" s="205"/>
      <c r="J431" s="206"/>
      <c r="K431" s="205"/>
      <c r="L431" s="205"/>
      <c r="M431" s="201"/>
      <c r="N431" s="207"/>
      <c r="O431" s="208"/>
      <c r="P431" s="208"/>
      <c r="Q431" s="208"/>
      <c r="R431" s="208"/>
      <c r="S431" s="208"/>
      <c r="T431" s="208"/>
      <c r="U431" s="209"/>
      <c r="V431" s="210"/>
    </row>
    <row r="432" ht="15.75" customHeight="1">
      <c r="A432" s="200"/>
      <c r="B432" s="201"/>
      <c r="C432" s="202"/>
      <c r="D432" s="203"/>
      <c r="E432" s="201"/>
      <c r="F432" s="204"/>
      <c r="G432" s="204"/>
      <c r="H432" s="205"/>
      <c r="I432" s="205"/>
      <c r="J432" s="206"/>
      <c r="K432" s="205"/>
      <c r="L432" s="205"/>
      <c r="M432" s="201"/>
      <c r="N432" s="207"/>
      <c r="O432" s="208"/>
      <c r="P432" s="208"/>
      <c r="Q432" s="208"/>
      <c r="R432" s="208"/>
      <c r="S432" s="208"/>
      <c r="T432" s="208"/>
      <c r="U432" s="209"/>
      <c r="V432" s="210"/>
    </row>
    <row r="433" ht="15.75" customHeight="1">
      <c r="A433" s="200"/>
      <c r="B433" s="201"/>
      <c r="C433" s="202"/>
      <c r="D433" s="203"/>
      <c r="E433" s="201"/>
      <c r="F433" s="204"/>
      <c r="G433" s="204"/>
      <c r="H433" s="205"/>
      <c r="I433" s="205"/>
      <c r="J433" s="206"/>
      <c r="K433" s="205"/>
      <c r="L433" s="205"/>
      <c r="M433" s="201"/>
      <c r="N433" s="207"/>
      <c r="O433" s="208"/>
      <c r="P433" s="208"/>
      <c r="Q433" s="208"/>
      <c r="R433" s="208"/>
      <c r="S433" s="208"/>
      <c r="T433" s="208"/>
      <c r="U433" s="209"/>
      <c r="V433" s="210"/>
    </row>
    <row r="434" ht="15.75" customHeight="1">
      <c r="A434" s="200"/>
      <c r="B434" s="201"/>
      <c r="C434" s="202"/>
      <c r="D434" s="203"/>
      <c r="E434" s="201"/>
      <c r="F434" s="204"/>
      <c r="G434" s="204"/>
      <c r="H434" s="205"/>
      <c r="I434" s="205"/>
      <c r="J434" s="206"/>
      <c r="K434" s="205"/>
      <c r="L434" s="205"/>
      <c r="M434" s="201"/>
      <c r="N434" s="207"/>
      <c r="O434" s="208"/>
      <c r="P434" s="208"/>
      <c r="Q434" s="208"/>
      <c r="R434" s="208"/>
      <c r="S434" s="208"/>
      <c r="T434" s="208"/>
      <c r="U434" s="209"/>
      <c r="V434" s="210"/>
    </row>
    <row r="435" ht="15.75" customHeight="1">
      <c r="A435" s="200"/>
      <c r="B435" s="201"/>
      <c r="C435" s="202"/>
      <c r="D435" s="203"/>
      <c r="E435" s="201"/>
      <c r="F435" s="204"/>
      <c r="G435" s="204"/>
      <c r="H435" s="205"/>
      <c r="I435" s="205"/>
      <c r="J435" s="206"/>
      <c r="K435" s="205"/>
      <c r="L435" s="205"/>
      <c r="M435" s="201"/>
      <c r="N435" s="207"/>
      <c r="O435" s="208"/>
      <c r="P435" s="208"/>
      <c r="Q435" s="208"/>
      <c r="R435" s="208"/>
      <c r="S435" s="208"/>
      <c r="T435" s="208"/>
      <c r="U435" s="209"/>
      <c r="V435" s="210"/>
    </row>
    <row r="436" ht="15.75" customHeight="1">
      <c r="A436" s="200"/>
      <c r="B436" s="201"/>
      <c r="C436" s="202"/>
      <c r="D436" s="203"/>
      <c r="E436" s="201"/>
      <c r="F436" s="204"/>
      <c r="G436" s="204"/>
      <c r="H436" s="205"/>
      <c r="I436" s="205"/>
      <c r="J436" s="206"/>
      <c r="K436" s="205"/>
      <c r="L436" s="205"/>
      <c r="M436" s="201"/>
      <c r="N436" s="207"/>
      <c r="O436" s="208"/>
      <c r="P436" s="208"/>
      <c r="Q436" s="208"/>
      <c r="R436" s="208"/>
      <c r="S436" s="208"/>
      <c r="T436" s="208"/>
      <c r="U436" s="209"/>
      <c r="V436" s="210"/>
    </row>
    <row r="437" ht="15.75" customHeight="1">
      <c r="A437" s="200"/>
      <c r="B437" s="201"/>
      <c r="C437" s="202"/>
      <c r="D437" s="203"/>
      <c r="E437" s="201"/>
      <c r="F437" s="204"/>
      <c r="G437" s="204"/>
      <c r="H437" s="205"/>
      <c r="I437" s="205"/>
      <c r="J437" s="206"/>
      <c r="K437" s="205"/>
      <c r="L437" s="205"/>
      <c r="M437" s="201"/>
      <c r="N437" s="207"/>
      <c r="O437" s="208"/>
      <c r="P437" s="208"/>
      <c r="Q437" s="208"/>
      <c r="R437" s="208"/>
      <c r="S437" s="208"/>
      <c r="T437" s="208"/>
      <c r="U437" s="209"/>
      <c r="V437" s="210"/>
    </row>
    <row r="438" ht="15.75" customHeight="1">
      <c r="A438" s="200"/>
      <c r="B438" s="201"/>
      <c r="C438" s="202"/>
      <c r="D438" s="203"/>
      <c r="E438" s="201"/>
      <c r="F438" s="204"/>
      <c r="G438" s="204"/>
      <c r="H438" s="205"/>
      <c r="I438" s="205"/>
      <c r="J438" s="206"/>
      <c r="K438" s="205"/>
      <c r="L438" s="205"/>
      <c r="M438" s="201"/>
      <c r="N438" s="207"/>
      <c r="O438" s="208"/>
      <c r="P438" s="208"/>
      <c r="Q438" s="208"/>
      <c r="R438" s="208"/>
      <c r="S438" s="208"/>
      <c r="T438" s="208"/>
      <c r="U438" s="209"/>
      <c r="V438" s="210"/>
    </row>
    <row r="439" ht="15.75" customHeight="1">
      <c r="A439" s="200"/>
      <c r="B439" s="201"/>
      <c r="C439" s="202"/>
      <c r="D439" s="203"/>
      <c r="E439" s="201"/>
      <c r="F439" s="204"/>
      <c r="G439" s="204"/>
      <c r="H439" s="205"/>
      <c r="I439" s="205"/>
      <c r="J439" s="206"/>
      <c r="K439" s="205"/>
      <c r="L439" s="205"/>
      <c r="M439" s="201"/>
      <c r="N439" s="207"/>
      <c r="O439" s="208"/>
      <c r="P439" s="208"/>
      <c r="Q439" s="208"/>
      <c r="R439" s="208"/>
      <c r="S439" s="208"/>
      <c r="T439" s="208"/>
      <c r="U439" s="209"/>
      <c r="V439" s="210"/>
    </row>
    <row r="440" ht="15.75" customHeight="1">
      <c r="A440" s="200"/>
      <c r="B440" s="201"/>
      <c r="C440" s="202"/>
      <c r="D440" s="203"/>
      <c r="E440" s="201"/>
      <c r="F440" s="204"/>
      <c r="G440" s="204"/>
      <c r="H440" s="205"/>
      <c r="I440" s="205"/>
      <c r="J440" s="206"/>
      <c r="K440" s="205"/>
      <c r="L440" s="205"/>
      <c r="M440" s="201"/>
      <c r="N440" s="207"/>
      <c r="O440" s="208"/>
      <c r="P440" s="208"/>
      <c r="Q440" s="208"/>
      <c r="R440" s="208"/>
      <c r="S440" s="208"/>
      <c r="T440" s="208"/>
      <c r="U440" s="209"/>
      <c r="V440" s="210"/>
    </row>
    <row r="441" ht="15.75" customHeight="1">
      <c r="A441" s="200"/>
      <c r="B441" s="201"/>
      <c r="C441" s="202"/>
      <c r="D441" s="203"/>
      <c r="E441" s="201"/>
      <c r="F441" s="204"/>
      <c r="G441" s="204"/>
      <c r="H441" s="205"/>
      <c r="I441" s="205"/>
      <c r="J441" s="206"/>
      <c r="K441" s="205"/>
      <c r="L441" s="205"/>
      <c r="M441" s="201"/>
      <c r="N441" s="207"/>
      <c r="O441" s="208"/>
      <c r="P441" s="208"/>
      <c r="Q441" s="208"/>
      <c r="R441" s="208"/>
      <c r="S441" s="208"/>
      <c r="T441" s="208"/>
      <c r="U441" s="209"/>
      <c r="V441" s="210"/>
    </row>
    <row r="442" ht="15.75" customHeight="1">
      <c r="A442" s="200"/>
      <c r="B442" s="201"/>
      <c r="C442" s="202"/>
      <c r="D442" s="203"/>
      <c r="E442" s="201"/>
      <c r="F442" s="204"/>
      <c r="G442" s="204"/>
      <c r="H442" s="205"/>
      <c r="I442" s="205"/>
      <c r="J442" s="206"/>
      <c r="K442" s="205"/>
      <c r="L442" s="205"/>
      <c r="M442" s="201"/>
      <c r="N442" s="207"/>
      <c r="O442" s="208"/>
      <c r="P442" s="208"/>
      <c r="Q442" s="208"/>
      <c r="R442" s="208"/>
      <c r="S442" s="208"/>
      <c r="T442" s="208"/>
      <c r="U442" s="209"/>
      <c r="V442" s="210"/>
    </row>
    <row r="443" ht="15.75" customHeight="1">
      <c r="A443" s="200"/>
      <c r="B443" s="201"/>
      <c r="C443" s="202"/>
      <c r="D443" s="203"/>
      <c r="E443" s="201"/>
      <c r="F443" s="204"/>
      <c r="G443" s="204"/>
      <c r="H443" s="205"/>
      <c r="I443" s="205"/>
      <c r="J443" s="206"/>
      <c r="K443" s="205"/>
      <c r="L443" s="205"/>
      <c r="M443" s="201"/>
      <c r="N443" s="207"/>
      <c r="O443" s="208"/>
      <c r="P443" s="208"/>
      <c r="Q443" s="208"/>
      <c r="R443" s="208"/>
      <c r="S443" s="208"/>
      <c r="T443" s="208"/>
      <c r="U443" s="209"/>
      <c r="V443" s="210"/>
    </row>
    <row r="444" ht="15.75" customHeight="1">
      <c r="A444" s="200"/>
      <c r="B444" s="201"/>
      <c r="C444" s="202"/>
      <c r="D444" s="203"/>
      <c r="E444" s="201"/>
      <c r="F444" s="204"/>
      <c r="G444" s="204"/>
      <c r="H444" s="205"/>
      <c r="I444" s="205"/>
      <c r="J444" s="206"/>
      <c r="K444" s="205"/>
      <c r="L444" s="205"/>
      <c r="M444" s="201"/>
      <c r="N444" s="207"/>
      <c r="O444" s="208"/>
      <c r="P444" s="208"/>
      <c r="Q444" s="208"/>
      <c r="R444" s="208"/>
      <c r="S444" s="208"/>
      <c r="T444" s="208"/>
      <c r="U444" s="209"/>
      <c r="V444" s="210"/>
    </row>
    <row r="445" ht="15.75" customHeight="1">
      <c r="A445" s="200"/>
      <c r="B445" s="201"/>
      <c r="C445" s="202"/>
      <c r="D445" s="203"/>
      <c r="E445" s="201"/>
      <c r="F445" s="204"/>
      <c r="G445" s="204"/>
      <c r="H445" s="205"/>
      <c r="I445" s="205"/>
      <c r="J445" s="206"/>
      <c r="K445" s="205"/>
      <c r="L445" s="205"/>
      <c r="M445" s="201"/>
      <c r="N445" s="207"/>
      <c r="O445" s="208"/>
      <c r="P445" s="208"/>
      <c r="Q445" s="208"/>
      <c r="R445" s="208"/>
      <c r="S445" s="208"/>
      <c r="T445" s="208"/>
      <c r="U445" s="209"/>
      <c r="V445" s="210"/>
    </row>
    <row r="446" ht="15.75" customHeight="1">
      <c r="A446" s="200"/>
      <c r="B446" s="201"/>
      <c r="C446" s="202"/>
      <c r="D446" s="203"/>
      <c r="E446" s="201"/>
      <c r="F446" s="204"/>
      <c r="G446" s="204"/>
      <c r="H446" s="205"/>
      <c r="I446" s="205"/>
      <c r="J446" s="206"/>
      <c r="K446" s="205"/>
      <c r="L446" s="205"/>
      <c r="M446" s="201"/>
      <c r="N446" s="207"/>
      <c r="O446" s="208"/>
      <c r="P446" s="208"/>
      <c r="Q446" s="208"/>
      <c r="R446" s="208"/>
      <c r="S446" s="208"/>
      <c r="T446" s="208"/>
      <c r="U446" s="209"/>
      <c r="V446" s="210"/>
    </row>
    <row r="447" ht="15.75" customHeight="1">
      <c r="A447" s="200"/>
      <c r="B447" s="201"/>
      <c r="C447" s="202"/>
      <c r="D447" s="203"/>
      <c r="E447" s="201"/>
      <c r="F447" s="204"/>
      <c r="G447" s="204"/>
      <c r="H447" s="205"/>
      <c r="I447" s="205"/>
      <c r="J447" s="206"/>
      <c r="K447" s="205"/>
      <c r="L447" s="205"/>
      <c r="M447" s="201"/>
      <c r="N447" s="207"/>
      <c r="O447" s="208"/>
      <c r="P447" s="208"/>
      <c r="Q447" s="208"/>
      <c r="R447" s="208"/>
      <c r="S447" s="208"/>
      <c r="T447" s="208"/>
      <c r="U447" s="209"/>
      <c r="V447" s="210"/>
    </row>
    <row r="448" ht="15.75" customHeight="1">
      <c r="A448" s="200"/>
      <c r="B448" s="201"/>
      <c r="C448" s="202"/>
      <c r="D448" s="203"/>
      <c r="E448" s="201"/>
      <c r="F448" s="204"/>
      <c r="G448" s="204"/>
      <c r="H448" s="205"/>
      <c r="I448" s="205"/>
      <c r="J448" s="206"/>
      <c r="K448" s="205"/>
      <c r="L448" s="205"/>
      <c r="M448" s="201"/>
      <c r="N448" s="207"/>
      <c r="O448" s="208"/>
      <c r="P448" s="208"/>
      <c r="Q448" s="208"/>
      <c r="R448" s="208"/>
      <c r="S448" s="208"/>
      <c r="T448" s="208"/>
      <c r="U448" s="209"/>
      <c r="V448" s="210"/>
    </row>
    <row r="449" ht="15.75" customHeight="1">
      <c r="A449" s="200"/>
      <c r="B449" s="201"/>
      <c r="C449" s="202"/>
      <c r="D449" s="203"/>
      <c r="E449" s="201"/>
      <c r="F449" s="204"/>
      <c r="G449" s="204"/>
      <c r="H449" s="205"/>
      <c r="I449" s="205"/>
      <c r="J449" s="206"/>
      <c r="K449" s="205"/>
      <c r="L449" s="205"/>
      <c r="M449" s="201"/>
      <c r="N449" s="207"/>
      <c r="O449" s="208"/>
      <c r="P449" s="208"/>
      <c r="Q449" s="208"/>
      <c r="R449" s="208"/>
      <c r="S449" s="208"/>
      <c r="T449" s="208"/>
      <c r="U449" s="209"/>
      <c r="V449" s="210"/>
    </row>
    <row r="450" ht="15.75" customHeight="1">
      <c r="A450" s="200"/>
      <c r="B450" s="201"/>
      <c r="C450" s="202"/>
      <c r="D450" s="203"/>
      <c r="E450" s="201"/>
      <c r="F450" s="204"/>
      <c r="G450" s="204"/>
      <c r="H450" s="205"/>
      <c r="I450" s="205"/>
      <c r="J450" s="206"/>
      <c r="K450" s="205"/>
      <c r="L450" s="205"/>
      <c r="M450" s="201"/>
      <c r="N450" s="207"/>
      <c r="O450" s="208"/>
      <c r="P450" s="208"/>
      <c r="Q450" s="208"/>
      <c r="R450" s="208"/>
      <c r="S450" s="208"/>
      <c r="T450" s="208"/>
      <c r="U450" s="209"/>
      <c r="V450" s="210"/>
    </row>
    <row r="451" ht="15.75" customHeight="1">
      <c r="A451" s="200"/>
      <c r="B451" s="201"/>
      <c r="C451" s="202"/>
      <c r="D451" s="203"/>
      <c r="E451" s="201"/>
      <c r="F451" s="204"/>
      <c r="G451" s="204"/>
      <c r="H451" s="205"/>
      <c r="I451" s="205"/>
      <c r="J451" s="206"/>
      <c r="K451" s="205"/>
      <c r="L451" s="205"/>
      <c r="M451" s="201"/>
      <c r="N451" s="207"/>
      <c r="O451" s="208"/>
      <c r="P451" s="208"/>
      <c r="Q451" s="208"/>
      <c r="R451" s="208"/>
      <c r="S451" s="208"/>
      <c r="T451" s="208"/>
      <c r="U451" s="209"/>
      <c r="V451" s="210"/>
    </row>
    <row r="452" ht="15.75" customHeight="1">
      <c r="A452" s="200"/>
      <c r="B452" s="201"/>
      <c r="C452" s="202"/>
      <c r="D452" s="203"/>
      <c r="E452" s="201"/>
      <c r="F452" s="204"/>
      <c r="G452" s="204"/>
      <c r="H452" s="205"/>
      <c r="I452" s="205"/>
      <c r="J452" s="206"/>
      <c r="K452" s="205"/>
      <c r="L452" s="205"/>
      <c r="M452" s="201"/>
      <c r="N452" s="207"/>
      <c r="O452" s="208"/>
      <c r="P452" s="208"/>
      <c r="Q452" s="208"/>
      <c r="R452" s="208"/>
      <c r="S452" s="208"/>
      <c r="T452" s="208"/>
      <c r="U452" s="209"/>
      <c r="V452" s="210"/>
    </row>
    <row r="453" ht="15.75" customHeight="1">
      <c r="A453" s="200"/>
      <c r="B453" s="201"/>
      <c r="C453" s="202"/>
      <c r="D453" s="203"/>
      <c r="E453" s="201"/>
      <c r="F453" s="204"/>
      <c r="G453" s="204"/>
      <c r="H453" s="205"/>
      <c r="I453" s="205"/>
      <c r="J453" s="206"/>
      <c r="K453" s="205"/>
      <c r="L453" s="205"/>
      <c r="M453" s="201"/>
      <c r="N453" s="207"/>
      <c r="O453" s="208"/>
      <c r="P453" s="208"/>
      <c r="Q453" s="208"/>
      <c r="R453" s="208"/>
      <c r="S453" s="208"/>
      <c r="T453" s="208"/>
      <c r="U453" s="209"/>
      <c r="V453" s="210"/>
    </row>
    <row r="454" ht="15.75" customHeight="1">
      <c r="A454" s="200"/>
      <c r="B454" s="201"/>
      <c r="C454" s="202"/>
      <c r="D454" s="203"/>
      <c r="E454" s="201"/>
      <c r="F454" s="204"/>
      <c r="G454" s="204"/>
      <c r="H454" s="205"/>
      <c r="I454" s="205"/>
      <c r="J454" s="206"/>
      <c r="K454" s="205"/>
      <c r="L454" s="205"/>
      <c r="M454" s="201"/>
      <c r="N454" s="207"/>
      <c r="O454" s="208"/>
      <c r="P454" s="208"/>
      <c r="Q454" s="208"/>
      <c r="R454" s="208"/>
      <c r="S454" s="208"/>
      <c r="T454" s="208"/>
      <c r="U454" s="209"/>
      <c r="V454" s="210"/>
    </row>
    <row r="455" ht="15.75" customHeight="1">
      <c r="A455" s="200"/>
      <c r="B455" s="201"/>
      <c r="C455" s="202"/>
      <c r="D455" s="203"/>
      <c r="E455" s="201"/>
      <c r="F455" s="204"/>
      <c r="G455" s="204"/>
      <c r="H455" s="205"/>
      <c r="I455" s="205"/>
      <c r="J455" s="206"/>
      <c r="K455" s="205"/>
      <c r="L455" s="205"/>
      <c r="M455" s="201"/>
      <c r="N455" s="207"/>
      <c r="O455" s="208"/>
      <c r="P455" s="208"/>
      <c r="Q455" s="208"/>
      <c r="R455" s="208"/>
      <c r="S455" s="208"/>
      <c r="T455" s="208"/>
      <c r="U455" s="209"/>
      <c r="V455" s="210"/>
    </row>
    <row r="456" ht="15.75" customHeight="1">
      <c r="A456" s="200"/>
      <c r="B456" s="201"/>
      <c r="C456" s="202"/>
      <c r="D456" s="203"/>
      <c r="E456" s="201"/>
      <c r="F456" s="204"/>
      <c r="G456" s="204"/>
      <c r="H456" s="205"/>
      <c r="I456" s="205"/>
      <c r="J456" s="206"/>
      <c r="K456" s="205"/>
      <c r="L456" s="205"/>
      <c r="M456" s="201"/>
      <c r="N456" s="207"/>
      <c r="O456" s="208"/>
      <c r="P456" s="208"/>
      <c r="Q456" s="208"/>
      <c r="R456" s="208"/>
      <c r="S456" s="208"/>
      <c r="T456" s="208"/>
      <c r="U456" s="209"/>
      <c r="V456" s="210"/>
    </row>
    <row r="457" ht="15.75" customHeight="1">
      <c r="A457" s="200"/>
      <c r="B457" s="201"/>
      <c r="C457" s="202"/>
      <c r="D457" s="203"/>
      <c r="E457" s="201"/>
      <c r="F457" s="204"/>
      <c r="G457" s="204"/>
      <c r="H457" s="205"/>
      <c r="I457" s="205"/>
      <c r="J457" s="206"/>
      <c r="K457" s="205"/>
      <c r="L457" s="205"/>
      <c r="M457" s="201"/>
      <c r="N457" s="207"/>
      <c r="O457" s="208"/>
      <c r="P457" s="208"/>
      <c r="Q457" s="208"/>
      <c r="R457" s="208"/>
      <c r="S457" s="208"/>
      <c r="T457" s="208"/>
      <c r="U457" s="209"/>
      <c r="V457" s="210"/>
    </row>
    <row r="458" ht="15.75" customHeight="1">
      <c r="A458" s="200"/>
      <c r="B458" s="201"/>
      <c r="C458" s="202"/>
      <c r="D458" s="203"/>
      <c r="E458" s="201"/>
      <c r="F458" s="204"/>
      <c r="G458" s="204"/>
      <c r="H458" s="205"/>
      <c r="I458" s="205"/>
      <c r="J458" s="206"/>
      <c r="K458" s="205"/>
      <c r="L458" s="205"/>
      <c r="M458" s="201"/>
      <c r="N458" s="207"/>
      <c r="O458" s="208"/>
      <c r="P458" s="208"/>
      <c r="Q458" s="208"/>
      <c r="R458" s="208"/>
      <c r="S458" s="208"/>
      <c r="T458" s="208"/>
      <c r="U458" s="209"/>
      <c r="V458" s="210"/>
    </row>
    <row r="459" ht="15.75" customHeight="1">
      <c r="A459" s="200"/>
      <c r="B459" s="201"/>
      <c r="C459" s="202"/>
      <c r="D459" s="203"/>
      <c r="E459" s="201"/>
      <c r="F459" s="204"/>
      <c r="G459" s="204"/>
      <c r="H459" s="205"/>
      <c r="I459" s="205"/>
      <c r="J459" s="206"/>
      <c r="K459" s="205"/>
      <c r="L459" s="205"/>
      <c r="M459" s="201"/>
      <c r="N459" s="207"/>
      <c r="O459" s="208"/>
      <c r="P459" s="208"/>
      <c r="Q459" s="208"/>
      <c r="R459" s="208"/>
      <c r="S459" s="208"/>
      <c r="T459" s="208"/>
      <c r="U459" s="209"/>
      <c r="V459" s="210"/>
    </row>
    <row r="460" ht="15.75" customHeight="1">
      <c r="A460" s="200"/>
      <c r="B460" s="201"/>
      <c r="C460" s="202"/>
      <c r="D460" s="203"/>
      <c r="E460" s="201"/>
      <c r="F460" s="204"/>
      <c r="G460" s="204"/>
      <c r="H460" s="205"/>
      <c r="I460" s="205"/>
      <c r="J460" s="206"/>
      <c r="K460" s="205"/>
      <c r="L460" s="205"/>
      <c r="M460" s="201"/>
      <c r="N460" s="207"/>
      <c r="O460" s="208"/>
      <c r="P460" s="208"/>
      <c r="Q460" s="208"/>
      <c r="R460" s="208"/>
      <c r="S460" s="208"/>
      <c r="T460" s="208"/>
      <c r="U460" s="209"/>
      <c r="V460" s="210"/>
    </row>
    <row r="461" ht="15.75" customHeight="1">
      <c r="A461" s="200"/>
      <c r="B461" s="201"/>
      <c r="C461" s="202"/>
      <c r="D461" s="203"/>
      <c r="E461" s="201"/>
      <c r="F461" s="204"/>
      <c r="G461" s="204"/>
      <c r="H461" s="205"/>
      <c r="I461" s="205"/>
      <c r="J461" s="206"/>
      <c r="K461" s="205"/>
      <c r="L461" s="205"/>
      <c r="M461" s="201"/>
      <c r="N461" s="207"/>
      <c r="O461" s="208"/>
      <c r="P461" s="208"/>
      <c r="Q461" s="208"/>
      <c r="R461" s="208"/>
      <c r="S461" s="208"/>
      <c r="T461" s="208"/>
      <c r="U461" s="209"/>
      <c r="V461" s="210"/>
    </row>
    <row r="462" ht="15.75" customHeight="1">
      <c r="A462" s="200"/>
      <c r="B462" s="201"/>
      <c r="C462" s="202"/>
      <c r="D462" s="203"/>
      <c r="E462" s="201"/>
      <c r="F462" s="204"/>
      <c r="G462" s="204"/>
      <c r="H462" s="205"/>
      <c r="I462" s="205"/>
      <c r="J462" s="206"/>
      <c r="K462" s="205"/>
      <c r="L462" s="205"/>
      <c r="M462" s="201"/>
      <c r="N462" s="207"/>
      <c r="O462" s="208"/>
      <c r="P462" s="208"/>
      <c r="Q462" s="208"/>
      <c r="R462" s="208"/>
      <c r="S462" s="208"/>
      <c r="T462" s="208"/>
      <c r="U462" s="209"/>
      <c r="V462" s="210"/>
    </row>
    <row r="463" ht="15.75" customHeight="1">
      <c r="A463" s="200"/>
      <c r="B463" s="201"/>
      <c r="C463" s="202"/>
      <c r="D463" s="203"/>
      <c r="E463" s="201"/>
      <c r="F463" s="204"/>
      <c r="G463" s="204"/>
      <c r="H463" s="205"/>
      <c r="I463" s="205"/>
      <c r="J463" s="206"/>
      <c r="K463" s="205"/>
      <c r="L463" s="205"/>
      <c r="M463" s="201"/>
      <c r="N463" s="207"/>
      <c r="O463" s="208"/>
      <c r="P463" s="208"/>
      <c r="Q463" s="208"/>
      <c r="R463" s="208"/>
      <c r="S463" s="208"/>
      <c r="T463" s="208"/>
      <c r="U463" s="209"/>
      <c r="V463" s="210"/>
    </row>
    <row r="464" ht="15.75" customHeight="1">
      <c r="A464" s="200"/>
      <c r="B464" s="201"/>
      <c r="C464" s="202"/>
      <c r="D464" s="203"/>
      <c r="E464" s="201"/>
      <c r="F464" s="204"/>
      <c r="G464" s="204"/>
      <c r="H464" s="205"/>
      <c r="I464" s="205"/>
      <c r="J464" s="206"/>
      <c r="K464" s="205"/>
      <c r="L464" s="205"/>
      <c r="M464" s="201"/>
      <c r="N464" s="207"/>
      <c r="O464" s="208"/>
      <c r="P464" s="208"/>
      <c r="Q464" s="208"/>
      <c r="R464" s="208"/>
      <c r="S464" s="208"/>
      <c r="T464" s="208"/>
      <c r="U464" s="209"/>
      <c r="V464" s="210"/>
    </row>
    <row r="465" ht="15.75" customHeight="1">
      <c r="A465" s="200"/>
      <c r="B465" s="201"/>
      <c r="C465" s="202"/>
      <c r="D465" s="203"/>
      <c r="E465" s="201"/>
      <c r="F465" s="204"/>
      <c r="G465" s="204"/>
      <c r="H465" s="205"/>
      <c r="I465" s="205"/>
      <c r="J465" s="206"/>
      <c r="K465" s="205"/>
      <c r="L465" s="205"/>
      <c r="M465" s="201"/>
      <c r="N465" s="207"/>
      <c r="O465" s="208"/>
      <c r="P465" s="208"/>
      <c r="Q465" s="208"/>
      <c r="R465" s="208"/>
      <c r="S465" s="208"/>
      <c r="T465" s="208"/>
      <c r="U465" s="209"/>
      <c r="V465" s="210"/>
    </row>
    <row r="466" ht="15.75" customHeight="1">
      <c r="A466" s="200"/>
      <c r="B466" s="201"/>
      <c r="C466" s="202"/>
      <c r="D466" s="203"/>
      <c r="E466" s="201"/>
      <c r="F466" s="204"/>
      <c r="G466" s="204"/>
      <c r="H466" s="205"/>
      <c r="I466" s="205"/>
      <c r="J466" s="206"/>
      <c r="K466" s="205"/>
      <c r="L466" s="205"/>
      <c r="M466" s="201"/>
      <c r="N466" s="207"/>
      <c r="O466" s="208"/>
      <c r="P466" s="208"/>
      <c r="Q466" s="208"/>
      <c r="R466" s="208"/>
      <c r="S466" s="208"/>
      <c r="T466" s="208"/>
      <c r="U466" s="209"/>
      <c r="V466" s="210"/>
    </row>
    <row r="467" ht="15.75" customHeight="1">
      <c r="A467" s="200"/>
      <c r="B467" s="201"/>
      <c r="C467" s="202"/>
      <c r="D467" s="203"/>
      <c r="E467" s="201"/>
      <c r="F467" s="204"/>
      <c r="G467" s="204"/>
      <c r="H467" s="205"/>
      <c r="I467" s="205"/>
      <c r="J467" s="206"/>
      <c r="K467" s="205"/>
      <c r="L467" s="205"/>
      <c r="M467" s="201"/>
      <c r="N467" s="207"/>
      <c r="O467" s="208"/>
      <c r="P467" s="208"/>
      <c r="Q467" s="208"/>
      <c r="R467" s="208"/>
      <c r="S467" s="208"/>
      <c r="T467" s="208"/>
      <c r="U467" s="209"/>
      <c r="V467" s="210"/>
    </row>
    <row r="468" ht="15.75" customHeight="1">
      <c r="A468" s="200"/>
      <c r="B468" s="201"/>
      <c r="C468" s="202"/>
      <c r="D468" s="203"/>
      <c r="E468" s="201"/>
      <c r="F468" s="204"/>
      <c r="G468" s="204"/>
      <c r="H468" s="205"/>
      <c r="I468" s="205"/>
      <c r="J468" s="206"/>
      <c r="K468" s="205"/>
      <c r="L468" s="205"/>
      <c r="M468" s="201"/>
      <c r="N468" s="207"/>
      <c r="O468" s="208"/>
      <c r="P468" s="208"/>
      <c r="Q468" s="208"/>
      <c r="R468" s="208"/>
      <c r="S468" s="208"/>
      <c r="T468" s="208"/>
      <c r="U468" s="209"/>
      <c r="V468" s="210"/>
    </row>
    <row r="469" ht="15.75" customHeight="1">
      <c r="A469" s="200"/>
      <c r="B469" s="201"/>
      <c r="C469" s="202"/>
      <c r="D469" s="203"/>
      <c r="E469" s="201"/>
      <c r="F469" s="204"/>
      <c r="G469" s="204"/>
      <c r="H469" s="205"/>
      <c r="I469" s="205"/>
      <c r="J469" s="206"/>
      <c r="K469" s="205"/>
      <c r="L469" s="205"/>
      <c r="M469" s="201"/>
      <c r="N469" s="207"/>
      <c r="O469" s="208"/>
      <c r="P469" s="208"/>
      <c r="Q469" s="208"/>
      <c r="R469" s="208"/>
      <c r="S469" s="208"/>
      <c r="T469" s="208"/>
      <c r="U469" s="209"/>
      <c r="V469" s="210"/>
    </row>
    <row r="470" ht="15.75" customHeight="1">
      <c r="A470" s="200"/>
      <c r="B470" s="201"/>
      <c r="C470" s="202"/>
      <c r="D470" s="203"/>
      <c r="E470" s="201"/>
      <c r="F470" s="204"/>
      <c r="G470" s="204"/>
      <c r="H470" s="205"/>
      <c r="I470" s="205"/>
      <c r="J470" s="206"/>
      <c r="K470" s="205"/>
      <c r="L470" s="205"/>
      <c r="M470" s="201"/>
      <c r="N470" s="207"/>
      <c r="O470" s="208"/>
      <c r="P470" s="208"/>
      <c r="Q470" s="208"/>
      <c r="R470" s="208"/>
      <c r="S470" s="208"/>
      <c r="T470" s="208"/>
      <c r="U470" s="209"/>
      <c r="V470" s="210"/>
    </row>
    <row r="471" ht="15.75" customHeight="1">
      <c r="A471" s="200"/>
      <c r="B471" s="201"/>
      <c r="C471" s="202"/>
      <c r="D471" s="203"/>
      <c r="E471" s="201"/>
      <c r="F471" s="204"/>
      <c r="G471" s="204"/>
      <c r="H471" s="205"/>
      <c r="I471" s="205"/>
      <c r="J471" s="206"/>
      <c r="K471" s="205"/>
      <c r="L471" s="205"/>
      <c r="M471" s="201"/>
      <c r="N471" s="207"/>
      <c r="O471" s="208"/>
      <c r="P471" s="208"/>
      <c r="Q471" s="208"/>
      <c r="R471" s="208"/>
      <c r="S471" s="208"/>
      <c r="T471" s="208"/>
      <c r="U471" s="209"/>
      <c r="V471" s="210"/>
    </row>
    <row r="472" ht="15.75" customHeight="1">
      <c r="A472" s="200"/>
      <c r="B472" s="201"/>
      <c r="C472" s="202"/>
      <c r="D472" s="203"/>
      <c r="E472" s="201"/>
      <c r="F472" s="204"/>
      <c r="G472" s="204"/>
      <c r="H472" s="205"/>
      <c r="I472" s="205"/>
      <c r="J472" s="206"/>
      <c r="K472" s="205"/>
      <c r="L472" s="205"/>
      <c r="M472" s="201"/>
      <c r="N472" s="207"/>
      <c r="O472" s="208"/>
      <c r="P472" s="208"/>
      <c r="Q472" s="208"/>
      <c r="R472" s="208"/>
      <c r="S472" s="208"/>
      <c r="T472" s="208"/>
      <c r="U472" s="209"/>
      <c r="V472" s="210"/>
    </row>
    <row r="473" ht="15.75" customHeight="1">
      <c r="A473" s="200"/>
      <c r="B473" s="201"/>
      <c r="C473" s="202"/>
      <c r="D473" s="203"/>
      <c r="E473" s="201"/>
      <c r="F473" s="204"/>
      <c r="G473" s="204"/>
      <c r="H473" s="205"/>
      <c r="I473" s="205"/>
      <c r="J473" s="206"/>
      <c r="K473" s="205"/>
      <c r="L473" s="205"/>
      <c r="M473" s="201"/>
      <c r="N473" s="207"/>
      <c r="O473" s="208"/>
      <c r="P473" s="208"/>
      <c r="Q473" s="208"/>
      <c r="R473" s="208"/>
      <c r="S473" s="208"/>
      <c r="T473" s="208"/>
      <c r="U473" s="209"/>
      <c r="V473" s="210"/>
    </row>
    <row r="474" ht="15.75" customHeight="1">
      <c r="A474" s="200"/>
      <c r="B474" s="201"/>
      <c r="C474" s="202"/>
      <c r="D474" s="203"/>
      <c r="E474" s="201"/>
      <c r="F474" s="204"/>
      <c r="G474" s="204"/>
      <c r="H474" s="205"/>
      <c r="I474" s="205"/>
      <c r="J474" s="206"/>
      <c r="K474" s="205"/>
      <c r="L474" s="205"/>
      <c r="M474" s="201"/>
      <c r="N474" s="207"/>
      <c r="O474" s="208"/>
      <c r="P474" s="208"/>
      <c r="Q474" s="208"/>
      <c r="R474" s="208"/>
      <c r="S474" s="208"/>
      <c r="T474" s="208"/>
      <c r="U474" s="209"/>
      <c r="V474" s="210"/>
    </row>
    <row r="475" ht="15.75" customHeight="1">
      <c r="A475" s="200"/>
      <c r="B475" s="201"/>
      <c r="C475" s="202"/>
      <c r="D475" s="203"/>
      <c r="E475" s="201"/>
      <c r="F475" s="204"/>
      <c r="G475" s="204"/>
      <c r="H475" s="205"/>
      <c r="I475" s="205"/>
      <c r="J475" s="206"/>
      <c r="K475" s="205"/>
      <c r="L475" s="205"/>
      <c r="M475" s="201"/>
      <c r="N475" s="207"/>
      <c r="O475" s="208"/>
      <c r="P475" s="208"/>
      <c r="Q475" s="208"/>
      <c r="R475" s="208"/>
      <c r="S475" s="208"/>
      <c r="T475" s="208"/>
      <c r="U475" s="209"/>
      <c r="V475" s="210"/>
    </row>
    <row r="476" ht="15.75" customHeight="1">
      <c r="A476" s="200"/>
      <c r="B476" s="201"/>
      <c r="C476" s="202"/>
      <c r="D476" s="203"/>
      <c r="E476" s="201"/>
      <c r="F476" s="204"/>
      <c r="G476" s="204"/>
      <c r="H476" s="205"/>
      <c r="I476" s="205"/>
      <c r="J476" s="206"/>
      <c r="K476" s="205"/>
      <c r="L476" s="205"/>
      <c r="M476" s="201"/>
      <c r="N476" s="207"/>
      <c r="O476" s="208"/>
      <c r="P476" s="208"/>
      <c r="Q476" s="208"/>
      <c r="R476" s="208"/>
      <c r="S476" s="208"/>
      <c r="T476" s="208"/>
      <c r="U476" s="209"/>
      <c r="V476" s="210"/>
    </row>
    <row r="477" ht="15.75" customHeight="1">
      <c r="A477" s="200"/>
      <c r="B477" s="201"/>
      <c r="C477" s="202"/>
      <c r="D477" s="203"/>
      <c r="E477" s="201"/>
      <c r="F477" s="204"/>
      <c r="G477" s="204"/>
      <c r="H477" s="205"/>
      <c r="I477" s="205"/>
      <c r="J477" s="206"/>
      <c r="K477" s="205"/>
      <c r="L477" s="205"/>
      <c r="M477" s="201"/>
      <c r="N477" s="207"/>
      <c r="O477" s="208"/>
      <c r="P477" s="208"/>
      <c r="Q477" s="208"/>
      <c r="R477" s="208"/>
      <c r="S477" s="208"/>
      <c r="T477" s="208"/>
      <c r="U477" s="209"/>
      <c r="V477" s="210"/>
    </row>
    <row r="478" ht="15.75" customHeight="1">
      <c r="A478" s="200"/>
      <c r="B478" s="201"/>
      <c r="C478" s="202"/>
      <c r="D478" s="203"/>
      <c r="E478" s="201"/>
      <c r="F478" s="204"/>
      <c r="G478" s="204"/>
      <c r="H478" s="205"/>
      <c r="I478" s="205"/>
      <c r="J478" s="206"/>
      <c r="K478" s="205"/>
      <c r="L478" s="205"/>
      <c r="M478" s="201"/>
      <c r="N478" s="207"/>
      <c r="O478" s="208"/>
      <c r="P478" s="208"/>
      <c r="Q478" s="208"/>
      <c r="R478" s="208"/>
      <c r="S478" s="208"/>
      <c r="T478" s="208"/>
      <c r="U478" s="209"/>
      <c r="V478" s="210"/>
    </row>
    <row r="479" ht="15.75" customHeight="1">
      <c r="A479" s="200"/>
      <c r="B479" s="201"/>
      <c r="C479" s="202"/>
      <c r="D479" s="203"/>
      <c r="E479" s="201"/>
      <c r="F479" s="204"/>
      <c r="G479" s="204"/>
      <c r="H479" s="205"/>
      <c r="I479" s="205"/>
      <c r="J479" s="206"/>
      <c r="K479" s="205"/>
      <c r="L479" s="205"/>
      <c r="M479" s="201"/>
      <c r="N479" s="207"/>
      <c r="O479" s="208"/>
      <c r="P479" s="208"/>
      <c r="Q479" s="208"/>
      <c r="R479" s="208"/>
      <c r="S479" s="208"/>
      <c r="T479" s="208"/>
      <c r="U479" s="209"/>
      <c r="V479" s="210"/>
    </row>
    <row r="480" ht="15.75" customHeight="1">
      <c r="A480" s="200"/>
      <c r="B480" s="201"/>
      <c r="C480" s="202"/>
      <c r="D480" s="203"/>
      <c r="E480" s="201"/>
      <c r="F480" s="204"/>
      <c r="G480" s="204"/>
      <c r="H480" s="205"/>
      <c r="I480" s="205"/>
      <c r="J480" s="206"/>
      <c r="K480" s="205"/>
      <c r="L480" s="205"/>
      <c r="M480" s="201"/>
      <c r="N480" s="207"/>
      <c r="O480" s="208"/>
      <c r="P480" s="208"/>
      <c r="Q480" s="208"/>
      <c r="R480" s="208"/>
      <c r="S480" s="208"/>
      <c r="T480" s="208"/>
      <c r="U480" s="209"/>
      <c r="V480" s="210"/>
    </row>
    <row r="481" ht="15.75" customHeight="1">
      <c r="A481" s="200"/>
      <c r="B481" s="201"/>
      <c r="C481" s="202"/>
      <c r="D481" s="203"/>
      <c r="E481" s="201"/>
      <c r="F481" s="204"/>
      <c r="G481" s="204"/>
      <c r="H481" s="205"/>
      <c r="I481" s="205"/>
      <c r="J481" s="206"/>
      <c r="K481" s="205"/>
      <c r="L481" s="205"/>
      <c r="M481" s="201"/>
      <c r="N481" s="207"/>
      <c r="O481" s="208"/>
      <c r="P481" s="208"/>
      <c r="Q481" s="208"/>
      <c r="R481" s="208"/>
      <c r="S481" s="208"/>
      <c r="T481" s="208"/>
      <c r="U481" s="209"/>
      <c r="V481" s="210"/>
    </row>
    <row r="482" ht="15.75" customHeight="1">
      <c r="A482" s="200"/>
      <c r="B482" s="201"/>
      <c r="C482" s="202"/>
      <c r="D482" s="203"/>
      <c r="E482" s="201"/>
      <c r="F482" s="204"/>
      <c r="G482" s="204"/>
      <c r="H482" s="205"/>
      <c r="I482" s="205"/>
      <c r="J482" s="206"/>
      <c r="K482" s="205"/>
      <c r="L482" s="205"/>
      <c r="M482" s="201"/>
      <c r="N482" s="207"/>
      <c r="O482" s="208"/>
      <c r="P482" s="208"/>
      <c r="Q482" s="208"/>
      <c r="R482" s="208"/>
      <c r="S482" s="208"/>
      <c r="T482" s="208"/>
      <c r="U482" s="209"/>
      <c r="V482" s="210"/>
    </row>
    <row r="483" ht="15.75" customHeight="1">
      <c r="A483" s="200"/>
      <c r="B483" s="201"/>
      <c r="C483" s="202"/>
      <c r="D483" s="203"/>
      <c r="E483" s="201"/>
      <c r="F483" s="204"/>
      <c r="G483" s="204"/>
      <c r="H483" s="205"/>
      <c r="I483" s="205"/>
      <c r="J483" s="206"/>
      <c r="K483" s="205"/>
      <c r="L483" s="205"/>
      <c r="M483" s="201"/>
      <c r="N483" s="207"/>
      <c r="O483" s="208"/>
      <c r="P483" s="208"/>
      <c r="Q483" s="208"/>
      <c r="R483" s="208"/>
      <c r="S483" s="208"/>
      <c r="T483" s="208"/>
      <c r="U483" s="209"/>
      <c r="V483" s="210"/>
    </row>
    <row r="484" ht="15.75" customHeight="1">
      <c r="A484" s="200"/>
      <c r="B484" s="201"/>
      <c r="C484" s="202"/>
      <c r="D484" s="203"/>
      <c r="E484" s="201"/>
      <c r="F484" s="204"/>
      <c r="G484" s="204"/>
      <c r="H484" s="205"/>
      <c r="I484" s="205"/>
      <c r="J484" s="206"/>
      <c r="K484" s="205"/>
      <c r="L484" s="205"/>
      <c r="M484" s="201"/>
      <c r="N484" s="207"/>
      <c r="O484" s="208"/>
      <c r="P484" s="208"/>
      <c r="Q484" s="208"/>
      <c r="R484" s="208"/>
      <c r="S484" s="208"/>
      <c r="T484" s="208"/>
      <c r="U484" s="209"/>
      <c r="V484" s="210"/>
    </row>
    <row r="485" ht="15.75" customHeight="1">
      <c r="A485" s="200"/>
      <c r="B485" s="201"/>
      <c r="C485" s="202"/>
      <c r="D485" s="203"/>
      <c r="E485" s="201"/>
      <c r="F485" s="204"/>
      <c r="G485" s="204"/>
      <c r="H485" s="205"/>
      <c r="I485" s="205"/>
      <c r="J485" s="206"/>
      <c r="K485" s="205"/>
      <c r="L485" s="205"/>
      <c r="M485" s="201"/>
      <c r="N485" s="207"/>
      <c r="O485" s="208"/>
      <c r="P485" s="208"/>
      <c r="Q485" s="208"/>
      <c r="R485" s="208"/>
      <c r="S485" s="208"/>
      <c r="T485" s="208"/>
      <c r="U485" s="209"/>
      <c r="V485" s="210"/>
    </row>
    <row r="486" ht="15.75" customHeight="1">
      <c r="A486" s="200"/>
      <c r="B486" s="201"/>
      <c r="C486" s="202"/>
      <c r="D486" s="203"/>
      <c r="E486" s="201"/>
      <c r="F486" s="204"/>
      <c r="G486" s="204"/>
      <c r="H486" s="205"/>
      <c r="I486" s="205"/>
      <c r="J486" s="206"/>
      <c r="K486" s="205"/>
      <c r="L486" s="205"/>
      <c r="M486" s="201"/>
      <c r="N486" s="207"/>
      <c r="O486" s="208"/>
      <c r="P486" s="208"/>
      <c r="Q486" s="208"/>
      <c r="R486" s="208"/>
      <c r="S486" s="208"/>
      <c r="T486" s="208"/>
      <c r="U486" s="209"/>
      <c r="V486" s="210"/>
    </row>
    <row r="487" ht="15.75" customHeight="1">
      <c r="A487" s="200"/>
      <c r="B487" s="201"/>
      <c r="C487" s="202"/>
      <c r="D487" s="203"/>
      <c r="E487" s="201"/>
      <c r="F487" s="204"/>
      <c r="G487" s="204"/>
      <c r="H487" s="205"/>
      <c r="I487" s="205"/>
      <c r="J487" s="206"/>
      <c r="K487" s="205"/>
      <c r="L487" s="205"/>
      <c r="M487" s="201"/>
      <c r="N487" s="207"/>
      <c r="O487" s="208"/>
      <c r="P487" s="208"/>
      <c r="Q487" s="208"/>
      <c r="R487" s="208"/>
      <c r="S487" s="208"/>
      <c r="T487" s="208"/>
      <c r="U487" s="209"/>
      <c r="V487" s="210"/>
    </row>
    <row r="488" ht="15.75" customHeight="1">
      <c r="A488" s="200"/>
      <c r="B488" s="201"/>
      <c r="C488" s="202"/>
      <c r="D488" s="203"/>
      <c r="E488" s="201"/>
      <c r="F488" s="204"/>
      <c r="G488" s="204"/>
      <c r="H488" s="205"/>
      <c r="I488" s="205"/>
      <c r="J488" s="206"/>
      <c r="K488" s="205"/>
      <c r="L488" s="205"/>
      <c r="M488" s="201"/>
      <c r="N488" s="207"/>
      <c r="O488" s="208"/>
      <c r="P488" s="208"/>
      <c r="Q488" s="208"/>
      <c r="R488" s="208"/>
      <c r="S488" s="208"/>
      <c r="T488" s="208"/>
      <c r="U488" s="209"/>
      <c r="V488" s="210"/>
    </row>
    <row r="489" ht="15.75" customHeight="1">
      <c r="A489" s="200"/>
      <c r="B489" s="201"/>
      <c r="C489" s="202"/>
      <c r="D489" s="203"/>
      <c r="E489" s="201"/>
      <c r="F489" s="204"/>
      <c r="G489" s="204"/>
      <c r="H489" s="205"/>
      <c r="I489" s="205"/>
      <c r="J489" s="206"/>
      <c r="K489" s="205"/>
      <c r="L489" s="205"/>
      <c r="M489" s="201"/>
      <c r="N489" s="207"/>
      <c r="O489" s="208"/>
      <c r="P489" s="208"/>
      <c r="Q489" s="208"/>
      <c r="R489" s="208"/>
      <c r="S489" s="208"/>
      <c r="T489" s="208"/>
      <c r="U489" s="209"/>
      <c r="V489" s="210"/>
    </row>
    <row r="490" ht="15.75" customHeight="1">
      <c r="A490" s="200"/>
      <c r="B490" s="201"/>
      <c r="C490" s="202"/>
      <c r="D490" s="203"/>
      <c r="E490" s="201"/>
      <c r="F490" s="204"/>
      <c r="G490" s="204"/>
      <c r="H490" s="205"/>
      <c r="I490" s="205"/>
      <c r="J490" s="206"/>
      <c r="K490" s="205"/>
      <c r="L490" s="205"/>
      <c r="M490" s="201"/>
      <c r="N490" s="207"/>
      <c r="O490" s="208"/>
      <c r="P490" s="208"/>
      <c r="Q490" s="208"/>
      <c r="R490" s="208"/>
      <c r="S490" s="208"/>
      <c r="T490" s="208"/>
      <c r="U490" s="209"/>
      <c r="V490" s="210"/>
    </row>
    <row r="491" ht="15.75" customHeight="1">
      <c r="A491" s="200"/>
      <c r="B491" s="201"/>
      <c r="C491" s="202"/>
      <c r="D491" s="203"/>
      <c r="E491" s="201"/>
      <c r="F491" s="204"/>
      <c r="G491" s="204"/>
      <c r="H491" s="205"/>
      <c r="I491" s="205"/>
      <c r="J491" s="206"/>
      <c r="K491" s="205"/>
      <c r="L491" s="205"/>
      <c r="M491" s="201"/>
      <c r="N491" s="207"/>
      <c r="O491" s="208"/>
      <c r="P491" s="208"/>
      <c r="Q491" s="208"/>
      <c r="R491" s="208"/>
      <c r="S491" s="208"/>
      <c r="T491" s="208"/>
      <c r="U491" s="209"/>
      <c r="V491" s="210"/>
    </row>
    <row r="492" ht="15.75" customHeight="1">
      <c r="A492" s="200"/>
      <c r="B492" s="201"/>
      <c r="C492" s="202"/>
      <c r="D492" s="203"/>
      <c r="E492" s="201"/>
      <c r="F492" s="204"/>
      <c r="G492" s="204"/>
      <c r="H492" s="205"/>
      <c r="I492" s="205"/>
      <c r="J492" s="206"/>
      <c r="K492" s="205"/>
      <c r="L492" s="205"/>
      <c r="M492" s="201"/>
      <c r="N492" s="207"/>
      <c r="O492" s="208"/>
      <c r="P492" s="208"/>
      <c r="Q492" s="208"/>
      <c r="R492" s="208"/>
      <c r="S492" s="208"/>
      <c r="T492" s="208"/>
      <c r="U492" s="209"/>
      <c r="V492" s="210"/>
    </row>
    <row r="493" ht="15.75" customHeight="1">
      <c r="A493" s="200"/>
      <c r="B493" s="201"/>
      <c r="C493" s="202"/>
      <c r="D493" s="203"/>
      <c r="E493" s="201"/>
      <c r="F493" s="204"/>
      <c r="G493" s="204"/>
      <c r="H493" s="205"/>
      <c r="I493" s="205"/>
      <c r="J493" s="206"/>
      <c r="K493" s="205"/>
      <c r="L493" s="205"/>
      <c r="M493" s="201"/>
      <c r="N493" s="207"/>
      <c r="O493" s="208"/>
      <c r="P493" s="208"/>
      <c r="Q493" s="208"/>
      <c r="R493" s="208"/>
      <c r="S493" s="208"/>
      <c r="T493" s="208"/>
      <c r="U493" s="209"/>
      <c r="V493" s="210"/>
    </row>
    <row r="494" ht="15.75" customHeight="1">
      <c r="A494" s="200"/>
      <c r="B494" s="201"/>
      <c r="C494" s="202"/>
      <c r="D494" s="203"/>
      <c r="E494" s="201"/>
      <c r="F494" s="204"/>
      <c r="G494" s="204"/>
      <c r="H494" s="205"/>
      <c r="I494" s="205"/>
      <c r="J494" s="206"/>
      <c r="K494" s="205"/>
      <c r="L494" s="205"/>
      <c r="M494" s="201"/>
      <c r="N494" s="207"/>
      <c r="O494" s="208"/>
      <c r="P494" s="208"/>
      <c r="Q494" s="208"/>
      <c r="R494" s="208"/>
      <c r="S494" s="208"/>
      <c r="T494" s="208"/>
      <c r="U494" s="209"/>
      <c r="V494" s="210"/>
    </row>
    <row r="495" ht="15.75" customHeight="1">
      <c r="A495" s="200"/>
      <c r="B495" s="201"/>
      <c r="C495" s="202"/>
      <c r="D495" s="203"/>
      <c r="E495" s="201"/>
      <c r="F495" s="204"/>
      <c r="G495" s="204"/>
      <c r="H495" s="205"/>
      <c r="I495" s="205"/>
      <c r="J495" s="206"/>
      <c r="K495" s="205"/>
      <c r="L495" s="205"/>
      <c r="M495" s="201"/>
      <c r="N495" s="207"/>
      <c r="O495" s="208"/>
      <c r="P495" s="208"/>
      <c r="Q495" s="208"/>
      <c r="R495" s="208"/>
      <c r="S495" s="208"/>
      <c r="T495" s="208"/>
      <c r="U495" s="209"/>
      <c r="V495" s="210"/>
    </row>
    <row r="496" ht="15.75" customHeight="1">
      <c r="A496" s="200"/>
      <c r="B496" s="201"/>
      <c r="C496" s="202"/>
      <c r="D496" s="203"/>
      <c r="E496" s="201"/>
      <c r="F496" s="204"/>
      <c r="G496" s="204"/>
      <c r="H496" s="205"/>
      <c r="I496" s="205"/>
      <c r="J496" s="206"/>
      <c r="K496" s="205"/>
      <c r="L496" s="205"/>
      <c r="M496" s="201"/>
      <c r="N496" s="207"/>
      <c r="O496" s="208"/>
      <c r="P496" s="208"/>
      <c r="Q496" s="208"/>
      <c r="R496" s="208"/>
      <c r="S496" s="208"/>
      <c r="T496" s="208"/>
      <c r="U496" s="209"/>
      <c r="V496" s="210"/>
    </row>
    <row r="497" ht="15.75" customHeight="1">
      <c r="A497" s="200"/>
      <c r="B497" s="201"/>
      <c r="C497" s="202"/>
      <c r="D497" s="203"/>
      <c r="E497" s="201"/>
      <c r="F497" s="204"/>
      <c r="G497" s="204"/>
      <c r="H497" s="205"/>
      <c r="I497" s="205"/>
      <c r="J497" s="206"/>
      <c r="K497" s="205"/>
      <c r="L497" s="205"/>
      <c r="M497" s="201"/>
      <c r="N497" s="207"/>
      <c r="O497" s="208"/>
      <c r="P497" s="208"/>
      <c r="Q497" s="208"/>
      <c r="R497" s="208"/>
      <c r="S497" s="208"/>
      <c r="T497" s="208"/>
      <c r="U497" s="209"/>
      <c r="V497" s="210"/>
    </row>
    <row r="498" ht="15.75" customHeight="1">
      <c r="A498" s="200"/>
      <c r="B498" s="201"/>
      <c r="C498" s="202"/>
      <c r="D498" s="203"/>
      <c r="E498" s="201"/>
      <c r="F498" s="204"/>
      <c r="G498" s="204"/>
      <c r="H498" s="205"/>
      <c r="I498" s="205"/>
      <c r="J498" s="206"/>
      <c r="K498" s="205"/>
      <c r="L498" s="205"/>
      <c r="M498" s="201"/>
      <c r="N498" s="207"/>
      <c r="O498" s="208"/>
      <c r="P498" s="208"/>
      <c r="Q498" s="208"/>
      <c r="R498" s="208"/>
      <c r="S498" s="208"/>
      <c r="T498" s="208"/>
      <c r="U498" s="209"/>
      <c r="V498" s="210"/>
    </row>
    <row r="499" ht="15.75" customHeight="1">
      <c r="A499" s="200"/>
      <c r="B499" s="201"/>
      <c r="C499" s="202"/>
      <c r="D499" s="203"/>
      <c r="E499" s="201"/>
      <c r="F499" s="204"/>
      <c r="G499" s="204"/>
      <c r="H499" s="205"/>
      <c r="I499" s="205"/>
      <c r="J499" s="206"/>
      <c r="K499" s="205"/>
      <c r="L499" s="205"/>
      <c r="M499" s="201"/>
      <c r="N499" s="207"/>
      <c r="O499" s="208"/>
      <c r="P499" s="208"/>
      <c r="Q499" s="208"/>
      <c r="R499" s="208"/>
      <c r="S499" s="208"/>
      <c r="T499" s="208"/>
      <c r="U499" s="209"/>
      <c r="V499" s="210"/>
    </row>
    <row r="500" ht="15.75" customHeight="1">
      <c r="A500" s="200"/>
      <c r="B500" s="201"/>
      <c r="C500" s="202"/>
      <c r="D500" s="203"/>
      <c r="E500" s="201"/>
      <c r="F500" s="204"/>
      <c r="G500" s="204"/>
      <c r="H500" s="205"/>
      <c r="I500" s="205"/>
      <c r="J500" s="206"/>
      <c r="K500" s="205"/>
      <c r="L500" s="205"/>
      <c r="M500" s="201"/>
      <c r="N500" s="207"/>
      <c r="O500" s="208"/>
      <c r="P500" s="208"/>
      <c r="Q500" s="208"/>
      <c r="R500" s="208"/>
      <c r="S500" s="208"/>
      <c r="T500" s="208"/>
      <c r="U500" s="209"/>
      <c r="V500" s="210"/>
    </row>
    <row r="501" ht="15.75" customHeight="1">
      <c r="A501" s="200"/>
      <c r="B501" s="201"/>
      <c r="C501" s="202"/>
      <c r="D501" s="203"/>
      <c r="E501" s="201"/>
      <c r="F501" s="204"/>
      <c r="G501" s="204"/>
      <c r="H501" s="205"/>
      <c r="I501" s="205"/>
      <c r="J501" s="206"/>
      <c r="K501" s="205"/>
      <c r="L501" s="205"/>
      <c r="M501" s="201"/>
      <c r="N501" s="207"/>
      <c r="O501" s="208"/>
      <c r="P501" s="208"/>
      <c r="Q501" s="208"/>
      <c r="R501" s="208"/>
      <c r="S501" s="208"/>
      <c r="T501" s="208"/>
      <c r="U501" s="209"/>
      <c r="V501" s="210"/>
    </row>
    <row r="502" ht="15.75" customHeight="1">
      <c r="A502" s="200"/>
      <c r="B502" s="201"/>
      <c r="C502" s="202"/>
      <c r="D502" s="203"/>
      <c r="E502" s="201"/>
      <c r="F502" s="204"/>
      <c r="G502" s="204"/>
      <c r="H502" s="205"/>
      <c r="I502" s="205"/>
      <c r="J502" s="206"/>
      <c r="K502" s="205"/>
      <c r="L502" s="205"/>
      <c r="M502" s="201"/>
      <c r="N502" s="207"/>
      <c r="O502" s="208"/>
      <c r="P502" s="208"/>
      <c r="Q502" s="208"/>
      <c r="R502" s="208"/>
      <c r="S502" s="208"/>
      <c r="T502" s="208"/>
      <c r="U502" s="209"/>
      <c r="V502" s="210"/>
    </row>
    <row r="503" ht="15.75" customHeight="1">
      <c r="A503" s="200"/>
      <c r="B503" s="201"/>
      <c r="C503" s="202"/>
      <c r="D503" s="203"/>
      <c r="E503" s="201"/>
      <c r="F503" s="204"/>
      <c r="G503" s="204"/>
      <c r="H503" s="205"/>
      <c r="I503" s="205"/>
      <c r="J503" s="206"/>
      <c r="K503" s="205"/>
      <c r="L503" s="205"/>
      <c r="M503" s="201"/>
      <c r="N503" s="207"/>
      <c r="O503" s="208"/>
      <c r="P503" s="208"/>
      <c r="Q503" s="208"/>
      <c r="R503" s="208"/>
      <c r="S503" s="208"/>
      <c r="T503" s="208"/>
      <c r="U503" s="209"/>
      <c r="V503" s="210"/>
    </row>
    <row r="504" ht="15.75" customHeight="1">
      <c r="A504" s="200"/>
      <c r="B504" s="201"/>
      <c r="C504" s="202"/>
      <c r="D504" s="203"/>
      <c r="E504" s="201"/>
      <c r="F504" s="204"/>
      <c r="G504" s="204"/>
      <c r="H504" s="205"/>
      <c r="I504" s="205"/>
      <c r="J504" s="206"/>
      <c r="K504" s="205"/>
      <c r="L504" s="205"/>
      <c r="M504" s="201"/>
      <c r="N504" s="207"/>
      <c r="O504" s="208"/>
      <c r="P504" s="208"/>
      <c r="Q504" s="208"/>
      <c r="R504" s="208"/>
      <c r="S504" s="208"/>
      <c r="T504" s="208"/>
      <c r="U504" s="209"/>
      <c r="V504" s="210"/>
    </row>
    <row r="505" ht="15.75" customHeight="1">
      <c r="A505" s="200"/>
      <c r="B505" s="201"/>
      <c r="C505" s="202"/>
      <c r="D505" s="203"/>
      <c r="E505" s="201"/>
      <c r="F505" s="204"/>
      <c r="G505" s="204"/>
      <c r="H505" s="205"/>
      <c r="I505" s="205"/>
      <c r="J505" s="206"/>
      <c r="K505" s="205"/>
      <c r="L505" s="205"/>
      <c r="M505" s="201"/>
      <c r="N505" s="207"/>
      <c r="O505" s="208"/>
      <c r="P505" s="208"/>
      <c r="Q505" s="208"/>
      <c r="R505" s="208"/>
      <c r="S505" s="208"/>
      <c r="T505" s="208"/>
      <c r="U505" s="209"/>
      <c r="V505" s="210"/>
    </row>
    <row r="506" ht="15.75" customHeight="1">
      <c r="A506" s="200"/>
      <c r="B506" s="201"/>
      <c r="C506" s="202"/>
      <c r="D506" s="203"/>
      <c r="E506" s="201"/>
      <c r="F506" s="204"/>
      <c r="G506" s="204"/>
      <c r="H506" s="205"/>
      <c r="I506" s="205"/>
      <c r="J506" s="206"/>
      <c r="K506" s="205"/>
      <c r="L506" s="205"/>
      <c r="M506" s="201"/>
      <c r="N506" s="207"/>
      <c r="O506" s="208"/>
      <c r="P506" s="208"/>
      <c r="Q506" s="208"/>
      <c r="R506" s="208"/>
      <c r="S506" s="208"/>
      <c r="T506" s="208"/>
      <c r="U506" s="209"/>
      <c r="V506" s="210"/>
    </row>
    <row r="507" ht="15.75" customHeight="1">
      <c r="A507" s="200"/>
      <c r="B507" s="201"/>
      <c r="C507" s="202"/>
      <c r="D507" s="203"/>
      <c r="E507" s="201"/>
      <c r="F507" s="204"/>
      <c r="G507" s="204"/>
      <c r="H507" s="205"/>
      <c r="I507" s="205"/>
      <c r="J507" s="206"/>
      <c r="K507" s="205"/>
      <c r="L507" s="205"/>
      <c r="M507" s="201"/>
      <c r="N507" s="207"/>
      <c r="O507" s="208"/>
      <c r="P507" s="208"/>
      <c r="Q507" s="208"/>
      <c r="R507" s="208"/>
      <c r="S507" s="208"/>
      <c r="T507" s="208"/>
      <c r="U507" s="209"/>
      <c r="V507" s="210"/>
    </row>
    <row r="508" ht="15.75" customHeight="1">
      <c r="A508" s="200"/>
      <c r="B508" s="201"/>
      <c r="C508" s="202"/>
      <c r="D508" s="203"/>
      <c r="E508" s="201"/>
      <c r="F508" s="204"/>
      <c r="G508" s="204"/>
      <c r="H508" s="205"/>
      <c r="I508" s="205"/>
      <c r="J508" s="206"/>
      <c r="K508" s="205"/>
      <c r="L508" s="205"/>
      <c r="M508" s="201"/>
      <c r="N508" s="207"/>
      <c r="O508" s="208"/>
      <c r="P508" s="208"/>
      <c r="Q508" s="208"/>
      <c r="R508" s="208"/>
      <c r="S508" s="208"/>
      <c r="T508" s="208"/>
      <c r="U508" s="209"/>
      <c r="V508" s="210"/>
    </row>
    <row r="509" ht="15.75" customHeight="1">
      <c r="A509" s="200"/>
      <c r="B509" s="201"/>
      <c r="C509" s="202"/>
      <c r="D509" s="203"/>
      <c r="E509" s="201"/>
      <c r="F509" s="204"/>
      <c r="G509" s="204"/>
      <c r="H509" s="205"/>
      <c r="I509" s="205"/>
      <c r="J509" s="206"/>
      <c r="K509" s="205"/>
      <c r="L509" s="205"/>
      <c r="M509" s="201"/>
      <c r="N509" s="207"/>
      <c r="O509" s="208"/>
      <c r="P509" s="208"/>
      <c r="Q509" s="208"/>
      <c r="R509" s="208"/>
      <c r="S509" s="208"/>
      <c r="T509" s="208"/>
      <c r="U509" s="209"/>
      <c r="V509" s="210"/>
    </row>
    <row r="510" ht="15.75" customHeight="1">
      <c r="A510" s="200"/>
      <c r="B510" s="201"/>
      <c r="C510" s="202"/>
      <c r="D510" s="203"/>
      <c r="E510" s="201"/>
      <c r="F510" s="204"/>
      <c r="G510" s="204"/>
      <c r="H510" s="205"/>
      <c r="I510" s="205"/>
      <c r="J510" s="206"/>
      <c r="K510" s="205"/>
      <c r="L510" s="205"/>
      <c r="M510" s="201"/>
      <c r="N510" s="207"/>
      <c r="O510" s="208"/>
      <c r="P510" s="208"/>
      <c r="Q510" s="208"/>
      <c r="R510" s="208"/>
      <c r="S510" s="208"/>
      <c r="T510" s="208"/>
      <c r="U510" s="209"/>
      <c r="V510" s="210"/>
    </row>
    <row r="511" ht="15.75" customHeight="1">
      <c r="A511" s="200"/>
      <c r="B511" s="201"/>
      <c r="C511" s="202"/>
      <c r="D511" s="203"/>
      <c r="E511" s="201"/>
      <c r="F511" s="204"/>
      <c r="G511" s="204"/>
      <c r="H511" s="205"/>
      <c r="I511" s="205"/>
      <c r="J511" s="206"/>
      <c r="K511" s="205"/>
      <c r="L511" s="205"/>
      <c r="M511" s="201"/>
      <c r="N511" s="207"/>
      <c r="O511" s="208"/>
      <c r="P511" s="208"/>
      <c r="Q511" s="208"/>
      <c r="R511" s="208"/>
      <c r="S511" s="208"/>
      <c r="T511" s="208"/>
      <c r="U511" s="209"/>
      <c r="V511" s="210"/>
    </row>
    <row r="512" ht="15.75" customHeight="1">
      <c r="A512" s="200"/>
      <c r="B512" s="201"/>
      <c r="C512" s="202"/>
      <c r="D512" s="203"/>
      <c r="E512" s="201"/>
      <c r="F512" s="204"/>
      <c r="G512" s="204"/>
      <c r="H512" s="205"/>
      <c r="I512" s="205"/>
      <c r="J512" s="206"/>
      <c r="K512" s="205"/>
      <c r="L512" s="205"/>
      <c r="M512" s="201"/>
      <c r="N512" s="207"/>
      <c r="O512" s="208"/>
      <c r="P512" s="208"/>
      <c r="Q512" s="208"/>
      <c r="R512" s="208"/>
      <c r="S512" s="208"/>
      <c r="T512" s="208"/>
      <c r="U512" s="209"/>
      <c r="V512" s="210"/>
    </row>
    <row r="513" ht="15.75" customHeight="1">
      <c r="A513" s="200"/>
      <c r="B513" s="201"/>
      <c r="C513" s="202"/>
      <c r="D513" s="203"/>
      <c r="E513" s="201"/>
      <c r="F513" s="204"/>
      <c r="G513" s="204"/>
      <c r="H513" s="205"/>
      <c r="I513" s="205"/>
      <c r="J513" s="206"/>
      <c r="K513" s="205"/>
      <c r="L513" s="205"/>
      <c r="M513" s="201"/>
      <c r="N513" s="207"/>
      <c r="O513" s="208"/>
      <c r="P513" s="208"/>
      <c r="Q513" s="208"/>
      <c r="R513" s="208"/>
      <c r="S513" s="208"/>
      <c r="T513" s="208"/>
      <c r="U513" s="209"/>
      <c r="V513" s="210"/>
    </row>
    <row r="514" ht="15.75" customHeight="1">
      <c r="A514" s="200"/>
      <c r="B514" s="201"/>
      <c r="C514" s="202"/>
      <c r="D514" s="203"/>
      <c r="E514" s="201"/>
      <c r="F514" s="204"/>
      <c r="G514" s="204"/>
      <c r="H514" s="205"/>
      <c r="I514" s="205"/>
      <c r="J514" s="206"/>
      <c r="K514" s="205"/>
      <c r="L514" s="205"/>
      <c r="M514" s="201"/>
      <c r="N514" s="207"/>
      <c r="O514" s="208"/>
      <c r="P514" s="208"/>
      <c r="Q514" s="208"/>
      <c r="R514" s="208"/>
      <c r="S514" s="208"/>
      <c r="T514" s="208"/>
      <c r="U514" s="209"/>
      <c r="V514" s="210"/>
    </row>
    <row r="515" ht="15.75" customHeight="1">
      <c r="A515" s="200"/>
      <c r="B515" s="201"/>
      <c r="C515" s="202"/>
      <c r="D515" s="203"/>
      <c r="E515" s="201"/>
      <c r="F515" s="204"/>
      <c r="G515" s="204"/>
      <c r="H515" s="205"/>
      <c r="I515" s="205"/>
      <c r="J515" s="206"/>
      <c r="K515" s="205"/>
      <c r="L515" s="205"/>
      <c r="M515" s="201"/>
      <c r="N515" s="207"/>
      <c r="O515" s="208"/>
      <c r="P515" s="208"/>
      <c r="Q515" s="208"/>
      <c r="R515" s="208"/>
      <c r="S515" s="208"/>
      <c r="T515" s="208"/>
      <c r="U515" s="209"/>
      <c r="V515" s="210"/>
    </row>
    <row r="516" ht="15.75" customHeight="1">
      <c r="A516" s="200"/>
      <c r="B516" s="201"/>
      <c r="C516" s="202"/>
      <c r="D516" s="203"/>
      <c r="E516" s="201"/>
      <c r="F516" s="204"/>
      <c r="G516" s="204"/>
      <c r="H516" s="205"/>
      <c r="I516" s="205"/>
      <c r="J516" s="206"/>
      <c r="K516" s="205"/>
      <c r="L516" s="205"/>
      <c r="M516" s="201"/>
      <c r="N516" s="207"/>
      <c r="O516" s="208"/>
      <c r="P516" s="208"/>
      <c r="Q516" s="208"/>
      <c r="R516" s="208"/>
      <c r="S516" s="208"/>
      <c r="T516" s="208"/>
      <c r="U516" s="209"/>
      <c r="V516" s="210"/>
    </row>
    <row r="517" ht="15.75" customHeight="1">
      <c r="A517" s="200"/>
      <c r="B517" s="201"/>
      <c r="C517" s="202"/>
      <c r="D517" s="203"/>
      <c r="E517" s="201"/>
      <c r="F517" s="204"/>
      <c r="G517" s="204"/>
      <c r="H517" s="205"/>
      <c r="I517" s="205"/>
      <c r="J517" s="206"/>
      <c r="K517" s="205"/>
      <c r="L517" s="205"/>
      <c r="M517" s="201"/>
      <c r="N517" s="207"/>
      <c r="O517" s="208"/>
      <c r="P517" s="208"/>
      <c r="Q517" s="208"/>
      <c r="R517" s="208"/>
      <c r="S517" s="208"/>
      <c r="T517" s="208"/>
      <c r="U517" s="209"/>
      <c r="V517" s="210"/>
    </row>
    <row r="518" ht="15.75" customHeight="1">
      <c r="A518" s="200"/>
      <c r="B518" s="201"/>
      <c r="C518" s="202"/>
      <c r="D518" s="203"/>
      <c r="E518" s="201"/>
      <c r="F518" s="204"/>
      <c r="G518" s="204"/>
      <c r="H518" s="205"/>
      <c r="I518" s="205"/>
      <c r="J518" s="206"/>
      <c r="K518" s="205"/>
      <c r="L518" s="205"/>
      <c r="M518" s="201"/>
      <c r="N518" s="207"/>
      <c r="O518" s="208"/>
      <c r="P518" s="208"/>
      <c r="Q518" s="208"/>
      <c r="R518" s="208"/>
      <c r="S518" s="208"/>
      <c r="T518" s="208"/>
      <c r="U518" s="209"/>
      <c r="V518" s="210"/>
    </row>
    <row r="519" ht="15.75" customHeight="1">
      <c r="A519" s="200"/>
      <c r="B519" s="201"/>
      <c r="C519" s="202"/>
      <c r="D519" s="203"/>
      <c r="E519" s="201"/>
      <c r="F519" s="204"/>
      <c r="G519" s="204"/>
      <c r="H519" s="205"/>
      <c r="I519" s="205"/>
      <c r="J519" s="206"/>
      <c r="K519" s="205"/>
      <c r="L519" s="205"/>
      <c r="M519" s="201"/>
      <c r="N519" s="207"/>
      <c r="O519" s="208"/>
      <c r="P519" s="208"/>
      <c r="Q519" s="208"/>
      <c r="R519" s="208"/>
      <c r="S519" s="208"/>
      <c r="T519" s="208"/>
      <c r="U519" s="209"/>
      <c r="V519" s="210"/>
    </row>
    <row r="520" ht="15.75" customHeight="1">
      <c r="A520" s="200"/>
      <c r="B520" s="201"/>
      <c r="C520" s="202"/>
      <c r="D520" s="203"/>
      <c r="E520" s="201"/>
      <c r="F520" s="204"/>
      <c r="G520" s="204"/>
      <c r="H520" s="205"/>
      <c r="I520" s="205"/>
      <c r="J520" s="206"/>
      <c r="K520" s="205"/>
      <c r="L520" s="205"/>
      <c r="M520" s="201"/>
      <c r="N520" s="207"/>
      <c r="O520" s="208"/>
      <c r="P520" s="208"/>
      <c r="Q520" s="208"/>
      <c r="R520" s="208"/>
      <c r="S520" s="208"/>
      <c r="T520" s="208"/>
      <c r="U520" s="209"/>
      <c r="V520" s="210"/>
    </row>
    <row r="521" ht="15.75" customHeight="1">
      <c r="A521" s="200"/>
      <c r="B521" s="201"/>
      <c r="C521" s="202"/>
      <c r="D521" s="203"/>
      <c r="E521" s="201"/>
      <c r="F521" s="204"/>
      <c r="G521" s="204"/>
      <c r="H521" s="205"/>
      <c r="I521" s="205"/>
      <c r="J521" s="206"/>
      <c r="K521" s="205"/>
      <c r="L521" s="205"/>
      <c r="M521" s="201"/>
      <c r="N521" s="207"/>
      <c r="O521" s="208"/>
      <c r="P521" s="208"/>
      <c r="Q521" s="208"/>
      <c r="R521" s="208"/>
      <c r="S521" s="208"/>
      <c r="T521" s="208"/>
      <c r="U521" s="209"/>
      <c r="V521" s="210"/>
    </row>
    <row r="522" ht="15.75" customHeight="1">
      <c r="A522" s="200"/>
      <c r="B522" s="201"/>
      <c r="C522" s="202"/>
      <c r="D522" s="203"/>
      <c r="E522" s="201"/>
      <c r="F522" s="204"/>
      <c r="G522" s="204"/>
      <c r="H522" s="205"/>
      <c r="I522" s="205"/>
      <c r="J522" s="206"/>
      <c r="K522" s="205"/>
      <c r="L522" s="205"/>
      <c r="M522" s="201"/>
      <c r="N522" s="207"/>
      <c r="O522" s="208"/>
      <c r="P522" s="208"/>
      <c r="Q522" s="208"/>
      <c r="R522" s="208"/>
      <c r="S522" s="208"/>
      <c r="T522" s="208"/>
      <c r="U522" s="209"/>
      <c r="V522" s="210"/>
    </row>
    <row r="523" ht="15.75" customHeight="1">
      <c r="A523" s="200"/>
      <c r="B523" s="201"/>
      <c r="C523" s="202"/>
      <c r="D523" s="203"/>
      <c r="E523" s="201"/>
      <c r="F523" s="204"/>
      <c r="G523" s="204"/>
      <c r="H523" s="205"/>
      <c r="I523" s="205"/>
      <c r="J523" s="206"/>
      <c r="K523" s="205"/>
      <c r="L523" s="205"/>
      <c r="M523" s="201"/>
      <c r="N523" s="207"/>
      <c r="O523" s="208"/>
      <c r="P523" s="208"/>
      <c r="Q523" s="208"/>
      <c r="R523" s="208"/>
      <c r="S523" s="208"/>
      <c r="T523" s="208"/>
      <c r="U523" s="209"/>
      <c r="V523" s="210"/>
    </row>
    <row r="524" ht="15.75" customHeight="1">
      <c r="A524" s="200"/>
      <c r="B524" s="201"/>
      <c r="C524" s="202"/>
      <c r="D524" s="203"/>
      <c r="E524" s="201"/>
      <c r="F524" s="204"/>
      <c r="G524" s="204"/>
      <c r="H524" s="205"/>
      <c r="I524" s="205"/>
      <c r="J524" s="206"/>
      <c r="K524" s="205"/>
      <c r="L524" s="205"/>
      <c r="M524" s="201"/>
      <c r="N524" s="207"/>
      <c r="O524" s="208"/>
      <c r="P524" s="208"/>
      <c r="Q524" s="208"/>
      <c r="R524" s="208"/>
      <c r="S524" s="208"/>
      <c r="T524" s="208"/>
      <c r="U524" s="209"/>
      <c r="V524" s="210"/>
    </row>
    <row r="525" ht="15.75" customHeight="1">
      <c r="A525" s="200"/>
      <c r="B525" s="201"/>
      <c r="C525" s="202"/>
      <c r="D525" s="203"/>
      <c r="E525" s="201"/>
      <c r="F525" s="204"/>
      <c r="G525" s="204"/>
      <c r="H525" s="205"/>
      <c r="I525" s="205"/>
      <c r="J525" s="206"/>
      <c r="K525" s="205"/>
      <c r="L525" s="205"/>
      <c r="M525" s="201"/>
      <c r="N525" s="207"/>
      <c r="O525" s="208"/>
      <c r="P525" s="208"/>
      <c r="Q525" s="208"/>
      <c r="R525" s="208"/>
      <c r="S525" s="208"/>
      <c r="T525" s="208"/>
      <c r="U525" s="209"/>
      <c r="V525" s="210"/>
    </row>
    <row r="526" ht="15.75" customHeight="1">
      <c r="A526" s="200"/>
      <c r="B526" s="201"/>
      <c r="C526" s="202"/>
      <c r="D526" s="203"/>
      <c r="E526" s="201"/>
      <c r="F526" s="204"/>
      <c r="G526" s="204"/>
      <c r="H526" s="205"/>
      <c r="I526" s="205"/>
      <c r="J526" s="206"/>
      <c r="K526" s="205"/>
      <c r="L526" s="205"/>
      <c r="M526" s="201"/>
      <c r="N526" s="207"/>
      <c r="O526" s="208"/>
      <c r="P526" s="208"/>
      <c r="Q526" s="208"/>
      <c r="R526" s="208"/>
      <c r="S526" s="208"/>
      <c r="T526" s="208"/>
      <c r="U526" s="209"/>
      <c r="V526" s="210"/>
    </row>
    <row r="527" ht="15.75" customHeight="1">
      <c r="A527" s="200"/>
      <c r="B527" s="201"/>
      <c r="C527" s="202"/>
      <c r="D527" s="203"/>
      <c r="E527" s="201"/>
      <c r="F527" s="204"/>
      <c r="G527" s="204"/>
      <c r="H527" s="205"/>
      <c r="I527" s="205"/>
      <c r="J527" s="206"/>
      <c r="K527" s="205"/>
      <c r="L527" s="205"/>
      <c r="M527" s="201"/>
      <c r="N527" s="207"/>
      <c r="O527" s="208"/>
      <c r="P527" s="208"/>
      <c r="Q527" s="208"/>
      <c r="R527" s="208"/>
      <c r="S527" s="208"/>
      <c r="T527" s="208"/>
      <c r="U527" s="209"/>
      <c r="V527" s="210"/>
    </row>
    <row r="528" ht="15.75" customHeight="1">
      <c r="A528" s="200"/>
      <c r="B528" s="201"/>
      <c r="C528" s="202"/>
      <c r="D528" s="203"/>
      <c r="E528" s="201"/>
      <c r="F528" s="204"/>
      <c r="G528" s="204"/>
      <c r="H528" s="205"/>
      <c r="I528" s="205"/>
      <c r="J528" s="206"/>
      <c r="K528" s="205"/>
      <c r="L528" s="205"/>
      <c r="M528" s="201"/>
      <c r="N528" s="207"/>
      <c r="O528" s="208"/>
      <c r="P528" s="208"/>
      <c r="Q528" s="208"/>
      <c r="R528" s="208"/>
      <c r="S528" s="208"/>
      <c r="T528" s="208"/>
      <c r="U528" s="209"/>
      <c r="V528" s="210"/>
    </row>
    <row r="529" ht="15.75" customHeight="1">
      <c r="A529" s="200"/>
      <c r="B529" s="201"/>
      <c r="C529" s="202"/>
      <c r="D529" s="203"/>
      <c r="E529" s="201"/>
      <c r="F529" s="204"/>
      <c r="G529" s="204"/>
      <c r="H529" s="205"/>
      <c r="I529" s="205"/>
      <c r="J529" s="206"/>
      <c r="K529" s="205"/>
      <c r="L529" s="205"/>
      <c r="M529" s="201"/>
      <c r="N529" s="207"/>
      <c r="O529" s="208"/>
      <c r="P529" s="208"/>
      <c r="Q529" s="208"/>
      <c r="R529" s="208"/>
      <c r="S529" s="208"/>
      <c r="T529" s="208"/>
      <c r="U529" s="209"/>
      <c r="V529" s="210"/>
    </row>
    <row r="530" ht="15.75" customHeight="1">
      <c r="A530" s="200"/>
      <c r="B530" s="201"/>
      <c r="C530" s="202"/>
      <c r="D530" s="203"/>
      <c r="E530" s="201"/>
      <c r="F530" s="204"/>
      <c r="G530" s="204"/>
      <c r="H530" s="205"/>
      <c r="I530" s="205"/>
      <c r="J530" s="206"/>
      <c r="K530" s="205"/>
      <c r="L530" s="205"/>
      <c r="M530" s="201"/>
      <c r="N530" s="207"/>
      <c r="O530" s="208"/>
      <c r="P530" s="208"/>
      <c r="Q530" s="208"/>
      <c r="R530" s="208"/>
      <c r="S530" s="208"/>
      <c r="T530" s="208"/>
      <c r="U530" s="209"/>
      <c r="V530" s="210"/>
    </row>
    <row r="531" ht="15.75" customHeight="1">
      <c r="A531" s="200"/>
      <c r="B531" s="201"/>
      <c r="C531" s="202"/>
      <c r="D531" s="203"/>
      <c r="E531" s="201"/>
      <c r="F531" s="204"/>
      <c r="G531" s="204"/>
      <c r="H531" s="205"/>
      <c r="I531" s="205"/>
      <c r="J531" s="206"/>
      <c r="K531" s="205"/>
      <c r="L531" s="205"/>
      <c r="M531" s="201"/>
      <c r="N531" s="207"/>
      <c r="O531" s="208"/>
      <c r="P531" s="208"/>
      <c r="Q531" s="208"/>
      <c r="R531" s="208"/>
      <c r="S531" s="208"/>
      <c r="T531" s="208"/>
      <c r="U531" s="209"/>
      <c r="V531" s="210"/>
    </row>
    <row r="532" ht="15.75" customHeight="1">
      <c r="A532" s="200"/>
      <c r="B532" s="201"/>
      <c r="C532" s="202"/>
      <c r="D532" s="203"/>
      <c r="E532" s="201"/>
      <c r="F532" s="204"/>
      <c r="G532" s="204"/>
      <c r="H532" s="205"/>
      <c r="I532" s="205"/>
      <c r="J532" s="206"/>
      <c r="K532" s="205"/>
      <c r="L532" s="205"/>
      <c r="M532" s="201"/>
      <c r="N532" s="207"/>
      <c r="O532" s="208"/>
      <c r="P532" s="208"/>
      <c r="Q532" s="208"/>
      <c r="R532" s="208"/>
      <c r="S532" s="208"/>
      <c r="T532" s="208"/>
      <c r="U532" s="209"/>
      <c r="V532" s="210"/>
    </row>
    <row r="533" ht="15.75" customHeight="1">
      <c r="A533" s="200"/>
      <c r="B533" s="201"/>
      <c r="C533" s="202"/>
      <c r="D533" s="203"/>
      <c r="E533" s="201"/>
      <c r="F533" s="204"/>
      <c r="G533" s="204"/>
      <c r="H533" s="205"/>
      <c r="I533" s="205"/>
      <c r="J533" s="206"/>
      <c r="K533" s="205"/>
      <c r="L533" s="205"/>
      <c r="M533" s="201"/>
      <c r="N533" s="207"/>
      <c r="O533" s="208"/>
      <c r="P533" s="208"/>
      <c r="Q533" s="208"/>
      <c r="R533" s="208"/>
      <c r="S533" s="208"/>
      <c r="T533" s="208"/>
      <c r="U533" s="209"/>
      <c r="V533" s="210"/>
    </row>
    <row r="534" ht="15.75" customHeight="1">
      <c r="A534" s="200"/>
      <c r="B534" s="201"/>
      <c r="C534" s="202"/>
      <c r="D534" s="203"/>
      <c r="E534" s="201"/>
      <c r="F534" s="204"/>
      <c r="G534" s="204"/>
      <c r="H534" s="205"/>
      <c r="I534" s="205"/>
      <c r="J534" s="206"/>
      <c r="K534" s="205"/>
      <c r="L534" s="205"/>
      <c r="M534" s="201"/>
      <c r="N534" s="207"/>
      <c r="O534" s="208"/>
      <c r="P534" s="208"/>
      <c r="Q534" s="208"/>
      <c r="R534" s="208"/>
      <c r="S534" s="208"/>
      <c r="T534" s="208"/>
      <c r="U534" s="209"/>
      <c r="V534" s="210"/>
    </row>
    <row r="535" ht="15.75" customHeight="1">
      <c r="A535" s="200"/>
      <c r="B535" s="201"/>
      <c r="C535" s="202"/>
      <c r="D535" s="203"/>
      <c r="E535" s="201"/>
      <c r="F535" s="204"/>
      <c r="G535" s="204"/>
      <c r="H535" s="205"/>
      <c r="I535" s="205"/>
      <c r="J535" s="206"/>
      <c r="K535" s="205"/>
      <c r="L535" s="205"/>
      <c r="M535" s="201"/>
      <c r="N535" s="207"/>
      <c r="O535" s="208"/>
      <c r="P535" s="208"/>
      <c r="Q535" s="208"/>
      <c r="R535" s="208"/>
      <c r="S535" s="208"/>
      <c r="T535" s="208"/>
      <c r="U535" s="209"/>
      <c r="V535" s="210"/>
    </row>
    <row r="536" ht="15.75" customHeight="1">
      <c r="A536" s="200"/>
      <c r="B536" s="201"/>
      <c r="C536" s="202"/>
      <c r="D536" s="203"/>
      <c r="E536" s="201"/>
      <c r="F536" s="204"/>
      <c r="G536" s="204"/>
      <c r="H536" s="205"/>
      <c r="I536" s="205"/>
      <c r="J536" s="206"/>
      <c r="K536" s="205"/>
      <c r="L536" s="205"/>
      <c r="M536" s="201"/>
      <c r="N536" s="207"/>
      <c r="O536" s="208"/>
      <c r="P536" s="208"/>
      <c r="Q536" s="208"/>
      <c r="R536" s="208"/>
      <c r="S536" s="208"/>
      <c r="T536" s="208"/>
      <c r="U536" s="209"/>
      <c r="V536" s="210"/>
    </row>
    <row r="537" ht="15.75" customHeight="1">
      <c r="A537" s="200"/>
      <c r="B537" s="201"/>
      <c r="C537" s="202"/>
      <c r="D537" s="203"/>
      <c r="E537" s="201"/>
      <c r="F537" s="204"/>
      <c r="G537" s="204"/>
      <c r="H537" s="205"/>
      <c r="I537" s="205"/>
      <c r="J537" s="206"/>
      <c r="K537" s="205"/>
      <c r="L537" s="205"/>
      <c r="M537" s="201"/>
      <c r="N537" s="207"/>
      <c r="O537" s="208"/>
      <c r="P537" s="208"/>
      <c r="Q537" s="208"/>
      <c r="R537" s="208"/>
      <c r="S537" s="208"/>
      <c r="T537" s="208"/>
      <c r="U537" s="209"/>
      <c r="V537" s="210"/>
    </row>
    <row r="538" ht="15.75" customHeight="1">
      <c r="A538" s="200"/>
      <c r="B538" s="201"/>
      <c r="C538" s="202"/>
      <c r="D538" s="203"/>
      <c r="E538" s="201"/>
      <c r="F538" s="204"/>
      <c r="G538" s="204"/>
      <c r="H538" s="205"/>
      <c r="I538" s="205"/>
      <c r="J538" s="206"/>
      <c r="K538" s="205"/>
      <c r="L538" s="205"/>
      <c r="M538" s="201"/>
      <c r="N538" s="207"/>
      <c r="O538" s="208"/>
      <c r="P538" s="208"/>
      <c r="Q538" s="208"/>
      <c r="R538" s="208"/>
      <c r="S538" s="208"/>
      <c r="T538" s="208"/>
      <c r="U538" s="209"/>
      <c r="V538" s="210"/>
    </row>
    <row r="539" ht="15.75" customHeight="1">
      <c r="A539" s="200"/>
      <c r="B539" s="201"/>
      <c r="C539" s="202"/>
      <c r="D539" s="203"/>
      <c r="E539" s="201"/>
      <c r="F539" s="204"/>
      <c r="G539" s="204"/>
      <c r="H539" s="205"/>
      <c r="I539" s="205"/>
      <c r="J539" s="206"/>
      <c r="K539" s="205"/>
      <c r="L539" s="205"/>
      <c r="M539" s="201"/>
      <c r="N539" s="207"/>
      <c r="O539" s="208"/>
      <c r="P539" s="208"/>
      <c r="Q539" s="208"/>
      <c r="R539" s="208"/>
      <c r="S539" s="208"/>
      <c r="T539" s="208"/>
      <c r="U539" s="209"/>
      <c r="V539" s="210"/>
    </row>
    <row r="540" ht="15.75" customHeight="1">
      <c r="A540" s="200"/>
      <c r="B540" s="201"/>
      <c r="C540" s="202"/>
      <c r="D540" s="203"/>
      <c r="E540" s="201"/>
      <c r="F540" s="204"/>
      <c r="G540" s="204"/>
      <c r="H540" s="205"/>
      <c r="I540" s="205"/>
      <c r="J540" s="206"/>
      <c r="K540" s="205"/>
      <c r="L540" s="205"/>
      <c r="M540" s="201"/>
      <c r="N540" s="207"/>
      <c r="O540" s="208"/>
      <c r="P540" s="208"/>
      <c r="Q540" s="208"/>
      <c r="R540" s="208"/>
      <c r="S540" s="208"/>
      <c r="T540" s="208"/>
      <c r="U540" s="209"/>
      <c r="V540" s="210"/>
    </row>
    <row r="541" ht="15.75" customHeight="1">
      <c r="A541" s="200"/>
      <c r="B541" s="201"/>
      <c r="C541" s="202"/>
      <c r="D541" s="203"/>
      <c r="E541" s="201"/>
      <c r="F541" s="204"/>
      <c r="G541" s="204"/>
      <c r="H541" s="205"/>
      <c r="I541" s="205"/>
      <c r="J541" s="206"/>
      <c r="K541" s="205"/>
      <c r="L541" s="205"/>
      <c r="M541" s="201"/>
      <c r="N541" s="207"/>
      <c r="O541" s="208"/>
      <c r="P541" s="208"/>
      <c r="Q541" s="208"/>
      <c r="R541" s="208"/>
      <c r="S541" s="208"/>
      <c r="T541" s="208"/>
      <c r="U541" s="209"/>
      <c r="V541" s="210"/>
    </row>
    <row r="542" ht="15.75" customHeight="1">
      <c r="A542" s="200"/>
      <c r="B542" s="201"/>
      <c r="C542" s="202"/>
      <c r="D542" s="203"/>
      <c r="E542" s="201"/>
      <c r="F542" s="204"/>
      <c r="G542" s="204"/>
      <c r="H542" s="205"/>
      <c r="I542" s="205"/>
      <c r="J542" s="206"/>
      <c r="K542" s="205"/>
      <c r="L542" s="205"/>
      <c r="M542" s="201"/>
      <c r="N542" s="207"/>
      <c r="O542" s="208"/>
      <c r="P542" s="208"/>
      <c r="Q542" s="208"/>
      <c r="R542" s="208"/>
      <c r="S542" s="208"/>
      <c r="T542" s="208"/>
      <c r="U542" s="209"/>
      <c r="V542" s="210"/>
    </row>
    <row r="543" ht="15.75" customHeight="1">
      <c r="A543" s="200"/>
      <c r="B543" s="201"/>
      <c r="C543" s="202"/>
      <c r="D543" s="203"/>
      <c r="E543" s="201"/>
      <c r="F543" s="204"/>
      <c r="G543" s="204"/>
      <c r="H543" s="205"/>
      <c r="I543" s="205"/>
      <c r="J543" s="206"/>
      <c r="K543" s="205"/>
      <c r="L543" s="205"/>
      <c r="M543" s="201"/>
      <c r="N543" s="207"/>
      <c r="O543" s="208"/>
      <c r="P543" s="208"/>
      <c r="Q543" s="208"/>
      <c r="R543" s="208"/>
      <c r="S543" s="208"/>
      <c r="T543" s="208"/>
      <c r="U543" s="209"/>
      <c r="V543" s="210"/>
    </row>
    <row r="544" ht="15.75" customHeight="1">
      <c r="A544" s="200"/>
      <c r="B544" s="201"/>
      <c r="C544" s="202"/>
      <c r="D544" s="203"/>
      <c r="E544" s="201"/>
      <c r="F544" s="204"/>
      <c r="G544" s="204"/>
      <c r="H544" s="205"/>
      <c r="I544" s="205"/>
      <c r="J544" s="206"/>
      <c r="K544" s="205"/>
      <c r="L544" s="205"/>
      <c r="M544" s="201"/>
      <c r="N544" s="207"/>
      <c r="O544" s="208"/>
      <c r="P544" s="208"/>
      <c r="Q544" s="208"/>
      <c r="R544" s="208"/>
      <c r="S544" s="208"/>
      <c r="T544" s="208"/>
      <c r="U544" s="209"/>
      <c r="V544" s="210"/>
    </row>
    <row r="545" ht="15.75" customHeight="1">
      <c r="A545" s="200"/>
      <c r="B545" s="201"/>
      <c r="C545" s="202"/>
      <c r="D545" s="203"/>
      <c r="E545" s="201"/>
      <c r="F545" s="204"/>
      <c r="G545" s="204"/>
      <c r="H545" s="205"/>
      <c r="I545" s="205"/>
      <c r="J545" s="206"/>
      <c r="K545" s="205"/>
      <c r="L545" s="205"/>
      <c r="M545" s="201"/>
      <c r="N545" s="207"/>
      <c r="O545" s="208"/>
      <c r="P545" s="208"/>
      <c r="Q545" s="208"/>
      <c r="R545" s="208"/>
      <c r="S545" s="208"/>
      <c r="T545" s="208"/>
      <c r="U545" s="209"/>
      <c r="V545" s="210"/>
    </row>
    <row r="546" ht="15.75" customHeight="1">
      <c r="A546" s="200"/>
      <c r="B546" s="201"/>
      <c r="C546" s="202"/>
      <c r="D546" s="203"/>
      <c r="E546" s="201"/>
      <c r="F546" s="204"/>
      <c r="G546" s="204"/>
      <c r="H546" s="205"/>
      <c r="I546" s="205"/>
      <c r="J546" s="206"/>
      <c r="K546" s="205"/>
      <c r="L546" s="205"/>
      <c r="M546" s="201"/>
      <c r="N546" s="207"/>
      <c r="O546" s="208"/>
      <c r="P546" s="208"/>
      <c r="Q546" s="208"/>
      <c r="R546" s="208"/>
      <c r="S546" s="208"/>
      <c r="T546" s="208"/>
      <c r="U546" s="209"/>
      <c r="V546" s="210"/>
    </row>
    <row r="547" ht="15.75" customHeight="1">
      <c r="A547" s="200"/>
      <c r="B547" s="201"/>
      <c r="C547" s="202"/>
      <c r="D547" s="203"/>
      <c r="E547" s="201"/>
      <c r="F547" s="204"/>
      <c r="G547" s="204"/>
      <c r="H547" s="205"/>
      <c r="I547" s="205"/>
      <c r="J547" s="206"/>
      <c r="K547" s="205"/>
      <c r="L547" s="205"/>
      <c r="M547" s="201"/>
      <c r="N547" s="207"/>
      <c r="O547" s="208"/>
      <c r="P547" s="208"/>
      <c r="Q547" s="208"/>
      <c r="R547" s="208"/>
      <c r="S547" s="208"/>
      <c r="T547" s="208"/>
      <c r="U547" s="209"/>
      <c r="V547" s="210"/>
    </row>
    <row r="548" ht="15.75" customHeight="1">
      <c r="A548" s="200"/>
      <c r="B548" s="201"/>
      <c r="C548" s="202"/>
      <c r="D548" s="203"/>
      <c r="E548" s="201"/>
      <c r="F548" s="204"/>
      <c r="G548" s="204"/>
      <c r="H548" s="205"/>
      <c r="I548" s="205"/>
      <c r="J548" s="206"/>
      <c r="K548" s="205"/>
      <c r="L548" s="205"/>
      <c r="M548" s="201"/>
      <c r="N548" s="207"/>
      <c r="O548" s="208"/>
      <c r="P548" s="208"/>
      <c r="Q548" s="208"/>
      <c r="R548" s="208"/>
      <c r="S548" s="208"/>
      <c r="T548" s="208"/>
      <c r="U548" s="209"/>
      <c r="V548" s="210"/>
    </row>
    <row r="549" ht="15.75" customHeight="1">
      <c r="A549" s="200"/>
      <c r="B549" s="201"/>
      <c r="C549" s="202"/>
      <c r="D549" s="203"/>
      <c r="E549" s="201"/>
      <c r="F549" s="204"/>
      <c r="G549" s="204"/>
      <c r="H549" s="205"/>
      <c r="I549" s="205"/>
      <c r="J549" s="206"/>
      <c r="K549" s="205"/>
      <c r="L549" s="205"/>
      <c r="M549" s="201"/>
      <c r="N549" s="207"/>
      <c r="O549" s="208"/>
      <c r="P549" s="208"/>
      <c r="Q549" s="208"/>
      <c r="R549" s="208"/>
      <c r="S549" s="208"/>
      <c r="T549" s="208"/>
      <c r="U549" s="209"/>
      <c r="V549" s="210"/>
    </row>
    <row r="550" ht="15.75" customHeight="1">
      <c r="A550" s="200"/>
      <c r="B550" s="201"/>
      <c r="C550" s="202"/>
      <c r="D550" s="203"/>
      <c r="E550" s="201"/>
      <c r="F550" s="204"/>
      <c r="G550" s="204"/>
      <c r="H550" s="205"/>
      <c r="I550" s="205"/>
      <c r="J550" s="206"/>
      <c r="K550" s="205"/>
      <c r="L550" s="205"/>
      <c r="M550" s="201"/>
      <c r="N550" s="207"/>
      <c r="O550" s="208"/>
      <c r="P550" s="208"/>
      <c r="Q550" s="208"/>
      <c r="R550" s="208"/>
      <c r="S550" s="208"/>
      <c r="T550" s="208"/>
      <c r="U550" s="209"/>
      <c r="V550" s="210"/>
    </row>
    <row r="551" ht="15.75" customHeight="1">
      <c r="A551" s="200"/>
      <c r="B551" s="201"/>
      <c r="C551" s="202"/>
      <c r="D551" s="203"/>
      <c r="E551" s="201"/>
      <c r="F551" s="204"/>
      <c r="G551" s="204"/>
      <c r="H551" s="205"/>
      <c r="I551" s="205"/>
      <c r="J551" s="206"/>
      <c r="K551" s="205"/>
      <c r="L551" s="205"/>
      <c r="M551" s="201"/>
      <c r="N551" s="207"/>
      <c r="O551" s="208"/>
      <c r="P551" s="208"/>
      <c r="Q551" s="208"/>
      <c r="R551" s="208"/>
      <c r="S551" s="208"/>
      <c r="T551" s="208"/>
      <c r="U551" s="209"/>
      <c r="V551" s="210"/>
    </row>
    <row r="552" ht="15.75" customHeight="1">
      <c r="A552" s="200"/>
      <c r="B552" s="201"/>
      <c r="C552" s="202"/>
      <c r="D552" s="203"/>
      <c r="E552" s="201"/>
      <c r="F552" s="204"/>
      <c r="G552" s="204"/>
      <c r="H552" s="205"/>
      <c r="I552" s="205"/>
      <c r="J552" s="206"/>
      <c r="K552" s="205"/>
      <c r="L552" s="205"/>
      <c r="M552" s="201"/>
      <c r="N552" s="207"/>
      <c r="O552" s="208"/>
      <c r="P552" s="208"/>
      <c r="Q552" s="208"/>
      <c r="R552" s="208"/>
      <c r="S552" s="208"/>
      <c r="T552" s="208"/>
      <c r="U552" s="209"/>
      <c r="V552" s="210"/>
    </row>
    <row r="553" ht="15.75" customHeight="1">
      <c r="A553" s="200"/>
      <c r="B553" s="201"/>
      <c r="C553" s="202"/>
      <c r="D553" s="203"/>
      <c r="E553" s="201"/>
      <c r="F553" s="204"/>
      <c r="G553" s="204"/>
      <c r="H553" s="205"/>
      <c r="I553" s="205"/>
      <c r="J553" s="206"/>
      <c r="K553" s="205"/>
      <c r="L553" s="205"/>
      <c r="M553" s="201"/>
      <c r="N553" s="207"/>
      <c r="O553" s="208"/>
      <c r="P553" s="208"/>
      <c r="Q553" s="208"/>
      <c r="R553" s="208"/>
      <c r="S553" s="208"/>
      <c r="T553" s="208"/>
      <c r="U553" s="209"/>
      <c r="V553" s="210"/>
    </row>
    <row r="554" ht="15.75" customHeight="1">
      <c r="A554" s="200"/>
      <c r="B554" s="201"/>
      <c r="C554" s="202"/>
      <c r="D554" s="203"/>
      <c r="E554" s="201"/>
      <c r="F554" s="204"/>
      <c r="G554" s="204"/>
      <c r="H554" s="205"/>
      <c r="I554" s="205"/>
      <c r="J554" s="206"/>
      <c r="K554" s="205"/>
      <c r="L554" s="205"/>
      <c r="M554" s="201"/>
      <c r="N554" s="207"/>
      <c r="O554" s="208"/>
      <c r="P554" s="208"/>
      <c r="Q554" s="208"/>
      <c r="R554" s="208"/>
      <c r="S554" s="208"/>
      <c r="T554" s="208"/>
      <c r="U554" s="209"/>
      <c r="V554" s="210"/>
    </row>
    <row r="555" ht="15.75" customHeight="1">
      <c r="A555" s="200"/>
      <c r="B555" s="201"/>
      <c r="C555" s="202"/>
      <c r="D555" s="203"/>
      <c r="E555" s="201"/>
      <c r="F555" s="204"/>
      <c r="G555" s="204"/>
      <c r="H555" s="205"/>
      <c r="I555" s="205"/>
      <c r="J555" s="206"/>
      <c r="K555" s="205"/>
      <c r="L555" s="205"/>
      <c r="M555" s="201"/>
      <c r="N555" s="207"/>
      <c r="O555" s="208"/>
      <c r="P555" s="208"/>
      <c r="Q555" s="208"/>
      <c r="R555" s="208"/>
      <c r="S555" s="208"/>
      <c r="T555" s="208"/>
      <c r="U555" s="209"/>
      <c r="V555" s="210"/>
    </row>
    <row r="556" ht="15.75" customHeight="1">
      <c r="A556" s="200"/>
      <c r="B556" s="201"/>
      <c r="C556" s="202"/>
      <c r="D556" s="203"/>
      <c r="E556" s="201"/>
      <c r="F556" s="204"/>
      <c r="G556" s="204"/>
      <c r="H556" s="205"/>
      <c r="I556" s="205"/>
      <c r="J556" s="206"/>
      <c r="K556" s="205"/>
      <c r="L556" s="205"/>
      <c r="M556" s="201"/>
      <c r="N556" s="207"/>
      <c r="O556" s="208"/>
      <c r="P556" s="208"/>
      <c r="Q556" s="208"/>
      <c r="R556" s="208"/>
      <c r="S556" s="208"/>
      <c r="T556" s="208"/>
      <c r="U556" s="209"/>
      <c r="V556" s="210"/>
    </row>
    <row r="557" ht="15.75" customHeight="1">
      <c r="A557" s="200"/>
      <c r="B557" s="201"/>
      <c r="C557" s="202"/>
      <c r="D557" s="203"/>
      <c r="E557" s="201"/>
      <c r="F557" s="204"/>
      <c r="G557" s="204"/>
      <c r="H557" s="205"/>
      <c r="I557" s="205"/>
      <c r="J557" s="206"/>
      <c r="K557" s="205"/>
      <c r="L557" s="205"/>
      <c r="M557" s="201"/>
      <c r="N557" s="207"/>
      <c r="O557" s="208"/>
      <c r="P557" s="208"/>
      <c r="Q557" s="208"/>
      <c r="R557" s="208"/>
      <c r="S557" s="208"/>
      <c r="T557" s="208"/>
      <c r="U557" s="209"/>
      <c r="V557" s="210"/>
    </row>
    <row r="558" ht="15.75" customHeight="1">
      <c r="A558" s="200"/>
      <c r="B558" s="201"/>
      <c r="C558" s="202"/>
      <c r="D558" s="203"/>
      <c r="E558" s="201"/>
      <c r="F558" s="204"/>
      <c r="G558" s="204"/>
      <c r="H558" s="205"/>
      <c r="I558" s="205"/>
      <c r="J558" s="206"/>
      <c r="K558" s="205"/>
      <c r="L558" s="205"/>
      <c r="M558" s="201"/>
      <c r="N558" s="207"/>
      <c r="O558" s="208"/>
      <c r="P558" s="208"/>
      <c r="Q558" s="208"/>
      <c r="R558" s="208"/>
      <c r="S558" s="208"/>
      <c r="T558" s="208"/>
      <c r="U558" s="209"/>
      <c r="V558" s="210"/>
    </row>
    <row r="559" ht="15.75" customHeight="1">
      <c r="A559" s="200"/>
      <c r="B559" s="201"/>
      <c r="C559" s="202"/>
      <c r="D559" s="203"/>
      <c r="E559" s="201"/>
      <c r="F559" s="204"/>
      <c r="G559" s="204"/>
      <c r="H559" s="205"/>
      <c r="I559" s="205"/>
      <c r="J559" s="206"/>
      <c r="K559" s="205"/>
      <c r="L559" s="205"/>
      <c r="M559" s="201"/>
      <c r="N559" s="207"/>
      <c r="O559" s="208"/>
      <c r="P559" s="208"/>
      <c r="Q559" s="208"/>
      <c r="R559" s="208"/>
      <c r="S559" s="208"/>
      <c r="T559" s="208"/>
      <c r="U559" s="209"/>
      <c r="V559" s="210"/>
    </row>
    <row r="560" ht="15.75" customHeight="1">
      <c r="A560" s="200"/>
      <c r="B560" s="201"/>
      <c r="C560" s="202"/>
      <c r="D560" s="203"/>
      <c r="E560" s="201"/>
      <c r="F560" s="204"/>
      <c r="G560" s="204"/>
      <c r="H560" s="205"/>
      <c r="I560" s="205"/>
      <c r="J560" s="206"/>
      <c r="K560" s="205"/>
      <c r="L560" s="205"/>
      <c r="M560" s="201"/>
      <c r="N560" s="207"/>
      <c r="O560" s="208"/>
      <c r="P560" s="208"/>
      <c r="Q560" s="208"/>
      <c r="R560" s="208"/>
      <c r="S560" s="208"/>
      <c r="T560" s="208"/>
      <c r="U560" s="209"/>
      <c r="V560" s="210"/>
    </row>
    <row r="561" ht="15.75" customHeight="1">
      <c r="A561" s="200"/>
      <c r="B561" s="201"/>
      <c r="C561" s="202"/>
      <c r="D561" s="203"/>
      <c r="E561" s="201"/>
      <c r="F561" s="204"/>
      <c r="G561" s="204"/>
      <c r="H561" s="205"/>
      <c r="I561" s="205"/>
      <c r="J561" s="206"/>
      <c r="K561" s="205"/>
      <c r="L561" s="205"/>
      <c r="M561" s="201"/>
      <c r="N561" s="207"/>
      <c r="O561" s="208"/>
      <c r="P561" s="208"/>
      <c r="Q561" s="208"/>
      <c r="R561" s="208"/>
      <c r="S561" s="208"/>
      <c r="T561" s="208"/>
      <c r="U561" s="209"/>
      <c r="V561" s="210"/>
    </row>
    <row r="562" ht="15.75" customHeight="1">
      <c r="A562" s="200"/>
      <c r="B562" s="201"/>
      <c r="C562" s="202"/>
      <c r="D562" s="203"/>
      <c r="E562" s="201"/>
      <c r="F562" s="204"/>
      <c r="G562" s="204"/>
      <c r="H562" s="205"/>
      <c r="I562" s="205"/>
      <c r="J562" s="206"/>
      <c r="K562" s="205"/>
      <c r="L562" s="205"/>
      <c r="M562" s="201"/>
      <c r="N562" s="207"/>
      <c r="O562" s="208"/>
      <c r="P562" s="208"/>
      <c r="Q562" s="208"/>
      <c r="R562" s="208"/>
      <c r="S562" s="208"/>
      <c r="T562" s="208"/>
      <c r="U562" s="209"/>
      <c r="V562" s="210"/>
    </row>
    <row r="563" ht="15.75" customHeight="1">
      <c r="A563" s="200"/>
      <c r="B563" s="201"/>
      <c r="C563" s="202"/>
      <c r="D563" s="203"/>
      <c r="E563" s="201"/>
      <c r="F563" s="204"/>
      <c r="G563" s="204"/>
      <c r="H563" s="205"/>
      <c r="I563" s="205"/>
      <c r="J563" s="206"/>
      <c r="K563" s="205"/>
      <c r="L563" s="205"/>
      <c r="M563" s="201"/>
      <c r="N563" s="207"/>
      <c r="O563" s="208"/>
      <c r="P563" s="208"/>
      <c r="Q563" s="208"/>
      <c r="R563" s="208"/>
      <c r="S563" s="208"/>
      <c r="T563" s="208"/>
      <c r="U563" s="209"/>
      <c r="V563" s="210"/>
    </row>
    <row r="564" ht="15.75" customHeight="1">
      <c r="A564" s="200"/>
      <c r="B564" s="201"/>
      <c r="C564" s="202"/>
      <c r="D564" s="203"/>
      <c r="E564" s="201"/>
      <c r="F564" s="204"/>
      <c r="G564" s="204"/>
      <c r="H564" s="205"/>
      <c r="I564" s="205"/>
      <c r="J564" s="206"/>
      <c r="K564" s="205"/>
      <c r="L564" s="205"/>
      <c r="M564" s="201"/>
      <c r="N564" s="207"/>
      <c r="O564" s="208"/>
      <c r="P564" s="208"/>
      <c r="Q564" s="208"/>
      <c r="R564" s="208"/>
      <c r="S564" s="208"/>
      <c r="T564" s="208"/>
      <c r="U564" s="209"/>
      <c r="V564" s="210"/>
    </row>
    <row r="565" ht="15.75" customHeight="1">
      <c r="A565" s="200"/>
      <c r="B565" s="201"/>
      <c r="C565" s="202"/>
      <c r="D565" s="203"/>
      <c r="E565" s="201"/>
      <c r="F565" s="204"/>
      <c r="G565" s="204"/>
      <c r="H565" s="205"/>
      <c r="I565" s="205"/>
      <c r="J565" s="206"/>
      <c r="K565" s="205"/>
      <c r="L565" s="205"/>
      <c r="M565" s="201"/>
      <c r="N565" s="207"/>
      <c r="O565" s="208"/>
      <c r="P565" s="208"/>
      <c r="Q565" s="208"/>
      <c r="R565" s="208"/>
      <c r="S565" s="208"/>
      <c r="T565" s="208"/>
      <c r="U565" s="209"/>
      <c r="V565" s="210"/>
    </row>
    <row r="566" ht="15.75" customHeight="1">
      <c r="A566" s="200"/>
      <c r="B566" s="201"/>
      <c r="C566" s="202"/>
      <c r="D566" s="203"/>
      <c r="E566" s="201"/>
      <c r="F566" s="204"/>
      <c r="G566" s="204"/>
      <c r="H566" s="205"/>
      <c r="I566" s="205"/>
      <c r="J566" s="206"/>
      <c r="K566" s="205"/>
      <c r="L566" s="205"/>
      <c r="M566" s="201"/>
      <c r="N566" s="207"/>
      <c r="O566" s="208"/>
      <c r="P566" s="208"/>
      <c r="Q566" s="208"/>
      <c r="R566" s="208"/>
      <c r="S566" s="208"/>
      <c r="T566" s="208"/>
      <c r="U566" s="209"/>
      <c r="V566" s="210"/>
    </row>
    <row r="567" ht="15.75" customHeight="1">
      <c r="A567" s="200"/>
      <c r="B567" s="201"/>
      <c r="C567" s="202"/>
      <c r="D567" s="203"/>
      <c r="E567" s="201"/>
      <c r="F567" s="204"/>
      <c r="G567" s="204"/>
      <c r="H567" s="205"/>
      <c r="I567" s="205"/>
      <c r="J567" s="206"/>
      <c r="K567" s="205"/>
      <c r="L567" s="205"/>
      <c r="M567" s="201"/>
      <c r="N567" s="207"/>
      <c r="O567" s="208"/>
      <c r="P567" s="208"/>
      <c r="Q567" s="208"/>
      <c r="R567" s="208"/>
      <c r="S567" s="208"/>
      <c r="T567" s="208"/>
      <c r="U567" s="209"/>
      <c r="V567" s="210"/>
    </row>
    <row r="568" ht="15.75" customHeight="1">
      <c r="A568" s="200"/>
      <c r="B568" s="201"/>
      <c r="C568" s="202"/>
      <c r="D568" s="203"/>
      <c r="E568" s="201"/>
      <c r="F568" s="204"/>
      <c r="G568" s="204"/>
      <c r="H568" s="205"/>
      <c r="I568" s="205"/>
      <c r="J568" s="206"/>
      <c r="K568" s="205"/>
      <c r="L568" s="205"/>
      <c r="M568" s="201"/>
      <c r="N568" s="207"/>
      <c r="O568" s="208"/>
      <c r="P568" s="208"/>
      <c r="Q568" s="208"/>
      <c r="R568" s="208"/>
      <c r="S568" s="208"/>
      <c r="T568" s="208"/>
      <c r="U568" s="209"/>
      <c r="V568" s="210"/>
    </row>
    <row r="569" ht="15.75" customHeight="1">
      <c r="A569" s="200"/>
      <c r="B569" s="201"/>
      <c r="C569" s="202"/>
      <c r="D569" s="203"/>
      <c r="E569" s="201"/>
      <c r="F569" s="204"/>
      <c r="G569" s="204"/>
      <c r="H569" s="205"/>
      <c r="I569" s="205"/>
      <c r="J569" s="206"/>
      <c r="K569" s="205"/>
      <c r="L569" s="205"/>
      <c r="M569" s="201"/>
      <c r="N569" s="207"/>
      <c r="O569" s="208"/>
      <c r="P569" s="208"/>
      <c r="Q569" s="208"/>
      <c r="R569" s="208"/>
      <c r="S569" s="208"/>
      <c r="T569" s="208"/>
      <c r="U569" s="209"/>
      <c r="V569" s="210"/>
    </row>
    <row r="570" ht="15.75" customHeight="1">
      <c r="A570" s="200"/>
      <c r="B570" s="201"/>
      <c r="C570" s="202"/>
      <c r="D570" s="203"/>
      <c r="E570" s="201"/>
      <c r="F570" s="204"/>
      <c r="G570" s="204"/>
      <c r="H570" s="205"/>
      <c r="I570" s="205"/>
      <c r="J570" s="206"/>
      <c r="K570" s="205"/>
      <c r="L570" s="205"/>
      <c r="M570" s="201"/>
      <c r="N570" s="207"/>
      <c r="O570" s="208"/>
      <c r="P570" s="208"/>
      <c r="Q570" s="208"/>
      <c r="R570" s="208"/>
      <c r="S570" s="208"/>
      <c r="T570" s="208"/>
      <c r="U570" s="209"/>
      <c r="V570" s="210"/>
    </row>
    <row r="571" ht="15.75" customHeight="1">
      <c r="A571" s="200"/>
      <c r="B571" s="201"/>
      <c r="C571" s="202"/>
      <c r="D571" s="203"/>
      <c r="E571" s="201"/>
      <c r="F571" s="204"/>
      <c r="G571" s="204"/>
      <c r="H571" s="205"/>
      <c r="I571" s="205"/>
      <c r="J571" s="206"/>
      <c r="K571" s="205"/>
      <c r="L571" s="205"/>
      <c r="M571" s="201"/>
      <c r="N571" s="207"/>
      <c r="O571" s="208"/>
      <c r="P571" s="208"/>
      <c r="Q571" s="208"/>
      <c r="R571" s="208"/>
      <c r="S571" s="208"/>
      <c r="T571" s="208"/>
      <c r="U571" s="209"/>
      <c r="V571" s="210"/>
    </row>
    <row r="572" ht="15.75" customHeight="1">
      <c r="A572" s="200"/>
      <c r="B572" s="201"/>
      <c r="C572" s="202"/>
      <c r="D572" s="203"/>
      <c r="E572" s="201"/>
      <c r="F572" s="204"/>
      <c r="G572" s="204"/>
      <c r="H572" s="205"/>
      <c r="I572" s="205"/>
      <c r="J572" s="206"/>
      <c r="K572" s="205"/>
      <c r="L572" s="205"/>
      <c r="M572" s="201"/>
      <c r="N572" s="207"/>
      <c r="O572" s="208"/>
      <c r="P572" s="208"/>
      <c r="Q572" s="208"/>
      <c r="R572" s="208"/>
      <c r="S572" s="208"/>
      <c r="T572" s="208"/>
      <c r="U572" s="209"/>
      <c r="V572" s="210"/>
    </row>
    <row r="573" ht="15.75" customHeight="1">
      <c r="A573" s="200"/>
      <c r="B573" s="201"/>
      <c r="C573" s="202"/>
      <c r="D573" s="203"/>
      <c r="E573" s="201"/>
      <c r="F573" s="204"/>
      <c r="G573" s="204"/>
      <c r="H573" s="205"/>
      <c r="I573" s="205"/>
      <c r="J573" s="206"/>
      <c r="K573" s="205"/>
      <c r="L573" s="205"/>
      <c r="M573" s="201"/>
      <c r="N573" s="207"/>
      <c r="O573" s="208"/>
      <c r="P573" s="208"/>
      <c r="Q573" s="208"/>
      <c r="R573" s="208"/>
      <c r="S573" s="208"/>
      <c r="T573" s="208"/>
      <c r="U573" s="209"/>
      <c r="V573" s="210"/>
    </row>
    <row r="574" ht="15.75" customHeight="1">
      <c r="A574" s="200"/>
      <c r="B574" s="201"/>
      <c r="C574" s="202"/>
      <c r="D574" s="203"/>
      <c r="E574" s="201"/>
      <c r="F574" s="204"/>
      <c r="G574" s="204"/>
      <c r="H574" s="205"/>
      <c r="I574" s="205"/>
      <c r="J574" s="206"/>
      <c r="K574" s="205"/>
      <c r="L574" s="205"/>
      <c r="M574" s="201"/>
      <c r="N574" s="207"/>
      <c r="O574" s="208"/>
      <c r="P574" s="208"/>
      <c r="Q574" s="208"/>
      <c r="R574" s="208"/>
      <c r="S574" s="208"/>
      <c r="T574" s="208"/>
      <c r="U574" s="209"/>
      <c r="V574" s="210"/>
    </row>
    <row r="575" ht="15.75" customHeight="1">
      <c r="A575" s="200"/>
      <c r="B575" s="201"/>
      <c r="C575" s="202"/>
      <c r="D575" s="203"/>
      <c r="E575" s="201"/>
      <c r="F575" s="204"/>
      <c r="G575" s="204"/>
      <c r="H575" s="205"/>
      <c r="I575" s="205"/>
      <c r="J575" s="206"/>
      <c r="K575" s="205"/>
      <c r="L575" s="205"/>
      <c r="M575" s="201"/>
      <c r="N575" s="207"/>
      <c r="O575" s="208"/>
      <c r="P575" s="208"/>
      <c r="Q575" s="208"/>
      <c r="R575" s="208"/>
      <c r="S575" s="208"/>
      <c r="T575" s="208"/>
      <c r="U575" s="209"/>
      <c r="V575" s="210"/>
    </row>
    <row r="576" ht="15.75" customHeight="1">
      <c r="A576" s="200"/>
      <c r="B576" s="201"/>
      <c r="C576" s="202"/>
      <c r="D576" s="203"/>
      <c r="E576" s="201"/>
      <c r="F576" s="204"/>
      <c r="G576" s="204"/>
      <c r="H576" s="205"/>
      <c r="I576" s="205"/>
      <c r="J576" s="206"/>
      <c r="K576" s="205"/>
      <c r="L576" s="205"/>
      <c r="M576" s="201"/>
      <c r="N576" s="207"/>
      <c r="O576" s="208"/>
      <c r="P576" s="208"/>
      <c r="Q576" s="208"/>
      <c r="R576" s="208"/>
      <c r="S576" s="208"/>
      <c r="T576" s="208"/>
      <c r="U576" s="209"/>
      <c r="V576" s="210"/>
    </row>
    <row r="577" ht="15.75" customHeight="1">
      <c r="A577" s="200"/>
      <c r="B577" s="201"/>
      <c r="C577" s="202"/>
      <c r="D577" s="203"/>
      <c r="E577" s="201"/>
      <c r="F577" s="204"/>
      <c r="G577" s="204"/>
      <c r="H577" s="205"/>
      <c r="I577" s="205"/>
      <c r="J577" s="206"/>
      <c r="K577" s="205"/>
      <c r="L577" s="205"/>
      <c r="M577" s="201"/>
      <c r="N577" s="207"/>
      <c r="O577" s="208"/>
      <c r="P577" s="208"/>
      <c r="Q577" s="208"/>
      <c r="R577" s="208"/>
      <c r="S577" s="208"/>
      <c r="T577" s="208"/>
      <c r="U577" s="209"/>
      <c r="V577" s="210"/>
    </row>
    <row r="578" ht="15.75" customHeight="1">
      <c r="A578" s="200"/>
      <c r="B578" s="201"/>
      <c r="C578" s="202"/>
      <c r="D578" s="203"/>
      <c r="E578" s="201"/>
      <c r="F578" s="204"/>
      <c r="G578" s="204"/>
      <c r="H578" s="205"/>
      <c r="I578" s="205"/>
      <c r="J578" s="206"/>
      <c r="K578" s="205"/>
      <c r="L578" s="205"/>
      <c r="M578" s="201"/>
      <c r="N578" s="207"/>
      <c r="O578" s="208"/>
      <c r="P578" s="208"/>
      <c r="Q578" s="208"/>
      <c r="R578" s="208"/>
      <c r="S578" s="208"/>
      <c r="T578" s="208"/>
      <c r="U578" s="209"/>
      <c r="V578" s="210"/>
    </row>
    <row r="579" ht="15.75" customHeight="1">
      <c r="A579" s="200"/>
      <c r="B579" s="201"/>
      <c r="C579" s="202"/>
      <c r="D579" s="203"/>
      <c r="E579" s="201"/>
      <c r="F579" s="204"/>
      <c r="G579" s="204"/>
      <c r="H579" s="205"/>
      <c r="I579" s="205"/>
      <c r="J579" s="206"/>
      <c r="K579" s="205"/>
      <c r="L579" s="205"/>
      <c r="M579" s="201"/>
      <c r="N579" s="207"/>
      <c r="O579" s="208"/>
      <c r="P579" s="208"/>
      <c r="Q579" s="208"/>
      <c r="R579" s="208"/>
      <c r="S579" s="208"/>
      <c r="T579" s="208"/>
      <c r="U579" s="209"/>
      <c r="V579" s="210"/>
    </row>
    <row r="580" ht="15.75" customHeight="1">
      <c r="A580" s="200"/>
      <c r="B580" s="201"/>
      <c r="C580" s="202"/>
      <c r="D580" s="203"/>
      <c r="E580" s="201"/>
      <c r="F580" s="204"/>
      <c r="G580" s="204"/>
      <c r="H580" s="205"/>
      <c r="I580" s="205"/>
      <c r="J580" s="206"/>
      <c r="K580" s="205"/>
      <c r="L580" s="205"/>
      <c r="M580" s="201"/>
      <c r="N580" s="207"/>
      <c r="O580" s="208"/>
      <c r="P580" s="208"/>
      <c r="Q580" s="208"/>
      <c r="R580" s="208"/>
      <c r="S580" s="208"/>
      <c r="T580" s="208"/>
      <c r="U580" s="209"/>
      <c r="V580" s="210"/>
    </row>
    <row r="581" ht="15.75" customHeight="1">
      <c r="A581" s="200"/>
      <c r="B581" s="201"/>
      <c r="C581" s="202"/>
      <c r="D581" s="203"/>
      <c r="E581" s="201"/>
      <c r="F581" s="204"/>
      <c r="G581" s="204"/>
      <c r="H581" s="205"/>
      <c r="I581" s="205"/>
      <c r="J581" s="206"/>
      <c r="K581" s="205"/>
      <c r="L581" s="205"/>
      <c r="M581" s="201"/>
      <c r="N581" s="207"/>
      <c r="O581" s="208"/>
      <c r="P581" s="208"/>
      <c r="Q581" s="208"/>
      <c r="R581" s="208"/>
      <c r="S581" s="208"/>
      <c r="T581" s="208"/>
      <c r="U581" s="209"/>
      <c r="V581" s="210"/>
    </row>
    <row r="582" ht="15.75" customHeight="1">
      <c r="A582" s="200"/>
      <c r="B582" s="201"/>
      <c r="C582" s="202"/>
      <c r="D582" s="203"/>
      <c r="E582" s="201"/>
      <c r="F582" s="204"/>
      <c r="G582" s="204"/>
      <c r="H582" s="205"/>
      <c r="I582" s="205"/>
      <c r="J582" s="206"/>
      <c r="K582" s="205"/>
      <c r="L582" s="205"/>
      <c r="M582" s="201"/>
      <c r="N582" s="207"/>
      <c r="O582" s="208"/>
      <c r="P582" s="208"/>
      <c r="Q582" s="208"/>
      <c r="R582" s="208"/>
      <c r="S582" s="208"/>
      <c r="T582" s="208"/>
      <c r="U582" s="209"/>
      <c r="V582" s="210"/>
    </row>
    <row r="583" ht="15.75" customHeight="1">
      <c r="A583" s="200"/>
      <c r="B583" s="201"/>
      <c r="C583" s="202"/>
      <c r="D583" s="203"/>
      <c r="E583" s="201"/>
      <c r="F583" s="204"/>
      <c r="G583" s="204"/>
      <c r="H583" s="205"/>
      <c r="I583" s="205"/>
      <c r="J583" s="206"/>
      <c r="K583" s="205"/>
      <c r="L583" s="205"/>
      <c r="M583" s="201"/>
      <c r="N583" s="207"/>
      <c r="O583" s="208"/>
      <c r="P583" s="208"/>
      <c r="Q583" s="208"/>
      <c r="R583" s="208"/>
      <c r="S583" s="208"/>
      <c r="T583" s="208"/>
      <c r="U583" s="209"/>
      <c r="V583" s="210"/>
    </row>
    <row r="584" ht="15.75" customHeight="1">
      <c r="A584" s="200"/>
      <c r="B584" s="201"/>
      <c r="C584" s="202"/>
      <c r="D584" s="203"/>
      <c r="E584" s="201"/>
      <c r="F584" s="204"/>
      <c r="G584" s="204"/>
      <c r="H584" s="205"/>
      <c r="I584" s="205"/>
      <c r="J584" s="206"/>
      <c r="K584" s="205"/>
      <c r="L584" s="205"/>
      <c r="M584" s="201"/>
      <c r="N584" s="207"/>
      <c r="O584" s="208"/>
      <c r="P584" s="208"/>
      <c r="Q584" s="208"/>
      <c r="R584" s="208"/>
      <c r="S584" s="208"/>
      <c r="T584" s="208"/>
      <c r="U584" s="209"/>
      <c r="V584" s="210"/>
    </row>
    <row r="585" ht="15.75" customHeight="1">
      <c r="A585" s="200"/>
      <c r="B585" s="201"/>
      <c r="C585" s="202"/>
      <c r="D585" s="203"/>
      <c r="E585" s="201"/>
      <c r="F585" s="204"/>
      <c r="G585" s="204"/>
      <c r="H585" s="205"/>
      <c r="I585" s="205"/>
      <c r="J585" s="206"/>
      <c r="K585" s="205"/>
      <c r="L585" s="205"/>
      <c r="M585" s="201"/>
      <c r="N585" s="207"/>
      <c r="O585" s="208"/>
      <c r="P585" s="208"/>
      <c r="Q585" s="208"/>
      <c r="R585" s="208"/>
      <c r="S585" s="208"/>
      <c r="T585" s="208"/>
      <c r="U585" s="209"/>
      <c r="V585" s="210"/>
    </row>
    <row r="586" ht="15.75" customHeight="1">
      <c r="A586" s="200"/>
      <c r="B586" s="201"/>
      <c r="C586" s="202"/>
      <c r="D586" s="203"/>
      <c r="E586" s="201"/>
      <c r="F586" s="204"/>
      <c r="G586" s="204"/>
      <c r="H586" s="205"/>
      <c r="I586" s="205"/>
      <c r="J586" s="206"/>
      <c r="K586" s="205"/>
      <c r="L586" s="205"/>
      <c r="M586" s="201"/>
      <c r="N586" s="207"/>
      <c r="O586" s="208"/>
      <c r="P586" s="208"/>
      <c r="Q586" s="208"/>
      <c r="R586" s="208"/>
      <c r="S586" s="208"/>
      <c r="T586" s="208"/>
      <c r="U586" s="209"/>
      <c r="V586" s="210"/>
    </row>
    <row r="587" ht="15.75" customHeight="1">
      <c r="A587" s="200"/>
      <c r="B587" s="201"/>
      <c r="C587" s="202"/>
      <c r="D587" s="203"/>
      <c r="E587" s="201"/>
      <c r="F587" s="204"/>
      <c r="G587" s="204"/>
      <c r="H587" s="205"/>
      <c r="I587" s="205"/>
      <c r="J587" s="206"/>
      <c r="K587" s="205"/>
      <c r="L587" s="205"/>
      <c r="M587" s="201"/>
      <c r="N587" s="207"/>
      <c r="O587" s="208"/>
      <c r="P587" s="208"/>
      <c r="Q587" s="208"/>
      <c r="R587" s="208"/>
      <c r="S587" s="208"/>
      <c r="T587" s="208"/>
      <c r="U587" s="209"/>
      <c r="V587" s="210"/>
    </row>
    <row r="588" ht="15.75" customHeight="1">
      <c r="A588" s="200"/>
      <c r="B588" s="201"/>
      <c r="C588" s="202"/>
      <c r="D588" s="203"/>
      <c r="E588" s="201"/>
      <c r="F588" s="204"/>
      <c r="G588" s="204"/>
      <c r="H588" s="205"/>
      <c r="I588" s="205"/>
      <c r="J588" s="206"/>
      <c r="K588" s="205"/>
      <c r="L588" s="205"/>
      <c r="M588" s="201"/>
      <c r="N588" s="207"/>
      <c r="O588" s="208"/>
      <c r="P588" s="208"/>
      <c r="Q588" s="208"/>
      <c r="R588" s="208"/>
      <c r="S588" s="208"/>
      <c r="T588" s="208"/>
      <c r="U588" s="209"/>
      <c r="V588" s="210"/>
    </row>
    <row r="589" ht="15.75" customHeight="1">
      <c r="A589" s="200"/>
      <c r="B589" s="201"/>
      <c r="C589" s="202"/>
      <c r="D589" s="203"/>
      <c r="E589" s="201"/>
      <c r="F589" s="204"/>
      <c r="G589" s="204"/>
      <c r="H589" s="205"/>
      <c r="I589" s="205"/>
      <c r="J589" s="206"/>
      <c r="K589" s="205"/>
      <c r="L589" s="205"/>
      <c r="M589" s="201"/>
      <c r="N589" s="207"/>
      <c r="O589" s="208"/>
      <c r="P589" s="208"/>
      <c r="Q589" s="208"/>
      <c r="R589" s="208"/>
      <c r="S589" s="208"/>
      <c r="T589" s="208"/>
      <c r="U589" s="209"/>
      <c r="V589" s="210"/>
    </row>
    <row r="590" ht="15.75" customHeight="1">
      <c r="A590" s="200"/>
      <c r="B590" s="201"/>
      <c r="C590" s="202"/>
      <c r="D590" s="203"/>
      <c r="E590" s="201"/>
      <c r="F590" s="204"/>
      <c r="G590" s="204"/>
      <c r="H590" s="205"/>
      <c r="I590" s="205"/>
      <c r="J590" s="206"/>
      <c r="K590" s="205"/>
      <c r="L590" s="205"/>
      <c r="M590" s="201"/>
      <c r="N590" s="207"/>
      <c r="O590" s="208"/>
      <c r="P590" s="208"/>
      <c r="Q590" s="208"/>
      <c r="R590" s="208"/>
      <c r="S590" s="208"/>
      <c r="T590" s="208"/>
      <c r="U590" s="209"/>
      <c r="V590" s="210"/>
    </row>
    <row r="591" ht="15.75" customHeight="1">
      <c r="A591" s="200"/>
      <c r="B591" s="201"/>
      <c r="C591" s="202"/>
      <c r="D591" s="203"/>
      <c r="E591" s="201"/>
      <c r="F591" s="204"/>
      <c r="G591" s="204"/>
      <c r="H591" s="205"/>
      <c r="I591" s="205"/>
      <c r="J591" s="206"/>
      <c r="K591" s="205"/>
      <c r="L591" s="205"/>
      <c r="M591" s="201"/>
      <c r="N591" s="207"/>
      <c r="O591" s="208"/>
      <c r="P591" s="208"/>
      <c r="Q591" s="208"/>
      <c r="R591" s="208"/>
      <c r="S591" s="208"/>
      <c r="T591" s="208"/>
      <c r="U591" s="209"/>
      <c r="V591" s="210"/>
    </row>
    <row r="592" ht="15.75" customHeight="1">
      <c r="A592" s="200"/>
      <c r="B592" s="201"/>
      <c r="C592" s="202"/>
      <c r="D592" s="203"/>
      <c r="E592" s="201"/>
      <c r="F592" s="204"/>
      <c r="G592" s="204"/>
      <c r="H592" s="205"/>
      <c r="I592" s="205"/>
      <c r="J592" s="206"/>
      <c r="K592" s="205"/>
      <c r="L592" s="205"/>
      <c r="M592" s="201"/>
      <c r="N592" s="207"/>
      <c r="O592" s="208"/>
      <c r="P592" s="208"/>
      <c r="Q592" s="208"/>
      <c r="R592" s="208"/>
      <c r="S592" s="208"/>
      <c r="T592" s="208"/>
      <c r="U592" s="209"/>
      <c r="V592" s="210"/>
    </row>
    <row r="593" ht="15.75" customHeight="1">
      <c r="A593" s="200"/>
      <c r="B593" s="201"/>
      <c r="C593" s="202"/>
      <c r="D593" s="203"/>
      <c r="E593" s="201"/>
      <c r="F593" s="204"/>
      <c r="G593" s="204"/>
      <c r="H593" s="205"/>
      <c r="I593" s="205"/>
      <c r="J593" s="206"/>
      <c r="K593" s="205"/>
      <c r="L593" s="205"/>
      <c r="M593" s="201"/>
      <c r="N593" s="207"/>
      <c r="O593" s="208"/>
      <c r="P593" s="208"/>
      <c r="Q593" s="208"/>
      <c r="R593" s="208"/>
      <c r="S593" s="208"/>
      <c r="T593" s="208"/>
      <c r="U593" s="209"/>
      <c r="V593" s="210"/>
    </row>
    <row r="594" ht="15.75" customHeight="1">
      <c r="A594" s="200"/>
      <c r="B594" s="201"/>
      <c r="C594" s="202"/>
      <c r="D594" s="203"/>
      <c r="E594" s="201"/>
      <c r="F594" s="204"/>
      <c r="G594" s="204"/>
      <c r="H594" s="205"/>
      <c r="I594" s="205"/>
      <c r="J594" s="206"/>
      <c r="K594" s="205"/>
      <c r="L594" s="205"/>
      <c r="M594" s="201"/>
      <c r="N594" s="207"/>
      <c r="O594" s="208"/>
      <c r="P594" s="208"/>
      <c r="Q594" s="208"/>
      <c r="R594" s="208"/>
      <c r="S594" s="208"/>
      <c r="T594" s="208"/>
      <c r="U594" s="209"/>
      <c r="V594" s="210"/>
    </row>
    <row r="595" ht="15.75" customHeight="1">
      <c r="A595" s="200"/>
      <c r="B595" s="201"/>
      <c r="C595" s="202"/>
      <c r="D595" s="203"/>
      <c r="E595" s="201"/>
      <c r="F595" s="204"/>
      <c r="G595" s="204"/>
      <c r="H595" s="205"/>
      <c r="I595" s="205"/>
      <c r="J595" s="206"/>
      <c r="K595" s="205"/>
      <c r="L595" s="205"/>
      <c r="M595" s="201"/>
      <c r="N595" s="207"/>
      <c r="O595" s="208"/>
      <c r="P595" s="208"/>
      <c r="Q595" s="208"/>
      <c r="R595" s="208"/>
      <c r="S595" s="208"/>
      <c r="T595" s="208"/>
      <c r="U595" s="209"/>
      <c r="V595" s="210"/>
    </row>
    <row r="596" ht="15.75" customHeight="1">
      <c r="A596" s="200"/>
      <c r="B596" s="201"/>
      <c r="C596" s="202"/>
      <c r="D596" s="203"/>
      <c r="E596" s="201"/>
      <c r="F596" s="204"/>
      <c r="G596" s="204"/>
      <c r="H596" s="205"/>
      <c r="I596" s="205"/>
      <c r="J596" s="206"/>
      <c r="K596" s="205"/>
      <c r="L596" s="205"/>
      <c r="M596" s="201"/>
      <c r="N596" s="207"/>
      <c r="O596" s="208"/>
      <c r="P596" s="208"/>
      <c r="Q596" s="208"/>
      <c r="R596" s="208"/>
      <c r="S596" s="208"/>
      <c r="T596" s="208"/>
      <c r="U596" s="209"/>
      <c r="V596" s="210"/>
    </row>
    <row r="597" ht="15.75" customHeight="1">
      <c r="A597" s="200"/>
      <c r="B597" s="201"/>
      <c r="C597" s="202"/>
      <c r="D597" s="203"/>
      <c r="E597" s="201"/>
      <c r="F597" s="204"/>
      <c r="G597" s="204"/>
      <c r="H597" s="205"/>
      <c r="I597" s="205"/>
      <c r="J597" s="206"/>
      <c r="K597" s="205"/>
      <c r="L597" s="205"/>
      <c r="M597" s="201"/>
      <c r="N597" s="207"/>
      <c r="O597" s="208"/>
      <c r="P597" s="208"/>
      <c r="Q597" s="208"/>
      <c r="R597" s="208"/>
      <c r="S597" s="208"/>
      <c r="T597" s="208"/>
      <c r="U597" s="209"/>
      <c r="V597" s="210"/>
    </row>
    <row r="598" ht="15.75" customHeight="1">
      <c r="A598" s="200"/>
      <c r="B598" s="201"/>
      <c r="C598" s="202"/>
      <c r="D598" s="203"/>
      <c r="E598" s="201"/>
      <c r="F598" s="204"/>
      <c r="G598" s="204"/>
      <c r="H598" s="205"/>
      <c r="I598" s="205"/>
      <c r="J598" s="206"/>
      <c r="K598" s="205"/>
      <c r="L598" s="205"/>
      <c r="M598" s="201"/>
      <c r="N598" s="207"/>
      <c r="O598" s="208"/>
      <c r="P598" s="208"/>
      <c r="Q598" s="208"/>
      <c r="R598" s="208"/>
      <c r="S598" s="208"/>
      <c r="T598" s="208"/>
      <c r="U598" s="209"/>
      <c r="V598" s="210"/>
    </row>
    <row r="599" ht="15.75" customHeight="1">
      <c r="A599" s="200"/>
      <c r="B599" s="201"/>
      <c r="C599" s="202"/>
      <c r="D599" s="203"/>
      <c r="E599" s="201"/>
      <c r="F599" s="204"/>
      <c r="G599" s="204"/>
      <c r="H599" s="205"/>
      <c r="I599" s="205"/>
      <c r="J599" s="206"/>
      <c r="K599" s="205"/>
      <c r="L599" s="205"/>
      <c r="M599" s="201"/>
      <c r="N599" s="207"/>
      <c r="O599" s="208"/>
      <c r="P599" s="208"/>
      <c r="Q599" s="208"/>
      <c r="R599" s="208"/>
      <c r="S599" s="208"/>
      <c r="T599" s="208"/>
      <c r="U599" s="209"/>
      <c r="V599" s="210"/>
    </row>
    <row r="600" ht="15.75" customHeight="1">
      <c r="A600" s="200"/>
      <c r="B600" s="201"/>
      <c r="C600" s="202"/>
      <c r="D600" s="203"/>
      <c r="E600" s="201"/>
      <c r="F600" s="204"/>
      <c r="G600" s="204"/>
      <c r="H600" s="205"/>
      <c r="I600" s="205"/>
      <c r="J600" s="206"/>
      <c r="K600" s="205"/>
      <c r="L600" s="205"/>
      <c r="M600" s="201"/>
      <c r="N600" s="207"/>
      <c r="O600" s="208"/>
      <c r="P600" s="208"/>
      <c r="Q600" s="208"/>
      <c r="R600" s="208"/>
      <c r="S600" s="208"/>
      <c r="T600" s="208"/>
      <c r="U600" s="209"/>
      <c r="V600" s="210"/>
    </row>
    <row r="601" ht="15.75" customHeight="1">
      <c r="A601" s="200"/>
      <c r="B601" s="201"/>
      <c r="C601" s="202"/>
      <c r="D601" s="203"/>
      <c r="E601" s="201"/>
      <c r="F601" s="204"/>
      <c r="G601" s="204"/>
      <c r="H601" s="205"/>
      <c r="I601" s="205"/>
      <c r="J601" s="206"/>
      <c r="K601" s="205"/>
      <c r="L601" s="205"/>
      <c r="M601" s="201"/>
      <c r="N601" s="207"/>
      <c r="O601" s="208"/>
      <c r="P601" s="208"/>
      <c r="Q601" s="208"/>
      <c r="R601" s="208"/>
      <c r="S601" s="208"/>
      <c r="T601" s="208"/>
      <c r="U601" s="209"/>
      <c r="V601" s="210"/>
    </row>
    <row r="602" ht="15.75" customHeight="1">
      <c r="A602" s="200"/>
      <c r="B602" s="201"/>
      <c r="C602" s="202"/>
      <c r="D602" s="203"/>
      <c r="E602" s="201"/>
      <c r="F602" s="204"/>
      <c r="G602" s="204"/>
      <c r="H602" s="205"/>
      <c r="I602" s="205"/>
      <c r="J602" s="206"/>
      <c r="K602" s="205"/>
      <c r="L602" s="205"/>
      <c r="M602" s="201"/>
      <c r="N602" s="207"/>
      <c r="O602" s="208"/>
      <c r="P602" s="208"/>
      <c r="Q602" s="208"/>
      <c r="R602" s="208"/>
      <c r="S602" s="208"/>
      <c r="T602" s="208"/>
      <c r="U602" s="209"/>
      <c r="V602" s="210"/>
    </row>
    <row r="603" ht="15.75" customHeight="1">
      <c r="A603" s="200"/>
      <c r="B603" s="201"/>
      <c r="C603" s="202"/>
      <c r="D603" s="203"/>
      <c r="E603" s="201"/>
      <c r="F603" s="204"/>
      <c r="G603" s="204"/>
      <c r="H603" s="205"/>
      <c r="I603" s="205"/>
      <c r="J603" s="206"/>
      <c r="K603" s="205"/>
      <c r="L603" s="205"/>
      <c r="M603" s="201"/>
      <c r="N603" s="207"/>
      <c r="O603" s="208"/>
      <c r="P603" s="208"/>
      <c r="Q603" s="208"/>
      <c r="R603" s="208"/>
      <c r="S603" s="208"/>
      <c r="T603" s="208"/>
      <c r="U603" s="209"/>
      <c r="V603" s="210"/>
    </row>
    <row r="604" ht="15.75" customHeight="1">
      <c r="A604" s="200"/>
      <c r="B604" s="201"/>
      <c r="C604" s="202"/>
      <c r="D604" s="203"/>
      <c r="E604" s="201"/>
      <c r="F604" s="204"/>
      <c r="G604" s="204"/>
      <c r="H604" s="205"/>
      <c r="I604" s="205"/>
      <c r="J604" s="206"/>
      <c r="K604" s="205"/>
      <c r="L604" s="205"/>
      <c r="M604" s="201"/>
      <c r="N604" s="207"/>
      <c r="O604" s="208"/>
      <c r="P604" s="208"/>
      <c r="Q604" s="208"/>
      <c r="R604" s="208"/>
      <c r="S604" s="208"/>
      <c r="T604" s="208"/>
      <c r="U604" s="209"/>
      <c r="V604" s="210"/>
    </row>
    <row r="605" ht="15.75" customHeight="1">
      <c r="A605" s="200"/>
      <c r="B605" s="201"/>
      <c r="C605" s="202"/>
      <c r="D605" s="203"/>
      <c r="E605" s="201"/>
      <c r="F605" s="204"/>
      <c r="G605" s="204"/>
      <c r="H605" s="205"/>
      <c r="I605" s="205"/>
      <c r="J605" s="206"/>
      <c r="K605" s="205"/>
      <c r="L605" s="205"/>
      <c r="M605" s="201"/>
      <c r="N605" s="207"/>
      <c r="O605" s="208"/>
      <c r="P605" s="208"/>
      <c r="Q605" s="208"/>
      <c r="R605" s="208"/>
      <c r="S605" s="208"/>
      <c r="T605" s="208"/>
      <c r="U605" s="209"/>
      <c r="V605" s="210"/>
    </row>
    <row r="606" ht="15.75" customHeight="1">
      <c r="A606" s="200"/>
      <c r="B606" s="201"/>
      <c r="C606" s="202"/>
      <c r="D606" s="203"/>
      <c r="E606" s="201"/>
      <c r="F606" s="204"/>
      <c r="G606" s="204"/>
      <c r="H606" s="205"/>
      <c r="I606" s="205"/>
      <c r="J606" s="206"/>
      <c r="K606" s="205"/>
      <c r="L606" s="205"/>
      <c r="M606" s="201"/>
      <c r="N606" s="207"/>
      <c r="O606" s="208"/>
      <c r="P606" s="208"/>
      <c r="Q606" s="208"/>
      <c r="R606" s="208"/>
      <c r="S606" s="208"/>
      <c r="T606" s="208"/>
      <c r="U606" s="209"/>
      <c r="V606" s="210"/>
    </row>
    <row r="607" ht="15.75" customHeight="1">
      <c r="A607" s="200"/>
      <c r="B607" s="201"/>
      <c r="C607" s="202"/>
      <c r="D607" s="203"/>
      <c r="E607" s="201"/>
      <c r="F607" s="204"/>
      <c r="G607" s="204"/>
      <c r="H607" s="205"/>
      <c r="I607" s="205"/>
      <c r="J607" s="206"/>
      <c r="K607" s="205"/>
      <c r="L607" s="205"/>
      <c r="M607" s="201"/>
      <c r="N607" s="207"/>
      <c r="O607" s="208"/>
      <c r="P607" s="208"/>
      <c r="Q607" s="208"/>
      <c r="R607" s="208"/>
      <c r="S607" s="208"/>
      <c r="T607" s="208"/>
      <c r="U607" s="209"/>
      <c r="V607" s="210"/>
    </row>
    <row r="608" ht="15.75" customHeight="1">
      <c r="A608" s="200"/>
      <c r="B608" s="201"/>
      <c r="C608" s="202"/>
      <c r="D608" s="203"/>
      <c r="E608" s="201"/>
      <c r="F608" s="204"/>
      <c r="G608" s="204"/>
      <c r="H608" s="205"/>
      <c r="I608" s="205"/>
      <c r="J608" s="206"/>
      <c r="K608" s="205"/>
      <c r="L608" s="205"/>
      <c r="M608" s="201"/>
      <c r="N608" s="207"/>
      <c r="O608" s="208"/>
      <c r="P608" s="208"/>
      <c r="Q608" s="208"/>
      <c r="R608" s="208"/>
      <c r="S608" s="208"/>
      <c r="T608" s="208"/>
      <c r="U608" s="209"/>
      <c r="V608" s="210"/>
    </row>
    <row r="609" ht="15.75" customHeight="1">
      <c r="A609" s="200"/>
      <c r="B609" s="201"/>
      <c r="C609" s="202"/>
      <c r="D609" s="203"/>
      <c r="E609" s="201"/>
      <c r="F609" s="204"/>
      <c r="G609" s="204"/>
      <c r="H609" s="205"/>
      <c r="I609" s="205"/>
      <c r="J609" s="206"/>
      <c r="K609" s="205"/>
      <c r="L609" s="205"/>
      <c r="M609" s="201"/>
      <c r="N609" s="207"/>
      <c r="O609" s="208"/>
      <c r="P609" s="208"/>
      <c r="Q609" s="208"/>
      <c r="R609" s="208"/>
      <c r="S609" s="208"/>
      <c r="T609" s="208"/>
      <c r="U609" s="209"/>
      <c r="V609" s="210"/>
    </row>
    <row r="610" ht="15.75" customHeight="1">
      <c r="A610" s="200"/>
      <c r="B610" s="201"/>
      <c r="C610" s="202"/>
      <c r="D610" s="203"/>
      <c r="E610" s="201"/>
      <c r="F610" s="204"/>
      <c r="G610" s="204"/>
      <c r="H610" s="205"/>
      <c r="I610" s="205"/>
      <c r="J610" s="206"/>
      <c r="K610" s="205"/>
      <c r="L610" s="205"/>
      <c r="M610" s="201"/>
      <c r="N610" s="207"/>
      <c r="O610" s="208"/>
      <c r="P610" s="208"/>
      <c r="Q610" s="208"/>
      <c r="R610" s="208"/>
      <c r="S610" s="208"/>
      <c r="T610" s="208"/>
      <c r="U610" s="209"/>
      <c r="V610" s="210"/>
    </row>
    <row r="611" ht="15.75" customHeight="1">
      <c r="A611" s="200"/>
      <c r="B611" s="201"/>
      <c r="C611" s="202"/>
      <c r="D611" s="203"/>
      <c r="E611" s="201"/>
      <c r="F611" s="204"/>
      <c r="G611" s="204"/>
      <c r="H611" s="205"/>
      <c r="I611" s="205"/>
      <c r="J611" s="206"/>
      <c r="K611" s="205"/>
      <c r="L611" s="205"/>
      <c r="M611" s="201"/>
      <c r="N611" s="207"/>
      <c r="O611" s="208"/>
      <c r="P611" s="208"/>
      <c r="Q611" s="208"/>
      <c r="R611" s="208"/>
      <c r="S611" s="208"/>
      <c r="T611" s="208"/>
      <c r="U611" s="209"/>
      <c r="V611" s="210"/>
    </row>
    <row r="612" ht="15.75" customHeight="1">
      <c r="A612" s="200"/>
      <c r="B612" s="201"/>
      <c r="C612" s="202"/>
      <c r="D612" s="203"/>
      <c r="E612" s="201"/>
      <c r="F612" s="204"/>
      <c r="G612" s="204"/>
      <c r="H612" s="205"/>
      <c r="I612" s="205"/>
      <c r="J612" s="206"/>
      <c r="K612" s="205"/>
      <c r="L612" s="205"/>
      <c r="M612" s="201"/>
      <c r="N612" s="207"/>
      <c r="O612" s="208"/>
      <c r="P612" s="208"/>
      <c r="Q612" s="208"/>
      <c r="R612" s="208"/>
      <c r="S612" s="208"/>
      <c r="T612" s="208"/>
      <c r="U612" s="209"/>
      <c r="V612" s="210"/>
    </row>
    <row r="613" ht="15.75" customHeight="1">
      <c r="A613" s="200"/>
      <c r="B613" s="201"/>
      <c r="C613" s="202"/>
      <c r="D613" s="203"/>
      <c r="E613" s="201"/>
      <c r="F613" s="204"/>
      <c r="G613" s="204"/>
      <c r="H613" s="205"/>
      <c r="I613" s="205"/>
      <c r="J613" s="206"/>
      <c r="K613" s="205"/>
      <c r="L613" s="205"/>
      <c r="M613" s="201"/>
      <c r="N613" s="207"/>
      <c r="O613" s="208"/>
      <c r="P613" s="208"/>
      <c r="Q613" s="208"/>
      <c r="R613" s="208"/>
      <c r="S613" s="208"/>
      <c r="T613" s="208"/>
      <c r="U613" s="209"/>
      <c r="V613" s="210"/>
    </row>
    <row r="614" ht="15.75" customHeight="1">
      <c r="A614" s="200"/>
      <c r="B614" s="201"/>
      <c r="C614" s="202"/>
      <c r="D614" s="203"/>
      <c r="E614" s="201"/>
      <c r="F614" s="204"/>
      <c r="G614" s="204"/>
      <c r="H614" s="205"/>
      <c r="I614" s="205"/>
      <c r="J614" s="206"/>
      <c r="K614" s="205"/>
      <c r="L614" s="205"/>
      <c r="M614" s="201"/>
      <c r="N614" s="207"/>
      <c r="O614" s="208"/>
      <c r="P614" s="208"/>
      <c r="Q614" s="208"/>
      <c r="R614" s="208"/>
      <c r="S614" s="208"/>
      <c r="T614" s="208"/>
      <c r="U614" s="209"/>
      <c r="V614" s="210"/>
    </row>
    <row r="615" ht="15.75" customHeight="1">
      <c r="A615" s="200"/>
      <c r="B615" s="201"/>
      <c r="C615" s="202"/>
      <c r="D615" s="203"/>
      <c r="E615" s="201"/>
      <c r="F615" s="204"/>
      <c r="G615" s="204"/>
      <c r="H615" s="205"/>
      <c r="I615" s="205"/>
      <c r="J615" s="206"/>
      <c r="K615" s="205"/>
      <c r="L615" s="205"/>
      <c r="M615" s="201"/>
      <c r="N615" s="207"/>
      <c r="O615" s="208"/>
      <c r="P615" s="208"/>
      <c r="Q615" s="208"/>
      <c r="R615" s="208"/>
      <c r="S615" s="208"/>
      <c r="T615" s="208"/>
      <c r="U615" s="209"/>
      <c r="V615" s="210"/>
    </row>
    <row r="616" ht="15.75" customHeight="1">
      <c r="A616" s="200"/>
      <c r="B616" s="201"/>
      <c r="C616" s="202"/>
      <c r="D616" s="203"/>
      <c r="E616" s="201"/>
      <c r="F616" s="204"/>
      <c r="G616" s="204"/>
      <c r="H616" s="205"/>
      <c r="I616" s="205"/>
      <c r="J616" s="206"/>
      <c r="K616" s="205"/>
      <c r="L616" s="205"/>
      <c r="M616" s="201"/>
      <c r="N616" s="207"/>
      <c r="O616" s="208"/>
      <c r="P616" s="208"/>
      <c r="Q616" s="208"/>
      <c r="R616" s="208"/>
      <c r="S616" s="208"/>
      <c r="T616" s="208"/>
      <c r="U616" s="209"/>
      <c r="V616" s="210"/>
    </row>
    <row r="617" ht="15.75" customHeight="1">
      <c r="A617" s="200"/>
      <c r="B617" s="201"/>
      <c r="C617" s="202"/>
      <c r="D617" s="203"/>
      <c r="E617" s="201"/>
      <c r="F617" s="204"/>
      <c r="G617" s="204"/>
      <c r="H617" s="205"/>
      <c r="I617" s="205"/>
      <c r="J617" s="206"/>
      <c r="K617" s="205"/>
      <c r="L617" s="205"/>
      <c r="M617" s="201"/>
      <c r="N617" s="207"/>
      <c r="O617" s="208"/>
      <c r="P617" s="208"/>
      <c r="Q617" s="208"/>
      <c r="R617" s="208"/>
      <c r="S617" s="208"/>
      <c r="T617" s="208"/>
      <c r="U617" s="209"/>
      <c r="V617" s="210"/>
    </row>
    <row r="618" ht="15.75" customHeight="1">
      <c r="A618" s="200"/>
      <c r="B618" s="201"/>
      <c r="C618" s="202"/>
      <c r="D618" s="203"/>
      <c r="E618" s="201"/>
      <c r="F618" s="204"/>
      <c r="G618" s="204"/>
      <c r="H618" s="205"/>
      <c r="I618" s="205"/>
      <c r="J618" s="206"/>
      <c r="K618" s="205"/>
      <c r="L618" s="205"/>
      <c r="M618" s="201"/>
      <c r="N618" s="207"/>
      <c r="O618" s="208"/>
      <c r="P618" s="208"/>
      <c r="Q618" s="208"/>
      <c r="R618" s="208"/>
      <c r="S618" s="208"/>
      <c r="T618" s="208"/>
      <c r="U618" s="209"/>
      <c r="V618" s="210"/>
    </row>
    <row r="619" ht="15.75" customHeight="1">
      <c r="A619" s="200"/>
      <c r="B619" s="201"/>
      <c r="C619" s="202"/>
      <c r="D619" s="203"/>
      <c r="E619" s="201"/>
      <c r="F619" s="204"/>
      <c r="G619" s="204"/>
      <c r="H619" s="205"/>
      <c r="I619" s="205"/>
      <c r="J619" s="206"/>
      <c r="K619" s="205"/>
      <c r="L619" s="205"/>
      <c r="M619" s="201"/>
      <c r="N619" s="207"/>
      <c r="O619" s="208"/>
      <c r="P619" s="208"/>
      <c r="Q619" s="208"/>
      <c r="R619" s="208"/>
      <c r="S619" s="208"/>
      <c r="T619" s="208"/>
      <c r="U619" s="209"/>
      <c r="V619" s="210"/>
    </row>
    <row r="620" ht="15.75" customHeight="1">
      <c r="A620" s="200"/>
      <c r="B620" s="201"/>
      <c r="C620" s="202"/>
      <c r="D620" s="203"/>
      <c r="E620" s="201"/>
      <c r="F620" s="204"/>
      <c r="G620" s="204"/>
      <c r="H620" s="205"/>
      <c r="I620" s="205"/>
      <c r="J620" s="206"/>
      <c r="K620" s="205"/>
      <c r="L620" s="205"/>
      <c r="M620" s="201"/>
      <c r="N620" s="207"/>
      <c r="O620" s="208"/>
      <c r="P620" s="208"/>
      <c r="Q620" s="208"/>
      <c r="R620" s="208"/>
      <c r="S620" s="208"/>
      <c r="T620" s="208"/>
      <c r="U620" s="209"/>
      <c r="V620" s="210"/>
    </row>
    <row r="621" ht="15.75" customHeight="1">
      <c r="A621" s="200"/>
      <c r="B621" s="201"/>
      <c r="C621" s="202"/>
      <c r="D621" s="203"/>
      <c r="E621" s="201"/>
      <c r="F621" s="204"/>
      <c r="G621" s="204"/>
      <c r="H621" s="205"/>
      <c r="I621" s="205"/>
      <c r="J621" s="206"/>
      <c r="K621" s="205"/>
      <c r="L621" s="205"/>
      <c r="M621" s="201"/>
      <c r="N621" s="207"/>
      <c r="O621" s="208"/>
      <c r="P621" s="208"/>
      <c r="Q621" s="208"/>
      <c r="R621" s="208"/>
      <c r="S621" s="208"/>
      <c r="T621" s="208"/>
      <c r="U621" s="209"/>
      <c r="V621" s="210"/>
    </row>
    <row r="622" ht="15.75" customHeight="1">
      <c r="A622" s="200"/>
      <c r="B622" s="201"/>
      <c r="C622" s="202"/>
      <c r="D622" s="203"/>
      <c r="E622" s="201"/>
      <c r="F622" s="204"/>
      <c r="G622" s="204"/>
      <c r="H622" s="205"/>
      <c r="I622" s="205"/>
      <c r="J622" s="206"/>
      <c r="K622" s="205"/>
      <c r="L622" s="205"/>
      <c r="M622" s="201"/>
      <c r="N622" s="207"/>
      <c r="O622" s="208"/>
      <c r="P622" s="208"/>
      <c r="Q622" s="208"/>
      <c r="R622" s="208"/>
      <c r="S622" s="208"/>
      <c r="T622" s="208"/>
      <c r="U622" s="209"/>
      <c r="V622" s="210"/>
    </row>
    <row r="623" ht="15.75" customHeight="1">
      <c r="A623" s="200"/>
      <c r="B623" s="201"/>
      <c r="C623" s="202"/>
      <c r="D623" s="203"/>
      <c r="E623" s="201"/>
      <c r="F623" s="204"/>
      <c r="G623" s="204"/>
      <c r="H623" s="205"/>
      <c r="I623" s="205"/>
      <c r="J623" s="206"/>
      <c r="K623" s="205"/>
      <c r="L623" s="205"/>
      <c r="M623" s="201"/>
      <c r="N623" s="207"/>
      <c r="O623" s="208"/>
      <c r="P623" s="208"/>
      <c r="Q623" s="208"/>
      <c r="R623" s="208"/>
      <c r="S623" s="208"/>
      <c r="T623" s="208"/>
      <c r="U623" s="209"/>
      <c r="V623" s="210"/>
    </row>
    <row r="624" ht="15.75" customHeight="1">
      <c r="A624" s="200"/>
      <c r="B624" s="201"/>
      <c r="C624" s="202"/>
      <c r="D624" s="203"/>
      <c r="E624" s="201"/>
      <c r="F624" s="204"/>
      <c r="G624" s="204"/>
      <c r="H624" s="205"/>
      <c r="I624" s="205"/>
      <c r="J624" s="206"/>
      <c r="K624" s="205"/>
      <c r="L624" s="205"/>
      <c r="M624" s="201"/>
      <c r="N624" s="207"/>
      <c r="O624" s="208"/>
      <c r="P624" s="208"/>
      <c r="Q624" s="208"/>
      <c r="R624" s="208"/>
      <c r="S624" s="208"/>
      <c r="T624" s="208"/>
      <c r="U624" s="209"/>
      <c r="V624" s="210"/>
    </row>
    <row r="625" ht="15.75" customHeight="1">
      <c r="A625" s="200"/>
      <c r="B625" s="201"/>
      <c r="C625" s="202"/>
      <c r="D625" s="203"/>
      <c r="E625" s="201"/>
      <c r="F625" s="204"/>
      <c r="G625" s="204"/>
      <c r="H625" s="205"/>
      <c r="I625" s="205"/>
      <c r="J625" s="206"/>
      <c r="K625" s="205"/>
      <c r="L625" s="205"/>
      <c r="M625" s="201"/>
      <c r="N625" s="207"/>
      <c r="O625" s="208"/>
      <c r="P625" s="208"/>
      <c r="Q625" s="208"/>
      <c r="R625" s="208"/>
      <c r="S625" s="208"/>
      <c r="T625" s="208"/>
      <c r="U625" s="209"/>
      <c r="V625" s="210"/>
    </row>
    <row r="626" ht="15.75" customHeight="1">
      <c r="A626" s="200"/>
      <c r="B626" s="201"/>
      <c r="C626" s="202"/>
      <c r="D626" s="203"/>
      <c r="E626" s="201"/>
      <c r="F626" s="204"/>
      <c r="G626" s="204"/>
      <c r="H626" s="205"/>
      <c r="I626" s="205"/>
      <c r="J626" s="206"/>
      <c r="K626" s="205"/>
      <c r="L626" s="205"/>
      <c r="M626" s="201"/>
      <c r="N626" s="207"/>
      <c r="O626" s="208"/>
      <c r="P626" s="208"/>
      <c r="Q626" s="208"/>
      <c r="R626" s="208"/>
      <c r="S626" s="208"/>
      <c r="T626" s="208"/>
      <c r="U626" s="209"/>
      <c r="V626" s="210"/>
    </row>
    <row r="627" ht="15.75" customHeight="1">
      <c r="A627" s="200"/>
      <c r="B627" s="201"/>
      <c r="C627" s="202"/>
      <c r="D627" s="203"/>
      <c r="E627" s="201"/>
      <c r="F627" s="204"/>
      <c r="G627" s="204"/>
      <c r="H627" s="205"/>
      <c r="I627" s="205"/>
      <c r="J627" s="206"/>
      <c r="K627" s="205"/>
      <c r="L627" s="205"/>
      <c r="M627" s="201"/>
      <c r="N627" s="207"/>
      <c r="O627" s="208"/>
      <c r="P627" s="208"/>
      <c r="Q627" s="208"/>
      <c r="R627" s="208"/>
      <c r="S627" s="208"/>
      <c r="T627" s="208"/>
      <c r="U627" s="209"/>
      <c r="V627" s="210"/>
    </row>
    <row r="628" ht="15.75" customHeight="1">
      <c r="A628" s="200"/>
      <c r="B628" s="201"/>
      <c r="C628" s="202"/>
      <c r="D628" s="203"/>
      <c r="E628" s="201"/>
      <c r="F628" s="204"/>
      <c r="G628" s="204"/>
      <c r="H628" s="205"/>
      <c r="I628" s="205"/>
      <c r="J628" s="206"/>
      <c r="K628" s="205"/>
      <c r="L628" s="205"/>
      <c r="M628" s="201"/>
      <c r="N628" s="207"/>
      <c r="O628" s="208"/>
      <c r="P628" s="208"/>
      <c r="Q628" s="208"/>
      <c r="R628" s="208"/>
      <c r="S628" s="208"/>
      <c r="T628" s="208"/>
      <c r="U628" s="209"/>
      <c r="V628" s="210"/>
    </row>
    <row r="629" ht="15.75" customHeight="1">
      <c r="A629" s="200"/>
      <c r="B629" s="201"/>
      <c r="C629" s="202"/>
      <c r="D629" s="203"/>
      <c r="E629" s="201"/>
      <c r="F629" s="204"/>
      <c r="G629" s="204"/>
      <c r="H629" s="205"/>
      <c r="I629" s="205"/>
      <c r="J629" s="206"/>
      <c r="K629" s="205"/>
      <c r="L629" s="205"/>
      <c r="M629" s="201"/>
      <c r="N629" s="207"/>
      <c r="O629" s="208"/>
      <c r="P629" s="208"/>
      <c r="Q629" s="208"/>
      <c r="R629" s="208"/>
      <c r="S629" s="208"/>
      <c r="T629" s="208"/>
      <c r="U629" s="209"/>
      <c r="V629" s="210"/>
    </row>
    <row r="630" ht="15.75" customHeight="1">
      <c r="A630" s="200"/>
      <c r="B630" s="201"/>
      <c r="C630" s="202"/>
      <c r="D630" s="203"/>
      <c r="E630" s="201"/>
      <c r="F630" s="204"/>
      <c r="G630" s="204"/>
      <c r="H630" s="205"/>
      <c r="I630" s="205"/>
      <c r="J630" s="206"/>
      <c r="K630" s="205"/>
      <c r="L630" s="205"/>
      <c r="M630" s="201"/>
      <c r="N630" s="207"/>
      <c r="O630" s="208"/>
      <c r="P630" s="208"/>
      <c r="Q630" s="208"/>
      <c r="R630" s="208"/>
      <c r="S630" s="208"/>
      <c r="T630" s="208"/>
      <c r="U630" s="209"/>
      <c r="V630" s="210"/>
    </row>
    <row r="631" ht="15.75" customHeight="1">
      <c r="A631" s="200"/>
      <c r="B631" s="201"/>
      <c r="C631" s="202"/>
      <c r="D631" s="203"/>
      <c r="E631" s="201"/>
      <c r="F631" s="204"/>
      <c r="G631" s="204"/>
      <c r="H631" s="205"/>
      <c r="I631" s="205"/>
      <c r="J631" s="206"/>
      <c r="K631" s="205"/>
      <c r="L631" s="205"/>
      <c r="M631" s="201"/>
      <c r="N631" s="207"/>
      <c r="O631" s="208"/>
      <c r="P631" s="208"/>
      <c r="Q631" s="208"/>
      <c r="R631" s="208"/>
      <c r="S631" s="208"/>
      <c r="T631" s="208"/>
      <c r="U631" s="209"/>
      <c r="V631" s="210"/>
    </row>
    <row r="632" ht="15.75" customHeight="1">
      <c r="A632" s="200"/>
      <c r="B632" s="201"/>
      <c r="C632" s="202"/>
      <c r="D632" s="203"/>
      <c r="E632" s="201"/>
      <c r="F632" s="204"/>
      <c r="G632" s="204"/>
      <c r="H632" s="205"/>
      <c r="I632" s="205"/>
      <c r="J632" s="206"/>
      <c r="K632" s="205"/>
      <c r="L632" s="205"/>
      <c r="M632" s="201"/>
      <c r="N632" s="207"/>
      <c r="O632" s="208"/>
      <c r="P632" s="208"/>
      <c r="Q632" s="208"/>
      <c r="R632" s="208"/>
      <c r="S632" s="208"/>
      <c r="T632" s="208"/>
      <c r="U632" s="209"/>
      <c r="V632" s="210"/>
    </row>
    <row r="633" ht="15.75" customHeight="1">
      <c r="A633" s="200"/>
      <c r="B633" s="201"/>
      <c r="C633" s="202"/>
      <c r="D633" s="203"/>
      <c r="E633" s="201"/>
      <c r="F633" s="204"/>
      <c r="G633" s="204"/>
      <c r="H633" s="205"/>
      <c r="I633" s="205"/>
      <c r="J633" s="206"/>
      <c r="K633" s="205"/>
      <c r="L633" s="205"/>
      <c r="M633" s="201"/>
      <c r="N633" s="207"/>
      <c r="O633" s="208"/>
      <c r="P633" s="208"/>
      <c r="Q633" s="208"/>
      <c r="R633" s="208"/>
      <c r="S633" s="208"/>
      <c r="T633" s="208"/>
      <c r="U633" s="209"/>
      <c r="V633" s="210"/>
    </row>
    <row r="634" ht="15.75" customHeight="1">
      <c r="A634" s="200"/>
      <c r="B634" s="201"/>
      <c r="C634" s="202"/>
      <c r="D634" s="203"/>
      <c r="E634" s="201"/>
      <c r="F634" s="204"/>
      <c r="G634" s="204"/>
      <c r="H634" s="205"/>
      <c r="I634" s="205"/>
      <c r="J634" s="206"/>
      <c r="K634" s="205"/>
      <c r="L634" s="205"/>
      <c r="M634" s="201"/>
      <c r="N634" s="207"/>
      <c r="O634" s="208"/>
      <c r="P634" s="208"/>
      <c r="Q634" s="208"/>
      <c r="R634" s="208"/>
      <c r="S634" s="208"/>
      <c r="T634" s="208"/>
      <c r="U634" s="209"/>
      <c r="V634" s="210"/>
    </row>
    <row r="635" ht="15.75" customHeight="1">
      <c r="A635" s="200"/>
      <c r="B635" s="201"/>
      <c r="C635" s="202"/>
      <c r="D635" s="203"/>
      <c r="E635" s="201"/>
      <c r="F635" s="204"/>
      <c r="G635" s="204"/>
      <c r="H635" s="205"/>
      <c r="I635" s="205"/>
      <c r="J635" s="206"/>
      <c r="K635" s="205"/>
      <c r="L635" s="205"/>
      <c r="M635" s="201"/>
      <c r="N635" s="207"/>
      <c r="O635" s="208"/>
      <c r="P635" s="208"/>
      <c r="Q635" s="208"/>
      <c r="R635" s="208"/>
      <c r="S635" s="208"/>
      <c r="T635" s="208"/>
      <c r="U635" s="209"/>
      <c r="V635" s="210"/>
    </row>
    <row r="636" ht="15.75" customHeight="1">
      <c r="A636" s="200"/>
      <c r="B636" s="201"/>
      <c r="C636" s="202"/>
      <c r="D636" s="203"/>
      <c r="E636" s="201"/>
      <c r="F636" s="204"/>
      <c r="G636" s="204"/>
      <c r="H636" s="205"/>
      <c r="I636" s="205"/>
      <c r="J636" s="206"/>
      <c r="K636" s="205"/>
      <c r="L636" s="205"/>
      <c r="M636" s="201"/>
      <c r="N636" s="207"/>
      <c r="O636" s="208"/>
      <c r="P636" s="208"/>
      <c r="Q636" s="208"/>
      <c r="R636" s="208"/>
      <c r="S636" s="208"/>
      <c r="T636" s="208"/>
      <c r="U636" s="209"/>
      <c r="V636" s="210"/>
    </row>
    <row r="637" ht="15.75" customHeight="1">
      <c r="A637" s="200"/>
      <c r="B637" s="201"/>
      <c r="C637" s="202"/>
      <c r="D637" s="203"/>
      <c r="E637" s="201"/>
      <c r="F637" s="204"/>
      <c r="G637" s="204"/>
      <c r="H637" s="205"/>
      <c r="I637" s="205"/>
      <c r="J637" s="206"/>
      <c r="K637" s="205"/>
      <c r="L637" s="205"/>
      <c r="M637" s="201"/>
      <c r="N637" s="207"/>
      <c r="O637" s="208"/>
      <c r="P637" s="208"/>
      <c r="Q637" s="208"/>
      <c r="R637" s="208"/>
      <c r="S637" s="208"/>
      <c r="T637" s="208"/>
      <c r="U637" s="209"/>
      <c r="V637" s="210"/>
    </row>
    <row r="638" ht="15.75" customHeight="1">
      <c r="A638" s="200"/>
      <c r="B638" s="201"/>
      <c r="C638" s="202"/>
      <c r="D638" s="203"/>
      <c r="E638" s="201"/>
      <c r="F638" s="204"/>
      <c r="G638" s="204"/>
      <c r="H638" s="205"/>
      <c r="I638" s="205"/>
      <c r="J638" s="206"/>
      <c r="K638" s="205"/>
      <c r="L638" s="205"/>
      <c r="M638" s="201"/>
      <c r="N638" s="207"/>
      <c r="O638" s="208"/>
      <c r="P638" s="208"/>
      <c r="Q638" s="208"/>
      <c r="R638" s="208"/>
      <c r="S638" s="208"/>
      <c r="T638" s="208"/>
      <c r="U638" s="209"/>
      <c r="V638" s="210"/>
    </row>
    <row r="639" ht="15.75" customHeight="1">
      <c r="A639" s="200"/>
      <c r="B639" s="201"/>
      <c r="C639" s="202"/>
      <c r="D639" s="203"/>
      <c r="E639" s="201"/>
      <c r="F639" s="204"/>
      <c r="G639" s="204"/>
      <c r="H639" s="205"/>
      <c r="I639" s="205"/>
      <c r="J639" s="206"/>
      <c r="K639" s="205"/>
      <c r="L639" s="205"/>
      <c r="M639" s="201"/>
      <c r="N639" s="207"/>
      <c r="O639" s="208"/>
      <c r="P639" s="208"/>
      <c r="Q639" s="208"/>
      <c r="R639" s="208"/>
      <c r="S639" s="208"/>
      <c r="T639" s="208"/>
      <c r="U639" s="209"/>
      <c r="V639" s="210"/>
    </row>
    <row r="640" ht="15.75" customHeight="1">
      <c r="A640" s="200"/>
      <c r="B640" s="201"/>
      <c r="C640" s="202"/>
      <c r="D640" s="203"/>
      <c r="E640" s="201"/>
      <c r="F640" s="204"/>
      <c r="G640" s="204"/>
      <c r="H640" s="205"/>
      <c r="I640" s="205"/>
      <c r="J640" s="206"/>
      <c r="K640" s="205"/>
      <c r="L640" s="205"/>
      <c r="M640" s="201"/>
      <c r="N640" s="207"/>
      <c r="O640" s="208"/>
      <c r="P640" s="208"/>
      <c r="Q640" s="208"/>
      <c r="R640" s="208"/>
      <c r="S640" s="208"/>
      <c r="T640" s="208"/>
      <c r="U640" s="209"/>
      <c r="V640" s="210"/>
    </row>
    <row r="641" ht="15.75" customHeight="1">
      <c r="A641" s="200"/>
      <c r="B641" s="201"/>
      <c r="C641" s="202"/>
      <c r="D641" s="203"/>
      <c r="E641" s="201"/>
      <c r="F641" s="204"/>
      <c r="G641" s="204"/>
      <c r="H641" s="205"/>
      <c r="I641" s="205"/>
      <c r="J641" s="206"/>
      <c r="K641" s="205"/>
      <c r="L641" s="205"/>
      <c r="M641" s="201"/>
      <c r="N641" s="207"/>
      <c r="O641" s="208"/>
      <c r="P641" s="208"/>
      <c r="Q641" s="208"/>
      <c r="R641" s="208"/>
      <c r="S641" s="208"/>
      <c r="T641" s="208"/>
      <c r="U641" s="209"/>
      <c r="V641" s="210"/>
    </row>
    <row r="642" ht="15.75" customHeight="1">
      <c r="A642" s="200"/>
      <c r="B642" s="201"/>
      <c r="C642" s="202"/>
      <c r="D642" s="203"/>
      <c r="E642" s="201"/>
      <c r="F642" s="204"/>
      <c r="G642" s="204"/>
      <c r="H642" s="205"/>
      <c r="I642" s="205"/>
      <c r="J642" s="206"/>
      <c r="K642" s="205"/>
      <c r="L642" s="205"/>
      <c r="M642" s="201"/>
      <c r="N642" s="207"/>
      <c r="O642" s="208"/>
      <c r="P642" s="208"/>
      <c r="Q642" s="208"/>
      <c r="R642" s="208"/>
      <c r="S642" s="208"/>
      <c r="T642" s="208"/>
      <c r="U642" s="209"/>
      <c r="V642" s="210"/>
    </row>
    <row r="643" ht="15.75" customHeight="1">
      <c r="A643" s="200"/>
      <c r="B643" s="201"/>
      <c r="C643" s="202"/>
      <c r="D643" s="203"/>
      <c r="E643" s="201"/>
      <c r="F643" s="204"/>
      <c r="G643" s="204"/>
      <c r="H643" s="205"/>
      <c r="I643" s="205"/>
      <c r="J643" s="206"/>
      <c r="K643" s="205"/>
      <c r="L643" s="205"/>
      <c r="M643" s="201"/>
      <c r="N643" s="207"/>
      <c r="O643" s="208"/>
      <c r="P643" s="208"/>
      <c r="Q643" s="208"/>
      <c r="R643" s="208"/>
      <c r="S643" s="208"/>
      <c r="T643" s="208"/>
      <c r="U643" s="209"/>
      <c r="V643" s="210"/>
    </row>
    <row r="644" ht="15.75" customHeight="1">
      <c r="A644" s="200"/>
      <c r="B644" s="201"/>
      <c r="C644" s="202"/>
      <c r="D644" s="203"/>
      <c r="E644" s="201"/>
      <c r="F644" s="204"/>
      <c r="G644" s="204"/>
      <c r="H644" s="205"/>
      <c r="I644" s="205"/>
      <c r="J644" s="206"/>
      <c r="K644" s="205"/>
      <c r="L644" s="205"/>
      <c r="M644" s="201"/>
      <c r="N644" s="207"/>
      <c r="O644" s="208"/>
      <c r="P644" s="208"/>
      <c r="Q644" s="208"/>
      <c r="R644" s="208"/>
      <c r="S644" s="208"/>
      <c r="T644" s="208"/>
      <c r="U644" s="209"/>
      <c r="V644" s="210"/>
    </row>
    <row r="645" ht="15.75" customHeight="1">
      <c r="A645" s="200"/>
      <c r="B645" s="201"/>
      <c r="C645" s="202"/>
      <c r="D645" s="203"/>
      <c r="E645" s="201"/>
      <c r="F645" s="204"/>
      <c r="G645" s="204"/>
      <c r="H645" s="205"/>
      <c r="I645" s="205"/>
      <c r="J645" s="206"/>
      <c r="K645" s="205"/>
      <c r="L645" s="205"/>
      <c r="M645" s="201"/>
      <c r="N645" s="207"/>
      <c r="O645" s="208"/>
      <c r="P645" s="208"/>
      <c r="Q645" s="208"/>
      <c r="R645" s="208"/>
      <c r="S645" s="208"/>
      <c r="T645" s="208"/>
      <c r="U645" s="209"/>
      <c r="V645" s="210"/>
    </row>
    <row r="646" ht="15.75" customHeight="1">
      <c r="A646" s="200"/>
      <c r="B646" s="201"/>
      <c r="C646" s="202"/>
      <c r="D646" s="203"/>
      <c r="E646" s="201"/>
      <c r="F646" s="204"/>
      <c r="G646" s="204"/>
      <c r="H646" s="205"/>
      <c r="I646" s="205"/>
      <c r="J646" s="206"/>
      <c r="K646" s="205"/>
      <c r="L646" s="205"/>
      <c r="M646" s="201"/>
      <c r="N646" s="207"/>
      <c r="O646" s="208"/>
      <c r="P646" s="208"/>
      <c r="Q646" s="208"/>
      <c r="R646" s="208"/>
      <c r="S646" s="208"/>
      <c r="T646" s="208"/>
      <c r="U646" s="209"/>
      <c r="V646" s="210"/>
    </row>
    <row r="647" ht="15.75" customHeight="1">
      <c r="A647" s="200"/>
      <c r="B647" s="201"/>
      <c r="C647" s="202"/>
      <c r="D647" s="203"/>
      <c r="E647" s="201"/>
      <c r="F647" s="204"/>
      <c r="G647" s="204"/>
      <c r="H647" s="205"/>
      <c r="I647" s="205"/>
      <c r="J647" s="206"/>
      <c r="K647" s="205"/>
      <c r="L647" s="205"/>
      <c r="M647" s="201"/>
      <c r="N647" s="207"/>
      <c r="O647" s="208"/>
      <c r="P647" s="208"/>
      <c r="Q647" s="208"/>
      <c r="R647" s="208"/>
      <c r="S647" s="208"/>
      <c r="T647" s="208"/>
      <c r="U647" s="209"/>
      <c r="V647" s="210"/>
    </row>
    <row r="648" ht="15.75" customHeight="1">
      <c r="A648" s="200"/>
      <c r="B648" s="201"/>
      <c r="C648" s="202"/>
      <c r="D648" s="203"/>
      <c r="E648" s="201"/>
      <c r="F648" s="204"/>
      <c r="G648" s="204"/>
      <c r="H648" s="205"/>
      <c r="I648" s="205"/>
      <c r="J648" s="206"/>
      <c r="K648" s="205"/>
      <c r="L648" s="205"/>
      <c r="M648" s="201"/>
      <c r="N648" s="207"/>
      <c r="O648" s="208"/>
      <c r="P648" s="208"/>
      <c r="Q648" s="208"/>
      <c r="R648" s="208"/>
      <c r="S648" s="208"/>
      <c r="T648" s="208"/>
      <c r="U648" s="209"/>
      <c r="V648" s="210"/>
    </row>
    <row r="649" ht="15.75" customHeight="1">
      <c r="A649" s="200"/>
      <c r="B649" s="201"/>
      <c r="C649" s="202"/>
      <c r="D649" s="203"/>
      <c r="E649" s="201"/>
      <c r="F649" s="204"/>
      <c r="G649" s="204"/>
      <c r="H649" s="205"/>
      <c r="I649" s="205"/>
      <c r="J649" s="206"/>
      <c r="K649" s="205"/>
      <c r="L649" s="205"/>
      <c r="M649" s="201"/>
      <c r="N649" s="207"/>
      <c r="O649" s="208"/>
      <c r="P649" s="208"/>
      <c r="Q649" s="208"/>
      <c r="R649" s="208"/>
      <c r="S649" s="208"/>
      <c r="T649" s="208"/>
      <c r="U649" s="209"/>
      <c r="V649" s="210"/>
    </row>
    <row r="650" ht="15.75" customHeight="1">
      <c r="A650" s="200"/>
      <c r="B650" s="201"/>
      <c r="C650" s="202"/>
      <c r="D650" s="203"/>
      <c r="E650" s="201"/>
      <c r="F650" s="204"/>
      <c r="G650" s="204"/>
      <c r="H650" s="205"/>
      <c r="I650" s="205"/>
      <c r="J650" s="206"/>
      <c r="K650" s="205"/>
      <c r="L650" s="205"/>
      <c r="M650" s="201"/>
      <c r="N650" s="207"/>
      <c r="O650" s="208"/>
      <c r="P650" s="208"/>
      <c r="Q650" s="208"/>
      <c r="R650" s="208"/>
      <c r="S650" s="208"/>
      <c r="T650" s="208"/>
      <c r="U650" s="209"/>
      <c r="V650" s="210"/>
    </row>
    <row r="651" ht="15.75" customHeight="1">
      <c r="A651" s="200"/>
      <c r="B651" s="201"/>
      <c r="C651" s="202"/>
      <c r="D651" s="203"/>
      <c r="E651" s="201"/>
      <c r="F651" s="204"/>
      <c r="G651" s="204"/>
      <c r="H651" s="205"/>
      <c r="I651" s="205"/>
      <c r="J651" s="206"/>
      <c r="K651" s="205"/>
      <c r="L651" s="205"/>
      <c r="M651" s="201"/>
      <c r="N651" s="207"/>
      <c r="O651" s="208"/>
      <c r="P651" s="208"/>
      <c r="Q651" s="208"/>
      <c r="R651" s="208"/>
      <c r="S651" s="208"/>
      <c r="T651" s="208"/>
      <c r="U651" s="209"/>
      <c r="V651" s="210"/>
    </row>
    <row r="652" ht="15.75" customHeight="1">
      <c r="A652" s="200"/>
      <c r="B652" s="201"/>
      <c r="C652" s="202"/>
      <c r="D652" s="203"/>
      <c r="E652" s="201"/>
      <c r="F652" s="204"/>
      <c r="G652" s="204"/>
      <c r="H652" s="205"/>
      <c r="I652" s="205"/>
      <c r="J652" s="206"/>
      <c r="K652" s="205"/>
      <c r="L652" s="205"/>
      <c r="M652" s="201"/>
      <c r="N652" s="207"/>
      <c r="O652" s="208"/>
      <c r="P652" s="208"/>
      <c r="Q652" s="208"/>
      <c r="R652" s="208"/>
      <c r="S652" s="208"/>
      <c r="T652" s="208"/>
      <c r="U652" s="209"/>
      <c r="V652" s="210"/>
    </row>
    <row r="653" ht="15.75" customHeight="1">
      <c r="A653" s="200"/>
      <c r="B653" s="201"/>
      <c r="C653" s="202"/>
      <c r="D653" s="203"/>
      <c r="E653" s="201"/>
      <c r="F653" s="204"/>
      <c r="G653" s="204"/>
      <c r="H653" s="205"/>
      <c r="I653" s="205"/>
      <c r="J653" s="206"/>
      <c r="K653" s="205"/>
      <c r="L653" s="205"/>
      <c r="M653" s="201"/>
      <c r="N653" s="207"/>
      <c r="O653" s="208"/>
      <c r="P653" s="208"/>
      <c r="Q653" s="208"/>
      <c r="R653" s="208"/>
      <c r="S653" s="208"/>
      <c r="T653" s="208"/>
      <c r="U653" s="209"/>
      <c r="V653" s="210"/>
    </row>
    <row r="654" ht="15.75" customHeight="1">
      <c r="A654" s="200"/>
      <c r="B654" s="201"/>
      <c r="C654" s="202"/>
      <c r="D654" s="203"/>
      <c r="E654" s="201"/>
      <c r="F654" s="204"/>
      <c r="G654" s="204"/>
      <c r="H654" s="205"/>
      <c r="I654" s="205"/>
      <c r="J654" s="206"/>
      <c r="K654" s="205"/>
      <c r="L654" s="205"/>
      <c r="M654" s="201"/>
      <c r="N654" s="207"/>
      <c r="O654" s="208"/>
      <c r="P654" s="208"/>
      <c r="Q654" s="208"/>
      <c r="R654" s="208"/>
      <c r="S654" s="208"/>
      <c r="T654" s="208"/>
      <c r="U654" s="209"/>
      <c r="V654" s="210"/>
    </row>
    <row r="655" ht="15.75" customHeight="1">
      <c r="A655" s="200"/>
      <c r="B655" s="201"/>
      <c r="C655" s="202"/>
      <c r="D655" s="203"/>
      <c r="E655" s="201"/>
      <c r="F655" s="204"/>
      <c r="G655" s="204"/>
      <c r="H655" s="205"/>
      <c r="I655" s="205"/>
      <c r="J655" s="206"/>
      <c r="K655" s="205"/>
      <c r="L655" s="205"/>
      <c r="M655" s="201"/>
      <c r="N655" s="207"/>
      <c r="O655" s="208"/>
      <c r="P655" s="208"/>
      <c r="Q655" s="208"/>
      <c r="R655" s="208"/>
      <c r="S655" s="208"/>
      <c r="T655" s="208"/>
      <c r="U655" s="209"/>
      <c r="V655" s="210"/>
    </row>
    <row r="656" ht="15.75" customHeight="1">
      <c r="A656" s="200"/>
      <c r="B656" s="201"/>
      <c r="C656" s="202"/>
      <c r="D656" s="203"/>
      <c r="E656" s="201"/>
      <c r="F656" s="204"/>
      <c r="G656" s="204"/>
      <c r="H656" s="205"/>
      <c r="I656" s="205"/>
      <c r="J656" s="206"/>
      <c r="K656" s="205"/>
      <c r="L656" s="205"/>
      <c r="M656" s="201"/>
      <c r="N656" s="207"/>
      <c r="O656" s="208"/>
      <c r="P656" s="208"/>
      <c r="Q656" s="208"/>
      <c r="R656" s="208"/>
      <c r="S656" s="208"/>
      <c r="T656" s="208"/>
      <c r="U656" s="209"/>
      <c r="V656" s="210"/>
    </row>
    <row r="657" ht="15.75" customHeight="1">
      <c r="A657" s="200"/>
      <c r="B657" s="201"/>
      <c r="C657" s="202"/>
      <c r="D657" s="203"/>
      <c r="E657" s="201"/>
      <c r="F657" s="204"/>
      <c r="G657" s="204"/>
      <c r="H657" s="205"/>
      <c r="I657" s="205"/>
      <c r="J657" s="206"/>
      <c r="K657" s="205"/>
      <c r="L657" s="205"/>
      <c r="M657" s="201"/>
      <c r="N657" s="207"/>
      <c r="O657" s="208"/>
      <c r="P657" s="208"/>
      <c r="Q657" s="208"/>
      <c r="R657" s="208"/>
      <c r="S657" s="208"/>
      <c r="T657" s="208"/>
      <c r="U657" s="209"/>
      <c r="V657" s="210"/>
    </row>
    <row r="658" ht="15.75" customHeight="1">
      <c r="A658" s="200"/>
      <c r="B658" s="201"/>
      <c r="C658" s="202"/>
      <c r="D658" s="203"/>
      <c r="E658" s="201"/>
      <c r="F658" s="204"/>
      <c r="G658" s="204"/>
      <c r="H658" s="205"/>
      <c r="I658" s="205"/>
      <c r="J658" s="206"/>
      <c r="K658" s="205"/>
      <c r="L658" s="205"/>
      <c r="M658" s="201"/>
      <c r="N658" s="207"/>
      <c r="O658" s="208"/>
      <c r="P658" s="208"/>
      <c r="Q658" s="208"/>
      <c r="R658" s="208"/>
      <c r="S658" s="208"/>
      <c r="T658" s="208"/>
      <c r="U658" s="209"/>
      <c r="V658" s="210"/>
    </row>
    <row r="659" ht="15.75" customHeight="1">
      <c r="A659" s="200"/>
      <c r="B659" s="201"/>
      <c r="C659" s="202"/>
      <c r="D659" s="203"/>
      <c r="E659" s="201"/>
      <c r="F659" s="204"/>
      <c r="G659" s="204"/>
      <c r="H659" s="205"/>
      <c r="I659" s="205"/>
      <c r="J659" s="206"/>
      <c r="K659" s="205"/>
      <c r="L659" s="205"/>
      <c r="M659" s="201"/>
      <c r="N659" s="207"/>
      <c r="O659" s="208"/>
      <c r="P659" s="208"/>
      <c r="Q659" s="208"/>
      <c r="R659" s="208"/>
      <c r="S659" s="208"/>
      <c r="T659" s="208"/>
      <c r="U659" s="209"/>
      <c r="V659" s="210"/>
    </row>
    <row r="660" ht="15.75" customHeight="1">
      <c r="A660" s="200"/>
      <c r="B660" s="201"/>
      <c r="C660" s="202"/>
      <c r="D660" s="203"/>
      <c r="E660" s="201"/>
      <c r="F660" s="204"/>
      <c r="G660" s="204"/>
      <c r="H660" s="205"/>
      <c r="I660" s="205"/>
      <c r="J660" s="206"/>
      <c r="K660" s="205"/>
      <c r="L660" s="205"/>
      <c r="M660" s="201"/>
      <c r="N660" s="207"/>
      <c r="O660" s="208"/>
      <c r="P660" s="208"/>
      <c r="Q660" s="208"/>
      <c r="R660" s="208"/>
      <c r="S660" s="208"/>
      <c r="T660" s="208"/>
      <c r="U660" s="209"/>
      <c r="V660" s="210"/>
    </row>
    <row r="661" ht="15.75" customHeight="1">
      <c r="A661" s="200"/>
      <c r="B661" s="201"/>
      <c r="C661" s="202"/>
      <c r="D661" s="203"/>
      <c r="E661" s="201"/>
      <c r="F661" s="204"/>
      <c r="G661" s="204"/>
      <c r="H661" s="205"/>
      <c r="I661" s="205"/>
      <c r="J661" s="206"/>
      <c r="K661" s="205"/>
      <c r="L661" s="205"/>
      <c r="M661" s="201"/>
      <c r="N661" s="207"/>
      <c r="O661" s="208"/>
      <c r="P661" s="208"/>
      <c r="Q661" s="208"/>
      <c r="R661" s="208"/>
      <c r="S661" s="208"/>
      <c r="T661" s="208"/>
      <c r="U661" s="209"/>
      <c r="V661" s="210"/>
    </row>
    <row r="662" ht="15.75" customHeight="1">
      <c r="A662" s="200"/>
      <c r="B662" s="201"/>
      <c r="C662" s="202"/>
      <c r="D662" s="203"/>
      <c r="E662" s="201"/>
      <c r="F662" s="204"/>
      <c r="G662" s="204"/>
      <c r="H662" s="205"/>
      <c r="I662" s="205"/>
      <c r="J662" s="206"/>
      <c r="K662" s="205"/>
      <c r="L662" s="205"/>
      <c r="M662" s="201"/>
      <c r="N662" s="207"/>
      <c r="O662" s="208"/>
      <c r="P662" s="208"/>
      <c r="Q662" s="208"/>
      <c r="R662" s="208"/>
      <c r="S662" s="208"/>
      <c r="T662" s="208"/>
      <c r="U662" s="209"/>
      <c r="V662" s="210"/>
    </row>
    <row r="663" ht="15.75" customHeight="1">
      <c r="A663" s="200"/>
      <c r="B663" s="201"/>
      <c r="C663" s="202"/>
      <c r="D663" s="203"/>
      <c r="E663" s="201"/>
      <c r="F663" s="204"/>
      <c r="G663" s="204"/>
      <c r="H663" s="205"/>
      <c r="I663" s="205"/>
      <c r="J663" s="206"/>
      <c r="K663" s="205"/>
      <c r="L663" s="205"/>
      <c r="M663" s="201"/>
      <c r="N663" s="207"/>
      <c r="O663" s="208"/>
      <c r="P663" s="208"/>
      <c r="Q663" s="208"/>
      <c r="R663" s="208"/>
      <c r="S663" s="208"/>
      <c r="T663" s="208"/>
      <c r="U663" s="209"/>
      <c r="V663" s="210"/>
    </row>
    <row r="664" ht="15.75" customHeight="1">
      <c r="A664" s="200"/>
      <c r="B664" s="201"/>
      <c r="C664" s="202"/>
      <c r="D664" s="203"/>
      <c r="E664" s="201"/>
      <c r="F664" s="204"/>
      <c r="G664" s="204"/>
      <c r="H664" s="205"/>
      <c r="I664" s="205"/>
      <c r="J664" s="206"/>
      <c r="K664" s="205"/>
      <c r="L664" s="205"/>
      <c r="M664" s="201"/>
      <c r="N664" s="207"/>
      <c r="O664" s="208"/>
      <c r="P664" s="208"/>
      <c r="Q664" s="208"/>
      <c r="R664" s="208"/>
      <c r="S664" s="208"/>
      <c r="T664" s="208"/>
      <c r="U664" s="209"/>
      <c r="V664" s="210"/>
    </row>
    <row r="665" ht="15.75" customHeight="1">
      <c r="A665" s="200"/>
      <c r="B665" s="201"/>
      <c r="C665" s="202"/>
      <c r="D665" s="203"/>
      <c r="E665" s="201"/>
      <c r="F665" s="204"/>
      <c r="G665" s="204"/>
      <c r="H665" s="205"/>
      <c r="I665" s="205"/>
      <c r="J665" s="206"/>
      <c r="K665" s="205"/>
      <c r="L665" s="205"/>
      <c r="M665" s="201"/>
      <c r="N665" s="207"/>
      <c r="O665" s="208"/>
      <c r="P665" s="208"/>
      <c r="Q665" s="208"/>
      <c r="R665" s="208"/>
      <c r="S665" s="208"/>
      <c r="T665" s="208"/>
      <c r="U665" s="209"/>
      <c r="V665" s="210"/>
    </row>
    <row r="666" ht="15.75" customHeight="1">
      <c r="A666" s="200"/>
      <c r="B666" s="201"/>
      <c r="C666" s="202"/>
      <c r="D666" s="203"/>
      <c r="E666" s="201"/>
      <c r="F666" s="204"/>
      <c r="G666" s="204"/>
      <c r="H666" s="205"/>
      <c r="I666" s="205"/>
      <c r="J666" s="206"/>
      <c r="K666" s="205"/>
      <c r="L666" s="205"/>
      <c r="M666" s="201"/>
      <c r="N666" s="207"/>
      <c r="O666" s="208"/>
      <c r="P666" s="208"/>
      <c r="Q666" s="208"/>
      <c r="R666" s="208"/>
      <c r="S666" s="208"/>
      <c r="T666" s="208"/>
      <c r="U666" s="209"/>
      <c r="V666" s="210"/>
    </row>
    <row r="667" ht="15.75" customHeight="1">
      <c r="A667" s="200"/>
      <c r="B667" s="201"/>
      <c r="C667" s="202"/>
      <c r="D667" s="203"/>
      <c r="E667" s="201"/>
      <c r="F667" s="204"/>
      <c r="G667" s="204"/>
      <c r="H667" s="205"/>
      <c r="I667" s="205"/>
      <c r="J667" s="206"/>
      <c r="K667" s="205"/>
      <c r="L667" s="205"/>
      <c r="M667" s="201"/>
      <c r="N667" s="207"/>
      <c r="O667" s="208"/>
      <c r="P667" s="208"/>
      <c r="Q667" s="208"/>
      <c r="R667" s="208"/>
      <c r="S667" s="208"/>
      <c r="T667" s="208"/>
      <c r="U667" s="209"/>
      <c r="V667" s="210"/>
    </row>
    <row r="668" ht="15.75" customHeight="1">
      <c r="A668" s="200"/>
      <c r="B668" s="201"/>
      <c r="C668" s="202"/>
      <c r="D668" s="203"/>
      <c r="E668" s="201"/>
      <c r="F668" s="204"/>
      <c r="G668" s="204"/>
      <c r="H668" s="205"/>
      <c r="I668" s="205"/>
      <c r="J668" s="206"/>
      <c r="K668" s="205"/>
      <c r="L668" s="205"/>
      <c r="M668" s="201"/>
      <c r="N668" s="207"/>
      <c r="O668" s="208"/>
      <c r="P668" s="208"/>
      <c r="Q668" s="208"/>
      <c r="R668" s="208"/>
      <c r="S668" s="208"/>
      <c r="T668" s="208"/>
      <c r="U668" s="209"/>
      <c r="V668" s="210"/>
    </row>
    <row r="669" ht="15.75" customHeight="1">
      <c r="A669" s="200"/>
      <c r="B669" s="201"/>
      <c r="C669" s="202"/>
      <c r="D669" s="203"/>
      <c r="E669" s="201"/>
      <c r="F669" s="204"/>
      <c r="G669" s="204"/>
      <c r="H669" s="205"/>
      <c r="I669" s="205"/>
      <c r="J669" s="206"/>
      <c r="K669" s="205"/>
      <c r="L669" s="205"/>
      <c r="M669" s="201"/>
      <c r="N669" s="207"/>
      <c r="O669" s="208"/>
      <c r="P669" s="208"/>
      <c r="Q669" s="208"/>
      <c r="R669" s="208"/>
      <c r="S669" s="208"/>
      <c r="T669" s="208"/>
      <c r="U669" s="209"/>
      <c r="V669" s="210"/>
    </row>
    <row r="670" ht="15.75" customHeight="1">
      <c r="A670" s="200"/>
      <c r="B670" s="201"/>
      <c r="C670" s="202"/>
      <c r="D670" s="203"/>
      <c r="E670" s="201"/>
      <c r="F670" s="204"/>
      <c r="G670" s="204"/>
      <c r="H670" s="205"/>
      <c r="I670" s="205"/>
      <c r="J670" s="206"/>
      <c r="K670" s="205"/>
      <c r="L670" s="205"/>
      <c r="M670" s="201"/>
      <c r="N670" s="207"/>
      <c r="O670" s="208"/>
      <c r="P670" s="208"/>
      <c r="Q670" s="208"/>
      <c r="R670" s="208"/>
      <c r="S670" s="208"/>
      <c r="T670" s="208"/>
      <c r="U670" s="209"/>
      <c r="V670" s="210"/>
    </row>
    <row r="671" ht="15.75" customHeight="1">
      <c r="A671" s="200"/>
      <c r="B671" s="201"/>
      <c r="C671" s="202"/>
      <c r="D671" s="203"/>
      <c r="E671" s="201"/>
      <c r="F671" s="204"/>
      <c r="G671" s="204"/>
      <c r="H671" s="205"/>
      <c r="I671" s="205"/>
      <c r="J671" s="206"/>
      <c r="K671" s="205"/>
      <c r="L671" s="205"/>
      <c r="M671" s="201"/>
      <c r="N671" s="207"/>
      <c r="O671" s="208"/>
      <c r="P671" s="208"/>
      <c r="Q671" s="208"/>
      <c r="R671" s="208"/>
      <c r="S671" s="208"/>
      <c r="T671" s="208"/>
      <c r="U671" s="209"/>
      <c r="V671" s="210"/>
    </row>
    <row r="672" ht="15.75" customHeight="1">
      <c r="A672" s="200"/>
      <c r="B672" s="201"/>
      <c r="C672" s="202"/>
      <c r="D672" s="203"/>
      <c r="E672" s="201"/>
      <c r="F672" s="204"/>
      <c r="G672" s="204"/>
      <c r="H672" s="205"/>
      <c r="I672" s="205"/>
      <c r="J672" s="206"/>
      <c r="K672" s="205"/>
      <c r="L672" s="205"/>
      <c r="M672" s="201"/>
      <c r="N672" s="207"/>
      <c r="O672" s="208"/>
      <c r="P672" s="208"/>
      <c r="Q672" s="208"/>
      <c r="R672" s="208"/>
      <c r="S672" s="208"/>
      <c r="T672" s="208"/>
      <c r="U672" s="209"/>
      <c r="V672" s="210"/>
    </row>
    <row r="673" ht="15.75" customHeight="1">
      <c r="A673" s="200"/>
      <c r="B673" s="201"/>
      <c r="C673" s="202"/>
      <c r="D673" s="203"/>
      <c r="E673" s="201"/>
      <c r="F673" s="204"/>
      <c r="G673" s="204"/>
      <c r="H673" s="205"/>
      <c r="I673" s="205"/>
      <c r="J673" s="206"/>
      <c r="K673" s="205"/>
      <c r="L673" s="205"/>
      <c r="M673" s="201"/>
      <c r="N673" s="207"/>
      <c r="O673" s="208"/>
      <c r="P673" s="208"/>
      <c r="Q673" s="208"/>
      <c r="R673" s="208"/>
      <c r="S673" s="208"/>
      <c r="T673" s="208"/>
      <c r="U673" s="209"/>
      <c r="V673" s="210"/>
    </row>
    <row r="674" ht="15.75" customHeight="1">
      <c r="A674" s="200"/>
      <c r="B674" s="201"/>
      <c r="C674" s="202"/>
      <c r="D674" s="203"/>
      <c r="E674" s="201"/>
      <c r="F674" s="204"/>
      <c r="G674" s="204"/>
      <c r="H674" s="205"/>
      <c r="I674" s="205"/>
      <c r="J674" s="206"/>
      <c r="K674" s="205"/>
      <c r="L674" s="205"/>
      <c r="M674" s="201"/>
      <c r="N674" s="207"/>
      <c r="O674" s="208"/>
      <c r="P674" s="208"/>
      <c r="Q674" s="208"/>
      <c r="R674" s="208"/>
      <c r="S674" s="208"/>
      <c r="T674" s="208"/>
      <c r="U674" s="209"/>
      <c r="V674" s="210"/>
    </row>
    <row r="675" ht="15.75" customHeight="1">
      <c r="A675" s="200"/>
      <c r="B675" s="201"/>
      <c r="C675" s="202"/>
      <c r="D675" s="203"/>
      <c r="E675" s="201"/>
      <c r="F675" s="204"/>
      <c r="G675" s="204"/>
      <c r="H675" s="205"/>
      <c r="I675" s="205"/>
      <c r="J675" s="206"/>
      <c r="K675" s="205"/>
      <c r="L675" s="205"/>
      <c r="M675" s="201"/>
      <c r="N675" s="207"/>
      <c r="O675" s="208"/>
      <c r="P675" s="208"/>
      <c r="Q675" s="208"/>
      <c r="R675" s="208"/>
      <c r="S675" s="208"/>
      <c r="T675" s="208"/>
      <c r="U675" s="209"/>
      <c r="V675" s="210"/>
    </row>
    <row r="676" ht="15.75" customHeight="1">
      <c r="A676" s="200"/>
      <c r="B676" s="201"/>
      <c r="C676" s="202"/>
      <c r="D676" s="203"/>
      <c r="E676" s="201"/>
      <c r="F676" s="204"/>
      <c r="G676" s="204"/>
      <c r="H676" s="205"/>
      <c r="I676" s="205"/>
      <c r="J676" s="206"/>
      <c r="K676" s="205"/>
      <c r="L676" s="205"/>
      <c r="M676" s="201"/>
      <c r="N676" s="207"/>
      <c r="O676" s="208"/>
      <c r="P676" s="208"/>
      <c r="Q676" s="208"/>
      <c r="R676" s="208"/>
      <c r="S676" s="208"/>
      <c r="T676" s="208"/>
      <c r="U676" s="209"/>
      <c r="V676" s="210"/>
    </row>
    <row r="677" ht="15.75" customHeight="1">
      <c r="A677" s="200"/>
      <c r="B677" s="201"/>
      <c r="C677" s="202"/>
      <c r="D677" s="203"/>
      <c r="E677" s="201"/>
      <c r="F677" s="204"/>
      <c r="G677" s="204"/>
      <c r="H677" s="205"/>
      <c r="I677" s="205"/>
      <c r="J677" s="206"/>
      <c r="K677" s="205"/>
      <c r="L677" s="205"/>
      <c r="M677" s="201"/>
      <c r="N677" s="207"/>
      <c r="O677" s="208"/>
      <c r="P677" s="208"/>
      <c r="Q677" s="208"/>
      <c r="R677" s="208"/>
      <c r="S677" s="208"/>
      <c r="T677" s="208"/>
      <c r="U677" s="209"/>
      <c r="V677" s="210"/>
    </row>
    <row r="678" ht="15.75" customHeight="1">
      <c r="A678" s="200"/>
      <c r="B678" s="201"/>
      <c r="C678" s="202"/>
      <c r="D678" s="203"/>
      <c r="E678" s="201"/>
      <c r="F678" s="204"/>
      <c r="G678" s="204"/>
      <c r="H678" s="205"/>
      <c r="I678" s="205"/>
      <c r="J678" s="206"/>
      <c r="K678" s="205"/>
      <c r="L678" s="205"/>
      <c r="M678" s="201"/>
      <c r="N678" s="207"/>
      <c r="O678" s="208"/>
      <c r="P678" s="208"/>
      <c r="Q678" s="208"/>
      <c r="R678" s="208"/>
      <c r="S678" s="208"/>
      <c r="T678" s="208"/>
      <c r="U678" s="209"/>
      <c r="V678" s="210"/>
    </row>
    <row r="679" ht="15.75" customHeight="1">
      <c r="A679" s="200"/>
      <c r="B679" s="201"/>
      <c r="C679" s="202"/>
      <c r="D679" s="203"/>
      <c r="E679" s="201"/>
      <c r="F679" s="204"/>
      <c r="G679" s="204"/>
      <c r="H679" s="205"/>
      <c r="I679" s="205"/>
      <c r="J679" s="206"/>
      <c r="K679" s="205"/>
      <c r="L679" s="205"/>
      <c r="M679" s="201"/>
      <c r="N679" s="207"/>
      <c r="O679" s="208"/>
      <c r="P679" s="208"/>
      <c r="Q679" s="208"/>
      <c r="R679" s="208"/>
      <c r="S679" s="208"/>
      <c r="T679" s="208"/>
      <c r="U679" s="209"/>
      <c r="V679" s="210"/>
    </row>
    <row r="680" ht="15.75" customHeight="1">
      <c r="A680" s="200"/>
      <c r="B680" s="201"/>
      <c r="C680" s="202"/>
      <c r="D680" s="203"/>
      <c r="E680" s="201"/>
      <c r="F680" s="204"/>
      <c r="G680" s="204"/>
      <c r="H680" s="205"/>
      <c r="I680" s="205"/>
      <c r="J680" s="206"/>
      <c r="K680" s="205"/>
      <c r="L680" s="205"/>
      <c r="M680" s="201"/>
      <c r="N680" s="207"/>
      <c r="O680" s="208"/>
      <c r="P680" s="208"/>
      <c r="Q680" s="208"/>
      <c r="R680" s="208"/>
      <c r="S680" s="208"/>
      <c r="T680" s="208"/>
      <c r="U680" s="209"/>
      <c r="V680" s="210"/>
    </row>
    <row r="681" ht="15.75" customHeight="1">
      <c r="A681" s="200"/>
      <c r="B681" s="201"/>
      <c r="C681" s="202"/>
      <c r="D681" s="203"/>
      <c r="E681" s="201"/>
      <c r="F681" s="204"/>
      <c r="G681" s="204"/>
      <c r="H681" s="205"/>
      <c r="I681" s="205"/>
      <c r="J681" s="206"/>
      <c r="K681" s="205"/>
      <c r="L681" s="205"/>
      <c r="M681" s="201"/>
      <c r="N681" s="207"/>
      <c r="O681" s="208"/>
      <c r="P681" s="208"/>
      <c r="Q681" s="208"/>
      <c r="R681" s="208"/>
      <c r="S681" s="208"/>
      <c r="T681" s="208"/>
      <c r="U681" s="209"/>
      <c r="V681" s="210"/>
    </row>
    <row r="682" ht="15.75" customHeight="1">
      <c r="A682" s="200"/>
      <c r="B682" s="201"/>
      <c r="C682" s="202"/>
      <c r="D682" s="203"/>
      <c r="E682" s="201"/>
      <c r="F682" s="204"/>
      <c r="G682" s="204"/>
      <c r="H682" s="205"/>
      <c r="I682" s="205"/>
      <c r="J682" s="206"/>
      <c r="K682" s="205"/>
      <c r="L682" s="205"/>
      <c r="M682" s="201"/>
      <c r="N682" s="207"/>
      <c r="O682" s="208"/>
      <c r="P682" s="208"/>
      <c r="Q682" s="208"/>
      <c r="R682" s="208"/>
      <c r="S682" s="208"/>
      <c r="T682" s="208"/>
      <c r="U682" s="209"/>
      <c r="V682" s="210"/>
    </row>
    <row r="683" ht="15.75" customHeight="1">
      <c r="A683" s="200"/>
      <c r="B683" s="201"/>
      <c r="C683" s="202"/>
      <c r="D683" s="203"/>
      <c r="E683" s="201"/>
      <c r="F683" s="204"/>
      <c r="G683" s="204"/>
      <c r="H683" s="205"/>
      <c r="I683" s="205"/>
      <c r="J683" s="206"/>
      <c r="K683" s="205"/>
      <c r="L683" s="205"/>
      <c r="M683" s="201"/>
      <c r="N683" s="207"/>
      <c r="O683" s="208"/>
      <c r="P683" s="208"/>
      <c r="Q683" s="208"/>
      <c r="R683" s="208"/>
      <c r="S683" s="208"/>
      <c r="T683" s="208"/>
      <c r="U683" s="209"/>
      <c r="V683" s="210"/>
    </row>
    <row r="684" ht="15.75" customHeight="1">
      <c r="A684" s="200"/>
      <c r="B684" s="201"/>
      <c r="C684" s="202"/>
      <c r="D684" s="203"/>
      <c r="E684" s="201"/>
      <c r="F684" s="204"/>
      <c r="G684" s="204"/>
      <c r="H684" s="205"/>
      <c r="I684" s="205"/>
      <c r="J684" s="206"/>
      <c r="K684" s="205"/>
      <c r="L684" s="205"/>
      <c r="M684" s="201"/>
      <c r="N684" s="207"/>
      <c r="O684" s="208"/>
      <c r="P684" s="208"/>
      <c r="Q684" s="208"/>
      <c r="R684" s="208"/>
      <c r="S684" s="208"/>
      <c r="T684" s="208"/>
      <c r="U684" s="209"/>
      <c r="V684" s="210"/>
    </row>
    <row r="685" ht="15.75" customHeight="1">
      <c r="A685" s="200"/>
      <c r="B685" s="201"/>
      <c r="C685" s="202"/>
      <c r="D685" s="203"/>
      <c r="E685" s="201"/>
      <c r="F685" s="204"/>
      <c r="G685" s="204"/>
      <c r="H685" s="205"/>
      <c r="I685" s="205"/>
      <c r="J685" s="206"/>
      <c r="K685" s="205"/>
      <c r="L685" s="205"/>
      <c r="M685" s="201"/>
      <c r="N685" s="207"/>
      <c r="O685" s="208"/>
      <c r="P685" s="208"/>
      <c r="Q685" s="208"/>
      <c r="R685" s="208"/>
      <c r="S685" s="208"/>
      <c r="T685" s="208"/>
      <c r="U685" s="209"/>
      <c r="V685" s="210"/>
    </row>
    <row r="686" ht="15.75" customHeight="1">
      <c r="A686" s="200"/>
      <c r="B686" s="201"/>
      <c r="C686" s="202"/>
      <c r="D686" s="203"/>
      <c r="E686" s="201"/>
      <c r="F686" s="204"/>
      <c r="G686" s="204"/>
      <c r="H686" s="205"/>
      <c r="I686" s="205"/>
      <c r="J686" s="206"/>
      <c r="K686" s="205"/>
      <c r="L686" s="205"/>
      <c r="M686" s="201"/>
      <c r="N686" s="207"/>
      <c r="O686" s="208"/>
      <c r="P686" s="208"/>
      <c r="Q686" s="208"/>
      <c r="R686" s="208"/>
      <c r="S686" s="208"/>
      <c r="T686" s="208"/>
      <c r="U686" s="209"/>
      <c r="V686" s="210"/>
    </row>
    <row r="687" ht="15.75" customHeight="1">
      <c r="A687" s="200"/>
      <c r="B687" s="201"/>
      <c r="C687" s="202"/>
      <c r="D687" s="203"/>
      <c r="E687" s="201"/>
      <c r="F687" s="204"/>
      <c r="G687" s="204"/>
      <c r="H687" s="205"/>
      <c r="I687" s="205"/>
      <c r="J687" s="206"/>
      <c r="K687" s="205"/>
      <c r="L687" s="205"/>
      <c r="M687" s="201"/>
      <c r="N687" s="207"/>
      <c r="O687" s="208"/>
      <c r="P687" s="208"/>
      <c r="Q687" s="208"/>
      <c r="R687" s="208"/>
      <c r="S687" s="208"/>
      <c r="T687" s="208"/>
      <c r="U687" s="209"/>
      <c r="V687" s="210"/>
    </row>
    <row r="688" ht="15.75" customHeight="1">
      <c r="A688" s="200"/>
      <c r="B688" s="201"/>
      <c r="C688" s="202"/>
      <c r="D688" s="203"/>
      <c r="E688" s="201"/>
      <c r="F688" s="204"/>
      <c r="G688" s="204"/>
      <c r="H688" s="205"/>
      <c r="I688" s="205"/>
      <c r="J688" s="206"/>
      <c r="K688" s="205"/>
      <c r="L688" s="205"/>
      <c r="M688" s="201"/>
      <c r="N688" s="207"/>
      <c r="O688" s="208"/>
      <c r="P688" s="208"/>
      <c r="Q688" s="208"/>
      <c r="R688" s="208"/>
      <c r="S688" s="208"/>
      <c r="T688" s="208"/>
      <c r="U688" s="209"/>
      <c r="V688" s="210"/>
    </row>
    <row r="689" ht="15.75" customHeight="1">
      <c r="A689" s="200"/>
      <c r="B689" s="201"/>
      <c r="C689" s="202"/>
      <c r="D689" s="203"/>
      <c r="E689" s="201"/>
      <c r="F689" s="204"/>
      <c r="G689" s="204"/>
      <c r="H689" s="205"/>
      <c r="I689" s="205"/>
      <c r="J689" s="206"/>
      <c r="K689" s="205"/>
      <c r="L689" s="205"/>
      <c r="M689" s="201"/>
      <c r="N689" s="207"/>
      <c r="O689" s="208"/>
      <c r="P689" s="208"/>
      <c r="Q689" s="208"/>
      <c r="R689" s="208"/>
      <c r="S689" s="208"/>
      <c r="T689" s="208"/>
      <c r="U689" s="209"/>
      <c r="V689" s="210"/>
    </row>
    <row r="690" ht="15.75" customHeight="1">
      <c r="A690" s="200"/>
      <c r="B690" s="201"/>
      <c r="C690" s="202"/>
      <c r="D690" s="203"/>
      <c r="E690" s="201"/>
      <c r="F690" s="204"/>
      <c r="G690" s="204"/>
      <c r="H690" s="205"/>
      <c r="I690" s="205"/>
      <c r="J690" s="206"/>
      <c r="K690" s="205"/>
      <c r="L690" s="205"/>
      <c r="M690" s="201"/>
      <c r="N690" s="207"/>
      <c r="O690" s="208"/>
      <c r="P690" s="208"/>
      <c r="Q690" s="208"/>
      <c r="R690" s="208"/>
      <c r="S690" s="208"/>
      <c r="T690" s="208"/>
      <c r="U690" s="209"/>
      <c r="V690" s="210"/>
    </row>
    <row r="691" ht="15.75" customHeight="1">
      <c r="A691" s="200"/>
      <c r="B691" s="201"/>
      <c r="C691" s="202"/>
      <c r="D691" s="203"/>
      <c r="E691" s="201"/>
      <c r="F691" s="204"/>
      <c r="G691" s="204"/>
      <c r="H691" s="205"/>
      <c r="I691" s="205"/>
      <c r="J691" s="206"/>
      <c r="K691" s="205"/>
      <c r="L691" s="205"/>
      <c r="M691" s="201"/>
      <c r="N691" s="207"/>
      <c r="O691" s="208"/>
      <c r="P691" s="208"/>
      <c r="Q691" s="208"/>
      <c r="R691" s="208"/>
      <c r="S691" s="208"/>
      <c r="T691" s="208"/>
      <c r="U691" s="209"/>
      <c r="V691" s="210"/>
    </row>
    <row r="692" ht="15.75" customHeight="1">
      <c r="A692" s="200"/>
      <c r="B692" s="201"/>
      <c r="C692" s="202"/>
      <c r="D692" s="203"/>
      <c r="E692" s="201"/>
      <c r="F692" s="204"/>
      <c r="G692" s="204"/>
      <c r="H692" s="205"/>
      <c r="I692" s="205"/>
      <c r="J692" s="206"/>
      <c r="K692" s="205"/>
      <c r="L692" s="205"/>
      <c r="M692" s="201"/>
      <c r="N692" s="207"/>
      <c r="O692" s="208"/>
      <c r="P692" s="208"/>
      <c r="Q692" s="208"/>
      <c r="R692" s="208"/>
      <c r="S692" s="208"/>
      <c r="T692" s="208"/>
      <c r="U692" s="209"/>
      <c r="V692" s="210"/>
    </row>
    <row r="693" ht="15.75" customHeight="1">
      <c r="A693" s="200"/>
      <c r="B693" s="201"/>
      <c r="C693" s="202"/>
      <c r="D693" s="203"/>
      <c r="E693" s="201"/>
      <c r="F693" s="204"/>
      <c r="G693" s="204"/>
      <c r="H693" s="205"/>
      <c r="I693" s="205"/>
      <c r="J693" s="206"/>
      <c r="K693" s="205"/>
      <c r="L693" s="205"/>
      <c r="M693" s="201"/>
      <c r="N693" s="207"/>
      <c r="O693" s="208"/>
      <c r="P693" s="208"/>
      <c r="Q693" s="208"/>
      <c r="R693" s="208"/>
      <c r="S693" s="208"/>
      <c r="T693" s="208"/>
      <c r="U693" s="209"/>
      <c r="V693" s="210"/>
    </row>
    <row r="694" ht="15.75" customHeight="1">
      <c r="A694" s="200"/>
      <c r="B694" s="201"/>
      <c r="C694" s="202"/>
      <c r="D694" s="203"/>
      <c r="E694" s="201"/>
      <c r="F694" s="204"/>
      <c r="G694" s="204"/>
      <c r="H694" s="205"/>
      <c r="I694" s="205"/>
      <c r="J694" s="206"/>
      <c r="K694" s="205"/>
      <c r="L694" s="205"/>
      <c r="M694" s="201"/>
      <c r="N694" s="207"/>
      <c r="O694" s="208"/>
      <c r="P694" s="208"/>
      <c r="Q694" s="208"/>
      <c r="R694" s="208"/>
      <c r="S694" s="208"/>
      <c r="T694" s="208"/>
      <c r="U694" s="209"/>
      <c r="V694" s="210"/>
    </row>
    <row r="695" ht="15.75" customHeight="1">
      <c r="A695" s="200"/>
      <c r="B695" s="201"/>
      <c r="C695" s="202"/>
      <c r="D695" s="203"/>
      <c r="E695" s="201"/>
      <c r="F695" s="204"/>
      <c r="G695" s="204"/>
      <c r="H695" s="205"/>
      <c r="I695" s="205"/>
      <c r="J695" s="206"/>
      <c r="K695" s="205"/>
      <c r="L695" s="205"/>
      <c r="M695" s="201"/>
      <c r="N695" s="207"/>
      <c r="O695" s="208"/>
      <c r="P695" s="208"/>
      <c r="Q695" s="208"/>
      <c r="R695" s="208"/>
      <c r="S695" s="208"/>
      <c r="T695" s="208"/>
      <c r="U695" s="209"/>
      <c r="V695" s="210"/>
    </row>
    <row r="696" ht="15.75" customHeight="1">
      <c r="A696" s="200"/>
      <c r="B696" s="201"/>
      <c r="C696" s="202"/>
      <c r="D696" s="203"/>
      <c r="E696" s="201"/>
      <c r="F696" s="204"/>
      <c r="G696" s="204"/>
      <c r="H696" s="205"/>
      <c r="I696" s="205"/>
      <c r="J696" s="206"/>
      <c r="K696" s="205"/>
      <c r="L696" s="205"/>
      <c r="M696" s="201"/>
      <c r="N696" s="207"/>
      <c r="O696" s="208"/>
      <c r="P696" s="208"/>
      <c r="Q696" s="208"/>
      <c r="R696" s="208"/>
      <c r="S696" s="208"/>
      <c r="T696" s="208"/>
      <c r="U696" s="209"/>
      <c r="V696" s="210"/>
    </row>
    <row r="697" ht="15.75" customHeight="1">
      <c r="A697" s="200"/>
      <c r="B697" s="201"/>
      <c r="C697" s="202"/>
      <c r="D697" s="203"/>
      <c r="E697" s="201"/>
      <c r="F697" s="204"/>
      <c r="G697" s="204"/>
      <c r="H697" s="205"/>
      <c r="I697" s="205"/>
      <c r="J697" s="206"/>
      <c r="K697" s="205"/>
      <c r="L697" s="205"/>
      <c r="M697" s="201"/>
      <c r="N697" s="207"/>
      <c r="O697" s="208"/>
      <c r="P697" s="208"/>
      <c r="Q697" s="208"/>
      <c r="R697" s="208"/>
      <c r="S697" s="208"/>
      <c r="T697" s="208"/>
      <c r="U697" s="209"/>
      <c r="V697" s="210"/>
    </row>
    <row r="698" ht="15.75" customHeight="1">
      <c r="A698" s="200"/>
      <c r="B698" s="201"/>
      <c r="C698" s="202"/>
      <c r="D698" s="203"/>
      <c r="E698" s="201"/>
      <c r="F698" s="204"/>
      <c r="G698" s="204"/>
      <c r="H698" s="205"/>
      <c r="I698" s="205"/>
      <c r="J698" s="206"/>
      <c r="K698" s="205"/>
      <c r="L698" s="205"/>
      <c r="M698" s="201"/>
      <c r="N698" s="207"/>
      <c r="O698" s="208"/>
      <c r="P698" s="208"/>
      <c r="Q698" s="208"/>
      <c r="R698" s="208"/>
      <c r="S698" s="208"/>
      <c r="T698" s="208"/>
      <c r="U698" s="209"/>
      <c r="V698" s="210"/>
    </row>
    <row r="699" ht="15.75" customHeight="1">
      <c r="A699" s="200"/>
      <c r="B699" s="201"/>
      <c r="C699" s="202"/>
      <c r="D699" s="203"/>
      <c r="E699" s="201"/>
      <c r="F699" s="204"/>
      <c r="G699" s="204"/>
      <c r="H699" s="205"/>
      <c r="I699" s="205"/>
      <c r="J699" s="206"/>
      <c r="K699" s="205"/>
      <c r="L699" s="205"/>
      <c r="M699" s="201"/>
      <c r="N699" s="207"/>
      <c r="O699" s="208"/>
      <c r="P699" s="208"/>
      <c r="Q699" s="208"/>
      <c r="R699" s="208"/>
      <c r="S699" s="208"/>
      <c r="T699" s="208"/>
      <c r="U699" s="209"/>
      <c r="V699" s="210"/>
    </row>
    <row r="700" ht="15.75" customHeight="1">
      <c r="A700" s="200"/>
      <c r="B700" s="201"/>
      <c r="C700" s="202"/>
      <c r="D700" s="203"/>
      <c r="E700" s="201"/>
      <c r="F700" s="204"/>
      <c r="G700" s="204"/>
      <c r="H700" s="205"/>
      <c r="I700" s="205"/>
      <c r="J700" s="206"/>
      <c r="K700" s="205"/>
      <c r="L700" s="205"/>
      <c r="M700" s="201"/>
      <c r="N700" s="207"/>
      <c r="O700" s="208"/>
      <c r="P700" s="208"/>
      <c r="Q700" s="208"/>
      <c r="R700" s="208"/>
      <c r="S700" s="208"/>
      <c r="T700" s="208"/>
      <c r="U700" s="209"/>
      <c r="V700" s="210"/>
    </row>
    <row r="701" ht="15.75" customHeight="1">
      <c r="A701" s="200"/>
      <c r="B701" s="201"/>
      <c r="C701" s="202"/>
      <c r="D701" s="203"/>
      <c r="E701" s="201"/>
      <c r="F701" s="204"/>
      <c r="G701" s="204"/>
      <c r="H701" s="205"/>
      <c r="I701" s="205"/>
      <c r="J701" s="206"/>
      <c r="K701" s="205"/>
      <c r="L701" s="205"/>
      <c r="M701" s="201"/>
      <c r="N701" s="207"/>
      <c r="O701" s="208"/>
      <c r="P701" s="208"/>
      <c r="Q701" s="208"/>
      <c r="R701" s="208"/>
      <c r="S701" s="208"/>
      <c r="T701" s="208"/>
      <c r="U701" s="209"/>
      <c r="V701" s="210"/>
    </row>
    <row r="702" ht="15.75" customHeight="1">
      <c r="A702" s="200"/>
      <c r="B702" s="201"/>
      <c r="C702" s="202"/>
      <c r="D702" s="203"/>
      <c r="E702" s="201"/>
      <c r="F702" s="204"/>
      <c r="G702" s="204"/>
      <c r="H702" s="205"/>
      <c r="I702" s="205"/>
      <c r="J702" s="206"/>
      <c r="K702" s="205"/>
      <c r="L702" s="205"/>
      <c r="M702" s="201"/>
      <c r="N702" s="207"/>
      <c r="O702" s="208"/>
      <c r="P702" s="208"/>
      <c r="Q702" s="208"/>
      <c r="R702" s="208"/>
      <c r="S702" s="208"/>
      <c r="T702" s="208"/>
      <c r="U702" s="209"/>
      <c r="V702" s="210"/>
    </row>
    <row r="703" ht="15.75" customHeight="1">
      <c r="A703" s="200"/>
      <c r="B703" s="201"/>
      <c r="C703" s="202"/>
      <c r="D703" s="203"/>
      <c r="E703" s="201"/>
      <c r="F703" s="204"/>
      <c r="G703" s="204"/>
      <c r="H703" s="205"/>
      <c r="I703" s="205"/>
      <c r="J703" s="206"/>
      <c r="K703" s="205"/>
      <c r="L703" s="205"/>
      <c r="M703" s="201"/>
      <c r="N703" s="207"/>
      <c r="O703" s="208"/>
      <c r="P703" s="208"/>
      <c r="Q703" s="208"/>
      <c r="R703" s="208"/>
      <c r="S703" s="208"/>
      <c r="T703" s="208"/>
      <c r="U703" s="209"/>
      <c r="V703" s="210"/>
    </row>
    <row r="704" ht="15.75" customHeight="1">
      <c r="A704" s="200"/>
      <c r="B704" s="201"/>
      <c r="C704" s="202"/>
      <c r="D704" s="203"/>
      <c r="E704" s="201"/>
      <c r="F704" s="204"/>
      <c r="G704" s="204"/>
      <c r="H704" s="205"/>
      <c r="I704" s="205"/>
      <c r="J704" s="206"/>
      <c r="K704" s="205"/>
      <c r="L704" s="205"/>
      <c r="M704" s="201"/>
      <c r="N704" s="207"/>
      <c r="O704" s="208"/>
      <c r="P704" s="208"/>
      <c r="Q704" s="208"/>
      <c r="R704" s="208"/>
      <c r="S704" s="208"/>
      <c r="T704" s="208"/>
      <c r="U704" s="209"/>
      <c r="V704" s="210"/>
    </row>
    <row r="705" ht="15.75" customHeight="1">
      <c r="A705" s="200"/>
      <c r="B705" s="201"/>
      <c r="C705" s="202"/>
      <c r="D705" s="203"/>
      <c r="E705" s="201"/>
      <c r="F705" s="204"/>
      <c r="G705" s="204"/>
      <c r="H705" s="205"/>
      <c r="I705" s="205"/>
      <c r="J705" s="206"/>
      <c r="K705" s="205"/>
      <c r="L705" s="205"/>
      <c r="M705" s="201"/>
      <c r="N705" s="207"/>
      <c r="O705" s="208"/>
      <c r="P705" s="208"/>
      <c r="Q705" s="208"/>
      <c r="R705" s="208"/>
      <c r="S705" s="208"/>
      <c r="T705" s="208"/>
      <c r="U705" s="209"/>
      <c r="V705" s="210"/>
    </row>
    <row r="706" ht="15.75" customHeight="1">
      <c r="A706" s="200"/>
      <c r="B706" s="201"/>
      <c r="C706" s="202"/>
      <c r="D706" s="203"/>
      <c r="E706" s="201"/>
      <c r="F706" s="204"/>
      <c r="G706" s="204"/>
      <c r="H706" s="205"/>
      <c r="I706" s="205"/>
      <c r="J706" s="206"/>
      <c r="K706" s="205"/>
      <c r="L706" s="205"/>
      <c r="M706" s="201"/>
      <c r="N706" s="207"/>
      <c r="O706" s="208"/>
      <c r="P706" s="208"/>
      <c r="Q706" s="208"/>
      <c r="R706" s="208"/>
      <c r="S706" s="208"/>
      <c r="T706" s="208"/>
      <c r="U706" s="209"/>
      <c r="V706" s="210"/>
    </row>
    <row r="707" ht="15.75" customHeight="1">
      <c r="A707" s="200"/>
      <c r="B707" s="201"/>
      <c r="C707" s="202"/>
      <c r="D707" s="203"/>
      <c r="E707" s="201"/>
      <c r="F707" s="204"/>
      <c r="G707" s="204"/>
      <c r="H707" s="205"/>
      <c r="I707" s="205"/>
      <c r="J707" s="206"/>
      <c r="K707" s="205"/>
      <c r="L707" s="205"/>
      <c r="M707" s="201"/>
      <c r="N707" s="207"/>
      <c r="O707" s="208"/>
      <c r="P707" s="208"/>
      <c r="Q707" s="208"/>
      <c r="R707" s="208"/>
      <c r="S707" s="208"/>
      <c r="T707" s="208"/>
      <c r="U707" s="209"/>
      <c r="V707" s="210"/>
    </row>
    <row r="708" ht="15.75" customHeight="1">
      <c r="A708" s="200"/>
      <c r="B708" s="201"/>
      <c r="C708" s="202"/>
      <c r="D708" s="203"/>
      <c r="E708" s="201"/>
      <c r="F708" s="204"/>
      <c r="G708" s="204"/>
      <c r="H708" s="205"/>
      <c r="I708" s="205"/>
      <c r="J708" s="206"/>
      <c r="K708" s="205"/>
      <c r="L708" s="205"/>
      <c r="M708" s="201"/>
      <c r="N708" s="207"/>
      <c r="O708" s="208"/>
      <c r="P708" s="208"/>
      <c r="Q708" s="208"/>
      <c r="R708" s="208"/>
      <c r="S708" s="208"/>
      <c r="T708" s="208"/>
      <c r="U708" s="209"/>
      <c r="V708" s="210"/>
    </row>
    <row r="709" ht="15.75" customHeight="1">
      <c r="A709" s="200"/>
      <c r="B709" s="201"/>
      <c r="C709" s="202"/>
      <c r="D709" s="203"/>
      <c r="E709" s="201"/>
      <c r="F709" s="204"/>
      <c r="G709" s="204"/>
      <c r="H709" s="205"/>
      <c r="I709" s="205"/>
      <c r="J709" s="206"/>
      <c r="K709" s="205"/>
      <c r="L709" s="205"/>
      <c r="M709" s="201"/>
      <c r="N709" s="207"/>
      <c r="O709" s="208"/>
      <c r="P709" s="208"/>
      <c r="Q709" s="208"/>
      <c r="R709" s="208"/>
      <c r="S709" s="208"/>
      <c r="T709" s="208"/>
      <c r="U709" s="209"/>
      <c r="V709" s="210"/>
    </row>
    <row r="710" ht="15.75" customHeight="1">
      <c r="A710" s="200"/>
      <c r="B710" s="201"/>
      <c r="C710" s="202"/>
      <c r="D710" s="203"/>
      <c r="E710" s="201"/>
      <c r="F710" s="204"/>
      <c r="G710" s="204"/>
      <c r="H710" s="205"/>
      <c r="I710" s="205"/>
      <c r="J710" s="206"/>
      <c r="K710" s="205"/>
      <c r="L710" s="205"/>
      <c r="M710" s="201"/>
      <c r="N710" s="207"/>
      <c r="O710" s="208"/>
      <c r="P710" s="208"/>
      <c r="Q710" s="208"/>
      <c r="R710" s="208"/>
      <c r="S710" s="208"/>
      <c r="T710" s="208"/>
      <c r="U710" s="209"/>
      <c r="V710" s="210"/>
    </row>
    <row r="711" ht="15.75" customHeight="1">
      <c r="A711" s="200"/>
      <c r="B711" s="201"/>
      <c r="C711" s="202"/>
      <c r="D711" s="203"/>
      <c r="E711" s="201"/>
      <c r="F711" s="204"/>
      <c r="G711" s="204"/>
      <c r="H711" s="205"/>
      <c r="I711" s="205"/>
      <c r="J711" s="206"/>
      <c r="K711" s="205"/>
      <c r="L711" s="205"/>
      <c r="M711" s="201"/>
      <c r="N711" s="207"/>
      <c r="O711" s="208"/>
      <c r="P711" s="208"/>
      <c r="Q711" s="208"/>
      <c r="R711" s="208"/>
      <c r="S711" s="208"/>
      <c r="T711" s="208"/>
      <c r="U711" s="209"/>
      <c r="V711" s="210"/>
    </row>
    <row r="712" ht="15.75" customHeight="1">
      <c r="A712" s="200"/>
      <c r="B712" s="201"/>
      <c r="C712" s="202"/>
      <c r="D712" s="203"/>
      <c r="E712" s="201"/>
      <c r="F712" s="204"/>
      <c r="G712" s="204"/>
      <c r="H712" s="205"/>
      <c r="I712" s="205"/>
      <c r="J712" s="206"/>
      <c r="K712" s="205"/>
      <c r="L712" s="205"/>
      <c r="M712" s="201"/>
      <c r="N712" s="207"/>
      <c r="O712" s="208"/>
      <c r="P712" s="208"/>
      <c r="Q712" s="208"/>
      <c r="R712" s="208"/>
      <c r="S712" s="208"/>
      <c r="T712" s="208"/>
      <c r="U712" s="209"/>
      <c r="V712" s="210"/>
    </row>
    <row r="713" ht="15.75" customHeight="1">
      <c r="A713" s="200"/>
      <c r="B713" s="201"/>
      <c r="C713" s="202"/>
      <c r="D713" s="203"/>
      <c r="E713" s="201"/>
      <c r="F713" s="204"/>
      <c r="G713" s="204"/>
      <c r="H713" s="205"/>
      <c r="I713" s="205"/>
      <c r="J713" s="206"/>
      <c r="K713" s="205"/>
      <c r="L713" s="205"/>
      <c r="M713" s="201"/>
      <c r="N713" s="207"/>
      <c r="O713" s="208"/>
      <c r="P713" s="208"/>
      <c r="Q713" s="208"/>
      <c r="R713" s="208"/>
      <c r="S713" s="208"/>
      <c r="T713" s="208"/>
      <c r="U713" s="209"/>
      <c r="V713" s="210"/>
    </row>
    <row r="714" ht="15.75" customHeight="1">
      <c r="A714" s="200"/>
      <c r="B714" s="201"/>
      <c r="C714" s="202"/>
      <c r="D714" s="203"/>
      <c r="E714" s="201"/>
      <c r="F714" s="204"/>
      <c r="G714" s="204"/>
      <c r="H714" s="205"/>
      <c r="I714" s="205"/>
      <c r="J714" s="206"/>
      <c r="K714" s="205"/>
      <c r="L714" s="205"/>
      <c r="M714" s="201"/>
      <c r="N714" s="207"/>
      <c r="O714" s="208"/>
      <c r="P714" s="208"/>
      <c r="Q714" s="208"/>
      <c r="R714" s="208"/>
      <c r="S714" s="208"/>
      <c r="T714" s="208"/>
      <c r="U714" s="209"/>
      <c r="V714" s="210"/>
    </row>
    <row r="715" ht="15.75" customHeight="1">
      <c r="A715" s="200"/>
      <c r="B715" s="201"/>
      <c r="C715" s="202"/>
      <c r="D715" s="203"/>
      <c r="E715" s="201"/>
      <c r="F715" s="204"/>
      <c r="G715" s="204"/>
      <c r="H715" s="205"/>
      <c r="I715" s="205"/>
      <c r="J715" s="206"/>
      <c r="K715" s="205"/>
      <c r="L715" s="205"/>
      <c r="M715" s="201"/>
      <c r="N715" s="207"/>
      <c r="O715" s="208"/>
      <c r="P715" s="208"/>
      <c r="Q715" s="208"/>
      <c r="R715" s="208"/>
      <c r="S715" s="208"/>
      <c r="T715" s="208"/>
      <c r="U715" s="209"/>
      <c r="V715" s="210"/>
    </row>
    <row r="716" ht="15.75" customHeight="1">
      <c r="A716" s="200"/>
      <c r="B716" s="201"/>
      <c r="C716" s="202"/>
      <c r="D716" s="203"/>
      <c r="E716" s="201"/>
      <c r="F716" s="204"/>
      <c r="G716" s="204"/>
      <c r="H716" s="205"/>
      <c r="I716" s="205"/>
      <c r="J716" s="206"/>
      <c r="K716" s="205"/>
      <c r="L716" s="205"/>
      <c r="M716" s="201"/>
      <c r="N716" s="207"/>
      <c r="O716" s="208"/>
      <c r="P716" s="208"/>
      <c r="Q716" s="208"/>
      <c r="R716" s="208"/>
      <c r="S716" s="208"/>
      <c r="T716" s="208"/>
      <c r="U716" s="209"/>
      <c r="V716" s="210"/>
    </row>
    <row r="717" ht="15.75" customHeight="1">
      <c r="A717" s="200"/>
      <c r="B717" s="201"/>
      <c r="C717" s="202"/>
      <c r="D717" s="203"/>
      <c r="E717" s="201"/>
      <c r="F717" s="204"/>
      <c r="G717" s="204"/>
      <c r="H717" s="205"/>
      <c r="I717" s="205"/>
      <c r="J717" s="206"/>
      <c r="K717" s="205"/>
      <c r="L717" s="205"/>
      <c r="M717" s="201"/>
      <c r="N717" s="207"/>
      <c r="O717" s="208"/>
      <c r="P717" s="208"/>
      <c r="Q717" s="208"/>
      <c r="R717" s="208"/>
      <c r="S717" s="208"/>
      <c r="T717" s="208"/>
      <c r="U717" s="209"/>
      <c r="V717" s="210"/>
    </row>
    <row r="718" ht="15.75" customHeight="1">
      <c r="A718" s="200"/>
      <c r="B718" s="201"/>
      <c r="C718" s="202"/>
      <c r="D718" s="203"/>
      <c r="E718" s="201"/>
      <c r="F718" s="204"/>
      <c r="G718" s="204"/>
      <c r="H718" s="205"/>
      <c r="I718" s="205"/>
      <c r="J718" s="206"/>
      <c r="K718" s="205"/>
      <c r="L718" s="205"/>
      <c r="M718" s="201"/>
      <c r="N718" s="207"/>
      <c r="O718" s="208"/>
      <c r="P718" s="208"/>
      <c r="Q718" s="208"/>
      <c r="R718" s="208"/>
      <c r="S718" s="208"/>
      <c r="T718" s="208"/>
      <c r="U718" s="209"/>
      <c r="V718" s="210"/>
    </row>
    <row r="719" ht="15.75" customHeight="1">
      <c r="A719" s="200"/>
      <c r="B719" s="201"/>
      <c r="C719" s="202"/>
      <c r="D719" s="203"/>
      <c r="E719" s="201"/>
      <c r="F719" s="204"/>
      <c r="G719" s="204"/>
      <c r="H719" s="205"/>
      <c r="I719" s="205"/>
      <c r="J719" s="206"/>
      <c r="K719" s="205"/>
      <c r="L719" s="205"/>
      <c r="M719" s="201"/>
      <c r="N719" s="207"/>
      <c r="O719" s="208"/>
      <c r="P719" s="208"/>
      <c r="Q719" s="208"/>
      <c r="R719" s="208"/>
      <c r="S719" s="208"/>
      <c r="T719" s="208"/>
      <c r="U719" s="209"/>
      <c r="V719" s="210"/>
    </row>
    <row r="720" ht="15.75" customHeight="1">
      <c r="A720" s="200"/>
      <c r="B720" s="201"/>
      <c r="C720" s="202"/>
      <c r="D720" s="203"/>
      <c r="E720" s="201"/>
      <c r="F720" s="204"/>
      <c r="G720" s="204"/>
      <c r="H720" s="205"/>
      <c r="I720" s="205"/>
      <c r="J720" s="206"/>
      <c r="K720" s="205"/>
      <c r="L720" s="205"/>
      <c r="M720" s="201"/>
      <c r="N720" s="207"/>
      <c r="O720" s="208"/>
      <c r="P720" s="208"/>
      <c r="Q720" s="208"/>
      <c r="R720" s="208"/>
      <c r="S720" s="208"/>
      <c r="T720" s="208"/>
      <c r="U720" s="209"/>
      <c r="V720" s="210"/>
    </row>
    <row r="721" ht="15.75" customHeight="1">
      <c r="A721" s="200"/>
      <c r="B721" s="201"/>
      <c r="C721" s="202"/>
      <c r="D721" s="203"/>
      <c r="E721" s="201"/>
      <c r="F721" s="204"/>
      <c r="G721" s="204"/>
      <c r="H721" s="205"/>
      <c r="I721" s="205"/>
      <c r="J721" s="206"/>
      <c r="K721" s="205"/>
      <c r="L721" s="205"/>
      <c r="M721" s="201"/>
      <c r="N721" s="207"/>
      <c r="O721" s="208"/>
      <c r="P721" s="208"/>
      <c r="Q721" s="208"/>
      <c r="R721" s="208"/>
      <c r="S721" s="208"/>
      <c r="T721" s="208"/>
      <c r="U721" s="209"/>
      <c r="V721" s="210"/>
    </row>
    <row r="722" ht="15.75" customHeight="1">
      <c r="A722" s="200"/>
      <c r="B722" s="201"/>
      <c r="C722" s="202"/>
      <c r="D722" s="203"/>
      <c r="E722" s="201"/>
      <c r="F722" s="204"/>
      <c r="G722" s="204"/>
      <c r="H722" s="205"/>
      <c r="I722" s="205"/>
      <c r="J722" s="206"/>
      <c r="K722" s="205"/>
      <c r="L722" s="205"/>
      <c r="M722" s="201"/>
      <c r="N722" s="207"/>
      <c r="O722" s="208"/>
      <c r="P722" s="208"/>
      <c r="Q722" s="208"/>
      <c r="R722" s="208"/>
      <c r="S722" s="208"/>
      <c r="T722" s="208"/>
      <c r="U722" s="209"/>
      <c r="V722" s="210"/>
    </row>
    <row r="723" ht="15.75" customHeight="1">
      <c r="A723" s="200"/>
      <c r="B723" s="201"/>
      <c r="C723" s="202"/>
      <c r="D723" s="203"/>
      <c r="E723" s="201"/>
      <c r="F723" s="204"/>
      <c r="G723" s="204"/>
      <c r="H723" s="205"/>
      <c r="I723" s="205"/>
      <c r="J723" s="206"/>
      <c r="K723" s="205"/>
      <c r="L723" s="205"/>
      <c r="M723" s="201"/>
      <c r="N723" s="207"/>
      <c r="O723" s="208"/>
      <c r="P723" s="208"/>
      <c r="Q723" s="208"/>
      <c r="R723" s="208"/>
      <c r="S723" s="208"/>
      <c r="T723" s="208"/>
      <c r="U723" s="209"/>
      <c r="V723" s="210"/>
    </row>
    <row r="724" ht="15.75" customHeight="1">
      <c r="A724" s="200"/>
      <c r="B724" s="201"/>
      <c r="C724" s="202"/>
      <c r="D724" s="203"/>
      <c r="E724" s="201"/>
      <c r="F724" s="204"/>
      <c r="G724" s="204"/>
      <c r="H724" s="205"/>
      <c r="I724" s="205"/>
      <c r="J724" s="206"/>
      <c r="K724" s="205"/>
      <c r="L724" s="205"/>
      <c r="M724" s="201"/>
      <c r="N724" s="207"/>
      <c r="O724" s="208"/>
      <c r="P724" s="208"/>
      <c r="Q724" s="208"/>
      <c r="R724" s="208"/>
      <c r="S724" s="208"/>
      <c r="T724" s="208"/>
      <c r="U724" s="209"/>
      <c r="V724" s="210"/>
    </row>
    <row r="725" ht="15.75" customHeight="1">
      <c r="A725" s="200"/>
      <c r="B725" s="201"/>
      <c r="C725" s="202"/>
      <c r="D725" s="203"/>
      <c r="E725" s="201"/>
      <c r="F725" s="204"/>
      <c r="G725" s="204"/>
      <c r="H725" s="205"/>
      <c r="I725" s="205"/>
      <c r="J725" s="206"/>
      <c r="K725" s="205"/>
      <c r="L725" s="205"/>
      <c r="M725" s="201"/>
      <c r="N725" s="207"/>
      <c r="O725" s="208"/>
      <c r="P725" s="208"/>
      <c r="Q725" s="208"/>
      <c r="R725" s="208"/>
      <c r="S725" s="208"/>
      <c r="T725" s="208"/>
      <c r="U725" s="209"/>
      <c r="V725" s="210"/>
    </row>
    <row r="726" ht="15.75" customHeight="1">
      <c r="A726" s="200"/>
      <c r="B726" s="201"/>
      <c r="C726" s="202"/>
      <c r="D726" s="203"/>
      <c r="E726" s="201"/>
      <c r="F726" s="204"/>
      <c r="G726" s="204"/>
      <c r="H726" s="205"/>
      <c r="I726" s="205"/>
      <c r="J726" s="206"/>
      <c r="K726" s="205"/>
      <c r="L726" s="205"/>
      <c r="M726" s="201"/>
      <c r="N726" s="207"/>
      <c r="O726" s="208"/>
      <c r="P726" s="208"/>
      <c r="Q726" s="208"/>
      <c r="R726" s="208"/>
      <c r="S726" s="208"/>
      <c r="T726" s="208"/>
      <c r="U726" s="209"/>
      <c r="V726" s="210"/>
    </row>
    <row r="727" ht="15.75" customHeight="1">
      <c r="A727" s="200"/>
      <c r="B727" s="201"/>
      <c r="C727" s="202"/>
      <c r="D727" s="203"/>
      <c r="E727" s="201"/>
      <c r="F727" s="204"/>
      <c r="G727" s="204"/>
      <c r="H727" s="205"/>
      <c r="I727" s="205"/>
      <c r="J727" s="206"/>
      <c r="K727" s="205"/>
      <c r="L727" s="205"/>
      <c r="M727" s="201"/>
      <c r="N727" s="207"/>
      <c r="O727" s="208"/>
      <c r="P727" s="208"/>
      <c r="Q727" s="208"/>
      <c r="R727" s="208"/>
      <c r="S727" s="208"/>
      <c r="T727" s="208"/>
      <c r="U727" s="209"/>
      <c r="V727" s="210"/>
    </row>
    <row r="728" ht="15.75" customHeight="1">
      <c r="A728" s="200"/>
      <c r="B728" s="201"/>
      <c r="C728" s="202"/>
      <c r="D728" s="203"/>
      <c r="E728" s="201"/>
      <c r="F728" s="204"/>
      <c r="G728" s="204"/>
      <c r="H728" s="205"/>
      <c r="I728" s="205"/>
      <c r="J728" s="206"/>
      <c r="K728" s="205"/>
      <c r="L728" s="205"/>
      <c r="M728" s="201"/>
      <c r="N728" s="207"/>
      <c r="O728" s="208"/>
      <c r="P728" s="208"/>
      <c r="Q728" s="208"/>
      <c r="R728" s="208"/>
      <c r="S728" s="208"/>
      <c r="T728" s="208"/>
      <c r="U728" s="209"/>
      <c r="V728" s="210"/>
    </row>
    <row r="729" ht="15.75" customHeight="1">
      <c r="A729" s="200"/>
      <c r="B729" s="201"/>
      <c r="C729" s="202"/>
      <c r="D729" s="203"/>
      <c r="E729" s="201"/>
      <c r="F729" s="204"/>
      <c r="G729" s="204"/>
      <c r="H729" s="205"/>
      <c r="I729" s="205"/>
      <c r="J729" s="206"/>
      <c r="K729" s="205"/>
      <c r="L729" s="205"/>
      <c r="M729" s="201"/>
      <c r="N729" s="207"/>
      <c r="O729" s="208"/>
      <c r="P729" s="208"/>
      <c r="Q729" s="208"/>
      <c r="R729" s="208"/>
      <c r="S729" s="208"/>
      <c r="T729" s="208"/>
      <c r="U729" s="209"/>
      <c r="V729" s="210"/>
    </row>
    <row r="730" ht="15.75" customHeight="1">
      <c r="A730" s="200"/>
      <c r="B730" s="201"/>
      <c r="C730" s="202"/>
      <c r="D730" s="203"/>
      <c r="E730" s="201"/>
      <c r="F730" s="204"/>
      <c r="G730" s="204"/>
      <c r="H730" s="205"/>
      <c r="I730" s="205"/>
      <c r="J730" s="206"/>
      <c r="K730" s="205"/>
      <c r="L730" s="205"/>
      <c r="M730" s="201"/>
      <c r="N730" s="207"/>
      <c r="O730" s="208"/>
      <c r="P730" s="208"/>
      <c r="Q730" s="208"/>
      <c r="R730" s="208"/>
      <c r="S730" s="208"/>
      <c r="T730" s="208"/>
      <c r="U730" s="209"/>
      <c r="V730" s="210"/>
    </row>
    <row r="731" ht="15.75" customHeight="1">
      <c r="A731" s="200"/>
      <c r="B731" s="201"/>
      <c r="C731" s="202"/>
      <c r="D731" s="203"/>
      <c r="E731" s="201"/>
      <c r="F731" s="204"/>
      <c r="G731" s="204"/>
      <c r="H731" s="205"/>
      <c r="I731" s="205"/>
      <c r="J731" s="206"/>
      <c r="K731" s="205"/>
      <c r="L731" s="205"/>
      <c r="M731" s="201"/>
      <c r="N731" s="207"/>
      <c r="O731" s="208"/>
      <c r="P731" s="208"/>
      <c r="Q731" s="208"/>
      <c r="R731" s="208"/>
      <c r="S731" s="208"/>
      <c r="T731" s="208"/>
      <c r="U731" s="209"/>
      <c r="V731" s="210"/>
    </row>
    <row r="732" ht="15.75" customHeight="1">
      <c r="A732" s="200"/>
      <c r="B732" s="201"/>
      <c r="C732" s="202"/>
      <c r="D732" s="203"/>
      <c r="E732" s="201"/>
      <c r="F732" s="204"/>
      <c r="G732" s="204"/>
      <c r="H732" s="205"/>
      <c r="I732" s="205"/>
      <c r="J732" s="206"/>
      <c r="K732" s="205"/>
      <c r="L732" s="205"/>
      <c r="M732" s="201"/>
      <c r="N732" s="207"/>
      <c r="O732" s="208"/>
      <c r="P732" s="208"/>
      <c r="Q732" s="208"/>
      <c r="R732" s="208"/>
      <c r="S732" s="208"/>
      <c r="T732" s="208"/>
      <c r="U732" s="209"/>
      <c r="V732" s="210"/>
    </row>
    <row r="733" ht="15.75" customHeight="1">
      <c r="A733" s="200"/>
      <c r="B733" s="201"/>
      <c r="C733" s="202"/>
      <c r="D733" s="203"/>
      <c r="E733" s="201"/>
      <c r="F733" s="204"/>
      <c r="G733" s="204"/>
      <c r="H733" s="205"/>
      <c r="I733" s="205"/>
      <c r="J733" s="206"/>
      <c r="K733" s="205"/>
      <c r="L733" s="205"/>
      <c r="M733" s="201"/>
      <c r="N733" s="207"/>
      <c r="O733" s="208"/>
      <c r="P733" s="208"/>
      <c r="Q733" s="208"/>
      <c r="R733" s="208"/>
      <c r="S733" s="208"/>
      <c r="T733" s="208"/>
      <c r="U733" s="209"/>
      <c r="V733" s="210"/>
    </row>
    <row r="734" ht="15.75" customHeight="1">
      <c r="A734" s="200"/>
      <c r="B734" s="201"/>
      <c r="C734" s="202"/>
      <c r="D734" s="203"/>
      <c r="E734" s="201"/>
      <c r="F734" s="204"/>
      <c r="G734" s="204"/>
      <c r="H734" s="205"/>
      <c r="I734" s="205"/>
      <c r="J734" s="206"/>
      <c r="K734" s="205"/>
      <c r="L734" s="205"/>
      <c r="M734" s="201"/>
      <c r="N734" s="207"/>
      <c r="O734" s="208"/>
      <c r="P734" s="208"/>
      <c r="Q734" s="208"/>
      <c r="R734" s="208"/>
      <c r="S734" s="208"/>
      <c r="T734" s="208"/>
      <c r="U734" s="209"/>
      <c r="V734" s="210"/>
    </row>
    <row r="735" ht="15.75" customHeight="1">
      <c r="A735" s="200"/>
      <c r="B735" s="201"/>
      <c r="C735" s="202"/>
      <c r="D735" s="203"/>
      <c r="E735" s="201"/>
      <c r="F735" s="204"/>
      <c r="G735" s="204"/>
      <c r="H735" s="205"/>
      <c r="I735" s="205"/>
      <c r="J735" s="206"/>
      <c r="K735" s="205"/>
      <c r="L735" s="205"/>
      <c r="M735" s="201"/>
      <c r="N735" s="207"/>
      <c r="O735" s="208"/>
      <c r="P735" s="208"/>
      <c r="Q735" s="208"/>
      <c r="R735" s="208"/>
      <c r="S735" s="208"/>
      <c r="T735" s="208"/>
      <c r="U735" s="209"/>
      <c r="V735" s="210"/>
    </row>
    <row r="736" ht="15.75" customHeight="1">
      <c r="A736" s="200"/>
      <c r="B736" s="201"/>
      <c r="C736" s="202"/>
      <c r="D736" s="203"/>
      <c r="E736" s="201"/>
      <c r="F736" s="204"/>
      <c r="G736" s="204"/>
      <c r="H736" s="205"/>
      <c r="I736" s="205"/>
      <c r="J736" s="206"/>
      <c r="K736" s="205"/>
      <c r="L736" s="205"/>
      <c r="M736" s="201"/>
      <c r="N736" s="207"/>
      <c r="O736" s="208"/>
      <c r="P736" s="208"/>
      <c r="Q736" s="208"/>
      <c r="R736" s="208"/>
      <c r="S736" s="208"/>
      <c r="T736" s="208"/>
      <c r="U736" s="209"/>
      <c r="V736" s="210"/>
    </row>
    <row r="737" ht="15.75" customHeight="1">
      <c r="A737" s="200"/>
      <c r="B737" s="201"/>
      <c r="C737" s="202"/>
      <c r="D737" s="203"/>
      <c r="E737" s="201"/>
      <c r="F737" s="204"/>
      <c r="G737" s="204"/>
      <c r="H737" s="205"/>
      <c r="I737" s="205"/>
      <c r="J737" s="206"/>
      <c r="K737" s="205"/>
      <c r="L737" s="205"/>
      <c r="M737" s="201"/>
      <c r="N737" s="207"/>
      <c r="O737" s="208"/>
      <c r="P737" s="208"/>
      <c r="Q737" s="208"/>
      <c r="R737" s="208"/>
      <c r="S737" s="208"/>
      <c r="T737" s="208"/>
      <c r="U737" s="209"/>
      <c r="V737" s="210"/>
    </row>
    <row r="738" ht="15.75" customHeight="1">
      <c r="A738" s="200"/>
      <c r="B738" s="201"/>
      <c r="C738" s="202"/>
      <c r="D738" s="203"/>
      <c r="E738" s="201"/>
      <c r="F738" s="204"/>
      <c r="G738" s="204"/>
      <c r="H738" s="205"/>
      <c r="I738" s="205"/>
      <c r="J738" s="206"/>
      <c r="K738" s="205"/>
      <c r="L738" s="205"/>
      <c r="M738" s="201"/>
      <c r="N738" s="207"/>
      <c r="O738" s="208"/>
      <c r="P738" s="208"/>
      <c r="Q738" s="208"/>
      <c r="R738" s="208"/>
      <c r="S738" s="208"/>
      <c r="T738" s="208"/>
      <c r="U738" s="209"/>
      <c r="V738" s="210"/>
    </row>
    <row r="739" ht="15.75" customHeight="1">
      <c r="A739" s="200"/>
      <c r="B739" s="201"/>
      <c r="C739" s="202"/>
      <c r="D739" s="203"/>
      <c r="E739" s="201"/>
      <c r="F739" s="204"/>
      <c r="G739" s="204"/>
      <c r="H739" s="205"/>
      <c r="I739" s="205"/>
      <c r="J739" s="206"/>
      <c r="K739" s="205"/>
      <c r="L739" s="205"/>
      <c r="M739" s="201"/>
      <c r="N739" s="207"/>
      <c r="O739" s="208"/>
      <c r="P739" s="208"/>
      <c r="Q739" s="208"/>
      <c r="R739" s="208"/>
      <c r="S739" s="208"/>
      <c r="T739" s="208"/>
      <c r="U739" s="209"/>
      <c r="V739" s="210"/>
    </row>
    <row r="740" ht="15.75" customHeight="1">
      <c r="A740" s="200"/>
      <c r="B740" s="201"/>
      <c r="C740" s="202"/>
      <c r="D740" s="203"/>
      <c r="E740" s="201"/>
      <c r="F740" s="204"/>
      <c r="G740" s="204"/>
      <c r="H740" s="205"/>
      <c r="I740" s="205"/>
      <c r="J740" s="206"/>
      <c r="K740" s="205"/>
      <c r="L740" s="205"/>
      <c r="M740" s="201"/>
      <c r="N740" s="207"/>
      <c r="O740" s="208"/>
      <c r="P740" s="208"/>
      <c r="Q740" s="208"/>
      <c r="R740" s="208"/>
      <c r="S740" s="208"/>
      <c r="T740" s="208"/>
      <c r="U740" s="209"/>
      <c r="V740" s="210"/>
    </row>
    <row r="741" ht="15.75" customHeight="1">
      <c r="A741" s="200"/>
      <c r="B741" s="201"/>
      <c r="C741" s="202"/>
      <c r="D741" s="203"/>
      <c r="E741" s="201"/>
      <c r="F741" s="204"/>
      <c r="G741" s="204"/>
      <c r="H741" s="205"/>
      <c r="I741" s="205"/>
      <c r="J741" s="206"/>
      <c r="K741" s="205"/>
      <c r="L741" s="205"/>
      <c r="M741" s="201"/>
      <c r="N741" s="207"/>
      <c r="O741" s="208"/>
      <c r="P741" s="208"/>
      <c r="Q741" s="208"/>
      <c r="R741" s="208"/>
      <c r="S741" s="208"/>
      <c r="T741" s="208"/>
      <c r="U741" s="209"/>
      <c r="V741" s="210"/>
    </row>
    <row r="742" ht="15.75" customHeight="1">
      <c r="A742" s="200"/>
      <c r="B742" s="201"/>
      <c r="C742" s="202"/>
      <c r="D742" s="203"/>
      <c r="E742" s="201"/>
      <c r="F742" s="204"/>
      <c r="G742" s="204"/>
      <c r="H742" s="205"/>
      <c r="I742" s="205"/>
      <c r="J742" s="206"/>
      <c r="K742" s="205"/>
      <c r="L742" s="205"/>
      <c r="M742" s="201"/>
      <c r="N742" s="207"/>
      <c r="O742" s="208"/>
      <c r="P742" s="208"/>
      <c r="Q742" s="208"/>
      <c r="R742" s="208"/>
      <c r="S742" s="208"/>
      <c r="T742" s="208"/>
      <c r="U742" s="209"/>
      <c r="V742" s="210"/>
    </row>
    <row r="743" ht="15.75" customHeight="1">
      <c r="A743" s="200"/>
      <c r="B743" s="201"/>
      <c r="C743" s="202"/>
      <c r="D743" s="203"/>
      <c r="E743" s="201"/>
      <c r="F743" s="204"/>
      <c r="G743" s="204"/>
      <c r="H743" s="205"/>
      <c r="I743" s="205"/>
      <c r="J743" s="206"/>
      <c r="K743" s="205"/>
      <c r="L743" s="205"/>
      <c r="M743" s="201"/>
      <c r="N743" s="207"/>
      <c r="O743" s="208"/>
      <c r="P743" s="208"/>
      <c r="Q743" s="208"/>
      <c r="R743" s="208"/>
      <c r="S743" s="208"/>
      <c r="T743" s="208"/>
      <c r="U743" s="209"/>
      <c r="V743" s="210"/>
    </row>
    <row r="744" ht="15.75" customHeight="1">
      <c r="A744" s="200"/>
      <c r="B744" s="201"/>
      <c r="C744" s="202"/>
      <c r="D744" s="203"/>
      <c r="E744" s="201"/>
      <c r="F744" s="204"/>
      <c r="G744" s="204"/>
      <c r="H744" s="205"/>
      <c r="I744" s="205"/>
      <c r="J744" s="206"/>
      <c r="K744" s="205"/>
      <c r="L744" s="205"/>
      <c r="M744" s="201"/>
      <c r="N744" s="207"/>
      <c r="O744" s="208"/>
      <c r="P744" s="208"/>
      <c r="Q744" s="208"/>
      <c r="R744" s="208"/>
      <c r="S744" s="208"/>
      <c r="T744" s="208"/>
      <c r="U744" s="209"/>
      <c r="V744" s="210"/>
    </row>
    <row r="745" ht="15.75" customHeight="1">
      <c r="A745" s="200"/>
      <c r="B745" s="201"/>
      <c r="C745" s="202"/>
      <c r="D745" s="203"/>
      <c r="E745" s="201"/>
      <c r="F745" s="204"/>
      <c r="G745" s="204"/>
      <c r="H745" s="205"/>
      <c r="I745" s="205"/>
      <c r="J745" s="206"/>
      <c r="K745" s="205"/>
      <c r="L745" s="205"/>
      <c r="M745" s="201"/>
      <c r="N745" s="207"/>
      <c r="O745" s="208"/>
      <c r="P745" s="208"/>
      <c r="Q745" s="208"/>
      <c r="R745" s="208"/>
      <c r="S745" s="208"/>
      <c r="T745" s="208"/>
      <c r="U745" s="209"/>
      <c r="V745" s="210"/>
    </row>
    <row r="746" ht="15.75" customHeight="1">
      <c r="A746" s="200"/>
      <c r="B746" s="201"/>
      <c r="C746" s="202"/>
      <c r="D746" s="203"/>
      <c r="E746" s="201"/>
      <c r="F746" s="204"/>
      <c r="G746" s="204"/>
      <c r="H746" s="205"/>
      <c r="I746" s="205"/>
      <c r="J746" s="206"/>
      <c r="K746" s="205"/>
      <c r="L746" s="205"/>
      <c r="M746" s="201"/>
      <c r="N746" s="207"/>
      <c r="O746" s="208"/>
      <c r="P746" s="208"/>
      <c r="Q746" s="208"/>
      <c r="R746" s="208"/>
      <c r="S746" s="208"/>
      <c r="T746" s="208"/>
      <c r="U746" s="209"/>
      <c r="V746" s="210"/>
    </row>
    <row r="747" ht="15.75" customHeight="1">
      <c r="A747" s="200"/>
      <c r="B747" s="201"/>
      <c r="C747" s="202"/>
      <c r="D747" s="203"/>
      <c r="E747" s="201"/>
      <c r="F747" s="204"/>
      <c r="G747" s="204"/>
      <c r="H747" s="205"/>
      <c r="I747" s="205"/>
      <c r="J747" s="206"/>
      <c r="K747" s="205"/>
      <c r="L747" s="205"/>
      <c r="M747" s="201"/>
      <c r="N747" s="207"/>
      <c r="O747" s="208"/>
      <c r="P747" s="208"/>
      <c r="Q747" s="208"/>
      <c r="R747" s="208"/>
      <c r="S747" s="208"/>
      <c r="T747" s="208"/>
      <c r="U747" s="209"/>
      <c r="V747" s="210"/>
    </row>
    <row r="748" ht="15.75" customHeight="1">
      <c r="A748" s="200"/>
      <c r="B748" s="201"/>
      <c r="C748" s="202"/>
      <c r="D748" s="203"/>
      <c r="E748" s="201"/>
      <c r="F748" s="204"/>
      <c r="G748" s="204"/>
      <c r="H748" s="205"/>
      <c r="I748" s="205"/>
      <c r="J748" s="206"/>
      <c r="K748" s="205"/>
      <c r="L748" s="205"/>
      <c r="M748" s="201"/>
      <c r="N748" s="207"/>
      <c r="O748" s="208"/>
      <c r="P748" s="208"/>
      <c r="Q748" s="208"/>
      <c r="R748" s="208"/>
      <c r="S748" s="208"/>
      <c r="T748" s="208"/>
      <c r="U748" s="209"/>
      <c r="V748" s="210"/>
    </row>
    <row r="749" ht="15.75" customHeight="1">
      <c r="A749" s="200"/>
      <c r="B749" s="201"/>
      <c r="C749" s="202"/>
      <c r="D749" s="203"/>
      <c r="E749" s="201"/>
      <c r="F749" s="204"/>
      <c r="G749" s="204"/>
      <c r="H749" s="205"/>
      <c r="I749" s="205"/>
      <c r="J749" s="206"/>
      <c r="K749" s="205"/>
      <c r="L749" s="205"/>
      <c r="M749" s="201"/>
      <c r="N749" s="207"/>
      <c r="O749" s="208"/>
      <c r="P749" s="208"/>
      <c r="Q749" s="208"/>
      <c r="R749" s="208"/>
      <c r="S749" s="208"/>
      <c r="T749" s="208"/>
      <c r="U749" s="209"/>
      <c r="V749" s="210"/>
    </row>
    <row r="750" ht="15.75" customHeight="1">
      <c r="A750" s="200"/>
      <c r="B750" s="201"/>
      <c r="C750" s="202"/>
      <c r="D750" s="203"/>
      <c r="E750" s="201"/>
      <c r="F750" s="204"/>
      <c r="G750" s="204"/>
      <c r="H750" s="205"/>
      <c r="I750" s="205"/>
      <c r="J750" s="206"/>
      <c r="K750" s="205"/>
      <c r="L750" s="205"/>
      <c r="M750" s="201"/>
      <c r="N750" s="207"/>
      <c r="O750" s="208"/>
      <c r="P750" s="208"/>
      <c r="Q750" s="208"/>
      <c r="R750" s="208"/>
      <c r="S750" s="208"/>
      <c r="T750" s="208"/>
      <c r="U750" s="209"/>
      <c r="V750" s="210"/>
    </row>
    <row r="751" ht="15.75" customHeight="1">
      <c r="A751" s="200"/>
      <c r="B751" s="201"/>
      <c r="C751" s="202"/>
      <c r="D751" s="203"/>
      <c r="E751" s="201"/>
      <c r="F751" s="204"/>
      <c r="G751" s="204"/>
      <c r="H751" s="205"/>
      <c r="I751" s="205"/>
      <c r="J751" s="206"/>
      <c r="K751" s="205"/>
      <c r="L751" s="205"/>
      <c r="M751" s="201"/>
      <c r="N751" s="207"/>
      <c r="O751" s="208"/>
      <c r="P751" s="208"/>
      <c r="Q751" s="208"/>
      <c r="R751" s="208"/>
      <c r="S751" s="208"/>
      <c r="T751" s="208"/>
      <c r="U751" s="209"/>
      <c r="V751" s="210"/>
    </row>
    <row r="752" ht="15.75" customHeight="1">
      <c r="A752" s="200"/>
      <c r="B752" s="201"/>
      <c r="C752" s="202"/>
      <c r="D752" s="203"/>
      <c r="E752" s="201"/>
      <c r="F752" s="204"/>
      <c r="G752" s="204"/>
      <c r="H752" s="205"/>
      <c r="I752" s="205"/>
      <c r="J752" s="206"/>
      <c r="K752" s="205"/>
      <c r="L752" s="205"/>
      <c r="M752" s="201"/>
      <c r="N752" s="207"/>
      <c r="O752" s="208"/>
      <c r="P752" s="208"/>
      <c r="Q752" s="208"/>
      <c r="R752" s="208"/>
      <c r="S752" s="208"/>
      <c r="T752" s="208"/>
      <c r="U752" s="209"/>
      <c r="V752" s="210"/>
    </row>
    <row r="753" ht="15.75" customHeight="1">
      <c r="A753" s="200"/>
      <c r="B753" s="201"/>
      <c r="C753" s="202"/>
      <c r="D753" s="203"/>
      <c r="E753" s="201"/>
      <c r="F753" s="204"/>
      <c r="G753" s="204"/>
      <c r="H753" s="205"/>
      <c r="I753" s="205"/>
      <c r="J753" s="206"/>
      <c r="K753" s="205"/>
      <c r="L753" s="205"/>
      <c r="M753" s="201"/>
      <c r="N753" s="207"/>
      <c r="O753" s="208"/>
      <c r="P753" s="208"/>
      <c r="Q753" s="208"/>
      <c r="R753" s="208"/>
      <c r="S753" s="208"/>
      <c r="T753" s="208"/>
      <c r="U753" s="209"/>
      <c r="V753" s="210"/>
    </row>
    <row r="754" ht="15.75" customHeight="1">
      <c r="A754" s="200"/>
      <c r="B754" s="201"/>
      <c r="C754" s="202"/>
      <c r="D754" s="203"/>
      <c r="E754" s="201"/>
      <c r="F754" s="204"/>
      <c r="G754" s="204"/>
      <c r="H754" s="205"/>
      <c r="I754" s="205"/>
      <c r="J754" s="206"/>
      <c r="K754" s="205"/>
      <c r="L754" s="205"/>
      <c r="M754" s="201"/>
      <c r="N754" s="207"/>
      <c r="O754" s="208"/>
      <c r="P754" s="208"/>
      <c r="Q754" s="208"/>
      <c r="R754" s="208"/>
      <c r="S754" s="208"/>
      <c r="T754" s="208"/>
      <c r="U754" s="209"/>
      <c r="V754" s="210"/>
    </row>
    <row r="755" ht="15.75" customHeight="1">
      <c r="A755" s="200"/>
      <c r="B755" s="201"/>
      <c r="C755" s="202"/>
      <c r="D755" s="203"/>
      <c r="E755" s="201"/>
      <c r="F755" s="204"/>
      <c r="G755" s="204"/>
      <c r="H755" s="205"/>
      <c r="I755" s="205"/>
      <c r="J755" s="206"/>
      <c r="K755" s="205"/>
      <c r="L755" s="205"/>
      <c r="M755" s="201"/>
      <c r="N755" s="207"/>
      <c r="O755" s="208"/>
      <c r="P755" s="208"/>
      <c r="Q755" s="208"/>
      <c r="R755" s="208"/>
      <c r="S755" s="208"/>
      <c r="T755" s="208"/>
      <c r="U755" s="209"/>
      <c r="V755" s="210"/>
    </row>
    <row r="756" ht="15.75" customHeight="1">
      <c r="A756" s="200"/>
      <c r="B756" s="201"/>
      <c r="C756" s="202"/>
      <c r="D756" s="203"/>
      <c r="E756" s="201"/>
      <c r="F756" s="204"/>
      <c r="G756" s="204"/>
      <c r="H756" s="205"/>
      <c r="I756" s="205"/>
      <c r="J756" s="206"/>
      <c r="K756" s="205"/>
      <c r="L756" s="205"/>
      <c r="M756" s="201"/>
      <c r="N756" s="207"/>
      <c r="O756" s="208"/>
      <c r="P756" s="208"/>
      <c r="Q756" s="208"/>
      <c r="R756" s="208"/>
      <c r="S756" s="208"/>
      <c r="T756" s="208"/>
      <c r="U756" s="209"/>
      <c r="V756" s="210"/>
    </row>
    <row r="757" ht="15.75" customHeight="1">
      <c r="A757" s="200"/>
      <c r="B757" s="201"/>
      <c r="C757" s="202"/>
      <c r="D757" s="203"/>
      <c r="E757" s="201"/>
      <c r="F757" s="204"/>
      <c r="G757" s="204"/>
      <c r="H757" s="205"/>
      <c r="I757" s="205"/>
      <c r="J757" s="206"/>
      <c r="K757" s="205"/>
      <c r="L757" s="205"/>
      <c r="M757" s="201"/>
      <c r="N757" s="207"/>
      <c r="O757" s="208"/>
      <c r="P757" s="208"/>
      <c r="Q757" s="208"/>
      <c r="R757" s="208"/>
      <c r="S757" s="208"/>
      <c r="T757" s="208"/>
      <c r="U757" s="209"/>
      <c r="V757" s="210"/>
    </row>
    <row r="758" ht="15.75" customHeight="1">
      <c r="A758" s="200"/>
      <c r="B758" s="201"/>
      <c r="C758" s="202"/>
      <c r="D758" s="203"/>
      <c r="E758" s="201"/>
      <c r="F758" s="204"/>
      <c r="G758" s="204"/>
      <c r="H758" s="205"/>
      <c r="I758" s="205"/>
      <c r="J758" s="206"/>
      <c r="K758" s="205"/>
      <c r="L758" s="205"/>
      <c r="M758" s="201"/>
      <c r="N758" s="207"/>
      <c r="O758" s="208"/>
      <c r="P758" s="208"/>
      <c r="Q758" s="208"/>
      <c r="R758" s="208"/>
      <c r="S758" s="208"/>
      <c r="T758" s="208"/>
      <c r="U758" s="209"/>
      <c r="V758" s="210"/>
    </row>
    <row r="759" ht="15.75" customHeight="1">
      <c r="A759" s="200"/>
      <c r="B759" s="201"/>
      <c r="C759" s="202"/>
      <c r="D759" s="203"/>
      <c r="E759" s="201"/>
      <c r="F759" s="204"/>
      <c r="G759" s="204"/>
      <c r="H759" s="205"/>
      <c r="I759" s="205"/>
      <c r="J759" s="206"/>
      <c r="K759" s="205"/>
      <c r="L759" s="205"/>
      <c r="M759" s="201"/>
      <c r="N759" s="207"/>
      <c r="O759" s="208"/>
      <c r="P759" s="208"/>
      <c r="Q759" s="208"/>
      <c r="R759" s="208"/>
      <c r="S759" s="208"/>
      <c r="T759" s="208"/>
      <c r="U759" s="209"/>
      <c r="V759" s="210"/>
    </row>
    <row r="760" ht="15.75" customHeight="1">
      <c r="A760" s="200"/>
      <c r="B760" s="201"/>
      <c r="C760" s="202"/>
      <c r="D760" s="203"/>
      <c r="E760" s="201"/>
      <c r="F760" s="204"/>
      <c r="G760" s="204"/>
      <c r="H760" s="205"/>
      <c r="I760" s="205"/>
      <c r="J760" s="206"/>
      <c r="K760" s="205"/>
      <c r="L760" s="205"/>
      <c r="M760" s="201"/>
      <c r="N760" s="207"/>
      <c r="O760" s="208"/>
      <c r="P760" s="208"/>
      <c r="Q760" s="208"/>
      <c r="R760" s="208"/>
      <c r="S760" s="208"/>
      <c r="T760" s="208"/>
      <c r="U760" s="209"/>
      <c r="V760" s="210"/>
    </row>
    <row r="761" ht="15.75" customHeight="1">
      <c r="A761" s="200"/>
      <c r="B761" s="201"/>
      <c r="C761" s="202"/>
      <c r="D761" s="203"/>
      <c r="E761" s="201"/>
      <c r="F761" s="204"/>
      <c r="G761" s="204"/>
      <c r="H761" s="205"/>
      <c r="I761" s="205"/>
      <c r="J761" s="206"/>
      <c r="K761" s="205"/>
      <c r="L761" s="205"/>
      <c r="M761" s="201"/>
      <c r="N761" s="207"/>
      <c r="O761" s="208"/>
      <c r="P761" s="208"/>
      <c r="Q761" s="208"/>
      <c r="R761" s="208"/>
      <c r="S761" s="208"/>
      <c r="T761" s="208"/>
      <c r="U761" s="209"/>
      <c r="V761" s="210"/>
    </row>
    <row r="762" ht="15.75" customHeight="1">
      <c r="A762" s="200"/>
      <c r="B762" s="201"/>
      <c r="C762" s="202"/>
      <c r="D762" s="203"/>
      <c r="E762" s="201"/>
      <c r="F762" s="204"/>
      <c r="G762" s="204"/>
      <c r="H762" s="205"/>
      <c r="I762" s="205"/>
      <c r="J762" s="206"/>
      <c r="K762" s="205"/>
      <c r="L762" s="205"/>
      <c r="M762" s="201"/>
      <c r="N762" s="207"/>
      <c r="O762" s="208"/>
      <c r="P762" s="208"/>
      <c r="Q762" s="208"/>
      <c r="R762" s="208"/>
      <c r="S762" s="208"/>
      <c r="T762" s="208"/>
      <c r="U762" s="209"/>
      <c r="V762" s="210"/>
    </row>
    <row r="763" ht="15.75" customHeight="1">
      <c r="A763" s="200"/>
      <c r="B763" s="201"/>
      <c r="C763" s="202"/>
      <c r="D763" s="203"/>
      <c r="E763" s="201"/>
      <c r="F763" s="204"/>
      <c r="G763" s="204"/>
      <c r="H763" s="205"/>
      <c r="I763" s="205"/>
      <c r="J763" s="206"/>
      <c r="K763" s="205"/>
      <c r="L763" s="205"/>
      <c r="M763" s="201"/>
      <c r="N763" s="207"/>
      <c r="O763" s="208"/>
      <c r="P763" s="208"/>
      <c r="Q763" s="208"/>
      <c r="R763" s="208"/>
      <c r="S763" s="208"/>
      <c r="T763" s="208"/>
      <c r="U763" s="209"/>
      <c r="V763" s="210"/>
    </row>
    <row r="764" ht="15.75" customHeight="1">
      <c r="A764" s="200"/>
      <c r="B764" s="201"/>
      <c r="C764" s="202"/>
      <c r="D764" s="203"/>
      <c r="E764" s="201"/>
      <c r="F764" s="204"/>
      <c r="G764" s="204"/>
      <c r="H764" s="205"/>
      <c r="I764" s="205"/>
      <c r="J764" s="206"/>
      <c r="K764" s="205"/>
      <c r="L764" s="205"/>
      <c r="M764" s="201"/>
      <c r="N764" s="207"/>
      <c r="O764" s="208"/>
      <c r="P764" s="208"/>
      <c r="Q764" s="208"/>
      <c r="R764" s="208"/>
      <c r="S764" s="208"/>
      <c r="T764" s="208"/>
      <c r="U764" s="209"/>
      <c r="V764" s="210"/>
    </row>
    <row r="765" ht="15.75" customHeight="1">
      <c r="A765" s="200"/>
      <c r="B765" s="201"/>
      <c r="C765" s="202"/>
      <c r="D765" s="203"/>
      <c r="E765" s="201"/>
      <c r="F765" s="204"/>
      <c r="G765" s="204"/>
      <c r="H765" s="205"/>
      <c r="I765" s="205"/>
      <c r="J765" s="206"/>
      <c r="K765" s="205"/>
      <c r="L765" s="205"/>
      <c r="M765" s="201"/>
      <c r="N765" s="207"/>
      <c r="O765" s="208"/>
      <c r="P765" s="208"/>
      <c r="Q765" s="208"/>
      <c r="R765" s="208"/>
      <c r="S765" s="208"/>
      <c r="T765" s="208"/>
      <c r="U765" s="209"/>
      <c r="V765" s="210"/>
    </row>
    <row r="766" ht="15.75" customHeight="1">
      <c r="A766" s="200"/>
      <c r="B766" s="201"/>
      <c r="C766" s="202"/>
      <c r="D766" s="203"/>
      <c r="E766" s="201"/>
      <c r="F766" s="204"/>
      <c r="G766" s="204"/>
      <c r="H766" s="205"/>
      <c r="I766" s="205"/>
      <c r="J766" s="206"/>
      <c r="K766" s="205"/>
      <c r="L766" s="205"/>
      <c r="M766" s="201"/>
      <c r="N766" s="207"/>
      <c r="O766" s="208"/>
      <c r="P766" s="208"/>
      <c r="Q766" s="208"/>
      <c r="R766" s="208"/>
      <c r="S766" s="208"/>
      <c r="T766" s="208"/>
      <c r="U766" s="209"/>
      <c r="V766" s="210"/>
    </row>
    <row r="767" ht="15.75" customHeight="1">
      <c r="A767" s="200"/>
      <c r="B767" s="201"/>
      <c r="C767" s="202"/>
      <c r="D767" s="203"/>
      <c r="E767" s="201"/>
      <c r="F767" s="204"/>
      <c r="G767" s="204"/>
      <c r="H767" s="205"/>
      <c r="I767" s="205"/>
      <c r="J767" s="206"/>
      <c r="K767" s="205"/>
      <c r="L767" s="205"/>
      <c r="M767" s="201"/>
      <c r="N767" s="207"/>
      <c r="O767" s="208"/>
      <c r="P767" s="208"/>
      <c r="Q767" s="208"/>
      <c r="R767" s="208"/>
      <c r="S767" s="208"/>
      <c r="T767" s="208"/>
      <c r="U767" s="209"/>
      <c r="V767" s="210"/>
    </row>
    <row r="768" ht="15.75" customHeight="1">
      <c r="A768" s="200"/>
      <c r="B768" s="201"/>
      <c r="C768" s="202"/>
      <c r="D768" s="203"/>
      <c r="E768" s="201"/>
      <c r="F768" s="204"/>
      <c r="G768" s="204"/>
      <c r="H768" s="205"/>
      <c r="I768" s="205"/>
      <c r="J768" s="206"/>
      <c r="K768" s="205"/>
      <c r="L768" s="205"/>
      <c r="M768" s="201"/>
      <c r="N768" s="207"/>
      <c r="O768" s="208"/>
      <c r="P768" s="208"/>
      <c r="Q768" s="208"/>
      <c r="R768" s="208"/>
      <c r="S768" s="208"/>
      <c r="T768" s="208"/>
      <c r="U768" s="209"/>
      <c r="V768" s="210"/>
    </row>
    <row r="769" ht="15.75" customHeight="1">
      <c r="A769" s="200"/>
      <c r="B769" s="201"/>
      <c r="C769" s="202"/>
      <c r="D769" s="203"/>
      <c r="E769" s="201"/>
      <c r="F769" s="204"/>
      <c r="G769" s="204"/>
      <c r="H769" s="205"/>
      <c r="I769" s="205"/>
      <c r="J769" s="206"/>
      <c r="K769" s="205"/>
      <c r="L769" s="205"/>
      <c r="M769" s="201"/>
      <c r="N769" s="207"/>
      <c r="O769" s="208"/>
      <c r="P769" s="208"/>
      <c r="Q769" s="208"/>
      <c r="R769" s="208"/>
      <c r="S769" s="208"/>
      <c r="T769" s="208"/>
      <c r="U769" s="209"/>
      <c r="V769" s="210"/>
    </row>
    <row r="770" ht="15.75" customHeight="1">
      <c r="A770" s="200"/>
      <c r="B770" s="201"/>
      <c r="C770" s="202"/>
      <c r="D770" s="203"/>
      <c r="E770" s="201"/>
      <c r="F770" s="204"/>
      <c r="G770" s="204"/>
      <c r="H770" s="205"/>
      <c r="I770" s="205"/>
      <c r="J770" s="206"/>
      <c r="K770" s="205"/>
      <c r="L770" s="205"/>
      <c r="M770" s="201"/>
      <c r="N770" s="207"/>
      <c r="O770" s="208"/>
      <c r="P770" s="208"/>
      <c r="Q770" s="208"/>
      <c r="R770" s="208"/>
      <c r="S770" s="208"/>
      <c r="T770" s="208"/>
      <c r="U770" s="209"/>
      <c r="V770" s="210"/>
    </row>
    <row r="771" ht="15.75" customHeight="1">
      <c r="A771" s="200"/>
      <c r="B771" s="201"/>
      <c r="C771" s="202"/>
      <c r="D771" s="203"/>
      <c r="E771" s="201"/>
      <c r="F771" s="204"/>
      <c r="G771" s="204"/>
      <c r="H771" s="205"/>
      <c r="I771" s="205"/>
      <c r="J771" s="206"/>
      <c r="K771" s="205"/>
      <c r="L771" s="205"/>
      <c r="M771" s="201"/>
      <c r="N771" s="207"/>
      <c r="O771" s="208"/>
      <c r="P771" s="208"/>
      <c r="Q771" s="208"/>
      <c r="R771" s="208"/>
      <c r="S771" s="208"/>
      <c r="T771" s="208"/>
      <c r="U771" s="209"/>
      <c r="V771" s="210"/>
    </row>
    <row r="772" ht="15.75" customHeight="1">
      <c r="A772" s="200"/>
      <c r="B772" s="201"/>
      <c r="C772" s="202"/>
      <c r="D772" s="203"/>
      <c r="E772" s="201"/>
      <c r="F772" s="204"/>
      <c r="G772" s="204"/>
      <c r="H772" s="205"/>
      <c r="I772" s="205"/>
      <c r="J772" s="206"/>
      <c r="K772" s="205"/>
      <c r="L772" s="205"/>
      <c r="M772" s="201"/>
      <c r="N772" s="207"/>
      <c r="O772" s="208"/>
      <c r="P772" s="208"/>
      <c r="Q772" s="208"/>
      <c r="R772" s="208"/>
      <c r="S772" s="208"/>
      <c r="T772" s="208"/>
      <c r="U772" s="209"/>
      <c r="V772" s="210"/>
    </row>
    <row r="773" ht="15.75" customHeight="1">
      <c r="A773" s="200"/>
      <c r="B773" s="201"/>
      <c r="C773" s="202"/>
      <c r="D773" s="203"/>
      <c r="E773" s="201"/>
      <c r="F773" s="204"/>
      <c r="G773" s="204"/>
      <c r="H773" s="205"/>
      <c r="I773" s="205"/>
      <c r="J773" s="206"/>
      <c r="K773" s="205"/>
      <c r="L773" s="205"/>
      <c r="M773" s="201"/>
      <c r="N773" s="207"/>
      <c r="O773" s="208"/>
      <c r="P773" s="208"/>
      <c r="Q773" s="208"/>
      <c r="R773" s="208"/>
      <c r="S773" s="208"/>
      <c r="T773" s="208"/>
      <c r="U773" s="209"/>
      <c r="V773" s="210"/>
    </row>
    <row r="774" ht="15.75" customHeight="1">
      <c r="A774" s="200"/>
      <c r="B774" s="201"/>
      <c r="C774" s="202"/>
      <c r="D774" s="203"/>
      <c r="E774" s="201"/>
      <c r="F774" s="204"/>
      <c r="G774" s="204"/>
      <c r="H774" s="205"/>
      <c r="I774" s="205"/>
      <c r="J774" s="206"/>
      <c r="K774" s="205"/>
      <c r="L774" s="205"/>
      <c r="M774" s="201"/>
      <c r="N774" s="207"/>
      <c r="O774" s="208"/>
      <c r="P774" s="208"/>
      <c r="Q774" s="208"/>
      <c r="R774" s="208"/>
      <c r="S774" s="208"/>
      <c r="T774" s="208"/>
      <c r="U774" s="209"/>
      <c r="V774" s="210"/>
    </row>
    <row r="775" ht="15.75" customHeight="1">
      <c r="A775" s="200"/>
      <c r="B775" s="201"/>
      <c r="C775" s="202"/>
      <c r="D775" s="203"/>
      <c r="E775" s="201"/>
      <c r="F775" s="204"/>
      <c r="G775" s="204"/>
      <c r="H775" s="205"/>
      <c r="I775" s="205"/>
      <c r="J775" s="206"/>
      <c r="K775" s="205"/>
      <c r="L775" s="205"/>
      <c r="M775" s="201"/>
      <c r="N775" s="207"/>
      <c r="O775" s="208"/>
      <c r="P775" s="208"/>
      <c r="Q775" s="208"/>
      <c r="R775" s="208"/>
      <c r="S775" s="208"/>
      <c r="T775" s="208"/>
      <c r="U775" s="209"/>
      <c r="V775" s="210"/>
    </row>
    <row r="776" ht="15.75" customHeight="1">
      <c r="A776" s="200"/>
      <c r="B776" s="201"/>
      <c r="C776" s="202"/>
      <c r="D776" s="203"/>
      <c r="E776" s="201"/>
      <c r="F776" s="204"/>
      <c r="G776" s="204"/>
      <c r="H776" s="205"/>
      <c r="I776" s="205"/>
      <c r="J776" s="206"/>
      <c r="K776" s="205"/>
      <c r="L776" s="205"/>
      <c r="M776" s="201"/>
      <c r="N776" s="207"/>
      <c r="O776" s="208"/>
      <c r="P776" s="208"/>
      <c r="Q776" s="208"/>
      <c r="R776" s="208"/>
      <c r="S776" s="208"/>
      <c r="T776" s="208"/>
      <c r="U776" s="209"/>
      <c r="V776" s="210"/>
    </row>
    <row r="777" ht="15.75" customHeight="1">
      <c r="A777" s="200"/>
      <c r="B777" s="201"/>
      <c r="C777" s="202"/>
      <c r="D777" s="203"/>
      <c r="E777" s="201"/>
      <c r="F777" s="204"/>
      <c r="G777" s="204"/>
      <c r="H777" s="205"/>
      <c r="I777" s="205"/>
      <c r="J777" s="206"/>
      <c r="K777" s="205"/>
      <c r="L777" s="205"/>
      <c r="M777" s="201"/>
      <c r="N777" s="207"/>
      <c r="O777" s="208"/>
      <c r="P777" s="208"/>
      <c r="Q777" s="208"/>
      <c r="R777" s="208"/>
      <c r="S777" s="208"/>
      <c r="T777" s="208"/>
      <c r="U777" s="209"/>
      <c r="V777" s="210"/>
    </row>
    <row r="778" ht="15.75" customHeight="1">
      <c r="A778" s="200"/>
      <c r="B778" s="201"/>
      <c r="C778" s="202"/>
      <c r="D778" s="203"/>
      <c r="E778" s="201"/>
      <c r="F778" s="204"/>
      <c r="G778" s="204"/>
      <c r="H778" s="205"/>
      <c r="I778" s="205"/>
      <c r="J778" s="206"/>
      <c r="K778" s="205"/>
      <c r="L778" s="205"/>
      <c r="M778" s="201"/>
      <c r="N778" s="207"/>
      <c r="O778" s="208"/>
      <c r="P778" s="208"/>
      <c r="Q778" s="208"/>
      <c r="R778" s="208"/>
      <c r="S778" s="208"/>
      <c r="T778" s="208"/>
      <c r="U778" s="209"/>
      <c r="V778" s="210"/>
    </row>
    <row r="779" ht="15.75" customHeight="1">
      <c r="A779" s="200"/>
      <c r="B779" s="201"/>
      <c r="C779" s="202"/>
      <c r="D779" s="203"/>
      <c r="E779" s="201"/>
      <c r="F779" s="204"/>
      <c r="G779" s="204"/>
      <c r="H779" s="205"/>
      <c r="I779" s="205"/>
      <c r="J779" s="206"/>
      <c r="K779" s="205"/>
      <c r="L779" s="205"/>
      <c r="M779" s="201"/>
      <c r="N779" s="207"/>
      <c r="O779" s="208"/>
      <c r="P779" s="208"/>
      <c r="Q779" s="208"/>
      <c r="R779" s="208"/>
      <c r="S779" s="208"/>
      <c r="T779" s="208"/>
      <c r="U779" s="209"/>
      <c r="V779" s="210"/>
    </row>
    <row r="780" ht="15.75" customHeight="1">
      <c r="A780" s="200"/>
      <c r="B780" s="201"/>
      <c r="C780" s="202"/>
      <c r="D780" s="203"/>
      <c r="E780" s="201"/>
      <c r="F780" s="204"/>
      <c r="G780" s="204"/>
      <c r="H780" s="205"/>
      <c r="I780" s="205"/>
      <c r="J780" s="206"/>
      <c r="K780" s="205"/>
      <c r="L780" s="205"/>
      <c r="M780" s="201"/>
      <c r="N780" s="207"/>
      <c r="O780" s="208"/>
      <c r="P780" s="208"/>
      <c r="Q780" s="208"/>
      <c r="R780" s="208"/>
      <c r="S780" s="208"/>
      <c r="T780" s="208"/>
      <c r="U780" s="209"/>
      <c r="V780" s="210"/>
    </row>
    <row r="781" ht="15.75" customHeight="1">
      <c r="A781" s="200"/>
      <c r="B781" s="201"/>
      <c r="C781" s="202"/>
      <c r="D781" s="203"/>
      <c r="E781" s="201"/>
      <c r="F781" s="204"/>
      <c r="G781" s="204"/>
      <c r="H781" s="205"/>
      <c r="I781" s="205"/>
      <c r="J781" s="206"/>
      <c r="K781" s="205"/>
      <c r="L781" s="205"/>
      <c r="M781" s="201"/>
      <c r="N781" s="207"/>
      <c r="O781" s="208"/>
      <c r="P781" s="208"/>
      <c r="Q781" s="208"/>
      <c r="R781" s="208"/>
      <c r="S781" s="208"/>
      <c r="T781" s="208"/>
      <c r="U781" s="209"/>
      <c r="V781" s="210"/>
    </row>
    <row r="782" ht="15.75" customHeight="1">
      <c r="A782" s="200"/>
      <c r="B782" s="201"/>
      <c r="C782" s="202"/>
      <c r="D782" s="203"/>
      <c r="E782" s="201"/>
      <c r="F782" s="204"/>
      <c r="G782" s="204"/>
      <c r="H782" s="205"/>
      <c r="I782" s="205"/>
      <c r="J782" s="206"/>
      <c r="K782" s="205"/>
      <c r="L782" s="205"/>
      <c r="M782" s="201"/>
      <c r="N782" s="207"/>
      <c r="O782" s="208"/>
      <c r="P782" s="208"/>
      <c r="Q782" s="208"/>
      <c r="R782" s="208"/>
      <c r="S782" s="208"/>
      <c r="T782" s="208"/>
      <c r="U782" s="209"/>
      <c r="V782" s="210"/>
    </row>
    <row r="783" ht="15.75" customHeight="1">
      <c r="A783" s="200"/>
      <c r="B783" s="201"/>
      <c r="C783" s="202"/>
      <c r="D783" s="203"/>
      <c r="E783" s="201"/>
      <c r="F783" s="204"/>
      <c r="G783" s="204"/>
      <c r="H783" s="205"/>
      <c r="I783" s="205"/>
      <c r="J783" s="206"/>
      <c r="K783" s="205"/>
      <c r="L783" s="205"/>
      <c r="M783" s="201"/>
      <c r="N783" s="207"/>
      <c r="O783" s="208"/>
      <c r="P783" s="208"/>
      <c r="Q783" s="208"/>
      <c r="R783" s="208"/>
      <c r="S783" s="208"/>
      <c r="T783" s="208"/>
      <c r="U783" s="209"/>
      <c r="V783" s="210"/>
    </row>
    <row r="784" ht="15.75" customHeight="1">
      <c r="A784" s="200"/>
      <c r="B784" s="201"/>
      <c r="C784" s="202"/>
      <c r="D784" s="203"/>
      <c r="E784" s="201"/>
      <c r="F784" s="204"/>
      <c r="G784" s="204"/>
      <c r="H784" s="205"/>
      <c r="I784" s="205"/>
      <c r="J784" s="206"/>
      <c r="K784" s="205"/>
      <c r="L784" s="205"/>
      <c r="M784" s="201"/>
      <c r="N784" s="207"/>
      <c r="O784" s="208"/>
      <c r="P784" s="208"/>
      <c r="Q784" s="208"/>
      <c r="R784" s="208"/>
      <c r="S784" s="208"/>
      <c r="T784" s="208"/>
      <c r="U784" s="209"/>
      <c r="V784" s="210"/>
    </row>
    <row r="785" ht="15.75" customHeight="1">
      <c r="A785" s="200"/>
      <c r="B785" s="201"/>
      <c r="C785" s="202"/>
      <c r="D785" s="203"/>
      <c r="E785" s="201"/>
      <c r="F785" s="204"/>
      <c r="G785" s="204"/>
      <c r="H785" s="205"/>
      <c r="I785" s="205"/>
      <c r="J785" s="206"/>
      <c r="K785" s="205"/>
      <c r="L785" s="205"/>
      <c r="M785" s="201"/>
      <c r="N785" s="207"/>
      <c r="O785" s="208"/>
      <c r="P785" s="208"/>
      <c r="Q785" s="208"/>
      <c r="R785" s="208"/>
      <c r="S785" s="208"/>
      <c r="T785" s="208"/>
      <c r="U785" s="209"/>
      <c r="V785" s="210"/>
    </row>
    <row r="786" ht="15.75" customHeight="1">
      <c r="A786" s="200"/>
      <c r="B786" s="201"/>
      <c r="C786" s="202"/>
      <c r="D786" s="203"/>
      <c r="E786" s="201"/>
      <c r="F786" s="204"/>
      <c r="G786" s="204"/>
      <c r="H786" s="205"/>
      <c r="I786" s="205"/>
      <c r="J786" s="206"/>
      <c r="K786" s="205"/>
      <c r="L786" s="205"/>
      <c r="M786" s="201"/>
      <c r="N786" s="207"/>
      <c r="O786" s="208"/>
      <c r="P786" s="208"/>
      <c r="Q786" s="208"/>
      <c r="R786" s="208"/>
      <c r="S786" s="208"/>
      <c r="T786" s="208"/>
      <c r="U786" s="209"/>
      <c r="V786" s="210"/>
    </row>
    <row r="787" ht="15.75" customHeight="1">
      <c r="A787" s="200"/>
      <c r="B787" s="201"/>
      <c r="C787" s="202"/>
      <c r="D787" s="203"/>
      <c r="E787" s="201"/>
      <c r="F787" s="204"/>
      <c r="G787" s="204"/>
      <c r="H787" s="205"/>
      <c r="I787" s="205"/>
      <c r="J787" s="206"/>
      <c r="K787" s="205"/>
      <c r="L787" s="205"/>
      <c r="M787" s="201"/>
      <c r="N787" s="207"/>
      <c r="O787" s="208"/>
      <c r="P787" s="208"/>
      <c r="Q787" s="208"/>
      <c r="R787" s="208"/>
      <c r="S787" s="208"/>
      <c r="T787" s="208"/>
      <c r="U787" s="209"/>
      <c r="V787" s="210"/>
    </row>
    <row r="788" ht="15.75" customHeight="1">
      <c r="A788" s="200"/>
      <c r="B788" s="201"/>
      <c r="C788" s="202"/>
      <c r="D788" s="203"/>
      <c r="E788" s="201"/>
      <c r="F788" s="204"/>
      <c r="G788" s="204"/>
      <c r="H788" s="205"/>
      <c r="I788" s="205"/>
      <c r="J788" s="206"/>
      <c r="K788" s="205"/>
      <c r="L788" s="205"/>
      <c r="M788" s="201"/>
      <c r="N788" s="207"/>
      <c r="O788" s="208"/>
      <c r="P788" s="208"/>
      <c r="Q788" s="208"/>
      <c r="R788" s="208"/>
      <c r="S788" s="208"/>
      <c r="T788" s="208"/>
      <c r="U788" s="209"/>
      <c r="V788" s="210"/>
    </row>
    <row r="789" ht="15.75" customHeight="1">
      <c r="A789" s="200"/>
      <c r="B789" s="201"/>
      <c r="C789" s="202"/>
      <c r="D789" s="203"/>
      <c r="E789" s="201"/>
      <c r="F789" s="204"/>
      <c r="G789" s="204"/>
      <c r="H789" s="205"/>
      <c r="I789" s="205"/>
      <c r="J789" s="206"/>
      <c r="K789" s="205"/>
      <c r="L789" s="205"/>
      <c r="M789" s="201"/>
      <c r="N789" s="207"/>
      <c r="O789" s="208"/>
      <c r="P789" s="208"/>
      <c r="Q789" s="208"/>
      <c r="R789" s="208"/>
      <c r="S789" s="208"/>
      <c r="T789" s="208"/>
      <c r="U789" s="209"/>
      <c r="V789" s="210"/>
    </row>
    <row r="790" ht="15.75" customHeight="1">
      <c r="A790" s="200"/>
      <c r="B790" s="201"/>
      <c r="C790" s="202"/>
      <c r="D790" s="203"/>
      <c r="E790" s="201"/>
      <c r="F790" s="204"/>
      <c r="G790" s="204"/>
      <c r="H790" s="205"/>
      <c r="I790" s="205"/>
      <c r="J790" s="206"/>
      <c r="K790" s="205"/>
      <c r="L790" s="205"/>
      <c r="M790" s="201"/>
      <c r="N790" s="207"/>
      <c r="O790" s="208"/>
      <c r="P790" s="208"/>
      <c r="Q790" s="208"/>
      <c r="R790" s="208"/>
      <c r="S790" s="208"/>
      <c r="T790" s="208"/>
      <c r="U790" s="209"/>
      <c r="V790" s="210"/>
    </row>
    <row r="791" ht="15.75" customHeight="1">
      <c r="A791" s="200"/>
      <c r="B791" s="201"/>
      <c r="C791" s="202"/>
      <c r="D791" s="203"/>
      <c r="E791" s="201"/>
      <c r="F791" s="204"/>
      <c r="G791" s="204"/>
      <c r="H791" s="205"/>
      <c r="I791" s="205"/>
      <c r="J791" s="206"/>
      <c r="K791" s="205"/>
      <c r="L791" s="205"/>
      <c r="M791" s="201"/>
      <c r="N791" s="207"/>
      <c r="O791" s="208"/>
      <c r="P791" s="208"/>
      <c r="Q791" s="208"/>
      <c r="R791" s="208"/>
      <c r="S791" s="208"/>
      <c r="T791" s="208"/>
      <c r="U791" s="209"/>
      <c r="V791" s="210"/>
    </row>
    <row r="792" ht="15.75" customHeight="1">
      <c r="A792" s="200"/>
      <c r="B792" s="201"/>
      <c r="C792" s="202"/>
      <c r="D792" s="203"/>
      <c r="E792" s="201"/>
      <c r="F792" s="204"/>
      <c r="G792" s="204"/>
      <c r="H792" s="205"/>
      <c r="I792" s="205"/>
      <c r="J792" s="206"/>
      <c r="K792" s="205"/>
      <c r="L792" s="205"/>
      <c r="M792" s="201"/>
      <c r="N792" s="207"/>
      <c r="O792" s="208"/>
      <c r="P792" s="208"/>
      <c r="Q792" s="208"/>
      <c r="R792" s="208"/>
      <c r="S792" s="208"/>
      <c r="T792" s="208"/>
      <c r="U792" s="209"/>
      <c r="V792" s="210"/>
    </row>
    <row r="793" ht="15.75" customHeight="1">
      <c r="A793" s="200"/>
      <c r="B793" s="201"/>
      <c r="C793" s="202"/>
      <c r="D793" s="203"/>
      <c r="E793" s="201"/>
      <c r="F793" s="204"/>
      <c r="G793" s="204"/>
      <c r="H793" s="205"/>
      <c r="I793" s="205"/>
      <c r="J793" s="206"/>
      <c r="K793" s="205"/>
      <c r="L793" s="205"/>
      <c r="M793" s="201"/>
      <c r="N793" s="207"/>
      <c r="O793" s="208"/>
      <c r="P793" s="208"/>
      <c r="Q793" s="208"/>
      <c r="R793" s="208"/>
      <c r="S793" s="208"/>
      <c r="T793" s="208"/>
      <c r="U793" s="209"/>
      <c r="V793" s="210"/>
    </row>
    <row r="794" ht="15.75" customHeight="1">
      <c r="A794" s="200"/>
      <c r="B794" s="201"/>
      <c r="C794" s="202"/>
      <c r="D794" s="203"/>
      <c r="E794" s="201"/>
      <c r="F794" s="204"/>
      <c r="G794" s="204"/>
      <c r="H794" s="205"/>
      <c r="I794" s="205"/>
      <c r="J794" s="206"/>
      <c r="K794" s="205"/>
      <c r="L794" s="205"/>
      <c r="M794" s="201"/>
      <c r="N794" s="207"/>
      <c r="O794" s="208"/>
      <c r="P794" s="208"/>
      <c r="Q794" s="208"/>
      <c r="R794" s="208"/>
      <c r="S794" s="208"/>
      <c r="T794" s="208"/>
      <c r="U794" s="209"/>
      <c r="V794" s="210"/>
    </row>
    <row r="795" ht="15.75" customHeight="1">
      <c r="A795" s="200"/>
      <c r="B795" s="201"/>
      <c r="C795" s="202"/>
      <c r="D795" s="203"/>
      <c r="E795" s="201"/>
      <c r="F795" s="204"/>
      <c r="G795" s="204"/>
      <c r="H795" s="205"/>
      <c r="I795" s="205"/>
      <c r="J795" s="206"/>
      <c r="K795" s="205"/>
      <c r="L795" s="205"/>
      <c r="M795" s="201"/>
      <c r="N795" s="207"/>
      <c r="O795" s="208"/>
      <c r="P795" s="208"/>
      <c r="Q795" s="208"/>
      <c r="R795" s="208"/>
      <c r="S795" s="208"/>
      <c r="T795" s="208"/>
      <c r="U795" s="209"/>
      <c r="V795" s="210"/>
    </row>
    <row r="796" ht="15.75" customHeight="1">
      <c r="A796" s="200"/>
      <c r="B796" s="201"/>
      <c r="C796" s="202"/>
      <c r="D796" s="203"/>
      <c r="E796" s="201"/>
      <c r="F796" s="204"/>
      <c r="G796" s="204"/>
      <c r="H796" s="205"/>
      <c r="I796" s="205"/>
      <c r="J796" s="206"/>
      <c r="K796" s="205"/>
      <c r="L796" s="205"/>
      <c r="M796" s="201"/>
      <c r="N796" s="207"/>
      <c r="O796" s="208"/>
      <c r="P796" s="208"/>
      <c r="Q796" s="208"/>
      <c r="R796" s="208"/>
      <c r="S796" s="208"/>
      <c r="T796" s="208"/>
      <c r="U796" s="209"/>
      <c r="V796" s="210"/>
    </row>
    <row r="797" ht="15.75" customHeight="1">
      <c r="A797" s="200"/>
      <c r="B797" s="201"/>
      <c r="C797" s="202"/>
      <c r="D797" s="203"/>
      <c r="E797" s="201"/>
      <c r="F797" s="204"/>
      <c r="G797" s="204"/>
      <c r="H797" s="205"/>
      <c r="I797" s="205"/>
      <c r="J797" s="206"/>
      <c r="K797" s="205"/>
      <c r="L797" s="205"/>
      <c r="M797" s="201"/>
      <c r="N797" s="207"/>
      <c r="O797" s="208"/>
      <c r="P797" s="208"/>
      <c r="Q797" s="208"/>
      <c r="R797" s="208"/>
      <c r="S797" s="208"/>
      <c r="T797" s="208"/>
      <c r="U797" s="209"/>
      <c r="V797" s="210"/>
    </row>
    <row r="798" ht="15.75" customHeight="1">
      <c r="A798" s="200"/>
      <c r="B798" s="201"/>
      <c r="C798" s="202"/>
      <c r="D798" s="203"/>
      <c r="E798" s="201"/>
      <c r="F798" s="204"/>
      <c r="G798" s="204"/>
      <c r="H798" s="205"/>
      <c r="I798" s="205"/>
      <c r="J798" s="206"/>
      <c r="K798" s="205"/>
      <c r="L798" s="205"/>
      <c r="M798" s="201"/>
      <c r="N798" s="207"/>
      <c r="O798" s="208"/>
      <c r="P798" s="208"/>
      <c r="Q798" s="208"/>
      <c r="R798" s="208"/>
      <c r="S798" s="208"/>
      <c r="T798" s="208"/>
      <c r="U798" s="209"/>
      <c r="V798" s="210"/>
    </row>
    <row r="799" ht="15.75" customHeight="1">
      <c r="A799" s="200"/>
      <c r="B799" s="201"/>
      <c r="C799" s="202"/>
      <c r="D799" s="203"/>
      <c r="E799" s="201"/>
      <c r="F799" s="204"/>
      <c r="G799" s="204"/>
      <c r="H799" s="205"/>
      <c r="I799" s="205"/>
      <c r="J799" s="206"/>
      <c r="K799" s="205"/>
      <c r="L799" s="205"/>
      <c r="M799" s="201"/>
      <c r="N799" s="207"/>
      <c r="O799" s="208"/>
      <c r="P799" s="208"/>
      <c r="Q799" s="208"/>
      <c r="R799" s="208"/>
      <c r="S799" s="208"/>
      <c r="T799" s="208"/>
      <c r="U799" s="209"/>
      <c r="V799" s="210"/>
    </row>
    <row r="800" ht="15.75" customHeight="1">
      <c r="A800" s="200"/>
      <c r="B800" s="201"/>
      <c r="C800" s="202"/>
      <c r="D800" s="203"/>
      <c r="E800" s="201"/>
      <c r="F800" s="204"/>
      <c r="G800" s="204"/>
      <c r="H800" s="205"/>
      <c r="I800" s="205"/>
      <c r="J800" s="206"/>
      <c r="K800" s="205"/>
      <c r="L800" s="205"/>
      <c r="M800" s="201"/>
      <c r="N800" s="207"/>
      <c r="O800" s="208"/>
      <c r="P800" s="208"/>
      <c r="Q800" s="208"/>
      <c r="R800" s="208"/>
      <c r="S800" s="208"/>
      <c r="T800" s="208"/>
      <c r="U800" s="209"/>
      <c r="V800" s="210"/>
    </row>
    <row r="801" ht="15.75" customHeight="1">
      <c r="A801" s="200"/>
      <c r="B801" s="201"/>
      <c r="C801" s="202"/>
      <c r="D801" s="203"/>
      <c r="E801" s="201"/>
      <c r="F801" s="204"/>
      <c r="G801" s="204"/>
      <c r="H801" s="205"/>
      <c r="I801" s="205"/>
      <c r="J801" s="206"/>
      <c r="K801" s="205"/>
      <c r="L801" s="205"/>
      <c r="M801" s="201"/>
      <c r="N801" s="207"/>
      <c r="O801" s="208"/>
      <c r="P801" s="208"/>
      <c r="Q801" s="208"/>
      <c r="R801" s="208"/>
      <c r="S801" s="208"/>
      <c r="T801" s="208"/>
      <c r="U801" s="209"/>
      <c r="V801" s="210"/>
    </row>
    <row r="802" ht="15.75" customHeight="1">
      <c r="A802" s="200"/>
      <c r="B802" s="201"/>
      <c r="C802" s="202"/>
      <c r="D802" s="203"/>
      <c r="E802" s="201"/>
      <c r="F802" s="204"/>
      <c r="G802" s="204"/>
      <c r="H802" s="205"/>
      <c r="I802" s="205"/>
      <c r="J802" s="206"/>
      <c r="K802" s="205"/>
      <c r="L802" s="205"/>
      <c r="M802" s="201"/>
      <c r="N802" s="207"/>
      <c r="O802" s="208"/>
      <c r="P802" s="208"/>
      <c r="Q802" s="208"/>
      <c r="R802" s="208"/>
      <c r="S802" s="208"/>
      <c r="T802" s="208"/>
      <c r="U802" s="209"/>
      <c r="V802" s="210"/>
    </row>
    <row r="803" ht="15.75" customHeight="1">
      <c r="A803" s="200"/>
      <c r="B803" s="201"/>
      <c r="C803" s="202"/>
      <c r="D803" s="203"/>
      <c r="E803" s="201"/>
      <c r="F803" s="204"/>
      <c r="G803" s="204"/>
      <c r="H803" s="205"/>
      <c r="I803" s="205"/>
      <c r="J803" s="206"/>
      <c r="K803" s="205"/>
      <c r="L803" s="205"/>
      <c r="M803" s="201"/>
      <c r="N803" s="207"/>
      <c r="O803" s="208"/>
      <c r="P803" s="208"/>
      <c r="Q803" s="208"/>
      <c r="R803" s="208"/>
      <c r="S803" s="208"/>
      <c r="T803" s="208"/>
      <c r="U803" s="209"/>
      <c r="V803" s="210"/>
    </row>
    <row r="804" ht="15.75" customHeight="1">
      <c r="A804" s="200"/>
      <c r="B804" s="201"/>
      <c r="C804" s="202"/>
      <c r="D804" s="203"/>
      <c r="E804" s="201"/>
      <c r="F804" s="204"/>
      <c r="G804" s="204"/>
      <c r="H804" s="205"/>
      <c r="I804" s="205"/>
      <c r="J804" s="206"/>
      <c r="K804" s="205"/>
      <c r="L804" s="205"/>
      <c r="M804" s="201"/>
      <c r="N804" s="207"/>
      <c r="O804" s="208"/>
      <c r="P804" s="208"/>
      <c r="Q804" s="208"/>
      <c r="R804" s="208"/>
      <c r="S804" s="208"/>
      <c r="T804" s="208"/>
      <c r="U804" s="209"/>
      <c r="V804" s="210"/>
    </row>
    <row r="805" ht="15.75" customHeight="1">
      <c r="A805" s="200"/>
      <c r="B805" s="201"/>
      <c r="C805" s="202"/>
      <c r="D805" s="203"/>
      <c r="E805" s="201"/>
      <c r="F805" s="204"/>
      <c r="G805" s="204"/>
      <c r="H805" s="205"/>
      <c r="I805" s="205"/>
      <c r="J805" s="206"/>
      <c r="K805" s="205"/>
      <c r="L805" s="205"/>
      <c r="M805" s="201"/>
      <c r="N805" s="207"/>
      <c r="O805" s="208"/>
      <c r="P805" s="208"/>
      <c r="Q805" s="208"/>
      <c r="R805" s="208"/>
      <c r="S805" s="208"/>
      <c r="T805" s="208"/>
      <c r="U805" s="209"/>
      <c r="V805" s="210"/>
    </row>
    <row r="806" ht="15.75" customHeight="1">
      <c r="A806" s="200"/>
      <c r="B806" s="201"/>
      <c r="C806" s="202"/>
      <c r="D806" s="203"/>
      <c r="E806" s="201"/>
      <c r="F806" s="204"/>
      <c r="G806" s="204"/>
      <c r="H806" s="205"/>
      <c r="I806" s="205"/>
      <c r="J806" s="206"/>
      <c r="K806" s="205"/>
      <c r="L806" s="205"/>
      <c r="M806" s="201"/>
      <c r="N806" s="207"/>
      <c r="O806" s="208"/>
      <c r="P806" s="208"/>
      <c r="Q806" s="208"/>
      <c r="R806" s="208"/>
      <c r="S806" s="208"/>
      <c r="T806" s="208"/>
      <c r="U806" s="209"/>
      <c r="V806" s="210"/>
    </row>
    <row r="807" ht="15.75" customHeight="1">
      <c r="A807" s="200"/>
      <c r="B807" s="201"/>
      <c r="C807" s="202"/>
      <c r="D807" s="203"/>
      <c r="E807" s="201"/>
      <c r="F807" s="204"/>
      <c r="G807" s="204"/>
      <c r="H807" s="205"/>
      <c r="I807" s="205"/>
      <c r="J807" s="206"/>
      <c r="K807" s="205"/>
      <c r="L807" s="205"/>
      <c r="M807" s="201"/>
      <c r="N807" s="207"/>
      <c r="O807" s="208"/>
      <c r="P807" s="208"/>
      <c r="Q807" s="208"/>
      <c r="R807" s="208"/>
      <c r="S807" s="208"/>
      <c r="T807" s="208"/>
      <c r="U807" s="209"/>
      <c r="V807" s="210"/>
    </row>
    <row r="808" ht="15.75" customHeight="1">
      <c r="A808" s="200"/>
      <c r="B808" s="201"/>
      <c r="C808" s="202"/>
      <c r="D808" s="203"/>
      <c r="E808" s="201"/>
      <c r="F808" s="204"/>
      <c r="G808" s="204"/>
      <c r="H808" s="205"/>
      <c r="I808" s="205"/>
      <c r="J808" s="206"/>
      <c r="K808" s="205"/>
      <c r="L808" s="205"/>
      <c r="M808" s="201"/>
      <c r="N808" s="207"/>
      <c r="O808" s="208"/>
      <c r="P808" s="208"/>
      <c r="Q808" s="208"/>
      <c r="R808" s="208"/>
      <c r="S808" s="208"/>
      <c r="T808" s="208"/>
      <c r="U808" s="209"/>
      <c r="V808" s="210"/>
    </row>
    <row r="809" ht="15.75" customHeight="1">
      <c r="A809" s="200"/>
      <c r="B809" s="201"/>
      <c r="C809" s="202"/>
      <c r="D809" s="203"/>
      <c r="E809" s="201"/>
      <c r="F809" s="204"/>
      <c r="G809" s="204"/>
      <c r="H809" s="205"/>
      <c r="I809" s="205"/>
      <c r="J809" s="206"/>
      <c r="K809" s="205"/>
      <c r="L809" s="205"/>
      <c r="M809" s="201"/>
      <c r="N809" s="207"/>
      <c r="O809" s="208"/>
      <c r="P809" s="208"/>
      <c r="Q809" s="208"/>
      <c r="R809" s="208"/>
      <c r="S809" s="208"/>
      <c r="T809" s="208"/>
      <c r="U809" s="209"/>
      <c r="V809" s="210"/>
    </row>
    <row r="810" ht="15.75" customHeight="1">
      <c r="A810" s="200"/>
      <c r="B810" s="201"/>
      <c r="C810" s="202"/>
      <c r="D810" s="203"/>
      <c r="E810" s="201"/>
      <c r="F810" s="204"/>
      <c r="G810" s="204"/>
      <c r="H810" s="205"/>
      <c r="I810" s="205"/>
      <c r="J810" s="206"/>
      <c r="K810" s="205"/>
      <c r="L810" s="205"/>
      <c r="M810" s="201"/>
      <c r="N810" s="207"/>
      <c r="O810" s="208"/>
      <c r="P810" s="208"/>
      <c r="Q810" s="208"/>
      <c r="R810" s="208"/>
      <c r="S810" s="208"/>
      <c r="T810" s="208"/>
      <c r="U810" s="209"/>
      <c r="V810" s="210"/>
    </row>
    <row r="811" ht="15.75" customHeight="1">
      <c r="A811" s="200"/>
      <c r="B811" s="201"/>
      <c r="C811" s="202"/>
      <c r="D811" s="203"/>
      <c r="E811" s="201"/>
      <c r="F811" s="204"/>
      <c r="G811" s="204"/>
      <c r="H811" s="205"/>
      <c r="I811" s="205"/>
      <c r="J811" s="206"/>
      <c r="K811" s="205"/>
      <c r="L811" s="205"/>
      <c r="M811" s="201"/>
      <c r="N811" s="207"/>
      <c r="O811" s="208"/>
      <c r="P811" s="208"/>
      <c r="Q811" s="208"/>
      <c r="R811" s="208"/>
      <c r="S811" s="208"/>
      <c r="T811" s="208"/>
      <c r="U811" s="209"/>
      <c r="V811" s="210"/>
    </row>
    <row r="812" ht="15.75" customHeight="1">
      <c r="A812" s="200"/>
      <c r="B812" s="201"/>
      <c r="C812" s="202"/>
      <c r="D812" s="203"/>
      <c r="E812" s="201"/>
      <c r="F812" s="204"/>
      <c r="G812" s="204"/>
      <c r="H812" s="205"/>
      <c r="I812" s="205"/>
      <c r="J812" s="206"/>
      <c r="K812" s="205"/>
      <c r="L812" s="205"/>
      <c r="M812" s="201"/>
      <c r="N812" s="207"/>
      <c r="O812" s="208"/>
      <c r="P812" s="208"/>
      <c r="Q812" s="208"/>
      <c r="R812" s="208"/>
      <c r="S812" s="208"/>
      <c r="T812" s="208"/>
      <c r="U812" s="209"/>
      <c r="V812" s="210"/>
    </row>
    <row r="813" ht="15.75" customHeight="1">
      <c r="A813" s="200"/>
      <c r="B813" s="201"/>
      <c r="C813" s="202"/>
      <c r="D813" s="203"/>
      <c r="E813" s="201"/>
      <c r="F813" s="204"/>
      <c r="G813" s="204"/>
      <c r="H813" s="205"/>
      <c r="I813" s="205"/>
      <c r="J813" s="206"/>
      <c r="K813" s="205"/>
      <c r="L813" s="205"/>
      <c r="M813" s="201"/>
      <c r="N813" s="207"/>
      <c r="O813" s="208"/>
      <c r="P813" s="208"/>
      <c r="Q813" s="208"/>
      <c r="R813" s="208"/>
      <c r="S813" s="208"/>
      <c r="T813" s="208"/>
      <c r="U813" s="209"/>
      <c r="V813" s="210"/>
    </row>
    <row r="814" ht="15.75" customHeight="1">
      <c r="A814" s="200"/>
      <c r="B814" s="201"/>
      <c r="C814" s="202"/>
      <c r="D814" s="203"/>
      <c r="E814" s="201"/>
      <c r="F814" s="204"/>
      <c r="G814" s="204"/>
      <c r="H814" s="205"/>
      <c r="I814" s="205"/>
      <c r="J814" s="206"/>
      <c r="K814" s="205"/>
      <c r="L814" s="205"/>
      <c r="M814" s="201"/>
      <c r="N814" s="207"/>
      <c r="O814" s="208"/>
      <c r="P814" s="208"/>
      <c r="Q814" s="208"/>
      <c r="R814" s="208"/>
      <c r="S814" s="208"/>
      <c r="T814" s="208"/>
      <c r="U814" s="209"/>
      <c r="V814" s="210"/>
    </row>
    <row r="815" ht="15.75" customHeight="1">
      <c r="A815" s="200"/>
      <c r="B815" s="201"/>
      <c r="C815" s="202"/>
      <c r="D815" s="203"/>
      <c r="E815" s="201"/>
      <c r="F815" s="204"/>
      <c r="G815" s="204"/>
      <c r="H815" s="205"/>
      <c r="I815" s="205"/>
      <c r="J815" s="206"/>
      <c r="K815" s="205"/>
      <c r="L815" s="205"/>
      <c r="M815" s="201"/>
      <c r="N815" s="207"/>
      <c r="O815" s="208"/>
      <c r="P815" s="208"/>
      <c r="Q815" s="208"/>
      <c r="R815" s="208"/>
      <c r="S815" s="208"/>
      <c r="T815" s="208"/>
      <c r="U815" s="209"/>
      <c r="V815" s="210"/>
    </row>
    <row r="816" ht="15.75" customHeight="1">
      <c r="A816" s="200"/>
      <c r="B816" s="201"/>
      <c r="C816" s="202"/>
      <c r="D816" s="203"/>
      <c r="E816" s="201"/>
      <c r="F816" s="204"/>
      <c r="G816" s="204"/>
      <c r="H816" s="205"/>
      <c r="I816" s="205"/>
      <c r="J816" s="206"/>
      <c r="K816" s="205"/>
      <c r="L816" s="205"/>
      <c r="M816" s="201"/>
      <c r="N816" s="207"/>
      <c r="O816" s="208"/>
      <c r="P816" s="208"/>
      <c r="Q816" s="208"/>
      <c r="R816" s="208"/>
      <c r="S816" s="208"/>
      <c r="T816" s="208"/>
      <c r="U816" s="209"/>
      <c r="V816" s="210"/>
    </row>
    <row r="817" ht="15.75" customHeight="1">
      <c r="A817" s="200"/>
      <c r="B817" s="201"/>
      <c r="C817" s="202"/>
      <c r="D817" s="203"/>
      <c r="E817" s="201"/>
      <c r="F817" s="204"/>
      <c r="G817" s="204"/>
      <c r="H817" s="205"/>
      <c r="I817" s="205"/>
      <c r="J817" s="206"/>
      <c r="K817" s="205"/>
      <c r="L817" s="205"/>
      <c r="M817" s="201"/>
      <c r="N817" s="207"/>
      <c r="O817" s="208"/>
      <c r="P817" s="208"/>
      <c r="Q817" s="208"/>
      <c r="R817" s="208"/>
      <c r="S817" s="208"/>
      <c r="T817" s="208"/>
      <c r="U817" s="209"/>
      <c r="V817" s="210"/>
    </row>
    <row r="818" ht="15.75" customHeight="1">
      <c r="A818" s="200"/>
      <c r="B818" s="201"/>
      <c r="C818" s="202"/>
      <c r="D818" s="203"/>
      <c r="E818" s="201"/>
      <c r="F818" s="204"/>
      <c r="G818" s="204"/>
      <c r="H818" s="205"/>
      <c r="I818" s="205"/>
      <c r="J818" s="206"/>
      <c r="K818" s="205"/>
      <c r="L818" s="205"/>
      <c r="M818" s="201"/>
      <c r="N818" s="207"/>
      <c r="O818" s="208"/>
      <c r="P818" s="208"/>
      <c r="Q818" s="208"/>
      <c r="R818" s="208"/>
      <c r="S818" s="208"/>
      <c r="T818" s="208"/>
      <c r="U818" s="209"/>
      <c r="V818" s="210"/>
    </row>
    <row r="819" ht="15.75" customHeight="1">
      <c r="A819" s="200"/>
      <c r="B819" s="201"/>
      <c r="C819" s="202"/>
      <c r="D819" s="203"/>
      <c r="E819" s="201"/>
      <c r="F819" s="204"/>
      <c r="G819" s="204"/>
      <c r="H819" s="205"/>
      <c r="I819" s="205"/>
      <c r="J819" s="206"/>
      <c r="K819" s="205"/>
      <c r="L819" s="205"/>
      <c r="M819" s="201"/>
      <c r="N819" s="207"/>
      <c r="O819" s="208"/>
      <c r="P819" s="208"/>
      <c r="Q819" s="208"/>
      <c r="R819" s="208"/>
      <c r="S819" s="208"/>
      <c r="T819" s="208"/>
      <c r="U819" s="209"/>
      <c r="V819" s="210"/>
    </row>
    <row r="820" ht="15.75" customHeight="1">
      <c r="A820" s="200"/>
      <c r="B820" s="201"/>
      <c r="C820" s="202"/>
      <c r="D820" s="203"/>
      <c r="E820" s="201"/>
      <c r="F820" s="204"/>
      <c r="G820" s="204"/>
      <c r="H820" s="205"/>
      <c r="I820" s="205"/>
      <c r="J820" s="206"/>
      <c r="K820" s="205"/>
      <c r="L820" s="205"/>
      <c r="M820" s="201"/>
      <c r="N820" s="207"/>
      <c r="O820" s="208"/>
      <c r="P820" s="208"/>
      <c r="Q820" s="208"/>
      <c r="R820" s="208"/>
      <c r="S820" s="208"/>
      <c r="T820" s="208"/>
      <c r="U820" s="209"/>
      <c r="V820" s="210"/>
    </row>
    <row r="821" ht="15.75" customHeight="1">
      <c r="A821" s="200"/>
      <c r="B821" s="201"/>
      <c r="C821" s="202"/>
      <c r="D821" s="203"/>
      <c r="E821" s="201"/>
      <c r="F821" s="204"/>
      <c r="G821" s="204"/>
      <c r="H821" s="205"/>
      <c r="I821" s="205"/>
      <c r="J821" s="206"/>
      <c r="K821" s="205"/>
      <c r="L821" s="205"/>
      <c r="M821" s="201"/>
      <c r="N821" s="207"/>
      <c r="O821" s="208"/>
      <c r="P821" s="208"/>
      <c r="Q821" s="208"/>
      <c r="R821" s="208"/>
      <c r="S821" s="208"/>
      <c r="T821" s="208"/>
      <c r="U821" s="209"/>
      <c r="V821" s="210"/>
    </row>
    <row r="822" ht="15.75" customHeight="1">
      <c r="A822" s="200"/>
      <c r="B822" s="201"/>
      <c r="C822" s="202"/>
      <c r="D822" s="203"/>
      <c r="E822" s="201"/>
      <c r="F822" s="204"/>
      <c r="G822" s="204"/>
      <c r="H822" s="205"/>
      <c r="I822" s="205"/>
      <c r="J822" s="206"/>
      <c r="K822" s="205"/>
      <c r="L822" s="205"/>
      <c r="M822" s="201"/>
      <c r="N822" s="207"/>
      <c r="O822" s="208"/>
      <c r="P822" s="208"/>
      <c r="Q822" s="208"/>
      <c r="R822" s="208"/>
      <c r="S822" s="208"/>
      <c r="T822" s="208"/>
      <c r="U822" s="209"/>
      <c r="V822" s="210"/>
    </row>
    <row r="823" ht="15.75" customHeight="1">
      <c r="A823" s="200"/>
      <c r="B823" s="201"/>
      <c r="C823" s="202"/>
      <c r="D823" s="203"/>
      <c r="E823" s="201"/>
      <c r="F823" s="204"/>
      <c r="G823" s="204"/>
      <c r="H823" s="205"/>
      <c r="I823" s="205"/>
      <c r="J823" s="206"/>
      <c r="K823" s="205"/>
      <c r="L823" s="205"/>
      <c r="M823" s="201"/>
      <c r="N823" s="207"/>
      <c r="O823" s="208"/>
      <c r="P823" s="208"/>
      <c r="Q823" s="208"/>
      <c r="R823" s="208"/>
      <c r="S823" s="208"/>
      <c r="T823" s="208"/>
      <c r="U823" s="209"/>
      <c r="V823" s="210"/>
    </row>
    <row r="824" ht="15.75" customHeight="1">
      <c r="A824" s="200"/>
      <c r="B824" s="201"/>
      <c r="C824" s="202"/>
      <c r="D824" s="203"/>
      <c r="E824" s="201"/>
      <c r="F824" s="204"/>
      <c r="G824" s="204"/>
      <c r="H824" s="205"/>
      <c r="I824" s="205"/>
      <c r="J824" s="206"/>
      <c r="K824" s="205"/>
      <c r="L824" s="205"/>
      <c r="M824" s="201"/>
      <c r="N824" s="207"/>
      <c r="O824" s="208"/>
      <c r="P824" s="208"/>
      <c r="Q824" s="208"/>
      <c r="R824" s="208"/>
      <c r="S824" s="208"/>
      <c r="T824" s="208"/>
      <c r="U824" s="209"/>
      <c r="V824" s="210"/>
    </row>
    <row r="825" ht="15.75" customHeight="1">
      <c r="A825" s="200"/>
      <c r="B825" s="201"/>
      <c r="C825" s="202"/>
      <c r="D825" s="203"/>
      <c r="E825" s="201"/>
      <c r="F825" s="204"/>
      <c r="G825" s="204"/>
      <c r="H825" s="205"/>
      <c r="I825" s="205"/>
      <c r="J825" s="206"/>
      <c r="K825" s="205"/>
      <c r="L825" s="205"/>
      <c r="M825" s="201"/>
      <c r="N825" s="207"/>
      <c r="O825" s="208"/>
      <c r="P825" s="208"/>
      <c r="Q825" s="208"/>
      <c r="R825" s="208"/>
      <c r="S825" s="208"/>
      <c r="T825" s="208"/>
      <c r="U825" s="209"/>
      <c r="V825" s="210"/>
    </row>
    <row r="826" ht="15.75" customHeight="1">
      <c r="A826" s="200"/>
      <c r="B826" s="201"/>
      <c r="C826" s="202"/>
      <c r="D826" s="203"/>
      <c r="E826" s="201"/>
      <c r="F826" s="204"/>
      <c r="G826" s="204"/>
      <c r="H826" s="205"/>
      <c r="I826" s="205"/>
      <c r="J826" s="206"/>
      <c r="K826" s="205"/>
      <c r="L826" s="205"/>
      <c r="M826" s="201"/>
      <c r="N826" s="207"/>
      <c r="O826" s="208"/>
      <c r="P826" s="208"/>
      <c r="Q826" s="208"/>
      <c r="R826" s="208"/>
      <c r="S826" s="208"/>
      <c r="T826" s="208"/>
      <c r="U826" s="209"/>
      <c r="V826" s="210"/>
    </row>
    <row r="827" ht="15.75" customHeight="1">
      <c r="A827" s="200"/>
      <c r="B827" s="201"/>
      <c r="C827" s="202"/>
      <c r="D827" s="203"/>
      <c r="E827" s="201"/>
      <c r="F827" s="204"/>
      <c r="G827" s="204"/>
      <c r="H827" s="205"/>
      <c r="I827" s="205"/>
      <c r="J827" s="206"/>
      <c r="K827" s="205"/>
      <c r="L827" s="205"/>
      <c r="M827" s="201"/>
      <c r="N827" s="207"/>
      <c r="O827" s="208"/>
      <c r="P827" s="208"/>
      <c r="Q827" s="208"/>
      <c r="R827" s="208"/>
      <c r="S827" s="208"/>
      <c r="T827" s="208"/>
      <c r="U827" s="209"/>
      <c r="V827" s="210"/>
    </row>
    <row r="828" ht="15.75" customHeight="1">
      <c r="A828" s="200"/>
      <c r="B828" s="201"/>
      <c r="C828" s="202"/>
      <c r="D828" s="203"/>
      <c r="E828" s="201"/>
      <c r="F828" s="204"/>
      <c r="G828" s="204"/>
      <c r="H828" s="205"/>
      <c r="I828" s="205"/>
      <c r="J828" s="206"/>
      <c r="K828" s="205"/>
      <c r="L828" s="205"/>
      <c r="M828" s="201"/>
      <c r="N828" s="207"/>
      <c r="O828" s="208"/>
      <c r="P828" s="208"/>
      <c r="Q828" s="208"/>
      <c r="R828" s="208"/>
      <c r="S828" s="208"/>
      <c r="T828" s="208"/>
      <c r="U828" s="209"/>
      <c r="V828" s="210"/>
    </row>
    <row r="829" ht="15.75" customHeight="1">
      <c r="A829" s="200"/>
      <c r="B829" s="201"/>
      <c r="C829" s="202"/>
      <c r="D829" s="203"/>
      <c r="E829" s="201"/>
      <c r="F829" s="204"/>
      <c r="G829" s="204"/>
      <c r="H829" s="205"/>
      <c r="I829" s="205"/>
      <c r="J829" s="206"/>
      <c r="K829" s="205"/>
      <c r="L829" s="205"/>
      <c r="M829" s="201"/>
      <c r="N829" s="207"/>
      <c r="O829" s="208"/>
      <c r="P829" s="208"/>
      <c r="Q829" s="208"/>
      <c r="R829" s="208"/>
      <c r="S829" s="208"/>
      <c r="T829" s="208"/>
      <c r="U829" s="209"/>
      <c r="V829" s="210"/>
    </row>
    <row r="830" ht="15.75" customHeight="1">
      <c r="A830" s="200"/>
      <c r="B830" s="201"/>
      <c r="C830" s="202"/>
      <c r="D830" s="203"/>
      <c r="E830" s="201"/>
      <c r="F830" s="204"/>
      <c r="G830" s="204"/>
      <c r="H830" s="205"/>
      <c r="I830" s="205"/>
      <c r="J830" s="206"/>
      <c r="K830" s="205"/>
      <c r="L830" s="205"/>
      <c r="M830" s="201"/>
      <c r="N830" s="207"/>
      <c r="O830" s="208"/>
      <c r="P830" s="208"/>
      <c r="Q830" s="208"/>
      <c r="R830" s="208"/>
      <c r="S830" s="208"/>
      <c r="T830" s="208"/>
      <c r="U830" s="209"/>
      <c r="V830" s="210"/>
    </row>
    <row r="831" ht="15.75" customHeight="1">
      <c r="A831" s="200"/>
      <c r="B831" s="201"/>
      <c r="C831" s="202"/>
      <c r="D831" s="203"/>
      <c r="E831" s="201"/>
      <c r="F831" s="204"/>
      <c r="G831" s="204"/>
      <c r="H831" s="205"/>
      <c r="I831" s="205"/>
      <c r="J831" s="206"/>
      <c r="K831" s="205"/>
      <c r="L831" s="205"/>
      <c r="M831" s="201"/>
      <c r="N831" s="207"/>
      <c r="O831" s="208"/>
      <c r="P831" s="208"/>
      <c r="Q831" s="208"/>
      <c r="R831" s="208"/>
      <c r="S831" s="208"/>
      <c r="T831" s="208"/>
      <c r="U831" s="209"/>
      <c r="V831" s="210"/>
    </row>
    <row r="832" ht="15.75" customHeight="1">
      <c r="A832" s="200"/>
      <c r="B832" s="201"/>
      <c r="C832" s="202"/>
      <c r="D832" s="203"/>
      <c r="E832" s="201"/>
      <c r="F832" s="204"/>
      <c r="G832" s="204"/>
      <c r="H832" s="205"/>
      <c r="I832" s="205"/>
      <c r="J832" s="206"/>
      <c r="K832" s="205"/>
      <c r="L832" s="205"/>
      <c r="M832" s="201"/>
      <c r="N832" s="207"/>
      <c r="O832" s="208"/>
      <c r="P832" s="208"/>
      <c r="Q832" s="208"/>
      <c r="R832" s="208"/>
      <c r="S832" s="208"/>
      <c r="T832" s="208"/>
      <c r="U832" s="209"/>
      <c r="V832" s="210"/>
    </row>
    <row r="833" ht="15.75" customHeight="1">
      <c r="A833" s="200"/>
      <c r="B833" s="201"/>
      <c r="C833" s="202"/>
      <c r="D833" s="203"/>
      <c r="E833" s="201"/>
      <c r="F833" s="204"/>
      <c r="G833" s="204"/>
      <c r="H833" s="205"/>
      <c r="I833" s="205"/>
      <c r="J833" s="206"/>
      <c r="K833" s="205"/>
      <c r="L833" s="205"/>
      <c r="M833" s="201"/>
      <c r="N833" s="207"/>
      <c r="O833" s="208"/>
      <c r="P833" s="208"/>
      <c r="Q833" s="208"/>
      <c r="R833" s="208"/>
      <c r="S833" s="208"/>
      <c r="T833" s="208"/>
      <c r="U833" s="209"/>
      <c r="V833" s="210"/>
    </row>
    <row r="834" ht="15.75" customHeight="1">
      <c r="A834" s="200"/>
      <c r="B834" s="201"/>
      <c r="C834" s="202"/>
      <c r="D834" s="203"/>
      <c r="E834" s="201"/>
      <c r="F834" s="204"/>
      <c r="G834" s="204"/>
      <c r="H834" s="205"/>
      <c r="I834" s="205"/>
      <c r="J834" s="206"/>
      <c r="K834" s="205"/>
      <c r="L834" s="205"/>
      <c r="M834" s="201"/>
      <c r="N834" s="207"/>
      <c r="O834" s="208"/>
      <c r="P834" s="208"/>
      <c r="Q834" s="208"/>
      <c r="R834" s="208"/>
      <c r="S834" s="208"/>
      <c r="T834" s="208"/>
      <c r="U834" s="209"/>
      <c r="V834" s="210"/>
    </row>
    <row r="835" ht="15.75" customHeight="1">
      <c r="A835" s="200"/>
      <c r="B835" s="201"/>
      <c r="C835" s="202"/>
      <c r="D835" s="203"/>
      <c r="E835" s="201"/>
      <c r="F835" s="204"/>
      <c r="G835" s="204"/>
      <c r="H835" s="205"/>
      <c r="I835" s="205"/>
      <c r="J835" s="206"/>
      <c r="K835" s="205"/>
      <c r="L835" s="205"/>
      <c r="M835" s="201"/>
      <c r="N835" s="207"/>
      <c r="O835" s="208"/>
      <c r="P835" s="208"/>
      <c r="Q835" s="208"/>
      <c r="R835" s="208"/>
      <c r="S835" s="208"/>
      <c r="T835" s="208"/>
      <c r="U835" s="209"/>
      <c r="V835" s="210"/>
    </row>
    <row r="836" ht="15.75" customHeight="1">
      <c r="A836" s="200"/>
      <c r="B836" s="201"/>
      <c r="C836" s="202"/>
      <c r="D836" s="203"/>
      <c r="E836" s="201"/>
      <c r="F836" s="204"/>
      <c r="G836" s="204"/>
      <c r="H836" s="205"/>
      <c r="I836" s="205"/>
      <c r="J836" s="206"/>
      <c r="K836" s="205"/>
      <c r="L836" s="205"/>
      <c r="M836" s="201"/>
      <c r="N836" s="207"/>
      <c r="O836" s="208"/>
      <c r="P836" s="208"/>
      <c r="Q836" s="208"/>
      <c r="R836" s="208"/>
      <c r="S836" s="208"/>
      <c r="T836" s="208"/>
      <c r="U836" s="209"/>
      <c r="V836" s="210"/>
    </row>
    <row r="837" ht="15.75" customHeight="1">
      <c r="A837" s="200"/>
      <c r="B837" s="201"/>
      <c r="C837" s="202"/>
      <c r="D837" s="203"/>
      <c r="E837" s="201"/>
      <c r="F837" s="204"/>
      <c r="G837" s="204"/>
      <c r="H837" s="205"/>
      <c r="I837" s="205"/>
      <c r="J837" s="206"/>
      <c r="K837" s="205"/>
      <c r="L837" s="205"/>
      <c r="M837" s="201"/>
      <c r="N837" s="207"/>
      <c r="O837" s="208"/>
      <c r="P837" s="208"/>
      <c r="Q837" s="208"/>
      <c r="R837" s="208"/>
      <c r="S837" s="208"/>
      <c r="T837" s="208"/>
      <c r="U837" s="209"/>
      <c r="V837" s="210"/>
    </row>
    <row r="838" ht="15.75" customHeight="1">
      <c r="A838" s="200"/>
      <c r="B838" s="201"/>
      <c r="C838" s="202"/>
      <c r="D838" s="203"/>
      <c r="E838" s="201"/>
      <c r="F838" s="204"/>
      <c r="G838" s="204"/>
      <c r="H838" s="205"/>
      <c r="I838" s="205"/>
      <c r="J838" s="206"/>
      <c r="K838" s="205"/>
      <c r="L838" s="205"/>
      <c r="M838" s="201"/>
      <c r="N838" s="207"/>
      <c r="O838" s="208"/>
      <c r="P838" s="208"/>
      <c r="Q838" s="208"/>
      <c r="R838" s="208"/>
      <c r="S838" s="208"/>
      <c r="T838" s="208"/>
      <c r="U838" s="209"/>
      <c r="V838" s="210"/>
    </row>
    <row r="839" ht="15.75" customHeight="1">
      <c r="A839" s="200"/>
      <c r="B839" s="201"/>
      <c r="C839" s="202"/>
      <c r="D839" s="203"/>
      <c r="E839" s="201"/>
      <c r="F839" s="204"/>
      <c r="G839" s="204"/>
      <c r="H839" s="205"/>
      <c r="I839" s="205"/>
      <c r="J839" s="206"/>
      <c r="K839" s="205"/>
      <c r="L839" s="205"/>
      <c r="M839" s="201"/>
      <c r="N839" s="207"/>
      <c r="O839" s="208"/>
      <c r="P839" s="208"/>
      <c r="Q839" s="208"/>
      <c r="R839" s="208"/>
      <c r="S839" s="208"/>
      <c r="T839" s="208"/>
      <c r="U839" s="209"/>
      <c r="V839" s="210"/>
    </row>
    <row r="840" ht="15.75" customHeight="1">
      <c r="A840" s="200"/>
      <c r="B840" s="201"/>
      <c r="C840" s="202"/>
      <c r="D840" s="203"/>
      <c r="E840" s="201"/>
      <c r="F840" s="204"/>
      <c r="G840" s="204"/>
      <c r="H840" s="205"/>
      <c r="I840" s="205"/>
      <c r="J840" s="206"/>
      <c r="K840" s="205"/>
      <c r="L840" s="205"/>
      <c r="M840" s="201"/>
      <c r="N840" s="207"/>
      <c r="O840" s="208"/>
      <c r="P840" s="208"/>
      <c r="Q840" s="208"/>
      <c r="R840" s="208"/>
      <c r="S840" s="208"/>
      <c r="T840" s="208"/>
      <c r="U840" s="209"/>
      <c r="V840" s="210"/>
    </row>
    <row r="841" ht="15.75" customHeight="1">
      <c r="A841" s="200"/>
      <c r="B841" s="201"/>
      <c r="C841" s="202"/>
      <c r="D841" s="203"/>
      <c r="E841" s="201"/>
      <c r="F841" s="204"/>
      <c r="G841" s="204"/>
      <c r="H841" s="205"/>
      <c r="I841" s="205"/>
      <c r="J841" s="206"/>
      <c r="K841" s="205"/>
      <c r="L841" s="205"/>
      <c r="M841" s="201"/>
      <c r="N841" s="207"/>
      <c r="O841" s="208"/>
      <c r="P841" s="208"/>
      <c r="Q841" s="208"/>
      <c r="R841" s="208"/>
      <c r="S841" s="208"/>
      <c r="T841" s="208"/>
      <c r="U841" s="209"/>
      <c r="V841" s="210"/>
    </row>
    <row r="842" ht="15.75" customHeight="1">
      <c r="A842" s="200"/>
      <c r="B842" s="201"/>
      <c r="C842" s="202"/>
      <c r="D842" s="203"/>
      <c r="E842" s="201"/>
      <c r="F842" s="204"/>
      <c r="G842" s="204"/>
      <c r="H842" s="205"/>
      <c r="I842" s="205"/>
      <c r="J842" s="206"/>
      <c r="K842" s="205"/>
      <c r="L842" s="205"/>
      <c r="M842" s="201"/>
      <c r="N842" s="207"/>
      <c r="O842" s="208"/>
      <c r="P842" s="208"/>
      <c r="Q842" s="208"/>
      <c r="R842" s="208"/>
      <c r="S842" s="208"/>
      <c r="T842" s="208"/>
      <c r="U842" s="209"/>
      <c r="V842" s="210"/>
    </row>
    <row r="843" ht="15.75" customHeight="1">
      <c r="A843" s="200"/>
      <c r="B843" s="201"/>
      <c r="C843" s="202"/>
      <c r="D843" s="203"/>
      <c r="E843" s="201"/>
      <c r="F843" s="204"/>
      <c r="G843" s="204"/>
      <c r="H843" s="205"/>
      <c r="I843" s="205"/>
      <c r="J843" s="206"/>
      <c r="K843" s="205"/>
      <c r="L843" s="205"/>
      <c r="M843" s="201"/>
      <c r="N843" s="207"/>
      <c r="O843" s="208"/>
      <c r="P843" s="208"/>
      <c r="Q843" s="208"/>
      <c r="R843" s="208"/>
      <c r="S843" s="208"/>
      <c r="T843" s="208"/>
      <c r="U843" s="209"/>
      <c r="V843" s="210"/>
    </row>
    <row r="844" ht="15.75" customHeight="1">
      <c r="A844" s="200"/>
      <c r="B844" s="201"/>
      <c r="C844" s="202"/>
      <c r="D844" s="203"/>
      <c r="E844" s="201"/>
      <c r="F844" s="204"/>
      <c r="G844" s="204"/>
      <c r="H844" s="205"/>
      <c r="I844" s="205"/>
      <c r="J844" s="206"/>
      <c r="K844" s="205"/>
      <c r="L844" s="205"/>
      <c r="M844" s="201"/>
      <c r="N844" s="207"/>
      <c r="O844" s="208"/>
      <c r="P844" s="208"/>
      <c r="Q844" s="208"/>
      <c r="R844" s="208"/>
      <c r="S844" s="208"/>
      <c r="T844" s="208"/>
      <c r="U844" s="209"/>
      <c r="V844" s="210"/>
    </row>
    <row r="845" ht="15.75" customHeight="1">
      <c r="A845" s="200"/>
      <c r="B845" s="201"/>
      <c r="C845" s="202"/>
      <c r="D845" s="203"/>
      <c r="E845" s="201"/>
      <c r="F845" s="204"/>
      <c r="G845" s="204"/>
      <c r="H845" s="205"/>
      <c r="I845" s="205"/>
      <c r="J845" s="206"/>
      <c r="K845" s="205"/>
      <c r="L845" s="205"/>
      <c r="M845" s="201"/>
      <c r="N845" s="207"/>
      <c r="O845" s="208"/>
      <c r="P845" s="208"/>
      <c r="Q845" s="208"/>
      <c r="R845" s="208"/>
      <c r="S845" s="208"/>
      <c r="T845" s="208"/>
      <c r="U845" s="209"/>
      <c r="V845" s="210"/>
    </row>
    <row r="846" ht="15.75" customHeight="1">
      <c r="A846" s="200"/>
      <c r="B846" s="201"/>
      <c r="C846" s="202"/>
      <c r="D846" s="203"/>
      <c r="E846" s="201"/>
      <c r="F846" s="204"/>
      <c r="G846" s="204"/>
      <c r="H846" s="205"/>
      <c r="I846" s="205"/>
      <c r="J846" s="206"/>
      <c r="K846" s="205"/>
      <c r="L846" s="205"/>
      <c r="M846" s="201"/>
      <c r="N846" s="207"/>
      <c r="O846" s="208"/>
      <c r="P846" s="208"/>
      <c r="Q846" s="208"/>
      <c r="R846" s="208"/>
      <c r="S846" s="208"/>
      <c r="T846" s="208"/>
      <c r="U846" s="209"/>
      <c r="V846" s="210"/>
    </row>
    <row r="847" ht="15.75" customHeight="1">
      <c r="A847" s="200"/>
      <c r="B847" s="201"/>
      <c r="C847" s="202"/>
      <c r="D847" s="203"/>
      <c r="E847" s="201"/>
      <c r="F847" s="204"/>
      <c r="G847" s="204"/>
      <c r="H847" s="205"/>
      <c r="I847" s="205"/>
      <c r="J847" s="206"/>
      <c r="K847" s="205"/>
      <c r="L847" s="205"/>
      <c r="M847" s="201"/>
      <c r="N847" s="207"/>
      <c r="O847" s="208"/>
      <c r="P847" s="208"/>
      <c r="Q847" s="208"/>
      <c r="R847" s="208"/>
      <c r="S847" s="208"/>
      <c r="T847" s="208"/>
      <c r="U847" s="209"/>
      <c r="V847" s="210"/>
    </row>
    <row r="848" ht="15.75" customHeight="1">
      <c r="A848" s="200"/>
      <c r="B848" s="201"/>
      <c r="C848" s="202"/>
      <c r="D848" s="203"/>
      <c r="E848" s="201"/>
      <c r="F848" s="204"/>
      <c r="G848" s="204"/>
      <c r="H848" s="205"/>
      <c r="I848" s="205"/>
      <c r="J848" s="206"/>
      <c r="K848" s="205"/>
      <c r="L848" s="205"/>
      <c r="M848" s="201"/>
      <c r="N848" s="207"/>
      <c r="O848" s="208"/>
      <c r="P848" s="208"/>
      <c r="Q848" s="208"/>
      <c r="R848" s="208"/>
      <c r="S848" s="208"/>
      <c r="T848" s="208"/>
      <c r="U848" s="209"/>
      <c r="V848" s="210"/>
    </row>
    <row r="849" ht="15.75" customHeight="1">
      <c r="A849" s="200"/>
      <c r="B849" s="201"/>
      <c r="C849" s="202"/>
      <c r="D849" s="203"/>
      <c r="E849" s="201"/>
      <c r="F849" s="204"/>
      <c r="G849" s="204"/>
      <c r="H849" s="205"/>
      <c r="I849" s="205"/>
      <c r="J849" s="206"/>
      <c r="K849" s="205"/>
      <c r="L849" s="205"/>
      <c r="M849" s="201"/>
      <c r="N849" s="207"/>
      <c r="O849" s="208"/>
      <c r="P849" s="208"/>
      <c r="Q849" s="208"/>
      <c r="R849" s="208"/>
      <c r="S849" s="208"/>
      <c r="T849" s="208"/>
      <c r="U849" s="209"/>
      <c r="V849" s="210"/>
    </row>
    <row r="850" ht="15.75" customHeight="1">
      <c r="A850" s="200"/>
      <c r="B850" s="201"/>
      <c r="C850" s="202"/>
      <c r="D850" s="203"/>
      <c r="E850" s="201"/>
      <c r="F850" s="204"/>
      <c r="G850" s="204"/>
      <c r="H850" s="205"/>
      <c r="I850" s="205"/>
      <c r="J850" s="206"/>
      <c r="K850" s="205"/>
      <c r="L850" s="205"/>
      <c r="M850" s="201"/>
      <c r="N850" s="207"/>
      <c r="O850" s="208"/>
      <c r="P850" s="208"/>
      <c r="Q850" s="208"/>
      <c r="R850" s="208"/>
      <c r="S850" s="208"/>
      <c r="T850" s="208"/>
      <c r="U850" s="209"/>
      <c r="V850" s="210"/>
    </row>
    <row r="851" ht="15.75" customHeight="1">
      <c r="A851" s="200"/>
      <c r="B851" s="201"/>
      <c r="C851" s="202"/>
      <c r="D851" s="203"/>
      <c r="E851" s="201"/>
      <c r="F851" s="204"/>
      <c r="G851" s="204"/>
      <c r="H851" s="205"/>
      <c r="I851" s="205"/>
      <c r="J851" s="206"/>
      <c r="K851" s="205"/>
      <c r="L851" s="205"/>
      <c r="M851" s="201"/>
      <c r="N851" s="207"/>
      <c r="O851" s="208"/>
      <c r="P851" s="208"/>
      <c r="Q851" s="208"/>
      <c r="R851" s="208"/>
      <c r="S851" s="208"/>
      <c r="T851" s="208"/>
      <c r="U851" s="209"/>
      <c r="V851" s="210"/>
    </row>
    <row r="852" ht="15.75" customHeight="1">
      <c r="A852" s="200"/>
      <c r="B852" s="201"/>
      <c r="C852" s="202"/>
      <c r="D852" s="203"/>
      <c r="E852" s="201"/>
      <c r="F852" s="204"/>
      <c r="G852" s="204"/>
      <c r="H852" s="205"/>
      <c r="I852" s="205"/>
      <c r="J852" s="206"/>
      <c r="K852" s="205"/>
      <c r="L852" s="205"/>
      <c r="M852" s="201"/>
      <c r="N852" s="207"/>
      <c r="O852" s="208"/>
      <c r="P852" s="208"/>
      <c r="Q852" s="208"/>
      <c r="R852" s="208"/>
      <c r="S852" s="208"/>
      <c r="T852" s="208"/>
      <c r="U852" s="209"/>
      <c r="V852" s="210"/>
    </row>
    <row r="853" ht="15.75" customHeight="1">
      <c r="A853" s="200"/>
      <c r="B853" s="201"/>
      <c r="C853" s="202"/>
      <c r="D853" s="203"/>
      <c r="E853" s="201"/>
      <c r="F853" s="204"/>
      <c r="G853" s="204"/>
      <c r="H853" s="205"/>
      <c r="I853" s="205"/>
      <c r="J853" s="206"/>
      <c r="K853" s="205"/>
      <c r="L853" s="205"/>
      <c r="M853" s="201"/>
      <c r="N853" s="207"/>
      <c r="O853" s="208"/>
      <c r="P853" s="208"/>
      <c r="Q853" s="208"/>
      <c r="R853" s="208"/>
      <c r="S853" s="208"/>
      <c r="T853" s="208"/>
      <c r="U853" s="209"/>
      <c r="V853" s="210"/>
    </row>
    <row r="854" ht="15.75" customHeight="1">
      <c r="A854" s="200"/>
      <c r="B854" s="201"/>
      <c r="C854" s="202"/>
      <c r="D854" s="203"/>
      <c r="E854" s="201"/>
      <c r="F854" s="204"/>
      <c r="G854" s="204"/>
      <c r="H854" s="205"/>
      <c r="I854" s="205"/>
      <c r="J854" s="206"/>
      <c r="K854" s="205"/>
      <c r="L854" s="205"/>
      <c r="M854" s="201"/>
      <c r="N854" s="207"/>
      <c r="O854" s="208"/>
      <c r="P854" s="208"/>
      <c r="Q854" s="208"/>
      <c r="R854" s="208"/>
      <c r="S854" s="208"/>
      <c r="T854" s="208"/>
      <c r="U854" s="209"/>
      <c r="V854" s="210"/>
    </row>
    <row r="855" ht="15.75" customHeight="1">
      <c r="A855" s="200"/>
      <c r="B855" s="201"/>
      <c r="C855" s="202"/>
      <c r="D855" s="203"/>
      <c r="E855" s="201"/>
      <c r="F855" s="204"/>
      <c r="G855" s="204"/>
      <c r="H855" s="205"/>
      <c r="I855" s="205"/>
      <c r="J855" s="206"/>
      <c r="K855" s="205"/>
      <c r="L855" s="205"/>
      <c r="M855" s="201"/>
      <c r="N855" s="207"/>
      <c r="O855" s="208"/>
      <c r="P855" s="208"/>
      <c r="Q855" s="208"/>
      <c r="R855" s="208"/>
      <c r="S855" s="208"/>
      <c r="T855" s="208"/>
      <c r="U855" s="209"/>
      <c r="V855" s="210"/>
    </row>
    <row r="856" ht="15.75" customHeight="1">
      <c r="A856" s="200"/>
      <c r="B856" s="201"/>
      <c r="C856" s="202"/>
      <c r="D856" s="203"/>
      <c r="E856" s="201"/>
      <c r="F856" s="204"/>
      <c r="G856" s="204"/>
      <c r="H856" s="205"/>
      <c r="I856" s="205"/>
      <c r="J856" s="206"/>
      <c r="K856" s="205"/>
      <c r="L856" s="205"/>
      <c r="M856" s="201"/>
      <c r="N856" s="207"/>
      <c r="O856" s="208"/>
      <c r="P856" s="208"/>
      <c r="Q856" s="208"/>
      <c r="R856" s="208"/>
      <c r="S856" s="208"/>
      <c r="T856" s="208"/>
      <c r="U856" s="209"/>
      <c r="V856" s="210"/>
    </row>
    <row r="857" ht="15.75" customHeight="1">
      <c r="A857" s="200"/>
      <c r="B857" s="201"/>
      <c r="C857" s="202"/>
      <c r="D857" s="203"/>
      <c r="E857" s="201"/>
      <c r="F857" s="204"/>
      <c r="G857" s="204"/>
      <c r="H857" s="205"/>
      <c r="I857" s="205"/>
      <c r="J857" s="206"/>
      <c r="K857" s="205"/>
      <c r="L857" s="205"/>
      <c r="M857" s="201"/>
      <c r="N857" s="207"/>
      <c r="O857" s="208"/>
      <c r="P857" s="208"/>
      <c r="Q857" s="208"/>
      <c r="R857" s="208"/>
      <c r="S857" s="208"/>
      <c r="T857" s="208"/>
      <c r="U857" s="209"/>
      <c r="V857" s="210"/>
    </row>
    <row r="858" ht="15.75" customHeight="1">
      <c r="A858" s="200"/>
      <c r="B858" s="201"/>
      <c r="C858" s="202"/>
      <c r="D858" s="203"/>
      <c r="E858" s="201"/>
      <c r="F858" s="204"/>
      <c r="G858" s="204"/>
      <c r="H858" s="205"/>
      <c r="I858" s="205"/>
      <c r="J858" s="206"/>
      <c r="K858" s="205"/>
      <c r="L858" s="205"/>
      <c r="M858" s="201"/>
      <c r="N858" s="207"/>
      <c r="O858" s="208"/>
      <c r="P858" s="208"/>
      <c r="Q858" s="208"/>
      <c r="R858" s="208"/>
      <c r="S858" s="208"/>
      <c r="T858" s="208"/>
      <c r="U858" s="209"/>
      <c r="V858" s="210"/>
    </row>
    <row r="859" ht="15.75" customHeight="1">
      <c r="A859" s="200"/>
      <c r="B859" s="201"/>
      <c r="C859" s="202"/>
      <c r="D859" s="203"/>
      <c r="E859" s="201"/>
      <c r="F859" s="204"/>
      <c r="G859" s="204"/>
      <c r="H859" s="205"/>
      <c r="I859" s="205"/>
      <c r="J859" s="206"/>
      <c r="K859" s="205"/>
      <c r="L859" s="205"/>
      <c r="M859" s="201"/>
      <c r="N859" s="207"/>
      <c r="O859" s="208"/>
      <c r="P859" s="208"/>
      <c r="Q859" s="208"/>
      <c r="R859" s="208"/>
      <c r="S859" s="208"/>
      <c r="T859" s="208"/>
      <c r="U859" s="209"/>
      <c r="V859" s="210"/>
    </row>
    <row r="860" ht="15.75" customHeight="1">
      <c r="A860" s="200"/>
      <c r="B860" s="201"/>
      <c r="C860" s="202"/>
      <c r="D860" s="203"/>
      <c r="E860" s="201"/>
      <c r="F860" s="204"/>
      <c r="G860" s="204"/>
      <c r="H860" s="205"/>
      <c r="I860" s="205"/>
      <c r="J860" s="206"/>
      <c r="K860" s="205"/>
      <c r="L860" s="205"/>
      <c r="M860" s="201"/>
      <c r="N860" s="207"/>
      <c r="O860" s="208"/>
      <c r="P860" s="208"/>
      <c r="Q860" s="208"/>
      <c r="R860" s="208"/>
      <c r="S860" s="208"/>
      <c r="T860" s="208"/>
      <c r="U860" s="209"/>
      <c r="V860" s="210"/>
    </row>
    <row r="861" ht="15.75" customHeight="1">
      <c r="A861" s="200"/>
      <c r="B861" s="201"/>
      <c r="C861" s="202"/>
      <c r="D861" s="203"/>
      <c r="E861" s="201"/>
      <c r="F861" s="204"/>
      <c r="G861" s="204"/>
      <c r="H861" s="205"/>
      <c r="I861" s="205"/>
      <c r="J861" s="206"/>
      <c r="K861" s="205"/>
      <c r="L861" s="205"/>
      <c r="M861" s="201"/>
      <c r="N861" s="207"/>
      <c r="O861" s="208"/>
      <c r="P861" s="208"/>
      <c r="Q861" s="208"/>
      <c r="R861" s="208"/>
      <c r="S861" s="208"/>
      <c r="T861" s="208"/>
      <c r="U861" s="209"/>
      <c r="V861" s="210"/>
    </row>
    <row r="862" ht="15.75" customHeight="1">
      <c r="A862" s="200"/>
      <c r="B862" s="201"/>
      <c r="C862" s="202"/>
      <c r="D862" s="203"/>
      <c r="E862" s="201"/>
      <c r="F862" s="204"/>
      <c r="G862" s="204"/>
      <c r="H862" s="205"/>
      <c r="I862" s="205"/>
      <c r="J862" s="206"/>
      <c r="K862" s="205"/>
      <c r="L862" s="205"/>
      <c r="M862" s="201"/>
      <c r="N862" s="207"/>
      <c r="O862" s="208"/>
      <c r="P862" s="208"/>
      <c r="Q862" s="208"/>
      <c r="R862" s="208"/>
      <c r="S862" s="208"/>
      <c r="T862" s="208"/>
      <c r="U862" s="209"/>
      <c r="V862" s="210"/>
    </row>
    <row r="863" ht="15.75" customHeight="1">
      <c r="A863" s="200"/>
      <c r="B863" s="201"/>
      <c r="C863" s="202"/>
      <c r="D863" s="203"/>
      <c r="E863" s="201"/>
      <c r="F863" s="204"/>
      <c r="G863" s="204"/>
      <c r="H863" s="205"/>
      <c r="I863" s="205"/>
      <c r="J863" s="206"/>
      <c r="K863" s="205"/>
      <c r="L863" s="205"/>
      <c r="M863" s="201"/>
      <c r="N863" s="207"/>
      <c r="O863" s="208"/>
      <c r="P863" s="208"/>
      <c r="Q863" s="208"/>
      <c r="R863" s="208"/>
      <c r="S863" s="208"/>
      <c r="T863" s="208"/>
      <c r="U863" s="209"/>
      <c r="V863" s="210"/>
    </row>
    <row r="864" ht="15.75" customHeight="1">
      <c r="A864" s="200"/>
      <c r="B864" s="201"/>
      <c r="C864" s="202"/>
      <c r="D864" s="203"/>
      <c r="E864" s="201"/>
      <c r="F864" s="204"/>
      <c r="G864" s="204"/>
      <c r="H864" s="205"/>
      <c r="I864" s="205"/>
      <c r="J864" s="206"/>
      <c r="K864" s="205"/>
      <c r="L864" s="205"/>
      <c r="M864" s="201"/>
      <c r="N864" s="207"/>
      <c r="O864" s="208"/>
      <c r="P864" s="208"/>
      <c r="Q864" s="208"/>
      <c r="R864" s="208"/>
      <c r="S864" s="208"/>
      <c r="T864" s="208"/>
      <c r="U864" s="209"/>
      <c r="V864" s="210"/>
    </row>
    <row r="865" ht="15.75" customHeight="1">
      <c r="A865" s="200"/>
      <c r="B865" s="201"/>
      <c r="C865" s="202"/>
      <c r="D865" s="203"/>
      <c r="E865" s="201"/>
      <c r="F865" s="204"/>
      <c r="G865" s="204"/>
      <c r="H865" s="205"/>
      <c r="I865" s="205"/>
      <c r="J865" s="206"/>
      <c r="K865" s="205"/>
      <c r="L865" s="205"/>
      <c r="M865" s="201"/>
      <c r="N865" s="207"/>
      <c r="O865" s="208"/>
      <c r="P865" s="208"/>
      <c r="Q865" s="208"/>
      <c r="R865" s="208"/>
      <c r="S865" s="208"/>
      <c r="T865" s="208"/>
      <c r="U865" s="209"/>
      <c r="V865" s="210"/>
    </row>
    <row r="866" ht="15.75" customHeight="1">
      <c r="A866" s="200"/>
      <c r="B866" s="201"/>
      <c r="C866" s="202"/>
      <c r="D866" s="203"/>
      <c r="E866" s="201"/>
      <c r="F866" s="204"/>
      <c r="G866" s="204"/>
      <c r="H866" s="205"/>
      <c r="I866" s="205"/>
      <c r="J866" s="206"/>
      <c r="K866" s="205"/>
      <c r="L866" s="205"/>
      <c r="M866" s="201"/>
      <c r="N866" s="207"/>
      <c r="O866" s="208"/>
      <c r="P866" s="208"/>
      <c r="Q866" s="208"/>
      <c r="R866" s="208"/>
      <c r="S866" s="208"/>
      <c r="T866" s="208"/>
      <c r="U866" s="209"/>
      <c r="V866" s="210"/>
    </row>
    <row r="867" ht="15.75" customHeight="1">
      <c r="A867" s="200"/>
      <c r="B867" s="201"/>
      <c r="C867" s="202"/>
      <c r="D867" s="203"/>
      <c r="E867" s="201"/>
      <c r="F867" s="204"/>
      <c r="G867" s="204"/>
      <c r="H867" s="205"/>
      <c r="I867" s="205"/>
      <c r="J867" s="206"/>
      <c r="K867" s="205"/>
      <c r="L867" s="205"/>
      <c r="M867" s="201"/>
      <c r="N867" s="207"/>
      <c r="O867" s="208"/>
      <c r="P867" s="208"/>
      <c r="Q867" s="208"/>
      <c r="R867" s="208"/>
      <c r="S867" s="208"/>
      <c r="T867" s="208"/>
      <c r="U867" s="209"/>
      <c r="V867" s="210"/>
    </row>
    <row r="868" ht="15.75" customHeight="1">
      <c r="A868" s="200"/>
      <c r="B868" s="201"/>
      <c r="C868" s="202"/>
      <c r="D868" s="203"/>
      <c r="E868" s="201"/>
      <c r="F868" s="204"/>
      <c r="G868" s="204"/>
      <c r="H868" s="205"/>
      <c r="I868" s="205"/>
      <c r="J868" s="206"/>
      <c r="K868" s="205"/>
      <c r="L868" s="205"/>
      <c r="M868" s="201"/>
      <c r="N868" s="207"/>
      <c r="O868" s="208"/>
      <c r="P868" s="208"/>
      <c r="Q868" s="208"/>
      <c r="R868" s="208"/>
      <c r="S868" s="208"/>
      <c r="T868" s="208"/>
      <c r="U868" s="209"/>
      <c r="V868" s="210"/>
    </row>
    <row r="869" ht="15.75" customHeight="1">
      <c r="A869" s="200"/>
      <c r="B869" s="201"/>
      <c r="C869" s="202"/>
      <c r="D869" s="203"/>
      <c r="E869" s="201"/>
      <c r="F869" s="204"/>
      <c r="G869" s="204"/>
      <c r="H869" s="205"/>
      <c r="I869" s="205"/>
      <c r="J869" s="206"/>
      <c r="K869" s="205"/>
      <c r="L869" s="205"/>
      <c r="M869" s="201"/>
      <c r="N869" s="207"/>
      <c r="O869" s="208"/>
      <c r="P869" s="208"/>
      <c r="Q869" s="208"/>
      <c r="R869" s="208"/>
      <c r="S869" s="208"/>
      <c r="T869" s="208"/>
      <c r="U869" s="209"/>
      <c r="V869" s="210"/>
    </row>
    <row r="870" ht="15.75" customHeight="1">
      <c r="A870" s="200"/>
      <c r="B870" s="201"/>
      <c r="C870" s="202"/>
      <c r="D870" s="203"/>
      <c r="E870" s="201"/>
      <c r="F870" s="204"/>
      <c r="G870" s="204"/>
      <c r="H870" s="205"/>
      <c r="I870" s="205"/>
      <c r="J870" s="206"/>
      <c r="K870" s="205"/>
      <c r="L870" s="205"/>
      <c r="M870" s="201"/>
      <c r="N870" s="207"/>
      <c r="O870" s="208"/>
      <c r="P870" s="208"/>
      <c r="Q870" s="208"/>
      <c r="R870" s="208"/>
      <c r="S870" s="208"/>
      <c r="T870" s="208"/>
      <c r="U870" s="209"/>
      <c r="V870" s="210"/>
    </row>
    <row r="871" ht="15.75" customHeight="1">
      <c r="A871" s="200"/>
      <c r="B871" s="201"/>
      <c r="C871" s="202"/>
      <c r="D871" s="203"/>
      <c r="E871" s="201"/>
      <c r="F871" s="204"/>
      <c r="G871" s="204"/>
      <c r="H871" s="205"/>
      <c r="I871" s="205"/>
      <c r="J871" s="206"/>
      <c r="K871" s="205"/>
      <c r="L871" s="205"/>
      <c r="M871" s="201"/>
      <c r="N871" s="207"/>
      <c r="O871" s="208"/>
      <c r="P871" s="208"/>
      <c r="Q871" s="208"/>
      <c r="R871" s="208"/>
      <c r="S871" s="208"/>
      <c r="T871" s="208"/>
      <c r="U871" s="209"/>
      <c r="V871" s="210"/>
    </row>
    <row r="872" ht="15.75" customHeight="1">
      <c r="A872" s="200"/>
      <c r="B872" s="201"/>
      <c r="C872" s="202"/>
      <c r="D872" s="203"/>
      <c r="E872" s="201"/>
      <c r="F872" s="204"/>
      <c r="G872" s="204"/>
      <c r="H872" s="205"/>
      <c r="I872" s="205"/>
      <c r="J872" s="206"/>
      <c r="K872" s="205"/>
      <c r="L872" s="205"/>
      <c r="M872" s="201"/>
      <c r="N872" s="207"/>
      <c r="O872" s="208"/>
      <c r="P872" s="208"/>
      <c r="Q872" s="208"/>
      <c r="R872" s="208"/>
      <c r="S872" s="208"/>
      <c r="T872" s="208"/>
      <c r="U872" s="209"/>
      <c r="V872" s="210"/>
    </row>
    <row r="873" ht="15.75" customHeight="1">
      <c r="A873" s="200"/>
      <c r="B873" s="201"/>
      <c r="C873" s="202"/>
      <c r="D873" s="203"/>
      <c r="E873" s="201"/>
      <c r="F873" s="204"/>
      <c r="G873" s="204"/>
      <c r="H873" s="205"/>
      <c r="I873" s="205"/>
      <c r="J873" s="206"/>
      <c r="K873" s="205"/>
      <c r="L873" s="205"/>
      <c r="M873" s="201"/>
      <c r="N873" s="207"/>
      <c r="O873" s="208"/>
      <c r="P873" s="208"/>
      <c r="Q873" s="208"/>
      <c r="R873" s="208"/>
      <c r="S873" s="208"/>
      <c r="T873" s="208"/>
      <c r="U873" s="209"/>
      <c r="V873" s="210"/>
    </row>
    <row r="874" ht="15.75" customHeight="1">
      <c r="A874" s="200"/>
      <c r="B874" s="201"/>
      <c r="C874" s="202"/>
      <c r="D874" s="203"/>
      <c r="E874" s="201"/>
      <c r="F874" s="204"/>
      <c r="G874" s="204"/>
      <c r="H874" s="205"/>
      <c r="I874" s="205"/>
      <c r="J874" s="206"/>
      <c r="K874" s="205"/>
      <c r="L874" s="205"/>
      <c r="M874" s="201"/>
      <c r="N874" s="207"/>
      <c r="O874" s="208"/>
      <c r="P874" s="208"/>
      <c r="Q874" s="208"/>
      <c r="R874" s="208"/>
      <c r="S874" s="208"/>
      <c r="T874" s="208"/>
      <c r="U874" s="209"/>
      <c r="V874" s="210"/>
    </row>
    <row r="875" ht="15.75" customHeight="1">
      <c r="A875" s="200"/>
      <c r="B875" s="201"/>
      <c r="C875" s="202"/>
      <c r="D875" s="203"/>
      <c r="E875" s="201"/>
      <c r="F875" s="204"/>
      <c r="G875" s="204"/>
      <c r="H875" s="205"/>
      <c r="I875" s="205"/>
      <c r="J875" s="206"/>
      <c r="K875" s="205"/>
      <c r="L875" s="205"/>
      <c r="M875" s="201"/>
      <c r="N875" s="207"/>
      <c r="O875" s="208"/>
      <c r="P875" s="208"/>
      <c r="Q875" s="208"/>
      <c r="R875" s="208"/>
      <c r="S875" s="208"/>
      <c r="T875" s="208"/>
      <c r="U875" s="209"/>
      <c r="V875" s="210"/>
    </row>
    <row r="876" ht="15.75" customHeight="1">
      <c r="A876" s="200"/>
      <c r="B876" s="201"/>
      <c r="C876" s="202"/>
      <c r="D876" s="203"/>
      <c r="E876" s="201"/>
      <c r="F876" s="204"/>
      <c r="G876" s="204"/>
      <c r="H876" s="205"/>
      <c r="I876" s="205"/>
      <c r="J876" s="206"/>
      <c r="K876" s="205"/>
      <c r="L876" s="205"/>
      <c r="M876" s="201"/>
      <c r="N876" s="207"/>
      <c r="O876" s="208"/>
      <c r="P876" s="208"/>
      <c r="Q876" s="208"/>
      <c r="R876" s="208"/>
      <c r="S876" s="208"/>
      <c r="T876" s="208"/>
      <c r="U876" s="209"/>
      <c r="V876" s="210"/>
    </row>
    <row r="877" ht="15.75" customHeight="1">
      <c r="A877" s="200"/>
      <c r="B877" s="201"/>
      <c r="C877" s="202"/>
      <c r="D877" s="203"/>
      <c r="E877" s="201"/>
      <c r="F877" s="204"/>
      <c r="G877" s="204"/>
      <c r="H877" s="205"/>
      <c r="I877" s="205"/>
      <c r="J877" s="206"/>
      <c r="K877" s="205"/>
      <c r="L877" s="205"/>
      <c r="M877" s="201"/>
      <c r="N877" s="207"/>
      <c r="O877" s="208"/>
      <c r="P877" s="208"/>
      <c r="Q877" s="208"/>
      <c r="R877" s="208"/>
      <c r="S877" s="208"/>
      <c r="T877" s="208"/>
      <c r="U877" s="209"/>
      <c r="V877" s="210"/>
    </row>
    <row r="878" ht="15.75" customHeight="1">
      <c r="A878" s="200"/>
      <c r="B878" s="201"/>
      <c r="C878" s="202"/>
      <c r="D878" s="203"/>
      <c r="E878" s="201"/>
      <c r="F878" s="204"/>
      <c r="G878" s="204"/>
      <c r="H878" s="205"/>
      <c r="I878" s="205"/>
      <c r="J878" s="206"/>
      <c r="K878" s="205"/>
      <c r="L878" s="205"/>
      <c r="M878" s="201"/>
      <c r="N878" s="207"/>
      <c r="O878" s="208"/>
      <c r="P878" s="208"/>
      <c r="Q878" s="208"/>
      <c r="R878" s="208"/>
      <c r="S878" s="208"/>
      <c r="T878" s="208"/>
      <c r="U878" s="209"/>
      <c r="V878" s="210"/>
    </row>
    <row r="879" ht="15.75" customHeight="1">
      <c r="A879" s="200"/>
      <c r="B879" s="201"/>
      <c r="C879" s="202"/>
      <c r="D879" s="203"/>
      <c r="E879" s="201"/>
      <c r="F879" s="204"/>
      <c r="G879" s="204"/>
      <c r="H879" s="205"/>
      <c r="I879" s="205"/>
      <c r="J879" s="206"/>
      <c r="K879" s="205"/>
      <c r="L879" s="205"/>
      <c r="M879" s="201"/>
      <c r="N879" s="207"/>
      <c r="O879" s="208"/>
      <c r="P879" s="208"/>
      <c r="Q879" s="208"/>
      <c r="R879" s="208"/>
      <c r="S879" s="208"/>
      <c r="T879" s="208"/>
      <c r="U879" s="209"/>
      <c r="V879" s="210"/>
    </row>
    <row r="880" ht="15.75" customHeight="1">
      <c r="A880" s="200"/>
      <c r="B880" s="201"/>
      <c r="C880" s="202"/>
      <c r="D880" s="203"/>
      <c r="E880" s="201"/>
      <c r="F880" s="204"/>
      <c r="G880" s="204"/>
      <c r="H880" s="205"/>
      <c r="I880" s="205"/>
      <c r="J880" s="206"/>
      <c r="K880" s="205"/>
      <c r="L880" s="205"/>
      <c r="M880" s="201"/>
      <c r="N880" s="207"/>
      <c r="O880" s="208"/>
      <c r="P880" s="208"/>
      <c r="Q880" s="208"/>
      <c r="R880" s="208"/>
      <c r="S880" s="208"/>
      <c r="T880" s="208"/>
      <c r="U880" s="209"/>
      <c r="V880" s="210"/>
    </row>
    <row r="881" ht="15.75" customHeight="1">
      <c r="A881" s="200"/>
      <c r="B881" s="201"/>
      <c r="C881" s="202"/>
      <c r="D881" s="203"/>
      <c r="E881" s="201"/>
      <c r="F881" s="204"/>
      <c r="G881" s="204"/>
      <c r="H881" s="205"/>
      <c r="I881" s="205"/>
      <c r="J881" s="206"/>
      <c r="K881" s="205"/>
      <c r="L881" s="205"/>
      <c r="M881" s="201"/>
      <c r="N881" s="207"/>
      <c r="O881" s="208"/>
      <c r="P881" s="208"/>
      <c r="Q881" s="208"/>
      <c r="R881" s="208"/>
      <c r="S881" s="208"/>
      <c r="T881" s="208"/>
      <c r="U881" s="209"/>
      <c r="V881" s="210"/>
    </row>
    <row r="882" ht="15.75" customHeight="1">
      <c r="A882" s="200"/>
      <c r="B882" s="201"/>
      <c r="C882" s="202"/>
      <c r="D882" s="203"/>
      <c r="E882" s="201"/>
      <c r="F882" s="204"/>
      <c r="G882" s="204"/>
      <c r="H882" s="205"/>
      <c r="I882" s="205"/>
      <c r="J882" s="206"/>
      <c r="K882" s="205"/>
      <c r="L882" s="205"/>
      <c r="M882" s="201"/>
      <c r="N882" s="207"/>
      <c r="O882" s="208"/>
      <c r="P882" s="208"/>
      <c r="Q882" s="208"/>
      <c r="R882" s="208"/>
      <c r="S882" s="208"/>
      <c r="T882" s="208"/>
      <c r="U882" s="209"/>
      <c r="V882" s="210"/>
    </row>
    <row r="883" ht="15.75" customHeight="1">
      <c r="A883" s="200"/>
      <c r="B883" s="201"/>
      <c r="C883" s="202"/>
      <c r="D883" s="203"/>
      <c r="E883" s="201"/>
      <c r="F883" s="204"/>
      <c r="G883" s="204"/>
      <c r="H883" s="205"/>
      <c r="I883" s="205"/>
      <c r="J883" s="206"/>
      <c r="K883" s="205"/>
      <c r="L883" s="205"/>
      <c r="M883" s="201"/>
      <c r="N883" s="207"/>
      <c r="O883" s="208"/>
      <c r="P883" s="208"/>
      <c r="Q883" s="208"/>
      <c r="R883" s="208"/>
      <c r="S883" s="208"/>
      <c r="T883" s="208"/>
      <c r="U883" s="209"/>
      <c r="V883" s="210"/>
    </row>
    <row r="884" ht="15.75" customHeight="1">
      <c r="A884" s="200"/>
      <c r="B884" s="201"/>
      <c r="C884" s="202"/>
      <c r="D884" s="203"/>
      <c r="E884" s="201"/>
      <c r="F884" s="204"/>
      <c r="G884" s="204"/>
      <c r="H884" s="205"/>
      <c r="I884" s="205"/>
      <c r="J884" s="206"/>
      <c r="K884" s="205"/>
      <c r="L884" s="205"/>
      <c r="M884" s="201"/>
      <c r="N884" s="207"/>
      <c r="O884" s="208"/>
      <c r="P884" s="208"/>
      <c r="Q884" s="208"/>
      <c r="R884" s="208"/>
      <c r="S884" s="208"/>
      <c r="T884" s="208"/>
      <c r="U884" s="209"/>
      <c r="V884" s="210"/>
    </row>
    <row r="885" ht="15.75" customHeight="1">
      <c r="A885" s="200"/>
      <c r="B885" s="201"/>
      <c r="C885" s="202"/>
      <c r="D885" s="203"/>
      <c r="E885" s="201"/>
      <c r="F885" s="204"/>
      <c r="G885" s="204"/>
      <c r="H885" s="205"/>
      <c r="I885" s="205"/>
      <c r="J885" s="206"/>
      <c r="K885" s="205"/>
      <c r="L885" s="205"/>
      <c r="M885" s="201"/>
      <c r="N885" s="207"/>
      <c r="O885" s="208"/>
      <c r="P885" s="208"/>
      <c r="Q885" s="208"/>
      <c r="R885" s="208"/>
      <c r="S885" s="208"/>
      <c r="T885" s="208"/>
      <c r="U885" s="209"/>
      <c r="V885" s="210"/>
    </row>
    <row r="886" ht="15.75" customHeight="1">
      <c r="A886" s="200"/>
      <c r="B886" s="201"/>
      <c r="C886" s="202"/>
      <c r="D886" s="203"/>
      <c r="E886" s="201"/>
      <c r="F886" s="204"/>
      <c r="G886" s="204"/>
      <c r="H886" s="205"/>
      <c r="I886" s="205"/>
      <c r="J886" s="206"/>
      <c r="K886" s="205"/>
      <c r="L886" s="205"/>
      <c r="M886" s="201"/>
      <c r="N886" s="207"/>
      <c r="O886" s="208"/>
      <c r="P886" s="208"/>
      <c r="Q886" s="208"/>
      <c r="R886" s="208"/>
      <c r="S886" s="208"/>
      <c r="T886" s="208"/>
      <c r="U886" s="209"/>
      <c r="V886" s="210"/>
    </row>
    <row r="887" ht="15.75" customHeight="1">
      <c r="A887" s="200"/>
      <c r="B887" s="201"/>
      <c r="C887" s="202"/>
      <c r="D887" s="203"/>
      <c r="E887" s="201"/>
      <c r="F887" s="204"/>
      <c r="G887" s="204"/>
      <c r="H887" s="205"/>
      <c r="I887" s="205"/>
      <c r="J887" s="206"/>
      <c r="K887" s="205"/>
      <c r="L887" s="205"/>
      <c r="M887" s="201"/>
      <c r="N887" s="207"/>
      <c r="O887" s="208"/>
      <c r="P887" s="208"/>
      <c r="Q887" s="208"/>
      <c r="R887" s="208"/>
      <c r="S887" s="208"/>
      <c r="T887" s="208"/>
      <c r="U887" s="209"/>
      <c r="V887" s="210"/>
    </row>
    <row r="888" ht="15.75" customHeight="1">
      <c r="A888" s="200"/>
      <c r="B888" s="201"/>
      <c r="C888" s="202"/>
      <c r="D888" s="203"/>
      <c r="E888" s="201"/>
      <c r="F888" s="204"/>
      <c r="G888" s="204"/>
      <c r="H888" s="205"/>
      <c r="I888" s="205"/>
      <c r="J888" s="206"/>
      <c r="K888" s="205"/>
      <c r="L888" s="205"/>
      <c r="M888" s="201"/>
      <c r="N888" s="207"/>
      <c r="O888" s="208"/>
      <c r="P888" s="208"/>
      <c r="Q888" s="208"/>
      <c r="R888" s="208"/>
      <c r="S888" s="208"/>
      <c r="T888" s="208"/>
      <c r="U888" s="209"/>
      <c r="V888" s="210"/>
    </row>
    <row r="889" ht="15.75" customHeight="1">
      <c r="A889" s="200"/>
      <c r="B889" s="201"/>
      <c r="C889" s="202"/>
      <c r="D889" s="203"/>
      <c r="E889" s="201"/>
      <c r="F889" s="204"/>
      <c r="G889" s="204"/>
      <c r="H889" s="205"/>
      <c r="I889" s="205"/>
      <c r="J889" s="206"/>
      <c r="K889" s="205"/>
      <c r="L889" s="205"/>
      <c r="M889" s="201"/>
      <c r="N889" s="207"/>
      <c r="O889" s="208"/>
      <c r="P889" s="208"/>
      <c r="Q889" s="208"/>
      <c r="R889" s="208"/>
      <c r="S889" s="208"/>
      <c r="T889" s="208"/>
      <c r="U889" s="209"/>
      <c r="V889" s="210"/>
    </row>
    <row r="890" ht="15.75" customHeight="1">
      <c r="A890" s="200"/>
      <c r="B890" s="201"/>
      <c r="C890" s="202"/>
      <c r="D890" s="203"/>
      <c r="E890" s="201"/>
      <c r="F890" s="204"/>
      <c r="G890" s="204"/>
      <c r="H890" s="205"/>
      <c r="I890" s="205"/>
      <c r="J890" s="206"/>
      <c r="K890" s="205"/>
      <c r="L890" s="205"/>
      <c r="M890" s="201"/>
      <c r="N890" s="207"/>
      <c r="O890" s="208"/>
      <c r="P890" s="208"/>
      <c r="Q890" s="208"/>
      <c r="R890" s="208"/>
      <c r="S890" s="208"/>
      <c r="T890" s="208"/>
      <c r="U890" s="209"/>
      <c r="V890" s="210"/>
    </row>
    <row r="891" ht="15.75" customHeight="1">
      <c r="A891" s="200"/>
      <c r="B891" s="201"/>
      <c r="C891" s="202"/>
      <c r="D891" s="203"/>
      <c r="E891" s="201"/>
      <c r="F891" s="204"/>
      <c r="G891" s="204"/>
      <c r="H891" s="205"/>
      <c r="I891" s="205"/>
      <c r="J891" s="206"/>
      <c r="K891" s="205"/>
      <c r="L891" s="205"/>
      <c r="M891" s="201"/>
      <c r="N891" s="207"/>
      <c r="O891" s="208"/>
      <c r="P891" s="208"/>
      <c r="Q891" s="208"/>
      <c r="R891" s="208"/>
      <c r="S891" s="208"/>
      <c r="T891" s="208"/>
      <c r="U891" s="209"/>
      <c r="V891" s="210"/>
    </row>
    <row r="892" ht="15.75" customHeight="1">
      <c r="A892" s="200"/>
      <c r="B892" s="201"/>
      <c r="C892" s="202"/>
      <c r="D892" s="203"/>
      <c r="E892" s="201"/>
      <c r="F892" s="204"/>
      <c r="G892" s="204"/>
      <c r="H892" s="205"/>
      <c r="I892" s="205"/>
      <c r="J892" s="206"/>
      <c r="K892" s="205"/>
      <c r="L892" s="205"/>
      <c r="M892" s="201"/>
      <c r="N892" s="207"/>
      <c r="O892" s="208"/>
      <c r="P892" s="208"/>
      <c r="Q892" s="208"/>
      <c r="R892" s="208"/>
      <c r="S892" s="208"/>
      <c r="T892" s="208"/>
      <c r="U892" s="209"/>
      <c r="V892" s="210"/>
    </row>
    <row r="893" ht="15.75" customHeight="1">
      <c r="A893" s="200"/>
      <c r="B893" s="201"/>
      <c r="C893" s="202"/>
      <c r="D893" s="203"/>
      <c r="E893" s="201"/>
      <c r="F893" s="204"/>
      <c r="G893" s="204"/>
      <c r="H893" s="205"/>
      <c r="I893" s="205"/>
      <c r="J893" s="206"/>
      <c r="K893" s="205"/>
      <c r="L893" s="205"/>
      <c r="M893" s="201"/>
      <c r="N893" s="207"/>
      <c r="O893" s="208"/>
      <c r="P893" s="208"/>
      <c r="Q893" s="208"/>
      <c r="R893" s="208"/>
      <c r="S893" s="208"/>
      <c r="T893" s="208"/>
      <c r="U893" s="209"/>
      <c r="V893" s="210"/>
    </row>
    <row r="894" ht="15.75" customHeight="1">
      <c r="A894" s="200"/>
      <c r="B894" s="201"/>
      <c r="C894" s="202"/>
      <c r="D894" s="203"/>
      <c r="E894" s="201"/>
      <c r="F894" s="204"/>
      <c r="G894" s="204"/>
      <c r="H894" s="205"/>
      <c r="I894" s="205"/>
      <c r="J894" s="206"/>
      <c r="K894" s="205"/>
      <c r="L894" s="205"/>
      <c r="M894" s="201"/>
      <c r="N894" s="207"/>
      <c r="O894" s="208"/>
      <c r="P894" s="208"/>
      <c r="Q894" s="208"/>
      <c r="R894" s="208"/>
      <c r="S894" s="208"/>
      <c r="T894" s="208"/>
      <c r="U894" s="209"/>
      <c r="V894" s="210"/>
    </row>
    <row r="895" ht="15.75" customHeight="1">
      <c r="A895" s="200"/>
      <c r="B895" s="201"/>
      <c r="C895" s="202"/>
      <c r="D895" s="203"/>
      <c r="E895" s="201"/>
      <c r="F895" s="204"/>
      <c r="G895" s="204"/>
      <c r="H895" s="205"/>
      <c r="I895" s="205"/>
      <c r="J895" s="206"/>
      <c r="K895" s="205"/>
      <c r="L895" s="205"/>
      <c r="M895" s="201"/>
      <c r="N895" s="207"/>
      <c r="O895" s="208"/>
      <c r="P895" s="208"/>
      <c r="Q895" s="208"/>
      <c r="R895" s="208"/>
      <c r="S895" s="208"/>
      <c r="T895" s="208"/>
      <c r="U895" s="209"/>
      <c r="V895" s="210"/>
    </row>
    <row r="896" ht="15.75" customHeight="1">
      <c r="A896" s="200"/>
      <c r="B896" s="201"/>
      <c r="C896" s="202"/>
      <c r="D896" s="203"/>
      <c r="E896" s="201"/>
      <c r="F896" s="204"/>
      <c r="G896" s="204"/>
      <c r="H896" s="205"/>
      <c r="I896" s="205"/>
      <c r="J896" s="206"/>
      <c r="K896" s="205"/>
      <c r="L896" s="205"/>
      <c r="M896" s="201"/>
      <c r="N896" s="207"/>
      <c r="O896" s="208"/>
      <c r="P896" s="208"/>
      <c r="Q896" s="208"/>
      <c r="R896" s="208"/>
      <c r="S896" s="208"/>
      <c r="T896" s="208"/>
      <c r="U896" s="209"/>
      <c r="V896" s="210"/>
    </row>
    <row r="897" ht="15.75" customHeight="1">
      <c r="A897" s="200"/>
      <c r="B897" s="201"/>
      <c r="C897" s="202"/>
      <c r="D897" s="203"/>
      <c r="E897" s="201"/>
      <c r="F897" s="204"/>
      <c r="G897" s="204"/>
      <c r="H897" s="205"/>
      <c r="I897" s="205"/>
      <c r="J897" s="206"/>
      <c r="K897" s="205"/>
      <c r="L897" s="205"/>
      <c r="M897" s="201"/>
      <c r="N897" s="207"/>
      <c r="O897" s="208"/>
      <c r="P897" s="208"/>
      <c r="Q897" s="208"/>
      <c r="R897" s="208"/>
      <c r="S897" s="208"/>
      <c r="T897" s="208"/>
      <c r="U897" s="209"/>
      <c r="V897" s="210"/>
    </row>
    <row r="898" ht="15.75" customHeight="1">
      <c r="A898" s="200"/>
      <c r="B898" s="201"/>
      <c r="C898" s="202"/>
      <c r="D898" s="203"/>
      <c r="E898" s="201"/>
      <c r="F898" s="204"/>
      <c r="G898" s="204"/>
      <c r="H898" s="205"/>
      <c r="I898" s="205"/>
      <c r="J898" s="206"/>
      <c r="K898" s="205"/>
      <c r="L898" s="205"/>
      <c r="M898" s="201"/>
      <c r="N898" s="207"/>
      <c r="O898" s="208"/>
      <c r="P898" s="208"/>
      <c r="Q898" s="208"/>
      <c r="R898" s="208"/>
      <c r="S898" s="208"/>
      <c r="T898" s="208"/>
      <c r="U898" s="209"/>
      <c r="V898" s="210"/>
    </row>
    <row r="899" ht="15.75" customHeight="1">
      <c r="A899" s="200"/>
      <c r="B899" s="201"/>
      <c r="C899" s="202"/>
      <c r="D899" s="203"/>
      <c r="E899" s="201"/>
      <c r="F899" s="204"/>
      <c r="G899" s="204"/>
      <c r="H899" s="205"/>
      <c r="I899" s="205"/>
      <c r="J899" s="206"/>
      <c r="K899" s="205"/>
      <c r="L899" s="205"/>
      <c r="M899" s="201"/>
      <c r="N899" s="207"/>
      <c r="O899" s="208"/>
      <c r="P899" s="208"/>
      <c r="Q899" s="208"/>
      <c r="R899" s="208"/>
      <c r="S899" s="208"/>
      <c r="T899" s="208"/>
      <c r="U899" s="209"/>
      <c r="V899" s="210"/>
    </row>
    <row r="900" ht="15.75" customHeight="1">
      <c r="A900" s="200"/>
      <c r="B900" s="201"/>
      <c r="C900" s="202"/>
      <c r="D900" s="203"/>
      <c r="E900" s="201"/>
      <c r="F900" s="204"/>
      <c r="G900" s="204"/>
      <c r="H900" s="205"/>
      <c r="I900" s="205"/>
      <c r="J900" s="206"/>
      <c r="K900" s="205"/>
      <c r="L900" s="205"/>
      <c r="M900" s="201"/>
      <c r="N900" s="207"/>
      <c r="O900" s="208"/>
      <c r="P900" s="208"/>
      <c r="Q900" s="208"/>
      <c r="R900" s="208"/>
      <c r="S900" s="208"/>
      <c r="T900" s="208"/>
      <c r="U900" s="209"/>
      <c r="V900" s="210"/>
    </row>
    <row r="901" ht="15.75" customHeight="1">
      <c r="A901" s="200"/>
      <c r="B901" s="201"/>
      <c r="C901" s="202"/>
      <c r="D901" s="203"/>
      <c r="E901" s="201"/>
      <c r="F901" s="204"/>
      <c r="G901" s="204"/>
      <c r="H901" s="205"/>
      <c r="I901" s="205"/>
      <c r="J901" s="206"/>
      <c r="K901" s="205"/>
      <c r="L901" s="205"/>
      <c r="M901" s="201"/>
      <c r="N901" s="207"/>
      <c r="O901" s="208"/>
      <c r="P901" s="208"/>
      <c r="Q901" s="208"/>
      <c r="R901" s="208"/>
      <c r="S901" s="208"/>
      <c r="T901" s="208"/>
      <c r="U901" s="209"/>
      <c r="V901" s="210"/>
    </row>
    <row r="902" ht="15.75" customHeight="1">
      <c r="A902" s="200"/>
      <c r="B902" s="201"/>
      <c r="C902" s="202"/>
      <c r="D902" s="203"/>
      <c r="E902" s="201"/>
      <c r="F902" s="204"/>
      <c r="G902" s="204"/>
      <c r="H902" s="205"/>
      <c r="I902" s="205"/>
      <c r="J902" s="206"/>
      <c r="K902" s="205"/>
      <c r="L902" s="205"/>
      <c r="M902" s="201"/>
      <c r="N902" s="207"/>
      <c r="O902" s="208"/>
      <c r="P902" s="208"/>
      <c r="Q902" s="208"/>
      <c r="R902" s="208"/>
      <c r="S902" s="208"/>
      <c r="T902" s="208"/>
      <c r="U902" s="209"/>
      <c r="V902" s="210"/>
    </row>
    <row r="903" ht="15.75" customHeight="1">
      <c r="A903" s="200"/>
      <c r="B903" s="201"/>
      <c r="C903" s="202"/>
      <c r="D903" s="203"/>
      <c r="E903" s="201"/>
      <c r="F903" s="204"/>
      <c r="G903" s="204"/>
      <c r="H903" s="205"/>
      <c r="I903" s="205"/>
      <c r="J903" s="206"/>
      <c r="K903" s="205"/>
      <c r="L903" s="205"/>
      <c r="M903" s="201"/>
      <c r="N903" s="207"/>
      <c r="O903" s="208"/>
      <c r="P903" s="208"/>
      <c r="Q903" s="208"/>
      <c r="R903" s="208"/>
      <c r="S903" s="208"/>
      <c r="T903" s="208"/>
      <c r="U903" s="209"/>
      <c r="V903" s="210"/>
    </row>
    <row r="904" ht="15.75" customHeight="1">
      <c r="A904" s="200"/>
      <c r="B904" s="201"/>
      <c r="C904" s="202"/>
      <c r="D904" s="203"/>
      <c r="E904" s="201"/>
      <c r="F904" s="204"/>
      <c r="G904" s="204"/>
      <c r="H904" s="205"/>
      <c r="I904" s="205"/>
      <c r="J904" s="206"/>
      <c r="K904" s="205"/>
      <c r="L904" s="205"/>
      <c r="M904" s="201"/>
      <c r="N904" s="207"/>
      <c r="O904" s="208"/>
      <c r="P904" s="208"/>
      <c r="Q904" s="208"/>
      <c r="R904" s="208"/>
      <c r="S904" s="208"/>
      <c r="T904" s="208"/>
      <c r="U904" s="209"/>
      <c r="V904" s="210"/>
    </row>
    <row r="905" ht="15.75" customHeight="1">
      <c r="A905" s="200"/>
      <c r="B905" s="201"/>
      <c r="C905" s="202"/>
      <c r="D905" s="203"/>
      <c r="E905" s="201"/>
      <c r="F905" s="204"/>
      <c r="G905" s="204"/>
      <c r="H905" s="205"/>
      <c r="I905" s="205"/>
      <c r="J905" s="206"/>
      <c r="K905" s="205"/>
      <c r="L905" s="205"/>
      <c r="M905" s="201"/>
      <c r="N905" s="207"/>
      <c r="O905" s="208"/>
      <c r="P905" s="208"/>
      <c r="Q905" s="208"/>
      <c r="R905" s="208"/>
      <c r="S905" s="208"/>
      <c r="T905" s="208"/>
      <c r="U905" s="209"/>
      <c r="V905" s="210"/>
    </row>
    <row r="906" ht="15.75" customHeight="1">
      <c r="A906" s="200"/>
      <c r="B906" s="201"/>
      <c r="C906" s="202"/>
      <c r="D906" s="203"/>
      <c r="E906" s="201"/>
      <c r="F906" s="204"/>
      <c r="G906" s="204"/>
      <c r="H906" s="205"/>
      <c r="I906" s="205"/>
      <c r="J906" s="206"/>
      <c r="K906" s="205"/>
      <c r="L906" s="205"/>
      <c r="M906" s="201"/>
      <c r="N906" s="207"/>
      <c r="O906" s="208"/>
      <c r="P906" s="208"/>
      <c r="Q906" s="208"/>
      <c r="R906" s="208"/>
      <c r="S906" s="208"/>
      <c r="T906" s="208"/>
      <c r="U906" s="209"/>
      <c r="V906" s="210"/>
    </row>
    <row r="907" ht="15.75" customHeight="1">
      <c r="A907" s="200"/>
      <c r="B907" s="201"/>
      <c r="C907" s="202"/>
      <c r="D907" s="203"/>
      <c r="E907" s="201"/>
      <c r="F907" s="204"/>
      <c r="G907" s="204"/>
      <c r="H907" s="205"/>
      <c r="I907" s="205"/>
      <c r="J907" s="206"/>
      <c r="K907" s="205"/>
      <c r="L907" s="205"/>
      <c r="M907" s="201"/>
      <c r="N907" s="207"/>
      <c r="O907" s="208"/>
      <c r="P907" s="208"/>
      <c r="Q907" s="208"/>
      <c r="R907" s="208"/>
      <c r="S907" s="208"/>
      <c r="T907" s="208"/>
      <c r="U907" s="209"/>
      <c r="V907" s="210"/>
    </row>
    <row r="908" ht="15.75" customHeight="1">
      <c r="A908" s="200"/>
      <c r="B908" s="201"/>
      <c r="C908" s="202"/>
      <c r="D908" s="203"/>
      <c r="E908" s="201"/>
      <c r="F908" s="204"/>
      <c r="G908" s="204"/>
      <c r="H908" s="205"/>
      <c r="I908" s="205"/>
      <c r="J908" s="206"/>
      <c r="K908" s="205"/>
      <c r="L908" s="205"/>
      <c r="M908" s="201"/>
      <c r="N908" s="207"/>
      <c r="O908" s="208"/>
      <c r="P908" s="208"/>
      <c r="Q908" s="208"/>
      <c r="R908" s="208"/>
      <c r="S908" s="208"/>
      <c r="T908" s="208"/>
      <c r="U908" s="209"/>
      <c r="V908" s="210"/>
    </row>
    <row r="909" ht="15.75" customHeight="1">
      <c r="A909" s="200"/>
      <c r="B909" s="201"/>
      <c r="C909" s="202"/>
      <c r="D909" s="203"/>
      <c r="E909" s="201"/>
      <c r="F909" s="204"/>
      <c r="G909" s="204"/>
      <c r="H909" s="205"/>
      <c r="I909" s="205"/>
      <c r="J909" s="206"/>
      <c r="K909" s="205"/>
      <c r="L909" s="205"/>
      <c r="M909" s="201"/>
      <c r="N909" s="207"/>
      <c r="O909" s="208"/>
      <c r="P909" s="208"/>
      <c r="Q909" s="208"/>
      <c r="R909" s="208"/>
      <c r="S909" s="208"/>
      <c r="T909" s="208"/>
      <c r="U909" s="209"/>
      <c r="V909" s="210"/>
    </row>
    <row r="910" ht="15.75" customHeight="1">
      <c r="A910" s="200"/>
      <c r="B910" s="201"/>
      <c r="C910" s="202"/>
      <c r="D910" s="203"/>
      <c r="E910" s="201"/>
      <c r="F910" s="204"/>
      <c r="G910" s="204"/>
      <c r="H910" s="205"/>
      <c r="I910" s="205"/>
      <c r="J910" s="206"/>
      <c r="K910" s="205"/>
      <c r="L910" s="205"/>
      <c r="M910" s="201"/>
      <c r="N910" s="207"/>
      <c r="O910" s="208"/>
      <c r="P910" s="208"/>
      <c r="Q910" s="208"/>
      <c r="R910" s="208"/>
      <c r="S910" s="208"/>
      <c r="T910" s="208"/>
      <c r="U910" s="209"/>
      <c r="V910" s="210"/>
    </row>
    <row r="911" ht="15.75" customHeight="1">
      <c r="A911" s="200"/>
      <c r="B911" s="201"/>
      <c r="C911" s="202"/>
      <c r="D911" s="203"/>
      <c r="E911" s="201"/>
      <c r="F911" s="204"/>
      <c r="G911" s="204"/>
      <c r="H911" s="205"/>
      <c r="I911" s="205"/>
      <c r="J911" s="206"/>
      <c r="K911" s="205"/>
      <c r="L911" s="205"/>
      <c r="M911" s="201"/>
      <c r="N911" s="207"/>
      <c r="O911" s="208"/>
      <c r="P911" s="208"/>
      <c r="Q911" s="208"/>
      <c r="R911" s="208"/>
      <c r="S911" s="208"/>
      <c r="T911" s="208"/>
      <c r="U911" s="209"/>
      <c r="V911" s="210"/>
    </row>
    <row r="912" ht="15.75" customHeight="1">
      <c r="A912" s="200"/>
      <c r="B912" s="201"/>
      <c r="C912" s="202"/>
      <c r="D912" s="203"/>
      <c r="E912" s="201"/>
      <c r="F912" s="204"/>
      <c r="G912" s="204"/>
      <c r="H912" s="205"/>
      <c r="I912" s="205"/>
      <c r="J912" s="206"/>
      <c r="K912" s="205"/>
      <c r="L912" s="205"/>
      <c r="M912" s="201"/>
      <c r="N912" s="207"/>
      <c r="O912" s="208"/>
      <c r="P912" s="208"/>
      <c r="Q912" s="208"/>
      <c r="R912" s="208"/>
      <c r="S912" s="208"/>
      <c r="T912" s="208"/>
      <c r="U912" s="209"/>
      <c r="V912" s="210"/>
    </row>
    <row r="913" ht="15.75" customHeight="1">
      <c r="A913" s="200"/>
      <c r="B913" s="201"/>
      <c r="C913" s="202"/>
      <c r="D913" s="203"/>
      <c r="E913" s="201"/>
      <c r="F913" s="204"/>
      <c r="G913" s="204"/>
      <c r="H913" s="205"/>
      <c r="I913" s="205"/>
      <c r="J913" s="206"/>
      <c r="K913" s="205"/>
      <c r="L913" s="205"/>
      <c r="M913" s="201"/>
      <c r="N913" s="207"/>
      <c r="O913" s="208"/>
      <c r="P913" s="208"/>
      <c r="Q913" s="208"/>
      <c r="R913" s="208"/>
      <c r="S913" s="208"/>
      <c r="T913" s="208"/>
      <c r="U913" s="209"/>
      <c r="V913" s="210"/>
    </row>
    <row r="914" ht="15.75" customHeight="1">
      <c r="A914" s="200"/>
      <c r="B914" s="201"/>
      <c r="C914" s="202"/>
      <c r="D914" s="203"/>
      <c r="E914" s="201"/>
      <c r="F914" s="204"/>
      <c r="G914" s="204"/>
      <c r="H914" s="205"/>
      <c r="I914" s="205"/>
      <c r="J914" s="206"/>
      <c r="K914" s="205"/>
      <c r="L914" s="205"/>
      <c r="M914" s="201"/>
      <c r="N914" s="207"/>
      <c r="O914" s="208"/>
      <c r="P914" s="208"/>
      <c r="Q914" s="208"/>
      <c r="R914" s="208"/>
      <c r="S914" s="208"/>
      <c r="T914" s="208"/>
      <c r="U914" s="209"/>
      <c r="V914" s="210"/>
    </row>
    <row r="915" ht="15.75" customHeight="1">
      <c r="A915" s="200"/>
      <c r="B915" s="201"/>
      <c r="C915" s="202"/>
      <c r="D915" s="203"/>
      <c r="E915" s="201"/>
      <c r="F915" s="204"/>
      <c r="G915" s="204"/>
      <c r="H915" s="205"/>
      <c r="I915" s="205"/>
      <c r="J915" s="206"/>
      <c r="K915" s="205"/>
      <c r="L915" s="205"/>
      <c r="M915" s="201"/>
      <c r="N915" s="207"/>
      <c r="O915" s="208"/>
      <c r="P915" s="208"/>
      <c r="Q915" s="208"/>
      <c r="R915" s="208"/>
      <c r="S915" s="208"/>
      <c r="T915" s="208"/>
      <c r="U915" s="209"/>
      <c r="V915" s="210"/>
    </row>
    <row r="916" ht="15.75" customHeight="1">
      <c r="A916" s="200"/>
      <c r="B916" s="201"/>
      <c r="C916" s="202"/>
      <c r="D916" s="203"/>
      <c r="E916" s="201"/>
      <c r="F916" s="204"/>
      <c r="G916" s="204"/>
      <c r="H916" s="205"/>
      <c r="I916" s="205"/>
      <c r="J916" s="206"/>
      <c r="K916" s="205"/>
      <c r="L916" s="205"/>
      <c r="M916" s="201"/>
      <c r="N916" s="207"/>
      <c r="O916" s="208"/>
      <c r="P916" s="208"/>
      <c r="Q916" s="208"/>
      <c r="R916" s="208"/>
      <c r="S916" s="208"/>
      <c r="T916" s="208"/>
      <c r="U916" s="209"/>
      <c r="V916" s="210"/>
    </row>
    <row r="917" ht="15.75" customHeight="1">
      <c r="A917" s="200"/>
      <c r="B917" s="201"/>
      <c r="C917" s="202"/>
      <c r="D917" s="203"/>
      <c r="E917" s="201"/>
      <c r="F917" s="204"/>
      <c r="G917" s="204"/>
      <c r="H917" s="205"/>
      <c r="I917" s="205"/>
      <c r="J917" s="206"/>
      <c r="K917" s="205"/>
      <c r="L917" s="205"/>
      <c r="M917" s="201"/>
      <c r="N917" s="207"/>
      <c r="O917" s="208"/>
      <c r="P917" s="208"/>
      <c r="Q917" s="208"/>
      <c r="R917" s="208"/>
      <c r="S917" s="208"/>
      <c r="T917" s="208"/>
      <c r="U917" s="209"/>
      <c r="V917" s="210"/>
    </row>
    <row r="918" ht="15.75" customHeight="1">
      <c r="A918" s="200"/>
      <c r="B918" s="201"/>
      <c r="C918" s="202"/>
      <c r="D918" s="203"/>
      <c r="E918" s="201"/>
      <c r="F918" s="204"/>
      <c r="G918" s="204"/>
      <c r="H918" s="205"/>
      <c r="I918" s="205"/>
      <c r="J918" s="206"/>
      <c r="K918" s="205"/>
      <c r="L918" s="205"/>
      <c r="M918" s="201"/>
      <c r="N918" s="207"/>
      <c r="O918" s="208"/>
      <c r="P918" s="208"/>
      <c r="Q918" s="208"/>
      <c r="R918" s="208"/>
      <c r="S918" s="208"/>
      <c r="T918" s="208"/>
      <c r="U918" s="209"/>
      <c r="V918" s="210"/>
    </row>
    <row r="919" ht="15.75" customHeight="1">
      <c r="A919" s="200"/>
      <c r="B919" s="201"/>
      <c r="C919" s="202"/>
      <c r="D919" s="203"/>
      <c r="E919" s="201"/>
      <c r="F919" s="204"/>
      <c r="G919" s="204"/>
      <c r="H919" s="205"/>
      <c r="I919" s="205"/>
      <c r="J919" s="206"/>
      <c r="K919" s="205"/>
      <c r="L919" s="205"/>
      <c r="M919" s="201"/>
      <c r="N919" s="207"/>
      <c r="O919" s="208"/>
      <c r="P919" s="208"/>
      <c r="Q919" s="208"/>
      <c r="R919" s="208"/>
      <c r="S919" s="208"/>
      <c r="T919" s="208"/>
      <c r="U919" s="209"/>
      <c r="V919" s="210"/>
    </row>
    <row r="920" ht="15.75" customHeight="1">
      <c r="A920" s="200"/>
      <c r="B920" s="201"/>
      <c r="C920" s="202"/>
      <c r="D920" s="203"/>
      <c r="E920" s="201"/>
      <c r="F920" s="204"/>
      <c r="G920" s="204"/>
      <c r="H920" s="205"/>
      <c r="I920" s="205"/>
      <c r="J920" s="206"/>
      <c r="K920" s="205"/>
      <c r="L920" s="205"/>
      <c r="M920" s="201"/>
      <c r="N920" s="207"/>
      <c r="O920" s="208"/>
      <c r="P920" s="208"/>
      <c r="Q920" s="208"/>
      <c r="R920" s="208"/>
      <c r="S920" s="208"/>
      <c r="T920" s="208"/>
      <c r="U920" s="209"/>
      <c r="V920" s="210"/>
    </row>
    <row r="921" ht="15.75" customHeight="1">
      <c r="A921" s="200"/>
      <c r="B921" s="201"/>
      <c r="C921" s="202"/>
      <c r="D921" s="203"/>
      <c r="E921" s="201"/>
      <c r="F921" s="204"/>
      <c r="G921" s="204"/>
      <c r="H921" s="205"/>
      <c r="I921" s="205"/>
      <c r="J921" s="206"/>
      <c r="K921" s="205"/>
      <c r="L921" s="205"/>
      <c r="M921" s="201"/>
      <c r="N921" s="207"/>
      <c r="O921" s="208"/>
      <c r="P921" s="208"/>
      <c r="Q921" s="208"/>
      <c r="R921" s="208"/>
      <c r="S921" s="208"/>
      <c r="T921" s="208"/>
      <c r="U921" s="209"/>
      <c r="V921" s="210"/>
    </row>
    <row r="922" ht="15.75" customHeight="1">
      <c r="A922" s="200"/>
      <c r="B922" s="201"/>
      <c r="C922" s="202"/>
      <c r="D922" s="203"/>
      <c r="E922" s="201"/>
      <c r="F922" s="204"/>
      <c r="G922" s="204"/>
      <c r="H922" s="205"/>
      <c r="I922" s="205"/>
      <c r="J922" s="206"/>
      <c r="K922" s="205"/>
      <c r="L922" s="205"/>
      <c r="M922" s="201"/>
      <c r="N922" s="207"/>
      <c r="O922" s="208"/>
      <c r="P922" s="208"/>
      <c r="Q922" s="208"/>
      <c r="R922" s="208"/>
      <c r="S922" s="208"/>
      <c r="T922" s="208"/>
      <c r="U922" s="209"/>
      <c r="V922" s="210"/>
    </row>
    <row r="923" ht="15.75" customHeight="1">
      <c r="A923" s="200"/>
      <c r="B923" s="201"/>
      <c r="C923" s="202"/>
      <c r="D923" s="203"/>
      <c r="E923" s="201"/>
      <c r="F923" s="204"/>
      <c r="G923" s="204"/>
      <c r="H923" s="205"/>
      <c r="I923" s="205"/>
      <c r="J923" s="206"/>
      <c r="K923" s="205"/>
      <c r="L923" s="205"/>
      <c r="M923" s="201"/>
      <c r="N923" s="207"/>
      <c r="O923" s="208"/>
      <c r="P923" s="208"/>
      <c r="Q923" s="208"/>
      <c r="R923" s="208"/>
      <c r="S923" s="208"/>
      <c r="T923" s="208"/>
      <c r="U923" s="209"/>
      <c r="V923" s="210"/>
    </row>
    <row r="924" ht="15.75" customHeight="1">
      <c r="A924" s="200"/>
      <c r="B924" s="201"/>
      <c r="C924" s="202"/>
      <c r="D924" s="203"/>
      <c r="E924" s="201"/>
      <c r="F924" s="204"/>
      <c r="G924" s="204"/>
      <c r="H924" s="205"/>
      <c r="I924" s="205"/>
      <c r="J924" s="206"/>
      <c r="K924" s="205"/>
      <c r="L924" s="205"/>
      <c r="M924" s="201"/>
      <c r="N924" s="207"/>
      <c r="O924" s="208"/>
      <c r="P924" s="208"/>
      <c r="Q924" s="208"/>
      <c r="R924" s="208"/>
      <c r="S924" s="208"/>
      <c r="T924" s="208"/>
      <c r="U924" s="209"/>
      <c r="V924" s="210"/>
    </row>
    <row r="925" ht="15.75" customHeight="1">
      <c r="A925" s="200"/>
      <c r="B925" s="201"/>
      <c r="C925" s="202"/>
      <c r="D925" s="203"/>
      <c r="E925" s="201"/>
      <c r="F925" s="204"/>
      <c r="G925" s="204"/>
      <c r="H925" s="205"/>
      <c r="I925" s="205"/>
      <c r="J925" s="206"/>
      <c r="K925" s="205"/>
      <c r="L925" s="205"/>
      <c r="M925" s="201"/>
      <c r="N925" s="207"/>
      <c r="O925" s="208"/>
      <c r="P925" s="208"/>
      <c r="Q925" s="208"/>
      <c r="R925" s="208"/>
      <c r="S925" s="208"/>
      <c r="T925" s="208"/>
      <c r="U925" s="209"/>
      <c r="V925" s="210"/>
    </row>
    <row r="926" ht="15.75" customHeight="1">
      <c r="A926" s="200"/>
      <c r="B926" s="201"/>
      <c r="C926" s="202"/>
      <c r="D926" s="203"/>
      <c r="E926" s="201"/>
      <c r="F926" s="204"/>
      <c r="G926" s="204"/>
      <c r="H926" s="205"/>
      <c r="I926" s="205"/>
      <c r="J926" s="206"/>
      <c r="K926" s="205"/>
      <c r="L926" s="205"/>
      <c r="M926" s="201"/>
      <c r="N926" s="207"/>
      <c r="O926" s="208"/>
      <c r="P926" s="208"/>
      <c r="Q926" s="208"/>
      <c r="R926" s="208"/>
      <c r="S926" s="208"/>
      <c r="T926" s="208"/>
      <c r="U926" s="209"/>
      <c r="V926" s="210"/>
    </row>
    <row r="927" ht="15.75" customHeight="1">
      <c r="A927" s="200"/>
      <c r="B927" s="201"/>
      <c r="C927" s="202"/>
      <c r="D927" s="203"/>
      <c r="E927" s="201"/>
      <c r="F927" s="204"/>
      <c r="G927" s="204"/>
      <c r="H927" s="205"/>
      <c r="I927" s="205"/>
      <c r="J927" s="206"/>
      <c r="K927" s="205"/>
      <c r="L927" s="205"/>
      <c r="M927" s="201"/>
      <c r="N927" s="207"/>
      <c r="O927" s="208"/>
      <c r="P927" s="208"/>
      <c r="Q927" s="208"/>
      <c r="R927" s="208"/>
      <c r="S927" s="208"/>
      <c r="T927" s="208"/>
      <c r="U927" s="209"/>
      <c r="V927" s="210"/>
    </row>
    <row r="928" ht="15.75" customHeight="1">
      <c r="A928" s="200"/>
      <c r="B928" s="201"/>
      <c r="C928" s="202"/>
      <c r="D928" s="203"/>
      <c r="E928" s="201"/>
      <c r="F928" s="204"/>
      <c r="G928" s="204"/>
      <c r="H928" s="205"/>
      <c r="I928" s="205"/>
      <c r="J928" s="206"/>
      <c r="K928" s="205"/>
      <c r="L928" s="205"/>
      <c r="M928" s="201"/>
      <c r="N928" s="207"/>
      <c r="O928" s="208"/>
      <c r="P928" s="208"/>
      <c r="Q928" s="208"/>
      <c r="R928" s="208"/>
      <c r="S928" s="208"/>
      <c r="T928" s="208"/>
      <c r="U928" s="209"/>
      <c r="V928" s="210"/>
    </row>
    <row r="929" ht="15.75" customHeight="1">
      <c r="A929" s="200"/>
      <c r="B929" s="201"/>
      <c r="C929" s="202"/>
      <c r="D929" s="203"/>
      <c r="E929" s="201"/>
      <c r="F929" s="204"/>
      <c r="G929" s="204"/>
      <c r="H929" s="205"/>
      <c r="I929" s="205"/>
      <c r="J929" s="206"/>
      <c r="K929" s="205"/>
      <c r="L929" s="205"/>
      <c r="M929" s="201"/>
      <c r="N929" s="207"/>
      <c r="O929" s="208"/>
      <c r="P929" s="208"/>
      <c r="Q929" s="208"/>
      <c r="R929" s="208"/>
      <c r="S929" s="208"/>
      <c r="T929" s="208"/>
      <c r="U929" s="209"/>
      <c r="V929" s="210"/>
    </row>
    <row r="930" ht="15.75" customHeight="1">
      <c r="A930" s="200"/>
      <c r="B930" s="201"/>
      <c r="C930" s="202"/>
      <c r="D930" s="203"/>
      <c r="E930" s="201"/>
      <c r="F930" s="204"/>
      <c r="G930" s="204"/>
      <c r="H930" s="205"/>
      <c r="I930" s="205"/>
      <c r="J930" s="206"/>
      <c r="K930" s="205"/>
      <c r="L930" s="205"/>
      <c r="M930" s="201"/>
      <c r="N930" s="207"/>
      <c r="O930" s="208"/>
      <c r="P930" s="208"/>
      <c r="Q930" s="208"/>
      <c r="R930" s="208"/>
      <c r="S930" s="208"/>
      <c r="T930" s="208"/>
      <c r="U930" s="209"/>
      <c r="V930" s="210"/>
    </row>
    <row r="931" ht="15.75" customHeight="1">
      <c r="A931" s="200"/>
      <c r="B931" s="201"/>
      <c r="C931" s="202"/>
      <c r="D931" s="203"/>
      <c r="E931" s="201"/>
      <c r="F931" s="204"/>
      <c r="G931" s="204"/>
      <c r="H931" s="205"/>
      <c r="I931" s="205"/>
      <c r="J931" s="206"/>
      <c r="K931" s="205"/>
      <c r="L931" s="205"/>
      <c r="M931" s="201"/>
      <c r="N931" s="207"/>
      <c r="O931" s="208"/>
      <c r="P931" s="208"/>
      <c r="Q931" s="208"/>
      <c r="R931" s="208"/>
      <c r="S931" s="208"/>
      <c r="T931" s="208"/>
      <c r="U931" s="209"/>
      <c r="V931" s="210"/>
    </row>
    <row r="932" ht="15.75" customHeight="1">
      <c r="A932" s="200"/>
      <c r="B932" s="201"/>
      <c r="C932" s="202"/>
      <c r="D932" s="203"/>
      <c r="E932" s="201"/>
      <c r="F932" s="204"/>
      <c r="G932" s="204"/>
      <c r="H932" s="205"/>
      <c r="I932" s="205"/>
      <c r="J932" s="206"/>
      <c r="K932" s="205"/>
      <c r="L932" s="205"/>
      <c r="M932" s="201"/>
      <c r="N932" s="207"/>
      <c r="O932" s="208"/>
      <c r="P932" s="208"/>
      <c r="Q932" s="208"/>
      <c r="R932" s="208"/>
      <c r="S932" s="208"/>
      <c r="T932" s="208"/>
      <c r="U932" s="209"/>
      <c r="V932" s="210"/>
    </row>
    <row r="933" ht="15.75" customHeight="1">
      <c r="A933" s="200"/>
      <c r="B933" s="201"/>
      <c r="C933" s="202"/>
      <c r="D933" s="203"/>
      <c r="E933" s="201"/>
      <c r="F933" s="204"/>
      <c r="G933" s="204"/>
      <c r="H933" s="205"/>
      <c r="I933" s="205"/>
      <c r="J933" s="206"/>
      <c r="K933" s="205"/>
      <c r="L933" s="205"/>
      <c r="M933" s="201"/>
      <c r="N933" s="207"/>
      <c r="O933" s="208"/>
      <c r="P933" s="208"/>
      <c r="Q933" s="208"/>
      <c r="R933" s="208"/>
      <c r="S933" s="208"/>
      <c r="T933" s="208"/>
      <c r="U933" s="209"/>
      <c r="V933" s="210"/>
    </row>
    <row r="934" ht="15.75" customHeight="1">
      <c r="A934" s="200"/>
      <c r="B934" s="201"/>
      <c r="C934" s="202"/>
      <c r="D934" s="203"/>
      <c r="E934" s="201"/>
      <c r="F934" s="204"/>
      <c r="G934" s="204"/>
      <c r="H934" s="205"/>
      <c r="I934" s="205"/>
      <c r="J934" s="206"/>
      <c r="K934" s="205"/>
      <c r="L934" s="205"/>
      <c r="M934" s="201"/>
      <c r="N934" s="207"/>
      <c r="O934" s="208"/>
      <c r="P934" s="208"/>
      <c r="Q934" s="208"/>
      <c r="R934" s="208"/>
      <c r="S934" s="208"/>
      <c r="T934" s="208"/>
      <c r="U934" s="209"/>
      <c r="V934" s="210"/>
    </row>
    <row r="935" ht="15.75" customHeight="1">
      <c r="A935" s="200"/>
      <c r="B935" s="201"/>
      <c r="C935" s="202"/>
      <c r="D935" s="203"/>
      <c r="E935" s="201"/>
      <c r="F935" s="204"/>
      <c r="G935" s="204"/>
      <c r="H935" s="205"/>
      <c r="I935" s="205"/>
      <c r="J935" s="206"/>
      <c r="K935" s="205"/>
      <c r="L935" s="205"/>
      <c r="M935" s="201"/>
      <c r="N935" s="207"/>
      <c r="O935" s="208"/>
      <c r="P935" s="208"/>
      <c r="Q935" s="208"/>
      <c r="R935" s="208"/>
      <c r="S935" s="208"/>
      <c r="T935" s="208"/>
      <c r="U935" s="209"/>
      <c r="V935" s="210"/>
    </row>
    <row r="936" ht="15.75" customHeight="1">
      <c r="A936" s="200"/>
      <c r="B936" s="201"/>
      <c r="C936" s="202"/>
      <c r="D936" s="203"/>
      <c r="E936" s="201"/>
      <c r="F936" s="204"/>
      <c r="G936" s="204"/>
      <c r="H936" s="205"/>
      <c r="I936" s="205"/>
      <c r="J936" s="206"/>
      <c r="K936" s="205"/>
      <c r="L936" s="205"/>
      <c r="M936" s="201"/>
      <c r="N936" s="207"/>
      <c r="O936" s="208"/>
      <c r="P936" s="208"/>
      <c r="Q936" s="208"/>
      <c r="R936" s="208"/>
      <c r="S936" s="208"/>
      <c r="T936" s="208"/>
      <c r="U936" s="209"/>
      <c r="V936" s="210"/>
    </row>
    <row r="937" ht="15.75" customHeight="1">
      <c r="A937" s="200"/>
      <c r="B937" s="201"/>
      <c r="C937" s="202"/>
      <c r="D937" s="203"/>
      <c r="E937" s="201"/>
      <c r="F937" s="204"/>
      <c r="G937" s="204"/>
      <c r="H937" s="205"/>
      <c r="I937" s="205"/>
      <c r="J937" s="206"/>
      <c r="K937" s="205"/>
      <c r="L937" s="205"/>
      <c r="M937" s="201"/>
      <c r="N937" s="207"/>
      <c r="O937" s="208"/>
      <c r="P937" s="208"/>
      <c r="Q937" s="208"/>
      <c r="R937" s="208"/>
      <c r="S937" s="208"/>
      <c r="T937" s="208"/>
      <c r="U937" s="209"/>
      <c r="V937" s="210"/>
    </row>
    <row r="938" ht="15.75" customHeight="1">
      <c r="A938" s="200"/>
      <c r="B938" s="201"/>
      <c r="C938" s="202"/>
      <c r="D938" s="203"/>
      <c r="E938" s="201"/>
      <c r="F938" s="204"/>
      <c r="G938" s="204"/>
      <c r="H938" s="205"/>
      <c r="I938" s="205"/>
      <c r="J938" s="206"/>
      <c r="K938" s="205"/>
      <c r="L938" s="205"/>
      <c r="M938" s="201"/>
      <c r="N938" s="207"/>
      <c r="O938" s="208"/>
      <c r="P938" s="208"/>
      <c r="Q938" s="208"/>
      <c r="R938" s="208"/>
      <c r="S938" s="208"/>
      <c r="T938" s="208"/>
      <c r="U938" s="209"/>
      <c r="V938" s="210"/>
    </row>
    <row r="939" ht="15.75" customHeight="1">
      <c r="A939" s="200"/>
      <c r="B939" s="201"/>
      <c r="C939" s="202"/>
      <c r="D939" s="203"/>
      <c r="E939" s="201"/>
      <c r="F939" s="204"/>
      <c r="G939" s="204"/>
      <c r="H939" s="205"/>
      <c r="I939" s="205"/>
      <c r="J939" s="206"/>
      <c r="K939" s="205"/>
      <c r="L939" s="205"/>
      <c r="M939" s="201"/>
      <c r="N939" s="207"/>
      <c r="O939" s="208"/>
      <c r="P939" s="208"/>
      <c r="Q939" s="208"/>
      <c r="R939" s="208"/>
      <c r="S939" s="208"/>
      <c r="T939" s="208"/>
      <c r="U939" s="209"/>
      <c r="V939" s="210"/>
    </row>
    <row r="940" ht="15.75" customHeight="1">
      <c r="A940" s="200"/>
      <c r="B940" s="201"/>
      <c r="C940" s="202"/>
      <c r="D940" s="203"/>
      <c r="E940" s="201"/>
      <c r="F940" s="204"/>
      <c r="G940" s="204"/>
      <c r="H940" s="205"/>
      <c r="I940" s="205"/>
      <c r="J940" s="206"/>
      <c r="K940" s="205"/>
      <c r="L940" s="205"/>
      <c r="M940" s="201"/>
      <c r="N940" s="207"/>
      <c r="O940" s="208"/>
      <c r="P940" s="208"/>
      <c r="Q940" s="208"/>
      <c r="R940" s="208"/>
      <c r="S940" s="208"/>
      <c r="T940" s="208"/>
      <c r="U940" s="209"/>
      <c r="V940" s="210"/>
    </row>
    <row r="941" ht="15.75" customHeight="1">
      <c r="A941" s="200"/>
      <c r="B941" s="201"/>
      <c r="C941" s="202"/>
      <c r="D941" s="203"/>
      <c r="E941" s="201"/>
      <c r="F941" s="204"/>
      <c r="G941" s="204"/>
      <c r="H941" s="205"/>
      <c r="I941" s="205"/>
      <c r="J941" s="206"/>
      <c r="K941" s="205"/>
      <c r="L941" s="205"/>
      <c r="M941" s="201"/>
      <c r="N941" s="207"/>
      <c r="O941" s="208"/>
      <c r="P941" s="208"/>
      <c r="Q941" s="208"/>
      <c r="R941" s="208"/>
      <c r="S941" s="208"/>
      <c r="T941" s="208"/>
      <c r="U941" s="209"/>
      <c r="V941" s="210"/>
    </row>
    <row r="942" ht="15.75" customHeight="1">
      <c r="A942" s="200"/>
      <c r="B942" s="201"/>
      <c r="C942" s="202"/>
      <c r="D942" s="203"/>
      <c r="E942" s="201"/>
      <c r="F942" s="204"/>
      <c r="G942" s="204"/>
      <c r="H942" s="205"/>
      <c r="I942" s="205"/>
      <c r="J942" s="206"/>
      <c r="K942" s="205"/>
      <c r="L942" s="205"/>
      <c r="M942" s="201"/>
      <c r="N942" s="207"/>
      <c r="O942" s="208"/>
      <c r="P942" s="208"/>
      <c r="Q942" s="208"/>
      <c r="R942" s="208"/>
      <c r="S942" s="208"/>
      <c r="T942" s="208"/>
      <c r="U942" s="209"/>
      <c r="V942" s="210"/>
    </row>
    <row r="943" ht="15.75" customHeight="1">
      <c r="A943" s="200"/>
      <c r="B943" s="201"/>
      <c r="C943" s="202"/>
      <c r="D943" s="203"/>
      <c r="E943" s="201"/>
      <c r="F943" s="204"/>
      <c r="G943" s="204"/>
      <c r="H943" s="205"/>
      <c r="I943" s="205"/>
      <c r="J943" s="206"/>
      <c r="K943" s="205"/>
      <c r="L943" s="205"/>
      <c r="M943" s="201"/>
      <c r="N943" s="207"/>
      <c r="O943" s="208"/>
      <c r="P943" s="208"/>
      <c r="Q943" s="208"/>
      <c r="R943" s="208"/>
      <c r="S943" s="208"/>
      <c r="T943" s="208"/>
      <c r="U943" s="209"/>
      <c r="V943" s="210"/>
    </row>
    <row r="944" ht="15.75" customHeight="1">
      <c r="A944" s="200"/>
      <c r="B944" s="201"/>
      <c r="C944" s="202"/>
      <c r="D944" s="203"/>
      <c r="E944" s="201"/>
      <c r="F944" s="204"/>
      <c r="G944" s="204"/>
      <c r="H944" s="205"/>
      <c r="I944" s="205"/>
      <c r="J944" s="206"/>
      <c r="K944" s="205"/>
      <c r="L944" s="205"/>
      <c r="M944" s="201"/>
      <c r="N944" s="207"/>
      <c r="O944" s="208"/>
      <c r="P944" s="208"/>
      <c r="Q944" s="208"/>
      <c r="R944" s="208"/>
      <c r="S944" s="208"/>
      <c r="T944" s="208"/>
      <c r="U944" s="209"/>
      <c r="V944" s="210"/>
    </row>
    <row r="945" ht="15.75" customHeight="1">
      <c r="A945" s="200"/>
      <c r="B945" s="201"/>
      <c r="C945" s="202"/>
      <c r="D945" s="203"/>
      <c r="E945" s="201"/>
      <c r="F945" s="204"/>
      <c r="G945" s="204"/>
      <c r="H945" s="205"/>
      <c r="I945" s="205"/>
      <c r="J945" s="206"/>
      <c r="K945" s="205"/>
      <c r="L945" s="205"/>
      <c r="M945" s="201"/>
      <c r="N945" s="207"/>
      <c r="O945" s="208"/>
      <c r="P945" s="208"/>
      <c r="Q945" s="208"/>
      <c r="R945" s="208"/>
      <c r="S945" s="208"/>
      <c r="T945" s="208"/>
      <c r="U945" s="209"/>
      <c r="V945" s="210"/>
    </row>
    <row r="946" ht="15.75" customHeight="1">
      <c r="A946" s="200"/>
      <c r="B946" s="201"/>
      <c r="C946" s="202"/>
      <c r="D946" s="203"/>
      <c r="E946" s="201"/>
      <c r="F946" s="204"/>
      <c r="G946" s="204"/>
      <c r="H946" s="205"/>
      <c r="I946" s="205"/>
      <c r="J946" s="206"/>
      <c r="K946" s="205"/>
      <c r="L946" s="205"/>
      <c r="M946" s="201"/>
      <c r="N946" s="207"/>
      <c r="O946" s="208"/>
      <c r="P946" s="208"/>
      <c r="Q946" s="208"/>
      <c r="R946" s="208"/>
      <c r="S946" s="208"/>
      <c r="T946" s="208"/>
      <c r="U946" s="209"/>
      <c r="V946" s="210"/>
    </row>
    <row r="947" ht="15.75" customHeight="1">
      <c r="A947" s="200"/>
      <c r="B947" s="201"/>
      <c r="C947" s="202"/>
      <c r="D947" s="203"/>
      <c r="E947" s="201"/>
      <c r="F947" s="204"/>
      <c r="G947" s="204"/>
      <c r="H947" s="205"/>
      <c r="I947" s="205"/>
      <c r="J947" s="206"/>
      <c r="K947" s="205"/>
      <c r="L947" s="205"/>
      <c r="M947" s="201"/>
      <c r="N947" s="207"/>
      <c r="O947" s="208"/>
      <c r="P947" s="208"/>
      <c r="Q947" s="208"/>
      <c r="R947" s="208"/>
      <c r="S947" s="208"/>
      <c r="T947" s="208"/>
      <c r="U947" s="209"/>
      <c r="V947" s="210"/>
    </row>
    <row r="948" ht="15.75" customHeight="1">
      <c r="A948" s="200"/>
      <c r="B948" s="201"/>
      <c r="C948" s="202"/>
      <c r="D948" s="203"/>
      <c r="E948" s="201"/>
      <c r="F948" s="204"/>
      <c r="G948" s="204"/>
      <c r="H948" s="205"/>
      <c r="I948" s="205"/>
      <c r="J948" s="206"/>
      <c r="K948" s="205"/>
      <c r="L948" s="205"/>
      <c r="M948" s="201"/>
      <c r="N948" s="207"/>
      <c r="O948" s="208"/>
      <c r="P948" s="208"/>
      <c r="Q948" s="208"/>
      <c r="R948" s="208"/>
      <c r="S948" s="208"/>
      <c r="T948" s="208"/>
      <c r="U948" s="209"/>
      <c r="V948" s="210"/>
    </row>
    <row r="949" ht="15.75" customHeight="1">
      <c r="A949" s="200"/>
      <c r="B949" s="201"/>
      <c r="C949" s="202"/>
      <c r="D949" s="203"/>
      <c r="E949" s="201"/>
      <c r="F949" s="204"/>
      <c r="G949" s="204"/>
      <c r="H949" s="205"/>
      <c r="I949" s="205"/>
      <c r="J949" s="206"/>
      <c r="K949" s="205"/>
      <c r="L949" s="205"/>
      <c r="M949" s="201"/>
      <c r="N949" s="207"/>
      <c r="O949" s="208"/>
      <c r="P949" s="208"/>
      <c r="Q949" s="208"/>
      <c r="R949" s="208"/>
      <c r="S949" s="208"/>
      <c r="T949" s="208"/>
      <c r="U949" s="209"/>
      <c r="V949" s="210"/>
    </row>
    <row r="950" ht="15.75" customHeight="1">
      <c r="A950" s="200"/>
      <c r="B950" s="201"/>
      <c r="C950" s="202"/>
      <c r="D950" s="203"/>
      <c r="E950" s="201"/>
      <c r="F950" s="204"/>
      <c r="G950" s="204"/>
      <c r="H950" s="205"/>
      <c r="I950" s="205"/>
      <c r="J950" s="206"/>
      <c r="K950" s="205"/>
      <c r="L950" s="205"/>
      <c r="M950" s="201"/>
      <c r="N950" s="207"/>
      <c r="O950" s="208"/>
      <c r="P950" s="208"/>
      <c r="Q950" s="208"/>
      <c r="R950" s="208"/>
      <c r="S950" s="208"/>
      <c r="T950" s="208"/>
      <c r="U950" s="209"/>
      <c r="V950" s="210"/>
    </row>
    <row r="951" ht="15.75" customHeight="1">
      <c r="A951" s="200"/>
      <c r="B951" s="201"/>
      <c r="C951" s="202"/>
      <c r="D951" s="203"/>
      <c r="E951" s="201"/>
      <c r="F951" s="204"/>
      <c r="G951" s="204"/>
      <c r="H951" s="205"/>
      <c r="I951" s="205"/>
      <c r="J951" s="206"/>
      <c r="K951" s="205"/>
      <c r="L951" s="205"/>
      <c r="M951" s="201"/>
      <c r="N951" s="207"/>
      <c r="O951" s="208"/>
      <c r="P951" s="208"/>
      <c r="Q951" s="208"/>
      <c r="R951" s="208"/>
      <c r="S951" s="208"/>
      <c r="T951" s="208"/>
      <c r="U951" s="209"/>
      <c r="V951" s="210"/>
    </row>
    <row r="952" ht="15.75" customHeight="1">
      <c r="A952" s="200"/>
      <c r="B952" s="201"/>
      <c r="C952" s="202"/>
      <c r="D952" s="203"/>
      <c r="E952" s="201"/>
      <c r="F952" s="204"/>
      <c r="G952" s="204"/>
      <c r="H952" s="205"/>
      <c r="I952" s="205"/>
      <c r="J952" s="206"/>
      <c r="K952" s="205"/>
      <c r="L952" s="205"/>
      <c r="M952" s="201"/>
      <c r="N952" s="207"/>
      <c r="O952" s="208"/>
      <c r="P952" s="208"/>
      <c r="Q952" s="208"/>
      <c r="R952" s="208"/>
      <c r="S952" s="208"/>
      <c r="T952" s="208"/>
      <c r="U952" s="209"/>
      <c r="V952" s="210"/>
    </row>
    <row r="953" ht="15.75" customHeight="1">
      <c r="A953" s="200"/>
      <c r="B953" s="201"/>
      <c r="C953" s="202"/>
      <c r="D953" s="203"/>
      <c r="E953" s="201"/>
      <c r="F953" s="204"/>
      <c r="G953" s="204"/>
      <c r="H953" s="205"/>
      <c r="I953" s="205"/>
      <c r="J953" s="206"/>
      <c r="K953" s="205"/>
      <c r="L953" s="205"/>
      <c r="M953" s="201"/>
      <c r="N953" s="207"/>
      <c r="O953" s="208"/>
      <c r="P953" s="208"/>
      <c r="Q953" s="208"/>
      <c r="R953" s="208"/>
      <c r="S953" s="208"/>
      <c r="T953" s="208"/>
      <c r="U953" s="209"/>
      <c r="V953" s="210"/>
    </row>
    <row r="954" ht="15.75" customHeight="1">
      <c r="A954" s="200"/>
      <c r="B954" s="201"/>
      <c r="C954" s="202"/>
      <c r="D954" s="203"/>
      <c r="E954" s="201"/>
      <c r="F954" s="204"/>
      <c r="G954" s="204"/>
      <c r="H954" s="205"/>
      <c r="I954" s="205"/>
      <c r="J954" s="206"/>
      <c r="K954" s="205"/>
      <c r="L954" s="205"/>
      <c r="M954" s="201"/>
      <c r="N954" s="207"/>
      <c r="O954" s="208"/>
      <c r="P954" s="208"/>
      <c r="Q954" s="208"/>
      <c r="R954" s="208"/>
      <c r="S954" s="208"/>
      <c r="T954" s="208"/>
      <c r="U954" s="209"/>
      <c r="V954" s="210"/>
    </row>
    <row r="955" ht="15.75" customHeight="1">
      <c r="A955" s="200"/>
      <c r="B955" s="201"/>
      <c r="C955" s="202"/>
      <c r="D955" s="203"/>
      <c r="E955" s="201"/>
      <c r="F955" s="204"/>
      <c r="G955" s="204"/>
      <c r="H955" s="205"/>
      <c r="I955" s="205"/>
      <c r="J955" s="206"/>
      <c r="K955" s="205"/>
      <c r="L955" s="205"/>
      <c r="M955" s="201"/>
      <c r="N955" s="207"/>
      <c r="O955" s="208"/>
      <c r="P955" s="208"/>
      <c r="Q955" s="208"/>
      <c r="R955" s="208"/>
      <c r="S955" s="208"/>
      <c r="T955" s="208"/>
      <c r="U955" s="209"/>
      <c r="V955" s="210"/>
    </row>
    <row r="956" ht="15.75" customHeight="1">
      <c r="A956" s="200"/>
      <c r="B956" s="201"/>
      <c r="C956" s="202"/>
      <c r="D956" s="203"/>
      <c r="E956" s="201"/>
      <c r="F956" s="204"/>
      <c r="G956" s="204"/>
      <c r="H956" s="205"/>
      <c r="I956" s="205"/>
      <c r="J956" s="206"/>
      <c r="K956" s="205"/>
      <c r="L956" s="205"/>
      <c r="M956" s="201"/>
      <c r="N956" s="207"/>
      <c r="O956" s="208"/>
      <c r="P956" s="208"/>
      <c r="Q956" s="208"/>
      <c r="R956" s="208"/>
      <c r="S956" s="208"/>
      <c r="T956" s="208"/>
      <c r="U956" s="209"/>
      <c r="V956" s="210"/>
    </row>
    <row r="957" ht="15.75" customHeight="1">
      <c r="A957" s="200"/>
      <c r="B957" s="201"/>
      <c r="C957" s="202"/>
      <c r="D957" s="203"/>
      <c r="E957" s="201"/>
      <c r="F957" s="204"/>
      <c r="G957" s="204"/>
      <c r="H957" s="205"/>
      <c r="I957" s="205"/>
      <c r="J957" s="206"/>
      <c r="K957" s="205"/>
      <c r="L957" s="205"/>
      <c r="M957" s="201"/>
      <c r="N957" s="207"/>
      <c r="O957" s="208"/>
      <c r="P957" s="208"/>
      <c r="Q957" s="208"/>
      <c r="R957" s="208"/>
      <c r="S957" s="208"/>
      <c r="T957" s="208"/>
      <c r="U957" s="209"/>
      <c r="V957" s="210"/>
    </row>
    <row r="958" ht="15.75" customHeight="1">
      <c r="A958" s="200"/>
      <c r="B958" s="201"/>
      <c r="C958" s="202"/>
      <c r="D958" s="203"/>
      <c r="E958" s="201"/>
      <c r="F958" s="204"/>
      <c r="G958" s="204"/>
      <c r="H958" s="205"/>
      <c r="I958" s="205"/>
      <c r="J958" s="206"/>
      <c r="K958" s="205"/>
      <c r="L958" s="205"/>
      <c r="M958" s="201"/>
      <c r="N958" s="207"/>
      <c r="O958" s="208"/>
      <c r="P958" s="208"/>
      <c r="Q958" s="208"/>
      <c r="R958" s="208"/>
      <c r="S958" s="208"/>
      <c r="T958" s="208"/>
      <c r="U958" s="209"/>
      <c r="V958" s="210"/>
    </row>
    <row r="959" ht="15.75" customHeight="1">
      <c r="A959" s="200"/>
      <c r="B959" s="201"/>
      <c r="C959" s="202"/>
      <c r="D959" s="203"/>
      <c r="E959" s="201"/>
      <c r="F959" s="204"/>
      <c r="G959" s="204"/>
      <c r="H959" s="205"/>
      <c r="I959" s="205"/>
      <c r="J959" s="206"/>
      <c r="K959" s="205"/>
      <c r="L959" s="205"/>
      <c r="M959" s="201"/>
      <c r="N959" s="207"/>
      <c r="O959" s="208"/>
      <c r="P959" s="208"/>
      <c r="Q959" s="208"/>
      <c r="R959" s="208"/>
      <c r="S959" s="208"/>
      <c r="T959" s="208"/>
      <c r="U959" s="209"/>
      <c r="V959" s="210"/>
    </row>
    <row r="960" ht="15.75" customHeight="1">
      <c r="A960" s="200"/>
      <c r="B960" s="201"/>
      <c r="C960" s="202"/>
      <c r="D960" s="203"/>
      <c r="E960" s="201"/>
      <c r="F960" s="204"/>
      <c r="G960" s="204"/>
      <c r="H960" s="205"/>
      <c r="I960" s="205"/>
      <c r="J960" s="206"/>
      <c r="K960" s="205"/>
      <c r="L960" s="205"/>
      <c r="M960" s="201"/>
      <c r="N960" s="207"/>
      <c r="O960" s="208"/>
      <c r="P960" s="208"/>
      <c r="Q960" s="208"/>
      <c r="R960" s="208"/>
      <c r="S960" s="208"/>
      <c r="T960" s="208"/>
      <c r="U960" s="209"/>
      <c r="V960" s="210"/>
    </row>
    <row r="961" ht="15.75" customHeight="1">
      <c r="A961" s="200"/>
      <c r="B961" s="201"/>
      <c r="C961" s="202"/>
      <c r="D961" s="203"/>
      <c r="E961" s="201"/>
      <c r="F961" s="204"/>
      <c r="G961" s="204"/>
      <c r="H961" s="205"/>
      <c r="I961" s="205"/>
      <c r="J961" s="206"/>
      <c r="K961" s="205"/>
      <c r="L961" s="205"/>
      <c r="M961" s="201"/>
      <c r="N961" s="207"/>
      <c r="O961" s="208"/>
      <c r="P961" s="208"/>
      <c r="Q961" s="208"/>
      <c r="R961" s="208"/>
      <c r="S961" s="208"/>
      <c r="T961" s="208"/>
      <c r="U961" s="209"/>
      <c r="V961" s="210"/>
    </row>
    <row r="962" ht="15.75" customHeight="1">
      <c r="A962" s="200"/>
      <c r="B962" s="201"/>
      <c r="C962" s="202"/>
      <c r="D962" s="203"/>
      <c r="E962" s="201"/>
      <c r="F962" s="204"/>
      <c r="G962" s="204"/>
      <c r="H962" s="205"/>
      <c r="I962" s="205"/>
      <c r="J962" s="206"/>
      <c r="K962" s="205"/>
      <c r="L962" s="205"/>
      <c r="M962" s="201"/>
      <c r="N962" s="207"/>
      <c r="O962" s="208"/>
      <c r="P962" s="208"/>
      <c r="Q962" s="208"/>
      <c r="R962" s="208"/>
      <c r="S962" s="208"/>
      <c r="T962" s="208"/>
      <c r="U962" s="209"/>
      <c r="V962" s="210"/>
    </row>
    <row r="963" ht="15.75" customHeight="1">
      <c r="A963" s="200"/>
      <c r="B963" s="201"/>
      <c r="C963" s="202"/>
      <c r="D963" s="203"/>
      <c r="E963" s="201"/>
      <c r="F963" s="204"/>
      <c r="G963" s="204"/>
      <c r="H963" s="205"/>
      <c r="I963" s="205"/>
      <c r="J963" s="206"/>
      <c r="K963" s="205"/>
      <c r="L963" s="205"/>
      <c r="M963" s="201"/>
      <c r="N963" s="207"/>
      <c r="O963" s="208"/>
      <c r="P963" s="208"/>
      <c r="Q963" s="208"/>
      <c r="R963" s="208"/>
      <c r="S963" s="208"/>
      <c r="T963" s="208"/>
      <c r="U963" s="209"/>
      <c r="V963" s="210"/>
    </row>
    <row r="964" ht="15.75" customHeight="1">
      <c r="A964" s="200"/>
      <c r="B964" s="201"/>
      <c r="C964" s="202"/>
      <c r="D964" s="203"/>
      <c r="E964" s="201"/>
      <c r="F964" s="204"/>
      <c r="G964" s="204"/>
      <c r="H964" s="205"/>
      <c r="I964" s="205"/>
      <c r="J964" s="206"/>
      <c r="K964" s="205"/>
      <c r="L964" s="205"/>
      <c r="M964" s="201"/>
      <c r="N964" s="207"/>
      <c r="O964" s="208"/>
      <c r="P964" s="208"/>
      <c r="Q964" s="208"/>
      <c r="R964" s="208"/>
      <c r="S964" s="208"/>
      <c r="T964" s="208"/>
      <c r="U964" s="209"/>
      <c r="V964" s="210"/>
    </row>
    <row r="965" ht="15.75" customHeight="1">
      <c r="A965" s="200"/>
      <c r="B965" s="201"/>
      <c r="C965" s="202"/>
      <c r="D965" s="203"/>
      <c r="E965" s="201"/>
      <c r="F965" s="204"/>
      <c r="G965" s="204"/>
      <c r="H965" s="205"/>
      <c r="I965" s="205"/>
      <c r="J965" s="206"/>
      <c r="K965" s="205"/>
      <c r="L965" s="205"/>
      <c r="M965" s="201"/>
      <c r="N965" s="207"/>
      <c r="O965" s="208"/>
      <c r="P965" s="208"/>
      <c r="Q965" s="208"/>
      <c r="R965" s="208"/>
      <c r="S965" s="208"/>
      <c r="T965" s="208"/>
      <c r="U965" s="209"/>
      <c r="V965" s="210"/>
    </row>
    <row r="966" ht="15.75" customHeight="1">
      <c r="A966" s="200"/>
      <c r="B966" s="201"/>
      <c r="C966" s="202"/>
      <c r="D966" s="203"/>
      <c r="E966" s="201"/>
      <c r="F966" s="204"/>
      <c r="G966" s="204"/>
      <c r="H966" s="205"/>
      <c r="I966" s="205"/>
      <c r="J966" s="206"/>
      <c r="K966" s="205"/>
      <c r="L966" s="205"/>
      <c r="M966" s="201"/>
      <c r="N966" s="207"/>
      <c r="O966" s="208"/>
      <c r="P966" s="208"/>
      <c r="Q966" s="208"/>
      <c r="R966" s="208"/>
      <c r="S966" s="208"/>
      <c r="T966" s="208"/>
      <c r="U966" s="209"/>
      <c r="V966" s="210"/>
    </row>
    <row r="967" ht="15.75" customHeight="1">
      <c r="A967" s="200"/>
      <c r="B967" s="201"/>
      <c r="C967" s="202"/>
      <c r="D967" s="203"/>
      <c r="E967" s="201"/>
      <c r="F967" s="204"/>
      <c r="G967" s="204"/>
      <c r="H967" s="205"/>
      <c r="I967" s="205"/>
      <c r="J967" s="206"/>
      <c r="K967" s="205"/>
      <c r="L967" s="205"/>
      <c r="M967" s="201"/>
      <c r="N967" s="207"/>
      <c r="O967" s="208"/>
      <c r="P967" s="208"/>
      <c r="Q967" s="208"/>
      <c r="R967" s="208"/>
      <c r="S967" s="208"/>
      <c r="T967" s="208"/>
      <c r="U967" s="209"/>
      <c r="V967" s="210"/>
    </row>
    <row r="968" ht="15.75" customHeight="1">
      <c r="A968" s="200"/>
      <c r="B968" s="201"/>
      <c r="C968" s="202"/>
      <c r="D968" s="203"/>
      <c r="E968" s="201"/>
      <c r="F968" s="204"/>
      <c r="G968" s="204"/>
      <c r="H968" s="205"/>
      <c r="I968" s="205"/>
      <c r="J968" s="206"/>
      <c r="K968" s="205"/>
      <c r="L968" s="205"/>
      <c r="M968" s="201"/>
      <c r="N968" s="207"/>
      <c r="O968" s="208"/>
      <c r="P968" s="208"/>
      <c r="Q968" s="208"/>
      <c r="R968" s="208"/>
      <c r="S968" s="208"/>
      <c r="T968" s="208"/>
      <c r="U968" s="209"/>
      <c r="V968" s="210"/>
    </row>
    <row r="969" ht="15.75" customHeight="1">
      <c r="A969" s="200"/>
      <c r="B969" s="201"/>
      <c r="C969" s="202"/>
      <c r="D969" s="203"/>
      <c r="E969" s="201"/>
      <c r="F969" s="204"/>
      <c r="G969" s="204"/>
      <c r="H969" s="205"/>
      <c r="I969" s="205"/>
      <c r="J969" s="206"/>
      <c r="K969" s="205"/>
      <c r="L969" s="205"/>
      <c r="M969" s="201"/>
      <c r="N969" s="207"/>
      <c r="O969" s="208"/>
      <c r="P969" s="208"/>
      <c r="Q969" s="208"/>
      <c r="R969" s="208"/>
      <c r="S969" s="208"/>
      <c r="T969" s="208"/>
      <c r="U969" s="209"/>
      <c r="V969" s="210"/>
    </row>
    <row r="970" ht="15.75" customHeight="1">
      <c r="A970" s="200"/>
      <c r="B970" s="201"/>
      <c r="C970" s="202"/>
      <c r="D970" s="203"/>
      <c r="E970" s="201"/>
      <c r="F970" s="204"/>
      <c r="G970" s="204"/>
      <c r="H970" s="205"/>
      <c r="I970" s="205"/>
      <c r="J970" s="206"/>
      <c r="K970" s="205"/>
      <c r="L970" s="205"/>
      <c r="M970" s="201"/>
      <c r="N970" s="207"/>
      <c r="O970" s="208"/>
      <c r="P970" s="208"/>
      <c r="Q970" s="208"/>
      <c r="R970" s="208"/>
      <c r="S970" s="208"/>
      <c r="T970" s="208"/>
      <c r="U970" s="209"/>
      <c r="V970" s="210"/>
    </row>
    <row r="971" ht="15.75" customHeight="1">
      <c r="A971" s="200"/>
      <c r="B971" s="201"/>
      <c r="C971" s="202"/>
      <c r="D971" s="203"/>
      <c r="E971" s="201"/>
      <c r="F971" s="204"/>
      <c r="G971" s="204"/>
      <c r="H971" s="205"/>
      <c r="I971" s="205"/>
      <c r="J971" s="206"/>
      <c r="K971" s="205"/>
      <c r="L971" s="205"/>
      <c r="M971" s="201"/>
      <c r="N971" s="207"/>
      <c r="O971" s="208"/>
      <c r="P971" s="208"/>
      <c r="Q971" s="208"/>
      <c r="R971" s="208"/>
      <c r="S971" s="208"/>
      <c r="T971" s="208"/>
      <c r="U971" s="209"/>
      <c r="V971" s="210"/>
    </row>
    <row r="972" ht="15.75" customHeight="1">
      <c r="A972" s="200"/>
      <c r="B972" s="201"/>
      <c r="C972" s="202"/>
      <c r="D972" s="203"/>
      <c r="E972" s="201"/>
      <c r="F972" s="204"/>
      <c r="G972" s="204"/>
      <c r="H972" s="205"/>
      <c r="I972" s="205"/>
      <c r="J972" s="206"/>
      <c r="K972" s="205"/>
      <c r="L972" s="205"/>
      <c r="M972" s="201"/>
      <c r="N972" s="207"/>
      <c r="O972" s="208"/>
      <c r="P972" s="208"/>
      <c r="Q972" s="208"/>
      <c r="R972" s="208"/>
      <c r="S972" s="208"/>
      <c r="T972" s="208"/>
      <c r="U972" s="209"/>
      <c r="V972" s="210"/>
    </row>
    <row r="973" ht="15.75" customHeight="1">
      <c r="A973" s="200"/>
      <c r="B973" s="201"/>
      <c r="C973" s="202"/>
      <c r="D973" s="203"/>
      <c r="E973" s="201"/>
      <c r="F973" s="204"/>
      <c r="G973" s="204"/>
      <c r="H973" s="205"/>
      <c r="I973" s="205"/>
      <c r="J973" s="206"/>
      <c r="K973" s="205"/>
      <c r="L973" s="205"/>
      <c r="M973" s="201"/>
      <c r="N973" s="207"/>
      <c r="O973" s="208"/>
      <c r="P973" s="208"/>
      <c r="Q973" s="208"/>
      <c r="R973" s="208"/>
      <c r="S973" s="208"/>
      <c r="T973" s="208"/>
      <c r="U973" s="209"/>
      <c r="V973" s="210"/>
    </row>
    <row r="974" ht="15.75" customHeight="1">
      <c r="A974" s="200"/>
      <c r="B974" s="201"/>
      <c r="C974" s="202"/>
      <c r="D974" s="203"/>
      <c r="E974" s="201"/>
      <c r="F974" s="204"/>
      <c r="G974" s="204"/>
      <c r="H974" s="205"/>
      <c r="I974" s="205"/>
      <c r="J974" s="206"/>
      <c r="K974" s="205"/>
      <c r="L974" s="205"/>
      <c r="M974" s="201"/>
      <c r="N974" s="207"/>
      <c r="O974" s="208"/>
      <c r="P974" s="208"/>
      <c r="Q974" s="208"/>
      <c r="R974" s="208"/>
      <c r="S974" s="208"/>
      <c r="T974" s="208"/>
      <c r="U974" s="209"/>
      <c r="V974" s="210"/>
    </row>
    <row r="975" ht="15.75" customHeight="1">
      <c r="A975" s="200"/>
      <c r="B975" s="201"/>
      <c r="C975" s="202"/>
      <c r="D975" s="203"/>
      <c r="E975" s="201"/>
      <c r="F975" s="204"/>
      <c r="G975" s="204"/>
      <c r="H975" s="205"/>
      <c r="I975" s="205"/>
      <c r="J975" s="206"/>
      <c r="K975" s="205"/>
      <c r="L975" s="205"/>
      <c r="M975" s="201"/>
      <c r="N975" s="207"/>
      <c r="O975" s="208"/>
      <c r="P975" s="208"/>
      <c r="Q975" s="208"/>
      <c r="R975" s="208"/>
      <c r="S975" s="208"/>
      <c r="T975" s="208"/>
      <c r="U975" s="209"/>
      <c r="V975" s="210"/>
    </row>
    <row r="976" ht="15.75" customHeight="1">
      <c r="A976" s="200"/>
      <c r="B976" s="201"/>
      <c r="C976" s="202"/>
      <c r="D976" s="203"/>
      <c r="E976" s="201"/>
      <c r="F976" s="204"/>
      <c r="G976" s="204"/>
      <c r="H976" s="205"/>
      <c r="I976" s="205"/>
      <c r="J976" s="206"/>
      <c r="K976" s="205"/>
      <c r="L976" s="205"/>
      <c r="M976" s="201"/>
      <c r="N976" s="207"/>
      <c r="O976" s="208"/>
      <c r="P976" s="208"/>
      <c r="Q976" s="208"/>
      <c r="R976" s="208"/>
      <c r="S976" s="208"/>
      <c r="T976" s="208"/>
      <c r="U976" s="209"/>
      <c r="V976" s="210"/>
    </row>
    <row r="977" ht="15.75" customHeight="1">
      <c r="A977" s="200"/>
      <c r="B977" s="201"/>
      <c r="C977" s="202"/>
      <c r="D977" s="203"/>
      <c r="E977" s="201"/>
      <c r="F977" s="204"/>
      <c r="G977" s="204"/>
      <c r="H977" s="205"/>
      <c r="I977" s="205"/>
      <c r="J977" s="206"/>
      <c r="K977" s="205"/>
      <c r="L977" s="205"/>
      <c r="M977" s="201"/>
      <c r="N977" s="207"/>
      <c r="O977" s="208"/>
      <c r="P977" s="208"/>
      <c r="Q977" s="208"/>
      <c r="R977" s="208"/>
      <c r="S977" s="208"/>
      <c r="T977" s="208"/>
      <c r="U977" s="209"/>
      <c r="V977" s="210"/>
    </row>
    <row r="978" ht="15.75" customHeight="1">
      <c r="A978" s="200"/>
      <c r="B978" s="201"/>
      <c r="C978" s="202"/>
      <c r="D978" s="203"/>
      <c r="E978" s="201"/>
      <c r="F978" s="204"/>
      <c r="G978" s="204"/>
      <c r="H978" s="205"/>
      <c r="I978" s="205"/>
      <c r="J978" s="206"/>
      <c r="K978" s="205"/>
      <c r="L978" s="205"/>
      <c r="M978" s="201"/>
      <c r="N978" s="207"/>
      <c r="O978" s="208"/>
      <c r="P978" s="208"/>
      <c r="Q978" s="208"/>
      <c r="R978" s="208"/>
      <c r="S978" s="208"/>
      <c r="T978" s="208"/>
      <c r="U978" s="209"/>
      <c r="V978" s="210"/>
    </row>
    <row r="979" ht="15.75" customHeight="1">
      <c r="A979" s="200"/>
      <c r="B979" s="201"/>
      <c r="C979" s="202"/>
      <c r="D979" s="203"/>
      <c r="E979" s="201"/>
      <c r="F979" s="204"/>
      <c r="G979" s="204"/>
      <c r="H979" s="205"/>
      <c r="I979" s="205"/>
      <c r="J979" s="206"/>
      <c r="K979" s="205"/>
      <c r="L979" s="205"/>
      <c r="M979" s="201"/>
      <c r="N979" s="207"/>
      <c r="O979" s="208"/>
      <c r="P979" s="208"/>
      <c r="Q979" s="208"/>
      <c r="R979" s="208"/>
      <c r="S979" s="208"/>
      <c r="T979" s="208"/>
      <c r="U979" s="209"/>
      <c r="V979" s="210"/>
    </row>
    <row r="980" ht="15.75" customHeight="1">
      <c r="A980" s="200"/>
      <c r="B980" s="201"/>
      <c r="C980" s="202"/>
      <c r="D980" s="203"/>
      <c r="E980" s="201"/>
      <c r="F980" s="204"/>
      <c r="G980" s="204"/>
      <c r="H980" s="205"/>
      <c r="I980" s="205"/>
      <c r="J980" s="206"/>
      <c r="K980" s="205"/>
      <c r="L980" s="205"/>
      <c r="M980" s="201"/>
      <c r="N980" s="207"/>
      <c r="O980" s="208"/>
      <c r="P980" s="208"/>
      <c r="Q980" s="208"/>
      <c r="R980" s="208"/>
      <c r="S980" s="208"/>
      <c r="T980" s="208"/>
      <c r="U980" s="209"/>
      <c r="V980" s="210"/>
    </row>
    <row r="981" ht="15.75" customHeight="1">
      <c r="A981" s="200"/>
      <c r="B981" s="201"/>
      <c r="C981" s="202"/>
      <c r="D981" s="203"/>
      <c r="E981" s="201"/>
      <c r="F981" s="204"/>
      <c r="G981" s="204"/>
      <c r="H981" s="205"/>
      <c r="I981" s="205"/>
      <c r="J981" s="206"/>
      <c r="K981" s="205"/>
      <c r="L981" s="205"/>
      <c r="M981" s="201"/>
      <c r="N981" s="207"/>
      <c r="O981" s="208"/>
      <c r="P981" s="208"/>
      <c r="Q981" s="208"/>
      <c r="R981" s="208"/>
      <c r="S981" s="208"/>
      <c r="T981" s="208"/>
      <c r="U981" s="209"/>
      <c r="V981" s="210"/>
    </row>
    <row r="982" ht="15.75" customHeight="1">
      <c r="A982" s="200"/>
      <c r="B982" s="201"/>
      <c r="C982" s="202"/>
      <c r="D982" s="203"/>
      <c r="E982" s="201"/>
      <c r="F982" s="204"/>
      <c r="G982" s="204"/>
      <c r="H982" s="205"/>
      <c r="I982" s="205"/>
      <c r="J982" s="206"/>
      <c r="K982" s="205"/>
      <c r="L982" s="205"/>
      <c r="M982" s="201"/>
      <c r="N982" s="207"/>
      <c r="O982" s="208"/>
      <c r="P982" s="208"/>
      <c r="Q982" s="208"/>
      <c r="R982" s="208"/>
      <c r="S982" s="208"/>
      <c r="T982" s="208"/>
      <c r="U982" s="209"/>
      <c r="V982" s="210"/>
    </row>
    <row r="983" ht="15.75" customHeight="1">
      <c r="A983" s="200"/>
      <c r="B983" s="201"/>
      <c r="C983" s="202"/>
      <c r="D983" s="203"/>
      <c r="E983" s="201"/>
      <c r="F983" s="204"/>
      <c r="G983" s="204"/>
      <c r="H983" s="205"/>
      <c r="I983" s="205"/>
      <c r="J983" s="206"/>
      <c r="K983" s="205"/>
      <c r="L983" s="205"/>
      <c r="M983" s="201"/>
      <c r="N983" s="207"/>
      <c r="O983" s="208"/>
      <c r="P983" s="208"/>
      <c r="Q983" s="208"/>
      <c r="R983" s="208"/>
      <c r="S983" s="208"/>
      <c r="T983" s="208"/>
      <c r="U983" s="209"/>
      <c r="V983" s="210"/>
    </row>
    <row r="984" ht="15.75" customHeight="1">
      <c r="A984" s="200"/>
      <c r="B984" s="201"/>
      <c r="C984" s="202"/>
      <c r="D984" s="203"/>
      <c r="E984" s="201"/>
      <c r="F984" s="204"/>
      <c r="G984" s="204"/>
      <c r="H984" s="205"/>
      <c r="I984" s="205"/>
      <c r="J984" s="206"/>
      <c r="K984" s="205"/>
      <c r="L984" s="205"/>
      <c r="M984" s="201"/>
      <c r="N984" s="207"/>
      <c r="O984" s="208"/>
      <c r="P984" s="208"/>
      <c r="Q984" s="208"/>
      <c r="R984" s="208"/>
      <c r="S984" s="208"/>
      <c r="T984" s="208"/>
      <c r="U984" s="209"/>
      <c r="V984" s="210"/>
    </row>
    <row r="985" ht="15.75" customHeight="1">
      <c r="A985" s="200"/>
      <c r="B985" s="201"/>
      <c r="C985" s="202"/>
      <c r="D985" s="203"/>
      <c r="E985" s="201"/>
      <c r="F985" s="204"/>
      <c r="G985" s="204"/>
      <c r="H985" s="205"/>
      <c r="I985" s="205"/>
      <c r="J985" s="206"/>
      <c r="K985" s="205"/>
      <c r="L985" s="205"/>
      <c r="M985" s="201"/>
      <c r="N985" s="207"/>
      <c r="O985" s="208"/>
      <c r="P985" s="208"/>
      <c r="Q985" s="208"/>
      <c r="R985" s="208"/>
      <c r="S985" s="208"/>
      <c r="T985" s="208"/>
      <c r="U985" s="209"/>
      <c r="V985" s="210"/>
    </row>
    <row r="986" ht="15.75" customHeight="1">
      <c r="A986" s="200"/>
      <c r="B986" s="201"/>
      <c r="C986" s="202"/>
      <c r="D986" s="203"/>
      <c r="E986" s="201"/>
      <c r="F986" s="204"/>
      <c r="G986" s="204"/>
      <c r="H986" s="205"/>
      <c r="I986" s="205"/>
      <c r="J986" s="206"/>
      <c r="K986" s="205"/>
      <c r="L986" s="205"/>
      <c r="M986" s="201"/>
      <c r="N986" s="207"/>
      <c r="O986" s="208"/>
      <c r="P986" s="208"/>
      <c r="Q986" s="208"/>
      <c r="R986" s="208"/>
      <c r="S986" s="208"/>
      <c r="T986" s="208"/>
      <c r="U986" s="209"/>
      <c r="V986" s="210"/>
    </row>
    <row r="987" ht="15.75" customHeight="1">
      <c r="A987" s="200"/>
      <c r="B987" s="201"/>
      <c r="C987" s="202"/>
      <c r="D987" s="203"/>
      <c r="E987" s="201"/>
      <c r="F987" s="204"/>
      <c r="G987" s="204"/>
      <c r="H987" s="205"/>
      <c r="I987" s="205"/>
      <c r="J987" s="206"/>
      <c r="K987" s="205"/>
      <c r="L987" s="205"/>
      <c r="M987" s="201"/>
      <c r="N987" s="207"/>
      <c r="O987" s="208"/>
      <c r="P987" s="208"/>
      <c r="Q987" s="208"/>
      <c r="R987" s="208"/>
      <c r="S987" s="208"/>
      <c r="T987" s="208"/>
      <c r="U987" s="209"/>
      <c r="V987" s="210"/>
    </row>
    <row r="988" ht="15.75" customHeight="1">
      <c r="A988" s="200"/>
      <c r="B988" s="201"/>
      <c r="C988" s="202"/>
      <c r="D988" s="203"/>
      <c r="E988" s="201"/>
      <c r="F988" s="204"/>
      <c r="G988" s="204"/>
      <c r="H988" s="205"/>
      <c r="I988" s="205"/>
      <c r="J988" s="206"/>
      <c r="K988" s="205"/>
      <c r="L988" s="205"/>
      <c r="M988" s="201"/>
      <c r="N988" s="207"/>
      <c r="O988" s="208"/>
      <c r="P988" s="208"/>
      <c r="Q988" s="208"/>
      <c r="R988" s="208"/>
      <c r="S988" s="208"/>
      <c r="T988" s="208"/>
      <c r="U988" s="209"/>
      <c r="V988" s="210"/>
    </row>
    <row r="989" ht="15.75" customHeight="1">
      <c r="A989" s="200"/>
      <c r="B989" s="201"/>
      <c r="C989" s="202"/>
      <c r="D989" s="203"/>
      <c r="E989" s="201"/>
      <c r="F989" s="204"/>
      <c r="G989" s="204"/>
      <c r="H989" s="205"/>
      <c r="I989" s="205"/>
      <c r="J989" s="206"/>
      <c r="K989" s="205"/>
      <c r="L989" s="205"/>
      <c r="M989" s="201"/>
      <c r="N989" s="207"/>
      <c r="O989" s="208"/>
      <c r="P989" s="208"/>
      <c r="Q989" s="208"/>
      <c r="R989" s="208"/>
      <c r="S989" s="208"/>
      <c r="T989" s="208"/>
      <c r="U989" s="209"/>
      <c r="V989" s="210"/>
    </row>
    <row r="990" ht="15.75" customHeight="1">
      <c r="A990" s="200"/>
      <c r="B990" s="201"/>
      <c r="C990" s="202"/>
      <c r="D990" s="203"/>
      <c r="E990" s="201"/>
      <c r="F990" s="204"/>
      <c r="G990" s="204"/>
      <c r="H990" s="205"/>
      <c r="I990" s="205"/>
      <c r="J990" s="206"/>
      <c r="K990" s="205"/>
      <c r="L990" s="205"/>
      <c r="M990" s="201"/>
      <c r="N990" s="207"/>
      <c r="O990" s="208"/>
      <c r="P990" s="208"/>
      <c r="Q990" s="208"/>
      <c r="R990" s="208"/>
      <c r="S990" s="208"/>
      <c r="T990" s="208"/>
      <c r="U990" s="209"/>
      <c r="V990" s="210"/>
    </row>
    <row r="991" ht="15.75" customHeight="1">
      <c r="A991" s="200"/>
      <c r="B991" s="201"/>
      <c r="C991" s="202"/>
      <c r="D991" s="203"/>
      <c r="E991" s="201"/>
      <c r="F991" s="204"/>
      <c r="G991" s="204"/>
      <c r="H991" s="205"/>
      <c r="I991" s="205"/>
      <c r="J991" s="206"/>
      <c r="K991" s="205"/>
      <c r="L991" s="205"/>
      <c r="M991" s="201"/>
      <c r="N991" s="207"/>
      <c r="O991" s="208"/>
      <c r="P991" s="208"/>
      <c r="Q991" s="208"/>
      <c r="R991" s="208"/>
      <c r="S991" s="208"/>
      <c r="T991" s="208"/>
      <c r="U991" s="209"/>
      <c r="V991" s="210"/>
    </row>
    <row r="992" ht="15.75" customHeight="1">
      <c r="A992" s="200"/>
      <c r="B992" s="201"/>
      <c r="C992" s="202"/>
      <c r="D992" s="203"/>
      <c r="E992" s="201"/>
      <c r="F992" s="204"/>
      <c r="G992" s="204"/>
      <c r="H992" s="205"/>
      <c r="I992" s="205"/>
      <c r="J992" s="206"/>
      <c r="K992" s="205"/>
      <c r="L992" s="205"/>
      <c r="M992" s="201"/>
      <c r="N992" s="207"/>
      <c r="O992" s="208"/>
      <c r="P992" s="208"/>
      <c r="Q992" s="208"/>
      <c r="R992" s="208"/>
      <c r="S992" s="208"/>
      <c r="T992" s="208"/>
      <c r="U992" s="209"/>
      <c r="V992" s="210"/>
    </row>
    <row r="993" ht="15.75" customHeight="1">
      <c r="A993" s="200"/>
      <c r="B993" s="201"/>
      <c r="C993" s="202"/>
      <c r="D993" s="203"/>
      <c r="E993" s="201"/>
      <c r="F993" s="204"/>
      <c r="G993" s="204"/>
      <c r="H993" s="205"/>
      <c r="I993" s="205"/>
      <c r="J993" s="206"/>
      <c r="K993" s="205"/>
      <c r="L993" s="205"/>
      <c r="M993" s="201"/>
      <c r="N993" s="207"/>
      <c r="O993" s="208"/>
      <c r="P993" s="208"/>
      <c r="Q993" s="208"/>
      <c r="R993" s="208"/>
      <c r="S993" s="208"/>
      <c r="T993" s="208"/>
      <c r="U993" s="209"/>
      <c r="V993" s="210"/>
    </row>
    <row r="994" ht="15.75" customHeight="1">
      <c r="A994" s="200"/>
      <c r="B994" s="201"/>
      <c r="C994" s="202"/>
      <c r="D994" s="203"/>
      <c r="E994" s="201"/>
      <c r="F994" s="204"/>
      <c r="G994" s="204"/>
      <c r="H994" s="205"/>
      <c r="I994" s="205"/>
      <c r="J994" s="206"/>
      <c r="K994" s="205"/>
      <c r="L994" s="205"/>
      <c r="M994" s="201"/>
      <c r="N994" s="207"/>
      <c r="O994" s="208"/>
      <c r="P994" s="208"/>
      <c r="Q994" s="208"/>
      <c r="R994" s="208"/>
      <c r="S994" s="208"/>
      <c r="T994" s="208"/>
      <c r="U994" s="209"/>
      <c r="V994" s="210"/>
    </row>
    <row r="995" ht="15.75" customHeight="1">
      <c r="A995" s="200"/>
      <c r="B995" s="201"/>
      <c r="C995" s="202"/>
      <c r="D995" s="203"/>
      <c r="E995" s="201"/>
      <c r="F995" s="204"/>
      <c r="G995" s="204"/>
      <c r="H995" s="205"/>
      <c r="I995" s="205"/>
      <c r="J995" s="206"/>
      <c r="K995" s="205"/>
      <c r="L995" s="205"/>
      <c r="M995" s="201"/>
      <c r="N995" s="207"/>
      <c r="O995" s="208"/>
      <c r="P995" s="208"/>
      <c r="Q995" s="208"/>
      <c r="R995" s="208"/>
      <c r="S995" s="208"/>
      <c r="T995" s="208"/>
      <c r="U995" s="209"/>
      <c r="V995" s="210"/>
    </row>
    <row r="996" ht="15.75" customHeight="1">
      <c r="A996" s="200"/>
      <c r="B996" s="201"/>
      <c r="C996" s="202"/>
      <c r="D996" s="203"/>
      <c r="E996" s="201"/>
      <c r="F996" s="204"/>
      <c r="G996" s="204"/>
      <c r="H996" s="205"/>
      <c r="I996" s="205"/>
      <c r="J996" s="206"/>
      <c r="K996" s="205"/>
      <c r="L996" s="205"/>
      <c r="M996" s="201"/>
      <c r="N996" s="207"/>
      <c r="O996" s="208"/>
      <c r="P996" s="208"/>
      <c r="Q996" s="208"/>
      <c r="R996" s="208"/>
      <c r="S996" s="208"/>
      <c r="T996" s="208"/>
      <c r="U996" s="209"/>
      <c r="V996" s="210"/>
    </row>
    <row r="997" ht="15.75" customHeight="1">
      <c r="A997" s="200"/>
      <c r="B997" s="201"/>
      <c r="C997" s="202"/>
      <c r="D997" s="203"/>
      <c r="E997" s="201"/>
      <c r="F997" s="204"/>
      <c r="G997" s="204"/>
      <c r="H997" s="205"/>
      <c r="I997" s="205"/>
      <c r="J997" s="206"/>
      <c r="K997" s="205"/>
      <c r="L997" s="205"/>
      <c r="M997" s="201"/>
      <c r="N997" s="207"/>
      <c r="O997" s="208"/>
      <c r="P997" s="208"/>
      <c r="Q997" s="208"/>
      <c r="R997" s="208"/>
      <c r="S997" s="208"/>
      <c r="T997" s="208"/>
      <c r="U997" s="209"/>
      <c r="V997" s="210"/>
    </row>
    <row r="998" ht="15.75" customHeight="1">
      <c r="A998" s="200"/>
      <c r="B998" s="201"/>
      <c r="C998" s="202"/>
      <c r="D998" s="203"/>
      <c r="E998" s="201"/>
      <c r="F998" s="204"/>
      <c r="G998" s="204"/>
      <c r="H998" s="205"/>
      <c r="I998" s="205"/>
      <c r="J998" s="206"/>
      <c r="K998" s="205"/>
      <c r="L998" s="205"/>
      <c r="M998" s="201"/>
      <c r="N998" s="207"/>
      <c r="O998" s="208"/>
      <c r="P998" s="208"/>
      <c r="Q998" s="208"/>
      <c r="R998" s="208"/>
      <c r="S998" s="208"/>
      <c r="T998" s="208"/>
      <c r="U998" s="209"/>
      <c r="V998" s="210"/>
    </row>
    <row r="999" ht="15.75" customHeight="1">
      <c r="A999" s="200"/>
      <c r="B999" s="201"/>
      <c r="C999" s="202"/>
      <c r="D999" s="203"/>
      <c r="E999" s="201"/>
      <c r="F999" s="204"/>
      <c r="G999" s="204"/>
      <c r="H999" s="205"/>
      <c r="I999" s="205"/>
      <c r="J999" s="206"/>
      <c r="K999" s="205"/>
      <c r="L999" s="205"/>
      <c r="M999" s="201"/>
      <c r="N999" s="207"/>
      <c r="O999" s="208"/>
      <c r="P999" s="208"/>
      <c r="Q999" s="208"/>
      <c r="R999" s="208"/>
      <c r="S999" s="208"/>
      <c r="T999" s="208"/>
      <c r="U999" s="209"/>
      <c r="V999" s="210"/>
    </row>
    <row r="1000" ht="15.75" customHeight="1">
      <c r="A1000" s="200"/>
      <c r="B1000" s="201"/>
      <c r="C1000" s="202"/>
      <c r="D1000" s="203"/>
      <c r="E1000" s="201"/>
      <c r="F1000" s="204"/>
      <c r="G1000" s="204"/>
      <c r="H1000" s="205"/>
      <c r="I1000" s="205"/>
      <c r="J1000" s="206"/>
      <c r="K1000" s="205"/>
      <c r="L1000" s="205"/>
      <c r="M1000" s="201"/>
      <c r="N1000" s="207"/>
      <c r="O1000" s="208"/>
      <c r="P1000" s="208"/>
      <c r="Q1000" s="208"/>
      <c r="R1000" s="208"/>
      <c r="S1000" s="208"/>
      <c r="T1000" s="208"/>
      <c r="U1000" s="209"/>
      <c r="V1000" s="210"/>
    </row>
    <row r="1001" ht="15.75" customHeight="1">
      <c r="A1001" s="200"/>
      <c r="B1001" s="201"/>
      <c r="C1001" s="202"/>
      <c r="D1001" s="203"/>
      <c r="E1001" s="201"/>
      <c r="F1001" s="204"/>
      <c r="G1001" s="204"/>
      <c r="H1001" s="205"/>
      <c r="I1001" s="205"/>
      <c r="J1001" s="206"/>
      <c r="K1001" s="205"/>
      <c r="L1001" s="205"/>
      <c r="M1001" s="201"/>
      <c r="N1001" s="207"/>
      <c r="O1001" s="208"/>
      <c r="P1001" s="208"/>
      <c r="Q1001" s="208"/>
      <c r="R1001" s="208"/>
      <c r="S1001" s="208"/>
      <c r="T1001" s="208"/>
      <c r="U1001" s="209"/>
      <c r="V1001" s="210"/>
    </row>
    <row r="1002" ht="15.75" customHeight="1">
      <c r="A1002" s="200"/>
      <c r="B1002" s="201"/>
      <c r="C1002" s="202"/>
      <c r="D1002" s="203"/>
      <c r="E1002" s="201"/>
      <c r="F1002" s="204"/>
      <c r="G1002" s="204"/>
      <c r="H1002" s="205"/>
      <c r="I1002" s="205"/>
      <c r="J1002" s="206"/>
      <c r="K1002" s="205"/>
      <c r="L1002" s="205"/>
      <c r="M1002" s="201"/>
      <c r="N1002" s="207"/>
      <c r="O1002" s="208"/>
      <c r="P1002" s="208"/>
      <c r="Q1002" s="208"/>
      <c r="R1002" s="208"/>
      <c r="S1002" s="208"/>
      <c r="T1002" s="208"/>
      <c r="U1002" s="209"/>
      <c r="V1002" s="210"/>
    </row>
    <row r="1003" ht="15.75" customHeight="1">
      <c r="A1003" s="200"/>
      <c r="B1003" s="201"/>
      <c r="C1003" s="202"/>
      <c r="D1003" s="203"/>
      <c r="E1003" s="201"/>
      <c r="F1003" s="204"/>
      <c r="G1003" s="204"/>
      <c r="H1003" s="205"/>
      <c r="I1003" s="205"/>
      <c r="J1003" s="206"/>
      <c r="K1003" s="205"/>
      <c r="L1003" s="205"/>
      <c r="M1003" s="201"/>
      <c r="N1003" s="207"/>
      <c r="O1003" s="208"/>
      <c r="P1003" s="208"/>
      <c r="Q1003" s="208"/>
      <c r="R1003" s="208"/>
      <c r="S1003" s="208"/>
      <c r="T1003" s="208"/>
      <c r="U1003" s="209"/>
      <c r="V1003" s="210"/>
    </row>
    <row r="1004" ht="15.75" customHeight="1">
      <c r="A1004" s="200"/>
      <c r="B1004" s="201"/>
      <c r="C1004" s="202"/>
      <c r="D1004" s="203"/>
      <c r="E1004" s="201"/>
      <c r="F1004" s="204"/>
      <c r="G1004" s="204"/>
      <c r="H1004" s="205"/>
      <c r="I1004" s="205"/>
      <c r="J1004" s="206"/>
      <c r="K1004" s="205"/>
      <c r="L1004" s="205"/>
      <c r="M1004" s="201"/>
      <c r="N1004" s="207"/>
      <c r="O1004" s="208"/>
      <c r="P1004" s="208"/>
      <c r="Q1004" s="208"/>
      <c r="R1004" s="208"/>
      <c r="S1004" s="208"/>
      <c r="T1004" s="208"/>
      <c r="U1004" s="209"/>
      <c r="V1004" s="210"/>
    </row>
    <row r="1005" ht="15.75" customHeight="1">
      <c r="A1005" s="200"/>
      <c r="B1005" s="201"/>
      <c r="C1005" s="202"/>
      <c r="D1005" s="203"/>
      <c r="E1005" s="201"/>
      <c r="F1005" s="204"/>
      <c r="G1005" s="204"/>
      <c r="H1005" s="205"/>
      <c r="I1005" s="205"/>
      <c r="J1005" s="206"/>
      <c r="K1005" s="205"/>
      <c r="L1005" s="205"/>
      <c r="M1005" s="201"/>
      <c r="N1005" s="207"/>
      <c r="O1005" s="208"/>
      <c r="P1005" s="208"/>
      <c r="Q1005" s="208"/>
      <c r="R1005" s="208"/>
      <c r="S1005" s="208"/>
      <c r="T1005" s="208"/>
      <c r="U1005" s="209"/>
      <c r="V1005" s="210"/>
    </row>
    <row r="1006" ht="15.75" customHeight="1">
      <c r="A1006" s="200"/>
      <c r="B1006" s="201"/>
      <c r="C1006" s="202"/>
      <c r="D1006" s="203"/>
      <c r="E1006" s="201"/>
      <c r="F1006" s="204"/>
      <c r="G1006" s="204"/>
      <c r="H1006" s="205"/>
      <c r="I1006" s="205"/>
      <c r="J1006" s="206"/>
      <c r="K1006" s="205"/>
      <c r="L1006" s="205"/>
      <c r="M1006" s="201"/>
      <c r="N1006" s="207"/>
      <c r="O1006" s="208"/>
      <c r="P1006" s="208"/>
      <c r="Q1006" s="208"/>
      <c r="R1006" s="208"/>
      <c r="S1006" s="208"/>
      <c r="T1006" s="208"/>
      <c r="U1006" s="209"/>
      <c r="V1006" s="210"/>
    </row>
    <row r="1007" ht="15.75" customHeight="1">
      <c r="A1007" s="200"/>
      <c r="B1007" s="201"/>
      <c r="C1007" s="202"/>
      <c r="D1007" s="203"/>
      <c r="E1007" s="201"/>
      <c r="F1007" s="204"/>
      <c r="G1007" s="204"/>
      <c r="H1007" s="205"/>
      <c r="I1007" s="205"/>
      <c r="J1007" s="206"/>
      <c r="K1007" s="205"/>
      <c r="L1007" s="205"/>
      <c r="M1007" s="201"/>
      <c r="N1007" s="207"/>
      <c r="O1007" s="208"/>
      <c r="P1007" s="208"/>
      <c r="Q1007" s="208"/>
      <c r="R1007" s="208"/>
      <c r="S1007" s="208"/>
      <c r="T1007" s="208"/>
      <c r="U1007" s="209"/>
      <c r="V1007" s="210"/>
    </row>
    <row r="1008" ht="15.75" customHeight="1">
      <c r="A1008" s="200"/>
      <c r="B1008" s="201"/>
      <c r="C1008" s="202"/>
      <c r="D1008" s="203"/>
      <c r="E1008" s="201"/>
      <c r="F1008" s="204"/>
      <c r="G1008" s="204"/>
      <c r="H1008" s="205"/>
      <c r="I1008" s="205"/>
      <c r="J1008" s="206"/>
      <c r="K1008" s="205"/>
      <c r="L1008" s="205"/>
      <c r="M1008" s="201"/>
      <c r="N1008" s="207"/>
      <c r="O1008" s="208"/>
      <c r="P1008" s="208"/>
      <c r="Q1008" s="208"/>
      <c r="R1008" s="208"/>
      <c r="S1008" s="208"/>
      <c r="T1008" s="208"/>
      <c r="U1008" s="209"/>
      <c r="V1008" s="210"/>
    </row>
    <row r="1009" ht="15.75" customHeight="1">
      <c r="A1009" s="200"/>
      <c r="B1009" s="201"/>
      <c r="C1009" s="202"/>
      <c r="D1009" s="203"/>
      <c r="E1009" s="201"/>
      <c r="F1009" s="204"/>
      <c r="G1009" s="204"/>
      <c r="H1009" s="205"/>
      <c r="I1009" s="205"/>
      <c r="J1009" s="206"/>
      <c r="K1009" s="205"/>
      <c r="L1009" s="205"/>
      <c r="M1009" s="201"/>
      <c r="N1009" s="207"/>
      <c r="O1009" s="208"/>
      <c r="P1009" s="208"/>
      <c r="Q1009" s="208"/>
      <c r="R1009" s="208"/>
      <c r="S1009" s="208"/>
      <c r="T1009" s="208"/>
      <c r="U1009" s="209"/>
      <c r="V1009" s="210"/>
    </row>
    <row r="1010" ht="15.75" customHeight="1">
      <c r="A1010" s="200"/>
      <c r="B1010" s="201"/>
      <c r="C1010" s="202"/>
      <c r="D1010" s="203"/>
      <c r="E1010" s="201"/>
      <c r="F1010" s="204"/>
      <c r="G1010" s="204"/>
      <c r="H1010" s="205"/>
      <c r="I1010" s="205"/>
      <c r="J1010" s="206"/>
      <c r="K1010" s="205"/>
      <c r="L1010" s="205"/>
      <c r="M1010" s="201"/>
      <c r="N1010" s="207"/>
      <c r="O1010" s="208"/>
      <c r="P1010" s="208"/>
      <c r="Q1010" s="208"/>
      <c r="R1010" s="208"/>
      <c r="S1010" s="208"/>
      <c r="T1010" s="208"/>
      <c r="U1010" s="209"/>
      <c r="V1010" s="210"/>
    </row>
    <row r="1011" ht="15.75" customHeight="1">
      <c r="A1011" s="200"/>
      <c r="B1011" s="201"/>
      <c r="C1011" s="202"/>
      <c r="D1011" s="203"/>
      <c r="E1011" s="201"/>
      <c r="F1011" s="204"/>
      <c r="G1011" s="204"/>
      <c r="H1011" s="205"/>
      <c r="I1011" s="205"/>
      <c r="J1011" s="206"/>
      <c r="K1011" s="205"/>
      <c r="L1011" s="205"/>
      <c r="M1011" s="201"/>
      <c r="N1011" s="207"/>
      <c r="O1011" s="208"/>
      <c r="P1011" s="208"/>
      <c r="Q1011" s="208"/>
      <c r="R1011" s="208"/>
      <c r="S1011" s="208"/>
      <c r="T1011" s="208"/>
      <c r="U1011" s="209"/>
      <c r="V1011" s="210"/>
    </row>
    <row r="1012" ht="15.75" customHeight="1">
      <c r="A1012" s="200"/>
      <c r="B1012" s="201"/>
      <c r="C1012" s="202"/>
      <c r="D1012" s="203"/>
      <c r="E1012" s="201"/>
      <c r="F1012" s="204"/>
      <c r="G1012" s="204"/>
      <c r="H1012" s="205"/>
      <c r="I1012" s="205"/>
      <c r="J1012" s="206"/>
      <c r="K1012" s="205"/>
      <c r="L1012" s="205"/>
      <c r="M1012" s="201"/>
      <c r="N1012" s="207"/>
      <c r="O1012" s="208"/>
      <c r="P1012" s="208"/>
      <c r="Q1012" s="208"/>
      <c r="R1012" s="208"/>
      <c r="S1012" s="208"/>
      <c r="T1012" s="208"/>
      <c r="U1012" s="209"/>
      <c r="V1012" s="210"/>
    </row>
    <row r="1013" ht="15.75" customHeight="1">
      <c r="A1013" s="200"/>
      <c r="B1013" s="201"/>
      <c r="C1013" s="202"/>
      <c r="D1013" s="203"/>
      <c r="E1013" s="201"/>
      <c r="F1013" s="204"/>
      <c r="G1013" s="204"/>
      <c r="H1013" s="205"/>
      <c r="I1013" s="205"/>
      <c r="J1013" s="206"/>
      <c r="K1013" s="205"/>
      <c r="L1013" s="205"/>
      <c r="M1013" s="201"/>
      <c r="N1013" s="207"/>
      <c r="O1013" s="208"/>
      <c r="P1013" s="208"/>
      <c r="Q1013" s="208"/>
      <c r="R1013" s="208"/>
      <c r="S1013" s="208"/>
      <c r="T1013" s="208"/>
      <c r="U1013" s="209"/>
      <c r="V1013" s="210"/>
    </row>
    <row r="1014" ht="15.75" customHeight="1">
      <c r="A1014" s="200"/>
      <c r="B1014" s="201"/>
      <c r="C1014" s="202"/>
      <c r="D1014" s="203"/>
      <c r="E1014" s="201"/>
      <c r="F1014" s="204"/>
      <c r="G1014" s="204"/>
      <c r="H1014" s="205"/>
      <c r="I1014" s="205"/>
      <c r="J1014" s="206"/>
      <c r="K1014" s="205"/>
      <c r="L1014" s="205"/>
      <c r="M1014" s="201"/>
      <c r="N1014" s="207"/>
      <c r="O1014" s="208"/>
      <c r="P1014" s="208"/>
      <c r="Q1014" s="208"/>
      <c r="R1014" s="208"/>
      <c r="S1014" s="208"/>
      <c r="T1014" s="208"/>
      <c r="U1014" s="209"/>
      <c r="V1014" s="210"/>
    </row>
    <row r="1015" ht="15.75" customHeight="1">
      <c r="A1015" s="200"/>
      <c r="B1015" s="201"/>
      <c r="C1015" s="202"/>
      <c r="D1015" s="203"/>
      <c r="E1015" s="201"/>
      <c r="F1015" s="204"/>
      <c r="G1015" s="204"/>
      <c r="H1015" s="205"/>
      <c r="I1015" s="205"/>
      <c r="J1015" s="206"/>
      <c r="K1015" s="205"/>
      <c r="L1015" s="205"/>
      <c r="M1015" s="201"/>
      <c r="N1015" s="207"/>
      <c r="O1015" s="208"/>
      <c r="P1015" s="208"/>
      <c r="Q1015" s="208"/>
      <c r="R1015" s="208"/>
      <c r="S1015" s="208"/>
      <c r="T1015" s="208"/>
      <c r="U1015" s="209"/>
      <c r="V1015" s="210"/>
    </row>
    <row r="1016" ht="15.75" customHeight="1">
      <c r="A1016" s="200"/>
      <c r="B1016" s="201"/>
      <c r="C1016" s="202"/>
      <c r="D1016" s="203"/>
      <c r="E1016" s="201"/>
      <c r="F1016" s="204"/>
      <c r="G1016" s="204"/>
      <c r="H1016" s="205"/>
      <c r="I1016" s="205"/>
      <c r="J1016" s="206"/>
      <c r="K1016" s="205"/>
      <c r="L1016" s="205"/>
      <c r="M1016" s="201"/>
      <c r="N1016" s="207"/>
      <c r="O1016" s="208"/>
      <c r="P1016" s="208"/>
      <c r="Q1016" s="208"/>
      <c r="R1016" s="208"/>
      <c r="S1016" s="208"/>
      <c r="T1016" s="208"/>
      <c r="U1016" s="209"/>
      <c r="V1016" s="210"/>
    </row>
    <row r="1017" ht="15.75" customHeight="1">
      <c r="A1017" s="200"/>
      <c r="B1017" s="201"/>
      <c r="C1017" s="202"/>
      <c r="D1017" s="203"/>
      <c r="E1017" s="201"/>
      <c r="F1017" s="204"/>
      <c r="G1017" s="204"/>
      <c r="H1017" s="205"/>
      <c r="I1017" s="205"/>
      <c r="J1017" s="206"/>
      <c r="K1017" s="205"/>
      <c r="L1017" s="205"/>
      <c r="M1017" s="201"/>
      <c r="N1017" s="207"/>
      <c r="O1017" s="208"/>
      <c r="P1017" s="208"/>
      <c r="Q1017" s="208"/>
      <c r="R1017" s="208"/>
      <c r="S1017" s="208"/>
      <c r="T1017" s="208"/>
      <c r="U1017" s="209"/>
      <c r="V1017" s="210"/>
    </row>
    <row r="1018" ht="15.75" customHeight="1">
      <c r="A1018" s="200"/>
      <c r="B1018" s="201"/>
      <c r="C1018" s="202"/>
      <c r="D1018" s="203"/>
      <c r="E1018" s="201"/>
      <c r="F1018" s="204"/>
      <c r="G1018" s="204"/>
      <c r="H1018" s="205"/>
      <c r="I1018" s="205"/>
      <c r="J1018" s="206"/>
      <c r="K1018" s="205"/>
      <c r="L1018" s="205"/>
      <c r="M1018" s="201"/>
      <c r="N1018" s="207"/>
      <c r="O1018" s="208"/>
      <c r="P1018" s="208"/>
      <c r="Q1018" s="208"/>
      <c r="R1018" s="208"/>
      <c r="S1018" s="208"/>
      <c r="T1018" s="208"/>
      <c r="U1018" s="209"/>
      <c r="V1018" s="210"/>
    </row>
    <row r="1019" ht="15.75" customHeight="1">
      <c r="A1019" s="200"/>
      <c r="B1019" s="201"/>
      <c r="C1019" s="202"/>
      <c r="D1019" s="203"/>
      <c r="E1019" s="201"/>
      <c r="F1019" s="204"/>
      <c r="G1019" s="204"/>
      <c r="H1019" s="205"/>
      <c r="I1019" s="205"/>
      <c r="J1019" s="206"/>
      <c r="K1019" s="205"/>
      <c r="L1019" s="205"/>
      <c r="M1019" s="201"/>
      <c r="N1019" s="207"/>
      <c r="O1019" s="208"/>
      <c r="P1019" s="208"/>
      <c r="Q1019" s="208"/>
      <c r="R1019" s="208"/>
      <c r="S1019" s="208"/>
      <c r="T1019" s="208"/>
      <c r="U1019" s="209"/>
      <c r="V1019" s="210"/>
    </row>
    <row r="1020" ht="15.75" customHeight="1">
      <c r="A1020" s="200"/>
      <c r="B1020" s="201"/>
      <c r="C1020" s="202"/>
      <c r="D1020" s="203"/>
      <c r="E1020" s="201"/>
      <c r="F1020" s="204"/>
      <c r="G1020" s="204"/>
      <c r="H1020" s="205"/>
      <c r="I1020" s="205"/>
      <c r="J1020" s="206"/>
      <c r="K1020" s="205"/>
      <c r="L1020" s="205"/>
      <c r="M1020" s="201"/>
      <c r="N1020" s="207"/>
      <c r="O1020" s="208"/>
      <c r="P1020" s="208"/>
      <c r="Q1020" s="208"/>
      <c r="R1020" s="208"/>
      <c r="S1020" s="208"/>
      <c r="T1020" s="208"/>
      <c r="U1020" s="209"/>
      <c r="V1020" s="210"/>
    </row>
    <row r="1021" ht="15.75" customHeight="1">
      <c r="A1021" s="200"/>
      <c r="B1021" s="201"/>
      <c r="C1021" s="202"/>
      <c r="D1021" s="203"/>
      <c r="E1021" s="201"/>
      <c r="F1021" s="204"/>
      <c r="G1021" s="204"/>
      <c r="H1021" s="205"/>
      <c r="I1021" s="205"/>
      <c r="J1021" s="206"/>
      <c r="K1021" s="205"/>
      <c r="L1021" s="205"/>
      <c r="M1021" s="201"/>
      <c r="N1021" s="207"/>
      <c r="O1021" s="208"/>
      <c r="P1021" s="208"/>
      <c r="Q1021" s="208"/>
      <c r="R1021" s="208"/>
      <c r="S1021" s="208"/>
      <c r="T1021" s="208"/>
      <c r="U1021" s="209"/>
      <c r="V1021" s="210"/>
    </row>
    <row r="1022" ht="15.75" customHeight="1">
      <c r="A1022" s="200"/>
      <c r="B1022" s="201"/>
      <c r="C1022" s="202"/>
      <c r="D1022" s="203"/>
      <c r="E1022" s="201"/>
      <c r="F1022" s="204"/>
      <c r="G1022" s="204"/>
      <c r="H1022" s="205"/>
      <c r="I1022" s="205"/>
      <c r="J1022" s="206"/>
      <c r="K1022" s="205"/>
      <c r="L1022" s="205"/>
      <c r="M1022" s="201"/>
      <c r="N1022" s="207"/>
      <c r="O1022" s="208"/>
      <c r="P1022" s="208"/>
      <c r="Q1022" s="208"/>
      <c r="R1022" s="208"/>
      <c r="S1022" s="208"/>
      <c r="T1022" s="208"/>
      <c r="U1022" s="209"/>
      <c r="V1022" s="210"/>
    </row>
    <row r="1023" ht="15.75" customHeight="1">
      <c r="A1023" s="200"/>
      <c r="B1023" s="201"/>
      <c r="C1023" s="202"/>
      <c r="D1023" s="203"/>
      <c r="E1023" s="201"/>
      <c r="F1023" s="204"/>
      <c r="G1023" s="204"/>
      <c r="H1023" s="205"/>
      <c r="I1023" s="205"/>
      <c r="J1023" s="206"/>
      <c r="K1023" s="205"/>
      <c r="L1023" s="205"/>
      <c r="M1023" s="201"/>
      <c r="N1023" s="207"/>
      <c r="O1023" s="208"/>
      <c r="P1023" s="208"/>
      <c r="Q1023" s="208"/>
      <c r="R1023" s="208"/>
      <c r="S1023" s="208"/>
      <c r="T1023" s="208"/>
      <c r="U1023" s="209"/>
      <c r="V1023" s="210"/>
    </row>
    <row r="1024" ht="15.75" customHeight="1">
      <c r="A1024" s="200"/>
      <c r="B1024" s="201"/>
      <c r="C1024" s="202"/>
      <c r="D1024" s="203"/>
      <c r="E1024" s="201"/>
      <c r="F1024" s="204"/>
      <c r="G1024" s="204"/>
      <c r="H1024" s="205"/>
      <c r="I1024" s="205"/>
      <c r="J1024" s="206"/>
      <c r="K1024" s="205"/>
      <c r="L1024" s="205"/>
      <c r="M1024" s="201"/>
      <c r="N1024" s="207"/>
      <c r="O1024" s="208"/>
      <c r="P1024" s="208"/>
      <c r="Q1024" s="208"/>
      <c r="R1024" s="208"/>
      <c r="S1024" s="208"/>
      <c r="T1024" s="208"/>
      <c r="U1024" s="209"/>
      <c r="V1024" s="210"/>
    </row>
    <row r="1025" ht="15.75" customHeight="1">
      <c r="A1025" s="200"/>
      <c r="B1025" s="201"/>
      <c r="C1025" s="202"/>
      <c r="D1025" s="203"/>
      <c r="E1025" s="201"/>
      <c r="F1025" s="204"/>
      <c r="G1025" s="204"/>
      <c r="H1025" s="205"/>
      <c r="I1025" s="205"/>
      <c r="J1025" s="206"/>
      <c r="K1025" s="205"/>
      <c r="L1025" s="205"/>
      <c r="M1025" s="201"/>
      <c r="N1025" s="207"/>
      <c r="O1025" s="208"/>
      <c r="P1025" s="208"/>
      <c r="Q1025" s="208"/>
      <c r="R1025" s="208"/>
      <c r="S1025" s="208"/>
      <c r="T1025" s="208"/>
      <c r="U1025" s="209"/>
      <c r="V1025" s="210"/>
    </row>
    <row r="1026" ht="15.75" customHeight="1">
      <c r="A1026" s="200"/>
      <c r="B1026" s="201"/>
      <c r="C1026" s="202"/>
      <c r="D1026" s="203"/>
      <c r="E1026" s="201"/>
      <c r="F1026" s="204"/>
      <c r="G1026" s="204"/>
      <c r="H1026" s="205"/>
      <c r="I1026" s="205"/>
      <c r="J1026" s="206"/>
      <c r="K1026" s="205"/>
      <c r="L1026" s="205"/>
      <c r="M1026" s="201"/>
      <c r="N1026" s="207"/>
      <c r="O1026" s="208"/>
      <c r="P1026" s="208"/>
      <c r="Q1026" s="208"/>
      <c r="R1026" s="208"/>
      <c r="S1026" s="208"/>
      <c r="T1026" s="208"/>
      <c r="U1026" s="209"/>
      <c r="V1026" s="210"/>
    </row>
    <row r="1027" ht="15.75" customHeight="1">
      <c r="A1027" s="200"/>
      <c r="B1027" s="201"/>
      <c r="C1027" s="202"/>
      <c r="D1027" s="203"/>
      <c r="E1027" s="201"/>
      <c r="F1027" s="204"/>
      <c r="G1027" s="204"/>
      <c r="H1027" s="205"/>
      <c r="I1027" s="205"/>
      <c r="J1027" s="206"/>
      <c r="K1027" s="205"/>
      <c r="L1027" s="205"/>
      <c r="M1027" s="201"/>
      <c r="N1027" s="207"/>
      <c r="O1027" s="208"/>
      <c r="P1027" s="208"/>
      <c r="Q1027" s="208"/>
      <c r="R1027" s="208"/>
      <c r="S1027" s="208"/>
      <c r="T1027" s="208"/>
      <c r="U1027" s="209"/>
      <c r="V1027" s="210"/>
    </row>
    <row r="1028" ht="15.75" customHeight="1">
      <c r="A1028" s="200"/>
      <c r="B1028" s="201"/>
      <c r="C1028" s="202"/>
      <c r="D1028" s="203"/>
      <c r="E1028" s="201"/>
      <c r="F1028" s="204"/>
      <c r="G1028" s="204"/>
      <c r="H1028" s="205"/>
      <c r="I1028" s="205"/>
      <c r="J1028" s="206"/>
      <c r="K1028" s="205"/>
      <c r="L1028" s="205"/>
      <c r="M1028" s="201"/>
      <c r="N1028" s="207"/>
      <c r="O1028" s="208"/>
      <c r="P1028" s="208"/>
      <c r="Q1028" s="208"/>
      <c r="R1028" s="208"/>
      <c r="S1028" s="208"/>
      <c r="T1028" s="208"/>
      <c r="U1028" s="209"/>
      <c r="V1028" s="210"/>
    </row>
    <row r="1029" ht="15.75" customHeight="1">
      <c r="A1029" s="200"/>
      <c r="B1029" s="201"/>
      <c r="C1029" s="202"/>
      <c r="D1029" s="203"/>
      <c r="E1029" s="201"/>
      <c r="F1029" s="204"/>
      <c r="G1029" s="204"/>
      <c r="H1029" s="205"/>
      <c r="I1029" s="205"/>
      <c r="J1029" s="206"/>
      <c r="K1029" s="205"/>
      <c r="L1029" s="205"/>
      <c r="M1029" s="201"/>
      <c r="N1029" s="207"/>
      <c r="O1029" s="208"/>
      <c r="P1029" s="208"/>
      <c r="Q1029" s="208"/>
      <c r="R1029" s="208"/>
      <c r="S1029" s="208"/>
      <c r="T1029" s="208"/>
      <c r="U1029" s="209"/>
      <c r="V1029" s="210"/>
    </row>
    <row r="1030" ht="15.75" customHeight="1">
      <c r="A1030" s="200"/>
      <c r="B1030" s="201"/>
      <c r="C1030" s="202"/>
      <c r="D1030" s="203"/>
      <c r="E1030" s="201"/>
      <c r="F1030" s="204"/>
      <c r="G1030" s="204"/>
      <c r="H1030" s="205"/>
      <c r="I1030" s="205"/>
      <c r="J1030" s="206"/>
      <c r="K1030" s="205"/>
      <c r="L1030" s="205"/>
      <c r="M1030" s="201"/>
      <c r="N1030" s="207"/>
      <c r="O1030" s="208"/>
      <c r="P1030" s="208"/>
      <c r="Q1030" s="208"/>
      <c r="R1030" s="208"/>
      <c r="S1030" s="208"/>
      <c r="T1030" s="208"/>
      <c r="U1030" s="209"/>
      <c r="V1030" s="210"/>
    </row>
    <row r="1031" ht="15.75" customHeight="1">
      <c r="A1031" s="200"/>
      <c r="B1031" s="201"/>
      <c r="C1031" s="202"/>
      <c r="D1031" s="203"/>
      <c r="E1031" s="201"/>
      <c r="F1031" s="204"/>
      <c r="G1031" s="204"/>
      <c r="H1031" s="205"/>
      <c r="I1031" s="205"/>
      <c r="J1031" s="206"/>
      <c r="K1031" s="205"/>
      <c r="L1031" s="205"/>
      <c r="M1031" s="201"/>
      <c r="N1031" s="207"/>
      <c r="O1031" s="208"/>
      <c r="P1031" s="208"/>
      <c r="Q1031" s="208"/>
      <c r="R1031" s="208"/>
      <c r="S1031" s="208"/>
      <c r="T1031" s="208"/>
      <c r="U1031" s="209"/>
      <c r="V1031" s="210"/>
    </row>
    <row r="1032" ht="15.75" customHeight="1">
      <c r="A1032" s="200"/>
      <c r="B1032" s="201"/>
      <c r="C1032" s="202"/>
      <c r="D1032" s="203"/>
      <c r="E1032" s="201"/>
      <c r="F1032" s="204"/>
      <c r="G1032" s="204"/>
      <c r="H1032" s="205"/>
      <c r="I1032" s="205"/>
      <c r="J1032" s="206"/>
      <c r="K1032" s="205"/>
      <c r="L1032" s="205"/>
      <c r="M1032" s="201"/>
      <c r="N1032" s="207"/>
      <c r="O1032" s="208"/>
      <c r="P1032" s="208"/>
      <c r="Q1032" s="208"/>
      <c r="R1032" s="208"/>
      <c r="S1032" s="208"/>
      <c r="T1032" s="208"/>
      <c r="U1032" s="209"/>
      <c r="V1032" s="210"/>
    </row>
    <row r="1033" ht="15.75" customHeight="1">
      <c r="A1033" s="200"/>
      <c r="B1033" s="201"/>
      <c r="C1033" s="202"/>
      <c r="D1033" s="203"/>
      <c r="E1033" s="201"/>
      <c r="F1033" s="204"/>
      <c r="G1033" s="204"/>
      <c r="H1033" s="205"/>
      <c r="I1033" s="205"/>
      <c r="J1033" s="206"/>
      <c r="K1033" s="205"/>
      <c r="L1033" s="205"/>
      <c r="M1033" s="201"/>
      <c r="N1033" s="207"/>
      <c r="O1033" s="208"/>
      <c r="P1033" s="208"/>
      <c r="Q1033" s="208"/>
      <c r="R1033" s="208"/>
      <c r="S1033" s="208"/>
      <c r="T1033" s="208"/>
      <c r="U1033" s="209"/>
      <c r="V1033" s="210"/>
    </row>
    <row r="1034" ht="15.75" customHeight="1">
      <c r="A1034" s="200"/>
      <c r="B1034" s="201"/>
      <c r="C1034" s="202"/>
      <c r="D1034" s="203"/>
      <c r="E1034" s="201"/>
      <c r="F1034" s="204"/>
      <c r="G1034" s="204"/>
      <c r="H1034" s="205"/>
      <c r="I1034" s="205"/>
      <c r="J1034" s="206"/>
      <c r="K1034" s="205"/>
      <c r="L1034" s="205"/>
      <c r="M1034" s="201"/>
      <c r="N1034" s="207"/>
      <c r="O1034" s="208"/>
      <c r="P1034" s="208"/>
      <c r="Q1034" s="208"/>
      <c r="R1034" s="208"/>
      <c r="S1034" s="208"/>
      <c r="T1034" s="208"/>
      <c r="U1034" s="209"/>
      <c r="V1034" s="210"/>
    </row>
    <row r="1035" ht="15.75" customHeight="1">
      <c r="A1035" s="200"/>
      <c r="B1035" s="201"/>
      <c r="C1035" s="202"/>
      <c r="D1035" s="203"/>
      <c r="E1035" s="201"/>
      <c r="F1035" s="204"/>
      <c r="G1035" s="204"/>
      <c r="H1035" s="205"/>
      <c r="I1035" s="205"/>
      <c r="J1035" s="206"/>
      <c r="K1035" s="205"/>
      <c r="L1035" s="205"/>
      <c r="M1035" s="201"/>
      <c r="N1035" s="207"/>
      <c r="O1035" s="208"/>
      <c r="P1035" s="208"/>
      <c r="Q1035" s="208"/>
      <c r="R1035" s="208"/>
      <c r="S1035" s="208"/>
      <c r="T1035" s="208"/>
      <c r="U1035" s="209"/>
      <c r="V1035" s="210"/>
    </row>
    <row r="1036" ht="15.75" customHeight="1">
      <c r="A1036" s="200"/>
      <c r="B1036" s="201"/>
      <c r="C1036" s="202"/>
      <c r="D1036" s="203"/>
      <c r="E1036" s="201"/>
      <c r="F1036" s="204"/>
      <c r="G1036" s="204"/>
      <c r="H1036" s="205"/>
      <c r="I1036" s="205"/>
      <c r="J1036" s="206"/>
      <c r="K1036" s="205"/>
      <c r="L1036" s="205"/>
      <c r="M1036" s="201"/>
      <c r="N1036" s="207"/>
      <c r="O1036" s="208"/>
      <c r="P1036" s="208"/>
      <c r="Q1036" s="208"/>
      <c r="R1036" s="208"/>
      <c r="S1036" s="208"/>
      <c r="T1036" s="208"/>
      <c r="U1036" s="209"/>
      <c r="V1036" s="210"/>
    </row>
    <row r="1037" ht="15.75" customHeight="1">
      <c r="A1037" s="200"/>
      <c r="B1037" s="201"/>
      <c r="C1037" s="202"/>
      <c r="D1037" s="203"/>
      <c r="E1037" s="201"/>
      <c r="F1037" s="204"/>
      <c r="G1037" s="204"/>
      <c r="H1037" s="205"/>
      <c r="I1037" s="205"/>
      <c r="J1037" s="206"/>
      <c r="K1037" s="205"/>
      <c r="L1037" s="205"/>
      <c r="M1037" s="201"/>
      <c r="N1037" s="207"/>
      <c r="O1037" s="208"/>
      <c r="P1037" s="208"/>
      <c r="Q1037" s="208"/>
      <c r="R1037" s="208"/>
      <c r="S1037" s="208"/>
      <c r="T1037" s="208"/>
      <c r="U1037" s="209"/>
      <c r="V1037" s="210"/>
    </row>
    <row r="1038" ht="15.75" customHeight="1">
      <c r="A1038" s="200"/>
      <c r="B1038" s="201"/>
      <c r="C1038" s="202"/>
      <c r="D1038" s="203"/>
      <c r="E1038" s="201"/>
      <c r="F1038" s="204"/>
      <c r="G1038" s="204"/>
      <c r="H1038" s="205"/>
      <c r="I1038" s="205"/>
      <c r="J1038" s="206"/>
      <c r="K1038" s="205"/>
      <c r="L1038" s="205"/>
      <c r="M1038" s="201"/>
      <c r="N1038" s="207"/>
      <c r="O1038" s="208"/>
      <c r="P1038" s="208"/>
      <c r="Q1038" s="208"/>
      <c r="R1038" s="208"/>
      <c r="S1038" s="208"/>
      <c r="T1038" s="208"/>
      <c r="U1038" s="209"/>
      <c r="V1038" s="210"/>
    </row>
    <row r="1039" ht="15.75" customHeight="1">
      <c r="A1039" s="200"/>
      <c r="B1039" s="201"/>
      <c r="C1039" s="202"/>
      <c r="D1039" s="203"/>
      <c r="E1039" s="201"/>
      <c r="F1039" s="204"/>
      <c r="G1039" s="204"/>
      <c r="H1039" s="205"/>
      <c r="I1039" s="205"/>
      <c r="J1039" s="206"/>
      <c r="K1039" s="205"/>
      <c r="L1039" s="205"/>
      <c r="M1039" s="201"/>
      <c r="N1039" s="207"/>
      <c r="O1039" s="208"/>
      <c r="P1039" s="208"/>
      <c r="Q1039" s="208"/>
      <c r="R1039" s="208"/>
      <c r="S1039" s="208"/>
      <c r="T1039" s="208"/>
      <c r="U1039" s="209"/>
      <c r="V1039" s="210"/>
    </row>
    <row r="1040" ht="15.75" customHeight="1">
      <c r="A1040" s="200"/>
      <c r="B1040" s="201"/>
      <c r="C1040" s="202"/>
      <c r="D1040" s="203"/>
      <c r="E1040" s="201"/>
      <c r="F1040" s="204"/>
      <c r="G1040" s="204"/>
      <c r="H1040" s="205"/>
      <c r="I1040" s="205"/>
      <c r="J1040" s="206"/>
      <c r="K1040" s="205"/>
      <c r="L1040" s="205"/>
      <c r="M1040" s="201"/>
      <c r="N1040" s="207"/>
      <c r="O1040" s="208"/>
      <c r="P1040" s="208"/>
      <c r="Q1040" s="208"/>
      <c r="R1040" s="208"/>
      <c r="S1040" s="208"/>
      <c r="T1040" s="208"/>
      <c r="U1040" s="209"/>
      <c r="V1040" s="210"/>
    </row>
    <row r="1041" ht="15.75" customHeight="1">
      <c r="A1041" s="200"/>
      <c r="B1041" s="201"/>
      <c r="C1041" s="202"/>
      <c r="D1041" s="203"/>
      <c r="E1041" s="201"/>
      <c r="F1041" s="204"/>
      <c r="G1041" s="204"/>
      <c r="H1041" s="205"/>
      <c r="I1041" s="205"/>
      <c r="J1041" s="206"/>
      <c r="K1041" s="205"/>
      <c r="L1041" s="205"/>
      <c r="M1041" s="201"/>
      <c r="N1041" s="207"/>
      <c r="O1041" s="208"/>
      <c r="P1041" s="208"/>
      <c r="Q1041" s="208"/>
      <c r="R1041" s="208"/>
      <c r="S1041" s="208"/>
      <c r="T1041" s="208"/>
      <c r="U1041" s="209"/>
      <c r="V1041" s="210"/>
    </row>
    <row r="1042" ht="15.75" customHeight="1">
      <c r="A1042" s="200"/>
      <c r="B1042" s="201"/>
      <c r="C1042" s="202"/>
      <c r="D1042" s="203"/>
      <c r="E1042" s="201"/>
      <c r="F1042" s="204"/>
      <c r="G1042" s="204"/>
      <c r="H1042" s="205"/>
      <c r="I1042" s="205"/>
      <c r="J1042" s="206"/>
      <c r="K1042" s="205"/>
      <c r="L1042" s="205"/>
      <c r="M1042" s="201"/>
      <c r="N1042" s="207"/>
      <c r="O1042" s="208"/>
      <c r="P1042" s="208"/>
      <c r="Q1042" s="208"/>
      <c r="R1042" s="208"/>
      <c r="S1042" s="208"/>
      <c r="T1042" s="208"/>
      <c r="U1042" s="209"/>
      <c r="V1042" s="210"/>
    </row>
    <row r="1043" ht="15.75" customHeight="1">
      <c r="A1043" s="200"/>
      <c r="B1043" s="201"/>
      <c r="C1043" s="202"/>
      <c r="D1043" s="203"/>
      <c r="E1043" s="201"/>
      <c r="F1043" s="204"/>
      <c r="G1043" s="204"/>
      <c r="H1043" s="205"/>
      <c r="I1043" s="205"/>
      <c r="J1043" s="206"/>
      <c r="K1043" s="205"/>
      <c r="L1043" s="205"/>
      <c r="M1043" s="201"/>
      <c r="N1043" s="207"/>
      <c r="O1043" s="208"/>
      <c r="P1043" s="208"/>
      <c r="Q1043" s="208"/>
      <c r="R1043" s="208"/>
      <c r="S1043" s="208"/>
      <c r="T1043" s="208"/>
      <c r="U1043" s="209"/>
      <c r="V1043" s="210"/>
    </row>
    <row r="1044" ht="15.75" customHeight="1">
      <c r="A1044" s="200"/>
      <c r="B1044" s="201"/>
      <c r="C1044" s="202"/>
      <c r="D1044" s="203"/>
      <c r="E1044" s="201"/>
      <c r="F1044" s="204"/>
      <c r="G1044" s="204"/>
      <c r="H1044" s="205"/>
      <c r="I1044" s="205"/>
      <c r="J1044" s="206"/>
      <c r="K1044" s="205"/>
      <c r="L1044" s="205"/>
      <c r="M1044" s="201"/>
      <c r="N1044" s="207"/>
      <c r="O1044" s="208"/>
      <c r="P1044" s="208"/>
      <c r="Q1044" s="208"/>
      <c r="R1044" s="208"/>
      <c r="S1044" s="208"/>
      <c r="T1044" s="208"/>
      <c r="U1044" s="209"/>
      <c r="V1044" s="210"/>
    </row>
    <row r="1045" ht="15.75" customHeight="1">
      <c r="A1045" s="200"/>
      <c r="B1045" s="201"/>
      <c r="C1045" s="202"/>
      <c r="D1045" s="203"/>
      <c r="E1045" s="201"/>
      <c r="F1045" s="204"/>
      <c r="G1045" s="204"/>
      <c r="H1045" s="205"/>
      <c r="I1045" s="205"/>
      <c r="J1045" s="206"/>
      <c r="K1045" s="205"/>
      <c r="L1045" s="205"/>
      <c r="M1045" s="201"/>
      <c r="N1045" s="207"/>
      <c r="O1045" s="208"/>
      <c r="P1045" s="208"/>
      <c r="Q1045" s="208"/>
      <c r="R1045" s="208"/>
      <c r="S1045" s="208"/>
      <c r="T1045" s="208"/>
      <c r="U1045" s="209"/>
      <c r="V1045" s="210"/>
    </row>
    <row r="1046" ht="15.75" customHeight="1">
      <c r="A1046" s="200"/>
      <c r="B1046" s="201"/>
      <c r="C1046" s="202"/>
      <c r="D1046" s="203"/>
      <c r="E1046" s="201"/>
      <c r="F1046" s="204"/>
      <c r="G1046" s="204"/>
      <c r="H1046" s="205"/>
      <c r="I1046" s="205"/>
      <c r="J1046" s="206"/>
      <c r="K1046" s="205"/>
      <c r="L1046" s="205"/>
      <c r="M1046" s="201"/>
      <c r="N1046" s="207"/>
      <c r="O1046" s="208"/>
      <c r="P1046" s="208"/>
      <c r="Q1046" s="208"/>
      <c r="R1046" s="208"/>
      <c r="S1046" s="208"/>
      <c r="T1046" s="208"/>
      <c r="U1046" s="209"/>
      <c r="V1046" s="210"/>
    </row>
    <row r="1047" ht="15.75" customHeight="1">
      <c r="A1047" s="200"/>
      <c r="B1047" s="201"/>
      <c r="C1047" s="202"/>
      <c r="D1047" s="203"/>
      <c r="E1047" s="201"/>
      <c r="F1047" s="204"/>
      <c r="G1047" s="204"/>
      <c r="H1047" s="205"/>
      <c r="I1047" s="205"/>
      <c r="J1047" s="206"/>
      <c r="K1047" s="205"/>
      <c r="L1047" s="205"/>
      <c r="M1047" s="201"/>
      <c r="N1047" s="207"/>
      <c r="O1047" s="208"/>
      <c r="P1047" s="208"/>
      <c r="Q1047" s="208"/>
      <c r="R1047" s="208"/>
      <c r="S1047" s="208"/>
      <c r="T1047" s="208"/>
      <c r="U1047" s="209"/>
      <c r="V1047" s="210"/>
    </row>
    <row r="1048" ht="15.75" customHeight="1">
      <c r="A1048" s="200"/>
      <c r="B1048" s="201"/>
      <c r="C1048" s="202"/>
      <c r="D1048" s="203"/>
      <c r="E1048" s="201"/>
      <c r="F1048" s="204"/>
      <c r="G1048" s="204"/>
      <c r="H1048" s="205"/>
      <c r="I1048" s="205"/>
      <c r="J1048" s="206"/>
      <c r="K1048" s="205"/>
      <c r="L1048" s="205"/>
      <c r="M1048" s="201"/>
      <c r="N1048" s="207"/>
      <c r="O1048" s="208"/>
      <c r="P1048" s="208"/>
      <c r="Q1048" s="208"/>
      <c r="R1048" s="208"/>
      <c r="S1048" s="208"/>
      <c r="T1048" s="208"/>
      <c r="U1048" s="209"/>
      <c r="V1048" s="210"/>
    </row>
    <row r="1049" ht="15.75" customHeight="1">
      <c r="A1049" s="200"/>
      <c r="B1049" s="201"/>
      <c r="C1049" s="202"/>
      <c r="D1049" s="203"/>
      <c r="E1049" s="201"/>
      <c r="F1049" s="204"/>
      <c r="G1049" s="204"/>
      <c r="H1049" s="205"/>
      <c r="I1049" s="205"/>
      <c r="J1049" s="206"/>
      <c r="K1049" s="205"/>
      <c r="L1049" s="205"/>
      <c r="M1049" s="201"/>
      <c r="N1049" s="207"/>
      <c r="O1049" s="208"/>
      <c r="P1049" s="208"/>
      <c r="Q1049" s="208"/>
      <c r="R1049" s="208"/>
      <c r="S1049" s="208"/>
      <c r="T1049" s="208"/>
      <c r="U1049" s="209"/>
      <c r="V1049" s="210"/>
    </row>
    <row r="1050" ht="15.75" customHeight="1">
      <c r="A1050" s="200"/>
      <c r="B1050" s="201"/>
      <c r="C1050" s="202"/>
      <c r="D1050" s="203"/>
      <c r="E1050" s="201"/>
      <c r="F1050" s="204"/>
      <c r="G1050" s="204"/>
      <c r="H1050" s="205"/>
      <c r="I1050" s="205"/>
      <c r="J1050" s="206"/>
      <c r="K1050" s="205"/>
      <c r="L1050" s="205"/>
      <c r="M1050" s="201"/>
      <c r="N1050" s="207"/>
      <c r="O1050" s="208"/>
      <c r="P1050" s="208"/>
      <c r="Q1050" s="208"/>
      <c r="R1050" s="208"/>
      <c r="S1050" s="208"/>
      <c r="T1050" s="208"/>
      <c r="U1050" s="209"/>
      <c r="V1050" s="210"/>
    </row>
    <row r="1051" ht="15.75" customHeight="1">
      <c r="A1051" s="200"/>
      <c r="B1051" s="201"/>
      <c r="C1051" s="202"/>
      <c r="D1051" s="203"/>
      <c r="E1051" s="201"/>
      <c r="F1051" s="204"/>
      <c r="G1051" s="204"/>
      <c r="H1051" s="205"/>
      <c r="I1051" s="205"/>
      <c r="J1051" s="206"/>
      <c r="K1051" s="205"/>
      <c r="L1051" s="205"/>
      <c r="M1051" s="201"/>
      <c r="N1051" s="207"/>
      <c r="O1051" s="208"/>
      <c r="P1051" s="208"/>
      <c r="Q1051" s="208"/>
      <c r="R1051" s="208"/>
      <c r="S1051" s="208"/>
      <c r="T1051" s="208"/>
      <c r="U1051" s="209"/>
      <c r="V1051" s="210"/>
    </row>
    <row r="1052" ht="15.75" customHeight="1">
      <c r="A1052" s="200"/>
      <c r="B1052" s="201"/>
      <c r="C1052" s="202"/>
      <c r="D1052" s="203"/>
      <c r="E1052" s="201"/>
      <c r="F1052" s="204"/>
      <c r="G1052" s="204"/>
      <c r="H1052" s="205"/>
      <c r="I1052" s="205"/>
      <c r="J1052" s="206"/>
      <c r="K1052" s="205"/>
      <c r="L1052" s="205"/>
      <c r="M1052" s="201"/>
      <c r="N1052" s="207"/>
      <c r="O1052" s="208"/>
      <c r="P1052" s="208"/>
      <c r="Q1052" s="208"/>
      <c r="R1052" s="208"/>
      <c r="S1052" s="208"/>
      <c r="T1052" s="208"/>
      <c r="U1052" s="209"/>
      <c r="V1052" s="210"/>
    </row>
    <row r="1053" ht="15.75" customHeight="1">
      <c r="A1053" s="200"/>
      <c r="B1053" s="201"/>
      <c r="C1053" s="202"/>
      <c r="D1053" s="203"/>
      <c r="E1053" s="201"/>
      <c r="F1053" s="204"/>
      <c r="G1053" s="204"/>
      <c r="H1053" s="205"/>
      <c r="I1053" s="205"/>
      <c r="J1053" s="206"/>
      <c r="K1053" s="205"/>
      <c r="L1053" s="205"/>
      <c r="M1053" s="201"/>
      <c r="N1053" s="207"/>
      <c r="O1053" s="208"/>
      <c r="P1053" s="208"/>
      <c r="Q1053" s="208"/>
      <c r="R1053" s="208"/>
      <c r="S1053" s="208"/>
      <c r="T1053" s="208"/>
      <c r="U1053" s="209"/>
      <c r="V1053" s="210"/>
    </row>
    <row r="1054" ht="15.75" customHeight="1">
      <c r="A1054" s="200"/>
      <c r="B1054" s="201"/>
      <c r="C1054" s="202"/>
      <c r="D1054" s="203"/>
      <c r="E1054" s="201"/>
      <c r="F1054" s="204"/>
      <c r="G1054" s="204"/>
      <c r="H1054" s="205"/>
      <c r="I1054" s="205"/>
      <c r="J1054" s="206"/>
      <c r="K1054" s="205"/>
      <c r="L1054" s="205"/>
      <c r="M1054" s="201"/>
      <c r="N1054" s="207"/>
      <c r="O1054" s="208"/>
      <c r="P1054" s="208"/>
      <c r="Q1054" s="208"/>
      <c r="R1054" s="208"/>
      <c r="S1054" s="208"/>
      <c r="T1054" s="208"/>
      <c r="U1054" s="209"/>
      <c r="V1054" s="210"/>
    </row>
    <row r="1055" ht="15.75" customHeight="1">
      <c r="A1055" s="200"/>
      <c r="B1055" s="201"/>
      <c r="C1055" s="202"/>
      <c r="D1055" s="203"/>
      <c r="E1055" s="201"/>
      <c r="F1055" s="204"/>
      <c r="G1055" s="204"/>
      <c r="H1055" s="205"/>
      <c r="I1055" s="205"/>
      <c r="J1055" s="206"/>
      <c r="K1055" s="205"/>
      <c r="L1055" s="205"/>
      <c r="M1055" s="201"/>
      <c r="N1055" s="207"/>
      <c r="O1055" s="208"/>
      <c r="P1055" s="208"/>
      <c r="Q1055" s="208"/>
      <c r="R1055" s="208"/>
      <c r="S1055" s="208"/>
      <c r="T1055" s="208"/>
      <c r="U1055" s="209"/>
      <c r="V1055" s="210"/>
    </row>
    <row r="1056" ht="15.75" customHeight="1">
      <c r="A1056" s="200"/>
      <c r="B1056" s="201"/>
      <c r="C1056" s="202"/>
      <c r="D1056" s="203"/>
      <c r="E1056" s="201"/>
      <c r="F1056" s="204"/>
      <c r="G1056" s="204"/>
      <c r="H1056" s="205"/>
      <c r="I1056" s="205"/>
      <c r="J1056" s="206"/>
      <c r="K1056" s="205"/>
      <c r="L1056" s="205"/>
      <c r="M1056" s="201"/>
      <c r="N1056" s="207"/>
      <c r="O1056" s="208"/>
      <c r="P1056" s="208"/>
      <c r="Q1056" s="208"/>
      <c r="R1056" s="208"/>
      <c r="S1056" s="208"/>
      <c r="T1056" s="208"/>
      <c r="U1056" s="209"/>
      <c r="V1056" s="210"/>
    </row>
    <row r="1057" ht="15.75" customHeight="1">
      <c r="A1057" s="200"/>
      <c r="B1057" s="201"/>
      <c r="C1057" s="202"/>
      <c r="D1057" s="203"/>
      <c r="E1057" s="201"/>
      <c r="F1057" s="204"/>
      <c r="G1057" s="204"/>
      <c r="H1057" s="205"/>
      <c r="I1057" s="205"/>
      <c r="J1057" s="206"/>
      <c r="K1057" s="205"/>
      <c r="L1057" s="205"/>
      <c r="M1057" s="201"/>
      <c r="N1057" s="207"/>
      <c r="O1057" s="208"/>
      <c r="P1057" s="208"/>
      <c r="Q1057" s="208"/>
      <c r="R1057" s="208"/>
      <c r="S1057" s="208"/>
      <c r="T1057" s="208"/>
      <c r="U1057" s="209"/>
      <c r="V1057" s="210"/>
    </row>
  </sheetData>
  <autoFilter ref="$A$3:$V$57">
    <filterColumn colId="1">
      <filters>
        <filter val="ASSISTENTE DE RECURSOS HUMANOS"/>
        <filter val="ENCARREGADO OBRAS/MANUTENCAO"/>
        <filter val="AUXILIAR ADMINISTRATIVO III"/>
        <filter val="GERENTE DE URBANISMO"/>
        <filter val="ASSISTENTE DE CONTROLADORIA III"/>
        <filter val="SUPERVISOR DE NOVOS NEGÓCIOS"/>
        <filter val="ENGENHEIRO SÊNIOR"/>
        <filter val="ANALISTA DE MANUTENÇÃO II"/>
        <filter val="GERENTE DE EDIFICAÇÕES"/>
        <filter val="TECNICO ANALISTA DE CUSTOS"/>
        <filter val="GERENTE ADMINISTRATIVA"/>
        <filter val="GERENTE DE IMOBILIÁRIAS EXTERNAS"/>
        <filter val="COORDENADOR DE SUPRIMENTOS"/>
        <filter val="AUXILIAR DE ENGENHARIA"/>
        <filter val="ENGENHEIRO JUNIOR DE URBANISMO"/>
        <filter val="GERENTE DE PARCERIAS EXTERNAS"/>
        <filter val="CONTROLLER TÉCNICO"/>
        <filter val="ANALISTA FINANCEIRO I"/>
        <filter val="COORDENADOR DE LEGAIZAÇÃO ll"/>
        <filter val="ANALISTA DE INOVAÇÃO"/>
        <filter val="COORDENADOR FINANCEIRO"/>
        <filter val="ANALISTA DE CRIAÇAO"/>
        <filter val="GERENTE DE PARCERIAS"/>
        <filter val="GERENTE COMERCIAL"/>
        <filter val="ANALISTA FINANCEIRO DE CAPTAÇÃO DE RECURSOS III"/>
        <filter val="ANALISTA DE URBANISMO"/>
        <filter val="ASSISTENTE DE MARKETING"/>
        <filter val="AUXILIAR DE ATENDIMENTO II"/>
        <filter val="ALMOXARIFE"/>
        <filter val="SUPERVISOR(A) FINANCEIRO I"/>
        <filter val="ASSISTENTE ADM DE LEGALIZAÇÃO III"/>
        <filter val="ENCARREGADO DE OBRAS"/>
        <filter val="TECNOLOGO EM CONSTRUÇÃO DE EDIFICIOS"/>
        <filter val="ANALISTA DE MARKETING l"/>
        <filter val="ANALISTA DE COMPRAS"/>
        <filter val="COORDENADOR DE MARKETING II"/>
        <filter val="DIRETOR"/>
        <filter val="AUXILIAR ADMINISTRATIVO"/>
        <filter val="ASSISTENTE FINANCEIRO CONTAS A PAGAR"/>
        <filter val="GERENTE DE INCORPORAÇÃO"/>
        <filter val="COORDENADOR DE OBRAS"/>
        <filter val="ANALISTA FINANCEIRO COMERCIAL III"/>
        <filter val="ASSISTENTE DE TI"/>
        <filter val="COORDENADOR DE DHO"/>
        <filter val="ANALISTA DE PÓS VENDAS II"/>
        <filter val="CONTROLER JURÍDICO"/>
        <filter val="CONTROLLER GERAL"/>
        <filter val="ASSISTENTE DE ENGENHARIA lll"/>
        <filter val="ASSISTENTE ADMINISTRATIVO lll"/>
        <filter val="GERENTE DE HOUSE"/>
      </filters>
    </filterColumn>
    <sortState ref="A3:V57">
      <sortCondition ref="E3:E57"/>
    </sortState>
  </autoFilter>
  <customSheetViews>
    <customSheetView guid="{45EEC70B-EA86-49D3-A588-0A0D84BF9E52}" filter="1" showAutoFilter="1">
      <autoFilter ref="$B$1:$V$1"/>
    </customSheetView>
    <customSheetView guid="{0075A802-B66C-4D7D-929F-34C2F59AE8A9}" filter="1" showAutoFilter="1">
      <autoFilter ref="$A$3:$V$57"/>
    </customSheetView>
    <customSheetView guid="{B41F88BD-3F58-45D0-A0E7-C0E19BA24239}" filter="1" showAutoFilter="1">
      <autoFilter ref="$A$3:$V$57"/>
    </customSheetView>
    <customSheetView guid="{9ED18B37-6EB4-4260-A5FA-FAFBE39E0B69}" filter="1" showAutoFilter="1">
      <autoFilter ref="$A$3:$V$57"/>
    </customSheetView>
    <customSheetView guid="{96C31A28-1028-4009-9DE6-63B3CF4DFB9B}" filter="1" showAutoFilter="1">
      <autoFilter ref="$A$3:$V$57"/>
    </customSheetView>
    <customSheetView guid="{A7CC0C28-C4CD-4D76-B1EF-29E890F45AC8}" filter="1" showAutoFilter="1">
      <autoFilter ref="$A$3:$V$57">
        <filterColumn colId="10">
          <filters>
            <filter val="Analista de Marketing"/>
            <filter val="Almoxarife"/>
            <filter val="Estagiário de Engenharia Civil"/>
            <filter val="Assistente de Engenharia"/>
            <filter val="Coordenador Financeiro"/>
            <filter val="Analista de Criação"/>
            <filter val="Analista de Controladoria"/>
            <filter val="Gerente de Relacionamento"/>
            <filter val="Assistente de Recursos Humanos"/>
            <filter val="Gerente Administrativo"/>
            <filter val="Coordenador de Obras"/>
            <filter val="Gerente de Incorporação"/>
            <filter val="Analista de Compras"/>
            <filter val="Coordenador de Legalização"/>
            <filter val="Encarregado de Manutenção"/>
            <filter val="Coordenador de Marketing"/>
            <filter val="Coordenador de Compras"/>
            <filter val="Gerente de Imobiliárias"/>
            <filter val="Analista de Custos"/>
            <filter val="Mestre de Obras"/>
            <filter val="Advogado"/>
            <filter val="Supervisor Financeiro"/>
            <filter val="Gerente de Operações"/>
            <filter val="Auxiliar de Engenharia"/>
            <filter val="Analista de Urbanismo"/>
            <filter val="Assistente Administrativo"/>
            <filter val="Analista Comercial"/>
            <filter val="Assistente de Tecnologia da Informação"/>
            <filter val="CEO"/>
            <filter val="Controller"/>
            <filter val="Técnico em Edificações"/>
            <filter val="Assistente de Legalização"/>
            <filter val="Auxiliar de Atendimento"/>
            <filter val="Assistente de Controladoria"/>
            <filter val="Estagiário Administrativo"/>
            <filter val="Coordenador de Recursos Humanos"/>
            <filter val="Analista de Inovação"/>
            <filter val="Assistente de Marketing"/>
            <filter val="Gerente Comercial"/>
            <filter val="Auxiliar Administrativo"/>
            <filter val="Assistente Financeiro"/>
            <filter val="Engenheiro de Urbanismo"/>
            <filter val="Supervisor de Negócios"/>
          </filters>
        </filterColumn>
      </autoFilter>
    </customSheetView>
    <customSheetView guid="{3C6918C3-D868-4D69-A6CD-504F4B52EE22}" filter="1" showAutoFilter="1">
      <autoFilter ref="$A$3:$V$57"/>
    </customSheetView>
  </customSheetViews>
  <mergeCells count="1">
    <mergeCell ref="O1:R1"/>
  </mergeCells>
  <printOptions/>
  <pageMargins bottom="0.787401575" footer="0.0" header="0.0" left="0.511811024" right="0.511811024" top="0.7874015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211" t="s">
        <v>252</v>
      </c>
    </row>
    <row r="2">
      <c r="A2" s="212" t="s">
        <v>252</v>
      </c>
    </row>
    <row r="3">
      <c r="A3" s="211" t="s">
        <v>238</v>
      </c>
    </row>
    <row r="4">
      <c r="A4" s="211" t="s">
        <v>331</v>
      </c>
    </row>
    <row r="5">
      <c r="A5" s="211" t="s">
        <v>337</v>
      </c>
    </row>
    <row r="6">
      <c r="A6" s="211" t="s">
        <v>339</v>
      </c>
    </row>
    <row r="7">
      <c r="A7" s="211" t="s">
        <v>338</v>
      </c>
    </row>
    <row r="8">
      <c r="A8" s="211" t="s">
        <v>335</v>
      </c>
    </row>
    <row r="9">
      <c r="A9" s="211" t="s">
        <v>336</v>
      </c>
    </row>
    <row r="10">
      <c r="A10" s="211" t="s">
        <v>294</v>
      </c>
    </row>
    <row r="11">
      <c r="A11" s="211" t="s">
        <v>333</v>
      </c>
    </row>
    <row r="12">
      <c r="A12" s="211" t="s">
        <v>332</v>
      </c>
    </row>
    <row r="13">
      <c r="A13" s="211" t="s">
        <v>340</v>
      </c>
    </row>
    <row r="14">
      <c r="A14" s="211" t="s">
        <v>341</v>
      </c>
    </row>
    <row r="15">
      <c r="A15" s="211" t="s">
        <v>211</v>
      </c>
    </row>
    <row r="16">
      <c r="A16" s="211" t="s">
        <v>344</v>
      </c>
    </row>
    <row r="17">
      <c r="A17" s="211" t="s">
        <v>350</v>
      </c>
    </row>
    <row r="18">
      <c r="A18" s="211" t="s">
        <v>349</v>
      </c>
    </row>
    <row r="19">
      <c r="A19" s="211" t="s">
        <v>346</v>
      </c>
    </row>
    <row r="20">
      <c r="A20" s="211" t="s">
        <v>347</v>
      </c>
    </row>
    <row r="21">
      <c r="A21" s="211" t="s">
        <v>345</v>
      </c>
    </row>
    <row r="22">
      <c r="A22" s="211" t="s">
        <v>348</v>
      </c>
    </row>
    <row r="23">
      <c r="A23" s="211" t="s">
        <v>354</v>
      </c>
    </row>
    <row r="24">
      <c r="A24" s="211" t="s">
        <v>353</v>
      </c>
    </row>
    <row r="25">
      <c r="A25" s="211" t="s">
        <v>351</v>
      </c>
    </row>
    <row r="26">
      <c r="A26" s="211" t="s">
        <v>352</v>
      </c>
    </row>
    <row r="27">
      <c r="A27" s="211" t="s">
        <v>276</v>
      </c>
    </row>
    <row r="28">
      <c r="A28" s="211" t="s">
        <v>357</v>
      </c>
    </row>
    <row r="29">
      <c r="A29" s="211" t="s">
        <v>358</v>
      </c>
    </row>
    <row r="30">
      <c r="A30" s="211" t="s">
        <v>359</v>
      </c>
    </row>
    <row r="31">
      <c r="A31" s="211" t="s">
        <v>362</v>
      </c>
    </row>
    <row r="32">
      <c r="A32" s="211" t="s">
        <v>361</v>
      </c>
    </row>
    <row r="33">
      <c r="A33" s="211" t="s">
        <v>360</v>
      </c>
    </row>
    <row r="34">
      <c r="A34" s="211" t="s">
        <v>363</v>
      </c>
    </row>
    <row r="35">
      <c r="A35" s="211" t="s">
        <v>365</v>
      </c>
    </row>
    <row r="36">
      <c r="A36" s="211" t="s">
        <v>366</v>
      </c>
    </row>
    <row r="37">
      <c r="A37" s="211" t="s">
        <v>367</v>
      </c>
    </row>
    <row r="38">
      <c r="A38" s="211" t="s">
        <v>368</v>
      </c>
    </row>
    <row r="39">
      <c r="A39" s="211" t="s">
        <v>369</v>
      </c>
    </row>
    <row r="40">
      <c r="A40" s="211" t="s">
        <v>371</v>
      </c>
    </row>
    <row r="41">
      <c r="A41" s="211" t="s">
        <v>370</v>
      </c>
    </row>
    <row r="42">
      <c r="A42" s="211" t="s">
        <v>372</v>
      </c>
    </row>
    <row r="43">
      <c r="A43" s="211" t="s">
        <v>373</v>
      </c>
    </row>
    <row r="44">
      <c r="A44" s="211" t="s">
        <v>375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7.0"/>
    <col customWidth="1" min="2" max="2" width="23.88"/>
    <col customWidth="1" min="3" max="3" width="15.75"/>
    <col customWidth="1" hidden="1" min="4" max="4" width="10.25"/>
    <col customWidth="1" min="5" max="5" width="22.63"/>
    <col customWidth="1" min="6" max="6" width="38.38"/>
    <col customWidth="1" hidden="1" min="7" max="7" width="25.13"/>
    <col customWidth="1" hidden="1" min="8" max="8" width="19.88"/>
    <col customWidth="1" hidden="1" min="9" max="9" width="13.0"/>
    <col customWidth="1" hidden="1" min="10" max="10" width="28.88"/>
    <col customWidth="1" hidden="1" min="11" max="11" width="11.75"/>
    <col customWidth="1" hidden="1" min="12" max="12" width="17.38"/>
    <col customWidth="1" hidden="1" min="13" max="13" width="21.63"/>
    <col customWidth="1" min="14" max="14" width="14.75"/>
    <col customWidth="1" hidden="1" min="15" max="15" width="10.88"/>
    <col customWidth="1" hidden="1" min="16" max="16" width="10.13"/>
    <col customWidth="1" min="17" max="17" width="10.13"/>
    <col customWidth="1" hidden="1" min="18" max="18" width="10.88"/>
    <col customWidth="1" hidden="1" min="19" max="19" width="14.0"/>
    <col customWidth="1" hidden="1" min="20" max="20" width="18.75"/>
    <col customWidth="1" hidden="1" min="21" max="21" width="27.38"/>
    <col customWidth="1" min="22" max="22" width="7.88"/>
    <col customWidth="1" min="23" max="42" width="6.63"/>
  </cols>
  <sheetData>
    <row r="1">
      <c r="B1" s="157"/>
      <c r="C1" s="157"/>
      <c r="D1" s="157"/>
      <c r="E1" s="157"/>
      <c r="F1" s="157"/>
      <c r="G1" s="157"/>
      <c r="H1" s="157"/>
      <c r="I1" s="158" t="s">
        <v>314</v>
      </c>
      <c r="J1" s="157"/>
      <c r="K1" s="157"/>
      <c r="L1" s="157"/>
      <c r="M1" s="157"/>
      <c r="N1" s="159"/>
      <c r="O1" s="159" t="str">
        <f>'Informações Relevantes Cenário'!A1</f>
        <v>Cenário 01: Pesquisas Consolidadas - Nacional</v>
      </c>
      <c r="P1" s="160"/>
      <c r="Q1" s="160"/>
      <c r="R1" s="161"/>
      <c r="S1" s="162"/>
      <c r="T1" s="163" t="str">
        <f>"% Distância da "&amp;'Painel Geral'!B5</f>
        <v>% Distância da Mediana</v>
      </c>
      <c r="U1" s="163" t="s">
        <v>315</v>
      </c>
      <c r="V1" s="213"/>
      <c r="W1" s="213"/>
      <c r="X1" s="213"/>
      <c r="Y1" s="213"/>
      <c r="Z1" s="213"/>
      <c r="AA1" s="213"/>
      <c r="AB1" s="213"/>
      <c r="AC1" s="213"/>
      <c r="AD1" s="213"/>
      <c r="AE1" s="213"/>
      <c r="AF1" s="213"/>
      <c r="AG1" s="213"/>
      <c r="AH1" s="213"/>
      <c r="AI1" s="213"/>
      <c r="AJ1" s="213"/>
      <c r="AK1" s="213"/>
      <c r="AL1" s="213"/>
      <c r="AM1" s="213"/>
      <c r="AN1" s="213"/>
      <c r="AO1" s="213"/>
      <c r="AP1" s="213"/>
    </row>
    <row r="2" ht="6.0" customHeight="1">
      <c r="A2" s="164"/>
      <c r="B2" s="165"/>
      <c r="C2" s="166"/>
      <c r="D2" s="167"/>
      <c r="E2" s="165"/>
      <c r="F2" s="165"/>
      <c r="G2" s="165"/>
      <c r="H2" s="165"/>
      <c r="I2" s="167"/>
      <c r="J2" s="165"/>
      <c r="K2" s="165"/>
      <c r="L2" s="165"/>
      <c r="M2" s="168"/>
      <c r="N2" s="214"/>
      <c r="O2" s="169"/>
      <c r="P2" s="169"/>
      <c r="Q2" s="169"/>
      <c r="R2" s="169"/>
      <c r="S2" s="170"/>
      <c r="T2" s="171"/>
      <c r="U2" s="170"/>
      <c r="V2" s="207"/>
      <c r="W2" s="207"/>
      <c r="X2" s="207"/>
      <c r="Y2" s="207"/>
      <c r="Z2" s="207"/>
      <c r="AA2" s="207"/>
      <c r="AB2" s="207"/>
      <c r="AC2" s="207"/>
      <c r="AD2" s="207"/>
      <c r="AE2" s="207"/>
      <c r="AF2" s="207"/>
      <c r="AG2" s="207"/>
      <c r="AH2" s="207"/>
      <c r="AI2" s="207"/>
      <c r="AJ2" s="207"/>
      <c r="AK2" s="207"/>
      <c r="AL2" s="207"/>
      <c r="AM2" s="207"/>
      <c r="AN2" s="207"/>
      <c r="AO2" s="207"/>
      <c r="AP2" s="207"/>
    </row>
    <row r="3">
      <c r="A3" s="172" t="s">
        <v>2</v>
      </c>
      <c r="B3" s="173" t="s">
        <v>203</v>
      </c>
      <c r="C3" s="174" t="s">
        <v>316</v>
      </c>
      <c r="D3" s="175" t="s">
        <v>317</v>
      </c>
      <c r="E3" s="175" t="s">
        <v>318</v>
      </c>
      <c r="F3" s="175" t="s">
        <v>5</v>
      </c>
      <c r="G3" s="175" t="s">
        <v>319</v>
      </c>
      <c r="H3" s="176" t="s">
        <v>7</v>
      </c>
      <c r="I3" s="176" t="s">
        <v>204</v>
      </c>
      <c r="J3" s="176" t="s">
        <v>205</v>
      </c>
      <c r="K3" s="177" t="s">
        <v>6</v>
      </c>
      <c r="L3" s="178" t="s">
        <v>320</v>
      </c>
      <c r="M3" s="179" t="s">
        <v>321</v>
      </c>
      <c r="N3" s="215"/>
      <c r="O3" s="180" t="s">
        <v>323</v>
      </c>
      <c r="P3" s="180" t="s">
        <v>324</v>
      </c>
      <c r="Q3" s="180" t="s">
        <v>325</v>
      </c>
      <c r="R3" s="180" t="s">
        <v>326</v>
      </c>
      <c r="S3" s="181" t="s">
        <v>327</v>
      </c>
      <c r="T3" s="182" t="s">
        <v>328</v>
      </c>
      <c r="U3" s="183" t="s">
        <v>329</v>
      </c>
      <c r="V3" s="207"/>
      <c r="W3" s="207"/>
      <c r="X3" s="207"/>
      <c r="Y3" s="207"/>
      <c r="Z3" s="207"/>
      <c r="AA3" s="207"/>
      <c r="AB3" s="207"/>
      <c r="AC3" s="207"/>
      <c r="AD3" s="207"/>
      <c r="AE3" s="207"/>
      <c r="AF3" s="207"/>
      <c r="AG3" s="207"/>
      <c r="AH3" s="207"/>
      <c r="AI3" s="207"/>
      <c r="AJ3" s="207"/>
      <c r="AK3" s="207"/>
      <c r="AL3" s="207"/>
      <c r="AM3" s="207"/>
      <c r="AN3" s="207"/>
      <c r="AO3" s="207"/>
      <c r="AP3" s="207"/>
    </row>
    <row r="4" ht="15.75" customHeight="1">
      <c r="A4" s="184" t="s">
        <v>87</v>
      </c>
      <c r="B4" s="185" t="str">
        <f>VLOOKUP(A4,Jobmatch!A:G,2,0)</f>
        <v>AUXILIAR DE ATENDIMENTO II</v>
      </c>
      <c r="C4" s="186">
        <f>IFERROR(AVERAGEIF('Folha de Pagamento'!A:A,A4,'Folha de Pagamento'!J:J),"")</f>
        <v>2560</v>
      </c>
      <c r="D4" s="187">
        <v>1.0</v>
      </c>
      <c r="E4" s="185" t="str">
        <f>VLOOKUP(A4,Jobmatch!A:H,3,0)</f>
        <v>Recepção</v>
      </c>
      <c r="F4" s="188" t="s">
        <v>366</v>
      </c>
      <c r="G4" s="190" t="str">
        <f>VLOOKUP(A4,Jobmatch!A:I,4,0)</f>
        <v>29 - ADM PROJETOS</v>
      </c>
      <c r="H4" s="191" t="str">
        <f>VLOOKUP(A4,Jobmatch!A:I,5,0)</f>
        <v>Operacional</v>
      </c>
      <c r="I4" s="192">
        <f>VLOOKUP(A4,Jobmatch!A:I,6,0)</f>
        <v>318</v>
      </c>
      <c r="J4" s="190" t="str">
        <f>VLOOKUP(A4,Jobmatch!A:I,7,0)</f>
        <v>Auxiliar de Atendimento</v>
      </c>
      <c r="K4" s="193" t="str">
        <f>VLOOKUP(A4,Jobmatch!A:I,8,0)</f>
        <v>Indiferente</v>
      </c>
      <c r="L4" s="194" t="str">
        <f t="shared" ref="L4:L47" si="2">I4&amp;K4</f>
        <v>318Indiferente</v>
      </c>
      <c r="M4" s="195">
        <f>COUNTIF('Folha de Pagamento'!A:A,A4)</f>
        <v>1</v>
      </c>
      <c r="N4" s="216">
        <v>10.0</v>
      </c>
      <c r="O4" s="196">
        <f>IFERROR(VLOOKUP(L4,'C-01'!$D:$L,5,0),"")</f>
        <v>1778.55</v>
      </c>
      <c r="P4" s="196">
        <f>IFERROR(VLOOKUP(L4,'C-01'!$D:$L,6,0),"")</f>
        <v>2041.06</v>
      </c>
      <c r="Q4" s="196">
        <f>IFERROR(VLOOKUP(L4,'C-01'!$D:$L,7,0),"")</f>
        <v>2052.94</v>
      </c>
      <c r="R4" s="196">
        <f>IFERROR(VLOOKUP(L4,'C-01'!$D:$L,8,0),"")</f>
        <v>2169.15</v>
      </c>
      <c r="S4" s="197">
        <f>IFERROR(VLOOKUP(L4,'C-01'!$D:$L,9,0),"")</f>
        <v>2574.08</v>
      </c>
      <c r="T4" s="198">
        <f>IFS('Painel Geral'!$B$5="Mediana",IFERROR(IF(OR(C4="",Q4=0,Q4=""),"",($C4/$Q4)),""),'Painel Geral'!$B$5="Menor Salário",IFERROR(IF(OR(C4="",Q4=0,Q4=""),"",($C4/$N4)),""),'Painel Geral'!$B$5="1º Quartil",IFERROR(IF(OR(C4="",Q4=0,Q4=""),"",($C4/$O4)),""), 'Painel Geral'!$B$5="Média",IFERROR(IF(OR(C4="",Q4=0,Q4=""),"",($C4/$P4)),""),'Painel Geral'!$B$5="3º Quartil",IFERROR(IF(OR(C4="",Q4=0,Q4=""),"",($C4/$R4)),""),'Painel Geral'!$B$5="Maior Salário",IFERROR(IF(OR(C4="",Q4=0,Q4=""),"",($C4/$S4)),""))</f>
        <v>1.246992119</v>
      </c>
      <c r="U4" s="199" t="str">
        <f t="shared" ref="U4:U47" si="3">IFS(OR(N4="",N4=0,C4="", C4=0),"",T4&lt;=80%,"Muito Defasado",T4&lt;=90%,"Defasado",T4&lt;=100%,"Na Média",T4&lt;=110%,"Competitivo",T4&lt;=120%,"Muito Competitivo",T4&gt;120%,"Agressivo")</f>
        <v>Agressivo</v>
      </c>
      <c r="V4" s="201">
        <f>Z29*1.2</f>
        <v>2176.312428</v>
      </c>
      <c r="W4" s="201">
        <f t="shared" ref="W4:AJ4" si="1">V4*1.2</f>
        <v>2611.574913</v>
      </c>
      <c r="X4" s="201">
        <f t="shared" si="1"/>
        <v>3133.889896</v>
      </c>
      <c r="Y4" s="201">
        <f t="shared" si="1"/>
        <v>3760.667875</v>
      </c>
      <c r="Z4" s="201">
        <f t="shared" si="1"/>
        <v>4512.80145</v>
      </c>
      <c r="AA4" s="201">
        <f t="shared" si="1"/>
        <v>5415.36174</v>
      </c>
      <c r="AB4" s="201">
        <f t="shared" si="1"/>
        <v>6498.434088</v>
      </c>
      <c r="AC4" s="201">
        <f t="shared" si="1"/>
        <v>7798.120905</v>
      </c>
      <c r="AD4" s="201">
        <f t="shared" si="1"/>
        <v>9357.745086</v>
      </c>
      <c r="AE4" s="201">
        <f t="shared" si="1"/>
        <v>11229.2941</v>
      </c>
      <c r="AF4" s="201">
        <f t="shared" si="1"/>
        <v>13475.15292</v>
      </c>
      <c r="AG4" s="201">
        <f t="shared" si="1"/>
        <v>16170.18351</v>
      </c>
      <c r="AH4" s="201">
        <f t="shared" si="1"/>
        <v>19404.22021</v>
      </c>
      <c r="AI4" s="201">
        <f t="shared" si="1"/>
        <v>23285.06425</v>
      </c>
      <c r="AJ4" s="201">
        <f t="shared" si="1"/>
        <v>27942.0771</v>
      </c>
      <c r="AK4" s="201"/>
      <c r="AL4" s="201"/>
      <c r="AM4" s="201"/>
      <c r="AN4" s="201"/>
      <c r="AO4" s="201"/>
      <c r="AP4" s="201"/>
    </row>
    <row r="5" ht="15.75" customHeight="1">
      <c r="A5" s="184" t="s">
        <v>83</v>
      </c>
      <c r="B5" s="185" t="str">
        <f>VLOOKUP(A5,Jobmatch!A:G,2,0)</f>
        <v>AUXILIAR ADMINISTRATIVO</v>
      </c>
      <c r="C5" s="186">
        <f>IFERROR(AVERAGEIF('Folha de Pagamento'!A:A,A5,'Folha de Pagamento'!J:J),"")</f>
        <v>2254</v>
      </c>
      <c r="D5" s="187">
        <v>1.0</v>
      </c>
      <c r="E5" s="185" t="str">
        <f>VLOOKUP(A5,Jobmatch!A:H,3,0)</f>
        <v>Administrativo</v>
      </c>
      <c r="F5" s="188" t="s">
        <v>252</v>
      </c>
      <c r="G5" s="190" t="str">
        <f>VLOOKUP(A5,Jobmatch!A:I,4,0)</f>
        <v>27 - ADM PROJETOS</v>
      </c>
      <c r="H5" s="191" t="str">
        <f>VLOOKUP(A5,Jobmatch!A:I,5,0)</f>
        <v>Operacional</v>
      </c>
      <c r="I5" s="192">
        <f>VLOOKUP(A5,Jobmatch!A:I,6,0)</f>
        <v>83</v>
      </c>
      <c r="J5" s="190" t="str">
        <f>VLOOKUP(A5,Jobmatch!A:I,7,0)</f>
        <v>Auxiliar Administrativo</v>
      </c>
      <c r="K5" s="193" t="str">
        <f>VLOOKUP(A5,Jobmatch!A:I,8,0)</f>
        <v>Indiferente</v>
      </c>
      <c r="L5" s="194" t="str">
        <f t="shared" si="2"/>
        <v>83Indiferente</v>
      </c>
      <c r="M5" s="195">
        <f>COUNTIF('Folha de Pagamento'!A:A,A5)</f>
        <v>1</v>
      </c>
      <c r="N5" s="216">
        <v>10.0</v>
      </c>
      <c r="O5" s="196">
        <f>IFERROR(VLOOKUP(L5,'C-01'!$D:$L,5,0),"")</f>
        <v>2128.74</v>
      </c>
      <c r="P5" s="196">
        <f>IFERROR(VLOOKUP(L5,'C-01'!$D:$L,6,0),"")</f>
        <v>2292.87</v>
      </c>
      <c r="Q5" s="196">
        <f>IFERROR(VLOOKUP(L5,'C-01'!$D:$L,7,0),"")</f>
        <v>2309.71</v>
      </c>
      <c r="R5" s="196">
        <f>IFERROR(VLOOKUP(L5,'C-01'!$D:$L,8,0),"")</f>
        <v>2375.14</v>
      </c>
      <c r="S5" s="197">
        <f>IFERROR(VLOOKUP(L5,'C-01'!$D:$L,9,0),"")</f>
        <v>3073.32</v>
      </c>
      <c r="T5" s="198">
        <f>IFS('Painel Geral'!$B$5="Mediana",IFERROR(IF(OR(C5="",Q5=0,Q5=""),"",($C5/$Q5)),""),'Painel Geral'!$B$5="Menor Salário",IFERROR(IF(OR(C5="",Q5=0,Q5=""),"",($C5/$N5)),""),'Painel Geral'!$B$5="1º Quartil",IFERROR(IF(OR(C5="",Q5=0,Q5=""),"",($C5/$O5)),""), 'Painel Geral'!$B$5="Média",IFERROR(IF(OR(C5="",Q5=0,Q5=""),"",($C5/$P5)),""),'Painel Geral'!$B$5="3º Quartil",IFERROR(IF(OR(C5="",Q5=0,Q5=""),"",($C5/$R5)),""),'Painel Geral'!$B$5="Maior Salário",IFERROR(IF(OR(C5="",Q5=0,Q5=""),"",($C5/$S5)),""))</f>
        <v>0.9758800888</v>
      </c>
      <c r="U5" s="199" t="str">
        <f t="shared" si="3"/>
        <v>Na Média</v>
      </c>
      <c r="V5" s="205">
        <v>10.0</v>
      </c>
      <c r="W5" s="205">
        <v>11.0</v>
      </c>
      <c r="X5" s="205">
        <v>12.0</v>
      </c>
      <c r="Y5" s="205">
        <v>13.0</v>
      </c>
      <c r="Z5" s="205">
        <v>14.0</v>
      </c>
      <c r="AA5" s="205">
        <v>15.0</v>
      </c>
      <c r="AB5" s="205">
        <v>16.0</v>
      </c>
      <c r="AC5" s="205">
        <v>17.0</v>
      </c>
      <c r="AD5" s="205">
        <v>18.0</v>
      </c>
      <c r="AE5" s="205">
        <v>19.0</v>
      </c>
      <c r="AF5" s="205">
        <v>20.0</v>
      </c>
      <c r="AG5" s="205">
        <v>21.0</v>
      </c>
      <c r="AH5" s="205">
        <v>22.0</v>
      </c>
      <c r="AI5" s="205">
        <v>23.0</v>
      </c>
      <c r="AJ5" s="205">
        <v>24.0</v>
      </c>
      <c r="AK5" s="201"/>
      <c r="AL5" s="201"/>
      <c r="AM5" s="201"/>
      <c r="AN5" s="201"/>
      <c r="AO5" s="201"/>
      <c r="AP5" s="201"/>
    </row>
    <row r="6" ht="15.75" customHeight="1">
      <c r="A6" s="184" t="s">
        <v>85</v>
      </c>
      <c r="B6" s="185" t="str">
        <f>VLOOKUP(A6,Jobmatch!A:G,2,0)</f>
        <v>AUXILIAR ADMINISTRATIVO III</v>
      </c>
      <c r="C6" s="186">
        <f>IFERROR(AVERAGEIF('Folha de Pagamento'!A:A,A6,'Folha de Pagamento'!J:J),"")</f>
        <v>2739.04</v>
      </c>
      <c r="D6" s="187">
        <v>1.0</v>
      </c>
      <c r="E6" s="185" t="str">
        <f>VLOOKUP(A6,Jobmatch!A:H,3,0)</f>
        <v>Administrativo</v>
      </c>
      <c r="F6" s="188" t="s">
        <v>252</v>
      </c>
      <c r="G6" s="190" t="str">
        <f>VLOOKUP(A6,Jobmatch!A:I,4,0)</f>
        <v>28 - ADM PROJETOS</v>
      </c>
      <c r="H6" s="191" t="str">
        <f>VLOOKUP(A6,Jobmatch!A:I,5,0)</f>
        <v>Operacional</v>
      </c>
      <c r="I6" s="192">
        <f>VLOOKUP(A6,Jobmatch!A:I,6,0)</f>
        <v>83</v>
      </c>
      <c r="J6" s="190" t="str">
        <f>VLOOKUP(A6,Jobmatch!A:I,7,0)</f>
        <v>Auxiliar Administrativo</v>
      </c>
      <c r="K6" s="193" t="str">
        <f>VLOOKUP(A6,Jobmatch!A:I,8,0)</f>
        <v>Indiferente</v>
      </c>
      <c r="L6" s="194" t="str">
        <f t="shared" si="2"/>
        <v>83Indiferente</v>
      </c>
      <c r="M6" s="195">
        <f>COUNTIF('Folha de Pagamento'!A:A,A6)</f>
        <v>1</v>
      </c>
      <c r="N6" s="216">
        <v>10.0</v>
      </c>
      <c r="O6" s="196">
        <f>IFERROR(VLOOKUP(L6,'C-01'!$D:$L,5,0),"")</f>
        <v>2128.74</v>
      </c>
      <c r="P6" s="196">
        <f>IFERROR(VLOOKUP(L6,'C-01'!$D:$L,6,0),"")</f>
        <v>2292.87</v>
      </c>
      <c r="Q6" s="196">
        <f>IFERROR(VLOOKUP(L6,'C-01'!$D:$L,7,0),"")</f>
        <v>2309.71</v>
      </c>
      <c r="R6" s="196">
        <f>IFERROR(VLOOKUP(L6,'C-01'!$D:$L,8,0),"")</f>
        <v>2375.14</v>
      </c>
      <c r="S6" s="197">
        <f>IFERROR(VLOOKUP(L6,'C-01'!$D:$L,9,0),"")</f>
        <v>3073.32</v>
      </c>
      <c r="T6" s="198">
        <f>IFS('Painel Geral'!$B$5="Mediana",IFERROR(IF(OR(C6="",Q6=0,Q6=""),"",($C6/$Q6)),""),'Painel Geral'!$B$5="Menor Salário",IFERROR(IF(OR(C6="",Q6=0,Q6=""),"",($C6/$N6)),""),'Painel Geral'!$B$5="1º Quartil",IFERROR(IF(OR(C6="",Q6=0,Q6=""),"",($C6/$O6)),""), 'Painel Geral'!$B$5="Média",IFERROR(IF(OR(C6="",Q6=0,Q6=""),"",($C6/$P6)),""),'Painel Geral'!$B$5="3º Quartil",IFERROR(IF(OR(C6="",Q6=0,Q6=""),"",($C6/$R6)),""),'Painel Geral'!$B$5="Maior Salário",IFERROR(IF(OR(C6="",Q6=0,Q6=""),"",($C6/$S6)),""))</f>
        <v>1.185880479</v>
      </c>
      <c r="U6" s="199" t="str">
        <f t="shared" si="3"/>
        <v>Muito Competitivo</v>
      </c>
      <c r="V6" s="201"/>
      <c r="W6" s="201"/>
      <c r="X6" s="201"/>
      <c r="Y6" s="201"/>
      <c r="Z6" s="201"/>
      <c r="AA6" s="201"/>
      <c r="AB6" s="201"/>
      <c r="AC6" s="201"/>
      <c r="AD6" s="201"/>
      <c r="AE6" s="201"/>
      <c r="AF6" s="201"/>
      <c r="AG6" s="201"/>
      <c r="AH6" s="201"/>
      <c r="AI6" s="201"/>
      <c r="AJ6" s="201"/>
      <c r="AK6" s="201"/>
      <c r="AL6" s="201"/>
      <c r="AM6" s="201"/>
      <c r="AN6" s="201"/>
      <c r="AO6" s="201"/>
      <c r="AP6" s="201"/>
    </row>
    <row r="7" ht="15.75" customHeight="1">
      <c r="A7" s="184" t="s">
        <v>77</v>
      </c>
      <c r="B7" s="185" t="str">
        <f>VLOOKUP(A7,Jobmatch!A:G,2,0)</f>
        <v>ASSISTENTE DE TI</v>
      </c>
      <c r="C7" s="186">
        <f>IFERROR(AVERAGEIF('Folha de Pagamento'!A:A,A7,'Folha de Pagamento'!J:J),"")</f>
        <v>2919</v>
      </c>
      <c r="D7" s="187">
        <v>1.0</v>
      </c>
      <c r="E7" s="185" t="str">
        <f>VLOOKUP(A7,Jobmatch!A:H,3,0)</f>
        <v>Tecnologia da Informação</v>
      </c>
      <c r="F7" s="188" t="s">
        <v>369</v>
      </c>
      <c r="G7" s="190" t="str">
        <f>VLOOKUP(A7,Jobmatch!A:I,4,0)</f>
        <v>25 - ADM PROJETOS</v>
      </c>
      <c r="H7" s="191" t="str">
        <f>VLOOKUP(A7,Jobmatch!A:I,5,0)</f>
        <v>Operacional</v>
      </c>
      <c r="I7" s="192">
        <f>VLOOKUP(A7,Jobmatch!A:I,6,0)</f>
        <v>31</v>
      </c>
      <c r="J7" s="190" t="str">
        <f>VLOOKUP(A7,Jobmatch!A:I,7,0)</f>
        <v>Assistente de Tecnologia da Informação</v>
      </c>
      <c r="K7" s="193" t="str">
        <f>VLOOKUP(A7,Jobmatch!A:I,8,0)</f>
        <v>Indiferente</v>
      </c>
      <c r="L7" s="194" t="str">
        <f t="shared" si="2"/>
        <v>31Indiferente</v>
      </c>
      <c r="M7" s="195">
        <f>COUNTIF('Folha de Pagamento'!A:A,A7)</f>
        <v>2</v>
      </c>
      <c r="N7" s="216">
        <v>10.0</v>
      </c>
      <c r="O7" s="196">
        <f>IFERROR(VLOOKUP(L7,'C-01'!$D:$L,5,0),"")</f>
        <v>2066.4</v>
      </c>
      <c r="P7" s="196">
        <f>IFERROR(VLOOKUP(L7,'C-01'!$D:$L,6,0),"")</f>
        <v>2589.89</v>
      </c>
      <c r="Q7" s="196">
        <f>IFERROR(VLOOKUP(L7,'C-01'!$D:$L,7,0),"")</f>
        <v>2413.7</v>
      </c>
      <c r="R7" s="196">
        <f>IFERROR(VLOOKUP(L7,'C-01'!$D:$L,8,0),"")</f>
        <v>3121.21</v>
      </c>
      <c r="S7" s="197">
        <f>IFERROR(VLOOKUP(L7,'C-01'!$D:$L,9,0),"")</f>
        <v>3521.6</v>
      </c>
      <c r="T7" s="198">
        <f>IFS('Painel Geral'!$B$5="Mediana",IFERROR(IF(OR(C7="",Q7=0,Q7=""),"",($C7/$Q7)),""),'Painel Geral'!$B$5="Menor Salário",IFERROR(IF(OR(C7="",Q7=0,Q7=""),"",($C7/$N7)),""),'Painel Geral'!$B$5="1º Quartil",IFERROR(IF(OR(C7="",Q7=0,Q7=""),"",($C7/$O7)),""), 'Painel Geral'!$B$5="Média",IFERROR(IF(OR(C7="",Q7=0,Q7=""),"",($C7/$P7)),""),'Painel Geral'!$B$5="3º Quartil",IFERROR(IF(OR(C7="",Q7=0,Q7=""),"",($C7/$R7)),""),'Painel Geral'!$B$5="Maior Salário",IFERROR(IF(OR(C7="",Q7=0,Q7=""),"",($C7/$S7)),""))</f>
        <v>1.209346646</v>
      </c>
      <c r="U7" s="199" t="str">
        <f t="shared" si="3"/>
        <v>Agressivo</v>
      </c>
      <c r="V7" s="201"/>
      <c r="W7" s="201"/>
      <c r="X7" s="201"/>
      <c r="Y7" s="201"/>
      <c r="Z7" s="201"/>
      <c r="AA7" s="201"/>
      <c r="AB7" s="201"/>
      <c r="AC7" s="201"/>
      <c r="AD7" s="201"/>
      <c r="AE7" s="201"/>
      <c r="AF7" s="201"/>
      <c r="AG7" s="201"/>
      <c r="AH7" s="201"/>
      <c r="AI7" s="201"/>
      <c r="AJ7" s="201"/>
      <c r="AK7" s="201"/>
      <c r="AL7" s="201"/>
      <c r="AM7" s="201"/>
      <c r="AN7" s="201"/>
      <c r="AO7" s="201"/>
      <c r="AP7" s="201"/>
    </row>
    <row r="8" ht="15.75" customHeight="1">
      <c r="A8" s="184" t="s">
        <v>64</v>
      </c>
      <c r="B8" s="185" t="str">
        <f>VLOOKUP(A8,Jobmatch!A:G,2,0)</f>
        <v>ASSISTENTE ADMINISTRATIVO lll</v>
      </c>
      <c r="C8" s="186">
        <f>IFERROR(AVERAGEIF('Folha de Pagamento'!A:A,A8,'Folha de Pagamento'!J:J),"")</f>
        <v>3439.7</v>
      </c>
      <c r="D8" s="187">
        <v>1.0</v>
      </c>
      <c r="E8" s="185" t="str">
        <f>VLOOKUP(A8,Jobmatch!A:H,3,0)</f>
        <v>Administrativo</v>
      </c>
      <c r="F8" s="188" t="s">
        <v>238</v>
      </c>
      <c r="G8" s="190" t="str">
        <f>VLOOKUP(A8,Jobmatch!A:I,4,0)</f>
        <v>20 - ADM PROJETOS</v>
      </c>
      <c r="H8" s="191" t="str">
        <f>VLOOKUP(A8,Jobmatch!A:I,5,0)</f>
        <v>Operacional</v>
      </c>
      <c r="I8" s="192">
        <f>VLOOKUP(A8,Jobmatch!A:I,6,0)</f>
        <v>59</v>
      </c>
      <c r="J8" s="190" t="str">
        <f>VLOOKUP(A8,Jobmatch!A:I,7,0)</f>
        <v>Assistente Administrativo</v>
      </c>
      <c r="K8" s="193" t="str">
        <f>VLOOKUP(A8,Jobmatch!A:I,8,0)</f>
        <v>Indiferente</v>
      </c>
      <c r="L8" s="194" t="str">
        <f t="shared" si="2"/>
        <v>59Indiferente</v>
      </c>
      <c r="M8" s="195">
        <f>COUNTIF('Folha de Pagamento'!A:A,A8)</f>
        <v>1</v>
      </c>
      <c r="N8" s="216">
        <v>10.0</v>
      </c>
      <c r="O8" s="196">
        <f>IFERROR(VLOOKUP(L8,'C-01'!$D:$L,5,0),"")</f>
        <v>2329.53</v>
      </c>
      <c r="P8" s="196">
        <f>IFERROR(VLOOKUP(L8,'C-01'!$D:$L,6,0),"")</f>
        <v>2673.92</v>
      </c>
      <c r="Q8" s="196">
        <f>IFERROR(VLOOKUP(L8,'C-01'!$D:$L,7,0),"")</f>
        <v>2630.61</v>
      </c>
      <c r="R8" s="196">
        <f>IFERROR(VLOOKUP(L8,'C-01'!$D:$L,8,0),"")</f>
        <v>2914.75</v>
      </c>
      <c r="S8" s="197">
        <f>IFERROR(VLOOKUP(L8,'C-01'!$D:$L,9,0),"")</f>
        <v>3662.52</v>
      </c>
      <c r="T8" s="198">
        <f>IFS('Painel Geral'!$B$5="Mediana",IFERROR(IF(OR(C8="",Q8=0,Q8=""),"",($C8/$Q8)),""),'Painel Geral'!$B$5="Menor Salário",IFERROR(IF(OR(C8="",Q8=0,Q8=""),"",($C8/$N8)),""),'Painel Geral'!$B$5="1º Quartil",IFERROR(IF(OR(C8="",Q8=0,Q8=""),"",($C8/$O8)),""), 'Painel Geral'!$B$5="Média",IFERROR(IF(OR(C8="",Q8=0,Q8=""),"",($C8/$P8)),""),'Painel Geral'!$B$5="3º Quartil",IFERROR(IF(OR(C8="",Q8=0,Q8=""),"",($C8/$R8)),""),'Painel Geral'!$B$5="Maior Salário",IFERROR(IF(OR(C8="",Q8=0,Q8=""),"",($C8/$S8)),""))</f>
        <v>1.307567446</v>
      </c>
      <c r="U8" s="199" t="str">
        <f t="shared" si="3"/>
        <v>Agressivo</v>
      </c>
      <c r="V8" s="201"/>
      <c r="W8" s="201"/>
      <c r="X8" s="201"/>
      <c r="Y8" s="201"/>
      <c r="Z8" s="201"/>
      <c r="AA8" s="201"/>
      <c r="AB8" s="201"/>
      <c r="AC8" s="201"/>
      <c r="AD8" s="201"/>
      <c r="AE8" s="201"/>
      <c r="AF8" s="201"/>
      <c r="AG8" s="201"/>
      <c r="AH8" s="201"/>
      <c r="AI8" s="201"/>
      <c r="AJ8" s="201"/>
      <c r="AK8" s="201"/>
      <c r="AL8" s="201"/>
      <c r="AM8" s="201"/>
      <c r="AN8" s="201"/>
      <c r="AO8" s="201"/>
      <c r="AP8" s="201"/>
    </row>
    <row r="9" ht="15.75" customHeight="1">
      <c r="A9" s="184" t="s">
        <v>80</v>
      </c>
      <c r="B9" s="185" t="str">
        <f>VLOOKUP(A9,Jobmatch!A:G,2,0)</f>
        <v>ASSISTENTE FINANCEIRO CONTAS A PAGAR</v>
      </c>
      <c r="C9" s="186">
        <f>IFERROR(AVERAGEIF('Folha de Pagamento'!A:A,A9,'Folha de Pagamento'!J:J),"")</f>
        <v>3163.333333</v>
      </c>
      <c r="D9" s="187">
        <v>6.0</v>
      </c>
      <c r="E9" s="185" t="str">
        <f>VLOOKUP(A9,Jobmatch!A:H,3,0)</f>
        <v>Financeiro</v>
      </c>
      <c r="F9" s="188" t="s">
        <v>354</v>
      </c>
      <c r="G9" s="190" t="str">
        <f>VLOOKUP(A9,Jobmatch!A:I,4,0)</f>
        <v>26 - ADM PROJETOS</v>
      </c>
      <c r="H9" s="191" t="str">
        <f>VLOOKUP(A9,Jobmatch!A:I,5,0)</f>
        <v>Operacional</v>
      </c>
      <c r="I9" s="192">
        <f>VLOOKUP(A9,Jobmatch!A:I,6,0)</f>
        <v>79</v>
      </c>
      <c r="J9" s="190" t="str">
        <f>VLOOKUP(A9,Jobmatch!A:I,7,0)</f>
        <v>Assistente Financeiro</v>
      </c>
      <c r="K9" s="193" t="str">
        <f>VLOOKUP(A9,Jobmatch!A:I,8,0)</f>
        <v>Indiferente</v>
      </c>
      <c r="L9" s="194" t="str">
        <f t="shared" si="2"/>
        <v>79Indiferente</v>
      </c>
      <c r="M9" s="195">
        <f>COUNTIF('Folha de Pagamento'!A:A,A9)</f>
        <v>3</v>
      </c>
      <c r="N9" s="216">
        <v>10.0</v>
      </c>
      <c r="O9" s="196">
        <f>IFERROR(VLOOKUP(L9,'C-01'!$D:$L,5,0),"")</f>
        <v>2560.05</v>
      </c>
      <c r="P9" s="196">
        <f>IFERROR(VLOOKUP(L9,'C-01'!$D:$L,6,0),"")</f>
        <v>2799.02</v>
      </c>
      <c r="Q9" s="196">
        <f>IFERROR(VLOOKUP(L9,'C-01'!$D:$L,7,0),"")</f>
        <v>2658.89</v>
      </c>
      <c r="R9" s="196">
        <f>IFERROR(VLOOKUP(L9,'C-01'!$D:$L,8,0),"")</f>
        <v>2935.06</v>
      </c>
      <c r="S9" s="197">
        <f>IFERROR(VLOOKUP(L9,'C-01'!$D:$L,9,0),"")</f>
        <v>3630.87</v>
      </c>
      <c r="T9" s="198">
        <f>IFS('Painel Geral'!$B$5="Mediana",IFERROR(IF(OR(C9="",Q9=0,Q9=""),"",($C9/$Q9)),""),'Painel Geral'!$B$5="Menor Salário",IFERROR(IF(OR(C9="",Q9=0,Q9=""),"",($C9/$N9)),""),'Painel Geral'!$B$5="1º Quartil",IFERROR(IF(OR(C9="",Q9=0,Q9=""),"",($C9/$O9)),""), 'Painel Geral'!$B$5="Média",IFERROR(IF(OR(C9="",Q9=0,Q9=""),"",($C9/$P9)),""),'Painel Geral'!$B$5="3º Quartil",IFERROR(IF(OR(C9="",Q9=0,Q9=""),"",($C9/$R9)),""),'Painel Geral'!$B$5="Maior Salário",IFERROR(IF(OR(C9="",Q9=0,Q9=""),"",($C9/$S9)),""))</f>
        <v>1.18971952</v>
      </c>
      <c r="U9" s="199" t="str">
        <f t="shared" si="3"/>
        <v>Muito Competitivo</v>
      </c>
      <c r="V9" s="201"/>
      <c r="W9" s="201"/>
      <c r="X9" s="201"/>
      <c r="Y9" s="201"/>
      <c r="Z9" s="201"/>
      <c r="AA9" s="201"/>
      <c r="AB9" s="201"/>
      <c r="AC9" s="201"/>
      <c r="AD9" s="201"/>
      <c r="AE9" s="201"/>
      <c r="AF9" s="201"/>
      <c r="AG9" s="201"/>
      <c r="AH9" s="201"/>
      <c r="AI9" s="201"/>
      <c r="AJ9" s="201"/>
      <c r="AK9" s="201"/>
      <c r="AL9" s="201"/>
      <c r="AM9" s="201"/>
      <c r="AN9" s="201"/>
      <c r="AO9" s="201"/>
      <c r="AP9" s="201"/>
    </row>
    <row r="10" ht="15.75" customHeight="1">
      <c r="A10" s="184" t="s">
        <v>90</v>
      </c>
      <c r="B10" s="185" t="str">
        <f>VLOOKUP(A10,Jobmatch!A:G,2,0)</f>
        <v>AUXILIAR DE ENGENHARIA</v>
      </c>
      <c r="C10" s="186">
        <f>IFERROR(AVERAGEIF('Folha de Pagamento'!A:A,A10,'Folha de Pagamento'!J:J),"")</f>
        <v>2560</v>
      </c>
      <c r="D10" s="187">
        <v>10.0</v>
      </c>
      <c r="E10" s="185" t="str">
        <f>VLOOKUP(A10,Jobmatch!A:H,3,0)</f>
        <v>Urbanismo</v>
      </c>
      <c r="F10" s="188" t="s">
        <v>371</v>
      </c>
      <c r="G10" s="190" t="str">
        <f>VLOOKUP(A10,Jobmatch!A:I,4,0)</f>
        <v>30 - ADM PROJETOS</v>
      </c>
      <c r="H10" s="191" t="str">
        <f>VLOOKUP(A10,Jobmatch!A:I,5,0)</f>
        <v>Operacional</v>
      </c>
      <c r="I10" s="192">
        <f>VLOOKUP(A10,Jobmatch!A:I,6,0)</f>
        <v>207</v>
      </c>
      <c r="J10" s="190" t="str">
        <f>VLOOKUP(A10,Jobmatch!A:I,7,0)</f>
        <v>Auxiliar de Engenharia</v>
      </c>
      <c r="K10" s="193" t="str">
        <f>VLOOKUP(A10,Jobmatch!A:I,8,0)</f>
        <v>Indiferente</v>
      </c>
      <c r="L10" s="194" t="str">
        <f t="shared" si="2"/>
        <v>207Indiferente</v>
      </c>
      <c r="M10" s="195">
        <f>COUNTIF('Folha de Pagamento'!A:A,A10)</f>
        <v>1</v>
      </c>
      <c r="N10" s="217">
        <v>11.0</v>
      </c>
      <c r="O10" s="196">
        <f>IFERROR(VLOOKUP(L10,'C-01'!$D:$L,5,0),"")</f>
        <v>2644.47</v>
      </c>
      <c r="P10" s="196">
        <f>IFERROR(VLOOKUP(L10,'C-01'!$D:$L,6,0),"")</f>
        <v>2819.08</v>
      </c>
      <c r="Q10" s="196">
        <f>IFERROR(VLOOKUP(L10,'C-01'!$D:$L,7,0),"")</f>
        <v>2714.85</v>
      </c>
      <c r="R10" s="196">
        <f>IFERROR(VLOOKUP(L10,'C-01'!$D:$L,8,0),"")</f>
        <v>2941.58</v>
      </c>
      <c r="S10" s="197">
        <f>IFERROR(VLOOKUP(L10,'C-01'!$D:$L,9,0),"")</f>
        <v>3168.31</v>
      </c>
      <c r="T10" s="198">
        <f>IFS('Painel Geral'!$B$5="Mediana",IFERROR(IF(OR(C10="",Q10=0,Q10=""),"",($C10/$Q10)),""),'Painel Geral'!$B$5="Menor Salário",IFERROR(IF(OR(C10="",Q10=0,Q10=""),"",($C10/$N10)),""),'Painel Geral'!$B$5="1º Quartil",IFERROR(IF(OR(C10="",Q10=0,Q10=""),"",($C10/$O10)),""), 'Painel Geral'!$B$5="Média",IFERROR(IF(OR(C10="",Q10=0,Q10=""),"",($C10/$P10)),""),'Painel Geral'!$B$5="3º Quartil",IFERROR(IF(OR(C10="",Q10=0,Q10=""),"",($C10/$R10)),""),'Painel Geral'!$B$5="Maior Salário",IFERROR(IF(OR(C10="",Q10=0,Q10=""),"",($C10/$S10)),""))</f>
        <v>0.9429618579</v>
      </c>
      <c r="U10" s="199" t="str">
        <f t="shared" si="3"/>
        <v>Na Média</v>
      </c>
      <c r="V10" s="201"/>
      <c r="W10" s="201"/>
      <c r="X10" s="201"/>
      <c r="Y10" s="201"/>
      <c r="Z10" s="201"/>
      <c r="AA10" s="201"/>
      <c r="AB10" s="201"/>
      <c r="AC10" s="201"/>
      <c r="AD10" s="201"/>
      <c r="AE10" s="201"/>
      <c r="AF10" s="201"/>
      <c r="AG10" s="201"/>
      <c r="AH10" s="201"/>
      <c r="AI10" s="201"/>
      <c r="AJ10" s="201"/>
      <c r="AK10" s="201"/>
      <c r="AL10" s="201"/>
      <c r="AM10" s="201"/>
      <c r="AN10" s="201"/>
      <c r="AO10" s="201"/>
      <c r="AP10" s="201"/>
    </row>
    <row r="11" ht="15.75" customHeight="1">
      <c r="A11" s="184" t="s">
        <v>67</v>
      </c>
      <c r="B11" s="185" t="str">
        <f>VLOOKUP(A11,Jobmatch!A:G,2,0)</f>
        <v>ASSISTENTE DE CONTROLADORIA III</v>
      </c>
      <c r="C11" s="186">
        <f>IFERROR(AVERAGEIF('Folha de Pagamento'!A:A,A11,'Folha de Pagamento'!J:J),"")</f>
        <v>3652</v>
      </c>
      <c r="D11" s="187">
        <v>3.0</v>
      </c>
      <c r="E11" s="185" t="str">
        <f>VLOOKUP(A11,Jobmatch!A:H,3,0)</f>
        <v>Controladoria</v>
      </c>
      <c r="F11" s="188" t="s">
        <v>337</v>
      </c>
      <c r="G11" s="190" t="str">
        <f>VLOOKUP(A11,Jobmatch!A:I,4,0)</f>
        <v>21 - ADM PROJETOS</v>
      </c>
      <c r="H11" s="191" t="str">
        <f>VLOOKUP(A11,Jobmatch!A:I,5,0)</f>
        <v>Operacional</v>
      </c>
      <c r="I11" s="192">
        <f>VLOOKUP(A11,Jobmatch!A:I,6,0)</f>
        <v>150</v>
      </c>
      <c r="J11" s="190" t="str">
        <f>VLOOKUP(A11,Jobmatch!A:I,7,0)</f>
        <v>Assistente de Controladoria</v>
      </c>
      <c r="K11" s="193" t="str">
        <f>VLOOKUP(A11,Jobmatch!A:I,8,0)</f>
        <v>Indiferente</v>
      </c>
      <c r="L11" s="194" t="str">
        <f t="shared" si="2"/>
        <v>150Indiferente</v>
      </c>
      <c r="M11" s="195">
        <f>COUNTIF('Folha de Pagamento'!A:A,A11)</f>
        <v>1</v>
      </c>
      <c r="N11" s="217">
        <v>11.0</v>
      </c>
      <c r="O11" s="196">
        <f>IFERROR(VLOOKUP(L11,'C-01'!$D:$L,5,0),"")</f>
        <v>2640.81</v>
      </c>
      <c r="P11" s="196">
        <f>IFERROR(VLOOKUP(L11,'C-01'!$D:$L,6,0),"")</f>
        <v>2821.08</v>
      </c>
      <c r="Q11" s="196">
        <f>IFERROR(VLOOKUP(L11,'C-01'!$D:$L,7,0),"")</f>
        <v>2766.4</v>
      </c>
      <c r="R11" s="196">
        <f>IFERROR(VLOOKUP(L11,'C-01'!$D:$L,8,0),"")</f>
        <v>3222.24</v>
      </c>
      <c r="S11" s="197">
        <f>IFERROR(VLOOKUP(L11,'C-01'!$D:$L,9,0),"")</f>
        <v>3327.42</v>
      </c>
      <c r="T11" s="198">
        <f>IFS('Painel Geral'!$B$5="Mediana",IFERROR(IF(OR(C11="",Q11=0,Q11=""),"",($C11/$Q11)),""),'Painel Geral'!$B$5="Menor Salário",IFERROR(IF(OR(C11="",Q11=0,Q11=""),"",($C11/$N11)),""),'Painel Geral'!$B$5="1º Quartil",IFERROR(IF(OR(C11="",Q11=0,Q11=""),"",($C11/$O11)),""), 'Painel Geral'!$B$5="Média",IFERROR(IF(OR(C11="",Q11=0,Q11=""),"",($C11/$P11)),""),'Painel Geral'!$B$5="3º Quartil",IFERROR(IF(OR(C11="",Q11=0,Q11=""),"",($C11/$R11)),""),'Painel Geral'!$B$5="Maior Salário",IFERROR(IF(OR(C11="",Q11=0,Q11=""),"",($C11/$S11)),""))</f>
        <v>1.320127241</v>
      </c>
      <c r="U11" s="199" t="str">
        <f t="shared" si="3"/>
        <v>Agressivo</v>
      </c>
      <c r="V11" s="201"/>
      <c r="W11" s="201"/>
      <c r="X11" s="201"/>
      <c r="Y11" s="201"/>
      <c r="Z11" s="201"/>
      <c r="AA11" s="201"/>
      <c r="AB11" s="201"/>
      <c r="AC11" s="201"/>
      <c r="AD11" s="201"/>
      <c r="AE11" s="201"/>
      <c r="AF11" s="201"/>
      <c r="AG11" s="201"/>
      <c r="AH11" s="201"/>
      <c r="AI11" s="201"/>
      <c r="AJ11" s="201"/>
      <c r="AK11" s="201"/>
      <c r="AL11" s="201"/>
      <c r="AM11" s="201"/>
      <c r="AN11" s="201"/>
      <c r="AO11" s="201"/>
      <c r="AP11" s="201"/>
    </row>
    <row r="12" ht="15.75" customHeight="1">
      <c r="A12" s="184" t="s">
        <v>72</v>
      </c>
      <c r="B12" s="185" t="str">
        <f>VLOOKUP(A12,Jobmatch!A:G,2,0)</f>
        <v>ASSISTENTE DE MARKETING</v>
      </c>
      <c r="C12" s="186">
        <f>IFERROR(AVERAGEIF('Folha de Pagamento'!A:A,A12,'Folha de Pagamento'!J:J),"")</f>
        <v>2919</v>
      </c>
      <c r="D12" s="187">
        <v>8.0</v>
      </c>
      <c r="E12" s="185" t="str">
        <f>VLOOKUP(A12,Jobmatch!A:H,3,0)</f>
        <v>Marketing</v>
      </c>
      <c r="F12" s="188" t="s">
        <v>362</v>
      </c>
      <c r="G12" s="190" t="str">
        <f>VLOOKUP(A12,Jobmatch!A:I,4,0)</f>
        <v>23 - ADM PROJETOS</v>
      </c>
      <c r="H12" s="191" t="str">
        <f>VLOOKUP(A12,Jobmatch!A:I,5,0)</f>
        <v>Operacional</v>
      </c>
      <c r="I12" s="192">
        <f>VLOOKUP(A12,Jobmatch!A:I,6,0)</f>
        <v>71</v>
      </c>
      <c r="J12" s="190" t="str">
        <f>VLOOKUP(A12,Jobmatch!A:I,7,0)</f>
        <v>Assistente de Marketing</v>
      </c>
      <c r="K12" s="193" t="str">
        <f>VLOOKUP(A12,Jobmatch!A:I,8,0)</f>
        <v>Indiferente</v>
      </c>
      <c r="L12" s="194" t="str">
        <f t="shared" si="2"/>
        <v>71Indiferente</v>
      </c>
      <c r="M12" s="195">
        <f>COUNTIF('Folha de Pagamento'!A:A,A12)</f>
        <v>1</v>
      </c>
      <c r="N12" s="216">
        <v>11.0</v>
      </c>
      <c r="O12" s="196">
        <f>IFERROR(VLOOKUP(L12,'C-01'!$D:$L,5,0),"")</f>
        <v>2720.21</v>
      </c>
      <c r="P12" s="196">
        <f>IFERROR(VLOOKUP(L12,'C-01'!$D:$L,6,0),"")</f>
        <v>3016.74</v>
      </c>
      <c r="Q12" s="196">
        <f>IFERROR(VLOOKUP(L12,'C-01'!$D:$L,7,0),"")</f>
        <v>2882.27</v>
      </c>
      <c r="R12" s="196">
        <f>IFERROR(VLOOKUP(L12,'C-01'!$D:$L,8,0),"")</f>
        <v>3152.81</v>
      </c>
      <c r="S12" s="197">
        <f>IFERROR(VLOOKUP(L12,'C-01'!$D:$L,9,0),"")</f>
        <v>4078.78</v>
      </c>
      <c r="T12" s="198">
        <f>IFS('Painel Geral'!$B$5="Mediana",IFERROR(IF(OR(C12="",Q12=0,Q12=""),"",($C12/$Q12)),""),'Painel Geral'!$B$5="Menor Salário",IFERROR(IF(OR(C12="",Q12=0,Q12=""),"",($C12/$N12)),""),'Painel Geral'!$B$5="1º Quartil",IFERROR(IF(OR(C12="",Q12=0,Q12=""),"",($C12/$O12)),""), 'Painel Geral'!$B$5="Média",IFERROR(IF(OR(C12="",Q12=0,Q12=""),"",($C12/$P12)),""),'Painel Geral'!$B$5="3º Quartil",IFERROR(IF(OR(C12="",Q12=0,Q12=""),"",($C12/$R12)),""),'Painel Geral'!$B$5="Maior Salário",IFERROR(IF(OR(C12="",Q12=0,Q12=""),"",($C12/$S12)),""))</f>
        <v>1.012743428</v>
      </c>
      <c r="U12" s="199" t="str">
        <f t="shared" si="3"/>
        <v>Competitivo</v>
      </c>
      <c r="V12" s="201"/>
      <c r="W12" s="201"/>
      <c r="X12" s="201"/>
      <c r="Y12" s="201"/>
      <c r="Z12" s="201"/>
      <c r="AA12" s="201"/>
      <c r="AB12" s="201"/>
      <c r="AC12" s="201"/>
      <c r="AD12" s="201"/>
      <c r="AE12" s="201"/>
      <c r="AF12" s="201"/>
      <c r="AG12" s="201"/>
      <c r="AH12" s="201"/>
      <c r="AI12" s="201"/>
      <c r="AJ12" s="201"/>
      <c r="AK12" s="201"/>
      <c r="AL12" s="201"/>
      <c r="AM12" s="201"/>
      <c r="AN12" s="201"/>
      <c r="AO12" s="201"/>
      <c r="AP12" s="201"/>
    </row>
    <row r="13" ht="15.75" customHeight="1">
      <c r="A13" s="184" t="s">
        <v>74</v>
      </c>
      <c r="B13" s="185" t="str">
        <f>VLOOKUP(A13,Jobmatch!A:G,2,0)</f>
        <v>ASSISTENTE DE RECURSOS HUMANOS</v>
      </c>
      <c r="C13" s="186">
        <f>IFERROR(AVERAGEIF('Folha de Pagamento'!A:A,A13,'Folha de Pagamento'!J:J),"")</f>
        <v>2919</v>
      </c>
      <c r="D13" s="187">
        <v>4.0</v>
      </c>
      <c r="E13" s="185" t="str">
        <f>VLOOKUP(A13,Jobmatch!A:H,3,0)</f>
        <v>DHO</v>
      </c>
      <c r="F13" s="188" t="s">
        <v>340</v>
      </c>
      <c r="G13" s="190" t="str">
        <f>VLOOKUP(A13,Jobmatch!A:I,4,0)</f>
        <v>24 - ADM PROJETOS</v>
      </c>
      <c r="H13" s="191" t="str">
        <f>VLOOKUP(A13,Jobmatch!A:I,5,0)</f>
        <v>Operacional</v>
      </c>
      <c r="I13" s="192">
        <f>VLOOKUP(A13,Jobmatch!A:I,6,0)</f>
        <v>77</v>
      </c>
      <c r="J13" s="190" t="str">
        <f>VLOOKUP(A13,Jobmatch!A:I,7,0)</f>
        <v>Assistente de Recursos Humanos</v>
      </c>
      <c r="K13" s="193" t="str">
        <f>VLOOKUP(A13,Jobmatch!A:I,8,0)</f>
        <v>Indiferente</v>
      </c>
      <c r="L13" s="194" t="str">
        <f t="shared" si="2"/>
        <v>77Indiferente</v>
      </c>
      <c r="M13" s="195">
        <f>COUNTIF('Folha de Pagamento'!A:A,A13)</f>
        <v>1</v>
      </c>
      <c r="N13" s="217">
        <v>12.0</v>
      </c>
      <c r="O13" s="196">
        <f>IFERROR(VLOOKUP(L13,'C-01'!$D:$L,5,0),"")</f>
        <v>2619.08</v>
      </c>
      <c r="P13" s="196">
        <f>IFERROR(VLOOKUP(L13,'C-01'!$D:$L,6,0),"")</f>
        <v>3097.88</v>
      </c>
      <c r="Q13" s="196">
        <f>IFERROR(VLOOKUP(L13,'C-01'!$D:$L,7,0),"")</f>
        <v>3080.23</v>
      </c>
      <c r="R13" s="196">
        <f>IFERROR(VLOOKUP(L13,'C-01'!$D:$L,8,0),"")</f>
        <v>3491.33</v>
      </c>
      <c r="S13" s="197">
        <f>IFERROR(VLOOKUP(L13,'C-01'!$D:$L,9,0),"")</f>
        <v>4078.78</v>
      </c>
      <c r="T13" s="198">
        <f>IFS('Painel Geral'!$B$5="Mediana",IFERROR(IF(OR(C13="",Q13=0,Q13=""),"",($C13/$Q13)),""),'Painel Geral'!$B$5="Menor Salário",IFERROR(IF(OR(C13="",Q13=0,Q13=""),"",($C13/$N13)),""),'Painel Geral'!$B$5="1º Quartil",IFERROR(IF(OR(C13="",Q13=0,Q13=""),"",($C13/$O13)),""), 'Painel Geral'!$B$5="Média",IFERROR(IF(OR(C13="",Q13=0,Q13=""),"",($C13/$P13)),""),'Painel Geral'!$B$5="3º Quartil",IFERROR(IF(OR(C13="",Q13=0,Q13=""),"",($C13/$R13)),""),'Painel Geral'!$B$5="Maior Salário",IFERROR(IF(OR(C13="",Q13=0,Q13=""),"",($C13/$S13)),""))</f>
        <v>0.9476565062</v>
      </c>
      <c r="U13" s="199" t="str">
        <f t="shared" si="3"/>
        <v>Na Média</v>
      </c>
      <c r="V13" s="201"/>
      <c r="W13" s="201"/>
      <c r="X13" s="201"/>
      <c r="Y13" s="201"/>
      <c r="Z13" s="201"/>
      <c r="AA13" s="201"/>
      <c r="AB13" s="201"/>
      <c r="AC13" s="201"/>
      <c r="AD13" s="201"/>
      <c r="AE13" s="201"/>
      <c r="AF13" s="201"/>
      <c r="AG13" s="201"/>
      <c r="AH13" s="201"/>
      <c r="AI13" s="201"/>
      <c r="AJ13" s="201"/>
      <c r="AK13" s="201"/>
      <c r="AL13" s="201"/>
      <c r="AM13" s="201"/>
      <c r="AN13" s="201"/>
      <c r="AO13" s="201"/>
      <c r="AP13" s="201"/>
    </row>
    <row r="14" ht="15.75" customHeight="1">
      <c r="A14" s="184" t="s">
        <v>18</v>
      </c>
      <c r="B14" s="185" t="str">
        <f>VLOOKUP(A14,Jobmatch!A:G,2,0)</f>
        <v>ALMOXARIFE</v>
      </c>
      <c r="C14" s="186">
        <f>IFERROR(AVERAGEIF('Folha de Pagamento'!A:A,A14,'Folha de Pagamento'!J:J),"")</f>
        <v>3683</v>
      </c>
      <c r="D14" s="187">
        <v>5.0</v>
      </c>
      <c r="E14" s="185" t="str">
        <f>VLOOKUP(A14,Jobmatch!A:H,3,0)</f>
        <v>Edificação</v>
      </c>
      <c r="F14" s="188" t="s">
        <v>211</v>
      </c>
      <c r="G14" s="190" t="str">
        <f>VLOOKUP(A14,Jobmatch!A:I,4,0)</f>
        <v>8 - ADM PROJETOS</v>
      </c>
      <c r="H14" s="191" t="str">
        <f>VLOOKUP(A14,Jobmatch!A:I,5,0)</f>
        <v>Operacional</v>
      </c>
      <c r="I14" s="192">
        <f>VLOOKUP(A14,Jobmatch!A:I,6,0)</f>
        <v>203</v>
      </c>
      <c r="J14" s="190" t="str">
        <f>VLOOKUP(A14,Jobmatch!A:I,7,0)</f>
        <v>Almoxarife</v>
      </c>
      <c r="K14" s="193" t="str">
        <f>VLOOKUP(A14,Jobmatch!A:I,8,0)</f>
        <v>Indiferente</v>
      </c>
      <c r="L14" s="194" t="str">
        <f t="shared" si="2"/>
        <v>203Indiferente</v>
      </c>
      <c r="M14" s="195">
        <f>COUNTIF('Folha de Pagamento'!A:A,A14)</f>
        <v>2</v>
      </c>
      <c r="N14" s="217">
        <v>12.0</v>
      </c>
      <c r="O14" s="196">
        <f>IFERROR(VLOOKUP(L14,'C-01'!$D:$L,5,0),"")</f>
        <v>3088.9</v>
      </c>
      <c r="P14" s="196">
        <f>IFERROR(VLOOKUP(L14,'C-01'!$D:$L,6,0),"")</f>
        <v>3397.38</v>
      </c>
      <c r="Q14" s="196">
        <f>IFERROR(VLOOKUP(L14,'C-01'!$D:$L,7,0),"")</f>
        <v>3088.9</v>
      </c>
      <c r="R14" s="196">
        <f>IFERROR(VLOOKUP(L14,'C-01'!$D:$L,8,0),"")</f>
        <v>3703.26</v>
      </c>
      <c r="S14" s="197">
        <f>IFERROR(VLOOKUP(L14,'C-01'!$D:$L,9,0),"")</f>
        <v>4425.21</v>
      </c>
      <c r="T14" s="198">
        <f>IFS('Painel Geral'!$B$5="Mediana",IFERROR(IF(OR(C14="",Q14=0,Q14=""),"",($C14/$Q14)),""),'Painel Geral'!$B$5="Menor Salário",IFERROR(IF(OR(C14="",Q14=0,Q14=""),"",($C14/$N14)),""),'Painel Geral'!$B$5="1º Quartil",IFERROR(IF(OR(C14="",Q14=0,Q14=""),"",($C14/$O14)),""), 'Painel Geral'!$B$5="Média",IFERROR(IF(OR(C14="",Q14=0,Q14=""),"",($C14/$P14)),""),'Painel Geral'!$B$5="3º Quartil",IFERROR(IF(OR(C14="",Q14=0,Q14=""),"",($C14/$R14)),""),'Painel Geral'!$B$5="Maior Salário",IFERROR(IF(OR(C14="",Q14=0,Q14=""),"",($C14/$S14)),""))</f>
        <v>1.192333841</v>
      </c>
      <c r="U14" s="199" t="str">
        <f t="shared" si="3"/>
        <v>Muito Competitivo</v>
      </c>
      <c r="V14" s="201"/>
      <c r="W14" s="201"/>
      <c r="X14" s="201"/>
      <c r="Y14" s="201"/>
      <c r="Z14" s="201"/>
      <c r="AA14" s="201"/>
      <c r="AB14" s="201"/>
      <c r="AC14" s="201"/>
      <c r="AD14" s="201"/>
      <c r="AE14" s="201"/>
      <c r="AF14" s="201"/>
      <c r="AG14" s="201"/>
      <c r="AH14" s="201"/>
      <c r="AI14" s="201"/>
      <c r="AJ14" s="201"/>
      <c r="AK14" s="201"/>
      <c r="AL14" s="201"/>
      <c r="AM14" s="201"/>
      <c r="AN14" s="201"/>
      <c r="AO14" s="201"/>
      <c r="AP14" s="201"/>
    </row>
    <row r="15" ht="15.75" customHeight="1">
      <c r="A15" s="184" t="s">
        <v>61</v>
      </c>
      <c r="B15" s="185" t="str">
        <f>VLOOKUP(A15,Jobmatch!A:G,2,0)</f>
        <v>ASSISTENTE ADM DE LEGALIZAÇÃO III</v>
      </c>
      <c r="C15" s="186">
        <f>IFERROR(AVERAGEIF('Folha de Pagamento'!A:A,A15,'Folha de Pagamento'!J:J),"")</f>
        <v>3652</v>
      </c>
      <c r="D15" s="187">
        <v>7.0</v>
      </c>
      <c r="E15" s="185" t="str">
        <f>VLOOKUP(A15,Jobmatch!A:H,3,0)</f>
        <v>Legalização </v>
      </c>
      <c r="F15" s="188" t="s">
        <v>358</v>
      </c>
      <c r="G15" s="190" t="str">
        <f>VLOOKUP(A15,Jobmatch!A:I,4,0)</f>
        <v>19 - ADM PROJETOS</v>
      </c>
      <c r="H15" s="191" t="str">
        <f>VLOOKUP(A15,Jobmatch!A:I,5,0)</f>
        <v>Operacional</v>
      </c>
      <c r="I15" s="192">
        <f>VLOOKUP(A15,Jobmatch!A:I,6,0)</f>
        <v>1201</v>
      </c>
      <c r="J15" s="190" t="str">
        <f>VLOOKUP(A15,Jobmatch!A:I,7,0)</f>
        <v>Assistente de Legalização</v>
      </c>
      <c r="K15" s="193" t="str">
        <f>VLOOKUP(A15,Jobmatch!A:I,8,0)</f>
        <v>Indiferente</v>
      </c>
      <c r="L15" s="194" t="str">
        <f t="shared" si="2"/>
        <v>1201Indiferente</v>
      </c>
      <c r="M15" s="195">
        <f>COUNTIF('Folha de Pagamento'!A:A,A15)</f>
        <v>2</v>
      </c>
      <c r="N15" s="217">
        <v>12.0</v>
      </c>
      <c r="O15" s="196">
        <f>IFERROR(VLOOKUP(L15,'C-01'!$D:$L,5,0),"")</f>
        <v>2803.34</v>
      </c>
      <c r="P15" s="196">
        <f>IFERROR(VLOOKUP(L15,'C-01'!$D:$L,6,0),"")</f>
        <v>3092.92</v>
      </c>
      <c r="Q15" s="196">
        <f>IFERROR(VLOOKUP(L15,'C-01'!$D:$L,7,0),"")</f>
        <v>3092.92</v>
      </c>
      <c r="R15" s="196">
        <f>IFERROR(VLOOKUP(L15,'C-01'!$D:$L,8,0),"")</f>
        <v>3382.51</v>
      </c>
      <c r="S15" s="197">
        <f>IFERROR(VLOOKUP(L15,'C-01'!$D:$L,9,0),"")</f>
        <v>3672.09</v>
      </c>
      <c r="T15" s="198">
        <f>IFS('Painel Geral'!$B$5="Mediana",IFERROR(IF(OR(C15="",Q15=0,Q15=""),"",($C15/$Q15)),""),'Painel Geral'!$B$5="Menor Salário",IFERROR(IF(OR(C15="",Q15=0,Q15=""),"",($C15/$N15)),""),'Painel Geral'!$B$5="1º Quartil",IFERROR(IF(OR(C15="",Q15=0,Q15=""),"",($C15/$O15)),""), 'Painel Geral'!$B$5="Média",IFERROR(IF(OR(C15="",Q15=0,Q15=""),"",($C15/$P15)),""),'Painel Geral'!$B$5="3º Quartil",IFERROR(IF(OR(C15="",Q15=0,Q15=""),"",($C15/$R15)),""),'Painel Geral'!$B$5="Maior Salário",IFERROR(IF(OR(C15="",Q15=0,Q15=""),"",($C15/$S15)),""))</f>
        <v>1.180761222</v>
      </c>
      <c r="U15" s="199" t="str">
        <f t="shared" si="3"/>
        <v>Muito Competitivo</v>
      </c>
      <c r="V15" s="201"/>
      <c r="W15" s="201"/>
      <c r="X15" s="201"/>
      <c r="Y15" s="201"/>
      <c r="Z15" s="201"/>
      <c r="AA15" s="201"/>
      <c r="AB15" s="201"/>
      <c r="AC15" s="201"/>
      <c r="AD15" s="201"/>
      <c r="AE15" s="201"/>
      <c r="AF15" s="201"/>
      <c r="AG15" s="201"/>
      <c r="AH15" s="201"/>
      <c r="AI15" s="201"/>
      <c r="AJ15" s="201"/>
      <c r="AK15" s="218"/>
      <c r="AL15" s="218"/>
      <c r="AM15" s="218"/>
      <c r="AN15" s="218"/>
      <c r="AO15" s="218"/>
      <c r="AP15" s="218">
        <v>0.03</v>
      </c>
    </row>
    <row r="16" ht="15.75" customHeight="1">
      <c r="A16" s="184" t="s">
        <v>58</v>
      </c>
      <c r="B16" s="185" t="str">
        <f>VLOOKUP(A16,Jobmatch!A:G,2,0)</f>
        <v>ANALISTA FINANCEIRO I</v>
      </c>
      <c r="C16" s="186">
        <f>IFERROR(AVERAGEIF('Folha de Pagamento'!A:A,A16,'Folha de Pagamento'!J:J),"")</f>
        <v>3993</v>
      </c>
      <c r="D16" s="187">
        <v>6.0</v>
      </c>
      <c r="E16" s="185" t="str">
        <f>VLOOKUP(A16,Jobmatch!A:H,3,0)</f>
        <v>Financeiro</v>
      </c>
      <c r="F16" s="188" t="s">
        <v>353</v>
      </c>
      <c r="G16" s="190" t="str">
        <f>VLOOKUP(A16,Jobmatch!A:I,4,0)</f>
        <v>18 - ADM PROJETOS</v>
      </c>
      <c r="H16" s="191" t="str">
        <f>VLOOKUP(A16,Jobmatch!A:I,5,0)</f>
        <v>Operacional</v>
      </c>
      <c r="I16" s="192">
        <f>VLOOKUP(A16,Jobmatch!A:I,6,0)</f>
        <v>16</v>
      </c>
      <c r="J16" s="190" t="str">
        <f>VLOOKUP(A16,Jobmatch!A:I,7,0)</f>
        <v>Analista Financeiro</v>
      </c>
      <c r="K16" s="193" t="str">
        <f>VLOOKUP(A16,Jobmatch!A:I,8,0)</f>
        <v>Júnior</v>
      </c>
      <c r="L16" s="194" t="str">
        <f t="shared" si="2"/>
        <v>16Júnior</v>
      </c>
      <c r="M16" s="195">
        <f>COUNTIF('Folha de Pagamento'!A:A,A16)</f>
        <v>1</v>
      </c>
      <c r="N16" s="216">
        <v>12.0</v>
      </c>
      <c r="O16" s="196">
        <f>IFERROR(VLOOKUP(L16,'C-01'!$D:$L,5,0),"")</f>
        <v>3176.35</v>
      </c>
      <c r="P16" s="196">
        <f>IFERROR(VLOOKUP(L16,'C-01'!$D:$L,6,0),"")</f>
        <v>3539.11</v>
      </c>
      <c r="Q16" s="196">
        <f>IFERROR(VLOOKUP(L16,'C-01'!$D:$L,7,0),"")</f>
        <v>3493.97</v>
      </c>
      <c r="R16" s="196">
        <f>IFERROR(VLOOKUP(L16,'C-01'!$D:$L,8,0),"")</f>
        <v>3798.49</v>
      </c>
      <c r="S16" s="197">
        <f>IFERROR(VLOOKUP(L16,'C-01'!$D:$L,9,0),"")</f>
        <v>4392.23</v>
      </c>
      <c r="T16" s="198">
        <f>IFS('Painel Geral'!$B$5="Mediana",IFERROR(IF(OR(C16="",Q16=0,Q16=""),"",($C16/$Q16)),""),'Painel Geral'!$B$5="Menor Salário",IFERROR(IF(OR(C16="",Q16=0,Q16=""),"",($C16/$N16)),""),'Painel Geral'!$B$5="1º Quartil",IFERROR(IF(OR(C16="",Q16=0,Q16=""),"",($C16/$O16)),""), 'Painel Geral'!$B$5="Média",IFERROR(IF(OR(C16="",Q16=0,Q16=""),"",($C16/$P16)),""),'Painel Geral'!$B$5="3º Quartil",IFERROR(IF(OR(C16="",Q16=0,Q16=""),"",($C16/$R16)),""),'Painel Geral'!$B$5="Maior Salário",IFERROR(IF(OR(C16="",Q16=0,Q16=""),"",($C16/$S16)),""))</f>
        <v>1.142826069</v>
      </c>
      <c r="U16" s="199" t="str">
        <f t="shared" si="3"/>
        <v>Muito Competitivo</v>
      </c>
      <c r="V16" s="201"/>
      <c r="W16" s="201"/>
      <c r="X16" s="201"/>
      <c r="Y16" s="201"/>
      <c r="Z16" s="201"/>
      <c r="AA16" s="201"/>
      <c r="AB16" s="201"/>
      <c r="AC16" s="201"/>
      <c r="AD16" s="201"/>
      <c r="AE16" s="201"/>
      <c r="AF16" s="201"/>
      <c r="AG16" s="201"/>
      <c r="AH16" s="201"/>
      <c r="AI16" s="201"/>
      <c r="AJ16" s="201"/>
      <c r="AK16" s="201"/>
      <c r="AL16" s="201"/>
      <c r="AM16" s="201"/>
      <c r="AN16" s="201"/>
      <c r="AO16" s="201"/>
      <c r="AP16" s="201"/>
    </row>
    <row r="17" ht="15.75" customHeight="1">
      <c r="A17" s="184" t="s">
        <v>43</v>
      </c>
      <c r="B17" s="185" t="str">
        <f>VLOOKUP(A17,Jobmatch!A:G,2,0)</f>
        <v>ANALISTA DE MARKETING l</v>
      </c>
      <c r="C17" s="186">
        <f>IFERROR(AVERAGEIF('Folha de Pagamento'!A:A,A17,'Folha de Pagamento'!J:J),"")</f>
        <v>4025.88</v>
      </c>
      <c r="D17" s="187">
        <v>8.0</v>
      </c>
      <c r="E17" s="185" t="str">
        <f>VLOOKUP(A17,Jobmatch!A:H,3,0)</f>
        <v>Marketing</v>
      </c>
      <c r="F17" s="188" t="s">
        <v>361</v>
      </c>
      <c r="G17" s="190" t="str">
        <f>VLOOKUP(A17,Jobmatch!A:I,4,0)</f>
        <v>13 - ADM PROJETOS</v>
      </c>
      <c r="H17" s="191" t="str">
        <f>VLOOKUP(A17,Jobmatch!A:I,5,0)</f>
        <v>Operacional</v>
      </c>
      <c r="I17" s="192">
        <f>VLOOKUP(A17,Jobmatch!A:I,6,0)</f>
        <v>42</v>
      </c>
      <c r="J17" s="190" t="str">
        <f>VLOOKUP(A17,Jobmatch!A:I,7,0)</f>
        <v>Analista de Marketing</v>
      </c>
      <c r="K17" s="193" t="str">
        <f>VLOOKUP(A17,Jobmatch!A:I,8,0)</f>
        <v>Júnior</v>
      </c>
      <c r="L17" s="194" t="str">
        <f t="shared" si="2"/>
        <v>42Júnior</v>
      </c>
      <c r="M17" s="195">
        <f>COUNTIF('Folha de Pagamento'!A:A,A17)</f>
        <v>1</v>
      </c>
      <c r="N17" s="216">
        <v>12.0</v>
      </c>
      <c r="O17" s="196">
        <f>IFERROR(VLOOKUP(L17,'C-01'!$D:$L,5,0),"")</f>
        <v>3503.85</v>
      </c>
      <c r="P17" s="196">
        <f>IFERROR(VLOOKUP(L17,'C-01'!$D:$L,6,0),"")</f>
        <v>3792.81</v>
      </c>
      <c r="Q17" s="196">
        <f>IFERROR(VLOOKUP(L17,'C-01'!$D:$L,7,0),"")</f>
        <v>3674.96</v>
      </c>
      <c r="R17" s="196">
        <f>IFERROR(VLOOKUP(L17,'C-01'!$D:$L,8,0),"")</f>
        <v>3977.13</v>
      </c>
      <c r="S17" s="197">
        <f>IFERROR(VLOOKUP(L17,'C-01'!$D:$L,9,0),"")</f>
        <v>5225.68</v>
      </c>
      <c r="T17" s="198">
        <f>IFS('Painel Geral'!$B$5="Mediana",IFERROR(IF(OR(C17="",Q17=0,Q17=""),"",($C17/$Q17)),""),'Painel Geral'!$B$5="Menor Salário",IFERROR(IF(OR(C17="",Q17=0,Q17=""),"",($C17/$N17)),""),'Painel Geral'!$B$5="1º Quartil",IFERROR(IF(OR(C17="",Q17=0,Q17=""),"",($C17/$O17)),""), 'Painel Geral'!$B$5="Média",IFERROR(IF(OR(C17="",Q17=0,Q17=""),"",($C17/$P17)),""),'Painel Geral'!$B$5="3º Quartil",IFERROR(IF(OR(C17="",Q17=0,Q17=""),"",($C17/$R17)),""),'Painel Geral'!$B$5="Maior Salário",IFERROR(IF(OR(C17="",Q17=0,Q17=""),"",($C17/$S17)),""))</f>
        <v>1.095489475</v>
      </c>
      <c r="U17" s="199" t="str">
        <f t="shared" si="3"/>
        <v>Competitivo</v>
      </c>
      <c r="V17" s="201"/>
      <c r="W17" s="201"/>
      <c r="X17" s="201"/>
      <c r="Y17" s="201"/>
      <c r="Z17" s="201"/>
      <c r="AA17" s="201"/>
      <c r="AB17" s="201"/>
      <c r="AC17" s="201"/>
      <c r="AD17" s="201"/>
      <c r="AE17" s="201"/>
      <c r="AF17" s="201"/>
      <c r="AG17" s="201"/>
      <c r="AH17" s="201"/>
      <c r="AI17" s="201"/>
      <c r="AJ17" s="201"/>
      <c r="AK17" s="201"/>
      <c r="AL17" s="201"/>
      <c r="AM17" s="201"/>
      <c r="AN17" s="201"/>
      <c r="AO17" s="201"/>
      <c r="AP17" s="201"/>
    </row>
    <row r="18" ht="15.75" customHeight="1">
      <c r="A18" s="184" t="s">
        <v>70</v>
      </c>
      <c r="B18" s="185" t="str">
        <f>VLOOKUP(A18,Jobmatch!A:G,2,0)</f>
        <v>ASSISTENTE DE ENGENHARIA lll</v>
      </c>
      <c r="C18" s="186">
        <f>IFERROR(AVERAGEIF('Folha de Pagamento'!A:A,A18,'Folha de Pagamento'!J:J),"")</f>
        <v>3652</v>
      </c>
      <c r="D18" s="187">
        <v>5.0</v>
      </c>
      <c r="E18" s="185" t="str">
        <f>VLOOKUP(A18,Jobmatch!A:H,3,0)</f>
        <v>Edificação</v>
      </c>
      <c r="F18" s="188" t="s">
        <v>344</v>
      </c>
      <c r="G18" s="190" t="str">
        <f>VLOOKUP(A18,Jobmatch!A:I,4,0)</f>
        <v>22 - ADM PROJETOS</v>
      </c>
      <c r="H18" s="191" t="str">
        <f>VLOOKUP(A18,Jobmatch!A:I,5,0)</f>
        <v>Operacional</v>
      </c>
      <c r="I18" s="192">
        <f>VLOOKUP(A18,Jobmatch!A:I,6,0)</f>
        <v>531</v>
      </c>
      <c r="J18" s="190" t="str">
        <f>VLOOKUP(A18,Jobmatch!A:I,7,0)</f>
        <v>Assistente de Engenharia</v>
      </c>
      <c r="K18" s="193" t="str">
        <f>VLOOKUP(A18,Jobmatch!A:I,8,0)</f>
        <v>Indiferente</v>
      </c>
      <c r="L18" s="194" t="str">
        <f t="shared" si="2"/>
        <v>531Indiferente</v>
      </c>
      <c r="M18" s="195">
        <f>COUNTIF('Folha de Pagamento'!A:A,A18)</f>
        <v>1</v>
      </c>
      <c r="N18" s="217">
        <v>13.0</v>
      </c>
      <c r="O18" s="196">
        <f>IFERROR(VLOOKUP(L18,'C-01'!$D:$L,5,0),"")</f>
        <v>3945.44</v>
      </c>
      <c r="P18" s="196">
        <f>IFERROR(VLOOKUP(L18,'C-01'!$D:$L,6,0),"")</f>
        <v>4031.84</v>
      </c>
      <c r="Q18" s="196">
        <f>IFERROR(VLOOKUP(L18,'C-01'!$D:$L,7,0),"")</f>
        <v>3945.44</v>
      </c>
      <c r="R18" s="196">
        <f>IFERROR(VLOOKUP(L18,'C-01'!$D:$L,8,0),"")</f>
        <v>3945.44</v>
      </c>
      <c r="S18" s="197">
        <f>IFERROR(VLOOKUP(L18,'C-01'!$D:$L,9,0),"")</f>
        <v>5084.96</v>
      </c>
      <c r="T18" s="198">
        <f>IFS('Painel Geral'!$B$5="Mediana",IFERROR(IF(OR(C18="",Q18=0,Q18=""),"",($C18/$Q18)),""),'Painel Geral'!$B$5="Menor Salário",IFERROR(IF(OR(C18="",Q18=0,Q18=""),"",($C18/$N18)),""),'Painel Geral'!$B$5="1º Quartil",IFERROR(IF(OR(C18="",Q18=0,Q18=""),"",($C18/$O18)),""), 'Painel Geral'!$B$5="Média",IFERROR(IF(OR(C18="",Q18=0,Q18=""),"",($C18/$P18)),""),'Painel Geral'!$B$5="3º Quartil",IFERROR(IF(OR(C18="",Q18=0,Q18=""),"",($C18/$R18)),""),'Painel Geral'!$B$5="Maior Salário",IFERROR(IF(OR(C18="",Q18=0,Q18=""),"",($C18/$S18)),""))</f>
        <v>0.9256255323</v>
      </c>
      <c r="U18" s="199" t="str">
        <f t="shared" si="3"/>
        <v>Na Média</v>
      </c>
      <c r="V18" s="201"/>
      <c r="W18" s="201"/>
      <c r="X18" s="201"/>
      <c r="Y18" s="201"/>
      <c r="Z18" s="201"/>
      <c r="AA18" s="201"/>
      <c r="AB18" s="201"/>
      <c r="AC18" s="201"/>
      <c r="AD18" s="201"/>
      <c r="AE18" s="201"/>
      <c r="AF18" s="201"/>
      <c r="AG18" s="201"/>
      <c r="AH18" s="201"/>
      <c r="AI18" s="201"/>
      <c r="AJ18" s="201"/>
      <c r="AK18" s="219">
        <v>1799.0</v>
      </c>
      <c r="AL18" s="220">
        <f>AK18*AN27</f>
        <v>1813.59369</v>
      </c>
      <c r="AM18" s="221"/>
      <c r="AN18" s="201"/>
      <c r="AO18" s="201"/>
      <c r="AP18" s="201"/>
    </row>
    <row r="19" ht="15.75" customHeight="1">
      <c r="A19" s="184" t="s">
        <v>186</v>
      </c>
      <c r="B19" s="185" t="str">
        <f>VLOOKUP(A19,Jobmatch!A:G,2,0)</f>
        <v>TECNOLOGO EM CONSTRUÇÃO DE EDIFICIOS</v>
      </c>
      <c r="C19" s="186">
        <f>IFERROR(AVERAGEIF('Folha de Pagamento'!A:A,A19,'Folha de Pagamento'!J:J),"")</f>
        <v>8585</v>
      </c>
      <c r="D19" s="187">
        <v>5.0</v>
      </c>
      <c r="E19" s="185" t="str">
        <f>VLOOKUP(A19,Jobmatch!A:H,3,0)</f>
        <v>Edificação</v>
      </c>
      <c r="F19" s="188" t="s">
        <v>350</v>
      </c>
      <c r="G19" s="190" t="str">
        <f>VLOOKUP(A19,Jobmatch!A:I,4,0)</f>
        <v>61 - ADM PROJETOS</v>
      </c>
      <c r="H19" s="191" t="str">
        <f>VLOOKUP(A19,Jobmatch!A:I,5,0)</f>
        <v>Operacional</v>
      </c>
      <c r="I19" s="192">
        <f>VLOOKUP(A19,Jobmatch!A:I,6,0)</f>
        <v>269</v>
      </c>
      <c r="J19" s="190" t="str">
        <f>VLOOKUP(A19,Jobmatch!A:I,7,0)</f>
        <v>Técnico em Edificações</v>
      </c>
      <c r="K19" s="193" t="str">
        <f>VLOOKUP(A19,Jobmatch!A:I,8,0)</f>
        <v>Indiferente</v>
      </c>
      <c r="L19" s="194" t="str">
        <f t="shared" si="2"/>
        <v>269Indiferente</v>
      </c>
      <c r="M19" s="195">
        <f>COUNTIF('Folha de Pagamento'!A:A,A19)</f>
        <v>1</v>
      </c>
      <c r="N19" s="216">
        <v>13.0</v>
      </c>
      <c r="O19" s="196">
        <f>IFERROR(VLOOKUP(L19,'C-01'!$D:$L,5,0),"")</f>
        <v>3732.17</v>
      </c>
      <c r="P19" s="196">
        <f>IFERROR(VLOOKUP(L19,'C-01'!$D:$L,6,0),"")</f>
        <v>4583.42</v>
      </c>
      <c r="Q19" s="196">
        <f>IFERROR(VLOOKUP(L19,'C-01'!$D:$L,7,0),"")</f>
        <v>4022.01</v>
      </c>
      <c r="R19" s="196">
        <f>IFERROR(VLOOKUP(L19,'C-01'!$D:$L,8,0),"")</f>
        <v>4417.17</v>
      </c>
      <c r="S19" s="197">
        <f>IFERROR(VLOOKUP(L19,'C-01'!$D:$L,9,0),"")</f>
        <v>9075.39</v>
      </c>
      <c r="T19" s="198">
        <f>IFS('Painel Geral'!$B$5="Mediana",IFERROR(IF(OR(C19="",Q19=0,Q19=""),"",($C19/$Q19)),""),'Painel Geral'!$B$5="Menor Salário",IFERROR(IF(OR(C19="",Q19=0,Q19=""),"",($C19/$N19)),""),'Painel Geral'!$B$5="1º Quartil",IFERROR(IF(OR(C19="",Q19=0,Q19=""),"",($C19/$O19)),""), 'Painel Geral'!$B$5="Média",IFERROR(IF(OR(C19="",Q19=0,Q19=""),"",($C19/$P19)),""),'Painel Geral'!$B$5="3º Quartil",IFERROR(IF(OR(C19="",Q19=0,Q19=""),"",($C19/$R19)),""),'Painel Geral'!$B$5="Maior Salário",IFERROR(IF(OR(C19="",Q19=0,Q19=""),"",($C19/$S19)),""))</f>
        <v>2.134504887</v>
      </c>
      <c r="U19" s="199" t="str">
        <f t="shared" si="3"/>
        <v>Agressivo</v>
      </c>
      <c r="V19" s="201"/>
      <c r="W19" s="201"/>
      <c r="X19" s="201"/>
      <c r="Y19" s="201"/>
      <c r="Z19" s="201"/>
      <c r="AA19" s="201"/>
      <c r="AB19" s="201"/>
      <c r="AC19" s="201"/>
      <c r="AD19" s="201"/>
      <c r="AE19" s="201"/>
      <c r="AF19" s="201"/>
      <c r="AG19" s="201"/>
      <c r="AH19" s="201"/>
      <c r="AI19" s="201"/>
      <c r="AJ19" s="201"/>
      <c r="AK19" s="222">
        <v>45778.0</v>
      </c>
      <c r="AL19" s="221"/>
      <c r="AM19" s="221"/>
      <c r="AN19" s="201"/>
      <c r="AO19" s="201"/>
      <c r="AP19" s="201"/>
    </row>
    <row r="20" ht="15.75" customHeight="1">
      <c r="A20" s="184" t="s">
        <v>29</v>
      </c>
      <c r="B20" s="185" t="str">
        <f>VLOOKUP(A20,Jobmatch!A:G,2,0)</f>
        <v>ANALISTA DE CRIAÇAO</v>
      </c>
      <c r="C20" s="186">
        <f>IFERROR(AVERAGEIF('Folha de Pagamento'!A:A,A20,'Folha de Pagamento'!J:J),"")</f>
        <v>5429</v>
      </c>
      <c r="D20" s="187">
        <v>8.0</v>
      </c>
      <c r="E20" s="185" t="str">
        <f>VLOOKUP(A20,Jobmatch!A:H,3,0)</f>
        <v>Marketing</v>
      </c>
      <c r="F20" s="188" t="s">
        <v>360</v>
      </c>
      <c r="G20" s="190" t="str">
        <f>VLOOKUP(A20,Jobmatch!A:I,4,0)</f>
        <v>10 - ADM PROJETOS</v>
      </c>
      <c r="H20" s="191" t="str">
        <f>VLOOKUP(A20,Jobmatch!A:I,5,0)</f>
        <v>Operacional</v>
      </c>
      <c r="I20" s="192">
        <f>VLOOKUP(A20,Jobmatch!A:I,6,0)</f>
        <v>45</v>
      </c>
      <c r="J20" s="190" t="str">
        <f>VLOOKUP(A20,Jobmatch!A:I,7,0)</f>
        <v>Analista de Criação</v>
      </c>
      <c r="K20" s="193" t="str">
        <f>VLOOKUP(A20,Jobmatch!A:I,8,0)</f>
        <v>Indiferente</v>
      </c>
      <c r="L20" s="194" t="str">
        <f t="shared" si="2"/>
        <v>45Indiferente</v>
      </c>
      <c r="M20" s="195">
        <f>COUNTIF('Folha de Pagamento'!A:A,A20)</f>
        <v>1</v>
      </c>
      <c r="N20" s="216">
        <v>13.0</v>
      </c>
      <c r="O20" s="196">
        <f>IFERROR(VLOOKUP(L20,'C-01'!$D:$L,5,0),"")</f>
        <v>3527.33</v>
      </c>
      <c r="P20" s="196">
        <f>IFERROR(VLOOKUP(L20,'C-01'!$D:$L,6,0),"")</f>
        <v>4325.16</v>
      </c>
      <c r="Q20" s="196">
        <f>IFERROR(VLOOKUP(L20,'C-01'!$D:$L,7,0),"")</f>
        <v>4325.72</v>
      </c>
      <c r="R20" s="196">
        <f>IFERROR(VLOOKUP(L20,'C-01'!$D:$L,8,0),"")</f>
        <v>4988.66</v>
      </c>
      <c r="S20" s="197">
        <f>IFERROR(VLOOKUP(L20,'C-01'!$D:$L,9,0),"")</f>
        <v>6418.74</v>
      </c>
      <c r="T20" s="198">
        <f>IFS('Painel Geral'!$B$5="Mediana",IFERROR(IF(OR(C20="",Q20=0,Q20=""),"",($C20/$Q20)),""),'Painel Geral'!$B$5="Menor Salário",IFERROR(IF(OR(C20="",Q20=0,Q20=""),"",($C20/$N20)),""),'Painel Geral'!$B$5="1º Quartil",IFERROR(IF(OR(C20="",Q20=0,Q20=""),"",($C20/$O20)),""), 'Painel Geral'!$B$5="Média",IFERROR(IF(OR(C20="",Q20=0,Q20=""),"",($C20/$P20)),""),'Painel Geral'!$B$5="3º Quartil",IFERROR(IF(OR(C20="",Q20=0,Q20=""),"",($C20/$R20)),""),'Painel Geral'!$B$5="Maior Salário",IFERROR(IF(OR(C20="",Q20=0,Q20=""),"",($C20/$S20)),""))</f>
        <v>1.255051182</v>
      </c>
      <c r="U20" s="199" t="str">
        <f t="shared" si="3"/>
        <v>Agressivo</v>
      </c>
      <c r="V20" s="201"/>
      <c r="W20" s="201"/>
      <c r="X20" s="201"/>
      <c r="Y20" s="201"/>
      <c r="Z20" s="201"/>
      <c r="AA20" s="201"/>
      <c r="AB20" s="201"/>
      <c r="AC20" s="201"/>
      <c r="AD20" s="201"/>
      <c r="AE20" s="201"/>
      <c r="AF20" s="201"/>
      <c r="AG20" s="201"/>
      <c r="AH20" s="201"/>
      <c r="AI20" s="201"/>
      <c r="AJ20" s="201"/>
      <c r="AK20" s="223">
        <v>0.23</v>
      </c>
      <c r="AL20" s="220">
        <f t="shared" ref="AL20:AL25" si="4">1+(AK20/100)</f>
        <v>1.0023</v>
      </c>
      <c r="AM20" s="220">
        <f>AL20</f>
        <v>1.0023</v>
      </c>
      <c r="AN20" s="201"/>
      <c r="AO20" s="201"/>
      <c r="AP20" s="201"/>
    </row>
    <row r="21" ht="15.75" customHeight="1">
      <c r="A21" s="184" t="s">
        <v>33</v>
      </c>
      <c r="B21" s="185" t="str">
        <f>VLOOKUP(A21,Jobmatch!A:G,2,0)</f>
        <v>ANALISTA DE INOVAÇÃO</v>
      </c>
      <c r="C21" s="186">
        <f>IFERROR(AVERAGEIF('Folha de Pagamento'!A:A,A21,'Folha de Pagamento'!J:J),"")</f>
        <v>7299.270073</v>
      </c>
      <c r="D21" s="187">
        <v>7.0</v>
      </c>
      <c r="E21" s="185" t="str">
        <f>VLOOKUP(A21,Jobmatch!A:H,3,0)</f>
        <v>Inovação</v>
      </c>
      <c r="F21" s="188" t="s">
        <v>357</v>
      </c>
      <c r="G21" s="190" t="str">
        <f>VLOOKUP(A21,Jobmatch!A:I,4,0)</f>
        <v>11 - ADM PROJETOS</v>
      </c>
      <c r="H21" s="191" t="str">
        <f>VLOOKUP(A21,Jobmatch!A:I,5,0)</f>
        <v>Tático</v>
      </c>
      <c r="I21" s="192">
        <f>VLOOKUP(A21,Jobmatch!A:I,6,0)</f>
        <v>437</v>
      </c>
      <c r="J21" s="190" t="str">
        <f>VLOOKUP(A21,Jobmatch!A:I,7,0)</f>
        <v>Analista de Inovação</v>
      </c>
      <c r="K21" s="193" t="str">
        <f>VLOOKUP(A21,Jobmatch!A:I,8,0)</f>
        <v>Indiferente</v>
      </c>
      <c r="L21" s="194" t="str">
        <f t="shared" si="2"/>
        <v>437Indiferente</v>
      </c>
      <c r="M21" s="195">
        <f>COUNTIF('Folha de Pagamento'!A:A,A21)</f>
        <v>1</v>
      </c>
      <c r="N21" s="216">
        <v>14.0</v>
      </c>
      <c r="O21" s="196">
        <f>IFERROR(VLOOKUP(L21,'C-01'!$D:$L,5,0),"")</f>
        <v>5268.47</v>
      </c>
      <c r="P21" s="196">
        <f>IFERROR(VLOOKUP(L21,'C-01'!$D:$L,6,0),"")</f>
        <v>5831.57</v>
      </c>
      <c r="Q21" s="196">
        <f>IFERROR(VLOOKUP(L21,'C-01'!$D:$L,7,0),"")</f>
        <v>5268.47</v>
      </c>
      <c r="R21" s="196">
        <f>IFERROR(VLOOKUP(L21,'C-01'!$D:$L,8,0),"")</f>
        <v>6822.26</v>
      </c>
      <c r="S21" s="197">
        <f>IFERROR(VLOOKUP(L21,'C-01'!$D:$L,9,0),"")</f>
        <v>7760.14</v>
      </c>
      <c r="T21" s="198">
        <f>IFS('Painel Geral'!$B$5="Mediana",IFERROR(IF(OR(C21="",Q21=0,Q21=""),"",($C21/$Q21)),""),'Painel Geral'!$B$5="Menor Salário",IFERROR(IF(OR(C21="",Q21=0,Q21=""),"",($C21/$N21)),""),'Painel Geral'!$B$5="1º Quartil",IFERROR(IF(OR(C21="",Q21=0,Q21=""),"",($C21/$O21)),""), 'Painel Geral'!$B$5="Média",IFERROR(IF(OR(C21="",Q21=0,Q21=""),"",($C21/$P21)),""),'Painel Geral'!$B$5="3º Quartil",IFERROR(IF(OR(C21="",Q21=0,Q21=""),"",($C21/$R21)),""),'Painel Geral'!$B$5="Maior Salário",IFERROR(IF(OR(C21="",Q21=0,Q21=""),"",($C21/$S21)),""))</f>
        <v>1.385462966</v>
      </c>
      <c r="U21" s="199" t="str">
        <f t="shared" si="3"/>
        <v>Agressivo</v>
      </c>
      <c r="V21" s="201"/>
      <c r="W21" s="201"/>
      <c r="X21" s="201"/>
      <c r="Y21" s="201"/>
      <c r="Z21" s="201"/>
      <c r="AA21" s="201"/>
      <c r="AB21" s="201"/>
      <c r="AC21" s="201"/>
      <c r="AD21" s="201"/>
      <c r="AE21" s="201"/>
      <c r="AF21" s="201"/>
      <c r="AG21" s="201"/>
      <c r="AH21" s="201"/>
      <c r="AI21" s="201"/>
      <c r="AJ21" s="201"/>
      <c r="AK21" s="223">
        <v>0.21</v>
      </c>
      <c r="AL21" s="220">
        <f t="shared" si="4"/>
        <v>1.0021</v>
      </c>
      <c r="AM21" s="220">
        <f t="shared" ref="AM21:AM25" si="5">AM20*AL21</f>
        <v>1.00440483</v>
      </c>
      <c r="AN21" s="201"/>
      <c r="AO21" s="201"/>
      <c r="AP21" s="201"/>
    </row>
    <row r="22" ht="15.75" customHeight="1">
      <c r="A22" s="184" t="s">
        <v>26</v>
      </c>
      <c r="B22" s="185" t="str">
        <f>VLOOKUP(A22,Jobmatch!A:G,2,0)</f>
        <v>ANALISTA DE COMPRAS</v>
      </c>
      <c r="C22" s="186">
        <f>IFERROR(AVERAGEIF('Folha de Pagamento'!A:A,A22,'Folha de Pagamento'!J:J),"")</f>
        <v>3780</v>
      </c>
      <c r="D22" s="187">
        <v>1.0</v>
      </c>
      <c r="E22" s="185" t="str">
        <f>VLOOKUP(A22,Jobmatch!A:H,3,0)</f>
        <v>Suprimentos </v>
      </c>
      <c r="F22" s="188" t="s">
        <v>367</v>
      </c>
      <c r="G22" s="190" t="str">
        <f>VLOOKUP(A22,Jobmatch!A:I,4,0)</f>
        <v>9 - ADM PROJETOS</v>
      </c>
      <c r="H22" s="191" t="str">
        <f>VLOOKUP(A22,Jobmatch!A:I,5,0)</f>
        <v>Operacional</v>
      </c>
      <c r="I22" s="192">
        <f>VLOOKUP(A22,Jobmatch!A:I,6,0)</f>
        <v>136</v>
      </c>
      <c r="J22" s="190" t="str">
        <f>VLOOKUP(A22,Jobmatch!A:I,7,0)</f>
        <v>Analista de Compras</v>
      </c>
      <c r="K22" s="193" t="str">
        <f>VLOOKUP(A22,Jobmatch!A:I,8,0)</f>
        <v>Pleno</v>
      </c>
      <c r="L22" s="194" t="str">
        <f t="shared" si="2"/>
        <v>136Pleno</v>
      </c>
      <c r="M22" s="195">
        <f>COUNTIF('Folha de Pagamento'!A:A,A22)</f>
        <v>1</v>
      </c>
      <c r="N22" s="217">
        <v>15.0</v>
      </c>
      <c r="O22" s="196">
        <f>IFERROR(VLOOKUP(L22,'C-01'!$D:$L,5,0),"")</f>
        <v>4524.76</v>
      </c>
      <c r="P22" s="196">
        <f>IFERROR(VLOOKUP(L22,'C-01'!$D:$L,6,0),"")</f>
        <v>6002.23</v>
      </c>
      <c r="Q22" s="196">
        <f>IFERROR(VLOOKUP(L22,'C-01'!$D:$L,7,0),"")</f>
        <v>5275.87</v>
      </c>
      <c r="R22" s="196">
        <f>IFERROR(VLOOKUP(L22,'C-01'!$D:$L,8,0),"")</f>
        <v>7842.89</v>
      </c>
      <c r="S22" s="197">
        <f>IFERROR(VLOOKUP(L22,'C-01'!$D:$L,9,0),"")</f>
        <v>7842.89</v>
      </c>
      <c r="T22" s="198">
        <f>IFS('Painel Geral'!$B$5="Mediana",IFERROR(IF(OR(C22="",Q22=0,Q22=""),"",($C22/$Q22)),""),'Painel Geral'!$B$5="Menor Salário",IFERROR(IF(OR(C22="",Q22=0,Q22=""),"",($C22/$N22)),""),'Painel Geral'!$B$5="1º Quartil",IFERROR(IF(OR(C22="",Q22=0,Q22=""),"",($C22/$O22)),""), 'Painel Geral'!$B$5="Média",IFERROR(IF(OR(C22="",Q22=0,Q22=""),"",($C22/$P22)),""),'Painel Geral'!$B$5="3º Quartil",IFERROR(IF(OR(C22="",Q22=0,Q22=""),"",($C22/$R22)),""),'Painel Geral'!$B$5="Maior Salário",IFERROR(IF(OR(C22="",Q22=0,Q22=""),"",($C22/$S22)),""))</f>
        <v>0.7164695112</v>
      </c>
      <c r="U22" s="199" t="str">
        <f t="shared" si="3"/>
        <v>Muito Defasado</v>
      </c>
      <c r="V22" s="201"/>
      <c r="W22" s="201"/>
      <c r="X22" s="201"/>
      <c r="Y22" s="201"/>
      <c r="Z22" s="201"/>
      <c r="AA22" s="201"/>
      <c r="AB22" s="201"/>
      <c r="AC22" s="201"/>
      <c r="AD22" s="201"/>
      <c r="AE22" s="201"/>
      <c r="AF22" s="201"/>
      <c r="AG22" s="201"/>
      <c r="AH22" s="201"/>
      <c r="AI22" s="201"/>
      <c r="AJ22" s="201"/>
      <c r="AK22" s="223">
        <v>-0.21</v>
      </c>
      <c r="AL22" s="220">
        <f t="shared" si="4"/>
        <v>0.9979</v>
      </c>
      <c r="AM22" s="220">
        <f t="shared" si="5"/>
        <v>1.00229558</v>
      </c>
      <c r="AN22" s="201"/>
      <c r="AO22" s="201"/>
      <c r="AP22" s="201"/>
    </row>
    <row r="23" ht="15.75" customHeight="1">
      <c r="A23" s="184" t="s">
        <v>45</v>
      </c>
      <c r="B23" s="185" t="str">
        <f>VLOOKUP(A23,Jobmatch!A:G,2,0)</f>
        <v>ANALISTA DE PÓS VENDAS II</v>
      </c>
      <c r="C23" s="186">
        <f>IFERROR(AVERAGEIF('Folha de Pagamento'!A:A,A23,'Folha de Pagamento'!J:J),"")</f>
        <v>4550</v>
      </c>
      <c r="D23" s="187">
        <v>9.0</v>
      </c>
      <c r="E23" s="185" t="str">
        <f>VLOOKUP(A23,Jobmatch!A:H,3,0)</f>
        <v>Pós Vendas</v>
      </c>
      <c r="F23" s="188" t="s">
        <v>365</v>
      </c>
      <c r="G23" s="190" t="str">
        <f>VLOOKUP(A23,Jobmatch!A:I,4,0)</f>
        <v>14 - ADM PROJETOS</v>
      </c>
      <c r="H23" s="191" t="str">
        <f>VLOOKUP(A23,Jobmatch!A:I,5,0)</f>
        <v>Operacional</v>
      </c>
      <c r="I23" s="192">
        <f>VLOOKUP(A23,Jobmatch!A:I,6,0)</f>
        <v>19</v>
      </c>
      <c r="J23" s="190" t="str">
        <f>VLOOKUP(A23,Jobmatch!A:I,7,0)</f>
        <v>Analista Comercial</v>
      </c>
      <c r="K23" s="193" t="str">
        <f>VLOOKUP(A23,Jobmatch!A:I,8,0)</f>
        <v>Pleno</v>
      </c>
      <c r="L23" s="194" t="str">
        <f t="shared" si="2"/>
        <v>19Pleno</v>
      </c>
      <c r="M23" s="195">
        <f>COUNTIF('Folha de Pagamento'!A:A,A23)</f>
        <v>1</v>
      </c>
      <c r="N23" s="217">
        <v>15.0</v>
      </c>
      <c r="O23" s="196">
        <f>IFERROR(VLOOKUP(L23,'C-01'!$D:$L,5,0),"")</f>
        <v>4898.28</v>
      </c>
      <c r="P23" s="196">
        <f>IFERROR(VLOOKUP(L23,'C-01'!$D:$L,6,0),"")</f>
        <v>5747.37</v>
      </c>
      <c r="Q23" s="196">
        <f>IFERROR(VLOOKUP(L23,'C-01'!$D:$L,7,0),"")</f>
        <v>5320.06</v>
      </c>
      <c r="R23" s="196">
        <f>IFERROR(VLOOKUP(L23,'C-01'!$D:$L,8,0),"")</f>
        <v>6382.81</v>
      </c>
      <c r="S23" s="197">
        <f>IFERROR(VLOOKUP(L23,'C-01'!$D:$L,9,0),"")</f>
        <v>7445.55</v>
      </c>
      <c r="T23" s="198">
        <f>IFS('Painel Geral'!$B$5="Mediana",IFERROR(IF(OR(C23="",Q23=0,Q23=""),"",($C23/$Q23)),""),'Painel Geral'!$B$5="Menor Salário",IFERROR(IF(OR(C23="",Q23=0,Q23=""),"",($C23/$N23)),""),'Painel Geral'!$B$5="1º Quartil",IFERROR(IF(OR(C23="",Q23=0,Q23=""),"",($C23/$O23)),""), 'Painel Geral'!$B$5="Média",IFERROR(IF(OR(C23="",Q23=0,Q23=""),"",($C23/$P23)),""),'Painel Geral'!$B$5="3º Quartil",IFERROR(IF(OR(C23="",Q23=0,Q23=""),"",($C23/$R23)),""),'Painel Geral'!$B$5="Maior Salário",IFERROR(IF(OR(C23="",Q23=0,Q23=""),"",($C23/$S23)),""))</f>
        <v>0.8552535122</v>
      </c>
      <c r="U23" s="199" t="str">
        <f t="shared" si="3"/>
        <v>Defasado</v>
      </c>
      <c r="V23" s="201"/>
      <c r="W23" s="201"/>
      <c r="X23" s="201"/>
      <c r="Y23" s="201"/>
      <c r="Z23" s="201"/>
      <c r="AA23" s="201"/>
      <c r="AB23" s="201"/>
      <c r="AC23" s="201"/>
      <c r="AD23" s="201"/>
      <c r="AE23" s="201"/>
      <c r="AF23" s="201"/>
      <c r="AG23" s="201"/>
      <c r="AH23" s="201"/>
      <c r="AI23" s="201"/>
      <c r="AJ23" s="201"/>
      <c r="AK23" s="223">
        <v>0.52</v>
      </c>
      <c r="AL23" s="220">
        <f t="shared" si="4"/>
        <v>1.0052</v>
      </c>
      <c r="AM23" s="220">
        <f t="shared" si="5"/>
        <v>1.007507517</v>
      </c>
      <c r="AN23" s="201"/>
      <c r="AO23" s="201"/>
      <c r="AP23" s="201"/>
    </row>
    <row r="24" ht="15.75" customHeight="1">
      <c r="A24" s="184" t="s">
        <v>51</v>
      </c>
      <c r="B24" s="185" t="str">
        <f>VLOOKUP(A24,Jobmatch!A:G,2,0)</f>
        <v>ANALISTA FINANCEIRO COMERCIAL III</v>
      </c>
      <c r="C24" s="186">
        <f>IFERROR(AVERAGEIF('Folha de Pagamento'!A:A,A24,'Folha de Pagamento'!J:J),"")</f>
        <v>5213</v>
      </c>
      <c r="D24" s="187">
        <v>6.0</v>
      </c>
      <c r="E24" s="185" t="str">
        <f>VLOOKUP(A24,Jobmatch!A:H,3,0)</f>
        <v>Financeiro</v>
      </c>
      <c r="F24" s="188" t="s">
        <v>351</v>
      </c>
      <c r="G24" s="190" t="str">
        <f>VLOOKUP(A24,Jobmatch!A:I,4,0)</f>
        <v>16 - ADM PROJETOS</v>
      </c>
      <c r="H24" s="191" t="str">
        <f>VLOOKUP(A24,Jobmatch!A:I,5,0)</f>
        <v>Operacional</v>
      </c>
      <c r="I24" s="192">
        <f>VLOOKUP(A24,Jobmatch!A:I,6,0)</f>
        <v>16</v>
      </c>
      <c r="J24" s="190" t="str">
        <f>VLOOKUP(A24,Jobmatch!A:I,7,0)</f>
        <v>Analista Financeiro</v>
      </c>
      <c r="K24" s="193" t="str">
        <f>VLOOKUP(A24,Jobmatch!A:I,8,0)</f>
        <v>Sênior</v>
      </c>
      <c r="L24" s="194" t="str">
        <f t="shared" si="2"/>
        <v>16Sênior</v>
      </c>
      <c r="M24" s="195">
        <f>COUNTIF('Folha de Pagamento'!A:A,A24)</f>
        <v>1</v>
      </c>
      <c r="N24" s="216">
        <v>15.0</v>
      </c>
      <c r="O24" s="196">
        <f>IFERROR(VLOOKUP(L24,'C-01'!$D:$L,5,0),"")</f>
        <v>5489.27</v>
      </c>
      <c r="P24" s="196">
        <f>IFERROR(VLOOKUP(L24,'C-01'!$D:$L,6,0),"")</f>
        <v>6172.24</v>
      </c>
      <c r="Q24" s="196">
        <f>IFERROR(VLOOKUP(L24,'C-01'!$D:$L,7,0),"")</f>
        <v>5910.71</v>
      </c>
      <c r="R24" s="196">
        <f>IFERROR(VLOOKUP(L24,'C-01'!$D:$L,8,0),"")</f>
        <v>6737.39</v>
      </c>
      <c r="S24" s="197">
        <f>IFERROR(VLOOKUP(L24,'C-01'!$D:$L,9,0),"")</f>
        <v>8185.08</v>
      </c>
      <c r="T24" s="198">
        <f>IFS('Painel Geral'!$B$5="Mediana",IFERROR(IF(OR(C24="",Q24=0,Q24=""),"",($C24/$Q24)),""),'Painel Geral'!$B$5="Menor Salário",IFERROR(IF(OR(C24="",Q24=0,Q24=""),"",($C24/$N24)),""),'Painel Geral'!$B$5="1º Quartil",IFERROR(IF(OR(C24="",Q24=0,Q24=""),"",($C24/$O24)),""), 'Painel Geral'!$B$5="Média",IFERROR(IF(OR(C24="",Q24=0,Q24=""),"",($C24/$P24)),""),'Painel Geral'!$B$5="3º Quartil",IFERROR(IF(OR(C24="",Q24=0,Q24=""),"",($C24/$R24)),""),'Painel Geral'!$B$5="Maior Salário",IFERROR(IF(OR(C24="",Q24=0,Q24=""),"",($C24/$S24)),""))</f>
        <v>0.8819583434</v>
      </c>
      <c r="U24" s="199" t="str">
        <f t="shared" si="3"/>
        <v>Defasado</v>
      </c>
      <c r="V24" s="201"/>
      <c r="W24" s="201"/>
      <c r="X24" s="201"/>
      <c r="Y24" s="201"/>
      <c r="Z24" s="201"/>
      <c r="AA24" s="201"/>
      <c r="AB24" s="201"/>
      <c r="AC24" s="201"/>
      <c r="AD24" s="201"/>
      <c r="AE24" s="201"/>
      <c r="AF24" s="201"/>
      <c r="AG24" s="201"/>
      <c r="AH24" s="201"/>
      <c r="AI24" s="201"/>
      <c r="AJ24" s="201"/>
      <c r="AK24" s="223">
        <v>0.03</v>
      </c>
      <c r="AL24" s="220">
        <f t="shared" si="4"/>
        <v>1.0003</v>
      </c>
      <c r="AM24" s="220">
        <f t="shared" si="5"/>
        <v>1.007809769</v>
      </c>
      <c r="AN24" s="201"/>
      <c r="AO24" s="201"/>
      <c r="AP24" s="201"/>
    </row>
    <row r="25" ht="15.75" customHeight="1">
      <c r="A25" s="184" t="s">
        <v>55</v>
      </c>
      <c r="B25" s="185" t="str">
        <f>VLOOKUP(A25,Jobmatch!A:G,2,0)</f>
        <v>ANALISTA FINANCEIRO DE CAPTAÇÃO DE RECURSOS III</v>
      </c>
      <c r="C25" s="186">
        <f>IFERROR(AVERAGEIF('Folha de Pagamento'!A:A,A25,'Folha de Pagamento'!J:J),"")</f>
        <v>5213</v>
      </c>
      <c r="D25" s="187">
        <v>6.0</v>
      </c>
      <c r="E25" s="185" t="str">
        <f>VLOOKUP(A25,Jobmatch!A:H,3,0)</f>
        <v>Financeiro</v>
      </c>
      <c r="F25" s="188" t="s">
        <v>352</v>
      </c>
      <c r="G25" s="190" t="str">
        <f>VLOOKUP(A25,Jobmatch!A:I,4,0)</f>
        <v>17 - ADM PROJETOS</v>
      </c>
      <c r="H25" s="191" t="str">
        <f>VLOOKUP(A25,Jobmatch!A:I,5,0)</f>
        <v>Operacional</v>
      </c>
      <c r="I25" s="192">
        <f>VLOOKUP(A25,Jobmatch!A:I,6,0)</f>
        <v>16</v>
      </c>
      <c r="J25" s="190" t="str">
        <f>VLOOKUP(A25,Jobmatch!A:I,7,0)</f>
        <v>Analista Financeiro</v>
      </c>
      <c r="K25" s="193" t="str">
        <f>VLOOKUP(A25,Jobmatch!A:I,8,0)</f>
        <v>Sênior</v>
      </c>
      <c r="L25" s="194" t="str">
        <f t="shared" si="2"/>
        <v>16Sênior</v>
      </c>
      <c r="M25" s="195">
        <f>COUNTIF('Folha de Pagamento'!A:A,A25)</f>
        <v>1</v>
      </c>
      <c r="N25" s="216">
        <v>15.0</v>
      </c>
      <c r="O25" s="196">
        <f>IFERROR(VLOOKUP(L25,'C-01'!$D:$L,5,0),"")</f>
        <v>5489.27</v>
      </c>
      <c r="P25" s="196">
        <f>IFERROR(VLOOKUP(L25,'C-01'!$D:$L,6,0),"")</f>
        <v>6172.24</v>
      </c>
      <c r="Q25" s="196">
        <f>IFERROR(VLOOKUP(L25,'C-01'!$D:$L,7,0),"")</f>
        <v>5910.71</v>
      </c>
      <c r="R25" s="196">
        <f>IFERROR(VLOOKUP(L25,'C-01'!$D:$L,8,0),"")</f>
        <v>6737.39</v>
      </c>
      <c r="S25" s="197">
        <f>IFERROR(VLOOKUP(L25,'C-01'!$D:$L,9,0),"")</f>
        <v>8185.08</v>
      </c>
      <c r="T25" s="198">
        <f>IFS('Painel Geral'!$B$5="Mediana",IFERROR(IF(OR(C25="",Q25=0,Q25=""),"",($C25/$Q25)),""),'Painel Geral'!$B$5="Menor Salário",IFERROR(IF(OR(C25="",Q25=0,Q25=""),"",($C25/$N25)),""),'Painel Geral'!$B$5="1º Quartil",IFERROR(IF(OR(C25="",Q25=0,Q25=""),"",($C25/$O25)),""), 'Painel Geral'!$B$5="Média",IFERROR(IF(OR(C25="",Q25=0,Q25=""),"",($C25/$P25)),""),'Painel Geral'!$B$5="3º Quartil",IFERROR(IF(OR(C25="",Q25=0,Q25=""),"",($C25/$R25)),""),'Painel Geral'!$B$5="Maior Salário",IFERROR(IF(OR(C25="",Q25=0,Q25=""),"",($C25/$S25)),""))</f>
        <v>0.8819583434</v>
      </c>
      <c r="U25" s="199" t="str">
        <f t="shared" si="3"/>
        <v>Defasado</v>
      </c>
      <c r="V25" s="201"/>
      <c r="W25" s="201"/>
      <c r="X25" s="201"/>
      <c r="Y25" s="201"/>
      <c r="Z25" s="201"/>
      <c r="AA25" s="201"/>
      <c r="AB25" s="201"/>
      <c r="AC25" s="201"/>
      <c r="AD25" s="201"/>
      <c r="AE25" s="201"/>
      <c r="AF25" s="201"/>
      <c r="AG25" s="201"/>
      <c r="AH25" s="201"/>
      <c r="AI25" s="201"/>
      <c r="AJ25" s="201"/>
      <c r="AK25" s="220">
        <v>0.03</v>
      </c>
      <c r="AL25" s="220">
        <f t="shared" si="4"/>
        <v>1.0003</v>
      </c>
      <c r="AM25" s="220">
        <f t="shared" si="5"/>
        <v>1.008112112</v>
      </c>
      <c r="AN25" s="201"/>
      <c r="AO25" s="201"/>
      <c r="AP25" s="201"/>
    </row>
    <row r="26" ht="15.75" customHeight="1">
      <c r="A26" s="184" t="s">
        <v>183</v>
      </c>
      <c r="B26" s="185" t="str">
        <f>VLOOKUP(A26,Jobmatch!A:G,2,0)</f>
        <v>TECNICO ANALISTA DE CUSTOS</v>
      </c>
      <c r="C26" s="186">
        <f>IFERROR(AVERAGEIF('Folha de Pagamento'!A:A,A26,'Folha de Pagamento'!J:J),"")</f>
        <v>7000</v>
      </c>
      <c r="D26" s="187">
        <v>5.0</v>
      </c>
      <c r="E26" s="185" t="str">
        <f>VLOOKUP(A26,Jobmatch!A:H,3,0)</f>
        <v>Edificação</v>
      </c>
      <c r="F26" s="188" t="s">
        <v>349</v>
      </c>
      <c r="G26" s="190" t="str">
        <f>VLOOKUP(A26,Jobmatch!A:I,4,0)</f>
        <v>60 - ADM PROJETOS</v>
      </c>
      <c r="H26" s="191" t="str">
        <f>VLOOKUP(A26,Jobmatch!A:I,5,0)</f>
        <v>Operacional</v>
      </c>
      <c r="I26" s="192">
        <f>VLOOKUP(A26,Jobmatch!A:I,6,0)</f>
        <v>876</v>
      </c>
      <c r="J26" s="190" t="str">
        <f>VLOOKUP(A26,Jobmatch!A:I,7,0)</f>
        <v>Analista de Custos</v>
      </c>
      <c r="K26" s="193" t="str">
        <f>VLOOKUP(A26,Jobmatch!A:I,8,0)</f>
        <v>Indiferente</v>
      </c>
      <c r="L26" s="194" t="str">
        <f t="shared" si="2"/>
        <v>876Indiferente</v>
      </c>
      <c r="M26" s="195">
        <f>COUNTIF('Folha de Pagamento'!A:A,A26)</f>
        <v>3</v>
      </c>
      <c r="N26" s="217">
        <v>17.0</v>
      </c>
      <c r="O26" s="196">
        <f>IFERROR(VLOOKUP(L26,'C-01'!$D:$L,5,0),"")</f>
        <v>6868.23</v>
      </c>
      <c r="P26" s="196">
        <f>IFERROR(VLOOKUP(L26,'C-01'!$D:$L,6,0),"")</f>
        <v>7611.25</v>
      </c>
      <c r="Q26" s="196">
        <f>IFERROR(VLOOKUP(L26,'C-01'!$D:$L,7,0),"")</f>
        <v>7320.76</v>
      </c>
      <c r="R26" s="196">
        <f>IFERROR(VLOOKUP(L26,'C-01'!$D:$L,8,0),"")</f>
        <v>8153.71</v>
      </c>
      <c r="S26" s="197">
        <f>IFERROR(VLOOKUP(L26,'C-01'!$D:$L,9,0),"")</f>
        <v>9161.15</v>
      </c>
      <c r="T26" s="198">
        <f>IFS('Painel Geral'!$B$5="Mediana",IFERROR(IF(OR(C26="",Q26=0,Q26=""),"",($C26/$Q26)),""),'Painel Geral'!$B$5="Menor Salário",IFERROR(IF(OR(C26="",Q26=0,Q26=""),"",($C26/$N26)),""),'Painel Geral'!$B$5="1º Quartil",IFERROR(IF(OR(C26="",Q26=0,Q26=""),"",($C26/$O26)),""), 'Painel Geral'!$B$5="Média",IFERROR(IF(OR(C26="",Q26=0,Q26=""),"",($C26/$P26)),""),'Painel Geral'!$B$5="3º Quartil",IFERROR(IF(OR(C26="",Q26=0,Q26=""),"",($C26/$R26)),""),'Painel Geral'!$B$5="Maior Salário",IFERROR(IF(OR(C26="",Q26=0,Q26=""),"",($C26/$S26)),""))</f>
        <v>0.956184877</v>
      </c>
      <c r="U26" s="199" t="str">
        <f t="shared" si="3"/>
        <v>Na Média</v>
      </c>
      <c r="V26" s="201"/>
      <c r="W26" s="201"/>
      <c r="X26" s="201"/>
      <c r="Y26" s="201"/>
      <c r="Z26" s="201"/>
      <c r="AA26" s="201"/>
      <c r="AB26" s="201"/>
      <c r="AC26" s="201"/>
      <c r="AD26" s="201"/>
      <c r="AE26" s="201"/>
      <c r="AF26" s="201"/>
      <c r="AG26" s="201"/>
      <c r="AH26" s="201"/>
      <c r="AI26" s="201"/>
      <c r="AJ26" s="201"/>
      <c r="AK26" s="220"/>
      <c r="AL26" s="220"/>
      <c r="AM26" s="220"/>
      <c r="AN26" s="201"/>
      <c r="AO26" s="201"/>
      <c r="AP26" s="201"/>
    </row>
    <row r="27" ht="15.75" customHeight="1">
      <c r="A27" s="184" t="s">
        <v>125</v>
      </c>
      <c r="B27" s="185" t="str">
        <f>VLOOKUP(A27,Jobmatch!A:G,2,0)</f>
        <v>ENCARREGADO OBRAS/MANUTENCAO</v>
      </c>
      <c r="C27" s="186">
        <f>IFERROR(AVERAGEIF('Folha de Pagamento'!A:A,A27,'Folha de Pagamento'!J:J),"")</f>
        <v>8714</v>
      </c>
      <c r="D27" s="187">
        <v>5.0</v>
      </c>
      <c r="E27" s="185" t="str">
        <f>VLOOKUP(A27,Jobmatch!A:H,3,0)</f>
        <v>Edificação</v>
      </c>
      <c r="F27" s="188" t="s">
        <v>346</v>
      </c>
      <c r="G27" s="190" t="str">
        <f>VLOOKUP(A27,Jobmatch!A:I,4,0)</f>
        <v>42 - ADM PROJETOS</v>
      </c>
      <c r="H27" s="191" t="str">
        <f>VLOOKUP(A27,Jobmatch!A:I,5,0)</f>
        <v>Operacional</v>
      </c>
      <c r="I27" s="192">
        <f>VLOOKUP(A27,Jobmatch!A:I,6,0)</f>
        <v>470</v>
      </c>
      <c r="J27" s="190" t="str">
        <f>VLOOKUP(A27,Jobmatch!A:I,7,0)</f>
        <v>Mestre de Obras</v>
      </c>
      <c r="K27" s="193" t="str">
        <f>VLOOKUP(A27,Jobmatch!A:I,8,0)</f>
        <v>Indiferente</v>
      </c>
      <c r="L27" s="194" t="str">
        <f t="shared" si="2"/>
        <v>470Indiferente</v>
      </c>
      <c r="M27" s="195">
        <f>COUNTIF('Folha de Pagamento'!A:A,A27)</f>
        <v>1</v>
      </c>
      <c r="N27" s="217">
        <v>17.0</v>
      </c>
      <c r="O27" s="196">
        <f>IFERROR(VLOOKUP(L27,'C-01'!$D:$L,5,0),"")</f>
        <v>5530.26</v>
      </c>
      <c r="P27" s="196">
        <f>IFERROR(VLOOKUP(L27,'C-01'!$D:$L,6,0),"")</f>
        <v>7689.13</v>
      </c>
      <c r="Q27" s="196">
        <f>IFERROR(VLOOKUP(L27,'C-01'!$D:$L,7,0),"")</f>
        <v>7460.82</v>
      </c>
      <c r="R27" s="196">
        <f>IFERROR(VLOOKUP(L27,'C-01'!$D:$L,8,0),"")</f>
        <v>9785.54</v>
      </c>
      <c r="S27" s="197">
        <f>IFERROR(VLOOKUP(L27,'C-01'!$D:$L,9,0),"")</f>
        <v>11138.95</v>
      </c>
      <c r="T27" s="198">
        <f>IFS('Painel Geral'!$B$5="Mediana",IFERROR(IF(OR(C27="",Q27=0,Q27=""),"",($C27/$Q27)),""),'Painel Geral'!$B$5="Menor Salário",IFERROR(IF(OR(C27="",Q27=0,Q27=""),"",($C27/$N27)),""),'Painel Geral'!$B$5="1º Quartil",IFERROR(IF(OR(C27="",Q27=0,Q27=""),"",($C27/$O27)),""), 'Painel Geral'!$B$5="Média",IFERROR(IF(OR(C27="",Q27=0,Q27=""),"",($C27/$P27)),""),'Painel Geral'!$B$5="3º Quartil",IFERROR(IF(OR(C27="",Q27=0,Q27=""),"",($C27/$R27)),""),'Painel Geral'!$B$5="Maior Salário",IFERROR(IF(OR(C27="",Q27=0,Q27=""),"",($C27/$S27)),""))</f>
        <v>1.167968132</v>
      </c>
      <c r="U27" s="199" t="str">
        <f t="shared" si="3"/>
        <v>Muito Competitivo</v>
      </c>
      <c r="V27" s="201"/>
      <c r="W27" s="201"/>
      <c r="X27" s="201"/>
      <c r="Y27" s="201"/>
      <c r="Z27" s="201"/>
      <c r="AA27" s="201"/>
      <c r="AB27" s="201"/>
      <c r="AC27" s="201"/>
      <c r="AD27" s="201"/>
      <c r="AE27" s="201"/>
      <c r="AF27" s="201"/>
      <c r="AG27" s="201"/>
      <c r="AH27" s="201"/>
      <c r="AI27" s="201"/>
      <c r="AJ27" s="201"/>
      <c r="AK27" s="201"/>
      <c r="AL27" s="201"/>
      <c r="AM27" s="201"/>
      <c r="AN27" s="224">
        <f>AM25</f>
        <v>1.008112112</v>
      </c>
      <c r="AO27" s="201"/>
      <c r="AP27" s="201"/>
    </row>
    <row r="28" ht="15.75" customHeight="1">
      <c r="A28" s="184" t="s">
        <v>123</v>
      </c>
      <c r="B28" s="185" t="str">
        <f>VLOOKUP(A28,Jobmatch!A:G,2,0)</f>
        <v>ENCARREGADO DE OBRAS</v>
      </c>
      <c r="C28" s="186">
        <f>IFERROR(AVERAGEIF('Folha de Pagamento'!A:A,A28,'Folha de Pagamento'!J:J),"")</f>
        <v>10000.5</v>
      </c>
      <c r="D28" s="187">
        <v>10.0</v>
      </c>
      <c r="E28" s="185" t="str">
        <f>VLOOKUP(A28,Jobmatch!A:H,3,0)</f>
        <v>Urbanismo</v>
      </c>
      <c r="F28" s="188" t="s">
        <v>372</v>
      </c>
      <c r="G28" s="190" t="str">
        <f>VLOOKUP(A28,Jobmatch!A:I,4,0)</f>
        <v>41 - ADM PROJETOS</v>
      </c>
      <c r="H28" s="191" t="str">
        <f>VLOOKUP(A28,Jobmatch!A:I,5,0)</f>
        <v>Operacional</v>
      </c>
      <c r="I28" s="192">
        <f>VLOOKUP(A28,Jobmatch!A:I,6,0)</f>
        <v>470</v>
      </c>
      <c r="J28" s="190" t="str">
        <f>VLOOKUP(A28,Jobmatch!A:I,7,0)</f>
        <v>Mestre de Obras</v>
      </c>
      <c r="K28" s="193" t="str">
        <f>VLOOKUP(A28,Jobmatch!A:I,8,0)</f>
        <v>Indiferente</v>
      </c>
      <c r="L28" s="194" t="str">
        <f t="shared" si="2"/>
        <v>470Indiferente</v>
      </c>
      <c r="M28" s="195">
        <f>COUNTIF('Folha de Pagamento'!A:A,A28)</f>
        <v>2</v>
      </c>
      <c r="N28" s="217">
        <v>17.0</v>
      </c>
      <c r="O28" s="196">
        <f>IFERROR(VLOOKUP(L28,'C-01'!$D:$L,5,0),"")</f>
        <v>5530.26</v>
      </c>
      <c r="P28" s="196">
        <f>IFERROR(VLOOKUP(L28,'C-01'!$D:$L,6,0),"")</f>
        <v>7689.13</v>
      </c>
      <c r="Q28" s="196">
        <f>IFERROR(VLOOKUP(L28,'C-01'!$D:$L,7,0),"")</f>
        <v>7460.82</v>
      </c>
      <c r="R28" s="196">
        <f>IFERROR(VLOOKUP(L28,'C-01'!$D:$L,8,0),"")</f>
        <v>9785.54</v>
      </c>
      <c r="S28" s="197">
        <f>IFERROR(VLOOKUP(L28,'C-01'!$D:$L,9,0),"")</f>
        <v>11138.95</v>
      </c>
      <c r="T28" s="198">
        <f>IFS('Painel Geral'!$B$5="Mediana",IFERROR(IF(OR(C28="",Q28=0,Q28=""),"",($C28/$Q28)),""),'Painel Geral'!$B$5="Menor Salário",IFERROR(IF(OR(C28="",Q28=0,Q28=""),"",($C28/$N28)),""),'Painel Geral'!$B$5="1º Quartil",IFERROR(IF(OR(C28="",Q28=0,Q28=""),"",($C28/$O28)),""), 'Painel Geral'!$B$5="Média",IFERROR(IF(OR(C28="",Q28=0,Q28=""),"",($C28/$P28)),""),'Painel Geral'!$B$5="3º Quartil",IFERROR(IF(OR(C28="",Q28=0,Q28=""),"",($C28/$R28)),""),'Painel Geral'!$B$5="Maior Salário",IFERROR(IF(OR(C28="",Q28=0,Q28=""),"",($C28/$S28)),""))</f>
        <v>1.340402261</v>
      </c>
      <c r="U28" s="199" t="str">
        <f t="shared" si="3"/>
        <v>Agressivo</v>
      </c>
      <c r="V28" s="201"/>
      <c r="W28" s="201"/>
      <c r="X28" s="201"/>
      <c r="Y28" s="201"/>
      <c r="Z28" s="201"/>
      <c r="AA28" s="201"/>
      <c r="AB28" s="201"/>
      <c r="AC28" s="201"/>
      <c r="AD28" s="201"/>
      <c r="AE28" s="201"/>
      <c r="AF28" s="201"/>
      <c r="AG28" s="201"/>
      <c r="AH28" s="201"/>
      <c r="AI28" s="201"/>
      <c r="AJ28" s="201"/>
      <c r="AK28" s="201"/>
      <c r="AL28" s="201"/>
      <c r="AM28" s="201"/>
      <c r="AN28" s="201"/>
      <c r="AO28" s="201"/>
      <c r="AP28" s="201"/>
    </row>
    <row r="29" ht="15.75" customHeight="1">
      <c r="A29" s="184" t="s">
        <v>115</v>
      </c>
      <c r="B29" s="185" t="str">
        <f>VLOOKUP(A29,Jobmatch!A:G,2,0)</f>
        <v>COORDENADOR FINANCEIRO</v>
      </c>
      <c r="C29" s="186">
        <f>IFERROR(AVERAGEIF('Folha de Pagamento'!A:A,A29,'Folha de Pagamento'!J:J),"")</f>
        <v>7947.019868</v>
      </c>
      <c r="D29" s="187">
        <v>6.0</v>
      </c>
      <c r="E29" s="185" t="str">
        <f>VLOOKUP(A29,Jobmatch!A:H,3,0)</f>
        <v>Financeiro</v>
      </c>
      <c r="F29" s="188" t="s">
        <v>276</v>
      </c>
      <c r="G29" s="190" t="str">
        <f>VLOOKUP(A29,Jobmatch!A:I,4,0)</f>
        <v>39 - ADM PROJETOS</v>
      </c>
      <c r="H29" s="191" t="str">
        <f>VLOOKUP(A29,Jobmatch!A:I,5,0)</f>
        <v>Tático</v>
      </c>
      <c r="I29" s="192">
        <f>VLOOKUP(A29,Jobmatch!A:I,6,0)</f>
        <v>122</v>
      </c>
      <c r="J29" s="190" t="str">
        <f>VLOOKUP(A29,Jobmatch!A:I,7,0)</f>
        <v>Coordenador Financeiro</v>
      </c>
      <c r="K29" s="193" t="str">
        <f>VLOOKUP(A29,Jobmatch!A:I,8,0)</f>
        <v>Indiferente</v>
      </c>
      <c r="L29" s="194" t="str">
        <f t="shared" si="2"/>
        <v>122Indiferente</v>
      </c>
      <c r="M29" s="195">
        <f>COUNTIF('Folha de Pagamento'!A:A,A29)</f>
        <v>1</v>
      </c>
      <c r="N29" s="217">
        <v>17.0</v>
      </c>
      <c r="O29" s="196">
        <f>IFERROR(VLOOKUP(L29,'C-01'!$D:$L,5,0),"")</f>
        <v>6325.01</v>
      </c>
      <c r="P29" s="196">
        <f>IFERROR(VLOOKUP(L29,'C-01'!$D:$L,6,0),"")</f>
        <v>7452.59</v>
      </c>
      <c r="Q29" s="196">
        <f>IFERROR(VLOOKUP(L29,'C-01'!$D:$L,7,0),"")</f>
        <v>7558.57</v>
      </c>
      <c r="R29" s="196">
        <f>IFERROR(VLOOKUP(L29,'C-01'!$D:$L,8,0),"")</f>
        <v>8691.7</v>
      </c>
      <c r="S29" s="197">
        <f>IFERROR(VLOOKUP(L29,'C-01'!$D:$L,9,0),"")</f>
        <v>9982.25</v>
      </c>
      <c r="T29" s="198">
        <f>IFS('Painel Geral'!$B$5="Mediana",IFERROR(IF(OR(C29="",Q29=0,Q29=""),"",($C29/$Q29)),""),'Painel Geral'!$B$5="Menor Salário",IFERROR(IF(OR(C29="",Q29=0,Q29=""),"",($C29/$N29)),""),'Painel Geral'!$B$5="1º Quartil",IFERROR(IF(OR(C29="",Q29=0,Q29=""),"",($C29/$O29)),""), 'Painel Geral'!$B$5="Média",IFERROR(IF(OR(C29="",Q29=0,Q29=""),"",($C29/$P29)),""),'Painel Geral'!$B$5="3º Quartil",IFERROR(IF(OR(C29="",Q29=0,Q29=""),"",($C29/$R29)),""),'Painel Geral'!$B$5="Maior Salário",IFERROR(IF(OR(C29="",Q29=0,Q29=""),"",($C29/$S29)),""))</f>
        <v>1.051391979</v>
      </c>
      <c r="U29" s="199" t="str">
        <f t="shared" si="3"/>
        <v>Competitivo</v>
      </c>
      <c r="V29" s="201"/>
      <c r="W29" s="201"/>
      <c r="X29" s="201"/>
      <c r="Y29" s="219">
        <v>1799.0</v>
      </c>
      <c r="Z29" s="225">
        <f>Y29*AN27</f>
        <v>1813.59369</v>
      </c>
      <c r="AA29" s="226"/>
      <c r="AB29" s="221"/>
      <c r="AC29" s="221"/>
      <c r="AD29" s="201"/>
      <c r="AE29" s="201"/>
      <c r="AF29" s="201"/>
      <c r="AG29" s="201"/>
      <c r="AH29" s="201"/>
      <c r="AI29" s="201"/>
      <c r="AJ29" s="201"/>
      <c r="AK29" s="201"/>
      <c r="AL29" s="201"/>
      <c r="AM29" s="201"/>
      <c r="AN29" s="227"/>
      <c r="AO29" s="201"/>
      <c r="AP29" s="201"/>
    </row>
    <row r="30" ht="15.75" customHeight="1">
      <c r="A30" s="184" t="s">
        <v>48</v>
      </c>
      <c r="B30" s="185" t="str">
        <f>VLOOKUP(A30,Jobmatch!A:G,2,0)</f>
        <v>ANALISTA DE URBANISMO</v>
      </c>
      <c r="C30" s="186">
        <f>IFERROR(AVERAGEIF('Folha de Pagamento'!A:A,A30,'Folha de Pagamento'!J:J),"")</f>
        <v>5830</v>
      </c>
      <c r="D30" s="187">
        <v>10.0</v>
      </c>
      <c r="E30" s="185" t="str">
        <f>VLOOKUP(A30,Jobmatch!A:H,3,0)</f>
        <v>Urbanismo</v>
      </c>
      <c r="F30" s="188" t="s">
        <v>370</v>
      </c>
      <c r="G30" s="190" t="str">
        <f>VLOOKUP(A30,Jobmatch!A:I,4,0)</f>
        <v>15 - ADM PROJETOS</v>
      </c>
      <c r="H30" s="191" t="str">
        <f>VLOOKUP(A30,Jobmatch!A:I,5,0)</f>
        <v>Operacional</v>
      </c>
      <c r="I30" s="192">
        <f>VLOOKUP(A30,Jobmatch!A:I,6,0)</f>
        <v>1199</v>
      </c>
      <c r="J30" s="190" t="str">
        <f>VLOOKUP(A30,Jobmatch!A:I,7,0)</f>
        <v>Analista de Urbanismo</v>
      </c>
      <c r="K30" s="193" t="str">
        <f>VLOOKUP(A30,Jobmatch!A:I,8,0)</f>
        <v>Indiferente</v>
      </c>
      <c r="L30" s="194" t="str">
        <f t="shared" si="2"/>
        <v>1199Indiferente</v>
      </c>
      <c r="M30" s="195">
        <f>COUNTIF('Folha de Pagamento'!A:A,A30)</f>
        <v>1</v>
      </c>
      <c r="N30" s="217">
        <v>17.0</v>
      </c>
      <c r="O30" s="196">
        <f>IFERROR(VLOOKUP(L30,'C-01'!$D:$L,5,0),"")</f>
        <v>6091.54</v>
      </c>
      <c r="P30" s="196">
        <f>IFERROR(VLOOKUP(L30,'C-01'!$D:$L,6,0),"")</f>
        <v>7637.46</v>
      </c>
      <c r="Q30" s="196">
        <f>IFERROR(VLOOKUP(L30,'C-01'!$D:$L,7,0),"")</f>
        <v>7848.45</v>
      </c>
      <c r="R30" s="196">
        <f>IFERROR(VLOOKUP(L30,'C-01'!$D:$L,8,0),"")</f>
        <v>9161.15</v>
      </c>
      <c r="S30" s="197">
        <f>IFERROR(VLOOKUP(L30,'C-01'!$D:$L,9,0),"")</f>
        <v>9161.15</v>
      </c>
      <c r="T30" s="198">
        <f>IFS('Painel Geral'!$B$5="Mediana",IFERROR(IF(OR(C30="",Q30=0,Q30=""),"",($C30/$Q30)),""),'Painel Geral'!$B$5="Menor Salário",IFERROR(IF(OR(C30="",Q30=0,Q30=""),"",($C30/$N30)),""),'Painel Geral'!$B$5="1º Quartil",IFERROR(IF(OR(C30="",Q30=0,Q30=""),"",($C30/$O30)),""), 'Painel Geral'!$B$5="Média",IFERROR(IF(OR(C30="",Q30=0,Q30=""),"",($C30/$P30)),""),'Painel Geral'!$B$5="3º Quartil",IFERROR(IF(OR(C30="",Q30=0,Q30=""),"",($C30/$R30)),""),'Painel Geral'!$B$5="Maior Salário",IFERROR(IF(OR(C30="",Q30=0,Q30=""),"",($C30/$S30)),""))</f>
        <v>0.7428218311</v>
      </c>
      <c r="U30" s="199" t="str">
        <f t="shared" si="3"/>
        <v>Muito Defasado</v>
      </c>
      <c r="V30" s="201"/>
      <c r="W30" s="201"/>
      <c r="X30" s="201"/>
      <c r="Y30" s="228">
        <v>0.8</v>
      </c>
      <c r="Z30" s="229" t="s">
        <v>376</v>
      </c>
      <c r="AA30" s="228">
        <v>1.0</v>
      </c>
      <c r="AB30" s="230" t="s">
        <v>377</v>
      </c>
      <c r="AC30" s="231"/>
      <c r="AD30" s="201"/>
      <c r="AE30" s="201"/>
      <c r="AF30" s="201"/>
      <c r="AG30" s="201"/>
      <c r="AH30" s="201"/>
      <c r="AI30" s="201"/>
      <c r="AJ30" s="201"/>
      <c r="AK30" s="201"/>
      <c r="AL30" s="201"/>
      <c r="AM30" s="201"/>
      <c r="AN30" s="201"/>
      <c r="AO30" s="201"/>
      <c r="AP30" s="201"/>
    </row>
    <row r="31" ht="15.75" customHeight="1">
      <c r="A31" s="184" t="s">
        <v>106</v>
      </c>
      <c r="B31" s="185" t="str">
        <f>VLOOKUP(A31,Jobmatch!A:G,2,0)</f>
        <v>COORDENADOR DE MARKETING II</v>
      </c>
      <c r="C31" s="186">
        <f>IFERROR(AVERAGEIF('Folha de Pagamento'!A:A,A31,'Folha de Pagamento'!J:J),"")</f>
        <v>8647</v>
      </c>
      <c r="D31" s="187">
        <v>8.0</v>
      </c>
      <c r="E31" s="185" t="str">
        <f>VLOOKUP(A31,Jobmatch!A:H,3,0)</f>
        <v>Marketing</v>
      </c>
      <c r="F31" s="188" t="s">
        <v>363</v>
      </c>
      <c r="G31" s="190" t="str">
        <f>VLOOKUP(A31,Jobmatch!A:I,4,0)</f>
        <v>36 - ADM PROJETOS</v>
      </c>
      <c r="H31" s="191" t="str">
        <f>VLOOKUP(A31,Jobmatch!A:I,5,0)</f>
        <v>Tático</v>
      </c>
      <c r="I31" s="192">
        <f>VLOOKUP(A31,Jobmatch!A:I,6,0)</f>
        <v>56</v>
      </c>
      <c r="J31" s="190" t="str">
        <f>VLOOKUP(A31,Jobmatch!A:I,7,0)</f>
        <v>Coordenador de Marketing</v>
      </c>
      <c r="K31" s="193" t="str">
        <f>VLOOKUP(A31,Jobmatch!A:I,8,0)</f>
        <v>Indiferente</v>
      </c>
      <c r="L31" s="194" t="str">
        <f t="shared" si="2"/>
        <v>56Indiferente</v>
      </c>
      <c r="M31" s="195">
        <f>COUNTIF('Folha de Pagamento'!A:A,A31)</f>
        <v>1</v>
      </c>
      <c r="N31" s="217">
        <v>17.0</v>
      </c>
      <c r="O31" s="196">
        <f>IFERROR(VLOOKUP(L31,'C-01'!$D:$L,5,0),"")</f>
        <v>7141.59</v>
      </c>
      <c r="P31" s="196">
        <f>IFERROR(VLOOKUP(L31,'C-01'!$D:$L,6,0),"")</f>
        <v>7927.07</v>
      </c>
      <c r="Q31" s="196">
        <f>IFERROR(VLOOKUP(L31,'C-01'!$D:$L,7,0),"")</f>
        <v>7958.59</v>
      </c>
      <c r="R31" s="196">
        <f>IFERROR(VLOOKUP(L31,'C-01'!$D:$L,8,0),"")</f>
        <v>8825.19</v>
      </c>
      <c r="S31" s="197">
        <f>IFERROR(VLOOKUP(L31,'C-01'!$D:$L,9,0),"")</f>
        <v>10531.61</v>
      </c>
      <c r="T31" s="198">
        <f>IFS('Painel Geral'!$B$5="Mediana",IFERROR(IF(OR(C31="",Q31=0,Q31=""),"",($C31/$Q31)),""),'Painel Geral'!$B$5="Menor Salário",IFERROR(IF(OR(C31="",Q31=0,Q31=""),"",($C31/$N31)),""),'Painel Geral'!$B$5="1º Quartil",IFERROR(IF(OR(C31="",Q31=0,Q31=""),"",($C31/$O31)),""), 'Painel Geral'!$B$5="Média",IFERROR(IF(OR(C31="",Q31=0,Q31=""),"",($C31/$P31)),""),'Painel Geral'!$B$5="3º Quartil",IFERROR(IF(OR(C31="",Q31=0,Q31=""),"",($C31/$R31)),""),'Painel Geral'!$B$5="Maior Salário",IFERROR(IF(OR(C31="",Q31=0,Q31=""),"",($C31/$S31)),""))</f>
        <v>1.08649899</v>
      </c>
      <c r="U31" s="199" t="str">
        <f t="shared" si="3"/>
        <v>Competitivo</v>
      </c>
      <c r="V31" s="201"/>
      <c r="W31" s="201"/>
      <c r="X31" s="201"/>
      <c r="Y31" s="220">
        <f>AA31*0.8</f>
        <v>1867.2</v>
      </c>
      <c r="Z31" s="232">
        <v>10.0</v>
      </c>
      <c r="AA31" s="233">
        <f t="shared" ref="AA31:AA49" si="6">-4466+1611*Z31-155*Z31*Z31+6.19*Z31*Z31*Z31</f>
        <v>2334</v>
      </c>
      <c r="AB31" s="234"/>
      <c r="AC31" s="235"/>
      <c r="AD31" s="201"/>
      <c r="AE31" s="201"/>
      <c r="AF31" s="201"/>
      <c r="AG31" s="201"/>
      <c r="AH31" s="201"/>
      <c r="AI31" s="201"/>
      <c r="AJ31" s="201"/>
      <c r="AK31" s="201"/>
      <c r="AL31" s="201"/>
      <c r="AM31" s="201"/>
      <c r="AN31" s="201">
        <f>AN29/AN27</f>
        <v>0</v>
      </c>
      <c r="AO31" s="201"/>
      <c r="AP31" s="201"/>
    </row>
    <row r="32" ht="15.75" customHeight="1">
      <c r="A32" s="184" t="s">
        <v>104</v>
      </c>
      <c r="B32" s="185" t="str">
        <f>VLOOKUP(A32,Jobmatch!A:G,2,0)</f>
        <v>COORDENADOR DE LEGAIZAÇÃO ll</v>
      </c>
      <c r="C32" s="186">
        <f>IFERROR(AVERAGEIF('Folha de Pagamento'!A:A,A32,'Folha de Pagamento'!J:J),"")</f>
        <v>8647</v>
      </c>
      <c r="D32" s="187">
        <v>7.0</v>
      </c>
      <c r="E32" s="185" t="str">
        <f>VLOOKUP(A32,Jobmatch!A:H,3,0)</f>
        <v>Legalização </v>
      </c>
      <c r="F32" s="188" t="s">
        <v>359</v>
      </c>
      <c r="G32" s="190" t="str">
        <f>VLOOKUP(A32,Jobmatch!A:I,4,0)</f>
        <v>35 - ADM PROJETOS</v>
      </c>
      <c r="H32" s="191" t="str">
        <f>VLOOKUP(A32,Jobmatch!A:I,5,0)</f>
        <v>Tático</v>
      </c>
      <c r="I32" s="192">
        <f>VLOOKUP(A32,Jobmatch!A:I,6,0)</f>
        <v>1203</v>
      </c>
      <c r="J32" s="190" t="str">
        <f>VLOOKUP(A32,Jobmatch!A:I,7,0)</f>
        <v>Coordenador de Legalização</v>
      </c>
      <c r="K32" s="193" t="str">
        <f>VLOOKUP(A32,Jobmatch!A:I,8,0)</f>
        <v>Indiferente</v>
      </c>
      <c r="L32" s="194" t="str">
        <f t="shared" si="2"/>
        <v>1203Indiferente</v>
      </c>
      <c r="M32" s="195">
        <f>COUNTIF('Folha de Pagamento'!A:A,A32)</f>
        <v>1</v>
      </c>
      <c r="N32" s="216">
        <v>17.0</v>
      </c>
      <c r="O32" s="196">
        <f>IFERROR(VLOOKUP(L32,'C-01'!$D:$L,5,0),"")</f>
        <v>8783.31</v>
      </c>
      <c r="P32" s="196">
        <f>IFERROR(VLOOKUP(L32,'C-01'!$D:$L,6,0),"")</f>
        <v>8872.04</v>
      </c>
      <c r="Q32" s="196">
        <f>IFERROR(VLOOKUP(L32,'C-01'!$D:$L,7,0),"")</f>
        <v>8872.04</v>
      </c>
      <c r="R32" s="196">
        <f>IFERROR(VLOOKUP(L32,'C-01'!$D:$L,8,0),"")</f>
        <v>8960.78</v>
      </c>
      <c r="S32" s="197">
        <f>IFERROR(VLOOKUP(L32,'C-01'!$D:$L,9,0),"")</f>
        <v>9049.51</v>
      </c>
      <c r="T32" s="198">
        <f>IFS('Painel Geral'!$B$5="Mediana",IFERROR(IF(OR(C32="",Q32=0,Q32=""),"",($C32/$Q32)),""),'Painel Geral'!$B$5="Menor Salário",IFERROR(IF(OR(C32="",Q32=0,Q32=""),"",($C32/$N32)),""),'Painel Geral'!$B$5="1º Quartil",IFERROR(IF(OR(C32="",Q32=0,Q32=""),"",($C32/$O32)),""), 'Painel Geral'!$B$5="Média",IFERROR(IF(OR(C32="",Q32=0,Q32=""),"",($C32/$P32)),""),'Painel Geral'!$B$5="3º Quartil",IFERROR(IF(OR(C32="",Q32=0,Q32=""),"",($C32/$R32)),""),'Painel Geral'!$B$5="Maior Salário",IFERROR(IF(OR(C32="",Q32=0,Q32=""),"",($C32/$S32)),""))</f>
        <v>0.9746349205</v>
      </c>
      <c r="U32" s="199" t="str">
        <f t="shared" si="3"/>
        <v>Na Média</v>
      </c>
      <c r="V32" s="201"/>
      <c r="W32" s="201"/>
      <c r="X32" s="201"/>
      <c r="Y32" s="201"/>
      <c r="Z32" s="232">
        <v>11.0</v>
      </c>
      <c r="AA32" s="233">
        <f t="shared" si="6"/>
        <v>2738.89</v>
      </c>
      <c r="AB32" s="224">
        <f t="shared" ref="AB32:AB49" si="7">(AA32-AA31)/AA31</f>
        <v>0.1734747215</v>
      </c>
      <c r="AC32" s="235"/>
      <c r="AD32" s="201"/>
      <c r="AE32" s="201"/>
      <c r="AF32" s="201"/>
      <c r="AG32" s="201"/>
      <c r="AH32" s="201"/>
      <c r="AI32" s="201"/>
      <c r="AJ32" s="201"/>
      <c r="AK32" s="201"/>
      <c r="AL32" s="201"/>
      <c r="AM32" s="201"/>
      <c r="AN32" s="201"/>
      <c r="AO32" s="201"/>
      <c r="AP32" s="201"/>
    </row>
    <row r="33" ht="15.75" customHeight="1">
      <c r="A33" s="184" t="s">
        <v>146</v>
      </c>
      <c r="B33" s="185" t="str">
        <f>VLOOKUP(A33,Jobmatch!A:G,2,0)</f>
        <v>GERENTE ADMINISTRATIVA </v>
      </c>
      <c r="C33" s="186">
        <f>IFERROR(AVERAGEIF('Folha de Pagamento'!A:A,A33,'Folha de Pagamento'!J:J),"")</f>
        <v>12242.42424</v>
      </c>
      <c r="D33" s="187">
        <v>1.0</v>
      </c>
      <c r="E33" s="185" t="str">
        <f>VLOOKUP(A33,Jobmatch!A:H,3,0)</f>
        <v>Administrativo</v>
      </c>
      <c r="F33" s="188" t="s">
        <v>331</v>
      </c>
      <c r="G33" s="190" t="str">
        <f>VLOOKUP(A33,Jobmatch!A:I,4,0)</f>
        <v>49 - ADM PROJETOS</v>
      </c>
      <c r="H33" s="191" t="str">
        <f>VLOOKUP(A33,Jobmatch!A:I,5,0)</f>
        <v>Tático</v>
      </c>
      <c r="I33" s="192">
        <f>VLOOKUP(A33,Jobmatch!A:I,6,0)</f>
        <v>106</v>
      </c>
      <c r="J33" s="190" t="str">
        <f>VLOOKUP(A33,Jobmatch!A:I,7,0)</f>
        <v>Gerente Administrativo</v>
      </c>
      <c r="K33" s="193" t="str">
        <f>VLOOKUP(A33,Jobmatch!A:I,8,0)</f>
        <v>Indiferente</v>
      </c>
      <c r="L33" s="194" t="str">
        <f t="shared" si="2"/>
        <v>106Indiferente</v>
      </c>
      <c r="M33" s="195">
        <f>COUNTIF('Folha de Pagamento'!A:A,A33)</f>
        <v>2</v>
      </c>
      <c r="N33" s="216">
        <v>17.0</v>
      </c>
      <c r="O33" s="196">
        <f>IFERROR(VLOOKUP(L33,'C-01'!$D:$L,5,0),"")</f>
        <v>6616.13</v>
      </c>
      <c r="P33" s="196">
        <f>IFERROR(VLOOKUP(L33,'C-01'!$D:$L,6,0),"")</f>
        <v>9881.52</v>
      </c>
      <c r="Q33" s="196">
        <f>IFERROR(VLOOKUP(L33,'C-01'!$D:$L,7,0),"")</f>
        <v>10052.23</v>
      </c>
      <c r="R33" s="196">
        <f>IFERROR(VLOOKUP(L33,'C-01'!$D:$L,8,0),"")</f>
        <v>12479.94</v>
      </c>
      <c r="S33" s="197">
        <f>IFERROR(VLOOKUP(L33,'C-01'!$D:$L,9,0),"")</f>
        <v>15257.82</v>
      </c>
      <c r="T33" s="198">
        <f>IFS('Painel Geral'!$B$5="Mediana",IFERROR(IF(OR(C33="",Q33=0,Q33=""),"",($C33/$Q33)),""),'Painel Geral'!$B$5="Menor Salário",IFERROR(IF(OR(C33="",Q33=0,Q33=""),"",($C33/$N33)),""),'Painel Geral'!$B$5="1º Quartil",IFERROR(IF(OR(C33="",Q33=0,Q33=""),"",($C33/$O33)),""), 'Painel Geral'!$B$5="Média",IFERROR(IF(OR(C33="",Q33=0,Q33=""),"",($C33/$P33)),""),'Painel Geral'!$B$5="3º Quartil",IFERROR(IF(OR(C33="",Q33=0,Q33=""),"",($C33/$R33)),""),'Painel Geral'!$B$5="Maior Salário",IFERROR(IF(OR(C33="",Q33=0,Q33=""),"",($C33/$S33)),""))</f>
        <v>1.21788143</v>
      </c>
      <c r="U33" s="199" t="str">
        <f t="shared" si="3"/>
        <v>Agressivo</v>
      </c>
      <c r="V33" s="201"/>
      <c r="W33" s="201"/>
      <c r="X33" s="201"/>
      <c r="Y33" s="201"/>
      <c r="Z33" s="232">
        <v>12.0</v>
      </c>
      <c r="AA33" s="233">
        <f t="shared" si="6"/>
        <v>3242.32</v>
      </c>
      <c r="AB33" s="224">
        <f t="shared" si="7"/>
        <v>0.183808039</v>
      </c>
      <c r="AC33" s="235"/>
      <c r="AD33" s="201"/>
      <c r="AE33" s="201"/>
      <c r="AF33" s="201"/>
      <c r="AG33" s="201"/>
      <c r="AH33" s="201"/>
      <c r="AI33" s="201"/>
      <c r="AJ33" s="201"/>
      <c r="AK33" s="201"/>
      <c r="AL33" s="201"/>
      <c r="AM33" s="201"/>
      <c r="AN33" s="201"/>
      <c r="AO33" s="201"/>
      <c r="AP33" s="201"/>
    </row>
    <row r="34" ht="15.75" customHeight="1">
      <c r="A34" s="184" t="s">
        <v>166</v>
      </c>
      <c r="B34" s="185" t="str">
        <f>VLOOKUP(A34,Jobmatch!A:G,2,0)</f>
        <v>GERENTE DE PARCERIAS</v>
      </c>
      <c r="C34" s="186">
        <f>IFERROR(AVERAGEIF('Folha de Pagamento'!A:A,A34,'Folha de Pagamento'!J:J),"")</f>
        <v>5345</v>
      </c>
      <c r="D34" s="187">
        <v>2.0</v>
      </c>
      <c r="E34" s="185" t="str">
        <f>VLOOKUP(A34,Jobmatch!A:H,3,0)</f>
        <v>Comercial</v>
      </c>
      <c r="F34" s="188" t="s">
        <v>335</v>
      </c>
      <c r="G34" s="190" t="str">
        <f>VLOOKUP(A34,Jobmatch!A:I,4,0)</f>
        <v>55 - ADM PROJETOS</v>
      </c>
      <c r="H34" s="191" t="str">
        <f>VLOOKUP(A34,Jobmatch!A:I,5,0)</f>
        <v>Tático</v>
      </c>
      <c r="I34" s="192">
        <f>VLOOKUP(A34,Jobmatch!A:I,6,0)</f>
        <v>408</v>
      </c>
      <c r="J34" s="190" t="str">
        <f>VLOOKUP(A34,Jobmatch!A:I,7,0)</f>
        <v>Gerente de Relacionamento</v>
      </c>
      <c r="K34" s="193" t="str">
        <f>VLOOKUP(A34,Jobmatch!A:I,8,0)</f>
        <v>Indiferente</v>
      </c>
      <c r="L34" s="194" t="str">
        <f t="shared" si="2"/>
        <v>408Indiferente</v>
      </c>
      <c r="M34" s="195">
        <f>COUNTIF('Folha de Pagamento'!A:A,A34)</f>
        <v>2</v>
      </c>
      <c r="N34" s="216">
        <v>18.0</v>
      </c>
      <c r="O34" s="196">
        <f>IFERROR(VLOOKUP(L34,'C-01'!$D:$L,5,0),"")</f>
        <v>7608.96</v>
      </c>
      <c r="P34" s="196">
        <f>IFERROR(VLOOKUP(L34,'C-01'!$D:$L,6,0),"")</f>
        <v>10973.95</v>
      </c>
      <c r="Q34" s="196">
        <f>IFERROR(VLOOKUP(L34,'C-01'!$D:$L,7,0),"")</f>
        <v>10996.97</v>
      </c>
      <c r="R34" s="196">
        <f>IFERROR(VLOOKUP(L34,'C-01'!$D:$L,8,0),"")</f>
        <v>14004.27</v>
      </c>
      <c r="S34" s="197">
        <f>IFERROR(VLOOKUP(L34,'C-01'!$D:$L,9,0),"")</f>
        <v>16628.86</v>
      </c>
      <c r="T34" s="198">
        <f>IFS('Painel Geral'!$B$5="Mediana",IFERROR(IF(OR(C34="",Q34=0,Q34=""),"",($C34/$Q34)),""),'Painel Geral'!$B$5="Menor Salário",IFERROR(IF(OR(C34="",Q34=0,Q34=""),"",($C34/$N34)),""),'Painel Geral'!$B$5="1º Quartil",IFERROR(IF(OR(C34="",Q34=0,Q34=""),"",($C34/$O34)),""), 'Painel Geral'!$B$5="Média",IFERROR(IF(OR(C34="",Q34=0,Q34=""),"",($C34/$P34)),""),'Painel Geral'!$B$5="3º Quartil",IFERROR(IF(OR(C34="",Q34=0,Q34=""),"",($C34/$R34)),""),'Painel Geral'!$B$5="Maior Salário",IFERROR(IF(OR(C34="",Q34=0,Q34=""),"",($C34/$S34)),""))</f>
        <v>0.4860429737</v>
      </c>
      <c r="U34" s="199" t="str">
        <f t="shared" si="3"/>
        <v>Muito Defasado</v>
      </c>
      <c r="V34" s="201"/>
      <c r="W34" s="201"/>
      <c r="X34" s="201"/>
      <c r="Y34" s="201"/>
      <c r="Z34" s="232">
        <v>13.0</v>
      </c>
      <c r="AA34" s="233">
        <f t="shared" si="6"/>
        <v>3881.43</v>
      </c>
      <c r="AB34" s="224">
        <f t="shared" si="7"/>
        <v>0.1971150287</v>
      </c>
      <c r="AC34" s="235"/>
      <c r="AD34" s="201"/>
      <c r="AE34" s="201"/>
      <c r="AF34" s="201"/>
      <c r="AG34" s="201"/>
      <c r="AH34" s="201"/>
      <c r="AI34" s="201"/>
      <c r="AJ34" s="201"/>
      <c r="AK34" s="201"/>
      <c r="AL34" s="201"/>
      <c r="AM34" s="201"/>
      <c r="AN34" s="201"/>
      <c r="AO34" s="201"/>
      <c r="AP34" s="201"/>
    </row>
    <row r="35" ht="15.75" customHeight="1">
      <c r="A35" s="184" t="s">
        <v>171</v>
      </c>
      <c r="B35" s="185" t="str">
        <f>VLOOKUP(A35,Jobmatch!A:G,2,0)</f>
        <v>GERENTE DE PARCERIAS EXTERNAS</v>
      </c>
      <c r="C35" s="186">
        <f>IFERROR(AVERAGEIF('Folha de Pagamento'!A:A,A35,'Folha de Pagamento'!J:J),"")</f>
        <v>5000</v>
      </c>
      <c r="D35" s="187">
        <v>2.0</v>
      </c>
      <c r="E35" s="185" t="str">
        <f>VLOOKUP(A35,Jobmatch!A:H,3,0)</f>
        <v>Comercial</v>
      </c>
      <c r="F35" s="188" t="s">
        <v>336</v>
      </c>
      <c r="G35" s="190" t="str">
        <f>VLOOKUP(A35,Jobmatch!A:I,4,0)</f>
        <v>56 - ADM PROJETOS</v>
      </c>
      <c r="H35" s="191" t="str">
        <f>VLOOKUP(A35,Jobmatch!A:I,5,0)</f>
        <v>Tático</v>
      </c>
      <c r="I35" s="192">
        <f>VLOOKUP(A35,Jobmatch!A:I,6,0)</f>
        <v>408</v>
      </c>
      <c r="J35" s="190" t="str">
        <f>VLOOKUP(A35,Jobmatch!A:I,7,0)</f>
        <v>Gerente de Relacionamento</v>
      </c>
      <c r="K35" s="193" t="str">
        <f>VLOOKUP(A35,Jobmatch!A:I,8,0)</f>
        <v>Indiferente</v>
      </c>
      <c r="L35" s="194" t="str">
        <f t="shared" si="2"/>
        <v>408Indiferente</v>
      </c>
      <c r="M35" s="195">
        <f>COUNTIF('Folha de Pagamento'!A:A,A35)</f>
        <v>2</v>
      </c>
      <c r="N35" s="216">
        <v>18.0</v>
      </c>
      <c r="O35" s="196">
        <f>IFERROR(VLOOKUP(L35,'C-01'!$D:$L,5,0),"")</f>
        <v>7608.96</v>
      </c>
      <c r="P35" s="196">
        <f>IFERROR(VLOOKUP(L35,'C-01'!$D:$L,6,0),"")</f>
        <v>10973.95</v>
      </c>
      <c r="Q35" s="196">
        <f>IFERROR(VLOOKUP(L35,'C-01'!$D:$L,7,0),"")</f>
        <v>10996.97</v>
      </c>
      <c r="R35" s="196">
        <f>IFERROR(VLOOKUP(L35,'C-01'!$D:$L,8,0),"")</f>
        <v>14004.27</v>
      </c>
      <c r="S35" s="197">
        <f>IFERROR(VLOOKUP(L35,'C-01'!$D:$L,9,0),"")</f>
        <v>16628.86</v>
      </c>
      <c r="T35" s="198">
        <f>IFS('Painel Geral'!$B$5="Mediana",IFERROR(IF(OR(C35="",Q35=0,Q35=""),"",($C35/$Q35)),""),'Painel Geral'!$B$5="Menor Salário",IFERROR(IF(OR(C35="",Q35=0,Q35=""),"",($C35/$N35)),""),'Painel Geral'!$B$5="1º Quartil",IFERROR(IF(OR(C35="",Q35=0,Q35=""),"",($C35/$O35)),""), 'Painel Geral'!$B$5="Média",IFERROR(IF(OR(C35="",Q35=0,Q35=""),"",($C35/$P35)),""),'Painel Geral'!$B$5="3º Quartil",IFERROR(IF(OR(C35="",Q35=0,Q35=""),"",($C35/$R35)),""),'Painel Geral'!$B$5="Maior Salário",IFERROR(IF(OR(C35="",Q35=0,Q35=""),"",($C35/$S35)),""))</f>
        <v>0.4546706957</v>
      </c>
      <c r="U35" s="199" t="str">
        <f t="shared" si="3"/>
        <v>Muito Defasado</v>
      </c>
      <c r="V35" s="201"/>
      <c r="W35" s="201"/>
      <c r="X35" s="201"/>
      <c r="Y35" s="201"/>
      <c r="Z35" s="232">
        <v>14.0</v>
      </c>
      <c r="AA35" s="233">
        <f t="shared" si="6"/>
        <v>4693.36</v>
      </c>
      <c r="AB35" s="224">
        <f t="shared" si="7"/>
        <v>0.2091832134</v>
      </c>
      <c r="AC35" s="235"/>
      <c r="AD35" s="201"/>
      <c r="AE35" s="201"/>
      <c r="AF35" s="201"/>
      <c r="AG35" s="201"/>
      <c r="AH35" s="201"/>
      <c r="AI35" s="201"/>
      <c r="AJ35" s="201"/>
      <c r="AK35" s="201"/>
      <c r="AL35" s="201"/>
      <c r="AM35" s="201"/>
      <c r="AN35" s="201"/>
      <c r="AO35" s="201"/>
      <c r="AP35" s="201"/>
    </row>
    <row r="36" ht="15.75" customHeight="1">
      <c r="A36" s="184" t="s">
        <v>112</v>
      </c>
      <c r="B36" s="185" t="str">
        <f>VLOOKUP(A36,Jobmatch!A:G,2,0)</f>
        <v>COORDENADOR DE SUPRIMENTOS</v>
      </c>
      <c r="C36" s="186">
        <f>IFERROR(AVERAGEIF('Folha de Pagamento'!A:A,A36,'Folha de Pagamento'!J:J),"")</f>
        <v>10596.02649</v>
      </c>
      <c r="D36" s="187">
        <v>1.0</v>
      </c>
      <c r="E36" s="185" t="str">
        <f>VLOOKUP(A36,Jobmatch!A:H,3,0)</f>
        <v>Suprimentos </v>
      </c>
      <c r="F36" s="188" t="s">
        <v>368</v>
      </c>
      <c r="G36" s="190" t="str">
        <f>VLOOKUP(A36,Jobmatch!A:I,4,0)</f>
        <v>38 - ADM PROJETOS</v>
      </c>
      <c r="H36" s="191" t="str">
        <f>VLOOKUP(A36,Jobmatch!A:I,5,0)</f>
        <v>Tático</v>
      </c>
      <c r="I36" s="192">
        <f>VLOOKUP(A36,Jobmatch!A:I,6,0)</f>
        <v>137</v>
      </c>
      <c r="J36" s="190" t="str">
        <f>VLOOKUP(A36,Jobmatch!A:I,7,0)</f>
        <v>Coordenador de Compras</v>
      </c>
      <c r="K36" s="193" t="str">
        <f>VLOOKUP(A36,Jobmatch!A:I,8,0)</f>
        <v>Indiferente</v>
      </c>
      <c r="L36" s="194" t="str">
        <f t="shared" si="2"/>
        <v>137Indiferente</v>
      </c>
      <c r="M36" s="195">
        <f>COUNTIF('Folha de Pagamento'!A:A,A36)</f>
        <v>1</v>
      </c>
      <c r="N36" s="216">
        <v>18.0</v>
      </c>
      <c r="O36" s="196">
        <f>IFERROR(VLOOKUP(L36,'C-01'!$D:$L,5,0),"")</f>
        <v>10557.77</v>
      </c>
      <c r="P36" s="196">
        <f>IFERROR(VLOOKUP(L36,'C-01'!$D:$L,6,0),"")</f>
        <v>13345.69</v>
      </c>
      <c r="Q36" s="196">
        <f>IFERROR(VLOOKUP(L36,'C-01'!$D:$L,7,0),"")</f>
        <v>11060.52</v>
      </c>
      <c r="R36" s="196">
        <f>IFERROR(VLOOKUP(L36,'C-01'!$D:$L,8,0),"")</f>
        <v>14991.02</v>
      </c>
      <c r="S36" s="197">
        <f>IFERROR(VLOOKUP(L36,'C-01'!$D:$L,9,0),"")</f>
        <v>18921.53</v>
      </c>
      <c r="T36" s="198">
        <f>IFS('Painel Geral'!$B$5="Mediana",IFERROR(IF(OR(C36="",Q36=0,Q36=""),"",($C36/$Q36)),""),'Painel Geral'!$B$5="Menor Salário",IFERROR(IF(OR(C36="",Q36=0,Q36=""),"",($C36/$N36)),""),'Painel Geral'!$B$5="1º Quartil",IFERROR(IF(OR(C36="",Q36=0,Q36=""),"",($C36/$O36)),""), 'Painel Geral'!$B$5="Média",IFERROR(IF(OR(C36="",Q36=0,Q36=""),"",($C36/$P36)),""),'Painel Geral'!$B$5="3º Quartil",IFERROR(IF(OR(C36="",Q36=0,Q36=""),"",($C36/$R36)),""),'Painel Geral'!$B$5="Maior Salário",IFERROR(IF(OR(C36="",Q36=0,Q36=""),"",($C36/$S36)),""))</f>
        <v>0.9580043696</v>
      </c>
      <c r="U36" s="199" t="str">
        <f t="shared" si="3"/>
        <v>Na Média</v>
      </c>
      <c r="V36" s="201"/>
      <c r="W36" s="201"/>
      <c r="X36" s="201"/>
      <c r="Y36" s="201"/>
      <c r="Z36" s="232">
        <v>15.0</v>
      </c>
      <c r="AA36" s="233">
        <f t="shared" si="6"/>
        <v>5715.25</v>
      </c>
      <c r="AB36" s="224">
        <f t="shared" si="7"/>
        <v>0.2177310072</v>
      </c>
      <c r="AC36" s="235"/>
      <c r="AD36" s="201"/>
      <c r="AE36" s="201"/>
      <c r="AF36" s="201"/>
      <c r="AG36" s="201"/>
      <c r="AH36" s="201"/>
      <c r="AI36" s="201"/>
      <c r="AJ36" s="201"/>
      <c r="AK36" s="201"/>
      <c r="AL36" s="201"/>
      <c r="AM36" s="201"/>
      <c r="AN36" s="201"/>
      <c r="AO36" s="201"/>
      <c r="AP36" s="201"/>
    </row>
    <row r="37" ht="15.75" customHeight="1">
      <c r="A37" s="184" t="s">
        <v>149</v>
      </c>
      <c r="B37" s="185" t="str">
        <f>VLOOKUP(A37,Jobmatch!A:G,2,0)</f>
        <v>GERENTE COMERCIAL</v>
      </c>
      <c r="C37" s="186">
        <f>IFERROR(AVERAGEIF('Folha de Pagamento'!A:A,A37,'Folha de Pagamento'!J:J),"")</f>
        <v>12090.90909</v>
      </c>
      <c r="D37" s="187">
        <v>2.0</v>
      </c>
      <c r="E37" s="185" t="str">
        <f>VLOOKUP(A37,Jobmatch!A:H,3,0)</f>
        <v>Comercial</v>
      </c>
      <c r="F37" s="188" t="s">
        <v>294</v>
      </c>
      <c r="G37" s="190" t="str">
        <f>VLOOKUP(A37,Jobmatch!A:I,4,0)</f>
        <v>50 - ADM PROJETOS</v>
      </c>
      <c r="H37" s="191" t="str">
        <f>VLOOKUP(A37,Jobmatch!A:I,5,0)</f>
        <v>Tático</v>
      </c>
      <c r="I37" s="192">
        <f>VLOOKUP(A37,Jobmatch!A:I,6,0)</f>
        <v>107</v>
      </c>
      <c r="J37" s="190" t="str">
        <f>VLOOKUP(A37,Jobmatch!A:I,7,0)</f>
        <v>Gerente Comercial</v>
      </c>
      <c r="K37" s="193" t="str">
        <f>VLOOKUP(A37,Jobmatch!A:I,8,0)</f>
        <v>Indiferente</v>
      </c>
      <c r="L37" s="194" t="str">
        <f t="shared" si="2"/>
        <v>107Indiferente</v>
      </c>
      <c r="M37" s="195">
        <f>COUNTIF('Folha de Pagamento'!A:A,A37)</f>
        <v>4</v>
      </c>
      <c r="N37" s="216">
        <v>18.0</v>
      </c>
      <c r="O37" s="196">
        <f>IFERROR(VLOOKUP(L37,'C-01'!$D:$L,5,0),"")</f>
        <v>9778.91</v>
      </c>
      <c r="P37" s="196">
        <f>IFERROR(VLOOKUP(L37,'C-01'!$D:$L,6,0),"")</f>
        <v>12281.04</v>
      </c>
      <c r="Q37" s="196">
        <f>IFERROR(VLOOKUP(L37,'C-01'!$D:$L,7,0),"")</f>
        <v>12107.57</v>
      </c>
      <c r="R37" s="196">
        <f>IFERROR(VLOOKUP(L37,'C-01'!$D:$L,8,0),"")</f>
        <v>15321.87</v>
      </c>
      <c r="S37" s="197">
        <f>IFERROR(VLOOKUP(L37,'C-01'!$D:$L,9,0),"")</f>
        <v>19289.48</v>
      </c>
      <c r="T37" s="198">
        <f>IFS('Painel Geral'!$B$5="Mediana",IFERROR(IF(OR(C37="",Q37=0,Q37=""),"",($C37/$Q37)),""),'Painel Geral'!$B$5="Menor Salário",IFERROR(IF(OR(C37="",Q37=0,Q37=""),"",($C37/$N37)),""),'Painel Geral'!$B$5="1º Quartil",IFERROR(IF(OR(C37="",Q37=0,Q37=""),"",($C37/$O37)),""), 'Painel Geral'!$B$5="Média",IFERROR(IF(OR(C37="",Q37=0,Q37=""),"",($C37/$P37)),""),'Painel Geral'!$B$5="3º Quartil",IFERROR(IF(OR(C37="",Q37=0,Q37=""),"",($C37/$R37)),""),'Painel Geral'!$B$5="Maior Salário",IFERROR(IF(OR(C37="",Q37=0,Q37=""),"",($C37/$S37)),""))</f>
        <v>0.9986239263</v>
      </c>
      <c r="U37" s="199" t="str">
        <f t="shared" si="3"/>
        <v>Na Média</v>
      </c>
      <c r="V37" s="201"/>
      <c r="W37" s="201"/>
      <c r="X37" s="201"/>
      <c r="Y37" s="201"/>
      <c r="Z37" s="232">
        <v>16.0</v>
      </c>
      <c r="AA37" s="233">
        <f t="shared" si="6"/>
        <v>6984.24</v>
      </c>
      <c r="AB37" s="224">
        <f t="shared" si="7"/>
        <v>0.2220357815</v>
      </c>
      <c r="AC37" s="235"/>
      <c r="AD37" s="201"/>
      <c r="AE37" s="201"/>
      <c r="AF37" s="201"/>
      <c r="AG37" s="201"/>
      <c r="AH37" s="201"/>
      <c r="AI37" s="201"/>
      <c r="AJ37" s="201"/>
      <c r="AK37" s="201"/>
      <c r="AL37" s="201"/>
      <c r="AM37" s="201"/>
      <c r="AN37" s="201"/>
      <c r="AO37" s="201"/>
      <c r="AP37" s="201"/>
    </row>
    <row r="38" ht="15.75" customHeight="1">
      <c r="A38" s="184" t="s">
        <v>155</v>
      </c>
      <c r="B38" s="185" t="str">
        <f>VLOOKUP(A38,Jobmatch!A:G,2,0)</f>
        <v>GERENTE DE HOUSE</v>
      </c>
      <c r="C38" s="186">
        <f>IFERROR(AVERAGEIF('Folha de Pagamento'!A:A,A38,'Folha de Pagamento'!J:J),"")</f>
        <v>5125</v>
      </c>
      <c r="D38" s="187">
        <v>2.0</v>
      </c>
      <c r="E38" s="185" t="str">
        <f>VLOOKUP(A38,Jobmatch!A:H,3,0)</f>
        <v>Comercial</v>
      </c>
      <c r="F38" s="188" t="s">
        <v>333</v>
      </c>
      <c r="G38" s="190" t="str">
        <f>VLOOKUP(A38,Jobmatch!A:I,4,0)</f>
        <v>52 - ADM PROJETOS</v>
      </c>
      <c r="H38" s="191" t="str">
        <f>VLOOKUP(A38,Jobmatch!A:I,5,0)</f>
        <v>Tático</v>
      </c>
      <c r="I38" s="192">
        <f>VLOOKUP(A38,Jobmatch!A:I,6,0)</f>
        <v>107</v>
      </c>
      <c r="J38" s="190" t="str">
        <f>VLOOKUP(A38,Jobmatch!A:I,7,0)</f>
        <v>Gerente Comercial</v>
      </c>
      <c r="K38" s="193" t="str">
        <f>VLOOKUP(A38,Jobmatch!A:I,8,0)</f>
        <v>Indiferente</v>
      </c>
      <c r="L38" s="194" t="str">
        <f t="shared" si="2"/>
        <v>107Indiferente</v>
      </c>
      <c r="M38" s="195">
        <f>COUNTIF('Folha de Pagamento'!A:A,A38)</f>
        <v>1</v>
      </c>
      <c r="N38" s="216">
        <v>18.0</v>
      </c>
      <c r="O38" s="196">
        <f>IFERROR(VLOOKUP(L38,'C-01'!$D:$L,5,0),"")</f>
        <v>9778.91</v>
      </c>
      <c r="P38" s="196">
        <f>IFERROR(VLOOKUP(L38,'C-01'!$D:$L,6,0),"")</f>
        <v>12281.04</v>
      </c>
      <c r="Q38" s="196">
        <f>IFERROR(VLOOKUP(L38,'C-01'!$D:$L,7,0),"")</f>
        <v>12107.57</v>
      </c>
      <c r="R38" s="196">
        <f>IFERROR(VLOOKUP(L38,'C-01'!$D:$L,8,0),"")</f>
        <v>15321.87</v>
      </c>
      <c r="S38" s="197">
        <f>IFERROR(VLOOKUP(L38,'C-01'!$D:$L,9,0),"")</f>
        <v>19289.48</v>
      </c>
      <c r="T38" s="198">
        <f>IFS('Painel Geral'!$B$5="Mediana",IFERROR(IF(OR(C38="",Q38=0,Q38=""),"",($C38/$Q38)),""),'Painel Geral'!$B$5="Menor Salário",IFERROR(IF(OR(C38="",Q38=0,Q38=""),"",($C38/$N38)),""),'Painel Geral'!$B$5="1º Quartil",IFERROR(IF(OR(C38="",Q38=0,Q38=""),"",($C38/$O38)),""), 'Painel Geral'!$B$5="Média",IFERROR(IF(OR(C38="",Q38=0,Q38=""),"",($C38/$P38)),""),'Painel Geral'!$B$5="3º Quartil",IFERROR(IF(OR(C38="",Q38=0,Q38=""),"",($C38/$R38)),""),'Painel Geral'!$B$5="Maior Salário",IFERROR(IF(OR(C38="",Q38=0,Q38=""),"",($C38/$S38)),""))</f>
        <v>0.4232889011</v>
      </c>
      <c r="U38" s="199" t="str">
        <f t="shared" si="3"/>
        <v>Muito Defasado</v>
      </c>
      <c r="V38" s="201"/>
      <c r="W38" s="201"/>
      <c r="X38" s="201"/>
      <c r="Y38" s="201"/>
      <c r="Z38" s="232">
        <v>17.0</v>
      </c>
      <c r="AA38" s="233">
        <f t="shared" si="6"/>
        <v>8537.47</v>
      </c>
      <c r="AB38" s="224">
        <f t="shared" si="7"/>
        <v>0.2223906968</v>
      </c>
      <c r="AC38" s="235"/>
      <c r="AD38" s="201"/>
      <c r="AE38" s="201"/>
      <c r="AF38" s="201"/>
      <c r="AG38" s="201"/>
      <c r="AH38" s="201"/>
      <c r="AI38" s="201"/>
      <c r="AJ38" s="201"/>
      <c r="AK38" s="201"/>
      <c r="AL38" s="201"/>
      <c r="AM38" s="201"/>
      <c r="AN38" s="201"/>
      <c r="AO38" s="201"/>
      <c r="AP38" s="201"/>
    </row>
    <row r="39" ht="15.75" customHeight="1">
      <c r="A39" s="184" t="s">
        <v>152</v>
      </c>
      <c r="B39" s="185" t="str">
        <f>VLOOKUP(A39,Jobmatch!A:G,2,0)</f>
        <v>GERENTE DE EDIFICAÇÕES</v>
      </c>
      <c r="C39" s="186">
        <f>IFERROR(AVERAGEIF('Folha de Pagamento'!A:A,A39,'Folha de Pagamento'!J:J),"")</f>
        <v>30106.06061</v>
      </c>
      <c r="D39" s="187">
        <v>5.0</v>
      </c>
      <c r="E39" s="185" t="str">
        <f>VLOOKUP(A39,Jobmatch!A:H,3,0)</f>
        <v>Edificação</v>
      </c>
      <c r="F39" s="188" t="s">
        <v>348</v>
      </c>
      <c r="G39" s="190" t="str">
        <f>VLOOKUP(A39,Jobmatch!A:I,4,0)</f>
        <v>51 - ADM PROJETOS</v>
      </c>
      <c r="H39" s="191" t="str">
        <f>VLOOKUP(A39,Jobmatch!A:I,5,0)</f>
        <v>Tático</v>
      </c>
      <c r="I39" s="192">
        <f>VLOOKUP(A39,Jobmatch!A:I,6,0)</f>
        <v>311</v>
      </c>
      <c r="J39" s="190" t="str">
        <f>VLOOKUP(A39,Jobmatch!A:I,7,0)</f>
        <v>Gerente de Operações</v>
      </c>
      <c r="K39" s="193" t="str">
        <f>VLOOKUP(A39,Jobmatch!A:I,8,0)</f>
        <v>Indiferente</v>
      </c>
      <c r="L39" s="194" t="str">
        <f t="shared" si="2"/>
        <v>311Indiferente</v>
      </c>
      <c r="M39" s="195">
        <f>COUNTIF('Folha de Pagamento'!A:A,A39)</f>
        <v>1</v>
      </c>
      <c r="N39" s="216">
        <v>19.0</v>
      </c>
      <c r="O39" s="196">
        <f>IFERROR(VLOOKUP(L39,'C-01'!$D:$L,5,0),"")</f>
        <v>10114.75</v>
      </c>
      <c r="P39" s="196">
        <f>IFERROR(VLOOKUP(L39,'C-01'!$D:$L,6,0),"")</f>
        <v>12711.42</v>
      </c>
      <c r="Q39" s="196">
        <f>IFERROR(VLOOKUP(L39,'C-01'!$D:$L,7,0),"")</f>
        <v>12517.82</v>
      </c>
      <c r="R39" s="196">
        <f>IFERROR(VLOOKUP(L39,'C-01'!$D:$L,8,0),"")</f>
        <v>14749</v>
      </c>
      <c r="S39" s="197">
        <f>IFERROR(VLOOKUP(L39,'C-01'!$D:$L,9,0),"")</f>
        <v>19098.65</v>
      </c>
      <c r="T39" s="198">
        <f>IFS('Painel Geral'!$B$5="Mediana",IFERROR(IF(OR(C39="",Q39=0,Q39=""),"",($C39/$Q39)),""),'Painel Geral'!$B$5="Menor Salário",IFERROR(IF(OR(C39="",Q39=0,Q39=""),"",($C39/$N39)),""),'Painel Geral'!$B$5="1º Quartil",IFERROR(IF(OR(C39="",Q39=0,Q39=""),"",($C39/$O39)),""), 'Painel Geral'!$B$5="Média",IFERROR(IF(OR(C39="",Q39=0,Q39=""),"",($C39/$P39)),""),'Painel Geral'!$B$5="3º Quartil",IFERROR(IF(OR(C39="",Q39=0,Q39=""),"",($C39/$R39)),""),'Painel Geral'!$B$5="Maior Salário",IFERROR(IF(OR(C39="",Q39=0,Q39=""),"",($C39/$S39)),""))</f>
        <v>2.4050562</v>
      </c>
      <c r="U39" s="199" t="str">
        <f t="shared" si="3"/>
        <v>Agressivo</v>
      </c>
      <c r="V39" s="201"/>
      <c r="W39" s="201"/>
      <c r="X39" s="201"/>
      <c r="Y39" s="201"/>
      <c r="Z39" s="232">
        <v>18.0</v>
      </c>
      <c r="AA39" s="233">
        <f t="shared" si="6"/>
        <v>10412.08</v>
      </c>
      <c r="AB39" s="224">
        <f t="shared" si="7"/>
        <v>0.2195744172</v>
      </c>
      <c r="AC39" s="235"/>
      <c r="AD39" s="201"/>
      <c r="AE39" s="201"/>
      <c r="AF39" s="201"/>
      <c r="AG39" s="201"/>
      <c r="AH39" s="201"/>
      <c r="AI39" s="201"/>
      <c r="AJ39" s="201"/>
      <c r="AK39" s="201"/>
      <c r="AL39" s="201"/>
      <c r="AM39" s="201"/>
      <c r="AN39" s="201"/>
      <c r="AO39" s="201"/>
      <c r="AP39" s="201"/>
    </row>
    <row r="40" ht="15.75" customHeight="1">
      <c r="A40" s="184" t="s">
        <v>174</v>
      </c>
      <c r="B40" s="185" t="str">
        <f>VLOOKUP(A40,Jobmatch!A:G,2,0)</f>
        <v>GERENTE DE URBANISMO</v>
      </c>
      <c r="C40" s="186">
        <f>IFERROR(AVERAGEIF('Folha de Pagamento'!A:A,A40,'Folha de Pagamento'!J:J),"")</f>
        <v>28030.30303</v>
      </c>
      <c r="D40" s="187">
        <v>10.0</v>
      </c>
      <c r="E40" s="185" t="str">
        <f>VLOOKUP(A40,Jobmatch!A:H,3,0)</f>
        <v>Urbanismo</v>
      </c>
      <c r="F40" s="188" t="s">
        <v>375</v>
      </c>
      <c r="G40" s="190" t="str">
        <f>VLOOKUP(A40,Jobmatch!A:I,4,0)</f>
        <v>57 - ADM PROJETOS</v>
      </c>
      <c r="H40" s="191" t="str">
        <f>VLOOKUP(A40,Jobmatch!A:I,5,0)</f>
        <v>Tático</v>
      </c>
      <c r="I40" s="192">
        <f>VLOOKUP(A40,Jobmatch!A:I,6,0)</f>
        <v>311</v>
      </c>
      <c r="J40" s="190" t="str">
        <f>VLOOKUP(A40,Jobmatch!A:I,7,0)</f>
        <v>Gerente de Operações</v>
      </c>
      <c r="K40" s="193" t="str">
        <f>VLOOKUP(A40,Jobmatch!A:I,8,0)</f>
        <v>Indiferente</v>
      </c>
      <c r="L40" s="194" t="str">
        <f t="shared" si="2"/>
        <v>311Indiferente</v>
      </c>
      <c r="M40" s="195">
        <f>COUNTIF('Folha de Pagamento'!A:A,A40)</f>
        <v>2</v>
      </c>
      <c r="N40" s="216">
        <v>19.0</v>
      </c>
      <c r="O40" s="196">
        <f>IFERROR(VLOOKUP(L40,'C-01'!$D:$L,5,0),"")</f>
        <v>10114.75</v>
      </c>
      <c r="P40" s="196">
        <f>IFERROR(VLOOKUP(L40,'C-01'!$D:$L,6,0),"")</f>
        <v>12711.42</v>
      </c>
      <c r="Q40" s="196">
        <f>IFERROR(VLOOKUP(L40,'C-01'!$D:$L,7,0),"")</f>
        <v>12517.82</v>
      </c>
      <c r="R40" s="196">
        <f>IFERROR(VLOOKUP(L40,'C-01'!$D:$L,8,0),"")</f>
        <v>14749</v>
      </c>
      <c r="S40" s="197">
        <f>IFERROR(VLOOKUP(L40,'C-01'!$D:$L,9,0),"")</f>
        <v>19098.65</v>
      </c>
      <c r="T40" s="198">
        <f>IFS('Painel Geral'!$B$5="Mediana",IFERROR(IF(OR(C40="",Q40=0,Q40=""),"",($C40/$Q40)),""),'Painel Geral'!$B$5="Menor Salário",IFERROR(IF(OR(C40="",Q40=0,Q40=""),"",($C40/$N40)),""),'Painel Geral'!$B$5="1º Quartil",IFERROR(IF(OR(C40="",Q40=0,Q40=""),"",($C40/$O40)),""), 'Painel Geral'!$B$5="Média",IFERROR(IF(OR(C40="",Q40=0,Q40=""),"",($C40/$P40)),""),'Painel Geral'!$B$5="3º Quartil",IFERROR(IF(OR(C40="",Q40=0,Q40=""),"",($C40/$R40)),""),'Painel Geral'!$B$5="Maior Salário",IFERROR(IF(OR(C40="",Q40=0,Q40=""),"",($C40/$S40)),""))</f>
        <v>2.239231993</v>
      </c>
      <c r="U40" s="199" t="str">
        <f t="shared" si="3"/>
        <v>Agressivo</v>
      </c>
      <c r="V40" s="201"/>
      <c r="W40" s="201"/>
      <c r="X40" s="201"/>
      <c r="Y40" s="201"/>
      <c r="Z40" s="232">
        <v>19.0</v>
      </c>
      <c r="AA40" s="233">
        <f t="shared" si="6"/>
        <v>12645.21</v>
      </c>
      <c r="AB40" s="224">
        <f t="shared" si="7"/>
        <v>0.2144749176</v>
      </c>
      <c r="AC40" s="235"/>
      <c r="AD40" s="201"/>
      <c r="AE40" s="201"/>
      <c r="AF40" s="201"/>
      <c r="AG40" s="201"/>
      <c r="AH40" s="201"/>
      <c r="AI40" s="201"/>
      <c r="AJ40" s="201"/>
      <c r="AK40" s="201"/>
      <c r="AL40" s="201"/>
      <c r="AM40" s="201"/>
      <c r="AN40" s="201"/>
      <c r="AO40" s="201"/>
      <c r="AP40" s="201"/>
    </row>
    <row r="41" ht="15.75" customHeight="1">
      <c r="A41" s="184" t="s">
        <v>101</v>
      </c>
      <c r="B41" s="185" t="str">
        <f>VLOOKUP(A41,Jobmatch!A:G,2,0)</f>
        <v>COORDENADOR DE DHO</v>
      </c>
      <c r="C41" s="186">
        <f>IFERROR(AVERAGEIF('Folha de Pagamento'!A:A,A41,'Folha de Pagamento'!J:J),"")</f>
        <v>7420</v>
      </c>
      <c r="D41" s="187">
        <v>4.0</v>
      </c>
      <c r="E41" s="185" t="str">
        <f>VLOOKUP(A41,Jobmatch!A:H,3,0)</f>
        <v>DHO</v>
      </c>
      <c r="F41" s="188" t="s">
        <v>341</v>
      </c>
      <c r="G41" s="190" t="str">
        <f>VLOOKUP(A41,Jobmatch!A:I,4,0)</f>
        <v>34 - ADM PROJETOS</v>
      </c>
      <c r="H41" s="191" t="str">
        <f>VLOOKUP(A41,Jobmatch!A:I,5,0)</f>
        <v>Tático</v>
      </c>
      <c r="I41" s="192">
        <f>VLOOKUP(A41,Jobmatch!A:I,6,0)</f>
        <v>121</v>
      </c>
      <c r="J41" s="190" t="str">
        <f>VLOOKUP(A41,Jobmatch!A:I,7,0)</f>
        <v>Coordenador de Recursos Humanos</v>
      </c>
      <c r="K41" s="193" t="str">
        <f>VLOOKUP(A41,Jobmatch!A:I,8,0)</f>
        <v>Indiferente</v>
      </c>
      <c r="L41" s="194" t="str">
        <f t="shared" si="2"/>
        <v>121Indiferente</v>
      </c>
      <c r="M41" s="195">
        <f>COUNTIF('Folha de Pagamento'!A:A,A41)</f>
        <v>1</v>
      </c>
      <c r="N41" s="216">
        <v>19.0</v>
      </c>
      <c r="O41" s="196">
        <f>IFERROR(VLOOKUP(L41,'C-01'!$D:$L,5,0),"")</f>
        <v>10014.8</v>
      </c>
      <c r="P41" s="196">
        <f>IFERROR(VLOOKUP(L41,'C-01'!$D:$L,6,0),"")</f>
        <v>11303.85</v>
      </c>
      <c r="Q41" s="196">
        <f>IFERROR(VLOOKUP(L41,'C-01'!$D:$L,7,0),"")</f>
        <v>12568.77</v>
      </c>
      <c r="R41" s="196">
        <f>IFERROR(VLOOKUP(L41,'C-01'!$D:$L,8,0),"")</f>
        <v>13225.36</v>
      </c>
      <c r="S41" s="197">
        <f>IFERROR(VLOOKUP(L41,'C-01'!$D:$L,9,0),"")</f>
        <v>13881.95</v>
      </c>
      <c r="T41" s="198">
        <f>IFS('Painel Geral'!$B$5="Mediana",IFERROR(IF(OR(C41="",Q41=0,Q41=""),"",($C41/$Q41)),""),'Painel Geral'!$B$5="Menor Salário",IFERROR(IF(OR(C41="",Q41=0,Q41=""),"",($C41/$N41)),""),'Painel Geral'!$B$5="1º Quartil",IFERROR(IF(OR(C41="",Q41=0,Q41=""),"",($C41/$O41)),""), 'Painel Geral'!$B$5="Média",IFERROR(IF(OR(C41="",Q41=0,Q41=""),"",($C41/$P41)),""),'Painel Geral'!$B$5="3º Quartil",IFERROR(IF(OR(C41="",Q41=0,Q41=""),"",($C41/$R41)),""),'Painel Geral'!$B$5="Maior Salário",IFERROR(IF(OR(C41="",Q41=0,Q41=""),"",($C41/$S41)),""))</f>
        <v>0.5903521188</v>
      </c>
      <c r="U41" s="199" t="str">
        <f t="shared" si="3"/>
        <v>Muito Defasado</v>
      </c>
      <c r="V41" s="201"/>
      <c r="W41" s="201"/>
      <c r="X41" s="201"/>
      <c r="Y41" s="201"/>
      <c r="Z41" s="232">
        <v>20.0</v>
      </c>
      <c r="AA41" s="233">
        <f t="shared" si="6"/>
        <v>15274</v>
      </c>
      <c r="AB41" s="224">
        <f t="shared" si="7"/>
        <v>0.2078882043</v>
      </c>
      <c r="AC41" s="235"/>
      <c r="AD41" s="201"/>
      <c r="AE41" s="201"/>
      <c r="AF41" s="201"/>
      <c r="AG41" s="201"/>
      <c r="AH41" s="201"/>
      <c r="AI41" s="201"/>
      <c r="AJ41" s="201"/>
      <c r="AK41" s="201"/>
      <c r="AL41" s="201"/>
      <c r="AM41" s="201"/>
      <c r="AN41" s="201"/>
      <c r="AO41" s="201"/>
      <c r="AP41" s="201"/>
    </row>
    <row r="42" ht="15.75" customHeight="1">
      <c r="A42" s="184" t="s">
        <v>98</v>
      </c>
      <c r="B42" s="185" t="str">
        <f>VLOOKUP(A42,Jobmatch!A:G,2,0)</f>
        <v>CONTROLLER TÉCNICO</v>
      </c>
      <c r="C42" s="186">
        <f>IFERROR(AVERAGEIF('Folha de Pagamento'!A:A,A42,'Folha de Pagamento'!J:J),"")</f>
        <v>9243.50365</v>
      </c>
      <c r="D42" s="187">
        <v>3.0</v>
      </c>
      <c r="E42" s="185" t="str">
        <f>VLOOKUP(A42,Jobmatch!A:H,3,0)</f>
        <v>Controladoria</v>
      </c>
      <c r="F42" s="188" t="s">
        <v>339</v>
      </c>
      <c r="G42" s="190" t="str">
        <f>VLOOKUP(A42,Jobmatch!A:I,4,0)</f>
        <v>33 - ADM PROJETOS</v>
      </c>
      <c r="H42" s="191" t="str">
        <f>VLOOKUP(A42,Jobmatch!A:I,5,0)</f>
        <v>Tático</v>
      </c>
      <c r="I42" s="192">
        <f>VLOOKUP(A42,Jobmatch!A:I,6,0)</f>
        <v>26</v>
      </c>
      <c r="J42" s="190" t="str">
        <f>VLOOKUP(A42,Jobmatch!A:I,7,0)</f>
        <v>Analista de Controladoria</v>
      </c>
      <c r="K42" s="193" t="str">
        <f>VLOOKUP(A42,Jobmatch!A:I,8,0)</f>
        <v>Especialista</v>
      </c>
      <c r="L42" s="194" t="str">
        <f t="shared" si="2"/>
        <v>26Especialista</v>
      </c>
      <c r="M42" s="195">
        <f>COUNTIF('Folha de Pagamento'!A:A,A42)</f>
        <v>1</v>
      </c>
      <c r="N42" s="216">
        <v>19.0</v>
      </c>
      <c r="O42" s="196">
        <f>IFERROR(VLOOKUP(L42,'C-01'!$D:$L,5,0),"")</f>
        <v>10665.2</v>
      </c>
      <c r="P42" s="196">
        <f>IFERROR(VLOOKUP(L42,'C-01'!$D:$L,6,0),"")</f>
        <v>12572.61</v>
      </c>
      <c r="Q42" s="196">
        <f>IFERROR(VLOOKUP(L42,'C-01'!$D:$L,7,0),"")</f>
        <v>13758.75</v>
      </c>
      <c r="R42" s="196">
        <f>IFERROR(VLOOKUP(L42,'C-01'!$D:$L,8,0),"")</f>
        <v>15666.17</v>
      </c>
      <c r="S42" s="197">
        <f>IFERROR(VLOOKUP(L42,'C-01'!$D:$L,9,0),"")</f>
        <v>15995.86</v>
      </c>
      <c r="T42" s="198">
        <f>IFS('Painel Geral'!$B$5="Mediana",IFERROR(IF(OR(C42="",Q42=0,Q42=""),"",($C42/$Q42)),""),'Painel Geral'!$B$5="Menor Salário",IFERROR(IF(OR(C42="",Q42=0,Q42=""),"",($C42/$N42)),""),'Painel Geral'!$B$5="1º Quartil",IFERROR(IF(OR(C42="",Q42=0,Q42=""),"",($C42/$O42)),""), 'Painel Geral'!$B$5="Média",IFERROR(IF(OR(C42="",Q42=0,Q42=""),"",($C42/$P42)),""),'Painel Geral'!$B$5="3º Quartil",IFERROR(IF(OR(C42="",Q42=0,Q42=""),"",($C42/$R42)),""),'Painel Geral'!$B$5="Maior Salário",IFERROR(IF(OR(C42="",Q42=0,Q42=""),"",($C42/$S42)),""))</f>
        <v>0.6718272844</v>
      </c>
      <c r="U42" s="199" t="str">
        <f t="shared" si="3"/>
        <v>Muito Defasado</v>
      </c>
      <c r="V42" s="201"/>
      <c r="W42" s="201"/>
      <c r="X42" s="201"/>
      <c r="Y42" s="201"/>
      <c r="Z42" s="232">
        <v>21.0</v>
      </c>
      <c r="AA42" s="233">
        <f t="shared" si="6"/>
        <v>18335.59</v>
      </c>
      <c r="AB42" s="224">
        <f t="shared" si="7"/>
        <v>0.2004445463</v>
      </c>
      <c r="AC42" s="235"/>
      <c r="AD42" s="201"/>
      <c r="AE42" s="201"/>
      <c r="AF42" s="201"/>
      <c r="AG42" s="201"/>
      <c r="AH42" s="201"/>
      <c r="AI42" s="201"/>
      <c r="AJ42" s="201"/>
      <c r="AK42" s="201"/>
      <c r="AL42" s="201"/>
      <c r="AM42" s="201"/>
      <c r="AN42" s="201"/>
      <c r="AO42" s="201"/>
      <c r="AP42" s="201"/>
    </row>
    <row r="43" ht="15.75" customHeight="1">
      <c r="A43" s="184" t="s">
        <v>130</v>
      </c>
      <c r="B43" s="185" t="str">
        <f>VLOOKUP(A43,Jobmatch!A:G,2,0)</f>
        <v>ENGENHEIRO SÊNIOR </v>
      </c>
      <c r="C43" s="186">
        <f>IFERROR(AVERAGEIF('Folha de Pagamento'!A:A,A43,'Folha de Pagamento'!J:J),"")</f>
        <v>14393.93939</v>
      </c>
      <c r="D43" s="187">
        <v>5.0</v>
      </c>
      <c r="E43" s="185" t="str">
        <f>VLOOKUP(A43,Jobmatch!A:H,3,0)</f>
        <v>Edificação</v>
      </c>
      <c r="F43" s="188" t="s">
        <v>347</v>
      </c>
      <c r="G43" s="190" t="str">
        <f>VLOOKUP(A43,Jobmatch!A:I,4,0)</f>
        <v>44 - ADM PROJETOS</v>
      </c>
      <c r="H43" s="191" t="str">
        <f>VLOOKUP(A43,Jobmatch!A:I,5,0)</f>
        <v>Tático</v>
      </c>
      <c r="I43" s="192">
        <f>VLOOKUP(A43,Jobmatch!A:I,6,0)</f>
        <v>212</v>
      </c>
      <c r="J43" s="190" t="str">
        <f>VLOOKUP(A43,Jobmatch!A:I,7,0)</f>
        <v>Engenheiro de Urbanismo</v>
      </c>
      <c r="K43" s="193" t="str">
        <f>VLOOKUP(A43,Jobmatch!A:I,8,0)</f>
        <v>Indiferente</v>
      </c>
      <c r="L43" s="194" t="str">
        <f t="shared" si="2"/>
        <v>212Indiferente</v>
      </c>
      <c r="M43" s="195">
        <f>COUNTIF('Folha de Pagamento'!A:A,A43)</f>
        <v>1</v>
      </c>
      <c r="N43" s="216">
        <v>20.0</v>
      </c>
      <c r="O43" s="196">
        <f>IFERROR(VLOOKUP(L43,'C-01'!$D:$L,5,0),"")</f>
        <v>12766.6</v>
      </c>
      <c r="P43" s="196">
        <f>IFERROR(VLOOKUP(L43,'C-01'!$D:$L,6,0),"")</f>
        <v>14293.39</v>
      </c>
      <c r="Q43" s="196">
        <f>IFERROR(VLOOKUP(L43,'C-01'!$D:$L,7,0),"")</f>
        <v>15082.52</v>
      </c>
      <c r="R43" s="196">
        <f>IFERROR(VLOOKUP(L43,'C-01'!$D:$L,8,0),"")</f>
        <v>16110.29</v>
      </c>
      <c r="S43" s="197">
        <f>IFERROR(VLOOKUP(L43,'C-01'!$D:$L,9,0),"")</f>
        <v>16164.64</v>
      </c>
      <c r="T43" s="198">
        <f>IFS('Painel Geral'!$B$5="Mediana",IFERROR(IF(OR(C43="",Q43=0,Q43=""),"",($C43/$Q43)),""),'Painel Geral'!$B$5="Menor Salário",IFERROR(IF(OR(C43="",Q43=0,Q43=""),"",($C43/$N43)),""),'Painel Geral'!$B$5="1º Quartil",IFERROR(IF(OR(C43="",Q43=0,Q43=""),"",($C43/$O43)),""), 'Painel Geral'!$B$5="Média",IFERROR(IF(OR(C43="",Q43=0,Q43=""),"",($C43/$P43)),""),'Painel Geral'!$B$5="3º Quartil",IFERROR(IF(OR(C43="",Q43=0,Q43=""),"",($C43/$R43)),""),'Painel Geral'!$B$5="Maior Salário",IFERROR(IF(OR(C43="",Q43=0,Q43=""),"",($C43/$S43)),""))</f>
        <v>0.9543457853</v>
      </c>
      <c r="U43" s="199" t="str">
        <f t="shared" si="3"/>
        <v>Na Média</v>
      </c>
      <c r="V43" s="201"/>
      <c r="W43" s="201"/>
      <c r="X43" s="201"/>
      <c r="Y43" s="201"/>
      <c r="Z43" s="232">
        <v>22.0</v>
      </c>
      <c r="AA43" s="233">
        <f t="shared" si="6"/>
        <v>21867.12</v>
      </c>
      <c r="AB43" s="224">
        <f t="shared" si="7"/>
        <v>0.1926052011</v>
      </c>
      <c r="AC43" s="235"/>
      <c r="AD43" s="201"/>
      <c r="AE43" s="201"/>
      <c r="AF43" s="201"/>
      <c r="AG43" s="201"/>
      <c r="AH43" s="201"/>
      <c r="AI43" s="201"/>
      <c r="AJ43" s="201"/>
      <c r="AK43" s="201"/>
      <c r="AL43" s="201"/>
      <c r="AM43" s="201"/>
      <c r="AN43" s="201"/>
      <c r="AO43" s="201"/>
      <c r="AP43" s="201"/>
    </row>
    <row r="44" ht="15.75" customHeight="1">
      <c r="A44" s="184" t="s">
        <v>127</v>
      </c>
      <c r="B44" s="185" t="str">
        <f>VLOOKUP(A44,Jobmatch!A:G,2,0)</f>
        <v>ENGENHEIRO JUNIOR DE URBANISMO</v>
      </c>
      <c r="C44" s="186">
        <f>IFERROR(AVERAGEIF('Folha de Pagamento'!A:A,A44,'Folha de Pagamento'!J:J),"")</f>
        <v>5630.872483</v>
      </c>
      <c r="D44" s="187">
        <v>10.0</v>
      </c>
      <c r="E44" s="185" t="str">
        <f>VLOOKUP(A44,Jobmatch!A:H,3,0)</f>
        <v>Urbanismo</v>
      </c>
      <c r="F44" s="188" t="s">
        <v>373</v>
      </c>
      <c r="G44" s="190" t="str">
        <f>VLOOKUP(A44,Jobmatch!A:I,4,0)</f>
        <v>43 - ADM PROJETOS</v>
      </c>
      <c r="H44" s="191" t="str">
        <f>VLOOKUP(A44,Jobmatch!A:I,5,0)</f>
        <v>Operacional</v>
      </c>
      <c r="I44" s="192">
        <f>VLOOKUP(A44,Jobmatch!A:I,6,0)</f>
        <v>212</v>
      </c>
      <c r="J44" s="190" t="str">
        <f>VLOOKUP(A44,Jobmatch!A:I,7,0)</f>
        <v>Engenheiro de Urbanismo</v>
      </c>
      <c r="K44" s="193" t="str">
        <f>VLOOKUP(A44,Jobmatch!A:I,8,0)</f>
        <v>Indiferente</v>
      </c>
      <c r="L44" s="194" t="str">
        <f t="shared" si="2"/>
        <v>212Indiferente</v>
      </c>
      <c r="M44" s="195">
        <f>COUNTIF('Folha de Pagamento'!A:A,A44)</f>
        <v>1</v>
      </c>
      <c r="N44" s="216">
        <v>20.0</v>
      </c>
      <c r="O44" s="196">
        <f>IFERROR(VLOOKUP(L44,'C-01'!$D:$L,5,0),"")</f>
        <v>12766.6</v>
      </c>
      <c r="P44" s="196">
        <f>IFERROR(VLOOKUP(L44,'C-01'!$D:$L,6,0),"")</f>
        <v>14293.39</v>
      </c>
      <c r="Q44" s="196">
        <f>IFERROR(VLOOKUP(L44,'C-01'!$D:$L,7,0),"")</f>
        <v>15082.52</v>
      </c>
      <c r="R44" s="196">
        <f>IFERROR(VLOOKUP(L44,'C-01'!$D:$L,8,0),"")</f>
        <v>16110.29</v>
      </c>
      <c r="S44" s="197">
        <f>IFERROR(VLOOKUP(L44,'C-01'!$D:$L,9,0),"")</f>
        <v>16164.64</v>
      </c>
      <c r="T44" s="198">
        <f>IFS('Painel Geral'!$B$5="Mediana",IFERROR(IF(OR(C44="",Q44=0,Q44=""),"",($C44/$Q44)),""),'Painel Geral'!$B$5="Menor Salário",IFERROR(IF(OR(C44="",Q44=0,Q44=""),"",($C44/$N44)),""),'Painel Geral'!$B$5="1º Quartil",IFERROR(IF(OR(C44="",Q44=0,Q44=""),"",($C44/$O44)),""), 'Painel Geral'!$B$5="Média",IFERROR(IF(OR(C44="",Q44=0,Q44=""),"",($C44/$P44)),""),'Painel Geral'!$B$5="3º Quartil",IFERROR(IF(OR(C44="",Q44=0,Q44=""),"",($C44/$R44)),""),'Painel Geral'!$B$5="Maior Salário",IFERROR(IF(OR(C44="",Q44=0,Q44=""),"",($C44/$S44)),""))</f>
        <v>0.3733376441</v>
      </c>
      <c r="U44" s="199" t="str">
        <f t="shared" si="3"/>
        <v>Muito Defasado</v>
      </c>
      <c r="V44" s="201"/>
      <c r="W44" s="201"/>
      <c r="X44" s="201"/>
      <c r="Y44" s="201"/>
      <c r="Z44" s="232">
        <v>23.0</v>
      </c>
      <c r="AA44" s="233">
        <f t="shared" si="6"/>
        <v>25905.73</v>
      </c>
      <c r="AB44" s="224">
        <f t="shared" si="7"/>
        <v>0.1846887016</v>
      </c>
      <c r="AC44" s="235"/>
      <c r="AD44" s="201"/>
      <c r="AE44" s="201"/>
      <c r="AF44" s="201"/>
      <c r="AG44" s="201"/>
      <c r="AH44" s="201"/>
      <c r="AI44" s="201"/>
      <c r="AJ44" s="201"/>
      <c r="AK44" s="201"/>
      <c r="AL44" s="201"/>
      <c r="AM44" s="201"/>
      <c r="AN44" s="201"/>
      <c r="AO44" s="201"/>
      <c r="AP44" s="201"/>
    </row>
    <row r="45" ht="15.75" customHeight="1">
      <c r="A45" s="184" t="s">
        <v>109</v>
      </c>
      <c r="B45" s="185" t="str">
        <f>VLOOKUP(A45,Jobmatch!A:G,2,0)</f>
        <v>COORDENADOR DE OBRAS</v>
      </c>
      <c r="C45" s="186">
        <f>IFERROR(AVERAGEIF('Folha de Pagamento'!A:A,A45,'Folha de Pagamento'!J:J),"")</f>
        <v>8714</v>
      </c>
      <c r="D45" s="187">
        <v>5.0</v>
      </c>
      <c r="E45" s="185" t="str">
        <f>VLOOKUP(A45,Jobmatch!A:H,3,0)</f>
        <v>Edificação</v>
      </c>
      <c r="F45" s="188" t="s">
        <v>345</v>
      </c>
      <c r="G45" s="190" t="str">
        <f>VLOOKUP(A45,Jobmatch!A:I,4,0)</f>
        <v>37 - ADM PROJETOS</v>
      </c>
      <c r="H45" s="191" t="str">
        <f>VLOOKUP(A45,Jobmatch!A:I,5,0)</f>
        <v>Tático</v>
      </c>
      <c r="I45" s="192">
        <f>VLOOKUP(A45,Jobmatch!A:I,6,0)</f>
        <v>209</v>
      </c>
      <c r="J45" s="190" t="str">
        <f>VLOOKUP(A45,Jobmatch!A:I,7,0)</f>
        <v>Coordenador de Obras</v>
      </c>
      <c r="K45" s="193" t="str">
        <f>VLOOKUP(A45,Jobmatch!A:I,8,0)</f>
        <v>Indiferente</v>
      </c>
      <c r="L45" s="194" t="str">
        <f t="shared" si="2"/>
        <v>209Indiferente</v>
      </c>
      <c r="M45" s="195">
        <f>COUNTIF('Folha de Pagamento'!A:A,A45)</f>
        <v>1</v>
      </c>
      <c r="N45" s="216">
        <v>20.0</v>
      </c>
      <c r="O45" s="196">
        <f>IFERROR(VLOOKUP(L45,'C-01'!$D:$L,5,0),"")</f>
        <v>10017.83</v>
      </c>
      <c r="P45" s="196">
        <f>IFERROR(VLOOKUP(L45,'C-01'!$D:$L,6,0),"")</f>
        <v>16217.22</v>
      </c>
      <c r="Q45" s="196">
        <f>IFERROR(VLOOKUP(L45,'C-01'!$D:$L,7,0),"")</f>
        <v>16164.64</v>
      </c>
      <c r="R45" s="196">
        <f>IFERROR(VLOOKUP(L45,'C-01'!$D:$L,8,0),"")</f>
        <v>23908.2</v>
      </c>
      <c r="S45" s="197">
        <f>IFERROR(VLOOKUP(L45,'C-01'!$D:$L,9,0),"")</f>
        <v>23908.2</v>
      </c>
      <c r="T45" s="198">
        <f>IFS('Painel Geral'!$B$5="Mediana",IFERROR(IF(OR(C45="",Q45=0,Q45=""),"",($C45/$Q45)),""),'Painel Geral'!$B$5="Menor Salário",IFERROR(IF(OR(C45="",Q45=0,Q45=""),"",($C45/$N45)),""),'Painel Geral'!$B$5="1º Quartil",IFERROR(IF(OR(C45="",Q45=0,Q45=""),"",($C45/$O45)),""), 'Painel Geral'!$B$5="Média",IFERROR(IF(OR(C45="",Q45=0,Q45=""),"",($C45/$P45)),""),'Painel Geral'!$B$5="3º Quartil",IFERROR(IF(OR(C45="",Q45=0,Q45=""),"",($C45/$R45)),""),'Painel Geral'!$B$5="Maior Salário",IFERROR(IF(OR(C45="",Q45=0,Q45=""),"",($C45/$S45)),""))</f>
        <v>0.5390778885</v>
      </c>
      <c r="U45" s="199" t="str">
        <f t="shared" si="3"/>
        <v>Muito Defasado</v>
      </c>
      <c r="V45" s="201"/>
      <c r="W45" s="201"/>
      <c r="X45" s="201"/>
      <c r="Y45" s="201"/>
      <c r="Z45" s="232">
        <v>24.0</v>
      </c>
      <c r="AA45" s="233">
        <f t="shared" si="6"/>
        <v>30488.56</v>
      </c>
      <c r="AB45" s="224">
        <f t="shared" si="7"/>
        <v>0.1769041058</v>
      </c>
      <c r="AC45" s="235"/>
      <c r="AD45" s="201"/>
      <c r="AE45" s="201"/>
      <c r="AF45" s="201"/>
      <c r="AG45" s="201"/>
      <c r="AH45" s="201"/>
      <c r="AI45" s="201"/>
      <c r="AJ45" s="201"/>
      <c r="AK45" s="201"/>
      <c r="AL45" s="201"/>
      <c r="AM45" s="201"/>
      <c r="AN45" s="201"/>
      <c r="AO45" s="201"/>
      <c r="AP45" s="201"/>
    </row>
    <row r="46" ht="15.75" customHeight="1">
      <c r="A46" s="184" t="s">
        <v>95</v>
      </c>
      <c r="B46" s="185" t="str">
        <f>VLOOKUP(A46,Jobmatch!A:G,2,0)</f>
        <v>CONTROLLER GERAL</v>
      </c>
      <c r="C46" s="186">
        <f>IFERROR(AVERAGEIF('Folha de Pagamento'!A:A,A46,'Folha de Pagamento'!J:J),"")</f>
        <v>11678.83212</v>
      </c>
      <c r="D46" s="187">
        <v>3.0</v>
      </c>
      <c r="E46" s="185" t="str">
        <f>VLOOKUP(A46,Jobmatch!A:H,3,0)</f>
        <v>Controladoria</v>
      </c>
      <c r="F46" s="188" t="s">
        <v>338</v>
      </c>
      <c r="G46" s="190" t="str">
        <f>VLOOKUP(A46,Jobmatch!A:I,4,0)</f>
        <v>32 - ADM PROJETOS</v>
      </c>
      <c r="H46" s="191" t="str">
        <f>VLOOKUP(A46,Jobmatch!A:I,5,0)</f>
        <v>Tático</v>
      </c>
      <c r="I46" s="192">
        <f>VLOOKUP(A46,Jobmatch!A:I,6,0)</f>
        <v>95</v>
      </c>
      <c r="J46" s="190" t="str">
        <f>VLOOKUP(A46,Jobmatch!A:I,7,0)</f>
        <v>Controller</v>
      </c>
      <c r="K46" s="193" t="str">
        <f>VLOOKUP(A46,Jobmatch!A:I,8,0)</f>
        <v>Indiferente</v>
      </c>
      <c r="L46" s="194" t="str">
        <f t="shared" si="2"/>
        <v>95Indiferente</v>
      </c>
      <c r="M46" s="195">
        <f>COUNTIF('Folha de Pagamento'!A:A,A46)</f>
        <v>1</v>
      </c>
      <c r="N46" s="216">
        <v>20.0</v>
      </c>
      <c r="O46" s="196">
        <f>IFERROR(VLOOKUP(L46,'C-01'!$D:$L,5,0),"")</f>
        <v>15472.01</v>
      </c>
      <c r="P46" s="196">
        <f>IFERROR(VLOOKUP(L46,'C-01'!$D:$L,6,0),"")</f>
        <v>16594.35</v>
      </c>
      <c r="Q46" s="196">
        <f>IFERROR(VLOOKUP(L46,'C-01'!$D:$L,7,0),"")</f>
        <v>16581.68</v>
      </c>
      <c r="R46" s="196">
        <f>IFERROR(VLOOKUP(L46,'C-01'!$D:$L,8,0),"")</f>
        <v>17497.31</v>
      </c>
      <c r="S46" s="197">
        <f>IFERROR(VLOOKUP(L46,'C-01'!$D:$L,9,0),"")</f>
        <v>18846.04</v>
      </c>
      <c r="T46" s="198">
        <f>IFS('Painel Geral'!$B$5="Mediana",IFERROR(IF(OR(C46="",Q46=0,Q46=""),"",($C46/$Q46)),""),'Painel Geral'!$B$5="Menor Salário",IFERROR(IF(OR(C46="",Q46=0,Q46=""),"",($C46/$N46)),""),'Painel Geral'!$B$5="1º Quartil",IFERROR(IF(OR(C46="",Q46=0,Q46=""),"",($C46/$O46)),""), 'Painel Geral'!$B$5="Média",IFERROR(IF(OR(C46="",Q46=0,Q46=""),"",($C46/$P46)),""),'Painel Geral'!$B$5="3º Quartil",IFERROR(IF(OR(C46="",Q46=0,Q46=""),"",($C46/$R46)),""),'Painel Geral'!$B$5="Maior Salário",IFERROR(IF(OR(C46="",Q46=0,Q46=""),"",($C46/$S46)),""))</f>
        <v>0.7043214027</v>
      </c>
      <c r="U46" s="199" t="str">
        <f t="shared" si="3"/>
        <v>Muito Defasado</v>
      </c>
      <c r="V46" s="201"/>
      <c r="W46" s="201"/>
      <c r="X46" s="201"/>
      <c r="Y46" s="201"/>
      <c r="Z46" s="232">
        <v>25.0</v>
      </c>
      <c r="AA46" s="233">
        <f t="shared" si="6"/>
        <v>35652.75</v>
      </c>
      <c r="AB46" s="224">
        <f t="shared" si="7"/>
        <v>0.1693812368</v>
      </c>
      <c r="AC46" s="235"/>
      <c r="AD46" s="201"/>
      <c r="AE46" s="201"/>
      <c r="AF46" s="201"/>
      <c r="AG46" s="201"/>
      <c r="AH46" s="201"/>
      <c r="AI46" s="201"/>
      <c r="AJ46" s="201"/>
      <c r="AK46" s="201"/>
      <c r="AL46" s="201"/>
      <c r="AM46" s="201"/>
      <c r="AN46" s="201"/>
      <c r="AO46" s="201"/>
      <c r="AP46" s="201"/>
    </row>
    <row r="47" ht="15.75" customHeight="1">
      <c r="A47" s="184" t="s">
        <v>118</v>
      </c>
      <c r="B47" s="185" t="str">
        <f>VLOOKUP(A47,Jobmatch!A:G,2,0)</f>
        <v>DIRETOR</v>
      </c>
      <c r="C47" s="186">
        <f>IFERROR(AVERAGEIF('Folha de Pagamento'!A:A,A47,'Folha de Pagamento'!J:J),"")</f>
        <v>55769.23077</v>
      </c>
      <c r="D47" s="187">
        <v>2.0</v>
      </c>
      <c r="E47" s="185" t="str">
        <f>VLOOKUP(A47,Jobmatch!A:H,3,0)</f>
        <v>Comercial</v>
      </c>
      <c r="F47" s="188" t="s">
        <v>332</v>
      </c>
      <c r="G47" s="190" t="str">
        <f>VLOOKUP(A47,Jobmatch!A:I,4,0)</f>
        <v>40 - ADM PROJETOS</v>
      </c>
      <c r="H47" s="191" t="str">
        <f>VLOOKUP(A47,Jobmatch!A:I,5,0)</f>
        <v>Estratégico</v>
      </c>
      <c r="I47" s="192">
        <f>VLOOKUP(A47,Jobmatch!A:I,6,0)</f>
        <v>456</v>
      </c>
      <c r="J47" s="190" t="str">
        <f>VLOOKUP(A47,Jobmatch!A:I,7,0)</f>
        <v>CEO</v>
      </c>
      <c r="K47" s="193" t="str">
        <f>VLOOKUP(A47,Jobmatch!A:I,8,0)</f>
        <v>Indiferente</v>
      </c>
      <c r="L47" s="194" t="str">
        <f t="shared" si="2"/>
        <v>456Indiferente</v>
      </c>
      <c r="M47" s="195">
        <f>COUNTIF('Folha de Pagamento'!A:A,A47)</f>
        <v>1</v>
      </c>
      <c r="N47" s="216">
        <v>24.0</v>
      </c>
      <c r="O47" s="196">
        <f>IFERROR(VLOOKUP(L47,'C-01'!$D:$L,5,0),"")</f>
        <v>24816.78</v>
      </c>
      <c r="P47" s="196">
        <f>IFERROR(VLOOKUP(L47,'C-01'!$D:$L,6,0),"")</f>
        <v>32648.36</v>
      </c>
      <c r="Q47" s="196">
        <f>IFERROR(VLOOKUP(L47,'C-01'!$D:$L,7,0),"")</f>
        <v>29147.75</v>
      </c>
      <c r="R47" s="196">
        <f>IFERROR(VLOOKUP(L47,'C-01'!$D:$L,8,0),"")</f>
        <v>37122.89</v>
      </c>
      <c r="S47" s="197">
        <f>IFERROR(VLOOKUP(L47,'C-01'!$D:$L,9,0),"")</f>
        <v>55429.54</v>
      </c>
      <c r="T47" s="198">
        <f>IFS('Painel Geral'!$B$5="Mediana",IFERROR(IF(OR(C47="",Q47=0,Q47=""),"",($C47/$Q47)),""),'Painel Geral'!$B$5="Menor Salário",IFERROR(IF(OR(C47="",Q47=0,Q47=""),"",($C47/$N47)),""),'Painel Geral'!$B$5="1º Quartil",IFERROR(IF(OR(C47="",Q47=0,Q47=""),"",($C47/$O47)),""), 'Painel Geral'!$B$5="Média",IFERROR(IF(OR(C47="",Q47=0,Q47=""),"",($C47/$P47)),""),'Painel Geral'!$B$5="3º Quartil",IFERROR(IF(OR(C47="",Q47=0,Q47=""),"",($C47/$R47)),""),'Painel Geral'!$B$5="Maior Salário",IFERROR(IF(OR(C47="",Q47=0,Q47=""),"",($C47/$S47)),""))</f>
        <v>1.913328843</v>
      </c>
      <c r="U47" s="199" t="str">
        <f t="shared" si="3"/>
        <v>Agressivo</v>
      </c>
      <c r="V47" s="201"/>
      <c r="W47" s="201"/>
      <c r="X47" s="201"/>
      <c r="Z47" s="232">
        <v>26.0</v>
      </c>
      <c r="AA47" s="233">
        <f t="shared" si="6"/>
        <v>41435.44</v>
      </c>
      <c r="AB47" s="224">
        <f t="shared" si="7"/>
        <v>0.1621947816</v>
      </c>
      <c r="AD47" s="201"/>
      <c r="AE47" s="201"/>
      <c r="AF47" s="201"/>
      <c r="AG47" s="201"/>
      <c r="AH47" s="201"/>
      <c r="AI47" s="201"/>
      <c r="AJ47" s="201"/>
      <c r="AK47" s="201"/>
      <c r="AL47" s="201"/>
      <c r="AM47" s="201"/>
      <c r="AN47" s="201"/>
      <c r="AO47" s="201"/>
      <c r="AP47" s="201"/>
    </row>
    <row r="48" ht="15.75" customHeight="1">
      <c r="A48" s="200"/>
      <c r="B48" s="201"/>
      <c r="C48" s="202"/>
      <c r="D48" s="203"/>
      <c r="E48" s="201"/>
      <c r="F48" s="204"/>
      <c r="G48" s="205"/>
      <c r="H48" s="205"/>
      <c r="I48" s="206"/>
      <c r="J48" s="205"/>
      <c r="K48" s="205"/>
      <c r="L48" s="201"/>
      <c r="M48" s="207"/>
      <c r="N48" s="206">
        <v>28.0</v>
      </c>
      <c r="O48" s="208"/>
      <c r="P48" s="208"/>
      <c r="Q48" s="236">
        <v>55769.230769230766</v>
      </c>
      <c r="R48" s="208"/>
      <c r="S48" s="208"/>
      <c r="T48" s="209"/>
      <c r="U48" s="210"/>
      <c r="V48" s="201"/>
      <c r="W48" s="201"/>
      <c r="X48" s="201"/>
      <c r="Z48" s="232">
        <v>27.0</v>
      </c>
      <c r="AA48" s="233">
        <f t="shared" si="6"/>
        <v>47873.77</v>
      </c>
      <c r="AB48" s="224">
        <f t="shared" si="7"/>
        <v>0.1553822042</v>
      </c>
      <c r="AD48" s="201"/>
      <c r="AE48" s="201"/>
      <c r="AF48" s="201"/>
      <c r="AG48" s="201"/>
      <c r="AH48" s="201"/>
      <c r="AI48" s="201"/>
      <c r="AJ48" s="201"/>
      <c r="AK48" s="201"/>
      <c r="AL48" s="201"/>
      <c r="AM48" s="201"/>
      <c r="AN48" s="201"/>
      <c r="AO48" s="201"/>
      <c r="AP48" s="201"/>
    </row>
    <row r="49" ht="15.75" customHeight="1">
      <c r="A49" s="200"/>
      <c r="B49" s="201"/>
      <c r="C49" s="202"/>
      <c r="D49" s="203"/>
      <c r="E49" s="201"/>
      <c r="F49" s="204"/>
      <c r="G49" s="205"/>
      <c r="H49" s="205"/>
      <c r="I49" s="206"/>
      <c r="J49" s="205"/>
      <c r="K49" s="205"/>
      <c r="L49" s="201"/>
      <c r="M49" s="207"/>
      <c r="N49" s="206"/>
      <c r="O49" s="208"/>
      <c r="P49" s="208"/>
      <c r="Q49" s="237"/>
      <c r="R49" s="208"/>
      <c r="S49" s="208"/>
      <c r="T49" s="209"/>
      <c r="U49" s="210"/>
      <c r="V49" s="201"/>
      <c r="W49" s="201"/>
      <c r="X49" s="201"/>
      <c r="Z49" s="232">
        <v>28.0</v>
      </c>
      <c r="AA49" s="233">
        <f t="shared" si="6"/>
        <v>55004.88</v>
      </c>
      <c r="AB49" s="224">
        <f t="shared" si="7"/>
        <v>0.1489565163</v>
      </c>
      <c r="AD49" s="201"/>
      <c r="AE49" s="201"/>
      <c r="AF49" s="201"/>
      <c r="AG49" s="201"/>
      <c r="AH49" s="201"/>
      <c r="AI49" s="201"/>
      <c r="AJ49" s="201"/>
      <c r="AK49" s="201"/>
      <c r="AL49" s="201"/>
      <c r="AM49" s="201"/>
      <c r="AN49" s="201"/>
      <c r="AO49" s="201"/>
      <c r="AP49" s="201"/>
    </row>
  </sheetData>
  <autoFilter ref="$A$3:$U$48">
    <sortState ref="A3:U48">
      <sortCondition ref="Q3:Q48"/>
      <sortCondition ref="E3:E48"/>
    </sortState>
  </autoFilter>
  <customSheetViews>
    <customSheetView guid="{0075A802-B66C-4D7D-929F-34C2F59AE8A9}" filter="1" showAutoFilter="1">
      <autoFilter ref="$A$3:$U$48"/>
    </customSheetView>
    <customSheetView guid="{3C6918C3-D868-4D69-A6CD-504F4B52EE22}" filter="1" showAutoFilter="1">
      <autoFilter ref="$A$3:$U$48"/>
    </customSheetView>
    <customSheetView guid="{96C31A28-1028-4009-9DE6-63B3CF4DFB9B}" filter="1" showAutoFilter="1">
      <autoFilter ref="$A$3:$U$48"/>
    </customSheetView>
    <customSheetView guid="{B41F88BD-3F58-45D0-A0E7-C0E19BA24239}" filter="1" showAutoFilter="1">
      <autoFilter ref="$A$3:$U$48"/>
    </customSheetView>
    <customSheetView guid="{9ED18B37-6EB4-4260-A5FA-FAFBE39E0B69}" filter="1" showAutoFilter="1">
      <autoFilter ref="$A$3:$U$48"/>
    </customSheetView>
    <customSheetView guid="{45EEC70B-EA86-49D3-A588-0A0D84BF9E52}" filter="1" showAutoFilter="1">
      <autoFilter ref="$B$1:$U$1"/>
    </customSheetView>
    <customSheetView guid="{A7CC0C28-C4CD-4D76-B1EF-29E890F45AC8}" filter="1" showAutoFilter="1">
      <autoFilter ref="$A$3:$U$48">
        <filterColumn colId="9">
          <filters blank="1">
            <filter val="Analista de Marketing"/>
            <filter val="Almoxarife"/>
            <filter val="Assistente de Engenharia"/>
            <filter val="Coordenador Financeiro"/>
            <filter val="Analista de Criação"/>
            <filter val="Analista de Controladoria"/>
            <filter val="Assistente de Recursos Humanos"/>
            <filter val="Gerente de Relacionamento"/>
            <filter val="Gerente Administrativo"/>
            <filter val="Coordenador de Obras"/>
            <filter val="Analista de Compras"/>
            <filter val="Coordenador de Legalização"/>
            <filter val="Coordenador de Marketing"/>
            <filter val="Coordenador de Compras"/>
            <filter val="Analista de Custos"/>
            <filter val="Mestre de Obras"/>
            <filter val="Auxiliar de Engenharia"/>
            <filter val="Gerente de Operações"/>
            <filter val="Analista de Urbanismo"/>
            <filter val="Assistente Administrativo"/>
            <filter val="Analista Comercial"/>
            <filter val="Assistente de Tecnologia da Informação"/>
            <filter val="Técnico em Edificações"/>
            <filter val="Controller"/>
            <filter val="CEO"/>
            <filter val="Assistente de Legalização"/>
            <filter val="Auxiliar de Atendimento"/>
            <filter val="Assistente de Controladoria"/>
            <filter val="Coordenador de Recursos Humanos"/>
            <filter val="Assistente de Marketing"/>
            <filter val="Analista de Inovação"/>
            <filter val="Gerente Comercial"/>
            <filter val="Auxiliar Administrativo"/>
            <filter val="Assistente Financeiro"/>
            <filter val="Engenheiro de Urbanismo"/>
          </filters>
        </filterColumn>
      </autoFilter>
    </customSheetView>
  </customSheetViews>
  <mergeCells count="1">
    <mergeCell ref="O1:Q1"/>
  </mergeCells>
  <printOptions/>
  <pageMargins bottom="0.787401575" footer="0.0" header="0.0" left="0.511811024" right="0.511811024" top="0.7874015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7.0"/>
    <col customWidth="1" min="2" max="2" width="23.88"/>
    <col customWidth="1" min="3" max="3" width="15.75"/>
    <col customWidth="1" hidden="1" min="4" max="4" width="10.25"/>
    <col customWidth="1" hidden="1" min="5" max="5" width="22.63"/>
    <col customWidth="1" min="6" max="6" width="22.63"/>
    <col customWidth="1" hidden="1" min="7" max="7" width="25.13"/>
    <col customWidth="1" hidden="1" min="8" max="8" width="19.88"/>
    <col customWidth="1" hidden="1" min="9" max="9" width="13.0"/>
    <col customWidth="1" hidden="1" min="10" max="10" width="28.88"/>
    <col customWidth="1" hidden="1" min="11" max="11" width="11.75"/>
    <col customWidth="1" hidden="1" min="12" max="12" width="17.38"/>
    <col customWidth="1" hidden="1" min="13" max="13" width="21.63"/>
    <col customWidth="1" min="14" max="14" width="14.75"/>
    <col customWidth="1" hidden="1" min="15" max="15" width="10.88"/>
    <col customWidth="1" hidden="1" min="16" max="16" width="10.13"/>
    <col customWidth="1" min="17" max="17" width="10.13"/>
    <col customWidth="1" hidden="1" min="18" max="18" width="10.88"/>
    <col customWidth="1" hidden="1" min="19" max="19" width="14.0"/>
    <col customWidth="1" hidden="1" min="20" max="20" width="18.75"/>
    <col customWidth="1" hidden="1" min="21" max="21" width="27.38"/>
    <col customWidth="1" min="22" max="22" width="7.88"/>
    <col customWidth="1" min="23" max="42" width="6.63"/>
  </cols>
  <sheetData>
    <row r="1">
      <c r="B1" s="157"/>
      <c r="C1" s="157"/>
      <c r="D1" s="157"/>
      <c r="E1" s="157"/>
      <c r="F1" s="157"/>
      <c r="G1" s="157"/>
      <c r="H1" s="157"/>
      <c r="I1" s="158" t="s">
        <v>314</v>
      </c>
      <c r="J1" s="157"/>
      <c r="K1" s="157"/>
      <c r="L1" s="157"/>
      <c r="M1" s="157"/>
      <c r="N1" s="159"/>
      <c r="O1" s="159" t="str">
        <f>'Informações Relevantes Cenário'!A1</f>
        <v>Cenário 01: Pesquisas Consolidadas - Nacional</v>
      </c>
      <c r="P1" s="160"/>
      <c r="Q1" s="160"/>
      <c r="R1" s="161"/>
      <c r="S1" s="162"/>
      <c r="T1" s="163" t="str">
        <f>"% Distância da "&amp;'Painel Geral'!B5</f>
        <v>% Distância da Mediana</v>
      </c>
      <c r="U1" s="163" t="s">
        <v>315</v>
      </c>
      <c r="V1" s="213"/>
      <c r="W1" s="213"/>
      <c r="X1" s="213"/>
      <c r="Y1" s="213"/>
      <c r="Z1" s="213"/>
      <c r="AA1" s="213"/>
      <c r="AB1" s="213"/>
      <c r="AC1" s="213"/>
      <c r="AD1" s="213"/>
      <c r="AE1" s="213"/>
      <c r="AF1" s="213"/>
      <c r="AG1" s="213"/>
      <c r="AH1" s="213"/>
      <c r="AI1" s="213"/>
      <c r="AJ1" s="213"/>
      <c r="AK1" s="213"/>
      <c r="AL1" s="213"/>
      <c r="AM1" s="213"/>
      <c r="AN1" s="213"/>
      <c r="AO1" s="213"/>
      <c r="AP1" s="213"/>
    </row>
    <row r="2" ht="6.0" customHeight="1">
      <c r="A2" s="164"/>
      <c r="B2" s="165"/>
      <c r="C2" s="166"/>
      <c r="D2" s="167"/>
      <c r="E2" s="165"/>
      <c r="F2" s="165"/>
      <c r="G2" s="165"/>
      <c r="H2" s="165"/>
      <c r="I2" s="167"/>
      <c r="J2" s="165"/>
      <c r="K2" s="165"/>
      <c r="L2" s="165"/>
      <c r="M2" s="168"/>
      <c r="N2" s="214"/>
      <c r="O2" s="169"/>
      <c r="P2" s="169"/>
      <c r="Q2" s="169"/>
      <c r="R2" s="169"/>
      <c r="S2" s="170"/>
      <c r="T2" s="171"/>
      <c r="U2" s="170"/>
      <c r="V2" s="207"/>
      <c r="W2" s="207"/>
      <c r="X2" s="207"/>
      <c r="Y2" s="207"/>
      <c r="Z2" s="207"/>
      <c r="AA2" s="207"/>
      <c r="AB2" s="207"/>
      <c r="AC2" s="207"/>
      <c r="AD2" s="207"/>
      <c r="AE2" s="207"/>
      <c r="AF2" s="207"/>
      <c r="AG2" s="207"/>
      <c r="AH2" s="207"/>
      <c r="AI2" s="207"/>
      <c r="AJ2" s="207"/>
      <c r="AK2" s="207"/>
      <c r="AL2" s="207"/>
      <c r="AM2" s="207"/>
      <c r="AN2" s="207"/>
      <c r="AO2" s="207"/>
      <c r="AP2" s="207"/>
    </row>
    <row r="3">
      <c r="A3" s="172" t="s">
        <v>2</v>
      </c>
      <c r="B3" s="173" t="s">
        <v>203</v>
      </c>
      <c r="C3" s="174" t="s">
        <v>316</v>
      </c>
      <c r="D3" s="175" t="s">
        <v>317</v>
      </c>
      <c r="E3" s="175" t="s">
        <v>318</v>
      </c>
      <c r="F3" s="175" t="s">
        <v>5</v>
      </c>
      <c r="G3" s="175" t="s">
        <v>319</v>
      </c>
      <c r="H3" s="176" t="s">
        <v>7</v>
      </c>
      <c r="I3" s="176" t="s">
        <v>204</v>
      </c>
      <c r="J3" s="176" t="s">
        <v>205</v>
      </c>
      <c r="K3" s="177" t="s">
        <v>6</v>
      </c>
      <c r="L3" s="178" t="s">
        <v>320</v>
      </c>
      <c r="M3" s="179" t="s">
        <v>321</v>
      </c>
      <c r="N3" s="215"/>
      <c r="O3" s="180" t="s">
        <v>323</v>
      </c>
      <c r="P3" s="180" t="s">
        <v>324</v>
      </c>
      <c r="Q3" s="180" t="s">
        <v>325</v>
      </c>
      <c r="R3" s="180" t="s">
        <v>326</v>
      </c>
      <c r="S3" s="181" t="s">
        <v>327</v>
      </c>
      <c r="T3" s="182" t="s">
        <v>328</v>
      </c>
      <c r="U3" s="183" t="s">
        <v>329</v>
      </c>
      <c r="V3" s="207"/>
      <c r="W3" s="207"/>
      <c r="X3" s="207"/>
      <c r="Y3" s="207"/>
      <c r="Z3" s="207"/>
      <c r="AA3" s="207"/>
      <c r="AB3" s="207"/>
      <c r="AC3" s="207"/>
      <c r="AD3" s="207"/>
      <c r="AE3" s="207"/>
      <c r="AF3" s="207"/>
      <c r="AG3" s="207"/>
      <c r="AH3" s="207"/>
      <c r="AI3" s="207"/>
      <c r="AJ3" s="207"/>
      <c r="AK3" s="207"/>
      <c r="AL3" s="207"/>
      <c r="AM3" s="207"/>
      <c r="AN3" s="207"/>
      <c r="AO3" s="207"/>
      <c r="AP3" s="207"/>
    </row>
    <row r="4" ht="15.75" customHeight="1">
      <c r="A4" s="184" t="s">
        <v>87</v>
      </c>
      <c r="B4" s="185" t="str">
        <f>VLOOKUP(A4,Jobmatch!A:G,2,0)</f>
        <v>AUXILIAR DE ATENDIMENTO II</v>
      </c>
      <c r="C4" s="186">
        <f>IFERROR(AVERAGEIF('Folha de Pagamento'!A:A,A4,'Folha de Pagamento'!J:J),"")</f>
        <v>2560</v>
      </c>
      <c r="D4" s="187">
        <v>1.0</v>
      </c>
      <c r="E4" s="185" t="str">
        <f>VLOOKUP(A4,Jobmatch!A:H,3,0)</f>
        <v>Recepção</v>
      </c>
      <c r="F4" s="188" t="s">
        <v>366</v>
      </c>
      <c r="G4" s="190" t="str">
        <f>VLOOKUP(A4,Jobmatch!A:I,4,0)</f>
        <v>29 - ADM PROJETOS</v>
      </c>
      <c r="H4" s="191" t="str">
        <f>VLOOKUP(A4,Jobmatch!A:I,5,0)</f>
        <v>Operacional</v>
      </c>
      <c r="I4" s="192">
        <f>VLOOKUP(A4,Jobmatch!A:I,6,0)</f>
        <v>318</v>
      </c>
      <c r="J4" s="190" t="str">
        <f>VLOOKUP(A4,Jobmatch!A:I,7,0)</f>
        <v>Auxiliar de Atendimento</v>
      </c>
      <c r="K4" s="193" t="str">
        <f>VLOOKUP(A4,Jobmatch!A:I,8,0)</f>
        <v>Indiferente</v>
      </c>
      <c r="L4" s="194" t="str">
        <f t="shared" ref="L4:L47" si="2">I4&amp;K4</f>
        <v>318Indiferente</v>
      </c>
      <c r="M4" s="195">
        <f>COUNTIF('Folha de Pagamento'!A:A,A4)</f>
        <v>1</v>
      </c>
      <c r="N4" s="238">
        <v>10.0</v>
      </c>
      <c r="O4" s="196">
        <f>IFERROR(VLOOKUP(L4,'C-01'!$D:$L,5,0),"")</f>
        <v>1778.55</v>
      </c>
      <c r="P4" s="196">
        <f>IFERROR(VLOOKUP(L4,'C-01'!$D:$L,6,0),"")</f>
        <v>2041.06</v>
      </c>
      <c r="Q4" s="196">
        <f>IFERROR(VLOOKUP(L4,'C-01'!$D:$L,7,0),"")</f>
        <v>2052.94</v>
      </c>
      <c r="R4" s="196">
        <f>IFERROR(VLOOKUP(L4,'C-01'!$D:$L,8,0),"")</f>
        <v>2169.15</v>
      </c>
      <c r="S4" s="197">
        <f>IFERROR(VLOOKUP(L4,'C-01'!$D:$L,9,0),"")</f>
        <v>2574.08</v>
      </c>
      <c r="T4" s="198">
        <f>IFS('Painel Geral'!$B$5="Mediana",IFERROR(IF(OR(C4="",Q4=0,Q4=""),"",($C4/$Q4)),""),'Painel Geral'!$B$5="Menor Salário",IFERROR(IF(OR(C4="",Q4=0,Q4=""),"",($C4/$N4)),""),'Painel Geral'!$B$5="1º Quartil",IFERROR(IF(OR(C4="",Q4=0,Q4=""),"",($C4/$O4)),""), 'Painel Geral'!$B$5="Média",IFERROR(IF(OR(C4="",Q4=0,Q4=""),"",($C4/$P4)),""),'Painel Geral'!$B$5="3º Quartil",IFERROR(IF(OR(C4="",Q4=0,Q4=""),"",($C4/$R4)),""),'Painel Geral'!$B$5="Maior Salário",IFERROR(IF(OR(C4="",Q4=0,Q4=""),"",($C4/$S4)),""))</f>
        <v>1.246992119</v>
      </c>
      <c r="U4" s="199" t="str">
        <f t="shared" ref="U4:U47" si="3">IFS(OR(N4="",N4=0,C4="", C4=0),"",T4&lt;=80%,"Muito Defasado",T4&lt;=90%,"Defasado",T4&lt;=100%,"Na Média",T4&lt;=110%,"Competitivo",T4&lt;=120%,"Muito Competitivo",T4&gt;120%,"Agressivo")</f>
        <v>Agressivo</v>
      </c>
      <c r="V4" s="201">
        <f>Q4*1.2</f>
        <v>2463.528</v>
      </c>
      <c r="W4" s="201">
        <f t="shared" ref="W4:AJ4" si="1">V4*1.2</f>
        <v>2956.2336</v>
      </c>
      <c r="X4" s="201">
        <f t="shared" si="1"/>
        <v>3547.48032</v>
      </c>
      <c r="Y4" s="201">
        <f t="shared" si="1"/>
        <v>4256.976384</v>
      </c>
      <c r="Z4" s="201">
        <f t="shared" si="1"/>
        <v>5108.371661</v>
      </c>
      <c r="AA4" s="201">
        <f t="shared" si="1"/>
        <v>6130.045993</v>
      </c>
      <c r="AB4" s="201">
        <f t="shared" si="1"/>
        <v>7356.055192</v>
      </c>
      <c r="AC4" s="201">
        <f t="shared" si="1"/>
        <v>8827.26623</v>
      </c>
      <c r="AD4" s="201">
        <f t="shared" si="1"/>
        <v>10592.71948</v>
      </c>
      <c r="AE4" s="201">
        <f t="shared" si="1"/>
        <v>12711.26337</v>
      </c>
      <c r="AF4" s="201">
        <f t="shared" si="1"/>
        <v>15253.51605</v>
      </c>
      <c r="AG4" s="201">
        <f t="shared" si="1"/>
        <v>18304.21925</v>
      </c>
      <c r="AH4" s="201">
        <f t="shared" si="1"/>
        <v>21965.06311</v>
      </c>
      <c r="AI4" s="201">
        <f t="shared" si="1"/>
        <v>26358.07573</v>
      </c>
      <c r="AJ4" s="201">
        <f t="shared" si="1"/>
        <v>31629.69087</v>
      </c>
      <c r="AK4" s="201"/>
      <c r="AL4" s="201"/>
      <c r="AM4" s="201"/>
      <c r="AN4" s="201"/>
      <c r="AO4" s="201"/>
      <c r="AP4" s="201"/>
    </row>
    <row r="5" ht="15.75" customHeight="1">
      <c r="A5" s="184" t="s">
        <v>83</v>
      </c>
      <c r="B5" s="185" t="str">
        <f>VLOOKUP(A5,Jobmatch!A:G,2,0)</f>
        <v>AUXILIAR ADMINISTRATIVO</v>
      </c>
      <c r="C5" s="186">
        <f>IFERROR(AVERAGEIF('Folha de Pagamento'!A:A,A5,'Folha de Pagamento'!J:J),"")</f>
        <v>2254</v>
      </c>
      <c r="D5" s="187">
        <v>1.0</v>
      </c>
      <c r="E5" s="185" t="str">
        <f>VLOOKUP(A5,Jobmatch!A:H,3,0)</f>
        <v>Administrativo</v>
      </c>
      <c r="F5" s="188" t="s">
        <v>252</v>
      </c>
      <c r="G5" s="190" t="str">
        <f>VLOOKUP(A5,Jobmatch!A:I,4,0)</f>
        <v>27 - ADM PROJETOS</v>
      </c>
      <c r="H5" s="191" t="str">
        <f>VLOOKUP(A5,Jobmatch!A:I,5,0)</f>
        <v>Operacional</v>
      </c>
      <c r="I5" s="192">
        <f>VLOOKUP(A5,Jobmatch!A:I,6,0)</f>
        <v>83</v>
      </c>
      <c r="J5" s="190" t="str">
        <f>VLOOKUP(A5,Jobmatch!A:I,7,0)</f>
        <v>Auxiliar Administrativo</v>
      </c>
      <c r="K5" s="193" t="str">
        <f>VLOOKUP(A5,Jobmatch!A:I,8,0)</f>
        <v>Indiferente</v>
      </c>
      <c r="L5" s="194" t="str">
        <f t="shared" si="2"/>
        <v>83Indiferente</v>
      </c>
      <c r="M5" s="195">
        <f>COUNTIF('Folha de Pagamento'!A:A,A5)</f>
        <v>1</v>
      </c>
      <c r="N5" s="238">
        <v>10.0</v>
      </c>
      <c r="O5" s="196">
        <f>IFERROR(VLOOKUP(L5,'C-01'!$D:$L,5,0),"")</f>
        <v>2128.74</v>
      </c>
      <c r="P5" s="196">
        <f>IFERROR(VLOOKUP(L5,'C-01'!$D:$L,6,0),"")</f>
        <v>2292.87</v>
      </c>
      <c r="Q5" s="196">
        <f>IFERROR(VLOOKUP(L5,'C-01'!$D:$L,7,0),"")</f>
        <v>2309.71</v>
      </c>
      <c r="R5" s="196">
        <f>IFERROR(VLOOKUP(L5,'C-01'!$D:$L,8,0),"")</f>
        <v>2375.14</v>
      </c>
      <c r="S5" s="197">
        <f>IFERROR(VLOOKUP(L5,'C-01'!$D:$L,9,0),"")</f>
        <v>3073.32</v>
      </c>
      <c r="T5" s="198">
        <f>IFS('Painel Geral'!$B$5="Mediana",IFERROR(IF(OR(C5="",Q5=0,Q5=""),"",($C5/$Q5)),""),'Painel Geral'!$B$5="Menor Salário",IFERROR(IF(OR(C5="",Q5=0,Q5=""),"",($C5/$N5)),""),'Painel Geral'!$B$5="1º Quartil",IFERROR(IF(OR(C5="",Q5=0,Q5=""),"",($C5/$O5)),""), 'Painel Geral'!$B$5="Média",IFERROR(IF(OR(C5="",Q5=0,Q5=""),"",($C5/$P5)),""),'Painel Geral'!$B$5="3º Quartil",IFERROR(IF(OR(C5="",Q5=0,Q5=""),"",($C5/$R5)),""),'Painel Geral'!$B$5="Maior Salário",IFERROR(IF(OR(C5="",Q5=0,Q5=""),"",($C5/$S5)),""))</f>
        <v>0.9758800888</v>
      </c>
      <c r="U5" s="199" t="str">
        <f t="shared" si="3"/>
        <v>Na Média</v>
      </c>
      <c r="V5" s="205">
        <v>10.0</v>
      </c>
      <c r="W5" s="205">
        <v>11.0</v>
      </c>
      <c r="X5" s="205">
        <v>12.0</v>
      </c>
      <c r="Y5" s="205">
        <v>13.0</v>
      </c>
      <c r="Z5" s="205">
        <v>14.0</v>
      </c>
      <c r="AA5" s="205">
        <v>15.0</v>
      </c>
      <c r="AB5" s="205">
        <v>16.0</v>
      </c>
      <c r="AC5" s="205">
        <v>17.0</v>
      </c>
      <c r="AD5" s="205">
        <v>18.0</v>
      </c>
      <c r="AE5" s="205">
        <v>19.0</v>
      </c>
      <c r="AF5" s="205">
        <v>20.0</v>
      </c>
      <c r="AG5" s="205">
        <v>21.0</v>
      </c>
      <c r="AH5" s="205">
        <v>22.0</v>
      </c>
      <c r="AI5" s="205">
        <v>23.0</v>
      </c>
      <c r="AJ5" s="205">
        <v>24.0</v>
      </c>
      <c r="AK5" s="201"/>
      <c r="AL5" s="201"/>
      <c r="AM5" s="201"/>
      <c r="AN5" s="201"/>
      <c r="AO5" s="201"/>
      <c r="AP5" s="201"/>
    </row>
    <row r="6" ht="15.75" customHeight="1">
      <c r="A6" s="184" t="s">
        <v>85</v>
      </c>
      <c r="B6" s="185" t="str">
        <f>VLOOKUP(A6,Jobmatch!A:G,2,0)</f>
        <v>AUXILIAR ADMINISTRATIVO III</v>
      </c>
      <c r="C6" s="186">
        <f>IFERROR(AVERAGEIF('Folha de Pagamento'!A:A,A6,'Folha de Pagamento'!J:J),"")</f>
        <v>2739.04</v>
      </c>
      <c r="D6" s="187">
        <v>1.0</v>
      </c>
      <c r="E6" s="185" t="str">
        <f>VLOOKUP(A6,Jobmatch!A:H,3,0)</f>
        <v>Administrativo</v>
      </c>
      <c r="F6" s="188" t="s">
        <v>252</v>
      </c>
      <c r="G6" s="190" t="str">
        <f>VLOOKUP(A6,Jobmatch!A:I,4,0)</f>
        <v>28 - ADM PROJETOS</v>
      </c>
      <c r="H6" s="191" t="str">
        <f>VLOOKUP(A6,Jobmatch!A:I,5,0)</f>
        <v>Operacional</v>
      </c>
      <c r="I6" s="192">
        <f>VLOOKUP(A6,Jobmatch!A:I,6,0)</f>
        <v>83</v>
      </c>
      <c r="J6" s="190" t="str">
        <f>VLOOKUP(A6,Jobmatch!A:I,7,0)</f>
        <v>Auxiliar Administrativo</v>
      </c>
      <c r="K6" s="193" t="str">
        <f>VLOOKUP(A6,Jobmatch!A:I,8,0)</f>
        <v>Indiferente</v>
      </c>
      <c r="L6" s="194" t="str">
        <f t="shared" si="2"/>
        <v>83Indiferente</v>
      </c>
      <c r="M6" s="195">
        <f>COUNTIF('Folha de Pagamento'!A:A,A6)</f>
        <v>1</v>
      </c>
      <c r="N6" s="238">
        <v>10.0</v>
      </c>
      <c r="O6" s="196">
        <f>IFERROR(VLOOKUP(L6,'C-01'!$D:$L,5,0),"")</f>
        <v>2128.74</v>
      </c>
      <c r="P6" s="196">
        <f>IFERROR(VLOOKUP(L6,'C-01'!$D:$L,6,0),"")</f>
        <v>2292.87</v>
      </c>
      <c r="Q6" s="196">
        <f>IFERROR(VLOOKUP(L6,'C-01'!$D:$L,7,0),"")</f>
        <v>2309.71</v>
      </c>
      <c r="R6" s="196">
        <f>IFERROR(VLOOKUP(L6,'C-01'!$D:$L,8,0),"")</f>
        <v>2375.14</v>
      </c>
      <c r="S6" s="197">
        <f>IFERROR(VLOOKUP(L6,'C-01'!$D:$L,9,0),"")</f>
        <v>3073.32</v>
      </c>
      <c r="T6" s="198">
        <f>IFS('Painel Geral'!$B$5="Mediana",IFERROR(IF(OR(C6="",Q6=0,Q6=""),"",($C6/$Q6)),""),'Painel Geral'!$B$5="Menor Salário",IFERROR(IF(OR(C6="",Q6=0,Q6=""),"",($C6/$N6)),""),'Painel Geral'!$B$5="1º Quartil",IFERROR(IF(OR(C6="",Q6=0,Q6=""),"",($C6/$O6)),""), 'Painel Geral'!$B$5="Média",IFERROR(IF(OR(C6="",Q6=0,Q6=""),"",($C6/$P6)),""),'Painel Geral'!$B$5="3º Quartil",IFERROR(IF(OR(C6="",Q6=0,Q6=""),"",($C6/$R6)),""),'Painel Geral'!$B$5="Maior Salário",IFERROR(IF(OR(C6="",Q6=0,Q6=""),"",($C6/$S6)),""))</f>
        <v>1.185880479</v>
      </c>
      <c r="U6" s="199" t="str">
        <f t="shared" si="3"/>
        <v>Muito Competitivo</v>
      </c>
      <c r="V6" s="201"/>
      <c r="W6" s="201"/>
      <c r="X6" s="201"/>
      <c r="Y6" s="201"/>
      <c r="Z6" s="201"/>
      <c r="AA6" s="201"/>
      <c r="AB6" s="201"/>
      <c r="AC6" s="201"/>
      <c r="AD6" s="201"/>
      <c r="AE6" s="201"/>
      <c r="AF6" s="201"/>
      <c r="AG6" s="201"/>
      <c r="AH6" s="201"/>
      <c r="AI6" s="201"/>
      <c r="AJ6" s="201"/>
      <c r="AK6" s="201"/>
      <c r="AL6" s="201"/>
      <c r="AM6" s="201"/>
      <c r="AN6" s="201"/>
      <c r="AO6" s="201"/>
      <c r="AP6" s="201"/>
    </row>
    <row r="7" ht="15.75" customHeight="1">
      <c r="A7" s="184" t="s">
        <v>77</v>
      </c>
      <c r="B7" s="185" t="str">
        <f>VLOOKUP(A7,Jobmatch!A:G,2,0)</f>
        <v>ASSISTENTE DE TI</v>
      </c>
      <c r="C7" s="186">
        <f>IFERROR(AVERAGEIF('Folha de Pagamento'!A:A,A7,'Folha de Pagamento'!J:J),"")</f>
        <v>2919</v>
      </c>
      <c r="D7" s="187">
        <v>1.0</v>
      </c>
      <c r="E7" s="185" t="str">
        <f>VLOOKUP(A7,Jobmatch!A:H,3,0)</f>
        <v>Tecnologia da Informação</v>
      </c>
      <c r="F7" s="188" t="s">
        <v>369</v>
      </c>
      <c r="G7" s="190" t="str">
        <f>VLOOKUP(A7,Jobmatch!A:I,4,0)</f>
        <v>25 - ADM PROJETOS</v>
      </c>
      <c r="H7" s="191" t="str">
        <f>VLOOKUP(A7,Jobmatch!A:I,5,0)</f>
        <v>Operacional</v>
      </c>
      <c r="I7" s="192">
        <f>VLOOKUP(A7,Jobmatch!A:I,6,0)</f>
        <v>31</v>
      </c>
      <c r="J7" s="190" t="str">
        <f>VLOOKUP(A7,Jobmatch!A:I,7,0)</f>
        <v>Assistente de Tecnologia da Informação</v>
      </c>
      <c r="K7" s="193" t="str">
        <f>VLOOKUP(A7,Jobmatch!A:I,8,0)</f>
        <v>Indiferente</v>
      </c>
      <c r="L7" s="194" t="str">
        <f t="shared" si="2"/>
        <v>31Indiferente</v>
      </c>
      <c r="M7" s="195">
        <f>COUNTIF('Folha de Pagamento'!A:A,A7)</f>
        <v>2</v>
      </c>
      <c r="N7" s="238">
        <v>10.0</v>
      </c>
      <c r="O7" s="196">
        <f>IFERROR(VLOOKUP(L7,'C-01'!$D:$L,5,0),"")</f>
        <v>2066.4</v>
      </c>
      <c r="P7" s="196">
        <f>IFERROR(VLOOKUP(L7,'C-01'!$D:$L,6,0),"")</f>
        <v>2589.89</v>
      </c>
      <c r="Q7" s="196">
        <f>IFERROR(VLOOKUP(L7,'C-01'!$D:$L,7,0),"")</f>
        <v>2413.7</v>
      </c>
      <c r="R7" s="196">
        <f>IFERROR(VLOOKUP(L7,'C-01'!$D:$L,8,0),"")</f>
        <v>3121.21</v>
      </c>
      <c r="S7" s="197">
        <f>IFERROR(VLOOKUP(L7,'C-01'!$D:$L,9,0),"")</f>
        <v>3521.6</v>
      </c>
      <c r="T7" s="198">
        <f>IFS('Painel Geral'!$B$5="Mediana",IFERROR(IF(OR(C7="",Q7=0,Q7=""),"",($C7/$Q7)),""),'Painel Geral'!$B$5="Menor Salário",IFERROR(IF(OR(C7="",Q7=0,Q7=""),"",($C7/$N7)),""),'Painel Geral'!$B$5="1º Quartil",IFERROR(IF(OR(C7="",Q7=0,Q7=""),"",($C7/$O7)),""), 'Painel Geral'!$B$5="Média",IFERROR(IF(OR(C7="",Q7=0,Q7=""),"",($C7/$P7)),""),'Painel Geral'!$B$5="3º Quartil",IFERROR(IF(OR(C7="",Q7=0,Q7=""),"",($C7/$R7)),""),'Painel Geral'!$B$5="Maior Salário",IFERROR(IF(OR(C7="",Q7=0,Q7=""),"",($C7/$S7)),""))</f>
        <v>1.209346646</v>
      </c>
      <c r="U7" s="199" t="str">
        <f t="shared" si="3"/>
        <v>Agressivo</v>
      </c>
      <c r="V7" s="201"/>
      <c r="W7" s="201"/>
      <c r="X7" s="201"/>
      <c r="Y7" s="201"/>
      <c r="Z7" s="201"/>
      <c r="AA7" s="201"/>
      <c r="AB7" s="201"/>
      <c r="AC7" s="201"/>
      <c r="AD7" s="201"/>
      <c r="AE7" s="201"/>
      <c r="AF7" s="201"/>
      <c r="AG7" s="201"/>
      <c r="AH7" s="201"/>
      <c r="AI7" s="201"/>
      <c r="AJ7" s="201"/>
      <c r="AK7" s="201"/>
      <c r="AL7" s="201"/>
      <c r="AM7" s="201"/>
      <c r="AN7" s="201"/>
      <c r="AO7" s="201"/>
      <c r="AP7" s="201"/>
    </row>
    <row r="8" ht="15.75" customHeight="1">
      <c r="A8" s="184" t="s">
        <v>64</v>
      </c>
      <c r="B8" s="185" t="str">
        <f>VLOOKUP(A8,Jobmatch!A:G,2,0)</f>
        <v>ASSISTENTE ADMINISTRATIVO lll</v>
      </c>
      <c r="C8" s="186">
        <f>IFERROR(AVERAGEIF('Folha de Pagamento'!A:A,A8,'Folha de Pagamento'!J:J),"")</f>
        <v>3439.7</v>
      </c>
      <c r="D8" s="187">
        <v>1.0</v>
      </c>
      <c r="E8" s="185" t="str">
        <f>VLOOKUP(A8,Jobmatch!A:H,3,0)</f>
        <v>Administrativo</v>
      </c>
      <c r="F8" s="188" t="s">
        <v>238</v>
      </c>
      <c r="G8" s="190" t="str">
        <f>VLOOKUP(A8,Jobmatch!A:I,4,0)</f>
        <v>20 - ADM PROJETOS</v>
      </c>
      <c r="H8" s="191" t="str">
        <f>VLOOKUP(A8,Jobmatch!A:I,5,0)</f>
        <v>Operacional</v>
      </c>
      <c r="I8" s="192">
        <f>VLOOKUP(A8,Jobmatch!A:I,6,0)</f>
        <v>59</v>
      </c>
      <c r="J8" s="190" t="str">
        <f>VLOOKUP(A8,Jobmatch!A:I,7,0)</f>
        <v>Assistente Administrativo</v>
      </c>
      <c r="K8" s="193" t="str">
        <f>VLOOKUP(A8,Jobmatch!A:I,8,0)</f>
        <v>Indiferente</v>
      </c>
      <c r="L8" s="194" t="str">
        <f t="shared" si="2"/>
        <v>59Indiferente</v>
      </c>
      <c r="M8" s="195">
        <f>COUNTIF('Folha de Pagamento'!A:A,A8)</f>
        <v>1</v>
      </c>
      <c r="N8" s="238">
        <v>11.0</v>
      </c>
      <c r="O8" s="196">
        <f>IFERROR(VLOOKUP(L8,'C-01'!$D:$L,5,0),"")</f>
        <v>2329.53</v>
      </c>
      <c r="P8" s="196">
        <f>IFERROR(VLOOKUP(L8,'C-01'!$D:$L,6,0),"")</f>
        <v>2673.92</v>
      </c>
      <c r="Q8" s="196">
        <f>IFERROR(VLOOKUP(L8,'C-01'!$D:$L,7,0),"")</f>
        <v>2630.61</v>
      </c>
      <c r="R8" s="196">
        <f>IFERROR(VLOOKUP(L8,'C-01'!$D:$L,8,0),"")</f>
        <v>2914.75</v>
      </c>
      <c r="S8" s="197">
        <f>IFERROR(VLOOKUP(L8,'C-01'!$D:$L,9,0),"")</f>
        <v>3662.52</v>
      </c>
      <c r="T8" s="198">
        <f>IFS('Painel Geral'!$B$5="Mediana",IFERROR(IF(OR(C8="",Q8=0,Q8=""),"",($C8/$Q8)),""),'Painel Geral'!$B$5="Menor Salário",IFERROR(IF(OR(C8="",Q8=0,Q8=""),"",($C8/$N8)),""),'Painel Geral'!$B$5="1º Quartil",IFERROR(IF(OR(C8="",Q8=0,Q8=""),"",($C8/$O8)),""), 'Painel Geral'!$B$5="Média",IFERROR(IF(OR(C8="",Q8=0,Q8=""),"",($C8/$P8)),""),'Painel Geral'!$B$5="3º Quartil",IFERROR(IF(OR(C8="",Q8=0,Q8=""),"",($C8/$R8)),""),'Painel Geral'!$B$5="Maior Salário",IFERROR(IF(OR(C8="",Q8=0,Q8=""),"",($C8/$S8)),""))</f>
        <v>1.307567446</v>
      </c>
      <c r="U8" s="199" t="str">
        <f t="shared" si="3"/>
        <v>Agressivo</v>
      </c>
      <c r="V8" s="201"/>
      <c r="W8" s="201"/>
      <c r="X8" s="201"/>
      <c r="Y8" s="201"/>
      <c r="Z8" s="201"/>
      <c r="AA8" s="201"/>
      <c r="AB8" s="201"/>
      <c r="AC8" s="201"/>
      <c r="AD8" s="201"/>
      <c r="AE8" s="201"/>
      <c r="AF8" s="201"/>
      <c r="AG8" s="201"/>
      <c r="AH8" s="201"/>
      <c r="AI8" s="201"/>
      <c r="AJ8" s="201"/>
      <c r="AK8" s="201"/>
      <c r="AL8" s="201"/>
      <c r="AM8" s="201"/>
      <c r="AN8" s="201"/>
      <c r="AO8" s="201"/>
      <c r="AP8" s="201"/>
    </row>
    <row r="9" ht="15.75" customHeight="1">
      <c r="A9" s="184" t="s">
        <v>80</v>
      </c>
      <c r="B9" s="185" t="str">
        <f>VLOOKUP(A9,Jobmatch!A:G,2,0)</f>
        <v>ASSISTENTE FINANCEIRO CONTAS A PAGAR</v>
      </c>
      <c r="C9" s="186">
        <f>IFERROR(AVERAGEIF('Folha de Pagamento'!A:A,A9,'Folha de Pagamento'!J:J),"")</f>
        <v>3163.333333</v>
      </c>
      <c r="D9" s="187">
        <v>6.0</v>
      </c>
      <c r="E9" s="185" t="str">
        <f>VLOOKUP(A9,Jobmatch!A:H,3,0)</f>
        <v>Financeiro</v>
      </c>
      <c r="F9" s="188" t="s">
        <v>354</v>
      </c>
      <c r="G9" s="190" t="str">
        <f>VLOOKUP(A9,Jobmatch!A:I,4,0)</f>
        <v>26 - ADM PROJETOS</v>
      </c>
      <c r="H9" s="191" t="str">
        <f>VLOOKUP(A9,Jobmatch!A:I,5,0)</f>
        <v>Operacional</v>
      </c>
      <c r="I9" s="192">
        <f>VLOOKUP(A9,Jobmatch!A:I,6,0)</f>
        <v>79</v>
      </c>
      <c r="J9" s="190" t="str">
        <f>VLOOKUP(A9,Jobmatch!A:I,7,0)</f>
        <v>Assistente Financeiro</v>
      </c>
      <c r="K9" s="193" t="str">
        <f>VLOOKUP(A9,Jobmatch!A:I,8,0)</f>
        <v>Indiferente</v>
      </c>
      <c r="L9" s="194" t="str">
        <f t="shared" si="2"/>
        <v>79Indiferente</v>
      </c>
      <c r="M9" s="195">
        <f>COUNTIF('Folha de Pagamento'!A:A,A9)</f>
        <v>3</v>
      </c>
      <c r="N9" s="238">
        <v>11.0</v>
      </c>
      <c r="O9" s="196">
        <f>IFERROR(VLOOKUP(L9,'C-01'!$D:$L,5,0),"")</f>
        <v>2560.05</v>
      </c>
      <c r="P9" s="196">
        <f>IFERROR(VLOOKUP(L9,'C-01'!$D:$L,6,0),"")</f>
        <v>2799.02</v>
      </c>
      <c r="Q9" s="196">
        <f>IFERROR(VLOOKUP(L9,'C-01'!$D:$L,7,0),"")</f>
        <v>2658.89</v>
      </c>
      <c r="R9" s="196">
        <f>IFERROR(VLOOKUP(L9,'C-01'!$D:$L,8,0),"")</f>
        <v>2935.06</v>
      </c>
      <c r="S9" s="197">
        <f>IFERROR(VLOOKUP(L9,'C-01'!$D:$L,9,0),"")</f>
        <v>3630.87</v>
      </c>
      <c r="T9" s="198">
        <f>IFS('Painel Geral'!$B$5="Mediana",IFERROR(IF(OR(C9="",Q9=0,Q9=""),"",($C9/$Q9)),""),'Painel Geral'!$B$5="Menor Salário",IFERROR(IF(OR(C9="",Q9=0,Q9=""),"",($C9/$N9)),""),'Painel Geral'!$B$5="1º Quartil",IFERROR(IF(OR(C9="",Q9=0,Q9=""),"",($C9/$O9)),""), 'Painel Geral'!$B$5="Média",IFERROR(IF(OR(C9="",Q9=0,Q9=""),"",($C9/$P9)),""),'Painel Geral'!$B$5="3º Quartil",IFERROR(IF(OR(C9="",Q9=0,Q9=""),"",($C9/$R9)),""),'Painel Geral'!$B$5="Maior Salário",IFERROR(IF(OR(C9="",Q9=0,Q9=""),"",($C9/$S9)),""))</f>
        <v>1.18971952</v>
      </c>
      <c r="U9" s="199" t="str">
        <f t="shared" si="3"/>
        <v>Muito Competitivo</v>
      </c>
      <c r="V9" s="201"/>
      <c r="W9" s="201"/>
      <c r="X9" s="201"/>
      <c r="Y9" s="201"/>
      <c r="Z9" s="201"/>
      <c r="AA9" s="201"/>
      <c r="AB9" s="201"/>
      <c r="AC9" s="201"/>
      <c r="AD9" s="201"/>
      <c r="AE9" s="201"/>
      <c r="AF9" s="201"/>
      <c r="AG9" s="201"/>
      <c r="AH9" s="201"/>
      <c r="AI9" s="201"/>
      <c r="AJ9" s="201"/>
      <c r="AK9" s="201"/>
      <c r="AL9" s="201"/>
      <c r="AM9" s="201"/>
      <c r="AN9" s="201"/>
      <c r="AO9" s="201"/>
      <c r="AP9" s="201"/>
    </row>
    <row r="10" ht="15.75" customHeight="1">
      <c r="A10" s="184" t="s">
        <v>90</v>
      </c>
      <c r="B10" s="185" t="str">
        <f>VLOOKUP(A10,Jobmatch!A:G,2,0)</f>
        <v>AUXILIAR DE ENGENHARIA</v>
      </c>
      <c r="C10" s="186">
        <f>IFERROR(AVERAGEIF('Folha de Pagamento'!A:A,A10,'Folha de Pagamento'!J:J),"")</f>
        <v>2560</v>
      </c>
      <c r="D10" s="187">
        <v>10.0</v>
      </c>
      <c r="E10" s="185" t="str">
        <f>VLOOKUP(A10,Jobmatch!A:H,3,0)</f>
        <v>Urbanismo</v>
      </c>
      <c r="F10" s="188" t="s">
        <v>371</v>
      </c>
      <c r="G10" s="190" t="str">
        <f>VLOOKUP(A10,Jobmatch!A:I,4,0)</f>
        <v>30 - ADM PROJETOS</v>
      </c>
      <c r="H10" s="191" t="str">
        <f>VLOOKUP(A10,Jobmatch!A:I,5,0)</f>
        <v>Operacional</v>
      </c>
      <c r="I10" s="192">
        <f>VLOOKUP(A10,Jobmatch!A:I,6,0)</f>
        <v>207</v>
      </c>
      <c r="J10" s="190" t="str">
        <f>VLOOKUP(A10,Jobmatch!A:I,7,0)</f>
        <v>Auxiliar de Engenharia</v>
      </c>
      <c r="K10" s="193" t="str">
        <f>VLOOKUP(A10,Jobmatch!A:I,8,0)</f>
        <v>Indiferente</v>
      </c>
      <c r="L10" s="194" t="str">
        <f t="shared" si="2"/>
        <v>207Indiferente</v>
      </c>
      <c r="M10" s="195">
        <f>COUNTIF('Folha de Pagamento'!A:A,A10)</f>
        <v>1</v>
      </c>
      <c r="N10" s="238">
        <v>11.0</v>
      </c>
      <c r="O10" s="196">
        <f>IFERROR(VLOOKUP(L10,'C-01'!$D:$L,5,0),"")</f>
        <v>2644.47</v>
      </c>
      <c r="P10" s="196">
        <f>IFERROR(VLOOKUP(L10,'C-01'!$D:$L,6,0),"")</f>
        <v>2819.08</v>
      </c>
      <c r="Q10" s="196">
        <f>IFERROR(VLOOKUP(L10,'C-01'!$D:$L,7,0),"")</f>
        <v>2714.85</v>
      </c>
      <c r="R10" s="196">
        <f>IFERROR(VLOOKUP(L10,'C-01'!$D:$L,8,0),"")</f>
        <v>2941.58</v>
      </c>
      <c r="S10" s="197">
        <f>IFERROR(VLOOKUP(L10,'C-01'!$D:$L,9,0),"")</f>
        <v>3168.31</v>
      </c>
      <c r="T10" s="198">
        <f>IFS('Painel Geral'!$B$5="Mediana",IFERROR(IF(OR(C10="",Q10=0,Q10=""),"",($C10/$Q10)),""),'Painel Geral'!$B$5="Menor Salário",IFERROR(IF(OR(C10="",Q10=0,Q10=""),"",($C10/$N10)),""),'Painel Geral'!$B$5="1º Quartil",IFERROR(IF(OR(C10="",Q10=0,Q10=""),"",($C10/$O10)),""), 'Painel Geral'!$B$5="Média",IFERROR(IF(OR(C10="",Q10=0,Q10=""),"",($C10/$P10)),""),'Painel Geral'!$B$5="3º Quartil",IFERROR(IF(OR(C10="",Q10=0,Q10=""),"",($C10/$R10)),""),'Painel Geral'!$B$5="Maior Salário",IFERROR(IF(OR(C10="",Q10=0,Q10=""),"",($C10/$S10)),""))</f>
        <v>0.9429618579</v>
      </c>
      <c r="U10" s="199" t="str">
        <f t="shared" si="3"/>
        <v>Na Média</v>
      </c>
      <c r="V10" s="201"/>
      <c r="W10" s="201"/>
      <c r="X10" s="201"/>
      <c r="Y10" s="201"/>
      <c r="Z10" s="201"/>
      <c r="AA10" s="201"/>
      <c r="AB10" s="201"/>
      <c r="AC10" s="201"/>
      <c r="AD10" s="201"/>
      <c r="AE10" s="201"/>
      <c r="AF10" s="201"/>
      <c r="AG10" s="201"/>
      <c r="AH10" s="201"/>
      <c r="AI10" s="201"/>
      <c r="AJ10" s="201"/>
      <c r="AK10" s="201"/>
      <c r="AL10" s="201"/>
      <c r="AM10" s="201"/>
      <c r="AN10" s="201"/>
      <c r="AO10" s="201"/>
      <c r="AP10" s="201"/>
    </row>
    <row r="11" ht="15.75" customHeight="1">
      <c r="A11" s="184" t="s">
        <v>67</v>
      </c>
      <c r="B11" s="185" t="str">
        <f>VLOOKUP(A11,Jobmatch!A:G,2,0)</f>
        <v>ASSISTENTE DE CONTROLADORIA III</v>
      </c>
      <c r="C11" s="186">
        <f>IFERROR(AVERAGEIF('Folha de Pagamento'!A:A,A11,'Folha de Pagamento'!J:J),"")</f>
        <v>3652</v>
      </c>
      <c r="D11" s="187">
        <v>3.0</v>
      </c>
      <c r="E11" s="185" t="str">
        <f>VLOOKUP(A11,Jobmatch!A:H,3,0)</f>
        <v>Controladoria</v>
      </c>
      <c r="F11" s="188" t="s">
        <v>337</v>
      </c>
      <c r="G11" s="190" t="str">
        <f>VLOOKUP(A11,Jobmatch!A:I,4,0)</f>
        <v>21 - ADM PROJETOS</v>
      </c>
      <c r="H11" s="191" t="str">
        <f>VLOOKUP(A11,Jobmatch!A:I,5,0)</f>
        <v>Operacional</v>
      </c>
      <c r="I11" s="192">
        <f>VLOOKUP(A11,Jobmatch!A:I,6,0)</f>
        <v>150</v>
      </c>
      <c r="J11" s="190" t="str">
        <f>VLOOKUP(A11,Jobmatch!A:I,7,0)</f>
        <v>Assistente de Controladoria</v>
      </c>
      <c r="K11" s="193" t="str">
        <f>VLOOKUP(A11,Jobmatch!A:I,8,0)</f>
        <v>Indiferente</v>
      </c>
      <c r="L11" s="194" t="str">
        <f t="shared" si="2"/>
        <v>150Indiferente</v>
      </c>
      <c r="M11" s="195">
        <f>COUNTIF('Folha de Pagamento'!A:A,A11)</f>
        <v>1</v>
      </c>
      <c r="N11" s="238">
        <v>11.0</v>
      </c>
      <c r="O11" s="196">
        <f>IFERROR(VLOOKUP(L11,'C-01'!$D:$L,5,0),"")</f>
        <v>2640.81</v>
      </c>
      <c r="P11" s="196">
        <f>IFERROR(VLOOKUP(L11,'C-01'!$D:$L,6,0),"")</f>
        <v>2821.08</v>
      </c>
      <c r="Q11" s="196">
        <f>IFERROR(VLOOKUP(L11,'C-01'!$D:$L,7,0),"")</f>
        <v>2766.4</v>
      </c>
      <c r="R11" s="196">
        <f>IFERROR(VLOOKUP(L11,'C-01'!$D:$L,8,0),"")</f>
        <v>3222.24</v>
      </c>
      <c r="S11" s="197">
        <f>IFERROR(VLOOKUP(L11,'C-01'!$D:$L,9,0),"")</f>
        <v>3327.42</v>
      </c>
      <c r="T11" s="198">
        <f>IFS('Painel Geral'!$B$5="Mediana",IFERROR(IF(OR(C11="",Q11=0,Q11=""),"",($C11/$Q11)),""),'Painel Geral'!$B$5="Menor Salário",IFERROR(IF(OR(C11="",Q11=0,Q11=""),"",($C11/$N11)),""),'Painel Geral'!$B$5="1º Quartil",IFERROR(IF(OR(C11="",Q11=0,Q11=""),"",($C11/$O11)),""), 'Painel Geral'!$B$5="Média",IFERROR(IF(OR(C11="",Q11=0,Q11=""),"",($C11/$P11)),""),'Painel Geral'!$B$5="3º Quartil",IFERROR(IF(OR(C11="",Q11=0,Q11=""),"",($C11/$R11)),""),'Painel Geral'!$B$5="Maior Salário",IFERROR(IF(OR(C11="",Q11=0,Q11=""),"",($C11/$S11)),""))</f>
        <v>1.320127241</v>
      </c>
      <c r="U11" s="199" t="str">
        <f t="shared" si="3"/>
        <v>Agressivo</v>
      </c>
      <c r="V11" s="201"/>
      <c r="W11" s="201"/>
      <c r="X11" s="201"/>
      <c r="Y11" s="201"/>
      <c r="Z11" s="201"/>
      <c r="AA11" s="201"/>
      <c r="AB11" s="201"/>
      <c r="AC11" s="201"/>
      <c r="AD11" s="201"/>
      <c r="AE11" s="201"/>
      <c r="AF11" s="201"/>
      <c r="AG11" s="201"/>
      <c r="AH11" s="201"/>
      <c r="AI11" s="201"/>
      <c r="AJ11" s="201"/>
      <c r="AK11" s="201"/>
      <c r="AL11" s="201"/>
      <c r="AM11" s="201"/>
      <c r="AN11" s="201"/>
      <c r="AO11" s="201"/>
      <c r="AP11" s="201"/>
    </row>
    <row r="12" ht="15.75" customHeight="1">
      <c r="A12" s="184" t="s">
        <v>72</v>
      </c>
      <c r="B12" s="185" t="str">
        <f>VLOOKUP(A12,Jobmatch!A:G,2,0)</f>
        <v>ASSISTENTE DE MARKETING</v>
      </c>
      <c r="C12" s="186">
        <f>IFERROR(AVERAGEIF('Folha de Pagamento'!A:A,A12,'Folha de Pagamento'!J:J),"")</f>
        <v>2919</v>
      </c>
      <c r="D12" s="187">
        <v>8.0</v>
      </c>
      <c r="E12" s="185" t="str">
        <f>VLOOKUP(A12,Jobmatch!A:H,3,0)</f>
        <v>Marketing</v>
      </c>
      <c r="F12" s="188" t="s">
        <v>362</v>
      </c>
      <c r="G12" s="190" t="str">
        <f>VLOOKUP(A12,Jobmatch!A:I,4,0)</f>
        <v>23 - ADM PROJETOS</v>
      </c>
      <c r="H12" s="191" t="str">
        <f>VLOOKUP(A12,Jobmatch!A:I,5,0)</f>
        <v>Operacional</v>
      </c>
      <c r="I12" s="192">
        <f>VLOOKUP(A12,Jobmatch!A:I,6,0)</f>
        <v>71</v>
      </c>
      <c r="J12" s="190" t="str">
        <f>VLOOKUP(A12,Jobmatch!A:I,7,0)</f>
        <v>Assistente de Marketing</v>
      </c>
      <c r="K12" s="193" t="str">
        <f>VLOOKUP(A12,Jobmatch!A:I,8,0)</f>
        <v>Indiferente</v>
      </c>
      <c r="L12" s="194" t="str">
        <f t="shared" si="2"/>
        <v>71Indiferente</v>
      </c>
      <c r="M12" s="195">
        <f>COUNTIF('Folha de Pagamento'!A:A,A12)</f>
        <v>1</v>
      </c>
      <c r="N12" s="238">
        <v>11.0</v>
      </c>
      <c r="O12" s="196">
        <f>IFERROR(VLOOKUP(L12,'C-01'!$D:$L,5,0),"")</f>
        <v>2720.21</v>
      </c>
      <c r="P12" s="196">
        <f>IFERROR(VLOOKUP(L12,'C-01'!$D:$L,6,0),"")</f>
        <v>3016.74</v>
      </c>
      <c r="Q12" s="196">
        <f>IFERROR(VLOOKUP(L12,'C-01'!$D:$L,7,0),"")</f>
        <v>2882.27</v>
      </c>
      <c r="R12" s="196">
        <f>IFERROR(VLOOKUP(L12,'C-01'!$D:$L,8,0),"")</f>
        <v>3152.81</v>
      </c>
      <c r="S12" s="197">
        <f>IFERROR(VLOOKUP(L12,'C-01'!$D:$L,9,0),"")</f>
        <v>4078.78</v>
      </c>
      <c r="T12" s="198">
        <f>IFS('Painel Geral'!$B$5="Mediana",IFERROR(IF(OR(C12="",Q12=0,Q12=""),"",($C12/$Q12)),""),'Painel Geral'!$B$5="Menor Salário",IFERROR(IF(OR(C12="",Q12=0,Q12=""),"",($C12/$N12)),""),'Painel Geral'!$B$5="1º Quartil",IFERROR(IF(OR(C12="",Q12=0,Q12=""),"",($C12/$O12)),""), 'Painel Geral'!$B$5="Média",IFERROR(IF(OR(C12="",Q12=0,Q12=""),"",($C12/$P12)),""),'Painel Geral'!$B$5="3º Quartil",IFERROR(IF(OR(C12="",Q12=0,Q12=""),"",($C12/$R12)),""),'Painel Geral'!$B$5="Maior Salário",IFERROR(IF(OR(C12="",Q12=0,Q12=""),"",($C12/$S12)),""))</f>
        <v>1.012743428</v>
      </c>
      <c r="U12" s="199" t="str">
        <f t="shared" si="3"/>
        <v>Competitivo</v>
      </c>
      <c r="V12" s="201"/>
      <c r="W12" s="201"/>
      <c r="X12" s="201"/>
      <c r="Y12" s="201"/>
      <c r="Z12" s="201"/>
      <c r="AA12" s="201"/>
      <c r="AB12" s="201"/>
      <c r="AC12" s="201"/>
      <c r="AD12" s="201"/>
      <c r="AE12" s="201"/>
      <c r="AF12" s="201"/>
      <c r="AG12" s="201"/>
      <c r="AH12" s="201"/>
      <c r="AI12" s="201"/>
      <c r="AJ12" s="201"/>
      <c r="AK12" s="201"/>
      <c r="AL12" s="201"/>
      <c r="AM12" s="201"/>
      <c r="AN12" s="201"/>
      <c r="AO12" s="201"/>
      <c r="AP12" s="201"/>
    </row>
    <row r="13" ht="15.75" customHeight="1">
      <c r="A13" s="184" t="s">
        <v>74</v>
      </c>
      <c r="B13" s="185" t="str">
        <f>VLOOKUP(A13,Jobmatch!A:G,2,0)</f>
        <v>ASSISTENTE DE RECURSOS HUMANOS</v>
      </c>
      <c r="C13" s="186">
        <f>IFERROR(AVERAGEIF('Folha de Pagamento'!A:A,A13,'Folha de Pagamento'!J:J),"")</f>
        <v>2919</v>
      </c>
      <c r="D13" s="187">
        <v>4.0</v>
      </c>
      <c r="E13" s="185" t="str">
        <f>VLOOKUP(A13,Jobmatch!A:H,3,0)</f>
        <v>DHO</v>
      </c>
      <c r="F13" s="188" t="s">
        <v>340</v>
      </c>
      <c r="G13" s="190" t="str">
        <f>VLOOKUP(A13,Jobmatch!A:I,4,0)</f>
        <v>24 - ADM PROJETOS</v>
      </c>
      <c r="H13" s="191" t="str">
        <f>VLOOKUP(A13,Jobmatch!A:I,5,0)</f>
        <v>Operacional</v>
      </c>
      <c r="I13" s="192">
        <f>VLOOKUP(A13,Jobmatch!A:I,6,0)</f>
        <v>77</v>
      </c>
      <c r="J13" s="190" t="str">
        <f>VLOOKUP(A13,Jobmatch!A:I,7,0)</f>
        <v>Assistente de Recursos Humanos</v>
      </c>
      <c r="K13" s="193" t="str">
        <f>VLOOKUP(A13,Jobmatch!A:I,8,0)</f>
        <v>Indiferente</v>
      </c>
      <c r="L13" s="194" t="str">
        <f t="shared" si="2"/>
        <v>77Indiferente</v>
      </c>
      <c r="M13" s="195">
        <f>COUNTIF('Folha de Pagamento'!A:A,A13)</f>
        <v>1</v>
      </c>
      <c r="N13" s="238">
        <v>12.0</v>
      </c>
      <c r="O13" s="196">
        <f>IFERROR(VLOOKUP(L13,'C-01'!$D:$L,5,0),"")</f>
        <v>2619.08</v>
      </c>
      <c r="P13" s="196">
        <f>IFERROR(VLOOKUP(L13,'C-01'!$D:$L,6,0),"")</f>
        <v>3097.88</v>
      </c>
      <c r="Q13" s="196">
        <f>IFERROR(VLOOKUP(L13,'C-01'!$D:$L,7,0),"")</f>
        <v>3080.23</v>
      </c>
      <c r="R13" s="196">
        <f>IFERROR(VLOOKUP(L13,'C-01'!$D:$L,8,0),"")</f>
        <v>3491.33</v>
      </c>
      <c r="S13" s="197">
        <f>IFERROR(VLOOKUP(L13,'C-01'!$D:$L,9,0),"")</f>
        <v>4078.78</v>
      </c>
      <c r="T13" s="198">
        <f>IFS('Painel Geral'!$B$5="Mediana",IFERROR(IF(OR(C13="",Q13=0,Q13=""),"",($C13/$Q13)),""),'Painel Geral'!$B$5="Menor Salário",IFERROR(IF(OR(C13="",Q13=0,Q13=""),"",($C13/$N13)),""),'Painel Geral'!$B$5="1º Quartil",IFERROR(IF(OR(C13="",Q13=0,Q13=""),"",($C13/$O13)),""), 'Painel Geral'!$B$5="Média",IFERROR(IF(OR(C13="",Q13=0,Q13=""),"",($C13/$P13)),""),'Painel Geral'!$B$5="3º Quartil",IFERROR(IF(OR(C13="",Q13=0,Q13=""),"",($C13/$R13)),""),'Painel Geral'!$B$5="Maior Salário",IFERROR(IF(OR(C13="",Q13=0,Q13=""),"",($C13/$S13)),""))</f>
        <v>0.9476565062</v>
      </c>
      <c r="U13" s="199" t="str">
        <f t="shared" si="3"/>
        <v>Na Média</v>
      </c>
      <c r="V13" s="201"/>
      <c r="W13" s="201"/>
      <c r="X13" s="201"/>
      <c r="Y13" s="201"/>
      <c r="Z13" s="201"/>
      <c r="AA13" s="201"/>
      <c r="AB13" s="201"/>
      <c r="AC13" s="201"/>
      <c r="AD13" s="201"/>
      <c r="AE13" s="201"/>
      <c r="AF13" s="201"/>
      <c r="AG13" s="201"/>
      <c r="AH13" s="201"/>
      <c r="AI13" s="201"/>
      <c r="AJ13" s="201"/>
      <c r="AK13" s="201"/>
      <c r="AL13" s="201"/>
      <c r="AM13" s="201"/>
      <c r="AN13" s="201"/>
      <c r="AO13" s="201"/>
      <c r="AP13" s="201"/>
    </row>
    <row r="14" ht="15.75" customHeight="1">
      <c r="A14" s="184" t="s">
        <v>18</v>
      </c>
      <c r="B14" s="185" t="str">
        <f>VLOOKUP(A14,Jobmatch!A:G,2,0)</f>
        <v>ALMOXARIFE</v>
      </c>
      <c r="C14" s="186">
        <f>IFERROR(AVERAGEIF('Folha de Pagamento'!A:A,A14,'Folha de Pagamento'!J:J),"")</f>
        <v>3683</v>
      </c>
      <c r="D14" s="187">
        <v>5.0</v>
      </c>
      <c r="E14" s="185" t="str">
        <f>VLOOKUP(A14,Jobmatch!A:H,3,0)</f>
        <v>Edificação</v>
      </c>
      <c r="F14" s="188" t="s">
        <v>211</v>
      </c>
      <c r="G14" s="190" t="str">
        <f>VLOOKUP(A14,Jobmatch!A:I,4,0)</f>
        <v>8 - ADM PROJETOS</v>
      </c>
      <c r="H14" s="191" t="str">
        <f>VLOOKUP(A14,Jobmatch!A:I,5,0)</f>
        <v>Operacional</v>
      </c>
      <c r="I14" s="192">
        <f>VLOOKUP(A14,Jobmatch!A:I,6,0)</f>
        <v>203</v>
      </c>
      <c r="J14" s="190" t="str">
        <f>VLOOKUP(A14,Jobmatch!A:I,7,0)</f>
        <v>Almoxarife</v>
      </c>
      <c r="K14" s="193" t="str">
        <f>VLOOKUP(A14,Jobmatch!A:I,8,0)</f>
        <v>Indiferente</v>
      </c>
      <c r="L14" s="194" t="str">
        <f t="shared" si="2"/>
        <v>203Indiferente</v>
      </c>
      <c r="M14" s="195">
        <f>COUNTIF('Folha de Pagamento'!A:A,A14)</f>
        <v>2</v>
      </c>
      <c r="N14" s="238">
        <v>12.0</v>
      </c>
      <c r="O14" s="196">
        <f>IFERROR(VLOOKUP(L14,'C-01'!$D:$L,5,0),"")</f>
        <v>3088.9</v>
      </c>
      <c r="P14" s="196">
        <f>IFERROR(VLOOKUP(L14,'C-01'!$D:$L,6,0),"")</f>
        <v>3397.38</v>
      </c>
      <c r="Q14" s="196">
        <f>IFERROR(VLOOKUP(L14,'C-01'!$D:$L,7,0),"")</f>
        <v>3088.9</v>
      </c>
      <c r="R14" s="196">
        <f>IFERROR(VLOOKUP(L14,'C-01'!$D:$L,8,0),"")</f>
        <v>3703.26</v>
      </c>
      <c r="S14" s="197">
        <f>IFERROR(VLOOKUP(L14,'C-01'!$D:$L,9,0),"")</f>
        <v>4425.21</v>
      </c>
      <c r="T14" s="198">
        <f>IFS('Painel Geral'!$B$5="Mediana",IFERROR(IF(OR(C14="",Q14=0,Q14=""),"",($C14/$Q14)),""),'Painel Geral'!$B$5="Menor Salário",IFERROR(IF(OR(C14="",Q14=0,Q14=""),"",($C14/$N14)),""),'Painel Geral'!$B$5="1º Quartil",IFERROR(IF(OR(C14="",Q14=0,Q14=""),"",($C14/$O14)),""), 'Painel Geral'!$B$5="Média",IFERROR(IF(OR(C14="",Q14=0,Q14=""),"",($C14/$P14)),""),'Painel Geral'!$B$5="3º Quartil",IFERROR(IF(OR(C14="",Q14=0,Q14=""),"",($C14/$R14)),""),'Painel Geral'!$B$5="Maior Salário",IFERROR(IF(OR(C14="",Q14=0,Q14=""),"",($C14/$S14)),""))</f>
        <v>1.192333841</v>
      </c>
      <c r="U14" s="199" t="str">
        <f t="shared" si="3"/>
        <v>Muito Competitivo</v>
      </c>
      <c r="V14" s="201"/>
      <c r="W14" s="201"/>
      <c r="X14" s="201"/>
      <c r="Y14" s="201"/>
      <c r="Z14" s="201"/>
      <c r="AA14" s="201"/>
      <c r="AB14" s="201"/>
      <c r="AC14" s="201"/>
      <c r="AD14" s="201"/>
      <c r="AE14" s="201"/>
      <c r="AF14" s="201"/>
      <c r="AG14" s="201"/>
      <c r="AH14" s="201"/>
      <c r="AI14" s="201"/>
      <c r="AJ14" s="201"/>
      <c r="AK14" s="201"/>
      <c r="AL14" s="201"/>
      <c r="AM14" s="201"/>
      <c r="AN14" s="201"/>
      <c r="AO14" s="201"/>
      <c r="AP14" s="201"/>
    </row>
    <row r="15" ht="15.75" customHeight="1">
      <c r="A15" s="184" t="s">
        <v>61</v>
      </c>
      <c r="B15" s="185" t="str">
        <f>VLOOKUP(A15,Jobmatch!A:G,2,0)</f>
        <v>ASSISTENTE ADM DE LEGALIZAÇÃO III</v>
      </c>
      <c r="C15" s="186">
        <f>IFERROR(AVERAGEIF('Folha de Pagamento'!A:A,A15,'Folha de Pagamento'!J:J),"")</f>
        <v>3652</v>
      </c>
      <c r="D15" s="187">
        <v>7.0</v>
      </c>
      <c r="E15" s="185" t="str">
        <f>VLOOKUP(A15,Jobmatch!A:H,3,0)</f>
        <v>Legalização </v>
      </c>
      <c r="F15" s="188" t="s">
        <v>358</v>
      </c>
      <c r="G15" s="190" t="str">
        <f>VLOOKUP(A15,Jobmatch!A:I,4,0)</f>
        <v>19 - ADM PROJETOS</v>
      </c>
      <c r="H15" s="191" t="str">
        <f>VLOOKUP(A15,Jobmatch!A:I,5,0)</f>
        <v>Operacional</v>
      </c>
      <c r="I15" s="192">
        <f>VLOOKUP(A15,Jobmatch!A:I,6,0)</f>
        <v>1201</v>
      </c>
      <c r="J15" s="190" t="str">
        <f>VLOOKUP(A15,Jobmatch!A:I,7,0)</f>
        <v>Assistente de Legalização</v>
      </c>
      <c r="K15" s="193" t="str">
        <f>VLOOKUP(A15,Jobmatch!A:I,8,0)</f>
        <v>Indiferente</v>
      </c>
      <c r="L15" s="194" t="str">
        <f t="shared" si="2"/>
        <v>1201Indiferente</v>
      </c>
      <c r="M15" s="195">
        <f>COUNTIF('Folha de Pagamento'!A:A,A15)</f>
        <v>2</v>
      </c>
      <c r="N15" s="238">
        <v>12.0</v>
      </c>
      <c r="O15" s="196">
        <f>IFERROR(VLOOKUP(L15,'C-01'!$D:$L,5,0),"")</f>
        <v>2803.34</v>
      </c>
      <c r="P15" s="196">
        <f>IFERROR(VLOOKUP(L15,'C-01'!$D:$L,6,0),"")</f>
        <v>3092.92</v>
      </c>
      <c r="Q15" s="196">
        <f>IFERROR(VLOOKUP(L15,'C-01'!$D:$L,7,0),"")</f>
        <v>3092.92</v>
      </c>
      <c r="R15" s="196">
        <f>IFERROR(VLOOKUP(L15,'C-01'!$D:$L,8,0),"")</f>
        <v>3382.51</v>
      </c>
      <c r="S15" s="197">
        <f>IFERROR(VLOOKUP(L15,'C-01'!$D:$L,9,0),"")</f>
        <v>3672.09</v>
      </c>
      <c r="T15" s="198">
        <f>IFS('Painel Geral'!$B$5="Mediana",IFERROR(IF(OR(C15="",Q15=0,Q15=""),"",($C15/$Q15)),""),'Painel Geral'!$B$5="Menor Salário",IFERROR(IF(OR(C15="",Q15=0,Q15=""),"",($C15/$N15)),""),'Painel Geral'!$B$5="1º Quartil",IFERROR(IF(OR(C15="",Q15=0,Q15=""),"",($C15/$O15)),""), 'Painel Geral'!$B$5="Média",IFERROR(IF(OR(C15="",Q15=0,Q15=""),"",($C15/$P15)),""),'Painel Geral'!$B$5="3º Quartil",IFERROR(IF(OR(C15="",Q15=0,Q15=""),"",($C15/$R15)),""),'Painel Geral'!$B$5="Maior Salário",IFERROR(IF(OR(C15="",Q15=0,Q15=""),"",($C15/$S15)),""))</f>
        <v>1.180761222</v>
      </c>
      <c r="U15" s="199" t="str">
        <f t="shared" si="3"/>
        <v>Muito Competitivo</v>
      </c>
      <c r="V15" s="201"/>
      <c r="W15" s="201"/>
      <c r="X15" s="201"/>
      <c r="Y15" s="201"/>
      <c r="Z15" s="201"/>
      <c r="AA15" s="201"/>
      <c r="AB15" s="201"/>
      <c r="AC15" s="201"/>
      <c r="AD15" s="201"/>
      <c r="AE15" s="201"/>
      <c r="AF15" s="201"/>
      <c r="AG15" s="201"/>
      <c r="AH15" s="201"/>
      <c r="AI15" s="201"/>
      <c r="AJ15" s="201"/>
      <c r="AK15" s="218"/>
      <c r="AL15" s="218"/>
      <c r="AM15" s="218"/>
      <c r="AN15" s="218"/>
      <c r="AO15" s="218"/>
      <c r="AP15" s="218">
        <v>0.03</v>
      </c>
    </row>
    <row r="16" ht="15.75" customHeight="1">
      <c r="A16" s="184" t="s">
        <v>58</v>
      </c>
      <c r="B16" s="185" t="str">
        <f>VLOOKUP(A16,Jobmatch!A:G,2,0)</f>
        <v>ANALISTA FINANCEIRO I</v>
      </c>
      <c r="C16" s="186">
        <f>IFERROR(AVERAGEIF('Folha de Pagamento'!A:A,A16,'Folha de Pagamento'!J:J),"")</f>
        <v>3993</v>
      </c>
      <c r="D16" s="187">
        <v>6.0</v>
      </c>
      <c r="E16" s="185" t="str">
        <f>VLOOKUP(A16,Jobmatch!A:H,3,0)</f>
        <v>Financeiro</v>
      </c>
      <c r="F16" s="188" t="s">
        <v>353</v>
      </c>
      <c r="G16" s="190" t="str">
        <f>VLOOKUP(A16,Jobmatch!A:I,4,0)</f>
        <v>18 - ADM PROJETOS</v>
      </c>
      <c r="H16" s="191" t="str">
        <f>VLOOKUP(A16,Jobmatch!A:I,5,0)</f>
        <v>Operacional</v>
      </c>
      <c r="I16" s="192">
        <f>VLOOKUP(A16,Jobmatch!A:I,6,0)</f>
        <v>16</v>
      </c>
      <c r="J16" s="190" t="str">
        <f>VLOOKUP(A16,Jobmatch!A:I,7,0)</f>
        <v>Analista Financeiro</v>
      </c>
      <c r="K16" s="193" t="str">
        <f>VLOOKUP(A16,Jobmatch!A:I,8,0)</f>
        <v>Júnior</v>
      </c>
      <c r="L16" s="194" t="str">
        <f t="shared" si="2"/>
        <v>16Júnior</v>
      </c>
      <c r="M16" s="195">
        <f>COUNTIF('Folha de Pagamento'!A:A,A16)</f>
        <v>1</v>
      </c>
      <c r="N16" s="238">
        <v>12.0</v>
      </c>
      <c r="O16" s="196">
        <f>IFERROR(VLOOKUP(L16,'C-01'!$D:$L,5,0),"")</f>
        <v>3176.35</v>
      </c>
      <c r="P16" s="196">
        <f>IFERROR(VLOOKUP(L16,'C-01'!$D:$L,6,0),"")</f>
        <v>3539.11</v>
      </c>
      <c r="Q16" s="196">
        <f>IFERROR(VLOOKUP(L16,'C-01'!$D:$L,7,0),"")</f>
        <v>3493.97</v>
      </c>
      <c r="R16" s="196">
        <f>IFERROR(VLOOKUP(L16,'C-01'!$D:$L,8,0),"")</f>
        <v>3798.49</v>
      </c>
      <c r="S16" s="197">
        <f>IFERROR(VLOOKUP(L16,'C-01'!$D:$L,9,0),"")</f>
        <v>4392.23</v>
      </c>
      <c r="T16" s="198">
        <f>IFS('Painel Geral'!$B$5="Mediana",IFERROR(IF(OR(C16="",Q16=0,Q16=""),"",($C16/$Q16)),""),'Painel Geral'!$B$5="Menor Salário",IFERROR(IF(OR(C16="",Q16=0,Q16=""),"",($C16/$N16)),""),'Painel Geral'!$B$5="1º Quartil",IFERROR(IF(OR(C16="",Q16=0,Q16=""),"",($C16/$O16)),""), 'Painel Geral'!$B$5="Média",IFERROR(IF(OR(C16="",Q16=0,Q16=""),"",($C16/$P16)),""),'Painel Geral'!$B$5="3º Quartil",IFERROR(IF(OR(C16="",Q16=0,Q16=""),"",($C16/$R16)),""),'Painel Geral'!$B$5="Maior Salário",IFERROR(IF(OR(C16="",Q16=0,Q16=""),"",($C16/$S16)),""))</f>
        <v>1.142826069</v>
      </c>
      <c r="U16" s="199" t="str">
        <f t="shared" si="3"/>
        <v>Muito Competitivo</v>
      </c>
      <c r="V16" s="201"/>
      <c r="W16" s="201"/>
      <c r="X16" s="201"/>
      <c r="Y16" s="201"/>
      <c r="Z16" s="201"/>
      <c r="AA16" s="201"/>
      <c r="AB16" s="201"/>
      <c r="AC16" s="201"/>
      <c r="AD16" s="201"/>
      <c r="AE16" s="201"/>
      <c r="AF16" s="201"/>
      <c r="AG16" s="201"/>
      <c r="AH16" s="201"/>
      <c r="AI16" s="201"/>
      <c r="AJ16" s="201"/>
      <c r="AK16" s="201"/>
      <c r="AL16" s="201"/>
      <c r="AM16" s="201"/>
      <c r="AN16" s="201"/>
      <c r="AO16" s="201"/>
      <c r="AP16" s="201"/>
    </row>
    <row r="17" ht="15.75" customHeight="1">
      <c r="A17" s="184" t="s">
        <v>43</v>
      </c>
      <c r="B17" s="185" t="str">
        <f>VLOOKUP(A17,Jobmatch!A:G,2,0)</f>
        <v>ANALISTA DE MARKETING l</v>
      </c>
      <c r="C17" s="186">
        <f>IFERROR(AVERAGEIF('Folha de Pagamento'!A:A,A17,'Folha de Pagamento'!J:J),"")</f>
        <v>4025.88</v>
      </c>
      <c r="D17" s="187">
        <v>8.0</v>
      </c>
      <c r="E17" s="185" t="str">
        <f>VLOOKUP(A17,Jobmatch!A:H,3,0)</f>
        <v>Marketing</v>
      </c>
      <c r="F17" s="188" t="s">
        <v>361</v>
      </c>
      <c r="G17" s="190" t="str">
        <f>VLOOKUP(A17,Jobmatch!A:I,4,0)</f>
        <v>13 - ADM PROJETOS</v>
      </c>
      <c r="H17" s="191" t="str">
        <f>VLOOKUP(A17,Jobmatch!A:I,5,0)</f>
        <v>Operacional</v>
      </c>
      <c r="I17" s="192">
        <f>VLOOKUP(A17,Jobmatch!A:I,6,0)</f>
        <v>42</v>
      </c>
      <c r="J17" s="190" t="str">
        <f>VLOOKUP(A17,Jobmatch!A:I,7,0)</f>
        <v>Analista de Marketing</v>
      </c>
      <c r="K17" s="193" t="str">
        <f>VLOOKUP(A17,Jobmatch!A:I,8,0)</f>
        <v>Júnior</v>
      </c>
      <c r="L17" s="194" t="str">
        <f t="shared" si="2"/>
        <v>42Júnior</v>
      </c>
      <c r="M17" s="195">
        <f>COUNTIF('Folha de Pagamento'!A:A,A17)</f>
        <v>1</v>
      </c>
      <c r="N17" s="238">
        <v>12.0</v>
      </c>
      <c r="O17" s="196">
        <f>IFERROR(VLOOKUP(L17,'C-01'!$D:$L,5,0),"")</f>
        <v>3503.85</v>
      </c>
      <c r="P17" s="196">
        <f>IFERROR(VLOOKUP(L17,'C-01'!$D:$L,6,0),"")</f>
        <v>3792.81</v>
      </c>
      <c r="Q17" s="196">
        <f>IFERROR(VLOOKUP(L17,'C-01'!$D:$L,7,0),"")</f>
        <v>3674.96</v>
      </c>
      <c r="R17" s="196">
        <f>IFERROR(VLOOKUP(L17,'C-01'!$D:$L,8,0),"")</f>
        <v>3977.13</v>
      </c>
      <c r="S17" s="197">
        <f>IFERROR(VLOOKUP(L17,'C-01'!$D:$L,9,0),"")</f>
        <v>5225.68</v>
      </c>
      <c r="T17" s="198">
        <f>IFS('Painel Geral'!$B$5="Mediana",IFERROR(IF(OR(C17="",Q17=0,Q17=""),"",($C17/$Q17)),""),'Painel Geral'!$B$5="Menor Salário",IFERROR(IF(OR(C17="",Q17=0,Q17=""),"",($C17/$N17)),""),'Painel Geral'!$B$5="1º Quartil",IFERROR(IF(OR(C17="",Q17=0,Q17=""),"",($C17/$O17)),""), 'Painel Geral'!$B$5="Média",IFERROR(IF(OR(C17="",Q17=0,Q17=""),"",($C17/$P17)),""),'Painel Geral'!$B$5="3º Quartil",IFERROR(IF(OR(C17="",Q17=0,Q17=""),"",($C17/$R17)),""),'Painel Geral'!$B$5="Maior Salário",IFERROR(IF(OR(C17="",Q17=0,Q17=""),"",($C17/$S17)),""))</f>
        <v>1.095489475</v>
      </c>
      <c r="U17" s="199" t="str">
        <f t="shared" si="3"/>
        <v>Competitivo</v>
      </c>
      <c r="V17" s="201"/>
      <c r="W17" s="201"/>
      <c r="X17" s="201"/>
      <c r="Y17" s="201"/>
      <c r="Z17" s="201"/>
      <c r="AA17" s="201"/>
      <c r="AB17" s="201"/>
      <c r="AC17" s="201"/>
      <c r="AD17" s="201"/>
      <c r="AE17" s="201"/>
      <c r="AF17" s="201"/>
      <c r="AG17" s="201"/>
      <c r="AH17" s="201"/>
      <c r="AI17" s="201"/>
      <c r="AJ17" s="201"/>
      <c r="AK17" s="201"/>
      <c r="AL17" s="201"/>
      <c r="AM17" s="201"/>
      <c r="AN17" s="201"/>
      <c r="AO17" s="201"/>
      <c r="AP17" s="201"/>
    </row>
    <row r="18" ht="15.75" customHeight="1">
      <c r="A18" s="184" t="s">
        <v>70</v>
      </c>
      <c r="B18" s="185" t="str">
        <f>VLOOKUP(A18,Jobmatch!A:G,2,0)</f>
        <v>ASSISTENTE DE ENGENHARIA lll</v>
      </c>
      <c r="C18" s="186">
        <f>IFERROR(AVERAGEIF('Folha de Pagamento'!A:A,A18,'Folha de Pagamento'!J:J),"")</f>
        <v>3652</v>
      </c>
      <c r="D18" s="187">
        <v>5.0</v>
      </c>
      <c r="E18" s="185" t="str">
        <f>VLOOKUP(A18,Jobmatch!A:H,3,0)</f>
        <v>Edificação</v>
      </c>
      <c r="F18" s="188" t="s">
        <v>344</v>
      </c>
      <c r="G18" s="190" t="str">
        <f>VLOOKUP(A18,Jobmatch!A:I,4,0)</f>
        <v>22 - ADM PROJETOS</v>
      </c>
      <c r="H18" s="191" t="str">
        <f>VLOOKUP(A18,Jobmatch!A:I,5,0)</f>
        <v>Operacional</v>
      </c>
      <c r="I18" s="192">
        <f>VLOOKUP(A18,Jobmatch!A:I,6,0)</f>
        <v>531</v>
      </c>
      <c r="J18" s="190" t="str">
        <f>VLOOKUP(A18,Jobmatch!A:I,7,0)</f>
        <v>Assistente de Engenharia</v>
      </c>
      <c r="K18" s="193" t="str">
        <f>VLOOKUP(A18,Jobmatch!A:I,8,0)</f>
        <v>Indiferente</v>
      </c>
      <c r="L18" s="194" t="str">
        <f t="shared" si="2"/>
        <v>531Indiferente</v>
      </c>
      <c r="M18" s="195">
        <f>COUNTIF('Folha de Pagamento'!A:A,A18)</f>
        <v>1</v>
      </c>
      <c r="N18" s="238">
        <v>13.0</v>
      </c>
      <c r="O18" s="196">
        <f>IFERROR(VLOOKUP(L18,'C-01'!$D:$L,5,0),"")</f>
        <v>3945.44</v>
      </c>
      <c r="P18" s="196">
        <f>IFERROR(VLOOKUP(L18,'C-01'!$D:$L,6,0),"")</f>
        <v>4031.84</v>
      </c>
      <c r="Q18" s="196">
        <f>IFERROR(VLOOKUP(L18,'C-01'!$D:$L,7,0),"")</f>
        <v>3945.44</v>
      </c>
      <c r="R18" s="196">
        <f>IFERROR(VLOOKUP(L18,'C-01'!$D:$L,8,0),"")</f>
        <v>3945.44</v>
      </c>
      <c r="S18" s="197">
        <f>IFERROR(VLOOKUP(L18,'C-01'!$D:$L,9,0),"")</f>
        <v>5084.96</v>
      </c>
      <c r="T18" s="198">
        <f>IFS('Painel Geral'!$B$5="Mediana",IFERROR(IF(OR(C18="",Q18=0,Q18=""),"",($C18/$Q18)),""),'Painel Geral'!$B$5="Menor Salário",IFERROR(IF(OR(C18="",Q18=0,Q18=""),"",($C18/$N18)),""),'Painel Geral'!$B$5="1º Quartil",IFERROR(IF(OR(C18="",Q18=0,Q18=""),"",($C18/$O18)),""), 'Painel Geral'!$B$5="Média",IFERROR(IF(OR(C18="",Q18=0,Q18=""),"",($C18/$P18)),""),'Painel Geral'!$B$5="3º Quartil",IFERROR(IF(OR(C18="",Q18=0,Q18=""),"",($C18/$R18)),""),'Painel Geral'!$B$5="Maior Salário",IFERROR(IF(OR(C18="",Q18=0,Q18=""),"",($C18/$S18)),""))</f>
        <v>0.9256255323</v>
      </c>
      <c r="U18" s="199" t="str">
        <f t="shared" si="3"/>
        <v>Na Média</v>
      </c>
      <c r="V18" s="201"/>
      <c r="W18" s="201"/>
      <c r="X18" s="201"/>
      <c r="Y18" s="201"/>
      <c r="Z18" s="201"/>
      <c r="AA18" s="201"/>
      <c r="AB18" s="201"/>
      <c r="AC18" s="201"/>
      <c r="AD18" s="201"/>
      <c r="AE18" s="201"/>
      <c r="AF18" s="201"/>
      <c r="AG18" s="201"/>
      <c r="AH18" s="201"/>
      <c r="AI18" s="201"/>
      <c r="AJ18" s="201"/>
      <c r="AK18" s="239">
        <v>1907.0</v>
      </c>
      <c r="AL18" s="220">
        <f>AK18*AN27</f>
        <v>1922.469798</v>
      </c>
      <c r="AM18" s="221"/>
      <c r="AN18" s="201"/>
      <c r="AO18" s="201"/>
      <c r="AP18" s="201"/>
    </row>
    <row r="19" ht="15.75" customHeight="1">
      <c r="A19" s="184" t="s">
        <v>186</v>
      </c>
      <c r="B19" s="185" t="str">
        <f>VLOOKUP(A19,Jobmatch!A:G,2,0)</f>
        <v>TECNOLOGO EM CONSTRUÇÃO DE EDIFICIOS</v>
      </c>
      <c r="C19" s="186">
        <f>IFERROR(AVERAGEIF('Folha de Pagamento'!A:A,A19,'Folha de Pagamento'!J:J),"")</f>
        <v>8585</v>
      </c>
      <c r="D19" s="187">
        <v>5.0</v>
      </c>
      <c r="E19" s="185" t="str">
        <f>VLOOKUP(A19,Jobmatch!A:H,3,0)</f>
        <v>Edificação</v>
      </c>
      <c r="F19" s="188" t="s">
        <v>350</v>
      </c>
      <c r="G19" s="190" t="str">
        <f>VLOOKUP(A19,Jobmatch!A:I,4,0)</f>
        <v>61 - ADM PROJETOS</v>
      </c>
      <c r="H19" s="191" t="str">
        <f>VLOOKUP(A19,Jobmatch!A:I,5,0)</f>
        <v>Operacional</v>
      </c>
      <c r="I19" s="192">
        <f>VLOOKUP(A19,Jobmatch!A:I,6,0)</f>
        <v>269</v>
      </c>
      <c r="J19" s="190" t="str">
        <f>VLOOKUP(A19,Jobmatch!A:I,7,0)</f>
        <v>Técnico em Edificações</v>
      </c>
      <c r="K19" s="193" t="str">
        <f>VLOOKUP(A19,Jobmatch!A:I,8,0)</f>
        <v>Indiferente</v>
      </c>
      <c r="L19" s="194" t="str">
        <f t="shared" si="2"/>
        <v>269Indiferente</v>
      </c>
      <c r="M19" s="195">
        <f>COUNTIF('Folha de Pagamento'!A:A,A19)</f>
        <v>1</v>
      </c>
      <c r="N19" s="238">
        <v>13.0</v>
      </c>
      <c r="O19" s="196">
        <f>IFERROR(VLOOKUP(L19,'C-01'!$D:$L,5,0),"")</f>
        <v>3732.17</v>
      </c>
      <c r="P19" s="196">
        <f>IFERROR(VLOOKUP(L19,'C-01'!$D:$L,6,0),"")</f>
        <v>4583.42</v>
      </c>
      <c r="Q19" s="196">
        <f>IFERROR(VLOOKUP(L19,'C-01'!$D:$L,7,0),"")</f>
        <v>4022.01</v>
      </c>
      <c r="R19" s="196">
        <f>IFERROR(VLOOKUP(L19,'C-01'!$D:$L,8,0),"")</f>
        <v>4417.17</v>
      </c>
      <c r="S19" s="197">
        <f>IFERROR(VLOOKUP(L19,'C-01'!$D:$L,9,0),"")</f>
        <v>9075.39</v>
      </c>
      <c r="T19" s="198">
        <f>IFS('Painel Geral'!$B$5="Mediana",IFERROR(IF(OR(C19="",Q19=0,Q19=""),"",($C19/$Q19)),""),'Painel Geral'!$B$5="Menor Salário",IFERROR(IF(OR(C19="",Q19=0,Q19=""),"",($C19/$N19)),""),'Painel Geral'!$B$5="1º Quartil",IFERROR(IF(OR(C19="",Q19=0,Q19=""),"",($C19/$O19)),""), 'Painel Geral'!$B$5="Média",IFERROR(IF(OR(C19="",Q19=0,Q19=""),"",($C19/$P19)),""),'Painel Geral'!$B$5="3º Quartil",IFERROR(IF(OR(C19="",Q19=0,Q19=""),"",($C19/$R19)),""),'Painel Geral'!$B$5="Maior Salário",IFERROR(IF(OR(C19="",Q19=0,Q19=""),"",($C19/$S19)),""))</f>
        <v>2.134504887</v>
      </c>
      <c r="U19" s="199" t="str">
        <f t="shared" si="3"/>
        <v>Agressivo</v>
      </c>
      <c r="V19" s="201"/>
      <c r="W19" s="201"/>
      <c r="X19" s="201"/>
      <c r="Y19" s="201"/>
      <c r="Z19" s="201"/>
      <c r="AA19" s="201"/>
      <c r="AB19" s="201"/>
      <c r="AC19" s="201"/>
      <c r="AD19" s="201"/>
      <c r="AE19" s="201"/>
      <c r="AF19" s="201"/>
      <c r="AG19" s="201"/>
      <c r="AH19" s="201"/>
      <c r="AI19" s="201"/>
      <c r="AJ19" s="201"/>
      <c r="AK19" s="222">
        <v>45778.0</v>
      </c>
      <c r="AL19" s="221"/>
      <c r="AM19" s="221"/>
      <c r="AN19" s="201"/>
      <c r="AO19" s="201"/>
      <c r="AP19" s="201"/>
    </row>
    <row r="20" ht="15.75" customHeight="1">
      <c r="A20" s="184" t="s">
        <v>29</v>
      </c>
      <c r="B20" s="185" t="str">
        <f>VLOOKUP(A20,Jobmatch!A:G,2,0)</f>
        <v>ANALISTA DE CRIAÇAO</v>
      </c>
      <c r="C20" s="186">
        <f>IFERROR(AVERAGEIF('Folha de Pagamento'!A:A,A20,'Folha de Pagamento'!J:J),"")</f>
        <v>5429</v>
      </c>
      <c r="D20" s="187">
        <v>8.0</v>
      </c>
      <c r="E20" s="185" t="str">
        <f>VLOOKUP(A20,Jobmatch!A:H,3,0)</f>
        <v>Marketing</v>
      </c>
      <c r="F20" s="188" t="s">
        <v>360</v>
      </c>
      <c r="G20" s="190" t="str">
        <f>VLOOKUP(A20,Jobmatch!A:I,4,0)</f>
        <v>10 - ADM PROJETOS</v>
      </c>
      <c r="H20" s="191" t="str">
        <f>VLOOKUP(A20,Jobmatch!A:I,5,0)</f>
        <v>Operacional</v>
      </c>
      <c r="I20" s="192">
        <f>VLOOKUP(A20,Jobmatch!A:I,6,0)</f>
        <v>45</v>
      </c>
      <c r="J20" s="190" t="str">
        <f>VLOOKUP(A20,Jobmatch!A:I,7,0)</f>
        <v>Analista de Criação</v>
      </c>
      <c r="K20" s="193" t="str">
        <f>VLOOKUP(A20,Jobmatch!A:I,8,0)</f>
        <v>Indiferente</v>
      </c>
      <c r="L20" s="194" t="str">
        <f t="shared" si="2"/>
        <v>45Indiferente</v>
      </c>
      <c r="M20" s="195">
        <f>COUNTIF('Folha de Pagamento'!A:A,A20)</f>
        <v>1</v>
      </c>
      <c r="N20" s="238">
        <v>13.0</v>
      </c>
      <c r="O20" s="196">
        <f>IFERROR(VLOOKUP(L20,'C-01'!$D:$L,5,0),"")</f>
        <v>3527.33</v>
      </c>
      <c r="P20" s="196">
        <f>IFERROR(VLOOKUP(L20,'C-01'!$D:$L,6,0),"")</f>
        <v>4325.16</v>
      </c>
      <c r="Q20" s="196">
        <f>IFERROR(VLOOKUP(L20,'C-01'!$D:$L,7,0),"")</f>
        <v>4325.72</v>
      </c>
      <c r="R20" s="196">
        <f>IFERROR(VLOOKUP(L20,'C-01'!$D:$L,8,0),"")</f>
        <v>4988.66</v>
      </c>
      <c r="S20" s="197">
        <f>IFERROR(VLOOKUP(L20,'C-01'!$D:$L,9,0),"")</f>
        <v>6418.74</v>
      </c>
      <c r="T20" s="198">
        <f>IFS('Painel Geral'!$B$5="Mediana",IFERROR(IF(OR(C20="",Q20=0,Q20=""),"",($C20/$Q20)),""),'Painel Geral'!$B$5="Menor Salário",IFERROR(IF(OR(C20="",Q20=0,Q20=""),"",($C20/$N20)),""),'Painel Geral'!$B$5="1º Quartil",IFERROR(IF(OR(C20="",Q20=0,Q20=""),"",($C20/$O20)),""), 'Painel Geral'!$B$5="Média",IFERROR(IF(OR(C20="",Q20=0,Q20=""),"",($C20/$P20)),""),'Painel Geral'!$B$5="3º Quartil",IFERROR(IF(OR(C20="",Q20=0,Q20=""),"",($C20/$R20)),""),'Painel Geral'!$B$5="Maior Salário",IFERROR(IF(OR(C20="",Q20=0,Q20=""),"",($C20/$S20)),""))</f>
        <v>1.255051182</v>
      </c>
      <c r="U20" s="199" t="str">
        <f t="shared" si="3"/>
        <v>Agressivo</v>
      </c>
      <c r="V20" s="201"/>
      <c r="W20" s="201"/>
      <c r="X20" s="201"/>
      <c r="Y20" s="201"/>
      <c r="Z20" s="201"/>
      <c r="AA20" s="201"/>
      <c r="AB20" s="201"/>
      <c r="AC20" s="201"/>
      <c r="AD20" s="201"/>
      <c r="AE20" s="201"/>
      <c r="AF20" s="201"/>
      <c r="AG20" s="201"/>
      <c r="AH20" s="201"/>
      <c r="AI20" s="201"/>
      <c r="AJ20" s="201"/>
      <c r="AK20" s="223">
        <v>0.23</v>
      </c>
      <c r="AL20" s="220">
        <f t="shared" ref="AL20:AL25" si="4">1+(AK20/100)</f>
        <v>1.0023</v>
      </c>
      <c r="AM20" s="220">
        <f>AL20</f>
        <v>1.0023</v>
      </c>
      <c r="AN20" s="201"/>
      <c r="AO20" s="201"/>
      <c r="AP20" s="201"/>
    </row>
    <row r="21" ht="15.75" customHeight="1">
      <c r="A21" s="184" t="s">
        <v>33</v>
      </c>
      <c r="B21" s="185" t="str">
        <f>VLOOKUP(A21,Jobmatch!A:G,2,0)</f>
        <v>ANALISTA DE INOVAÇÃO</v>
      </c>
      <c r="C21" s="186">
        <f>IFERROR(AVERAGEIF('Folha de Pagamento'!A:A,A21,'Folha de Pagamento'!J:J),"")</f>
        <v>7299.270073</v>
      </c>
      <c r="D21" s="187">
        <v>7.0</v>
      </c>
      <c r="E21" s="185" t="str">
        <f>VLOOKUP(A21,Jobmatch!A:H,3,0)</f>
        <v>Inovação</v>
      </c>
      <c r="F21" s="188" t="s">
        <v>357</v>
      </c>
      <c r="G21" s="190" t="str">
        <f>VLOOKUP(A21,Jobmatch!A:I,4,0)</f>
        <v>11 - ADM PROJETOS</v>
      </c>
      <c r="H21" s="191" t="str">
        <f>VLOOKUP(A21,Jobmatch!A:I,5,0)</f>
        <v>Tático</v>
      </c>
      <c r="I21" s="192">
        <f>VLOOKUP(A21,Jobmatch!A:I,6,0)</f>
        <v>437</v>
      </c>
      <c r="J21" s="190" t="str">
        <f>VLOOKUP(A21,Jobmatch!A:I,7,0)</f>
        <v>Analista de Inovação</v>
      </c>
      <c r="K21" s="193" t="str">
        <f>VLOOKUP(A21,Jobmatch!A:I,8,0)</f>
        <v>Indiferente</v>
      </c>
      <c r="L21" s="194" t="str">
        <f t="shared" si="2"/>
        <v>437Indiferente</v>
      </c>
      <c r="M21" s="195">
        <f>COUNTIF('Folha de Pagamento'!A:A,A21)</f>
        <v>1</v>
      </c>
      <c r="N21" s="238">
        <v>14.0</v>
      </c>
      <c r="O21" s="196">
        <f>IFERROR(VLOOKUP(L21,'C-01'!$D:$L,5,0),"")</f>
        <v>5268.47</v>
      </c>
      <c r="P21" s="196">
        <f>IFERROR(VLOOKUP(L21,'C-01'!$D:$L,6,0),"")</f>
        <v>5831.57</v>
      </c>
      <c r="Q21" s="196">
        <f>IFERROR(VLOOKUP(L21,'C-01'!$D:$L,7,0),"")</f>
        <v>5268.47</v>
      </c>
      <c r="R21" s="196">
        <f>IFERROR(VLOOKUP(L21,'C-01'!$D:$L,8,0),"")</f>
        <v>6822.26</v>
      </c>
      <c r="S21" s="197">
        <f>IFERROR(VLOOKUP(L21,'C-01'!$D:$L,9,0),"")</f>
        <v>7760.14</v>
      </c>
      <c r="T21" s="198">
        <f>IFS('Painel Geral'!$B$5="Mediana",IFERROR(IF(OR(C21="",Q21=0,Q21=""),"",($C21/$Q21)),""),'Painel Geral'!$B$5="Menor Salário",IFERROR(IF(OR(C21="",Q21=0,Q21=""),"",($C21/$N21)),""),'Painel Geral'!$B$5="1º Quartil",IFERROR(IF(OR(C21="",Q21=0,Q21=""),"",($C21/$O21)),""), 'Painel Geral'!$B$5="Média",IFERROR(IF(OR(C21="",Q21=0,Q21=""),"",($C21/$P21)),""),'Painel Geral'!$B$5="3º Quartil",IFERROR(IF(OR(C21="",Q21=0,Q21=""),"",($C21/$R21)),""),'Painel Geral'!$B$5="Maior Salário",IFERROR(IF(OR(C21="",Q21=0,Q21=""),"",($C21/$S21)),""))</f>
        <v>1.385462966</v>
      </c>
      <c r="U21" s="199" t="str">
        <f t="shared" si="3"/>
        <v>Agressivo</v>
      </c>
      <c r="V21" s="201"/>
      <c r="W21" s="201"/>
      <c r="X21" s="201"/>
      <c r="Y21" s="201"/>
      <c r="Z21" s="201"/>
      <c r="AA21" s="201"/>
      <c r="AB21" s="201"/>
      <c r="AC21" s="201"/>
      <c r="AD21" s="201"/>
      <c r="AE21" s="201"/>
      <c r="AF21" s="201"/>
      <c r="AG21" s="201"/>
      <c r="AH21" s="201"/>
      <c r="AI21" s="201"/>
      <c r="AJ21" s="201"/>
      <c r="AK21" s="223">
        <v>0.21</v>
      </c>
      <c r="AL21" s="220">
        <f t="shared" si="4"/>
        <v>1.0021</v>
      </c>
      <c r="AM21" s="220">
        <f t="shared" ref="AM21:AM25" si="5">AM20*AL21</f>
        <v>1.00440483</v>
      </c>
      <c r="AN21" s="201"/>
      <c r="AO21" s="201"/>
      <c r="AP21" s="201"/>
    </row>
    <row r="22" ht="15.75" customHeight="1">
      <c r="A22" s="184" t="s">
        <v>26</v>
      </c>
      <c r="B22" s="185" t="str">
        <f>VLOOKUP(A22,Jobmatch!A:G,2,0)</f>
        <v>ANALISTA DE COMPRAS</v>
      </c>
      <c r="C22" s="186">
        <f>IFERROR(AVERAGEIF('Folha de Pagamento'!A:A,A22,'Folha de Pagamento'!J:J),"")</f>
        <v>3780</v>
      </c>
      <c r="D22" s="187">
        <v>1.0</v>
      </c>
      <c r="E22" s="185" t="str">
        <f>VLOOKUP(A22,Jobmatch!A:H,3,0)</f>
        <v>Suprimentos </v>
      </c>
      <c r="F22" s="188" t="s">
        <v>367</v>
      </c>
      <c r="G22" s="190" t="str">
        <f>VLOOKUP(A22,Jobmatch!A:I,4,0)</f>
        <v>9 - ADM PROJETOS</v>
      </c>
      <c r="H22" s="191" t="str">
        <f>VLOOKUP(A22,Jobmatch!A:I,5,0)</f>
        <v>Operacional</v>
      </c>
      <c r="I22" s="192">
        <f>VLOOKUP(A22,Jobmatch!A:I,6,0)</f>
        <v>136</v>
      </c>
      <c r="J22" s="190" t="str">
        <f>VLOOKUP(A22,Jobmatch!A:I,7,0)</f>
        <v>Analista de Compras</v>
      </c>
      <c r="K22" s="193" t="str">
        <f>VLOOKUP(A22,Jobmatch!A:I,8,0)</f>
        <v>Pleno</v>
      </c>
      <c r="L22" s="194" t="str">
        <f t="shared" si="2"/>
        <v>136Pleno</v>
      </c>
      <c r="M22" s="195">
        <f>COUNTIF('Folha de Pagamento'!A:A,A22)</f>
        <v>1</v>
      </c>
      <c r="N22" s="238">
        <v>14.0</v>
      </c>
      <c r="O22" s="196">
        <f>IFERROR(VLOOKUP(L22,'C-01'!$D:$L,5,0),"")</f>
        <v>4524.76</v>
      </c>
      <c r="P22" s="196">
        <f>IFERROR(VLOOKUP(L22,'C-01'!$D:$L,6,0),"")</f>
        <v>6002.23</v>
      </c>
      <c r="Q22" s="196">
        <f>IFERROR(VLOOKUP(L22,'C-01'!$D:$L,7,0),"")</f>
        <v>5275.87</v>
      </c>
      <c r="R22" s="196">
        <f>IFERROR(VLOOKUP(L22,'C-01'!$D:$L,8,0),"")</f>
        <v>7842.89</v>
      </c>
      <c r="S22" s="197">
        <f>IFERROR(VLOOKUP(L22,'C-01'!$D:$L,9,0),"")</f>
        <v>7842.89</v>
      </c>
      <c r="T22" s="198">
        <f>IFS('Painel Geral'!$B$5="Mediana",IFERROR(IF(OR(C22="",Q22=0,Q22=""),"",($C22/$Q22)),""),'Painel Geral'!$B$5="Menor Salário",IFERROR(IF(OR(C22="",Q22=0,Q22=""),"",($C22/$N22)),""),'Painel Geral'!$B$5="1º Quartil",IFERROR(IF(OR(C22="",Q22=0,Q22=""),"",($C22/$O22)),""), 'Painel Geral'!$B$5="Média",IFERROR(IF(OR(C22="",Q22=0,Q22=""),"",($C22/$P22)),""),'Painel Geral'!$B$5="3º Quartil",IFERROR(IF(OR(C22="",Q22=0,Q22=""),"",($C22/$R22)),""),'Painel Geral'!$B$5="Maior Salário",IFERROR(IF(OR(C22="",Q22=0,Q22=""),"",($C22/$S22)),""))</f>
        <v>0.7164695112</v>
      </c>
      <c r="U22" s="199" t="str">
        <f t="shared" si="3"/>
        <v>Muito Defasado</v>
      </c>
      <c r="V22" s="201"/>
      <c r="W22" s="201"/>
      <c r="X22" s="201"/>
      <c r="Y22" s="201"/>
      <c r="Z22" s="201"/>
      <c r="AA22" s="201"/>
      <c r="AB22" s="201"/>
      <c r="AC22" s="201"/>
      <c r="AD22" s="201"/>
      <c r="AE22" s="201"/>
      <c r="AF22" s="201"/>
      <c r="AG22" s="201"/>
      <c r="AH22" s="201"/>
      <c r="AI22" s="201"/>
      <c r="AJ22" s="201"/>
      <c r="AK22" s="223">
        <v>-0.21</v>
      </c>
      <c r="AL22" s="220">
        <f t="shared" si="4"/>
        <v>0.9979</v>
      </c>
      <c r="AM22" s="220">
        <f t="shared" si="5"/>
        <v>1.00229558</v>
      </c>
      <c r="AN22" s="201"/>
      <c r="AO22" s="201"/>
      <c r="AP22" s="201"/>
    </row>
    <row r="23" ht="15.75" customHeight="1">
      <c r="A23" s="184" t="s">
        <v>45</v>
      </c>
      <c r="B23" s="185" t="str">
        <f>VLOOKUP(A23,Jobmatch!A:G,2,0)</f>
        <v>ANALISTA DE PÓS VENDAS II</v>
      </c>
      <c r="C23" s="186">
        <f>IFERROR(AVERAGEIF('Folha de Pagamento'!A:A,A23,'Folha de Pagamento'!J:J),"")</f>
        <v>4550</v>
      </c>
      <c r="D23" s="187">
        <v>9.0</v>
      </c>
      <c r="E23" s="185" t="str">
        <f>VLOOKUP(A23,Jobmatch!A:H,3,0)</f>
        <v>Pós Vendas</v>
      </c>
      <c r="F23" s="188" t="s">
        <v>365</v>
      </c>
      <c r="G23" s="190" t="str">
        <f>VLOOKUP(A23,Jobmatch!A:I,4,0)</f>
        <v>14 - ADM PROJETOS</v>
      </c>
      <c r="H23" s="191" t="str">
        <f>VLOOKUP(A23,Jobmatch!A:I,5,0)</f>
        <v>Operacional</v>
      </c>
      <c r="I23" s="192">
        <f>VLOOKUP(A23,Jobmatch!A:I,6,0)</f>
        <v>19</v>
      </c>
      <c r="J23" s="190" t="str">
        <f>VLOOKUP(A23,Jobmatch!A:I,7,0)</f>
        <v>Analista Comercial</v>
      </c>
      <c r="K23" s="193" t="str">
        <f>VLOOKUP(A23,Jobmatch!A:I,8,0)</f>
        <v>Pleno</v>
      </c>
      <c r="L23" s="194" t="str">
        <f t="shared" si="2"/>
        <v>19Pleno</v>
      </c>
      <c r="M23" s="195">
        <f>COUNTIF('Folha de Pagamento'!A:A,A23)</f>
        <v>1</v>
      </c>
      <c r="N23" s="238">
        <v>15.0</v>
      </c>
      <c r="O23" s="196">
        <f>IFERROR(VLOOKUP(L23,'C-01'!$D:$L,5,0),"")</f>
        <v>4898.28</v>
      </c>
      <c r="P23" s="196">
        <f>IFERROR(VLOOKUP(L23,'C-01'!$D:$L,6,0),"")</f>
        <v>5747.37</v>
      </c>
      <c r="Q23" s="196">
        <f>IFERROR(VLOOKUP(L23,'C-01'!$D:$L,7,0),"")</f>
        <v>5320.06</v>
      </c>
      <c r="R23" s="196">
        <f>IFERROR(VLOOKUP(L23,'C-01'!$D:$L,8,0),"")</f>
        <v>6382.81</v>
      </c>
      <c r="S23" s="197">
        <f>IFERROR(VLOOKUP(L23,'C-01'!$D:$L,9,0),"")</f>
        <v>7445.55</v>
      </c>
      <c r="T23" s="198">
        <f>IFS('Painel Geral'!$B$5="Mediana",IFERROR(IF(OR(C23="",Q23=0,Q23=""),"",($C23/$Q23)),""),'Painel Geral'!$B$5="Menor Salário",IFERROR(IF(OR(C23="",Q23=0,Q23=""),"",($C23/$N23)),""),'Painel Geral'!$B$5="1º Quartil",IFERROR(IF(OR(C23="",Q23=0,Q23=""),"",($C23/$O23)),""), 'Painel Geral'!$B$5="Média",IFERROR(IF(OR(C23="",Q23=0,Q23=""),"",($C23/$P23)),""),'Painel Geral'!$B$5="3º Quartil",IFERROR(IF(OR(C23="",Q23=0,Q23=""),"",($C23/$R23)),""),'Painel Geral'!$B$5="Maior Salário",IFERROR(IF(OR(C23="",Q23=0,Q23=""),"",($C23/$S23)),""))</f>
        <v>0.8552535122</v>
      </c>
      <c r="U23" s="199" t="str">
        <f t="shared" si="3"/>
        <v>Defasado</v>
      </c>
      <c r="V23" s="201"/>
      <c r="W23" s="201"/>
      <c r="X23" s="201"/>
      <c r="Y23" s="201"/>
      <c r="Z23" s="201"/>
      <c r="AA23" s="201"/>
      <c r="AB23" s="201"/>
      <c r="AC23" s="201"/>
      <c r="AD23" s="201"/>
      <c r="AE23" s="201"/>
      <c r="AF23" s="201"/>
      <c r="AG23" s="201"/>
      <c r="AH23" s="201"/>
      <c r="AI23" s="201"/>
      <c r="AJ23" s="201"/>
      <c r="AK23" s="223">
        <v>0.52</v>
      </c>
      <c r="AL23" s="220">
        <f t="shared" si="4"/>
        <v>1.0052</v>
      </c>
      <c r="AM23" s="220">
        <f t="shared" si="5"/>
        <v>1.007507517</v>
      </c>
      <c r="AN23" s="201"/>
      <c r="AO23" s="201"/>
      <c r="AP23" s="201"/>
    </row>
    <row r="24" ht="15.75" customHeight="1">
      <c r="A24" s="184" t="s">
        <v>51</v>
      </c>
      <c r="B24" s="185" t="str">
        <f>VLOOKUP(A24,Jobmatch!A:G,2,0)</f>
        <v>ANALISTA FINANCEIRO COMERCIAL III</v>
      </c>
      <c r="C24" s="186">
        <f>IFERROR(AVERAGEIF('Folha de Pagamento'!A:A,A24,'Folha de Pagamento'!J:J),"")</f>
        <v>5213</v>
      </c>
      <c r="D24" s="187">
        <v>6.0</v>
      </c>
      <c r="E24" s="185" t="str">
        <f>VLOOKUP(A24,Jobmatch!A:H,3,0)</f>
        <v>Financeiro</v>
      </c>
      <c r="F24" s="188" t="s">
        <v>351</v>
      </c>
      <c r="G24" s="190" t="str">
        <f>VLOOKUP(A24,Jobmatch!A:I,4,0)</f>
        <v>16 - ADM PROJETOS</v>
      </c>
      <c r="H24" s="191" t="str">
        <f>VLOOKUP(A24,Jobmatch!A:I,5,0)</f>
        <v>Operacional</v>
      </c>
      <c r="I24" s="192">
        <f>VLOOKUP(A24,Jobmatch!A:I,6,0)</f>
        <v>16</v>
      </c>
      <c r="J24" s="190" t="str">
        <f>VLOOKUP(A24,Jobmatch!A:I,7,0)</f>
        <v>Analista Financeiro</v>
      </c>
      <c r="K24" s="193" t="str">
        <f>VLOOKUP(A24,Jobmatch!A:I,8,0)</f>
        <v>Sênior</v>
      </c>
      <c r="L24" s="194" t="str">
        <f t="shared" si="2"/>
        <v>16Sênior</v>
      </c>
      <c r="M24" s="195">
        <f>COUNTIF('Folha de Pagamento'!A:A,A24)</f>
        <v>1</v>
      </c>
      <c r="N24" s="238">
        <v>15.0</v>
      </c>
      <c r="O24" s="196">
        <f>IFERROR(VLOOKUP(L24,'C-01'!$D:$L,5,0),"")</f>
        <v>5489.27</v>
      </c>
      <c r="P24" s="196">
        <f>IFERROR(VLOOKUP(L24,'C-01'!$D:$L,6,0),"")</f>
        <v>6172.24</v>
      </c>
      <c r="Q24" s="196">
        <f>IFERROR(VLOOKUP(L24,'C-01'!$D:$L,7,0),"")</f>
        <v>5910.71</v>
      </c>
      <c r="R24" s="196">
        <f>IFERROR(VLOOKUP(L24,'C-01'!$D:$L,8,0),"")</f>
        <v>6737.39</v>
      </c>
      <c r="S24" s="197">
        <f>IFERROR(VLOOKUP(L24,'C-01'!$D:$L,9,0),"")</f>
        <v>8185.08</v>
      </c>
      <c r="T24" s="198">
        <f>IFS('Painel Geral'!$B$5="Mediana",IFERROR(IF(OR(C24="",Q24=0,Q24=""),"",($C24/$Q24)),""),'Painel Geral'!$B$5="Menor Salário",IFERROR(IF(OR(C24="",Q24=0,Q24=""),"",($C24/$N24)),""),'Painel Geral'!$B$5="1º Quartil",IFERROR(IF(OR(C24="",Q24=0,Q24=""),"",($C24/$O24)),""), 'Painel Geral'!$B$5="Média",IFERROR(IF(OR(C24="",Q24=0,Q24=""),"",($C24/$P24)),""),'Painel Geral'!$B$5="3º Quartil",IFERROR(IF(OR(C24="",Q24=0,Q24=""),"",($C24/$R24)),""),'Painel Geral'!$B$5="Maior Salário",IFERROR(IF(OR(C24="",Q24=0,Q24=""),"",($C24/$S24)),""))</f>
        <v>0.8819583434</v>
      </c>
      <c r="U24" s="199" t="str">
        <f t="shared" si="3"/>
        <v>Defasado</v>
      </c>
      <c r="V24" s="201"/>
      <c r="W24" s="201"/>
      <c r="X24" s="201"/>
      <c r="Y24" s="201"/>
      <c r="Z24" s="201"/>
      <c r="AA24" s="201"/>
      <c r="AB24" s="201"/>
      <c r="AC24" s="201"/>
      <c r="AD24" s="201"/>
      <c r="AE24" s="201"/>
      <c r="AF24" s="201"/>
      <c r="AG24" s="201"/>
      <c r="AH24" s="201"/>
      <c r="AI24" s="201"/>
      <c r="AJ24" s="201"/>
      <c r="AK24" s="223">
        <v>0.03</v>
      </c>
      <c r="AL24" s="220">
        <f t="shared" si="4"/>
        <v>1.0003</v>
      </c>
      <c r="AM24" s="220">
        <f t="shared" si="5"/>
        <v>1.007809769</v>
      </c>
      <c r="AN24" s="201"/>
      <c r="AO24" s="201"/>
      <c r="AP24" s="201"/>
    </row>
    <row r="25" ht="15.75" customHeight="1">
      <c r="A25" s="184" t="s">
        <v>55</v>
      </c>
      <c r="B25" s="185" t="str">
        <f>VLOOKUP(A25,Jobmatch!A:G,2,0)</f>
        <v>ANALISTA FINANCEIRO DE CAPTAÇÃO DE RECURSOS III</v>
      </c>
      <c r="C25" s="186">
        <f>IFERROR(AVERAGEIF('Folha de Pagamento'!A:A,A25,'Folha de Pagamento'!J:J),"")</f>
        <v>5213</v>
      </c>
      <c r="D25" s="187">
        <v>6.0</v>
      </c>
      <c r="E25" s="185" t="str">
        <f>VLOOKUP(A25,Jobmatch!A:H,3,0)</f>
        <v>Financeiro</v>
      </c>
      <c r="F25" s="188" t="s">
        <v>352</v>
      </c>
      <c r="G25" s="190" t="str">
        <f>VLOOKUP(A25,Jobmatch!A:I,4,0)</f>
        <v>17 - ADM PROJETOS</v>
      </c>
      <c r="H25" s="191" t="str">
        <f>VLOOKUP(A25,Jobmatch!A:I,5,0)</f>
        <v>Operacional</v>
      </c>
      <c r="I25" s="192">
        <f>VLOOKUP(A25,Jobmatch!A:I,6,0)</f>
        <v>16</v>
      </c>
      <c r="J25" s="190" t="str">
        <f>VLOOKUP(A25,Jobmatch!A:I,7,0)</f>
        <v>Analista Financeiro</v>
      </c>
      <c r="K25" s="193" t="str">
        <f>VLOOKUP(A25,Jobmatch!A:I,8,0)</f>
        <v>Sênior</v>
      </c>
      <c r="L25" s="194" t="str">
        <f t="shared" si="2"/>
        <v>16Sênior</v>
      </c>
      <c r="M25" s="195">
        <f>COUNTIF('Folha de Pagamento'!A:A,A25)</f>
        <v>1</v>
      </c>
      <c r="N25" s="238">
        <v>15.0</v>
      </c>
      <c r="O25" s="196">
        <f>IFERROR(VLOOKUP(L25,'C-01'!$D:$L,5,0),"")</f>
        <v>5489.27</v>
      </c>
      <c r="P25" s="196">
        <f>IFERROR(VLOOKUP(L25,'C-01'!$D:$L,6,0),"")</f>
        <v>6172.24</v>
      </c>
      <c r="Q25" s="196">
        <f>IFERROR(VLOOKUP(L25,'C-01'!$D:$L,7,0),"")</f>
        <v>5910.71</v>
      </c>
      <c r="R25" s="196">
        <f>IFERROR(VLOOKUP(L25,'C-01'!$D:$L,8,0),"")</f>
        <v>6737.39</v>
      </c>
      <c r="S25" s="197">
        <f>IFERROR(VLOOKUP(L25,'C-01'!$D:$L,9,0),"")</f>
        <v>8185.08</v>
      </c>
      <c r="T25" s="198">
        <f>IFS('Painel Geral'!$B$5="Mediana",IFERROR(IF(OR(C25="",Q25=0,Q25=""),"",($C25/$Q25)),""),'Painel Geral'!$B$5="Menor Salário",IFERROR(IF(OR(C25="",Q25=0,Q25=""),"",($C25/$N25)),""),'Painel Geral'!$B$5="1º Quartil",IFERROR(IF(OR(C25="",Q25=0,Q25=""),"",($C25/$O25)),""), 'Painel Geral'!$B$5="Média",IFERROR(IF(OR(C25="",Q25=0,Q25=""),"",($C25/$P25)),""),'Painel Geral'!$B$5="3º Quartil",IFERROR(IF(OR(C25="",Q25=0,Q25=""),"",($C25/$R25)),""),'Painel Geral'!$B$5="Maior Salário",IFERROR(IF(OR(C25="",Q25=0,Q25=""),"",($C25/$S25)),""))</f>
        <v>0.8819583434</v>
      </c>
      <c r="U25" s="199" t="str">
        <f t="shared" si="3"/>
        <v>Defasado</v>
      </c>
      <c r="V25" s="201"/>
      <c r="W25" s="201"/>
      <c r="X25" s="201"/>
      <c r="Y25" s="201"/>
      <c r="Z25" s="201"/>
      <c r="AA25" s="201"/>
      <c r="AB25" s="201"/>
      <c r="AC25" s="201"/>
      <c r="AD25" s="201"/>
      <c r="AE25" s="201"/>
      <c r="AF25" s="201"/>
      <c r="AG25" s="201"/>
      <c r="AH25" s="201"/>
      <c r="AI25" s="201"/>
      <c r="AJ25" s="201"/>
      <c r="AK25" s="220">
        <v>0.03</v>
      </c>
      <c r="AL25" s="220">
        <f t="shared" si="4"/>
        <v>1.0003</v>
      </c>
      <c r="AM25" s="220">
        <f t="shared" si="5"/>
        <v>1.008112112</v>
      </c>
      <c r="AN25" s="201"/>
      <c r="AO25" s="201"/>
      <c r="AP25" s="201"/>
    </row>
    <row r="26" ht="15.75" customHeight="1">
      <c r="A26" s="184" t="s">
        <v>183</v>
      </c>
      <c r="B26" s="185" t="str">
        <f>VLOOKUP(A26,Jobmatch!A:G,2,0)</f>
        <v>TECNICO ANALISTA DE CUSTOS</v>
      </c>
      <c r="C26" s="186">
        <f>IFERROR(AVERAGEIF('Folha de Pagamento'!A:A,A26,'Folha de Pagamento'!J:J),"")</f>
        <v>7000</v>
      </c>
      <c r="D26" s="187">
        <v>5.0</v>
      </c>
      <c r="E26" s="185" t="str">
        <f>VLOOKUP(A26,Jobmatch!A:H,3,0)</f>
        <v>Edificação</v>
      </c>
      <c r="F26" s="188" t="s">
        <v>349</v>
      </c>
      <c r="G26" s="190" t="str">
        <f>VLOOKUP(A26,Jobmatch!A:I,4,0)</f>
        <v>60 - ADM PROJETOS</v>
      </c>
      <c r="H26" s="191" t="str">
        <f>VLOOKUP(A26,Jobmatch!A:I,5,0)</f>
        <v>Operacional</v>
      </c>
      <c r="I26" s="192">
        <f>VLOOKUP(A26,Jobmatch!A:I,6,0)</f>
        <v>876</v>
      </c>
      <c r="J26" s="190" t="str">
        <f>VLOOKUP(A26,Jobmatch!A:I,7,0)</f>
        <v>Analista de Custos</v>
      </c>
      <c r="K26" s="193" t="str">
        <f>VLOOKUP(A26,Jobmatch!A:I,8,0)</f>
        <v>Indiferente</v>
      </c>
      <c r="L26" s="194" t="str">
        <f t="shared" si="2"/>
        <v>876Indiferente</v>
      </c>
      <c r="M26" s="195">
        <f>COUNTIF('Folha de Pagamento'!A:A,A26)</f>
        <v>3</v>
      </c>
      <c r="N26" s="238">
        <v>16.0</v>
      </c>
      <c r="O26" s="196">
        <f>IFERROR(VLOOKUP(L26,'C-01'!$D:$L,5,0),"")</f>
        <v>6868.23</v>
      </c>
      <c r="P26" s="196">
        <f>IFERROR(VLOOKUP(L26,'C-01'!$D:$L,6,0),"")</f>
        <v>7611.25</v>
      </c>
      <c r="Q26" s="196">
        <f>IFERROR(VLOOKUP(L26,'C-01'!$D:$L,7,0),"")</f>
        <v>7320.76</v>
      </c>
      <c r="R26" s="196">
        <f>IFERROR(VLOOKUP(L26,'C-01'!$D:$L,8,0),"")</f>
        <v>8153.71</v>
      </c>
      <c r="S26" s="197">
        <f>IFERROR(VLOOKUP(L26,'C-01'!$D:$L,9,0),"")</f>
        <v>9161.15</v>
      </c>
      <c r="T26" s="198">
        <f>IFS('Painel Geral'!$B$5="Mediana",IFERROR(IF(OR(C26="",Q26=0,Q26=""),"",($C26/$Q26)),""),'Painel Geral'!$B$5="Menor Salário",IFERROR(IF(OR(C26="",Q26=0,Q26=""),"",($C26/$N26)),""),'Painel Geral'!$B$5="1º Quartil",IFERROR(IF(OR(C26="",Q26=0,Q26=""),"",($C26/$O26)),""), 'Painel Geral'!$B$5="Média",IFERROR(IF(OR(C26="",Q26=0,Q26=""),"",($C26/$P26)),""),'Painel Geral'!$B$5="3º Quartil",IFERROR(IF(OR(C26="",Q26=0,Q26=""),"",($C26/$R26)),""),'Painel Geral'!$B$5="Maior Salário",IFERROR(IF(OR(C26="",Q26=0,Q26=""),"",($C26/$S26)),""))</f>
        <v>0.956184877</v>
      </c>
      <c r="U26" s="199" t="str">
        <f t="shared" si="3"/>
        <v>Na Média</v>
      </c>
      <c r="V26" s="201"/>
      <c r="W26" s="201"/>
      <c r="X26" s="201"/>
      <c r="Y26" s="201"/>
      <c r="Z26" s="201"/>
      <c r="AA26" s="201"/>
      <c r="AB26" s="201"/>
      <c r="AC26" s="201"/>
      <c r="AD26" s="201"/>
      <c r="AE26" s="201"/>
      <c r="AF26" s="201"/>
      <c r="AG26" s="201"/>
      <c r="AH26" s="201"/>
      <c r="AI26" s="201"/>
      <c r="AJ26" s="201"/>
      <c r="AK26" s="220"/>
      <c r="AL26" s="220"/>
      <c r="AM26" s="220"/>
      <c r="AN26" s="201"/>
      <c r="AO26" s="201"/>
      <c r="AP26" s="201"/>
    </row>
    <row r="27" ht="15.75" customHeight="1">
      <c r="A27" s="184" t="s">
        <v>125</v>
      </c>
      <c r="B27" s="185" t="str">
        <f>VLOOKUP(A27,Jobmatch!A:G,2,0)</f>
        <v>ENCARREGADO OBRAS/MANUTENCAO</v>
      </c>
      <c r="C27" s="186">
        <f>IFERROR(AVERAGEIF('Folha de Pagamento'!A:A,A27,'Folha de Pagamento'!J:J),"")</f>
        <v>8714</v>
      </c>
      <c r="D27" s="187">
        <v>5.0</v>
      </c>
      <c r="E27" s="185" t="str">
        <f>VLOOKUP(A27,Jobmatch!A:H,3,0)</f>
        <v>Edificação</v>
      </c>
      <c r="F27" s="188" t="s">
        <v>346</v>
      </c>
      <c r="G27" s="190" t="str">
        <f>VLOOKUP(A27,Jobmatch!A:I,4,0)</f>
        <v>42 - ADM PROJETOS</v>
      </c>
      <c r="H27" s="191" t="str">
        <f>VLOOKUP(A27,Jobmatch!A:I,5,0)</f>
        <v>Operacional</v>
      </c>
      <c r="I27" s="192">
        <f>VLOOKUP(A27,Jobmatch!A:I,6,0)</f>
        <v>470</v>
      </c>
      <c r="J27" s="190" t="str">
        <f>VLOOKUP(A27,Jobmatch!A:I,7,0)</f>
        <v>Mestre de Obras</v>
      </c>
      <c r="K27" s="193" t="str">
        <f>VLOOKUP(A27,Jobmatch!A:I,8,0)</f>
        <v>Indiferente</v>
      </c>
      <c r="L27" s="194" t="str">
        <f t="shared" si="2"/>
        <v>470Indiferente</v>
      </c>
      <c r="M27" s="195">
        <f>COUNTIF('Folha de Pagamento'!A:A,A27)</f>
        <v>1</v>
      </c>
      <c r="N27" s="238">
        <v>16.0</v>
      </c>
      <c r="O27" s="196">
        <f>IFERROR(VLOOKUP(L27,'C-01'!$D:$L,5,0),"")</f>
        <v>5530.26</v>
      </c>
      <c r="P27" s="196">
        <f>IFERROR(VLOOKUP(L27,'C-01'!$D:$L,6,0),"")</f>
        <v>7689.13</v>
      </c>
      <c r="Q27" s="196">
        <f>IFERROR(VLOOKUP(L27,'C-01'!$D:$L,7,0),"")</f>
        <v>7460.82</v>
      </c>
      <c r="R27" s="196">
        <f>IFERROR(VLOOKUP(L27,'C-01'!$D:$L,8,0),"")</f>
        <v>9785.54</v>
      </c>
      <c r="S27" s="197">
        <f>IFERROR(VLOOKUP(L27,'C-01'!$D:$L,9,0),"")</f>
        <v>11138.95</v>
      </c>
      <c r="T27" s="198">
        <f>IFS('Painel Geral'!$B$5="Mediana",IFERROR(IF(OR(C27="",Q27=0,Q27=""),"",($C27/$Q27)),""),'Painel Geral'!$B$5="Menor Salário",IFERROR(IF(OR(C27="",Q27=0,Q27=""),"",($C27/$N27)),""),'Painel Geral'!$B$5="1º Quartil",IFERROR(IF(OR(C27="",Q27=0,Q27=""),"",($C27/$O27)),""), 'Painel Geral'!$B$5="Média",IFERROR(IF(OR(C27="",Q27=0,Q27=""),"",($C27/$P27)),""),'Painel Geral'!$B$5="3º Quartil",IFERROR(IF(OR(C27="",Q27=0,Q27=""),"",($C27/$R27)),""),'Painel Geral'!$B$5="Maior Salário",IFERROR(IF(OR(C27="",Q27=0,Q27=""),"",($C27/$S27)),""))</f>
        <v>1.167968132</v>
      </c>
      <c r="U27" s="199" t="str">
        <f t="shared" si="3"/>
        <v>Muito Competitivo</v>
      </c>
      <c r="V27" s="201"/>
      <c r="W27" s="201"/>
      <c r="X27" s="201"/>
      <c r="Y27" s="201"/>
      <c r="Z27" s="201"/>
      <c r="AA27" s="201"/>
      <c r="AB27" s="201"/>
      <c r="AC27" s="201"/>
      <c r="AD27" s="201"/>
      <c r="AE27" s="201"/>
      <c r="AF27" s="201"/>
      <c r="AG27" s="201"/>
      <c r="AH27" s="201"/>
      <c r="AI27" s="201"/>
      <c r="AJ27" s="201"/>
      <c r="AK27" s="201"/>
      <c r="AL27" s="201"/>
      <c r="AM27" s="201"/>
      <c r="AN27" s="224">
        <f>AM25</f>
        <v>1.008112112</v>
      </c>
      <c r="AO27" s="201"/>
      <c r="AP27" s="201"/>
    </row>
    <row r="28" ht="15.75" customHeight="1">
      <c r="A28" s="184" t="s">
        <v>123</v>
      </c>
      <c r="B28" s="185" t="str">
        <f>VLOOKUP(A28,Jobmatch!A:G,2,0)</f>
        <v>ENCARREGADO DE OBRAS</v>
      </c>
      <c r="C28" s="186">
        <f>IFERROR(AVERAGEIF('Folha de Pagamento'!A:A,A28,'Folha de Pagamento'!J:J),"")</f>
        <v>10000.5</v>
      </c>
      <c r="D28" s="187">
        <v>10.0</v>
      </c>
      <c r="E28" s="185" t="str">
        <f>VLOOKUP(A28,Jobmatch!A:H,3,0)</f>
        <v>Urbanismo</v>
      </c>
      <c r="F28" s="188" t="s">
        <v>372</v>
      </c>
      <c r="G28" s="190" t="str">
        <f>VLOOKUP(A28,Jobmatch!A:I,4,0)</f>
        <v>41 - ADM PROJETOS</v>
      </c>
      <c r="H28" s="191" t="str">
        <f>VLOOKUP(A28,Jobmatch!A:I,5,0)</f>
        <v>Operacional</v>
      </c>
      <c r="I28" s="192">
        <f>VLOOKUP(A28,Jobmatch!A:I,6,0)</f>
        <v>470</v>
      </c>
      <c r="J28" s="190" t="str">
        <f>VLOOKUP(A28,Jobmatch!A:I,7,0)</f>
        <v>Mestre de Obras</v>
      </c>
      <c r="K28" s="193" t="str">
        <f>VLOOKUP(A28,Jobmatch!A:I,8,0)</f>
        <v>Indiferente</v>
      </c>
      <c r="L28" s="194" t="str">
        <f t="shared" si="2"/>
        <v>470Indiferente</v>
      </c>
      <c r="M28" s="195">
        <f>COUNTIF('Folha de Pagamento'!A:A,A28)</f>
        <v>2</v>
      </c>
      <c r="N28" s="238">
        <v>16.0</v>
      </c>
      <c r="O28" s="196">
        <f>IFERROR(VLOOKUP(L28,'C-01'!$D:$L,5,0),"")</f>
        <v>5530.26</v>
      </c>
      <c r="P28" s="196">
        <f>IFERROR(VLOOKUP(L28,'C-01'!$D:$L,6,0),"")</f>
        <v>7689.13</v>
      </c>
      <c r="Q28" s="196">
        <f>IFERROR(VLOOKUP(L28,'C-01'!$D:$L,7,0),"")</f>
        <v>7460.82</v>
      </c>
      <c r="R28" s="196">
        <f>IFERROR(VLOOKUP(L28,'C-01'!$D:$L,8,0),"")</f>
        <v>9785.54</v>
      </c>
      <c r="S28" s="197">
        <f>IFERROR(VLOOKUP(L28,'C-01'!$D:$L,9,0),"")</f>
        <v>11138.95</v>
      </c>
      <c r="T28" s="198">
        <f>IFS('Painel Geral'!$B$5="Mediana",IFERROR(IF(OR(C28="",Q28=0,Q28=""),"",($C28/$Q28)),""),'Painel Geral'!$B$5="Menor Salário",IFERROR(IF(OR(C28="",Q28=0,Q28=""),"",($C28/$N28)),""),'Painel Geral'!$B$5="1º Quartil",IFERROR(IF(OR(C28="",Q28=0,Q28=""),"",($C28/$O28)),""), 'Painel Geral'!$B$5="Média",IFERROR(IF(OR(C28="",Q28=0,Q28=""),"",($C28/$P28)),""),'Painel Geral'!$B$5="3º Quartil",IFERROR(IF(OR(C28="",Q28=0,Q28=""),"",($C28/$R28)),""),'Painel Geral'!$B$5="Maior Salário",IFERROR(IF(OR(C28="",Q28=0,Q28=""),"",($C28/$S28)),""))</f>
        <v>1.340402261</v>
      </c>
      <c r="U28" s="199" t="str">
        <f t="shared" si="3"/>
        <v>Agressivo</v>
      </c>
      <c r="V28" s="201"/>
      <c r="W28" s="201"/>
      <c r="X28" s="201"/>
      <c r="Y28" s="201"/>
      <c r="Z28" s="201"/>
      <c r="AA28" s="201"/>
      <c r="AB28" s="201"/>
      <c r="AC28" s="201"/>
      <c r="AD28" s="201"/>
      <c r="AE28" s="201"/>
      <c r="AF28" s="201"/>
      <c r="AG28" s="201"/>
      <c r="AH28" s="201"/>
      <c r="AI28" s="201"/>
      <c r="AJ28" s="201"/>
      <c r="AK28" s="201"/>
      <c r="AL28" s="201"/>
      <c r="AM28" s="201"/>
      <c r="AN28" s="201"/>
      <c r="AO28" s="201"/>
      <c r="AP28" s="201"/>
    </row>
    <row r="29" ht="15.75" customHeight="1">
      <c r="A29" s="184" t="s">
        <v>115</v>
      </c>
      <c r="B29" s="185" t="str">
        <f>VLOOKUP(A29,Jobmatch!A:G,2,0)</f>
        <v>COORDENADOR FINANCEIRO</v>
      </c>
      <c r="C29" s="186">
        <f>IFERROR(AVERAGEIF('Folha de Pagamento'!A:A,A29,'Folha de Pagamento'!J:J),"")</f>
        <v>7947.019868</v>
      </c>
      <c r="D29" s="187">
        <v>6.0</v>
      </c>
      <c r="E29" s="185" t="str">
        <f>VLOOKUP(A29,Jobmatch!A:H,3,0)</f>
        <v>Financeiro</v>
      </c>
      <c r="F29" s="188" t="s">
        <v>276</v>
      </c>
      <c r="G29" s="190" t="str">
        <f>VLOOKUP(A29,Jobmatch!A:I,4,0)</f>
        <v>39 - ADM PROJETOS</v>
      </c>
      <c r="H29" s="191" t="str">
        <f>VLOOKUP(A29,Jobmatch!A:I,5,0)</f>
        <v>Tático</v>
      </c>
      <c r="I29" s="192">
        <f>VLOOKUP(A29,Jobmatch!A:I,6,0)</f>
        <v>122</v>
      </c>
      <c r="J29" s="190" t="str">
        <f>VLOOKUP(A29,Jobmatch!A:I,7,0)</f>
        <v>Coordenador Financeiro</v>
      </c>
      <c r="K29" s="193" t="str">
        <f>VLOOKUP(A29,Jobmatch!A:I,8,0)</f>
        <v>Indiferente</v>
      </c>
      <c r="L29" s="194" t="str">
        <f t="shared" si="2"/>
        <v>122Indiferente</v>
      </c>
      <c r="M29" s="195">
        <f>COUNTIF('Folha de Pagamento'!A:A,A29)</f>
        <v>1</v>
      </c>
      <c r="N29" s="238">
        <v>16.0</v>
      </c>
      <c r="O29" s="196">
        <f>IFERROR(VLOOKUP(L29,'C-01'!$D:$L,5,0),"")</f>
        <v>6325.01</v>
      </c>
      <c r="P29" s="196">
        <f>IFERROR(VLOOKUP(L29,'C-01'!$D:$L,6,0),"")</f>
        <v>7452.59</v>
      </c>
      <c r="Q29" s="196">
        <f>IFERROR(VLOOKUP(L29,'C-01'!$D:$L,7,0),"")</f>
        <v>7558.57</v>
      </c>
      <c r="R29" s="196">
        <f>IFERROR(VLOOKUP(L29,'C-01'!$D:$L,8,0),"")</f>
        <v>8691.7</v>
      </c>
      <c r="S29" s="197">
        <f>IFERROR(VLOOKUP(L29,'C-01'!$D:$L,9,0),"")</f>
        <v>9982.25</v>
      </c>
      <c r="T29" s="198">
        <f>IFS('Painel Geral'!$B$5="Mediana",IFERROR(IF(OR(C29="",Q29=0,Q29=""),"",($C29/$Q29)),""),'Painel Geral'!$B$5="Menor Salário",IFERROR(IF(OR(C29="",Q29=0,Q29=""),"",($C29/$N29)),""),'Painel Geral'!$B$5="1º Quartil",IFERROR(IF(OR(C29="",Q29=0,Q29=""),"",($C29/$O29)),""), 'Painel Geral'!$B$5="Média",IFERROR(IF(OR(C29="",Q29=0,Q29=""),"",($C29/$P29)),""),'Painel Geral'!$B$5="3º Quartil",IFERROR(IF(OR(C29="",Q29=0,Q29=""),"",($C29/$R29)),""),'Painel Geral'!$B$5="Maior Salário",IFERROR(IF(OR(C29="",Q29=0,Q29=""),"",($C29/$S29)),""))</f>
        <v>1.051391979</v>
      </c>
      <c r="U29" s="199" t="str">
        <f t="shared" si="3"/>
        <v>Competitivo</v>
      </c>
      <c r="V29" s="201"/>
      <c r="W29" s="201"/>
      <c r="X29" s="201"/>
      <c r="Y29" s="201"/>
      <c r="Z29" s="201"/>
      <c r="AA29" s="201"/>
      <c r="AB29" s="201"/>
      <c r="AC29" s="201"/>
      <c r="AD29" s="201"/>
      <c r="AE29" s="201"/>
      <c r="AF29" s="201"/>
      <c r="AG29" s="201"/>
      <c r="AH29" s="201"/>
      <c r="AI29" s="201"/>
      <c r="AJ29" s="201"/>
      <c r="AK29" s="201"/>
      <c r="AL29" s="201"/>
      <c r="AM29" s="201"/>
      <c r="AN29" s="227"/>
      <c r="AO29" s="201"/>
      <c r="AP29" s="201"/>
    </row>
    <row r="30" ht="15.75" customHeight="1">
      <c r="A30" s="184" t="s">
        <v>48</v>
      </c>
      <c r="B30" s="185" t="str">
        <f>VLOOKUP(A30,Jobmatch!A:G,2,0)</f>
        <v>ANALISTA DE URBANISMO</v>
      </c>
      <c r="C30" s="186">
        <f>IFERROR(AVERAGEIF('Folha de Pagamento'!A:A,A30,'Folha de Pagamento'!J:J),"")</f>
        <v>5830</v>
      </c>
      <c r="D30" s="187">
        <v>10.0</v>
      </c>
      <c r="E30" s="185" t="str">
        <f>VLOOKUP(A30,Jobmatch!A:H,3,0)</f>
        <v>Urbanismo</v>
      </c>
      <c r="F30" s="188" t="s">
        <v>370</v>
      </c>
      <c r="G30" s="190" t="str">
        <f>VLOOKUP(A30,Jobmatch!A:I,4,0)</f>
        <v>15 - ADM PROJETOS</v>
      </c>
      <c r="H30" s="191" t="str">
        <f>VLOOKUP(A30,Jobmatch!A:I,5,0)</f>
        <v>Operacional</v>
      </c>
      <c r="I30" s="192">
        <f>VLOOKUP(A30,Jobmatch!A:I,6,0)</f>
        <v>1199</v>
      </c>
      <c r="J30" s="190" t="str">
        <f>VLOOKUP(A30,Jobmatch!A:I,7,0)</f>
        <v>Analista de Urbanismo</v>
      </c>
      <c r="K30" s="193" t="str">
        <f>VLOOKUP(A30,Jobmatch!A:I,8,0)</f>
        <v>Indiferente</v>
      </c>
      <c r="L30" s="194" t="str">
        <f t="shared" si="2"/>
        <v>1199Indiferente</v>
      </c>
      <c r="M30" s="195">
        <f>COUNTIF('Folha de Pagamento'!A:A,A30)</f>
        <v>1</v>
      </c>
      <c r="N30" s="238">
        <v>17.0</v>
      </c>
      <c r="O30" s="196">
        <f>IFERROR(VLOOKUP(L30,'C-01'!$D:$L,5,0),"")</f>
        <v>6091.54</v>
      </c>
      <c r="P30" s="196">
        <f>IFERROR(VLOOKUP(L30,'C-01'!$D:$L,6,0),"")</f>
        <v>7637.46</v>
      </c>
      <c r="Q30" s="196">
        <f>IFERROR(VLOOKUP(L30,'C-01'!$D:$L,7,0),"")</f>
        <v>7848.45</v>
      </c>
      <c r="R30" s="196">
        <f>IFERROR(VLOOKUP(L30,'C-01'!$D:$L,8,0),"")</f>
        <v>9161.15</v>
      </c>
      <c r="S30" s="197">
        <f>IFERROR(VLOOKUP(L30,'C-01'!$D:$L,9,0),"")</f>
        <v>9161.15</v>
      </c>
      <c r="T30" s="198">
        <f>IFS('Painel Geral'!$B$5="Mediana",IFERROR(IF(OR(C30="",Q30=0,Q30=""),"",($C30/$Q30)),""),'Painel Geral'!$B$5="Menor Salário",IFERROR(IF(OR(C30="",Q30=0,Q30=""),"",($C30/$N30)),""),'Painel Geral'!$B$5="1º Quartil",IFERROR(IF(OR(C30="",Q30=0,Q30=""),"",($C30/$O30)),""), 'Painel Geral'!$B$5="Média",IFERROR(IF(OR(C30="",Q30=0,Q30=""),"",($C30/$P30)),""),'Painel Geral'!$B$5="3º Quartil",IFERROR(IF(OR(C30="",Q30=0,Q30=""),"",($C30/$R30)),""),'Painel Geral'!$B$5="Maior Salário",IFERROR(IF(OR(C30="",Q30=0,Q30=""),"",($C30/$S30)),""))</f>
        <v>0.7428218311</v>
      </c>
      <c r="U30" s="199" t="str">
        <f t="shared" si="3"/>
        <v>Muito Defasado</v>
      </c>
      <c r="V30" s="201"/>
      <c r="W30" s="201"/>
      <c r="X30" s="201"/>
      <c r="Y30" s="219">
        <v>1907.0</v>
      </c>
      <c r="Z30" s="225">
        <v>1922.4697976947134</v>
      </c>
      <c r="AA30" s="226">
        <v>2306.963757233656</v>
      </c>
      <c r="AB30" s="221"/>
      <c r="AC30" s="221"/>
      <c r="AD30" s="201"/>
      <c r="AE30" s="201"/>
      <c r="AF30" s="201"/>
      <c r="AG30" s="201"/>
      <c r="AH30" s="201"/>
      <c r="AI30" s="201"/>
      <c r="AJ30" s="201"/>
      <c r="AK30" s="201"/>
      <c r="AL30" s="201"/>
      <c r="AM30" s="201"/>
      <c r="AN30" s="201"/>
      <c r="AO30" s="201"/>
      <c r="AP30" s="201"/>
    </row>
    <row r="31" ht="15.75" customHeight="1">
      <c r="A31" s="184" t="s">
        <v>106</v>
      </c>
      <c r="B31" s="185" t="str">
        <f>VLOOKUP(A31,Jobmatch!A:G,2,0)</f>
        <v>COORDENADOR DE MARKETING II</v>
      </c>
      <c r="C31" s="186">
        <f>IFERROR(AVERAGEIF('Folha de Pagamento'!A:A,A31,'Folha de Pagamento'!J:J),"")</f>
        <v>8647</v>
      </c>
      <c r="D31" s="187">
        <v>8.0</v>
      </c>
      <c r="E31" s="185" t="str">
        <f>VLOOKUP(A31,Jobmatch!A:H,3,0)</f>
        <v>Marketing</v>
      </c>
      <c r="F31" s="188" t="s">
        <v>363</v>
      </c>
      <c r="G31" s="190" t="str">
        <f>VLOOKUP(A31,Jobmatch!A:I,4,0)</f>
        <v>36 - ADM PROJETOS</v>
      </c>
      <c r="H31" s="191" t="str">
        <f>VLOOKUP(A31,Jobmatch!A:I,5,0)</f>
        <v>Tático</v>
      </c>
      <c r="I31" s="192">
        <f>VLOOKUP(A31,Jobmatch!A:I,6,0)</f>
        <v>56</v>
      </c>
      <c r="J31" s="190" t="str">
        <f>VLOOKUP(A31,Jobmatch!A:I,7,0)</f>
        <v>Coordenador de Marketing</v>
      </c>
      <c r="K31" s="193" t="str">
        <f>VLOOKUP(A31,Jobmatch!A:I,8,0)</f>
        <v>Indiferente</v>
      </c>
      <c r="L31" s="194" t="str">
        <f t="shared" si="2"/>
        <v>56Indiferente</v>
      </c>
      <c r="M31" s="195">
        <f>COUNTIF('Folha de Pagamento'!A:A,A31)</f>
        <v>1</v>
      </c>
      <c r="N31" s="238">
        <v>17.0</v>
      </c>
      <c r="O31" s="196">
        <f>IFERROR(VLOOKUP(L31,'C-01'!$D:$L,5,0),"")</f>
        <v>7141.59</v>
      </c>
      <c r="P31" s="196">
        <f>IFERROR(VLOOKUP(L31,'C-01'!$D:$L,6,0),"")</f>
        <v>7927.07</v>
      </c>
      <c r="Q31" s="196">
        <f>IFERROR(VLOOKUP(L31,'C-01'!$D:$L,7,0),"")</f>
        <v>7958.59</v>
      </c>
      <c r="R31" s="196">
        <f>IFERROR(VLOOKUP(L31,'C-01'!$D:$L,8,0),"")</f>
        <v>8825.19</v>
      </c>
      <c r="S31" s="197">
        <f>IFERROR(VLOOKUP(L31,'C-01'!$D:$L,9,0),"")</f>
        <v>10531.61</v>
      </c>
      <c r="T31" s="198">
        <f>IFS('Painel Geral'!$B$5="Mediana",IFERROR(IF(OR(C31="",Q31=0,Q31=""),"",($C31/$Q31)),""),'Painel Geral'!$B$5="Menor Salário",IFERROR(IF(OR(C31="",Q31=0,Q31=""),"",($C31/$N31)),""),'Painel Geral'!$B$5="1º Quartil",IFERROR(IF(OR(C31="",Q31=0,Q31=""),"",($C31/$O31)),""), 'Painel Geral'!$B$5="Média",IFERROR(IF(OR(C31="",Q31=0,Q31=""),"",($C31/$P31)),""),'Painel Geral'!$B$5="3º Quartil",IFERROR(IF(OR(C31="",Q31=0,Q31=""),"",($C31/$R31)),""),'Painel Geral'!$B$5="Maior Salário",IFERROR(IF(OR(C31="",Q31=0,Q31=""),"",($C31/$S31)),""))</f>
        <v>1.08649899</v>
      </c>
      <c r="U31" s="199" t="str">
        <f t="shared" si="3"/>
        <v>Competitivo</v>
      </c>
      <c r="V31" s="201"/>
      <c r="W31" s="201"/>
      <c r="X31" s="201"/>
      <c r="Y31" s="228">
        <v>0.8</v>
      </c>
      <c r="Z31" s="229" t="s">
        <v>376</v>
      </c>
      <c r="AA31" s="228">
        <v>1.0</v>
      </c>
      <c r="AB31" s="234"/>
      <c r="AC31" s="231"/>
      <c r="AD31" s="201"/>
      <c r="AE31" s="201"/>
      <c r="AF31" s="201"/>
      <c r="AG31" s="201"/>
      <c r="AH31" s="201"/>
      <c r="AI31" s="201"/>
      <c r="AJ31" s="201"/>
      <c r="AK31" s="201"/>
      <c r="AL31" s="201"/>
      <c r="AM31" s="201"/>
      <c r="AN31" s="201">
        <f>AN29/AN27</f>
        <v>0</v>
      </c>
      <c r="AO31" s="201"/>
      <c r="AP31" s="201"/>
    </row>
    <row r="32" ht="15.75" customHeight="1">
      <c r="A32" s="184" t="s">
        <v>104</v>
      </c>
      <c r="B32" s="185" t="str">
        <f>VLOOKUP(A32,Jobmatch!A:G,2,0)</f>
        <v>COORDENADOR DE LEGAIZAÇÃO ll</v>
      </c>
      <c r="C32" s="186">
        <f>IFERROR(AVERAGEIF('Folha de Pagamento'!A:A,A32,'Folha de Pagamento'!J:J),"")</f>
        <v>8647</v>
      </c>
      <c r="D32" s="187">
        <v>7.0</v>
      </c>
      <c r="E32" s="185" t="str">
        <f>VLOOKUP(A32,Jobmatch!A:H,3,0)</f>
        <v>Legalização </v>
      </c>
      <c r="F32" s="188" t="s">
        <v>359</v>
      </c>
      <c r="G32" s="190" t="str">
        <f>VLOOKUP(A32,Jobmatch!A:I,4,0)</f>
        <v>35 - ADM PROJETOS</v>
      </c>
      <c r="H32" s="191" t="str">
        <f>VLOOKUP(A32,Jobmatch!A:I,5,0)</f>
        <v>Tático</v>
      </c>
      <c r="I32" s="192">
        <f>VLOOKUP(A32,Jobmatch!A:I,6,0)</f>
        <v>1203</v>
      </c>
      <c r="J32" s="190" t="str">
        <f>VLOOKUP(A32,Jobmatch!A:I,7,0)</f>
        <v>Coordenador de Legalização</v>
      </c>
      <c r="K32" s="193" t="str">
        <f>VLOOKUP(A32,Jobmatch!A:I,8,0)</f>
        <v>Indiferente</v>
      </c>
      <c r="L32" s="194" t="str">
        <f t="shared" si="2"/>
        <v>1203Indiferente</v>
      </c>
      <c r="M32" s="195">
        <f>COUNTIF('Folha de Pagamento'!A:A,A32)</f>
        <v>1</v>
      </c>
      <c r="N32" s="238">
        <v>17.0</v>
      </c>
      <c r="O32" s="196">
        <f>IFERROR(VLOOKUP(L32,'C-01'!$D:$L,5,0),"")</f>
        <v>8783.31</v>
      </c>
      <c r="P32" s="196">
        <f>IFERROR(VLOOKUP(L32,'C-01'!$D:$L,6,0),"")</f>
        <v>8872.04</v>
      </c>
      <c r="Q32" s="196">
        <f>IFERROR(VLOOKUP(L32,'C-01'!$D:$L,7,0),"")</f>
        <v>8872.04</v>
      </c>
      <c r="R32" s="196">
        <f>IFERROR(VLOOKUP(L32,'C-01'!$D:$L,8,0),"")</f>
        <v>8960.78</v>
      </c>
      <c r="S32" s="197">
        <f>IFERROR(VLOOKUP(L32,'C-01'!$D:$L,9,0),"")</f>
        <v>9049.51</v>
      </c>
      <c r="T32" s="198">
        <f>IFS('Painel Geral'!$B$5="Mediana",IFERROR(IF(OR(C32="",Q32=0,Q32=""),"",($C32/$Q32)),""),'Painel Geral'!$B$5="Menor Salário",IFERROR(IF(OR(C32="",Q32=0,Q32=""),"",($C32/$N32)),""),'Painel Geral'!$B$5="1º Quartil",IFERROR(IF(OR(C32="",Q32=0,Q32=""),"",($C32/$O32)),""), 'Painel Geral'!$B$5="Média",IFERROR(IF(OR(C32="",Q32=0,Q32=""),"",($C32/$P32)),""),'Painel Geral'!$B$5="3º Quartil",IFERROR(IF(OR(C32="",Q32=0,Q32=""),"",($C32/$R32)),""),'Painel Geral'!$B$5="Maior Salário",IFERROR(IF(OR(C32="",Q32=0,Q32=""),"",($C32/$S32)),""))</f>
        <v>0.9746349205</v>
      </c>
      <c r="U32" s="199" t="str">
        <f t="shared" si="3"/>
        <v>Na Média</v>
      </c>
      <c r="V32" s="201"/>
      <c r="W32" s="201"/>
      <c r="X32" s="201"/>
      <c r="Y32" s="220">
        <f>AA32*0.8</f>
        <v>1782.4</v>
      </c>
      <c r="Z32" s="240">
        <v>10.0</v>
      </c>
      <c r="AA32" s="233">
        <f t="shared" ref="AA32:AA46" si="6">-6062+1720*Z32-145*Z32*Z32+5.59*Z32*Z32*Z32</f>
        <v>2228</v>
      </c>
      <c r="AB32" s="234"/>
      <c r="AC32" s="235">
        <f>$Z$30*1.2</f>
        <v>2306.963757</v>
      </c>
      <c r="AD32" s="201"/>
      <c r="AE32" s="201"/>
      <c r="AF32" s="201"/>
      <c r="AG32" s="201"/>
      <c r="AH32" s="201"/>
      <c r="AI32" s="201"/>
      <c r="AJ32" s="201"/>
      <c r="AK32" s="201"/>
      <c r="AL32" s="201"/>
      <c r="AM32" s="201"/>
      <c r="AN32" s="201"/>
      <c r="AO32" s="201"/>
      <c r="AP32" s="201"/>
    </row>
    <row r="33" ht="15.75" customHeight="1">
      <c r="A33" s="184" t="s">
        <v>146</v>
      </c>
      <c r="B33" s="185" t="str">
        <f>VLOOKUP(A33,Jobmatch!A:G,2,0)</f>
        <v>GERENTE ADMINISTRATIVA </v>
      </c>
      <c r="C33" s="186">
        <f>IFERROR(AVERAGEIF('Folha de Pagamento'!A:A,A33,'Folha de Pagamento'!J:J),"")</f>
        <v>12242.42424</v>
      </c>
      <c r="D33" s="187">
        <v>1.0</v>
      </c>
      <c r="E33" s="185" t="str">
        <f>VLOOKUP(A33,Jobmatch!A:H,3,0)</f>
        <v>Administrativo</v>
      </c>
      <c r="F33" s="188" t="s">
        <v>331</v>
      </c>
      <c r="G33" s="190" t="str">
        <f>VLOOKUP(A33,Jobmatch!A:I,4,0)</f>
        <v>49 - ADM PROJETOS</v>
      </c>
      <c r="H33" s="191" t="str">
        <f>VLOOKUP(A33,Jobmatch!A:I,5,0)</f>
        <v>Tático</v>
      </c>
      <c r="I33" s="192">
        <f>VLOOKUP(A33,Jobmatch!A:I,6,0)</f>
        <v>106</v>
      </c>
      <c r="J33" s="190" t="str">
        <f>VLOOKUP(A33,Jobmatch!A:I,7,0)</f>
        <v>Gerente Administrativo</v>
      </c>
      <c r="K33" s="193" t="str">
        <f>VLOOKUP(A33,Jobmatch!A:I,8,0)</f>
        <v>Indiferente</v>
      </c>
      <c r="L33" s="194" t="str">
        <f t="shared" si="2"/>
        <v>106Indiferente</v>
      </c>
      <c r="M33" s="195">
        <f>COUNTIF('Folha de Pagamento'!A:A,A33)</f>
        <v>2</v>
      </c>
      <c r="N33" s="238">
        <v>18.0</v>
      </c>
      <c r="O33" s="196">
        <f>IFERROR(VLOOKUP(L33,'C-01'!$D:$L,5,0),"")</f>
        <v>6616.13</v>
      </c>
      <c r="P33" s="196">
        <f>IFERROR(VLOOKUP(L33,'C-01'!$D:$L,6,0),"")</f>
        <v>9881.52</v>
      </c>
      <c r="Q33" s="196">
        <f>IFERROR(VLOOKUP(L33,'C-01'!$D:$L,7,0),"")</f>
        <v>10052.23</v>
      </c>
      <c r="R33" s="196">
        <f>IFERROR(VLOOKUP(L33,'C-01'!$D:$L,8,0),"")</f>
        <v>12479.94</v>
      </c>
      <c r="S33" s="197">
        <f>IFERROR(VLOOKUP(L33,'C-01'!$D:$L,9,0),"")</f>
        <v>15257.82</v>
      </c>
      <c r="T33" s="198">
        <f>IFS('Painel Geral'!$B$5="Mediana",IFERROR(IF(OR(C33="",Q33=0,Q33=""),"",($C33/$Q33)),""),'Painel Geral'!$B$5="Menor Salário",IFERROR(IF(OR(C33="",Q33=0,Q33=""),"",($C33/$N33)),""),'Painel Geral'!$B$5="1º Quartil",IFERROR(IF(OR(C33="",Q33=0,Q33=""),"",($C33/$O33)),""), 'Painel Geral'!$B$5="Média",IFERROR(IF(OR(C33="",Q33=0,Q33=""),"",($C33/$P33)),""),'Painel Geral'!$B$5="3º Quartil",IFERROR(IF(OR(C33="",Q33=0,Q33=""),"",($C33/$R33)),""),'Painel Geral'!$B$5="Maior Salário",IFERROR(IF(OR(C33="",Q33=0,Q33=""),"",($C33/$S33)),""))</f>
        <v>1.21788143</v>
      </c>
      <c r="U33" s="199" t="str">
        <f t="shared" si="3"/>
        <v>Agressivo</v>
      </c>
      <c r="V33" s="201"/>
      <c r="W33" s="201"/>
      <c r="X33" s="201"/>
      <c r="Y33" s="201"/>
      <c r="Z33" s="232">
        <v>11.0</v>
      </c>
      <c r="AA33" s="233">
        <f t="shared" si="6"/>
        <v>2753.29</v>
      </c>
      <c r="AB33" s="224">
        <f t="shared" ref="AB33:AB46" si="7">(AA33-AA32)/AA32</f>
        <v>0.2357675045</v>
      </c>
      <c r="AC33" s="235">
        <f t="shared" ref="AC33:AC46" si="8">AC32*1.2</f>
        <v>2768.356509</v>
      </c>
      <c r="AD33" s="201"/>
      <c r="AE33" s="201"/>
      <c r="AF33" s="201"/>
      <c r="AG33" s="201"/>
      <c r="AH33" s="201"/>
      <c r="AI33" s="201"/>
      <c r="AJ33" s="201"/>
      <c r="AK33" s="201"/>
      <c r="AL33" s="201"/>
      <c r="AM33" s="201"/>
      <c r="AN33" s="201"/>
      <c r="AO33" s="201"/>
      <c r="AP33" s="201"/>
    </row>
    <row r="34" ht="15.75" customHeight="1">
      <c r="A34" s="184" t="s">
        <v>166</v>
      </c>
      <c r="B34" s="185" t="str">
        <f>VLOOKUP(A34,Jobmatch!A:G,2,0)</f>
        <v>GERENTE DE PARCERIAS</v>
      </c>
      <c r="C34" s="186">
        <f>IFERROR(AVERAGEIF('Folha de Pagamento'!A:A,A34,'Folha de Pagamento'!J:J),"")</f>
        <v>5345</v>
      </c>
      <c r="D34" s="187">
        <v>2.0</v>
      </c>
      <c r="E34" s="185" t="str">
        <f>VLOOKUP(A34,Jobmatch!A:H,3,0)</f>
        <v>Comercial</v>
      </c>
      <c r="F34" s="188" t="s">
        <v>335</v>
      </c>
      <c r="G34" s="190" t="str">
        <f>VLOOKUP(A34,Jobmatch!A:I,4,0)</f>
        <v>55 - ADM PROJETOS</v>
      </c>
      <c r="H34" s="191" t="str">
        <f>VLOOKUP(A34,Jobmatch!A:I,5,0)</f>
        <v>Tático</v>
      </c>
      <c r="I34" s="192">
        <f>VLOOKUP(A34,Jobmatch!A:I,6,0)</f>
        <v>408</v>
      </c>
      <c r="J34" s="190" t="str">
        <f>VLOOKUP(A34,Jobmatch!A:I,7,0)</f>
        <v>Gerente de Relacionamento</v>
      </c>
      <c r="K34" s="193" t="str">
        <f>VLOOKUP(A34,Jobmatch!A:I,8,0)</f>
        <v>Indiferente</v>
      </c>
      <c r="L34" s="194" t="str">
        <f t="shared" si="2"/>
        <v>408Indiferente</v>
      </c>
      <c r="M34" s="195">
        <f>COUNTIF('Folha de Pagamento'!A:A,A34)</f>
        <v>2</v>
      </c>
      <c r="N34" s="238">
        <v>18.0</v>
      </c>
      <c r="O34" s="196">
        <f>IFERROR(VLOOKUP(L34,'C-01'!$D:$L,5,0),"")</f>
        <v>7608.96</v>
      </c>
      <c r="P34" s="196">
        <f>IFERROR(VLOOKUP(L34,'C-01'!$D:$L,6,0),"")</f>
        <v>10973.95</v>
      </c>
      <c r="Q34" s="196">
        <f>IFERROR(VLOOKUP(L34,'C-01'!$D:$L,7,0),"")</f>
        <v>10996.97</v>
      </c>
      <c r="R34" s="196">
        <f>IFERROR(VLOOKUP(L34,'C-01'!$D:$L,8,0),"")</f>
        <v>14004.27</v>
      </c>
      <c r="S34" s="197">
        <f>IFERROR(VLOOKUP(L34,'C-01'!$D:$L,9,0),"")</f>
        <v>16628.86</v>
      </c>
      <c r="T34" s="198">
        <f>IFS('Painel Geral'!$B$5="Mediana",IFERROR(IF(OR(C34="",Q34=0,Q34=""),"",($C34/$Q34)),""),'Painel Geral'!$B$5="Menor Salário",IFERROR(IF(OR(C34="",Q34=0,Q34=""),"",($C34/$N34)),""),'Painel Geral'!$B$5="1º Quartil",IFERROR(IF(OR(C34="",Q34=0,Q34=""),"",($C34/$O34)),""), 'Painel Geral'!$B$5="Média",IFERROR(IF(OR(C34="",Q34=0,Q34=""),"",($C34/$P34)),""),'Painel Geral'!$B$5="3º Quartil",IFERROR(IF(OR(C34="",Q34=0,Q34=""),"",($C34/$R34)),""),'Painel Geral'!$B$5="Maior Salário",IFERROR(IF(OR(C34="",Q34=0,Q34=""),"",($C34/$S34)),""))</f>
        <v>0.4860429737</v>
      </c>
      <c r="U34" s="199" t="str">
        <f t="shared" si="3"/>
        <v>Muito Defasado</v>
      </c>
      <c r="V34" s="201"/>
      <c r="W34" s="201"/>
      <c r="X34" s="201"/>
      <c r="Y34" s="201"/>
      <c r="Z34" s="232">
        <v>12.0</v>
      </c>
      <c r="AA34" s="233">
        <f t="shared" si="6"/>
        <v>3357.52</v>
      </c>
      <c r="AB34" s="224">
        <f t="shared" si="7"/>
        <v>0.2194574491</v>
      </c>
      <c r="AC34" s="235">
        <f t="shared" si="8"/>
        <v>3322.02781</v>
      </c>
      <c r="AD34" s="201"/>
      <c r="AE34" s="201"/>
      <c r="AF34" s="201"/>
      <c r="AG34" s="201"/>
      <c r="AH34" s="201"/>
      <c r="AI34" s="201"/>
      <c r="AJ34" s="201"/>
      <c r="AK34" s="201"/>
      <c r="AL34" s="201"/>
      <c r="AM34" s="201"/>
      <c r="AN34" s="201"/>
      <c r="AO34" s="201"/>
      <c r="AP34" s="201"/>
    </row>
    <row r="35" ht="15.75" customHeight="1">
      <c r="A35" s="184" t="s">
        <v>171</v>
      </c>
      <c r="B35" s="185" t="str">
        <f>VLOOKUP(A35,Jobmatch!A:G,2,0)</f>
        <v>GERENTE DE PARCERIAS EXTERNAS</v>
      </c>
      <c r="C35" s="186">
        <f>IFERROR(AVERAGEIF('Folha de Pagamento'!A:A,A35,'Folha de Pagamento'!J:J),"")</f>
        <v>5000</v>
      </c>
      <c r="D35" s="187">
        <v>2.0</v>
      </c>
      <c r="E35" s="185" t="str">
        <f>VLOOKUP(A35,Jobmatch!A:H,3,0)</f>
        <v>Comercial</v>
      </c>
      <c r="F35" s="188" t="s">
        <v>336</v>
      </c>
      <c r="G35" s="190" t="str">
        <f>VLOOKUP(A35,Jobmatch!A:I,4,0)</f>
        <v>56 - ADM PROJETOS</v>
      </c>
      <c r="H35" s="191" t="str">
        <f>VLOOKUP(A35,Jobmatch!A:I,5,0)</f>
        <v>Tático</v>
      </c>
      <c r="I35" s="192">
        <f>VLOOKUP(A35,Jobmatch!A:I,6,0)</f>
        <v>408</v>
      </c>
      <c r="J35" s="190" t="str">
        <f>VLOOKUP(A35,Jobmatch!A:I,7,0)</f>
        <v>Gerente de Relacionamento</v>
      </c>
      <c r="K35" s="193" t="str">
        <f>VLOOKUP(A35,Jobmatch!A:I,8,0)</f>
        <v>Indiferente</v>
      </c>
      <c r="L35" s="194" t="str">
        <f t="shared" si="2"/>
        <v>408Indiferente</v>
      </c>
      <c r="M35" s="195">
        <f>COUNTIF('Folha de Pagamento'!A:A,A35)</f>
        <v>2</v>
      </c>
      <c r="N35" s="238">
        <v>18.0</v>
      </c>
      <c r="O35" s="196">
        <f>IFERROR(VLOOKUP(L35,'C-01'!$D:$L,5,0),"")</f>
        <v>7608.96</v>
      </c>
      <c r="P35" s="196">
        <f>IFERROR(VLOOKUP(L35,'C-01'!$D:$L,6,0),"")</f>
        <v>10973.95</v>
      </c>
      <c r="Q35" s="196">
        <f>IFERROR(VLOOKUP(L35,'C-01'!$D:$L,7,0),"")</f>
        <v>10996.97</v>
      </c>
      <c r="R35" s="196">
        <f>IFERROR(VLOOKUP(L35,'C-01'!$D:$L,8,0),"")</f>
        <v>14004.27</v>
      </c>
      <c r="S35" s="197">
        <f>IFERROR(VLOOKUP(L35,'C-01'!$D:$L,9,0),"")</f>
        <v>16628.86</v>
      </c>
      <c r="T35" s="198">
        <f>IFS('Painel Geral'!$B$5="Mediana",IFERROR(IF(OR(C35="",Q35=0,Q35=""),"",($C35/$Q35)),""),'Painel Geral'!$B$5="Menor Salário",IFERROR(IF(OR(C35="",Q35=0,Q35=""),"",($C35/$N35)),""),'Painel Geral'!$B$5="1º Quartil",IFERROR(IF(OR(C35="",Q35=0,Q35=""),"",($C35/$O35)),""), 'Painel Geral'!$B$5="Média",IFERROR(IF(OR(C35="",Q35=0,Q35=""),"",($C35/$P35)),""),'Painel Geral'!$B$5="3º Quartil",IFERROR(IF(OR(C35="",Q35=0,Q35=""),"",($C35/$R35)),""),'Painel Geral'!$B$5="Maior Salário",IFERROR(IF(OR(C35="",Q35=0,Q35=""),"",($C35/$S35)),""))</f>
        <v>0.4546706957</v>
      </c>
      <c r="U35" s="199" t="str">
        <f t="shared" si="3"/>
        <v>Muito Defasado</v>
      </c>
      <c r="V35" s="201"/>
      <c r="W35" s="201"/>
      <c r="X35" s="201"/>
      <c r="Y35" s="201"/>
      <c r="Z35" s="232">
        <v>13.0</v>
      </c>
      <c r="AA35" s="233">
        <f t="shared" si="6"/>
        <v>4074.23</v>
      </c>
      <c r="AB35" s="224">
        <f t="shared" si="7"/>
        <v>0.2134641045</v>
      </c>
      <c r="AC35" s="235">
        <f t="shared" si="8"/>
        <v>3986.433372</v>
      </c>
      <c r="AD35" s="201"/>
      <c r="AE35" s="201"/>
      <c r="AF35" s="201"/>
      <c r="AG35" s="201"/>
      <c r="AH35" s="201"/>
      <c r="AI35" s="201"/>
      <c r="AJ35" s="201"/>
      <c r="AK35" s="201"/>
      <c r="AL35" s="201"/>
      <c r="AM35" s="201"/>
      <c r="AN35" s="201"/>
      <c r="AO35" s="201"/>
      <c r="AP35" s="201"/>
    </row>
    <row r="36" ht="15.75" customHeight="1">
      <c r="A36" s="184" t="s">
        <v>112</v>
      </c>
      <c r="B36" s="185" t="str">
        <f>VLOOKUP(A36,Jobmatch!A:G,2,0)</f>
        <v>COORDENADOR DE SUPRIMENTOS</v>
      </c>
      <c r="C36" s="186">
        <f>IFERROR(AVERAGEIF('Folha de Pagamento'!A:A,A36,'Folha de Pagamento'!J:J),"")</f>
        <v>10596.02649</v>
      </c>
      <c r="D36" s="187">
        <v>1.0</v>
      </c>
      <c r="E36" s="185" t="str">
        <f>VLOOKUP(A36,Jobmatch!A:H,3,0)</f>
        <v>Suprimentos </v>
      </c>
      <c r="F36" s="188" t="s">
        <v>368</v>
      </c>
      <c r="G36" s="190" t="str">
        <f>VLOOKUP(A36,Jobmatch!A:I,4,0)</f>
        <v>38 - ADM PROJETOS</v>
      </c>
      <c r="H36" s="191" t="str">
        <f>VLOOKUP(A36,Jobmatch!A:I,5,0)</f>
        <v>Tático</v>
      </c>
      <c r="I36" s="192">
        <f>VLOOKUP(A36,Jobmatch!A:I,6,0)</f>
        <v>137</v>
      </c>
      <c r="J36" s="190" t="str">
        <f>VLOOKUP(A36,Jobmatch!A:I,7,0)</f>
        <v>Coordenador de Compras</v>
      </c>
      <c r="K36" s="193" t="str">
        <f>VLOOKUP(A36,Jobmatch!A:I,8,0)</f>
        <v>Indiferente</v>
      </c>
      <c r="L36" s="194" t="str">
        <f t="shared" si="2"/>
        <v>137Indiferente</v>
      </c>
      <c r="M36" s="195">
        <f>COUNTIF('Folha de Pagamento'!A:A,A36)</f>
        <v>1</v>
      </c>
      <c r="N36" s="238">
        <v>18.0</v>
      </c>
      <c r="O36" s="196">
        <f>IFERROR(VLOOKUP(L36,'C-01'!$D:$L,5,0),"")</f>
        <v>10557.77</v>
      </c>
      <c r="P36" s="196">
        <f>IFERROR(VLOOKUP(L36,'C-01'!$D:$L,6,0),"")</f>
        <v>13345.69</v>
      </c>
      <c r="Q36" s="196">
        <f>IFERROR(VLOOKUP(L36,'C-01'!$D:$L,7,0),"")</f>
        <v>11060.52</v>
      </c>
      <c r="R36" s="196">
        <f>IFERROR(VLOOKUP(L36,'C-01'!$D:$L,8,0),"")</f>
        <v>14991.02</v>
      </c>
      <c r="S36" s="197">
        <f>IFERROR(VLOOKUP(L36,'C-01'!$D:$L,9,0),"")</f>
        <v>18921.53</v>
      </c>
      <c r="T36" s="198">
        <f>IFS('Painel Geral'!$B$5="Mediana",IFERROR(IF(OR(C36="",Q36=0,Q36=""),"",($C36/$Q36)),""),'Painel Geral'!$B$5="Menor Salário",IFERROR(IF(OR(C36="",Q36=0,Q36=""),"",($C36/$N36)),""),'Painel Geral'!$B$5="1º Quartil",IFERROR(IF(OR(C36="",Q36=0,Q36=""),"",($C36/$O36)),""), 'Painel Geral'!$B$5="Média",IFERROR(IF(OR(C36="",Q36=0,Q36=""),"",($C36/$P36)),""),'Painel Geral'!$B$5="3º Quartil",IFERROR(IF(OR(C36="",Q36=0,Q36=""),"",($C36/$R36)),""),'Painel Geral'!$B$5="Maior Salário",IFERROR(IF(OR(C36="",Q36=0,Q36=""),"",($C36/$S36)),""))</f>
        <v>0.9580043696</v>
      </c>
      <c r="U36" s="199" t="str">
        <f t="shared" si="3"/>
        <v>Na Média</v>
      </c>
      <c r="V36" s="201"/>
      <c r="W36" s="201"/>
      <c r="X36" s="201"/>
      <c r="Y36" s="201"/>
      <c r="Z36" s="232">
        <v>14.0</v>
      </c>
      <c r="AA36" s="233">
        <f t="shared" si="6"/>
        <v>4936.96</v>
      </c>
      <c r="AB36" s="224">
        <f t="shared" si="7"/>
        <v>0.2117528956</v>
      </c>
      <c r="AC36" s="235">
        <f t="shared" si="8"/>
        <v>4783.720047</v>
      </c>
      <c r="AD36" s="201"/>
      <c r="AE36" s="201"/>
      <c r="AF36" s="201"/>
      <c r="AG36" s="201"/>
      <c r="AH36" s="201"/>
      <c r="AI36" s="201"/>
      <c r="AJ36" s="201"/>
      <c r="AK36" s="201"/>
      <c r="AL36" s="201"/>
      <c r="AM36" s="201"/>
      <c r="AN36" s="201"/>
      <c r="AO36" s="201"/>
      <c r="AP36" s="201"/>
    </row>
    <row r="37" ht="15.75" customHeight="1">
      <c r="A37" s="184" t="s">
        <v>149</v>
      </c>
      <c r="B37" s="185" t="str">
        <f>VLOOKUP(A37,Jobmatch!A:G,2,0)</f>
        <v>GERENTE COMERCIAL</v>
      </c>
      <c r="C37" s="186">
        <f>IFERROR(AVERAGEIF('Folha de Pagamento'!A:A,A37,'Folha de Pagamento'!J:J),"")</f>
        <v>12090.90909</v>
      </c>
      <c r="D37" s="187">
        <v>2.0</v>
      </c>
      <c r="E37" s="185" t="str">
        <f>VLOOKUP(A37,Jobmatch!A:H,3,0)</f>
        <v>Comercial</v>
      </c>
      <c r="F37" s="188" t="s">
        <v>294</v>
      </c>
      <c r="G37" s="190" t="str">
        <f>VLOOKUP(A37,Jobmatch!A:I,4,0)</f>
        <v>50 - ADM PROJETOS</v>
      </c>
      <c r="H37" s="191" t="str">
        <f>VLOOKUP(A37,Jobmatch!A:I,5,0)</f>
        <v>Tático</v>
      </c>
      <c r="I37" s="192">
        <f>VLOOKUP(A37,Jobmatch!A:I,6,0)</f>
        <v>107</v>
      </c>
      <c r="J37" s="190" t="str">
        <f>VLOOKUP(A37,Jobmatch!A:I,7,0)</f>
        <v>Gerente Comercial</v>
      </c>
      <c r="K37" s="193" t="str">
        <f>VLOOKUP(A37,Jobmatch!A:I,8,0)</f>
        <v>Indiferente</v>
      </c>
      <c r="L37" s="194" t="str">
        <f t="shared" si="2"/>
        <v>107Indiferente</v>
      </c>
      <c r="M37" s="195">
        <f>COUNTIF('Folha de Pagamento'!A:A,A37)</f>
        <v>4</v>
      </c>
      <c r="N37" s="238">
        <v>19.0</v>
      </c>
      <c r="O37" s="196">
        <f>IFERROR(VLOOKUP(L37,'C-01'!$D:$L,5,0),"")</f>
        <v>9778.91</v>
      </c>
      <c r="P37" s="196">
        <f>IFERROR(VLOOKUP(L37,'C-01'!$D:$L,6,0),"")</f>
        <v>12281.04</v>
      </c>
      <c r="Q37" s="196">
        <f>IFERROR(VLOOKUP(L37,'C-01'!$D:$L,7,0),"")</f>
        <v>12107.57</v>
      </c>
      <c r="R37" s="196">
        <f>IFERROR(VLOOKUP(L37,'C-01'!$D:$L,8,0),"")</f>
        <v>15321.87</v>
      </c>
      <c r="S37" s="197">
        <f>IFERROR(VLOOKUP(L37,'C-01'!$D:$L,9,0),"")</f>
        <v>19289.48</v>
      </c>
      <c r="T37" s="198">
        <f>IFS('Painel Geral'!$B$5="Mediana",IFERROR(IF(OR(C37="",Q37=0,Q37=""),"",($C37/$Q37)),""),'Painel Geral'!$B$5="Menor Salário",IFERROR(IF(OR(C37="",Q37=0,Q37=""),"",($C37/$N37)),""),'Painel Geral'!$B$5="1º Quartil",IFERROR(IF(OR(C37="",Q37=0,Q37=""),"",($C37/$O37)),""), 'Painel Geral'!$B$5="Média",IFERROR(IF(OR(C37="",Q37=0,Q37=""),"",($C37/$P37)),""),'Painel Geral'!$B$5="3º Quartil",IFERROR(IF(OR(C37="",Q37=0,Q37=""),"",($C37/$R37)),""),'Painel Geral'!$B$5="Maior Salário",IFERROR(IF(OR(C37="",Q37=0,Q37=""),"",($C37/$S37)),""))</f>
        <v>0.9986239263</v>
      </c>
      <c r="U37" s="199" t="str">
        <f t="shared" si="3"/>
        <v>Na Média</v>
      </c>
      <c r="V37" s="201"/>
      <c r="W37" s="201"/>
      <c r="X37" s="201"/>
      <c r="Y37" s="201"/>
      <c r="Z37" s="232">
        <v>15.0</v>
      </c>
      <c r="AA37" s="233">
        <f t="shared" si="6"/>
        <v>5979.25</v>
      </c>
      <c r="AB37" s="224">
        <f t="shared" si="7"/>
        <v>0.2111197984</v>
      </c>
      <c r="AC37" s="235">
        <f t="shared" si="8"/>
        <v>5740.464056</v>
      </c>
      <c r="AD37" s="201"/>
      <c r="AE37" s="201"/>
      <c r="AF37" s="201"/>
      <c r="AG37" s="201"/>
      <c r="AH37" s="201"/>
      <c r="AI37" s="201"/>
      <c r="AJ37" s="201"/>
      <c r="AK37" s="201"/>
      <c r="AL37" s="201"/>
      <c r="AM37" s="201"/>
      <c r="AN37" s="201"/>
      <c r="AO37" s="201"/>
      <c r="AP37" s="201"/>
    </row>
    <row r="38" ht="15.75" customHeight="1">
      <c r="A38" s="184" t="s">
        <v>155</v>
      </c>
      <c r="B38" s="185" t="str">
        <f>VLOOKUP(A38,Jobmatch!A:G,2,0)</f>
        <v>GERENTE DE HOUSE</v>
      </c>
      <c r="C38" s="186">
        <f>IFERROR(AVERAGEIF('Folha de Pagamento'!A:A,A38,'Folha de Pagamento'!J:J),"")</f>
        <v>5125</v>
      </c>
      <c r="D38" s="187">
        <v>2.0</v>
      </c>
      <c r="E38" s="185" t="str">
        <f>VLOOKUP(A38,Jobmatch!A:H,3,0)</f>
        <v>Comercial</v>
      </c>
      <c r="F38" s="188" t="s">
        <v>333</v>
      </c>
      <c r="G38" s="190" t="str">
        <f>VLOOKUP(A38,Jobmatch!A:I,4,0)</f>
        <v>52 - ADM PROJETOS</v>
      </c>
      <c r="H38" s="191" t="str">
        <f>VLOOKUP(A38,Jobmatch!A:I,5,0)</f>
        <v>Tático</v>
      </c>
      <c r="I38" s="192">
        <f>VLOOKUP(A38,Jobmatch!A:I,6,0)</f>
        <v>107</v>
      </c>
      <c r="J38" s="190" t="str">
        <f>VLOOKUP(A38,Jobmatch!A:I,7,0)</f>
        <v>Gerente Comercial</v>
      </c>
      <c r="K38" s="193" t="str">
        <f>VLOOKUP(A38,Jobmatch!A:I,8,0)</f>
        <v>Indiferente</v>
      </c>
      <c r="L38" s="194" t="str">
        <f t="shared" si="2"/>
        <v>107Indiferente</v>
      </c>
      <c r="M38" s="195">
        <f>COUNTIF('Folha de Pagamento'!A:A,A38)</f>
        <v>1</v>
      </c>
      <c r="N38" s="238">
        <v>19.0</v>
      </c>
      <c r="O38" s="196">
        <f>IFERROR(VLOOKUP(L38,'C-01'!$D:$L,5,0),"")</f>
        <v>9778.91</v>
      </c>
      <c r="P38" s="196">
        <f>IFERROR(VLOOKUP(L38,'C-01'!$D:$L,6,0),"")</f>
        <v>12281.04</v>
      </c>
      <c r="Q38" s="196">
        <f>IFERROR(VLOOKUP(L38,'C-01'!$D:$L,7,0),"")</f>
        <v>12107.57</v>
      </c>
      <c r="R38" s="196">
        <f>IFERROR(VLOOKUP(L38,'C-01'!$D:$L,8,0),"")</f>
        <v>15321.87</v>
      </c>
      <c r="S38" s="197">
        <f>IFERROR(VLOOKUP(L38,'C-01'!$D:$L,9,0),"")</f>
        <v>19289.48</v>
      </c>
      <c r="T38" s="198">
        <f>IFS('Painel Geral'!$B$5="Mediana",IFERROR(IF(OR(C38="",Q38=0,Q38=""),"",($C38/$Q38)),""),'Painel Geral'!$B$5="Menor Salário",IFERROR(IF(OR(C38="",Q38=0,Q38=""),"",($C38/$N38)),""),'Painel Geral'!$B$5="1º Quartil",IFERROR(IF(OR(C38="",Q38=0,Q38=""),"",($C38/$O38)),""), 'Painel Geral'!$B$5="Média",IFERROR(IF(OR(C38="",Q38=0,Q38=""),"",($C38/$P38)),""),'Painel Geral'!$B$5="3º Quartil",IFERROR(IF(OR(C38="",Q38=0,Q38=""),"",($C38/$R38)),""),'Painel Geral'!$B$5="Maior Salário",IFERROR(IF(OR(C38="",Q38=0,Q38=""),"",($C38/$S38)),""))</f>
        <v>0.4232889011</v>
      </c>
      <c r="U38" s="199" t="str">
        <f t="shared" si="3"/>
        <v>Muito Defasado</v>
      </c>
      <c r="V38" s="201"/>
      <c r="W38" s="201"/>
      <c r="X38" s="201"/>
      <c r="Y38" s="201"/>
      <c r="Z38" s="232">
        <v>16.0</v>
      </c>
      <c r="AA38" s="233">
        <f t="shared" si="6"/>
        <v>7234.64</v>
      </c>
      <c r="AB38" s="224">
        <f t="shared" si="7"/>
        <v>0.2099577706</v>
      </c>
      <c r="AC38" s="235">
        <f t="shared" si="8"/>
        <v>6888.556868</v>
      </c>
      <c r="AD38" s="201"/>
      <c r="AE38" s="201"/>
      <c r="AF38" s="201"/>
      <c r="AG38" s="201"/>
      <c r="AH38" s="201"/>
      <c r="AI38" s="201"/>
      <c r="AJ38" s="201"/>
      <c r="AK38" s="201"/>
      <c r="AL38" s="201"/>
      <c r="AM38" s="201"/>
      <c r="AN38" s="201"/>
      <c r="AO38" s="201"/>
      <c r="AP38" s="201"/>
    </row>
    <row r="39" ht="15.75" customHeight="1">
      <c r="A39" s="184" t="s">
        <v>152</v>
      </c>
      <c r="B39" s="185" t="str">
        <f>VLOOKUP(A39,Jobmatch!A:G,2,0)</f>
        <v>GERENTE DE EDIFICAÇÕES</v>
      </c>
      <c r="C39" s="186">
        <f>IFERROR(AVERAGEIF('Folha de Pagamento'!A:A,A39,'Folha de Pagamento'!J:J),"")</f>
        <v>30106.06061</v>
      </c>
      <c r="D39" s="187">
        <v>5.0</v>
      </c>
      <c r="E39" s="185" t="str">
        <f>VLOOKUP(A39,Jobmatch!A:H,3,0)</f>
        <v>Edificação</v>
      </c>
      <c r="F39" s="188" t="s">
        <v>348</v>
      </c>
      <c r="G39" s="190" t="str">
        <f>VLOOKUP(A39,Jobmatch!A:I,4,0)</f>
        <v>51 - ADM PROJETOS</v>
      </c>
      <c r="H39" s="191" t="str">
        <f>VLOOKUP(A39,Jobmatch!A:I,5,0)</f>
        <v>Tático</v>
      </c>
      <c r="I39" s="192">
        <f>VLOOKUP(A39,Jobmatch!A:I,6,0)</f>
        <v>311</v>
      </c>
      <c r="J39" s="190" t="str">
        <f>VLOOKUP(A39,Jobmatch!A:I,7,0)</f>
        <v>Gerente de Operações</v>
      </c>
      <c r="K39" s="193" t="str">
        <f>VLOOKUP(A39,Jobmatch!A:I,8,0)</f>
        <v>Indiferente</v>
      </c>
      <c r="L39" s="194" t="str">
        <f t="shared" si="2"/>
        <v>311Indiferente</v>
      </c>
      <c r="M39" s="195">
        <f>COUNTIF('Folha de Pagamento'!A:A,A39)</f>
        <v>1</v>
      </c>
      <c r="N39" s="238">
        <v>19.0</v>
      </c>
      <c r="O39" s="196">
        <f>IFERROR(VLOOKUP(L39,'C-01'!$D:$L,5,0),"")</f>
        <v>10114.75</v>
      </c>
      <c r="P39" s="196">
        <f>IFERROR(VLOOKUP(L39,'C-01'!$D:$L,6,0),"")</f>
        <v>12711.42</v>
      </c>
      <c r="Q39" s="196">
        <f>IFERROR(VLOOKUP(L39,'C-01'!$D:$L,7,0),"")</f>
        <v>12517.82</v>
      </c>
      <c r="R39" s="196">
        <f>IFERROR(VLOOKUP(L39,'C-01'!$D:$L,8,0),"")</f>
        <v>14749</v>
      </c>
      <c r="S39" s="197">
        <f>IFERROR(VLOOKUP(L39,'C-01'!$D:$L,9,0),"")</f>
        <v>19098.65</v>
      </c>
      <c r="T39" s="198">
        <f>IFS('Painel Geral'!$B$5="Mediana",IFERROR(IF(OR(C39="",Q39=0,Q39=""),"",($C39/$Q39)),""),'Painel Geral'!$B$5="Menor Salário",IFERROR(IF(OR(C39="",Q39=0,Q39=""),"",($C39/$N39)),""),'Painel Geral'!$B$5="1º Quartil",IFERROR(IF(OR(C39="",Q39=0,Q39=""),"",($C39/$O39)),""), 'Painel Geral'!$B$5="Média",IFERROR(IF(OR(C39="",Q39=0,Q39=""),"",($C39/$P39)),""),'Painel Geral'!$B$5="3º Quartil",IFERROR(IF(OR(C39="",Q39=0,Q39=""),"",($C39/$R39)),""),'Painel Geral'!$B$5="Maior Salário",IFERROR(IF(OR(C39="",Q39=0,Q39=""),"",($C39/$S39)),""))</f>
        <v>2.4050562</v>
      </c>
      <c r="U39" s="199" t="str">
        <f t="shared" si="3"/>
        <v>Agressivo</v>
      </c>
      <c r="V39" s="201"/>
      <c r="W39" s="201"/>
      <c r="X39" s="201"/>
      <c r="Y39" s="201"/>
      <c r="Z39" s="232">
        <v>17.0</v>
      </c>
      <c r="AA39" s="233">
        <f t="shared" si="6"/>
        <v>8736.67</v>
      </c>
      <c r="AB39" s="224">
        <f t="shared" si="7"/>
        <v>0.2076164122</v>
      </c>
      <c r="AC39" s="235">
        <f t="shared" si="8"/>
        <v>8266.268241</v>
      </c>
      <c r="AD39" s="201"/>
      <c r="AE39" s="201"/>
      <c r="AF39" s="201"/>
      <c r="AG39" s="201"/>
      <c r="AH39" s="201"/>
      <c r="AI39" s="201"/>
      <c r="AJ39" s="201"/>
      <c r="AK39" s="201"/>
      <c r="AL39" s="201"/>
      <c r="AM39" s="201"/>
      <c r="AN39" s="201"/>
      <c r="AO39" s="201"/>
      <c r="AP39" s="201"/>
    </row>
    <row r="40" ht="15.75" customHeight="1">
      <c r="A40" s="184" t="s">
        <v>174</v>
      </c>
      <c r="B40" s="185" t="str">
        <f>VLOOKUP(A40,Jobmatch!A:G,2,0)</f>
        <v>GERENTE DE URBANISMO</v>
      </c>
      <c r="C40" s="186">
        <f>IFERROR(AVERAGEIF('Folha de Pagamento'!A:A,A40,'Folha de Pagamento'!J:J),"")</f>
        <v>28030.30303</v>
      </c>
      <c r="D40" s="187">
        <v>10.0</v>
      </c>
      <c r="E40" s="185" t="str">
        <f>VLOOKUP(A40,Jobmatch!A:H,3,0)</f>
        <v>Urbanismo</v>
      </c>
      <c r="F40" s="188" t="s">
        <v>375</v>
      </c>
      <c r="G40" s="190" t="str">
        <f>VLOOKUP(A40,Jobmatch!A:I,4,0)</f>
        <v>57 - ADM PROJETOS</v>
      </c>
      <c r="H40" s="191" t="str">
        <f>VLOOKUP(A40,Jobmatch!A:I,5,0)</f>
        <v>Tático</v>
      </c>
      <c r="I40" s="192">
        <f>VLOOKUP(A40,Jobmatch!A:I,6,0)</f>
        <v>311</v>
      </c>
      <c r="J40" s="190" t="str">
        <f>VLOOKUP(A40,Jobmatch!A:I,7,0)</f>
        <v>Gerente de Operações</v>
      </c>
      <c r="K40" s="193" t="str">
        <f>VLOOKUP(A40,Jobmatch!A:I,8,0)</f>
        <v>Indiferente</v>
      </c>
      <c r="L40" s="194" t="str">
        <f t="shared" si="2"/>
        <v>311Indiferente</v>
      </c>
      <c r="M40" s="195">
        <f>COUNTIF('Folha de Pagamento'!A:A,A40)</f>
        <v>2</v>
      </c>
      <c r="N40" s="238">
        <v>19.0</v>
      </c>
      <c r="O40" s="196">
        <f>IFERROR(VLOOKUP(L40,'C-01'!$D:$L,5,0),"")</f>
        <v>10114.75</v>
      </c>
      <c r="P40" s="196">
        <f>IFERROR(VLOOKUP(L40,'C-01'!$D:$L,6,0),"")</f>
        <v>12711.42</v>
      </c>
      <c r="Q40" s="196">
        <f>IFERROR(VLOOKUP(L40,'C-01'!$D:$L,7,0),"")</f>
        <v>12517.82</v>
      </c>
      <c r="R40" s="196">
        <f>IFERROR(VLOOKUP(L40,'C-01'!$D:$L,8,0),"")</f>
        <v>14749</v>
      </c>
      <c r="S40" s="197">
        <f>IFERROR(VLOOKUP(L40,'C-01'!$D:$L,9,0),"")</f>
        <v>19098.65</v>
      </c>
      <c r="T40" s="198">
        <f>IFS('Painel Geral'!$B$5="Mediana",IFERROR(IF(OR(C40="",Q40=0,Q40=""),"",($C40/$Q40)),""),'Painel Geral'!$B$5="Menor Salário",IFERROR(IF(OR(C40="",Q40=0,Q40=""),"",($C40/$N40)),""),'Painel Geral'!$B$5="1º Quartil",IFERROR(IF(OR(C40="",Q40=0,Q40=""),"",($C40/$O40)),""), 'Painel Geral'!$B$5="Média",IFERROR(IF(OR(C40="",Q40=0,Q40=""),"",($C40/$P40)),""),'Painel Geral'!$B$5="3º Quartil",IFERROR(IF(OR(C40="",Q40=0,Q40=""),"",($C40/$R40)),""),'Painel Geral'!$B$5="Maior Salário",IFERROR(IF(OR(C40="",Q40=0,Q40=""),"",($C40/$S40)),""))</f>
        <v>2.239231993</v>
      </c>
      <c r="U40" s="199" t="str">
        <f t="shared" si="3"/>
        <v>Agressivo</v>
      </c>
      <c r="V40" s="201"/>
      <c r="W40" s="201"/>
      <c r="X40" s="201"/>
      <c r="Y40" s="201"/>
      <c r="Z40" s="232">
        <v>18.0</v>
      </c>
      <c r="AA40" s="233">
        <f t="shared" si="6"/>
        <v>10518.88</v>
      </c>
      <c r="AB40" s="224">
        <f t="shared" si="7"/>
        <v>0.20399191</v>
      </c>
      <c r="AC40" s="235">
        <f t="shared" si="8"/>
        <v>9919.521889</v>
      </c>
      <c r="AD40" s="201"/>
      <c r="AE40" s="201"/>
      <c r="AF40" s="201"/>
      <c r="AG40" s="201"/>
      <c r="AH40" s="201"/>
      <c r="AI40" s="201"/>
      <c r="AJ40" s="201"/>
      <c r="AK40" s="201"/>
      <c r="AL40" s="201"/>
      <c r="AM40" s="201"/>
      <c r="AN40" s="201"/>
      <c r="AO40" s="201"/>
      <c r="AP40" s="201"/>
    </row>
    <row r="41" ht="15.75" customHeight="1">
      <c r="A41" s="184" t="s">
        <v>101</v>
      </c>
      <c r="B41" s="185" t="str">
        <f>VLOOKUP(A41,Jobmatch!A:G,2,0)</f>
        <v>COORDENADOR DE DHO</v>
      </c>
      <c r="C41" s="186">
        <f>IFERROR(AVERAGEIF('Folha de Pagamento'!A:A,A41,'Folha de Pagamento'!J:J),"")</f>
        <v>7420</v>
      </c>
      <c r="D41" s="187">
        <v>4.0</v>
      </c>
      <c r="E41" s="185" t="str">
        <f>VLOOKUP(A41,Jobmatch!A:H,3,0)</f>
        <v>DHO</v>
      </c>
      <c r="F41" s="188" t="s">
        <v>341</v>
      </c>
      <c r="G41" s="190" t="str">
        <f>VLOOKUP(A41,Jobmatch!A:I,4,0)</f>
        <v>34 - ADM PROJETOS</v>
      </c>
      <c r="H41" s="191" t="str">
        <f>VLOOKUP(A41,Jobmatch!A:I,5,0)</f>
        <v>Tático</v>
      </c>
      <c r="I41" s="192">
        <f>VLOOKUP(A41,Jobmatch!A:I,6,0)</f>
        <v>121</v>
      </c>
      <c r="J41" s="190" t="str">
        <f>VLOOKUP(A41,Jobmatch!A:I,7,0)</f>
        <v>Coordenador de Recursos Humanos</v>
      </c>
      <c r="K41" s="193" t="str">
        <f>VLOOKUP(A41,Jobmatch!A:I,8,0)</f>
        <v>Indiferente</v>
      </c>
      <c r="L41" s="194" t="str">
        <f t="shared" si="2"/>
        <v>121Indiferente</v>
      </c>
      <c r="M41" s="195">
        <f>COUNTIF('Folha de Pagamento'!A:A,A41)</f>
        <v>1</v>
      </c>
      <c r="N41" s="238">
        <v>19.0</v>
      </c>
      <c r="O41" s="196">
        <f>IFERROR(VLOOKUP(L41,'C-01'!$D:$L,5,0),"")</f>
        <v>10014.8</v>
      </c>
      <c r="P41" s="196">
        <f>IFERROR(VLOOKUP(L41,'C-01'!$D:$L,6,0),"")</f>
        <v>11303.85</v>
      </c>
      <c r="Q41" s="196">
        <f>IFERROR(VLOOKUP(L41,'C-01'!$D:$L,7,0),"")</f>
        <v>12568.77</v>
      </c>
      <c r="R41" s="196">
        <f>IFERROR(VLOOKUP(L41,'C-01'!$D:$L,8,0),"")</f>
        <v>13225.36</v>
      </c>
      <c r="S41" s="197">
        <f>IFERROR(VLOOKUP(L41,'C-01'!$D:$L,9,0),"")</f>
        <v>13881.95</v>
      </c>
      <c r="T41" s="198">
        <f>IFS('Painel Geral'!$B$5="Mediana",IFERROR(IF(OR(C41="",Q41=0,Q41=""),"",($C41/$Q41)),""),'Painel Geral'!$B$5="Menor Salário",IFERROR(IF(OR(C41="",Q41=0,Q41=""),"",($C41/$N41)),""),'Painel Geral'!$B$5="1º Quartil",IFERROR(IF(OR(C41="",Q41=0,Q41=""),"",($C41/$O41)),""), 'Painel Geral'!$B$5="Média",IFERROR(IF(OR(C41="",Q41=0,Q41=""),"",($C41/$P41)),""),'Painel Geral'!$B$5="3º Quartil",IFERROR(IF(OR(C41="",Q41=0,Q41=""),"",($C41/$R41)),""),'Painel Geral'!$B$5="Maior Salário",IFERROR(IF(OR(C41="",Q41=0,Q41=""),"",($C41/$S41)),""))</f>
        <v>0.5903521188</v>
      </c>
      <c r="U41" s="199" t="str">
        <f t="shared" si="3"/>
        <v>Muito Defasado</v>
      </c>
      <c r="V41" s="201"/>
      <c r="W41" s="201"/>
      <c r="X41" s="201"/>
      <c r="Y41" s="201"/>
      <c r="Z41" s="232">
        <v>19.0</v>
      </c>
      <c r="AA41" s="233">
        <f t="shared" si="6"/>
        <v>12614.81</v>
      </c>
      <c r="AB41" s="224">
        <f t="shared" si="7"/>
        <v>0.1992541031</v>
      </c>
      <c r="AC41" s="235">
        <f t="shared" si="8"/>
        <v>11903.42627</v>
      </c>
      <c r="AD41" s="201"/>
      <c r="AE41" s="201"/>
      <c r="AF41" s="201"/>
      <c r="AG41" s="201"/>
      <c r="AH41" s="201"/>
      <c r="AI41" s="201"/>
      <c r="AJ41" s="201"/>
      <c r="AK41" s="201"/>
      <c r="AL41" s="201"/>
      <c r="AM41" s="201"/>
      <c r="AN41" s="201"/>
      <c r="AO41" s="201"/>
      <c r="AP41" s="201"/>
    </row>
    <row r="42" ht="15.75" customHeight="1">
      <c r="A42" s="184" t="s">
        <v>98</v>
      </c>
      <c r="B42" s="185" t="str">
        <f>VLOOKUP(A42,Jobmatch!A:G,2,0)</f>
        <v>CONTROLLER TÉCNICO</v>
      </c>
      <c r="C42" s="186">
        <f>IFERROR(AVERAGEIF('Folha de Pagamento'!A:A,A42,'Folha de Pagamento'!J:J),"")</f>
        <v>9243.50365</v>
      </c>
      <c r="D42" s="187">
        <v>3.0</v>
      </c>
      <c r="E42" s="185" t="str">
        <f>VLOOKUP(A42,Jobmatch!A:H,3,0)</f>
        <v>Controladoria</v>
      </c>
      <c r="F42" s="188" t="s">
        <v>339</v>
      </c>
      <c r="G42" s="190" t="str">
        <f>VLOOKUP(A42,Jobmatch!A:I,4,0)</f>
        <v>33 - ADM PROJETOS</v>
      </c>
      <c r="H42" s="191" t="str">
        <f>VLOOKUP(A42,Jobmatch!A:I,5,0)</f>
        <v>Tático</v>
      </c>
      <c r="I42" s="192">
        <f>VLOOKUP(A42,Jobmatch!A:I,6,0)</f>
        <v>26</v>
      </c>
      <c r="J42" s="190" t="str">
        <f>VLOOKUP(A42,Jobmatch!A:I,7,0)</f>
        <v>Analista de Controladoria</v>
      </c>
      <c r="K42" s="193" t="str">
        <f>VLOOKUP(A42,Jobmatch!A:I,8,0)</f>
        <v>Especialista</v>
      </c>
      <c r="L42" s="194" t="str">
        <f t="shared" si="2"/>
        <v>26Especialista</v>
      </c>
      <c r="M42" s="195">
        <f>COUNTIF('Folha de Pagamento'!A:A,A42)</f>
        <v>1</v>
      </c>
      <c r="N42" s="238">
        <v>19.0</v>
      </c>
      <c r="O42" s="196">
        <f>IFERROR(VLOOKUP(L42,'C-01'!$D:$L,5,0),"")</f>
        <v>10665.2</v>
      </c>
      <c r="P42" s="196">
        <f>IFERROR(VLOOKUP(L42,'C-01'!$D:$L,6,0),"")</f>
        <v>12572.61</v>
      </c>
      <c r="Q42" s="196">
        <f>IFERROR(VLOOKUP(L42,'C-01'!$D:$L,7,0),"")</f>
        <v>13758.75</v>
      </c>
      <c r="R42" s="196">
        <f>IFERROR(VLOOKUP(L42,'C-01'!$D:$L,8,0),"")</f>
        <v>15666.17</v>
      </c>
      <c r="S42" s="197">
        <f>IFERROR(VLOOKUP(L42,'C-01'!$D:$L,9,0),"")</f>
        <v>15995.86</v>
      </c>
      <c r="T42" s="198">
        <f>IFS('Painel Geral'!$B$5="Mediana",IFERROR(IF(OR(C42="",Q42=0,Q42=""),"",($C42/$Q42)),""),'Painel Geral'!$B$5="Menor Salário",IFERROR(IF(OR(C42="",Q42=0,Q42=""),"",($C42/$N42)),""),'Painel Geral'!$B$5="1º Quartil",IFERROR(IF(OR(C42="",Q42=0,Q42=""),"",($C42/$O42)),""), 'Painel Geral'!$B$5="Média",IFERROR(IF(OR(C42="",Q42=0,Q42=""),"",($C42/$P42)),""),'Painel Geral'!$B$5="3º Quartil",IFERROR(IF(OR(C42="",Q42=0,Q42=""),"",($C42/$R42)),""),'Painel Geral'!$B$5="Maior Salário",IFERROR(IF(OR(C42="",Q42=0,Q42=""),"",($C42/$S42)),""))</f>
        <v>0.6718272844</v>
      </c>
      <c r="U42" s="199" t="str">
        <f t="shared" si="3"/>
        <v>Muito Defasado</v>
      </c>
      <c r="V42" s="201"/>
      <c r="W42" s="201"/>
      <c r="X42" s="201"/>
      <c r="Y42" s="201"/>
      <c r="Z42" s="232">
        <v>20.0</v>
      </c>
      <c r="AA42" s="233">
        <f t="shared" si="6"/>
        <v>15058</v>
      </c>
      <c r="AB42" s="224">
        <f t="shared" si="7"/>
        <v>0.1936763217</v>
      </c>
      <c r="AC42" s="235">
        <f t="shared" si="8"/>
        <v>14284.11152</v>
      </c>
      <c r="AD42" s="201"/>
      <c r="AE42" s="201"/>
      <c r="AF42" s="201"/>
      <c r="AG42" s="201"/>
      <c r="AH42" s="201"/>
      <c r="AI42" s="201"/>
      <c r="AJ42" s="201"/>
      <c r="AK42" s="201"/>
      <c r="AL42" s="201"/>
      <c r="AM42" s="201"/>
      <c r="AN42" s="201"/>
      <c r="AO42" s="201"/>
      <c r="AP42" s="201"/>
    </row>
    <row r="43" ht="15.75" customHeight="1">
      <c r="A43" s="184" t="s">
        <v>130</v>
      </c>
      <c r="B43" s="185" t="str">
        <f>VLOOKUP(A43,Jobmatch!A:G,2,0)</f>
        <v>ENGENHEIRO SÊNIOR </v>
      </c>
      <c r="C43" s="186">
        <f>IFERROR(AVERAGEIF('Folha de Pagamento'!A:A,A43,'Folha de Pagamento'!J:J),"")</f>
        <v>14393.93939</v>
      </c>
      <c r="D43" s="187">
        <v>5.0</v>
      </c>
      <c r="E43" s="185" t="str">
        <f>VLOOKUP(A43,Jobmatch!A:H,3,0)</f>
        <v>Edificação</v>
      </c>
      <c r="F43" s="188" t="s">
        <v>347</v>
      </c>
      <c r="G43" s="190" t="str">
        <f>VLOOKUP(A43,Jobmatch!A:I,4,0)</f>
        <v>44 - ADM PROJETOS</v>
      </c>
      <c r="H43" s="191" t="str">
        <f>VLOOKUP(A43,Jobmatch!A:I,5,0)</f>
        <v>Tático</v>
      </c>
      <c r="I43" s="192">
        <f>VLOOKUP(A43,Jobmatch!A:I,6,0)</f>
        <v>212</v>
      </c>
      <c r="J43" s="190" t="str">
        <f>VLOOKUP(A43,Jobmatch!A:I,7,0)</f>
        <v>Engenheiro de Urbanismo</v>
      </c>
      <c r="K43" s="193" t="str">
        <f>VLOOKUP(A43,Jobmatch!A:I,8,0)</f>
        <v>Indiferente</v>
      </c>
      <c r="L43" s="194" t="str">
        <f t="shared" si="2"/>
        <v>212Indiferente</v>
      </c>
      <c r="M43" s="195">
        <f>COUNTIF('Folha de Pagamento'!A:A,A43)</f>
        <v>1</v>
      </c>
      <c r="N43" s="238">
        <v>20.0</v>
      </c>
      <c r="O43" s="196">
        <f>IFERROR(VLOOKUP(L43,'C-01'!$D:$L,5,0),"")</f>
        <v>12766.6</v>
      </c>
      <c r="P43" s="196">
        <f>IFERROR(VLOOKUP(L43,'C-01'!$D:$L,6,0),"")</f>
        <v>14293.39</v>
      </c>
      <c r="Q43" s="196">
        <f>IFERROR(VLOOKUP(L43,'C-01'!$D:$L,7,0),"")</f>
        <v>15082.52</v>
      </c>
      <c r="R43" s="196">
        <f>IFERROR(VLOOKUP(L43,'C-01'!$D:$L,8,0),"")</f>
        <v>16110.29</v>
      </c>
      <c r="S43" s="197">
        <f>IFERROR(VLOOKUP(L43,'C-01'!$D:$L,9,0),"")</f>
        <v>16164.64</v>
      </c>
      <c r="T43" s="198">
        <f>IFS('Painel Geral'!$B$5="Mediana",IFERROR(IF(OR(C43="",Q43=0,Q43=""),"",($C43/$Q43)),""),'Painel Geral'!$B$5="Menor Salário",IFERROR(IF(OR(C43="",Q43=0,Q43=""),"",($C43/$N43)),""),'Painel Geral'!$B$5="1º Quartil",IFERROR(IF(OR(C43="",Q43=0,Q43=""),"",($C43/$O43)),""), 'Painel Geral'!$B$5="Média",IFERROR(IF(OR(C43="",Q43=0,Q43=""),"",($C43/$P43)),""),'Painel Geral'!$B$5="3º Quartil",IFERROR(IF(OR(C43="",Q43=0,Q43=""),"",($C43/$R43)),""),'Painel Geral'!$B$5="Maior Salário",IFERROR(IF(OR(C43="",Q43=0,Q43=""),"",($C43/$S43)),""))</f>
        <v>0.9543457853</v>
      </c>
      <c r="U43" s="199" t="str">
        <f t="shared" si="3"/>
        <v>Na Média</v>
      </c>
      <c r="V43" s="201"/>
      <c r="W43" s="201"/>
      <c r="X43" s="201"/>
      <c r="Y43" s="201"/>
      <c r="Z43" s="232">
        <v>21.0</v>
      </c>
      <c r="AA43" s="233">
        <f t="shared" si="6"/>
        <v>17881.99</v>
      </c>
      <c r="AB43" s="224">
        <f t="shared" si="7"/>
        <v>0.1875408421</v>
      </c>
      <c r="AC43" s="235">
        <f t="shared" si="8"/>
        <v>17140.93382</v>
      </c>
      <c r="AD43" s="201"/>
      <c r="AE43" s="201"/>
      <c r="AF43" s="201"/>
      <c r="AG43" s="201"/>
      <c r="AH43" s="201"/>
      <c r="AI43" s="201"/>
      <c r="AJ43" s="201"/>
      <c r="AK43" s="201"/>
      <c r="AL43" s="201"/>
      <c r="AM43" s="201"/>
      <c r="AN43" s="201"/>
      <c r="AO43" s="201"/>
      <c r="AP43" s="201"/>
    </row>
    <row r="44" ht="15.75" customHeight="1">
      <c r="A44" s="184" t="s">
        <v>127</v>
      </c>
      <c r="B44" s="185" t="str">
        <f>VLOOKUP(A44,Jobmatch!A:G,2,0)</f>
        <v>ENGENHEIRO JUNIOR DE URBANISMO</v>
      </c>
      <c r="C44" s="186">
        <f>IFERROR(AVERAGEIF('Folha de Pagamento'!A:A,A44,'Folha de Pagamento'!J:J),"")</f>
        <v>5630.872483</v>
      </c>
      <c r="D44" s="187">
        <v>10.0</v>
      </c>
      <c r="E44" s="185" t="str">
        <f>VLOOKUP(A44,Jobmatch!A:H,3,0)</f>
        <v>Urbanismo</v>
      </c>
      <c r="F44" s="188" t="s">
        <v>373</v>
      </c>
      <c r="G44" s="190" t="str">
        <f>VLOOKUP(A44,Jobmatch!A:I,4,0)</f>
        <v>43 - ADM PROJETOS</v>
      </c>
      <c r="H44" s="191" t="str">
        <f>VLOOKUP(A44,Jobmatch!A:I,5,0)</f>
        <v>Operacional</v>
      </c>
      <c r="I44" s="192">
        <f>VLOOKUP(A44,Jobmatch!A:I,6,0)</f>
        <v>212</v>
      </c>
      <c r="J44" s="190" t="str">
        <f>VLOOKUP(A44,Jobmatch!A:I,7,0)</f>
        <v>Engenheiro de Urbanismo</v>
      </c>
      <c r="K44" s="193" t="str">
        <f>VLOOKUP(A44,Jobmatch!A:I,8,0)</f>
        <v>Indiferente</v>
      </c>
      <c r="L44" s="194" t="str">
        <f t="shared" si="2"/>
        <v>212Indiferente</v>
      </c>
      <c r="M44" s="195">
        <f>COUNTIF('Folha de Pagamento'!A:A,A44)</f>
        <v>1</v>
      </c>
      <c r="N44" s="238">
        <v>20.0</v>
      </c>
      <c r="O44" s="196">
        <f>IFERROR(VLOOKUP(L44,'C-01'!$D:$L,5,0),"")</f>
        <v>12766.6</v>
      </c>
      <c r="P44" s="196">
        <f>IFERROR(VLOOKUP(L44,'C-01'!$D:$L,6,0),"")</f>
        <v>14293.39</v>
      </c>
      <c r="Q44" s="196">
        <f>IFERROR(VLOOKUP(L44,'C-01'!$D:$L,7,0),"")</f>
        <v>15082.52</v>
      </c>
      <c r="R44" s="196">
        <f>IFERROR(VLOOKUP(L44,'C-01'!$D:$L,8,0),"")</f>
        <v>16110.29</v>
      </c>
      <c r="S44" s="197">
        <f>IFERROR(VLOOKUP(L44,'C-01'!$D:$L,9,0),"")</f>
        <v>16164.64</v>
      </c>
      <c r="T44" s="198">
        <f>IFS('Painel Geral'!$B$5="Mediana",IFERROR(IF(OR(C44="",Q44=0,Q44=""),"",($C44/$Q44)),""),'Painel Geral'!$B$5="Menor Salário",IFERROR(IF(OR(C44="",Q44=0,Q44=""),"",($C44/$N44)),""),'Painel Geral'!$B$5="1º Quartil",IFERROR(IF(OR(C44="",Q44=0,Q44=""),"",($C44/$O44)),""), 'Painel Geral'!$B$5="Média",IFERROR(IF(OR(C44="",Q44=0,Q44=""),"",($C44/$P44)),""),'Painel Geral'!$B$5="3º Quartil",IFERROR(IF(OR(C44="",Q44=0,Q44=""),"",($C44/$R44)),""),'Painel Geral'!$B$5="Maior Salário",IFERROR(IF(OR(C44="",Q44=0,Q44=""),"",($C44/$S44)),""))</f>
        <v>0.3733376441</v>
      </c>
      <c r="U44" s="199" t="str">
        <f t="shared" si="3"/>
        <v>Muito Defasado</v>
      </c>
      <c r="V44" s="201"/>
      <c r="W44" s="201"/>
      <c r="X44" s="201"/>
      <c r="Y44" s="201"/>
      <c r="Z44" s="232">
        <v>22.0</v>
      </c>
      <c r="AA44" s="233">
        <f t="shared" si="6"/>
        <v>21120.32</v>
      </c>
      <c r="AB44" s="224">
        <f t="shared" si="7"/>
        <v>0.1810944979</v>
      </c>
      <c r="AC44" s="235">
        <f t="shared" si="8"/>
        <v>20569.12059</v>
      </c>
      <c r="AD44" s="201"/>
      <c r="AE44" s="201"/>
      <c r="AF44" s="201"/>
      <c r="AG44" s="201"/>
      <c r="AH44" s="201"/>
      <c r="AI44" s="201"/>
      <c r="AJ44" s="201"/>
      <c r="AK44" s="201"/>
      <c r="AL44" s="201"/>
      <c r="AM44" s="201"/>
      <c r="AN44" s="201"/>
      <c r="AO44" s="201"/>
      <c r="AP44" s="201"/>
    </row>
    <row r="45" ht="15.75" customHeight="1">
      <c r="A45" s="184" t="s">
        <v>109</v>
      </c>
      <c r="B45" s="185" t="str">
        <f>VLOOKUP(A45,Jobmatch!A:G,2,0)</f>
        <v>COORDENADOR DE OBRAS</v>
      </c>
      <c r="C45" s="186">
        <f>IFERROR(AVERAGEIF('Folha de Pagamento'!A:A,A45,'Folha de Pagamento'!J:J),"")</f>
        <v>8714</v>
      </c>
      <c r="D45" s="187">
        <v>5.0</v>
      </c>
      <c r="E45" s="185" t="str">
        <f>VLOOKUP(A45,Jobmatch!A:H,3,0)</f>
        <v>Edificação</v>
      </c>
      <c r="F45" s="188" t="s">
        <v>345</v>
      </c>
      <c r="G45" s="190" t="str">
        <f>VLOOKUP(A45,Jobmatch!A:I,4,0)</f>
        <v>37 - ADM PROJETOS</v>
      </c>
      <c r="H45" s="191" t="str">
        <f>VLOOKUP(A45,Jobmatch!A:I,5,0)</f>
        <v>Tático</v>
      </c>
      <c r="I45" s="192">
        <f>VLOOKUP(A45,Jobmatch!A:I,6,0)</f>
        <v>209</v>
      </c>
      <c r="J45" s="190" t="str">
        <f>VLOOKUP(A45,Jobmatch!A:I,7,0)</f>
        <v>Coordenador de Obras</v>
      </c>
      <c r="K45" s="193" t="str">
        <f>VLOOKUP(A45,Jobmatch!A:I,8,0)</f>
        <v>Indiferente</v>
      </c>
      <c r="L45" s="194" t="str">
        <f t="shared" si="2"/>
        <v>209Indiferente</v>
      </c>
      <c r="M45" s="195">
        <f>COUNTIF('Folha de Pagamento'!A:A,A45)</f>
        <v>1</v>
      </c>
      <c r="N45" s="238">
        <v>20.0</v>
      </c>
      <c r="O45" s="196">
        <f>IFERROR(VLOOKUP(L45,'C-01'!$D:$L,5,0),"")</f>
        <v>10017.83</v>
      </c>
      <c r="P45" s="196">
        <f>IFERROR(VLOOKUP(L45,'C-01'!$D:$L,6,0),"")</f>
        <v>16217.22</v>
      </c>
      <c r="Q45" s="196">
        <f>IFERROR(VLOOKUP(L45,'C-01'!$D:$L,7,0),"")</f>
        <v>16164.64</v>
      </c>
      <c r="R45" s="196">
        <f>IFERROR(VLOOKUP(L45,'C-01'!$D:$L,8,0),"")</f>
        <v>23908.2</v>
      </c>
      <c r="S45" s="197">
        <f>IFERROR(VLOOKUP(L45,'C-01'!$D:$L,9,0),"")</f>
        <v>23908.2</v>
      </c>
      <c r="T45" s="198">
        <f>IFS('Painel Geral'!$B$5="Mediana",IFERROR(IF(OR(C45="",Q45=0,Q45=""),"",($C45/$Q45)),""),'Painel Geral'!$B$5="Menor Salário",IFERROR(IF(OR(C45="",Q45=0,Q45=""),"",($C45/$N45)),""),'Painel Geral'!$B$5="1º Quartil",IFERROR(IF(OR(C45="",Q45=0,Q45=""),"",($C45/$O45)),""), 'Painel Geral'!$B$5="Média",IFERROR(IF(OR(C45="",Q45=0,Q45=""),"",($C45/$P45)),""),'Painel Geral'!$B$5="3º Quartil",IFERROR(IF(OR(C45="",Q45=0,Q45=""),"",($C45/$R45)),""),'Painel Geral'!$B$5="Maior Salário",IFERROR(IF(OR(C45="",Q45=0,Q45=""),"",($C45/$S45)),""))</f>
        <v>0.5390778885</v>
      </c>
      <c r="U45" s="199" t="str">
        <f t="shared" si="3"/>
        <v>Muito Defasado</v>
      </c>
      <c r="V45" s="201"/>
      <c r="W45" s="201"/>
      <c r="X45" s="201"/>
      <c r="Y45" s="201"/>
      <c r="Z45" s="232">
        <v>23.0</v>
      </c>
      <c r="AA45" s="233">
        <f t="shared" si="6"/>
        <v>24806.53</v>
      </c>
      <c r="AB45" s="224">
        <f t="shared" si="7"/>
        <v>0.1745338139</v>
      </c>
      <c r="AC45" s="235">
        <f t="shared" si="8"/>
        <v>24682.94471</v>
      </c>
      <c r="AD45" s="201"/>
      <c r="AE45" s="201"/>
      <c r="AF45" s="201"/>
      <c r="AG45" s="201"/>
      <c r="AH45" s="201"/>
      <c r="AI45" s="201"/>
      <c r="AJ45" s="201"/>
      <c r="AK45" s="201"/>
      <c r="AL45" s="201"/>
      <c r="AM45" s="201"/>
      <c r="AN45" s="201"/>
      <c r="AO45" s="201"/>
      <c r="AP45" s="201"/>
    </row>
    <row r="46" ht="15.75" customHeight="1">
      <c r="A46" s="184" t="s">
        <v>95</v>
      </c>
      <c r="B46" s="185" t="str">
        <f>VLOOKUP(A46,Jobmatch!A:G,2,0)</f>
        <v>CONTROLLER GERAL</v>
      </c>
      <c r="C46" s="186">
        <f>IFERROR(AVERAGEIF('Folha de Pagamento'!A:A,A46,'Folha de Pagamento'!J:J),"")</f>
        <v>11678.83212</v>
      </c>
      <c r="D46" s="187">
        <v>3.0</v>
      </c>
      <c r="E46" s="185" t="str">
        <f>VLOOKUP(A46,Jobmatch!A:H,3,0)</f>
        <v>Controladoria</v>
      </c>
      <c r="F46" s="188" t="s">
        <v>338</v>
      </c>
      <c r="G46" s="190" t="str">
        <f>VLOOKUP(A46,Jobmatch!A:I,4,0)</f>
        <v>32 - ADM PROJETOS</v>
      </c>
      <c r="H46" s="191" t="str">
        <f>VLOOKUP(A46,Jobmatch!A:I,5,0)</f>
        <v>Tático</v>
      </c>
      <c r="I46" s="192">
        <f>VLOOKUP(A46,Jobmatch!A:I,6,0)</f>
        <v>95</v>
      </c>
      <c r="J46" s="190" t="str">
        <f>VLOOKUP(A46,Jobmatch!A:I,7,0)</f>
        <v>Controller</v>
      </c>
      <c r="K46" s="193" t="str">
        <f>VLOOKUP(A46,Jobmatch!A:I,8,0)</f>
        <v>Indiferente</v>
      </c>
      <c r="L46" s="194" t="str">
        <f t="shared" si="2"/>
        <v>95Indiferente</v>
      </c>
      <c r="M46" s="195">
        <f>COUNTIF('Folha de Pagamento'!A:A,A46)</f>
        <v>1</v>
      </c>
      <c r="N46" s="238">
        <v>21.0</v>
      </c>
      <c r="O46" s="196">
        <f>IFERROR(VLOOKUP(L46,'C-01'!$D:$L,5,0),"")</f>
        <v>15472.01</v>
      </c>
      <c r="P46" s="196">
        <f>IFERROR(VLOOKUP(L46,'C-01'!$D:$L,6,0),"")</f>
        <v>16594.35</v>
      </c>
      <c r="Q46" s="196">
        <f>IFERROR(VLOOKUP(L46,'C-01'!$D:$L,7,0),"")</f>
        <v>16581.68</v>
      </c>
      <c r="R46" s="196">
        <f>IFERROR(VLOOKUP(L46,'C-01'!$D:$L,8,0),"")</f>
        <v>17497.31</v>
      </c>
      <c r="S46" s="197">
        <f>IFERROR(VLOOKUP(L46,'C-01'!$D:$L,9,0),"")</f>
        <v>18846.04</v>
      </c>
      <c r="T46" s="198">
        <f>IFS('Painel Geral'!$B$5="Mediana",IFERROR(IF(OR(C46="",Q46=0,Q46=""),"",($C46/$Q46)),""),'Painel Geral'!$B$5="Menor Salário",IFERROR(IF(OR(C46="",Q46=0,Q46=""),"",($C46/$N46)),""),'Painel Geral'!$B$5="1º Quartil",IFERROR(IF(OR(C46="",Q46=0,Q46=""),"",($C46/$O46)),""), 'Painel Geral'!$B$5="Média",IFERROR(IF(OR(C46="",Q46=0,Q46=""),"",($C46/$P46)),""),'Painel Geral'!$B$5="3º Quartil",IFERROR(IF(OR(C46="",Q46=0,Q46=""),"",($C46/$R46)),""),'Painel Geral'!$B$5="Maior Salário",IFERROR(IF(OR(C46="",Q46=0,Q46=""),"",($C46/$S46)),""))</f>
        <v>0.7043214027</v>
      </c>
      <c r="U46" s="199" t="str">
        <f t="shared" si="3"/>
        <v>Muito Defasado</v>
      </c>
      <c r="V46" s="201"/>
      <c r="W46" s="201"/>
      <c r="X46" s="201"/>
      <c r="Y46" s="201"/>
      <c r="Z46" s="232">
        <v>24.0</v>
      </c>
      <c r="AA46" s="233">
        <f t="shared" si="6"/>
        <v>28974.16</v>
      </c>
      <c r="AB46" s="224">
        <f t="shared" si="7"/>
        <v>0.1680053599</v>
      </c>
      <c r="AC46" s="235">
        <f t="shared" si="8"/>
        <v>29619.53365</v>
      </c>
      <c r="AD46" s="201"/>
      <c r="AE46" s="201"/>
      <c r="AF46" s="201"/>
      <c r="AG46" s="201"/>
      <c r="AH46" s="201"/>
      <c r="AI46" s="201"/>
      <c r="AJ46" s="201"/>
      <c r="AK46" s="201"/>
      <c r="AL46" s="201"/>
      <c r="AM46" s="201"/>
      <c r="AN46" s="201"/>
      <c r="AO46" s="201"/>
      <c r="AP46" s="201"/>
    </row>
    <row r="47" ht="15.75" customHeight="1">
      <c r="A47" s="184" t="s">
        <v>118</v>
      </c>
      <c r="B47" s="185" t="str">
        <f>VLOOKUP(A47,Jobmatch!A:G,2,0)</f>
        <v>DIRETOR</v>
      </c>
      <c r="C47" s="186">
        <f>IFERROR(AVERAGEIF('Folha de Pagamento'!A:A,A47,'Folha de Pagamento'!J:J),"")</f>
        <v>55769.23077</v>
      </c>
      <c r="D47" s="187">
        <v>2.0</v>
      </c>
      <c r="E47" s="185" t="str">
        <f>VLOOKUP(A47,Jobmatch!A:H,3,0)</f>
        <v>Comercial</v>
      </c>
      <c r="F47" s="188" t="s">
        <v>332</v>
      </c>
      <c r="G47" s="190" t="str">
        <f>VLOOKUP(A47,Jobmatch!A:I,4,0)</f>
        <v>40 - ADM PROJETOS</v>
      </c>
      <c r="H47" s="191" t="str">
        <f>VLOOKUP(A47,Jobmatch!A:I,5,0)</f>
        <v>Estratégico</v>
      </c>
      <c r="I47" s="192">
        <f>VLOOKUP(A47,Jobmatch!A:I,6,0)</f>
        <v>456</v>
      </c>
      <c r="J47" s="190" t="str">
        <f>VLOOKUP(A47,Jobmatch!A:I,7,0)</f>
        <v>CEO</v>
      </c>
      <c r="K47" s="193" t="str">
        <f>VLOOKUP(A47,Jobmatch!A:I,8,0)</f>
        <v>Indiferente</v>
      </c>
      <c r="L47" s="194" t="str">
        <f t="shared" si="2"/>
        <v>456Indiferente</v>
      </c>
      <c r="M47" s="195">
        <f>COUNTIF('Folha de Pagamento'!A:A,A47)</f>
        <v>1</v>
      </c>
      <c r="N47" s="238">
        <v>24.0</v>
      </c>
      <c r="O47" s="196">
        <f>IFERROR(VLOOKUP(L47,'C-01'!$D:$L,5,0),"")</f>
        <v>24816.78</v>
      </c>
      <c r="P47" s="196">
        <f>IFERROR(VLOOKUP(L47,'C-01'!$D:$L,6,0),"")</f>
        <v>32648.36</v>
      </c>
      <c r="Q47" s="196">
        <f>IFERROR(VLOOKUP(L47,'C-01'!$D:$L,7,0),"")</f>
        <v>29147.75</v>
      </c>
      <c r="R47" s="196">
        <f>IFERROR(VLOOKUP(L47,'C-01'!$D:$L,8,0),"")</f>
        <v>37122.89</v>
      </c>
      <c r="S47" s="197">
        <f>IFERROR(VLOOKUP(L47,'C-01'!$D:$L,9,0),"")</f>
        <v>55429.54</v>
      </c>
      <c r="T47" s="198">
        <f>IFS('Painel Geral'!$B$5="Mediana",IFERROR(IF(OR(C47="",Q47=0,Q47=""),"",($C47/$Q47)),""),'Painel Geral'!$B$5="Menor Salário",IFERROR(IF(OR(C47="",Q47=0,Q47=""),"",($C47/$N47)),""),'Painel Geral'!$B$5="1º Quartil",IFERROR(IF(OR(C47="",Q47=0,Q47=""),"",($C47/$O47)),""), 'Painel Geral'!$B$5="Média",IFERROR(IF(OR(C47="",Q47=0,Q47=""),"",($C47/$P47)),""),'Painel Geral'!$B$5="3º Quartil",IFERROR(IF(OR(C47="",Q47=0,Q47=""),"",($C47/$R47)),""),'Painel Geral'!$B$5="Maior Salário",IFERROR(IF(OR(C47="",Q47=0,Q47=""),"",($C47/$S47)),""))</f>
        <v>1.913328843</v>
      </c>
      <c r="U47" s="199" t="str">
        <f t="shared" si="3"/>
        <v>Agressivo</v>
      </c>
      <c r="V47" s="201"/>
      <c r="W47" s="201"/>
      <c r="X47" s="201"/>
      <c r="Y47" s="201"/>
      <c r="Z47" s="201"/>
      <c r="AA47" s="201"/>
      <c r="AB47" s="201"/>
      <c r="AC47" s="201"/>
      <c r="AD47" s="201"/>
      <c r="AE47" s="201"/>
      <c r="AF47" s="201"/>
      <c r="AG47" s="201"/>
      <c r="AH47" s="201"/>
      <c r="AI47" s="201"/>
      <c r="AJ47" s="201"/>
      <c r="AK47" s="201"/>
      <c r="AL47" s="201"/>
      <c r="AM47" s="201"/>
      <c r="AN47" s="201"/>
      <c r="AO47" s="201"/>
      <c r="AP47" s="201"/>
    </row>
  </sheetData>
  <autoFilter ref="$A$3:$U$47">
    <sortState ref="A3:U47">
      <sortCondition ref="Q3:Q47"/>
      <sortCondition ref="E3:E47"/>
    </sortState>
  </autoFilter>
  <customSheetViews>
    <customSheetView guid="{96C31A28-1028-4009-9DE6-63B3CF4DFB9B}" filter="1" showAutoFilter="1">
      <autoFilter ref="$A$3:$U$47"/>
    </customSheetView>
    <customSheetView guid="{3C6918C3-D868-4D69-A6CD-504F4B52EE22}" filter="1" showAutoFilter="1">
      <autoFilter ref="$A$3:$U$47"/>
    </customSheetView>
    <customSheetView guid="{0075A802-B66C-4D7D-929F-34C2F59AE8A9}" filter="1" showAutoFilter="1">
      <autoFilter ref="$A$3:$U$47"/>
    </customSheetView>
    <customSheetView guid="{B41F88BD-3F58-45D0-A0E7-C0E19BA24239}" filter="1" showAutoFilter="1">
      <autoFilter ref="$A$3:$U$47"/>
    </customSheetView>
    <customSheetView guid="{45EEC70B-EA86-49D3-A588-0A0D84BF9E52}" filter="1" showAutoFilter="1">
      <autoFilter ref="$B$1:$U$1"/>
    </customSheetView>
    <customSheetView guid="{A7CC0C28-C4CD-4D76-B1EF-29E890F45AC8}" filter="1" showAutoFilter="1">
      <autoFilter ref="$A$3:$U$47">
        <filterColumn colId="9">
          <filters>
            <filter val="Analista de Marketing"/>
            <filter val="Almoxarife"/>
            <filter val="Assistente de Engenharia"/>
            <filter val="Coordenador Financeiro"/>
            <filter val="Analista de Criação"/>
            <filter val="Analista de Controladoria"/>
            <filter val="Assistente de Recursos Humanos"/>
            <filter val="Gerente de Relacionamento"/>
            <filter val="Gerente Administrativo"/>
            <filter val="Coordenador de Obras"/>
            <filter val="Analista de Compras"/>
            <filter val="Coordenador de Legalização"/>
            <filter val="Coordenador de Marketing"/>
            <filter val="Coordenador de Compras"/>
            <filter val="Analista de Custos"/>
            <filter val="Mestre de Obras"/>
            <filter val="Auxiliar de Engenharia"/>
            <filter val="Gerente de Operações"/>
            <filter val="Analista de Urbanismo"/>
            <filter val="Assistente Administrativo"/>
            <filter val="Analista Comercial"/>
            <filter val="Assistente de Tecnologia da Informação"/>
            <filter val="Técnico em Edificações"/>
            <filter val="Controller"/>
            <filter val="CEO"/>
            <filter val="Assistente de Legalização"/>
            <filter val="Auxiliar de Atendimento"/>
            <filter val="Assistente de Controladoria"/>
            <filter val="Coordenador de Recursos Humanos"/>
            <filter val="Assistente de Marketing"/>
            <filter val="Analista de Inovação"/>
            <filter val="Gerente Comercial"/>
            <filter val="Auxiliar Administrativo"/>
            <filter val="Assistente Financeiro"/>
            <filter val="Engenheiro de Urbanismo"/>
          </filters>
        </filterColumn>
      </autoFilter>
    </customSheetView>
    <customSheetView guid="{9ED18B37-6EB4-4260-A5FA-FAFBE39E0B69}" filter="1" showAutoFilter="1">
      <autoFilter ref="$A$3:$U$47"/>
    </customSheetView>
  </customSheetViews>
  <mergeCells count="1">
    <mergeCell ref="O1:Q1"/>
  </mergeCells>
  <printOptions/>
  <pageMargins bottom="0.787401575" footer="0.0" header="0.0" left="0.511811024" right="0.511811024" top="0.7874015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7.0"/>
    <col customWidth="1" min="2" max="2" width="23.88"/>
    <col customWidth="1" min="3" max="3" width="15.75"/>
    <col customWidth="1" hidden="1" min="4" max="4" width="10.25"/>
    <col customWidth="1" hidden="1" min="5" max="5" width="22.63"/>
    <col customWidth="1" min="6" max="6" width="22.63"/>
    <col customWidth="1" hidden="1" min="7" max="7" width="25.13"/>
    <col customWidth="1" hidden="1" min="8" max="8" width="19.88"/>
    <col customWidth="1" hidden="1" min="9" max="9" width="13.0"/>
    <col customWidth="1" hidden="1" min="10" max="10" width="28.88"/>
    <col customWidth="1" hidden="1" min="11" max="11" width="11.75"/>
    <col customWidth="1" hidden="1" min="12" max="12" width="17.38"/>
    <col customWidth="1" hidden="1" min="13" max="13" width="21.63"/>
    <col customWidth="1" min="14" max="14" width="14.75"/>
    <col customWidth="1" hidden="1" min="15" max="15" width="10.88"/>
    <col customWidth="1" hidden="1" min="16" max="16" width="10.13"/>
    <col customWidth="1" min="17" max="17" width="10.13"/>
    <col customWidth="1" hidden="1" min="18" max="18" width="10.88"/>
    <col customWidth="1" hidden="1" min="19" max="19" width="14.0"/>
    <col customWidth="1" hidden="1" min="20" max="20" width="18.75"/>
    <col customWidth="1" hidden="1" min="21" max="21" width="27.38"/>
    <col customWidth="1" min="22" max="22" width="7.88"/>
    <col customWidth="1" min="23" max="42" width="6.63"/>
  </cols>
  <sheetData>
    <row r="1">
      <c r="B1" s="157"/>
      <c r="C1" s="157"/>
      <c r="D1" s="157"/>
      <c r="E1" s="157"/>
      <c r="F1" s="157"/>
      <c r="G1" s="157"/>
      <c r="H1" s="157"/>
      <c r="I1" s="158" t="s">
        <v>314</v>
      </c>
      <c r="J1" s="157"/>
      <c r="K1" s="157"/>
      <c r="L1" s="157"/>
      <c r="M1" s="157"/>
      <c r="N1" s="159"/>
      <c r="O1" s="159" t="str">
        <f>'Informações Relevantes Cenário'!A1</f>
        <v>Cenário 01: Pesquisas Consolidadas - Nacional</v>
      </c>
      <c r="P1" s="160"/>
      <c r="Q1" s="160"/>
      <c r="R1" s="161"/>
      <c r="S1" s="162"/>
      <c r="T1" s="163" t="str">
        <f>"% Distância da "&amp;'Painel Geral'!B5</f>
        <v>% Distância da Mediana</v>
      </c>
      <c r="U1" s="163" t="s">
        <v>315</v>
      </c>
      <c r="V1" s="213"/>
      <c r="W1" s="213"/>
      <c r="X1" s="213"/>
      <c r="Y1" s="213"/>
      <c r="Z1" s="213"/>
      <c r="AA1" s="213"/>
      <c r="AB1" s="213"/>
      <c r="AC1" s="213"/>
      <c r="AD1" s="213"/>
      <c r="AE1" s="213"/>
      <c r="AF1" s="213"/>
      <c r="AG1" s="213"/>
      <c r="AH1" s="213"/>
      <c r="AI1" s="213"/>
      <c r="AJ1" s="213"/>
      <c r="AK1" s="213"/>
      <c r="AL1" s="213"/>
      <c r="AM1" s="213"/>
      <c r="AN1" s="213"/>
      <c r="AO1" s="213"/>
      <c r="AP1" s="213"/>
    </row>
    <row r="2" ht="6.0" customHeight="1">
      <c r="A2" s="164"/>
      <c r="B2" s="165"/>
      <c r="C2" s="166"/>
      <c r="D2" s="167"/>
      <c r="E2" s="165"/>
      <c r="F2" s="165"/>
      <c r="G2" s="165"/>
      <c r="H2" s="165"/>
      <c r="I2" s="167"/>
      <c r="J2" s="165"/>
      <c r="K2" s="165"/>
      <c r="L2" s="165"/>
      <c r="M2" s="168"/>
      <c r="N2" s="214"/>
      <c r="O2" s="169"/>
      <c r="P2" s="169"/>
      <c r="Q2" s="169"/>
      <c r="R2" s="169"/>
      <c r="S2" s="170"/>
      <c r="T2" s="171"/>
      <c r="U2" s="170"/>
      <c r="V2" s="207"/>
      <c r="W2" s="207"/>
      <c r="X2" s="207"/>
      <c r="Y2" s="207"/>
      <c r="Z2" s="207"/>
      <c r="AA2" s="207"/>
      <c r="AB2" s="207"/>
      <c r="AC2" s="207"/>
      <c r="AD2" s="207"/>
      <c r="AE2" s="207"/>
      <c r="AF2" s="207"/>
      <c r="AG2" s="207"/>
      <c r="AH2" s="207"/>
      <c r="AI2" s="207"/>
      <c r="AJ2" s="207"/>
      <c r="AK2" s="207"/>
      <c r="AL2" s="207"/>
      <c r="AM2" s="207"/>
      <c r="AN2" s="207"/>
      <c r="AO2" s="207"/>
      <c r="AP2" s="207"/>
    </row>
    <row r="3">
      <c r="A3" s="172" t="s">
        <v>2</v>
      </c>
      <c r="B3" s="173" t="s">
        <v>203</v>
      </c>
      <c r="C3" s="174" t="s">
        <v>316</v>
      </c>
      <c r="D3" s="175" t="s">
        <v>317</v>
      </c>
      <c r="E3" s="175" t="s">
        <v>318</v>
      </c>
      <c r="F3" s="175" t="s">
        <v>5</v>
      </c>
      <c r="G3" s="175" t="s">
        <v>319</v>
      </c>
      <c r="H3" s="176" t="s">
        <v>7</v>
      </c>
      <c r="I3" s="176" t="s">
        <v>204</v>
      </c>
      <c r="J3" s="176" t="s">
        <v>205</v>
      </c>
      <c r="K3" s="177" t="s">
        <v>6</v>
      </c>
      <c r="L3" s="178" t="s">
        <v>320</v>
      </c>
      <c r="M3" s="179" t="s">
        <v>321</v>
      </c>
      <c r="N3" s="215"/>
      <c r="O3" s="180" t="s">
        <v>323</v>
      </c>
      <c r="P3" s="180" t="s">
        <v>324</v>
      </c>
      <c r="Q3" s="180" t="s">
        <v>325</v>
      </c>
      <c r="R3" s="180" t="s">
        <v>326</v>
      </c>
      <c r="S3" s="181" t="s">
        <v>327</v>
      </c>
      <c r="T3" s="182" t="s">
        <v>328</v>
      </c>
      <c r="U3" s="183" t="s">
        <v>329</v>
      </c>
      <c r="V3" s="207"/>
      <c r="W3" s="207"/>
      <c r="X3" s="207"/>
      <c r="Y3" s="207"/>
      <c r="Z3" s="207"/>
      <c r="AA3" s="207"/>
      <c r="AB3" s="207"/>
      <c r="AC3" s="207"/>
      <c r="AD3" s="207"/>
      <c r="AE3" s="207"/>
      <c r="AF3" s="207"/>
      <c r="AG3" s="207"/>
      <c r="AH3" s="207"/>
      <c r="AI3" s="207"/>
      <c r="AJ3" s="207"/>
      <c r="AK3" s="207"/>
      <c r="AL3" s="207"/>
      <c r="AM3" s="207"/>
      <c r="AN3" s="207"/>
      <c r="AO3" s="207"/>
      <c r="AP3" s="207"/>
    </row>
    <row r="4" ht="15.75" customHeight="1">
      <c r="A4" s="184" t="s">
        <v>87</v>
      </c>
      <c r="B4" s="185" t="str">
        <f>VLOOKUP(A4,Jobmatch!A:G,2,0)</f>
        <v>AUXILIAR DE ATENDIMENTO II</v>
      </c>
      <c r="C4" s="186">
        <f>IFERROR(AVERAGEIF('Folha de Pagamento'!A:A,A4,'Folha de Pagamento'!J:J),"")</f>
        <v>2560</v>
      </c>
      <c r="D4" s="187">
        <v>1.0</v>
      </c>
      <c r="E4" s="185" t="str">
        <f>VLOOKUP(A4,Jobmatch!A:H,3,0)</f>
        <v>Recepção</v>
      </c>
      <c r="F4" s="188" t="s">
        <v>366</v>
      </c>
      <c r="G4" s="190" t="str">
        <f>VLOOKUP(A4,Jobmatch!A:I,4,0)</f>
        <v>29 - ADM PROJETOS</v>
      </c>
      <c r="H4" s="191" t="str">
        <f>VLOOKUP(A4,Jobmatch!A:I,5,0)</f>
        <v>Operacional</v>
      </c>
      <c r="I4" s="192">
        <f>VLOOKUP(A4,Jobmatch!A:I,6,0)</f>
        <v>318</v>
      </c>
      <c r="J4" s="190" t="str">
        <f>VLOOKUP(A4,Jobmatch!A:I,7,0)</f>
        <v>Auxiliar de Atendimento</v>
      </c>
      <c r="K4" s="193" t="str">
        <f>VLOOKUP(A4,Jobmatch!A:I,8,0)</f>
        <v>Indiferente</v>
      </c>
      <c r="L4" s="194" t="str">
        <f t="shared" ref="L4:L47" si="2">I4&amp;K4</f>
        <v>318Indiferente</v>
      </c>
      <c r="M4" s="195">
        <f>COUNTIF('Folha de Pagamento'!A:A,A4)</f>
        <v>1</v>
      </c>
      <c r="N4" s="238">
        <v>11.0</v>
      </c>
      <c r="O4" s="196">
        <f>IFERROR(VLOOKUP(L4,'C-01'!$D:$L,5,0),"")</f>
        <v>1778.55</v>
      </c>
      <c r="P4" s="196">
        <f>IFERROR(VLOOKUP(L4,'C-01'!$D:$L,6,0),"")</f>
        <v>2041.06</v>
      </c>
      <c r="Q4" s="196">
        <f>IFERROR(VLOOKUP(L4,'C-01'!$D:$L,7,0),"")</f>
        <v>2052.94</v>
      </c>
      <c r="R4" s="196">
        <f>IFERROR(VLOOKUP(L4,'C-01'!$D:$L,8,0),"")</f>
        <v>2169.15</v>
      </c>
      <c r="S4" s="197">
        <f>IFERROR(VLOOKUP(L4,'C-01'!$D:$L,9,0),"")</f>
        <v>2574.08</v>
      </c>
      <c r="T4" s="198">
        <f>IFS('Painel Geral'!$B$5="Mediana",IFERROR(IF(OR(C4="",Q4=0,Q4=""),"",($C4/$Q4)),""),'Painel Geral'!$B$5="Menor Salário",IFERROR(IF(OR(C4="",Q4=0,Q4=""),"",($C4/$N4)),""),'Painel Geral'!$B$5="1º Quartil",IFERROR(IF(OR(C4="",Q4=0,Q4=""),"",($C4/$O4)),""), 'Painel Geral'!$B$5="Média",IFERROR(IF(OR(C4="",Q4=0,Q4=""),"",($C4/$P4)),""),'Painel Geral'!$B$5="3º Quartil",IFERROR(IF(OR(C4="",Q4=0,Q4=""),"",($C4/$R4)),""),'Painel Geral'!$B$5="Maior Salário",IFERROR(IF(OR(C4="",Q4=0,Q4=""),"",($C4/$S4)),""))</f>
        <v>1.246992119</v>
      </c>
      <c r="U4" s="199" t="str">
        <f t="shared" ref="U4:U47" si="3">IFS(OR(N4="",N4=0,C4="", C4=0),"",T4&lt;=80%,"Muito Defasado",T4&lt;=90%,"Defasado",T4&lt;=100%,"Na Média",T4&lt;=110%,"Competitivo",T4&lt;=120%,"Muito Competitivo",T4&gt;120%,"Agressivo")</f>
        <v>Agressivo</v>
      </c>
      <c r="V4" s="241">
        <f>Q4</f>
        <v>2052.94</v>
      </c>
      <c r="W4" s="201">
        <f t="shared" ref="W4:AL4" si="1">V4*1.2</f>
        <v>2463.528</v>
      </c>
      <c r="X4" s="201">
        <f t="shared" si="1"/>
        <v>2956.2336</v>
      </c>
      <c r="Y4" s="201">
        <f t="shared" si="1"/>
        <v>3547.48032</v>
      </c>
      <c r="Z4" s="201">
        <f t="shared" si="1"/>
        <v>4256.976384</v>
      </c>
      <c r="AA4" s="201">
        <f t="shared" si="1"/>
        <v>5108.371661</v>
      </c>
      <c r="AB4" s="201">
        <f t="shared" si="1"/>
        <v>6130.045993</v>
      </c>
      <c r="AC4" s="201">
        <f t="shared" si="1"/>
        <v>7356.055192</v>
      </c>
      <c r="AD4" s="201">
        <f t="shared" si="1"/>
        <v>8827.26623</v>
      </c>
      <c r="AE4" s="201">
        <f t="shared" si="1"/>
        <v>10592.71948</v>
      </c>
      <c r="AF4" s="201">
        <f t="shared" si="1"/>
        <v>12711.26337</v>
      </c>
      <c r="AG4" s="201">
        <f t="shared" si="1"/>
        <v>15253.51605</v>
      </c>
      <c r="AH4" s="201">
        <f t="shared" si="1"/>
        <v>18304.21925</v>
      </c>
      <c r="AI4" s="201">
        <f t="shared" si="1"/>
        <v>21965.06311</v>
      </c>
      <c r="AJ4" s="201">
        <f t="shared" si="1"/>
        <v>26358.07573</v>
      </c>
      <c r="AK4" s="201">
        <f t="shared" si="1"/>
        <v>31629.69087</v>
      </c>
      <c r="AL4" s="201">
        <f t="shared" si="1"/>
        <v>37955.62905</v>
      </c>
      <c r="AM4" s="201"/>
      <c r="AN4" s="201"/>
      <c r="AO4" s="201"/>
      <c r="AP4" s="201"/>
    </row>
    <row r="5" ht="15.75" customHeight="1">
      <c r="A5" s="184" t="s">
        <v>83</v>
      </c>
      <c r="B5" s="185" t="str">
        <f>VLOOKUP(A5,Jobmatch!A:G,2,0)</f>
        <v>AUXILIAR ADMINISTRATIVO</v>
      </c>
      <c r="C5" s="186">
        <f>IFERROR(AVERAGEIF('Folha de Pagamento'!A:A,A5,'Folha de Pagamento'!J:J),"")</f>
        <v>2254</v>
      </c>
      <c r="D5" s="187">
        <v>1.0</v>
      </c>
      <c r="E5" s="185" t="str">
        <f>VLOOKUP(A5,Jobmatch!A:H,3,0)</f>
        <v>Administrativo</v>
      </c>
      <c r="F5" s="188" t="s">
        <v>252</v>
      </c>
      <c r="G5" s="190" t="str">
        <f>VLOOKUP(A5,Jobmatch!A:I,4,0)</f>
        <v>27 - ADM PROJETOS</v>
      </c>
      <c r="H5" s="191" t="str">
        <f>VLOOKUP(A5,Jobmatch!A:I,5,0)</f>
        <v>Operacional</v>
      </c>
      <c r="I5" s="192">
        <f>VLOOKUP(A5,Jobmatch!A:I,6,0)</f>
        <v>83</v>
      </c>
      <c r="J5" s="190" t="str">
        <f>VLOOKUP(A5,Jobmatch!A:I,7,0)</f>
        <v>Auxiliar Administrativo</v>
      </c>
      <c r="K5" s="193" t="str">
        <f>VLOOKUP(A5,Jobmatch!A:I,8,0)</f>
        <v>Indiferente</v>
      </c>
      <c r="L5" s="194" t="str">
        <f t="shared" si="2"/>
        <v>83Indiferente</v>
      </c>
      <c r="M5" s="195">
        <f>COUNTIF('Folha de Pagamento'!A:A,A5)</f>
        <v>1</v>
      </c>
      <c r="N5" s="238">
        <v>11.0</v>
      </c>
      <c r="O5" s="196">
        <f>IFERROR(VLOOKUP(L5,'C-01'!$D:$L,5,0),"")</f>
        <v>2128.74</v>
      </c>
      <c r="P5" s="196">
        <f>IFERROR(VLOOKUP(L5,'C-01'!$D:$L,6,0),"")</f>
        <v>2292.87</v>
      </c>
      <c r="Q5" s="196">
        <f>IFERROR(VLOOKUP(L5,'C-01'!$D:$L,7,0),"")</f>
        <v>2309.71</v>
      </c>
      <c r="R5" s="196">
        <f>IFERROR(VLOOKUP(L5,'C-01'!$D:$L,8,0),"")</f>
        <v>2375.14</v>
      </c>
      <c r="S5" s="197">
        <f>IFERROR(VLOOKUP(L5,'C-01'!$D:$L,9,0),"")</f>
        <v>3073.32</v>
      </c>
      <c r="T5" s="198">
        <f>IFS('Painel Geral'!$B$5="Mediana",IFERROR(IF(OR(C5="",Q5=0,Q5=""),"",($C5/$Q5)),""),'Painel Geral'!$B$5="Menor Salário",IFERROR(IF(OR(C5="",Q5=0,Q5=""),"",($C5/$N5)),""),'Painel Geral'!$B$5="1º Quartil",IFERROR(IF(OR(C5="",Q5=0,Q5=""),"",($C5/$O5)),""), 'Painel Geral'!$B$5="Média",IFERROR(IF(OR(C5="",Q5=0,Q5=""),"",($C5/$P5)),""),'Painel Geral'!$B$5="3º Quartil",IFERROR(IF(OR(C5="",Q5=0,Q5=""),"",($C5/$R5)),""),'Painel Geral'!$B$5="Maior Salário",IFERROR(IF(OR(C5="",Q5=0,Q5=""),"",($C5/$S5)),""))</f>
        <v>0.9758800888</v>
      </c>
      <c r="U5" s="199" t="str">
        <f t="shared" si="3"/>
        <v>Na Média</v>
      </c>
      <c r="V5" s="205">
        <v>10.0</v>
      </c>
      <c r="W5" s="205">
        <v>11.0</v>
      </c>
      <c r="X5" s="205">
        <v>12.0</v>
      </c>
      <c r="Y5" s="205">
        <v>13.0</v>
      </c>
      <c r="Z5" s="205">
        <v>14.0</v>
      </c>
      <c r="AA5" s="205">
        <v>15.0</v>
      </c>
      <c r="AB5" s="205">
        <v>16.0</v>
      </c>
      <c r="AC5" s="205">
        <v>17.0</v>
      </c>
      <c r="AD5" s="205">
        <v>18.0</v>
      </c>
      <c r="AE5" s="205">
        <v>19.0</v>
      </c>
      <c r="AF5" s="205">
        <v>20.0</v>
      </c>
      <c r="AG5" s="205">
        <v>21.0</v>
      </c>
      <c r="AH5" s="205">
        <v>22.0</v>
      </c>
      <c r="AI5" s="205">
        <v>23.0</v>
      </c>
      <c r="AJ5" s="205">
        <v>24.0</v>
      </c>
      <c r="AK5" s="205">
        <v>25.0</v>
      </c>
      <c r="AL5" s="205">
        <v>26.0</v>
      </c>
      <c r="AM5" s="201"/>
      <c r="AN5" s="201"/>
      <c r="AO5" s="201"/>
      <c r="AP5" s="201"/>
    </row>
    <row r="6" ht="15.75" customHeight="1">
      <c r="A6" s="184" t="s">
        <v>85</v>
      </c>
      <c r="B6" s="185" t="str">
        <f>VLOOKUP(A6,Jobmatch!A:G,2,0)</f>
        <v>AUXILIAR ADMINISTRATIVO III</v>
      </c>
      <c r="C6" s="186">
        <f>IFERROR(AVERAGEIF('Folha de Pagamento'!A:A,A6,'Folha de Pagamento'!J:J),"")</f>
        <v>2739.04</v>
      </c>
      <c r="D6" s="187">
        <v>1.0</v>
      </c>
      <c r="E6" s="185" t="str">
        <f>VLOOKUP(A6,Jobmatch!A:H,3,0)</f>
        <v>Administrativo</v>
      </c>
      <c r="F6" s="188" t="s">
        <v>252</v>
      </c>
      <c r="G6" s="190" t="str">
        <f>VLOOKUP(A6,Jobmatch!A:I,4,0)</f>
        <v>28 - ADM PROJETOS</v>
      </c>
      <c r="H6" s="191" t="str">
        <f>VLOOKUP(A6,Jobmatch!A:I,5,0)</f>
        <v>Operacional</v>
      </c>
      <c r="I6" s="192">
        <f>VLOOKUP(A6,Jobmatch!A:I,6,0)</f>
        <v>83</v>
      </c>
      <c r="J6" s="190" t="str">
        <f>VLOOKUP(A6,Jobmatch!A:I,7,0)</f>
        <v>Auxiliar Administrativo</v>
      </c>
      <c r="K6" s="193" t="str">
        <f>VLOOKUP(A6,Jobmatch!A:I,8,0)</f>
        <v>Indiferente</v>
      </c>
      <c r="L6" s="194" t="str">
        <f t="shared" si="2"/>
        <v>83Indiferente</v>
      </c>
      <c r="M6" s="195">
        <f>COUNTIF('Folha de Pagamento'!A:A,A6)</f>
        <v>1</v>
      </c>
      <c r="N6" s="238">
        <v>11.0</v>
      </c>
      <c r="O6" s="196">
        <f>IFERROR(VLOOKUP(L6,'C-01'!$D:$L,5,0),"")</f>
        <v>2128.74</v>
      </c>
      <c r="P6" s="196">
        <f>IFERROR(VLOOKUP(L6,'C-01'!$D:$L,6,0),"")</f>
        <v>2292.87</v>
      </c>
      <c r="Q6" s="196">
        <f>IFERROR(VLOOKUP(L6,'C-01'!$D:$L,7,0),"")</f>
        <v>2309.71</v>
      </c>
      <c r="R6" s="196">
        <f>IFERROR(VLOOKUP(L6,'C-01'!$D:$L,8,0),"")</f>
        <v>2375.14</v>
      </c>
      <c r="S6" s="197">
        <f>IFERROR(VLOOKUP(L6,'C-01'!$D:$L,9,0),"")</f>
        <v>3073.32</v>
      </c>
      <c r="T6" s="198">
        <f>IFS('Painel Geral'!$B$5="Mediana",IFERROR(IF(OR(C6="",Q6=0,Q6=""),"",($C6/$Q6)),""),'Painel Geral'!$B$5="Menor Salário",IFERROR(IF(OR(C6="",Q6=0,Q6=""),"",($C6/$N6)),""),'Painel Geral'!$B$5="1º Quartil",IFERROR(IF(OR(C6="",Q6=0,Q6=""),"",($C6/$O6)),""), 'Painel Geral'!$B$5="Média",IFERROR(IF(OR(C6="",Q6=0,Q6=""),"",($C6/$P6)),""),'Painel Geral'!$B$5="3º Quartil",IFERROR(IF(OR(C6="",Q6=0,Q6=""),"",($C6/$R6)),""),'Painel Geral'!$B$5="Maior Salário",IFERROR(IF(OR(C6="",Q6=0,Q6=""),"",($C6/$S6)),""))</f>
        <v>1.185880479</v>
      </c>
      <c r="U6" s="199" t="str">
        <f t="shared" si="3"/>
        <v>Muito Competitivo</v>
      </c>
      <c r="V6" s="201"/>
      <c r="W6" s="201"/>
      <c r="X6" s="201"/>
      <c r="Y6" s="201"/>
      <c r="Z6" s="201"/>
      <c r="AA6" s="201"/>
      <c r="AB6" s="201"/>
      <c r="AC6" s="201"/>
      <c r="AD6" s="201"/>
      <c r="AE6" s="201"/>
      <c r="AF6" s="201"/>
      <c r="AG6" s="201"/>
      <c r="AH6" s="201"/>
      <c r="AI6" s="201"/>
      <c r="AJ6" s="201"/>
      <c r="AK6" s="201"/>
      <c r="AL6" s="201"/>
      <c r="AM6" s="201"/>
      <c r="AN6" s="201"/>
      <c r="AO6" s="201"/>
      <c r="AP6" s="201"/>
    </row>
    <row r="7" ht="15.75" customHeight="1">
      <c r="A7" s="184" t="s">
        <v>77</v>
      </c>
      <c r="B7" s="185" t="str">
        <f>VLOOKUP(A7,Jobmatch!A:G,2,0)</f>
        <v>ASSISTENTE DE TI</v>
      </c>
      <c r="C7" s="186">
        <f>IFERROR(AVERAGEIF('Folha de Pagamento'!A:A,A7,'Folha de Pagamento'!J:J),"")</f>
        <v>2919</v>
      </c>
      <c r="D7" s="187">
        <v>1.0</v>
      </c>
      <c r="E7" s="185" t="str">
        <f>VLOOKUP(A7,Jobmatch!A:H,3,0)</f>
        <v>Tecnologia da Informação</v>
      </c>
      <c r="F7" s="188" t="s">
        <v>369</v>
      </c>
      <c r="G7" s="190" t="str">
        <f>VLOOKUP(A7,Jobmatch!A:I,4,0)</f>
        <v>25 - ADM PROJETOS</v>
      </c>
      <c r="H7" s="191" t="str">
        <f>VLOOKUP(A7,Jobmatch!A:I,5,0)</f>
        <v>Operacional</v>
      </c>
      <c r="I7" s="192">
        <f>VLOOKUP(A7,Jobmatch!A:I,6,0)</f>
        <v>31</v>
      </c>
      <c r="J7" s="190" t="str">
        <f>VLOOKUP(A7,Jobmatch!A:I,7,0)</f>
        <v>Assistente de Tecnologia da Informação</v>
      </c>
      <c r="K7" s="193" t="str">
        <f>VLOOKUP(A7,Jobmatch!A:I,8,0)</f>
        <v>Indiferente</v>
      </c>
      <c r="L7" s="194" t="str">
        <f t="shared" si="2"/>
        <v>31Indiferente</v>
      </c>
      <c r="M7" s="195">
        <f>COUNTIF('Folha de Pagamento'!A:A,A7)</f>
        <v>2</v>
      </c>
      <c r="N7" s="238">
        <v>11.0</v>
      </c>
      <c r="O7" s="196">
        <f>IFERROR(VLOOKUP(L7,'C-01'!$D:$L,5,0),"")</f>
        <v>2066.4</v>
      </c>
      <c r="P7" s="196">
        <f>IFERROR(VLOOKUP(L7,'C-01'!$D:$L,6,0),"")</f>
        <v>2589.89</v>
      </c>
      <c r="Q7" s="196">
        <f>IFERROR(VLOOKUP(L7,'C-01'!$D:$L,7,0),"")</f>
        <v>2413.7</v>
      </c>
      <c r="R7" s="196">
        <f>IFERROR(VLOOKUP(L7,'C-01'!$D:$L,8,0),"")</f>
        <v>3121.21</v>
      </c>
      <c r="S7" s="197">
        <f>IFERROR(VLOOKUP(L7,'C-01'!$D:$L,9,0),"")</f>
        <v>3521.6</v>
      </c>
      <c r="T7" s="198">
        <f>IFS('Painel Geral'!$B$5="Mediana",IFERROR(IF(OR(C7="",Q7=0,Q7=""),"",($C7/$Q7)),""),'Painel Geral'!$B$5="Menor Salário",IFERROR(IF(OR(C7="",Q7=0,Q7=""),"",($C7/$N7)),""),'Painel Geral'!$B$5="1º Quartil",IFERROR(IF(OR(C7="",Q7=0,Q7=""),"",($C7/$O7)),""), 'Painel Geral'!$B$5="Média",IFERROR(IF(OR(C7="",Q7=0,Q7=""),"",($C7/$P7)),""),'Painel Geral'!$B$5="3º Quartil",IFERROR(IF(OR(C7="",Q7=0,Q7=""),"",($C7/$R7)),""),'Painel Geral'!$B$5="Maior Salário",IFERROR(IF(OR(C7="",Q7=0,Q7=""),"",($C7/$S7)),""))</f>
        <v>1.209346646</v>
      </c>
      <c r="U7" s="199" t="str">
        <f t="shared" si="3"/>
        <v>Agressivo</v>
      </c>
      <c r="V7" s="201"/>
      <c r="W7" s="201"/>
      <c r="X7" s="201"/>
      <c r="Y7" s="201"/>
      <c r="Z7" s="201"/>
      <c r="AA7" s="201"/>
      <c r="AB7" s="201"/>
      <c r="AC7" s="201"/>
      <c r="AD7" s="201"/>
      <c r="AE7" s="201"/>
      <c r="AF7" s="201"/>
      <c r="AG7" s="201"/>
      <c r="AH7" s="201"/>
      <c r="AI7" s="201"/>
      <c r="AJ7" s="201"/>
      <c r="AK7" s="201"/>
      <c r="AL7" s="201"/>
      <c r="AM7" s="201"/>
      <c r="AN7" s="201"/>
      <c r="AO7" s="201"/>
      <c r="AP7" s="201"/>
    </row>
    <row r="8" ht="15.75" customHeight="1">
      <c r="A8" s="184" t="s">
        <v>64</v>
      </c>
      <c r="B8" s="185" t="str">
        <f>VLOOKUP(A8,Jobmatch!A:G,2,0)</f>
        <v>ASSISTENTE ADMINISTRATIVO lll</v>
      </c>
      <c r="C8" s="186">
        <f>IFERROR(AVERAGEIF('Folha de Pagamento'!A:A,A8,'Folha de Pagamento'!J:J),"")</f>
        <v>3439.7</v>
      </c>
      <c r="D8" s="187">
        <v>1.0</v>
      </c>
      <c r="E8" s="185" t="str">
        <f>VLOOKUP(A8,Jobmatch!A:H,3,0)</f>
        <v>Administrativo</v>
      </c>
      <c r="F8" s="188" t="s">
        <v>238</v>
      </c>
      <c r="G8" s="190" t="str">
        <f>VLOOKUP(A8,Jobmatch!A:I,4,0)</f>
        <v>20 - ADM PROJETOS</v>
      </c>
      <c r="H8" s="191" t="str">
        <f>VLOOKUP(A8,Jobmatch!A:I,5,0)</f>
        <v>Operacional</v>
      </c>
      <c r="I8" s="192">
        <f>VLOOKUP(A8,Jobmatch!A:I,6,0)</f>
        <v>59</v>
      </c>
      <c r="J8" s="190" t="str">
        <f>VLOOKUP(A8,Jobmatch!A:I,7,0)</f>
        <v>Assistente Administrativo</v>
      </c>
      <c r="K8" s="193" t="str">
        <f>VLOOKUP(A8,Jobmatch!A:I,8,0)</f>
        <v>Indiferente</v>
      </c>
      <c r="L8" s="194" t="str">
        <f t="shared" si="2"/>
        <v>59Indiferente</v>
      </c>
      <c r="M8" s="195">
        <f>COUNTIF('Folha de Pagamento'!A:A,A8)</f>
        <v>1</v>
      </c>
      <c r="N8" s="238">
        <v>12.0</v>
      </c>
      <c r="O8" s="196">
        <f>IFERROR(VLOOKUP(L8,'C-01'!$D:$L,5,0),"")</f>
        <v>2329.53</v>
      </c>
      <c r="P8" s="196">
        <f>IFERROR(VLOOKUP(L8,'C-01'!$D:$L,6,0),"")</f>
        <v>2673.92</v>
      </c>
      <c r="Q8" s="196">
        <f>IFERROR(VLOOKUP(L8,'C-01'!$D:$L,7,0),"")</f>
        <v>2630.61</v>
      </c>
      <c r="R8" s="196">
        <f>IFERROR(VLOOKUP(L8,'C-01'!$D:$L,8,0),"")</f>
        <v>2914.75</v>
      </c>
      <c r="S8" s="197">
        <f>IFERROR(VLOOKUP(L8,'C-01'!$D:$L,9,0),"")</f>
        <v>3662.52</v>
      </c>
      <c r="T8" s="198">
        <f>IFS('Painel Geral'!$B$5="Mediana",IFERROR(IF(OR(C8="",Q8=0,Q8=""),"",($C8/$Q8)),""),'Painel Geral'!$B$5="Menor Salário",IFERROR(IF(OR(C8="",Q8=0,Q8=""),"",($C8/$N8)),""),'Painel Geral'!$B$5="1º Quartil",IFERROR(IF(OR(C8="",Q8=0,Q8=""),"",($C8/$O8)),""), 'Painel Geral'!$B$5="Média",IFERROR(IF(OR(C8="",Q8=0,Q8=""),"",($C8/$P8)),""),'Painel Geral'!$B$5="3º Quartil",IFERROR(IF(OR(C8="",Q8=0,Q8=""),"",($C8/$R8)),""),'Painel Geral'!$B$5="Maior Salário",IFERROR(IF(OR(C8="",Q8=0,Q8=""),"",($C8/$S8)),""))</f>
        <v>1.307567446</v>
      </c>
      <c r="U8" s="199" t="str">
        <f t="shared" si="3"/>
        <v>Agressivo</v>
      </c>
      <c r="V8" s="201"/>
      <c r="W8" s="201"/>
      <c r="X8" s="201"/>
      <c r="Y8" s="201"/>
      <c r="Z8" s="201"/>
      <c r="AA8" s="201"/>
      <c r="AB8" s="201"/>
      <c r="AC8" s="201"/>
      <c r="AD8" s="201"/>
      <c r="AE8" s="201"/>
      <c r="AF8" s="201"/>
      <c r="AG8" s="201"/>
      <c r="AH8" s="201"/>
      <c r="AI8" s="201"/>
      <c r="AJ8" s="201"/>
      <c r="AK8" s="201"/>
      <c r="AL8" s="201"/>
      <c r="AM8" s="201"/>
      <c r="AN8" s="201"/>
      <c r="AO8" s="201"/>
      <c r="AP8" s="201"/>
    </row>
    <row r="9" ht="15.75" customHeight="1">
      <c r="A9" s="184" t="s">
        <v>80</v>
      </c>
      <c r="B9" s="185" t="str">
        <f>VLOOKUP(A9,Jobmatch!A:G,2,0)</f>
        <v>ASSISTENTE FINANCEIRO CONTAS A PAGAR</v>
      </c>
      <c r="C9" s="186">
        <f>IFERROR(AVERAGEIF('Folha de Pagamento'!A:A,A9,'Folha de Pagamento'!J:J),"")</f>
        <v>3163.333333</v>
      </c>
      <c r="D9" s="187">
        <v>6.0</v>
      </c>
      <c r="E9" s="185" t="str">
        <f>VLOOKUP(A9,Jobmatch!A:H,3,0)</f>
        <v>Financeiro</v>
      </c>
      <c r="F9" s="188" t="s">
        <v>354</v>
      </c>
      <c r="G9" s="190" t="str">
        <f>VLOOKUP(A9,Jobmatch!A:I,4,0)</f>
        <v>26 - ADM PROJETOS</v>
      </c>
      <c r="H9" s="191" t="str">
        <f>VLOOKUP(A9,Jobmatch!A:I,5,0)</f>
        <v>Operacional</v>
      </c>
      <c r="I9" s="192">
        <f>VLOOKUP(A9,Jobmatch!A:I,6,0)</f>
        <v>79</v>
      </c>
      <c r="J9" s="190" t="str">
        <f>VLOOKUP(A9,Jobmatch!A:I,7,0)</f>
        <v>Assistente Financeiro</v>
      </c>
      <c r="K9" s="193" t="str">
        <f>VLOOKUP(A9,Jobmatch!A:I,8,0)</f>
        <v>Indiferente</v>
      </c>
      <c r="L9" s="194" t="str">
        <f t="shared" si="2"/>
        <v>79Indiferente</v>
      </c>
      <c r="M9" s="195">
        <f>COUNTIF('Folha de Pagamento'!A:A,A9)</f>
        <v>3</v>
      </c>
      <c r="N9" s="238">
        <v>12.0</v>
      </c>
      <c r="O9" s="196">
        <f>IFERROR(VLOOKUP(L9,'C-01'!$D:$L,5,0),"")</f>
        <v>2560.05</v>
      </c>
      <c r="P9" s="196">
        <f>IFERROR(VLOOKUP(L9,'C-01'!$D:$L,6,0),"")</f>
        <v>2799.02</v>
      </c>
      <c r="Q9" s="196">
        <f>IFERROR(VLOOKUP(L9,'C-01'!$D:$L,7,0),"")</f>
        <v>2658.89</v>
      </c>
      <c r="R9" s="196">
        <f>IFERROR(VLOOKUP(L9,'C-01'!$D:$L,8,0),"")</f>
        <v>2935.06</v>
      </c>
      <c r="S9" s="197">
        <f>IFERROR(VLOOKUP(L9,'C-01'!$D:$L,9,0),"")</f>
        <v>3630.87</v>
      </c>
      <c r="T9" s="198">
        <f>IFS('Painel Geral'!$B$5="Mediana",IFERROR(IF(OR(C9="",Q9=0,Q9=""),"",($C9/$Q9)),""),'Painel Geral'!$B$5="Menor Salário",IFERROR(IF(OR(C9="",Q9=0,Q9=""),"",($C9/$N9)),""),'Painel Geral'!$B$5="1º Quartil",IFERROR(IF(OR(C9="",Q9=0,Q9=""),"",($C9/$O9)),""), 'Painel Geral'!$B$5="Média",IFERROR(IF(OR(C9="",Q9=0,Q9=""),"",($C9/$P9)),""),'Painel Geral'!$B$5="3º Quartil",IFERROR(IF(OR(C9="",Q9=0,Q9=""),"",($C9/$R9)),""),'Painel Geral'!$B$5="Maior Salário",IFERROR(IF(OR(C9="",Q9=0,Q9=""),"",($C9/$S9)),""))</f>
        <v>1.18971952</v>
      </c>
      <c r="U9" s="199" t="str">
        <f t="shared" si="3"/>
        <v>Muito Competitivo</v>
      </c>
      <c r="V9" s="201"/>
      <c r="W9" s="201"/>
      <c r="X9" s="201"/>
      <c r="Y9" s="201"/>
      <c r="Z9" s="201"/>
      <c r="AA9" s="201"/>
      <c r="AB9" s="201"/>
      <c r="AC9" s="201"/>
      <c r="AD9" s="201"/>
      <c r="AE9" s="201"/>
      <c r="AF9" s="201"/>
      <c r="AG9" s="201"/>
      <c r="AH9" s="201"/>
      <c r="AI9" s="201"/>
      <c r="AJ9" s="201"/>
      <c r="AK9" s="201"/>
      <c r="AL9" s="201"/>
      <c r="AM9" s="201"/>
      <c r="AN9" s="201"/>
      <c r="AO9" s="201"/>
      <c r="AP9" s="201"/>
    </row>
    <row r="10" ht="15.75" customHeight="1">
      <c r="A10" s="184" t="s">
        <v>90</v>
      </c>
      <c r="B10" s="185" t="str">
        <f>VLOOKUP(A10,Jobmatch!A:G,2,0)</f>
        <v>AUXILIAR DE ENGENHARIA</v>
      </c>
      <c r="C10" s="186">
        <f>IFERROR(AVERAGEIF('Folha de Pagamento'!A:A,A10,'Folha de Pagamento'!J:J),"")</f>
        <v>2560</v>
      </c>
      <c r="D10" s="187">
        <v>10.0</v>
      </c>
      <c r="E10" s="185" t="str">
        <f>VLOOKUP(A10,Jobmatch!A:H,3,0)</f>
        <v>Urbanismo</v>
      </c>
      <c r="F10" s="188" t="s">
        <v>371</v>
      </c>
      <c r="G10" s="190" t="str">
        <f>VLOOKUP(A10,Jobmatch!A:I,4,0)</f>
        <v>30 - ADM PROJETOS</v>
      </c>
      <c r="H10" s="191" t="str">
        <f>VLOOKUP(A10,Jobmatch!A:I,5,0)</f>
        <v>Operacional</v>
      </c>
      <c r="I10" s="192">
        <f>VLOOKUP(A10,Jobmatch!A:I,6,0)</f>
        <v>207</v>
      </c>
      <c r="J10" s="190" t="str">
        <f>VLOOKUP(A10,Jobmatch!A:I,7,0)</f>
        <v>Auxiliar de Engenharia</v>
      </c>
      <c r="K10" s="193" t="str">
        <f>VLOOKUP(A10,Jobmatch!A:I,8,0)</f>
        <v>Indiferente</v>
      </c>
      <c r="L10" s="194" t="str">
        <f t="shared" si="2"/>
        <v>207Indiferente</v>
      </c>
      <c r="M10" s="195">
        <f>COUNTIF('Folha de Pagamento'!A:A,A10)</f>
        <v>1</v>
      </c>
      <c r="N10" s="238">
        <v>12.0</v>
      </c>
      <c r="O10" s="196">
        <f>IFERROR(VLOOKUP(L10,'C-01'!$D:$L,5,0),"")</f>
        <v>2644.47</v>
      </c>
      <c r="P10" s="196">
        <f>IFERROR(VLOOKUP(L10,'C-01'!$D:$L,6,0),"")</f>
        <v>2819.08</v>
      </c>
      <c r="Q10" s="196">
        <f>IFERROR(VLOOKUP(L10,'C-01'!$D:$L,7,0),"")</f>
        <v>2714.85</v>
      </c>
      <c r="R10" s="196">
        <f>IFERROR(VLOOKUP(L10,'C-01'!$D:$L,8,0),"")</f>
        <v>2941.58</v>
      </c>
      <c r="S10" s="197">
        <f>IFERROR(VLOOKUP(L10,'C-01'!$D:$L,9,0),"")</f>
        <v>3168.31</v>
      </c>
      <c r="T10" s="198">
        <f>IFS('Painel Geral'!$B$5="Mediana",IFERROR(IF(OR(C10="",Q10=0,Q10=""),"",($C10/$Q10)),""),'Painel Geral'!$B$5="Menor Salário",IFERROR(IF(OR(C10="",Q10=0,Q10=""),"",($C10/$N10)),""),'Painel Geral'!$B$5="1º Quartil",IFERROR(IF(OR(C10="",Q10=0,Q10=""),"",($C10/$O10)),""), 'Painel Geral'!$B$5="Média",IFERROR(IF(OR(C10="",Q10=0,Q10=""),"",($C10/$P10)),""),'Painel Geral'!$B$5="3º Quartil",IFERROR(IF(OR(C10="",Q10=0,Q10=""),"",($C10/$R10)),""),'Painel Geral'!$B$5="Maior Salário",IFERROR(IF(OR(C10="",Q10=0,Q10=""),"",($C10/$S10)),""))</f>
        <v>0.9429618579</v>
      </c>
      <c r="U10" s="199" t="str">
        <f t="shared" si="3"/>
        <v>Na Média</v>
      </c>
      <c r="V10" s="201"/>
      <c r="W10" s="201"/>
      <c r="X10" s="201"/>
      <c r="Y10" s="201"/>
      <c r="Z10" s="201"/>
      <c r="AA10" s="201"/>
      <c r="AB10" s="201"/>
      <c r="AC10" s="201"/>
      <c r="AD10" s="201"/>
      <c r="AE10" s="201"/>
      <c r="AF10" s="201"/>
      <c r="AG10" s="201"/>
      <c r="AH10" s="201"/>
      <c r="AI10" s="201"/>
      <c r="AJ10" s="201"/>
      <c r="AK10" s="201"/>
      <c r="AL10" s="201"/>
      <c r="AM10" s="201"/>
      <c r="AN10" s="201"/>
      <c r="AO10" s="201"/>
      <c r="AP10" s="201"/>
    </row>
    <row r="11" ht="15.75" customHeight="1">
      <c r="A11" s="184" t="s">
        <v>67</v>
      </c>
      <c r="B11" s="185" t="str">
        <f>VLOOKUP(A11,Jobmatch!A:G,2,0)</f>
        <v>ASSISTENTE DE CONTROLADORIA III</v>
      </c>
      <c r="C11" s="186">
        <f>IFERROR(AVERAGEIF('Folha de Pagamento'!A:A,A11,'Folha de Pagamento'!J:J),"")</f>
        <v>3652</v>
      </c>
      <c r="D11" s="187">
        <v>3.0</v>
      </c>
      <c r="E11" s="185" t="str">
        <f>VLOOKUP(A11,Jobmatch!A:H,3,0)</f>
        <v>Controladoria</v>
      </c>
      <c r="F11" s="188" t="s">
        <v>337</v>
      </c>
      <c r="G11" s="190" t="str">
        <f>VLOOKUP(A11,Jobmatch!A:I,4,0)</f>
        <v>21 - ADM PROJETOS</v>
      </c>
      <c r="H11" s="191" t="str">
        <f>VLOOKUP(A11,Jobmatch!A:I,5,0)</f>
        <v>Operacional</v>
      </c>
      <c r="I11" s="192">
        <f>VLOOKUP(A11,Jobmatch!A:I,6,0)</f>
        <v>150</v>
      </c>
      <c r="J11" s="190" t="str">
        <f>VLOOKUP(A11,Jobmatch!A:I,7,0)</f>
        <v>Assistente de Controladoria</v>
      </c>
      <c r="K11" s="193" t="str">
        <f>VLOOKUP(A11,Jobmatch!A:I,8,0)</f>
        <v>Indiferente</v>
      </c>
      <c r="L11" s="194" t="str">
        <f t="shared" si="2"/>
        <v>150Indiferente</v>
      </c>
      <c r="M11" s="195">
        <f>COUNTIF('Folha de Pagamento'!A:A,A11)</f>
        <v>1</v>
      </c>
      <c r="N11" s="238">
        <v>12.0</v>
      </c>
      <c r="O11" s="196">
        <f>IFERROR(VLOOKUP(L11,'C-01'!$D:$L,5,0),"")</f>
        <v>2640.81</v>
      </c>
      <c r="P11" s="196">
        <f>IFERROR(VLOOKUP(L11,'C-01'!$D:$L,6,0),"")</f>
        <v>2821.08</v>
      </c>
      <c r="Q11" s="196">
        <f>IFERROR(VLOOKUP(L11,'C-01'!$D:$L,7,0),"")</f>
        <v>2766.4</v>
      </c>
      <c r="R11" s="196">
        <f>IFERROR(VLOOKUP(L11,'C-01'!$D:$L,8,0),"")</f>
        <v>3222.24</v>
      </c>
      <c r="S11" s="197">
        <f>IFERROR(VLOOKUP(L11,'C-01'!$D:$L,9,0),"")</f>
        <v>3327.42</v>
      </c>
      <c r="T11" s="198">
        <f>IFS('Painel Geral'!$B$5="Mediana",IFERROR(IF(OR(C11="",Q11=0,Q11=""),"",($C11/$Q11)),""),'Painel Geral'!$B$5="Menor Salário",IFERROR(IF(OR(C11="",Q11=0,Q11=""),"",($C11/$N11)),""),'Painel Geral'!$B$5="1º Quartil",IFERROR(IF(OR(C11="",Q11=0,Q11=""),"",($C11/$O11)),""), 'Painel Geral'!$B$5="Média",IFERROR(IF(OR(C11="",Q11=0,Q11=""),"",($C11/$P11)),""),'Painel Geral'!$B$5="3º Quartil",IFERROR(IF(OR(C11="",Q11=0,Q11=""),"",($C11/$R11)),""),'Painel Geral'!$B$5="Maior Salário",IFERROR(IF(OR(C11="",Q11=0,Q11=""),"",($C11/$S11)),""))</f>
        <v>1.320127241</v>
      </c>
      <c r="U11" s="199" t="str">
        <f t="shared" si="3"/>
        <v>Agressivo</v>
      </c>
      <c r="V11" s="201"/>
      <c r="W11" s="201"/>
      <c r="X11" s="201"/>
      <c r="Y11" s="201"/>
      <c r="Z11" s="201"/>
      <c r="AA11" s="201"/>
      <c r="AB11" s="201"/>
      <c r="AC11" s="201"/>
      <c r="AD11" s="201"/>
      <c r="AE11" s="201"/>
      <c r="AF11" s="201"/>
      <c r="AG11" s="201"/>
      <c r="AH11" s="201"/>
      <c r="AI11" s="201"/>
      <c r="AJ11" s="201"/>
      <c r="AK11" s="201"/>
      <c r="AL11" s="201"/>
      <c r="AM11" s="201"/>
      <c r="AN11" s="201"/>
      <c r="AO11" s="201"/>
      <c r="AP11" s="201"/>
    </row>
    <row r="12" ht="15.75" customHeight="1">
      <c r="A12" s="184" t="s">
        <v>72</v>
      </c>
      <c r="B12" s="185" t="str">
        <f>VLOOKUP(A12,Jobmatch!A:G,2,0)</f>
        <v>ASSISTENTE DE MARKETING</v>
      </c>
      <c r="C12" s="186">
        <f>IFERROR(AVERAGEIF('Folha de Pagamento'!A:A,A12,'Folha de Pagamento'!J:J),"")</f>
        <v>2919</v>
      </c>
      <c r="D12" s="187">
        <v>8.0</v>
      </c>
      <c r="E12" s="185" t="str">
        <f>VLOOKUP(A12,Jobmatch!A:H,3,0)</f>
        <v>Marketing</v>
      </c>
      <c r="F12" s="188" t="s">
        <v>362</v>
      </c>
      <c r="G12" s="190" t="str">
        <f>VLOOKUP(A12,Jobmatch!A:I,4,0)</f>
        <v>23 - ADM PROJETOS</v>
      </c>
      <c r="H12" s="191" t="str">
        <f>VLOOKUP(A12,Jobmatch!A:I,5,0)</f>
        <v>Operacional</v>
      </c>
      <c r="I12" s="192">
        <f>VLOOKUP(A12,Jobmatch!A:I,6,0)</f>
        <v>71</v>
      </c>
      <c r="J12" s="190" t="str">
        <f>VLOOKUP(A12,Jobmatch!A:I,7,0)</f>
        <v>Assistente de Marketing</v>
      </c>
      <c r="K12" s="193" t="str">
        <f>VLOOKUP(A12,Jobmatch!A:I,8,0)</f>
        <v>Indiferente</v>
      </c>
      <c r="L12" s="194" t="str">
        <f t="shared" si="2"/>
        <v>71Indiferente</v>
      </c>
      <c r="M12" s="195">
        <f>COUNTIF('Folha de Pagamento'!A:A,A12)</f>
        <v>1</v>
      </c>
      <c r="N12" s="238">
        <v>12.0</v>
      </c>
      <c r="O12" s="196">
        <f>IFERROR(VLOOKUP(L12,'C-01'!$D:$L,5,0),"")</f>
        <v>2720.21</v>
      </c>
      <c r="P12" s="196">
        <f>IFERROR(VLOOKUP(L12,'C-01'!$D:$L,6,0),"")</f>
        <v>3016.74</v>
      </c>
      <c r="Q12" s="196">
        <f>IFERROR(VLOOKUP(L12,'C-01'!$D:$L,7,0),"")</f>
        <v>2882.27</v>
      </c>
      <c r="R12" s="196">
        <f>IFERROR(VLOOKUP(L12,'C-01'!$D:$L,8,0),"")</f>
        <v>3152.81</v>
      </c>
      <c r="S12" s="197">
        <f>IFERROR(VLOOKUP(L12,'C-01'!$D:$L,9,0),"")</f>
        <v>4078.78</v>
      </c>
      <c r="T12" s="198">
        <f>IFS('Painel Geral'!$B$5="Mediana",IFERROR(IF(OR(C12="",Q12=0,Q12=""),"",($C12/$Q12)),""),'Painel Geral'!$B$5="Menor Salário",IFERROR(IF(OR(C12="",Q12=0,Q12=""),"",($C12/$N12)),""),'Painel Geral'!$B$5="1º Quartil",IFERROR(IF(OR(C12="",Q12=0,Q12=""),"",($C12/$O12)),""), 'Painel Geral'!$B$5="Média",IFERROR(IF(OR(C12="",Q12=0,Q12=""),"",($C12/$P12)),""),'Painel Geral'!$B$5="3º Quartil",IFERROR(IF(OR(C12="",Q12=0,Q12=""),"",($C12/$R12)),""),'Painel Geral'!$B$5="Maior Salário",IFERROR(IF(OR(C12="",Q12=0,Q12=""),"",($C12/$S12)),""))</f>
        <v>1.012743428</v>
      </c>
      <c r="U12" s="199" t="str">
        <f t="shared" si="3"/>
        <v>Competitivo</v>
      </c>
      <c r="V12" s="201"/>
      <c r="W12" s="201"/>
      <c r="X12" s="201"/>
      <c r="Y12" s="201"/>
      <c r="Z12" s="201"/>
      <c r="AA12" s="201"/>
      <c r="AB12" s="201"/>
      <c r="AC12" s="201"/>
      <c r="AD12" s="201"/>
      <c r="AE12" s="201"/>
      <c r="AF12" s="201"/>
      <c r="AG12" s="201"/>
      <c r="AH12" s="201"/>
      <c r="AI12" s="201"/>
      <c r="AJ12" s="201"/>
      <c r="AK12" s="201"/>
      <c r="AL12" s="201"/>
      <c r="AM12" s="201"/>
      <c r="AN12" s="201"/>
      <c r="AO12" s="201"/>
      <c r="AP12" s="201"/>
    </row>
    <row r="13" ht="15.75" customHeight="1">
      <c r="A13" s="184" t="s">
        <v>74</v>
      </c>
      <c r="B13" s="185" t="str">
        <f>VLOOKUP(A13,Jobmatch!A:G,2,0)</f>
        <v>ASSISTENTE DE RECURSOS HUMANOS</v>
      </c>
      <c r="C13" s="186">
        <f>IFERROR(AVERAGEIF('Folha de Pagamento'!A:A,A13,'Folha de Pagamento'!J:J),"")</f>
        <v>2919</v>
      </c>
      <c r="D13" s="187">
        <v>4.0</v>
      </c>
      <c r="E13" s="185" t="str">
        <f>VLOOKUP(A13,Jobmatch!A:H,3,0)</f>
        <v>DHO</v>
      </c>
      <c r="F13" s="188" t="s">
        <v>340</v>
      </c>
      <c r="G13" s="190" t="str">
        <f>VLOOKUP(A13,Jobmatch!A:I,4,0)</f>
        <v>24 - ADM PROJETOS</v>
      </c>
      <c r="H13" s="191" t="str">
        <f>VLOOKUP(A13,Jobmatch!A:I,5,0)</f>
        <v>Operacional</v>
      </c>
      <c r="I13" s="192">
        <f>VLOOKUP(A13,Jobmatch!A:I,6,0)</f>
        <v>77</v>
      </c>
      <c r="J13" s="190" t="str">
        <f>VLOOKUP(A13,Jobmatch!A:I,7,0)</f>
        <v>Assistente de Recursos Humanos</v>
      </c>
      <c r="K13" s="193" t="str">
        <f>VLOOKUP(A13,Jobmatch!A:I,8,0)</f>
        <v>Indiferente</v>
      </c>
      <c r="L13" s="194" t="str">
        <f t="shared" si="2"/>
        <v>77Indiferente</v>
      </c>
      <c r="M13" s="195">
        <f>COUNTIF('Folha de Pagamento'!A:A,A13)</f>
        <v>1</v>
      </c>
      <c r="N13" s="238">
        <v>13.0</v>
      </c>
      <c r="O13" s="196">
        <f>IFERROR(VLOOKUP(L13,'C-01'!$D:$L,5,0),"")</f>
        <v>2619.08</v>
      </c>
      <c r="P13" s="196">
        <f>IFERROR(VLOOKUP(L13,'C-01'!$D:$L,6,0),"")</f>
        <v>3097.88</v>
      </c>
      <c r="Q13" s="196">
        <f>IFERROR(VLOOKUP(L13,'C-01'!$D:$L,7,0),"")</f>
        <v>3080.23</v>
      </c>
      <c r="R13" s="196">
        <f>IFERROR(VLOOKUP(L13,'C-01'!$D:$L,8,0),"")</f>
        <v>3491.33</v>
      </c>
      <c r="S13" s="197">
        <f>IFERROR(VLOOKUP(L13,'C-01'!$D:$L,9,0),"")</f>
        <v>4078.78</v>
      </c>
      <c r="T13" s="198">
        <f>IFS('Painel Geral'!$B$5="Mediana",IFERROR(IF(OR(C13="",Q13=0,Q13=""),"",($C13/$Q13)),""),'Painel Geral'!$B$5="Menor Salário",IFERROR(IF(OR(C13="",Q13=0,Q13=""),"",($C13/$N13)),""),'Painel Geral'!$B$5="1º Quartil",IFERROR(IF(OR(C13="",Q13=0,Q13=""),"",($C13/$O13)),""), 'Painel Geral'!$B$5="Média",IFERROR(IF(OR(C13="",Q13=0,Q13=""),"",($C13/$P13)),""),'Painel Geral'!$B$5="3º Quartil",IFERROR(IF(OR(C13="",Q13=0,Q13=""),"",($C13/$R13)),""),'Painel Geral'!$B$5="Maior Salário",IFERROR(IF(OR(C13="",Q13=0,Q13=""),"",($C13/$S13)),""))</f>
        <v>0.9476565062</v>
      </c>
      <c r="U13" s="199" t="str">
        <f t="shared" si="3"/>
        <v>Na Média</v>
      </c>
      <c r="V13" s="201"/>
      <c r="W13" s="201"/>
      <c r="X13" s="201"/>
      <c r="Y13" s="201"/>
      <c r="Z13" s="201"/>
      <c r="AA13" s="201"/>
      <c r="AB13" s="201"/>
      <c r="AC13" s="201"/>
      <c r="AD13" s="201"/>
      <c r="AE13" s="201"/>
      <c r="AF13" s="201"/>
      <c r="AG13" s="201"/>
      <c r="AH13" s="201"/>
      <c r="AI13" s="201"/>
      <c r="AJ13" s="201"/>
      <c r="AK13" s="201"/>
      <c r="AL13" s="201"/>
      <c r="AM13" s="201"/>
      <c r="AN13" s="201"/>
      <c r="AO13" s="201"/>
      <c r="AP13" s="201"/>
    </row>
    <row r="14" ht="15.75" customHeight="1">
      <c r="A14" s="184" t="s">
        <v>18</v>
      </c>
      <c r="B14" s="185" t="str">
        <f>VLOOKUP(A14,Jobmatch!A:G,2,0)</f>
        <v>ALMOXARIFE</v>
      </c>
      <c r="C14" s="186">
        <f>IFERROR(AVERAGEIF('Folha de Pagamento'!A:A,A14,'Folha de Pagamento'!J:J),"")</f>
        <v>3683</v>
      </c>
      <c r="D14" s="187">
        <v>5.0</v>
      </c>
      <c r="E14" s="185" t="str">
        <f>VLOOKUP(A14,Jobmatch!A:H,3,0)</f>
        <v>Edificação</v>
      </c>
      <c r="F14" s="188" t="s">
        <v>211</v>
      </c>
      <c r="G14" s="190" t="str">
        <f>VLOOKUP(A14,Jobmatch!A:I,4,0)</f>
        <v>8 - ADM PROJETOS</v>
      </c>
      <c r="H14" s="191" t="str">
        <f>VLOOKUP(A14,Jobmatch!A:I,5,0)</f>
        <v>Operacional</v>
      </c>
      <c r="I14" s="192">
        <f>VLOOKUP(A14,Jobmatch!A:I,6,0)</f>
        <v>203</v>
      </c>
      <c r="J14" s="190" t="str">
        <f>VLOOKUP(A14,Jobmatch!A:I,7,0)</f>
        <v>Almoxarife</v>
      </c>
      <c r="K14" s="193" t="str">
        <f>VLOOKUP(A14,Jobmatch!A:I,8,0)</f>
        <v>Indiferente</v>
      </c>
      <c r="L14" s="194" t="str">
        <f t="shared" si="2"/>
        <v>203Indiferente</v>
      </c>
      <c r="M14" s="195">
        <f>COUNTIF('Folha de Pagamento'!A:A,A14)</f>
        <v>2</v>
      </c>
      <c r="N14" s="238">
        <v>13.0</v>
      </c>
      <c r="O14" s="196">
        <f>IFERROR(VLOOKUP(L14,'C-01'!$D:$L,5,0),"")</f>
        <v>3088.9</v>
      </c>
      <c r="P14" s="196">
        <f>IFERROR(VLOOKUP(L14,'C-01'!$D:$L,6,0),"")</f>
        <v>3397.38</v>
      </c>
      <c r="Q14" s="196">
        <f>IFERROR(VLOOKUP(L14,'C-01'!$D:$L,7,0),"")</f>
        <v>3088.9</v>
      </c>
      <c r="R14" s="196">
        <f>IFERROR(VLOOKUP(L14,'C-01'!$D:$L,8,0),"")</f>
        <v>3703.26</v>
      </c>
      <c r="S14" s="197">
        <f>IFERROR(VLOOKUP(L14,'C-01'!$D:$L,9,0),"")</f>
        <v>4425.21</v>
      </c>
      <c r="T14" s="198">
        <f>IFS('Painel Geral'!$B$5="Mediana",IFERROR(IF(OR(C14="",Q14=0,Q14=""),"",($C14/$Q14)),""),'Painel Geral'!$B$5="Menor Salário",IFERROR(IF(OR(C14="",Q14=0,Q14=""),"",($C14/$N14)),""),'Painel Geral'!$B$5="1º Quartil",IFERROR(IF(OR(C14="",Q14=0,Q14=""),"",($C14/$O14)),""), 'Painel Geral'!$B$5="Média",IFERROR(IF(OR(C14="",Q14=0,Q14=""),"",($C14/$P14)),""),'Painel Geral'!$B$5="3º Quartil",IFERROR(IF(OR(C14="",Q14=0,Q14=""),"",($C14/$R14)),""),'Painel Geral'!$B$5="Maior Salário",IFERROR(IF(OR(C14="",Q14=0,Q14=""),"",($C14/$S14)),""))</f>
        <v>1.192333841</v>
      </c>
      <c r="U14" s="199" t="str">
        <f t="shared" si="3"/>
        <v>Muito Competitivo</v>
      </c>
      <c r="V14" s="201"/>
      <c r="W14" s="201"/>
      <c r="X14" s="201"/>
      <c r="Y14" s="201"/>
      <c r="Z14" s="201"/>
      <c r="AA14" s="201"/>
      <c r="AB14" s="201"/>
      <c r="AC14" s="201"/>
      <c r="AD14" s="201"/>
      <c r="AE14" s="201"/>
      <c r="AF14" s="201"/>
      <c r="AG14" s="201"/>
      <c r="AH14" s="201"/>
      <c r="AI14" s="201"/>
      <c r="AJ14" s="201"/>
      <c r="AK14" s="201"/>
      <c r="AL14" s="201"/>
      <c r="AM14" s="201"/>
      <c r="AN14" s="201"/>
      <c r="AO14" s="201"/>
      <c r="AP14" s="201"/>
    </row>
    <row r="15" ht="15.75" customHeight="1">
      <c r="A15" s="184" t="s">
        <v>61</v>
      </c>
      <c r="B15" s="185" t="str">
        <f>VLOOKUP(A15,Jobmatch!A:G,2,0)</f>
        <v>ASSISTENTE ADM DE LEGALIZAÇÃO III</v>
      </c>
      <c r="C15" s="186">
        <f>IFERROR(AVERAGEIF('Folha de Pagamento'!A:A,A15,'Folha de Pagamento'!J:J),"")</f>
        <v>3652</v>
      </c>
      <c r="D15" s="187">
        <v>7.0</v>
      </c>
      <c r="E15" s="185" t="str">
        <f>VLOOKUP(A15,Jobmatch!A:H,3,0)</f>
        <v>Legalização </v>
      </c>
      <c r="F15" s="188" t="s">
        <v>358</v>
      </c>
      <c r="G15" s="190" t="str">
        <f>VLOOKUP(A15,Jobmatch!A:I,4,0)</f>
        <v>19 - ADM PROJETOS</v>
      </c>
      <c r="H15" s="191" t="str">
        <f>VLOOKUP(A15,Jobmatch!A:I,5,0)</f>
        <v>Operacional</v>
      </c>
      <c r="I15" s="192">
        <f>VLOOKUP(A15,Jobmatch!A:I,6,0)</f>
        <v>1201</v>
      </c>
      <c r="J15" s="190" t="str">
        <f>VLOOKUP(A15,Jobmatch!A:I,7,0)</f>
        <v>Assistente de Legalização</v>
      </c>
      <c r="K15" s="193" t="str">
        <f>VLOOKUP(A15,Jobmatch!A:I,8,0)</f>
        <v>Indiferente</v>
      </c>
      <c r="L15" s="194" t="str">
        <f t="shared" si="2"/>
        <v>1201Indiferente</v>
      </c>
      <c r="M15" s="195">
        <f>COUNTIF('Folha de Pagamento'!A:A,A15)</f>
        <v>2</v>
      </c>
      <c r="N15" s="238">
        <v>13.0</v>
      </c>
      <c r="O15" s="196">
        <f>IFERROR(VLOOKUP(L15,'C-01'!$D:$L,5,0),"")</f>
        <v>2803.34</v>
      </c>
      <c r="P15" s="196">
        <f>IFERROR(VLOOKUP(L15,'C-01'!$D:$L,6,0),"")</f>
        <v>3092.92</v>
      </c>
      <c r="Q15" s="196">
        <f>IFERROR(VLOOKUP(L15,'C-01'!$D:$L,7,0),"")</f>
        <v>3092.92</v>
      </c>
      <c r="R15" s="196">
        <f>IFERROR(VLOOKUP(L15,'C-01'!$D:$L,8,0),"")</f>
        <v>3382.51</v>
      </c>
      <c r="S15" s="197">
        <f>IFERROR(VLOOKUP(L15,'C-01'!$D:$L,9,0),"")</f>
        <v>3672.09</v>
      </c>
      <c r="T15" s="198">
        <f>IFS('Painel Geral'!$B$5="Mediana",IFERROR(IF(OR(C15="",Q15=0,Q15=""),"",($C15/$Q15)),""),'Painel Geral'!$B$5="Menor Salário",IFERROR(IF(OR(C15="",Q15=0,Q15=""),"",($C15/$N15)),""),'Painel Geral'!$B$5="1º Quartil",IFERROR(IF(OR(C15="",Q15=0,Q15=""),"",($C15/$O15)),""), 'Painel Geral'!$B$5="Média",IFERROR(IF(OR(C15="",Q15=0,Q15=""),"",($C15/$P15)),""),'Painel Geral'!$B$5="3º Quartil",IFERROR(IF(OR(C15="",Q15=0,Q15=""),"",($C15/$R15)),""),'Painel Geral'!$B$5="Maior Salário",IFERROR(IF(OR(C15="",Q15=0,Q15=""),"",($C15/$S15)),""))</f>
        <v>1.180761222</v>
      </c>
      <c r="U15" s="199" t="str">
        <f t="shared" si="3"/>
        <v>Muito Competitivo</v>
      </c>
      <c r="V15" s="201"/>
      <c r="W15" s="201"/>
      <c r="X15" s="201"/>
      <c r="Y15" s="201"/>
      <c r="Z15" s="201"/>
      <c r="AA15" s="201"/>
      <c r="AB15" s="201"/>
      <c r="AC15" s="201"/>
      <c r="AD15" s="201"/>
      <c r="AE15" s="201"/>
      <c r="AF15" s="201"/>
      <c r="AG15" s="201"/>
      <c r="AH15" s="201"/>
      <c r="AI15" s="201"/>
      <c r="AJ15" s="201"/>
      <c r="AK15" s="218"/>
      <c r="AL15" s="218"/>
      <c r="AM15" s="218"/>
      <c r="AN15" s="218"/>
      <c r="AO15" s="218"/>
      <c r="AP15" s="218">
        <v>0.03</v>
      </c>
    </row>
    <row r="16" ht="15.75" customHeight="1">
      <c r="A16" s="184" t="s">
        <v>58</v>
      </c>
      <c r="B16" s="185" t="str">
        <f>VLOOKUP(A16,Jobmatch!A:G,2,0)</f>
        <v>ANALISTA FINANCEIRO I</v>
      </c>
      <c r="C16" s="186">
        <f>IFERROR(AVERAGEIF('Folha de Pagamento'!A:A,A16,'Folha de Pagamento'!J:J),"")</f>
        <v>3993</v>
      </c>
      <c r="D16" s="187">
        <v>6.0</v>
      </c>
      <c r="E16" s="185" t="str">
        <f>VLOOKUP(A16,Jobmatch!A:H,3,0)</f>
        <v>Financeiro</v>
      </c>
      <c r="F16" s="188" t="s">
        <v>353</v>
      </c>
      <c r="G16" s="190" t="str">
        <f>VLOOKUP(A16,Jobmatch!A:I,4,0)</f>
        <v>18 - ADM PROJETOS</v>
      </c>
      <c r="H16" s="191" t="str">
        <f>VLOOKUP(A16,Jobmatch!A:I,5,0)</f>
        <v>Operacional</v>
      </c>
      <c r="I16" s="192">
        <f>VLOOKUP(A16,Jobmatch!A:I,6,0)</f>
        <v>16</v>
      </c>
      <c r="J16" s="190" t="str">
        <f>VLOOKUP(A16,Jobmatch!A:I,7,0)</f>
        <v>Analista Financeiro</v>
      </c>
      <c r="K16" s="193" t="str">
        <f>VLOOKUP(A16,Jobmatch!A:I,8,0)</f>
        <v>Júnior</v>
      </c>
      <c r="L16" s="194" t="str">
        <f t="shared" si="2"/>
        <v>16Júnior</v>
      </c>
      <c r="M16" s="195">
        <f>COUNTIF('Folha de Pagamento'!A:A,A16)</f>
        <v>1</v>
      </c>
      <c r="N16" s="238">
        <v>13.0</v>
      </c>
      <c r="O16" s="196">
        <f>IFERROR(VLOOKUP(L16,'C-01'!$D:$L,5,0),"")</f>
        <v>3176.35</v>
      </c>
      <c r="P16" s="196">
        <f>IFERROR(VLOOKUP(L16,'C-01'!$D:$L,6,0),"")</f>
        <v>3539.11</v>
      </c>
      <c r="Q16" s="196">
        <f>IFERROR(VLOOKUP(L16,'C-01'!$D:$L,7,0),"")</f>
        <v>3493.97</v>
      </c>
      <c r="R16" s="196">
        <f>IFERROR(VLOOKUP(L16,'C-01'!$D:$L,8,0),"")</f>
        <v>3798.49</v>
      </c>
      <c r="S16" s="197">
        <f>IFERROR(VLOOKUP(L16,'C-01'!$D:$L,9,0),"")</f>
        <v>4392.23</v>
      </c>
      <c r="T16" s="198">
        <f>IFS('Painel Geral'!$B$5="Mediana",IFERROR(IF(OR(C16="",Q16=0,Q16=""),"",($C16/$Q16)),""),'Painel Geral'!$B$5="Menor Salário",IFERROR(IF(OR(C16="",Q16=0,Q16=""),"",($C16/$N16)),""),'Painel Geral'!$B$5="1º Quartil",IFERROR(IF(OR(C16="",Q16=0,Q16=""),"",($C16/$O16)),""), 'Painel Geral'!$B$5="Média",IFERROR(IF(OR(C16="",Q16=0,Q16=""),"",($C16/$P16)),""),'Painel Geral'!$B$5="3º Quartil",IFERROR(IF(OR(C16="",Q16=0,Q16=""),"",($C16/$R16)),""),'Painel Geral'!$B$5="Maior Salário",IFERROR(IF(OR(C16="",Q16=0,Q16=""),"",($C16/$S16)),""))</f>
        <v>1.142826069</v>
      </c>
      <c r="U16" s="199" t="str">
        <f t="shared" si="3"/>
        <v>Muito Competitivo</v>
      </c>
      <c r="V16" s="201"/>
      <c r="W16" s="201"/>
      <c r="X16" s="201"/>
      <c r="Y16" s="201"/>
      <c r="Z16" s="201"/>
      <c r="AA16" s="201"/>
      <c r="AB16" s="201"/>
      <c r="AC16" s="201"/>
      <c r="AD16" s="201"/>
      <c r="AE16" s="201"/>
      <c r="AF16" s="201"/>
      <c r="AG16" s="201"/>
      <c r="AH16" s="201"/>
      <c r="AI16" s="201"/>
      <c r="AJ16" s="201"/>
      <c r="AK16" s="201"/>
      <c r="AL16" s="201"/>
      <c r="AM16" s="201"/>
      <c r="AN16" s="201"/>
      <c r="AO16" s="201"/>
      <c r="AP16" s="201"/>
    </row>
    <row r="17" ht="15.75" customHeight="1">
      <c r="A17" s="184" t="s">
        <v>43</v>
      </c>
      <c r="B17" s="185" t="str">
        <f>VLOOKUP(A17,Jobmatch!A:G,2,0)</f>
        <v>ANALISTA DE MARKETING l</v>
      </c>
      <c r="C17" s="186">
        <f>IFERROR(AVERAGEIF('Folha de Pagamento'!A:A,A17,'Folha de Pagamento'!J:J),"")</f>
        <v>4025.88</v>
      </c>
      <c r="D17" s="187">
        <v>8.0</v>
      </c>
      <c r="E17" s="185" t="str">
        <f>VLOOKUP(A17,Jobmatch!A:H,3,0)</f>
        <v>Marketing</v>
      </c>
      <c r="F17" s="188" t="s">
        <v>361</v>
      </c>
      <c r="G17" s="190" t="str">
        <f>VLOOKUP(A17,Jobmatch!A:I,4,0)</f>
        <v>13 - ADM PROJETOS</v>
      </c>
      <c r="H17" s="191" t="str">
        <f>VLOOKUP(A17,Jobmatch!A:I,5,0)</f>
        <v>Operacional</v>
      </c>
      <c r="I17" s="192">
        <f>VLOOKUP(A17,Jobmatch!A:I,6,0)</f>
        <v>42</v>
      </c>
      <c r="J17" s="190" t="str">
        <f>VLOOKUP(A17,Jobmatch!A:I,7,0)</f>
        <v>Analista de Marketing</v>
      </c>
      <c r="K17" s="193" t="str">
        <f>VLOOKUP(A17,Jobmatch!A:I,8,0)</f>
        <v>Júnior</v>
      </c>
      <c r="L17" s="194" t="str">
        <f t="shared" si="2"/>
        <v>42Júnior</v>
      </c>
      <c r="M17" s="195">
        <f>COUNTIF('Folha de Pagamento'!A:A,A17)</f>
        <v>1</v>
      </c>
      <c r="N17" s="238">
        <v>14.0</v>
      </c>
      <c r="O17" s="196">
        <f>IFERROR(VLOOKUP(L17,'C-01'!$D:$L,5,0),"")</f>
        <v>3503.85</v>
      </c>
      <c r="P17" s="196">
        <f>IFERROR(VLOOKUP(L17,'C-01'!$D:$L,6,0),"")</f>
        <v>3792.81</v>
      </c>
      <c r="Q17" s="196">
        <f>IFERROR(VLOOKUP(L17,'C-01'!$D:$L,7,0),"")</f>
        <v>3674.96</v>
      </c>
      <c r="R17" s="196">
        <f>IFERROR(VLOOKUP(L17,'C-01'!$D:$L,8,0),"")</f>
        <v>3977.13</v>
      </c>
      <c r="S17" s="197">
        <f>IFERROR(VLOOKUP(L17,'C-01'!$D:$L,9,0),"")</f>
        <v>5225.68</v>
      </c>
      <c r="T17" s="198">
        <f>IFS('Painel Geral'!$B$5="Mediana",IFERROR(IF(OR(C17="",Q17=0,Q17=""),"",($C17/$Q17)),""),'Painel Geral'!$B$5="Menor Salário",IFERROR(IF(OR(C17="",Q17=0,Q17=""),"",($C17/$N17)),""),'Painel Geral'!$B$5="1º Quartil",IFERROR(IF(OR(C17="",Q17=0,Q17=""),"",($C17/$O17)),""), 'Painel Geral'!$B$5="Média",IFERROR(IF(OR(C17="",Q17=0,Q17=""),"",($C17/$P17)),""),'Painel Geral'!$B$5="3º Quartil",IFERROR(IF(OR(C17="",Q17=0,Q17=""),"",($C17/$R17)),""),'Painel Geral'!$B$5="Maior Salário",IFERROR(IF(OR(C17="",Q17=0,Q17=""),"",($C17/$S17)),""))</f>
        <v>1.095489475</v>
      </c>
      <c r="U17" s="199" t="str">
        <f t="shared" si="3"/>
        <v>Competitivo</v>
      </c>
      <c r="V17" s="201"/>
      <c r="W17" s="201"/>
      <c r="X17" s="201"/>
      <c r="Y17" s="201"/>
      <c r="Z17" s="201"/>
      <c r="AA17" s="201"/>
      <c r="AB17" s="201"/>
      <c r="AC17" s="201"/>
      <c r="AD17" s="201"/>
      <c r="AE17" s="201"/>
      <c r="AF17" s="201"/>
      <c r="AG17" s="201"/>
      <c r="AH17" s="201"/>
      <c r="AI17" s="201"/>
      <c r="AJ17" s="201"/>
      <c r="AK17" s="201"/>
      <c r="AL17" s="201"/>
      <c r="AM17" s="201"/>
      <c r="AN17" s="201"/>
      <c r="AO17" s="201"/>
      <c r="AP17" s="201"/>
    </row>
    <row r="18" ht="15.75" customHeight="1">
      <c r="A18" s="184" t="s">
        <v>70</v>
      </c>
      <c r="B18" s="185" t="str">
        <f>VLOOKUP(A18,Jobmatch!A:G,2,0)</f>
        <v>ASSISTENTE DE ENGENHARIA lll</v>
      </c>
      <c r="C18" s="186">
        <f>IFERROR(AVERAGEIF('Folha de Pagamento'!A:A,A18,'Folha de Pagamento'!J:J),"")</f>
        <v>3652</v>
      </c>
      <c r="D18" s="187">
        <v>5.0</v>
      </c>
      <c r="E18" s="185" t="str">
        <f>VLOOKUP(A18,Jobmatch!A:H,3,0)</f>
        <v>Edificação</v>
      </c>
      <c r="F18" s="188" t="s">
        <v>344</v>
      </c>
      <c r="G18" s="190" t="str">
        <f>VLOOKUP(A18,Jobmatch!A:I,4,0)</f>
        <v>22 - ADM PROJETOS</v>
      </c>
      <c r="H18" s="191" t="str">
        <f>VLOOKUP(A18,Jobmatch!A:I,5,0)</f>
        <v>Operacional</v>
      </c>
      <c r="I18" s="192">
        <f>VLOOKUP(A18,Jobmatch!A:I,6,0)</f>
        <v>531</v>
      </c>
      <c r="J18" s="190" t="str">
        <f>VLOOKUP(A18,Jobmatch!A:I,7,0)</f>
        <v>Assistente de Engenharia</v>
      </c>
      <c r="K18" s="193" t="str">
        <f>VLOOKUP(A18,Jobmatch!A:I,8,0)</f>
        <v>Indiferente</v>
      </c>
      <c r="L18" s="194" t="str">
        <f t="shared" si="2"/>
        <v>531Indiferente</v>
      </c>
      <c r="M18" s="195">
        <f>COUNTIF('Folha de Pagamento'!A:A,A18)</f>
        <v>1</v>
      </c>
      <c r="N18" s="238">
        <v>14.0</v>
      </c>
      <c r="O18" s="196">
        <f>IFERROR(VLOOKUP(L18,'C-01'!$D:$L,5,0),"")</f>
        <v>3945.44</v>
      </c>
      <c r="P18" s="196">
        <f>IFERROR(VLOOKUP(L18,'C-01'!$D:$L,6,0),"")</f>
        <v>4031.84</v>
      </c>
      <c r="Q18" s="196">
        <f>IFERROR(VLOOKUP(L18,'C-01'!$D:$L,7,0),"")</f>
        <v>3945.44</v>
      </c>
      <c r="R18" s="196">
        <f>IFERROR(VLOOKUP(L18,'C-01'!$D:$L,8,0),"")</f>
        <v>3945.44</v>
      </c>
      <c r="S18" s="197">
        <f>IFERROR(VLOOKUP(L18,'C-01'!$D:$L,9,0),"")</f>
        <v>5084.96</v>
      </c>
      <c r="T18" s="198">
        <f>IFS('Painel Geral'!$B$5="Mediana",IFERROR(IF(OR(C18="",Q18=0,Q18=""),"",($C18/$Q18)),""),'Painel Geral'!$B$5="Menor Salário",IFERROR(IF(OR(C18="",Q18=0,Q18=""),"",($C18/$N18)),""),'Painel Geral'!$B$5="1º Quartil",IFERROR(IF(OR(C18="",Q18=0,Q18=""),"",($C18/$O18)),""), 'Painel Geral'!$B$5="Média",IFERROR(IF(OR(C18="",Q18=0,Q18=""),"",($C18/$P18)),""),'Painel Geral'!$B$5="3º Quartil",IFERROR(IF(OR(C18="",Q18=0,Q18=""),"",($C18/$R18)),""),'Painel Geral'!$B$5="Maior Salário",IFERROR(IF(OR(C18="",Q18=0,Q18=""),"",($C18/$S18)),""))</f>
        <v>0.9256255323</v>
      </c>
      <c r="U18" s="199" t="str">
        <f t="shared" si="3"/>
        <v>Na Média</v>
      </c>
      <c r="V18" s="201"/>
      <c r="W18" s="201"/>
      <c r="X18" s="201"/>
      <c r="Y18" s="201"/>
      <c r="Z18" s="201"/>
      <c r="AA18" s="201"/>
      <c r="AB18" s="201"/>
      <c r="AC18" s="201"/>
      <c r="AD18" s="201"/>
      <c r="AE18" s="201"/>
      <c r="AF18" s="201"/>
      <c r="AG18" s="201"/>
      <c r="AH18" s="201"/>
      <c r="AI18" s="201"/>
      <c r="AJ18" s="201"/>
      <c r="AK18" s="239">
        <v>1907.0</v>
      </c>
      <c r="AL18" s="220">
        <f>AK18*AN27</f>
        <v>1922.469798</v>
      </c>
      <c r="AM18" s="221"/>
      <c r="AN18" s="201"/>
      <c r="AO18" s="201"/>
      <c r="AP18" s="201"/>
    </row>
    <row r="19" ht="15.75" customHeight="1">
      <c r="A19" s="184" t="s">
        <v>186</v>
      </c>
      <c r="B19" s="185" t="str">
        <f>VLOOKUP(A19,Jobmatch!A:G,2,0)</f>
        <v>TECNOLOGO EM CONSTRUÇÃO DE EDIFICIOS</v>
      </c>
      <c r="C19" s="186">
        <f>IFERROR(AVERAGEIF('Folha de Pagamento'!A:A,A19,'Folha de Pagamento'!J:J),"")</f>
        <v>8585</v>
      </c>
      <c r="D19" s="187">
        <v>5.0</v>
      </c>
      <c r="E19" s="185" t="str">
        <f>VLOOKUP(A19,Jobmatch!A:H,3,0)</f>
        <v>Edificação</v>
      </c>
      <c r="F19" s="188" t="s">
        <v>350</v>
      </c>
      <c r="G19" s="190" t="str">
        <f>VLOOKUP(A19,Jobmatch!A:I,4,0)</f>
        <v>61 - ADM PROJETOS</v>
      </c>
      <c r="H19" s="191" t="str">
        <f>VLOOKUP(A19,Jobmatch!A:I,5,0)</f>
        <v>Operacional</v>
      </c>
      <c r="I19" s="192">
        <f>VLOOKUP(A19,Jobmatch!A:I,6,0)</f>
        <v>269</v>
      </c>
      <c r="J19" s="190" t="str">
        <f>VLOOKUP(A19,Jobmatch!A:I,7,0)</f>
        <v>Técnico em Edificações</v>
      </c>
      <c r="K19" s="193" t="str">
        <f>VLOOKUP(A19,Jobmatch!A:I,8,0)</f>
        <v>Indiferente</v>
      </c>
      <c r="L19" s="194" t="str">
        <f t="shared" si="2"/>
        <v>269Indiferente</v>
      </c>
      <c r="M19" s="195">
        <f>COUNTIF('Folha de Pagamento'!A:A,A19)</f>
        <v>1</v>
      </c>
      <c r="N19" s="238">
        <v>14.0</v>
      </c>
      <c r="O19" s="196">
        <f>IFERROR(VLOOKUP(L19,'C-01'!$D:$L,5,0),"")</f>
        <v>3732.17</v>
      </c>
      <c r="P19" s="196">
        <f>IFERROR(VLOOKUP(L19,'C-01'!$D:$L,6,0),"")</f>
        <v>4583.42</v>
      </c>
      <c r="Q19" s="196">
        <f>IFERROR(VLOOKUP(L19,'C-01'!$D:$L,7,0),"")</f>
        <v>4022.01</v>
      </c>
      <c r="R19" s="196">
        <f>IFERROR(VLOOKUP(L19,'C-01'!$D:$L,8,0),"")</f>
        <v>4417.17</v>
      </c>
      <c r="S19" s="197">
        <f>IFERROR(VLOOKUP(L19,'C-01'!$D:$L,9,0),"")</f>
        <v>9075.39</v>
      </c>
      <c r="T19" s="198">
        <f>IFS('Painel Geral'!$B$5="Mediana",IFERROR(IF(OR(C19="",Q19=0,Q19=""),"",($C19/$Q19)),""),'Painel Geral'!$B$5="Menor Salário",IFERROR(IF(OR(C19="",Q19=0,Q19=""),"",($C19/$N19)),""),'Painel Geral'!$B$5="1º Quartil",IFERROR(IF(OR(C19="",Q19=0,Q19=""),"",($C19/$O19)),""), 'Painel Geral'!$B$5="Média",IFERROR(IF(OR(C19="",Q19=0,Q19=""),"",($C19/$P19)),""),'Painel Geral'!$B$5="3º Quartil",IFERROR(IF(OR(C19="",Q19=0,Q19=""),"",($C19/$R19)),""),'Painel Geral'!$B$5="Maior Salário",IFERROR(IF(OR(C19="",Q19=0,Q19=""),"",($C19/$S19)),""))</f>
        <v>2.134504887</v>
      </c>
      <c r="U19" s="199" t="str">
        <f t="shared" si="3"/>
        <v>Agressivo</v>
      </c>
      <c r="V19" s="201"/>
      <c r="W19" s="201"/>
      <c r="X19" s="201"/>
      <c r="Y19" s="201"/>
      <c r="Z19" s="201"/>
      <c r="AA19" s="201"/>
      <c r="AB19" s="201"/>
      <c r="AC19" s="201"/>
      <c r="AD19" s="201"/>
      <c r="AE19" s="201"/>
      <c r="AF19" s="201"/>
      <c r="AG19" s="201"/>
      <c r="AH19" s="201"/>
      <c r="AI19" s="201"/>
      <c r="AJ19" s="201"/>
      <c r="AK19" s="222">
        <v>45778.0</v>
      </c>
      <c r="AL19" s="221"/>
      <c r="AM19" s="221"/>
      <c r="AN19" s="201"/>
      <c r="AO19" s="201"/>
      <c r="AP19" s="201"/>
    </row>
    <row r="20" ht="15.75" customHeight="1">
      <c r="A20" s="184" t="s">
        <v>29</v>
      </c>
      <c r="B20" s="185" t="str">
        <f>VLOOKUP(A20,Jobmatch!A:G,2,0)</f>
        <v>ANALISTA DE CRIAÇAO</v>
      </c>
      <c r="C20" s="186">
        <f>IFERROR(AVERAGEIF('Folha de Pagamento'!A:A,A20,'Folha de Pagamento'!J:J),"")</f>
        <v>5429</v>
      </c>
      <c r="D20" s="187">
        <v>8.0</v>
      </c>
      <c r="E20" s="185" t="str">
        <f>VLOOKUP(A20,Jobmatch!A:H,3,0)</f>
        <v>Marketing</v>
      </c>
      <c r="F20" s="188" t="s">
        <v>360</v>
      </c>
      <c r="G20" s="190" t="str">
        <f>VLOOKUP(A20,Jobmatch!A:I,4,0)</f>
        <v>10 - ADM PROJETOS</v>
      </c>
      <c r="H20" s="191" t="str">
        <f>VLOOKUP(A20,Jobmatch!A:I,5,0)</f>
        <v>Operacional</v>
      </c>
      <c r="I20" s="192">
        <f>VLOOKUP(A20,Jobmatch!A:I,6,0)</f>
        <v>45</v>
      </c>
      <c r="J20" s="190" t="str">
        <f>VLOOKUP(A20,Jobmatch!A:I,7,0)</f>
        <v>Analista de Criação</v>
      </c>
      <c r="K20" s="193" t="str">
        <f>VLOOKUP(A20,Jobmatch!A:I,8,0)</f>
        <v>Indiferente</v>
      </c>
      <c r="L20" s="194" t="str">
        <f t="shared" si="2"/>
        <v>45Indiferente</v>
      </c>
      <c r="M20" s="195">
        <f>COUNTIF('Folha de Pagamento'!A:A,A20)</f>
        <v>1</v>
      </c>
      <c r="N20" s="238">
        <v>15.0</v>
      </c>
      <c r="O20" s="196">
        <f>IFERROR(VLOOKUP(L20,'C-01'!$D:$L,5,0),"")</f>
        <v>3527.33</v>
      </c>
      <c r="P20" s="196">
        <f>IFERROR(VLOOKUP(L20,'C-01'!$D:$L,6,0),"")</f>
        <v>4325.16</v>
      </c>
      <c r="Q20" s="196">
        <f>IFERROR(VLOOKUP(L20,'C-01'!$D:$L,7,0),"")</f>
        <v>4325.72</v>
      </c>
      <c r="R20" s="196">
        <f>IFERROR(VLOOKUP(L20,'C-01'!$D:$L,8,0),"")</f>
        <v>4988.66</v>
      </c>
      <c r="S20" s="197">
        <f>IFERROR(VLOOKUP(L20,'C-01'!$D:$L,9,0),"")</f>
        <v>6418.74</v>
      </c>
      <c r="T20" s="198">
        <f>IFS('Painel Geral'!$B$5="Mediana",IFERROR(IF(OR(C20="",Q20=0,Q20=""),"",($C20/$Q20)),""),'Painel Geral'!$B$5="Menor Salário",IFERROR(IF(OR(C20="",Q20=0,Q20=""),"",($C20/$N20)),""),'Painel Geral'!$B$5="1º Quartil",IFERROR(IF(OR(C20="",Q20=0,Q20=""),"",($C20/$O20)),""), 'Painel Geral'!$B$5="Média",IFERROR(IF(OR(C20="",Q20=0,Q20=""),"",($C20/$P20)),""),'Painel Geral'!$B$5="3º Quartil",IFERROR(IF(OR(C20="",Q20=0,Q20=""),"",($C20/$R20)),""),'Painel Geral'!$B$5="Maior Salário",IFERROR(IF(OR(C20="",Q20=0,Q20=""),"",($C20/$S20)),""))</f>
        <v>1.255051182</v>
      </c>
      <c r="U20" s="199" t="str">
        <f t="shared" si="3"/>
        <v>Agressivo</v>
      </c>
      <c r="V20" s="201"/>
      <c r="W20" s="201"/>
      <c r="X20" s="201"/>
      <c r="Y20" s="201"/>
      <c r="Z20" s="201"/>
      <c r="AA20" s="201"/>
      <c r="AB20" s="201"/>
      <c r="AC20" s="201"/>
      <c r="AD20" s="201"/>
      <c r="AE20" s="201"/>
      <c r="AF20" s="201"/>
      <c r="AG20" s="201"/>
      <c r="AH20" s="201"/>
      <c r="AI20" s="201"/>
      <c r="AJ20" s="201"/>
      <c r="AK20" s="223">
        <v>0.23</v>
      </c>
      <c r="AL20" s="220">
        <f t="shared" ref="AL20:AL25" si="4">1+(AK20/100)</f>
        <v>1.0023</v>
      </c>
      <c r="AM20" s="220">
        <f>AL20</f>
        <v>1.0023</v>
      </c>
      <c r="AN20" s="201"/>
      <c r="AO20" s="201"/>
      <c r="AP20" s="201"/>
    </row>
    <row r="21" ht="15.75" customHeight="1">
      <c r="A21" s="184" t="s">
        <v>33</v>
      </c>
      <c r="B21" s="185" t="str">
        <f>VLOOKUP(A21,Jobmatch!A:G,2,0)</f>
        <v>ANALISTA DE INOVAÇÃO</v>
      </c>
      <c r="C21" s="186">
        <f>IFERROR(AVERAGEIF('Folha de Pagamento'!A:A,A21,'Folha de Pagamento'!J:J),"")</f>
        <v>7299.270073</v>
      </c>
      <c r="D21" s="187">
        <v>7.0</v>
      </c>
      <c r="E21" s="185" t="str">
        <f>VLOOKUP(A21,Jobmatch!A:H,3,0)</f>
        <v>Inovação</v>
      </c>
      <c r="F21" s="188" t="s">
        <v>357</v>
      </c>
      <c r="G21" s="190" t="str">
        <f>VLOOKUP(A21,Jobmatch!A:I,4,0)</f>
        <v>11 - ADM PROJETOS</v>
      </c>
      <c r="H21" s="191" t="str">
        <f>VLOOKUP(A21,Jobmatch!A:I,5,0)</f>
        <v>Tático</v>
      </c>
      <c r="I21" s="192">
        <f>VLOOKUP(A21,Jobmatch!A:I,6,0)</f>
        <v>437</v>
      </c>
      <c r="J21" s="190" t="str">
        <f>VLOOKUP(A21,Jobmatch!A:I,7,0)</f>
        <v>Analista de Inovação</v>
      </c>
      <c r="K21" s="193" t="str">
        <f>VLOOKUP(A21,Jobmatch!A:I,8,0)</f>
        <v>Indiferente</v>
      </c>
      <c r="L21" s="194" t="str">
        <f t="shared" si="2"/>
        <v>437Indiferente</v>
      </c>
      <c r="M21" s="195">
        <f>COUNTIF('Folha de Pagamento'!A:A,A21)</f>
        <v>1</v>
      </c>
      <c r="N21" s="238">
        <v>15.0</v>
      </c>
      <c r="O21" s="196">
        <f>IFERROR(VLOOKUP(L21,'C-01'!$D:$L,5,0),"")</f>
        <v>5268.47</v>
      </c>
      <c r="P21" s="196">
        <f>IFERROR(VLOOKUP(L21,'C-01'!$D:$L,6,0),"")</f>
        <v>5831.57</v>
      </c>
      <c r="Q21" s="196">
        <f>IFERROR(VLOOKUP(L21,'C-01'!$D:$L,7,0),"")</f>
        <v>5268.47</v>
      </c>
      <c r="R21" s="196">
        <f>IFERROR(VLOOKUP(L21,'C-01'!$D:$L,8,0),"")</f>
        <v>6822.26</v>
      </c>
      <c r="S21" s="197">
        <f>IFERROR(VLOOKUP(L21,'C-01'!$D:$L,9,0),"")</f>
        <v>7760.14</v>
      </c>
      <c r="T21" s="198">
        <f>IFS('Painel Geral'!$B$5="Mediana",IFERROR(IF(OR(C21="",Q21=0,Q21=""),"",($C21/$Q21)),""),'Painel Geral'!$B$5="Menor Salário",IFERROR(IF(OR(C21="",Q21=0,Q21=""),"",($C21/$N21)),""),'Painel Geral'!$B$5="1º Quartil",IFERROR(IF(OR(C21="",Q21=0,Q21=""),"",($C21/$O21)),""), 'Painel Geral'!$B$5="Média",IFERROR(IF(OR(C21="",Q21=0,Q21=""),"",($C21/$P21)),""),'Painel Geral'!$B$5="3º Quartil",IFERROR(IF(OR(C21="",Q21=0,Q21=""),"",($C21/$R21)),""),'Painel Geral'!$B$5="Maior Salário",IFERROR(IF(OR(C21="",Q21=0,Q21=""),"",($C21/$S21)),""))</f>
        <v>1.385462966</v>
      </c>
      <c r="U21" s="199" t="str">
        <f t="shared" si="3"/>
        <v>Agressivo</v>
      </c>
      <c r="V21" s="201"/>
      <c r="W21" s="201"/>
      <c r="X21" s="201"/>
      <c r="Y21" s="201"/>
      <c r="Z21" s="201"/>
      <c r="AA21" s="201"/>
      <c r="AB21" s="201"/>
      <c r="AC21" s="201"/>
      <c r="AD21" s="201"/>
      <c r="AE21" s="201"/>
      <c r="AF21" s="201"/>
      <c r="AG21" s="201"/>
      <c r="AH21" s="201"/>
      <c r="AI21" s="201"/>
      <c r="AJ21" s="201"/>
      <c r="AK21" s="223">
        <v>0.21</v>
      </c>
      <c r="AL21" s="220">
        <f t="shared" si="4"/>
        <v>1.0021</v>
      </c>
      <c r="AM21" s="220">
        <f t="shared" ref="AM21:AM25" si="5">AM20*AL21</f>
        <v>1.00440483</v>
      </c>
      <c r="AN21" s="201"/>
      <c r="AO21" s="201"/>
      <c r="AP21" s="201"/>
    </row>
    <row r="22" ht="15.75" customHeight="1">
      <c r="A22" s="184" t="s">
        <v>26</v>
      </c>
      <c r="B22" s="185" t="str">
        <f>VLOOKUP(A22,Jobmatch!A:G,2,0)</f>
        <v>ANALISTA DE COMPRAS</v>
      </c>
      <c r="C22" s="186">
        <f>IFERROR(AVERAGEIF('Folha de Pagamento'!A:A,A22,'Folha de Pagamento'!J:J),"")</f>
        <v>3780</v>
      </c>
      <c r="D22" s="187">
        <v>1.0</v>
      </c>
      <c r="E22" s="185" t="str">
        <f>VLOOKUP(A22,Jobmatch!A:H,3,0)</f>
        <v>Suprimentos </v>
      </c>
      <c r="F22" s="188" t="s">
        <v>367</v>
      </c>
      <c r="G22" s="190" t="str">
        <f>VLOOKUP(A22,Jobmatch!A:I,4,0)</f>
        <v>9 - ADM PROJETOS</v>
      </c>
      <c r="H22" s="191" t="str">
        <f>VLOOKUP(A22,Jobmatch!A:I,5,0)</f>
        <v>Operacional</v>
      </c>
      <c r="I22" s="192">
        <f>VLOOKUP(A22,Jobmatch!A:I,6,0)</f>
        <v>136</v>
      </c>
      <c r="J22" s="190" t="str">
        <f>VLOOKUP(A22,Jobmatch!A:I,7,0)</f>
        <v>Analista de Compras</v>
      </c>
      <c r="K22" s="193" t="str">
        <f>VLOOKUP(A22,Jobmatch!A:I,8,0)</f>
        <v>Pleno</v>
      </c>
      <c r="L22" s="194" t="str">
        <f t="shared" si="2"/>
        <v>136Pleno</v>
      </c>
      <c r="M22" s="195">
        <f>COUNTIF('Folha de Pagamento'!A:A,A22)</f>
        <v>1</v>
      </c>
      <c r="N22" s="238">
        <v>15.0</v>
      </c>
      <c r="O22" s="196">
        <f>IFERROR(VLOOKUP(L22,'C-01'!$D:$L,5,0),"")</f>
        <v>4524.76</v>
      </c>
      <c r="P22" s="196">
        <f>IFERROR(VLOOKUP(L22,'C-01'!$D:$L,6,0),"")</f>
        <v>6002.23</v>
      </c>
      <c r="Q22" s="196">
        <f>IFERROR(VLOOKUP(L22,'C-01'!$D:$L,7,0),"")</f>
        <v>5275.87</v>
      </c>
      <c r="R22" s="196">
        <f>IFERROR(VLOOKUP(L22,'C-01'!$D:$L,8,0),"")</f>
        <v>7842.89</v>
      </c>
      <c r="S22" s="197">
        <f>IFERROR(VLOOKUP(L22,'C-01'!$D:$L,9,0),"")</f>
        <v>7842.89</v>
      </c>
      <c r="T22" s="198">
        <f>IFS('Painel Geral'!$B$5="Mediana",IFERROR(IF(OR(C22="",Q22=0,Q22=""),"",($C22/$Q22)),""),'Painel Geral'!$B$5="Menor Salário",IFERROR(IF(OR(C22="",Q22=0,Q22=""),"",($C22/$N22)),""),'Painel Geral'!$B$5="1º Quartil",IFERROR(IF(OR(C22="",Q22=0,Q22=""),"",($C22/$O22)),""), 'Painel Geral'!$B$5="Média",IFERROR(IF(OR(C22="",Q22=0,Q22=""),"",($C22/$P22)),""),'Painel Geral'!$B$5="3º Quartil",IFERROR(IF(OR(C22="",Q22=0,Q22=""),"",($C22/$R22)),""),'Painel Geral'!$B$5="Maior Salário",IFERROR(IF(OR(C22="",Q22=0,Q22=""),"",($C22/$S22)),""))</f>
        <v>0.7164695112</v>
      </c>
      <c r="U22" s="199" t="str">
        <f t="shared" si="3"/>
        <v>Muito Defasado</v>
      </c>
      <c r="V22" s="201"/>
      <c r="W22" s="201"/>
      <c r="X22" s="201"/>
      <c r="Y22" s="201"/>
      <c r="Z22" s="201"/>
      <c r="AA22" s="201"/>
      <c r="AB22" s="201"/>
      <c r="AC22" s="201"/>
      <c r="AD22" s="201"/>
      <c r="AE22" s="201"/>
      <c r="AF22" s="201"/>
      <c r="AG22" s="201"/>
      <c r="AH22" s="201"/>
      <c r="AI22" s="201"/>
      <c r="AJ22" s="201"/>
      <c r="AK22" s="223">
        <v>-0.21</v>
      </c>
      <c r="AL22" s="220">
        <f t="shared" si="4"/>
        <v>0.9979</v>
      </c>
      <c r="AM22" s="220">
        <f t="shared" si="5"/>
        <v>1.00229558</v>
      </c>
      <c r="AN22" s="201"/>
      <c r="AO22" s="201"/>
      <c r="AP22" s="201"/>
    </row>
    <row r="23" ht="15.75" customHeight="1">
      <c r="A23" s="184" t="s">
        <v>45</v>
      </c>
      <c r="B23" s="185" t="str">
        <f>VLOOKUP(A23,Jobmatch!A:G,2,0)</f>
        <v>ANALISTA DE PÓS VENDAS II</v>
      </c>
      <c r="C23" s="186">
        <f>IFERROR(AVERAGEIF('Folha de Pagamento'!A:A,A23,'Folha de Pagamento'!J:J),"")</f>
        <v>4550</v>
      </c>
      <c r="D23" s="187">
        <v>9.0</v>
      </c>
      <c r="E23" s="185" t="str">
        <f>VLOOKUP(A23,Jobmatch!A:H,3,0)</f>
        <v>Pós Vendas</v>
      </c>
      <c r="F23" s="188" t="s">
        <v>365</v>
      </c>
      <c r="G23" s="190" t="str">
        <f>VLOOKUP(A23,Jobmatch!A:I,4,0)</f>
        <v>14 - ADM PROJETOS</v>
      </c>
      <c r="H23" s="191" t="str">
        <f>VLOOKUP(A23,Jobmatch!A:I,5,0)</f>
        <v>Operacional</v>
      </c>
      <c r="I23" s="192">
        <f>VLOOKUP(A23,Jobmatch!A:I,6,0)</f>
        <v>19</v>
      </c>
      <c r="J23" s="190" t="str">
        <f>VLOOKUP(A23,Jobmatch!A:I,7,0)</f>
        <v>Analista Comercial</v>
      </c>
      <c r="K23" s="193" t="str">
        <f>VLOOKUP(A23,Jobmatch!A:I,8,0)</f>
        <v>Pleno</v>
      </c>
      <c r="L23" s="194" t="str">
        <f t="shared" si="2"/>
        <v>19Pleno</v>
      </c>
      <c r="M23" s="195">
        <f>COUNTIF('Folha de Pagamento'!A:A,A23)</f>
        <v>1</v>
      </c>
      <c r="N23" s="238">
        <v>16.0</v>
      </c>
      <c r="O23" s="196">
        <f>IFERROR(VLOOKUP(L23,'C-01'!$D:$L,5,0),"")</f>
        <v>4898.28</v>
      </c>
      <c r="P23" s="196">
        <f>IFERROR(VLOOKUP(L23,'C-01'!$D:$L,6,0),"")</f>
        <v>5747.37</v>
      </c>
      <c r="Q23" s="196">
        <f>IFERROR(VLOOKUP(L23,'C-01'!$D:$L,7,0),"")</f>
        <v>5320.06</v>
      </c>
      <c r="R23" s="196">
        <f>IFERROR(VLOOKUP(L23,'C-01'!$D:$L,8,0),"")</f>
        <v>6382.81</v>
      </c>
      <c r="S23" s="197">
        <f>IFERROR(VLOOKUP(L23,'C-01'!$D:$L,9,0),"")</f>
        <v>7445.55</v>
      </c>
      <c r="T23" s="198">
        <f>IFS('Painel Geral'!$B$5="Mediana",IFERROR(IF(OR(C23="",Q23=0,Q23=""),"",($C23/$Q23)),""),'Painel Geral'!$B$5="Menor Salário",IFERROR(IF(OR(C23="",Q23=0,Q23=""),"",($C23/$N23)),""),'Painel Geral'!$B$5="1º Quartil",IFERROR(IF(OR(C23="",Q23=0,Q23=""),"",($C23/$O23)),""), 'Painel Geral'!$B$5="Média",IFERROR(IF(OR(C23="",Q23=0,Q23=""),"",($C23/$P23)),""),'Painel Geral'!$B$5="3º Quartil",IFERROR(IF(OR(C23="",Q23=0,Q23=""),"",($C23/$R23)),""),'Painel Geral'!$B$5="Maior Salário",IFERROR(IF(OR(C23="",Q23=0,Q23=""),"",($C23/$S23)),""))</f>
        <v>0.8552535122</v>
      </c>
      <c r="U23" s="199" t="str">
        <f t="shared" si="3"/>
        <v>Defasado</v>
      </c>
      <c r="V23" s="201"/>
      <c r="W23" s="201"/>
      <c r="X23" s="201"/>
      <c r="Y23" s="201"/>
      <c r="Z23" s="201"/>
      <c r="AA23" s="201"/>
      <c r="AB23" s="201"/>
      <c r="AC23" s="201"/>
      <c r="AD23" s="201"/>
      <c r="AE23" s="201"/>
      <c r="AF23" s="201"/>
      <c r="AG23" s="201"/>
      <c r="AH23" s="201"/>
      <c r="AI23" s="201"/>
      <c r="AJ23" s="201"/>
      <c r="AK23" s="223">
        <v>0.52</v>
      </c>
      <c r="AL23" s="220">
        <f t="shared" si="4"/>
        <v>1.0052</v>
      </c>
      <c r="AM23" s="220">
        <f t="shared" si="5"/>
        <v>1.007507517</v>
      </c>
      <c r="AN23" s="201"/>
      <c r="AO23" s="201"/>
      <c r="AP23" s="201"/>
    </row>
    <row r="24" ht="15.75" customHeight="1">
      <c r="A24" s="184" t="s">
        <v>51</v>
      </c>
      <c r="B24" s="185" t="str">
        <f>VLOOKUP(A24,Jobmatch!A:G,2,0)</f>
        <v>ANALISTA FINANCEIRO COMERCIAL III</v>
      </c>
      <c r="C24" s="186">
        <f>IFERROR(AVERAGEIF('Folha de Pagamento'!A:A,A24,'Folha de Pagamento'!J:J),"")</f>
        <v>5213</v>
      </c>
      <c r="D24" s="187">
        <v>6.0</v>
      </c>
      <c r="E24" s="185" t="str">
        <f>VLOOKUP(A24,Jobmatch!A:H,3,0)</f>
        <v>Financeiro</v>
      </c>
      <c r="F24" s="188" t="s">
        <v>351</v>
      </c>
      <c r="G24" s="190" t="str">
        <f>VLOOKUP(A24,Jobmatch!A:I,4,0)</f>
        <v>16 - ADM PROJETOS</v>
      </c>
      <c r="H24" s="191" t="str">
        <f>VLOOKUP(A24,Jobmatch!A:I,5,0)</f>
        <v>Operacional</v>
      </c>
      <c r="I24" s="192">
        <f>VLOOKUP(A24,Jobmatch!A:I,6,0)</f>
        <v>16</v>
      </c>
      <c r="J24" s="190" t="str">
        <f>VLOOKUP(A24,Jobmatch!A:I,7,0)</f>
        <v>Analista Financeiro</v>
      </c>
      <c r="K24" s="193" t="str">
        <f>VLOOKUP(A24,Jobmatch!A:I,8,0)</f>
        <v>Sênior</v>
      </c>
      <c r="L24" s="194" t="str">
        <f t="shared" si="2"/>
        <v>16Sênior</v>
      </c>
      <c r="M24" s="195">
        <f>COUNTIF('Folha de Pagamento'!A:A,A24)</f>
        <v>1</v>
      </c>
      <c r="N24" s="238">
        <v>16.0</v>
      </c>
      <c r="O24" s="196">
        <f>IFERROR(VLOOKUP(L24,'C-01'!$D:$L,5,0),"")</f>
        <v>5489.27</v>
      </c>
      <c r="P24" s="196">
        <f>IFERROR(VLOOKUP(L24,'C-01'!$D:$L,6,0),"")</f>
        <v>6172.24</v>
      </c>
      <c r="Q24" s="196">
        <f>IFERROR(VLOOKUP(L24,'C-01'!$D:$L,7,0),"")</f>
        <v>5910.71</v>
      </c>
      <c r="R24" s="196">
        <f>IFERROR(VLOOKUP(L24,'C-01'!$D:$L,8,0),"")</f>
        <v>6737.39</v>
      </c>
      <c r="S24" s="197">
        <f>IFERROR(VLOOKUP(L24,'C-01'!$D:$L,9,0),"")</f>
        <v>8185.08</v>
      </c>
      <c r="T24" s="198">
        <f>IFS('Painel Geral'!$B$5="Mediana",IFERROR(IF(OR(C24="",Q24=0,Q24=""),"",($C24/$Q24)),""),'Painel Geral'!$B$5="Menor Salário",IFERROR(IF(OR(C24="",Q24=0,Q24=""),"",($C24/$N24)),""),'Painel Geral'!$B$5="1º Quartil",IFERROR(IF(OR(C24="",Q24=0,Q24=""),"",($C24/$O24)),""), 'Painel Geral'!$B$5="Média",IFERROR(IF(OR(C24="",Q24=0,Q24=""),"",($C24/$P24)),""),'Painel Geral'!$B$5="3º Quartil",IFERROR(IF(OR(C24="",Q24=0,Q24=""),"",($C24/$R24)),""),'Painel Geral'!$B$5="Maior Salário",IFERROR(IF(OR(C24="",Q24=0,Q24=""),"",($C24/$S24)),""))</f>
        <v>0.8819583434</v>
      </c>
      <c r="U24" s="199" t="str">
        <f t="shared" si="3"/>
        <v>Defasado</v>
      </c>
      <c r="V24" s="201"/>
      <c r="W24" s="201"/>
      <c r="X24" s="201"/>
      <c r="Y24" s="201"/>
      <c r="Z24" s="201"/>
      <c r="AA24" s="201"/>
      <c r="AB24" s="201"/>
      <c r="AC24" s="201"/>
      <c r="AD24" s="201"/>
      <c r="AE24" s="201"/>
      <c r="AF24" s="201"/>
      <c r="AG24" s="201"/>
      <c r="AH24" s="201"/>
      <c r="AI24" s="201"/>
      <c r="AJ24" s="201"/>
      <c r="AK24" s="223">
        <v>0.03</v>
      </c>
      <c r="AL24" s="220">
        <f t="shared" si="4"/>
        <v>1.0003</v>
      </c>
      <c r="AM24" s="220">
        <f t="shared" si="5"/>
        <v>1.007809769</v>
      </c>
      <c r="AN24" s="201"/>
      <c r="AO24" s="201"/>
      <c r="AP24" s="201"/>
    </row>
    <row r="25" ht="15.75" customHeight="1">
      <c r="A25" s="184" t="s">
        <v>55</v>
      </c>
      <c r="B25" s="185" t="str">
        <f>VLOOKUP(A25,Jobmatch!A:G,2,0)</f>
        <v>ANALISTA FINANCEIRO DE CAPTAÇÃO DE RECURSOS III</v>
      </c>
      <c r="C25" s="186">
        <f>IFERROR(AVERAGEIF('Folha de Pagamento'!A:A,A25,'Folha de Pagamento'!J:J),"")</f>
        <v>5213</v>
      </c>
      <c r="D25" s="187">
        <v>6.0</v>
      </c>
      <c r="E25" s="185" t="str">
        <f>VLOOKUP(A25,Jobmatch!A:H,3,0)</f>
        <v>Financeiro</v>
      </c>
      <c r="F25" s="188" t="s">
        <v>352</v>
      </c>
      <c r="G25" s="190" t="str">
        <f>VLOOKUP(A25,Jobmatch!A:I,4,0)</f>
        <v>17 - ADM PROJETOS</v>
      </c>
      <c r="H25" s="191" t="str">
        <f>VLOOKUP(A25,Jobmatch!A:I,5,0)</f>
        <v>Operacional</v>
      </c>
      <c r="I25" s="192">
        <f>VLOOKUP(A25,Jobmatch!A:I,6,0)</f>
        <v>16</v>
      </c>
      <c r="J25" s="190" t="str">
        <f>VLOOKUP(A25,Jobmatch!A:I,7,0)</f>
        <v>Analista Financeiro</v>
      </c>
      <c r="K25" s="193" t="str">
        <f>VLOOKUP(A25,Jobmatch!A:I,8,0)</f>
        <v>Sênior</v>
      </c>
      <c r="L25" s="194" t="str">
        <f t="shared" si="2"/>
        <v>16Sênior</v>
      </c>
      <c r="M25" s="195">
        <f>COUNTIF('Folha de Pagamento'!A:A,A25)</f>
        <v>1</v>
      </c>
      <c r="N25" s="238">
        <v>16.0</v>
      </c>
      <c r="O25" s="196">
        <f>IFERROR(VLOOKUP(L25,'C-01'!$D:$L,5,0),"")</f>
        <v>5489.27</v>
      </c>
      <c r="P25" s="196">
        <f>IFERROR(VLOOKUP(L25,'C-01'!$D:$L,6,0),"")</f>
        <v>6172.24</v>
      </c>
      <c r="Q25" s="196">
        <f>IFERROR(VLOOKUP(L25,'C-01'!$D:$L,7,0),"")</f>
        <v>5910.71</v>
      </c>
      <c r="R25" s="196">
        <f>IFERROR(VLOOKUP(L25,'C-01'!$D:$L,8,0),"")</f>
        <v>6737.39</v>
      </c>
      <c r="S25" s="197">
        <f>IFERROR(VLOOKUP(L25,'C-01'!$D:$L,9,0),"")</f>
        <v>8185.08</v>
      </c>
      <c r="T25" s="198">
        <f>IFS('Painel Geral'!$B$5="Mediana",IFERROR(IF(OR(C25="",Q25=0,Q25=""),"",($C25/$Q25)),""),'Painel Geral'!$B$5="Menor Salário",IFERROR(IF(OR(C25="",Q25=0,Q25=""),"",($C25/$N25)),""),'Painel Geral'!$B$5="1º Quartil",IFERROR(IF(OR(C25="",Q25=0,Q25=""),"",($C25/$O25)),""), 'Painel Geral'!$B$5="Média",IFERROR(IF(OR(C25="",Q25=0,Q25=""),"",($C25/$P25)),""),'Painel Geral'!$B$5="3º Quartil",IFERROR(IF(OR(C25="",Q25=0,Q25=""),"",($C25/$R25)),""),'Painel Geral'!$B$5="Maior Salário",IFERROR(IF(OR(C25="",Q25=0,Q25=""),"",($C25/$S25)),""))</f>
        <v>0.8819583434</v>
      </c>
      <c r="U25" s="199" t="str">
        <f t="shared" si="3"/>
        <v>Defasado</v>
      </c>
      <c r="V25" s="201"/>
      <c r="W25" s="201"/>
      <c r="X25" s="201"/>
      <c r="Y25" s="201"/>
      <c r="Z25" s="201"/>
      <c r="AA25" s="201"/>
      <c r="AB25" s="201"/>
      <c r="AC25" s="201"/>
      <c r="AD25" s="201"/>
      <c r="AE25" s="201"/>
      <c r="AF25" s="201"/>
      <c r="AG25" s="201"/>
      <c r="AH25" s="201"/>
      <c r="AI25" s="201"/>
      <c r="AJ25" s="201"/>
      <c r="AK25" s="220">
        <v>0.03</v>
      </c>
      <c r="AL25" s="220">
        <f t="shared" si="4"/>
        <v>1.0003</v>
      </c>
      <c r="AM25" s="220">
        <f t="shared" si="5"/>
        <v>1.008112112</v>
      </c>
      <c r="AN25" s="201"/>
      <c r="AO25" s="201"/>
      <c r="AP25" s="201"/>
    </row>
    <row r="26" ht="15.75" customHeight="1">
      <c r="A26" s="184" t="s">
        <v>183</v>
      </c>
      <c r="B26" s="185" t="str">
        <f>VLOOKUP(A26,Jobmatch!A:G,2,0)</f>
        <v>TECNICO ANALISTA DE CUSTOS</v>
      </c>
      <c r="C26" s="186">
        <f>IFERROR(AVERAGEIF('Folha de Pagamento'!A:A,A26,'Folha de Pagamento'!J:J),"")</f>
        <v>7000</v>
      </c>
      <c r="D26" s="187">
        <v>5.0</v>
      </c>
      <c r="E26" s="185" t="str">
        <f>VLOOKUP(A26,Jobmatch!A:H,3,0)</f>
        <v>Edificação</v>
      </c>
      <c r="F26" s="188" t="s">
        <v>349</v>
      </c>
      <c r="G26" s="190" t="str">
        <f>VLOOKUP(A26,Jobmatch!A:I,4,0)</f>
        <v>60 - ADM PROJETOS</v>
      </c>
      <c r="H26" s="191" t="str">
        <f>VLOOKUP(A26,Jobmatch!A:I,5,0)</f>
        <v>Operacional</v>
      </c>
      <c r="I26" s="192">
        <f>VLOOKUP(A26,Jobmatch!A:I,6,0)</f>
        <v>876</v>
      </c>
      <c r="J26" s="190" t="str">
        <f>VLOOKUP(A26,Jobmatch!A:I,7,0)</f>
        <v>Analista de Custos</v>
      </c>
      <c r="K26" s="193" t="str">
        <f>VLOOKUP(A26,Jobmatch!A:I,8,0)</f>
        <v>Indiferente</v>
      </c>
      <c r="L26" s="194" t="str">
        <f t="shared" si="2"/>
        <v>876Indiferente</v>
      </c>
      <c r="M26" s="195">
        <f>COUNTIF('Folha de Pagamento'!A:A,A26)</f>
        <v>3</v>
      </c>
      <c r="N26" s="238">
        <v>17.0</v>
      </c>
      <c r="O26" s="196">
        <f>IFERROR(VLOOKUP(L26,'C-01'!$D:$L,5,0),"")</f>
        <v>6868.23</v>
      </c>
      <c r="P26" s="196">
        <f>IFERROR(VLOOKUP(L26,'C-01'!$D:$L,6,0),"")</f>
        <v>7611.25</v>
      </c>
      <c r="Q26" s="196">
        <f>IFERROR(VLOOKUP(L26,'C-01'!$D:$L,7,0),"")</f>
        <v>7320.76</v>
      </c>
      <c r="R26" s="196">
        <f>IFERROR(VLOOKUP(L26,'C-01'!$D:$L,8,0),"")</f>
        <v>8153.71</v>
      </c>
      <c r="S26" s="197">
        <f>IFERROR(VLOOKUP(L26,'C-01'!$D:$L,9,0),"")</f>
        <v>9161.15</v>
      </c>
      <c r="T26" s="198">
        <f>IFS('Painel Geral'!$B$5="Mediana",IFERROR(IF(OR(C26="",Q26=0,Q26=""),"",($C26/$Q26)),""),'Painel Geral'!$B$5="Menor Salário",IFERROR(IF(OR(C26="",Q26=0,Q26=""),"",($C26/$N26)),""),'Painel Geral'!$B$5="1º Quartil",IFERROR(IF(OR(C26="",Q26=0,Q26=""),"",($C26/$O26)),""), 'Painel Geral'!$B$5="Média",IFERROR(IF(OR(C26="",Q26=0,Q26=""),"",($C26/$P26)),""),'Painel Geral'!$B$5="3º Quartil",IFERROR(IF(OR(C26="",Q26=0,Q26=""),"",($C26/$R26)),""),'Painel Geral'!$B$5="Maior Salário",IFERROR(IF(OR(C26="",Q26=0,Q26=""),"",($C26/$S26)),""))</f>
        <v>0.956184877</v>
      </c>
      <c r="U26" s="199" t="str">
        <f t="shared" si="3"/>
        <v>Na Média</v>
      </c>
      <c r="V26" s="201"/>
      <c r="W26" s="201"/>
      <c r="X26" s="201"/>
      <c r="Y26" s="201"/>
      <c r="Z26" s="201"/>
      <c r="AA26" s="201"/>
      <c r="AB26" s="201"/>
      <c r="AC26" s="201"/>
      <c r="AD26" s="201"/>
      <c r="AE26" s="201"/>
      <c r="AF26" s="201"/>
      <c r="AG26" s="201"/>
      <c r="AH26" s="201"/>
      <c r="AI26" s="201"/>
      <c r="AJ26" s="201"/>
      <c r="AK26" s="220"/>
      <c r="AL26" s="220"/>
      <c r="AM26" s="220"/>
      <c r="AN26" s="201"/>
      <c r="AO26" s="201"/>
      <c r="AP26" s="201"/>
    </row>
    <row r="27" ht="15.75" customHeight="1">
      <c r="A27" s="184" t="s">
        <v>125</v>
      </c>
      <c r="B27" s="185" t="str">
        <f>VLOOKUP(A27,Jobmatch!A:G,2,0)</f>
        <v>ENCARREGADO OBRAS/MANUTENCAO</v>
      </c>
      <c r="C27" s="186">
        <f>IFERROR(AVERAGEIF('Folha de Pagamento'!A:A,A27,'Folha de Pagamento'!J:J),"")</f>
        <v>8714</v>
      </c>
      <c r="D27" s="187">
        <v>5.0</v>
      </c>
      <c r="E27" s="185" t="str">
        <f>VLOOKUP(A27,Jobmatch!A:H,3,0)</f>
        <v>Edificação</v>
      </c>
      <c r="F27" s="188" t="s">
        <v>346</v>
      </c>
      <c r="G27" s="190" t="str">
        <f>VLOOKUP(A27,Jobmatch!A:I,4,0)</f>
        <v>42 - ADM PROJETOS</v>
      </c>
      <c r="H27" s="191" t="str">
        <f>VLOOKUP(A27,Jobmatch!A:I,5,0)</f>
        <v>Operacional</v>
      </c>
      <c r="I27" s="192">
        <f>VLOOKUP(A27,Jobmatch!A:I,6,0)</f>
        <v>470</v>
      </c>
      <c r="J27" s="190" t="str">
        <f>VLOOKUP(A27,Jobmatch!A:I,7,0)</f>
        <v>Mestre de Obras</v>
      </c>
      <c r="K27" s="193" t="str">
        <f>VLOOKUP(A27,Jobmatch!A:I,8,0)</f>
        <v>Indiferente</v>
      </c>
      <c r="L27" s="194" t="str">
        <f t="shared" si="2"/>
        <v>470Indiferente</v>
      </c>
      <c r="M27" s="195">
        <f>COUNTIF('Folha de Pagamento'!A:A,A27)</f>
        <v>1</v>
      </c>
      <c r="N27" s="238">
        <v>17.0</v>
      </c>
      <c r="O27" s="196">
        <f>IFERROR(VLOOKUP(L27,'C-01'!$D:$L,5,0),"")</f>
        <v>5530.26</v>
      </c>
      <c r="P27" s="196">
        <f>IFERROR(VLOOKUP(L27,'C-01'!$D:$L,6,0),"")</f>
        <v>7689.13</v>
      </c>
      <c r="Q27" s="196">
        <f>IFERROR(VLOOKUP(L27,'C-01'!$D:$L,7,0),"")</f>
        <v>7460.82</v>
      </c>
      <c r="R27" s="196">
        <f>IFERROR(VLOOKUP(L27,'C-01'!$D:$L,8,0),"")</f>
        <v>9785.54</v>
      </c>
      <c r="S27" s="197">
        <f>IFERROR(VLOOKUP(L27,'C-01'!$D:$L,9,0),"")</f>
        <v>11138.95</v>
      </c>
      <c r="T27" s="198">
        <f>IFS('Painel Geral'!$B$5="Mediana",IFERROR(IF(OR(C27="",Q27=0,Q27=""),"",($C27/$Q27)),""),'Painel Geral'!$B$5="Menor Salário",IFERROR(IF(OR(C27="",Q27=0,Q27=""),"",($C27/$N27)),""),'Painel Geral'!$B$5="1º Quartil",IFERROR(IF(OR(C27="",Q27=0,Q27=""),"",($C27/$O27)),""), 'Painel Geral'!$B$5="Média",IFERROR(IF(OR(C27="",Q27=0,Q27=""),"",($C27/$P27)),""),'Painel Geral'!$B$5="3º Quartil",IFERROR(IF(OR(C27="",Q27=0,Q27=""),"",($C27/$R27)),""),'Painel Geral'!$B$5="Maior Salário",IFERROR(IF(OR(C27="",Q27=0,Q27=""),"",($C27/$S27)),""))</f>
        <v>1.167968132</v>
      </c>
      <c r="U27" s="199" t="str">
        <f t="shared" si="3"/>
        <v>Muito Competitivo</v>
      </c>
      <c r="V27" s="201"/>
      <c r="W27" s="201"/>
      <c r="X27" s="201"/>
      <c r="Y27" s="201"/>
      <c r="Z27" s="201"/>
      <c r="AA27" s="201"/>
      <c r="AB27" s="201"/>
      <c r="AC27" s="201"/>
      <c r="AD27" s="201"/>
      <c r="AE27" s="201"/>
      <c r="AF27" s="201"/>
      <c r="AG27" s="201"/>
      <c r="AH27" s="201"/>
      <c r="AI27" s="201"/>
      <c r="AJ27" s="201"/>
      <c r="AK27" s="201"/>
      <c r="AL27" s="201"/>
      <c r="AM27" s="201"/>
      <c r="AN27" s="224">
        <f>AM25</f>
        <v>1.008112112</v>
      </c>
      <c r="AO27" s="201"/>
      <c r="AP27" s="201"/>
    </row>
    <row r="28" ht="15.75" customHeight="1">
      <c r="A28" s="184" t="s">
        <v>123</v>
      </c>
      <c r="B28" s="185" t="str">
        <f>VLOOKUP(A28,Jobmatch!A:G,2,0)</f>
        <v>ENCARREGADO DE OBRAS</v>
      </c>
      <c r="C28" s="186">
        <f>IFERROR(AVERAGEIF('Folha de Pagamento'!A:A,A28,'Folha de Pagamento'!J:J),"")</f>
        <v>10000.5</v>
      </c>
      <c r="D28" s="187">
        <v>10.0</v>
      </c>
      <c r="E28" s="185" t="str">
        <f>VLOOKUP(A28,Jobmatch!A:H,3,0)</f>
        <v>Urbanismo</v>
      </c>
      <c r="F28" s="188" t="s">
        <v>372</v>
      </c>
      <c r="G28" s="190" t="str">
        <f>VLOOKUP(A28,Jobmatch!A:I,4,0)</f>
        <v>41 - ADM PROJETOS</v>
      </c>
      <c r="H28" s="191" t="str">
        <f>VLOOKUP(A28,Jobmatch!A:I,5,0)</f>
        <v>Operacional</v>
      </c>
      <c r="I28" s="192">
        <f>VLOOKUP(A28,Jobmatch!A:I,6,0)</f>
        <v>470</v>
      </c>
      <c r="J28" s="190" t="str">
        <f>VLOOKUP(A28,Jobmatch!A:I,7,0)</f>
        <v>Mestre de Obras</v>
      </c>
      <c r="K28" s="193" t="str">
        <f>VLOOKUP(A28,Jobmatch!A:I,8,0)</f>
        <v>Indiferente</v>
      </c>
      <c r="L28" s="194" t="str">
        <f t="shared" si="2"/>
        <v>470Indiferente</v>
      </c>
      <c r="M28" s="195">
        <f>COUNTIF('Folha de Pagamento'!A:A,A28)</f>
        <v>2</v>
      </c>
      <c r="N28" s="238">
        <v>17.0</v>
      </c>
      <c r="O28" s="196">
        <f>IFERROR(VLOOKUP(L28,'C-01'!$D:$L,5,0),"")</f>
        <v>5530.26</v>
      </c>
      <c r="P28" s="196">
        <f>IFERROR(VLOOKUP(L28,'C-01'!$D:$L,6,0),"")</f>
        <v>7689.13</v>
      </c>
      <c r="Q28" s="196">
        <f>IFERROR(VLOOKUP(L28,'C-01'!$D:$L,7,0),"")</f>
        <v>7460.82</v>
      </c>
      <c r="R28" s="196">
        <f>IFERROR(VLOOKUP(L28,'C-01'!$D:$L,8,0),"")</f>
        <v>9785.54</v>
      </c>
      <c r="S28" s="197">
        <f>IFERROR(VLOOKUP(L28,'C-01'!$D:$L,9,0),"")</f>
        <v>11138.95</v>
      </c>
      <c r="T28" s="198">
        <f>IFS('Painel Geral'!$B$5="Mediana",IFERROR(IF(OR(C28="",Q28=0,Q28=""),"",($C28/$Q28)),""),'Painel Geral'!$B$5="Menor Salário",IFERROR(IF(OR(C28="",Q28=0,Q28=""),"",($C28/$N28)),""),'Painel Geral'!$B$5="1º Quartil",IFERROR(IF(OR(C28="",Q28=0,Q28=""),"",($C28/$O28)),""), 'Painel Geral'!$B$5="Média",IFERROR(IF(OR(C28="",Q28=0,Q28=""),"",($C28/$P28)),""),'Painel Geral'!$B$5="3º Quartil",IFERROR(IF(OR(C28="",Q28=0,Q28=""),"",($C28/$R28)),""),'Painel Geral'!$B$5="Maior Salário",IFERROR(IF(OR(C28="",Q28=0,Q28=""),"",($C28/$S28)),""))</f>
        <v>1.340402261</v>
      </c>
      <c r="U28" s="199" t="str">
        <f t="shared" si="3"/>
        <v>Agressivo</v>
      </c>
      <c r="V28" s="201"/>
      <c r="W28" s="201"/>
      <c r="X28" s="201"/>
      <c r="Y28" s="201"/>
      <c r="Z28" s="201"/>
      <c r="AA28" s="201"/>
      <c r="AB28" s="201"/>
      <c r="AC28" s="201"/>
      <c r="AD28" s="201"/>
      <c r="AE28" s="201"/>
      <c r="AF28" s="201"/>
      <c r="AG28" s="201"/>
      <c r="AH28" s="201"/>
      <c r="AI28" s="201"/>
      <c r="AJ28" s="201"/>
      <c r="AK28" s="201"/>
      <c r="AL28" s="201"/>
      <c r="AM28" s="201"/>
      <c r="AN28" s="201"/>
      <c r="AO28" s="201"/>
      <c r="AP28" s="201"/>
    </row>
    <row r="29" ht="15.75" customHeight="1">
      <c r="A29" s="184" t="s">
        <v>115</v>
      </c>
      <c r="B29" s="185" t="str">
        <f>VLOOKUP(A29,Jobmatch!A:G,2,0)</f>
        <v>COORDENADOR FINANCEIRO</v>
      </c>
      <c r="C29" s="186">
        <f>IFERROR(AVERAGEIF('Folha de Pagamento'!A:A,A29,'Folha de Pagamento'!J:J),"")</f>
        <v>7947.019868</v>
      </c>
      <c r="D29" s="187">
        <v>6.0</v>
      </c>
      <c r="E29" s="185" t="str">
        <f>VLOOKUP(A29,Jobmatch!A:H,3,0)</f>
        <v>Financeiro</v>
      </c>
      <c r="F29" s="188" t="s">
        <v>276</v>
      </c>
      <c r="G29" s="190" t="str">
        <f>VLOOKUP(A29,Jobmatch!A:I,4,0)</f>
        <v>39 - ADM PROJETOS</v>
      </c>
      <c r="H29" s="191" t="str">
        <f>VLOOKUP(A29,Jobmatch!A:I,5,0)</f>
        <v>Tático</v>
      </c>
      <c r="I29" s="192">
        <f>VLOOKUP(A29,Jobmatch!A:I,6,0)</f>
        <v>122</v>
      </c>
      <c r="J29" s="190" t="str">
        <f>VLOOKUP(A29,Jobmatch!A:I,7,0)</f>
        <v>Coordenador Financeiro</v>
      </c>
      <c r="K29" s="193" t="str">
        <f>VLOOKUP(A29,Jobmatch!A:I,8,0)</f>
        <v>Indiferente</v>
      </c>
      <c r="L29" s="194" t="str">
        <f t="shared" si="2"/>
        <v>122Indiferente</v>
      </c>
      <c r="M29" s="195">
        <f>COUNTIF('Folha de Pagamento'!A:A,A29)</f>
        <v>1</v>
      </c>
      <c r="N29" s="238">
        <v>18.0</v>
      </c>
      <c r="O29" s="196">
        <f>IFERROR(VLOOKUP(L29,'C-01'!$D:$L,5,0),"")</f>
        <v>6325.01</v>
      </c>
      <c r="P29" s="196">
        <f>IFERROR(VLOOKUP(L29,'C-01'!$D:$L,6,0),"")</f>
        <v>7452.59</v>
      </c>
      <c r="Q29" s="196">
        <f>IFERROR(VLOOKUP(L29,'C-01'!$D:$L,7,0),"")</f>
        <v>7558.57</v>
      </c>
      <c r="R29" s="196">
        <f>IFERROR(VLOOKUP(L29,'C-01'!$D:$L,8,0),"")</f>
        <v>8691.7</v>
      </c>
      <c r="S29" s="197">
        <f>IFERROR(VLOOKUP(L29,'C-01'!$D:$L,9,0),"")</f>
        <v>9982.25</v>
      </c>
      <c r="T29" s="198">
        <f>IFS('Painel Geral'!$B$5="Mediana",IFERROR(IF(OR(C29="",Q29=0,Q29=""),"",($C29/$Q29)),""),'Painel Geral'!$B$5="Menor Salário",IFERROR(IF(OR(C29="",Q29=0,Q29=""),"",($C29/$N29)),""),'Painel Geral'!$B$5="1º Quartil",IFERROR(IF(OR(C29="",Q29=0,Q29=""),"",($C29/$O29)),""), 'Painel Geral'!$B$5="Média",IFERROR(IF(OR(C29="",Q29=0,Q29=""),"",($C29/$P29)),""),'Painel Geral'!$B$5="3º Quartil",IFERROR(IF(OR(C29="",Q29=0,Q29=""),"",($C29/$R29)),""),'Painel Geral'!$B$5="Maior Salário",IFERROR(IF(OR(C29="",Q29=0,Q29=""),"",($C29/$S29)),""))</f>
        <v>1.051391979</v>
      </c>
      <c r="U29" s="199" t="str">
        <f t="shared" si="3"/>
        <v>Competitivo</v>
      </c>
      <c r="V29" s="201"/>
      <c r="W29" s="201"/>
      <c r="X29" s="201"/>
      <c r="Y29" s="201"/>
      <c r="Z29" s="201"/>
      <c r="AA29" s="201"/>
      <c r="AB29" s="201"/>
      <c r="AC29" s="201"/>
      <c r="AD29" s="201"/>
      <c r="AE29" s="201"/>
      <c r="AF29" s="201"/>
      <c r="AG29" s="201"/>
      <c r="AH29" s="201"/>
      <c r="AI29" s="201"/>
      <c r="AJ29" s="201"/>
      <c r="AK29" s="201"/>
      <c r="AL29" s="201"/>
      <c r="AM29" s="201"/>
      <c r="AN29" s="227"/>
      <c r="AO29" s="201"/>
      <c r="AP29" s="201"/>
    </row>
    <row r="30" ht="15.75" customHeight="1">
      <c r="A30" s="184" t="s">
        <v>48</v>
      </c>
      <c r="B30" s="185" t="str">
        <f>VLOOKUP(A30,Jobmatch!A:G,2,0)</f>
        <v>ANALISTA DE URBANISMO</v>
      </c>
      <c r="C30" s="186">
        <f>IFERROR(AVERAGEIF('Folha de Pagamento'!A:A,A30,'Folha de Pagamento'!J:J),"")</f>
        <v>5830</v>
      </c>
      <c r="D30" s="187">
        <v>10.0</v>
      </c>
      <c r="E30" s="185" t="str">
        <f>VLOOKUP(A30,Jobmatch!A:H,3,0)</f>
        <v>Urbanismo</v>
      </c>
      <c r="F30" s="188" t="s">
        <v>370</v>
      </c>
      <c r="G30" s="190" t="str">
        <f>VLOOKUP(A30,Jobmatch!A:I,4,0)</f>
        <v>15 - ADM PROJETOS</v>
      </c>
      <c r="H30" s="191" t="str">
        <f>VLOOKUP(A30,Jobmatch!A:I,5,0)</f>
        <v>Operacional</v>
      </c>
      <c r="I30" s="192">
        <f>VLOOKUP(A30,Jobmatch!A:I,6,0)</f>
        <v>1199</v>
      </c>
      <c r="J30" s="190" t="str">
        <f>VLOOKUP(A30,Jobmatch!A:I,7,0)</f>
        <v>Analista de Urbanismo</v>
      </c>
      <c r="K30" s="193" t="str">
        <f>VLOOKUP(A30,Jobmatch!A:I,8,0)</f>
        <v>Indiferente</v>
      </c>
      <c r="L30" s="194" t="str">
        <f t="shared" si="2"/>
        <v>1199Indiferente</v>
      </c>
      <c r="M30" s="195">
        <f>COUNTIF('Folha de Pagamento'!A:A,A30)</f>
        <v>1</v>
      </c>
      <c r="N30" s="238">
        <v>18.0</v>
      </c>
      <c r="O30" s="196">
        <f>IFERROR(VLOOKUP(L30,'C-01'!$D:$L,5,0),"")</f>
        <v>6091.54</v>
      </c>
      <c r="P30" s="196">
        <f>IFERROR(VLOOKUP(L30,'C-01'!$D:$L,6,0),"")</f>
        <v>7637.46</v>
      </c>
      <c r="Q30" s="196">
        <f>IFERROR(VLOOKUP(L30,'C-01'!$D:$L,7,0),"")</f>
        <v>7848.45</v>
      </c>
      <c r="R30" s="196">
        <f>IFERROR(VLOOKUP(L30,'C-01'!$D:$L,8,0),"")</f>
        <v>9161.15</v>
      </c>
      <c r="S30" s="197">
        <f>IFERROR(VLOOKUP(L30,'C-01'!$D:$L,9,0),"")</f>
        <v>9161.15</v>
      </c>
      <c r="T30" s="198">
        <f>IFS('Painel Geral'!$B$5="Mediana",IFERROR(IF(OR(C30="",Q30=0,Q30=""),"",($C30/$Q30)),""),'Painel Geral'!$B$5="Menor Salário",IFERROR(IF(OR(C30="",Q30=0,Q30=""),"",($C30/$N30)),""),'Painel Geral'!$B$5="1º Quartil",IFERROR(IF(OR(C30="",Q30=0,Q30=""),"",($C30/$O30)),""), 'Painel Geral'!$B$5="Média",IFERROR(IF(OR(C30="",Q30=0,Q30=""),"",($C30/$P30)),""),'Painel Geral'!$B$5="3º Quartil",IFERROR(IF(OR(C30="",Q30=0,Q30=""),"",($C30/$R30)),""),'Painel Geral'!$B$5="Maior Salário",IFERROR(IF(OR(C30="",Q30=0,Q30=""),"",($C30/$S30)),""))</f>
        <v>0.7428218311</v>
      </c>
      <c r="U30" s="199" t="str">
        <f t="shared" si="3"/>
        <v>Muito Defasado</v>
      </c>
      <c r="V30" s="201"/>
      <c r="W30" s="201"/>
      <c r="X30" s="201"/>
      <c r="Y30" s="219">
        <v>1907.0</v>
      </c>
      <c r="Z30" s="225">
        <v>1922.4697976947134</v>
      </c>
      <c r="AA30" s="226">
        <v>2306.963757233656</v>
      </c>
      <c r="AB30" s="221"/>
      <c r="AC30" s="221"/>
      <c r="AD30" s="201"/>
      <c r="AE30" s="201"/>
      <c r="AF30" s="201"/>
      <c r="AG30" s="201"/>
      <c r="AH30" s="201"/>
      <c r="AI30" s="201"/>
      <c r="AJ30" s="201"/>
      <c r="AK30" s="201"/>
      <c r="AL30" s="201"/>
      <c r="AM30" s="201"/>
      <c r="AN30" s="201"/>
      <c r="AO30" s="201"/>
      <c r="AP30" s="201"/>
    </row>
    <row r="31" ht="15.75" customHeight="1">
      <c r="A31" s="184" t="s">
        <v>106</v>
      </c>
      <c r="B31" s="185" t="str">
        <f>VLOOKUP(A31,Jobmatch!A:G,2,0)</f>
        <v>COORDENADOR DE MARKETING II</v>
      </c>
      <c r="C31" s="186">
        <f>IFERROR(AVERAGEIF('Folha de Pagamento'!A:A,A31,'Folha de Pagamento'!J:J),"")</f>
        <v>8647</v>
      </c>
      <c r="D31" s="187">
        <v>8.0</v>
      </c>
      <c r="E31" s="185" t="str">
        <f>VLOOKUP(A31,Jobmatch!A:H,3,0)</f>
        <v>Marketing</v>
      </c>
      <c r="F31" s="188" t="s">
        <v>363</v>
      </c>
      <c r="G31" s="190" t="str">
        <f>VLOOKUP(A31,Jobmatch!A:I,4,0)</f>
        <v>36 - ADM PROJETOS</v>
      </c>
      <c r="H31" s="191" t="str">
        <f>VLOOKUP(A31,Jobmatch!A:I,5,0)</f>
        <v>Tático</v>
      </c>
      <c r="I31" s="192">
        <f>VLOOKUP(A31,Jobmatch!A:I,6,0)</f>
        <v>56</v>
      </c>
      <c r="J31" s="190" t="str">
        <f>VLOOKUP(A31,Jobmatch!A:I,7,0)</f>
        <v>Coordenador de Marketing</v>
      </c>
      <c r="K31" s="193" t="str">
        <f>VLOOKUP(A31,Jobmatch!A:I,8,0)</f>
        <v>Indiferente</v>
      </c>
      <c r="L31" s="194" t="str">
        <f t="shared" si="2"/>
        <v>56Indiferente</v>
      </c>
      <c r="M31" s="195">
        <f>COUNTIF('Folha de Pagamento'!A:A,A31)</f>
        <v>1</v>
      </c>
      <c r="N31" s="238">
        <v>18.0</v>
      </c>
      <c r="O31" s="196">
        <f>IFERROR(VLOOKUP(L31,'C-01'!$D:$L,5,0),"")</f>
        <v>7141.59</v>
      </c>
      <c r="P31" s="196">
        <f>IFERROR(VLOOKUP(L31,'C-01'!$D:$L,6,0),"")</f>
        <v>7927.07</v>
      </c>
      <c r="Q31" s="196">
        <f>IFERROR(VLOOKUP(L31,'C-01'!$D:$L,7,0),"")</f>
        <v>7958.59</v>
      </c>
      <c r="R31" s="196">
        <f>IFERROR(VLOOKUP(L31,'C-01'!$D:$L,8,0),"")</f>
        <v>8825.19</v>
      </c>
      <c r="S31" s="197">
        <f>IFERROR(VLOOKUP(L31,'C-01'!$D:$L,9,0),"")</f>
        <v>10531.61</v>
      </c>
      <c r="T31" s="198">
        <f>IFS('Painel Geral'!$B$5="Mediana",IFERROR(IF(OR(C31="",Q31=0,Q31=""),"",($C31/$Q31)),""),'Painel Geral'!$B$5="Menor Salário",IFERROR(IF(OR(C31="",Q31=0,Q31=""),"",($C31/$N31)),""),'Painel Geral'!$B$5="1º Quartil",IFERROR(IF(OR(C31="",Q31=0,Q31=""),"",($C31/$O31)),""), 'Painel Geral'!$B$5="Média",IFERROR(IF(OR(C31="",Q31=0,Q31=""),"",($C31/$P31)),""),'Painel Geral'!$B$5="3º Quartil",IFERROR(IF(OR(C31="",Q31=0,Q31=""),"",($C31/$R31)),""),'Painel Geral'!$B$5="Maior Salário",IFERROR(IF(OR(C31="",Q31=0,Q31=""),"",($C31/$S31)),""))</f>
        <v>1.08649899</v>
      </c>
      <c r="U31" s="199" t="str">
        <f t="shared" si="3"/>
        <v>Competitivo</v>
      </c>
      <c r="V31" s="201"/>
      <c r="W31" s="201"/>
      <c r="X31" s="201"/>
      <c r="Y31" s="228">
        <v>0.8</v>
      </c>
      <c r="Z31" s="229" t="s">
        <v>376</v>
      </c>
      <c r="AA31" s="228">
        <v>1.0</v>
      </c>
      <c r="AB31" s="234"/>
      <c r="AC31" s="231"/>
      <c r="AD31" s="201"/>
      <c r="AE31" s="201"/>
      <c r="AF31" s="201"/>
      <c r="AG31" s="201"/>
      <c r="AH31" s="201"/>
      <c r="AI31" s="201"/>
      <c r="AJ31" s="201"/>
      <c r="AK31" s="201"/>
      <c r="AL31" s="201"/>
      <c r="AM31" s="201"/>
      <c r="AN31" s="201">
        <f>AN29/AN27</f>
        <v>0</v>
      </c>
      <c r="AO31" s="201"/>
      <c r="AP31" s="201"/>
    </row>
    <row r="32" ht="15.75" customHeight="1">
      <c r="A32" s="184" t="s">
        <v>104</v>
      </c>
      <c r="B32" s="185" t="str">
        <f>VLOOKUP(A32,Jobmatch!A:G,2,0)</f>
        <v>COORDENADOR DE LEGAIZAÇÃO ll</v>
      </c>
      <c r="C32" s="186">
        <f>IFERROR(AVERAGEIF('Folha de Pagamento'!A:A,A32,'Folha de Pagamento'!J:J),"")</f>
        <v>8647</v>
      </c>
      <c r="D32" s="187">
        <v>7.0</v>
      </c>
      <c r="E32" s="185" t="str">
        <f>VLOOKUP(A32,Jobmatch!A:H,3,0)</f>
        <v>Legalização </v>
      </c>
      <c r="F32" s="188" t="s">
        <v>359</v>
      </c>
      <c r="G32" s="190" t="str">
        <f>VLOOKUP(A32,Jobmatch!A:I,4,0)</f>
        <v>35 - ADM PROJETOS</v>
      </c>
      <c r="H32" s="191" t="str">
        <f>VLOOKUP(A32,Jobmatch!A:I,5,0)</f>
        <v>Tático</v>
      </c>
      <c r="I32" s="192">
        <f>VLOOKUP(A32,Jobmatch!A:I,6,0)</f>
        <v>1203</v>
      </c>
      <c r="J32" s="190" t="str">
        <f>VLOOKUP(A32,Jobmatch!A:I,7,0)</f>
        <v>Coordenador de Legalização</v>
      </c>
      <c r="K32" s="193" t="str">
        <f>VLOOKUP(A32,Jobmatch!A:I,8,0)</f>
        <v>Indiferente</v>
      </c>
      <c r="L32" s="194" t="str">
        <f t="shared" si="2"/>
        <v>1203Indiferente</v>
      </c>
      <c r="M32" s="195">
        <f>COUNTIF('Folha de Pagamento'!A:A,A32)</f>
        <v>1</v>
      </c>
      <c r="N32" s="238">
        <v>19.0</v>
      </c>
      <c r="O32" s="196">
        <f>IFERROR(VLOOKUP(L32,'C-01'!$D:$L,5,0),"")</f>
        <v>8783.31</v>
      </c>
      <c r="P32" s="196">
        <f>IFERROR(VLOOKUP(L32,'C-01'!$D:$L,6,0),"")</f>
        <v>8872.04</v>
      </c>
      <c r="Q32" s="196">
        <f>IFERROR(VLOOKUP(L32,'C-01'!$D:$L,7,0),"")</f>
        <v>8872.04</v>
      </c>
      <c r="R32" s="196">
        <f>IFERROR(VLOOKUP(L32,'C-01'!$D:$L,8,0),"")</f>
        <v>8960.78</v>
      </c>
      <c r="S32" s="197">
        <f>IFERROR(VLOOKUP(L32,'C-01'!$D:$L,9,0),"")</f>
        <v>9049.51</v>
      </c>
      <c r="T32" s="198">
        <f>IFS('Painel Geral'!$B$5="Mediana",IFERROR(IF(OR(C32="",Q32=0,Q32=""),"",($C32/$Q32)),""),'Painel Geral'!$B$5="Menor Salário",IFERROR(IF(OR(C32="",Q32=0,Q32=""),"",($C32/$N32)),""),'Painel Geral'!$B$5="1º Quartil",IFERROR(IF(OR(C32="",Q32=0,Q32=""),"",($C32/$O32)),""), 'Painel Geral'!$B$5="Média",IFERROR(IF(OR(C32="",Q32=0,Q32=""),"",($C32/$P32)),""),'Painel Geral'!$B$5="3º Quartil",IFERROR(IF(OR(C32="",Q32=0,Q32=""),"",($C32/$R32)),""),'Painel Geral'!$B$5="Maior Salário",IFERROR(IF(OR(C32="",Q32=0,Q32=""),"",($C32/$S32)),""))</f>
        <v>0.9746349205</v>
      </c>
      <c r="U32" s="199" t="str">
        <f t="shared" si="3"/>
        <v>Na Média</v>
      </c>
      <c r="V32" s="201"/>
      <c r="W32" s="201"/>
      <c r="X32" s="201"/>
      <c r="Y32" s="220">
        <f>AA32*0.8</f>
        <v>1705.432</v>
      </c>
      <c r="Z32" s="232">
        <v>11.0</v>
      </c>
      <c r="AA32" s="233">
        <f t="shared" ref="AA32:AA46" si="6">-20120+4322*Z32-298*Z32*Z32+8.09*Z32*Z32*Z32</f>
        <v>2131.79</v>
      </c>
      <c r="AB32" s="234"/>
      <c r="AC32" s="235">
        <f>$Z$30*1.2</f>
        <v>2306.963757</v>
      </c>
      <c r="AD32" s="201"/>
      <c r="AE32" s="201"/>
      <c r="AF32" s="201"/>
      <c r="AG32" s="201"/>
      <c r="AH32" s="201"/>
      <c r="AI32" s="201"/>
      <c r="AJ32" s="201"/>
      <c r="AK32" s="201"/>
      <c r="AL32" s="201"/>
      <c r="AM32" s="201"/>
      <c r="AN32" s="201"/>
      <c r="AO32" s="201"/>
      <c r="AP32" s="201"/>
    </row>
    <row r="33" ht="15.75" customHeight="1">
      <c r="A33" s="184" t="s">
        <v>146</v>
      </c>
      <c r="B33" s="185" t="str">
        <f>VLOOKUP(A33,Jobmatch!A:G,2,0)</f>
        <v>GERENTE ADMINISTRATIVA </v>
      </c>
      <c r="C33" s="186">
        <f>IFERROR(AVERAGEIF('Folha de Pagamento'!A:A,A33,'Folha de Pagamento'!J:J),"")</f>
        <v>12242.42424</v>
      </c>
      <c r="D33" s="187">
        <v>1.0</v>
      </c>
      <c r="E33" s="185" t="str">
        <f>VLOOKUP(A33,Jobmatch!A:H,3,0)</f>
        <v>Administrativo</v>
      </c>
      <c r="F33" s="188" t="s">
        <v>331</v>
      </c>
      <c r="G33" s="190" t="str">
        <f>VLOOKUP(A33,Jobmatch!A:I,4,0)</f>
        <v>49 - ADM PROJETOS</v>
      </c>
      <c r="H33" s="191" t="str">
        <f>VLOOKUP(A33,Jobmatch!A:I,5,0)</f>
        <v>Tático</v>
      </c>
      <c r="I33" s="192">
        <f>VLOOKUP(A33,Jobmatch!A:I,6,0)</f>
        <v>106</v>
      </c>
      <c r="J33" s="190" t="str">
        <f>VLOOKUP(A33,Jobmatch!A:I,7,0)</f>
        <v>Gerente Administrativo</v>
      </c>
      <c r="K33" s="193" t="str">
        <f>VLOOKUP(A33,Jobmatch!A:I,8,0)</f>
        <v>Indiferente</v>
      </c>
      <c r="L33" s="194" t="str">
        <f t="shared" si="2"/>
        <v>106Indiferente</v>
      </c>
      <c r="M33" s="195">
        <f>COUNTIF('Folha de Pagamento'!A:A,A33)</f>
        <v>2</v>
      </c>
      <c r="N33" s="238">
        <v>19.0</v>
      </c>
      <c r="O33" s="196">
        <f>IFERROR(VLOOKUP(L33,'C-01'!$D:$L,5,0),"")</f>
        <v>6616.13</v>
      </c>
      <c r="P33" s="196">
        <f>IFERROR(VLOOKUP(L33,'C-01'!$D:$L,6,0),"")</f>
        <v>9881.52</v>
      </c>
      <c r="Q33" s="196">
        <f>IFERROR(VLOOKUP(L33,'C-01'!$D:$L,7,0),"")</f>
        <v>10052.23</v>
      </c>
      <c r="R33" s="196">
        <f>IFERROR(VLOOKUP(L33,'C-01'!$D:$L,8,0),"")</f>
        <v>12479.94</v>
      </c>
      <c r="S33" s="197">
        <f>IFERROR(VLOOKUP(L33,'C-01'!$D:$L,9,0),"")</f>
        <v>15257.82</v>
      </c>
      <c r="T33" s="198">
        <f>IFS('Painel Geral'!$B$5="Mediana",IFERROR(IF(OR(C33="",Q33=0,Q33=""),"",($C33/$Q33)),""),'Painel Geral'!$B$5="Menor Salário",IFERROR(IF(OR(C33="",Q33=0,Q33=""),"",($C33/$N33)),""),'Painel Geral'!$B$5="1º Quartil",IFERROR(IF(OR(C33="",Q33=0,Q33=""),"",($C33/$O33)),""), 'Painel Geral'!$B$5="Média",IFERROR(IF(OR(C33="",Q33=0,Q33=""),"",($C33/$P33)),""),'Painel Geral'!$B$5="3º Quartil",IFERROR(IF(OR(C33="",Q33=0,Q33=""),"",($C33/$R33)),""),'Painel Geral'!$B$5="Maior Salário",IFERROR(IF(OR(C33="",Q33=0,Q33=""),"",($C33/$S33)),""))</f>
        <v>1.21788143</v>
      </c>
      <c r="U33" s="199" t="str">
        <f t="shared" si="3"/>
        <v>Agressivo</v>
      </c>
      <c r="V33" s="201"/>
      <c r="W33" s="201"/>
      <c r="X33" s="201"/>
      <c r="Y33" s="201"/>
      <c r="Z33" s="232">
        <v>12.0</v>
      </c>
      <c r="AA33" s="233">
        <f t="shared" si="6"/>
        <v>2811.52</v>
      </c>
      <c r="AB33" s="224">
        <f t="shared" ref="AB33:AB46" si="7">(AA33-AA32)/AA32</f>
        <v>0.3188541085</v>
      </c>
      <c r="AC33" s="235">
        <f t="shared" ref="AC33:AC46" si="8">AC32*1.2</f>
        <v>2768.356509</v>
      </c>
      <c r="AD33" s="201"/>
      <c r="AE33" s="201"/>
      <c r="AF33" s="201"/>
      <c r="AG33" s="201"/>
      <c r="AH33" s="201"/>
      <c r="AI33" s="201"/>
      <c r="AJ33" s="201"/>
      <c r="AK33" s="201"/>
      <c r="AL33" s="201"/>
      <c r="AM33" s="201"/>
      <c r="AN33" s="201"/>
      <c r="AO33" s="201"/>
      <c r="AP33" s="201"/>
    </row>
    <row r="34" ht="15.75" customHeight="1">
      <c r="A34" s="184" t="s">
        <v>166</v>
      </c>
      <c r="B34" s="185" t="str">
        <f>VLOOKUP(A34,Jobmatch!A:G,2,0)</f>
        <v>GERENTE DE PARCERIAS</v>
      </c>
      <c r="C34" s="186">
        <f>IFERROR(AVERAGEIF('Folha de Pagamento'!A:A,A34,'Folha de Pagamento'!J:J),"")</f>
        <v>5345</v>
      </c>
      <c r="D34" s="187">
        <v>2.0</v>
      </c>
      <c r="E34" s="185" t="str">
        <f>VLOOKUP(A34,Jobmatch!A:H,3,0)</f>
        <v>Comercial</v>
      </c>
      <c r="F34" s="188" t="s">
        <v>335</v>
      </c>
      <c r="G34" s="190" t="str">
        <f>VLOOKUP(A34,Jobmatch!A:I,4,0)</f>
        <v>55 - ADM PROJETOS</v>
      </c>
      <c r="H34" s="191" t="str">
        <f>VLOOKUP(A34,Jobmatch!A:I,5,0)</f>
        <v>Tático</v>
      </c>
      <c r="I34" s="192">
        <f>VLOOKUP(A34,Jobmatch!A:I,6,0)</f>
        <v>408</v>
      </c>
      <c r="J34" s="190" t="str">
        <f>VLOOKUP(A34,Jobmatch!A:I,7,0)</f>
        <v>Gerente de Relacionamento</v>
      </c>
      <c r="K34" s="193" t="str">
        <f>VLOOKUP(A34,Jobmatch!A:I,8,0)</f>
        <v>Indiferente</v>
      </c>
      <c r="L34" s="194" t="str">
        <f t="shared" si="2"/>
        <v>408Indiferente</v>
      </c>
      <c r="M34" s="195">
        <f>COUNTIF('Folha de Pagamento'!A:A,A34)</f>
        <v>2</v>
      </c>
      <c r="N34" s="238">
        <v>20.0</v>
      </c>
      <c r="O34" s="196">
        <f>IFERROR(VLOOKUP(L34,'C-01'!$D:$L,5,0),"")</f>
        <v>7608.96</v>
      </c>
      <c r="P34" s="196">
        <f>IFERROR(VLOOKUP(L34,'C-01'!$D:$L,6,0),"")</f>
        <v>10973.95</v>
      </c>
      <c r="Q34" s="196">
        <f>IFERROR(VLOOKUP(L34,'C-01'!$D:$L,7,0),"")</f>
        <v>10996.97</v>
      </c>
      <c r="R34" s="196">
        <f>IFERROR(VLOOKUP(L34,'C-01'!$D:$L,8,0),"")</f>
        <v>14004.27</v>
      </c>
      <c r="S34" s="197">
        <f>IFERROR(VLOOKUP(L34,'C-01'!$D:$L,9,0),"")</f>
        <v>16628.86</v>
      </c>
      <c r="T34" s="198">
        <f>IFS('Painel Geral'!$B$5="Mediana",IFERROR(IF(OR(C34="",Q34=0,Q34=""),"",($C34/$Q34)),""),'Painel Geral'!$B$5="Menor Salário",IFERROR(IF(OR(C34="",Q34=0,Q34=""),"",($C34/$N34)),""),'Painel Geral'!$B$5="1º Quartil",IFERROR(IF(OR(C34="",Q34=0,Q34=""),"",($C34/$O34)),""), 'Painel Geral'!$B$5="Média",IFERROR(IF(OR(C34="",Q34=0,Q34=""),"",($C34/$P34)),""),'Painel Geral'!$B$5="3º Quartil",IFERROR(IF(OR(C34="",Q34=0,Q34=""),"",($C34/$R34)),""),'Painel Geral'!$B$5="Maior Salário",IFERROR(IF(OR(C34="",Q34=0,Q34=""),"",($C34/$S34)),""))</f>
        <v>0.4860429737</v>
      </c>
      <c r="U34" s="199" t="str">
        <f t="shared" si="3"/>
        <v>Muito Defasado</v>
      </c>
      <c r="V34" s="201"/>
      <c r="W34" s="201"/>
      <c r="X34" s="201"/>
      <c r="Y34" s="201"/>
      <c r="Z34" s="232">
        <v>13.0</v>
      </c>
      <c r="AA34" s="233">
        <f t="shared" si="6"/>
        <v>3477.73</v>
      </c>
      <c r="AB34" s="224">
        <f t="shared" si="7"/>
        <v>0.2369572331</v>
      </c>
      <c r="AC34" s="235">
        <f t="shared" si="8"/>
        <v>3322.02781</v>
      </c>
      <c r="AD34" s="201"/>
      <c r="AE34" s="201"/>
      <c r="AF34" s="201"/>
      <c r="AG34" s="201"/>
      <c r="AH34" s="201"/>
      <c r="AI34" s="201"/>
      <c r="AJ34" s="201"/>
      <c r="AK34" s="201"/>
      <c r="AL34" s="201"/>
      <c r="AM34" s="201"/>
      <c r="AN34" s="201"/>
      <c r="AO34" s="201"/>
      <c r="AP34" s="201"/>
    </row>
    <row r="35" ht="15.75" customHeight="1">
      <c r="A35" s="184" t="s">
        <v>171</v>
      </c>
      <c r="B35" s="185" t="str">
        <f>VLOOKUP(A35,Jobmatch!A:G,2,0)</f>
        <v>GERENTE DE PARCERIAS EXTERNAS</v>
      </c>
      <c r="C35" s="186">
        <f>IFERROR(AVERAGEIF('Folha de Pagamento'!A:A,A35,'Folha de Pagamento'!J:J),"")</f>
        <v>5000</v>
      </c>
      <c r="D35" s="187">
        <v>2.0</v>
      </c>
      <c r="E35" s="185" t="str">
        <f>VLOOKUP(A35,Jobmatch!A:H,3,0)</f>
        <v>Comercial</v>
      </c>
      <c r="F35" s="188" t="s">
        <v>336</v>
      </c>
      <c r="G35" s="190" t="str">
        <f>VLOOKUP(A35,Jobmatch!A:I,4,0)</f>
        <v>56 - ADM PROJETOS</v>
      </c>
      <c r="H35" s="191" t="str">
        <f>VLOOKUP(A35,Jobmatch!A:I,5,0)</f>
        <v>Tático</v>
      </c>
      <c r="I35" s="192">
        <f>VLOOKUP(A35,Jobmatch!A:I,6,0)</f>
        <v>408</v>
      </c>
      <c r="J35" s="190" t="str">
        <f>VLOOKUP(A35,Jobmatch!A:I,7,0)</f>
        <v>Gerente de Relacionamento</v>
      </c>
      <c r="K35" s="193" t="str">
        <f>VLOOKUP(A35,Jobmatch!A:I,8,0)</f>
        <v>Indiferente</v>
      </c>
      <c r="L35" s="194" t="str">
        <f t="shared" si="2"/>
        <v>408Indiferente</v>
      </c>
      <c r="M35" s="195">
        <f>COUNTIF('Folha de Pagamento'!A:A,A35)</f>
        <v>2</v>
      </c>
      <c r="N35" s="238">
        <v>20.0</v>
      </c>
      <c r="O35" s="196">
        <f>IFERROR(VLOOKUP(L35,'C-01'!$D:$L,5,0),"")</f>
        <v>7608.96</v>
      </c>
      <c r="P35" s="196">
        <f>IFERROR(VLOOKUP(L35,'C-01'!$D:$L,6,0),"")</f>
        <v>10973.95</v>
      </c>
      <c r="Q35" s="196">
        <f>IFERROR(VLOOKUP(L35,'C-01'!$D:$L,7,0),"")</f>
        <v>10996.97</v>
      </c>
      <c r="R35" s="196">
        <f>IFERROR(VLOOKUP(L35,'C-01'!$D:$L,8,0),"")</f>
        <v>14004.27</v>
      </c>
      <c r="S35" s="197">
        <f>IFERROR(VLOOKUP(L35,'C-01'!$D:$L,9,0),"")</f>
        <v>16628.86</v>
      </c>
      <c r="T35" s="198">
        <f>IFS('Painel Geral'!$B$5="Mediana",IFERROR(IF(OR(C35="",Q35=0,Q35=""),"",($C35/$Q35)),""),'Painel Geral'!$B$5="Menor Salário",IFERROR(IF(OR(C35="",Q35=0,Q35=""),"",($C35/$N35)),""),'Painel Geral'!$B$5="1º Quartil",IFERROR(IF(OR(C35="",Q35=0,Q35=""),"",($C35/$O35)),""), 'Painel Geral'!$B$5="Média",IFERROR(IF(OR(C35="",Q35=0,Q35=""),"",($C35/$P35)),""),'Painel Geral'!$B$5="3º Quartil",IFERROR(IF(OR(C35="",Q35=0,Q35=""),"",($C35/$R35)),""),'Painel Geral'!$B$5="Maior Salário",IFERROR(IF(OR(C35="",Q35=0,Q35=""),"",($C35/$S35)),""))</f>
        <v>0.4546706957</v>
      </c>
      <c r="U35" s="199" t="str">
        <f t="shared" si="3"/>
        <v>Muito Defasado</v>
      </c>
      <c r="V35" s="201"/>
      <c r="W35" s="201"/>
      <c r="X35" s="201"/>
      <c r="Y35" s="201"/>
      <c r="Z35" s="232">
        <v>14.0</v>
      </c>
      <c r="AA35" s="233">
        <f t="shared" si="6"/>
        <v>4178.96</v>
      </c>
      <c r="AB35" s="224">
        <f t="shared" si="7"/>
        <v>0.2016343995</v>
      </c>
      <c r="AC35" s="235">
        <f t="shared" si="8"/>
        <v>3986.433372</v>
      </c>
      <c r="AD35" s="201"/>
      <c r="AE35" s="201"/>
      <c r="AF35" s="201"/>
      <c r="AG35" s="201"/>
      <c r="AH35" s="201"/>
      <c r="AI35" s="201"/>
      <c r="AJ35" s="201"/>
      <c r="AK35" s="201"/>
      <c r="AL35" s="201"/>
      <c r="AM35" s="201"/>
      <c r="AN35" s="201"/>
      <c r="AO35" s="201"/>
      <c r="AP35" s="201"/>
    </row>
    <row r="36" ht="15.75" customHeight="1">
      <c r="A36" s="184" t="s">
        <v>112</v>
      </c>
      <c r="B36" s="185" t="str">
        <f>VLOOKUP(A36,Jobmatch!A:G,2,0)</f>
        <v>COORDENADOR DE SUPRIMENTOS</v>
      </c>
      <c r="C36" s="186">
        <f>IFERROR(AVERAGEIF('Folha de Pagamento'!A:A,A36,'Folha de Pagamento'!J:J),"")</f>
        <v>10596.02649</v>
      </c>
      <c r="D36" s="187">
        <v>1.0</v>
      </c>
      <c r="E36" s="185" t="str">
        <f>VLOOKUP(A36,Jobmatch!A:H,3,0)</f>
        <v>Suprimentos </v>
      </c>
      <c r="F36" s="188" t="s">
        <v>368</v>
      </c>
      <c r="G36" s="190" t="str">
        <f>VLOOKUP(A36,Jobmatch!A:I,4,0)</f>
        <v>38 - ADM PROJETOS</v>
      </c>
      <c r="H36" s="191" t="str">
        <f>VLOOKUP(A36,Jobmatch!A:I,5,0)</f>
        <v>Tático</v>
      </c>
      <c r="I36" s="192">
        <f>VLOOKUP(A36,Jobmatch!A:I,6,0)</f>
        <v>137</v>
      </c>
      <c r="J36" s="190" t="str">
        <f>VLOOKUP(A36,Jobmatch!A:I,7,0)</f>
        <v>Coordenador de Compras</v>
      </c>
      <c r="K36" s="193" t="str">
        <f>VLOOKUP(A36,Jobmatch!A:I,8,0)</f>
        <v>Indiferente</v>
      </c>
      <c r="L36" s="194" t="str">
        <f t="shared" si="2"/>
        <v>137Indiferente</v>
      </c>
      <c r="M36" s="195">
        <f>COUNTIF('Folha de Pagamento'!A:A,A36)</f>
        <v>1</v>
      </c>
      <c r="N36" s="238">
        <v>20.0</v>
      </c>
      <c r="O36" s="196">
        <f>IFERROR(VLOOKUP(L36,'C-01'!$D:$L,5,0),"")</f>
        <v>10557.77</v>
      </c>
      <c r="P36" s="196">
        <f>IFERROR(VLOOKUP(L36,'C-01'!$D:$L,6,0),"")</f>
        <v>13345.69</v>
      </c>
      <c r="Q36" s="196">
        <f>IFERROR(VLOOKUP(L36,'C-01'!$D:$L,7,0),"")</f>
        <v>11060.52</v>
      </c>
      <c r="R36" s="196">
        <f>IFERROR(VLOOKUP(L36,'C-01'!$D:$L,8,0),"")</f>
        <v>14991.02</v>
      </c>
      <c r="S36" s="197">
        <f>IFERROR(VLOOKUP(L36,'C-01'!$D:$L,9,0),"")</f>
        <v>18921.53</v>
      </c>
      <c r="T36" s="198">
        <f>IFS('Painel Geral'!$B$5="Mediana",IFERROR(IF(OR(C36="",Q36=0,Q36=""),"",($C36/$Q36)),""),'Painel Geral'!$B$5="Menor Salário",IFERROR(IF(OR(C36="",Q36=0,Q36=""),"",($C36/$N36)),""),'Painel Geral'!$B$5="1º Quartil",IFERROR(IF(OR(C36="",Q36=0,Q36=""),"",($C36/$O36)),""), 'Painel Geral'!$B$5="Média",IFERROR(IF(OR(C36="",Q36=0,Q36=""),"",($C36/$P36)),""),'Painel Geral'!$B$5="3º Quartil",IFERROR(IF(OR(C36="",Q36=0,Q36=""),"",($C36/$R36)),""),'Painel Geral'!$B$5="Maior Salário",IFERROR(IF(OR(C36="",Q36=0,Q36=""),"",($C36/$S36)),""))</f>
        <v>0.9580043696</v>
      </c>
      <c r="U36" s="199" t="str">
        <f t="shared" si="3"/>
        <v>Na Média</v>
      </c>
      <c r="V36" s="201"/>
      <c r="W36" s="201"/>
      <c r="X36" s="201"/>
      <c r="Y36" s="201"/>
      <c r="Z36" s="232">
        <v>15.0</v>
      </c>
      <c r="AA36" s="233">
        <f t="shared" si="6"/>
        <v>4963.75</v>
      </c>
      <c r="AB36" s="224">
        <f t="shared" si="7"/>
        <v>0.1877955281</v>
      </c>
      <c r="AC36" s="235">
        <f t="shared" si="8"/>
        <v>4783.720047</v>
      </c>
      <c r="AD36" s="201"/>
      <c r="AE36" s="201"/>
      <c r="AF36" s="201"/>
      <c r="AG36" s="201"/>
      <c r="AH36" s="201"/>
      <c r="AI36" s="201"/>
      <c r="AJ36" s="201"/>
      <c r="AK36" s="201"/>
      <c r="AL36" s="201"/>
      <c r="AM36" s="201"/>
      <c r="AN36" s="201"/>
      <c r="AO36" s="201"/>
      <c r="AP36" s="201"/>
    </row>
    <row r="37" ht="15.75" customHeight="1">
      <c r="A37" s="184" t="s">
        <v>149</v>
      </c>
      <c r="B37" s="185" t="str">
        <f>VLOOKUP(A37,Jobmatch!A:G,2,0)</f>
        <v>GERENTE COMERCIAL</v>
      </c>
      <c r="C37" s="186">
        <f>IFERROR(AVERAGEIF('Folha de Pagamento'!A:A,A37,'Folha de Pagamento'!J:J),"")</f>
        <v>12090.90909</v>
      </c>
      <c r="D37" s="187">
        <v>2.0</v>
      </c>
      <c r="E37" s="185" t="str">
        <f>VLOOKUP(A37,Jobmatch!A:H,3,0)</f>
        <v>Comercial</v>
      </c>
      <c r="F37" s="188" t="s">
        <v>294</v>
      </c>
      <c r="G37" s="190" t="str">
        <f>VLOOKUP(A37,Jobmatch!A:I,4,0)</f>
        <v>50 - ADM PROJETOS</v>
      </c>
      <c r="H37" s="191" t="str">
        <f>VLOOKUP(A37,Jobmatch!A:I,5,0)</f>
        <v>Tático</v>
      </c>
      <c r="I37" s="192">
        <f>VLOOKUP(A37,Jobmatch!A:I,6,0)</f>
        <v>107</v>
      </c>
      <c r="J37" s="190" t="str">
        <f>VLOOKUP(A37,Jobmatch!A:I,7,0)</f>
        <v>Gerente Comercial</v>
      </c>
      <c r="K37" s="193" t="str">
        <f>VLOOKUP(A37,Jobmatch!A:I,8,0)</f>
        <v>Indiferente</v>
      </c>
      <c r="L37" s="194" t="str">
        <f t="shared" si="2"/>
        <v>107Indiferente</v>
      </c>
      <c r="M37" s="195">
        <f>COUNTIF('Folha de Pagamento'!A:A,A37)</f>
        <v>4</v>
      </c>
      <c r="N37" s="238">
        <v>20.0</v>
      </c>
      <c r="O37" s="196">
        <f>IFERROR(VLOOKUP(L37,'C-01'!$D:$L,5,0),"")</f>
        <v>9778.91</v>
      </c>
      <c r="P37" s="196">
        <f>IFERROR(VLOOKUP(L37,'C-01'!$D:$L,6,0),"")</f>
        <v>12281.04</v>
      </c>
      <c r="Q37" s="196">
        <f>IFERROR(VLOOKUP(L37,'C-01'!$D:$L,7,0),"")</f>
        <v>12107.57</v>
      </c>
      <c r="R37" s="196">
        <f>IFERROR(VLOOKUP(L37,'C-01'!$D:$L,8,0),"")</f>
        <v>15321.87</v>
      </c>
      <c r="S37" s="197">
        <f>IFERROR(VLOOKUP(L37,'C-01'!$D:$L,9,0),"")</f>
        <v>19289.48</v>
      </c>
      <c r="T37" s="198">
        <f>IFS('Painel Geral'!$B$5="Mediana",IFERROR(IF(OR(C37="",Q37=0,Q37=""),"",($C37/$Q37)),""),'Painel Geral'!$B$5="Menor Salário",IFERROR(IF(OR(C37="",Q37=0,Q37=""),"",($C37/$N37)),""),'Painel Geral'!$B$5="1º Quartil",IFERROR(IF(OR(C37="",Q37=0,Q37=""),"",($C37/$O37)),""), 'Painel Geral'!$B$5="Média",IFERROR(IF(OR(C37="",Q37=0,Q37=""),"",($C37/$P37)),""),'Painel Geral'!$B$5="3º Quartil",IFERROR(IF(OR(C37="",Q37=0,Q37=""),"",($C37/$R37)),""),'Painel Geral'!$B$5="Maior Salário",IFERROR(IF(OR(C37="",Q37=0,Q37=""),"",($C37/$S37)),""))</f>
        <v>0.9986239263</v>
      </c>
      <c r="U37" s="199" t="str">
        <f t="shared" si="3"/>
        <v>Na Média</v>
      </c>
      <c r="V37" s="201"/>
      <c r="W37" s="201"/>
      <c r="X37" s="201"/>
      <c r="Y37" s="201"/>
      <c r="Z37" s="232">
        <v>16.0</v>
      </c>
      <c r="AA37" s="233">
        <f t="shared" si="6"/>
        <v>5880.64</v>
      </c>
      <c r="AB37" s="224">
        <f t="shared" si="7"/>
        <v>0.1847171997</v>
      </c>
      <c r="AC37" s="235">
        <f t="shared" si="8"/>
        <v>5740.464056</v>
      </c>
      <c r="AD37" s="201"/>
      <c r="AE37" s="201"/>
      <c r="AF37" s="201"/>
      <c r="AG37" s="201"/>
      <c r="AH37" s="201"/>
      <c r="AI37" s="201"/>
      <c r="AJ37" s="201"/>
      <c r="AK37" s="201"/>
      <c r="AL37" s="201"/>
      <c r="AM37" s="201"/>
      <c r="AN37" s="201"/>
      <c r="AO37" s="201"/>
      <c r="AP37" s="201"/>
    </row>
    <row r="38" ht="15.75" customHeight="1">
      <c r="A38" s="184" t="s">
        <v>155</v>
      </c>
      <c r="B38" s="185" t="str">
        <f>VLOOKUP(A38,Jobmatch!A:G,2,0)</f>
        <v>GERENTE DE HOUSE</v>
      </c>
      <c r="C38" s="186">
        <f>IFERROR(AVERAGEIF('Folha de Pagamento'!A:A,A38,'Folha de Pagamento'!J:J),"")</f>
        <v>5125</v>
      </c>
      <c r="D38" s="187">
        <v>2.0</v>
      </c>
      <c r="E38" s="185" t="str">
        <f>VLOOKUP(A38,Jobmatch!A:H,3,0)</f>
        <v>Comercial</v>
      </c>
      <c r="F38" s="188" t="s">
        <v>333</v>
      </c>
      <c r="G38" s="190" t="str">
        <f>VLOOKUP(A38,Jobmatch!A:I,4,0)</f>
        <v>52 - ADM PROJETOS</v>
      </c>
      <c r="H38" s="191" t="str">
        <f>VLOOKUP(A38,Jobmatch!A:I,5,0)</f>
        <v>Tático</v>
      </c>
      <c r="I38" s="192">
        <f>VLOOKUP(A38,Jobmatch!A:I,6,0)</f>
        <v>107</v>
      </c>
      <c r="J38" s="190" t="str">
        <f>VLOOKUP(A38,Jobmatch!A:I,7,0)</f>
        <v>Gerente Comercial</v>
      </c>
      <c r="K38" s="193" t="str">
        <f>VLOOKUP(A38,Jobmatch!A:I,8,0)</f>
        <v>Indiferente</v>
      </c>
      <c r="L38" s="194" t="str">
        <f t="shared" si="2"/>
        <v>107Indiferente</v>
      </c>
      <c r="M38" s="195">
        <f>COUNTIF('Folha de Pagamento'!A:A,A38)</f>
        <v>1</v>
      </c>
      <c r="N38" s="238">
        <v>20.0</v>
      </c>
      <c r="O38" s="196">
        <f>IFERROR(VLOOKUP(L38,'C-01'!$D:$L,5,0),"")</f>
        <v>9778.91</v>
      </c>
      <c r="P38" s="196">
        <f>IFERROR(VLOOKUP(L38,'C-01'!$D:$L,6,0),"")</f>
        <v>12281.04</v>
      </c>
      <c r="Q38" s="196">
        <f>IFERROR(VLOOKUP(L38,'C-01'!$D:$L,7,0),"")</f>
        <v>12107.57</v>
      </c>
      <c r="R38" s="196">
        <f>IFERROR(VLOOKUP(L38,'C-01'!$D:$L,8,0),"")</f>
        <v>15321.87</v>
      </c>
      <c r="S38" s="197">
        <f>IFERROR(VLOOKUP(L38,'C-01'!$D:$L,9,0),"")</f>
        <v>19289.48</v>
      </c>
      <c r="T38" s="198">
        <f>IFS('Painel Geral'!$B$5="Mediana",IFERROR(IF(OR(C38="",Q38=0,Q38=""),"",($C38/$Q38)),""),'Painel Geral'!$B$5="Menor Salário",IFERROR(IF(OR(C38="",Q38=0,Q38=""),"",($C38/$N38)),""),'Painel Geral'!$B$5="1º Quartil",IFERROR(IF(OR(C38="",Q38=0,Q38=""),"",($C38/$O38)),""), 'Painel Geral'!$B$5="Média",IFERROR(IF(OR(C38="",Q38=0,Q38=""),"",($C38/$P38)),""),'Painel Geral'!$B$5="3º Quartil",IFERROR(IF(OR(C38="",Q38=0,Q38=""),"",($C38/$R38)),""),'Painel Geral'!$B$5="Maior Salário",IFERROR(IF(OR(C38="",Q38=0,Q38=""),"",($C38/$S38)),""))</f>
        <v>0.4232889011</v>
      </c>
      <c r="U38" s="199" t="str">
        <f t="shared" si="3"/>
        <v>Muito Defasado</v>
      </c>
      <c r="V38" s="201"/>
      <c r="W38" s="201"/>
      <c r="X38" s="201"/>
      <c r="Y38" s="201"/>
      <c r="Z38" s="232">
        <v>17.0</v>
      </c>
      <c r="AA38" s="233">
        <f t="shared" si="6"/>
        <v>6978.17</v>
      </c>
      <c r="AB38" s="224">
        <f t="shared" si="7"/>
        <v>0.186634448</v>
      </c>
      <c r="AC38" s="235">
        <f t="shared" si="8"/>
        <v>6888.556868</v>
      </c>
      <c r="AD38" s="201"/>
      <c r="AE38" s="201"/>
      <c r="AF38" s="201"/>
      <c r="AG38" s="201"/>
      <c r="AH38" s="201"/>
      <c r="AI38" s="201"/>
      <c r="AJ38" s="201"/>
      <c r="AK38" s="201"/>
      <c r="AL38" s="201"/>
      <c r="AM38" s="201"/>
      <c r="AN38" s="201"/>
      <c r="AO38" s="201"/>
      <c r="AP38" s="201"/>
    </row>
    <row r="39" ht="15.75" customHeight="1">
      <c r="A39" s="184" t="s">
        <v>152</v>
      </c>
      <c r="B39" s="185" t="str">
        <f>VLOOKUP(A39,Jobmatch!A:G,2,0)</f>
        <v>GERENTE DE EDIFICAÇÕES</v>
      </c>
      <c r="C39" s="186">
        <f>IFERROR(AVERAGEIF('Folha de Pagamento'!A:A,A39,'Folha de Pagamento'!J:J),"")</f>
        <v>30106.06061</v>
      </c>
      <c r="D39" s="187">
        <v>5.0</v>
      </c>
      <c r="E39" s="185" t="str">
        <f>VLOOKUP(A39,Jobmatch!A:H,3,0)</f>
        <v>Edificação</v>
      </c>
      <c r="F39" s="188" t="s">
        <v>348</v>
      </c>
      <c r="G39" s="190" t="str">
        <f>VLOOKUP(A39,Jobmatch!A:I,4,0)</f>
        <v>51 - ADM PROJETOS</v>
      </c>
      <c r="H39" s="191" t="str">
        <f>VLOOKUP(A39,Jobmatch!A:I,5,0)</f>
        <v>Tático</v>
      </c>
      <c r="I39" s="192">
        <f>VLOOKUP(A39,Jobmatch!A:I,6,0)</f>
        <v>311</v>
      </c>
      <c r="J39" s="190" t="str">
        <f>VLOOKUP(A39,Jobmatch!A:I,7,0)</f>
        <v>Gerente de Operações</v>
      </c>
      <c r="K39" s="193" t="str">
        <f>VLOOKUP(A39,Jobmatch!A:I,8,0)</f>
        <v>Indiferente</v>
      </c>
      <c r="L39" s="194" t="str">
        <f t="shared" si="2"/>
        <v>311Indiferente</v>
      </c>
      <c r="M39" s="195">
        <f>COUNTIF('Folha de Pagamento'!A:A,A39)</f>
        <v>1</v>
      </c>
      <c r="N39" s="238">
        <v>20.0</v>
      </c>
      <c r="O39" s="196">
        <f>IFERROR(VLOOKUP(L39,'C-01'!$D:$L,5,0),"")</f>
        <v>10114.75</v>
      </c>
      <c r="P39" s="196">
        <f>IFERROR(VLOOKUP(L39,'C-01'!$D:$L,6,0),"")</f>
        <v>12711.42</v>
      </c>
      <c r="Q39" s="196">
        <f>IFERROR(VLOOKUP(L39,'C-01'!$D:$L,7,0),"")</f>
        <v>12517.82</v>
      </c>
      <c r="R39" s="196">
        <f>IFERROR(VLOOKUP(L39,'C-01'!$D:$L,8,0),"")</f>
        <v>14749</v>
      </c>
      <c r="S39" s="197">
        <f>IFERROR(VLOOKUP(L39,'C-01'!$D:$L,9,0),"")</f>
        <v>19098.65</v>
      </c>
      <c r="T39" s="198">
        <f>IFS('Painel Geral'!$B$5="Mediana",IFERROR(IF(OR(C39="",Q39=0,Q39=""),"",($C39/$Q39)),""),'Painel Geral'!$B$5="Menor Salário",IFERROR(IF(OR(C39="",Q39=0,Q39=""),"",($C39/$N39)),""),'Painel Geral'!$B$5="1º Quartil",IFERROR(IF(OR(C39="",Q39=0,Q39=""),"",($C39/$O39)),""), 'Painel Geral'!$B$5="Média",IFERROR(IF(OR(C39="",Q39=0,Q39=""),"",($C39/$P39)),""),'Painel Geral'!$B$5="3º Quartil",IFERROR(IF(OR(C39="",Q39=0,Q39=""),"",($C39/$R39)),""),'Painel Geral'!$B$5="Maior Salário",IFERROR(IF(OR(C39="",Q39=0,Q39=""),"",($C39/$S39)),""))</f>
        <v>2.4050562</v>
      </c>
      <c r="U39" s="199" t="str">
        <f t="shared" si="3"/>
        <v>Agressivo</v>
      </c>
      <c r="V39" s="201"/>
      <c r="W39" s="201"/>
      <c r="X39" s="201"/>
      <c r="Y39" s="201"/>
      <c r="Z39" s="232">
        <v>18.0</v>
      </c>
      <c r="AA39" s="233">
        <f t="shared" si="6"/>
        <v>8304.88</v>
      </c>
      <c r="AB39" s="224">
        <f t="shared" si="7"/>
        <v>0.1901229119</v>
      </c>
      <c r="AC39" s="235">
        <f t="shared" si="8"/>
        <v>8266.268241</v>
      </c>
      <c r="AD39" s="201"/>
      <c r="AE39" s="201"/>
      <c r="AF39" s="201"/>
      <c r="AG39" s="201"/>
      <c r="AH39" s="201"/>
      <c r="AI39" s="201"/>
      <c r="AJ39" s="201"/>
      <c r="AK39" s="201"/>
      <c r="AL39" s="201"/>
      <c r="AM39" s="201"/>
      <c r="AN39" s="201"/>
      <c r="AO39" s="201"/>
      <c r="AP39" s="201"/>
    </row>
    <row r="40" ht="15.75" customHeight="1">
      <c r="A40" s="184" t="s">
        <v>174</v>
      </c>
      <c r="B40" s="185" t="str">
        <f>VLOOKUP(A40,Jobmatch!A:G,2,0)</f>
        <v>GERENTE DE URBANISMO</v>
      </c>
      <c r="C40" s="186">
        <f>IFERROR(AVERAGEIF('Folha de Pagamento'!A:A,A40,'Folha de Pagamento'!J:J),"")</f>
        <v>28030.30303</v>
      </c>
      <c r="D40" s="187">
        <v>10.0</v>
      </c>
      <c r="E40" s="185" t="str">
        <f>VLOOKUP(A40,Jobmatch!A:H,3,0)</f>
        <v>Urbanismo</v>
      </c>
      <c r="F40" s="188" t="s">
        <v>375</v>
      </c>
      <c r="G40" s="190" t="str">
        <f>VLOOKUP(A40,Jobmatch!A:I,4,0)</f>
        <v>57 - ADM PROJETOS</v>
      </c>
      <c r="H40" s="191" t="str">
        <f>VLOOKUP(A40,Jobmatch!A:I,5,0)</f>
        <v>Tático</v>
      </c>
      <c r="I40" s="192">
        <f>VLOOKUP(A40,Jobmatch!A:I,6,0)</f>
        <v>311</v>
      </c>
      <c r="J40" s="190" t="str">
        <f>VLOOKUP(A40,Jobmatch!A:I,7,0)</f>
        <v>Gerente de Operações</v>
      </c>
      <c r="K40" s="193" t="str">
        <f>VLOOKUP(A40,Jobmatch!A:I,8,0)</f>
        <v>Indiferente</v>
      </c>
      <c r="L40" s="194" t="str">
        <f t="shared" si="2"/>
        <v>311Indiferente</v>
      </c>
      <c r="M40" s="195">
        <f>COUNTIF('Folha de Pagamento'!A:A,A40)</f>
        <v>2</v>
      </c>
      <c r="N40" s="238">
        <v>20.0</v>
      </c>
      <c r="O40" s="196">
        <f>IFERROR(VLOOKUP(L40,'C-01'!$D:$L,5,0),"")</f>
        <v>10114.75</v>
      </c>
      <c r="P40" s="196">
        <f>IFERROR(VLOOKUP(L40,'C-01'!$D:$L,6,0),"")</f>
        <v>12711.42</v>
      </c>
      <c r="Q40" s="196">
        <f>IFERROR(VLOOKUP(L40,'C-01'!$D:$L,7,0),"")</f>
        <v>12517.82</v>
      </c>
      <c r="R40" s="196">
        <f>IFERROR(VLOOKUP(L40,'C-01'!$D:$L,8,0),"")</f>
        <v>14749</v>
      </c>
      <c r="S40" s="197">
        <f>IFERROR(VLOOKUP(L40,'C-01'!$D:$L,9,0),"")</f>
        <v>19098.65</v>
      </c>
      <c r="T40" s="198">
        <f>IFS('Painel Geral'!$B$5="Mediana",IFERROR(IF(OR(C40="",Q40=0,Q40=""),"",($C40/$Q40)),""),'Painel Geral'!$B$5="Menor Salário",IFERROR(IF(OR(C40="",Q40=0,Q40=""),"",($C40/$N40)),""),'Painel Geral'!$B$5="1º Quartil",IFERROR(IF(OR(C40="",Q40=0,Q40=""),"",($C40/$O40)),""), 'Painel Geral'!$B$5="Média",IFERROR(IF(OR(C40="",Q40=0,Q40=""),"",($C40/$P40)),""),'Painel Geral'!$B$5="3º Quartil",IFERROR(IF(OR(C40="",Q40=0,Q40=""),"",($C40/$R40)),""),'Painel Geral'!$B$5="Maior Salário",IFERROR(IF(OR(C40="",Q40=0,Q40=""),"",($C40/$S40)),""))</f>
        <v>2.239231993</v>
      </c>
      <c r="U40" s="199" t="str">
        <f t="shared" si="3"/>
        <v>Agressivo</v>
      </c>
      <c r="V40" s="201"/>
      <c r="W40" s="201"/>
      <c r="X40" s="201"/>
      <c r="Y40" s="201"/>
      <c r="Z40" s="232">
        <v>19.0</v>
      </c>
      <c r="AA40" s="233">
        <f t="shared" si="6"/>
        <v>9909.31</v>
      </c>
      <c r="AB40" s="224">
        <f t="shared" si="7"/>
        <v>0.1931912321</v>
      </c>
      <c r="AC40" s="235">
        <f t="shared" si="8"/>
        <v>9919.521889</v>
      </c>
      <c r="AD40" s="201"/>
      <c r="AE40" s="201"/>
      <c r="AF40" s="201"/>
      <c r="AG40" s="201"/>
      <c r="AH40" s="201"/>
      <c r="AI40" s="201"/>
      <c r="AJ40" s="201"/>
      <c r="AK40" s="201"/>
      <c r="AL40" s="201"/>
      <c r="AM40" s="201"/>
      <c r="AN40" s="201"/>
      <c r="AO40" s="201"/>
      <c r="AP40" s="201"/>
    </row>
    <row r="41" ht="15.75" customHeight="1">
      <c r="A41" s="184" t="s">
        <v>101</v>
      </c>
      <c r="B41" s="185" t="str">
        <f>VLOOKUP(A41,Jobmatch!A:G,2,0)</f>
        <v>COORDENADOR DE DHO</v>
      </c>
      <c r="C41" s="186">
        <f>IFERROR(AVERAGEIF('Folha de Pagamento'!A:A,A41,'Folha de Pagamento'!J:J),"")</f>
        <v>7420</v>
      </c>
      <c r="D41" s="187">
        <v>4.0</v>
      </c>
      <c r="E41" s="185" t="str">
        <f>VLOOKUP(A41,Jobmatch!A:H,3,0)</f>
        <v>DHO</v>
      </c>
      <c r="F41" s="188" t="s">
        <v>341</v>
      </c>
      <c r="G41" s="190" t="str">
        <f>VLOOKUP(A41,Jobmatch!A:I,4,0)</f>
        <v>34 - ADM PROJETOS</v>
      </c>
      <c r="H41" s="191" t="str">
        <f>VLOOKUP(A41,Jobmatch!A:I,5,0)</f>
        <v>Tático</v>
      </c>
      <c r="I41" s="192">
        <f>VLOOKUP(A41,Jobmatch!A:I,6,0)</f>
        <v>121</v>
      </c>
      <c r="J41" s="190" t="str">
        <f>VLOOKUP(A41,Jobmatch!A:I,7,0)</f>
        <v>Coordenador de Recursos Humanos</v>
      </c>
      <c r="K41" s="193" t="str">
        <f>VLOOKUP(A41,Jobmatch!A:I,8,0)</f>
        <v>Indiferente</v>
      </c>
      <c r="L41" s="194" t="str">
        <f t="shared" si="2"/>
        <v>121Indiferente</v>
      </c>
      <c r="M41" s="195">
        <f>COUNTIF('Folha de Pagamento'!A:A,A41)</f>
        <v>1</v>
      </c>
      <c r="N41" s="238">
        <v>20.0</v>
      </c>
      <c r="O41" s="196">
        <f>IFERROR(VLOOKUP(L41,'C-01'!$D:$L,5,0),"")</f>
        <v>10014.8</v>
      </c>
      <c r="P41" s="196">
        <f>IFERROR(VLOOKUP(L41,'C-01'!$D:$L,6,0),"")</f>
        <v>11303.85</v>
      </c>
      <c r="Q41" s="196">
        <f>IFERROR(VLOOKUP(L41,'C-01'!$D:$L,7,0),"")</f>
        <v>12568.77</v>
      </c>
      <c r="R41" s="196">
        <f>IFERROR(VLOOKUP(L41,'C-01'!$D:$L,8,0),"")</f>
        <v>13225.36</v>
      </c>
      <c r="S41" s="197">
        <f>IFERROR(VLOOKUP(L41,'C-01'!$D:$L,9,0),"")</f>
        <v>13881.95</v>
      </c>
      <c r="T41" s="198">
        <f>IFS('Painel Geral'!$B$5="Mediana",IFERROR(IF(OR(C41="",Q41=0,Q41=""),"",($C41/$Q41)),""),'Painel Geral'!$B$5="Menor Salário",IFERROR(IF(OR(C41="",Q41=0,Q41=""),"",($C41/$N41)),""),'Painel Geral'!$B$5="1º Quartil",IFERROR(IF(OR(C41="",Q41=0,Q41=""),"",($C41/$O41)),""), 'Painel Geral'!$B$5="Média",IFERROR(IF(OR(C41="",Q41=0,Q41=""),"",($C41/$P41)),""),'Painel Geral'!$B$5="3º Quartil",IFERROR(IF(OR(C41="",Q41=0,Q41=""),"",($C41/$R41)),""),'Painel Geral'!$B$5="Maior Salário",IFERROR(IF(OR(C41="",Q41=0,Q41=""),"",($C41/$S41)),""))</f>
        <v>0.5903521188</v>
      </c>
      <c r="U41" s="199" t="str">
        <f t="shared" si="3"/>
        <v>Muito Defasado</v>
      </c>
      <c r="V41" s="201"/>
      <c r="W41" s="201"/>
      <c r="X41" s="201"/>
      <c r="Y41" s="201"/>
      <c r="Z41" s="232">
        <v>20.0</v>
      </c>
      <c r="AA41" s="233">
        <f t="shared" si="6"/>
        <v>11840</v>
      </c>
      <c r="AB41" s="224">
        <f t="shared" si="7"/>
        <v>0.1948359674</v>
      </c>
      <c r="AC41" s="235">
        <f t="shared" si="8"/>
        <v>11903.42627</v>
      </c>
      <c r="AD41" s="201"/>
      <c r="AE41" s="201"/>
      <c r="AF41" s="201"/>
      <c r="AG41" s="201"/>
      <c r="AH41" s="201"/>
      <c r="AI41" s="201"/>
      <c r="AJ41" s="201"/>
      <c r="AK41" s="201"/>
      <c r="AL41" s="201"/>
      <c r="AM41" s="201"/>
      <c r="AN41" s="201"/>
      <c r="AO41" s="201"/>
      <c r="AP41" s="201"/>
    </row>
    <row r="42" ht="15.75" customHeight="1">
      <c r="A42" s="184" t="s">
        <v>98</v>
      </c>
      <c r="B42" s="185" t="str">
        <f>VLOOKUP(A42,Jobmatch!A:G,2,0)</f>
        <v>CONTROLLER TÉCNICO</v>
      </c>
      <c r="C42" s="186">
        <f>IFERROR(AVERAGEIF('Folha de Pagamento'!A:A,A42,'Folha de Pagamento'!J:J),"")</f>
        <v>9243.50365</v>
      </c>
      <c r="D42" s="187">
        <v>3.0</v>
      </c>
      <c r="E42" s="185" t="str">
        <f>VLOOKUP(A42,Jobmatch!A:H,3,0)</f>
        <v>Controladoria</v>
      </c>
      <c r="F42" s="188" t="s">
        <v>339</v>
      </c>
      <c r="G42" s="190" t="str">
        <f>VLOOKUP(A42,Jobmatch!A:I,4,0)</f>
        <v>33 - ADM PROJETOS</v>
      </c>
      <c r="H42" s="191" t="str">
        <f>VLOOKUP(A42,Jobmatch!A:I,5,0)</f>
        <v>Tático</v>
      </c>
      <c r="I42" s="192">
        <f>VLOOKUP(A42,Jobmatch!A:I,6,0)</f>
        <v>26</v>
      </c>
      <c r="J42" s="190" t="str">
        <f>VLOOKUP(A42,Jobmatch!A:I,7,0)</f>
        <v>Analista de Controladoria</v>
      </c>
      <c r="K42" s="193" t="str">
        <f>VLOOKUP(A42,Jobmatch!A:I,8,0)</f>
        <v>Especialista</v>
      </c>
      <c r="L42" s="194" t="str">
        <f t="shared" si="2"/>
        <v>26Especialista</v>
      </c>
      <c r="M42" s="195">
        <f>COUNTIF('Folha de Pagamento'!A:A,A42)</f>
        <v>1</v>
      </c>
      <c r="N42" s="238">
        <v>21.0</v>
      </c>
      <c r="O42" s="196">
        <f>IFERROR(VLOOKUP(L42,'C-01'!$D:$L,5,0),"")</f>
        <v>10665.2</v>
      </c>
      <c r="P42" s="196">
        <f>IFERROR(VLOOKUP(L42,'C-01'!$D:$L,6,0),"")</f>
        <v>12572.61</v>
      </c>
      <c r="Q42" s="196">
        <f>IFERROR(VLOOKUP(L42,'C-01'!$D:$L,7,0),"")</f>
        <v>13758.75</v>
      </c>
      <c r="R42" s="196">
        <f>IFERROR(VLOOKUP(L42,'C-01'!$D:$L,8,0),"")</f>
        <v>15666.17</v>
      </c>
      <c r="S42" s="197">
        <f>IFERROR(VLOOKUP(L42,'C-01'!$D:$L,9,0),"")</f>
        <v>15995.86</v>
      </c>
      <c r="T42" s="198">
        <f>IFS('Painel Geral'!$B$5="Mediana",IFERROR(IF(OR(C42="",Q42=0,Q42=""),"",($C42/$Q42)),""),'Painel Geral'!$B$5="Menor Salário",IFERROR(IF(OR(C42="",Q42=0,Q42=""),"",($C42/$N42)),""),'Painel Geral'!$B$5="1º Quartil",IFERROR(IF(OR(C42="",Q42=0,Q42=""),"",($C42/$O42)),""), 'Painel Geral'!$B$5="Média",IFERROR(IF(OR(C42="",Q42=0,Q42=""),"",($C42/$P42)),""),'Painel Geral'!$B$5="3º Quartil",IFERROR(IF(OR(C42="",Q42=0,Q42=""),"",($C42/$R42)),""),'Painel Geral'!$B$5="Maior Salário",IFERROR(IF(OR(C42="",Q42=0,Q42=""),"",($C42/$S42)),""))</f>
        <v>0.6718272844</v>
      </c>
      <c r="U42" s="199" t="str">
        <f t="shared" si="3"/>
        <v>Muito Defasado</v>
      </c>
      <c r="V42" s="201"/>
      <c r="W42" s="201"/>
      <c r="X42" s="201"/>
      <c r="Y42" s="201"/>
      <c r="Z42" s="232">
        <v>21.0</v>
      </c>
      <c r="AA42" s="233">
        <f t="shared" si="6"/>
        <v>14145.49</v>
      </c>
      <c r="AB42" s="224">
        <f t="shared" si="7"/>
        <v>0.1947204392</v>
      </c>
      <c r="AC42" s="235">
        <f t="shared" si="8"/>
        <v>14284.11152</v>
      </c>
      <c r="AD42" s="201"/>
      <c r="AE42" s="201"/>
      <c r="AF42" s="201"/>
      <c r="AG42" s="201"/>
      <c r="AH42" s="201"/>
      <c r="AI42" s="201"/>
      <c r="AJ42" s="201"/>
      <c r="AK42" s="201"/>
      <c r="AL42" s="201"/>
      <c r="AM42" s="201"/>
      <c r="AN42" s="201"/>
      <c r="AO42" s="201"/>
      <c r="AP42" s="201"/>
    </row>
    <row r="43" ht="15.75" customHeight="1">
      <c r="A43" s="184" t="s">
        <v>130</v>
      </c>
      <c r="B43" s="185" t="str">
        <f>VLOOKUP(A43,Jobmatch!A:G,2,0)</f>
        <v>ENGENHEIRO SÊNIOR </v>
      </c>
      <c r="C43" s="186">
        <f>IFERROR(AVERAGEIF('Folha de Pagamento'!A:A,A43,'Folha de Pagamento'!J:J),"")</f>
        <v>14393.93939</v>
      </c>
      <c r="D43" s="187">
        <v>5.0</v>
      </c>
      <c r="E43" s="185" t="str">
        <f>VLOOKUP(A43,Jobmatch!A:H,3,0)</f>
        <v>Edificação</v>
      </c>
      <c r="F43" s="188" t="s">
        <v>347</v>
      </c>
      <c r="G43" s="190" t="str">
        <f>VLOOKUP(A43,Jobmatch!A:I,4,0)</f>
        <v>44 - ADM PROJETOS</v>
      </c>
      <c r="H43" s="191" t="str">
        <f>VLOOKUP(A43,Jobmatch!A:I,5,0)</f>
        <v>Tático</v>
      </c>
      <c r="I43" s="192">
        <f>VLOOKUP(A43,Jobmatch!A:I,6,0)</f>
        <v>212</v>
      </c>
      <c r="J43" s="190" t="str">
        <f>VLOOKUP(A43,Jobmatch!A:I,7,0)</f>
        <v>Engenheiro de Urbanismo</v>
      </c>
      <c r="K43" s="193" t="str">
        <f>VLOOKUP(A43,Jobmatch!A:I,8,0)</f>
        <v>Indiferente</v>
      </c>
      <c r="L43" s="194" t="str">
        <f t="shared" si="2"/>
        <v>212Indiferente</v>
      </c>
      <c r="M43" s="195">
        <f>COUNTIF('Folha de Pagamento'!A:A,A43)</f>
        <v>1</v>
      </c>
      <c r="N43" s="238">
        <v>21.0</v>
      </c>
      <c r="O43" s="196">
        <f>IFERROR(VLOOKUP(L43,'C-01'!$D:$L,5,0),"")</f>
        <v>12766.6</v>
      </c>
      <c r="P43" s="196">
        <f>IFERROR(VLOOKUP(L43,'C-01'!$D:$L,6,0),"")</f>
        <v>14293.39</v>
      </c>
      <c r="Q43" s="196">
        <f>IFERROR(VLOOKUP(L43,'C-01'!$D:$L,7,0),"")</f>
        <v>15082.52</v>
      </c>
      <c r="R43" s="196">
        <f>IFERROR(VLOOKUP(L43,'C-01'!$D:$L,8,0),"")</f>
        <v>16110.29</v>
      </c>
      <c r="S43" s="197">
        <f>IFERROR(VLOOKUP(L43,'C-01'!$D:$L,9,0),"")</f>
        <v>16164.64</v>
      </c>
      <c r="T43" s="198">
        <f>IFS('Painel Geral'!$B$5="Mediana",IFERROR(IF(OR(C43="",Q43=0,Q43=""),"",($C43/$Q43)),""),'Painel Geral'!$B$5="Menor Salário",IFERROR(IF(OR(C43="",Q43=0,Q43=""),"",($C43/$N43)),""),'Painel Geral'!$B$5="1º Quartil",IFERROR(IF(OR(C43="",Q43=0,Q43=""),"",($C43/$O43)),""), 'Painel Geral'!$B$5="Média",IFERROR(IF(OR(C43="",Q43=0,Q43=""),"",($C43/$P43)),""),'Painel Geral'!$B$5="3º Quartil",IFERROR(IF(OR(C43="",Q43=0,Q43=""),"",($C43/$R43)),""),'Painel Geral'!$B$5="Maior Salário",IFERROR(IF(OR(C43="",Q43=0,Q43=""),"",($C43/$S43)),""))</f>
        <v>0.9543457853</v>
      </c>
      <c r="U43" s="199" t="str">
        <f t="shared" si="3"/>
        <v>Na Média</v>
      </c>
      <c r="V43" s="201"/>
      <c r="W43" s="201"/>
      <c r="X43" s="201"/>
      <c r="Y43" s="201"/>
      <c r="Z43" s="232">
        <v>22.0</v>
      </c>
      <c r="AA43" s="233">
        <f t="shared" si="6"/>
        <v>16874.32</v>
      </c>
      <c r="AB43" s="224">
        <f t="shared" si="7"/>
        <v>0.192911663</v>
      </c>
      <c r="AC43" s="235">
        <f t="shared" si="8"/>
        <v>17140.93382</v>
      </c>
      <c r="AD43" s="201"/>
      <c r="AE43" s="201"/>
      <c r="AF43" s="201"/>
      <c r="AG43" s="201"/>
      <c r="AH43" s="201"/>
      <c r="AI43" s="201"/>
      <c r="AJ43" s="201"/>
      <c r="AK43" s="201"/>
      <c r="AL43" s="201"/>
      <c r="AM43" s="201"/>
      <c r="AN43" s="201"/>
      <c r="AO43" s="201"/>
      <c r="AP43" s="201"/>
    </row>
    <row r="44" ht="15.75" customHeight="1">
      <c r="A44" s="184" t="s">
        <v>127</v>
      </c>
      <c r="B44" s="185" t="str">
        <f>VLOOKUP(A44,Jobmatch!A:G,2,0)</f>
        <v>ENGENHEIRO JUNIOR DE URBANISMO</v>
      </c>
      <c r="C44" s="186">
        <f>IFERROR(AVERAGEIF('Folha de Pagamento'!A:A,A44,'Folha de Pagamento'!J:J),"")</f>
        <v>5630.872483</v>
      </c>
      <c r="D44" s="187">
        <v>10.0</v>
      </c>
      <c r="E44" s="185" t="str">
        <f>VLOOKUP(A44,Jobmatch!A:H,3,0)</f>
        <v>Urbanismo</v>
      </c>
      <c r="F44" s="188" t="s">
        <v>373</v>
      </c>
      <c r="G44" s="190" t="str">
        <f>VLOOKUP(A44,Jobmatch!A:I,4,0)</f>
        <v>43 - ADM PROJETOS</v>
      </c>
      <c r="H44" s="191" t="str">
        <f>VLOOKUP(A44,Jobmatch!A:I,5,0)</f>
        <v>Operacional</v>
      </c>
      <c r="I44" s="192">
        <f>VLOOKUP(A44,Jobmatch!A:I,6,0)</f>
        <v>212</v>
      </c>
      <c r="J44" s="190" t="str">
        <f>VLOOKUP(A44,Jobmatch!A:I,7,0)</f>
        <v>Engenheiro de Urbanismo</v>
      </c>
      <c r="K44" s="193" t="str">
        <f>VLOOKUP(A44,Jobmatch!A:I,8,0)</f>
        <v>Indiferente</v>
      </c>
      <c r="L44" s="194" t="str">
        <f t="shared" si="2"/>
        <v>212Indiferente</v>
      </c>
      <c r="M44" s="195">
        <f>COUNTIF('Folha de Pagamento'!A:A,A44)</f>
        <v>1</v>
      </c>
      <c r="N44" s="238">
        <v>21.0</v>
      </c>
      <c r="O44" s="196">
        <f>IFERROR(VLOOKUP(L44,'C-01'!$D:$L,5,0),"")</f>
        <v>12766.6</v>
      </c>
      <c r="P44" s="196">
        <f>IFERROR(VLOOKUP(L44,'C-01'!$D:$L,6,0),"")</f>
        <v>14293.39</v>
      </c>
      <c r="Q44" s="196">
        <f>IFERROR(VLOOKUP(L44,'C-01'!$D:$L,7,0),"")</f>
        <v>15082.52</v>
      </c>
      <c r="R44" s="196">
        <f>IFERROR(VLOOKUP(L44,'C-01'!$D:$L,8,0),"")</f>
        <v>16110.29</v>
      </c>
      <c r="S44" s="197">
        <f>IFERROR(VLOOKUP(L44,'C-01'!$D:$L,9,0),"")</f>
        <v>16164.64</v>
      </c>
      <c r="T44" s="198">
        <f>IFS('Painel Geral'!$B$5="Mediana",IFERROR(IF(OR(C44="",Q44=0,Q44=""),"",($C44/$Q44)),""),'Painel Geral'!$B$5="Menor Salário",IFERROR(IF(OR(C44="",Q44=0,Q44=""),"",($C44/$N44)),""),'Painel Geral'!$B$5="1º Quartil",IFERROR(IF(OR(C44="",Q44=0,Q44=""),"",($C44/$O44)),""), 'Painel Geral'!$B$5="Média",IFERROR(IF(OR(C44="",Q44=0,Q44=""),"",($C44/$P44)),""),'Painel Geral'!$B$5="3º Quartil",IFERROR(IF(OR(C44="",Q44=0,Q44=""),"",($C44/$R44)),""),'Painel Geral'!$B$5="Maior Salário",IFERROR(IF(OR(C44="",Q44=0,Q44=""),"",($C44/$S44)),""))</f>
        <v>0.3733376441</v>
      </c>
      <c r="U44" s="199" t="str">
        <f t="shared" si="3"/>
        <v>Muito Defasado</v>
      </c>
      <c r="V44" s="201"/>
      <c r="W44" s="201"/>
      <c r="X44" s="201"/>
      <c r="Y44" s="201"/>
      <c r="Z44" s="232">
        <v>23.0</v>
      </c>
      <c r="AA44" s="233">
        <f t="shared" si="6"/>
        <v>20075.03</v>
      </c>
      <c r="AB44" s="224">
        <f t="shared" si="7"/>
        <v>0.1896793471</v>
      </c>
      <c r="AC44" s="235">
        <f t="shared" si="8"/>
        <v>20569.12059</v>
      </c>
      <c r="AD44" s="201"/>
      <c r="AE44" s="201"/>
      <c r="AF44" s="201"/>
      <c r="AG44" s="201"/>
      <c r="AH44" s="201"/>
      <c r="AI44" s="201"/>
      <c r="AJ44" s="201"/>
      <c r="AK44" s="201"/>
      <c r="AL44" s="201"/>
      <c r="AM44" s="201"/>
      <c r="AN44" s="201"/>
      <c r="AO44" s="201"/>
      <c r="AP44" s="201"/>
    </row>
    <row r="45" ht="15.75" customHeight="1">
      <c r="A45" s="184" t="s">
        <v>109</v>
      </c>
      <c r="B45" s="185" t="str">
        <f>VLOOKUP(A45,Jobmatch!A:G,2,0)</f>
        <v>COORDENADOR DE OBRAS</v>
      </c>
      <c r="C45" s="186">
        <f>IFERROR(AVERAGEIF('Folha de Pagamento'!A:A,A45,'Folha de Pagamento'!J:J),"")</f>
        <v>8714</v>
      </c>
      <c r="D45" s="187">
        <v>5.0</v>
      </c>
      <c r="E45" s="185" t="str">
        <f>VLOOKUP(A45,Jobmatch!A:H,3,0)</f>
        <v>Edificação</v>
      </c>
      <c r="F45" s="188" t="s">
        <v>345</v>
      </c>
      <c r="G45" s="190" t="str">
        <f>VLOOKUP(A45,Jobmatch!A:I,4,0)</f>
        <v>37 - ADM PROJETOS</v>
      </c>
      <c r="H45" s="191" t="str">
        <f>VLOOKUP(A45,Jobmatch!A:I,5,0)</f>
        <v>Tático</v>
      </c>
      <c r="I45" s="192">
        <f>VLOOKUP(A45,Jobmatch!A:I,6,0)</f>
        <v>209</v>
      </c>
      <c r="J45" s="190" t="str">
        <f>VLOOKUP(A45,Jobmatch!A:I,7,0)</f>
        <v>Coordenador de Obras</v>
      </c>
      <c r="K45" s="193" t="str">
        <f>VLOOKUP(A45,Jobmatch!A:I,8,0)</f>
        <v>Indiferente</v>
      </c>
      <c r="L45" s="194" t="str">
        <f t="shared" si="2"/>
        <v>209Indiferente</v>
      </c>
      <c r="M45" s="195">
        <f>COUNTIF('Folha de Pagamento'!A:A,A45)</f>
        <v>1</v>
      </c>
      <c r="N45" s="238">
        <v>22.0</v>
      </c>
      <c r="O45" s="196">
        <f>IFERROR(VLOOKUP(L45,'C-01'!$D:$L,5,0),"")</f>
        <v>10017.83</v>
      </c>
      <c r="P45" s="196">
        <f>IFERROR(VLOOKUP(L45,'C-01'!$D:$L,6,0),"")</f>
        <v>16217.22</v>
      </c>
      <c r="Q45" s="196">
        <f>IFERROR(VLOOKUP(L45,'C-01'!$D:$L,7,0),"")</f>
        <v>16164.64</v>
      </c>
      <c r="R45" s="196">
        <f>IFERROR(VLOOKUP(L45,'C-01'!$D:$L,8,0),"")</f>
        <v>23908.2</v>
      </c>
      <c r="S45" s="197">
        <f>IFERROR(VLOOKUP(L45,'C-01'!$D:$L,9,0),"")</f>
        <v>23908.2</v>
      </c>
      <c r="T45" s="198">
        <f>IFS('Painel Geral'!$B$5="Mediana",IFERROR(IF(OR(C45="",Q45=0,Q45=""),"",($C45/$Q45)),""),'Painel Geral'!$B$5="Menor Salário",IFERROR(IF(OR(C45="",Q45=0,Q45=""),"",($C45/$N45)),""),'Painel Geral'!$B$5="1º Quartil",IFERROR(IF(OR(C45="",Q45=0,Q45=""),"",($C45/$O45)),""), 'Painel Geral'!$B$5="Média",IFERROR(IF(OR(C45="",Q45=0,Q45=""),"",($C45/$P45)),""),'Painel Geral'!$B$5="3º Quartil",IFERROR(IF(OR(C45="",Q45=0,Q45=""),"",($C45/$R45)),""),'Painel Geral'!$B$5="Maior Salário",IFERROR(IF(OR(C45="",Q45=0,Q45=""),"",($C45/$S45)),""))</f>
        <v>0.5390778885</v>
      </c>
      <c r="U45" s="199" t="str">
        <f t="shared" si="3"/>
        <v>Muito Defasado</v>
      </c>
      <c r="V45" s="201"/>
      <c r="W45" s="201"/>
      <c r="X45" s="201"/>
      <c r="Y45" s="201"/>
      <c r="Z45" s="232">
        <v>24.0</v>
      </c>
      <c r="AA45" s="233">
        <f t="shared" si="6"/>
        <v>23796.16</v>
      </c>
      <c r="AB45" s="224">
        <f t="shared" si="7"/>
        <v>0.1853611178</v>
      </c>
      <c r="AC45" s="235">
        <f t="shared" si="8"/>
        <v>24682.94471</v>
      </c>
      <c r="AD45" s="201"/>
      <c r="AE45" s="201"/>
      <c r="AF45" s="201"/>
      <c r="AG45" s="201"/>
      <c r="AH45" s="201"/>
      <c r="AI45" s="201"/>
      <c r="AJ45" s="201"/>
      <c r="AK45" s="201"/>
      <c r="AL45" s="201"/>
      <c r="AM45" s="201"/>
      <c r="AN45" s="201"/>
      <c r="AO45" s="201"/>
      <c r="AP45" s="201"/>
    </row>
    <row r="46" ht="15.75" customHeight="1">
      <c r="A46" s="184" t="s">
        <v>95</v>
      </c>
      <c r="B46" s="185" t="str">
        <f>VLOOKUP(A46,Jobmatch!A:G,2,0)</f>
        <v>CONTROLLER GERAL</v>
      </c>
      <c r="C46" s="186">
        <f>IFERROR(AVERAGEIF('Folha de Pagamento'!A:A,A46,'Folha de Pagamento'!J:J),"")</f>
        <v>11678.83212</v>
      </c>
      <c r="D46" s="187">
        <v>3.0</v>
      </c>
      <c r="E46" s="185" t="str">
        <f>VLOOKUP(A46,Jobmatch!A:H,3,0)</f>
        <v>Controladoria</v>
      </c>
      <c r="F46" s="188" t="s">
        <v>338</v>
      </c>
      <c r="G46" s="190" t="str">
        <f>VLOOKUP(A46,Jobmatch!A:I,4,0)</f>
        <v>32 - ADM PROJETOS</v>
      </c>
      <c r="H46" s="191" t="str">
        <f>VLOOKUP(A46,Jobmatch!A:I,5,0)</f>
        <v>Tático</v>
      </c>
      <c r="I46" s="192">
        <f>VLOOKUP(A46,Jobmatch!A:I,6,0)</f>
        <v>95</v>
      </c>
      <c r="J46" s="190" t="str">
        <f>VLOOKUP(A46,Jobmatch!A:I,7,0)</f>
        <v>Controller</v>
      </c>
      <c r="K46" s="193" t="str">
        <f>VLOOKUP(A46,Jobmatch!A:I,8,0)</f>
        <v>Indiferente</v>
      </c>
      <c r="L46" s="194" t="str">
        <f t="shared" si="2"/>
        <v>95Indiferente</v>
      </c>
      <c r="M46" s="195">
        <f>COUNTIF('Folha de Pagamento'!A:A,A46)</f>
        <v>1</v>
      </c>
      <c r="N46" s="238">
        <v>23.0</v>
      </c>
      <c r="O46" s="196">
        <f>IFERROR(VLOOKUP(L46,'C-01'!$D:$L,5,0),"")</f>
        <v>15472.01</v>
      </c>
      <c r="P46" s="196">
        <f>IFERROR(VLOOKUP(L46,'C-01'!$D:$L,6,0),"")</f>
        <v>16594.35</v>
      </c>
      <c r="Q46" s="196">
        <f>IFERROR(VLOOKUP(L46,'C-01'!$D:$L,7,0),"")</f>
        <v>16581.68</v>
      </c>
      <c r="R46" s="196">
        <f>IFERROR(VLOOKUP(L46,'C-01'!$D:$L,8,0),"")</f>
        <v>17497.31</v>
      </c>
      <c r="S46" s="197">
        <f>IFERROR(VLOOKUP(L46,'C-01'!$D:$L,9,0),"")</f>
        <v>18846.04</v>
      </c>
      <c r="T46" s="198">
        <f>IFS('Painel Geral'!$B$5="Mediana",IFERROR(IF(OR(C46="",Q46=0,Q46=""),"",($C46/$Q46)),""),'Painel Geral'!$B$5="Menor Salário",IFERROR(IF(OR(C46="",Q46=0,Q46=""),"",($C46/$N46)),""),'Painel Geral'!$B$5="1º Quartil",IFERROR(IF(OR(C46="",Q46=0,Q46=""),"",($C46/$O46)),""), 'Painel Geral'!$B$5="Média",IFERROR(IF(OR(C46="",Q46=0,Q46=""),"",($C46/$P46)),""),'Painel Geral'!$B$5="3º Quartil",IFERROR(IF(OR(C46="",Q46=0,Q46=""),"",($C46/$R46)),""),'Painel Geral'!$B$5="Maior Salário",IFERROR(IF(OR(C46="",Q46=0,Q46=""),"",($C46/$S46)),""))</f>
        <v>0.7043214027</v>
      </c>
      <c r="U46" s="199" t="str">
        <f t="shared" si="3"/>
        <v>Muito Defasado</v>
      </c>
      <c r="V46" s="201"/>
      <c r="W46" s="201"/>
      <c r="X46" s="201"/>
      <c r="Y46" s="201"/>
      <c r="Z46" s="232">
        <v>25.0</v>
      </c>
      <c r="AA46" s="233">
        <f t="shared" si="6"/>
        <v>28086.25</v>
      </c>
      <c r="AB46" s="224">
        <f t="shared" si="7"/>
        <v>0.1802849703</v>
      </c>
      <c r="AC46" s="235">
        <f t="shared" si="8"/>
        <v>29619.53365</v>
      </c>
      <c r="AD46" s="201"/>
      <c r="AE46" s="201"/>
      <c r="AF46" s="201"/>
      <c r="AG46" s="201"/>
      <c r="AH46" s="201"/>
      <c r="AI46" s="201"/>
      <c r="AJ46" s="201"/>
      <c r="AK46" s="201"/>
      <c r="AL46" s="201"/>
      <c r="AM46" s="201"/>
      <c r="AN46" s="201"/>
      <c r="AO46" s="201"/>
      <c r="AP46" s="201"/>
    </row>
    <row r="47" ht="15.75" customHeight="1">
      <c r="A47" s="184" t="s">
        <v>118</v>
      </c>
      <c r="B47" s="185" t="str">
        <f>VLOOKUP(A47,Jobmatch!A:G,2,0)</f>
        <v>DIRETOR</v>
      </c>
      <c r="C47" s="186">
        <f>IFERROR(AVERAGEIF('Folha de Pagamento'!A:A,A47,'Folha de Pagamento'!J:J),"")</f>
        <v>55769.23077</v>
      </c>
      <c r="D47" s="187">
        <v>2.0</v>
      </c>
      <c r="E47" s="185" t="str">
        <f>VLOOKUP(A47,Jobmatch!A:H,3,0)</f>
        <v>Comercial</v>
      </c>
      <c r="F47" s="188" t="s">
        <v>332</v>
      </c>
      <c r="G47" s="190" t="str">
        <f>VLOOKUP(A47,Jobmatch!A:I,4,0)</f>
        <v>40 - ADM PROJETOS</v>
      </c>
      <c r="H47" s="191" t="str">
        <f>VLOOKUP(A47,Jobmatch!A:I,5,0)</f>
        <v>Estratégico</v>
      </c>
      <c r="I47" s="192">
        <f>VLOOKUP(A47,Jobmatch!A:I,6,0)</f>
        <v>456</v>
      </c>
      <c r="J47" s="190" t="str">
        <f>VLOOKUP(A47,Jobmatch!A:I,7,0)</f>
        <v>CEO</v>
      </c>
      <c r="K47" s="193" t="str">
        <f>VLOOKUP(A47,Jobmatch!A:I,8,0)</f>
        <v>Indiferente</v>
      </c>
      <c r="L47" s="194" t="str">
        <f t="shared" si="2"/>
        <v>456Indiferente</v>
      </c>
      <c r="M47" s="195">
        <f>COUNTIF('Folha de Pagamento'!A:A,A47)</f>
        <v>1</v>
      </c>
      <c r="N47" s="238">
        <v>25.0</v>
      </c>
      <c r="O47" s="196">
        <f>IFERROR(VLOOKUP(L47,'C-01'!$D:$L,5,0),"")</f>
        <v>24816.78</v>
      </c>
      <c r="P47" s="196">
        <f>IFERROR(VLOOKUP(L47,'C-01'!$D:$L,6,0),"")</f>
        <v>32648.36</v>
      </c>
      <c r="Q47" s="196">
        <f>IFERROR(VLOOKUP(L47,'C-01'!$D:$L,7,0),"")</f>
        <v>29147.75</v>
      </c>
      <c r="R47" s="196">
        <f>IFERROR(VLOOKUP(L47,'C-01'!$D:$L,8,0),"")</f>
        <v>37122.89</v>
      </c>
      <c r="S47" s="197">
        <f>IFERROR(VLOOKUP(L47,'C-01'!$D:$L,9,0),"")</f>
        <v>55429.54</v>
      </c>
      <c r="T47" s="198">
        <f>IFS('Painel Geral'!$B$5="Mediana",IFERROR(IF(OR(C47="",Q47=0,Q47=""),"",($C47/$Q47)),""),'Painel Geral'!$B$5="Menor Salário",IFERROR(IF(OR(C47="",Q47=0,Q47=""),"",($C47/$N47)),""),'Painel Geral'!$B$5="1º Quartil",IFERROR(IF(OR(C47="",Q47=0,Q47=""),"",($C47/$O47)),""), 'Painel Geral'!$B$5="Média",IFERROR(IF(OR(C47="",Q47=0,Q47=""),"",($C47/$P47)),""),'Painel Geral'!$B$5="3º Quartil",IFERROR(IF(OR(C47="",Q47=0,Q47=""),"",($C47/$R47)),""),'Painel Geral'!$B$5="Maior Salário",IFERROR(IF(OR(C47="",Q47=0,Q47=""),"",($C47/$S47)),""))</f>
        <v>1.913328843</v>
      </c>
      <c r="U47" s="199" t="str">
        <f t="shared" si="3"/>
        <v>Agressivo</v>
      </c>
      <c r="V47" s="201"/>
      <c r="W47" s="201"/>
      <c r="X47" s="201"/>
      <c r="Y47" s="201"/>
      <c r="Z47" s="201"/>
      <c r="AA47" s="201"/>
      <c r="AB47" s="201"/>
      <c r="AC47" s="201"/>
      <c r="AD47" s="201"/>
      <c r="AE47" s="201"/>
      <c r="AF47" s="201"/>
      <c r="AG47" s="201"/>
      <c r="AH47" s="201"/>
      <c r="AI47" s="201"/>
      <c r="AJ47" s="201"/>
      <c r="AK47" s="201"/>
      <c r="AL47" s="201"/>
      <c r="AM47" s="201"/>
      <c r="AN47" s="201"/>
      <c r="AO47" s="201"/>
      <c r="AP47" s="201"/>
    </row>
  </sheetData>
  <autoFilter ref="$A$3:$U$47">
    <sortState ref="A3:U47">
      <sortCondition ref="Q3:Q47"/>
      <sortCondition ref="E3:E47"/>
    </sortState>
  </autoFilter>
  <customSheetViews>
    <customSheetView guid="{A7CC0C28-C4CD-4D76-B1EF-29E890F45AC8}" filter="1" showAutoFilter="1">
      <autoFilter ref="$A$3:$U$47">
        <filterColumn colId="9">
          <filters>
            <filter val="Analista de Marketing"/>
            <filter val="Almoxarife"/>
            <filter val="Assistente de Engenharia"/>
            <filter val="Coordenador Financeiro"/>
            <filter val="Analista de Criação"/>
            <filter val="Analista de Controladoria"/>
            <filter val="Assistente de Recursos Humanos"/>
            <filter val="Gerente de Relacionamento"/>
            <filter val="Gerente Administrativo"/>
            <filter val="Coordenador de Obras"/>
            <filter val="Analista de Compras"/>
            <filter val="Coordenador de Legalização"/>
            <filter val="Coordenador de Marketing"/>
            <filter val="Coordenador de Compras"/>
            <filter val="Analista de Custos"/>
            <filter val="Mestre de Obras"/>
            <filter val="Auxiliar de Engenharia"/>
            <filter val="Gerente de Operações"/>
            <filter val="Analista de Urbanismo"/>
            <filter val="Assistente Administrativo"/>
            <filter val="Analista Comercial"/>
            <filter val="Assistente de Tecnologia da Informação"/>
            <filter val="Técnico em Edificações"/>
            <filter val="Controller"/>
            <filter val="CEO"/>
            <filter val="Assistente de Legalização"/>
            <filter val="Auxiliar de Atendimento"/>
            <filter val="Assistente de Controladoria"/>
            <filter val="Coordenador de Recursos Humanos"/>
            <filter val="Assistente de Marketing"/>
            <filter val="Analista de Inovação"/>
            <filter val="Gerente Comercial"/>
            <filter val="Auxiliar Administrativo"/>
            <filter val="Assistente Financeiro"/>
            <filter val="Engenheiro de Urbanismo"/>
          </filters>
        </filterColumn>
      </autoFilter>
    </customSheetView>
    <customSheetView guid="{B41F88BD-3F58-45D0-A0E7-C0E19BA24239}" filter="1" showAutoFilter="1">
      <autoFilter ref="$A$3:$U$47"/>
    </customSheetView>
    <customSheetView guid="{9ED18B37-6EB4-4260-A5FA-FAFBE39E0B69}" filter="1" showAutoFilter="1">
      <autoFilter ref="$A$3:$U$47"/>
    </customSheetView>
    <customSheetView guid="{3C6918C3-D868-4D69-A6CD-504F4B52EE22}" filter="1" showAutoFilter="1">
      <autoFilter ref="$A$3:$U$47"/>
    </customSheetView>
    <customSheetView guid="{96C31A28-1028-4009-9DE6-63B3CF4DFB9B}" filter="1" showAutoFilter="1">
      <autoFilter ref="$A$3:$U$47"/>
    </customSheetView>
    <customSheetView guid="{45EEC70B-EA86-49D3-A588-0A0D84BF9E52}" filter="1" showAutoFilter="1">
      <autoFilter ref="$B$1:$U$1"/>
    </customSheetView>
    <customSheetView guid="{0075A802-B66C-4D7D-929F-34C2F59AE8A9}" filter="1" showAutoFilter="1">
      <autoFilter ref="$A$3:$U$47"/>
    </customSheetView>
  </customSheetViews>
  <mergeCells count="1">
    <mergeCell ref="O1:Q1"/>
  </mergeCells>
  <printOptions/>
  <pageMargins bottom="0.787401575" footer="0.0" header="0.0" left="0.511811024" right="0.511811024" top="0.7874015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7.0"/>
    <col customWidth="1" min="2" max="2" width="23.88"/>
    <col customWidth="1" min="3" max="3" width="15.75"/>
    <col customWidth="1" hidden="1" min="4" max="4" width="10.25"/>
    <col customWidth="1" hidden="1" min="5" max="5" width="22.63"/>
    <col customWidth="1" min="6" max="6" width="22.63"/>
    <col customWidth="1" hidden="1" min="7" max="7" width="25.13"/>
    <col customWidth="1" hidden="1" min="8" max="8" width="19.88"/>
    <col customWidth="1" hidden="1" min="9" max="9" width="13.0"/>
    <col customWidth="1" hidden="1" min="10" max="10" width="28.88"/>
    <col customWidth="1" hidden="1" min="11" max="11" width="11.75"/>
    <col customWidth="1" hidden="1" min="12" max="12" width="17.38"/>
    <col customWidth="1" hidden="1" min="13" max="13" width="21.63"/>
    <col customWidth="1" min="14" max="14" width="14.75"/>
    <col customWidth="1" hidden="1" min="15" max="15" width="10.88"/>
    <col customWidth="1" hidden="1" min="16" max="16" width="10.13"/>
    <col customWidth="1" min="17" max="17" width="10.13"/>
    <col customWidth="1" hidden="1" min="18" max="18" width="10.88"/>
    <col customWidth="1" hidden="1" min="19" max="19" width="14.0"/>
    <col customWidth="1" hidden="1" min="20" max="20" width="18.75"/>
    <col customWidth="1" hidden="1" min="21" max="21" width="27.38"/>
    <col customWidth="1" min="22" max="22" width="7.88"/>
    <col customWidth="1" min="23" max="42" width="6.63"/>
  </cols>
  <sheetData>
    <row r="1">
      <c r="B1" s="157"/>
      <c r="C1" s="157"/>
      <c r="D1" s="157"/>
      <c r="E1" s="157"/>
      <c r="F1" s="157"/>
      <c r="G1" s="157"/>
      <c r="H1" s="157"/>
      <c r="I1" s="158" t="s">
        <v>314</v>
      </c>
      <c r="J1" s="157"/>
      <c r="K1" s="157"/>
      <c r="L1" s="157"/>
      <c r="M1" s="157"/>
      <c r="N1" s="159"/>
      <c r="O1" s="159" t="str">
        <f>'Informações Relevantes Cenário'!A1</f>
        <v>Cenário 01: Pesquisas Consolidadas - Nacional</v>
      </c>
      <c r="P1" s="160"/>
      <c r="Q1" s="160"/>
      <c r="R1" s="161"/>
      <c r="S1" s="162"/>
      <c r="T1" s="163" t="str">
        <f>"% Distância da "&amp;'Painel Geral'!B5</f>
        <v>% Distância da Mediana</v>
      </c>
      <c r="U1" s="163" t="s">
        <v>315</v>
      </c>
      <c r="V1" s="213"/>
      <c r="W1" s="213"/>
      <c r="X1" s="213"/>
      <c r="Y1" s="213"/>
      <c r="Z1" s="213"/>
      <c r="AA1" s="213"/>
      <c r="AB1" s="213"/>
      <c r="AC1" s="213"/>
      <c r="AD1" s="213"/>
      <c r="AE1" s="213"/>
      <c r="AF1" s="213"/>
      <c r="AG1" s="213"/>
      <c r="AH1" s="213"/>
      <c r="AI1" s="213"/>
      <c r="AJ1" s="213"/>
      <c r="AK1" s="213"/>
      <c r="AL1" s="213"/>
      <c r="AM1" s="213"/>
      <c r="AN1" s="213"/>
      <c r="AO1" s="213"/>
      <c r="AP1" s="213"/>
    </row>
    <row r="2" ht="6.0" customHeight="1">
      <c r="A2" s="164"/>
      <c r="B2" s="165"/>
      <c r="C2" s="166"/>
      <c r="D2" s="167"/>
      <c r="E2" s="165"/>
      <c r="F2" s="165"/>
      <c r="G2" s="165"/>
      <c r="H2" s="165"/>
      <c r="I2" s="167"/>
      <c r="J2" s="165"/>
      <c r="K2" s="165"/>
      <c r="L2" s="165"/>
      <c r="M2" s="168"/>
      <c r="N2" s="214"/>
      <c r="O2" s="169"/>
      <c r="P2" s="169"/>
      <c r="Q2" s="169"/>
      <c r="R2" s="169"/>
      <c r="S2" s="170"/>
      <c r="T2" s="171"/>
      <c r="U2" s="170"/>
      <c r="V2" s="207"/>
      <c r="W2" s="207"/>
      <c r="X2" s="207"/>
      <c r="Y2" s="207"/>
      <c r="Z2" s="207"/>
      <c r="AA2" s="207"/>
      <c r="AB2" s="207"/>
      <c r="AC2" s="207"/>
      <c r="AD2" s="207"/>
      <c r="AE2" s="207"/>
      <c r="AF2" s="207"/>
      <c r="AG2" s="207"/>
      <c r="AH2" s="207"/>
      <c r="AI2" s="207"/>
      <c r="AJ2" s="207"/>
      <c r="AK2" s="207"/>
      <c r="AL2" s="207"/>
      <c r="AM2" s="207"/>
      <c r="AN2" s="207"/>
      <c r="AO2" s="207"/>
      <c r="AP2" s="207"/>
    </row>
    <row r="3">
      <c r="A3" s="172" t="s">
        <v>2</v>
      </c>
      <c r="B3" s="173" t="s">
        <v>203</v>
      </c>
      <c r="C3" s="174" t="s">
        <v>316</v>
      </c>
      <c r="D3" s="175" t="s">
        <v>317</v>
      </c>
      <c r="E3" s="175" t="s">
        <v>318</v>
      </c>
      <c r="F3" s="175" t="s">
        <v>5</v>
      </c>
      <c r="G3" s="175" t="s">
        <v>319</v>
      </c>
      <c r="H3" s="176" t="s">
        <v>7</v>
      </c>
      <c r="I3" s="176" t="s">
        <v>204</v>
      </c>
      <c r="J3" s="176" t="s">
        <v>205</v>
      </c>
      <c r="K3" s="177" t="s">
        <v>6</v>
      </c>
      <c r="L3" s="178" t="s">
        <v>320</v>
      </c>
      <c r="M3" s="179" t="s">
        <v>321</v>
      </c>
      <c r="N3" s="215"/>
      <c r="O3" s="180" t="s">
        <v>323</v>
      </c>
      <c r="P3" s="180" t="s">
        <v>324</v>
      </c>
      <c r="Q3" s="180" t="s">
        <v>325</v>
      </c>
      <c r="R3" s="180" t="s">
        <v>326</v>
      </c>
      <c r="S3" s="181" t="s">
        <v>327</v>
      </c>
      <c r="T3" s="182" t="s">
        <v>328</v>
      </c>
      <c r="U3" s="183" t="s">
        <v>329</v>
      </c>
      <c r="V3" s="207"/>
      <c r="W3" s="207"/>
      <c r="X3" s="207"/>
      <c r="Y3" s="207"/>
      <c r="Z3" s="207"/>
      <c r="AA3" s="207"/>
      <c r="AB3" s="207"/>
      <c r="AC3" s="207"/>
      <c r="AD3" s="207"/>
      <c r="AE3" s="207"/>
      <c r="AF3" s="207"/>
      <c r="AG3" s="207"/>
      <c r="AH3" s="207"/>
      <c r="AI3" s="207"/>
      <c r="AJ3" s="207"/>
      <c r="AK3" s="207"/>
      <c r="AL3" s="207"/>
      <c r="AM3" s="207"/>
      <c r="AN3" s="207"/>
      <c r="AO3" s="207"/>
      <c r="AP3" s="207"/>
    </row>
    <row r="4" ht="15.75" customHeight="1">
      <c r="A4" s="184" t="s">
        <v>87</v>
      </c>
      <c r="B4" s="185" t="str">
        <f>VLOOKUP(A4,Jobmatch!A:G,2,0)</f>
        <v>AUXILIAR DE ATENDIMENTO II</v>
      </c>
      <c r="C4" s="186">
        <f>IFERROR(AVERAGEIF('Folha de Pagamento'!A:A,A4,'Folha de Pagamento'!J:J),"")</f>
        <v>2560</v>
      </c>
      <c r="D4" s="187">
        <v>1.0</v>
      </c>
      <c r="E4" s="185" t="str">
        <f>VLOOKUP(A4,Jobmatch!A:H,3,0)</f>
        <v>Recepção</v>
      </c>
      <c r="F4" s="188" t="s">
        <v>366</v>
      </c>
      <c r="G4" s="190" t="str">
        <f>VLOOKUP(A4,Jobmatch!A:I,4,0)</f>
        <v>29 - ADM PROJETOS</v>
      </c>
      <c r="H4" s="191" t="str">
        <f>VLOOKUP(A4,Jobmatch!A:I,5,0)</f>
        <v>Operacional</v>
      </c>
      <c r="I4" s="192">
        <f>VLOOKUP(A4,Jobmatch!A:I,6,0)</f>
        <v>318</v>
      </c>
      <c r="J4" s="190" t="str">
        <f>VLOOKUP(A4,Jobmatch!A:I,7,0)</f>
        <v>Auxiliar de Atendimento</v>
      </c>
      <c r="K4" s="193" t="str">
        <f>VLOOKUP(A4,Jobmatch!A:I,8,0)</f>
        <v>Indiferente</v>
      </c>
      <c r="L4" s="194" t="str">
        <f t="shared" ref="L4:L47" si="2">I4&amp;K4</f>
        <v>318Indiferente</v>
      </c>
      <c r="M4" s="195">
        <f>COUNTIF('Folha de Pagamento'!A:A,A4)</f>
        <v>1</v>
      </c>
      <c r="N4" s="238">
        <v>10.0</v>
      </c>
      <c r="O4" s="196">
        <f>IFERROR(VLOOKUP(L4,'C-01'!$D:$L,5,0),"")</f>
        <v>1778.55</v>
      </c>
      <c r="P4" s="196">
        <f>IFERROR(VLOOKUP(L4,'C-01'!$D:$L,6,0),"")</f>
        <v>2041.06</v>
      </c>
      <c r="Q4" s="196">
        <f>IFERROR(VLOOKUP(L4,'C-01'!$D:$L,7,0),"")</f>
        <v>2052.94</v>
      </c>
      <c r="R4" s="196">
        <f>IFERROR(VLOOKUP(L4,'C-01'!$D:$L,8,0),"")</f>
        <v>2169.15</v>
      </c>
      <c r="S4" s="197">
        <f>IFERROR(VLOOKUP(L4,'C-01'!$D:$L,9,0),"")</f>
        <v>2574.08</v>
      </c>
      <c r="T4" s="198">
        <f>IFS('Painel Geral'!$B$5="Mediana",IFERROR(IF(OR(C4="",Q4=0,Q4=""),"",($C4/$Q4)),""),'Painel Geral'!$B$5="Menor Salário",IFERROR(IF(OR(C4="",Q4=0,Q4=""),"",($C4/$N4)),""),'Painel Geral'!$B$5="1º Quartil",IFERROR(IF(OR(C4="",Q4=0,Q4=""),"",($C4/$O4)),""), 'Painel Geral'!$B$5="Média",IFERROR(IF(OR(C4="",Q4=0,Q4=""),"",($C4/$P4)),""),'Painel Geral'!$B$5="3º Quartil",IFERROR(IF(OR(C4="",Q4=0,Q4=""),"",($C4/$R4)),""),'Painel Geral'!$B$5="Maior Salário",IFERROR(IF(OR(C4="",Q4=0,Q4=""),"",($C4/$S4)),""))</f>
        <v>1.246992119</v>
      </c>
      <c r="U4" s="199" t="str">
        <f t="shared" ref="U4:U47" si="3">IFS(OR(N4="",N4=0,C4="", C4=0),"",T4&lt;=80%,"Muito Defasado",T4&lt;=90%,"Defasado",T4&lt;=100%,"Na Média",T4&lt;=110%,"Competitivo",T4&lt;=120%,"Muito Competitivo",T4&gt;120%,"Agressivo")</f>
        <v>Agressivo</v>
      </c>
      <c r="V4" s="201">
        <f>Z30*1.2</f>
        <v>2176.312428</v>
      </c>
      <c r="W4" s="201">
        <f t="shared" ref="W4:AJ4" si="1">V4*1.2</f>
        <v>2611.574913</v>
      </c>
      <c r="X4" s="201">
        <f t="shared" si="1"/>
        <v>3133.889896</v>
      </c>
      <c r="Y4" s="201">
        <f t="shared" si="1"/>
        <v>3760.667875</v>
      </c>
      <c r="Z4" s="201">
        <f t="shared" si="1"/>
        <v>4512.80145</v>
      </c>
      <c r="AA4" s="201">
        <f t="shared" si="1"/>
        <v>5415.36174</v>
      </c>
      <c r="AB4" s="201">
        <f t="shared" si="1"/>
        <v>6498.434088</v>
      </c>
      <c r="AC4" s="201">
        <f t="shared" si="1"/>
        <v>7798.120905</v>
      </c>
      <c r="AD4" s="201">
        <f t="shared" si="1"/>
        <v>9357.745086</v>
      </c>
      <c r="AE4" s="201">
        <f t="shared" si="1"/>
        <v>11229.2941</v>
      </c>
      <c r="AF4" s="201">
        <f t="shared" si="1"/>
        <v>13475.15292</v>
      </c>
      <c r="AG4" s="201">
        <f t="shared" si="1"/>
        <v>16170.18351</v>
      </c>
      <c r="AH4" s="201">
        <f t="shared" si="1"/>
        <v>19404.22021</v>
      </c>
      <c r="AI4" s="201">
        <f t="shared" si="1"/>
        <v>23285.06425</v>
      </c>
      <c r="AJ4" s="201">
        <f t="shared" si="1"/>
        <v>27942.0771</v>
      </c>
      <c r="AK4" s="201"/>
      <c r="AL4" s="201"/>
      <c r="AM4" s="201"/>
      <c r="AN4" s="201"/>
      <c r="AO4" s="201"/>
      <c r="AP4" s="201"/>
    </row>
    <row r="5" ht="15.75" customHeight="1">
      <c r="A5" s="184" t="s">
        <v>83</v>
      </c>
      <c r="B5" s="185" t="str">
        <f>VLOOKUP(A5,Jobmatch!A:G,2,0)</f>
        <v>AUXILIAR ADMINISTRATIVO</v>
      </c>
      <c r="C5" s="186">
        <f>IFERROR(AVERAGEIF('Folha de Pagamento'!A:A,A5,'Folha de Pagamento'!J:J),"")</f>
        <v>2254</v>
      </c>
      <c r="D5" s="187">
        <v>1.0</v>
      </c>
      <c r="E5" s="185" t="str">
        <f>VLOOKUP(A5,Jobmatch!A:H,3,0)</f>
        <v>Administrativo</v>
      </c>
      <c r="F5" s="188" t="s">
        <v>252</v>
      </c>
      <c r="G5" s="190" t="str">
        <f>VLOOKUP(A5,Jobmatch!A:I,4,0)</f>
        <v>27 - ADM PROJETOS</v>
      </c>
      <c r="H5" s="191" t="str">
        <f>VLOOKUP(A5,Jobmatch!A:I,5,0)</f>
        <v>Operacional</v>
      </c>
      <c r="I5" s="192">
        <f>VLOOKUP(A5,Jobmatch!A:I,6,0)</f>
        <v>83</v>
      </c>
      <c r="J5" s="190" t="str">
        <f>VLOOKUP(A5,Jobmatch!A:I,7,0)</f>
        <v>Auxiliar Administrativo</v>
      </c>
      <c r="K5" s="193" t="str">
        <f>VLOOKUP(A5,Jobmatch!A:I,8,0)</f>
        <v>Indiferente</v>
      </c>
      <c r="L5" s="194" t="str">
        <f t="shared" si="2"/>
        <v>83Indiferente</v>
      </c>
      <c r="M5" s="195">
        <f>COUNTIF('Folha de Pagamento'!A:A,A5)</f>
        <v>1</v>
      </c>
      <c r="N5" s="238">
        <v>10.0</v>
      </c>
      <c r="O5" s="196">
        <f>IFERROR(VLOOKUP(L5,'C-01'!$D:$L,5,0),"")</f>
        <v>2128.74</v>
      </c>
      <c r="P5" s="196">
        <f>IFERROR(VLOOKUP(L5,'C-01'!$D:$L,6,0),"")</f>
        <v>2292.87</v>
      </c>
      <c r="Q5" s="196">
        <f>IFERROR(VLOOKUP(L5,'C-01'!$D:$L,7,0),"")</f>
        <v>2309.71</v>
      </c>
      <c r="R5" s="196">
        <f>IFERROR(VLOOKUP(L5,'C-01'!$D:$L,8,0),"")</f>
        <v>2375.14</v>
      </c>
      <c r="S5" s="197">
        <f>IFERROR(VLOOKUP(L5,'C-01'!$D:$L,9,0),"")</f>
        <v>3073.32</v>
      </c>
      <c r="T5" s="198">
        <f>IFS('Painel Geral'!$B$5="Mediana",IFERROR(IF(OR(C5="",Q5=0,Q5=""),"",($C5/$Q5)),""),'Painel Geral'!$B$5="Menor Salário",IFERROR(IF(OR(C5="",Q5=0,Q5=""),"",($C5/$N5)),""),'Painel Geral'!$B$5="1º Quartil",IFERROR(IF(OR(C5="",Q5=0,Q5=""),"",($C5/$O5)),""), 'Painel Geral'!$B$5="Média",IFERROR(IF(OR(C5="",Q5=0,Q5=""),"",($C5/$P5)),""),'Painel Geral'!$B$5="3º Quartil",IFERROR(IF(OR(C5="",Q5=0,Q5=""),"",($C5/$R5)),""),'Painel Geral'!$B$5="Maior Salário",IFERROR(IF(OR(C5="",Q5=0,Q5=""),"",($C5/$S5)),""))</f>
        <v>0.9758800888</v>
      </c>
      <c r="U5" s="199" t="str">
        <f t="shared" si="3"/>
        <v>Na Média</v>
      </c>
      <c r="V5" s="205">
        <v>10.0</v>
      </c>
      <c r="W5" s="205">
        <v>11.0</v>
      </c>
      <c r="X5" s="205">
        <v>12.0</v>
      </c>
      <c r="Y5" s="205">
        <v>13.0</v>
      </c>
      <c r="Z5" s="205">
        <v>14.0</v>
      </c>
      <c r="AA5" s="205">
        <v>15.0</v>
      </c>
      <c r="AB5" s="205">
        <v>16.0</v>
      </c>
      <c r="AC5" s="205">
        <v>17.0</v>
      </c>
      <c r="AD5" s="205">
        <v>18.0</v>
      </c>
      <c r="AE5" s="205">
        <v>19.0</v>
      </c>
      <c r="AF5" s="205">
        <v>20.0</v>
      </c>
      <c r="AG5" s="205">
        <v>21.0</v>
      </c>
      <c r="AH5" s="205">
        <v>22.0</v>
      </c>
      <c r="AI5" s="205">
        <v>23.0</v>
      </c>
      <c r="AJ5" s="205">
        <v>24.0</v>
      </c>
      <c r="AK5" s="201"/>
      <c r="AL5" s="201"/>
      <c r="AM5" s="201"/>
      <c r="AN5" s="201"/>
      <c r="AO5" s="201"/>
      <c r="AP5" s="201"/>
    </row>
    <row r="6" ht="15.75" customHeight="1">
      <c r="A6" s="184" t="s">
        <v>85</v>
      </c>
      <c r="B6" s="185" t="str">
        <f>VLOOKUP(A6,Jobmatch!A:G,2,0)</f>
        <v>AUXILIAR ADMINISTRATIVO III</v>
      </c>
      <c r="C6" s="186">
        <f>IFERROR(AVERAGEIF('Folha de Pagamento'!A:A,A6,'Folha de Pagamento'!J:J),"")</f>
        <v>2739.04</v>
      </c>
      <c r="D6" s="187">
        <v>1.0</v>
      </c>
      <c r="E6" s="185" t="str">
        <f>VLOOKUP(A6,Jobmatch!A:H,3,0)</f>
        <v>Administrativo</v>
      </c>
      <c r="F6" s="188" t="s">
        <v>252</v>
      </c>
      <c r="G6" s="190" t="str">
        <f>VLOOKUP(A6,Jobmatch!A:I,4,0)</f>
        <v>28 - ADM PROJETOS</v>
      </c>
      <c r="H6" s="191" t="str">
        <f>VLOOKUP(A6,Jobmatch!A:I,5,0)</f>
        <v>Operacional</v>
      </c>
      <c r="I6" s="192">
        <f>VLOOKUP(A6,Jobmatch!A:I,6,0)</f>
        <v>83</v>
      </c>
      <c r="J6" s="190" t="str">
        <f>VLOOKUP(A6,Jobmatch!A:I,7,0)</f>
        <v>Auxiliar Administrativo</v>
      </c>
      <c r="K6" s="193" t="str">
        <f>VLOOKUP(A6,Jobmatch!A:I,8,0)</f>
        <v>Indiferente</v>
      </c>
      <c r="L6" s="194" t="str">
        <f t="shared" si="2"/>
        <v>83Indiferente</v>
      </c>
      <c r="M6" s="195">
        <f>COUNTIF('Folha de Pagamento'!A:A,A6)</f>
        <v>1</v>
      </c>
      <c r="N6" s="238">
        <v>10.0</v>
      </c>
      <c r="O6" s="196">
        <f>IFERROR(VLOOKUP(L6,'C-01'!$D:$L,5,0),"")</f>
        <v>2128.74</v>
      </c>
      <c r="P6" s="196">
        <f>IFERROR(VLOOKUP(L6,'C-01'!$D:$L,6,0),"")</f>
        <v>2292.87</v>
      </c>
      <c r="Q6" s="196">
        <f>IFERROR(VLOOKUP(L6,'C-01'!$D:$L,7,0),"")</f>
        <v>2309.71</v>
      </c>
      <c r="R6" s="196">
        <f>IFERROR(VLOOKUP(L6,'C-01'!$D:$L,8,0),"")</f>
        <v>2375.14</v>
      </c>
      <c r="S6" s="197">
        <f>IFERROR(VLOOKUP(L6,'C-01'!$D:$L,9,0),"")</f>
        <v>3073.32</v>
      </c>
      <c r="T6" s="198">
        <f>IFS('Painel Geral'!$B$5="Mediana",IFERROR(IF(OR(C6="",Q6=0,Q6=""),"",($C6/$Q6)),""),'Painel Geral'!$B$5="Menor Salário",IFERROR(IF(OR(C6="",Q6=0,Q6=""),"",($C6/$N6)),""),'Painel Geral'!$B$5="1º Quartil",IFERROR(IF(OR(C6="",Q6=0,Q6=""),"",($C6/$O6)),""), 'Painel Geral'!$B$5="Média",IFERROR(IF(OR(C6="",Q6=0,Q6=""),"",($C6/$P6)),""),'Painel Geral'!$B$5="3º Quartil",IFERROR(IF(OR(C6="",Q6=0,Q6=""),"",($C6/$R6)),""),'Painel Geral'!$B$5="Maior Salário",IFERROR(IF(OR(C6="",Q6=0,Q6=""),"",($C6/$S6)),""))</f>
        <v>1.185880479</v>
      </c>
      <c r="U6" s="199" t="str">
        <f t="shared" si="3"/>
        <v>Muito Competitivo</v>
      </c>
      <c r="V6" s="201"/>
      <c r="W6" s="201"/>
      <c r="X6" s="201"/>
      <c r="Y6" s="201"/>
      <c r="Z6" s="201"/>
      <c r="AA6" s="201"/>
      <c r="AB6" s="201"/>
      <c r="AC6" s="201"/>
      <c r="AD6" s="201"/>
      <c r="AE6" s="201"/>
      <c r="AF6" s="201"/>
      <c r="AG6" s="201"/>
      <c r="AH6" s="201"/>
      <c r="AI6" s="201"/>
      <c r="AJ6" s="201"/>
      <c r="AK6" s="201"/>
      <c r="AL6" s="201"/>
      <c r="AM6" s="201"/>
      <c r="AN6" s="201"/>
      <c r="AO6" s="201"/>
      <c r="AP6" s="201"/>
    </row>
    <row r="7" ht="15.75" customHeight="1">
      <c r="A7" s="184" t="s">
        <v>77</v>
      </c>
      <c r="B7" s="185" t="str">
        <f>VLOOKUP(A7,Jobmatch!A:G,2,0)</f>
        <v>ASSISTENTE DE TI</v>
      </c>
      <c r="C7" s="186">
        <f>IFERROR(AVERAGEIF('Folha de Pagamento'!A:A,A7,'Folha de Pagamento'!J:J),"")</f>
        <v>2919</v>
      </c>
      <c r="D7" s="187">
        <v>1.0</v>
      </c>
      <c r="E7" s="185" t="str">
        <f>VLOOKUP(A7,Jobmatch!A:H,3,0)</f>
        <v>Tecnologia da Informação</v>
      </c>
      <c r="F7" s="188" t="s">
        <v>369</v>
      </c>
      <c r="G7" s="190" t="str">
        <f>VLOOKUP(A7,Jobmatch!A:I,4,0)</f>
        <v>25 - ADM PROJETOS</v>
      </c>
      <c r="H7" s="191" t="str">
        <f>VLOOKUP(A7,Jobmatch!A:I,5,0)</f>
        <v>Operacional</v>
      </c>
      <c r="I7" s="192">
        <f>VLOOKUP(A7,Jobmatch!A:I,6,0)</f>
        <v>31</v>
      </c>
      <c r="J7" s="190" t="str">
        <f>VLOOKUP(A7,Jobmatch!A:I,7,0)</f>
        <v>Assistente de Tecnologia da Informação</v>
      </c>
      <c r="K7" s="193" t="str">
        <f>VLOOKUP(A7,Jobmatch!A:I,8,0)</f>
        <v>Indiferente</v>
      </c>
      <c r="L7" s="194" t="str">
        <f t="shared" si="2"/>
        <v>31Indiferente</v>
      </c>
      <c r="M7" s="195">
        <f>COUNTIF('Folha de Pagamento'!A:A,A7)</f>
        <v>2</v>
      </c>
      <c r="N7" s="238">
        <v>10.0</v>
      </c>
      <c r="O7" s="196">
        <f>IFERROR(VLOOKUP(L7,'C-01'!$D:$L,5,0),"")</f>
        <v>2066.4</v>
      </c>
      <c r="P7" s="196">
        <f>IFERROR(VLOOKUP(L7,'C-01'!$D:$L,6,0),"")</f>
        <v>2589.89</v>
      </c>
      <c r="Q7" s="196">
        <f>IFERROR(VLOOKUP(L7,'C-01'!$D:$L,7,0),"")</f>
        <v>2413.7</v>
      </c>
      <c r="R7" s="196">
        <f>IFERROR(VLOOKUP(L7,'C-01'!$D:$L,8,0),"")</f>
        <v>3121.21</v>
      </c>
      <c r="S7" s="197">
        <f>IFERROR(VLOOKUP(L7,'C-01'!$D:$L,9,0),"")</f>
        <v>3521.6</v>
      </c>
      <c r="T7" s="198">
        <f>IFS('Painel Geral'!$B$5="Mediana",IFERROR(IF(OR(C7="",Q7=0,Q7=""),"",($C7/$Q7)),""),'Painel Geral'!$B$5="Menor Salário",IFERROR(IF(OR(C7="",Q7=0,Q7=""),"",($C7/$N7)),""),'Painel Geral'!$B$5="1º Quartil",IFERROR(IF(OR(C7="",Q7=0,Q7=""),"",($C7/$O7)),""), 'Painel Geral'!$B$5="Média",IFERROR(IF(OR(C7="",Q7=0,Q7=""),"",($C7/$P7)),""),'Painel Geral'!$B$5="3º Quartil",IFERROR(IF(OR(C7="",Q7=0,Q7=""),"",($C7/$R7)),""),'Painel Geral'!$B$5="Maior Salário",IFERROR(IF(OR(C7="",Q7=0,Q7=""),"",($C7/$S7)),""))</f>
        <v>1.209346646</v>
      </c>
      <c r="U7" s="199" t="str">
        <f t="shared" si="3"/>
        <v>Agressivo</v>
      </c>
      <c r="V7" s="201"/>
      <c r="W7" s="201"/>
      <c r="X7" s="201"/>
      <c r="Y7" s="201"/>
      <c r="Z7" s="201"/>
      <c r="AA7" s="201"/>
      <c r="AB7" s="201"/>
      <c r="AC7" s="201"/>
      <c r="AD7" s="201"/>
      <c r="AE7" s="201"/>
      <c r="AF7" s="201"/>
      <c r="AG7" s="201"/>
      <c r="AH7" s="201"/>
      <c r="AI7" s="201"/>
      <c r="AJ7" s="201"/>
      <c r="AK7" s="201"/>
      <c r="AL7" s="201"/>
      <c r="AM7" s="201"/>
      <c r="AN7" s="201"/>
      <c r="AO7" s="201"/>
      <c r="AP7" s="201"/>
    </row>
    <row r="8" ht="15.75" customHeight="1">
      <c r="A8" s="184" t="s">
        <v>64</v>
      </c>
      <c r="B8" s="185" t="str">
        <f>VLOOKUP(A8,Jobmatch!A:G,2,0)</f>
        <v>ASSISTENTE ADMINISTRATIVO lll</v>
      </c>
      <c r="C8" s="186">
        <f>IFERROR(AVERAGEIF('Folha de Pagamento'!A:A,A8,'Folha de Pagamento'!J:J),"")</f>
        <v>3439.7</v>
      </c>
      <c r="D8" s="187">
        <v>1.0</v>
      </c>
      <c r="E8" s="185" t="str">
        <f>VLOOKUP(A8,Jobmatch!A:H,3,0)</f>
        <v>Administrativo</v>
      </c>
      <c r="F8" s="188" t="s">
        <v>238</v>
      </c>
      <c r="G8" s="190" t="str">
        <f>VLOOKUP(A8,Jobmatch!A:I,4,0)</f>
        <v>20 - ADM PROJETOS</v>
      </c>
      <c r="H8" s="191" t="str">
        <f>VLOOKUP(A8,Jobmatch!A:I,5,0)</f>
        <v>Operacional</v>
      </c>
      <c r="I8" s="192">
        <f>VLOOKUP(A8,Jobmatch!A:I,6,0)</f>
        <v>59</v>
      </c>
      <c r="J8" s="190" t="str">
        <f>VLOOKUP(A8,Jobmatch!A:I,7,0)</f>
        <v>Assistente Administrativo</v>
      </c>
      <c r="K8" s="193" t="str">
        <f>VLOOKUP(A8,Jobmatch!A:I,8,0)</f>
        <v>Indiferente</v>
      </c>
      <c r="L8" s="194" t="str">
        <f t="shared" si="2"/>
        <v>59Indiferente</v>
      </c>
      <c r="M8" s="195">
        <f>COUNTIF('Folha de Pagamento'!A:A,A8)</f>
        <v>1</v>
      </c>
      <c r="N8" s="238">
        <v>10.0</v>
      </c>
      <c r="O8" s="196">
        <f>IFERROR(VLOOKUP(L8,'C-01'!$D:$L,5,0),"")</f>
        <v>2329.53</v>
      </c>
      <c r="P8" s="196">
        <f>IFERROR(VLOOKUP(L8,'C-01'!$D:$L,6,0),"")</f>
        <v>2673.92</v>
      </c>
      <c r="Q8" s="196">
        <f>IFERROR(VLOOKUP(L8,'C-01'!$D:$L,7,0),"")</f>
        <v>2630.61</v>
      </c>
      <c r="R8" s="196">
        <f>IFERROR(VLOOKUP(L8,'C-01'!$D:$L,8,0),"")</f>
        <v>2914.75</v>
      </c>
      <c r="S8" s="197">
        <f>IFERROR(VLOOKUP(L8,'C-01'!$D:$L,9,0),"")</f>
        <v>3662.52</v>
      </c>
      <c r="T8" s="198">
        <f>IFS('Painel Geral'!$B$5="Mediana",IFERROR(IF(OR(C8="",Q8=0,Q8=""),"",($C8/$Q8)),""),'Painel Geral'!$B$5="Menor Salário",IFERROR(IF(OR(C8="",Q8=0,Q8=""),"",($C8/$N8)),""),'Painel Geral'!$B$5="1º Quartil",IFERROR(IF(OR(C8="",Q8=0,Q8=""),"",($C8/$O8)),""), 'Painel Geral'!$B$5="Média",IFERROR(IF(OR(C8="",Q8=0,Q8=""),"",($C8/$P8)),""),'Painel Geral'!$B$5="3º Quartil",IFERROR(IF(OR(C8="",Q8=0,Q8=""),"",($C8/$R8)),""),'Painel Geral'!$B$5="Maior Salário",IFERROR(IF(OR(C8="",Q8=0,Q8=""),"",($C8/$S8)),""))</f>
        <v>1.307567446</v>
      </c>
      <c r="U8" s="199" t="str">
        <f t="shared" si="3"/>
        <v>Agressivo</v>
      </c>
      <c r="V8" s="201"/>
      <c r="W8" s="201"/>
      <c r="X8" s="201"/>
      <c r="Y8" s="201"/>
      <c r="Z8" s="201"/>
      <c r="AA8" s="201"/>
      <c r="AB8" s="201"/>
      <c r="AC8" s="201"/>
      <c r="AD8" s="201"/>
      <c r="AE8" s="201"/>
      <c r="AF8" s="201"/>
      <c r="AG8" s="201"/>
      <c r="AH8" s="201"/>
      <c r="AI8" s="201"/>
      <c r="AJ8" s="201"/>
      <c r="AK8" s="201"/>
      <c r="AL8" s="201"/>
      <c r="AM8" s="201"/>
      <c r="AN8" s="201"/>
      <c r="AO8" s="201"/>
      <c r="AP8" s="201"/>
    </row>
    <row r="9" ht="15.75" customHeight="1">
      <c r="A9" s="184" t="s">
        <v>80</v>
      </c>
      <c r="B9" s="185" t="str">
        <f>VLOOKUP(A9,Jobmatch!A:G,2,0)</f>
        <v>ASSISTENTE FINANCEIRO CONTAS A PAGAR</v>
      </c>
      <c r="C9" s="186">
        <f>IFERROR(AVERAGEIF('Folha de Pagamento'!A:A,A9,'Folha de Pagamento'!J:J),"")</f>
        <v>3163.333333</v>
      </c>
      <c r="D9" s="187">
        <v>6.0</v>
      </c>
      <c r="E9" s="185" t="str">
        <f>VLOOKUP(A9,Jobmatch!A:H,3,0)</f>
        <v>Financeiro</v>
      </c>
      <c r="F9" s="188" t="s">
        <v>354</v>
      </c>
      <c r="G9" s="190" t="str">
        <f>VLOOKUP(A9,Jobmatch!A:I,4,0)</f>
        <v>26 - ADM PROJETOS</v>
      </c>
      <c r="H9" s="191" t="str">
        <f>VLOOKUP(A9,Jobmatch!A:I,5,0)</f>
        <v>Operacional</v>
      </c>
      <c r="I9" s="192">
        <f>VLOOKUP(A9,Jobmatch!A:I,6,0)</f>
        <v>79</v>
      </c>
      <c r="J9" s="190" t="str">
        <f>VLOOKUP(A9,Jobmatch!A:I,7,0)</f>
        <v>Assistente Financeiro</v>
      </c>
      <c r="K9" s="193" t="str">
        <f>VLOOKUP(A9,Jobmatch!A:I,8,0)</f>
        <v>Indiferente</v>
      </c>
      <c r="L9" s="194" t="str">
        <f t="shared" si="2"/>
        <v>79Indiferente</v>
      </c>
      <c r="M9" s="195">
        <f>COUNTIF('Folha de Pagamento'!A:A,A9)</f>
        <v>3</v>
      </c>
      <c r="N9" s="238">
        <v>11.0</v>
      </c>
      <c r="O9" s="196">
        <f>IFERROR(VLOOKUP(L9,'C-01'!$D:$L,5,0),"")</f>
        <v>2560.05</v>
      </c>
      <c r="P9" s="196">
        <f>IFERROR(VLOOKUP(L9,'C-01'!$D:$L,6,0),"")</f>
        <v>2799.02</v>
      </c>
      <c r="Q9" s="196">
        <f>IFERROR(VLOOKUP(L9,'C-01'!$D:$L,7,0),"")</f>
        <v>2658.89</v>
      </c>
      <c r="R9" s="196">
        <f>IFERROR(VLOOKUP(L9,'C-01'!$D:$L,8,0),"")</f>
        <v>2935.06</v>
      </c>
      <c r="S9" s="197">
        <f>IFERROR(VLOOKUP(L9,'C-01'!$D:$L,9,0),"")</f>
        <v>3630.87</v>
      </c>
      <c r="T9" s="198">
        <f>IFS('Painel Geral'!$B$5="Mediana",IFERROR(IF(OR(C9="",Q9=0,Q9=""),"",($C9/$Q9)),""),'Painel Geral'!$B$5="Menor Salário",IFERROR(IF(OR(C9="",Q9=0,Q9=""),"",($C9/$N9)),""),'Painel Geral'!$B$5="1º Quartil",IFERROR(IF(OR(C9="",Q9=0,Q9=""),"",($C9/$O9)),""), 'Painel Geral'!$B$5="Média",IFERROR(IF(OR(C9="",Q9=0,Q9=""),"",($C9/$P9)),""),'Painel Geral'!$B$5="3º Quartil",IFERROR(IF(OR(C9="",Q9=0,Q9=""),"",($C9/$R9)),""),'Painel Geral'!$B$5="Maior Salário",IFERROR(IF(OR(C9="",Q9=0,Q9=""),"",($C9/$S9)),""))</f>
        <v>1.18971952</v>
      </c>
      <c r="U9" s="199" t="str">
        <f t="shared" si="3"/>
        <v>Muito Competitivo</v>
      </c>
      <c r="V9" s="201"/>
      <c r="W9" s="201"/>
      <c r="X9" s="201"/>
      <c r="Y9" s="201"/>
      <c r="Z9" s="201"/>
      <c r="AA9" s="201"/>
      <c r="AB9" s="201"/>
      <c r="AC9" s="201"/>
      <c r="AD9" s="201"/>
      <c r="AE9" s="201"/>
      <c r="AF9" s="201"/>
      <c r="AG9" s="201"/>
      <c r="AH9" s="201"/>
      <c r="AI9" s="201"/>
      <c r="AJ9" s="201"/>
      <c r="AK9" s="201"/>
      <c r="AL9" s="201"/>
      <c r="AM9" s="201"/>
      <c r="AN9" s="201"/>
      <c r="AO9" s="201"/>
      <c r="AP9" s="201"/>
    </row>
    <row r="10" ht="15.75" customHeight="1">
      <c r="A10" s="184" t="s">
        <v>90</v>
      </c>
      <c r="B10" s="185" t="str">
        <f>VLOOKUP(A10,Jobmatch!A:G,2,0)</f>
        <v>AUXILIAR DE ENGENHARIA</v>
      </c>
      <c r="C10" s="186">
        <f>IFERROR(AVERAGEIF('Folha de Pagamento'!A:A,A10,'Folha de Pagamento'!J:J),"")</f>
        <v>2560</v>
      </c>
      <c r="D10" s="187">
        <v>10.0</v>
      </c>
      <c r="E10" s="185" t="str">
        <f>VLOOKUP(A10,Jobmatch!A:H,3,0)</f>
        <v>Urbanismo</v>
      </c>
      <c r="F10" s="188" t="s">
        <v>371</v>
      </c>
      <c r="G10" s="190" t="str">
        <f>VLOOKUP(A10,Jobmatch!A:I,4,0)</f>
        <v>30 - ADM PROJETOS</v>
      </c>
      <c r="H10" s="191" t="str">
        <f>VLOOKUP(A10,Jobmatch!A:I,5,0)</f>
        <v>Operacional</v>
      </c>
      <c r="I10" s="192">
        <f>VLOOKUP(A10,Jobmatch!A:I,6,0)</f>
        <v>207</v>
      </c>
      <c r="J10" s="190" t="str">
        <f>VLOOKUP(A10,Jobmatch!A:I,7,0)</f>
        <v>Auxiliar de Engenharia</v>
      </c>
      <c r="K10" s="193" t="str">
        <f>VLOOKUP(A10,Jobmatch!A:I,8,0)</f>
        <v>Indiferente</v>
      </c>
      <c r="L10" s="194" t="str">
        <f t="shared" si="2"/>
        <v>207Indiferente</v>
      </c>
      <c r="M10" s="195">
        <f>COUNTIF('Folha de Pagamento'!A:A,A10)</f>
        <v>1</v>
      </c>
      <c r="N10" s="238">
        <v>11.0</v>
      </c>
      <c r="O10" s="196">
        <f>IFERROR(VLOOKUP(L10,'C-01'!$D:$L,5,0),"")</f>
        <v>2644.47</v>
      </c>
      <c r="P10" s="196">
        <f>IFERROR(VLOOKUP(L10,'C-01'!$D:$L,6,0),"")</f>
        <v>2819.08</v>
      </c>
      <c r="Q10" s="196">
        <f>IFERROR(VLOOKUP(L10,'C-01'!$D:$L,7,0),"")</f>
        <v>2714.85</v>
      </c>
      <c r="R10" s="196">
        <f>IFERROR(VLOOKUP(L10,'C-01'!$D:$L,8,0),"")</f>
        <v>2941.58</v>
      </c>
      <c r="S10" s="197">
        <f>IFERROR(VLOOKUP(L10,'C-01'!$D:$L,9,0),"")</f>
        <v>3168.31</v>
      </c>
      <c r="T10" s="198">
        <f>IFS('Painel Geral'!$B$5="Mediana",IFERROR(IF(OR(C10="",Q10=0,Q10=""),"",($C10/$Q10)),""),'Painel Geral'!$B$5="Menor Salário",IFERROR(IF(OR(C10="",Q10=0,Q10=""),"",($C10/$N10)),""),'Painel Geral'!$B$5="1º Quartil",IFERROR(IF(OR(C10="",Q10=0,Q10=""),"",($C10/$O10)),""), 'Painel Geral'!$B$5="Média",IFERROR(IF(OR(C10="",Q10=0,Q10=""),"",($C10/$P10)),""),'Painel Geral'!$B$5="3º Quartil",IFERROR(IF(OR(C10="",Q10=0,Q10=""),"",($C10/$R10)),""),'Painel Geral'!$B$5="Maior Salário",IFERROR(IF(OR(C10="",Q10=0,Q10=""),"",($C10/$S10)),""))</f>
        <v>0.9429618579</v>
      </c>
      <c r="U10" s="199" t="str">
        <f t="shared" si="3"/>
        <v>Na Média</v>
      </c>
      <c r="V10" s="201"/>
      <c r="W10" s="201"/>
      <c r="X10" s="201"/>
      <c r="Y10" s="201"/>
      <c r="Z10" s="201"/>
      <c r="AA10" s="201"/>
      <c r="AB10" s="201"/>
      <c r="AC10" s="201"/>
      <c r="AD10" s="201"/>
      <c r="AE10" s="201"/>
      <c r="AF10" s="201"/>
      <c r="AG10" s="201"/>
      <c r="AH10" s="201"/>
      <c r="AI10" s="201"/>
      <c r="AJ10" s="201"/>
      <c r="AK10" s="201"/>
      <c r="AL10" s="201"/>
      <c r="AM10" s="201"/>
      <c r="AN10" s="201"/>
      <c r="AO10" s="201"/>
      <c r="AP10" s="201"/>
    </row>
    <row r="11" ht="15.75" customHeight="1">
      <c r="A11" s="184" t="s">
        <v>67</v>
      </c>
      <c r="B11" s="185" t="str">
        <f>VLOOKUP(A11,Jobmatch!A:G,2,0)</f>
        <v>ASSISTENTE DE CONTROLADORIA III</v>
      </c>
      <c r="C11" s="186">
        <f>IFERROR(AVERAGEIF('Folha de Pagamento'!A:A,A11,'Folha de Pagamento'!J:J),"")</f>
        <v>3652</v>
      </c>
      <c r="D11" s="187">
        <v>3.0</v>
      </c>
      <c r="E11" s="185" t="str">
        <f>VLOOKUP(A11,Jobmatch!A:H,3,0)</f>
        <v>Controladoria</v>
      </c>
      <c r="F11" s="188" t="s">
        <v>337</v>
      </c>
      <c r="G11" s="190" t="str">
        <f>VLOOKUP(A11,Jobmatch!A:I,4,0)</f>
        <v>21 - ADM PROJETOS</v>
      </c>
      <c r="H11" s="191" t="str">
        <f>VLOOKUP(A11,Jobmatch!A:I,5,0)</f>
        <v>Operacional</v>
      </c>
      <c r="I11" s="192">
        <f>VLOOKUP(A11,Jobmatch!A:I,6,0)</f>
        <v>150</v>
      </c>
      <c r="J11" s="190" t="str">
        <f>VLOOKUP(A11,Jobmatch!A:I,7,0)</f>
        <v>Assistente de Controladoria</v>
      </c>
      <c r="K11" s="193" t="str">
        <f>VLOOKUP(A11,Jobmatch!A:I,8,0)</f>
        <v>Indiferente</v>
      </c>
      <c r="L11" s="194" t="str">
        <f t="shared" si="2"/>
        <v>150Indiferente</v>
      </c>
      <c r="M11" s="195">
        <f>COUNTIF('Folha de Pagamento'!A:A,A11)</f>
        <v>1</v>
      </c>
      <c r="N11" s="238">
        <v>11.0</v>
      </c>
      <c r="O11" s="196">
        <f>IFERROR(VLOOKUP(L11,'C-01'!$D:$L,5,0),"")</f>
        <v>2640.81</v>
      </c>
      <c r="P11" s="196">
        <f>IFERROR(VLOOKUP(L11,'C-01'!$D:$L,6,0),"")</f>
        <v>2821.08</v>
      </c>
      <c r="Q11" s="196">
        <f>IFERROR(VLOOKUP(L11,'C-01'!$D:$L,7,0),"")</f>
        <v>2766.4</v>
      </c>
      <c r="R11" s="196">
        <f>IFERROR(VLOOKUP(L11,'C-01'!$D:$L,8,0),"")</f>
        <v>3222.24</v>
      </c>
      <c r="S11" s="197">
        <f>IFERROR(VLOOKUP(L11,'C-01'!$D:$L,9,0),"")</f>
        <v>3327.42</v>
      </c>
      <c r="T11" s="198">
        <f>IFS('Painel Geral'!$B$5="Mediana",IFERROR(IF(OR(C11="",Q11=0,Q11=""),"",($C11/$Q11)),""),'Painel Geral'!$B$5="Menor Salário",IFERROR(IF(OR(C11="",Q11=0,Q11=""),"",($C11/$N11)),""),'Painel Geral'!$B$5="1º Quartil",IFERROR(IF(OR(C11="",Q11=0,Q11=""),"",($C11/$O11)),""), 'Painel Geral'!$B$5="Média",IFERROR(IF(OR(C11="",Q11=0,Q11=""),"",($C11/$P11)),""),'Painel Geral'!$B$5="3º Quartil",IFERROR(IF(OR(C11="",Q11=0,Q11=""),"",($C11/$R11)),""),'Painel Geral'!$B$5="Maior Salário",IFERROR(IF(OR(C11="",Q11=0,Q11=""),"",($C11/$S11)),""))</f>
        <v>1.320127241</v>
      </c>
      <c r="U11" s="199" t="str">
        <f t="shared" si="3"/>
        <v>Agressivo</v>
      </c>
      <c r="V11" s="201"/>
      <c r="W11" s="201"/>
      <c r="X11" s="201"/>
      <c r="Y11" s="201"/>
      <c r="Z11" s="201"/>
      <c r="AA11" s="201"/>
      <c r="AB11" s="201"/>
      <c r="AC11" s="201"/>
      <c r="AD11" s="201"/>
      <c r="AE11" s="201"/>
      <c r="AF11" s="201"/>
      <c r="AG11" s="201"/>
      <c r="AH11" s="201"/>
      <c r="AI11" s="201"/>
      <c r="AJ11" s="201"/>
      <c r="AK11" s="201"/>
      <c r="AL11" s="201"/>
      <c r="AM11" s="201"/>
      <c r="AN11" s="201"/>
      <c r="AO11" s="201"/>
      <c r="AP11" s="201"/>
    </row>
    <row r="12" ht="15.75" customHeight="1">
      <c r="A12" s="184" t="s">
        <v>72</v>
      </c>
      <c r="B12" s="185" t="str">
        <f>VLOOKUP(A12,Jobmatch!A:G,2,0)</f>
        <v>ASSISTENTE DE MARKETING</v>
      </c>
      <c r="C12" s="186">
        <f>IFERROR(AVERAGEIF('Folha de Pagamento'!A:A,A12,'Folha de Pagamento'!J:J),"")</f>
        <v>2919</v>
      </c>
      <c r="D12" s="187">
        <v>8.0</v>
      </c>
      <c r="E12" s="185" t="str">
        <f>VLOOKUP(A12,Jobmatch!A:H,3,0)</f>
        <v>Marketing</v>
      </c>
      <c r="F12" s="188" t="s">
        <v>362</v>
      </c>
      <c r="G12" s="190" t="str">
        <f>VLOOKUP(A12,Jobmatch!A:I,4,0)</f>
        <v>23 - ADM PROJETOS</v>
      </c>
      <c r="H12" s="191" t="str">
        <f>VLOOKUP(A12,Jobmatch!A:I,5,0)</f>
        <v>Operacional</v>
      </c>
      <c r="I12" s="192">
        <f>VLOOKUP(A12,Jobmatch!A:I,6,0)</f>
        <v>71</v>
      </c>
      <c r="J12" s="190" t="str">
        <f>VLOOKUP(A12,Jobmatch!A:I,7,0)</f>
        <v>Assistente de Marketing</v>
      </c>
      <c r="K12" s="193" t="str">
        <f>VLOOKUP(A12,Jobmatch!A:I,8,0)</f>
        <v>Indiferente</v>
      </c>
      <c r="L12" s="194" t="str">
        <f t="shared" si="2"/>
        <v>71Indiferente</v>
      </c>
      <c r="M12" s="195">
        <f>COUNTIF('Folha de Pagamento'!A:A,A12)</f>
        <v>1</v>
      </c>
      <c r="N12" s="238">
        <v>11.0</v>
      </c>
      <c r="O12" s="196">
        <f>IFERROR(VLOOKUP(L12,'C-01'!$D:$L,5,0),"")</f>
        <v>2720.21</v>
      </c>
      <c r="P12" s="196">
        <f>IFERROR(VLOOKUP(L12,'C-01'!$D:$L,6,0),"")</f>
        <v>3016.74</v>
      </c>
      <c r="Q12" s="196">
        <f>IFERROR(VLOOKUP(L12,'C-01'!$D:$L,7,0),"")</f>
        <v>2882.27</v>
      </c>
      <c r="R12" s="196">
        <f>IFERROR(VLOOKUP(L12,'C-01'!$D:$L,8,0),"")</f>
        <v>3152.81</v>
      </c>
      <c r="S12" s="197">
        <f>IFERROR(VLOOKUP(L12,'C-01'!$D:$L,9,0),"")</f>
        <v>4078.78</v>
      </c>
      <c r="T12" s="198">
        <f>IFS('Painel Geral'!$B$5="Mediana",IFERROR(IF(OR(C12="",Q12=0,Q12=""),"",($C12/$Q12)),""),'Painel Geral'!$B$5="Menor Salário",IFERROR(IF(OR(C12="",Q12=0,Q12=""),"",($C12/$N12)),""),'Painel Geral'!$B$5="1º Quartil",IFERROR(IF(OR(C12="",Q12=0,Q12=""),"",($C12/$O12)),""), 'Painel Geral'!$B$5="Média",IFERROR(IF(OR(C12="",Q12=0,Q12=""),"",($C12/$P12)),""),'Painel Geral'!$B$5="3º Quartil",IFERROR(IF(OR(C12="",Q12=0,Q12=""),"",($C12/$R12)),""),'Painel Geral'!$B$5="Maior Salário",IFERROR(IF(OR(C12="",Q12=0,Q12=""),"",($C12/$S12)),""))</f>
        <v>1.012743428</v>
      </c>
      <c r="U12" s="199" t="str">
        <f t="shared" si="3"/>
        <v>Competitivo</v>
      </c>
      <c r="V12" s="201"/>
      <c r="W12" s="201"/>
      <c r="X12" s="201"/>
      <c r="Y12" s="201"/>
      <c r="Z12" s="201"/>
      <c r="AA12" s="201"/>
      <c r="AB12" s="201"/>
      <c r="AC12" s="201"/>
      <c r="AD12" s="201"/>
      <c r="AE12" s="201"/>
      <c r="AF12" s="201"/>
      <c r="AG12" s="201"/>
      <c r="AH12" s="201"/>
      <c r="AI12" s="201"/>
      <c r="AJ12" s="201"/>
      <c r="AK12" s="201"/>
      <c r="AL12" s="201"/>
      <c r="AM12" s="201"/>
      <c r="AN12" s="201"/>
      <c r="AO12" s="201"/>
      <c r="AP12" s="201"/>
    </row>
    <row r="13" ht="15.75" customHeight="1">
      <c r="A13" s="184" t="s">
        <v>74</v>
      </c>
      <c r="B13" s="185" t="str">
        <f>VLOOKUP(A13,Jobmatch!A:G,2,0)</f>
        <v>ASSISTENTE DE RECURSOS HUMANOS</v>
      </c>
      <c r="C13" s="186">
        <f>IFERROR(AVERAGEIF('Folha de Pagamento'!A:A,A13,'Folha de Pagamento'!J:J),"")</f>
        <v>2919</v>
      </c>
      <c r="D13" s="187">
        <v>4.0</v>
      </c>
      <c r="E13" s="185" t="str">
        <f>VLOOKUP(A13,Jobmatch!A:H,3,0)</f>
        <v>DHO</v>
      </c>
      <c r="F13" s="188" t="s">
        <v>340</v>
      </c>
      <c r="G13" s="190" t="str">
        <f>VLOOKUP(A13,Jobmatch!A:I,4,0)</f>
        <v>24 - ADM PROJETOS</v>
      </c>
      <c r="H13" s="191" t="str">
        <f>VLOOKUP(A13,Jobmatch!A:I,5,0)</f>
        <v>Operacional</v>
      </c>
      <c r="I13" s="192">
        <f>VLOOKUP(A13,Jobmatch!A:I,6,0)</f>
        <v>77</v>
      </c>
      <c r="J13" s="190" t="str">
        <f>VLOOKUP(A13,Jobmatch!A:I,7,0)</f>
        <v>Assistente de Recursos Humanos</v>
      </c>
      <c r="K13" s="193" t="str">
        <f>VLOOKUP(A13,Jobmatch!A:I,8,0)</f>
        <v>Indiferente</v>
      </c>
      <c r="L13" s="194" t="str">
        <f t="shared" si="2"/>
        <v>77Indiferente</v>
      </c>
      <c r="M13" s="195">
        <f>COUNTIF('Folha de Pagamento'!A:A,A13)</f>
        <v>1</v>
      </c>
      <c r="N13" s="238">
        <v>11.0</v>
      </c>
      <c r="O13" s="196">
        <f>IFERROR(VLOOKUP(L13,'C-01'!$D:$L,5,0),"")</f>
        <v>2619.08</v>
      </c>
      <c r="P13" s="196">
        <f>IFERROR(VLOOKUP(L13,'C-01'!$D:$L,6,0),"")</f>
        <v>3097.88</v>
      </c>
      <c r="Q13" s="196">
        <f>IFERROR(VLOOKUP(L13,'C-01'!$D:$L,7,0),"")</f>
        <v>3080.23</v>
      </c>
      <c r="R13" s="196">
        <f>IFERROR(VLOOKUP(L13,'C-01'!$D:$L,8,0),"")</f>
        <v>3491.33</v>
      </c>
      <c r="S13" s="197">
        <f>IFERROR(VLOOKUP(L13,'C-01'!$D:$L,9,0),"")</f>
        <v>4078.78</v>
      </c>
      <c r="T13" s="198">
        <f>IFS('Painel Geral'!$B$5="Mediana",IFERROR(IF(OR(C13="",Q13=0,Q13=""),"",($C13/$Q13)),""),'Painel Geral'!$B$5="Menor Salário",IFERROR(IF(OR(C13="",Q13=0,Q13=""),"",($C13/$N13)),""),'Painel Geral'!$B$5="1º Quartil",IFERROR(IF(OR(C13="",Q13=0,Q13=""),"",($C13/$O13)),""), 'Painel Geral'!$B$5="Média",IFERROR(IF(OR(C13="",Q13=0,Q13=""),"",($C13/$P13)),""),'Painel Geral'!$B$5="3º Quartil",IFERROR(IF(OR(C13="",Q13=0,Q13=""),"",($C13/$R13)),""),'Painel Geral'!$B$5="Maior Salário",IFERROR(IF(OR(C13="",Q13=0,Q13=""),"",($C13/$S13)),""))</f>
        <v>0.9476565062</v>
      </c>
      <c r="U13" s="199" t="str">
        <f t="shared" si="3"/>
        <v>Na Média</v>
      </c>
      <c r="V13" s="201"/>
      <c r="W13" s="201"/>
      <c r="X13" s="201"/>
      <c r="Y13" s="201"/>
      <c r="Z13" s="201"/>
      <c r="AA13" s="201"/>
      <c r="AB13" s="201"/>
      <c r="AC13" s="201"/>
      <c r="AD13" s="201"/>
      <c r="AE13" s="201"/>
      <c r="AF13" s="201"/>
      <c r="AG13" s="201"/>
      <c r="AH13" s="201"/>
      <c r="AI13" s="201"/>
      <c r="AJ13" s="201"/>
      <c r="AK13" s="201"/>
      <c r="AL13" s="201"/>
      <c r="AM13" s="201"/>
      <c r="AN13" s="201"/>
      <c r="AO13" s="201"/>
      <c r="AP13" s="201"/>
    </row>
    <row r="14" ht="15.75" customHeight="1">
      <c r="A14" s="184" t="s">
        <v>18</v>
      </c>
      <c r="B14" s="185" t="str">
        <f>VLOOKUP(A14,Jobmatch!A:G,2,0)</f>
        <v>ALMOXARIFE</v>
      </c>
      <c r="C14" s="186">
        <f>IFERROR(AVERAGEIF('Folha de Pagamento'!A:A,A14,'Folha de Pagamento'!J:J),"")</f>
        <v>3683</v>
      </c>
      <c r="D14" s="187">
        <v>5.0</v>
      </c>
      <c r="E14" s="185" t="str">
        <f>VLOOKUP(A14,Jobmatch!A:H,3,0)</f>
        <v>Edificação</v>
      </c>
      <c r="F14" s="188" t="s">
        <v>211</v>
      </c>
      <c r="G14" s="190" t="str">
        <f>VLOOKUP(A14,Jobmatch!A:I,4,0)</f>
        <v>8 - ADM PROJETOS</v>
      </c>
      <c r="H14" s="191" t="str">
        <f>VLOOKUP(A14,Jobmatch!A:I,5,0)</f>
        <v>Operacional</v>
      </c>
      <c r="I14" s="192">
        <f>VLOOKUP(A14,Jobmatch!A:I,6,0)</f>
        <v>203</v>
      </c>
      <c r="J14" s="190" t="str">
        <f>VLOOKUP(A14,Jobmatch!A:I,7,0)</f>
        <v>Almoxarife</v>
      </c>
      <c r="K14" s="193" t="str">
        <f>VLOOKUP(A14,Jobmatch!A:I,8,0)</f>
        <v>Indiferente</v>
      </c>
      <c r="L14" s="194" t="str">
        <f t="shared" si="2"/>
        <v>203Indiferente</v>
      </c>
      <c r="M14" s="195">
        <f>COUNTIF('Folha de Pagamento'!A:A,A14)</f>
        <v>2</v>
      </c>
      <c r="N14" s="238">
        <v>12.0</v>
      </c>
      <c r="O14" s="196">
        <f>IFERROR(VLOOKUP(L14,'C-01'!$D:$L,5,0),"")</f>
        <v>3088.9</v>
      </c>
      <c r="P14" s="196">
        <f>IFERROR(VLOOKUP(L14,'C-01'!$D:$L,6,0),"")</f>
        <v>3397.38</v>
      </c>
      <c r="Q14" s="196">
        <f>IFERROR(VLOOKUP(L14,'C-01'!$D:$L,7,0),"")</f>
        <v>3088.9</v>
      </c>
      <c r="R14" s="196">
        <f>IFERROR(VLOOKUP(L14,'C-01'!$D:$L,8,0),"")</f>
        <v>3703.26</v>
      </c>
      <c r="S14" s="197">
        <f>IFERROR(VLOOKUP(L14,'C-01'!$D:$L,9,0),"")</f>
        <v>4425.21</v>
      </c>
      <c r="T14" s="198">
        <f>IFS('Painel Geral'!$B$5="Mediana",IFERROR(IF(OR(C14="",Q14=0,Q14=""),"",($C14/$Q14)),""),'Painel Geral'!$B$5="Menor Salário",IFERROR(IF(OR(C14="",Q14=0,Q14=""),"",($C14/$N14)),""),'Painel Geral'!$B$5="1º Quartil",IFERROR(IF(OR(C14="",Q14=0,Q14=""),"",($C14/$O14)),""), 'Painel Geral'!$B$5="Média",IFERROR(IF(OR(C14="",Q14=0,Q14=""),"",($C14/$P14)),""),'Painel Geral'!$B$5="3º Quartil",IFERROR(IF(OR(C14="",Q14=0,Q14=""),"",($C14/$R14)),""),'Painel Geral'!$B$5="Maior Salário",IFERROR(IF(OR(C14="",Q14=0,Q14=""),"",($C14/$S14)),""))</f>
        <v>1.192333841</v>
      </c>
      <c r="U14" s="199" t="str">
        <f t="shared" si="3"/>
        <v>Muito Competitivo</v>
      </c>
      <c r="V14" s="201"/>
      <c r="W14" s="201"/>
      <c r="X14" s="201"/>
      <c r="Y14" s="201"/>
      <c r="Z14" s="201"/>
      <c r="AA14" s="201"/>
      <c r="AB14" s="201"/>
      <c r="AC14" s="201"/>
      <c r="AD14" s="201"/>
      <c r="AE14" s="201"/>
      <c r="AF14" s="201"/>
      <c r="AG14" s="201"/>
      <c r="AH14" s="201"/>
      <c r="AI14" s="201"/>
      <c r="AJ14" s="201"/>
      <c r="AK14" s="201"/>
      <c r="AL14" s="201"/>
      <c r="AM14" s="201"/>
      <c r="AN14" s="201"/>
      <c r="AO14" s="201"/>
      <c r="AP14" s="201"/>
    </row>
    <row r="15" ht="15.75" customHeight="1">
      <c r="A15" s="184" t="s">
        <v>61</v>
      </c>
      <c r="B15" s="185" t="str">
        <f>VLOOKUP(A15,Jobmatch!A:G,2,0)</f>
        <v>ASSISTENTE ADM DE LEGALIZAÇÃO III</v>
      </c>
      <c r="C15" s="186">
        <f>IFERROR(AVERAGEIF('Folha de Pagamento'!A:A,A15,'Folha de Pagamento'!J:J),"")</f>
        <v>3652</v>
      </c>
      <c r="D15" s="187">
        <v>7.0</v>
      </c>
      <c r="E15" s="185" t="str">
        <f>VLOOKUP(A15,Jobmatch!A:H,3,0)</f>
        <v>Legalização </v>
      </c>
      <c r="F15" s="188" t="s">
        <v>358</v>
      </c>
      <c r="G15" s="190" t="str">
        <f>VLOOKUP(A15,Jobmatch!A:I,4,0)</f>
        <v>19 - ADM PROJETOS</v>
      </c>
      <c r="H15" s="191" t="str">
        <f>VLOOKUP(A15,Jobmatch!A:I,5,0)</f>
        <v>Operacional</v>
      </c>
      <c r="I15" s="192">
        <f>VLOOKUP(A15,Jobmatch!A:I,6,0)</f>
        <v>1201</v>
      </c>
      <c r="J15" s="190" t="str">
        <f>VLOOKUP(A15,Jobmatch!A:I,7,0)</f>
        <v>Assistente de Legalização</v>
      </c>
      <c r="K15" s="193" t="str">
        <f>VLOOKUP(A15,Jobmatch!A:I,8,0)</f>
        <v>Indiferente</v>
      </c>
      <c r="L15" s="194" t="str">
        <f t="shared" si="2"/>
        <v>1201Indiferente</v>
      </c>
      <c r="M15" s="195">
        <f>COUNTIF('Folha de Pagamento'!A:A,A15)</f>
        <v>2</v>
      </c>
      <c r="N15" s="238">
        <v>12.0</v>
      </c>
      <c r="O15" s="196">
        <f>IFERROR(VLOOKUP(L15,'C-01'!$D:$L,5,0),"")</f>
        <v>2803.34</v>
      </c>
      <c r="P15" s="196">
        <f>IFERROR(VLOOKUP(L15,'C-01'!$D:$L,6,0),"")</f>
        <v>3092.92</v>
      </c>
      <c r="Q15" s="196">
        <f>IFERROR(VLOOKUP(L15,'C-01'!$D:$L,7,0),"")</f>
        <v>3092.92</v>
      </c>
      <c r="R15" s="196">
        <f>IFERROR(VLOOKUP(L15,'C-01'!$D:$L,8,0),"")</f>
        <v>3382.51</v>
      </c>
      <c r="S15" s="197">
        <f>IFERROR(VLOOKUP(L15,'C-01'!$D:$L,9,0),"")</f>
        <v>3672.09</v>
      </c>
      <c r="T15" s="198">
        <f>IFS('Painel Geral'!$B$5="Mediana",IFERROR(IF(OR(C15="",Q15=0,Q15=""),"",($C15/$Q15)),""),'Painel Geral'!$B$5="Menor Salário",IFERROR(IF(OR(C15="",Q15=0,Q15=""),"",($C15/$N15)),""),'Painel Geral'!$B$5="1º Quartil",IFERROR(IF(OR(C15="",Q15=0,Q15=""),"",($C15/$O15)),""), 'Painel Geral'!$B$5="Média",IFERROR(IF(OR(C15="",Q15=0,Q15=""),"",($C15/$P15)),""),'Painel Geral'!$B$5="3º Quartil",IFERROR(IF(OR(C15="",Q15=0,Q15=""),"",($C15/$R15)),""),'Painel Geral'!$B$5="Maior Salário",IFERROR(IF(OR(C15="",Q15=0,Q15=""),"",($C15/$S15)),""))</f>
        <v>1.180761222</v>
      </c>
      <c r="U15" s="199" t="str">
        <f t="shared" si="3"/>
        <v>Muito Competitivo</v>
      </c>
      <c r="V15" s="201"/>
      <c r="W15" s="201"/>
      <c r="X15" s="201"/>
      <c r="Y15" s="201"/>
      <c r="Z15" s="201"/>
      <c r="AA15" s="201"/>
      <c r="AB15" s="201"/>
      <c r="AC15" s="201"/>
      <c r="AD15" s="201"/>
      <c r="AE15" s="201"/>
      <c r="AF15" s="201"/>
      <c r="AG15" s="201"/>
      <c r="AH15" s="201"/>
      <c r="AI15" s="201"/>
      <c r="AJ15" s="201"/>
      <c r="AK15" s="218"/>
      <c r="AL15" s="218"/>
      <c r="AM15" s="218"/>
      <c r="AN15" s="218"/>
      <c r="AO15" s="218"/>
      <c r="AP15" s="218">
        <v>0.03</v>
      </c>
    </row>
    <row r="16" ht="15.75" customHeight="1">
      <c r="A16" s="184" t="s">
        <v>58</v>
      </c>
      <c r="B16" s="185" t="str">
        <f>VLOOKUP(A16,Jobmatch!A:G,2,0)</f>
        <v>ANALISTA FINANCEIRO I</v>
      </c>
      <c r="C16" s="186">
        <f>IFERROR(AVERAGEIF('Folha de Pagamento'!A:A,A16,'Folha de Pagamento'!J:J),"")</f>
        <v>3993</v>
      </c>
      <c r="D16" s="187">
        <v>6.0</v>
      </c>
      <c r="E16" s="185" t="str">
        <f>VLOOKUP(A16,Jobmatch!A:H,3,0)</f>
        <v>Financeiro</v>
      </c>
      <c r="F16" s="188" t="s">
        <v>353</v>
      </c>
      <c r="G16" s="190" t="str">
        <f>VLOOKUP(A16,Jobmatch!A:I,4,0)</f>
        <v>18 - ADM PROJETOS</v>
      </c>
      <c r="H16" s="191" t="str">
        <f>VLOOKUP(A16,Jobmatch!A:I,5,0)</f>
        <v>Operacional</v>
      </c>
      <c r="I16" s="192">
        <f>VLOOKUP(A16,Jobmatch!A:I,6,0)</f>
        <v>16</v>
      </c>
      <c r="J16" s="190" t="str">
        <f>VLOOKUP(A16,Jobmatch!A:I,7,0)</f>
        <v>Analista Financeiro</v>
      </c>
      <c r="K16" s="193" t="str">
        <f>VLOOKUP(A16,Jobmatch!A:I,8,0)</f>
        <v>Júnior</v>
      </c>
      <c r="L16" s="194" t="str">
        <f t="shared" si="2"/>
        <v>16Júnior</v>
      </c>
      <c r="M16" s="195">
        <f>COUNTIF('Folha de Pagamento'!A:A,A16)</f>
        <v>1</v>
      </c>
      <c r="N16" s="238">
        <v>12.0</v>
      </c>
      <c r="O16" s="196">
        <f>IFERROR(VLOOKUP(L16,'C-01'!$D:$L,5,0),"")</f>
        <v>3176.35</v>
      </c>
      <c r="P16" s="196">
        <f>IFERROR(VLOOKUP(L16,'C-01'!$D:$L,6,0),"")</f>
        <v>3539.11</v>
      </c>
      <c r="Q16" s="196">
        <f>IFERROR(VLOOKUP(L16,'C-01'!$D:$L,7,0),"")</f>
        <v>3493.97</v>
      </c>
      <c r="R16" s="196">
        <f>IFERROR(VLOOKUP(L16,'C-01'!$D:$L,8,0),"")</f>
        <v>3798.49</v>
      </c>
      <c r="S16" s="197">
        <f>IFERROR(VLOOKUP(L16,'C-01'!$D:$L,9,0),"")</f>
        <v>4392.23</v>
      </c>
      <c r="T16" s="198">
        <f>IFS('Painel Geral'!$B$5="Mediana",IFERROR(IF(OR(C16="",Q16=0,Q16=""),"",($C16/$Q16)),""),'Painel Geral'!$B$5="Menor Salário",IFERROR(IF(OR(C16="",Q16=0,Q16=""),"",($C16/$N16)),""),'Painel Geral'!$B$5="1º Quartil",IFERROR(IF(OR(C16="",Q16=0,Q16=""),"",($C16/$O16)),""), 'Painel Geral'!$B$5="Média",IFERROR(IF(OR(C16="",Q16=0,Q16=""),"",($C16/$P16)),""),'Painel Geral'!$B$5="3º Quartil",IFERROR(IF(OR(C16="",Q16=0,Q16=""),"",($C16/$R16)),""),'Painel Geral'!$B$5="Maior Salário",IFERROR(IF(OR(C16="",Q16=0,Q16=""),"",($C16/$S16)),""))</f>
        <v>1.142826069</v>
      </c>
      <c r="U16" s="199" t="str">
        <f t="shared" si="3"/>
        <v>Muito Competitivo</v>
      </c>
      <c r="V16" s="201"/>
      <c r="W16" s="201"/>
      <c r="X16" s="201"/>
      <c r="Y16" s="201"/>
      <c r="Z16" s="201"/>
      <c r="AA16" s="201"/>
      <c r="AB16" s="201"/>
      <c r="AC16" s="201"/>
      <c r="AD16" s="201"/>
      <c r="AE16" s="201"/>
      <c r="AF16" s="201"/>
      <c r="AG16" s="201"/>
      <c r="AH16" s="201"/>
      <c r="AI16" s="201"/>
      <c r="AJ16" s="201"/>
      <c r="AK16" s="201"/>
      <c r="AL16" s="201"/>
      <c r="AM16" s="201"/>
      <c r="AN16" s="201"/>
      <c r="AO16" s="201"/>
      <c r="AP16" s="201"/>
    </row>
    <row r="17" ht="15.75" customHeight="1">
      <c r="A17" s="184" t="s">
        <v>43</v>
      </c>
      <c r="B17" s="185" t="str">
        <f>VLOOKUP(A17,Jobmatch!A:G,2,0)</f>
        <v>ANALISTA DE MARKETING l</v>
      </c>
      <c r="C17" s="186">
        <f>IFERROR(AVERAGEIF('Folha de Pagamento'!A:A,A17,'Folha de Pagamento'!J:J),"")</f>
        <v>4025.88</v>
      </c>
      <c r="D17" s="187">
        <v>8.0</v>
      </c>
      <c r="E17" s="185" t="str">
        <f>VLOOKUP(A17,Jobmatch!A:H,3,0)</f>
        <v>Marketing</v>
      </c>
      <c r="F17" s="188" t="s">
        <v>361</v>
      </c>
      <c r="G17" s="190" t="str">
        <f>VLOOKUP(A17,Jobmatch!A:I,4,0)</f>
        <v>13 - ADM PROJETOS</v>
      </c>
      <c r="H17" s="191" t="str">
        <f>VLOOKUP(A17,Jobmatch!A:I,5,0)</f>
        <v>Operacional</v>
      </c>
      <c r="I17" s="192">
        <f>VLOOKUP(A17,Jobmatch!A:I,6,0)</f>
        <v>42</v>
      </c>
      <c r="J17" s="190" t="str">
        <f>VLOOKUP(A17,Jobmatch!A:I,7,0)</f>
        <v>Analista de Marketing</v>
      </c>
      <c r="K17" s="193" t="str">
        <f>VLOOKUP(A17,Jobmatch!A:I,8,0)</f>
        <v>Júnior</v>
      </c>
      <c r="L17" s="194" t="str">
        <f t="shared" si="2"/>
        <v>42Júnior</v>
      </c>
      <c r="M17" s="195">
        <f>COUNTIF('Folha de Pagamento'!A:A,A17)</f>
        <v>1</v>
      </c>
      <c r="N17" s="238">
        <v>13.0</v>
      </c>
      <c r="O17" s="196">
        <f>IFERROR(VLOOKUP(L17,'C-01'!$D:$L,5,0),"")</f>
        <v>3503.85</v>
      </c>
      <c r="P17" s="196">
        <f>IFERROR(VLOOKUP(L17,'C-01'!$D:$L,6,0),"")</f>
        <v>3792.81</v>
      </c>
      <c r="Q17" s="196">
        <f>IFERROR(VLOOKUP(L17,'C-01'!$D:$L,7,0),"")</f>
        <v>3674.96</v>
      </c>
      <c r="R17" s="196">
        <f>IFERROR(VLOOKUP(L17,'C-01'!$D:$L,8,0),"")</f>
        <v>3977.13</v>
      </c>
      <c r="S17" s="197">
        <f>IFERROR(VLOOKUP(L17,'C-01'!$D:$L,9,0),"")</f>
        <v>5225.68</v>
      </c>
      <c r="T17" s="198">
        <f>IFS('Painel Geral'!$B$5="Mediana",IFERROR(IF(OR(C17="",Q17=0,Q17=""),"",($C17/$Q17)),""),'Painel Geral'!$B$5="Menor Salário",IFERROR(IF(OR(C17="",Q17=0,Q17=""),"",($C17/$N17)),""),'Painel Geral'!$B$5="1º Quartil",IFERROR(IF(OR(C17="",Q17=0,Q17=""),"",($C17/$O17)),""), 'Painel Geral'!$B$5="Média",IFERROR(IF(OR(C17="",Q17=0,Q17=""),"",($C17/$P17)),""),'Painel Geral'!$B$5="3º Quartil",IFERROR(IF(OR(C17="",Q17=0,Q17=""),"",($C17/$R17)),""),'Painel Geral'!$B$5="Maior Salário",IFERROR(IF(OR(C17="",Q17=0,Q17=""),"",($C17/$S17)),""))</f>
        <v>1.095489475</v>
      </c>
      <c r="U17" s="199" t="str">
        <f t="shared" si="3"/>
        <v>Competitivo</v>
      </c>
      <c r="V17" s="201"/>
      <c r="W17" s="201"/>
      <c r="X17" s="201"/>
      <c r="Y17" s="201"/>
      <c r="Z17" s="201"/>
      <c r="AA17" s="201"/>
      <c r="AB17" s="201"/>
      <c r="AC17" s="201"/>
      <c r="AD17" s="201"/>
      <c r="AE17" s="201"/>
      <c r="AF17" s="201"/>
      <c r="AG17" s="201"/>
      <c r="AH17" s="201"/>
      <c r="AI17" s="201"/>
      <c r="AJ17" s="201"/>
      <c r="AK17" s="201"/>
      <c r="AL17" s="201"/>
      <c r="AM17" s="201"/>
      <c r="AN17" s="201"/>
      <c r="AO17" s="201"/>
      <c r="AP17" s="201"/>
    </row>
    <row r="18" ht="15.75" customHeight="1">
      <c r="A18" s="184" t="s">
        <v>70</v>
      </c>
      <c r="B18" s="185" t="str">
        <f>VLOOKUP(A18,Jobmatch!A:G,2,0)</f>
        <v>ASSISTENTE DE ENGENHARIA lll</v>
      </c>
      <c r="C18" s="186">
        <f>IFERROR(AVERAGEIF('Folha de Pagamento'!A:A,A18,'Folha de Pagamento'!J:J),"")</f>
        <v>3652</v>
      </c>
      <c r="D18" s="187">
        <v>5.0</v>
      </c>
      <c r="E18" s="185" t="str">
        <f>VLOOKUP(A18,Jobmatch!A:H,3,0)</f>
        <v>Edificação</v>
      </c>
      <c r="F18" s="188" t="s">
        <v>344</v>
      </c>
      <c r="G18" s="190" t="str">
        <f>VLOOKUP(A18,Jobmatch!A:I,4,0)</f>
        <v>22 - ADM PROJETOS</v>
      </c>
      <c r="H18" s="191" t="str">
        <f>VLOOKUP(A18,Jobmatch!A:I,5,0)</f>
        <v>Operacional</v>
      </c>
      <c r="I18" s="192">
        <f>VLOOKUP(A18,Jobmatch!A:I,6,0)</f>
        <v>531</v>
      </c>
      <c r="J18" s="190" t="str">
        <f>VLOOKUP(A18,Jobmatch!A:I,7,0)</f>
        <v>Assistente de Engenharia</v>
      </c>
      <c r="K18" s="193" t="str">
        <f>VLOOKUP(A18,Jobmatch!A:I,8,0)</f>
        <v>Indiferente</v>
      </c>
      <c r="L18" s="194" t="str">
        <f t="shared" si="2"/>
        <v>531Indiferente</v>
      </c>
      <c r="M18" s="195">
        <f>COUNTIF('Folha de Pagamento'!A:A,A18)</f>
        <v>1</v>
      </c>
      <c r="N18" s="238">
        <v>13.0</v>
      </c>
      <c r="O18" s="196">
        <f>IFERROR(VLOOKUP(L18,'C-01'!$D:$L,5,0),"")</f>
        <v>3945.44</v>
      </c>
      <c r="P18" s="196">
        <f>IFERROR(VLOOKUP(L18,'C-01'!$D:$L,6,0),"")</f>
        <v>4031.84</v>
      </c>
      <c r="Q18" s="196">
        <f>IFERROR(VLOOKUP(L18,'C-01'!$D:$L,7,0),"")</f>
        <v>3945.44</v>
      </c>
      <c r="R18" s="196">
        <f>IFERROR(VLOOKUP(L18,'C-01'!$D:$L,8,0),"")</f>
        <v>3945.44</v>
      </c>
      <c r="S18" s="197">
        <f>IFERROR(VLOOKUP(L18,'C-01'!$D:$L,9,0),"")</f>
        <v>5084.96</v>
      </c>
      <c r="T18" s="198">
        <f>IFS('Painel Geral'!$B$5="Mediana",IFERROR(IF(OR(C18="",Q18=0,Q18=""),"",($C18/$Q18)),""),'Painel Geral'!$B$5="Menor Salário",IFERROR(IF(OR(C18="",Q18=0,Q18=""),"",($C18/$N18)),""),'Painel Geral'!$B$5="1º Quartil",IFERROR(IF(OR(C18="",Q18=0,Q18=""),"",($C18/$O18)),""), 'Painel Geral'!$B$5="Média",IFERROR(IF(OR(C18="",Q18=0,Q18=""),"",($C18/$P18)),""),'Painel Geral'!$B$5="3º Quartil",IFERROR(IF(OR(C18="",Q18=0,Q18=""),"",($C18/$R18)),""),'Painel Geral'!$B$5="Maior Salário",IFERROR(IF(OR(C18="",Q18=0,Q18=""),"",($C18/$S18)),""))</f>
        <v>0.9256255323</v>
      </c>
      <c r="U18" s="199" t="str">
        <f t="shared" si="3"/>
        <v>Na Média</v>
      </c>
      <c r="V18" s="201"/>
      <c r="W18" s="201"/>
      <c r="X18" s="201"/>
      <c r="Y18" s="201"/>
      <c r="Z18" s="201"/>
      <c r="AA18" s="201"/>
      <c r="AB18" s="201"/>
      <c r="AC18" s="201"/>
      <c r="AD18" s="201"/>
      <c r="AE18" s="201"/>
      <c r="AF18" s="201"/>
      <c r="AG18" s="201"/>
      <c r="AH18" s="201"/>
      <c r="AI18" s="201"/>
      <c r="AJ18" s="201"/>
      <c r="AK18" s="239">
        <v>1907.0</v>
      </c>
      <c r="AL18" s="220">
        <f>AK18*AN27</f>
        <v>1922.469798</v>
      </c>
      <c r="AM18" s="221"/>
      <c r="AN18" s="201"/>
      <c r="AO18" s="201"/>
      <c r="AP18" s="201"/>
    </row>
    <row r="19" ht="15.75" customHeight="1">
      <c r="A19" s="184" t="s">
        <v>186</v>
      </c>
      <c r="B19" s="185" t="str">
        <f>VLOOKUP(A19,Jobmatch!A:G,2,0)</f>
        <v>TECNOLOGO EM CONSTRUÇÃO DE EDIFICIOS</v>
      </c>
      <c r="C19" s="186">
        <f>IFERROR(AVERAGEIF('Folha de Pagamento'!A:A,A19,'Folha de Pagamento'!J:J),"")</f>
        <v>8585</v>
      </c>
      <c r="D19" s="187">
        <v>5.0</v>
      </c>
      <c r="E19" s="185" t="str">
        <f>VLOOKUP(A19,Jobmatch!A:H,3,0)</f>
        <v>Edificação</v>
      </c>
      <c r="F19" s="188" t="s">
        <v>350</v>
      </c>
      <c r="G19" s="190" t="str">
        <f>VLOOKUP(A19,Jobmatch!A:I,4,0)</f>
        <v>61 - ADM PROJETOS</v>
      </c>
      <c r="H19" s="191" t="str">
        <f>VLOOKUP(A19,Jobmatch!A:I,5,0)</f>
        <v>Operacional</v>
      </c>
      <c r="I19" s="192">
        <f>VLOOKUP(A19,Jobmatch!A:I,6,0)</f>
        <v>269</v>
      </c>
      <c r="J19" s="190" t="str">
        <f>VLOOKUP(A19,Jobmatch!A:I,7,0)</f>
        <v>Técnico em Edificações</v>
      </c>
      <c r="K19" s="193" t="str">
        <f>VLOOKUP(A19,Jobmatch!A:I,8,0)</f>
        <v>Indiferente</v>
      </c>
      <c r="L19" s="194" t="str">
        <f t="shared" si="2"/>
        <v>269Indiferente</v>
      </c>
      <c r="M19" s="195">
        <f>COUNTIF('Folha de Pagamento'!A:A,A19)</f>
        <v>1</v>
      </c>
      <c r="N19" s="238">
        <v>13.0</v>
      </c>
      <c r="O19" s="196">
        <f>IFERROR(VLOOKUP(L19,'C-01'!$D:$L,5,0),"")</f>
        <v>3732.17</v>
      </c>
      <c r="P19" s="196">
        <f>IFERROR(VLOOKUP(L19,'C-01'!$D:$L,6,0),"")</f>
        <v>4583.42</v>
      </c>
      <c r="Q19" s="196">
        <f>IFERROR(VLOOKUP(L19,'C-01'!$D:$L,7,0),"")</f>
        <v>4022.01</v>
      </c>
      <c r="R19" s="196">
        <f>IFERROR(VLOOKUP(L19,'C-01'!$D:$L,8,0),"")</f>
        <v>4417.17</v>
      </c>
      <c r="S19" s="197">
        <f>IFERROR(VLOOKUP(L19,'C-01'!$D:$L,9,0),"")</f>
        <v>9075.39</v>
      </c>
      <c r="T19" s="198">
        <f>IFS('Painel Geral'!$B$5="Mediana",IFERROR(IF(OR(C19="",Q19=0,Q19=""),"",($C19/$Q19)),""),'Painel Geral'!$B$5="Menor Salário",IFERROR(IF(OR(C19="",Q19=0,Q19=""),"",($C19/$N19)),""),'Painel Geral'!$B$5="1º Quartil",IFERROR(IF(OR(C19="",Q19=0,Q19=""),"",($C19/$O19)),""), 'Painel Geral'!$B$5="Média",IFERROR(IF(OR(C19="",Q19=0,Q19=""),"",($C19/$P19)),""),'Painel Geral'!$B$5="3º Quartil",IFERROR(IF(OR(C19="",Q19=0,Q19=""),"",($C19/$R19)),""),'Painel Geral'!$B$5="Maior Salário",IFERROR(IF(OR(C19="",Q19=0,Q19=""),"",($C19/$S19)),""))</f>
        <v>2.134504887</v>
      </c>
      <c r="U19" s="199" t="str">
        <f t="shared" si="3"/>
        <v>Agressivo</v>
      </c>
      <c r="V19" s="201"/>
      <c r="W19" s="201"/>
      <c r="X19" s="201"/>
      <c r="Y19" s="201"/>
      <c r="Z19" s="201"/>
      <c r="AA19" s="201"/>
      <c r="AB19" s="201"/>
      <c r="AC19" s="201"/>
      <c r="AD19" s="201"/>
      <c r="AE19" s="201"/>
      <c r="AF19" s="201"/>
      <c r="AG19" s="201"/>
      <c r="AH19" s="201"/>
      <c r="AI19" s="201"/>
      <c r="AJ19" s="201"/>
      <c r="AK19" s="222">
        <v>45778.0</v>
      </c>
      <c r="AL19" s="221"/>
      <c r="AM19" s="221"/>
      <c r="AN19" s="201"/>
      <c r="AO19" s="201"/>
      <c r="AP19" s="201"/>
    </row>
    <row r="20" ht="15.75" customHeight="1">
      <c r="A20" s="184" t="s">
        <v>29</v>
      </c>
      <c r="B20" s="185" t="str">
        <f>VLOOKUP(A20,Jobmatch!A:G,2,0)</f>
        <v>ANALISTA DE CRIAÇAO</v>
      </c>
      <c r="C20" s="186">
        <f>IFERROR(AVERAGEIF('Folha de Pagamento'!A:A,A20,'Folha de Pagamento'!J:J),"")</f>
        <v>5429</v>
      </c>
      <c r="D20" s="187">
        <v>8.0</v>
      </c>
      <c r="E20" s="185" t="str">
        <f>VLOOKUP(A20,Jobmatch!A:H,3,0)</f>
        <v>Marketing</v>
      </c>
      <c r="F20" s="188" t="s">
        <v>360</v>
      </c>
      <c r="G20" s="190" t="str">
        <f>VLOOKUP(A20,Jobmatch!A:I,4,0)</f>
        <v>10 - ADM PROJETOS</v>
      </c>
      <c r="H20" s="191" t="str">
        <f>VLOOKUP(A20,Jobmatch!A:I,5,0)</f>
        <v>Operacional</v>
      </c>
      <c r="I20" s="192">
        <f>VLOOKUP(A20,Jobmatch!A:I,6,0)</f>
        <v>45</v>
      </c>
      <c r="J20" s="190" t="str">
        <f>VLOOKUP(A20,Jobmatch!A:I,7,0)</f>
        <v>Analista de Criação</v>
      </c>
      <c r="K20" s="193" t="str">
        <f>VLOOKUP(A20,Jobmatch!A:I,8,0)</f>
        <v>Indiferente</v>
      </c>
      <c r="L20" s="194" t="str">
        <f t="shared" si="2"/>
        <v>45Indiferente</v>
      </c>
      <c r="M20" s="195">
        <f>COUNTIF('Folha de Pagamento'!A:A,A20)</f>
        <v>1</v>
      </c>
      <c r="N20" s="238">
        <v>14.0</v>
      </c>
      <c r="O20" s="196">
        <f>IFERROR(VLOOKUP(L20,'C-01'!$D:$L,5,0),"")</f>
        <v>3527.33</v>
      </c>
      <c r="P20" s="196">
        <f>IFERROR(VLOOKUP(L20,'C-01'!$D:$L,6,0),"")</f>
        <v>4325.16</v>
      </c>
      <c r="Q20" s="196">
        <f>IFERROR(VLOOKUP(L20,'C-01'!$D:$L,7,0),"")</f>
        <v>4325.72</v>
      </c>
      <c r="R20" s="196">
        <f>IFERROR(VLOOKUP(L20,'C-01'!$D:$L,8,0),"")</f>
        <v>4988.66</v>
      </c>
      <c r="S20" s="197">
        <f>IFERROR(VLOOKUP(L20,'C-01'!$D:$L,9,0),"")</f>
        <v>6418.74</v>
      </c>
      <c r="T20" s="198">
        <f>IFS('Painel Geral'!$B$5="Mediana",IFERROR(IF(OR(C20="",Q20=0,Q20=""),"",($C20/$Q20)),""),'Painel Geral'!$B$5="Menor Salário",IFERROR(IF(OR(C20="",Q20=0,Q20=""),"",($C20/$N20)),""),'Painel Geral'!$B$5="1º Quartil",IFERROR(IF(OR(C20="",Q20=0,Q20=""),"",($C20/$O20)),""), 'Painel Geral'!$B$5="Média",IFERROR(IF(OR(C20="",Q20=0,Q20=""),"",($C20/$P20)),""),'Painel Geral'!$B$5="3º Quartil",IFERROR(IF(OR(C20="",Q20=0,Q20=""),"",($C20/$R20)),""),'Painel Geral'!$B$5="Maior Salário",IFERROR(IF(OR(C20="",Q20=0,Q20=""),"",($C20/$S20)),""))</f>
        <v>1.255051182</v>
      </c>
      <c r="U20" s="199" t="str">
        <f t="shared" si="3"/>
        <v>Agressivo</v>
      </c>
      <c r="V20" s="201"/>
      <c r="W20" s="201"/>
      <c r="X20" s="201"/>
      <c r="Y20" s="201"/>
      <c r="Z20" s="201"/>
      <c r="AA20" s="201"/>
      <c r="AB20" s="201"/>
      <c r="AC20" s="201"/>
      <c r="AD20" s="201"/>
      <c r="AE20" s="201"/>
      <c r="AF20" s="201"/>
      <c r="AG20" s="201"/>
      <c r="AH20" s="201"/>
      <c r="AI20" s="201"/>
      <c r="AJ20" s="201"/>
      <c r="AK20" s="223">
        <v>0.23</v>
      </c>
      <c r="AL20" s="220">
        <f t="shared" ref="AL20:AL25" si="4">1+(AK20/100)</f>
        <v>1.0023</v>
      </c>
      <c r="AM20" s="220">
        <f>AL20</f>
        <v>1.0023</v>
      </c>
      <c r="AN20" s="201"/>
      <c r="AO20" s="201"/>
      <c r="AP20" s="201"/>
    </row>
    <row r="21" ht="15.75" customHeight="1">
      <c r="A21" s="184" t="s">
        <v>33</v>
      </c>
      <c r="B21" s="185" t="str">
        <f>VLOOKUP(A21,Jobmatch!A:G,2,0)</f>
        <v>ANALISTA DE INOVAÇÃO</v>
      </c>
      <c r="C21" s="186">
        <f>IFERROR(AVERAGEIF('Folha de Pagamento'!A:A,A21,'Folha de Pagamento'!J:J),"")</f>
        <v>7299.270073</v>
      </c>
      <c r="D21" s="187">
        <v>7.0</v>
      </c>
      <c r="E21" s="185" t="str">
        <f>VLOOKUP(A21,Jobmatch!A:H,3,0)</f>
        <v>Inovação</v>
      </c>
      <c r="F21" s="188" t="s">
        <v>357</v>
      </c>
      <c r="G21" s="190" t="str">
        <f>VLOOKUP(A21,Jobmatch!A:I,4,0)</f>
        <v>11 - ADM PROJETOS</v>
      </c>
      <c r="H21" s="191" t="str">
        <f>VLOOKUP(A21,Jobmatch!A:I,5,0)</f>
        <v>Tático</v>
      </c>
      <c r="I21" s="192">
        <f>VLOOKUP(A21,Jobmatch!A:I,6,0)</f>
        <v>437</v>
      </c>
      <c r="J21" s="190" t="str">
        <f>VLOOKUP(A21,Jobmatch!A:I,7,0)</f>
        <v>Analista de Inovação</v>
      </c>
      <c r="K21" s="193" t="str">
        <f>VLOOKUP(A21,Jobmatch!A:I,8,0)</f>
        <v>Indiferente</v>
      </c>
      <c r="L21" s="194" t="str">
        <f t="shared" si="2"/>
        <v>437Indiferente</v>
      </c>
      <c r="M21" s="195">
        <f>COUNTIF('Folha de Pagamento'!A:A,A21)</f>
        <v>1</v>
      </c>
      <c r="N21" s="238">
        <v>14.0</v>
      </c>
      <c r="O21" s="196">
        <f>IFERROR(VLOOKUP(L21,'C-01'!$D:$L,5,0),"")</f>
        <v>5268.47</v>
      </c>
      <c r="P21" s="196">
        <f>IFERROR(VLOOKUP(L21,'C-01'!$D:$L,6,0),"")</f>
        <v>5831.57</v>
      </c>
      <c r="Q21" s="196">
        <f>IFERROR(VLOOKUP(L21,'C-01'!$D:$L,7,0),"")</f>
        <v>5268.47</v>
      </c>
      <c r="R21" s="196">
        <f>IFERROR(VLOOKUP(L21,'C-01'!$D:$L,8,0),"")</f>
        <v>6822.26</v>
      </c>
      <c r="S21" s="197">
        <f>IFERROR(VLOOKUP(L21,'C-01'!$D:$L,9,0),"")</f>
        <v>7760.14</v>
      </c>
      <c r="T21" s="198">
        <f>IFS('Painel Geral'!$B$5="Mediana",IFERROR(IF(OR(C21="",Q21=0,Q21=""),"",($C21/$Q21)),""),'Painel Geral'!$B$5="Menor Salário",IFERROR(IF(OR(C21="",Q21=0,Q21=""),"",($C21/$N21)),""),'Painel Geral'!$B$5="1º Quartil",IFERROR(IF(OR(C21="",Q21=0,Q21=""),"",($C21/$O21)),""), 'Painel Geral'!$B$5="Média",IFERROR(IF(OR(C21="",Q21=0,Q21=""),"",($C21/$P21)),""),'Painel Geral'!$B$5="3º Quartil",IFERROR(IF(OR(C21="",Q21=0,Q21=""),"",($C21/$R21)),""),'Painel Geral'!$B$5="Maior Salário",IFERROR(IF(OR(C21="",Q21=0,Q21=""),"",($C21/$S21)),""))</f>
        <v>1.385462966</v>
      </c>
      <c r="U21" s="199" t="str">
        <f t="shared" si="3"/>
        <v>Agressivo</v>
      </c>
      <c r="V21" s="201"/>
      <c r="W21" s="201"/>
      <c r="X21" s="201"/>
      <c r="Y21" s="201"/>
      <c r="Z21" s="201"/>
      <c r="AA21" s="201"/>
      <c r="AB21" s="201"/>
      <c r="AC21" s="201"/>
      <c r="AD21" s="201"/>
      <c r="AE21" s="201"/>
      <c r="AF21" s="201"/>
      <c r="AG21" s="201"/>
      <c r="AH21" s="201"/>
      <c r="AI21" s="201"/>
      <c r="AJ21" s="201"/>
      <c r="AK21" s="223">
        <v>0.21</v>
      </c>
      <c r="AL21" s="220">
        <f t="shared" si="4"/>
        <v>1.0021</v>
      </c>
      <c r="AM21" s="220">
        <f t="shared" ref="AM21:AM25" si="5">AM20*AL21</f>
        <v>1.00440483</v>
      </c>
      <c r="AN21" s="201"/>
      <c r="AO21" s="201"/>
      <c r="AP21" s="201"/>
    </row>
    <row r="22" ht="15.75" customHeight="1">
      <c r="A22" s="184" t="s">
        <v>26</v>
      </c>
      <c r="B22" s="185" t="str">
        <f>VLOOKUP(A22,Jobmatch!A:G,2,0)</f>
        <v>ANALISTA DE COMPRAS</v>
      </c>
      <c r="C22" s="186">
        <f>IFERROR(AVERAGEIF('Folha de Pagamento'!A:A,A22,'Folha de Pagamento'!J:J),"")</f>
        <v>3780</v>
      </c>
      <c r="D22" s="187">
        <v>1.0</v>
      </c>
      <c r="E22" s="185" t="str">
        <f>VLOOKUP(A22,Jobmatch!A:H,3,0)</f>
        <v>Suprimentos </v>
      </c>
      <c r="F22" s="188" t="s">
        <v>367</v>
      </c>
      <c r="G22" s="190" t="str">
        <f>VLOOKUP(A22,Jobmatch!A:I,4,0)</f>
        <v>9 - ADM PROJETOS</v>
      </c>
      <c r="H22" s="191" t="str">
        <f>VLOOKUP(A22,Jobmatch!A:I,5,0)</f>
        <v>Operacional</v>
      </c>
      <c r="I22" s="192">
        <f>VLOOKUP(A22,Jobmatch!A:I,6,0)</f>
        <v>136</v>
      </c>
      <c r="J22" s="190" t="str">
        <f>VLOOKUP(A22,Jobmatch!A:I,7,0)</f>
        <v>Analista de Compras</v>
      </c>
      <c r="K22" s="193" t="str">
        <f>VLOOKUP(A22,Jobmatch!A:I,8,0)</f>
        <v>Pleno</v>
      </c>
      <c r="L22" s="194" t="str">
        <f t="shared" si="2"/>
        <v>136Pleno</v>
      </c>
      <c r="M22" s="195">
        <f>COUNTIF('Folha de Pagamento'!A:A,A22)</f>
        <v>1</v>
      </c>
      <c r="N22" s="238">
        <v>15.0</v>
      </c>
      <c r="O22" s="196">
        <f>IFERROR(VLOOKUP(L22,'C-01'!$D:$L,5,0),"")</f>
        <v>4524.76</v>
      </c>
      <c r="P22" s="196">
        <f>IFERROR(VLOOKUP(L22,'C-01'!$D:$L,6,0),"")</f>
        <v>6002.23</v>
      </c>
      <c r="Q22" s="196">
        <f>IFERROR(VLOOKUP(L22,'C-01'!$D:$L,7,0),"")</f>
        <v>5275.87</v>
      </c>
      <c r="R22" s="196">
        <f>IFERROR(VLOOKUP(L22,'C-01'!$D:$L,8,0),"")</f>
        <v>7842.89</v>
      </c>
      <c r="S22" s="197">
        <f>IFERROR(VLOOKUP(L22,'C-01'!$D:$L,9,0),"")</f>
        <v>7842.89</v>
      </c>
      <c r="T22" s="198">
        <f>IFS('Painel Geral'!$B$5="Mediana",IFERROR(IF(OR(C22="",Q22=0,Q22=""),"",($C22/$Q22)),""),'Painel Geral'!$B$5="Menor Salário",IFERROR(IF(OR(C22="",Q22=0,Q22=""),"",($C22/$N22)),""),'Painel Geral'!$B$5="1º Quartil",IFERROR(IF(OR(C22="",Q22=0,Q22=""),"",($C22/$O22)),""), 'Painel Geral'!$B$5="Média",IFERROR(IF(OR(C22="",Q22=0,Q22=""),"",($C22/$P22)),""),'Painel Geral'!$B$5="3º Quartil",IFERROR(IF(OR(C22="",Q22=0,Q22=""),"",($C22/$R22)),""),'Painel Geral'!$B$5="Maior Salário",IFERROR(IF(OR(C22="",Q22=0,Q22=""),"",($C22/$S22)),""))</f>
        <v>0.7164695112</v>
      </c>
      <c r="U22" s="199" t="str">
        <f t="shared" si="3"/>
        <v>Muito Defasado</v>
      </c>
      <c r="V22" s="201"/>
      <c r="W22" s="201"/>
      <c r="X22" s="201"/>
      <c r="Y22" s="201"/>
      <c r="Z22" s="201"/>
      <c r="AA22" s="201"/>
      <c r="AB22" s="201"/>
      <c r="AC22" s="201"/>
      <c r="AD22" s="201"/>
      <c r="AE22" s="201"/>
      <c r="AF22" s="201"/>
      <c r="AG22" s="201"/>
      <c r="AH22" s="201"/>
      <c r="AI22" s="201"/>
      <c r="AJ22" s="201"/>
      <c r="AK22" s="223">
        <v>-0.21</v>
      </c>
      <c r="AL22" s="220">
        <f t="shared" si="4"/>
        <v>0.9979</v>
      </c>
      <c r="AM22" s="220">
        <f t="shared" si="5"/>
        <v>1.00229558</v>
      </c>
      <c r="AN22" s="201"/>
      <c r="AO22" s="201"/>
      <c r="AP22" s="201"/>
    </row>
    <row r="23" ht="15.75" customHeight="1">
      <c r="A23" s="184" t="s">
        <v>45</v>
      </c>
      <c r="B23" s="185" t="str">
        <f>VLOOKUP(A23,Jobmatch!A:G,2,0)</f>
        <v>ANALISTA DE PÓS VENDAS II</v>
      </c>
      <c r="C23" s="186">
        <f>IFERROR(AVERAGEIF('Folha de Pagamento'!A:A,A23,'Folha de Pagamento'!J:J),"")</f>
        <v>4550</v>
      </c>
      <c r="D23" s="187">
        <v>9.0</v>
      </c>
      <c r="E23" s="185" t="str">
        <f>VLOOKUP(A23,Jobmatch!A:H,3,0)</f>
        <v>Pós Vendas</v>
      </c>
      <c r="F23" s="188" t="s">
        <v>365</v>
      </c>
      <c r="G23" s="190" t="str">
        <f>VLOOKUP(A23,Jobmatch!A:I,4,0)</f>
        <v>14 - ADM PROJETOS</v>
      </c>
      <c r="H23" s="191" t="str">
        <f>VLOOKUP(A23,Jobmatch!A:I,5,0)</f>
        <v>Operacional</v>
      </c>
      <c r="I23" s="192">
        <f>VLOOKUP(A23,Jobmatch!A:I,6,0)</f>
        <v>19</v>
      </c>
      <c r="J23" s="190" t="str">
        <f>VLOOKUP(A23,Jobmatch!A:I,7,0)</f>
        <v>Analista Comercial</v>
      </c>
      <c r="K23" s="193" t="str">
        <f>VLOOKUP(A23,Jobmatch!A:I,8,0)</f>
        <v>Pleno</v>
      </c>
      <c r="L23" s="194" t="str">
        <f t="shared" si="2"/>
        <v>19Pleno</v>
      </c>
      <c r="M23" s="195">
        <f>COUNTIF('Folha de Pagamento'!A:A,A23)</f>
        <v>1</v>
      </c>
      <c r="N23" s="238">
        <v>15.0</v>
      </c>
      <c r="O23" s="196">
        <f>IFERROR(VLOOKUP(L23,'C-01'!$D:$L,5,0),"")</f>
        <v>4898.28</v>
      </c>
      <c r="P23" s="196">
        <f>IFERROR(VLOOKUP(L23,'C-01'!$D:$L,6,0),"")</f>
        <v>5747.37</v>
      </c>
      <c r="Q23" s="196">
        <f>IFERROR(VLOOKUP(L23,'C-01'!$D:$L,7,0),"")</f>
        <v>5320.06</v>
      </c>
      <c r="R23" s="196">
        <f>IFERROR(VLOOKUP(L23,'C-01'!$D:$L,8,0),"")</f>
        <v>6382.81</v>
      </c>
      <c r="S23" s="197">
        <f>IFERROR(VLOOKUP(L23,'C-01'!$D:$L,9,0),"")</f>
        <v>7445.55</v>
      </c>
      <c r="T23" s="198">
        <f>IFS('Painel Geral'!$B$5="Mediana",IFERROR(IF(OR(C23="",Q23=0,Q23=""),"",($C23/$Q23)),""),'Painel Geral'!$B$5="Menor Salário",IFERROR(IF(OR(C23="",Q23=0,Q23=""),"",($C23/$N23)),""),'Painel Geral'!$B$5="1º Quartil",IFERROR(IF(OR(C23="",Q23=0,Q23=""),"",($C23/$O23)),""), 'Painel Geral'!$B$5="Média",IFERROR(IF(OR(C23="",Q23=0,Q23=""),"",($C23/$P23)),""),'Painel Geral'!$B$5="3º Quartil",IFERROR(IF(OR(C23="",Q23=0,Q23=""),"",($C23/$R23)),""),'Painel Geral'!$B$5="Maior Salário",IFERROR(IF(OR(C23="",Q23=0,Q23=""),"",($C23/$S23)),""))</f>
        <v>0.8552535122</v>
      </c>
      <c r="U23" s="199" t="str">
        <f t="shared" si="3"/>
        <v>Defasado</v>
      </c>
      <c r="V23" s="201"/>
      <c r="W23" s="201"/>
      <c r="X23" s="201"/>
      <c r="Y23" s="201"/>
      <c r="Z23" s="201"/>
      <c r="AA23" s="201"/>
      <c r="AB23" s="201"/>
      <c r="AC23" s="201"/>
      <c r="AD23" s="201"/>
      <c r="AE23" s="201"/>
      <c r="AF23" s="201"/>
      <c r="AG23" s="201"/>
      <c r="AH23" s="201"/>
      <c r="AI23" s="201"/>
      <c r="AJ23" s="201"/>
      <c r="AK23" s="223">
        <v>0.52</v>
      </c>
      <c r="AL23" s="220">
        <f t="shared" si="4"/>
        <v>1.0052</v>
      </c>
      <c r="AM23" s="220">
        <f t="shared" si="5"/>
        <v>1.007507517</v>
      </c>
      <c r="AN23" s="201"/>
      <c r="AO23" s="201"/>
      <c r="AP23" s="201"/>
    </row>
    <row r="24" ht="15.75" customHeight="1">
      <c r="A24" s="184" t="s">
        <v>51</v>
      </c>
      <c r="B24" s="185" t="str">
        <f>VLOOKUP(A24,Jobmatch!A:G,2,0)</f>
        <v>ANALISTA FINANCEIRO COMERCIAL III</v>
      </c>
      <c r="C24" s="186">
        <f>IFERROR(AVERAGEIF('Folha de Pagamento'!A:A,A24,'Folha de Pagamento'!J:J),"")</f>
        <v>5213</v>
      </c>
      <c r="D24" s="187">
        <v>6.0</v>
      </c>
      <c r="E24" s="185" t="str">
        <f>VLOOKUP(A24,Jobmatch!A:H,3,0)</f>
        <v>Financeiro</v>
      </c>
      <c r="F24" s="188" t="s">
        <v>351</v>
      </c>
      <c r="G24" s="190" t="str">
        <f>VLOOKUP(A24,Jobmatch!A:I,4,0)</f>
        <v>16 - ADM PROJETOS</v>
      </c>
      <c r="H24" s="191" t="str">
        <f>VLOOKUP(A24,Jobmatch!A:I,5,0)</f>
        <v>Operacional</v>
      </c>
      <c r="I24" s="192">
        <f>VLOOKUP(A24,Jobmatch!A:I,6,0)</f>
        <v>16</v>
      </c>
      <c r="J24" s="190" t="str">
        <f>VLOOKUP(A24,Jobmatch!A:I,7,0)</f>
        <v>Analista Financeiro</v>
      </c>
      <c r="K24" s="193" t="str">
        <f>VLOOKUP(A24,Jobmatch!A:I,8,0)</f>
        <v>Sênior</v>
      </c>
      <c r="L24" s="194" t="str">
        <f t="shared" si="2"/>
        <v>16Sênior</v>
      </c>
      <c r="M24" s="195">
        <f>COUNTIF('Folha de Pagamento'!A:A,A24)</f>
        <v>1</v>
      </c>
      <c r="N24" s="238">
        <v>15.0</v>
      </c>
      <c r="O24" s="196">
        <f>IFERROR(VLOOKUP(L24,'C-01'!$D:$L,5,0),"")</f>
        <v>5489.27</v>
      </c>
      <c r="P24" s="196">
        <f>IFERROR(VLOOKUP(L24,'C-01'!$D:$L,6,0),"")</f>
        <v>6172.24</v>
      </c>
      <c r="Q24" s="196">
        <f>IFERROR(VLOOKUP(L24,'C-01'!$D:$L,7,0),"")</f>
        <v>5910.71</v>
      </c>
      <c r="R24" s="196">
        <f>IFERROR(VLOOKUP(L24,'C-01'!$D:$L,8,0),"")</f>
        <v>6737.39</v>
      </c>
      <c r="S24" s="197">
        <f>IFERROR(VLOOKUP(L24,'C-01'!$D:$L,9,0),"")</f>
        <v>8185.08</v>
      </c>
      <c r="T24" s="198">
        <f>IFS('Painel Geral'!$B$5="Mediana",IFERROR(IF(OR(C24="",Q24=0,Q24=""),"",($C24/$Q24)),""),'Painel Geral'!$B$5="Menor Salário",IFERROR(IF(OR(C24="",Q24=0,Q24=""),"",($C24/$N24)),""),'Painel Geral'!$B$5="1º Quartil",IFERROR(IF(OR(C24="",Q24=0,Q24=""),"",($C24/$O24)),""), 'Painel Geral'!$B$5="Média",IFERROR(IF(OR(C24="",Q24=0,Q24=""),"",($C24/$P24)),""),'Painel Geral'!$B$5="3º Quartil",IFERROR(IF(OR(C24="",Q24=0,Q24=""),"",($C24/$R24)),""),'Painel Geral'!$B$5="Maior Salário",IFERROR(IF(OR(C24="",Q24=0,Q24=""),"",($C24/$S24)),""))</f>
        <v>0.8819583434</v>
      </c>
      <c r="U24" s="199" t="str">
        <f t="shared" si="3"/>
        <v>Defasado</v>
      </c>
      <c r="V24" s="201"/>
      <c r="W24" s="201"/>
      <c r="X24" s="201"/>
      <c r="Y24" s="201"/>
      <c r="Z24" s="201"/>
      <c r="AA24" s="201"/>
      <c r="AB24" s="201"/>
      <c r="AC24" s="201"/>
      <c r="AD24" s="201"/>
      <c r="AE24" s="201"/>
      <c r="AF24" s="201"/>
      <c r="AG24" s="201"/>
      <c r="AH24" s="201"/>
      <c r="AI24" s="201"/>
      <c r="AJ24" s="201"/>
      <c r="AK24" s="223">
        <v>0.03</v>
      </c>
      <c r="AL24" s="220">
        <f t="shared" si="4"/>
        <v>1.0003</v>
      </c>
      <c r="AM24" s="220">
        <f t="shared" si="5"/>
        <v>1.007809769</v>
      </c>
      <c r="AN24" s="201"/>
      <c r="AO24" s="201"/>
      <c r="AP24" s="201"/>
    </row>
    <row r="25" ht="15.75" customHeight="1">
      <c r="A25" s="184" t="s">
        <v>55</v>
      </c>
      <c r="B25" s="185" t="str">
        <f>VLOOKUP(A25,Jobmatch!A:G,2,0)</f>
        <v>ANALISTA FINANCEIRO DE CAPTAÇÃO DE RECURSOS III</v>
      </c>
      <c r="C25" s="186">
        <f>IFERROR(AVERAGEIF('Folha de Pagamento'!A:A,A25,'Folha de Pagamento'!J:J),"")</f>
        <v>5213</v>
      </c>
      <c r="D25" s="187">
        <v>6.0</v>
      </c>
      <c r="E25" s="185" t="str">
        <f>VLOOKUP(A25,Jobmatch!A:H,3,0)</f>
        <v>Financeiro</v>
      </c>
      <c r="F25" s="188" t="s">
        <v>352</v>
      </c>
      <c r="G25" s="190" t="str">
        <f>VLOOKUP(A25,Jobmatch!A:I,4,0)</f>
        <v>17 - ADM PROJETOS</v>
      </c>
      <c r="H25" s="191" t="str">
        <f>VLOOKUP(A25,Jobmatch!A:I,5,0)</f>
        <v>Operacional</v>
      </c>
      <c r="I25" s="192">
        <f>VLOOKUP(A25,Jobmatch!A:I,6,0)</f>
        <v>16</v>
      </c>
      <c r="J25" s="190" t="str">
        <f>VLOOKUP(A25,Jobmatch!A:I,7,0)</f>
        <v>Analista Financeiro</v>
      </c>
      <c r="K25" s="193" t="str">
        <f>VLOOKUP(A25,Jobmatch!A:I,8,0)</f>
        <v>Sênior</v>
      </c>
      <c r="L25" s="194" t="str">
        <f t="shared" si="2"/>
        <v>16Sênior</v>
      </c>
      <c r="M25" s="195">
        <f>COUNTIF('Folha de Pagamento'!A:A,A25)</f>
        <v>1</v>
      </c>
      <c r="N25" s="238">
        <v>16.0</v>
      </c>
      <c r="O25" s="196">
        <f>IFERROR(VLOOKUP(L25,'C-01'!$D:$L,5,0),"")</f>
        <v>5489.27</v>
      </c>
      <c r="P25" s="196">
        <f>IFERROR(VLOOKUP(L25,'C-01'!$D:$L,6,0),"")</f>
        <v>6172.24</v>
      </c>
      <c r="Q25" s="196">
        <f>IFERROR(VLOOKUP(L25,'C-01'!$D:$L,7,0),"")</f>
        <v>5910.71</v>
      </c>
      <c r="R25" s="196">
        <f>IFERROR(VLOOKUP(L25,'C-01'!$D:$L,8,0),"")</f>
        <v>6737.39</v>
      </c>
      <c r="S25" s="197">
        <f>IFERROR(VLOOKUP(L25,'C-01'!$D:$L,9,0),"")</f>
        <v>8185.08</v>
      </c>
      <c r="T25" s="198">
        <f>IFS('Painel Geral'!$B$5="Mediana",IFERROR(IF(OR(C25="",Q25=0,Q25=""),"",($C25/$Q25)),""),'Painel Geral'!$B$5="Menor Salário",IFERROR(IF(OR(C25="",Q25=0,Q25=""),"",($C25/$N25)),""),'Painel Geral'!$B$5="1º Quartil",IFERROR(IF(OR(C25="",Q25=0,Q25=""),"",($C25/$O25)),""), 'Painel Geral'!$B$5="Média",IFERROR(IF(OR(C25="",Q25=0,Q25=""),"",($C25/$P25)),""),'Painel Geral'!$B$5="3º Quartil",IFERROR(IF(OR(C25="",Q25=0,Q25=""),"",($C25/$R25)),""),'Painel Geral'!$B$5="Maior Salário",IFERROR(IF(OR(C25="",Q25=0,Q25=""),"",($C25/$S25)),""))</f>
        <v>0.8819583434</v>
      </c>
      <c r="U25" s="199" t="str">
        <f t="shared" si="3"/>
        <v>Defasado</v>
      </c>
      <c r="V25" s="201"/>
      <c r="W25" s="201"/>
      <c r="X25" s="201"/>
      <c r="Y25" s="201"/>
      <c r="Z25" s="201"/>
      <c r="AA25" s="201"/>
      <c r="AB25" s="201"/>
      <c r="AC25" s="201"/>
      <c r="AD25" s="201"/>
      <c r="AE25" s="201"/>
      <c r="AF25" s="201"/>
      <c r="AG25" s="201"/>
      <c r="AH25" s="201"/>
      <c r="AI25" s="201"/>
      <c r="AJ25" s="201"/>
      <c r="AK25" s="220">
        <v>0.03</v>
      </c>
      <c r="AL25" s="220">
        <f t="shared" si="4"/>
        <v>1.0003</v>
      </c>
      <c r="AM25" s="220">
        <f t="shared" si="5"/>
        <v>1.008112112</v>
      </c>
      <c r="AN25" s="201"/>
      <c r="AO25" s="201"/>
      <c r="AP25" s="201"/>
    </row>
    <row r="26" ht="15.75" customHeight="1">
      <c r="A26" s="184" t="s">
        <v>183</v>
      </c>
      <c r="B26" s="185" t="str">
        <f>VLOOKUP(A26,Jobmatch!A:G,2,0)</f>
        <v>TECNICO ANALISTA DE CUSTOS</v>
      </c>
      <c r="C26" s="186">
        <f>IFERROR(AVERAGEIF('Folha de Pagamento'!A:A,A26,'Folha de Pagamento'!J:J),"")</f>
        <v>7000</v>
      </c>
      <c r="D26" s="187">
        <v>5.0</v>
      </c>
      <c r="E26" s="185" t="str">
        <f>VLOOKUP(A26,Jobmatch!A:H,3,0)</f>
        <v>Edificação</v>
      </c>
      <c r="F26" s="188" t="s">
        <v>349</v>
      </c>
      <c r="G26" s="190" t="str">
        <f>VLOOKUP(A26,Jobmatch!A:I,4,0)</f>
        <v>60 - ADM PROJETOS</v>
      </c>
      <c r="H26" s="191" t="str">
        <f>VLOOKUP(A26,Jobmatch!A:I,5,0)</f>
        <v>Operacional</v>
      </c>
      <c r="I26" s="192">
        <f>VLOOKUP(A26,Jobmatch!A:I,6,0)</f>
        <v>876</v>
      </c>
      <c r="J26" s="190" t="str">
        <f>VLOOKUP(A26,Jobmatch!A:I,7,0)</f>
        <v>Analista de Custos</v>
      </c>
      <c r="K26" s="193" t="str">
        <f>VLOOKUP(A26,Jobmatch!A:I,8,0)</f>
        <v>Indiferente</v>
      </c>
      <c r="L26" s="194" t="str">
        <f t="shared" si="2"/>
        <v>876Indiferente</v>
      </c>
      <c r="M26" s="195">
        <f>COUNTIF('Folha de Pagamento'!A:A,A26)</f>
        <v>3</v>
      </c>
      <c r="N26" s="238">
        <v>17.0</v>
      </c>
      <c r="O26" s="196">
        <f>IFERROR(VLOOKUP(L26,'C-01'!$D:$L,5,0),"")</f>
        <v>6868.23</v>
      </c>
      <c r="P26" s="196">
        <f>IFERROR(VLOOKUP(L26,'C-01'!$D:$L,6,0),"")</f>
        <v>7611.25</v>
      </c>
      <c r="Q26" s="196">
        <f>IFERROR(VLOOKUP(L26,'C-01'!$D:$L,7,0),"")</f>
        <v>7320.76</v>
      </c>
      <c r="R26" s="196">
        <f>IFERROR(VLOOKUP(L26,'C-01'!$D:$L,8,0),"")</f>
        <v>8153.71</v>
      </c>
      <c r="S26" s="197">
        <f>IFERROR(VLOOKUP(L26,'C-01'!$D:$L,9,0),"")</f>
        <v>9161.15</v>
      </c>
      <c r="T26" s="198">
        <f>IFS('Painel Geral'!$B$5="Mediana",IFERROR(IF(OR(C26="",Q26=0,Q26=""),"",($C26/$Q26)),""),'Painel Geral'!$B$5="Menor Salário",IFERROR(IF(OR(C26="",Q26=0,Q26=""),"",($C26/$N26)),""),'Painel Geral'!$B$5="1º Quartil",IFERROR(IF(OR(C26="",Q26=0,Q26=""),"",($C26/$O26)),""), 'Painel Geral'!$B$5="Média",IFERROR(IF(OR(C26="",Q26=0,Q26=""),"",($C26/$P26)),""),'Painel Geral'!$B$5="3º Quartil",IFERROR(IF(OR(C26="",Q26=0,Q26=""),"",($C26/$R26)),""),'Painel Geral'!$B$5="Maior Salário",IFERROR(IF(OR(C26="",Q26=0,Q26=""),"",($C26/$S26)),""))</f>
        <v>0.956184877</v>
      </c>
      <c r="U26" s="199" t="str">
        <f t="shared" si="3"/>
        <v>Na Média</v>
      </c>
      <c r="V26" s="201"/>
      <c r="W26" s="201"/>
      <c r="X26" s="201"/>
      <c r="Y26" s="201"/>
      <c r="Z26" s="201"/>
      <c r="AA26" s="201"/>
      <c r="AB26" s="201"/>
      <c r="AC26" s="201"/>
      <c r="AD26" s="201"/>
      <c r="AE26" s="201"/>
      <c r="AF26" s="201"/>
      <c r="AG26" s="201"/>
      <c r="AH26" s="201"/>
      <c r="AI26" s="201"/>
      <c r="AJ26" s="201"/>
      <c r="AK26" s="220"/>
      <c r="AL26" s="220"/>
      <c r="AM26" s="220"/>
      <c r="AN26" s="201"/>
      <c r="AO26" s="201"/>
      <c r="AP26" s="201"/>
    </row>
    <row r="27" ht="15.75" customHeight="1">
      <c r="A27" s="184" t="s">
        <v>125</v>
      </c>
      <c r="B27" s="185" t="str">
        <f>VLOOKUP(A27,Jobmatch!A:G,2,0)</f>
        <v>ENCARREGADO OBRAS/MANUTENCAO</v>
      </c>
      <c r="C27" s="186">
        <f>IFERROR(AVERAGEIF('Folha de Pagamento'!A:A,A27,'Folha de Pagamento'!J:J),"")</f>
        <v>8714</v>
      </c>
      <c r="D27" s="187">
        <v>5.0</v>
      </c>
      <c r="E27" s="185" t="str">
        <f>VLOOKUP(A27,Jobmatch!A:H,3,0)</f>
        <v>Edificação</v>
      </c>
      <c r="F27" s="188" t="s">
        <v>346</v>
      </c>
      <c r="G27" s="190" t="str">
        <f>VLOOKUP(A27,Jobmatch!A:I,4,0)</f>
        <v>42 - ADM PROJETOS</v>
      </c>
      <c r="H27" s="191" t="str">
        <f>VLOOKUP(A27,Jobmatch!A:I,5,0)</f>
        <v>Operacional</v>
      </c>
      <c r="I27" s="192">
        <f>VLOOKUP(A27,Jobmatch!A:I,6,0)</f>
        <v>470</v>
      </c>
      <c r="J27" s="190" t="str">
        <f>VLOOKUP(A27,Jobmatch!A:I,7,0)</f>
        <v>Mestre de Obras</v>
      </c>
      <c r="K27" s="193" t="str">
        <f>VLOOKUP(A27,Jobmatch!A:I,8,0)</f>
        <v>Indiferente</v>
      </c>
      <c r="L27" s="194" t="str">
        <f t="shared" si="2"/>
        <v>470Indiferente</v>
      </c>
      <c r="M27" s="195">
        <f>COUNTIF('Folha de Pagamento'!A:A,A27)</f>
        <v>1</v>
      </c>
      <c r="N27" s="238">
        <v>17.0</v>
      </c>
      <c r="O27" s="196">
        <f>IFERROR(VLOOKUP(L27,'C-01'!$D:$L,5,0),"")</f>
        <v>5530.26</v>
      </c>
      <c r="P27" s="196">
        <f>IFERROR(VLOOKUP(L27,'C-01'!$D:$L,6,0),"")</f>
        <v>7689.13</v>
      </c>
      <c r="Q27" s="196">
        <f>IFERROR(VLOOKUP(L27,'C-01'!$D:$L,7,0),"")</f>
        <v>7460.82</v>
      </c>
      <c r="R27" s="196">
        <f>IFERROR(VLOOKUP(L27,'C-01'!$D:$L,8,0),"")</f>
        <v>9785.54</v>
      </c>
      <c r="S27" s="197">
        <f>IFERROR(VLOOKUP(L27,'C-01'!$D:$L,9,0),"")</f>
        <v>11138.95</v>
      </c>
      <c r="T27" s="198">
        <f>IFS('Painel Geral'!$B$5="Mediana",IFERROR(IF(OR(C27="",Q27=0,Q27=""),"",($C27/$Q27)),""),'Painel Geral'!$B$5="Menor Salário",IFERROR(IF(OR(C27="",Q27=0,Q27=""),"",($C27/$N27)),""),'Painel Geral'!$B$5="1º Quartil",IFERROR(IF(OR(C27="",Q27=0,Q27=""),"",($C27/$O27)),""), 'Painel Geral'!$B$5="Média",IFERROR(IF(OR(C27="",Q27=0,Q27=""),"",($C27/$P27)),""),'Painel Geral'!$B$5="3º Quartil",IFERROR(IF(OR(C27="",Q27=0,Q27=""),"",($C27/$R27)),""),'Painel Geral'!$B$5="Maior Salário",IFERROR(IF(OR(C27="",Q27=0,Q27=""),"",($C27/$S27)),""))</f>
        <v>1.167968132</v>
      </c>
      <c r="U27" s="199" t="str">
        <f t="shared" si="3"/>
        <v>Muito Competitivo</v>
      </c>
      <c r="V27" s="201"/>
      <c r="W27" s="201"/>
      <c r="X27" s="201"/>
      <c r="Y27" s="201"/>
      <c r="Z27" s="201"/>
      <c r="AA27" s="201"/>
      <c r="AB27" s="201"/>
      <c r="AC27" s="201"/>
      <c r="AD27" s="201"/>
      <c r="AE27" s="201"/>
      <c r="AF27" s="201"/>
      <c r="AG27" s="201"/>
      <c r="AH27" s="201"/>
      <c r="AI27" s="201"/>
      <c r="AJ27" s="201"/>
      <c r="AK27" s="201"/>
      <c r="AL27" s="201"/>
      <c r="AM27" s="201"/>
      <c r="AN27" s="224">
        <f>AM25</f>
        <v>1.008112112</v>
      </c>
      <c r="AO27" s="201"/>
      <c r="AP27" s="201"/>
    </row>
    <row r="28" ht="15.75" customHeight="1">
      <c r="A28" s="184" t="s">
        <v>123</v>
      </c>
      <c r="B28" s="185" t="str">
        <f>VLOOKUP(A28,Jobmatch!A:G,2,0)</f>
        <v>ENCARREGADO DE OBRAS</v>
      </c>
      <c r="C28" s="186">
        <f>IFERROR(AVERAGEIF('Folha de Pagamento'!A:A,A28,'Folha de Pagamento'!J:J),"")</f>
        <v>10000.5</v>
      </c>
      <c r="D28" s="187">
        <v>10.0</v>
      </c>
      <c r="E28" s="185" t="str">
        <f>VLOOKUP(A28,Jobmatch!A:H,3,0)</f>
        <v>Urbanismo</v>
      </c>
      <c r="F28" s="188" t="s">
        <v>372</v>
      </c>
      <c r="G28" s="190" t="str">
        <f>VLOOKUP(A28,Jobmatch!A:I,4,0)</f>
        <v>41 - ADM PROJETOS</v>
      </c>
      <c r="H28" s="191" t="str">
        <f>VLOOKUP(A28,Jobmatch!A:I,5,0)</f>
        <v>Operacional</v>
      </c>
      <c r="I28" s="192">
        <f>VLOOKUP(A28,Jobmatch!A:I,6,0)</f>
        <v>470</v>
      </c>
      <c r="J28" s="190" t="str">
        <f>VLOOKUP(A28,Jobmatch!A:I,7,0)</f>
        <v>Mestre de Obras</v>
      </c>
      <c r="K28" s="193" t="str">
        <f>VLOOKUP(A28,Jobmatch!A:I,8,0)</f>
        <v>Indiferente</v>
      </c>
      <c r="L28" s="194" t="str">
        <f t="shared" si="2"/>
        <v>470Indiferente</v>
      </c>
      <c r="M28" s="195">
        <f>COUNTIF('Folha de Pagamento'!A:A,A28)</f>
        <v>2</v>
      </c>
      <c r="N28" s="238">
        <v>17.0</v>
      </c>
      <c r="O28" s="196">
        <f>IFERROR(VLOOKUP(L28,'C-01'!$D:$L,5,0),"")</f>
        <v>5530.26</v>
      </c>
      <c r="P28" s="196">
        <f>IFERROR(VLOOKUP(L28,'C-01'!$D:$L,6,0),"")</f>
        <v>7689.13</v>
      </c>
      <c r="Q28" s="196">
        <f>IFERROR(VLOOKUP(L28,'C-01'!$D:$L,7,0),"")</f>
        <v>7460.82</v>
      </c>
      <c r="R28" s="196">
        <f>IFERROR(VLOOKUP(L28,'C-01'!$D:$L,8,0),"")</f>
        <v>9785.54</v>
      </c>
      <c r="S28" s="197">
        <f>IFERROR(VLOOKUP(L28,'C-01'!$D:$L,9,0),"")</f>
        <v>11138.95</v>
      </c>
      <c r="T28" s="198">
        <f>IFS('Painel Geral'!$B$5="Mediana",IFERROR(IF(OR(C28="",Q28=0,Q28=""),"",($C28/$Q28)),""),'Painel Geral'!$B$5="Menor Salário",IFERROR(IF(OR(C28="",Q28=0,Q28=""),"",($C28/$N28)),""),'Painel Geral'!$B$5="1º Quartil",IFERROR(IF(OR(C28="",Q28=0,Q28=""),"",($C28/$O28)),""), 'Painel Geral'!$B$5="Média",IFERROR(IF(OR(C28="",Q28=0,Q28=""),"",($C28/$P28)),""),'Painel Geral'!$B$5="3º Quartil",IFERROR(IF(OR(C28="",Q28=0,Q28=""),"",($C28/$R28)),""),'Painel Geral'!$B$5="Maior Salário",IFERROR(IF(OR(C28="",Q28=0,Q28=""),"",($C28/$S28)),""))</f>
        <v>1.340402261</v>
      </c>
      <c r="U28" s="199" t="str">
        <f t="shared" si="3"/>
        <v>Agressivo</v>
      </c>
      <c r="V28" s="201"/>
      <c r="W28" s="201"/>
      <c r="X28" s="201"/>
      <c r="Y28" s="201"/>
      <c r="Z28" s="201"/>
      <c r="AA28" s="201"/>
      <c r="AB28" s="201"/>
      <c r="AC28" s="201"/>
      <c r="AD28" s="201"/>
      <c r="AE28" s="201"/>
      <c r="AF28" s="201"/>
      <c r="AG28" s="201"/>
      <c r="AH28" s="201"/>
      <c r="AI28" s="201"/>
      <c r="AJ28" s="201"/>
      <c r="AK28" s="201"/>
      <c r="AL28" s="201"/>
      <c r="AM28" s="201"/>
      <c r="AN28" s="201"/>
      <c r="AO28" s="201"/>
      <c r="AP28" s="201"/>
    </row>
    <row r="29" ht="15.75" customHeight="1">
      <c r="A29" s="184" t="s">
        <v>115</v>
      </c>
      <c r="B29" s="185" t="str">
        <f>VLOOKUP(A29,Jobmatch!A:G,2,0)</f>
        <v>COORDENADOR FINANCEIRO</v>
      </c>
      <c r="C29" s="186">
        <f>IFERROR(AVERAGEIF('Folha de Pagamento'!A:A,A29,'Folha de Pagamento'!J:J),"")</f>
        <v>7947.019868</v>
      </c>
      <c r="D29" s="187">
        <v>6.0</v>
      </c>
      <c r="E29" s="185" t="str">
        <f>VLOOKUP(A29,Jobmatch!A:H,3,0)</f>
        <v>Financeiro</v>
      </c>
      <c r="F29" s="188" t="s">
        <v>276</v>
      </c>
      <c r="G29" s="190" t="str">
        <f>VLOOKUP(A29,Jobmatch!A:I,4,0)</f>
        <v>39 - ADM PROJETOS</v>
      </c>
      <c r="H29" s="191" t="str">
        <f>VLOOKUP(A29,Jobmatch!A:I,5,0)</f>
        <v>Tático</v>
      </c>
      <c r="I29" s="192">
        <f>VLOOKUP(A29,Jobmatch!A:I,6,0)</f>
        <v>122</v>
      </c>
      <c r="J29" s="190" t="str">
        <f>VLOOKUP(A29,Jobmatch!A:I,7,0)</f>
        <v>Coordenador Financeiro</v>
      </c>
      <c r="K29" s="193" t="str">
        <f>VLOOKUP(A29,Jobmatch!A:I,8,0)</f>
        <v>Indiferente</v>
      </c>
      <c r="L29" s="194" t="str">
        <f t="shared" si="2"/>
        <v>122Indiferente</v>
      </c>
      <c r="M29" s="195">
        <f>COUNTIF('Folha de Pagamento'!A:A,A29)</f>
        <v>1</v>
      </c>
      <c r="N29" s="238">
        <v>17.0</v>
      </c>
      <c r="O29" s="196">
        <f>IFERROR(VLOOKUP(L29,'C-01'!$D:$L,5,0),"")</f>
        <v>6325.01</v>
      </c>
      <c r="P29" s="196">
        <f>IFERROR(VLOOKUP(L29,'C-01'!$D:$L,6,0),"")</f>
        <v>7452.59</v>
      </c>
      <c r="Q29" s="196">
        <f>IFERROR(VLOOKUP(L29,'C-01'!$D:$L,7,0),"")</f>
        <v>7558.57</v>
      </c>
      <c r="R29" s="196">
        <f>IFERROR(VLOOKUP(L29,'C-01'!$D:$L,8,0),"")</f>
        <v>8691.7</v>
      </c>
      <c r="S29" s="197">
        <f>IFERROR(VLOOKUP(L29,'C-01'!$D:$L,9,0),"")</f>
        <v>9982.25</v>
      </c>
      <c r="T29" s="198">
        <f>IFS('Painel Geral'!$B$5="Mediana",IFERROR(IF(OR(C29="",Q29=0,Q29=""),"",($C29/$Q29)),""),'Painel Geral'!$B$5="Menor Salário",IFERROR(IF(OR(C29="",Q29=0,Q29=""),"",($C29/$N29)),""),'Painel Geral'!$B$5="1º Quartil",IFERROR(IF(OR(C29="",Q29=0,Q29=""),"",($C29/$O29)),""), 'Painel Geral'!$B$5="Média",IFERROR(IF(OR(C29="",Q29=0,Q29=""),"",($C29/$P29)),""),'Painel Geral'!$B$5="3º Quartil",IFERROR(IF(OR(C29="",Q29=0,Q29=""),"",($C29/$R29)),""),'Painel Geral'!$B$5="Maior Salário",IFERROR(IF(OR(C29="",Q29=0,Q29=""),"",($C29/$S29)),""))</f>
        <v>1.051391979</v>
      </c>
      <c r="U29" s="199" t="str">
        <f t="shared" si="3"/>
        <v>Competitivo</v>
      </c>
      <c r="V29" s="201"/>
      <c r="W29" s="201"/>
      <c r="X29" s="201"/>
      <c r="Y29" s="201"/>
      <c r="Z29" s="201"/>
      <c r="AA29" s="201"/>
      <c r="AB29" s="201"/>
      <c r="AC29" s="201"/>
      <c r="AD29" s="201"/>
      <c r="AE29" s="201"/>
      <c r="AF29" s="201"/>
      <c r="AG29" s="201"/>
      <c r="AH29" s="201"/>
      <c r="AI29" s="201"/>
      <c r="AJ29" s="201"/>
      <c r="AK29" s="201"/>
      <c r="AL29" s="201"/>
      <c r="AM29" s="201"/>
      <c r="AN29" s="227"/>
      <c r="AO29" s="201"/>
      <c r="AP29" s="201"/>
    </row>
    <row r="30" ht="15.75" customHeight="1">
      <c r="A30" s="184" t="s">
        <v>48</v>
      </c>
      <c r="B30" s="185" t="str">
        <f>VLOOKUP(A30,Jobmatch!A:G,2,0)</f>
        <v>ANALISTA DE URBANISMO</v>
      </c>
      <c r="C30" s="186">
        <f>IFERROR(AVERAGEIF('Folha de Pagamento'!A:A,A30,'Folha de Pagamento'!J:J),"")</f>
        <v>5830</v>
      </c>
      <c r="D30" s="187">
        <v>10.0</v>
      </c>
      <c r="E30" s="185" t="str">
        <f>VLOOKUP(A30,Jobmatch!A:H,3,0)</f>
        <v>Urbanismo</v>
      </c>
      <c r="F30" s="188" t="s">
        <v>370</v>
      </c>
      <c r="G30" s="190" t="str">
        <f>VLOOKUP(A30,Jobmatch!A:I,4,0)</f>
        <v>15 - ADM PROJETOS</v>
      </c>
      <c r="H30" s="191" t="str">
        <f>VLOOKUP(A30,Jobmatch!A:I,5,0)</f>
        <v>Operacional</v>
      </c>
      <c r="I30" s="192">
        <f>VLOOKUP(A30,Jobmatch!A:I,6,0)</f>
        <v>1199</v>
      </c>
      <c r="J30" s="190" t="str">
        <f>VLOOKUP(A30,Jobmatch!A:I,7,0)</f>
        <v>Analista de Urbanismo</v>
      </c>
      <c r="K30" s="193" t="str">
        <f>VLOOKUP(A30,Jobmatch!A:I,8,0)</f>
        <v>Indiferente</v>
      </c>
      <c r="L30" s="194" t="str">
        <f t="shared" si="2"/>
        <v>1199Indiferente</v>
      </c>
      <c r="M30" s="195">
        <f>COUNTIF('Folha de Pagamento'!A:A,A30)</f>
        <v>1</v>
      </c>
      <c r="N30" s="238">
        <v>17.0</v>
      </c>
      <c r="O30" s="196">
        <f>IFERROR(VLOOKUP(L30,'C-01'!$D:$L,5,0),"")</f>
        <v>6091.54</v>
      </c>
      <c r="P30" s="196">
        <f>IFERROR(VLOOKUP(L30,'C-01'!$D:$L,6,0),"")</f>
        <v>7637.46</v>
      </c>
      <c r="Q30" s="196">
        <f>IFERROR(VLOOKUP(L30,'C-01'!$D:$L,7,0),"")</f>
        <v>7848.45</v>
      </c>
      <c r="R30" s="196">
        <f>IFERROR(VLOOKUP(L30,'C-01'!$D:$L,8,0),"")</f>
        <v>9161.15</v>
      </c>
      <c r="S30" s="197">
        <f>IFERROR(VLOOKUP(L30,'C-01'!$D:$L,9,0),"")</f>
        <v>9161.15</v>
      </c>
      <c r="T30" s="198">
        <f>IFS('Painel Geral'!$B$5="Mediana",IFERROR(IF(OR(C30="",Q30=0,Q30=""),"",($C30/$Q30)),""),'Painel Geral'!$B$5="Menor Salário",IFERROR(IF(OR(C30="",Q30=0,Q30=""),"",($C30/$N30)),""),'Painel Geral'!$B$5="1º Quartil",IFERROR(IF(OR(C30="",Q30=0,Q30=""),"",($C30/$O30)),""), 'Painel Geral'!$B$5="Média",IFERROR(IF(OR(C30="",Q30=0,Q30=""),"",($C30/$P30)),""),'Painel Geral'!$B$5="3º Quartil",IFERROR(IF(OR(C30="",Q30=0,Q30=""),"",($C30/$R30)),""),'Painel Geral'!$B$5="Maior Salário",IFERROR(IF(OR(C30="",Q30=0,Q30=""),"",($C30/$S30)),""))</f>
        <v>0.7428218311</v>
      </c>
      <c r="U30" s="199" t="str">
        <f t="shared" si="3"/>
        <v>Muito Defasado</v>
      </c>
      <c r="V30" s="201"/>
      <c r="W30" s="201"/>
      <c r="X30" s="201"/>
      <c r="Y30" s="219">
        <v>1799.0</v>
      </c>
      <c r="Z30" s="225">
        <f>Y30*AN27</f>
        <v>1813.59369</v>
      </c>
      <c r="AA30" s="226"/>
      <c r="AB30" s="221"/>
      <c r="AC30" s="221"/>
      <c r="AD30" s="201"/>
      <c r="AE30" s="201"/>
      <c r="AF30" s="201"/>
      <c r="AG30" s="201"/>
      <c r="AH30" s="201"/>
      <c r="AI30" s="201"/>
      <c r="AJ30" s="201"/>
      <c r="AK30" s="201"/>
      <c r="AL30" s="201"/>
      <c r="AM30" s="201"/>
      <c r="AN30" s="201"/>
      <c r="AO30" s="201"/>
      <c r="AP30" s="201"/>
    </row>
    <row r="31" ht="15.75" customHeight="1">
      <c r="A31" s="184" t="s">
        <v>106</v>
      </c>
      <c r="B31" s="185" t="str">
        <f>VLOOKUP(A31,Jobmatch!A:G,2,0)</f>
        <v>COORDENADOR DE MARKETING II</v>
      </c>
      <c r="C31" s="186">
        <f>IFERROR(AVERAGEIF('Folha de Pagamento'!A:A,A31,'Folha de Pagamento'!J:J),"")</f>
        <v>8647</v>
      </c>
      <c r="D31" s="187">
        <v>8.0</v>
      </c>
      <c r="E31" s="185" t="str">
        <f>VLOOKUP(A31,Jobmatch!A:H,3,0)</f>
        <v>Marketing</v>
      </c>
      <c r="F31" s="188" t="s">
        <v>363</v>
      </c>
      <c r="G31" s="190" t="str">
        <f>VLOOKUP(A31,Jobmatch!A:I,4,0)</f>
        <v>36 - ADM PROJETOS</v>
      </c>
      <c r="H31" s="191" t="str">
        <f>VLOOKUP(A31,Jobmatch!A:I,5,0)</f>
        <v>Tático</v>
      </c>
      <c r="I31" s="192">
        <f>VLOOKUP(A31,Jobmatch!A:I,6,0)</f>
        <v>56</v>
      </c>
      <c r="J31" s="190" t="str">
        <f>VLOOKUP(A31,Jobmatch!A:I,7,0)</f>
        <v>Coordenador de Marketing</v>
      </c>
      <c r="K31" s="193" t="str">
        <f>VLOOKUP(A31,Jobmatch!A:I,8,0)</f>
        <v>Indiferente</v>
      </c>
      <c r="L31" s="194" t="str">
        <f t="shared" si="2"/>
        <v>56Indiferente</v>
      </c>
      <c r="M31" s="195">
        <f>COUNTIF('Folha de Pagamento'!A:A,A31)</f>
        <v>1</v>
      </c>
      <c r="N31" s="238">
        <v>17.0</v>
      </c>
      <c r="O31" s="196">
        <f>IFERROR(VLOOKUP(L31,'C-01'!$D:$L,5,0),"")</f>
        <v>7141.59</v>
      </c>
      <c r="P31" s="196">
        <f>IFERROR(VLOOKUP(L31,'C-01'!$D:$L,6,0),"")</f>
        <v>7927.07</v>
      </c>
      <c r="Q31" s="196">
        <f>IFERROR(VLOOKUP(L31,'C-01'!$D:$L,7,0),"")</f>
        <v>7958.59</v>
      </c>
      <c r="R31" s="196">
        <f>IFERROR(VLOOKUP(L31,'C-01'!$D:$L,8,0),"")</f>
        <v>8825.19</v>
      </c>
      <c r="S31" s="197">
        <f>IFERROR(VLOOKUP(L31,'C-01'!$D:$L,9,0),"")</f>
        <v>10531.61</v>
      </c>
      <c r="T31" s="198">
        <f>IFS('Painel Geral'!$B$5="Mediana",IFERROR(IF(OR(C31="",Q31=0,Q31=""),"",($C31/$Q31)),""),'Painel Geral'!$B$5="Menor Salário",IFERROR(IF(OR(C31="",Q31=0,Q31=""),"",($C31/$N31)),""),'Painel Geral'!$B$5="1º Quartil",IFERROR(IF(OR(C31="",Q31=0,Q31=""),"",($C31/$O31)),""), 'Painel Geral'!$B$5="Média",IFERROR(IF(OR(C31="",Q31=0,Q31=""),"",($C31/$P31)),""),'Painel Geral'!$B$5="3º Quartil",IFERROR(IF(OR(C31="",Q31=0,Q31=""),"",($C31/$R31)),""),'Painel Geral'!$B$5="Maior Salário",IFERROR(IF(OR(C31="",Q31=0,Q31=""),"",($C31/$S31)),""))</f>
        <v>1.08649899</v>
      </c>
      <c r="U31" s="199" t="str">
        <f t="shared" si="3"/>
        <v>Competitivo</v>
      </c>
      <c r="V31" s="201"/>
      <c r="W31" s="201"/>
      <c r="X31" s="201"/>
      <c r="Y31" s="228">
        <v>0.8</v>
      </c>
      <c r="Z31" s="229" t="s">
        <v>376</v>
      </c>
      <c r="AA31" s="228">
        <v>1.0</v>
      </c>
      <c r="AB31" s="234"/>
      <c r="AC31" s="231"/>
      <c r="AD31" s="201"/>
      <c r="AE31" s="201"/>
      <c r="AF31" s="201"/>
      <c r="AG31" s="201"/>
      <c r="AH31" s="201"/>
      <c r="AI31" s="201"/>
      <c r="AJ31" s="201"/>
      <c r="AK31" s="201"/>
      <c r="AL31" s="201"/>
      <c r="AM31" s="201"/>
      <c r="AN31" s="201">
        <f>AN29/AN27</f>
        <v>0</v>
      </c>
      <c r="AO31" s="201"/>
      <c r="AP31" s="201"/>
    </row>
    <row r="32" ht="15.75" customHeight="1">
      <c r="A32" s="184" t="s">
        <v>104</v>
      </c>
      <c r="B32" s="185" t="str">
        <f>VLOOKUP(A32,Jobmatch!A:G,2,0)</f>
        <v>COORDENADOR DE LEGAIZAÇÃO ll</v>
      </c>
      <c r="C32" s="186">
        <f>IFERROR(AVERAGEIF('Folha de Pagamento'!A:A,A32,'Folha de Pagamento'!J:J),"")</f>
        <v>8647</v>
      </c>
      <c r="D32" s="187">
        <v>7.0</v>
      </c>
      <c r="E32" s="185" t="str">
        <f>VLOOKUP(A32,Jobmatch!A:H,3,0)</f>
        <v>Legalização </v>
      </c>
      <c r="F32" s="188" t="s">
        <v>359</v>
      </c>
      <c r="G32" s="190" t="str">
        <f>VLOOKUP(A32,Jobmatch!A:I,4,0)</f>
        <v>35 - ADM PROJETOS</v>
      </c>
      <c r="H32" s="191" t="str">
        <f>VLOOKUP(A32,Jobmatch!A:I,5,0)</f>
        <v>Tático</v>
      </c>
      <c r="I32" s="192">
        <f>VLOOKUP(A32,Jobmatch!A:I,6,0)</f>
        <v>1203</v>
      </c>
      <c r="J32" s="190" t="str">
        <f>VLOOKUP(A32,Jobmatch!A:I,7,0)</f>
        <v>Coordenador de Legalização</v>
      </c>
      <c r="K32" s="193" t="str">
        <f>VLOOKUP(A32,Jobmatch!A:I,8,0)</f>
        <v>Indiferente</v>
      </c>
      <c r="L32" s="194" t="str">
        <f t="shared" si="2"/>
        <v>1203Indiferente</v>
      </c>
      <c r="M32" s="195">
        <f>COUNTIF('Folha de Pagamento'!A:A,A32)</f>
        <v>1</v>
      </c>
      <c r="N32" s="238">
        <v>18.0</v>
      </c>
      <c r="O32" s="196">
        <f>IFERROR(VLOOKUP(L32,'C-01'!$D:$L,5,0),"")</f>
        <v>8783.31</v>
      </c>
      <c r="P32" s="196">
        <f>IFERROR(VLOOKUP(L32,'C-01'!$D:$L,6,0),"")</f>
        <v>8872.04</v>
      </c>
      <c r="Q32" s="196">
        <f>IFERROR(VLOOKUP(L32,'C-01'!$D:$L,7,0),"")</f>
        <v>8872.04</v>
      </c>
      <c r="R32" s="196">
        <f>IFERROR(VLOOKUP(L32,'C-01'!$D:$L,8,0),"")</f>
        <v>8960.78</v>
      </c>
      <c r="S32" s="197">
        <f>IFERROR(VLOOKUP(L32,'C-01'!$D:$L,9,0),"")</f>
        <v>9049.51</v>
      </c>
      <c r="T32" s="198">
        <f>IFS('Painel Geral'!$B$5="Mediana",IFERROR(IF(OR(C32="",Q32=0,Q32=""),"",($C32/$Q32)),""),'Painel Geral'!$B$5="Menor Salário",IFERROR(IF(OR(C32="",Q32=0,Q32=""),"",($C32/$N32)),""),'Painel Geral'!$B$5="1º Quartil",IFERROR(IF(OR(C32="",Q32=0,Q32=""),"",($C32/$O32)),""), 'Painel Geral'!$B$5="Média",IFERROR(IF(OR(C32="",Q32=0,Q32=""),"",($C32/$P32)),""),'Painel Geral'!$B$5="3º Quartil",IFERROR(IF(OR(C32="",Q32=0,Q32=""),"",($C32/$R32)),""),'Painel Geral'!$B$5="Maior Salário",IFERROR(IF(OR(C32="",Q32=0,Q32=""),"",($C32/$S32)),""))</f>
        <v>0.9746349205</v>
      </c>
      <c r="U32" s="199" t="str">
        <f t="shared" si="3"/>
        <v>Na Média</v>
      </c>
      <c r="V32" s="201"/>
      <c r="W32" s="201"/>
      <c r="X32" s="201"/>
      <c r="Y32" s="220">
        <f>AA32*0.8</f>
        <v>1872.8</v>
      </c>
      <c r="Z32" s="240">
        <v>10.0</v>
      </c>
      <c r="AA32" s="233">
        <f t="shared" ref="AA32:AA47" si="6">-3179+1290*Z32-123*Z32*Z32+4.92*Z32*Z32*Z32</f>
        <v>2341</v>
      </c>
      <c r="AB32" s="234"/>
      <c r="AC32" s="235">
        <f>AA32*0.8</f>
        <v>1872.8</v>
      </c>
      <c r="AD32" s="201"/>
      <c r="AE32" s="201"/>
      <c r="AF32" s="201"/>
      <c r="AG32" s="201"/>
      <c r="AH32" s="201"/>
      <c r="AI32" s="201"/>
      <c r="AJ32" s="201"/>
      <c r="AK32" s="201"/>
      <c r="AL32" s="201"/>
      <c r="AM32" s="201"/>
      <c r="AN32" s="201"/>
      <c r="AO32" s="201"/>
      <c r="AP32" s="201"/>
    </row>
    <row r="33" ht="15.75" customHeight="1">
      <c r="A33" s="184" t="s">
        <v>146</v>
      </c>
      <c r="B33" s="185" t="str">
        <f>VLOOKUP(A33,Jobmatch!A:G,2,0)</f>
        <v>GERENTE ADMINISTRATIVA </v>
      </c>
      <c r="C33" s="186">
        <f>IFERROR(AVERAGEIF('Folha de Pagamento'!A:A,A33,'Folha de Pagamento'!J:J),"")</f>
        <v>12242.42424</v>
      </c>
      <c r="D33" s="187">
        <v>1.0</v>
      </c>
      <c r="E33" s="185" t="str">
        <f>VLOOKUP(A33,Jobmatch!A:H,3,0)</f>
        <v>Administrativo</v>
      </c>
      <c r="F33" s="188" t="s">
        <v>331</v>
      </c>
      <c r="G33" s="190" t="str">
        <f>VLOOKUP(A33,Jobmatch!A:I,4,0)</f>
        <v>49 - ADM PROJETOS</v>
      </c>
      <c r="H33" s="191" t="str">
        <f>VLOOKUP(A33,Jobmatch!A:I,5,0)</f>
        <v>Tático</v>
      </c>
      <c r="I33" s="192">
        <f>VLOOKUP(A33,Jobmatch!A:I,6,0)</f>
        <v>106</v>
      </c>
      <c r="J33" s="190" t="str">
        <f>VLOOKUP(A33,Jobmatch!A:I,7,0)</f>
        <v>Gerente Administrativo</v>
      </c>
      <c r="K33" s="193" t="str">
        <f>VLOOKUP(A33,Jobmatch!A:I,8,0)</f>
        <v>Indiferente</v>
      </c>
      <c r="L33" s="194" t="str">
        <f t="shared" si="2"/>
        <v>106Indiferente</v>
      </c>
      <c r="M33" s="195">
        <f>COUNTIF('Folha de Pagamento'!A:A,A33)</f>
        <v>2</v>
      </c>
      <c r="N33" s="238">
        <v>19.0</v>
      </c>
      <c r="O33" s="196">
        <f>IFERROR(VLOOKUP(L33,'C-01'!$D:$L,5,0),"")</f>
        <v>6616.13</v>
      </c>
      <c r="P33" s="196">
        <f>IFERROR(VLOOKUP(L33,'C-01'!$D:$L,6,0),"")</f>
        <v>9881.52</v>
      </c>
      <c r="Q33" s="196">
        <f>IFERROR(VLOOKUP(L33,'C-01'!$D:$L,7,0),"")</f>
        <v>10052.23</v>
      </c>
      <c r="R33" s="196">
        <f>IFERROR(VLOOKUP(L33,'C-01'!$D:$L,8,0),"")</f>
        <v>12479.94</v>
      </c>
      <c r="S33" s="197">
        <f>IFERROR(VLOOKUP(L33,'C-01'!$D:$L,9,0),"")</f>
        <v>15257.82</v>
      </c>
      <c r="T33" s="198">
        <f>IFS('Painel Geral'!$B$5="Mediana",IFERROR(IF(OR(C33="",Q33=0,Q33=""),"",($C33/$Q33)),""),'Painel Geral'!$B$5="Menor Salário",IFERROR(IF(OR(C33="",Q33=0,Q33=""),"",($C33/$N33)),""),'Painel Geral'!$B$5="1º Quartil",IFERROR(IF(OR(C33="",Q33=0,Q33=""),"",($C33/$O33)),""), 'Painel Geral'!$B$5="Média",IFERROR(IF(OR(C33="",Q33=0,Q33=""),"",($C33/$P33)),""),'Painel Geral'!$B$5="3º Quartil",IFERROR(IF(OR(C33="",Q33=0,Q33=""),"",($C33/$R33)),""),'Painel Geral'!$B$5="Maior Salário",IFERROR(IF(OR(C33="",Q33=0,Q33=""),"",($C33/$S33)),""))</f>
        <v>1.21788143</v>
      </c>
      <c r="U33" s="199" t="str">
        <f t="shared" si="3"/>
        <v>Agressivo</v>
      </c>
      <c r="V33" s="201"/>
      <c r="W33" s="201"/>
      <c r="X33" s="201"/>
      <c r="Y33" s="201"/>
      <c r="Z33" s="232">
        <v>11.0</v>
      </c>
      <c r="AA33" s="233">
        <f t="shared" si="6"/>
        <v>2676.52</v>
      </c>
      <c r="AB33" s="224">
        <f t="shared" ref="AB33:AB47" si="7">(AA33-AA32)/AA32</f>
        <v>0.1433233661</v>
      </c>
      <c r="AC33" s="235"/>
      <c r="AD33" s="201"/>
      <c r="AE33" s="201"/>
      <c r="AF33" s="201"/>
      <c r="AG33" s="201"/>
      <c r="AH33" s="201"/>
      <c r="AI33" s="201"/>
      <c r="AJ33" s="201"/>
      <c r="AK33" s="201"/>
      <c r="AL33" s="201"/>
      <c r="AM33" s="201"/>
      <c r="AN33" s="201"/>
      <c r="AO33" s="201"/>
      <c r="AP33" s="201"/>
    </row>
    <row r="34" ht="15.75" customHeight="1">
      <c r="A34" s="184" t="s">
        <v>166</v>
      </c>
      <c r="B34" s="185" t="str">
        <f>VLOOKUP(A34,Jobmatch!A:G,2,0)</f>
        <v>GERENTE DE PARCERIAS</v>
      </c>
      <c r="C34" s="186">
        <f>IFERROR(AVERAGEIF('Folha de Pagamento'!A:A,A34,'Folha de Pagamento'!J:J),"")</f>
        <v>5345</v>
      </c>
      <c r="D34" s="187">
        <v>2.0</v>
      </c>
      <c r="E34" s="185" t="str">
        <f>VLOOKUP(A34,Jobmatch!A:H,3,0)</f>
        <v>Comercial</v>
      </c>
      <c r="F34" s="188" t="s">
        <v>335</v>
      </c>
      <c r="G34" s="190" t="str">
        <f>VLOOKUP(A34,Jobmatch!A:I,4,0)</f>
        <v>55 - ADM PROJETOS</v>
      </c>
      <c r="H34" s="191" t="str">
        <f>VLOOKUP(A34,Jobmatch!A:I,5,0)</f>
        <v>Tático</v>
      </c>
      <c r="I34" s="192">
        <f>VLOOKUP(A34,Jobmatch!A:I,6,0)</f>
        <v>408</v>
      </c>
      <c r="J34" s="190" t="str">
        <f>VLOOKUP(A34,Jobmatch!A:I,7,0)</f>
        <v>Gerente de Relacionamento</v>
      </c>
      <c r="K34" s="193" t="str">
        <f>VLOOKUP(A34,Jobmatch!A:I,8,0)</f>
        <v>Indiferente</v>
      </c>
      <c r="L34" s="194" t="str">
        <f t="shared" si="2"/>
        <v>408Indiferente</v>
      </c>
      <c r="M34" s="195">
        <f>COUNTIF('Folha de Pagamento'!A:A,A34)</f>
        <v>2</v>
      </c>
      <c r="N34" s="238">
        <v>19.0</v>
      </c>
      <c r="O34" s="196">
        <f>IFERROR(VLOOKUP(L34,'C-01'!$D:$L,5,0),"")</f>
        <v>7608.96</v>
      </c>
      <c r="P34" s="196">
        <f>IFERROR(VLOOKUP(L34,'C-01'!$D:$L,6,0),"")</f>
        <v>10973.95</v>
      </c>
      <c r="Q34" s="196">
        <f>IFERROR(VLOOKUP(L34,'C-01'!$D:$L,7,0),"")</f>
        <v>10996.97</v>
      </c>
      <c r="R34" s="196">
        <f>IFERROR(VLOOKUP(L34,'C-01'!$D:$L,8,0),"")</f>
        <v>14004.27</v>
      </c>
      <c r="S34" s="197">
        <f>IFERROR(VLOOKUP(L34,'C-01'!$D:$L,9,0),"")</f>
        <v>16628.86</v>
      </c>
      <c r="T34" s="198">
        <f>IFS('Painel Geral'!$B$5="Mediana",IFERROR(IF(OR(C34="",Q34=0,Q34=""),"",($C34/$Q34)),""),'Painel Geral'!$B$5="Menor Salário",IFERROR(IF(OR(C34="",Q34=0,Q34=""),"",($C34/$N34)),""),'Painel Geral'!$B$5="1º Quartil",IFERROR(IF(OR(C34="",Q34=0,Q34=""),"",($C34/$O34)),""), 'Painel Geral'!$B$5="Média",IFERROR(IF(OR(C34="",Q34=0,Q34=""),"",($C34/$P34)),""),'Painel Geral'!$B$5="3º Quartil",IFERROR(IF(OR(C34="",Q34=0,Q34=""),"",($C34/$R34)),""),'Painel Geral'!$B$5="Maior Salário",IFERROR(IF(OR(C34="",Q34=0,Q34=""),"",($C34/$S34)),""))</f>
        <v>0.4860429737</v>
      </c>
      <c r="U34" s="199" t="str">
        <f t="shared" si="3"/>
        <v>Muito Defasado</v>
      </c>
      <c r="V34" s="201"/>
      <c r="W34" s="201"/>
      <c r="X34" s="201"/>
      <c r="Y34" s="201"/>
      <c r="Z34" s="232">
        <v>12.0</v>
      </c>
      <c r="AA34" s="233">
        <f t="shared" si="6"/>
        <v>3090.76</v>
      </c>
      <c r="AB34" s="224">
        <f t="shared" si="7"/>
        <v>0.1547681318</v>
      </c>
      <c r="AC34" s="235"/>
      <c r="AD34" s="201"/>
      <c r="AE34" s="201"/>
      <c r="AF34" s="201"/>
      <c r="AG34" s="201"/>
      <c r="AH34" s="201"/>
      <c r="AI34" s="201"/>
      <c r="AJ34" s="201"/>
      <c r="AK34" s="201"/>
      <c r="AL34" s="201"/>
      <c r="AM34" s="201"/>
      <c r="AN34" s="201"/>
      <c r="AO34" s="201"/>
      <c r="AP34" s="201"/>
    </row>
    <row r="35" ht="15.75" customHeight="1">
      <c r="A35" s="184" t="s">
        <v>171</v>
      </c>
      <c r="B35" s="185" t="str">
        <f>VLOOKUP(A35,Jobmatch!A:G,2,0)</f>
        <v>GERENTE DE PARCERIAS EXTERNAS</v>
      </c>
      <c r="C35" s="186">
        <f>IFERROR(AVERAGEIF('Folha de Pagamento'!A:A,A35,'Folha de Pagamento'!J:J),"")</f>
        <v>5000</v>
      </c>
      <c r="D35" s="187">
        <v>2.0</v>
      </c>
      <c r="E35" s="185" t="str">
        <f>VLOOKUP(A35,Jobmatch!A:H,3,0)</f>
        <v>Comercial</v>
      </c>
      <c r="F35" s="188" t="s">
        <v>336</v>
      </c>
      <c r="G35" s="190" t="str">
        <f>VLOOKUP(A35,Jobmatch!A:I,4,0)</f>
        <v>56 - ADM PROJETOS</v>
      </c>
      <c r="H35" s="191" t="str">
        <f>VLOOKUP(A35,Jobmatch!A:I,5,0)</f>
        <v>Tático</v>
      </c>
      <c r="I35" s="192">
        <f>VLOOKUP(A35,Jobmatch!A:I,6,0)</f>
        <v>408</v>
      </c>
      <c r="J35" s="190" t="str">
        <f>VLOOKUP(A35,Jobmatch!A:I,7,0)</f>
        <v>Gerente de Relacionamento</v>
      </c>
      <c r="K35" s="193" t="str">
        <f>VLOOKUP(A35,Jobmatch!A:I,8,0)</f>
        <v>Indiferente</v>
      </c>
      <c r="L35" s="194" t="str">
        <f t="shared" si="2"/>
        <v>408Indiferente</v>
      </c>
      <c r="M35" s="195">
        <f>COUNTIF('Folha de Pagamento'!A:A,A35)</f>
        <v>2</v>
      </c>
      <c r="N35" s="238">
        <v>19.0</v>
      </c>
      <c r="O35" s="196">
        <f>IFERROR(VLOOKUP(L35,'C-01'!$D:$L,5,0),"")</f>
        <v>7608.96</v>
      </c>
      <c r="P35" s="196">
        <f>IFERROR(VLOOKUP(L35,'C-01'!$D:$L,6,0),"")</f>
        <v>10973.95</v>
      </c>
      <c r="Q35" s="196">
        <f>IFERROR(VLOOKUP(L35,'C-01'!$D:$L,7,0),"")</f>
        <v>10996.97</v>
      </c>
      <c r="R35" s="196">
        <f>IFERROR(VLOOKUP(L35,'C-01'!$D:$L,8,0),"")</f>
        <v>14004.27</v>
      </c>
      <c r="S35" s="197">
        <f>IFERROR(VLOOKUP(L35,'C-01'!$D:$L,9,0),"")</f>
        <v>16628.86</v>
      </c>
      <c r="T35" s="198">
        <f>IFS('Painel Geral'!$B$5="Mediana",IFERROR(IF(OR(C35="",Q35=0,Q35=""),"",($C35/$Q35)),""),'Painel Geral'!$B$5="Menor Salário",IFERROR(IF(OR(C35="",Q35=0,Q35=""),"",($C35/$N35)),""),'Painel Geral'!$B$5="1º Quartil",IFERROR(IF(OR(C35="",Q35=0,Q35=""),"",($C35/$O35)),""), 'Painel Geral'!$B$5="Média",IFERROR(IF(OR(C35="",Q35=0,Q35=""),"",($C35/$P35)),""),'Painel Geral'!$B$5="3º Quartil",IFERROR(IF(OR(C35="",Q35=0,Q35=""),"",($C35/$R35)),""),'Painel Geral'!$B$5="Maior Salário",IFERROR(IF(OR(C35="",Q35=0,Q35=""),"",($C35/$S35)),""))</f>
        <v>0.4546706957</v>
      </c>
      <c r="U35" s="199" t="str">
        <f t="shared" si="3"/>
        <v>Muito Defasado</v>
      </c>
      <c r="V35" s="201"/>
      <c r="W35" s="201"/>
      <c r="X35" s="201"/>
      <c r="Y35" s="201"/>
      <c r="Z35" s="232">
        <v>13.0</v>
      </c>
      <c r="AA35" s="233">
        <f t="shared" si="6"/>
        <v>3613.24</v>
      </c>
      <c r="AB35" s="224">
        <f t="shared" si="7"/>
        <v>0.169045801</v>
      </c>
      <c r="AC35" s="235"/>
      <c r="AD35" s="201"/>
      <c r="AE35" s="201"/>
      <c r="AF35" s="201"/>
      <c r="AG35" s="201"/>
      <c r="AH35" s="201"/>
      <c r="AI35" s="201"/>
      <c r="AJ35" s="201"/>
      <c r="AK35" s="201"/>
      <c r="AL35" s="201"/>
      <c r="AM35" s="201"/>
      <c r="AN35" s="201"/>
      <c r="AO35" s="201"/>
      <c r="AP35" s="201"/>
    </row>
    <row r="36" ht="15.75" customHeight="1">
      <c r="A36" s="184" t="s">
        <v>112</v>
      </c>
      <c r="B36" s="185" t="str">
        <f>VLOOKUP(A36,Jobmatch!A:G,2,0)</f>
        <v>COORDENADOR DE SUPRIMENTOS</v>
      </c>
      <c r="C36" s="186">
        <f>IFERROR(AVERAGEIF('Folha de Pagamento'!A:A,A36,'Folha de Pagamento'!J:J),"")</f>
        <v>10596.02649</v>
      </c>
      <c r="D36" s="187">
        <v>1.0</v>
      </c>
      <c r="E36" s="185" t="str">
        <f>VLOOKUP(A36,Jobmatch!A:H,3,0)</f>
        <v>Suprimentos </v>
      </c>
      <c r="F36" s="188" t="s">
        <v>368</v>
      </c>
      <c r="G36" s="190" t="str">
        <f>VLOOKUP(A36,Jobmatch!A:I,4,0)</f>
        <v>38 - ADM PROJETOS</v>
      </c>
      <c r="H36" s="191" t="str">
        <f>VLOOKUP(A36,Jobmatch!A:I,5,0)</f>
        <v>Tático</v>
      </c>
      <c r="I36" s="192">
        <f>VLOOKUP(A36,Jobmatch!A:I,6,0)</f>
        <v>137</v>
      </c>
      <c r="J36" s="190" t="str">
        <f>VLOOKUP(A36,Jobmatch!A:I,7,0)</f>
        <v>Coordenador de Compras</v>
      </c>
      <c r="K36" s="193" t="str">
        <f>VLOOKUP(A36,Jobmatch!A:I,8,0)</f>
        <v>Indiferente</v>
      </c>
      <c r="L36" s="194" t="str">
        <f t="shared" si="2"/>
        <v>137Indiferente</v>
      </c>
      <c r="M36" s="195">
        <f>COUNTIF('Folha de Pagamento'!A:A,A36)</f>
        <v>1</v>
      </c>
      <c r="N36" s="238">
        <v>19.0</v>
      </c>
      <c r="O36" s="196">
        <f>IFERROR(VLOOKUP(L36,'C-01'!$D:$L,5,0),"")</f>
        <v>10557.77</v>
      </c>
      <c r="P36" s="196">
        <f>IFERROR(VLOOKUP(L36,'C-01'!$D:$L,6,0),"")</f>
        <v>13345.69</v>
      </c>
      <c r="Q36" s="196">
        <f>IFERROR(VLOOKUP(L36,'C-01'!$D:$L,7,0),"")</f>
        <v>11060.52</v>
      </c>
      <c r="R36" s="196">
        <f>IFERROR(VLOOKUP(L36,'C-01'!$D:$L,8,0),"")</f>
        <v>14991.02</v>
      </c>
      <c r="S36" s="197">
        <f>IFERROR(VLOOKUP(L36,'C-01'!$D:$L,9,0),"")</f>
        <v>18921.53</v>
      </c>
      <c r="T36" s="198">
        <f>IFS('Painel Geral'!$B$5="Mediana",IFERROR(IF(OR(C36="",Q36=0,Q36=""),"",($C36/$Q36)),""),'Painel Geral'!$B$5="Menor Salário",IFERROR(IF(OR(C36="",Q36=0,Q36=""),"",($C36/$N36)),""),'Painel Geral'!$B$5="1º Quartil",IFERROR(IF(OR(C36="",Q36=0,Q36=""),"",($C36/$O36)),""), 'Painel Geral'!$B$5="Média",IFERROR(IF(OR(C36="",Q36=0,Q36=""),"",($C36/$P36)),""),'Painel Geral'!$B$5="3º Quartil",IFERROR(IF(OR(C36="",Q36=0,Q36=""),"",($C36/$R36)),""),'Painel Geral'!$B$5="Maior Salário",IFERROR(IF(OR(C36="",Q36=0,Q36=""),"",($C36/$S36)),""))</f>
        <v>0.9580043696</v>
      </c>
      <c r="U36" s="199" t="str">
        <f t="shared" si="3"/>
        <v>Na Média</v>
      </c>
      <c r="V36" s="201"/>
      <c r="W36" s="201"/>
      <c r="X36" s="201"/>
      <c r="Y36" s="201"/>
      <c r="Z36" s="232">
        <v>14.0</v>
      </c>
      <c r="AA36" s="233">
        <f t="shared" si="6"/>
        <v>4273.48</v>
      </c>
      <c r="AB36" s="224">
        <f t="shared" si="7"/>
        <v>0.1827279671</v>
      </c>
      <c r="AC36" s="235"/>
      <c r="AD36" s="201"/>
      <c r="AE36" s="201"/>
      <c r="AF36" s="201"/>
      <c r="AG36" s="201"/>
      <c r="AH36" s="201"/>
      <c r="AI36" s="201"/>
      <c r="AJ36" s="201"/>
      <c r="AK36" s="201"/>
      <c r="AL36" s="201"/>
      <c r="AM36" s="201"/>
      <c r="AN36" s="201"/>
      <c r="AO36" s="201"/>
      <c r="AP36" s="201"/>
    </row>
    <row r="37" ht="15.75" customHeight="1">
      <c r="A37" s="184" t="s">
        <v>149</v>
      </c>
      <c r="B37" s="185" t="str">
        <f>VLOOKUP(A37,Jobmatch!A:G,2,0)</f>
        <v>GERENTE COMERCIAL</v>
      </c>
      <c r="C37" s="186">
        <f>IFERROR(AVERAGEIF('Folha de Pagamento'!A:A,A37,'Folha de Pagamento'!J:J),"")</f>
        <v>12090.90909</v>
      </c>
      <c r="D37" s="187">
        <v>2.0</v>
      </c>
      <c r="E37" s="185" t="str">
        <f>VLOOKUP(A37,Jobmatch!A:H,3,0)</f>
        <v>Comercial</v>
      </c>
      <c r="F37" s="188" t="s">
        <v>294</v>
      </c>
      <c r="G37" s="190" t="str">
        <f>VLOOKUP(A37,Jobmatch!A:I,4,0)</f>
        <v>50 - ADM PROJETOS</v>
      </c>
      <c r="H37" s="191" t="str">
        <f>VLOOKUP(A37,Jobmatch!A:I,5,0)</f>
        <v>Tático</v>
      </c>
      <c r="I37" s="192">
        <f>VLOOKUP(A37,Jobmatch!A:I,6,0)</f>
        <v>107</v>
      </c>
      <c r="J37" s="190" t="str">
        <f>VLOOKUP(A37,Jobmatch!A:I,7,0)</f>
        <v>Gerente Comercial</v>
      </c>
      <c r="K37" s="193" t="str">
        <f>VLOOKUP(A37,Jobmatch!A:I,8,0)</f>
        <v>Indiferente</v>
      </c>
      <c r="L37" s="194" t="str">
        <f t="shared" si="2"/>
        <v>107Indiferente</v>
      </c>
      <c r="M37" s="195">
        <f>COUNTIF('Folha de Pagamento'!A:A,A37)</f>
        <v>4</v>
      </c>
      <c r="N37" s="238">
        <v>20.0</v>
      </c>
      <c r="O37" s="196">
        <f>IFERROR(VLOOKUP(L37,'C-01'!$D:$L,5,0),"")</f>
        <v>9778.91</v>
      </c>
      <c r="P37" s="196">
        <f>IFERROR(VLOOKUP(L37,'C-01'!$D:$L,6,0),"")</f>
        <v>12281.04</v>
      </c>
      <c r="Q37" s="196">
        <f>IFERROR(VLOOKUP(L37,'C-01'!$D:$L,7,0),"")</f>
        <v>12107.57</v>
      </c>
      <c r="R37" s="196">
        <f>IFERROR(VLOOKUP(L37,'C-01'!$D:$L,8,0),"")</f>
        <v>15321.87</v>
      </c>
      <c r="S37" s="197">
        <f>IFERROR(VLOOKUP(L37,'C-01'!$D:$L,9,0),"")</f>
        <v>19289.48</v>
      </c>
      <c r="T37" s="198">
        <f>IFS('Painel Geral'!$B$5="Mediana",IFERROR(IF(OR(C37="",Q37=0,Q37=""),"",($C37/$Q37)),""),'Painel Geral'!$B$5="Menor Salário",IFERROR(IF(OR(C37="",Q37=0,Q37=""),"",($C37/$N37)),""),'Painel Geral'!$B$5="1º Quartil",IFERROR(IF(OR(C37="",Q37=0,Q37=""),"",($C37/$O37)),""), 'Painel Geral'!$B$5="Média",IFERROR(IF(OR(C37="",Q37=0,Q37=""),"",($C37/$P37)),""),'Painel Geral'!$B$5="3º Quartil",IFERROR(IF(OR(C37="",Q37=0,Q37=""),"",($C37/$R37)),""),'Painel Geral'!$B$5="Maior Salário",IFERROR(IF(OR(C37="",Q37=0,Q37=""),"",($C37/$S37)),""))</f>
        <v>0.9986239263</v>
      </c>
      <c r="U37" s="199" t="str">
        <f t="shared" si="3"/>
        <v>Na Média</v>
      </c>
      <c r="V37" s="201"/>
      <c r="W37" s="201"/>
      <c r="X37" s="201"/>
      <c r="Y37" s="201"/>
      <c r="Z37" s="232">
        <v>15.0</v>
      </c>
      <c r="AA37" s="233">
        <f t="shared" si="6"/>
        <v>5101</v>
      </c>
      <c r="AB37" s="224">
        <f t="shared" si="7"/>
        <v>0.1936407799</v>
      </c>
      <c r="AC37" s="235"/>
      <c r="AD37" s="201"/>
      <c r="AE37" s="201"/>
      <c r="AF37" s="201"/>
      <c r="AG37" s="201"/>
      <c r="AH37" s="201"/>
      <c r="AI37" s="201"/>
      <c r="AJ37" s="201"/>
      <c r="AK37" s="201"/>
      <c r="AL37" s="201"/>
      <c r="AM37" s="201"/>
      <c r="AN37" s="201"/>
      <c r="AO37" s="201"/>
      <c r="AP37" s="201"/>
    </row>
    <row r="38" ht="15.75" customHeight="1">
      <c r="A38" s="184" t="s">
        <v>155</v>
      </c>
      <c r="B38" s="185" t="str">
        <f>VLOOKUP(A38,Jobmatch!A:G,2,0)</f>
        <v>GERENTE DE HOUSE</v>
      </c>
      <c r="C38" s="186">
        <f>IFERROR(AVERAGEIF('Folha de Pagamento'!A:A,A38,'Folha de Pagamento'!J:J),"")</f>
        <v>5125</v>
      </c>
      <c r="D38" s="187">
        <v>2.0</v>
      </c>
      <c r="E38" s="185" t="str">
        <f>VLOOKUP(A38,Jobmatch!A:H,3,0)</f>
        <v>Comercial</v>
      </c>
      <c r="F38" s="188" t="s">
        <v>333</v>
      </c>
      <c r="G38" s="190" t="str">
        <f>VLOOKUP(A38,Jobmatch!A:I,4,0)</f>
        <v>52 - ADM PROJETOS</v>
      </c>
      <c r="H38" s="191" t="str">
        <f>VLOOKUP(A38,Jobmatch!A:I,5,0)</f>
        <v>Tático</v>
      </c>
      <c r="I38" s="192">
        <f>VLOOKUP(A38,Jobmatch!A:I,6,0)</f>
        <v>107</v>
      </c>
      <c r="J38" s="190" t="str">
        <f>VLOOKUP(A38,Jobmatch!A:I,7,0)</f>
        <v>Gerente Comercial</v>
      </c>
      <c r="K38" s="193" t="str">
        <f>VLOOKUP(A38,Jobmatch!A:I,8,0)</f>
        <v>Indiferente</v>
      </c>
      <c r="L38" s="194" t="str">
        <f t="shared" si="2"/>
        <v>107Indiferente</v>
      </c>
      <c r="M38" s="195">
        <f>COUNTIF('Folha de Pagamento'!A:A,A38)</f>
        <v>1</v>
      </c>
      <c r="N38" s="238">
        <v>20.0</v>
      </c>
      <c r="O38" s="196">
        <f>IFERROR(VLOOKUP(L38,'C-01'!$D:$L,5,0),"")</f>
        <v>9778.91</v>
      </c>
      <c r="P38" s="196">
        <f>IFERROR(VLOOKUP(L38,'C-01'!$D:$L,6,0),"")</f>
        <v>12281.04</v>
      </c>
      <c r="Q38" s="196">
        <f>IFERROR(VLOOKUP(L38,'C-01'!$D:$L,7,0),"")</f>
        <v>12107.57</v>
      </c>
      <c r="R38" s="196">
        <f>IFERROR(VLOOKUP(L38,'C-01'!$D:$L,8,0),"")</f>
        <v>15321.87</v>
      </c>
      <c r="S38" s="197">
        <f>IFERROR(VLOOKUP(L38,'C-01'!$D:$L,9,0),"")</f>
        <v>19289.48</v>
      </c>
      <c r="T38" s="198">
        <f>IFS('Painel Geral'!$B$5="Mediana",IFERROR(IF(OR(C38="",Q38=0,Q38=""),"",($C38/$Q38)),""),'Painel Geral'!$B$5="Menor Salário",IFERROR(IF(OR(C38="",Q38=0,Q38=""),"",($C38/$N38)),""),'Painel Geral'!$B$5="1º Quartil",IFERROR(IF(OR(C38="",Q38=0,Q38=""),"",($C38/$O38)),""), 'Painel Geral'!$B$5="Média",IFERROR(IF(OR(C38="",Q38=0,Q38=""),"",($C38/$P38)),""),'Painel Geral'!$B$5="3º Quartil",IFERROR(IF(OR(C38="",Q38=0,Q38=""),"",($C38/$R38)),""),'Painel Geral'!$B$5="Maior Salário",IFERROR(IF(OR(C38="",Q38=0,Q38=""),"",($C38/$S38)),""))</f>
        <v>0.4232889011</v>
      </c>
      <c r="U38" s="199" t="str">
        <f t="shared" si="3"/>
        <v>Muito Defasado</v>
      </c>
      <c r="V38" s="201"/>
      <c r="W38" s="201"/>
      <c r="X38" s="201"/>
      <c r="Y38" s="201"/>
      <c r="Z38" s="232">
        <v>16.0</v>
      </c>
      <c r="AA38" s="233">
        <f t="shared" si="6"/>
        <v>6125.32</v>
      </c>
      <c r="AB38" s="224">
        <f t="shared" si="7"/>
        <v>0.2008076848</v>
      </c>
      <c r="AC38" s="235"/>
      <c r="AD38" s="201"/>
      <c r="AE38" s="201"/>
      <c r="AF38" s="201"/>
      <c r="AG38" s="201"/>
      <c r="AH38" s="201"/>
      <c r="AI38" s="201"/>
      <c r="AJ38" s="201"/>
      <c r="AK38" s="201"/>
      <c r="AL38" s="201"/>
      <c r="AM38" s="201"/>
      <c r="AN38" s="201"/>
      <c r="AO38" s="201"/>
      <c r="AP38" s="201"/>
    </row>
    <row r="39" ht="15.75" customHeight="1">
      <c r="A39" s="184" t="s">
        <v>152</v>
      </c>
      <c r="B39" s="185" t="str">
        <f>VLOOKUP(A39,Jobmatch!A:G,2,0)</f>
        <v>GERENTE DE EDIFICAÇÕES</v>
      </c>
      <c r="C39" s="186">
        <f>IFERROR(AVERAGEIF('Folha de Pagamento'!A:A,A39,'Folha de Pagamento'!J:J),"")</f>
        <v>30106.06061</v>
      </c>
      <c r="D39" s="187">
        <v>5.0</v>
      </c>
      <c r="E39" s="185" t="str">
        <f>VLOOKUP(A39,Jobmatch!A:H,3,0)</f>
        <v>Edificação</v>
      </c>
      <c r="F39" s="188" t="s">
        <v>348</v>
      </c>
      <c r="G39" s="190" t="str">
        <f>VLOOKUP(A39,Jobmatch!A:I,4,0)</f>
        <v>51 - ADM PROJETOS</v>
      </c>
      <c r="H39" s="191" t="str">
        <f>VLOOKUP(A39,Jobmatch!A:I,5,0)</f>
        <v>Tático</v>
      </c>
      <c r="I39" s="192">
        <f>VLOOKUP(A39,Jobmatch!A:I,6,0)</f>
        <v>311</v>
      </c>
      <c r="J39" s="190" t="str">
        <f>VLOOKUP(A39,Jobmatch!A:I,7,0)</f>
        <v>Gerente de Operações</v>
      </c>
      <c r="K39" s="193" t="str">
        <f>VLOOKUP(A39,Jobmatch!A:I,8,0)</f>
        <v>Indiferente</v>
      </c>
      <c r="L39" s="194" t="str">
        <f t="shared" si="2"/>
        <v>311Indiferente</v>
      </c>
      <c r="M39" s="195">
        <f>COUNTIF('Folha de Pagamento'!A:A,A39)</f>
        <v>1</v>
      </c>
      <c r="N39" s="238">
        <v>20.0</v>
      </c>
      <c r="O39" s="196">
        <f>IFERROR(VLOOKUP(L39,'C-01'!$D:$L,5,0),"")</f>
        <v>10114.75</v>
      </c>
      <c r="P39" s="196">
        <f>IFERROR(VLOOKUP(L39,'C-01'!$D:$L,6,0),"")</f>
        <v>12711.42</v>
      </c>
      <c r="Q39" s="196">
        <f>IFERROR(VLOOKUP(L39,'C-01'!$D:$L,7,0),"")</f>
        <v>12517.82</v>
      </c>
      <c r="R39" s="196">
        <f>IFERROR(VLOOKUP(L39,'C-01'!$D:$L,8,0),"")</f>
        <v>14749</v>
      </c>
      <c r="S39" s="197">
        <f>IFERROR(VLOOKUP(L39,'C-01'!$D:$L,9,0),"")</f>
        <v>19098.65</v>
      </c>
      <c r="T39" s="198">
        <f>IFS('Painel Geral'!$B$5="Mediana",IFERROR(IF(OR(C39="",Q39=0,Q39=""),"",($C39/$Q39)),""),'Painel Geral'!$B$5="Menor Salário",IFERROR(IF(OR(C39="",Q39=0,Q39=""),"",($C39/$N39)),""),'Painel Geral'!$B$5="1º Quartil",IFERROR(IF(OR(C39="",Q39=0,Q39=""),"",($C39/$O39)),""), 'Painel Geral'!$B$5="Média",IFERROR(IF(OR(C39="",Q39=0,Q39=""),"",($C39/$P39)),""),'Painel Geral'!$B$5="3º Quartil",IFERROR(IF(OR(C39="",Q39=0,Q39=""),"",($C39/$R39)),""),'Painel Geral'!$B$5="Maior Salário",IFERROR(IF(OR(C39="",Q39=0,Q39=""),"",($C39/$S39)),""))</f>
        <v>2.4050562</v>
      </c>
      <c r="U39" s="199" t="str">
        <f t="shared" si="3"/>
        <v>Agressivo</v>
      </c>
      <c r="V39" s="201"/>
      <c r="W39" s="201"/>
      <c r="X39" s="201"/>
      <c r="Y39" s="201"/>
      <c r="Z39" s="232">
        <v>17.0</v>
      </c>
      <c r="AA39" s="233">
        <f t="shared" si="6"/>
        <v>7375.96</v>
      </c>
      <c r="AB39" s="224">
        <f t="shared" si="7"/>
        <v>0.2041754553</v>
      </c>
      <c r="AC39" s="235"/>
      <c r="AD39" s="201"/>
      <c r="AE39" s="201"/>
      <c r="AF39" s="201"/>
      <c r="AG39" s="201"/>
      <c r="AH39" s="201"/>
      <c r="AI39" s="201"/>
      <c r="AJ39" s="201"/>
      <c r="AK39" s="201"/>
      <c r="AL39" s="201"/>
      <c r="AM39" s="201"/>
      <c r="AN39" s="201"/>
      <c r="AO39" s="201"/>
      <c r="AP39" s="201"/>
    </row>
    <row r="40" ht="15.75" customHeight="1">
      <c r="A40" s="184" t="s">
        <v>174</v>
      </c>
      <c r="B40" s="185" t="str">
        <f>VLOOKUP(A40,Jobmatch!A:G,2,0)</f>
        <v>GERENTE DE URBANISMO</v>
      </c>
      <c r="C40" s="186">
        <f>IFERROR(AVERAGEIF('Folha de Pagamento'!A:A,A40,'Folha de Pagamento'!J:J),"")</f>
        <v>28030.30303</v>
      </c>
      <c r="D40" s="187">
        <v>10.0</v>
      </c>
      <c r="E40" s="185" t="str">
        <f>VLOOKUP(A40,Jobmatch!A:H,3,0)</f>
        <v>Urbanismo</v>
      </c>
      <c r="F40" s="188" t="s">
        <v>375</v>
      </c>
      <c r="G40" s="190" t="str">
        <f>VLOOKUP(A40,Jobmatch!A:I,4,0)</f>
        <v>57 - ADM PROJETOS</v>
      </c>
      <c r="H40" s="191" t="str">
        <f>VLOOKUP(A40,Jobmatch!A:I,5,0)</f>
        <v>Tático</v>
      </c>
      <c r="I40" s="192">
        <f>VLOOKUP(A40,Jobmatch!A:I,6,0)</f>
        <v>311</v>
      </c>
      <c r="J40" s="190" t="str">
        <f>VLOOKUP(A40,Jobmatch!A:I,7,0)</f>
        <v>Gerente de Operações</v>
      </c>
      <c r="K40" s="193" t="str">
        <f>VLOOKUP(A40,Jobmatch!A:I,8,0)</f>
        <v>Indiferente</v>
      </c>
      <c r="L40" s="194" t="str">
        <f t="shared" si="2"/>
        <v>311Indiferente</v>
      </c>
      <c r="M40" s="195">
        <f>COUNTIF('Folha de Pagamento'!A:A,A40)</f>
        <v>2</v>
      </c>
      <c r="N40" s="238">
        <v>20.0</v>
      </c>
      <c r="O40" s="196">
        <f>IFERROR(VLOOKUP(L40,'C-01'!$D:$L,5,0),"")</f>
        <v>10114.75</v>
      </c>
      <c r="P40" s="196">
        <f>IFERROR(VLOOKUP(L40,'C-01'!$D:$L,6,0),"")</f>
        <v>12711.42</v>
      </c>
      <c r="Q40" s="196">
        <f>IFERROR(VLOOKUP(L40,'C-01'!$D:$L,7,0),"")</f>
        <v>12517.82</v>
      </c>
      <c r="R40" s="196">
        <f>IFERROR(VLOOKUP(L40,'C-01'!$D:$L,8,0),"")</f>
        <v>14749</v>
      </c>
      <c r="S40" s="197">
        <f>IFERROR(VLOOKUP(L40,'C-01'!$D:$L,9,0),"")</f>
        <v>19098.65</v>
      </c>
      <c r="T40" s="198">
        <f>IFS('Painel Geral'!$B$5="Mediana",IFERROR(IF(OR(C40="",Q40=0,Q40=""),"",($C40/$Q40)),""),'Painel Geral'!$B$5="Menor Salário",IFERROR(IF(OR(C40="",Q40=0,Q40=""),"",($C40/$N40)),""),'Painel Geral'!$B$5="1º Quartil",IFERROR(IF(OR(C40="",Q40=0,Q40=""),"",($C40/$O40)),""), 'Painel Geral'!$B$5="Média",IFERROR(IF(OR(C40="",Q40=0,Q40=""),"",($C40/$P40)),""),'Painel Geral'!$B$5="3º Quartil",IFERROR(IF(OR(C40="",Q40=0,Q40=""),"",($C40/$R40)),""),'Painel Geral'!$B$5="Maior Salário",IFERROR(IF(OR(C40="",Q40=0,Q40=""),"",($C40/$S40)),""))</f>
        <v>2.239231993</v>
      </c>
      <c r="U40" s="199" t="str">
        <f t="shared" si="3"/>
        <v>Agressivo</v>
      </c>
      <c r="V40" s="201"/>
      <c r="W40" s="201"/>
      <c r="X40" s="201"/>
      <c r="Y40" s="201"/>
      <c r="Z40" s="232">
        <v>18.0</v>
      </c>
      <c r="AA40" s="233">
        <f t="shared" si="6"/>
        <v>8882.44</v>
      </c>
      <c r="AB40" s="224">
        <f t="shared" si="7"/>
        <v>0.2042418885</v>
      </c>
      <c r="AC40" s="235"/>
      <c r="AD40" s="201"/>
      <c r="AE40" s="201"/>
      <c r="AF40" s="201"/>
      <c r="AG40" s="201"/>
      <c r="AH40" s="201"/>
      <c r="AI40" s="201"/>
      <c r="AJ40" s="201"/>
      <c r="AK40" s="201"/>
      <c r="AL40" s="201"/>
      <c r="AM40" s="201"/>
      <c r="AN40" s="201"/>
      <c r="AO40" s="201"/>
      <c r="AP40" s="201"/>
    </row>
    <row r="41" ht="15.75" customHeight="1">
      <c r="A41" s="184" t="s">
        <v>101</v>
      </c>
      <c r="B41" s="185" t="str">
        <f>VLOOKUP(A41,Jobmatch!A:G,2,0)</f>
        <v>COORDENADOR DE DHO</v>
      </c>
      <c r="C41" s="186">
        <f>IFERROR(AVERAGEIF('Folha de Pagamento'!A:A,A41,'Folha de Pagamento'!J:J),"")</f>
        <v>7420</v>
      </c>
      <c r="D41" s="187">
        <v>4.0</v>
      </c>
      <c r="E41" s="185" t="str">
        <f>VLOOKUP(A41,Jobmatch!A:H,3,0)</f>
        <v>DHO</v>
      </c>
      <c r="F41" s="188" t="s">
        <v>341</v>
      </c>
      <c r="G41" s="190" t="str">
        <f>VLOOKUP(A41,Jobmatch!A:I,4,0)</f>
        <v>34 - ADM PROJETOS</v>
      </c>
      <c r="H41" s="191" t="str">
        <f>VLOOKUP(A41,Jobmatch!A:I,5,0)</f>
        <v>Tático</v>
      </c>
      <c r="I41" s="192">
        <f>VLOOKUP(A41,Jobmatch!A:I,6,0)</f>
        <v>121</v>
      </c>
      <c r="J41" s="190" t="str">
        <f>VLOOKUP(A41,Jobmatch!A:I,7,0)</f>
        <v>Coordenador de Recursos Humanos</v>
      </c>
      <c r="K41" s="193" t="str">
        <f>VLOOKUP(A41,Jobmatch!A:I,8,0)</f>
        <v>Indiferente</v>
      </c>
      <c r="L41" s="194" t="str">
        <f t="shared" si="2"/>
        <v>121Indiferente</v>
      </c>
      <c r="M41" s="195">
        <f>COUNTIF('Folha de Pagamento'!A:A,A41)</f>
        <v>1</v>
      </c>
      <c r="N41" s="238">
        <v>20.0</v>
      </c>
      <c r="O41" s="196">
        <f>IFERROR(VLOOKUP(L41,'C-01'!$D:$L,5,0),"")</f>
        <v>10014.8</v>
      </c>
      <c r="P41" s="196">
        <f>IFERROR(VLOOKUP(L41,'C-01'!$D:$L,6,0),"")</f>
        <v>11303.85</v>
      </c>
      <c r="Q41" s="196">
        <f>IFERROR(VLOOKUP(L41,'C-01'!$D:$L,7,0),"")</f>
        <v>12568.77</v>
      </c>
      <c r="R41" s="196">
        <f>IFERROR(VLOOKUP(L41,'C-01'!$D:$L,8,0),"")</f>
        <v>13225.36</v>
      </c>
      <c r="S41" s="197">
        <f>IFERROR(VLOOKUP(L41,'C-01'!$D:$L,9,0),"")</f>
        <v>13881.95</v>
      </c>
      <c r="T41" s="198">
        <f>IFS('Painel Geral'!$B$5="Mediana",IFERROR(IF(OR(C41="",Q41=0,Q41=""),"",($C41/$Q41)),""),'Painel Geral'!$B$5="Menor Salário",IFERROR(IF(OR(C41="",Q41=0,Q41=""),"",($C41/$N41)),""),'Painel Geral'!$B$5="1º Quartil",IFERROR(IF(OR(C41="",Q41=0,Q41=""),"",($C41/$O41)),""), 'Painel Geral'!$B$5="Média",IFERROR(IF(OR(C41="",Q41=0,Q41=""),"",($C41/$P41)),""),'Painel Geral'!$B$5="3º Quartil",IFERROR(IF(OR(C41="",Q41=0,Q41=""),"",($C41/$R41)),""),'Painel Geral'!$B$5="Maior Salário",IFERROR(IF(OR(C41="",Q41=0,Q41=""),"",($C41/$S41)),""))</f>
        <v>0.5903521188</v>
      </c>
      <c r="U41" s="199" t="str">
        <f t="shared" si="3"/>
        <v>Muito Defasado</v>
      </c>
      <c r="V41" s="201"/>
      <c r="W41" s="201"/>
      <c r="X41" s="201"/>
      <c r="Y41" s="201"/>
      <c r="Z41" s="232">
        <v>19.0</v>
      </c>
      <c r="AA41" s="233">
        <f t="shared" si="6"/>
        <v>10674.28</v>
      </c>
      <c r="AB41" s="224">
        <f t="shared" si="7"/>
        <v>0.2017283539</v>
      </c>
      <c r="AC41" s="235"/>
      <c r="AD41" s="201"/>
      <c r="AE41" s="201"/>
      <c r="AF41" s="201"/>
      <c r="AG41" s="201"/>
      <c r="AH41" s="201"/>
      <c r="AI41" s="201"/>
      <c r="AJ41" s="201"/>
      <c r="AK41" s="201"/>
      <c r="AL41" s="201"/>
      <c r="AM41" s="201"/>
      <c r="AN41" s="201"/>
      <c r="AO41" s="201"/>
      <c r="AP41" s="201"/>
    </row>
    <row r="42" ht="15.75" customHeight="1">
      <c r="A42" s="184" t="s">
        <v>98</v>
      </c>
      <c r="B42" s="185" t="str">
        <f>VLOOKUP(A42,Jobmatch!A:G,2,0)</f>
        <v>CONTROLLER TÉCNICO</v>
      </c>
      <c r="C42" s="186">
        <f>IFERROR(AVERAGEIF('Folha de Pagamento'!A:A,A42,'Folha de Pagamento'!J:J),"")</f>
        <v>9243.50365</v>
      </c>
      <c r="D42" s="187">
        <v>3.0</v>
      </c>
      <c r="E42" s="185" t="str">
        <f>VLOOKUP(A42,Jobmatch!A:H,3,0)</f>
        <v>Controladoria</v>
      </c>
      <c r="F42" s="188" t="s">
        <v>339</v>
      </c>
      <c r="G42" s="190" t="str">
        <f>VLOOKUP(A42,Jobmatch!A:I,4,0)</f>
        <v>33 - ADM PROJETOS</v>
      </c>
      <c r="H42" s="191" t="str">
        <f>VLOOKUP(A42,Jobmatch!A:I,5,0)</f>
        <v>Tático</v>
      </c>
      <c r="I42" s="192">
        <f>VLOOKUP(A42,Jobmatch!A:I,6,0)</f>
        <v>26</v>
      </c>
      <c r="J42" s="190" t="str">
        <f>VLOOKUP(A42,Jobmatch!A:I,7,0)</f>
        <v>Analista de Controladoria</v>
      </c>
      <c r="K42" s="193" t="str">
        <f>VLOOKUP(A42,Jobmatch!A:I,8,0)</f>
        <v>Especialista</v>
      </c>
      <c r="L42" s="194" t="str">
        <f t="shared" si="2"/>
        <v>26Especialista</v>
      </c>
      <c r="M42" s="195">
        <f>COUNTIF('Folha de Pagamento'!A:A,A42)</f>
        <v>1</v>
      </c>
      <c r="N42" s="238">
        <v>20.0</v>
      </c>
      <c r="O42" s="196">
        <f>IFERROR(VLOOKUP(L42,'C-01'!$D:$L,5,0),"")</f>
        <v>10665.2</v>
      </c>
      <c r="P42" s="196">
        <f>IFERROR(VLOOKUP(L42,'C-01'!$D:$L,6,0),"")</f>
        <v>12572.61</v>
      </c>
      <c r="Q42" s="196">
        <f>IFERROR(VLOOKUP(L42,'C-01'!$D:$L,7,0),"")</f>
        <v>13758.75</v>
      </c>
      <c r="R42" s="196">
        <f>IFERROR(VLOOKUP(L42,'C-01'!$D:$L,8,0),"")</f>
        <v>15666.17</v>
      </c>
      <c r="S42" s="197">
        <f>IFERROR(VLOOKUP(L42,'C-01'!$D:$L,9,0),"")</f>
        <v>15995.86</v>
      </c>
      <c r="T42" s="198">
        <f>IFS('Painel Geral'!$B$5="Mediana",IFERROR(IF(OR(C42="",Q42=0,Q42=""),"",($C42/$Q42)),""),'Painel Geral'!$B$5="Menor Salário",IFERROR(IF(OR(C42="",Q42=0,Q42=""),"",($C42/$N42)),""),'Painel Geral'!$B$5="1º Quartil",IFERROR(IF(OR(C42="",Q42=0,Q42=""),"",($C42/$O42)),""), 'Painel Geral'!$B$5="Média",IFERROR(IF(OR(C42="",Q42=0,Q42=""),"",($C42/$P42)),""),'Painel Geral'!$B$5="3º Quartil",IFERROR(IF(OR(C42="",Q42=0,Q42=""),"",($C42/$R42)),""),'Painel Geral'!$B$5="Maior Salário",IFERROR(IF(OR(C42="",Q42=0,Q42=""),"",($C42/$S42)),""))</f>
        <v>0.6718272844</v>
      </c>
      <c r="U42" s="199" t="str">
        <f t="shared" si="3"/>
        <v>Muito Defasado</v>
      </c>
      <c r="V42" s="201"/>
      <c r="W42" s="201"/>
      <c r="X42" s="201"/>
      <c r="Y42" s="201"/>
      <c r="Z42" s="232">
        <v>20.0</v>
      </c>
      <c r="AA42" s="233">
        <f t="shared" si="6"/>
        <v>12781</v>
      </c>
      <c r="AB42" s="224">
        <f t="shared" si="7"/>
        <v>0.1973641314</v>
      </c>
      <c r="AC42" s="235"/>
      <c r="AD42" s="201"/>
      <c r="AE42" s="201"/>
      <c r="AF42" s="201"/>
      <c r="AG42" s="201"/>
      <c r="AH42" s="201"/>
      <c r="AI42" s="201"/>
      <c r="AJ42" s="201"/>
      <c r="AK42" s="201"/>
      <c r="AL42" s="201"/>
      <c r="AM42" s="201"/>
      <c r="AN42" s="201"/>
      <c r="AO42" s="201"/>
      <c r="AP42" s="201"/>
    </row>
    <row r="43" ht="15.75" customHeight="1">
      <c r="A43" s="184" t="s">
        <v>130</v>
      </c>
      <c r="B43" s="185" t="str">
        <f>VLOOKUP(A43,Jobmatch!A:G,2,0)</f>
        <v>ENGENHEIRO SÊNIOR </v>
      </c>
      <c r="C43" s="186">
        <f>IFERROR(AVERAGEIF('Folha de Pagamento'!A:A,A43,'Folha de Pagamento'!J:J),"")</f>
        <v>14393.93939</v>
      </c>
      <c r="D43" s="187">
        <v>5.0</v>
      </c>
      <c r="E43" s="185" t="str">
        <f>VLOOKUP(A43,Jobmatch!A:H,3,0)</f>
        <v>Edificação</v>
      </c>
      <c r="F43" s="188" t="s">
        <v>347</v>
      </c>
      <c r="G43" s="190" t="str">
        <f>VLOOKUP(A43,Jobmatch!A:I,4,0)</f>
        <v>44 - ADM PROJETOS</v>
      </c>
      <c r="H43" s="191" t="str">
        <f>VLOOKUP(A43,Jobmatch!A:I,5,0)</f>
        <v>Tático</v>
      </c>
      <c r="I43" s="192">
        <f>VLOOKUP(A43,Jobmatch!A:I,6,0)</f>
        <v>212</v>
      </c>
      <c r="J43" s="190" t="str">
        <f>VLOOKUP(A43,Jobmatch!A:I,7,0)</f>
        <v>Engenheiro de Urbanismo</v>
      </c>
      <c r="K43" s="193" t="str">
        <f>VLOOKUP(A43,Jobmatch!A:I,8,0)</f>
        <v>Indiferente</v>
      </c>
      <c r="L43" s="194" t="str">
        <f t="shared" si="2"/>
        <v>212Indiferente</v>
      </c>
      <c r="M43" s="195">
        <f>COUNTIF('Folha de Pagamento'!A:A,A43)</f>
        <v>1</v>
      </c>
      <c r="N43" s="238">
        <v>21.0</v>
      </c>
      <c r="O43" s="196">
        <f>IFERROR(VLOOKUP(L43,'C-01'!$D:$L,5,0),"")</f>
        <v>12766.6</v>
      </c>
      <c r="P43" s="196">
        <f>IFERROR(VLOOKUP(L43,'C-01'!$D:$L,6,0),"")</f>
        <v>14293.39</v>
      </c>
      <c r="Q43" s="196">
        <f>IFERROR(VLOOKUP(L43,'C-01'!$D:$L,7,0),"")</f>
        <v>15082.52</v>
      </c>
      <c r="R43" s="196">
        <f>IFERROR(VLOOKUP(L43,'C-01'!$D:$L,8,0),"")</f>
        <v>16110.29</v>
      </c>
      <c r="S43" s="197">
        <f>IFERROR(VLOOKUP(L43,'C-01'!$D:$L,9,0),"")</f>
        <v>16164.64</v>
      </c>
      <c r="T43" s="198">
        <f>IFS('Painel Geral'!$B$5="Mediana",IFERROR(IF(OR(C43="",Q43=0,Q43=""),"",($C43/$Q43)),""),'Painel Geral'!$B$5="Menor Salário",IFERROR(IF(OR(C43="",Q43=0,Q43=""),"",($C43/$N43)),""),'Painel Geral'!$B$5="1º Quartil",IFERROR(IF(OR(C43="",Q43=0,Q43=""),"",($C43/$O43)),""), 'Painel Geral'!$B$5="Média",IFERROR(IF(OR(C43="",Q43=0,Q43=""),"",($C43/$P43)),""),'Painel Geral'!$B$5="3º Quartil",IFERROR(IF(OR(C43="",Q43=0,Q43=""),"",($C43/$R43)),""),'Painel Geral'!$B$5="Maior Salário",IFERROR(IF(OR(C43="",Q43=0,Q43=""),"",($C43/$S43)),""))</f>
        <v>0.9543457853</v>
      </c>
      <c r="U43" s="199" t="str">
        <f t="shared" si="3"/>
        <v>Na Média</v>
      </c>
      <c r="V43" s="201"/>
      <c r="W43" s="201"/>
      <c r="X43" s="201"/>
      <c r="Y43" s="201"/>
      <c r="Z43" s="232">
        <v>21.0</v>
      </c>
      <c r="AA43" s="233">
        <f t="shared" si="6"/>
        <v>15232.12</v>
      </c>
      <c r="AB43" s="224">
        <f t="shared" si="7"/>
        <v>0.1917784211</v>
      </c>
      <c r="AC43" s="235"/>
      <c r="AD43" s="201"/>
      <c r="AE43" s="201"/>
      <c r="AF43" s="201"/>
      <c r="AG43" s="201"/>
      <c r="AH43" s="201"/>
      <c r="AI43" s="201"/>
      <c r="AJ43" s="201"/>
      <c r="AK43" s="201"/>
      <c r="AL43" s="201"/>
      <c r="AM43" s="201"/>
      <c r="AN43" s="201"/>
      <c r="AO43" s="201"/>
      <c r="AP43" s="201"/>
    </row>
    <row r="44" ht="15.75" customHeight="1">
      <c r="A44" s="184" t="s">
        <v>127</v>
      </c>
      <c r="B44" s="185" t="str">
        <f>VLOOKUP(A44,Jobmatch!A:G,2,0)</f>
        <v>ENGENHEIRO JUNIOR DE URBANISMO</v>
      </c>
      <c r="C44" s="186">
        <f>IFERROR(AVERAGEIF('Folha de Pagamento'!A:A,A44,'Folha de Pagamento'!J:J),"")</f>
        <v>5630.872483</v>
      </c>
      <c r="D44" s="187">
        <v>10.0</v>
      </c>
      <c r="E44" s="185" t="str">
        <f>VLOOKUP(A44,Jobmatch!A:H,3,0)</f>
        <v>Urbanismo</v>
      </c>
      <c r="F44" s="188" t="s">
        <v>373</v>
      </c>
      <c r="G44" s="190" t="str">
        <f>VLOOKUP(A44,Jobmatch!A:I,4,0)</f>
        <v>43 - ADM PROJETOS</v>
      </c>
      <c r="H44" s="191" t="str">
        <f>VLOOKUP(A44,Jobmatch!A:I,5,0)</f>
        <v>Operacional</v>
      </c>
      <c r="I44" s="192">
        <f>VLOOKUP(A44,Jobmatch!A:I,6,0)</f>
        <v>212</v>
      </c>
      <c r="J44" s="190" t="str">
        <f>VLOOKUP(A44,Jobmatch!A:I,7,0)</f>
        <v>Engenheiro de Urbanismo</v>
      </c>
      <c r="K44" s="193" t="str">
        <f>VLOOKUP(A44,Jobmatch!A:I,8,0)</f>
        <v>Indiferente</v>
      </c>
      <c r="L44" s="194" t="str">
        <f t="shared" si="2"/>
        <v>212Indiferente</v>
      </c>
      <c r="M44" s="195">
        <f>COUNTIF('Folha de Pagamento'!A:A,A44)</f>
        <v>1</v>
      </c>
      <c r="N44" s="238">
        <v>21.0</v>
      </c>
      <c r="O44" s="196">
        <f>IFERROR(VLOOKUP(L44,'C-01'!$D:$L,5,0),"")</f>
        <v>12766.6</v>
      </c>
      <c r="P44" s="196">
        <f>IFERROR(VLOOKUP(L44,'C-01'!$D:$L,6,0),"")</f>
        <v>14293.39</v>
      </c>
      <c r="Q44" s="196">
        <f>IFERROR(VLOOKUP(L44,'C-01'!$D:$L,7,0),"")</f>
        <v>15082.52</v>
      </c>
      <c r="R44" s="196">
        <f>IFERROR(VLOOKUP(L44,'C-01'!$D:$L,8,0),"")</f>
        <v>16110.29</v>
      </c>
      <c r="S44" s="197">
        <f>IFERROR(VLOOKUP(L44,'C-01'!$D:$L,9,0),"")</f>
        <v>16164.64</v>
      </c>
      <c r="T44" s="198">
        <f>IFS('Painel Geral'!$B$5="Mediana",IFERROR(IF(OR(C44="",Q44=0,Q44=""),"",($C44/$Q44)),""),'Painel Geral'!$B$5="Menor Salário",IFERROR(IF(OR(C44="",Q44=0,Q44=""),"",($C44/$N44)),""),'Painel Geral'!$B$5="1º Quartil",IFERROR(IF(OR(C44="",Q44=0,Q44=""),"",($C44/$O44)),""), 'Painel Geral'!$B$5="Média",IFERROR(IF(OR(C44="",Q44=0,Q44=""),"",($C44/$P44)),""),'Painel Geral'!$B$5="3º Quartil",IFERROR(IF(OR(C44="",Q44=0,Q44=""),"",($C44/$R44)),""),'Painel Geral'!$B$5="Maior Salário",IFERROR(IF(OR(C44="",Q44=0,Q44=""),"",($C44/$S44)),""))</f>
        <v>0.3733376441</v>
      </c>
      <c r="U44" s="199" t="str">
        <f t="shared" si="3"/>
        <v>Muito Defasado</v>
      </c>
      <c r="V44" s="201"/>
      <c r="W44" s="201"/>
      <c r="X44" s="201"/>
      <c r="Y44" s="201"/>
      <c r="Z44" s="232">
        <v>22.0</v>
      </c>
      <c r="AA44" s="233">
        <f t="shared" si="6"/>
        <v>18057.16</v>
      </c>
      <c r="AB44" s="224">
        <f t="shared" si="7"/>
        <v>0.1854659758</v>
      </c>
      <c r="AC44" s="235"/>
      <c r="AD44" s="201"/>
      <c r="AE44" s="201"/>
      <c r="AF44" s="201"/>
      <c r="AG44" s="201"/>
      <c r="AH44" s="201"/>
      <c r="AI44" s="201"/>
      <c r="AJ44" s="201"/>
      <c r="AK44" s="201"/>
      <c r="AL44" s="201"/>
      <c r="AM44" s="201"/>
      <c r="AN44" s="201"/>
      <c r="AO44" s="201"/>
      <c r="AP44" s="201"/>
    </row>
    <row r="45" ht="15.75" customHeight="1">
      <c r="A45" s="184" t="s">
        <v>109</v>
      </c>
      <c r="B45" s="185" t="str">
        <f>VLOOKUP(A45,Jobmatch!A:G,2,0)</f>
        <v>COORDENADOR DE OBRAS</v>
      </c>
      <c r="C45" s="186">
        <f>IFERROR(AVERAGEIF('Folha de Pagamento'!A:A,A45,'Folha de Pagamento'!J:J),"")</f>
        <v>8714</v>
      </c>
      <c r="D45" s="187">
        <v>5.0</v>
      </c>
      <c r="E45" s="185" t="str">
        <f>VLOOKUP(A45,Jobmatch!A:H,3,0)</f>
        <v>Edificação</v>
      </c>
      <c r="F45" s="188" t="s">
        <v>345</v>
      </c>
      <c r="G45" s="190" t="str">
        <f>VLOOKUP(A45,Jobmatch!A:I,4,0)</f>
        <v>37 - ADM PROJETOS</v>
      </c>
      <c r="H45" s="191" t="str">
        <f>VLOOKUP(A45,Jobmatch!A:I,5,0)</f>
        <v>Tático</v>
      </c>
      <c r="I45" s="192">
        <f>VLOOKUP(A45,Jobmatch!A:I,6,0)</f>
        <v>209</v>
      </c>
      <c r="J45" s="190" t="str">
        <f>VLOOKUP(A45,Jobmatch!A:I,7,0)</f>
        <v>Coordenador de Obras</v>
      </c>
      <c r="K45" s="193" t="str">
        <f>VLOOKUP(A45,Jobmatch!A:I,8,0)</f>
        <v>Indiferente</v>
      </c>
      <c r="L45" s="194" t="str">
        <f t="shared" si="2"/>
        <v>209Indiferente</v>
      </c>
      <c r="M45" s="195">
        <f>COUNTIF('Folha de Pagamento'!A:A,A45)</f>
        <v>1</v>
      </c>
      <c r="N45" s="238">
        <v>21.0</v>
      </c>
      <c r="O45" s="196">
        <f>IFERROR(VLOOKUP(L45,'C-01'!$D:$L,5,0),"")</f>
        <v>10017.83</v>
      </c>
      <c r="P45" s="196">
        <f>IFERROR(VLOOKUP(L45,'C-01'!$D:$L,6,0),"")</f>
        <v>16217.22</v>
      </c>
      <c r="Q45" s="196">
        <f>IFERROR(VLOOKUP(L45,'C-01'!$D:$L,7,0),"")</f>
        <v>16164.64</v>
      </c>
      <c r="R45" s="196">
        <f>IFERROR(VLOOKUP(L45,'C-01'!$D:$L,8,0),"")</f>
        <v>23908.2</v>
      </c>
      <c r="S45" s="197">
        <f>IFERROR(VLOOKUP(L45,'C-01'!$D:$L,9,0),"")</f>
        <v>23908.2</v>
      </c>
      <c r="T45" s="198">
        <f>IFS('Painel Geral'!$B$5="Mediana",IFERROR(IF(OR(C45="",Q45=0,Q45=""),"",($C45/$Q45)),""),'Painel Geral'!$B$5="Menor Salário",IFERROR(IF(OR(C45="",Q45=0,Q45=""),"",($C45/$N45)),""),'Painel Geral'!$B$5="1º Quartil",IFERROR(IF(OR(C45="",Q45=0,Q45=""),"",($C45/$O45)),""), 'Painel Geral'!$B$5="Média",IFERROR(IF(OR(C45="",Q45=0,Q45=""),"",($C45/$P45)),""),'Painel Geral'!$B$5="3º Quartil",IFERROR(IF(OR(C45="",Q45=0,Q45=""),"",($C45/$R45)),""),'Painel Geral'!$B$5="Maior Salário",IFERROR(IF(OR(C45="",Q45=0,Q45=""),"",($C45/$S45)),""))</f>
        <v>0.5390778885</v>
      </c>
      <c r="U45" s="199" t="str">
        <f t="shared" si="3"/>
        <v>Muito Defasado</v>
      </c>
      <c r="V45" s="201"/>
      <c r="W45" s="201"/>
      <c r="X45" s="201"/>
      <c r="Y45" s="201"/>
      <c r="Z45" s="232">
        <v>23.0</v>
      </c>
      <c r="AA45" s="233">
        <f t="shared" si="6"/>
        <v>21285.64</v>
      </c>
      <c r="AB45" s="224">
        <f t="shared" si="7"/>
        <v>0.1787922353</v>
      </c>
      <c r="AC45" s="235"/>
      <c r="AD45" s="201"/>
      <c r="AE45" s="201"/>
      <c r="AF45" s="201"/>
      <c r="AG45" s="201"/>
      <c r="AH45" s="201"/>
      <c r="AI45" s="201"/>
      <c r="AJ45" s="201"/>
      <c r="AK45" s="201"/>
      <c r="AL45" s="201"/>
      <c r="AM45" s="201"/>
      <c r="AN45" s="201"/>
      <c r="AO45" s="201"/>
      <c r="AP45" s="201"/>
    </row>
    <row r="46" ht="15.75" customHeight="1">
      <c r="A46" s="184" t="s">
        <v>95</v>
      </c>
      <c r="B46" s="185" t="str">
        <f>VLOOKUP(A46,Jobmatch!A:G,2,0)</f>
        <v>CONTROLLER GERAL</v>
      </c>
      <c r="C46" s="186">
        <f>IFERROR(AVERAGEIF('Folha de Pagamento'!A:A,A46,'Folha de Pagamento'!J:J),"")</f>
        <v>11678.83212</v>
      </c>
      <c r="D46" s="187">
        <v>3.0</v>
      </c>
      <c r="E46" s="185" t="str">
        <f>VLOOKUP(A46,Jobmatch!A:H,3,0)</f>
        <v>Controladoria</v>
      </c>
      <c r="F46" s="188" t="s">
        <v>338</v>
      </c>
      <c r="G46" s="190" t="str">
        <f>VLOOKUP(A46,Jobmatch!A:I,4,0)</f>
        <v>32 - ADM PROJETOS</v>
      </c>
      <c r="H46" s="191" t="str">
        <f>VLOOKUP(A46,Jobmatch!A:I,5,0)</f>
        <v>Tático</v>
      </c>
      <c r="I46" s="192">
        <f>VLOOKUP(A46,Jobmatch!A:I,6,0)</f>
        <v>95</v>
      </c>
      <c r="J46" s="190" t="str">
        <f>VLOOKUP(A46,Jobmatch!A:I,7,0)</f>
        <v>Controller</v>
      </c>
      <c r="K46" s="193" t="str">
        <f>VLOOKUP(A46,Jobmatch!A:I,8,0)</f>
        <v>Indiferente</v>
      </c>
      <c r="L46" s="194" t="str">
        <f t="shared" si="2"/>
        <v>95Indiferente</v>
      </c>
      <c r="M46" s="195">
        <f>COUNTIF('Folha de Pagamento'!A:A,A46)</f>
        <v>1</v>
      </c>
      <c r="N46" s="238">
        <v>21.0</v>
      </c>
      <c r="O46" s="196">
        <f>IFERROR(VLOOKUP(L46,'C-01'!$D:$L,5,0),"")</f>
        <v>15472.01</v>
      </c>
      <c r="P46" s="196">
        <f>IFERROR(VLOOKUP(L46,'C-01'!$D:$L,6,0),"")</f>
        <v>16594.35</v>
      </c>
      <c r="Q46" s="196">
        <f>IFERROR(VLOOKUP(L46,'C-01'!$D:$L,7,0),"")</f>
        <v>16581.68</v>
      </c>
      <c r="R46" s="196">
        <f>IFERROR(VLOOKUP(L46,'C-01'!$D:$L,8,0),"")</f>
        <v>17497.31</v>
      </c>
      <c r="S46" s="197">
        <f>IFERROR(VLOOKUP(L46,'C-01'!$D:$L,9,0),"")</f>
        <v>18846.04</v>
      </c>
      <c r="T46" s="198">
        <f>IFS('Painel Geral'!$B$5="Mediana",IFERROR(IF(OR(C46="",Q46=0,Q46=""),"",($C46/$Q46)),""),'Painel Geral'!$B$5="Menor Salário",IFERROR(IF(OR(C46="",Q46=0,Q46=""),"",($C46/$N46)),""),'Painel Geral'!$B$5="1º Quartil",IFERROR(IF(OR(C46="",Q46=0,Q46=""),"",($C46/$O46)),""), 'Painel Geral'!$B$5="Média",IFERROR(IF(OR(C46="",Q46=0,Q46=""),"",($C46/$P46)),""),'Painel Geral'!$B$5="3º Quartil",IFERROR(IF(OR(C46="",Q46=0,Q46=""),"",($C46/$R46)),""),'Painel Geral'!$B$5="Maior Salário",IFERROR(IF(OR(C46="",Q46=0,Q46=""),"",($C46/$S46)),""))</f>
        <v>0.7043214027</v>
      </c>
      <c r="U46" s="199" t="str">
        <f t="shared" si="3"/>
        <v>Muito Defasado</v>
      </c>
      <c r="V46" s="201"/>
      <c r="W46" s="201"/>
      <c r="X46" s="201"/>
      <c r="Y46" s="201"/>
      <c r="Z46" s="232">
        <v>24.0</v>
      </c>
      <c r="AA46" s="233">
        <f t="shared" si="6"/>
        <v>24947.08</v>
      </c>
      <c r="AB46" s="224">
        <f t="shared" si="7"/>
        <v>0.1720145601</v>
      </c>
      <c r="AC46" s="235"/>
      <c r="AD46" s="201"/>
      <c r="AE46" s="201"/>
      <c r="AF46" s="201"/>
      <c r="AG46" s="201"/>
      <c r="AH46" s="201"/>
      <c r="AI46" s="201"/>
      <c r="AJ46" s="201"/>
      <c r="AK46" s="201"/>
      <c r="AL46" s="201"/>
      <c r="AM46" s="201"/>
      <c r="AN46" s="201"/>
      <c r="AO46" s="201"/>
      <c r="AP46" s="201"/>
    </row>
    <row r="47" ht="15.75" customHeight="1">
      <c r="A47" s="184" t="s">
        <v>118</v>
      </c>
      <c r="B47" s="185" t="str">
        <f>VLOOKUP(A47,Jobmatch!A:G,2,0)</f>
        <v>DIRETOR</v>
      </c>
      <c r="C47" s="186">
        <f>IFERROR(AVERAGEIF('Folha de Pagamento'!A:A,A47,'Folha de Pagamento'!J:J),"")</f>
        <v>55769.23077</v>
      </c>
      <c r="D47" s="187">
        <v>2.0</v>
      </c>
      <c r="E47" s="185" t="str">
        <f>VLOOKUP(A47,Jobmatch!A:H,3,0)</f>
        <v>Comercial</v>
      </c>
      <c r="F47" s="188" t="s">
        <v>332</v>
      </c>
      <c r="G47" s="190" t="str">
        <f>VLOOKUP(A47,Jobmatch!A:I,4,0)</f>
        <v>40 - ADM PROJETOS</v>
      </c>
      <c r="H47" s="191" t="str">
        <f>VLOOKUP(A47,Jobmatch!A:I,5,0)</f>
        <v>Estratégico</v>
      </c>
      <c r="I47" s="192">
        <f>VLOOKUP(A47,Jobmatch!A:I,6,0)</f>
        <v>456</v>
      </c>
      <c r="J47" s="190" t="str">
        <f>VLOOKUP(A47,Jobmatch!A:I,7,0)</f>
        <v>CEO</v>
      </c>
      <c r="K47" s="193" t="str">
        <f>VLOOKUP(A47,Jobmatch!A:I,8,0)</f>
        <v>Indiferente</v>
      </c>
      <c r="L47" s="194" t="str">
        <f t="shared" si="2"/>
        <v>456Indiferente</v>
      </c>
      <c r="M47" s="195">
        <f>COUNTIF('Folha de Pagamento'!A:A,A47)</f>
        <v>1</v>
      </c>
      <c r="N47" s="238">
        <v>25.0</v>
      </c>
      <c r="O47" s="196">
        <f>IFERROR(VLOOKUP(L47,'C-01'!$D:$L,5,0),"")</f>
        <v>24816.78</v>
      </c>
      <c r="P47" s="196">
        <f>IFERROR(VLOOKUP(L47,'C-01'!$D:$L,6,0),"")</f>
        <v>32648.36</v>
      </c>
      <c r="Q47" s="196">
        <f>IFERROR(VLOOKUP(L47,'C-01'!$D:$L,7,0),"")</f>
        <v>29147.75</v>
      </c>
      <c r="R47" s="196">
        <f>IFERROR(VLOOKUP(L47,'C-01'!$D:$L,8,0),"")</f>
        <v>37122.89</v>
      </c>
      <c r="S47" s="197">
        <f>IFERROR(VLOOKUP(L47,'C-01'!$D:$L,9,0),"")</f>
        <v>55429.54</v>
      </c>
      <c r="T47" s="198">
        <f>IFS('Painel Geral'!$B$5="Mediana",IFERROR(IF(OR(C47="",Q47=0,Q47=""),"",($C47/$Q47)),""),'Painel Geral'!$B$5="Menor Salário",IFERROR(IF(OR(C47="",Q47=0,Q47=""),"",($C47/$N47)),""),'Painel Geral'!$B$5="1º Quartil",IFERROR(IF(OR(C47="",Q47=0,Q47=""),"",($C47/$O47)),""), 'Painel Geral'!$B$5="Média",IFERROR(IF(OR(C47="",Q47=0,Q47=""),"",($C47/$P47)),""),'Painel Geral'!$B$5="3º Quartil",IFERROR(IF(OR(C47="",Q47=0,Q47=""),"",($C47/$R47)),""),'Painel Geral'!$B$5="Maior Salário",IFERROR(IF(OR(C47="",Q47=0,Q47=""),"",($C47/$S47)),""))</f>
        <v>1.913328843</v>
      </c>
      <c r="U47" s="199" t="str">
        <f t="shared" si="3"/>
        <v>Agressivo</v>
      </c>
      <c r="V47" s="201"/>
      <c r="W47" s="201"/>
      <c r="X47" s="201"/>
      <c r="Y47" s="201"/>
      <c r="Z47" s="232">
        <v>25.0</v>
      </c>
      <c r="AA47" s="233">
        <f t="shared" si="6"/>
        <v>29071</v>
      </c>
      <c r="AB47" s="224">
        <f t="shared" si="7"/>
        <v>0.1653067213</v>
      </c>
      <c r="AC47" s="235"/>
      <c r="AD47" s="201"/>
      <c r="AE47" s="201"/>
      <c r="AF47" s="201"/>
      <c r="AG47" s="201"/>
      <c r="AH47" s="201"/>
      <c r="AI47" s="201"/>
      <c r="AJ47" s="201"/>
      <c r="AK47" s="201"/>
      <c r="AL47" s="201"/>
      <c r="AM47" s="201"/>
      <c r="AN47" s="201"/>
      <c r="AO47" s="201"/>
      <c r="AP47" s="201"/>
    </row>
  </sheetData>
  <autoFilter ref="$A$3:$U$47">
    <sortState ref="A3:U47">
      <sortCondition ref="Q3:Q47"/>
      <sortCondition ref="E3:E47"/>
    </sortState>
  </autoFilter>
  <customSheetViews>
    <customSheetView guid="{3C6918C3-D868-4D69-A6CD-504F4B52EE22}" filter="1" showAutoFilter="1">
      <autoFilter ref="$A$3:$U$47"/>
    </customSheetView>
    <customSheetView guid="{A7CC0C28-C4CD-4D76-B1EF-29E890F45AC8}" filter="1" showAutoFilter="1">
      <autoFilter ref="$A$3:$U$47">
        <filterColumn colId="9">
          <filters>
            <filter val="Analista de Marketing"/>
            <filter val="Almoxarife"/>
            <filter val="Assistente de Engenharia"/>
            <filter val="Coordenador Financeiro"/>
            <filter val="Analista de Criação"/>
            <filter val="Analista de Controladoria"/>
            <filter val="Assistente de Recursos Humanos"/>
            <filter val="Gerente de Relacionamento"/>
            <filter val="Gerente Administrativo"/>
            <filter val="Coordenador de Obras"/>
            <filter val="Analista de Compras"/>
            <filter val="Coordenador de Legalização"/>
            <filter val="Coordenador de Marketing"/>
            <filter val="Coordenador de Compras"/>
            <filter val="Analista de Custos"/>
            <filter val="Mestre de Obras"/>
            <filter val="Auxiliar de Engenharia"/>
            <filter val="Gerente de Operações"/>
            <filter val="Analista de Urbanismo"/>
            <filter val="Assistente Administrativo"/>
            <filter val="Analista Comercial"/>
            <filter val="Assistente de Tecnologia da Informação"/>
            <filter val="Técnico em Edificações"/>
            <filter val="Controller"/>
            <filter val="CEO"/>
            <filter val="Assistente de Legalização"/>
            <filter val="Auxiliar de Atendimento"/>
            <filter val="Assistente de Controladoria"/>
            <filter val="Coordenador de Recursos Humanos"/>
            <filter val="Assistente de Marketing"/>
            <filter val="Analista de Inovação"/>
            <filter val="Gerente Comercial"/>
            <filter val="Auxiliar Administrativo"/>
            <filter val="Assistente Financeiro"/>
            <filter val="Engenheiro de Urbanismo"/>
          </filters>
        </filterColumn>
      </autoFilter>
    </customSheetView>
    <customSheetView guid="{45EEC70B-EA86-49D3-A588-0A0D84BF9E52}" filter="1" showAutoFilter="1">
      <autoFilter ref="$B$1:$U$1"/>
    </customSheetView>
    <customSheetView guid="{0075A802-B66C-4D7D-929F-34C2F59AE8A9}" filter="1" showAutoFilter="1">
      <autoFilter ref="$A$3:$U$47"/>
    </customSheetView>
    <customSheetView guid="{B41F88BD-3F58-45D0-A0E7-C0E19BA24239}" filter="1" showAutoFilter="1">
      <autoFilter ref="$A$3:$U$47"/>
    </customSheetView>
    <customSheetView guid="{9ED18B37-6EB4-4260-A5FA-FAFBE39E0B69}" filter="1" showAutoFilter="1">
      <autoFilter ref="$A$3:$U$47"/>
    </customSheetView>
    <customSheetView guid="{96C31A28-1028-4009-9DE6-63B3CF4DFB9B}" filter="1" showAutoFilter="1">
      <autoFilter ref="$A$3:$U$47"/>
    </customSheetView>
  </customSheetViews>
  <mergeCells count="1">
    <mergeCell ref="O1:Q1"/>
  </mergeCells>
  <printOptions/>
  <pageMargins bottom="0.787401575" footer="0.0" header="0.0" left="0.511811024" right="0.511811024" top="0.7874015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7.0"/>
    <col customWidth="1" min="2" max="2" width="23.88"/>
    <col customWidth="1" min="3" max="3" width="15.75"/>
    <col customWidth="1" hidden="1" min="4" max="4" width="10.25"/>
    <col customWidth="1" hidden="1" min="5" max="5" width="22.63"/>
    <col customWidth="1" min="6" max="6" width="22.63"/>
    <col customWidth="1" hidden="1" min="7" max="7" width="25.13"/>
    <col customWidth="1" hidden="1" min="8" max="8" width="19.88"/>
    <col customWidth="1" hidden="1" min="9" max="9" width="13.0"/>
    <col customWidth="1" hidden="1" min="10" max="10" width="28.88"/>
    <col customWidth="1" hidden="1" min="11" max="11" width="11.75"/>
    <col customWidth="1" hidden="1" min="12" max="12" width="17.38"/>
    <col customWidth="1" hidden="1" min="13" max="13" width="21.63"/>
    <col customWidth="1" min="14" max="14" width="14.75"/>
    <col customWidth="1" hidden="1" min="15" max="15" width="10.88"/>
    <col customWidth="1" hidden="1" min="16" max="16" width="10.13"/>
    <col customWidth="1" min="17" max="17" width="10.13"/>
    <col customWidth="1" hidden="1" min="18" max="18" width="10.88"/>
    <col customWidth="1" hidden="1" min="19" max="19" width="14.0"/>
    <col customWidth="1" hidden="1" min="20" max="20" width="18.75"/>
    <col customWidth="1" hidden="1" min="21" max="21" width="27.38"/>
    <col customWidth="1" min="22" max="22" width="7.88"/>
    <col customWidth="1" min="23" max="42" width="6.63"/>
  </cols>
  <sheetData>
    <row r="1">
      <c r="B1" s="157"/>
      <c r="C1" s="157"/>
      <c r="D1" s="157"/>
      <c r="E1" s="157"/>
      <c r="F1" s="157"/>
      <c r="G1" s="157"/>
      <c r="H1" s="157"/>
      <c r="I1" s="158" t="s">
        <v>314</v>
      </c>
      <c r="J1" s="157"/>
      <c r="K1" s="157"/>
      <c r="L1" s="157"/>
      <c r="M1" s="157"/>
      <c r="N1" s="159"/>
      <c r="O1" s="159" t="str">
        <f>'Informações Relevantes Cenário'!A1</f>
        <v>Cenário 01: Pesquisas Consolidadas - Nacional</v>
      </c>
      <c r="P1" s="160"/>
      <c r="Q1" s="160"/>
      <c r="R1" s="161"/>
      <c r="S1" s="162"/>
      <c r="T1" s="163" t="str">
        <f>"% Distância da "&amp;'Painel Geral'!B5</f>
        <v>% Distância da Mediana</v>
      </c>
      <c r="U1" s="163" t="s">
        <v>315</v>
      </c>
      <c r="V1" s="213"/>
      <c r="W1" s="213"/>
      <c r="X1" s="213"/>
      <c r="Y1" s="213"/>
      <c r="Z1" s="213"/>
      <c r="AA1" s="213"/>
      <c r="AB1" s="213"/>
      <c r="AC1" s="213"/>
      <c r="AD1" s="213"/>
      <c r="AE1" s="213"/>
      <c r="AF1" s="213"/>
      <c r="AG1" s="213"/>
      <c r="AH1" s="213"/>
      <c r="AI1" s="213"/>
      <c r="AJ1" s="213"/>
      <c r="AK1" s="213"/>
      <c r="AL1" s="213"/>
      <c r="AM1" s="213"/>
      <c r="AN1" s="213"/>
      <c r="AO1" s="213"/>
      <c r="AP1" s="213"/>
    </row>
    <row r="2" ht="6.0" customHeight="1">
      <c r="A2" s="164"/>
      <c r="B2" s="165"/>
      <c r="C2" s="166"/>
      <c r="D2" s="167"/>
      <c r="E2" s="165"/>
      <c r="F2" s="165"/>
      <c r="G2" s="165"/>
      <c r="H2" s="165"/>
      <c r="I2" s="167"/>
      <c r="J2" s="165"/>
      <c r="K2" s="165"/>
      <c r="L2" s="165"/>
      <c r="M2" s="168"/>
      <c r="N2" s="214"/>
      <c r="O2" s="169"/>
      <c r="P2" s="169"/>
      <c r="Q2" s="169"/>
      <c r="R2" s="169"/>
      <c r="S2" s="170"/>
      <c r="T2" s="171"/>
      <c r="U2" s="170"/>
      <c r="V2" s="207"/>
      <c r="W2" s="207"/>
      <c r="X2" s="207"/>
      <c r="Y2" s="207"/>
      <c r="Z2" s="207"/>
      <c r="AA2" s="207"/>
      <c r="AB2" s="207"/>
      <c r="AC2" s="207"/>
      <c r="AD2" s="207"/>
      <c r="AE2" s="207"/>
      <c r="AF2" s="207"/>
      <c r="AG2" s="207"/>
      <c r="AH2" s="207"/>
      <c r="AI2" s="207"/>
      <c r="AJ2" s="207"/>
      <c r="AK2" s="207"/>
      <c r="AL2" s="207"/>
      <c r="AM2" s="207"/>
      <c r="AN2" s="207"/>
      <c r="AO2" s="207"/>
      <c r="AP2" s="207"/>
    </row>
    <row r="3">
      <c r="A3" s="172" t="s">
        <v>2</v>
      </c>
      <c r="B3" s="173" t="s">
        <v>203</v>
      </c>
      <c r="C3" s="174" t="s">
        <v>316</v>
      </c>
      <c r="D3" s="175" t="s">
        <v>317</v>
      </c>
      <c r="E3" s="175" t="s">
        <v>318</v>
      </c>
      <c r="F3" s="175" t="s">
        <v>5</v>
      </c>
      <c r="G3" s="175" t="s">
        <v>319</v>
      </c>
      <c r="H3" s="176" t="s">
        <v>7</v>
      </c>
      <c r="I3" s="176" t="s">
        <v>204</v>
      </c>
      <c r="J3" s="176" t="s">
        <v>205</v>
      </c>
      <c r="K3" s="177" t="s">
        <v>6</v>
      </c>
      <c r="L3" s="178" t="s">
        <v>320</v>
      </c>
      <c r="M3" s="179" t="s">
        <v>321</v>
      </c>
      <c r="N3" s="215"/>
      <c r="O3" s="180" t="s">
        <v>323</v>
      </c>
      <c r="P3" s="180" t="s">
        <v>324</v>
      </c>
      <c r="Q3" s="180" t="s">
        <v>325</v>
      </c>
      <c r="R3" s="180" t="s">
        <v>326</v>
      </c>
      <c r="S3" s="181" t="s">
        <v>327</v>
      </c>
      <c r="T3" s="182" t="s">
        <v>328</v>
      </c>
      <c r="U3" s="183" t="s">
        <v>329</v>
      </c>
      <c r="V3" s="207"/>
      <c r="W3" s="207"/>
      <c r="X3" s="207"/>
      <c r="Y3" s="207"/>
      <c r="Z3" s="207"/>
      <c r="AA3" s="207"/>
      <c r="AB3" s="207"/>
      <c r="AC3" s="207"/>
      <c r="AD3" s="207"/>
      <c r="AE3" s="207"/>
      <c r="AF3" s="207"/>
      <c r="AG3" s="207"/>
      <c r="AH3" s="207"/>
      <c r="AI3" s="207"/>
      <c r="AJ3" s="207"/>
      <c r="AK3" s="207"/>
      <c r="AL3" s="207"/>
      <c r="AM3" s="207"/>
      <c r="AN3" s="207"/>
      <c r="AO3" s="207"/>
      <c r="AP3" s="207"/>
    </row>
    <row r="4" ht="15.75" customHeight="1">
      <c r="A4" s="184" t="s">
        <v>87</v>
      </c>
      <c r="B4" s="185" t="str">
        <f>VLOOKUP(A4,Jobmatch!A:G,2,0)</f>
        <v>AUXILIAR DE ATENDIMENTO II</v>
      </c>
      <c r="C4" s="186">
        <f>IFERROR(AVERAGEIF('Folha de Pagamento'!A:A,A4,'Folha de Pagamento'!J:J),"")</f>
        <v>2560</v>
      </c>
      <c r="D4" s="187">
        <v>1.0</v>
      </c>
      <c r="E4" s="185" t="str">
        <f>VLOOKUP(A4,Jobmatch!A:H,3,0)</f>
        <v>Recepção</v>
      </c>
      <c r="F4" s="188" t="s">
        <v>366</v>
      </c>
      <c r="G4" s="190" t="str">
        <f>VLOOKUP(A4,Jobmatch!A:I,4,0)</f>
        <v>29 - ADM PROJETOS</v>
      </c>
      <c r="H4" s="191" t="str">
        <f>VLOOKUP(A4,Jobmatch!A:I,5,0)</f>
        <v>Operacional</v>
      </c>
      <c r="I4" s="192">
        <f>VLOOKUP(A4,Jobmatch!A:I,6,0)</f>
        <v>318</v>
      </c>
      <c r="J4" s="190" t="str">
        <f>VLOOKUP(A4,Jobmatch!A:I,7,0)</f>
        <v>Auxiliar de Atendimento</v>
      </c>
      <c r="K4" s="193" t="str">
        <f>VLOOKUP(A4,Jobmatch!A:I,8,0)</f>
        <v>Indiferente</v>
      </c>
      <c r="L4" s="194" t="str">
        <f t="shared" ref="L4:L47" si="2">I4&amp;K4</f>
        <v>318Indiferente</v>
      </c>
      <c r="M4" s="195">
        <f>COUNTIF('Folha de Pagamento'!A:A,A4)</f>
        <v>1</v>
      </c>
      <c r="N4" s="238">
        <v>10.0</v>
      </c>
      <c r="O4" s="196">
        <f>IFERROR(VLOOKUP(L4,'C-01'!$D:$L,5,0),"")</f>
        <v>1778.55</v>
      </c>
      <c r="P4" s="196">
        <f>IFERROR(VLOOKUP(L4,'C-01'!$D:$L,6,0),"")</f>
        <v>2041.06</v>
      </c>
      <c r="Q4" s="196">
        <f>IFERROR(VLOOKUP(L4,'C-01'!$D:$L,7,0),"")</f>
        <v>2052.94</v>
      </c>
      <c r="R4" s="196">
        <f>IFERROR(VLOOKUP(L4,'C-01'!$D:$L,8,0),"")</f>
        <v>2169.15</v>
      </c>
      <c r="S4" s="197">
        <f>IFERROR(VLOOKUP(L4,'C-01'!$D:$L,9,0),"")</f>
        <v>2574.08</v>
      </c>
      <c r="T4" s="198">
        <f>IFS('Painel Geral'!$B$5="Mediana",IFERROR(IF(OR(C4="",Q4=0,Q4=""),"",($C4/$Q4)),""),'Painel Geral'!$B$5="Menor Salário",IFERROR(IF(OR(C4="",Q4=0,Q4=""),"",($C4/$N4)),""),'Painel Geral'!$B$5="1º Quartil",IFERROR(IF(OR(C4="",Q4=0,Q4=""),"",($C4/$O4)),""), 'Painel Geral'!$B$5="Média",IFERROR(IF(OR(C4="",Q4=0,Q4=""),"",($C4/$P4)),""),'Painel Geral'!$B$5="3º Quartil",IFERROR(IF(OR(C4="",Q4=0,Q4=""),"",($C4/$R4)),""),'Painel Geral'!$B$5="Maior Salário",IFERROR(IF(OR(C4="",Q4=0,Q4=""),"",($C4/$S4)),""))</f>
        <v>1.246992119</v>
      </c>
      <c r="U4" s="199" t="str">
        <f t="shared" ref="U4:U47" si="3">IFS(OR(N4="",N4=0,C4="", C4=0),"",T4&lt;=80%,"Muito Defasado",T4&lt;=90%,"Defasado",T4&lt;=100%,"Na Média",T4&lt;=110%,"Competitivo",T4&lt;=120%,"Muito Competitivo",T4&gt;120%,"Agressivo")</f>
        <v>Agressivo</v>
      </c>
      <c r="V4" s="201">
        <f>Z30*1.2</f>
        <v>2176.312428</v>
      </c>
      <c r="W4" s="201">
        <f t="shared" ref="W4:AJ4" si="1">V4*1.2</f>
        <v>2611.574913</v>
      </c>
      <c r="X4" s="201">
        <f t="shared" si="1"/>
        <v>3133.889896</v>
      </c>
      <c r="Y4" s="201">
        <f t="shared" si="1"/>
        <v>3760.667875</v>
      </c>
      <c r="Z4" s="201">
        <f t="shared" si="1"/>
        <v>4512.80145</v>
      </c>
      <c r="AA4" s="201">
        <f t="shared" si="1"/>
        <v>5415.36174</v>
      </c>
      <c r="AB4" s="201">
        <f t="shared" si="1"/>
        <v>6498.434088</v>
      </c>
      <c r="AC4" s="201">
        <f t="shared" si="1"/>
        <v>7798.120905</v>
      </c>
      <c r="AD4" s="201">
        <f t="shared" si="1"/>
        <v>9357.745086</v>
      </c>
      <c r="AE4" s="201">
        <f t="shared" si="1"/>
        <v>11229.2941</v>
      </c>
      <c r="AF4" s="201">
        <f t="shared" si="1"/>
        <v>13475.15292</v>
      </c>
      <c r="AG4" s="201">
        <f t="shared" si="1"/>
        <v>16170.18351</v>
      </c>
      <c r="AH4" s="201">
        <f t="shared" si="1"/>
        <v>19404.22021</v>
      </c>
      <c r="AI4" s="201">
        <f t="shared" si="1"/>
        <v>23285.06425</v>
      </c>
      <c r="AJ4" s="201">
        <f t="shared" si="1"/>
        <v>27942.0771</v>
      </c>
      <c r="AK4" s="201"/>
      <c r="AL4" s="201"/>
      <c r="AM4" s="201"/>
      <c r="AN4" s="201"/>
      <c r="AO4" s="201"/>
      <c r="AP4" s="201"/>
    </row>
    <row r="5" ht="15.75" customHeight="1">
      <c r="A5" s="184" t="s">
        <v>83</v>
      </c>
      <c r="B5" s="185" t="str">
        <f>VLOOKUP(A5,Jobmatch!A:G,2,0)</f>
        <v>AUXILIAR ADMINISTRATIVO</v>
      </c>
      <c r="C5" s="186">
        <f>IFERROR(AVERAGEIF('Folha de Pagamento'!A:A,A5,'Folha de Pagamento'!J:J),"")</f>
        <v>2254</v>
      </c>
      <c r="D5" s="187">
        <v>1.0</v>
      </c>
      <c r="E5" s="185" t="str">
        <f>VLOOKUP(A5,Jobmatch!A:H,3,0)</f>
        <v>Administrativo</v>
      </c>
      <c r="F5" s="188" t="s">
        <v>252</v>
      </c>
      <c r="G5" s="190" t="str">
        <f>VLOOKUP(A5,Jobmatch!A:I,4,0)</f>
        <v>27 - ADM PROJETOS</v>
      </c>
      <c r="H5" s="191" t="str">
        <f>VLOOKUP(A5,Jobmatch!A:I,5,0)</f>
        <v>Operacional</v>
      </c>
      <c r="I5" s="192">
        <f>VLOOKUP(A5,Jobmatch!A:I,6,0)</f>
        <v>83</v>
      </c>
      <c r="J5" s="190" t="str">
        <f>VLOOKUP(A5,Jobmatch!A:I,7,0)</f>
        <v>Auxiliar Administrativo</v>
      </c>
      <c r="K5" s="193" t="str">
        <f>VLOOKUP(A5,Jobmatch!A:I,8,0)</f>
        <v>Indiferente</v>
      </c>
      <c r="L5" s="194" t="str">
        <f t="shared" si="2"/>
        <v>83Indiferente</v>
      </c>
      <c r="M5" s="195">
        <f>COUNTIF('Folha de Pagamento'!A:A,A5)</f>
        <v>1</v>
      </c>
      <c r="N5" s="238">
        <v>10.0</v>
      </c>
      <c r="O5" s="196">
        <f>IFERROR(VLOOKUP(L5,'C-01'!$D:$L,5,0),"")</f>
        <v>2128.74</v>
      </c>
      <c r="P5" s="196">
        <f>IFERROR(VLOOKUP(L5,'C-01'!$D:$L,6,0),"")</f>
        <v>2292.87</v>
      </c>
      <c r="Q5" s="196">
        <f>IFERROR(VLOOKUP(L5,'C-01'!$D:$L,7,0),"")</f>
        <v>2309.71</v>
      </c>
      <c r="R5" s="196">
        <f>IFERROR(VLOOKUP(L5,'C-01'!$D:$L,8,0),"")</f>
        <v>2375.14</v>
      </c>
      <c r="S5" s="197">
        <f>IFERROR(VLOOKUP(L5,'C-01'!$D:$L,9,0),"")</f>
        <v>3073.32</v>
      </c>
      <c r="T5" s="198">
        <f>IFS('Painel Geral'!$B$5="Mediana",IFERROR(IF(OR(C5="",Q5=0,Q5=""),"",($C5/$Q5)),""),'Painel Geral'!$B$5="Menor Salário",IFERROR(IF(OR(C5="",Q5=0,Q5=""),"",($C5/$N5)),""),'Painel Geral'!$B$5="1º Quartil",IFERROR(IF(OR(C5="",Q5=0,Q5=""),"",($C5/$O5)),""), 'Painel Geral'!$B$5="Média",IFERROR(IF(OR(C5="",Q5=0,Q5=""),"",($C5/$P5)),""),'Painel Geral'!$B$5="3º Quartil",IFERROR(IF(OR(C5="",Q5=0,Q5=""),"",($C5/$R5)),""),'Painel Geral'!$B$5="Maior Salário",IFERROR(IF(OR(C5="",Q5=0,Q5=""),"",($C5/$S5)),""))</f>
        <v>0.9758800888</v>
      </c>
      <c r="U5" s="199" t="str">
        <f t="shared" si="3"/>
        <v>Na Média</v>
      </c>
      <c r="V5" s="205">
        <v>10.0</v>
      </c>
      <c r="W5" s="205">
        <v>11.0</v>
      </c>
      <c r="X5" s="205">
        <v>12.0</v>
      </c>
      <c r="Y5" s="205">
        <v>13.0</v>
      </c>
      <c r="Z5" s="205">
        <v>14.0</v>
      </c>
      <c r="AA5" s="205">
        <v>15.0</v>
      </c>
      <c r="AB5" s="205">
        <v>16.0</v>
      </c>
      <c r="AC5" s="205">
        <v>17.0</v>
      </c>
      <c r="AD5" s="205">
        <v>18.0</v>
      </c>
      <c r="AE5" s="205">
        <v>19.0</v>
      </c>
      <c r="AF5" s="205">
        <v>20.0</v>
      </c>
      <c r="AG5" s="205">
        <v>21.0</v>
      </c>
      <c r="AH5" s="205">
        <v>22.0</v>
      </c>
      <c r="AI5" s="205">
        <v>23.0</v>
      </c>
      <c r="AJ5" s="205">
        <v>24.0</v>
      </c>
      <c r="AK5" s="201"/>
      <c r="AL5" s="201"/>
      <c r="AM5" s="201"/>
      <c r="AN5" s="201"/>
      <c r="AO5" s="201"/>
      <c r="AP5" s="201"/>
    </row>
    <row r="6" ht="15.75" customHeight="1">
      <c r="A6" s="184" t="s">
        <v>85</v>
      </c>
      <c r="B6" s="185" t="str">
        <f>VLOOKUP(A6,Jobmatch!A:G,2,0)</f>
        <v>AUXILIAR ADMINISTRATIVO III</v>
      </c>
      <c r="C6" s="186">
        <f>IFERROR(AVERAGEIF('Folha de Pagamento'!A:A,A6,'Folha de Pagamento'!J:J),"")</f>
        <v>2739.04</v>
      </c>
      <c r="D6" s="187">
        <v>1.0</v>
      </c>
      <c r="E6" s="185" t="str">
        <f>VLOOKUP(A6,Jobmatch!A:H,3,0)</f>
        <v>Administrativo</v>
      </c>
      <c r="F6" s="188" t="s">
        <v>252</v>
      </c>
      <c r="G6" s="190" t="str">
        <f>VLOOKUP(A6,Jobmatch!A:I,4,0)</f>
        <v>28 - ADM PROJETOS</v>
      </c>
      <c r="H6" s="191" t="str">
        <f>VLOOKUP(A6,Jobmatch!A:I,5,0)</f>
        <v>Operacional</v>
      </c>
      <c r="I6" s="192">
        <f>VLOOKUP(A6,Jobmatch!A:I,6,0)</f>
        <v>83</v>
      </c>
      <c r="J6" s="190" t="str">
        <f>VLOOKUP(A6,Jobmatch!A:I,7,0)</f>
        <v>Auxiliar Administrativo</v>
      </c>
      <c r="K6" s="193" t="str">
        <f>VLOOKUP(A6,Jobmatch!A:I,8,0)</f>
        <v>Indiferente</v>
      </c>
      <c r="L6" s="194" t="str">
        <f t="shared" si="2"/>
        <v>83Indiferente</v>
      </c>
      <c r="M6" s="195">
        <f>COUNTIF('Folha de Pagamento'!A:A,A6)</f>
        <v>1</v>
      </c>
      <c r="N6" s="238">
        <v>10.0</v>
      </c>
      <c r="O6" s="196">
        <f>IFERROR(VLOOKUP(L6,'C-01'!$D:$L,5,0),"")</f>
        <v>2128.74</v>
      </c>
      <c r="P6" s="196">
        <f>IFERROR(VLOOKUP(L6,'C-01'!$D:$L,6,0),"")</f>
        <v>2292.87</v>
      </c>
      <c r="Q6" s="196">
        <f>IFERROR(VLOOKUP(L6,'C-01'!$D:$L,7,0),"")</f>
        <v>2309.71</v>
      </c>
      <c r="R6" s="196">
        <f>IFERROR(VLOOKUP(L6,'C-01'!$D:$L,8,0),"")</f>
        <v>2375.14</v>
      </c>
      <c r="S6" s="197">
        <f>IFERROR(VLOOKUP(L6,'C-01'!$D:$L,9,0),"")</f>
        <v>3073.32</v>
      </c>
      <c r="T6" s="198">
        <f>IFS('Painel Geral'!$B$5="Mediana",IFERROR(IF(OR(C6="",Q6=0,Q6=""),"",($C6/$Q6)),""),'Painel Geral'!$B$5="Menor Salário",IFERROR(IF(OR(C6="",Q6=0,Q6=""),"",($C6/$N6)),""),'Painel Geral'!$B$5="1º Quartil",IFERROR(IF(OR(C6="",Q6=0,Q6=""),"",($C6/$O6)),""), 'Painel Geral'!$B$5="Média",IFERROR(IF(OR(C6="",Q6=0,Q6=""),"",($C6/$P6)),""),'Painel Geral'!$B$5="3º Quartil",IFERROR(IF(OR(C6="",Q6=0,Q6=""),"",($C6/$R6)),""),'Painel Geral'!$B$5="Maior Salário",IFERROR(IF(OR(C6="",Q6=0,Q6=""),"",($C6/$S6)),""))</f>
        <v>1.185880479</v>
      </c>
      <c r="U6" s="199" t="str">
        <f t="shared" si="3"/>
        <v>Muito Competitivo</v>
      </c>
      <c r="V6" s="201"/>
      <c r="W6" s="201"/>
      <c r="X6" s="201"/>
      <c r="Y6" s="201"/>
      <c r="Z6" s="201"/>
      <c r="AA6" s="201"/>
      <c r="AB6" s="201"/>
      <c r="AC6" s="201"/>
      <c r="AD6" s="201"/>
      <c r="AE6" s="201"/>
      <c r="AF6" s="201"/>
      <c r="AG6" s="201"/>
      <c r="AH6" s="201"/>
      <c r="AI6" s="201"/>
      <c r="AJ6" s="201"/>
      <c r="AK6" s="201"/>
      <c r="AL6" s="201"/>
      <c r="AM6" s="201"/>
      <c r="AN6" s="201"/>
      <c r="AO6" s="201"/>
      <c r="AP6" s="201"/>
    </row>
    <row r="7" ht="15.75" customHeight="1">
      <c r="A7" s="184" t="s">
        <v>77</v>
      </c>
      <c r="B7" s="185" t="str">
        <f>VLOOKUP(A7,Jobmatch!A:G,2,0)</f>
        <v>ASSISTENTE DE TI</v>
      </c>
      <c r="C7" s="186">
        <f>IFERROR(AVERAGEIF('Folha de Pagamento'!A:A,A7,'Folha de Pagamento'!J:J),"")</f>
        <v>2919</v>
      </c>
      <c r="D7" s="187">
        <v>1.0</v>
      </c>
      <c r="E7" s="185" t="str">
        <f>VLOOKUP(A7,Jobmatch!A:H,3,0)</f>
        <v>Tecnologia da Informação</v>
      </c>
      <c r="F7" s="188" t="s">
        <v>369</v>
      </c>
      <c r="G7" s="190" t="str">
        <f>VLOOKUP(A7,Jobmatch!A:I,4,0)</f>
        <v>25 - ADM PROJETOS</v>
      </c>
      <c r="H7" s="191" t="str">
        <f>VLOOKUP(A7,Jobmatch!A:I,5,0)</f>
        <v>Operacional</v>
      </c>
      <c r="I7" s="192">
        <f>VLOOKUP(A7,Jobmatch!A:I,6,0)</f>
        <v>31</v>
      </c>
      <c r="J7" s="190" t="str">
        <f>VLOOKUP(A7,Jobmatch!A:I,7,0)</f>
        <v>Assistente de Tecnologia da Informação</v>
      </c>
      <c r="K7" s="193" t="str">
        <f>VLOOKUP(A7,Jobmatch!A:I,8,0)</f>
        <v>Indiferente</v>
      </c>
      <c r="L7" s="194" t="str">
        <f t="shared" si="2"/>
        <v>31Indiferente</v>
      </c>
      <c r="M7" s="195">
        <f>COUNTIF('Folha de Pagamento'!A:A,A7)</f>
        <v>2</v>
      </c>
      <c r="N7" s="238">
        <v>10.0</v>
      </c>
      <c r="O7" s="196">
        <f>IFERROR(VLOOKUP(L7,'C-01'!$D:$L,5,0),"")</f>
        <v>2066.4</v>
      </c>
      <c r="P7" s="196">
        <f>IFERROR(VLOOKUP(L7,'C-01'!$D:$L,6,0),"")</f>
        <v>2589.89</v>
      </c>
      <c r="Q7" s="196">
        <f>IFERROR(VLOOKUP(L7,'C-01'!$D:$L,7,0),"")</f>
        <v>2413.7</v>
      </c>
      <c r="R7" s="196">
        <f>IFERROR(VLOOKUP(L7,'C-01'!$D:$L,8,0),"")</f>
        <v>3121.21</v>
      </c>
      <c r="S7" s="197">
        <f>IFERROR(VLOOKUP(L7,'C-01'!$D:$L,9,0),"")</f>
        <v>3521.6</v>
      </c>
      <c r="T7" s="198">
        <f>IFS('Painel Geral'!$B$5="Mediana",IFERROR(IF(OR(C7="",Q7=0,Q7=""),"",($C7/$Q7)),""),'Painel Geral'!$B$5="Menor Salário",IFERROR(IF(OR(C7="",Q7=0,Q7=""),"",($C7/$N7)),""),'Painel Geral'!$B$5="1º Quartil",IFERROR(IF(OR(C7="",Q7=0,Q7=""),"",($C7/$O7)),""), 'Painel Geral'!$B$5="Média",IFERROR(IF(OR(C7="",Q7=0,Q7=""),"",($C7/$P7)),""),'Painel Geral'!$B$5="3º Quartil",IFERROR(IF(OR(C7="",Q7=0,Q7=""),"",($C7/$R7)),""),'Painel Geral'!$B$5="Maior Salário",IFERROR(IF(OR(C7="",Q7=0,Q7=""),"",($C7/$S7)),""))</f>
        <v>1.209346646</v>
      </c>
      <c r="U7" s="199" t="str">
        <f t="shared" si="3"/>
        <v>Agressivo</v>
      </c>
      <c r="V7" s="201"/>
      <c r="W7" s="201"/>
      <c r="X7" s="201"/>
      <c r="Y7" s="201"/>
      <c r="Z7" s="201"/>
      <c r="AA7" s="201"/>
      <c r="AB7" s="201"/>
      <c r="AC7" s="201"/>
      <c r="AD7" s="201"/>
      <c r="AE7" s="201"/>
      <c r="AF7" s="201"/>
      <c r="AG7" s="201"/>
      <c r="AH7" s="201"/>
      <c r="AI7" s="201"/>
      <c r="AJ7" s="201"/>
      <c r="AK7" s="201"/>
      <c r="AL7" s="201"/>
      <c r="AM7" s="201"/>
      <c r="AN7" s="201"/>
      <c r="AO7" s="201"/>
      <c r="AP7" s="201"/>
    </row>
    <row r="8" ht="15.75" customHeight="1">
      <c r="A8" s="184" t="s">
        <v>64</v>
      </c>
      <c r="B8" s="185" t="str">
        <f>VLOOKUP(A8,Jobmatch!A:G,2,0)</f>
        <v>ASSISTENTE ADMINISTRATIVO lll</v>
      </c>
      <c r="C8" s="186">
        <f>IFERROR(AVERAGEIF('Folha de Pagamento'!A:A,A8,'Folha de Pagamento'!J:J),"")</f>
        <v>3439.7</v>
      </c>
      <c r="D8" s="187">
        <v>1.0</v>
      </c>
      <c r="E8" s="185" t="str">
        <f>VLOOKUP(A8,Jobmatch!A:H,3,0)</f>
        <v>Administrativo</v>
      </c>
      <c r="F8" s="188" t="s">
        <v>238</v>
      </c>
      <c r="G8" s="190" t="str">
        <f>VLOOKUP(A8,Jobmatch!A:I,4,0)</f>
        <v>20 - ADM PROJETOS</v>
      </c>
      <c r="H8" s="191" t="str">
        <f>VLOOKUP(A8,Jobmatch!A:I,5,0)</f>
        <v>Operacional</v>
      </c>
      <c r="I8" s="192">
        <f>VLOOKUP(A8,Jobmatch!A:I,6,0)</f>
        <v>59</v>
      </c>
      <c r="J8" s="190" t="str">
        <f>VLOOKUP(A8,Jobmatch!A:I,7,0)</f>
        <v>Assistente Administrativo</v>
      </c>
      <c r="K8" s="193" t="str">
        <f>VLOOKUP(A8,Jobmatch!A:I,8,0)</f>
        <v>Indiferente</v>
      </c>
      <c r="L8" s="194" t="str">
        <f t="shared" si="2"/>
        <v>59Indiferente</v>
      </c>
      <c r="M8" s="195">
        <f>COUNTIF('Folha de Pagamento'!A:A,A8)</f>
        <v>1</v>
      </c>
      <c r="N8" s="238">
        <v>10.0</v>
      </c>
      <c r="O8" s="196">
        <f>IFERROR(VLOOKUP(L8,'C-01'!$D:$L,5,0),"")</f>
        <v>2329.53</v>
      </c>
      <c r="P8" s="196">
        <f>IFERROR(VLOOKUP(L8,'C-01'!$D:$L,6,0),"")</f>
        <v>2673.92</v>
      </c>
      <c r="Q8" s="196">
        <f>IFERROR(VLOOKUP(L8,'C-01'!$D:$L,7,0),"")</f>
        <v>2630.61</v>
      </c>
      <c r="R8" s="196">
        <f>IFERROR(VLOOKUP(L8,'C-01'!$D:$L,8,0),"")</f>
        <v>2914.75</v>
      </c>
      <c r="S8" s="197">
        <f>IFERROR(VLOOKUP(L8,'C-01'!$D:$L,9,0),"")</f>
        <v>3662.52</v>
      </c>
      <c r="T8" s="198">
        <f>IFS('Painel Geral'!$B$5="Mediana",IFERROR(IF(OR(C8="",Q8=0,Q8=""),"",($C8/$Q8)),""),'Painel Geral'!$B$5="Menor Salário",IFERROR(IF(OR(C8="",Q8=0,Q8=""),"",($C8/$N8)),""),'Painel Geral'!$B$5="1º Quartil",IFERROR(IF(OR(C8="",Q8=0,Q8=""),"",($C8/$O8)),""), 'Painel Geral'!$B$5="Média",IFERROR(IF(OR(C8="",Q8=0,Q8=""),"",($C8/$P8)),""),'Painel Geral'!$B$5="3º Quartil",IFERROR(IF(OR(C8="",Q8=0,Q8=""),"",($C8/$R8)),""),'Painel Geral'!$B$5="Maior Salário",IFERROR(IF(OR(C8="",Q8=0,Q8=""),"",($C8/$S8)),""))</f>
        <v>1.307567446</v>
      </c>
      <c r="U8" s="199" t="str">
        <f t="shared" si="3"/>
        <v>Agressivo</v>
      </c>
      <c r="V8" s="201"/>
      <c r="W8" s="201"/>
      <c r="X8" s="201"/>
      <c r="Y8" s="201"/>
      <c r="Z8" s="201"/>
      <c r="AA8" s="201"/>
      <c r="AB8" s="201"/>
      <c r="AC8" s="201"/>
      <c r="AD8" s="201"/>
      <c r="AE8" s="201"/>
      <c r="AF8" s="201"/>
      <c r="AG8" s="201"/>
      <c r="AH8" s="201"/>
      <c r="AI8" s="201"/>
      <c r="AJ8" s="201"/>
      <c r="AK8" s="201"/>
      <c r="AL8" s="201"/>
      <c r="AM8" s="201"/>
      <c r="AN8" s="201"/>
      <c r="AO8" s="201"/>
      <c r="AP8" s="201"/>
    </row>
    <row r="9" ht="15.75" customHeight="1">
      <c r="A9" s="184" t="s">
        <v>80</v>
      </c>
      <c r="B9" s="185" t="str">
        <f>VLOOKUP(A9,Jobmatch!A:G,2,0)</f>
        <v>ASSISTENTE FINANCEIRO CONTAS A PAGAR</v>
      </c>
      <c r="C9" s="186">
        <f>IFERROR(AVERAGEIF('Folha de Pagamento'!A:A,A9,'Folha de Pagamento'!J:J),"")</f>
        <v>3163.333333</v>
      </c>
      <c r="D9" s="187">
        <v>6.0</v>
      </c>
      <c r="E9" s="185" t="str">
        <f>VLOOKUP(A9,Jobmatch!A:H,3,0)</f>
        <v>Financeiro</v>
      </c>
      <c r="F9" s="188" t="s">
        <v>354</v>
      </c>
      <c r="G9" s="190" t="str">
        <f>VLOOKUP(A9,Jobmatch!A:I,4,0)</f>
        <v>26 - ADM PROJETOS</v>
      </c>
      <c r="H9" s="191" t="str">
        <f>VLOOKUP(A9,Jobmatch!A:I,5,0)</f>
        <v>Operacional</v>
      </c>
      <c r="I9" s="192">
        <f>VLOOKUP(A9,Jobmatch!A:I,6,0)</f>
        <v>79</v>
      </c>
      <c r="J9" s="190" t="str">
        <f>VLOOKUP(A9,Jobmatch!A:I,7,0)</f>
        <v>Assistente Financeiro</v>
      </c>
      <c r="K9" s="193" t="str">
        <f>VLOOKUP(A9,Jobmatch!A:I,8,0)</f>
        <v>Indiferente</v>
      </c>
      <c r="L9" s="194" t="str">
        <f t="shared" si="2"/>
        <v>79Indiferente</v>
      </c>
      <c r="M9" s="195">
        <f>COUNTIF('Folha de Pagamento'!A:A,A9)</f>
        <v>3</v>
      </c>
      <c r="N9" s="238">
        <v>11.0</v>
      </c>
      <c r="O9" s="196">
        <f>IFERROR(VLOOKUP(L9,'C-01'!$D:$L,5,0),"")</f>
        <v>2560.05</v>
      </c>
      <c r="P9" s="196">
        <f>IFERROR(VLOOKUP(L9,'C-01'!$D:$L,6,0),"")</f>
        <v>2799.02</v>
      </c>
      <c r="Q9" s="196">
        <f>IFERROR(VLOOKUP(L9,'C-01'!$D:$L,7,0),"")</f>
        <v>2658.89</v>
      </c>
      <c r="R9" s="196">
        <f>IFERROR(VLOOKUP(L9,'C-01'!$D:$L,8,0),"")</f>
        <v>2935.06</v>
      </c>
      <c r="S9" s="197">
        <f>IFERROR(VLOOKUP(L9,'C-01'!$D:$L,9,0),"")</f>
        <v>3630.87</v>
      </c>
      <c r="T9" s="198">
        <f>IFS('Painel Geral'!$B$5="Mediana",IFERROR(IF(OR(C9="",Q9=0,Q9=""),"",($C9/$Q9)),""),'Painel Geral'!$B$5="Menor Salário",IFERROR(IF(OR(C9="",Q9=0,Q9=""),"",($C9/$N9)),""),'Painel Geral'!$B$5="1º Quartil",IFERROR(IF(OR(C9="",Q9=0,Q9=""),"",($C9/$O9)),""), 'Painel Geral'!$B$5="Média",IFERROR(IF(OR(C9="",Q9=0,Q9=""),"",($C9/$P9)),""),'Painel Geral'!$B$5="3º Quartil",IFERROR(IF(OR(C9="",Q9=0,Q9=""),"",($C9/$R9)),""),'Painel Geral'!$B$5="Maior Salário",IFERROR(IF(OR(C9="",Q9=0,Q9=""),"",($C9/$S9)),""))</f>
        <v>1.18971952</v>
      </c>
      <c r="U9" s="199" t="str">
        <f t="shared" si="3"/>
        <v>Muito Competitivo</v>
      </c>
      <c r="V9" s="201"/>
      <c r="W9" s="201"/>
      <c r="X9" s="201"/>
      <c r="Y9" s="201"/>
      <c r="Z9" s="201"/>
      <c r="AA9" s="201"/>
      <c r="AB9" s="201"/>
      <c r="AC9" s="201"/>
      <c r="AD9" s="201"/>
      <c r="AE9" s="201"/>
      <c r="AF9" s="201"/>
      <c r="AG9" s="201"/>
      <c r="AH9" s="201"/>
      <c r="AI9" s="201"/>
      <c r="AJ9" s="201"/>
      <c r="AK9" s="201"/>
      <c r="AL9" s="201"/>
      <c r="AM9" s="201"/>
      <c r="AN9" s="201"/>
      <c r="AO9" s="201"/>
      <c r="AP9" s="201"/>
    </row>
    <row r="10" ht="15.75" customHeight="1">
      <c r="A10" s="184" t="s">
        <v>90</v>
      </c>
      <c r="B10" s="185" t="str">
        <f>VLOOKUP(A10,Jobmatch!A:G,2,0)</f>
        <v>AUXILIAR DE ENGENHARIA</v>
      </c>
      <c r="C10" s="186">
        <f>IFERROR(AVERAGEIF('Folha de Pagamento'!A:A,A10,'Folha de Pagamento'!J:J),"")</f>
        <v>2560</v>
      </c>
      <c r="D10" s="187">
        <v>10.0</v>
      </c>
      <c r="E10" s="185" t="str">
        <f>VLOOKUP(A10,Jobmatch!A:H,3,0)</f>
        <v>Urbanismo</v>
      </c>
      <c r="F10" s="188" t="s">
        <v>371</v>
      </c>
      <c r="G10" s="190" t="str">
        <f>VLOOKUP(A10,Jobmatch!A:I,4,0)</f>
        <v>30 - ADM PROJETOS</v>
      </c>
      <c r="H10" s="191" t="str">
        <f>VLOOKUP(A10,Jobmatch!A:I,5,0)</f>
        <v>Operacional</v>
      </c>
      <c r="I10" s="192">
        <f>VLOOKUP(A10,Jobmatch!A:I,6,0)</f>
        <v>207</v>
      </c>
      <c r="J10" s="190" t="str">
        <f>VLOOKUP(A10,Jobmatch!A:I,7,0)</f>
        <v>Auxiliar de Engenharia</v>
      </c>
      <c r="K10" s="193" t="str">
        <f>VLOOKUP(A10,Jobmatch!A:I,8,0)</f>
        <v>Indiferente</v>
      </c>
      <c r="L10" s="194" t="str">
        <f t="shared" si="2"/>
        <v>207Indiferente</v>
      </c>
      <c r="M10" s="195">
        <f>COUNTIF('Folha de Pagamento'!A:A,A10)</f>
        <v>1</v>
      </c>
      <c r="N10" s="238">
        <v>11.0</v>
      </c>
      <c r="O10" s="196">
        <f>IFERROR(VLOOKUP(L10,'C-01'!$D:$L,5,0),"")</f>
        <v>2644.47</v>
      </c>
      <c r="P10" s="196">
        <f>IFERROR(VLOOKUP(L10,'C-01'!$D:$L,6,0),"")</f>
        <v>2819.08</v>
      </c>
      <c r="Q10" s="196">
        <f>IFERROR(VLOOKUP(L10,'C-01'!$D:$L,7,0),"")</f>
        <v>2714.85</v>
      </c>
      <c r="R10" s="196">
        <f>IFERROR(VLOOKUP(L10,'C-01'!$D:$L,8,0),"")</f>
        <v>2941.58</v>
      </c>
      <c r="S10" s="197">
        <f>IFERROR(VLOOKUP(L10,'C-01'!$D:$L,9,0),"")</f>
        <v>3168.31</v>
      </c>
      <c r="T10" s="198">
        <f>IFS('Painel Geral'!$B$5="Mediana",IFERROR(IF(OR(C10="",Q10=0,Q10=""),"",($C10/$Q10)),""),'Painel Geral'!$B$5="Menor Salário",IFERROR(IF(OR(C10="",Q10=0,Q10=""),"",($C10/$N10)),""),'Painel Geral'!$B$5="1º Quartil",IFERROR(IF(OR(C10="",Q10=0,Q10=""),"",($C10/$O10)),""), 'Painel Geral'!$B$5="Média",IFERROR(IF(OR(C10="",Q10=0,Q10=""),"",($C10/$P10)),""),'Painel Geral'!$B$5="3º Quartil",IFERROR(IF(OR(C10="",Q10=0,Q10=""),"",($C10/$R10)),""),'Painel Geral'!$B$5="Maior Salário",IFERROR(IF(OR(C10="",Q10=0,Q10=""),"",($C10/$S10)),""))</f>
        <v>0.9429618579</v>
      </c>
      <c r="U10" s="199" t="str">
        <f t="shared" si="3"/>
        <v>Na Média</v>
      </c>
      <c r="V10" s="201"/>
      <c r="W10" s="201"/>
      <c r="X10" s="201"/>
      <c r="Y10" s="201"/>
      <c r="Z10" s="201"/>
      <c r="AA10" s="201"/>
      <c r="AB10" s="201"/>
      <c r="AC10" s="201"/>
      <c r="AD10" s="201"/>
      <c r="AE10" s="201"/>
      <c r="AF10" s="201"/>
      <c r="AG10" s="201"/>
      <c r="AH10" s="201"/>
      <c r="AI10" s="201"/>
      <c r="AJ10" s="201"/>
      <c r="AK10" s="201"/>
      <c r="AL10" s="201"/>
      <c r="AM10" s="201"/>
      <c r="AN10" s="201"/>
      <c r="AO10" s="201"/>
      <c r="AP10" s="201"/>
    </row>
    <row r="11" ht="15.75" customHeight="1">
      <c r="A11" s="184" t="s">
        <v>67</v>
      </c>
      <c r="B11" s="185" t="str">
        <f>VLOOKUP(A11,Jobmatch!A:G,2,0)</f>
        <v>ASSISTENTE DE CONTROLADORIA III</v>
      </c>
      <c r="C11" s="186">
        <f>IFERROR(AVERAGEIF('Folha de Pagamento'!A:A,A11,'Folha de Pagamento'!J:J),"")</f>
        <v>3652</v>
      </c>
      <c r="D11" s="187">
        <v>3.0</v>
      </c>
      <c r="E11" s="185" t="str">
        <f>VLOOKUP(A11,Jobmatch!A:H,3,0)</f>
        <v>Controladoria</v>
      </c>
      <c r="F11" s="188" t="s">
        <v>337</v>
      </c>
      <c r="G11" s="190" t="str">
        <f>VLOOKUP(A11,Jobmatch!A:I,4,0)</f>
        <v>21 - ADM PROJETOS</v>
      </c>
      <c r="H11" s="191" t="str">
        <f>VLOOKUP(A11,Jobmatch!A:I,5,0)</f>
        <v>Operacional</v>
      </c>
      <c r="I11" s="192">
        <f>VLOOKUP(A11,Jobmatch!A:I,6,0)</f>
        <v>150</v>
      </c>
      <c r="J11" s="190" t="str">
        <f>VLOOKUP(A11,Jobmatch!A:I,7,0)</f>
        <v>Assistente de Controladoria</v>
      </c>
      <c r="K11" s="193" t="str">
        <f>VLOOKUP(A11,Jobmatch!A:I,8,0)</f>
        <v>Indiferente</v>
      </c>
      <c r="L11" s="194" t="str">
        <f t="shared" si="2"/>
        <v>150Indiferente</v>
      </c>
      <c r="M11" s="195">
        <f>COUNTIF('Folha de Pagamento'!A:A,A11)</f>
        <v>1</v>
      </c>
      <c r="N11" s="238">
        <v>11.0</v>
      </c>
      <c r="O11" s="196">
        <f>IFERROR(VLOOKUP(L11,'C-01'!$D:$L,5,0),"")</f>
        <v>2640.81</v>
      </c>
      <c r="P11" s="196">
        <f>IFERROR(VLOOKUP(L11,'C-01'!$D:$L,6,0),"")</f>
        <v>2821.08</v>
      </c>
      <c r="Q11" s="196">
        <f>IFERROR(VLOOKUP(L11,'C-01'!$D:$L,7,0),"")</f>
        <v>2766.4</v>
      </c>
      <c r="R11" s="196">
        <f>IFERROR(VLOOKUP(L11,'C-01'!$D:$L,8,0),"")</f>
        <v>3222.24</v>
      </c>
      <c r="S11" s="197">
        <f>IFERROR(VLOOKUP(L11,'C-01'!$D:$L,9,0),"")</f>
        <v>3327.42</v>
      </c>
      <c r="T11" s="198">
        <f>IFS('Painel Geral'!$B$5="Mediana",IFERROR(IF(OR(C11="",Q11=0,Q11=""),"",($C11/$Q11)),""),'Painel Geral'!$B$5="Menor Salário",IFERROR(IF(OR(C11="",Q11=0,Q11=""),"",($C11/$N11)),""),'Painel Geral'!$B$5="1º Quartil",IFERROR(IF(OR(C11="",Q11=0,Q11=""),"",($C11/$O11)),""), 'Painel Geral'!$B$5="Média",IFERROR(IF(OR(C11="",Q11=0,Q11=""),"",($C11/$P11)),""),'Painel Geral'!$B$5="3º Quartil",IFERROR(IF(OR(C11="",Q11=0,Q11=""),"",($C11/$R11)),""),'Painel Geral'!$B$5="Maior Salário",IFERROR(IF(OR(C11="",Q11=0,Q11=""),"",($C11/$S11)),""))</f>
        <v>1.320127241</v>
      </c>
      <c r="U11" s="199" t="str">
        <f t="shared" si="3"/>
        <v>Agressivo</v>
      </c>
      <c r="V11" s="201"/>
      <c r="W11" s="201"/>
      <c r="X11" s="201"/>
      <c r="Y11" s="201"/>
      <c r="Z11" s="201"/>
      <c r="AA11" s="201"/>
      <c r="AB11" s="201"/>
      <c r="AC11" s="201"/>
      <c r="AD11" s="201"/>
      <c r="AE11" s="201"/>
      <c r="AF11" s="201"/>
      <c r="AG11" s="201"/>
      <c r="AH11" s="201"/>
      <c r="AI11" s="201"/>
      <c r="AJ11" s="201"/>
      <c r="AK11" s="201"/>
      <c r="AL11" s="201"/>
      <c r="AM11" s="201"/>
      <c r="AN11" s="201"/>
      <c r="AO11" s="201"/>
      <c r="AP11" s="201"/>
    </row>
    <row r="12" ht="15.75" customHeight="1">
      <c r="A12" s="184" t="s">
        <v>72</v>
      </c>
      <c r="B12" s="185" t="str">
        <f>VLOOKUP(A12,Jobmatch!A:G,2,0)</f>
        <v>ASSISTENTE DE MARKETING</v>
      </c>
      <c r="C12" s="186">
        <f>IFERROR(AVERAGEIF('Folha de Pagamento'!A:A,A12,'Folha de Pagamento'!J:J),"")</f>
        <v>2919</v>
      </c>
      <c r="D12" s="187">
        <v>8.0</v>
      </c>
      <c r="E12" s="185" t="str">
        <f>VLOOKUP(A12,Jobmatch!A:H,3,0)</f>
        <v>Marketing</v>
      </c>
      <c r="F12" s="188" t="s">
        <v>362</v>
      </c>
      <c r="G12" s="190" t="str">
        <f>VLOOKUP(A12,Jobmatch!A:I,4,0)</f>
        <v>23 - ADM PROJETOS</v>
      </c>
      <c r="H12" s="191" t="str">
        <f>VLOOKUP(A12,Jobmatch!A:I,5,0)</f>
        <v>Operacional</v>
      </c>
      <c r="I12" s="192">
        <f>VLOOKUP(A12,Jobmatch!A:I,6,0)</f>
        <v>71</v>
      </c>
      <c r="J12" s="190" t="str">
        <f>VLOOKUP(A12,Jobmatch!A:I,7,0)</f>
        <v>Assistente de Marketing</v>
      </c>
      <c r="K12" s="193" t="str">
        <f>VLOOKUP(A12,Jobmatch!A:I,8,0)</f>
        <v>Indiferente</v>
      </c>
      <c r="L12" s="194" t="str">
        <f t="shared" si="2"/>
        <v>71Indiferente</v>
      </c>
      <c r="M12" s="195">
        <f>COUNTIF('Folha de Pagamento'!A:A,A12)</f>
        <v>1</v>
      </c>
      <c r="N12" s="238">
        <v>11.0</v>
      </c>
      <c r="O12" s="196">
        <f>IFERROR(VLOOKUP(L12,'C-01'!$D:$L,5,0),"")</f>
        <v>2720.21</v>
      </c>
      <c r="P12" s="196">
        <f>IFERROR(VLOOKUP(L12,'C-01'!$D:$L,6,0),"")</f>
        <v>3016.74</v>
      </c>
      <c r="Q12" s="196">
        <f>IFERROR(VLOOKUP(L12,'C-01'!$D:$L,7,0),"")</f>
        <v>2882.27</v>
      </c>
      <c r="R12" s="196">
        <f>IFERROR(VLOOKUP(L12,'C-01'!$D:$L,8,0),"")</f>
        <v>3152.81</v>
      </c>
      <c r="S12" s="197">
        <f>IFERROR(VLOOKUP(L12,'C-01'!$D:$L,9,0),"")</f>
        <v>4078.78</v>
      </c>
      <c r="T12" s="198">
        <f>IFS('Painel Geral'!$B$5="Mediana",IFERROR(IF(OR(C12="",Q12=0,Q12=""),"",($C12/$Q12)),""),'Painel Geral'!$B$5="Menor Salário",IFERROR(IF(OR(C12="",Q12=0,Q12=""),"",($C12/$N12)),""),'Painel Geral'!$B$5="1º Quartil",IFERROR(IF(OR(C12="",Q12=0,Q12=""),"",($C12/$O12)),""), 'Painel Geral'!$B$5="Média",IFERROR(IF(OR(C12="",Q12=0,Q12=""),"",($C12/$P12)),""),'Painel Geral'!$B$5="3º Quartil",IFERROR(IF(OR(C12="",Q12=0,Q12=""),"",($C12/$R12)),""),'Painel Geral'!$B$5="Maior Salário",IFERROR(IF(OR(C12="",Q12=0,Q12=""),"",($C12/$S12)),""))</f>
        <v>1.012743428</v>
      </c>
      <c r="U12" s="199" t="str">
        <f t="shared" si="3"/>
        <v>Competitivo</v>
      </c>
      <c r="V12" s="201"/>
      <c r="W12" s="201"/>
      <c r="X12" s="201"/>
      <c r="Y12" s="201"/>
      <c r="Z12" s="201"/>
      <c r="AA12" s="201"/>
      <c r="AB12" s="201"/>
      <c r="AC12" s="201"/>
      <c r="AD12" s="201"/>
      <c r="AE12" s="201"/>
      <c r="AF12" s="201"/>
      <c r="AG12" s="201"/>
      <c r="AH12" s="201"/>
      <c r="AI12" s="201"/>
      <c r="AJ12" s="201"/>
      <c r="AK12" s="201"/>
      <c r="AL12" s="201"/>
      <c r="AM12" s="201"/>
      <c r="AN12" s="201"/>
      <c r="AO12" s="201"/>
      <c r="AP12" s="201"/>
    </row>
    <row r="13" ht="15.75" customHeight="1">
      <c r="A13" s="184" t="s">
        <v>74</v>
      </c>
      <c r="B13" s="185" t="str">
        <f>VLOOKUP(A13,Jobmatch!A:G,2,0)</f>
        <v>ASSISTENTE DE RECURSOS HUMANOS</v>
      </c>
      <c r="C13" s="186">
        <f>IFERROR(AVERAGEIF('Folha de Pagamento'!A:A,A13,'Folha de Pagamento'!J:J),"")</f>
        <v>2919</v>
      </c>
      <c r="D13" s="187">
        <v>4.0</v>
      </c>
      <c r="E13" s="185" t="str">
        <f>VLOOKUP(A13,Jobmatch!A:H,3,0)</f>
        <v>DHO</v>
      </c>
      <c r="F13" s="188" t="s">
        <v>340</v>
      </c>
      <c r="G13" s="190" t="str">
        <f>VLOOKUP(A13,Jobmatch!A:I,4,0)</f>
        <v>24 - ADM PROJETOS</v>
      </c>
      <c r="H13" s="191" t="str">
        <f>VLOOKUP(A13,Jobmatch!A:I,5,0)</f>
        <v>Operacional</v>
      </c>
      <c r="I13" s="192">
        <f>VLOOKUP(A13,Jobmatch!A:I,6,0)</f>
        <v>77</v>
      </c>
      <c r="J13" s="190" t="str">
        <f>VLOOKUP(A13,Jobmatch!A:I,7,0)</f>
        <v>Assistente de Recursos Humanos</v>
      </c>
      <c r="K13" s="193" t="str">
        <f>VLOOKUP(A13,Jobmatch!A:I,8,0)</f>
        <v>Indiferente</v>
      </c>
      <c r="L13" s="194" t="str">
        <f t="shared" si="2"/>
        <v>77Indiferente</v>
      </c>
      <c r="M13" s="195">
        <f>COUNTIF('Folha de Pagamento'!A:A,A13)</f>
        <v>1</v>
      </c>
      <c r="N13" s="238">
        <v>12.0</v>
      </c>
      <c r="O13" s="196">
        <f>IFERROR(VLOOKUP(L13,'C-01'!$D:$L,5,0),"")</f>
        <v>2619.08</v>
      </c>
      <c r="P13" s="196">
        <f>IFERROR(VLOOKUP(L13,'C-01'!$D:$L,6,0),"")</f>
        <v>3097.88</v>
      </c>
      <c r="Q13" s="196">
        <f>IFERROR(VLOOKUP(L13,'C-01'!$D:$L,7,0),"")</f>
        <v>3080.23</v>
      </c>
      <c r="R13" s="196">
        <f>IFERROR(VLOOKUP(L13,'C-01'!$D:$L,8,0),"")</f>
        <v>3491.33</v>
      </c>
      <c r="S13" s="197">
        <f>IFERROR(VLOOKUP(L13,'C-01'!$D:$L,9,0),"")</f>
        <v>4078.78</v>
      </c>
      <c r="T13" s="198">
        <f>IFS('Painel Geral'!$B$5="Mediana",IFERROR(IF(OR(C13="",Q13=0,Q13=""),"",($C13/$Q13)),""),'Painel Geral'!$B$5="Menor Salário",IFERROR(IF(OR(C13="",Q13=0,Q13=""),"",($C13/$N13)),""),'Painel Geral'!$B$5="1º Quartil",IFERROR(IF(OR(C13="",Q13=0,Q13=""),"",($C13/$O13)),""), 'Painel Geral'!$B$5="Média",IFERROR(IF(OR(C13="",Q13=0,Q13=""),"",($C13/$P13)),""),'Painel Geral'!$B$5="3º Quartil",IFERROR(IF(OR(C13="",Q13=0,Q13=""),"",($C13/$R13)),""),'Painel Geral'!$B$5="Maior Salário",IFERROR(IF(OR(C13="",Q13=0,Q13=""),"",($C13/$S13)),""))</f>
        <v>0.9476565062</v>
      </c>
      <c r="U13" s="199" t="str">
        <f t="shared" si="3"/>
        <v>Na Média</v>
      </c>
      <c r="V13" s="201"/>
      <c r="W13" s="201"/>
      <c r="X13" s="201"/>
      <c r="Y13" s="201"/>
      <c r="Z13" s="201"/>
      <c r="AA13" s="201"/>
      <c r="AB13" s="201"/>
      <c r="AC13" s="201"/>
      <c r="AD13" s="201"/>
      <c r="AE13" s="201"/>
      <c r="AF13" s="201"/>
      <c r="AG13" s="201"/>
      <c r="AH13" s="201"/>
      <c r="AI13" s="201"/>
      <c r="AJ13" s="201"/>
      <c r="AK13" s="201"/>
      <c r="AL13" s="201"/>
      <c r="AM13" s="201"/>
      <c r="AN13" s="201"/>
      <c r="AO13" s="201"/>
      <c r="AP13" s="201"/>
    </row>
    <row r="14" ht="15.75" customHeight="1">
      <c r="A14" s="184" t="s">
        <v>18</v>
      </c>
      <c r="B14" s="185" t="str">
        <f>VLOOKUP(A14,Jobmatch!A:G,2,0)</f>
        <v>ALMOXARIFE</v>
      </c>
      <c r="C14" s="186">
        <f>IFERROR(AVERAGEIF('Folha de Pagamento'!A:A,A14,'Folha de Pagamento'!J:J),"")</f>
        <v>3683</v>
      </c>
      <c r="D14" s="187">
        <v>5.0</v>
      </c>
      <c r="E14" s="185" t="str">
        <f>VLOOKUP(A14,Jobmatch!A:H,3,0)</f>
        <v>Edificação</v>
      </c>
      <c r="F14" s="188" t="s">
        <v>211</v>
      </c>
      <c r="G14" s="190" t="str">
        <f>VLOOKUP(A14,Jobmatch!A:I,4,0)</f>
        <v>8 - ADM PROJETOS</v>
      </c>
      <c r="H14" s="191" t="str">
        <f>VLOOKUP(A14,Jobmatch!A:I,5,0)</f>
        <v>Operacional</v>
      </c>
      <c r="I14" s="192">
        <f>VLOOKUP(A14,Jobmatch!A:I,6,0)</f>
        <v>203</v>
      </c>
      <c r="J14" s="190" t="str">
        <f>VLOOKUP(A14,Jobmatch!A:I,7,0)</f>
        <v>Almoxarife</v>
      </c>
      <c r="K14" s="193" t="str">
        <f>VLOOKUP(A14,Jobmatch!A:I,8,0)</f>
        <v>Indiferente</v>
      </c>
      <c r="L14" s="194" t="str">
        <f t="shared" si="2"/>
        <v>203Indiferente</v>
      </c>
      <c r="M14" s="195">
        <f>COUNTIF('Folha de Pagamento'!A:A,A14)</f>
        <v>2</v>
      </c>
      <c r="N14" s="238">
        <v>12.0</v>
      </c>
      <c r="O14" s="196">
        <f>IFERROR(VLOOKUP(L14,'C-01'!$D:$L,5,0),"")</f>
        <v>3088.9</v>
      </c>
      <c r="P14" s="196">
        <f>IFERROR(VLOOKUP(L14,'C-01'!$D:$L,6,0),"")</f>
        <v>3397.38</v>
      </c>
      <c r="Q14" s="196">
        <f>IFERROR(VLOOKUP(L14,'C-01'!$D:$L,7,0),"")</f>
        <v>3088.9</v>
      </c>
      <c r="R14" s="196">
        <f>IFERROR(VLOOKUP(L14,'C-01'!$D:$L,8,0),"")</f>
        <v>3703.26</v>
      </c>
      <c r="S14" s="197">
        <f>IFERROR(VLOOKUP(L14,'C-01'!$D:$L,9,0),"")</f>
        <v>4425.21</v>
      </c>
      <c r="T14" s="198">
        <f>IFS('Painel Geral'!$B$5="Mediana",IFERROR(IF(OR(C14="",Q14=0,Q14=""),"",($C14/$Q14)),""),'Painel Geral'!$B$5="Menor Salário",IFERROR(IF(OR(C14="",Q14=0,Q14=""),"",($C14/$N14)),""),'Painel Geral'!$B$5="1º Quartil",IFERROR(IF(OR(C14="",Q14=0,Q14=""),"",($C14/$O14)),""), 'Painel Geral'!$B$5="Média",IFERROR(IF(OR(C14="",Q14=0,Q14=""),"",($C14/$P14)),""),'Painel Geral'!$B$5="3º Quartil",IFERROR(IF(OR(C14="",Q14=0,Q14=""),"",($C14/$R14)),""),'Painel Geral'!$B$5="Maior Salário",IFERROR(IF(OR(C14="",Q14=0,Q14=""),"",($C14/$S14)),""))</f>
        <v>1.192333841</v>
      </c>
      <c r="U14" s="199" t="str">
        <f t="shared" si="3"/>
        <v>Muito Competitivo</v>
      </c>
      <c r="V14" s="201"/>
      <c r="W14" s="201"/>
      <c r="X14" s="201"/>
      <c r="Y14" s="201"/>
      <c r="Z14" s="201"/>
      <c r="AA14" s="201"/>
      <c r="AB14" s="201"/>
      <c r="AC14" s="201"/>
      <c r="AD14" s="201"/>
      <c r="AE14" s="201"/>
      <c r="AF14" s="201"/>
      <c r="AG14" s="201"/>
      <c r="AH14" s="201"/>
      <c r="AI14" s="201"/>
      <c r="AJ14" s="201"/>
      <c r="AK14" s="201"/>
      <c r="AL14" s="201"/>
      <c r="AM14" s="201"/>
      <c r="AN14" s="201"/>
      <c r="AO14" s="201"/>
      <c r="AP14" s="201"/>
    </row>
    <row r="15" ht="15.75" customHeight="1">
      <c r="A15" s="184" t="s">
        <v>61</v>
      </c>
      <c r="B15" s="185" t="str">
        <f>VLOOKUP(A15,Jobmatch!A:G,2,0)</f>
        <v>ASSISTENTE ADM DE LEGALIZAÇÃO III</v>
      </c>
      <c r="C15" s="186">
        <f>IFERROR(AVERAGEIF('Folha de Pagamento'!A:A,A15,'Folha de Pagamento'!J:J),"")</f>
        <v>3652</v>
      </c>
      <c r="D15" s="187">
        <v>7.0</v>
      </c>
      <c r="E15" s="185" t="str">
        <f>VLOOKUP(A15,Jobmatch!A:H,3,0)</f>
        <v>Legalização </v>
      </c>
      <c r="F15" s="188" t="s">
        <v>358</v>
      </c>
      <c r="G15" s="190" t="str">
        <f>VLOOKUP(A15,Jobmatch!A:I,4,0)</f>
        <v>19 - ADM PROJETOS</v>
      </c>
      <c r="H15" s="191" t="str">
        <f>VLOOKUP(A15,Jobmatch!A:I,5,0)</f>
        <v>Operacional</v>
      </c>
      <c r="I15" s="192">
        <f>VLOOKUP(A15,Jobmatch!A:I,6,0)</f>
        <v>1201</v>
      </c>
      <c r="J15" s="190" t="str">
        <f>VLOOKUP(A15,Jobmatch!A:I,7,0)</f>
        <v>Assistente de Legalização</v>
      </c>
      <c r="K15" s="193" t="str">
        <f>VLOOKUP(A15,Jobmatch!A:I,8,0)</f>
        <v>Indiferente</v>
      </c>
      <c r="L15" s="194" t="str">
        <f t="shared" si="2"/>
        <v>1201Indiferente</v>
      </c>
      <c r="M15" s="195">
        <f>COUNTIF('Folha de Pagamento'!A:A,A15)</f>
        <v>2</v>
      </c>
      <c r="N15" s="238">
        <v>12.0</v>
      </c>
      <c r="O15" s="196">
        <f>IFERROR(VLOOKUP(L15,'C-01'!$D:$L,5,0),"")</f>
        <v>2803.34</v>
      </c>
      <c r="P15" s="196">
        <f>IFERROR(VLOOKUP(L15,'C-01'!$D:$L,6,0),"")</f>
        <v>3092.92</v>
      </c>
      <c r="Q15" s="196">
        <f>IFERROR(VLOOKUP(L15,'C-01'!$D:$L,7,0),"")</f>
        <v>3092.92</v>
      </c>
      <c r="R15" s="196">
        <f>IFERROR(VLOOKUP(L15,'C-01'!$D:$L,8,0),"")</f>
        <v>3382.51</v>
      </c>
      <c r="S15" s="197">
        <f>IFERROR(VLOOKUP(L15,'C-01'!$D:$L,9,0),"")</f>
        <v>3672.09</v>
      </c>
      <c r="T15" s="198">
        <f>IFS('Painel Geral'!$B$5="Mediana",IFERROR(IF(OR(C15="",Q15=0,Q15=""),"",($C15/$Q15)),""),'Painel Geral'!$B$5="Menor Salário",IFERROR(IF(OR(C15="",Q15=0,Q15=""),"",($C15/$N15)),""),'Painel Geral'!$B$5="1º Quartil",IFERROR(IF(OR(C15="",Q15=0,Q15=""),"",($C15/$O15)),""), 'Painel Geral'!$B$5="Média",IFERROR(IF(OR(C15="",Q15=0,Q15=""),"",($C15/$P15)),""),'Painel Geral'!$B$5="3º Quartil",IFERROR(IF(OR(C15="",Q15=0,Q15=""),"",($C15/$R15)),""),'Painel Geral'!$B$5="Maior Salário",IFERROR(IF(OR(C15="",Q15=0,Q15=""),"",($C15/$S15)),""))</f>
        <v>1.180761222</v>
      </c>
      <c r="U15" s="199" t="str">
        <f t="shared" si="3"/>
        <v>Muito Competitivo</v>
      </c>
      <c r="V15" s="201"/>
      <c r="W15" s="201"/>
      <c r="X15" s="201"/>
      <c r="Y15" s="201"/>
      <c r="Z15" s="201"/>
      <c r="AA15" s="201"/>
      <c r="AB15" s="201"/>
      <c r="AC15" s="201"/>
      <c r="AD15" s="201"/>
      <c r="AE15" s="201"/>
      <c r="AF15" s="201"/>
      <c r="AG15" s="201"/>
      <c r="AH15" s="201"/>
      <c r="AI15" s="201"/>
      <c r="AJ15" s="201"/>
      <c r="AK15" s="218"/>
      <c r="AL15" s="218"/>
      <c r="AM15" s="218"/>
      <c r="AN15" s="218"/>
      <c r="AO15" s="218"/>
      <c r="AP15" s="218">
        <v>0.03</v>
      </c>
    </row>
    <row r="16" ht="15.75" customHeight="1">
      <c r="A16" s="184" t="s">
        <v>58</v>
      </c>
      <c r="B16" s="185" t="str">
        <f>VLOOKUP(A16,Jobmatch!A:G,2,0)</f>
        <v>ANALISTA FINANCEIRO I</v>
      </c>
      <c r="C16" s="186">
        <f>IFERROR(AVERAGEIF('Folha de Pagamento'!A:A,A16,'Folha de Pagamento'!J:J),"")</f>
        <v>3993</v>
      </c>
      <c r="D16" s="187">
        <v>6.0</v>
      </c>
      <c r="E16" s="185" t="str">
        <f>VLOOKUP(A16,Jobmatch!A:H,3,0)</f>
        <v>Financeiro</v>
      </c>
      <c r="F16" s="188" t="s">
        <v>353</v>
      </c>
      <c r="G16" s="190" t="str">
        <f>VLOOKUP(A16,Jobmatch!A:I,4,0)</f>
        <v>18 - ADM PROJETOS</v>
      </c>
      <c r="H16" s="191" t="str">
        <f>VLOOKUP(A16,Jobmatch!A:I,5,0)</f>
        <v>Operacional</v>
      </c>
      <c r="I16" s="192">
        <f>VLOOKUP(A16,Jobmatch!A:I,6,0)</f>
        <v>16</v>
      </c>
      <c r="J16" s="190" t="str">
        <f>VLOOKUP(A16,Jobmatch!A:I,7,0)</f>
        <v>Analista Financeiro</v>
      </c>
      <c r="K16" s="193" t="str">
        <f>VLOOKUP(A16,Jobmatch!A:I,8,0)</f>
        <v>Júnior</v>
      </c>
      <c r="L16" s="194" t="str">
        <f t="shared" si="2"/>
        <v>16Júnior</v>
      </c>
      <c r="M16" s="195">
        <f>COUNTIF('Folha de Pagamento'!A:A,A16)</f>
        <v>1</v>
      </c>
      <c r="N16" s="238">
        <v>13.0</v>
      </c>
      <c r="O16" s="196">
        <f>IFERROR(VLOOKUP(L16,'C-01'!$D:$L,5,0),"")</f>
        <v>3176.35</v>
      </c>
      <c r="P16" s="196">
        <f>IFERROR(VLOOKUP(L16,'C-01'!$D:$L,6,0),"")</f>
        <v>3539.11</v>
      </c>
      <c r="Q16" s="196">
        <f>IFERROR(VLOOKUP(L16,'C-01'!$D:$L,7,0),"")</f>
        <v>3493.97</v>
      </c>
      <c r="R16" s="196">
        <f>IFERROR(VLOOKUP(L16,'C-01'!$D:$L,8,0),"")</f>
        <v>3798.49</v>
      </c>
      <c r="S16" s="197">
        <f>IFERROR(VLOOKUP(L16,'C-01'!$D:$L,9,0),"")</f>
        <v>4392.23</v>
      </c>
      <c r="T16" s="198">
        <f>IFS('Painel Geral'!$B$5="Mediana",IFERROR(IF(OR(C16="",Q16=0,Q16=""),"",($C16/$Q16)),""),'Painel Geral'!$B$5="Menor Salário",IFERROR(IF(OR(C16="",Q16=0,Q16=""),"",($C16/$N16)),""),'Painel Geral'!$B$5="1º Quartil",IFERROR(IF(OR(C16="",Q16=0,Q16=""),"",($C16/$O16)),""), 'Painel Geral'!$B$5="Média",IFERROR(IF(OR(C16="",Q16=0,Q16=""),"",($C16/$P16)),""),'Painel Geral'!$B$5="3º Quartil",IFERROR(IF(OR(C16="",Q16=0,Q16=""),"",($C16/$R16)),""),'Painel Geral'!$B$5="Maior Salário",IFERROR(IF(OR(C16="",Q16=0,Q16=""),"",($C16/$S16)),""))</f>
        <v>1.142826069</v>
      </c>
      <c r="U16" s="199" t="str">
        <f t="shared" si="3"/>
        <v>Muito Competitivo</v>
      </c>
      <c r="V16" s="201"/>
      <c r="W16" s="201"/>
      <c r="X16" s="201"/>
      <c r="Y16" s="201"/>
      <c r="Z16" s="201"/>
      <c r="AA16" s="201"/>
      <c r="AB16" s="201"/>
      <c r="AC16" s="201"/>
      <c r="AD16" s="201"/>
      <c r="AE16" s="201"/>
      <c r="AF16" s="201"/>
      <c r="AG16" s="201"/>
      <c r="AH16" s="201"/>
      <c r="AI16" s="201"/>
      <c r="AJ16" s="201"/>
      <c r="AK16" s="201"/>
      <c r="AL16" s="201"/>
      <c r="AM16" s="201"/>
      <c r="AN16" s="201"/>
      <c r="AO16" s="201"/>
      <c r="AP16" s="201"/>
    </row>
    <row r="17" ht="15.75" customHeight="1">
      <c r="A17" s="184" t="s">
        <v>43</v>
      </c>
      <c r="B17" s="185" t="str">
        <f>VLOOKUP(A17,Jobmatch!A:G,2,0)</f>
        <v>ANALISTA DE MARKETING l</v>
      </c>
      <c r="C17" s="186">
        <f>IFERROR(AVERAGEIF('Folha de Pagamento'!A:A,A17,'Folha de Pagamento'!J:J),"")</f>
        <v>4025.88</v>
      </c>
      <c r="D17" s="187">
        <v>8.0</v>
      </c>
      <c r="E17" s="185" t="str">
        <f>VLOOKUP(A17,Jobmatch!A:H,3,0)</f>
        <v>Marketing</v>
      </c>
      <c r="F17" s="188" t="s">
        <v>361</v>
      </c>
      <c r="G17" s="190" t="str">
        <f>VLOOKUP(A17,Jobmatch!A:I,4,0)</f>
        <v>13 - ADM PROJETOS</v>
      </c>
      <c r="H17" s="191" t="str">
        <f>VLOOKUP(A17,Jobmatch!A:I,5,0)</f>
        <v>Operacional</v>
      </c>
      <c r="I17" s="192">
        <f>VLOOKUP(A17,Jobmatch!A:I,6,0)</f>
        <v>42</v>
      </c>
      <c r="J17" s="190" t="str">
        <f>VLOOKUP(A17,Jobmatch!A:I,7,0)</f>
        <v>Analista de Marketing</v>
      </c>
      <c r="K17" s="193" t="str">
        <f>VLOOKUP(A17,Jobmatch!A:I,8,0)</f>
        <v>Júnior</v>
      </c>
      <c r="L17" s="194" t="str">
        <f t="shared" si="2"/>
        <v>42Júnior</v>
      </c>
      <c r="M17" s="195">
        <f>COUNTIF('Folha de Pagamento'!A:A,A17)</f>
        <v>1</v>
      </c>
      <c r="N17" s="238">
        <v>13.0</v>
      </c>
      <c r="O17" s="196">
        <f>IFERROR(VLOOKUP(L17,'C-01'!$D:$L,5,0),"")</f>
        <v>3503.85</v>
      </c>
      <c r="P17" s="196">
        <f>IFERROR(VLOOKUP(L17,'C-01'!$D:$L,6,0),"")</f>
        <v>3792.81</v>
      </c>
      <c r="Q17" s="196">
        <f>IFERROR(VLOOKUP(L17,'C-01'!$D:$L,7,0),"")</f>
        <v>3674.96</v>
      </c>
      <c r="R17" s="196">
        <f>IFERROR(VLOOKUP(L17,'C-01'!$D:$L,8,0),"")</f>
        <v>3977.13</v>
      </c>
      <c r="S17" s="197">
        <f>IFERROR(VLOOKUP(L17,'C-01'!$D:$L,9,0),"")</f>
        <v>5225.68</v>
      </c>
      <c r="T17" s="198">
        <f>IFS('Painel Geral'!$B$5="Mediana",IFERROR(IF(OR(C17="",Q17=0,Q17=""),"",($C17/$Q17)),""),'Painel Geral'!$B$5="Menor Salário",IFERROR(IF(OR(C17="",Q17=0,Q17=""),"",($C17/$N17)),""),'Painel Geral'!$B$5="1º Quartil",IFERROR(IF(OR(C17="",Q17=0,Q17=""),"",($C17/$O17)),""), 'Painel Geral'!$B$5="Média",IFERROR(IF(OR(C17="",Q17=0,Q17=""),"",($C17/$P17)),""),'Painel Geral'!$B$5="3º Quartil",IFERROR(IF(OR(C17="",Q17=0,Q17=""),"",($C17/$R17)),""),'Painel Geral'!$B$5="Maior Salário",IFERROR(IF(OR(C17="",Q17=0,Q17=""),"",($C17/$S17)),""))</f>
        <v>1.095489475</v>
      </c>
      <c r="U17" s="199" t="str">
        <f t="shared" si="3"/>
        <v>Competitivo</v>
      </c>
      <c r="V17" s="201"/>
      <c r="W17" s="201"/>
      <c r="X17" s="201"/>
      <c r="Y17" s="201"/>
      <c r="Z17" s="201"/>
      <c r="AA17" s="201"/>
      <c r="AB17" s="201"/>
      <c r="AC17" s="201"/>
      <c r="AD17" s="201"/>
      <c r="AE17" s="201"/>
      <c r="AF17" s="201"/>
      <c r="AG17" s="201"/>
      <c r="AH17" s="201"/>
      <c r="AI17" s="201"/>
      <c r="AJ17" s="201"/>
      <c r="AK17" s="201"/>
      <c r="AL17" s="201"/>
      <c r="AM17" s="201"/>
      <c r="AN17" s="201"/>
      <c r="AO17" s="201"/>
      <c r="AP17" s="201"/>
    </row>
    <row r="18" ht="15.75" customHeight="1">
      <c r="A18" s="184" t="s">
        <v>70</v>
      </c>
      <c r="B18" s="185" t="str">
        <f>VLOOKUP(A18,Jobmatch!A:G,2,0)</f>
        <v>ASSISTENTE DE ENGENHARIA lll</v>
      </c>
      <c r="C18" s="186">
        <f>IFERROR(AVERAGEIF('Folha de Pagamento'!A:A,A18,'Folha de Pagamento'!J:J),"")</f>
        <v>3652</v>
      </c>
      <c r="D18" s="187">
        <v>5.0</v>
      </c>
      <c r="E18" s="185" t="str">
        <f>VLOOKUP(A18,Jobmatch!A:H,3,0)</f>
        <v>Edificação</v>
      </c>
      <c r="F18" s="188" t="s">
        <v>344</v>
      </c>
      <c r="G18" s="190" t="str">
        <f>VLOOKUP(A18,Jobmatch!A:I,4,0)</f>
        <v>22 - ADM PROJETOS</v>
      </c>
      <c r="H18" s="191" t="str">
        <f>VLOOKUP(A18,Jobmatch!A:I,5,0)</f>
        <v>Operacional</v>
      </c>
      <c r="I18" s="192">
        <f>VLOOKUP(A18,Jobmatch!A:I,6,0)</f>
        <v>531</v>
      </c>
      <c r="J18" s="190" t="str">
        <f>VLOOKUP(A18,Jobmatch!A:I,7,0)</f>
        <v>Assistente de Engenharia</v>
      </c>
      <c r="K18" s="193" t="str">
        <f>VLOOKUP(A18,Jobmatch!A:I,8,0)</f>
        <v>Indiferente</v>
      </c>
      <c r="L18" s="194" t="str">
        <f t="shared" si="2"/>
        <v>531Indiferente</v>
      </c>
      <c r="M18" s="195">
        <f>COUNTIF('Folha de Pagamento'!A:A,A18)</f>
        <v>1</v>
      </c>
      <c r="N18" s="238">
        <v>13.0</v>
      </c>
      <c r="O18" s="196">
        <f>IFERROR(VLOOKUP(L18,'C-01'!$D:$L,5,0),"")</f>
        <v>3945.44</v>
      </c>
      <c r="P18" s="196">
        <f>IFERROR(VLOOKUP(L18,'C-01'!$D:$L,6,0),"")</f>
        <v>4031.84</v>
      </c>
      <c r="Q18" s="196">
        <f>IFERROR(VLOOKUP(L18,'C-01'!$D:$L,7,0),"")</f>
        <v>3945.44</v>
      </c>
      <c r="R18" s="196">
        <f>IFERROR(VLOOKUP(L18,'C-01'!$D:$L,8,0),"")</f>
        <v>3945.44</v>
      </c>
      <c r="S18" s="197">
        <f>IFERROR(VLOOKUP(L18,'C-01'!$D:$L,9,0),"")</f>
        <v>5084.96</v>
      </c>
      <c r="T18" s="198">
        <f>IFS('Painel Geral'!$B$5="Mediana",IFERROR(IF(OR(C18="",Q18=0,Q18=""),"",($C18/$Q18)),""),'Painel Geral'!$B$5="Menor Salário",IFERROR(IF(OR(C18="",Q18=0,Q18=""),"",($C18/$N18)),""),'Painel Geral'!$B$5="1º Quartil",IFERROR(IF(OR(C18="",Q18=0,Q18=""),"",($C18/$O18)),""), 'Painel Geral'!$B$5="Média",IFERROR(IF(OR(C18="",Q18=0,Q18=""),"",($C18/$P18)),""),'Painel Geral'!$B$5="3º Quartil",IFERROR(IF(OR(C18="",Q18=0,Q18=""),"",($C18/$R18)),""),'Painel Geral'!$B$5="Maior Salário",IFERROR(IF(OR(C18="",Q18=0,Q18=""),"",($C18/$S18)),""))</f>
        <v>0.9256255323</v>
      </c>
      <c r="U18" s="199" t="str">
        <f t="shared" si="3"/>
        <v>Na Média</v>
      </c>
      <c r="V18" s="201"/>
      <c r="W18" s="201"/>
      <c r="X18" s="201"/>
      <c r="Y18" s="201"/>
      <c r="Z18" s="201"/>
      <c r="AA18" s="201"/>
      <c r="AB18" s="201"/>
      <c r="AC18" s="201"/>
      <c r="AD18" s="201"/>
      <c r="AE18" s="201"/>
      <c r="AF18" s="201"/>
      <c r="AG18" s="201"/>
      <c r="AH18" s="201"/>
      <c r="AI18" s="201"/>
      <c r="AJ18" s="201"/>
      <c r="AK18" s="239">
        <v>1907.0</v>
      </c>
      <c r="AL18" s="220">
        <f>AK18*AN27</f>
        <v>1922.469798</v>
      </c>
      <c r="AM18" s="221"/>
      <c r="AN18" s="201"/>
      <c r="AO18" s="201"/>
      <c r="AP18" s="201"/>
    </row>
    <row r="19" ht="15.75" customHeight="1">
      <c r="A19" s="184" t="s">
        <v>186</v>
      </c>
      <c r="B19" s="185" t="str">
        <f>VLOOKUP(A19,Jobmatch!A:G,2,0)</f>
        <v>TECNOLOGO EM CONSTRUÇÃO DE EDIFICIOS</v>
      </c>
      <c r="C19" s="186">
        <f>IFERROR(AVERAGEIF('Folha de Pagamento'!A:A,A19,'Folha de Pagamento'!J:J),"")</f>
        <v>8585</v>
      </c>
      <c r="D19" s="187">
        <v>5.0</v>
      </c>
      <c r="E19" s="185" t="str">
        <f>VLOOKUP(A19,Jobmatch!A:H,3,0)</f>
        <v>Edificação</v>
      </c>
      <c r="F19" s="188" t="s">
        <v>350</v>
      </c>
      <c r="G19" s="190" t="str">
        <f>VLOOKUP(A19,Jobmatch!A:I,4,0)</f>
        <v>61 - ADM PROJETOS</v>
      </c>
      <c r="H19" s="191" t="str">
        <f>VLOOKUP(A19,Jobmatch!A:I,5,0)</f>
        <v>Operacional</v>
      </c>
      <c r="I19" s="192">
        <f>VLOOKUP(A19,Jobmatch!A:I,6,0)</f>
        <v>269</v>
      </c>
      <c r="J19" s="190" t="str">
        <f>VLOOKUP(A19,Jobmatch!A:I,7,0)</f>
        <v>Técnico em Edificações</v>
      </c>
      <c r="K19" s="193" t="str">
        <f>VLOOKUP(A19,Jobmatch!A:I,8,0)</f>
        <v>Indiferente</v>
      </c>
      <c r="L19" s="194" t="str">
        <f t="shared" si="2"/>
        <v>269Indiferente</v>
      </c>
      <c r="M19" s="195">
        <f>COUNTIF('Folha de Pagamento'!A:A,A19)</f>
        <v>1</v>
      </c>
      <c r="N19" s="238">
        <v>14.0</v>
      </c>
      <c r="O19" s="196">
        <f>IFERROR(VLOOKUP(L19,'C-01'!$D:$L,5,0),"")</f>
        <v>3732.17</v>
      </c>
      <c r="P19" s="196">
        <f>IFERROR(VLOOKUP(L19,'C-01'!$D:$L,6,0),"")</f>
        <v>4583.42</v>
      </c>
      <c r="Q19" s="196">
        <f>IFERROR(VLOOKUP(L19,'C-01'!$D:$L,7,0),"")</f>
        <v>4022.01</v>
      </c>
      <c r="R19" s="196">
        <f>IFERROR(VLOOKUP(L19,'C-01'!$D:$L,8,0),"")</f>
        <v>4417.17</v>
      </c>
      <c r="S19" s="197">
        <f>IFERROR(VLOOKUP(L19,'C-01'!$D:$L,9,0),"")</f>
        <v>9075.39</v>
      </c>
      <c r="T19" s="198">
        <f>IFS('Painel Geral'!$B$5="Mediana",IFERROR(IF(OR(C19="",Q19=0,Q19=""),"",($C19/$Q19)),""),'Painel Geral'!$B$5="Menor Salário",IFERROR(IF(OR(C19="",Q19=0,Q19=""),"",($C19/$N19)),""),'Painel Geral'!$B$5="1º Quartil",IFERROR(IF(OR(C19="",Q19=0,Q19=""),"",($C19/$O19)),""), 'Painel Geral'!$B$5="Média",IFERROR(IF(OR(C19="",Q19=0,Q19=""),"",($C19/$P19)),""),'Painel Geral'!$B$5="3º Quartil",IFERROR(IF(OR(C19="",Q19=0,Q19=""),"",($C19/$R19)),""),'Painel Geral'!$B$5="Maior Salário",IFERROR(IF(OR(C19="",Q19=0,Q19=""),"",($C19/$S19)),""))</f>
        <v>2.134504887</v>
      </c>
      <c r="U19" s="199" t="str">
        <f t="shared" si="3"/>
        <v>Agressivo</v>
      </c>
      <c r="V19" s="201"/>
      <c r="W19" s="201"/>
      <c r="X19" s="201"/>
      <c r="Y19" s="201"/>
      <c r="Z19" s="201"/>
      <c r="AA19" s="201"/>
      <c r="AB19" s="201"/>
      <c r="AC19" s="201"/>
      <c r="AD19" s="201"/>
      <c r="AE19" s="201"/>
      <c r="AF19" s="201"/>
      <c r="AG19" s="201"/>
      <c r="AH19" s="201"/>
      <c r="AI19" s="201"/>
      <c r="AJ19" s="201"/>
      <c r="AK19" s="222">
        <v>45778.0</v>
      </c>
      <c r="AL19" s="221"/>
      <c r="AM19" s="221"/>
      <c r="AN19" s="201"/>
      <c r="AO19" s="201"/>
      <c r="AP19" s="201"/>
    </row>
    <row r="20" ht="15.75" customHeight="1">
      <c r="A20" s="184" t="s">
        <v>29</v>
      </c>
      <c r="B20" s="185" t="str">
        <f>VLOOKUP(A20,Jobmatch!A:G,2,0)</f>
        <v>ANALISTA DE CRIAÇAO</v>
      </c>
      <c r="C20" s="186">
        <f>IFERROR(AVERAGEIF('Folha de Pagamento'!A:A,A20,'Folha de Pagamento'!J:J),"")</f>
        <v>5429</v>
      </c>
      <c r="D20" s="187">
        <v>8.0</v>
      </c>
      <c r="E20" s="185" t="str">
        <f>VLOOKUP(A20,Jobmatch!A:H,3,0)</f>
        <v>Marketing</v>
      </c>
      <c r="F20" s="188" t="s">
        <v>360</v>
      </c>
      <c r="G20" s="190" t="str">
        <f>VLOOKUP(A20,Jobmatch!A:I,4,0)</f>
        <v>10 - ADM PROJETOS</v>
      </c>
      <c r="H20" s="191" t="str">
        <f>VLOOKUP(A20,Jobmatch!A:I,5,0)</f>
        <v>Operacional</v>
      </c>
      <c r="I20" s="192">
        <f>VLOOKUP(A20,Jobmatch!A:I,6,0)</f>
        <v>45</v>
      </c>
      <c r="J20" s="190" t="str">
        <f>VLOOKUP(A20,Jobmatch!A:I,7,0)</f>
        <v>Analista de Criação</v>
      </c>
      <c r="K20" s="193" t="str">
        <f>VLOOKUP(A20,Jobmatch!A:I,8,0)</f>
        <v>Indiferente</v>
      </c>
      <c r="L20" s="194" t="str">
        <f t="shared" si="2"/>
        <v>45Indiferente</v>
      </c>
      <c r="M20" s="195">
        <f>COUNTIF('Folha de Pagamento'!A:A,A20)</f>
        <v>1</v>
      </c>
      <c r="N20" s="238">
        <v>14.0</v>
      </c>
      <c r="O20" s="196">
        <f>IFERROR(VLOOKUP(L20,'C-01'!$D:$L,5,0),"")</f>
        <v>3527.33</v>
      </c>
      <c r="P20" s="196">
        <f>IFERROR(VLOOKUP(L20,'C-01'!$D:$L,6,0),"")</f>
        <v>4325.16</v>
      </c>
      <c r="Q20" s="196">
        <f>IFERROR(VLOOKUP(L20,'C-01'!$D:$L,7,0),"")</f>
        <v>4325.72</v>
      </c>
      <c r="R20" s="196">
        <f>IFERROR(VLOOKUP(L20,'C-01'!$D:$L,8,0),"")</f>
        <v>4988.66</v>
      </c>
      <c r="S20" s="197">
        <f>IFERROR(VLOOKUP(L20,'C-01'!$D:$L,9,0),"")</f>
        <v>6418.74</v>
      </c>
      <c r="T20" s="198">
        <f>IFS('Painel Geral'!$B$5="Mediana",IFERROR(IF(OR(C20="",Q20=0,Q20=""),"",($C20/$Q20)),""),'Painel Geral'!$B$5="Menor Salário",IFERROR(IF(OR(C20="",Q20=0,Q20=""),"",($C20/$N20)),""),'Painel Geral'!$B$5="1º Quartil",IFERROR(IF(OR(C20="",Q20=0,Q20=""),"",($C20/$O20)),""), 'Painel Geral'!$B$5="Média",IFERROR(IF(OR(C20="",Q20=0,Q20=""),"",($C20/$P20)),""),'Painel Geral'!$B$5="3º Quartil",IFERROR(IF(OR(C20="",Q20=0,Q20=""),"",($C20/$R20)),""),'Painel Geral'!$B$5="Maior Salário",IFERROR(IF(OR(C20="",Q20=0,Q20=""),"",($C20/$S20)),""))</f>
        <v>1.255051182</v>
      </c>
      <c r="U20" s="199" t="str">
        <f t="shared" si="3"/>
        <v>Agressivo</v>
      </c>
      <c r="V20" s="201"/>
      <c r="W20" s="201"/>
      <c r="X20" s="201"/>
      <c r="Y20" s="201"/>
      <c r="Z20" s="201"/>
      <c r="AA20" s="201"/>
      <c r="AB20" s="201"/>
      <c r="AC20" s="201"/>
      <c r="AD20" s="201"/>
      <c r="AE20" s="201"/>
      <c r="AF20" s="201"/>
      <c r="AG20" s="201"/>
      <c r="AH20" s="201"/>
      <c r="AI20" s="201"/>
      <c r="AJ20" s="201"/>
      <c r="AK20" s="223">
        <v>0.23</v>
      </c>
      <c r="AL20" s="220">
        <f t="shared" ref="AL20:AL25" si="4">1+(AK20/100)</f>
        <v>1.0023</v>
      </c>
      <c r="AM20" s="220">
        <f>AL20</f>
        <v>1.0023</v>
      </c>
      <c r="AN20" s="201"/>
      <c r="AO20" s="201"/>
      <c r="AP20" s="201"/>
    </row>
    <row r="21" ht="15.75" customHeight="1">
      <c r="A21" s="184" t="s">
        <v>33</v>
      </c>
      <c r="B21" s="185" t="str">
        <f>VLOOKUP(A21,Jobmatch!A:G,2,0)</f>
        <v>ANALISTA DE INOVAÇÃO</v>
      </c>
      <c r="C21" s="186">
        <f>IFERROR(AVERAGEIF('Folha de Pagamento'!A:A,A21,'Folha de Pagamento'!J:J),"")</f>
        <v>7299.270073</v>
      </c>
      <c r="D21" s="187">
        <v>7.0</v>
      </c>
      <c r="E21" s="185" t="str">
        <f>VLOOKUP(A21,Jobmatch!A:H,3,0)</f>
        <v>Inovação</v>
      </c>
      <c r="F21" s="188" t="s">
        <v>357</v>
      </c>
      <c r="G21" s="190" t="str">
        <f>VLOOKUP(A21,Jobmatch!A:I,4,0)</f>
        <v>11 - ADM PROJETOS</v>
      </c>
      <c r="H21" s="191" t="str">
        <f>VLOOKUP(A21,Jobmatch!A:I,5,0)</f>
        <v>Tático</v>
      </c>
      <c r="I21" s="192">
        <f>VLOOKUP(A21,Jobmatch!A:I,6,0)</f>
        <v>437</v>
      </c>
      <c r="J21" s="190" t="str">
        <f>VLOOKUP(A21,Jobmatch!A:I,7,0)</f>
        <v>Analista de Inovação</v>
      </c>
      <c r="K21" s="193" t="str">
        <f>VLOOKUP(A21,Jobmatch!A:I,8,0)</f>
        <v>Indiferente</v>
      </c>
      <c r="L21" s="194" t="str">
        <f t="shared" si="2"/>
        <v>437Indiferente</v>
      </c>
      <c r="M21" s="195">
        <f>COUNTIF('Folha de Pagamento'!A:A,A21)</f>
        <v>1</v>
      </c>
      <c r="N21" s="238">
        <v>15.0</v>
      </c>
      <c r="O21" s="196">
        <f>IFERROR(VLOOKUP(L21,'C-01'!$D:$L,5,0),"")</f>
        <v>5268.47</v>
      </c>
      <c r="P21" s="196">
        <f>IFERROR(VLOOKUP(L21,'C-01'!$D:$L,6,0),"")</f>
        <v>5831.57</v>
      </c>
      <c r="Q21" s="196">
        <f>IFERROR(VLOOKUP(L21,'C-01'!$D:$L,7,0),"")</f>
        <v>5268.47</v>
      </c>
      <c r="R21" s="196">
        <f>IFERROR(VLOOKUP(L21,'C-01'!$D:$L,8,0),"")</f>
        <v>6822.26</v>
      </c>
      <c r="S21" s="197">
        <f>IFERROR(VLOOKUP(L21,'C-01'!$D:$L,9,0),"")</f>
        <v>7760.14</v>
      </c>
      <c r="T21" s="198">
        <f>IFS('Painel Geral'!$B$5="Mediana",IFERROR(IF(OR(C21="",Q21=0,Q21=""),"",($C21/$Q21)),""),'Painel Geral'!$B$5="Menor Salário",IFERROR(IF(OR(C21="",Q21=0,Q21=""),"",($C21/$N21)),""),'Painel Geral'!$B$5="1º Quartil",IFERROR(IF(OR(C21="",Q21=0,Q21=""),"",($C21/$O21)),""), 'Painel Geral'!$B$5="Média",IFERROR(IF(OR(C21="",Q21=0,Q21=""),"",($C21/$P21)),""),'Painel Geral'!$B$5="3º Quartil",IFERROR(IF(OR(C21="",Q21=0,Q21=""),"",($C21/$R21)),""),'Painel Geral'!$B$5="Maior Salário",IFERROR(IF(OR(C21="",Q21=0,Q21=""),"",($C21/$S21)),""))</f>
        <v>1.385462966</v>
      </c>
      <c r="U21" s="199" t="str">
        <f t="shared" si="3"/>
        <v>Agressivo</v>
      </c>
      <c r="V21" s="201"/>
      <c r="W21" s="201"/>
      <c r="X21" s="201"/>
      <c r="Y21" s="201"/>
      <c r="Z21" s="201"/>
      <c r="AA21" s="201"/>
      <c r="AB21" s="201"/>
      <c r="AC21" s="201"/>
      <c r="AD21" s="201"/>
      <c r="AE21" s="201"/>
      <c r="AF21" s="201"/>
      <c r="AG21" s="201"/>
      <c r="AH21" s="201"/>
      <c r="AI21" s="201"/>
      <c r="AJ21" s="201"/>
      <c r="AK21" s="223">
        <v>0.21</v>
      </c>
      <c r="AL21" s="220">
        <f t="shared" si="4"/>
        <v>1.0021</v>
      </c>
      <c r="AM21" s="220">
        <f t="shared" ref="AM21:AM25" si="5">AM20*AL21</f>
        <v>1.00440483</v>
      </c>
      <c r="AN21" s="201"/>
      <c r="AO21" s="201"/>
      <c r="AP21" s="201"/>
    </row>
    <row r="22" ht="15.75" customHeight="1">
      <c r="A22" s="184" t="s">
        <v>26</v>
      </c>
      <c r="B22" s="185" t="str">
        <f>VLOOKUP(A22,Jobmatch!A:G,2,0)</f>
        <v>ANALISTA DE COMPRAS</v>
      </c>
      <c r="C22" s="186">
        <f>IFERROR(AVERAGEIF('Folha de Pagamento'!A:A,A22,'Folha de Pagamento'!J:J),"")</f>
        <v>3780</v>
      </c>
      <c r="D22" s="187">
        <v>1.0</v>
      </c>
      <c r="E22" s="185" t="str">
        <f>VLOOKUP(A22,Jobmatch!A:H,3,0)</f>
        <v>Suprimentos </v>
      </c>
      <c r="F22" s="188" t="s">
        <v>367</v>
      </c>
      <c r="G22" s="190" t="str">
        <f>VLOOKUP(A22,Jobmatch!A:I,4,0)</f>
        <v>9 - ADM PROJETOS</v>
      </c>
      <c r="H22" s="191" t="str">
        <f>VLOOKUP(A22,Jobmatch!A:I,5,0)</f>
        <v>Operacional</v>
      </c>
      <c r="I22" s="192">
        <f>VLOOKUP(A22,Jobmatch!A:I,6,0)</f>
        <v>136</v>
      </c>
      <c r="J22" s="190" t="str">
        <f>VLOOKUP(A22,Jobmatch!A:I,7,0)</f>
        <v>Analista de Compras</v>
      </c>
      <c r="K22" s="193" t="str">
        <f>VLOOKUP(A22,Jobmatch!A:I,8,0)</f>
        <v>Pleno</v>
      </c>
      <c r="L22" s="194" t="str">
        <f t="shared" si="2"/>
        <v>136Pleno</v>
      </c>
      <c r="M22" s="195">
        <f>COUNTIF('Folha de Pagamento'!A:A,A22)</f>
        <v>1</v>
      </c>
      <c r="N22" s="238">
        <v>15.0</v>
      </c>
      <c r="O22" s="196">
        <f>IFERROR(VLOOKUP(L22,'C-01'!$D:$L,5,0),"")</f>
        <v>4524.76</v>
      </c>
      <c r="P22" s="196">
        <f>IFERROR(VLOOKUP(L22,'C-01'!$D:$L,6,0),"")</f>
        <v>6002.23</v>
      </c>
      <c r="Q22" s="196">
        <f>IFERROR(VLOOKUP(L22,'C-01'!$D:$L,7,0),"")</f>
        <v>5275.87</v>
      </c>
      <c r="R22" s="196">
        <f>IFERROR(VLOOKUP(L22,'C-01'!$D:$L,8,0),"")</f>
        <v>7842.89</v>
      </c>
      <c r="S22" s="197">
        <f>IFERROR(VLOOKUP(L22,'C-01'!$D:$L,9,0),"")</f>
        <v>7842.89</v>
      </c>
      <c r="T22" s="198">
        <f>IFS('Painel Geral'!$B$5="Mediana",IFERROR(IF(OR(C22="",Q22=0,Q22=""),"",($C22/$Q22)),""),'Painel Geral'!$B$5="Menor Salário",IFERROR(IF(OR(C22="",Q22=0,Q22=""),"",($C22/$N22)),""),'Painel Geral'!$B$5="1º Quartil",IFERROR(IF(OR(C22="",Q22=0,Q22=""),"",($C22/$O22)),""), 'Painel Geral'!$B$5="Média",IFERROR(IF(OR(C22="",Q22=0,Q22=""),"",($C22/$P22)),""),'Painel Geral'!$B$5="3º Quartil",IFERROR(IF(OR(C22="",Q22=0,Q22=""),"",($C22/$R22)),""),'Painel Geral'!$B$5="Maior Salário",IFERROR(IF(OR(C22="",Q22=0,Q22=""),"",($C22/$S22)),""))</f>
        <v>0.7164695112</v>
      </c>
      <c r="U22" s="199" t="str">
        <f t="shared" si="3"/>
        <v>Muito Defasado</v>
      </c>
      <c r="V22" s="201"/>
      <c r="W22" s="201"/>
      <c r="X22" s="201"/>
      <c r="Y22" s="201"/>
      <c r="Z22" s="201"/>
      <c r="AA22" s="201"/>
      <c r="AB22" s="201"/>
      <c r="AC22" s="201"/>
      <c r="AD22" s="201"/>
      <c r="AE22" s="201"/>
      <c r="AF22" s="201"/>
      <c r="AG22" s="201"/>
      <c r="AH22" s="201"/>
      <c r="AI22" s="201"/>
      <c r="AJ22" s="201"/>
      <c r="AK22" s="223">
        <v>-0.21</v>
      </c>
      <c r="AL22" s="220">
        <f t="shared" si="4"/>
        <v>0.9979</v>
      </c>
      <c r="AM22" s="220">
        <f t="shared" si="5"/>
        <v>1.00229558</v>
      </c>
      <c r="AN22" s="201"/>
      <c r="AO22" s="201"/>
      <c r="AP22" s="201"/>
    </row>
    <row r="23" ht="15.75" customHeight="1">
      <c r="A23" s="184" t="s">
        <v>45</v>
      </c>
      <c r="B23" s="185" t="str">
        <f>VLOOKUP(A23,Jobmatch!A:G,2,0)</f>
        <v>ANALISTA DE PÓS VENDAS II</v>
      </c>
      <c r="C23" s="186">
        <f>IFERROR(AVERAGEIF('Folha de Pagamento'!A:A,A23,'Folha de Pagamento'!J:J),"")</f>
        <v>4550</v>
      </c>
      <c r="D23" s="187">
        <v>9.0</v>
      </c>
      <c r="E23" s="185" t="str">
        <f>VLOOKUP(A23,Jobmatch!A:H,3,0)</f>
        <v>Pós Vendas</v>
      </c>
      <c r="F23" s="188" t="s">
        <v>365</v>
      </c>
      <c r="G23" s="190" t="str">
        <f>VLOOKUP(A23,Jobmatch!A:I,4,0)</f>
        <v>14 - ADM PROJETOS</v>
      </c>
      <c r="H23" s="191" t="str">
        <f>VLOOKUP(A23,Jobmatch!A:I,5,0)</f>
        <v>Operacional</v>
      </c>
      <c r="I23" s="192">
        <f>VLOOKUP(A23,Jobmatch!A:I,6,0)</f>
        <v>19</v>
      </c>
      <c r="J23" s="190" t="str">
        <f>VLOOKUP(A23,Jobmatch!A:I,7,0)</f>
        <v>Analista Comercial</v>
      </c>
      <c r="K23" s="193" t="str">
        <f>VLOOKUP(A23,Jobmatch!A:I,8,0)</f>
        <v>Pleno</v>
      </c>
      <c r="L23" s="194" t="str">
        <f t="shared" si="2"/>
        <v>19Pleno</v>
      </c>
      <c r="M23" s="195">
        <f>COUNTIF('Folha de Pagamento'!A:A,A23)</f>
        <v>1</v>
      </c>
      <c r="N23" s="238">
        <v>15.0</v>
      </c>
      <c r="O23" s="196">
        <f>IFERROR(VLOOKUP(L23,'C-01'!$D:$L,5,0),"")</f>
        <v>4898.28</v>
      </c>
      <c r="P23" s="196">
        <f>IFERROR(VLOOKUP(L23,'C-01'!$D:$L,6,0),"")</f>
        <v>5747.37</v>
      </c>
      <c r="Q23" s="196">
        <f>IFERROR(VLOOKUP(L23,'C-01'!$D:$L,7,0),"")</f>
        <v>5320.06</v>
      </c>
      <c r="R23" s="196">
        <f>IFERROR(VLOOKUP(L23,'C-01'!$D:$L,8,0),"")</f>
        <v>6382.81</v>
      </c>
      <c r="S23" s="197">
        <f>IFERROR(VLOOKUP(L23,'C-01'!$D:$L,9,0),"")</f>
        <v>7445.55</v>
      </c>
      <c r="T23" s="198">
        <f>IFS('Painel Geral'!$B$5="Mediana",IFERROR(IF(OR(C23="",Q23=0,Q23=""),"",($C23/$Q23)),""),'Painel Geral'!$B$5="Menor Salário",IFERROR(IF(OR(C23="",Q23=0,Q23=""),"",($C23/$N23)),""),'Painel Geral'!$B$5="1º Quartil",IFERROR(IF(OR(C23="",Q23=0,Q23=""),"",($C23/$O23)),""), 'Painel Geral'!$B$5="Média",IFERROR(IF(OR(C23="",Q23=0,Q23=""),"",($C23/$P23)),""),'Painel Geral'!$B$5="3º Quartil",IFERROR(IF(OR(C23="",Q23=0,Q23=""),"",($C23/$R23)),""),'Painel Geral'!$B$5="Maior Salário",IFERROR(IF(OR(C23="",Q23=0,Q23=""),"",($C23/$S23)),""))</f>
        <v>0.8552535122</v>
      </c>
      <c r="U23" s="199" t="str">
        <f t="shared" si="3"/>
        <v>Defasado</v>
      </c>
      <c r="V23" s="201"/>
      <c r="W23" s="201"/>
      <c r="X23" s="201"/>
      <c r="Y23" s="201"/>
      <c r="Z23" s="201"/>
      <c r="AA23" s="201"/>
      <c r="AB23" s="201"/>
      <c r="AC23" s="201"/>
      <c r="AD23" s="201"/>
      <c r="AE23" s="201"/>
      <c r="AF23" s="201"/>
      <c r="AG23" s="201"/>
      <c r="AH23" s="201"/>
      <c r="AI23" s="201"/>
      <c r="AJ23" s="201"/>
      <c r="AK23" s="223">
        <v>0.52</v>
      </c>
      <c r="AL23" s="220">
        <f t="shared" si="4"/>
        <v>1.0052</v>
      </c>
      <c r="AM23" s="220">
        <f t="shared" si="5"/>
        <v>1.007507517</v>
      </c>
      <c r="AN23" s="201"/>
      <c r="AO23" s="201"/>
      <c r="AP23" s="201"/>
    </row>
    <row r="24" ht="15.75" customHeight="1">
      <c r="A24" s="184" t="s">
        <v>51</v>
      </c>
      <c r="B24" s="185" t="str">
        <f>VLOOKUP(A24,Jobmatch!A:G,2,0)</f>
        <v>ANALISTA FINANCEIRO COMERCIAL III</v>
      </c>
      <c r="C24" s="186">
        <f>IFERROR(AVERAGEIF('Folha de Pagamento'!A:A,A24,'Folha de Pagamento'!J:J),"")</f>
        <v>5213</v>
      </c>
      <c r="D24" s="187">
        <v>6.0</v>
      </c>
      <c r="E24" s="185" t="str">
        <f>VLOOKUP(A24,Jobmatch!A:H,3,0)</f>
        <v>Financeiro</v>
      </c>
      <c r="F24" s="188" t="s">
        <v>351</v>
      </c>
      <c r="G24" s="190" t="str">
        <f>VLOOKUP(A24,Jobmatch!A:I,4,0)</f>
        <v>16 - ADM PROJETOS</v>
      </c>
      <c r="H24" s="191" t="str">
        <f>VLOOKUP(A24,Jobmatch!A:I,5,0)</f>
        <v>Operacional</v>
      </c>
      <c r="I24" s="192">
        <f>VLOOKUP(A24,Jobmatch!A:I,6,0)</f>
        <v>16</v>
      </c>
      <c r="J24" s="190" t="str">
        <f>VLOOKUP(A24,Jobmatch!A:I,7,0)</f>
        <v>Analista Financeiro</v>
      </c>
      <c r="K24" s="193" t="str">
        <f>VLOOKUP(A24,Jobmatch!A:I,8,0)</f>
        <v>Sênior</v>
      </c>
      <c r="L24" s="194" t="str">
        <f t="shared" si="2"/>
        <v>16Sênior</v>
      </c>
      <c r="M24" s="195">
        <f>COUNTIF('Folha de Pagamento'!A:A,A24)</f>
        <v>1</v>
      </c>
      <c r="N24" s="238">
        <v>16.0</v>
      </c>
      <c r="O24" s="196">
        <f>IFERROR(VLOOKUP(L24,'C-01'!$D:$L,5,0),"")</f>
        <v>5489.27</v>
      </c>
      <c r="P24" s="196">
        <f>IFERROR(VLOOKUP(L24,'C-01'!$D:$L,6,0),"")</f>
        <v>6172.24</v>
      </c>
      <c r="Q24" s="196">
        <f>IFERROR(VLOOKUP(L24,'C-01'!$D:$L,7,0),"")</f>
        <v>5910.71</v>
      </c>
      <c r="R24" s="196">
        <f>IFERROR(VLOOKUP(L24,'C-01'!$D:$L,8,0),"")</f>
        <v>6737.39</v>
      </c>
      <c r="S24" s="197">
        <f>IFERROR(VLOOKUP(L24,'C-01'!$D:$L,9,0),"")</f>
        <v>8185.08</v>
      </c>
      <c r="T24" s="198">
        <f>IFS('Painel Geral'!$B$5="Mediana",IFERROR(IF(OR(C24="",Q24=0,Q24=""),"",($C24/$Q24)),""),'Painel Geral'!$B$5="Menor Salário",IFERROR(IF(OR(C24="",Q24=0,Q24=""),"",($C24/$N24)),""),'Painel Geral'!$B$5="1º Quartil",IFERROR(IF(OR(C24="",Q24=0,Q24=""),"",($C24/$O24)),""), 'Painel Geral'!$B$5="Média",IFERROR(IF(OR(C24="",Q24=0,Q24=""),"",($C24/$P24)),""),'Painel Geral'!$B$5="3º Quartil",IFERROR(IF(OR(C24="",Q24=0,Q24=""),"",($C24/$R24)),""),'Painel Geral'!$B$5="Maior Salário",IFERROR(IF(OR(C24="",Q24=0,Q24=""),"",($C24/$S24)),""))</f>
        <v>0.8819583434</v>
      </c>
      <c r="U24" s="199" t="str">
        <f t="shared" si="3"/>
        <v>Defasado</v>
      </c>
      <c r="V24" s="201"/>
      <c r="W24" s="201"/>
      <c r="X24" s="201"/>
      <c r="Y24" s="201"/>
      <c r="Z24" s="201"/>
      <c r="AA24" s="201"/>
      <c r="AB24" s="201"/>
      <c r="AC24" s="201"/>
      <c r="AD24" s="201"/>
      <c r="AE24" s="201"/>
      <c r="AF24" s="201"/>
      <c r="AG24" s="201"/>
      <c r="AH24" s="201"/>
      <c r="AI24" s="201"/>
      <c r="AJ24" s="201"/>
      <c r="AK24" s="223">
        <v>0.03</v>
      </c>
      <c r="AL24" s="220">
        <f t="shared" si="4"/>
        <v>1.0003</v>
      </c>
      <c r="AM24" s="220">
        <f t="shared" si="5"/>
        <v>1.007809769</v>
      </c>
      <c r="AN24" s="201"/>
      <c r="AO24" s="201"/>
      <c r="AP24" s="201"/>
    </row>
    <row r="25" ht="15.75" customHeight="1">
      <c r="A25" s="184" t="s">
        <v>55</v>
      </c>
      <c r="B25" s="185" t="str">
        <f>VLOOKUP(A25,Jobmatch!A:G,2,0)</f>
        <v>ANALISTA FINANCEIRO DE CAPTAÇÃO DE RECURSOS III</v>
      </c>
      <c r="C25" s="186">
        <f>IFERROR(AVERAGEIF('Folha de Pagamento'!A:A,A25,'Folha de Pagamento'!J:J),"")</f>
        <v>5213</v>
      </c>
      <c r="D25" s="187">
        <v>6.0</v>
      </c>
      <c r="E25" s="185" t="str">
        <f>VLOOKUP(A25,Jobmatch!A:H,3,0)</f>
        <v>Financeiro</v>
      </c>
      <c r="F25" s="188" t="s">
        <v>352</v>
      </c>
      <c r="G25" s="190" t="str">
        <f>VLOOKUP(A25,Jobmatch!A:I,4,0)</f>
        <v>17 - ADM PROJETOS</v>
      </c>
      <c r="H25" s="191" t="str">
        <f>VLOOKUP(A25,Jobmatch!A:I,5,0)</f>
        <v>Operacional</v>
      </c>
      <c r="I25" s="192">
        <f>VLOOKUP(A25,Jobmatch!A:I,6,0)</f>
        <v>16</v>
      </c>
      <c r="J25" s="190" t="str">
        <f>VLOOKUP(A25,Jobmatch!A:I,7,0)</f>
        <v>Analista Financeiro</v>
      </c>
      <c r="K25" s="193" t="str">
        <f>VLOOKUP(A25,Jobmatch!A:I,8,0)</f>
        <v>Sênior</v>
      </c>
      <c r="L25" s="194" t="str">
        <f t="shared" si="2"/>
        <v>16Sênior</v>
      </c>
      <c r="M25" s="195">
        <f>COUNTIF('Folha de Pagamento'!A:A,A25)</f>
        <v>1</v>
      </c>
      <c r="N25" s="238">
        <v>16.0</v>
      </c>
      <c r="O25" s="196">
        <f>IFERROR(VLOOKUP(L25,'C-01'!$D:$L,5,0),"")</f>
        <v>5489.27</v>
      </c>
      <c r="P25" s="196">
        <f>IFERROR(VLOOKUP(L25,'C-01'!$D:$L,6,0),"")</f>
        <v>6172.24</v>
      </c>
      <c r="Q25" s="196">
        <f>IFERROR(VLOOKUP(L25,'C-01'!$D:$L,7,0),"")</f>
        <v>5910.71</v>
      </c>
      <c r="R25" s="196">
        <f>IFERROR(VLOOKUP(L25,'C-01'!$D:$L,8,0),"")</f>
        <v>6737.39</v>
      </c>
      <c r="S25" s="197">
        <f>IFERROR(VLOOKUP(L25,'C-01'!$D:$L,9,0),"")</f>
        <v>8185.08</v>
      </c>
      <c r="T25" s="198">
        <f>IFS('Painel Geral'!$B$5="Mediana",IFERROR(IF(OR(C25="",Q25=0,Q25=""),"",($C25/$Q25)),""),'Painel Geral'!$B$5="Menor Salário",IFERROR(IF(OR(C25="",Q25=0,Q25=""),"",($C25/$N25)),""),'Painel Geral'!$B$5="1º Quartil",IFERROR(IF(OR(C25="",Q25=0,Q25=""),"",($C25/$O25)),""), 'Painel Geral'!$B$5="Média",IFERROR(IF(OR(C25="",Q25=0,Q25=""),"",($C25/$P25)),""),'Painel Geral'!$B$5="3º Quartil",IFERROR(IF(OR(C25="",Q25=0,Q25=""),"",($C25/$R25)),""),'Painel Geral'!$B$5="Maior Salário",IFERROR(IF(OR(C25="",Q25=0,Q25=""),"",($C25/$S25)),""))</f>
        <v>0.8819583434</v>
      </c>
      <c r="U25" s="199" t="str">
        <f t="shared" si="3"/>
        <v>Defasado</v>
      </c>
      <c r="V25" s="201"/>
      <c r="W25" s="201"/>
      <c r="X25" s="201"/>
      <c r="Y25" s="201"/>
      <c r="Z25" s="201"/>
      <c r="AA25" s="201"/>
      <c r="AB25" s="201"/>
      <c r="AC25" s="201"/>
      <c r="AD25" s="201"/>
      <c r="AE25" s="201"/>
      <c r="AF25" s="201"/>
      <c r="AG25" s="201"/>
      <c r="AH25" s="201"/>
      <c r="AI25" s="201"/>
      <c r="AJ25" s="201"/>
      <c r="AK25" s="220">
        <v>0.03</v>
      </c>
      <c r="AL25" s="220">
        <f t="shared" si="4"/>
        <v>1.0003</v>
      </c>
      <c r="AM25" s="220">
        <f t="shared" si="5"/>
        <v>1.008112112</v>
      </c>
      <c r="AN25" s="201"/>
      <c r="AO25" s="201"/>
      <c r="AP25" s="201"/>
    </row>
    <row r="26" ht="15.75" customHeight="1">
      <c r="A26" s="184" t="s">
        <v>183</v>
      </c>
      <c r="B26" s="185" t="str">
        <f>VLOOKUP(A26,Jobmatch!A:G,2,0)</f>
        <v>TECNICO ANALISTA DE CUSTOS</v>
      </c>
      <c r="C26" s="186">
        <f>IFERROR(AVERAGEIF('Folha de Pagamento'!A:A,A26,'Folha de Pagamento'!J:J),"")</f>
        <v>7000</v>
      </c>
      <c r="D26" s="187">
        <v>5.0</v>
      </c>
      <c r="E26" s="185" t="str">
        <f>VLOOKUP(A26,Jobmatch!A:H,3,0)</f>
        <v>Edificação</v>
      </c>
      <c r="F26" s="188" t="s">
        <v>349</v>
      </c>
      <c r="G26" s="190" t="str">
        <f>VLOOKUP(A26,Jobmatch!A:I,4,0)</f>
        <v>60 - ADM PROJETOS</v>
      </c>
      <c r="H26" s="191" t="str">
        <f>VLOOKUP(A26,Jobmatch!A:I,5,0)</f>
        <v>Operacional</v>
      </c>
      <c r="I26" s="192">
        <f>VLOOKUP(A26,Jobmatch!A:I,6,0)</f>
        <v>876</v>
      </c>
      <c r="J26" s="190" t="str">
        <f>VLOOKUP(A26,Jobmatch!A:I,7,0)</f>
        <v>Analista de Custos</v>
      </c>
      <c r="K26" s="193" t="str">
        <f>VLOOKUP(A26,Jobmatch!A:I,8,0)</f>
        <v>Indiferente</v>
      </c>
      <c r="L26" s="194" t="str">
        <f t="shared" si="2"/>
        <v>876Indiferente</v>
      </c>
      <c r="M26" s="195">
        <f>COUNTIF('Folha de Pagamento'!A:A,A26)</f>
        <v>3</v>
      </c>
      <c r="N26" s="238">
        <v>17.0</v>
      </c>
      <c r="O26" s="196">
        <f>IFERROR(VLOOKUP(L26,'C-01'!$D:$L,5,0),"")</f>
        <v>6868.23</v>
      </c>
      <c r="P26" s="196">
        <f>IFERROR(VLOOKUP(L26,'C-01'!$D:$L,6,0),"")</f>
        <v>7611.25</v>
      </c>
      <c r="Q26" s="196">
        <f>IFERROR(VLOOKUP(L26,'C-01'!$D:$L,7,0),"")</f>
        <v>7320.76</v>
      </c>
      <c r="R26" s="196">
        <f>IFERROR(VLOOKUP(L26,'C-01'!$D:$L,8,0),"")</f>
        <v>8153.71</v>
      </c>
      <c r="S26" s="197">
        <f>IFERROR(VLOOKUP(L26,'C-01'!$D:$L,9,0),"")</f>
        <v>9161.15</v>
      </c>
      <c r="T26" s="198">
        <f>IFS('Painel Geral'!$B$5="Mediana",IFERROR(IF(OR(C26="",Q26=0,Q26=""),"",($C26/$Q26)),""),'Painel Geral'!$B$5="Menor Salário",IFERROR(IF(OR(C26="",Q26=0,Q26=""),"",($C26/$N26)),""),'Painel Geral'!$B$5="1º Quartil",IFERROR(IF(OR(C26="",Q26=0,Q26=""),"",($C26/$O26)),""), 'Painel Geral'!$B$5="Média",IFERROR(IF(OR(C26="",Q26=0,Q26=""),"",($C26/$P26)),""),'Painel Geral'!$B$5="3º Quartil",IFERROR(IF(OR(C26="",Q26=0,Q26=""),"",($C26/$R26)),""),'Painel Geral'!$B$5="Maior Salário",IFERROR(IF(OR(C26="",Q26=0,Q26=""),"",($C26/$S26)),""))</f>
        <v>0.956184877</v>
      </c>
      <c r="U26" s="199" t="str">
        <f t="shared" si="3"/>
        <v>Na Média</v>
      </c>
      <c r="V26" s="201"/>
      <c r="W26" s="201"/>
      <c r="X26" s="201"/>
      <c r="Y26" s="201"/>
      <c r="Z26" s="201"/>
      <c r="AA26" s="201"/>
      <c r="AB26" s="201"/>
      <c r="AC26" s="201"/>
      <c r="AD26" s="201"/>
      <c r="AE26" s="201"/>
      <c r="AF26" s="201"/>
      <c r="AG26" s="201"/>
      <c r="AH26" s="201"/>
      <c r="AI26" s="201"/>
      <c r="AJ26" s="201"/>
      <c r="AK26" s="220"/>
      <c r="AL26" s="220"/>
      <c r="AM26" s="220"/>
      <c r="AN26" s="201"/>
      <c r="AO26" s="201"/>
      <c r="AP26" s="201"/>
    </row>
    <row r="27" ht="15.75" customHeight="1">
      <c r="A27" s="184" t="s">
        <v>125</v>
      </c>
      <c r="B27" s="185" t="str">
        <f>VLOOKUP(A27,Jobmatch!A:G,2,0)</f>
        <v>ENCARREGADO OBRAS/MANUTENCAO</v>
      </c>
      <c r="C27" s="186">
        <f>IFERROR(AVERAGEIF('Folha de Pagamento'!A:A,A27,'Folha de Pagamento'!J:J),"")</f>
        <v>8714</v>
      </c>
      <c r="D27" s="187">
        <v>5.0</v>
      </c>
      <c r="E27" s="185" t="str">
        <f>VLOOKUP(A27,Jobmatch!A:H,3,0)</f>
        <v>Edificação</v>
      </c>
      <c r="F27" s="188" t="s">
        <v>346</v>
      </c>
      <c r="G27" s="190" t="str">
        <f>VLOOKUP(A27,Jobmatch!A:I,4,0)</f>
        <v>42 - ADM PROJETOS</v>
      </c>
      <c r="H27" s="191" t="str">
        <f>VLOOKUP(A27,Jobmatch!A:I,5,0)</f>
        <v>Operacional</v>
      </c>
      <c r="I27" s="192">
        <f>VLOOKUP(A27,Jobmatch!A:I,6,0)</f>
        <v>470</v>
      </c>
      <c r="J27" s="190" t="str">
        <f>VLOOKUP(A27,Jobmatch!A:I,7,0)</f>
        <v>Mestre de Obras</v>
      </c>
      <c r="K27" s="193" t="str">
        <f>VLOOKUP(A27,Jobmatch!A:I,8,0)</f>
        <v>Indiferente</v>
      </c>
      <c r="L27" s="194" t="str">
        <f t="shared" si="2"/>
        <v>470Indiferente</v>
      </c>
      <c r="M27" s="195">
        <f>COUNTIF('Folha de Pagamento'!A:A,A27)</f>
        <v>1</v>
      </c>
      <c r="N27" s="238">
        <v>17.0</v>
      </c>
      <c r="O27" s="196">
        <f>IFERROR(VLOOKUP(L27,'C-01'!$D:$L,5,0),"")</f>
        <v>5530.26</v>
      </c>
      <c r="P27" s="196">
        <f>IFERROR(VLOOKUP(L27,'C-01'!$D:$L,6,0),"")</f>
        <v>7689.13</v>
      </c>
      <c r="Q27" s="196">
        <f>IFERROR(VLOOKUP(L27,'C-01'!$D:$L,7,0),"")</f>
        <v>7460.82</v>
      </c>
      <c r="R27" s="196">
        <f>IFERROR(VLOOKUP(L27,'C-01'!$D:$L,8,0),"")</f>
        <v>9785.54</v>
      </c>
      <c r="S27" s="197">
        <f>IFERROR(VLOOKUP(L27,'C-01'!$D:$L,9,0),"")</f>
        <v>11138.95</v>
      </c>
      <c r="T27" s="198">
        <f>IFS('Painel Geral'!$B$5="Mediana",IFERROR(IF(OR(C27="",Q27=0,Q27=""),"",($C27/$Q27)),""),'Painel Geral'!$B$5="Menor Salário",IFERROR(IF(OR(C27="",Q27=0,Q27=""),"",($C27/$N27)),""),'Painel Geral'!$B$5="1º Quartil",IFERROR(IF(OR(C27="",Q27=0,Q27=""),"",($C27/$O27)),""), 'Painel Geral'!$B$5="Média",IFERROR(IF(OR(C27="",Q27=0,Q27=""),"",($C27/$P27)),""),'Painel Geral'!$B$5="3º Quartil",IFERROR(IF(OR(C27="",Q27=0,Q27=""),"",($C27/$R27)),""),'Painel Geral'!$B$5="Maior Salário",IFERROR(IF(OR(C27="",Q27=0,Q27=""),"",($C27/$S27)),""))</f>
        <v>1.167968132</v>
      </c>
      <c r="U27" s="199" t="str">
        <f t="shared" si="3"/>
        <v>Muito Competitivo</v>
      </c>
      <c r="V27" s="201"/>
      <c r="W27" s="201"/>
      <c r="X27" s="201"/>
      <c r="Y27" s="201"/>
      <c r="Z27" s="201"/>
      <c r="AA27" s="201"/>
      <c r="AB27" s="201"/>
      <c r="AC27" s="201"/>
      <c r="AD27" s="201"/>
      <c r="AE27" s="201"/>
      <c r="AF27" s="201"/>
      <c r="AG27" s="201"/>
      <c r="AH27" s="201"/>
      <c r="AI27" s="201"/>
      <c r="AJ27" s="201"/>
      <c r="AK27" s="201"/>
      <c r="AL27" s="201"/>
      <c r="AM27" s="201"/>
      <c r="AN27" s="224">
        <f>AM25</f>
        <v>1.008112112</v>
      </c>
      <c r="AO27" s="201"/>
      <c r="AP27" s="201"/>
    </row>
    <row r="28" ht="15.75" customHeight="1">
      <c r="A28" s="184" t="s">
        <v>123</v>
      </c>
      <c r="B28" s="185" t="str">
        <f>VLOOKUP(A28,Jobmatch!A:G,2,0)</f>
        <v>ENCARREGADO DE OBRAS</v>
      </c>
      <c r="C28" s="186">
        <f>IFERROR(AVERAGEIF('Folha de Pagamento'!A:A,A28,'Folha de Pagamento'!J:J),"")</f>
        <v>10000.5</v>
      </c>
      <c r="D28" s="187">
        <v>10.0</v>
      </c>
      <c r="E28" s="185" t="str">
        <f>VLOOKUP(A28,Jobmatch!A:H,3,0)</f>
        <v>Urbanismo</v>
      </c>
      <c r="F28" s="188" t="s">
        <v>372</v>
      </c>
      <c r="G28" s="190" t="str">
        <f>VLOOKUP(A28,Jobmatch!A:I,4,0)</f>
        <v>41 - ADM PROJETOS</v>
      </c>
      <c r="H28" s="191" t="str">
        <f>VLOOKUP(A28,Jobmatch!A:I,5,0)</f>
        <v>Operacional</v>
      </c>
      <c r="I28" s="192">
        <f>VLOOKUP(A28,Jobmatch!A:I,6,0)</f>
        <v>470</v>
      </c>
      <c r="J28" s="190" t="str">
        <f>VLOOKUP(A28,Jobmatch!A:I,7,0)</f>
        <v>Mestre de Obras</v>
      </c>
      <c r="K28" s="193" t="str">
        <f>VLOOKUP(A28,Jobmatch!A:I,8,0)</f>
        <v>Indiferente</v>
      </c>
      <c r="L28" s="194" t="str">
        <f t="shared" si="2"/>
        <v>470Indiferente</v>
      </c>
      <c r="M28" s="195">
        <f>COUNTIF('Folha de Pagamento'!A:A,A28)</f>
        <v>2</v>
      </c>
      <c r="N28" s="238">
        <v>17.0</v>
      </c>
      <c r="O28" s="196">
        <f>IFERROR(VLOOKUP(L28,'C-01'!$D:$L,5,0),"")</f>
        <v>5530.26</v>
      </c>
      <c r="P28" s="196">
        <f>IFERROR(VLOOKUP(L28,'C-01'!$D:$L,6,0),"")</f>
        <v>7689.13</v>
      </c>
      <c r="Q28" s="196">
        <f>IFERROR(VLOOKUP(L28,'C-01'!$D:$L,7,0),"")</f>
        <v>7460.82</v>
      </c>
      <c r="R28" s="196">
        <f>IFERROR(VLOOKUP(L28,'C-01'!$D:$L,8,0),"")</f>
        <v>9785.54</v>
      </c>
      <c r="S28" s="197">
        <f>IFERROR(VLOOKUP(L28,'C-01'!$D:$L,9,0),"")</f>
        <v>11138.95</v>
      </c>
      <c r="T28" s="198">
        <f>IFS('Painel Geral'!$B$5="Mediana",IFERROR(IF(OR(C28="",Q28=0,Q28=""),"",($C28/$Q28)),""),'Painel Geral'!$B$5="Menor Salário",IFERROR(IF(OR(C28="",Q28=0,Q28=""),"",($C28/$N28)),""),'Painel Geral'!$B$5="1º Quartil",IFERROR(IF(OR(C28="",Q28=0,Q28=""),"",($C28/$O28)),""), 'Painel Geral'!$B$5="Média",IFERROR(IF(OR(C28="",Q28=0,Q28=""),"",($C28/$P28)),""),'Painel Geral'!$B$5="3º Quartil",IFERROR(IF(OR(C28="",Q28=0,Q28=""),"",($C28/$R28)),""),'Painel Geral'!$B$5="Maior Salário",IFERROR(IF(OR(C28="",Q28=0,Q28=""),"",($C28/$S28)),""))</f>
        <v>1.340402261</v>
      </c>
      <c r="U28" s="199" t="str">
        <f t="shared" si="3"/>
        <v>Agressivo</v>
      </c>
      <c r="V28" s="201"/>
      <c r="W28" s="201"/>
      <c r="X28" s="201"/>
      <c r="Y28" s="201"/>
      <c r="Z28" s="201"/>
      <c r="AA28" s="201"/>
      <c r="AB28" s="201"/>
      <c r="AC28" s="201"/>
      <c r="AD28" s="201"/>
      <c r="AE28" s="201"/>
      <c r="AF28" s="201"/>
      <c r="AG28" s="201"/>
      <c r="AH28" s="201"/>
      <c r="AI28" s="201"/>
      <c r="AJ28" s="201"/>
      <c r="AK28" s="201"/>
      <c r="AL28" s="201"/>
      <c r="AM28" s="201"/>
      <c r="AN28" s="201"/>
      <c r="AO28" s="201"/>
      <c r="AP28" s="201"/>
    </row>
    <row r="29" ht="15.75" customHeight="1">
      <c r="A29" s="184" t="s">
        <v>115</v>
      </c>
      <c r="B29" s="185" t="str">
        <f>VLOOKUP(A29,Jobmatch!A:G,2,0)</f>
        <v>COORDENADOR FINANCEIRO</v>
      </c>
      <c r="C29" s="186">
        <f>IFERROR(AVERAGEIF('Folha de Pagamento'!A:A,A29,'Folha de Pagamento'!J:J),"")</f>
        <v>7947.019868</v>
      </c>
      <c r="D29" s="187">
        <v>6.0</v>
      </c>
      <c r="E29" s="185" t="str">
        <f>VLOOKUP(A29,Jobmatch!A:H,3,0)</f>
        <v>Financeiro</v>
      </c>
      <c r="F29" s="188" t="s">
        <v>276</v>
      </c>
      <c r="G29" s="190" t="str">
        <f>VLOOKUP(A29,Jobmatch!A:I,4,0)</f>
        <v>39 - ADM PROJETOS</v>
      </c>
      <c r="H29" s="191" t="str">
        <f>VLOOKUP(A29,Jobmatch!A:I,5,0)</f>
        <v>Tático</v>
      </c>
      <c r="I29" s="192">
        <f>VLOOKUP(A29,Jobmatch!A:I,6,0)</f>
        <v>122</v>
      </c>
      <c r="J29" s="190" t="str">
        <f>VLOOKUP(A29,Jobmatch!A:I,7,0)</f>
        <v>Coordenador Financeiro</v>
      </c>
      <c r="K29" s="193" t="str">
        <f>VLOOKUP(A29,Jobmatch!A:I,8,0)</f>
        <v>Indiferente</v>
      </c>
      <c r="L29" s="194" t="str">
        <f t="shared" si="2"/>
        <v>122Indiferente</v>
      </c>
      <c r="M29" s="195">
        <f>COUNTIF('Folha de Pagamento'!A:A,A29)</f>
        <v>1</v>
      </c>
      <c r="N29" s="238">
        <v>17.0</v>
      </c>
      <c r="O29" s="196">
        <f>IFERROR(VLOOKUP(L29,'C-01'!$D:$L,5,0),"")</f>
        <v>6325.01</v>
      </c>
      <c r="P29" s="196">
        <f>IFERROR(VLOOKUP(L29,'C-01'!$D:$L,6,0),"")</f>
        <v>7452.59</v>
      </c>
      <c r="Q29" s="196">
        <f>IFERROR(VLOOKUP(L29,'C-01'!$D:$L,7,0),"")</f>
        <v>7558.57</v>
      </c>
      <c r="R29" s="196">
        <f>IFERROR(VLOOKUP(L29,'C-01'!$D:$L,8,0),"")</f>
        <v>8691.7</v>
      </c>
      <c r="S29" s="197">
        <f>IFERROR(VLOOKUP(L29,'C-01'!$D:$L,9,0),"")</f>
        <v>9982.25</v>
      </c>
      <c r="T29" s="198">
        <f>IFS('Painel Geral'!$B$5="Mediana",IFERROR(IF(OR(C29="",Q29=0,Q29=""),"",($C29/$Q29)),""),'Painel Geral'!$B$5="Menor Salário",IFERROR(IF(OR(C29="",Q29=0,Q29=""),"",($C29/$N29)),""),'Painel Geral'!$B$5="1º Quartil",IFERROR(IF(OR(C29="",Q29=0,Q29=""),"",($C29/$O29)),""), 'Painel Geral'!$B$5="Média",IFERROR(IF(OR(C29="",Q29=0,Q29=""),"",($C29/$P29)),""),'Painel Geral'!$B$5="3º Quartil",IFERROR(IF(OR(C29="",Q29=0,Q29=""),"",($C29/$R29)),""),'Painel Geral'!$B$5="Maior Salário",IFERROR(IF(OR(C29="",Q29=0,Q29=""),"",($C29/$S29)),""))</f>
        <v>1.051391979</v>
      </c>
      <c r="U29" s="199" t="str">
        <f t="shared" si="3"/>
        <v>Competitivo</v>
      </c>
      <c r="V29" s="201"/>
      <c r="W29" s="201"/>
      <c r="X29" s="201"/>
      <c r="Y29" s="201"/>
      <c r="Z29" s="201"/>
      <c r="AA29" s="201"/>
      <c r="AB29" s="201"/>
      <c r="AC29" s="201"/>
      <c r="AD29" s="201"/>
      <c r="AE29" s="201"/>
      <c r="AF29" s="201"/>
      <c r="AG29" s="201"/>
      <c r="AH29" s="201"/>
      <c r="AI29" s="201"/>
      <c r="AJ29" s="201"/>
      <c r="AK29" s="201"/>
      <c r="AL29" s="201"/>
      <c r="AM29" s="201"/>
      <c r="AN29" s="227"/>
      <c r="AO29" s="201"/>
      <c r="AP29" s="201"/>
    </row>
    <row r="30" ht="15.75" customHeight="1">
      <c r="A30" s="184" t="s">
        <v>48</v>
      </c>
      <c r="B30" s="185" t="str">
        <f>VLOOKUP(A30,Jobmatch!A:G,2,0)</f>
        <v>ANALISTA DE URBANISMO</v>
      </c>
      <c r="C30" s="186">
        <f>IFERROR(AVERAGEIF('Folha de Pagamento'!A:A,A30,'Folha de Pagamento'!J:J),"")</f>
        <v>5830</v>
      </c>
      <c r="D30" s="187">
        <v>10.0</v>
      </c>
      <c r="E30" s="185" t="str">
        <f>VLOOKUP(A30,Jobmatch!A:H,3,0)</f>
        <v>Urbanismo</v>
      </c>
      <c r="F30" s="188" t="s">
        <v>370</v>
      </c>
      <c r="G30" s="190" t="str">
        <f>VLOOKUP(A30,Jobmatch!A:I,4,0)</f>
        <v>15 - ADM PROJETOS</v>
      </c>
      <c r="H30" s="191" t="str">
        <f>VLOOKUP(A30,Jobmatch!A:I,5,0)</f>
        <v>Operacional</v>
      </c>
      <c r="I30" s="192">
        <f>VLOOKUP(A30,Jobmatch!A:I,6,0)</f>
        <v>1199</v>
      </c>
      <c r="J30" s="190" t="str">
        <f>VLOOKUP(A30,Jobmatch!A:I,7,0)</f>
        <v>Analista de Urbanismo</v>
      </c>
      <c r="K30" s="193" t="str">
        <f>VLOOKUP(A30,Jobmatch!A:I,8,0)</f>
        <v>Indiferente</v>
      </c>
      <c r="L30" s="194" t="str">
        <f t="shared" si="2"/>
        <v>1199Indiferente</v>
      </c>
      <c r="M30" s="195">
        <f>COUNTIF('Folha de Pagamento'!A:A,A30)</f>
        <v>1</v>
      </c>
      <c r="N30" s="238">
        <v>17.0</v>
      </c>
      <c r="O30" s="196">
        <f>IFERROR(VLOOKUP(L30,'C-01'!$D:$L,5,0),"")</f>
        <v>6091.54</v>
      </c>
      <c r="P30" s="196">
        <f>IFERROR(VLOOKUP(L30,'C-01'!$D:$L,6,0),"")</f>
        <v>7637.46</v>
      </c>
      <c r="Q30" s="196">
        <f>IFERROR(VLOOKUP(L30,'C-01'!$D:$L,7,0),"")</f>
        <v>7848.45</v>
      </c>
      <c r="R30" s="196">
        <f>IFERROR(VLOOKUP(L30,'C-01'!$D:$L,8,0),"")</f>
        <v>9161.15</v>
      </c>
      <c r="S30" s="197">
        <f>IFERROR(VLOOKUP(L30,'C-01'!$D:$L,9,0),"")</f>
        <v>9161.15</v>
      </c>
      <c r="T30" s="198">
        <f>IFS('Painel Geral'!$B$5="Mediana",IFERROR(IF(OR(C30="",Q30=0,Q30=""),"",($C30/$Q30)),""),'Painel Geral'!$B$5="Menor Salário",IFERROR(IF(OR(C30="",Q30=0,Q30=""),"",($C30/$N30)),""),'Painel Geral'!$B$5="1º Quartil",IFERROR(IF(OR(C30="",Q30=0,Q30=""),"",($C30/$O30)),""), 'Painel Geral'!$B$5="Média",IFERROR(IF(OR(C30="",Q30=0,Q30=""),"",($C30/$P30)),""),'Painel Geral'!$B$5="3º Quartil",IFERROR(IF(OR(C30="",Q30=0,Q30=""),"",($C30/$R30)),""),'Painel Geral'!$B$5="Maior Salário",IFERROR(IF(OR(C30="",Q30=0,Q30=""),"",($C30/$S30)),""))</f>
        <v>0.7428218311</v>
      </c>
      <c r="U30" s="199" t="str">
        <f t="shared" si="3"/>
        <v>Muito Defasado</v>
      </c>
      <c r="V30" s="201"/>
      <c r="W30" s="201"/>
      <c r="X30" s="201"/>
      <c r="Y30" s="219">
        <v>1799.0</v>
      </c>
      <c r="Z30" s="225">
        <f>Y30*AN27</f>
        <v>1813.59369</v>
      </c>
      <c r="AA30" s="226"/>
      <c r="AB30" s="221"/>
      <c r="AC30" s="221"/>
      <c r="AD30" s="201"/>
      <c r="AE30" s="201"/>
      <c r="AF30" s="201"/>
      <c r="AG30" s="201"/>
      <c r="AH30" s="201"/>
      <c r="AI30" s="201"/>
      <c r="AJ30" s="201"/>
      <c r="AK30" s="201"/>
      <c r="AL30" s="201"/>
      <c r="AM30" s="201"/>
      <c r="AN30" s="201"/>
      <c r="AO30" s="201"/>
      <c r="AP30" s="201"/>
    </row>
    <row r="31" ht="15.75" customHeight="1">
      <c r="A31" s="184" t="s">
        <v>106</v>
      </c>
      <c r="B31" s="185" t="str">
        <f>VLOOKUP(A31,Jobmatch!A:G,2,0)</f>
        <v>COORDENADOR DE MARKETING II</v>
      </c>
      <c r="C31" s="186">
        <f>IFERROR(AVERAGEIF('Folha de Pagamento'!A:A,A31,'Folha de Pagamento'!J:J),"")</f>
        <v>8647</v>
      </c>
      <c r="D31" s="187">
        <v>8.0</v>
      </c>
      <c r="E31" s="185" t="str">
        <f>VLOOKUP(A31,Jobmatch!A:H,3,0)</f>
        <v>Marketing</v>
      </c>
      <c r="F31" s="188" t="s">
        <v>363</v>
      </c>
      <c r="G31" s="190" t="str">
        <f>VLOOKUP(A31,Jobmatch!A:I,4,0)</f>
        <v>36 - ADM PROJETOS</v>
      </c>
      <c r="H31" s="191" t="str">
        <f>VLOOKUP(A31,Jobmatch!A:I,5,0)</f>
        <v>Tático</v>
      </c>
      <c r="I31" s="192">
        <f>VLOOKUP(A31,Jobmatch!A:I,6,0)</f>
        <v>56</v>
      </c>
      <c r="J31" s="190" t="str">
        <f>VLOOKUP(A31,Jobmatch!A:I,7,0)</f>
        <v>Coordenador de Marketing</v>
      </c>
      <c r="K31" s="193" t="str">
        <f>VLOOKUP(A31,Jobmatch!A:I,8,0)</f>
        <v>Indiferente</v>
      </c>
      <c r="L31" s="194" t="str">
        <f t="shared" si="2"/>
        <v>56Indiferente</v>
      </c>
      <c r="M31" s="195">
        <f>COUNTIF('Folha de Pagamento'!A:A,A31)</f>
        <v>1</v>
      </c>
      <c r="N31" s="238">
        <v>17.0</v>
      </c>
      <c r="O31" s="196">
        <f>IFERROR(VLOOKUP(L31,'C-01'!$D:$L,5,0),"")</f>
        <v>7141.59</v>
      </c>
      <c r="P31" s="196">
        <f>IFERROR(VLOOKUP(L31,'C-01'!$D:$L,6,0),"")</f>
        <v>7927.07</v>
      </c>
      <c r="Q31" s="196">
        <f>IFERROR(VLOOKUP(L31,'C-01'!$D:$L,7,0),"")</f>
        <v>7958.59</v>
      </c>
      <c r="R31" s="196">
        <f>IFERROR(VLOOKUP(L31,'C-01'!$D:$L,8,0),"")</f>
        <v>8825.19</v>
      </c>
      <c r="S31" s="197">
        <f>IFERROR(VLOOKUP(L31,'C-01'!$D:$L,9,0),"")</f>
        <v>10531.61</v>
      </c>
      <c r="T31" s="198">
        <f>IFS('Painel Geral'!$B$5="Mediana",IFERROR(IF(OR(C31="",Q31=0,Q31=""),"",($C31/$Q31)),""),'Painel Geral'!$B$5="Menor Salário",IFERROR(IF(OR(C31="",Q31=0,Q31=""),"",($C31/$N31)),""),'Painel Geral'!$B$5="1º Quartil",IFERROR(IF(OR(C31="",Q31=0,Q31=""),"",($C31/$O31)),""), 'Painel Geral'!$B$5="Média",IFERROR(IF(OR(C31="",Q31=0,Q31=""),"",($C31/$P31)),""),'Painel Geral'!$B$5="3º Quartil",IFERROR(IF(OR(C31="",Q31=0,Q31=""),"",($C31/$R31)),""),'Painel Geral'!$B$5="Maior Salário",IFERROR(IF(OR(C31="",Q31=0,Q31=""),"",($C31/$S31)),""))</f>
        <v>1.08649899</v>
      </c>
      <c r="U31" s="199" t="str">
        <f t="shared" si="3"/>
        <v>Competitivo</v>
      </c>
      <c r="V31" s="201"/>
      <c r="W31" s="201"/>
      <c r="X31" s="201"/>
      <c r="Y31" s="228">
        <v>0.8</v>
      </c>
      <c r="Z31" s="229" t="s">
        <v>376</v>
      </c>
      <c r="AA31" s="228">
        <v>1.0</v>
      </c>
      <c r="AB31" s="234"/>
      <c r="AC31" s="231"/>
      <c r="AD31" s="201"/>
      <c r="AE31" s="201"/>
      <c r="AF31" s="201"/>
      <c r="AG31" s="201"/>
      <c r="AH31" s="201"/>
      <c r="AI31" s="201"/>
      <c r="AJ31" s="201"/>
      <c r="AK31" s="201"/>
      <c r="AL31" s="201"/>
      <c r="AM31" s="201"/>
      <c r="AN31" s="201">
        <f>AN29/AN27</f>
        <v>0</v>
      </c>
      <c r="AO31" s="201"/>
      <c r="AP31" s="201"/>
    </row>
    <row r="32" ht="15.75" customHeight="1">
      <c r="A32" s="184" t="s">
        <v>104</v>
      </c>
      <c r="B32" s="185" t="str">
        <f>VLOOKUP(A32,Jobmatch!A:G,2,0)</f>
        <v>COORDENADOR DE LEGAIZAÇÃO ll</v>
      </c>
      <c r="C32" s="186">
        <f>IFERROR(AVERAGEIF('Folha de Pagamento'!A:A,A32,'Folha de Pagamento'!J:J),"")</f>
        <v>8647</v>
      </c>
      <c r="D32" s="187">
        <v>7.0</v>
      </c>
      <c r="E32" s="185" t="str">
        <f>VLOOKUP(A32,Jobmatch!A:H,3,0)</f>
        <v>Legalização </v>
      </c>
      <c r="F32" s="188" t="s">
        <v>359</v>
      </c>
      <c r="G32" s="190" t="str">
        <f>VLOOKUP(A32,Jobmatch!A:I,4,0)</f>
        <v>35 - ADM PROJETOS</v>
      </c>
      <c r="H32" s="191" t="str">
        <f>VLOOKUP(A32,Jobmatch!A:I,5,0)</f>
        <v>Tático</v>
      </c>
      <c r="I32" s="192">
        <f>VLOOKUP(A32,Jobmatch!A:I,6,0)</f>
        <v>1203</v>
      </c>
      <c r="J32" s="190" t="str">
        <f>VLOOKUP(A32,Jobmatch!A:I,7,0)</f>
        <v>Coordenador de Legalização</v>
      </c>
      <c r="K32" s="193" t="str">
        <f>VLOOKUP(A32,Jobmatch!A:I,8,0)</f>
        <v>Indiferente</v>
      </c>
      <c r="L32" s="194" t="str">
        <f t="shared" si="2"/>
        <v>1203Indiferente</v>
      </c>
      <c r="M32" s="195">
        <f>COUNTIF('Folha de Pagamento'!A:A,A32)</f>
        <v>1</v>
      </c>
      <c r="N32" s="238">
        <v>18.0</v>
      </c>
      <c r="O32" s="196">
        <f>IFERROR(VLOOKUP(L32,'C-01'!$D:$L,5,0),"")</f>
        <v>8783.31</v>
      </c>
      <c r="P32" s="196">
        <f>IFERROR(VLOOKUP(L32,'C-01'!$D:$L,6,0),"")</f>
        <v>8872.04</v>
      </c>
      <c r="Q32" s="196">
        <f>IFERROR(VLOOKUP(L32,'C-01'!$D:$L,7,0),"")</f>
        <v>8872.04</v>
      </c>
      <c r="R32" s="196">
        <f>IFERROR(VLOOKUP(L32,'C-01'!$D:$L,8,0),"")</f>
        <v>8960.78</v>
      </c>
      <c r="S32" s="197">
        <f>IFERROR(VLOOKUP(L32,'C-01'!$D:$L,9,0),"")</f>
        <v>9049.51</v>
      </c>
      <c r="T32" s="198">
        <f>IFS('Painel Geral'!$B$5="Mediana",IFERROR(IF(OR(C32="",Q32=0,Q32=""),"",($C32/$Q32)),""),'Painel Geral'!$B$5="Menor Salário",IFERROR(IF(OR(C32="",Q32=0,Q32=""),"",($C32/$N32)),""),'Painel Geral'!$B$5="1º Quartil",IFERROR(IF(OR(C32="",Q32=0,Q32=""),"",($C32/$O32)),""), 'Painel Geral'!$B$5="Média",IFERROR(IF(OR(C32="",Q32=0,Q32=""),"",($C32/$P32)),""),'Painel Geral'!$B$5="3º Quartil",IFERROR(IF(OR(C32="",Q32=0,Q32=""),"",($C32/$R32)),""),'Painel Geral'!$B$5="Maior Salário",IFERROR(IF(OR(C32="",Q32=0,Q32=""),"",($C32/$S32)),""))</f>
        <v>0.9746349205</v>
      </c>
      <c r="U32" s="199" t="str">
        <f t="shared" si="3"/>
        <v>Na Média</v>
      </c>
      <c r="V32" s="201"/>
      <c r="W32" s="201"/>
      <c r="X32" s="201"/>
      <c r="Y32" s="220">
        <f>AA32*0.8</f>
        <v>1872.8</v>
      </c>
      <c r="Z32" s="240">
        <v>10.0</v>
      </c>
      <c r="AA32" s="233">
        <f t="shared" ref="AA32:AA47" si="6">-3179+1290*Z32-123*Z32*Z32+4.92*Z32*Z32*Z32</f>
        <v>2341</v>
      </c>
      <c r="AB32" s="234"/>
      <c r="AC32" s="235">
        <f>AA32*0.8</f>
        <v>1872.8</v>
      </c>
      <c r="AD32" s="201"/>
      <c r="AE32" s="201"/>
      <c r="AF32" s="201"/>
      <c r="AG32" s="201"/>
      <c r="AH32" s="201"/>
      <c r="AI32" s="201"/>
      <c r="AJ32" s="201"/>
      <c r="AK32" s="201"/>
      <c r="AL32" s="201"/>
      <c r="AM32" s="201"/>
      <c r="AN32" s="201"/>
      <c r="AO32" s="201"/>
      <c r="AP32" s="201"/>
    </row>
    <row r="33" ht="15.75" customHeight="1">
      <c r="A33" s="184" t="s">
        <v>146</v>
      </c>
      <c r="B33" s="185" t="str">
        <f>VLOOKUP(A33,Jobmatch!A:G,2,0)</f>
        <v>GERENTE ADMINISTRATIVA </v>
      </c>
      <c r="C33" s="186">
        <f>IFERROR(AVERAGEIF('Folha de Pagamento'!A:A,A33,'Folha de Pagamento'!J:J),"")</f>
        <v>12242.42424</v>
      </c>
      <c r="D33" s="187">
        <v>1.0</v>
      </c>
      <c r="E33" s="185" t="str">
        <f>VLOOKUP(A33,Jobmatch!A:H,3,0)</f>
        <v>Administrativo</v>
      </c>
      <c r="F33" s="188" t="s">
        <v>331</v>
      </c>
      <c r="G33" s="190" t="str">
        <f>VLOOKUP(A33,Jobmatch!A:I,4,0)</f>
        <v>49 - ADM PROJETOS</v>
      </c>
      <c r="H33" s="191" t="str">
        <f>VLOOKUP(A33,Jobmatch!A:I,5,0)</f>
        <v>Tático</v>
      </c>
      <c r="I33" s="192">
        <f>VLOOKUP(A33,Jobmatch!A:I,6,0)</f>
        <v>106</v>
      </c>
      <c r="J33" s="190" t="str">
        <f>VLOOKUP(A33,Jobmatch!A:I,7,0)</f>
        <v>Gerente Administrativo</v>
      </c>
      <c r="K33" s="193" t="str">
        <f>VLOOKUP(A33,Jobmatch!A:I,8,0)</f>
        <v>Indiferente</v>
      </c>
      <c r="L33" s="194" t="str">
        <f t="shared" si="2"/>
        <v>106Indiferente</v>
      </c>
      <c r="M33" s="195">
        <f>COUNTIF('Folha de Pagamento'!A:A,A33)</f>
        <v>2</v>
      </c>
      <c r="N33" s="238">
        <v>19.0</v>
      </c>
      <c r="O33" s="196">
        <f>IFERROR(VLOOKUP(L33,'C-01'!$D:$L,5,0),"")</f>
        <v>6616.13</v>
      </c>
      <c r="P33" s="196">
        <f>IFERROR(VLOOKUP(L33,'C-01'!$D:$L,6,0),"")</f>
        <v>9881.52</v>
      </c>
      <c r="Q33" s="196">
        <f>IFERROR(VLOOKUP(L33,'C-01'!$D:$L,7,0),"")</f>
        <v>10052.23</v>
      </c>
      <c r="R33" s="196">
        <f>IFERROR(VLOOKUP(L33,'C-01'!$D:$L,8,0),"")</f>
        <v>12479.94</v>
      </c>
      <c r="S33" s="197">
        <f>IFERROR(VLOOKUP(L33,'C-01'!$D:$L,9,0),"")</f>
        <v>15257.82</v>
      </c>
      <c r="T33" s="198">
        <f>IFS('Painel Geral'!$B$5="Mediana",IFERROR(IF(OR(C33="",Q33=0,Q33=""),"",($C33/$Q33)),""),'Painel Geral'!$B$5="Menor Salário",IFERROR(IF(OR(C33="",Q33=0,Q33=""),"",($C33/$N33)),""),'Painel Geral'!$B$5="1º Quartil",IFERROR(IF(OR(C33="",Q33=0,Q33=""),"",($C33/$O33)),""), 'Painel Geral'!$B$5="Média",IFERROR(IF(OR(C33="",Q33=0,Q33=""),"",($C33/$P33)),""),'Painel Geral'!$B$5="3º Quartil",IFERROR(IF(OR(C33="",Q33=0,Q33=""),"",($C33/$R33)),""),'Painel Geral'!$B$5="Maior Salário",IFERROR(IF(OR(C33="",Q33=0,Q33=""),"",($C33/$S33)),""))</f>
        <v>1.21788143</v>
      </c>
      <c r="U33" s="199" t="str">
        <f t="shared" si="3"/>
        <v>Agressivo</v>
      </c>
      <c r="V33" s="201"/>
      <c r="W33" s="201"/>
      <c r="X33" s="201"/>
      <c r="Y33" s="201"/>
      <c r="Z33" s="232">
        <v>11.0</v>
      </c>
      <c r="AA33" s="233">
        <f t="shared" si="6"/>
        <v>2676.52</v>
      </c>
      <c r="AB33" s="224">
        <f t="shared" ref="AB33:AB47" si="7">(AA33-AA32)/AA32</f>
        <v>0.1433233661</v>
      </c>
      <c r="AC33" s="235"/>
      <c r="AD33" s="201"/>
      <c r="AE33" s="201"/>
      <c r="AF33" s="201"/>
      <c r="AG33" s="201"/>
      <c r="AH33" s="201"/>
      <c r="AI33" s="201"/>
      <c r="AJ33" s="201"/>
      <c r="AK33" s="201"/>
      <c r="AL33" s="201"/>
      <c r="AM33" s="201"/>
      <c r="AN33" s="201"/>
      <c r="AO33" s="201"/>
      <c r="AP33" s="201"/>
    </row>
    <row r="34" ht="15.75" customHeight="1">
      <c r="A34" s="184" t="s">
        <v>166</v>
      </c>
      <c r="B34" s="185" t="str">
        <f>VLOOKUP(A34,Jobmatch!A:G,2,0)</f>
        <v>GERENTE DE PARCERIAS</v>
      </c>
      <c r="C34" s="186">
        <f>IFERROR(AVERAGEIF('Folha de Pagamento'!A:A,A34,'Folha de Pagamento'!J:J),"")</f>
        <v>5345</v>
      </c>
      <c r="D34" s="187">
        <v>2.0</v>
      </c>
      <c r="E34" s="185" t="str">
        <f>VLOOKUP(A34,Jobmatch!A:H,3,0)</f>
        <v>Comercial</v>
      </c>
      <c r="F34" s="188" t="s">
        <v>335</v>
      </c>
      <c r="G34" s="190" t="str">
        <f>VLOOKUP(A34,Jobmatch!A:I,4,0)</f>
        <v>55 - ADM PROJETOS</v>
      </c>
      <c r="H34" s="191" t="str">
        <f>VLOOKUP(A34,Jobmatch!A:I,5,0)</f>
        <v>Tático</v>
      </c>
      <c r="I34" s="192">
        <f>VLOOKUP(A34,Jobmatch!A:I,6,0)</f>
        <v>408</v>
      </c>
      <c r="J34" s="190" t="str">
        <f>VLOOKUP(A34,Jobmatch!A:I,7,0)</f>
        <v>Gerente de Relacionamento</v>
      </c>
      <c r="K34" s="193" t="str">
        <f>VLOOKUP(A34,Jobmatch!A:I,8,0)</f>
        <v>Indiferente</v>
      </c>
      <c r="L34" s="194" t="str">
        <f t="shared" si="2"/>
        <v>408Indiferente</v>
      </c>
      <c r="M34" s="195">
        <f>COUNTIF('Folha de Pagamento'!A:A,A34)</f>
        <v>2</v>
      </c>
      <c r="N34" s="238">
        <v>19.0</v>
      </c>
      <c r="O34" s="196">
        <f>IFERROR(VLOOKUP(L34,'C-01'!$D:$L,5,0),"")</f>
        <v>7608.96</v>
      </c>
      <c r="P34" s="196">
        <f>IFERROR(VLOOKUP(L34,'C-01'!$D:$L,6,0),"")</f>
        <v>10973.95</v>
      </c>
      <c r="Q34" s="196">
        <f>IFERROR(VLOOKUP(L34,'C-01'!$D:$L,7,0),"")</f>
        <v>10996.97</v>
      </c>
      <c r="R34" s="196">
        <f>IFERROR(VLOOKUP(L34,'C-01'!$D:$L,8,0),"")</f>
        <v>14004.27</v>
      </c>
      <c r="S34" s="197">
        <f>IFERROR(VLOOKUP(L34,'C-01'!$D:$L,9,0),"")</f>
        <v>16628.86</v>
      </c>
      <c r="T34" s="198">
        <f>IFS('Painel Geral'!$B$5="Mediana",IFERROR(IF(OR(C34="",Q34=0,Q34=""),"",($C34/$Q34)),""),'Painel Geral'!$B$5="Menor Salário",IFERROR(IF(OR(C34="",Q34=0,Q34=""),"",($C34/$N34)),""),'Painel Geral'!$B$5="1º Quartil",IFERROR(IF(OR(C34="",Q34=0,Q34=""),"",($C34/$O34)),""), 'Painel Geral'!$B$5="Média",IFERROR(IF(OR(C34="",Q34=0,Q34=""),"",($C34/$P34)),""),'Painel Geral'!$B$5="3º Quartil",IFERROR(IF(OR(C34="",Q34=0,Q34=""),"",($C34/$R34)),""),'Painel Geral'!$B$5="Maior Salário",IFERROR(IF(OR(C34="",Q34=0,Q34=""),"",($C34/$S34)),""))</f>
        <v>0.4860429737</v>
      </c>
      <c r="U34" s="199" t="str">
        <f t="shared" si="3"/>
        <v>Muito Defasado</v>
      </c>
      <c r="V34" s="201"/>
      <c r="W34" s="201"/>
      <c r="X34" s="201"/>
      <c r="Y34" s="201"/>
      <c r="Z34" s="232">
        <v>12.0</v>
      </c>
      <c r="AA34" s="233">
        <f t="shared" si="6"/>
        <v>3090.76</v>
      </c>
      <c r="AB34" s="224">
        <f t="shared" si="7"/>
        <v>0.1547681318</v>
      </c>
      <c r="AC34" s="235"/>
      <c r="AD34" s="201"/>
      <c r="AE34" s="201"/>
      <c r="AF34" s="201"/>
      <c r="AG34" s="201"/>
      <c r="AH34" s="201"/>
      <c r="AI34" s="201"/>
      <c r="AJ34" s="201"/>
      <c r="AK34" s="201"/>
      <c r="AL34" s="201"/>
      <c r="AM34" s="201"/>
      <c r="AN34" s="201"/>
      <c r="AO34" s="201"/>
      <c r="AP34" s="201"/>
    </row>
    <row r="35" ht="15.75" customHeight="1">
      <c r="A35" s="184" t="s">
        <v>171</v>
      </c>
      <c r="B35" s="185" t="str">
        <f>VLOOKUP(A35,Jobmatch!A:G,2,0)</f>
        <v>GERENTE DE PARCERIAS EXTERNAS</v>
      </c>
      <c r="C35" s="186">
        <f>IFERROR(AVERAGEIF('Folha de Pagamento'!A:A,A35,'Folha de Pagamento'!J:J),"")</f>
        <v>5000</v>
      </c>
      <c r="D35" s="187">
        <v>2.0</v>
      </c>
      <c r="E35" s="185" t="str">
        <f>VLOOKUP(A35,Jobmatch!A:H,3,0)</f>
        <v>Comercial</v>
      </c>
      <c r="F35" s="188" t="s">
        <v>336</v>
      </c>
      <c r="G35" s="190" t="str">
        <f>VLOOKUP(A35,Jobmatch!A:I,4,0)</f>
        <v>56 - ADM PROJETOS</v>
      </c>
      <c r="H35" s="191" t="str">
        <f>VLOOKUP(A35,Jobmatch!A:I,5,0)</f>
        <v>Tático</v>
      </c>
      <c r="I35" s="192">
        <f>VLOOKUP(A35,Jobmatch!A:I,6,0)</f>
        <v>408</v>
      </c>
      <c r="J35" s="190" t="str">
        <f>VLOOKUP(A35,Jobmatch!A:I,7,0)</f>
        <v>Gerente de Relacionamento</v>
      </c>
      <c r="K35" s="193" t="str">
        <f>VLOOKUP(A35,Jobmatch!A:I,8,0)</f>
        <v>Indiferente</v>
      </c>
      <c r="L35" s="194" t="str">
        <f t="shared" si="2"/>
        <v>408Indiferente</v>
      </c>
      <c r="M35" s="195">
        <f>COUNTIF('Folha de Pagamento'!A:A,A35)</f>
        <v>2</v>
      </c>
      <c r="N35" s="238">
        <v>19.0</v>
      </c>
      <c r="O35" s="196">
        <f>IFERROR(VLOOKUP(L35,'C-01'!$D:$L,5,0),"")</f>
        <v>7608.96</v>
      </c>
      <c r="P35" s="196">
        <f>IFERROR(VLOOKUP(L35,'C-01'!$D:$L,6,0),"")</f>
        <v>10973.95</v>
      </c>
      <c r="Q35" s="196">
        <f>IFERROR(VLOOKUP(L35,'C-01'!$D:$L,7,0),"")</f>
        <v>10996.97</v>
      </c>
      <c r="R35" s="196">
        <f>IFERROR(VLOOKUP(L35,'C-01'!$D:$L,8,0),"")</f>
        <v>14004.27</v>
      </c>
      <c r="S35" s="197">
        <f>IFERROR(VLOOKUP(L35,'C-01'!$D:$L,9,0),"")</f>
        <v>16628.86</v>
      </c>
      <c r="T35" s="198">
        <f>IFS('Painel Geral'!$B$5="Mediana",IFERROR(IF(OR(C35="",Q35=0,Q35=""),"",($C35/$Q35)),""),'Painel Geral'!$B$5="Menor Salário",IFERROR(IF(OR(C35="",Q35=0,Q35=""),"",($C35/$N35)),""),'Painel Geral'!$B$5="1º Quartil",IFERROR(IF(OR(C35="",Q35=0,Q35=""),"",($C35/$O35)),""), 'Painel Geral'!$B$5="Média",IFERROR(IF(OR(C35="",Q35=0,Q35=""),"",($C35/$P35)),""),'Painel Geral'!$B$5="3º Quartil",IFERROR(IF(OR(C35="",Q35=0,Q35=""),"",($C35/$R35)),""),'Painel Geral'!$B$5="Maior Salário",IFERROR(IF(OR(C35="",Q35=0,Q35=""),"",($C35/$S35)),""))</f>
        <v>0.4546706957</v>
      </c>
      <c r="U35" s="199" t="str">
        <f t="shared" si="3"/>
        <v>Muito Defasado</v>
      </c>
      <c r="V35" s="201"/>
      <c r="W35" s="201"/>
      <c r="X35" s="201"/>
      <c r="Y35" s="201"/>
      <c r="Z35" s="232">
        <v>13.0</v>
      </c>
      <c r="AA35" s="233">
        <f t="shared" si="6"/>
        <v>3613.24</v>
      </c>
      <c r="AB35" s="224">
        <f t="shared" si="7"/>
        <v>0.169045801</v>
      </c>
      <c r="AC35" s="235"/>
      <c r="AD35" s="201"/>
      <c r="AE35" s="201"/>
      <c r="AF35" s="201"/>
      <c r="AG35" s="201"/>
      <c r="AH35" s="201"/>
      <c r="AI35" s="201"/>
      <c r="AJ35" s="201"/>
      <c r="AK35" s="201"/>
      <c r="AL35" s="201"/>
      <c r="AM35" s="201"/>
      <c r="AN35" s="201"/>
      <c r="AO35" s="201"/>
      <c r="AP35" s="201"/>
    </row>
    <row r="36" ht="15.75" customHeight="1">
      <c r="A36" s="184" t="s">
        <v>112</v>
      </c>
      <c r="B36" s="185" t="str">
        <f>VLOOKUP(A36,Jobmatch!A:G,2,0)</f>
        <v>COORDENADOR DE SUPRIMENTOS</v>
      </c>
      <c r="C36" s="186">
        <f>IFERROR(AVERAGEIF('Folha de Pagamento'!A:A,A36,'Folha de Pagamento'!J:J),"")</f>
        <v>10596.02649</v>
      </c>
      <c r="D36" s="187">
        <v>1.0</v>
      </c>
      <c r="E36" s="185" t="str">
        <f>VLOOKUP(A36,Jobmatch!A:H,3,0)</f>
        <v>Suprimentos </v>
      </c>
      <c r="F36" s="188" t="s">
        <v>368</v>
      </c>
      <c r="G36" s="190" t="str">
        <f>VLOOKUP(A36,Jobmatch!A:I,4,0)</f>
        <v>38 - ADM PROJETOS</v>
      </c>
      <c r="H36" s="191" t="str">
        <f>VLOOKUP(A36,Jobmatch!A:I,5,0)</f>
        <v>Tático</v>
      </c>
      <c r="I36" s="192">
        <f>VLOOKUP(A36,Jobmatch!A:I,6,0)</f>
        <v>137</v>
      </c>
      <c r="J36" s="190" t="str">
        <f>VLOOKUP(A36,Jobmatch!A:I,7,0)</f>
        <v>Coordenador de Compras</v>
      </c>
      <c r="K36" s="193" t="str">
        <f>VLOOKUP(A36,Jobmatch!A:I,8,0)</f>
        <v>Indiferente</v>
      </c>
      <c r="L36" s="194" t="str">
        <f t="shared" si="2"/>
        <v>137Indiferente</v>
      </c>
      <c r="M36" s="195">
        <f>COUNTIF('Folha de Pagamento'!A:A,A36)</f>
        <v>1</v>
      </c>
      <c r="N36" s="238">
        <v>19.0</v>
      </c>
      <c r="O36" s="196">
        <f>IFERROR(VLOOKUP(L36,'C-01'!$D:$L,5,0),"")</f>
        <v>10557.77</v>
      </c>
      <c r="P36" s="196">
        <f>IFERROR(VLOOKUP(L36,'C-01'!$D:$L,6,0),"")</f>
        <v>13345.69</v>
      </c>
      <c r="Q36" s="196">
        <f>IFERROR(VLOOKUP(L36,'C-01'!$D:$L,7,0),"")</f>
        <v>11060.52</v>
      </c>
      <c r="R36" s="196">
        <f>IFERROR(VLOOKUP(L36,'C-01'!$D:$L,8,0),"")</f>
        <v>14991.02</v>
      </c>
      <c r="S36" s="197">
        <f>IFERROR(VLOOKUP(L36,'C-01'!$D:$L,9,0),"")</f>
        <v>18921.53</v>
      </c>
      <c r="T36" s="198">
        <f>IFS('Painel Geral'!$B$5="Mediana",IFERROR(IF(OR(C36="",Q36=0,Q36=""),"",($C36/$Q36)),""),'Painel Geral'!$B$5="Menor Salário",IFERROR(IF(OR(C36="",Q36=0,Q36=""),"",($C36/$N36)),""),'Painel Geral'!$B$5="1º Quartil",IFERROR(IF(OR(C36="",Q36=0,Q36=""),"",($C36/$O36)),""), 'Painel Geral'!$B$5="Média",IFERROR(IF(OR(C36="",Q36=0,Q36=""),"",($C36/$P36)),""),'Painel Geral'!$B$5="3º Quartil",IFERROR(IF(OR(C36="",Q36=0,Q36=""),"",($C36/$R36)),""),'Painel Geral'!$B$5="Maior Salário",IFERROR(IF(OR(C36="",Q36=0,Q36=""),"",($C36/$S36)),""))</f>
        <v>0.9580043696</v>
      </c>
      <c r="U36" s="199" t="str">
        <f t="shared" si="3"/>
        <v>Na Média</v>
      </c>
      <c r="V36" s="201"/>
      <c r="W36" s="201"/>
      <c r="X36" s="201"/>
      <c r="Y36" s="201"/>
      <c r="Z36" s="232">
        <v>14.0</v>
      </c>
      <c r="AA36" s="233">
        <f t="shared" si="6"/>
        <v>4273.48</v>
      </c>
      <c r="AB36" s="224">
        <f t="shared" si="7"/>
        <v>0.1827279671</v>
      </c>
      <c r="AC36" s="235"/>
      <c r="AD36" s="201"/>
      <c r="AE36" s="201"/>
      <c r="AF36" s="201"/>
      <c r="AG36" s="201"/>
      <c r="AH36" s="201"/>
      <c r="AI36" s="201"/>
      <c r="AJ36" s="201"/>
      <c r="AK36" s="201"/>
      <c r="AL36" s="201"/>
      <c r="AM36" s="201"/>
      <c r="AN36" s="201"/>
      <c r="AO36" s="201"/>
      <c r="AP36" s="201"/>
    </row>
    <row r="37" ht="15.75" customHeight="1">
      <c r="A37" s="184" t="s">
        <v>149</v>
      </c>
      <c r="B37" s="185" t="str">
        <f>VLOOKUP(A37,Jobmatch!A:G,2,0)</f>
        <v>GERENTE COMERCIAL</v>
      </c>
      <c r="C37" s="186">
        <f>IFERROR(AVERAGEIF('Folha de Pagamento'!A:A,A37,'Folha de Pagamento'!J:J),"")</f>
        <v>12090.90909</v>
      </c>
      <c r="D37" s="187">
        <v>2.0</v>
      </c>
      <c r="E37" s="185" t="str">
        <f>VLOOKUP(A37,Jobmatch!A:H,3,0)</f>
        <v>Comercial</v>
      </c>
      <c r="F37" s="188" t="s">
        <v>294</v>
      </c>
      <c r="G37" s="190" t="str">
        <f>VLOOKUP(A37,Jobmatch!A:I,4,0)</f>
        <v>50 - ADM PROJETOS</v>
      </c>
      <c r="H37" s="191" t="str">
        <f>VLOOKUP(A37,Jobmatch!A:I,5,0)</f>
        <v>Tático</v>
      </c>
      <c r="I37" s="192">
        <f>VLOOKUP(A37,Jobmatch!A:I,6,0)</f>
        <v>107</v>
      </c>
      <c r="J37" s="190" t="str">
        <f>VLOOKUP(A37,Jobmatch!A:I,7,0)</f>
        <v>Gerente Comercial</v>
      </c>
      <c r="K37" s="193" t="str">
        <f>VLOOKUP(A37,Jobmatch!A:I,8,0)</f>
        <v>Indiferente</v>
      </c>
      <c r="L37" s="194" t="str">
        <f t="shared" si="2"/>
        <v>107Indiferente</v>
      </c>
      <c r="M37" s="195">
        <f>COUNTIF('Folha de Pagamento'!A:A,A37)</f>
        <v>4</v>
      </c>
      <c r="N37" s="238">
        <v>20.0</v>
      </c>
      <c r="O37" s="196">
        <f>IFERROR(VLOOKUP(L37,'C-01'!$D:$L,5,0),"")</f>
        <v>9778.91</v>
      </c>
      <c r="P37" s="196">
        <f>IFERROR(VLOOKUP(L37,'C-01'!$D:$L,6,0),"")</f>
        <v>12281.04</v>
      </c>
      <c r="Q37" s="196">
        <f>IFERROR(VLOOKUP(L37,'C-01'!$D:$L,7,0),"")</f>
        <v>12107.57</v>
      </c>
      <c r="R37" s="196">
        <f>IFERROR(VLOOKUP(L37,'C-01'!$D:$L,8,0),"")</f>
        <v>15321.87</v>
      </c>
      <c r="S37" s="197">
        <f>IFERROR(VLOOKUP(L37,'C-01'!$D:$L,9,0),"")</f>
        <v>19289.48</v>
      </c>
      <c r="T37" s="198">
        <f>IFS('Painel Geral'!$B$5="Mediana",IFERROR(IF(OR(C37="",Q37=0,Q37=""),"",($C37/$Q37)),""),'Painel Geral'!$B$5="Menor Salário",IFERROR(IF(OR(C37="",Q37=0,Q37=""),"",($C37/$N37)),""),'Painel Geral'!$B$5="1º Quartil",IFERROR(IF(OR(C37="",Q37=0,Q37=""),"",($C37/$O37)),""), 'Painel Geral'!$B$5="Média",IFERROR(IF(OR(C37="",Q37=0,Q37=""),"",($C37/$P37)),""),'Painel Geral'!$B$5="3º Quartil",IFERROR(IF(OR(C37="",Q37=0,Q37=""),"",($C37/$R37)),""),'Painel Geral'!$B$5="Maior Salário",IFERROR(IF(OR(C37="",Q37=0,Q37=""),"",($C37/$S37)),""))</f>
        <v>0.9986239263</v>
      </c>
      <c r="U37" s="199" t="str">
        <f t="shared" si="3"/>
        <v>Na Média</v>
      </c>
      <c r="V37" s="201"/>
      <c r="W37" s="201"/>
      <c r="X37" s="201"/>
      <c r="Y37" s="201"/>
      <c r="Z37" s="232">
        <v>15.0</v>
      </c>
      <c r="AA37" s="233">
        <f t="shared" si="6"/>
        <v>5101</v>
      </c>
      <c r="AB37" s="224">
        <f t="shared" si="7"/>
        <v>0.1936407799</v>
      </c>
      <c r="AC37" s="235"/>
      <c r="AD37" s="201"/>
      <c r="AE37" s="201"/>
      <c r="AF37" s="201"/>
      <c r="AG37" s="201"/>
      <c r="AH37" s="201"/>
      <c r="AI37" s="201"/>
      <c r="AJ37" s="201"/>
      <c r="AK37" s="201"/>
      <c r="AL37" s="201"/>
      <c r="AM37" s="201"/>
      <c r="AN37" s="201"/>
      <c r="AO37" s="201"/>
      <c r="AP37" s="201"/>
    </row>
    <row r="38" ht="15.75" customHeight="1">
      <c r="A38" s="184" t="s">
        <v>155</v>
      </c>
      <c r="B38" s="185" t="str">
        <f>VLOOKUP(A38,Jobmatch!A:G,2,0)</f>
        <v>GERENTE DE HOUSE</v>
      </c>
      <c r="C38" s="186">
        <f>IFERROR(AVERAGEIF('Folha de Pagamento'!A:A,A38,'Folha de Pagamento'!J:J),"")</f>
        <v>5125</v>
      </c>
      <c r="D38" s="187">
        <v>2.0</v>
      </c>
      <c r="E38" s="185" t="str">
        <f>VLOOKUP(A38,Jobmatch!A:H,3,0)</f>
        <v>Comercial</v>
      </c>
      <c r="F38" s="188" t="s">
        <v>333</v>
      </c>
      <c r="G38" s="190" t="str">
        <f>VLOOKUP(A38,Jobmatch!A:I,4,0)</f>
        <v>52 - ADM PROJETOS</v>
      </c>
      <c r="H38" s="191" t="str">
        <f>VLOOKUP(A38,Jobmatch!A:I,5,0)</f>
        <v>Tático</v>
      </c>
      <c r="I38" s="192">
        <f>VLOOKUP(A38,Jobmatch!A:I,6,0)</f>
        <v>107</v>
      </c>
      <c r="J38" s="190" t="str">
        <f>VLOOKUP(A38,Jobmatch!A:I,7,0)</f>
        <v>Gerente Comercial</v>
      </c>
      <c r="K38" s="193" t="str">
        <f>VLOOKUP(A38,Jobmatch!A:I,8,0)</f>
        <v>Indiferente</v>
      </c>
      <c r="L38" s="194" t="str">
        <f t="shared" si="2"/>
        <v>107Indiferente</v>
      </c>
      <c r="M38" s="195">
        <f>COUNTIF('Folha de Pagamento'!A:A,A38)</f>
        <v>1</v>
      </c>
      <c r="N38" s="238">
        <v>20.0</v>
      </c>
      <c r="O38" s="196">
        <f>IFERROR(VLOOKUP(L38,'C-01'!$D:$L,5,0),"")</f>
        <v>9778.91</v>
      </c>
      <c r="P38" s="196">
        <f>IFERROR(VLOOKUP(L38,'C-01'!$D:$L,6,0),"")</f>
        <v>12281.04</v>
      </c>
      <c r="Q38" s="196">
        <f>IFERROR(VLOOKUP(L38,'C-01'!$D:$L,7,0),"")</f>
        <v>12107.57</v>
      </c>
      <c r="R38" s="196">
        <f>IFERROR(VLOOKUP(L38,'C-01'!$D:$L,8,0),"")</f>
        <v>15321.87</v>
      </c>
      <c r="S38" s="197">
        <f>IFERROR(VLOOKUP(L38,'C-01'!$D:$L,9,0),"")</f>
        <v>19289.48</v>
      </c>
      <c r="T38" s="198">
        <f>IFS('Painel Geral'!$B$5="Mediana",IFERROR(IF(OR(C38="",Q38=0,Q38=""),"",($C38/$Q38)),""),'Painel Geral'!$B$5="Menor Salário",IFERROR(IF(OR(C38="",Q38=0,Q38=""),"",($C38/$N38)),""),'Painel Geral'!$B$5="1º Quartil",IFERROR(IF(OR(C38="",Q38=0,Q38=""),"",($C38/$O38)),""), 'Painel Geral'!$B$5="Média",IFERROR(IF(OR(C38="",Q38=0,Q38=""),"",($C38/$P38)),""),'Painel Geral'!$B$5="3º Quartil",IFERROR(IF(OR(C38="",Q38=0,Q38=""),"",($C38/$R38)),""),'Painel Geral'!$B$5="Maior Salário",IFERROR(IF(OR(C38="",Q38=0,Q38=""),"",($C38/$S38)),""))</f>
        <v>0.4232889011</v>
      </c>
      <c r="U38" s="199" t="str">
        <f t="shared" si="3"/>
        <v>Muito Defasado</v>
      </c>
      <c r="V38" s="201"/>
      <c r="W38" s="201"/>
      <c r="X38" s="201"/>
      <c r="Y38" s="201"/>
      <c r="Z38" s="232">
        <v>16.0</v>
      </c>
      <c r="AA38" s="233">
        <f t="shared" si="6"/>
        <v>6125.32</v>
      </c>
      <c r="AB38" s="224">
        <f t="shared" si="7"/>
        <v>0.2008076848</v>
      </c>
      <c r="AC38" s="235"/>
      <c r="AD38" s="201"/>
      <c r="AE38" s="201"/>
      <c r="AF38" s="201"/>
      <c r="AG38" s="201"/>
      <c r="AH38" s="201"/>
      <c r="AI38" s="201"/>
      <c r="AJ38" s="201"/>
      <c r="AK38" s="201"/>
      <c r="AL38" s="201"/>
      <c r="AM38" s="201"/>
      <c r="AN38" s="201"/>
      <c r="AO38" s="201"/>
      <c r="AP38" s="201"/>
    </row>
    <row r="39" ht="15.75" customHeight="1">
      <c r="A39" s="184" t="s">
        <v>152</v>
      </c>
      <c r="B39" s="185" t="str">
        <f>VLOOKUP(A39,Jobmatch!A:G,2,0)</f>
        <v>GERENTE DE EDIFICAÇÕES</v>
      </c>
      <c r="C39" s="186">
        <f>IFERROR(AVERAGEIF('Folha de Pagamento'!A:A,A39,'Folha de Pagamento'!J:J),"")</f>
        <v>30106.06061</v>
      </c>
      <c r="D39" s="187">
        <v>5.0</v>
      </c>
      <c r="E39" s="185" t="str">
        <f>VLOOKUP(A39,Jobmatch!A:H,3,0)</f>
        <v>Edificação</v>
      </c>
      <c r="F39" s="188" t="s">
        <v>348</v>
      </c>
      <c r="G39" s="190" t="str">
        <f>VLOOKUP(A39,Jobmatch!A:I,4,0)</f>
        <v>51 - ADM PROJETOS</v>
      </c>
      <c r="H39" s="191" t="str">
        <f>VLOOKUP(A39,Jobmatch!A:I,5,0)</f>
        <v>Tático</v>
      </c>
      <c r="I39" s="192">
        <f>VLOOKUP(A39,Jobmatch!A:I,6,0)</f>
        <v>311</v>
      </c>
      <c r="J39" s="190" t="str">
        <f>VLOOKUP(A39,Jobmatch!A:I,7,0)</f>
        <v>Gerente de Operações</v>
      </c>
      <c r="K39" s="193" t="str">
        <f>VLOOKUP(A39,Jobmatch!A:I,8,0)</f>
        <v>Indiferente</v>
      </c>
      <c r="L39" s="194" t="str">
        <f t="shared" si="2"/>
        <v>311Indiferente</v>
      </c>
      <c r="M39" s="195">
        <f>COUNTIF('Folha de Pagamento'!A:A,A39)</f>
        <v>1</v>
      </c>
      <c r="N39" s="238">
        <v>20.0</v>
      </c>
      <c r="O39" s="196">
        <f>IFERROR(VLOOKUP(L39,'C-01'!$D:$L,5,0),"")</f>
        <v>10114.75</v>
      </c>
      <c r="P39" s="196">
        <f>IFERROR(VLOOKUP(L39,'C-01'!$D:$L,6,0),"")</f>
        <v>12711.42</v>
      </c>
      <c r="Q39" s="196">
        <f>IFERROR(VLOOKUP(L39,'C-01'!$D:$L,7,0),"")</f>
        <v>12517.82</v>
      </c>
      <c r="R39" s="196">
        <f>IFERROR(VLOOKUP(L39,'C-01'!$D:$L,8,0),"")</f>
        <v>14749</v>
      </c>
      <c r="S39" s="197">
        <f>IFERROR(VLOOKUP(L39,'C-01'!$D:$L,9,0),"")</f>
        <v>19098.65</v>
      </c>
      <c r="T39" s="198">
        <f>IFS('Painel Geral'!$B$5="Mediana",IFERROR(IF(OR(C39="",Q39=0,Q39=""),"",($C39/$Q39)),""),'Painel Geral'!$B$5="Menor Salário",IFERROR(IF(OR(C39="",Q39=0,Q39=""),"",($C39/$N39)),""),'Painel Geral'!$B$5="1º Quartil",IFERROR(IF(OR(C39="",Q39=0,Q39=""),"",($C39/$O39)),""), 'Painel Geral'!$B$5="Média",IFERROR(IF(OR(C39="",Q39=0,Q39=""),"",($C39/$P39)),""),'Painel Geral'!$B$5="3º Quartil",IFERROR(IF(OR(C39="",Q39=0,Q39=""),"",($C39/$R39)),""),'Painel Geral'!$B$5="Maior Salário",IFERROR(IF(OR(C39="",Q39=0,Q39=""),"",($C39/$S39)),""))</f>
        <v>2.4050562</v>
      </c>
      <c r="U39" s="199" t="str">
        <f t="shared" si="3"/>
        <v>Agressivo</v>
      </c>
      <c r="V39" s="201"/>
      <c r="W39" s="201"/>
      <c r="X39" s="201"/>
      <c r="Y39" s="201"/>
      <c r="Z39" s="232">
        <v>17.0</v>
      </c>
      <c r="AA39" s="233">
        <f t="shared" si="6"/>
        <v>7375.96</v>
      </c>
      <c r="AB39" s="224">
        <f t="shared" si="7"/>
        <v>0.2041754553</v>
      </c>
      <c r="AC39" s="235"/>
      <c r="AD39" s="201"/>
      <c r="AE39" s="201"/>
      <c r="AF39" s="201"/>
      <c r="AG39" s="201"/>
      <c r="AH39" s="201"/>
      <c r="AI39" s="201"/>
      <c r="AJ39" s="201"/>
      <c r="AK39" s="201"/>
      <c r="AL39" s="201"/>
      <c r="AM39" s="201"/>
      <c r="AN39" s="201"/>
      <c r="AO39" s="201"/>
      <c r="AP39" s="201"/>
    </row>
    <row r="40" ht="15.75" customHeight="1">
      <c r="A40" s="184" t="s">
        <v>174</v>
      </c>
      <c r="B40" s="185" t="str">
        <f>VLOOKUP(A40,Jobmatch!A:G,2,0)</f>
        <v>GERENTE DE URBANISMO</v>
      </c>
      <c r="C40" s="186">
        <f>IFERROR(AVERAGEIF('Folha de Pagamento'!A:A,A40,'Folha de Pagamento'!J:J),"")</f>
        <v>28030.30303</v>
      </c>
      <c r="D40" s="187">
        <v>10.0</v>
      </c>
      <c r="E40" s="185" t="str">
        <f>VLOOKUP(A40,Jobmatch!A:H,3,0)</f>
        <v>Urbanismo</v>
      </c>
      <c r="F40" s="188" t="s">
        <v>375</v>
      </c>
      <c r="G40" s="190" t="str">
        <f>VLOOKUP(A40,Jobmatch!A:I,4,0)</f>
        <v>57 - ADM PROJETOS</v>
      </c>
      <c r="H40" s="191" t="str">
        <f>VLOOKUP(A40,Jobmatch!A:I,5,0)</f>
        <v>Tático</v>
      </c>
      <c r="I40" s="192">
        <f>VLOOKUP(A40,Jobmatch!A:I,6,0)</f>
        <v>311</v>
      </c>
      <c r="J40" s="190" t="str">
        <f>VLOOKUP(A40,Jobmatch!A:I,7,0)</f>
        <v>Gerente de Operações</v>
      </c>
      <c r="K40" s="193" t="str">
        <f>VLOOKUP(A40,Jobmatch!A:I,8,0)</f>
        <v>Indiferente</v>
      </c>
      <c r="L40" s="194" t="str">
        <f t="shared" si="2"/>
        <v>311Indiferente</v>
      </c>
      <c r="M40" s="195">
        <f>COUNTIF('Folha de Pagamento'!A:A,A40)</f>
        <v>2</v>
      </c>
      <c r="N40" s="238">
        <v>20.0</v>
      </c>
      <c r="O40" s="196">
        <f>IFERROR(VLOOKUP(L40,'C-01'!$D:$L,5,0),"")</f>
        <v>10114.75</v>
      </c>
      <c r="P40" s="196">
        <f>IFERROR(VLOOKUP(L40,'C-01'!$D:$L,6,0),"")</f>
        <v>12711.42</v>
      </c>
      <c r="Q40" s="196">
        <f>IFERROR(VLOOKUP(L40,'C-01'!$D:$L,7,0),"")</f>
        <v>12517.82</v>
      </c>
      <c r="R40" s="196">
        <f>IFERROR(VLOOKUP(L40,'C-01'!$D:$L,8,0),"")</f>
        <v>14749</v>
      </c>
      <c r="S40" s="197">
        <f>IFERROR(VLOOKUP(L40,'C-01'!$D:$L,9,0),"")</f>
        <v>19098.65</v>
      </c>
      <c r="T40" s="198">
        <f>IFS('Painel Geral'!$B$5="Mediana",IFERROR(IF(OR(C40="",Q40=0,Q40=""),"",($C40/$Q40)),""),'Painel Geral'!$B$5="Menor Salário",IFERROR(IF(OR(C40="",Q40=0,Q40=""),"",($C40/$N40)),""),'Painel Geral'!$B$5="1º Quartil",IFERROR(IF(OR(C40="",Q40=0,Q40=""),"",($C40/$O40)),""), 'Painel Geral'!$B$5="Média",IFERROR(IF(OR(C40="",Q40=0,Q40=""),"",($C40/$P40)),""),'Painel Geral'!$B$5="3º Quartil",IFERROR(IF(OR(C40="",Q40=0,Q40=""),"",($C40/$R40)),""),'Painel Geral'!$B$5="Maior Salário",IFERROR(IF(OR(C40="",Q40=0,Q40=""),"",($C40/$S40)),""))</f>
        <v>2.239231993</v>
      </c>
      <c r="U40" s="199" t="str">
        <f t="shared" si="3"/>
        <v>Agressivo</v>
      </c>
      <c r="V40" s="201"/>
      <c r="W40" s="201"/>
      <c r="X40" s="201"/>
      <c r="Y40" s="201"/>
      <c r="Z40" s="232">
        <v>18.0</v>
      </c>
      <c r="AA40" s="233">
        <f t="shared" si="6"/>
        <v>8882.44</v>
      </c>
      <c r="AB40" s="224">
        <f t="shared" si="7"/>
        <v>0.2042418885</v>
      </c>
      <c r="AC40" s="235"/>
      <c r="AD40" s="201"/>
      <c r="AE40" s="201"/>
      <c r="AF40" s="201"/>
      <c r="AG40" s="201"/>
      <c r="AH40" s="201"/>
      <c r="AI40" s="201"/>
      <c r="AJ40" s="201"/>
      <c r="AK40" s="201"/>
      <c r="AL40" s="201"/>
      <c r="AM40" s="201"/>
      <c r="AN40" s="201"/>
      <c r="AO40" s="201"/>
      <c r="AP40" s="201"/>
    </row>
    <row r="41" ht="15.75" customHeight="1">
      <c r="A41" s="184" t="s">
        <v>101</v>
      </c>
      <c r="B41" s="185" t="str">
        <f>VLOOKUP(A41,Jobmatch!A:G,2,0)</f>
        <v>COORDENADOR DE DHO</v>
      </c>
      <c r="C41" s="186">
        <f>IFERROR(AVERAGEIF('Folha de Pagamento'!A:A,A41,'Folha de Pagamento'!J:J),"")</f>
        <v>7420</v>
      </c>
      <c r="D41" s="187">
        <v>4.0</v>
      </c>
      <c r="E41" s="185" t="str">
        <f>VLOOKUP(A41,Jobmatch!A:H,3,0)</f>
        <v>DHO</v>
      </c>
      <c r="F41" s="188" t="s">
        <v>341</v>
      </c>
      <c r="G41" s="190" t="str">
        <f>VLOOKUP(A41,Jobmatch!A:I,4,0)</f>
        <v>34 - ADM PROJETOS</v>
      </c>
      <c r="H41" s="191" t="str">
        <f>VLOOKUP(A41,Jobmatch!A:I,5,0)</f>
        <v>Tático</v>
      </c>
      <c r="I41" s="192">
        <f>VLOOKUP(A41,Jobmatch!A:I,6,0)</f>
        <v>121</v>
      </c>
      <c r="J41" s="190" t="str">
        <f>VLOOKUP(A41,Jobmatch!A:I,7,0)</f>
        <v>Coordenador de Recursos Humanos</v>
      </c>
      <c r="K41" s="193" t="str">
        <f>VLOOKUP(A41,Jobmatch!A:I,8,0)</f>
        <v>Indiferente</v>
      </c>
      <c r="L41" s="194" t="str">
        <f t="shared" si="2"/>
        <v>121Indiferente</v>
      </c>
      <c r="M41" s="195">
        <f>COUNTIF('Folha de Pagamento'!A:A,A41)</f>
        <v>1</v>
      </c>
      <c r="N41" s="238">
        <v>20.0</v>
      </c>
      <c r="O41" s="196">
        <f>IFERROR(VLOOKUP(L41,'C-01'!$D:$L,5,0),"")</f>
        <v>10014.8</v>
      </c>
      <c r="P41" s="196">
        <f>IFERROR(VLOOKUP(L41,'C-01'!$D:$L,6,0),"")</f>
        <v>11303.85</v>
      </c>
      <c r="Q41" s="196">
        <f>IFERROR(VLOOKUP(L41,'C-01'!$D:$L,7,0),"")</f>
        <v>12568.77</v>
      </c>
      <c r="R41" s="196">
        <f>IFERROR(VLOOKUP(L41,'C-01'!$D:$L,8,0),"")</f>
        <v>13225.36</v>
      </c>
      <c r="S41" s="197">
        <f>IFERROR(VLOOKUP(L41,'C-01'!$D:$L,9,0),"")</f>
        <v>13881.95</v>
      </c>
      <c r="T41" s="198">
        <f>IFS('Painel Geral'!$B$5="Mediana",IFERROR(IF(OR(C41="",Q41=0,Q41=""),"",($C41/$Q41)),""),'Painel Geral'!$B$5="Menor Salário",IFERROR(IF(OR(C41="",Q41=0,Q41=""),"",($C41/$N41)),""),'Painel Geral'!$B$5="1º Quartil",IFERROR(IF(OR(C41="",Q41=0,Q41=""),"",($C41/$O41)),""), 'Painel Geral'!$B$5="Média",IFERROR(IF(OR(C41="",Q41=0,Q41=""),"",($C41/$P41)),""),'Painel Geral'!$B$5="3º Quartil",IFERROR(IF(OR(C41="",Q41=0,Q41=""),"",($C41/$R41)),""),'Painel Geral'!$B$5="Maior Salário",IFERROR(IF(OR(C41="",Q41=0,Q41=""),"",($C41/$S41)),""))</f>
        <v>0.5903521188</v>
      </c>
      <c r="U41" s="199" t="str">
        <f t="shared" si="3"/>
        <v>Muito Defasado</v>
      </c>
      <c r="V41" s="201"/>
      <c r="W41" s="201"/>
      <c r="X41" s="201"/>
      <c r="Y41" s="201"/>
      <c r="Z41" s="232">
        <v>19.0</v>
      </c>
      <c r="AA41" s="233">
        <f t="shared" si="6"/>
        <v>10674.28</v>
      </c>
      <c r="AB41" s="224">
        <f t="shared" si="7"/>
        <v>0.2017283539</v>
      </c>
      <c r="AC41" s="235"/>
      <c r="AD41" s="201"/>
      <c r="AE41" s="201"/>
      <c r="AF41" s="201"/>
      <c r="AG41" s="201"/>
      <c r="AH41" s="201"/>
      <c r="AI41" s="201"/>
      <c r="AJ41" s="201"/>
      <c r="AK41" s="201"/>
      <c r="AL41" s="201"/>
      <c r="AM41" s="201"/>
      <c r="AN41" s="201"/>
      <c r="AO41" s="201"/>
      <c r="AP41" s="201"/>
    </row>
    <row r="42" ht="15.75" customHeight="1">
      <c r="A42" s="184" t="s">
        <v>98</v>
      </c>
      <c r="B42" s="185" t="str">
        <f>VLOOKUP(A42,Jobmatch!A:G,2,0)</f>
        <v>CONTROLLER TÉCNICO</v>
      </c>
      <c r="C42" s="186">
        <f>IFERROR(AVERAGEIF('Folha de Pagamento'!A:A,A42,'Folha de Pagamento'!J:J),"")</f>
        <v>9243.50365</v>
      </c>
      <c r="D42" s="187">
        <v>3.0</v>
      </c>
      <c r="E42" s="185" t="str">
        <f>VLOOKUP(A42,Jobmatch!A:H,3,0)</f>
        <v>Controladoria</v>
      </c>
      <c r="F42" s="188" t="s">
        <v>339</v>
      </c>
      <c r="G42" s="190" t="str">
        <f>VLOOKUP(A42,Jobmatch!A:I,4,0)</f>
        <v>33 - ADM PROJETOS</v>
      </c>
      <c r="H42" s="191" t="str">
        <f>VLOOKUP(A42,Jobmatch!A:I,5,0)</f>
        <v>Tático</v>
      </c>
      <c r="I42" s="192">
        <f>VLOOKUP(A42,Jobmatch!A:I,6,0)</f>
        <v>26</v>
      </c>
      <c r="J42" s="190" t="str">
        <f>VLOOKUP(A42,Jobmatch!A:I,7,0)</f>
        <v>Analista de Controladoria</v>
      </c>
      <c r="K42" s="193" t="str">
        <f>VLOOKUP(A42,Jobmatch!A:I,8,0)</f>
        <v>Especialista</v>
      </c>
      <c r="L42" s="194" t="str">
        <f t="shared" si="2"/>
        <v>26Especialista</v>
      </c>
      <c r="M42" s="195">
        <f>COUNTIF('Folha de Pagamento'!A:A,A42)</f>
        <v>1</v>
      </c>
      <c r="N42" s="238">
        <v>20.0</v>
      </c>
      <c r="O42" s="196">
        <f>IFERROR(VLOOKUP(L42,'C-01'!$D:$L,5,0),"")</f>
        <v>10665.2</v>
      </c>
      <c r="P42" s="196">
        <f>IFERROR(VLOOKUP(L42,'C-01'!$D:$L,6,0),"")</f>
        <v>12572.61</v>
      </c>
      <c r="Q42" s="196">
        <f>IFERROR(VLOOKUP(L42,'C-01'!$D:$L,7,0),"")</f>
        <v>13758.75</v>
      </c>
      <c r="R42" s="196">
        <f>IFERROR(VLOOKUP(L42,'C-01'!$D:$L,8,0),"")</f>
        <v>15666.17</v>
      </c>
      <c r="S42" s="197">
        <f>IFERROR(VLOOKUP(L42,'C-01'!$D:$L,9,0),"")</f>
        <v>15995.86</v>
      </c>
      <c r="T42" s="198">
        <f>IFS('Painel Geral'!$B$5="Mediana",IFERROR(IF(OR(C42="",Q42=0,Q42=""),"",($C42/$Q42)),""),'Painel Geral'!$B$5="Menor Salário",IFERROR(IF(OR(C42="",Q42=0,Q42=""),"",($C42/$N42)),""),'Painel Geral'!$B$5="1º Quartil",IFERROR(IF(OR(C42="",Q42=0,Q42=""),"",($C42/$O42)),""), 'Painel Geral'!$B$5="Média",IFERROR(IF(OR(C42="",Q42=0,Q42=""),"",($C42/$P42)),""),'Painel Geral'!$B$5="3º Quartil",IFERROR(IF(OR(C42="",Q42=0,Q42=""),"",($C42/$R42)),""),'Painel Geral'!$B$5="Maior Salário",IFERROR(IF(OR(C42="",Q42=0,Q42=""),"",($C42/$S42)),""))</f>
        <v>0.6718272844</v>
      </c>
      <c r="U42" s="199" t="str">
        <f t="shared" si="3"/>
        <v>Muito Defasado</v>
      </c>
      <c r="V42" s="201"/>
      <c r="W42" s="201"/>
      <c r="X42" s="201"/>
      <c r="Y42" s="201"/>
      <c r="Z42" s="232">
        <v>20.0</v>
      </c>
      <c r="AA42" s="233">
        <f t="shared" si="6"/>
        <v>12781</v>
      </c>
      <c r="AB42" s="224">
        <f t="shared" si="7"/>
        <v>0.1973641314</v>
      </c>
      <c r="AC42" s="235"/>
      <c r="AD42" s="201"/>
      <c r="AE42" s="201"/>
      <c r="AF42" s="201"/>
      <c r="AG42" s="201"/>
      <c r="AH42" s="201"/>
      <c r="AI42" s="201"/>
      <c r="AJ42" s="201"/>
      <c r="AK42" s="201"/>
      <c r="AL42" s="201"/>
      <c r="AM42" s="201"/>
      <c r="AN42" s="201"/>
      <c r="AO42" s="201"/>
      <c r="AP42" s="201"/>
    </row>
    <row r="43" ht="15.75" customHeight="1">
      <c r="A43" s="184" t="s">
        <v>130</v>
      </c>
      <c r="B43" s="185" t="str">
        <f>VLOOKUP(A43,Jobmatch!A:G,2,0)</f>
        <v>ENGENHEIRO SÊNIOR </v>
      </c>
      <c r="C43" s="186">
        <f>IFERROR(AVERAGEIF('Folha de Pagamento'!A:A,A43,'Folha de Pagamento'!J:J),"")</f>
        <v>14393.93939</v>
      </c>
      <c r="D43" s="187">
        <v>5.0</v>
      </c>
      <c r="E43" s="185" t="str">
        <f>VLOOKUP(A43,Jobmatch!A:H,3,0)</f>
        <v>Edificação</v>
      </c>
      <c r="F43" s="188" t="s">
        <v>347</v>
      </c>
      <c r="G43" s="190" t="str">
        <f>VLOOKUP(A43,Jobmatch!A:I,4,0)</f>
        <v>44 - ADM PROJETOS</v>
      </c>
      <c r="H43" s="191" t="str">
        <f>VLOOKUP(A43,Jobmatch!A:I,5,0)</f>
        <v>Tático</v>
      </c>
      <c r="I43" s="192">
        <f>VLOOKUP(A43,Jobmatch!A:I,6,0)</f>
        <v>212</v>
      </c>
      <c r="J43" s="190" t="str">
        <f>VLOOKUP(A43,Jobmatch!A:I,7,0)</f>
        <v>Engenheiro de Urbanismo</v>
      </c>
      <c r="K43" s="193" t="str">
        <f>VLOOKUP(A43,Jobmatch!A:I,8,0)</f>
        <v>Indiferente</v>
      </c>
      <c r="L43" s="194" t="str">
        <f t="shared" si="2"/>
        <v>212Indiferente</v>
      </c>
      <c r="M43" s="195">
        <f>COUNTIF('Folha de Pagamento'!A:A,A43)</f>
        <v>1</v>
      </c>
      <c r="N43" s="238">
        <v>21.0</v>
      </c>
      <c r="O43" s="196">
        <f>IFERROR(VLOOKUP(L43,'C-01'!$D:$L,5,0),"")</f>
        <v>12766.6</v>
      </c>
      <c r="P43" s="196">
        <f>IFERROR(VLOOKUP(L43,'C-01'!$D:$L,6,0),"")</f>
        <v>14293.39</v>
      </c>
      <c r="Q43" s="196">
        <f>IFERROR(VLOOKUP(L43,'C-01'!$D:$L,7,0),"")</f>
        <v>15082.52</v>
      </c>
      <c r="R43" s="196">
        <f>IFERROR(VLOOKUP(L43,'C-01'!$D:$L,8,0),"")</f>
        <v>16110.29</v>
      </c>
      <c r="S43" s="197">
        <f>IFERROR(VLOOKUP(L43,'C-01'!$D:$L,9,0),"")</f>
        <v>16164.64</v>
      </c>
      <c r="T43" s="198">
        <f>IFS('Painel Geral'!$B$5="Mediana",IFERROR(IF(OR(C43="",Q43=0,Q43=""),"",($C43/$Q43)),""),'Painel Geral'!$B$5="Menor Salário",IFERROR(IF(OR(C43="",Q43=0,Q43=""),"",($C43/$N43)),""),'Painel Geral'!$B$5="1º Quartil",IFERROR(IF(OR(C43="",Q43=0,Q43=""),"",($C43/$O43)),""), 'Painel Geral'!$B$5="Média",IFERROR(IF(OR(C43="",Q43=0,Q43=""),"",($C43/$P43)),""),'Painel Geral'!$B$5="3º Quartil",IFERROR(IF(OR(C43="",Q43=0,Q43=""),"",($C43/$R43)),""),'Painel Geral'!$B$5="Maior Salário",IFERROR(IF(OR(C43="",Q43=0,Q43=""),"",($C43/$S43)),""))</f>
        <v>0.9543457853</v>
      </c>
      <c r="U43" s="199" t="str">
        <f t="shared" si="3"/>
        <v>Na Média</v>
      </c>
      <c r="V43" s="201"/>
      <c r="W43" s="201"/>
      <c r="X43" s="201"/>
      <c r="Y43" s="201"/>
      <c r="Z43" s="232">
        <v>21.0</v>
      </c>
      <c r="AA43" s="233">
        <f t="shared" si="6"/>
        <v>15232.12</v>
      </c>
      <c r="AB43" s="224">
        <f t="shared" si="7"/>
        <v>0.1917784211</v>
      </c>
      <c r="AC43" s="235"/>
      <c r="AD43" s="201"/>
      <c r="AE43" s="201"/>
      <c r="AF43" s="201"/>
      <c r="AG43" s="201"/>
      <c r="AH43" s="201"/>
      <c r="AI43" s="201"/>
      <c r="AJ43" s="201"/>
      <c r="AK43" s="201"/>
      <c r="AL43" s="201"/>
      <c r="AM43" s="201"/>
      <c r="AN43" s="201"/>
      <c r="AO43" s="201"/>
      <c r="AP43" s="201"/>
    </row>
    <row r="44" ht="15.75" customHeight="1">
      <c r="A44" s="184" t="s">
        <v>127</v>
      </c>
      <c r="B44" s="185" t="str">
        <f>VLOOKUP(A44,Jobmatch!A:G,2,0)</f>
        <v>ENGENHEIRO JUNIOR DE URBANISMO</v>
      </c>
      <c r="C44" s="186">
        <f>IFERROR(AVERAGEIF('Folha de Pagamento'!A:A,A44,'Folha de Pagamento'!J:J),"")</f>
        <v>5630.872483</v>
      </c>
      <c r="D44" s="187">
        <v>10.0</v>
      </c>
      <c r="E44" s="185" t="str">
        <f>VLOOKUP(A44,Jobmatch!A:H,3,0)</f>
        <v>Urbanismo</v>
      </c>
      <c r="F44" s="188" t="s">
        <v>373</v>
      </c>
      <c r="G44" s="190" t="str">
        <f>VLOOKUP(A44,Jobmatch!A:I,4,0)</f>
        <v>43 - ADM PROJETOS</v>
      </c>
      <c r="H44" s="191" t="str">
        <f>VLOOKUP(A44,Jobmatch!A:I,5,0)</f>
        <v>Operacional</v>
      </c>
      <c r="I44" s="192">
        <f>VLOOKUP(A44,Jobmatch!A:I,6,0)</f>
        <v>212</v>
      </c>
      <c r="J44" s="190" t="str">
        <f>VLOOKUP(A44,Jobmatch!A:I,7,0)</f>
        <v>Engenheiro de Urbanismo</v>
      </c>
      <c r="K44" s="193" t="str">
        <f>VLOOKUP(A44,Jobmatch!A:I,8,0)</f>
        <v>Indiferente</v>
      </c>
      <c r="L44" s="194" t="str">
        <f t="shared" si="2"/>
        <v>212Indiferente</v>
      </c>
      <c r="M44" s="195">
        <f>COUNTIF('Folha de Pagamento'!A:A,A44)</f>
        <v>1</v>
      </c>
      <c r="N44" s="238">
        <v>21.0</v>
      </c>
      <c r="O44" s="196">
        <f>IFERROR(VLOOKUP(L44,'C-01'!$D:$L,5,0),"")</f>
        <v>12766.6</v>
      </c>
      <c r="P44" s="196">
        <f>IFERROR(VLOOKUP(L44,'C-01'!$D:$L,6,0),"")</f>
        <v>14293.39</v>
      </c>
      <c r="Q44" s="196">
        <f>IFERROR(VLOOKUP(L44,'C-01'!$D:$L,7,0),"")</f>
        <v>15082.52</v>
      </c>
      <c r="R44" s="196">
        <f>IFERROR(VLOOKUP(L44,'C-01'!$D:$L,8,0),"")</f>
        <v>16110.29</v>
      </c>
      <c r="S44" s="197">
        <f>IFERROR(VLOOKUP(L44,'C-01'!$D:$L,9,0),"")</f>
        <v>16164.64</v>
      </c>
      <c r="T44" s="198">
        <f>IFS('Painel Geral'!$B$5="Mediana",IFERROR(IF(OR(C44="",Q44=0,Q44=""),"",($C44/$Q44)),""),'Painel Geral'!$B$5="Menor Salário",IFERROR(IF(OR(C44="",Q44=0,Q44=""),"",($C44/$N44)),""),'Painel Geral'!$B$5="1º Quartil",IFERROR(IF(OR(C44="",Q44=0,Q44=""),"",($C44/$O44)),""), 'Painel Geral'!$B$5="Média",IFERROR(IF(OR(C44="",Q44=0,Q44=""),"",($C44/$P44)),""),'Painel Geral'!$B$5="3º Quartil",IFERROR(IF(OR(C44="",Q44=0,Q44=""),"",($C44/$R44)),""),'Painel Geral'!$B$5="Maior Salário",IFERROR(IF(OR(C44="",Q44=0,Q44=""),"",($C44/$S44)),""))</f>
        <v>0.3733376441</v>
      </c>
      <c r="U44" s="199" t="str">
        <f t="shared" si="3"/>
        <v>Muito Defasado</v>
      </c>
      <c r="V44" s="201"/>
      <c r="W44" s="201"/>
      <c r="X44" s="201"/>
      <c r="Y44" s="201"/>
      <c r="Z44" s="232">
        <v>22.0</v>
      </c>
      <c r="AA44" s="233">
        <f t="shared" si="6"/>
        <v>18057.16</v>
      </c>
      <c r="AB44" s="224">
        <f t="shared" si="7"/>
        <v>0.1854659758</v>
      </c>
      <c r="AC44" s="235"/>
      <c r="AD44" s="201"/>
      <c r="AE44" s="201"/>
      <c r="AF44" s="201"/>
      <c r="AG44" s="201"/>
      <c r="AH44" s="201"/>
      <c r="AI44" s="201"/>
      <c r="AJ44" s="201"/>
      <c r="AK44" s="201"/>
      <c r="AL44" s="201"/>
      <c r="AM44" s="201"/>
      <c r="AN44" s="201"/>
      <c r="AO44" s="201"/>
      <c r="AP44" s="201"/>
    </row>
    <row r="45" ht="15.75" customHeight="1">
      <c r="A45" s="184" t="s">
        <v>109</v>
      </c>
      <c r="B45" s="185" t="str">
        <f>VLOOKUP(A45,Jobmatch!A:G,2,0)</f>
        <v>COORDENADOR DE OBRAS</v>
      </c>
      <c r="C45" s="186">
        <f>IFERROR(AVERAGEIF('Folha de Pagamento'!A:A,A45,'Folha de Pagamento'!J:J),"")</f>
        <v>8714</v>
      </c>
      <c r="D45" s="187">
        <v>5.0</v>
      </c>
      <c r="E45" s="185" t="str">
        <f>VLOOKUP(A45,Jobmatch!A:H,3,0)</f>
        <v>Edificação</v>
      </c>
      <c r="F45" s="188" t="s">
        <v>345</v>
      </c>
      <c r="G45" s="190" t="str">
        <f>VLOOKUP(A45,Jobmatch!A:I,4,0)</f>
        <v>37 - ADM PROJETOS</v>
      </c>
      <c r="H45" s="191" t="str">
        <f>VLOOKUP(A45,Jobmatch!A:I,5,0)</f>
        <v>Tático</v>
      </c>
      <c r="I45" s="192">
        <f>VLOOKUP(A45,Jobmatch!A:I,6,0)</f>
        <v>209</v>
      </c>
      <c r="J45" s="190" t="str">
        <f>VLOOKUP(A45,Jobmatch!A:I,7,0)</f>
        <v>Coordenador de Obras</v>
      </c>
      <c r="K45" s="193" t="str">
        <f>VLOOKUP(A45,Jobmatch!A:I,8,0)</f>
        <v>Indiferente</v>
      </c>
      <c r="L45" s="194" t="str">
        <f t="shared" si="2"/>
        <v>209Indiferente</v>
      </c>
      <c r="M45" s="195">
        <f>COUNTIF('Folha de Pagamento'!A:A,A45)</f>
        <v>1</v>
      </c>
      <c r="N45" s="238">
        <v>21.0</v>
      </c>
      <c r="O45" s="196">
        <f>IFERROR(VLOOKUP(L45,'C-01'!$D:$L,5,0),"")</f>
        <v>10017.83</v>
      </c>
      <c r="P45" s="196">
        <f>IFERROR(VLOOKUP(L45,'C-01'!$D:$L,6,0),"")</f>
        <v>16217.22</v>
      </c>
      <c r="Q45" s="196">
        <f>IFERROR(VLOOKUP(L45,'C-01'!$D:$L,7,0),"")</f>
        <v>16164.64</v>
      </c>
      <c r="R45" s="196">
        <f>IFERROR(VLOOKUP(L45,'C-01'!$D:$L,8,0),"")</f>
        <v>23908.2</v>
      </c>
      <c r="S45" s="197">
        <f>IFERROR(VLOOKUP(L45,'C-01'!$D:$L,9,0),"")</f>
        <v>23908.2</v>
      </c>
      <c r="T45" s="198">
        <f>IFS('Painel Geral'!$B$5="Mediana",IFERROR(IF(OR(C45="",Q45=0,Q45=""),"",($C45/$Q45)),""),'Painel Geral'!$B$5="Menor Salário",IFERROR(IF(OR(C45="",Q45=0,Q45=""),"",($C45/$N45)),""),'Painel Geral'!$B$5="1º Quartil",IFERROR(IF(OR(C45="",Q45=0,Q45=""),"",($C45/$O45)),""), 'Painel Geral'!$B$5="Média",IFERROR(IF(OR(C45="",Q45=0,Q45=""),"",($C45/$P45)),""),'Painel Geral'!$B$5="3º Quartil",IFERROR(IF(OR(C45="",Q45=0,Q45=""),"",($C45/$R45)),""),'Painel Geral'!$B$5="Maior Salário",IFERROR(IF(OR(C45="",Q45=0,Q45=""),"",($C45/$S45)),""))</f>
        <v>0.5390778885</v>
      </c>
      <c r="U45" s="199" t="str">
        <f t="shared" si="3"/>
        <v>Muito Defasado</v>
      </c>
      <c r="V45" s="201"/>
      <c r="W45" s="201"/>
      <c r="X45" s="201"/>
      <c r="Y45" s="201"/>
      <c r="Z45" s="232">
        <v>23.0</v>
      </c>
      <c r="AA45" s="233">
        <f t="shared" si="6"/>
        <v>21285.64</v>
      </c>
      <c r="AB45" s="224">
        <f t="shared" si="7"/>
        <v>0.1787922353</v>
      </c>
      <c r="AC45" s="235"/>
      <c r="AD45" s="201"/>
      <c r="AE45" s="201"/>
      <c r="AF45" s="201"/>
      <c r="AG45" s="201"/>
      <c r="AH45" s="201"/>
      <c r="AI45" s="201"/>
      <c r="AJ45" s="201"/>
      <c r="AK45" s="201"/>
      <c r="AL45" s="201"/>
      <c r="AM45" s="201"/>
      <c r="AN45" s="201"/>
      <c r="AO45" s="201"/>
      <c r="AP45" s="201"/>
    </row>
    <row r="46" ht="15.75" customHeight="1">
      <c r="A46" s="184" t="s">
        <v>95</v>
      </c>
      <c r="B46" s="185" t="str">
        <f>VLOOKUP(A46,Jobmatch!A:G,2,0)</f>
        <v>CONTROLLER GERAL</v>
      </c>
      <c r="C46" s="186">
        <f>IFERROR(AVERAGEIF('Folha de Pagamento'!A:A,A46,'Folha de Pagamento'!J:J),"")</f>
        <v>11678.83212</v>
      </c>
      <c r="D46" s="187">
        <v>3.0</v>
      </c>
      <c r="E46" s="185" t="str">
        <f>VLOOKUP(A46,Jobmatch!A:H,3,0)</f>
        <v>Controladoria</v>
      </c>
      <c r="F46" s="188" t="s">
        <v>338</v>
      </c>
      <c r="G46" s="190" t="str">
        <f>VLOOKUP(A46,Jobmatch!A:I,4,0)</f>
        <v>32 - ADM PROJETOS</v>
      </c>
      <c r="H46" s="191" t="str">
        <f>VLOOKUP(A46,Jobmatch!A:I,5,0)</f>
        <v>Tático</v>
      </c>
      <c r="I46" s="192">
        <f>VLOOKUP(A46,Jobmatch!A:I,6,0)</f>
        <v>95</v>
      </c>
      <c r="J46" s="190" t="str">
        <f>VLOOKUP(A46,Jobmatch!A:I,7,0)</f>
        <v>Controller</v>
      </c>
      <c r="K46" s="193" t="str">
        <f>VLOOKUP(A46,Jobmatch!A:I,8,0)</f>
        <v>Indiferente</v>
      </c>
      <c r="L46" s="194" t="str">
        <f t="shared" si="2"/>
        <v>95Indiferente</v>
      </c>
      <c r="M46" s="195">
        <f>COUNTIF('Folha de Pagamento'!A:A,A46)</f>
        <v>1</v>
      </c>
      <c r="N46" s="238">
        <v>21.0</v>
      </c>
      <c r="O46" s="196">
        <f>IFERROR(VLOOKUP(L46,'C-01'!$D:$L,5,0),"")</f>
        <v>15472.01</v>
      </c>
      <c r="P46" s="196">
        <f>IFERROR(VLOOKUP(L46,'C-01'!$D:$L,6,0),"")</f>
        <v>16594.35</v>
      </c>
      <c r="Q46" s="196">
        <f>IFERROR(VLOOKUP(L46,'C-01'!$D:$L,7,0),"")</f>
        <v>16581.68</v>
      </c>
      <c r="R46" s="196">
        <f>IFERROR(VLOOKUP(L46,'C-01'!$D:$L,8,0),"")</f>
        <v>17497.31</v>
      </c>
      <c r="S46" s="197">
        <f>IFERROR(VLOOKUP(L46,'C-01'!$D:$L,9,0),"")</f>
        <v>18846.04</v>
      </c>
      <c r="T46" s="198">
        <f>IFS('Painel Geral'!$B$5="Mediana",IFERROR(IF(OR(C46="",Q46=0,Q46=""),"",($C46/$Q46)),""),'Painel Geral'!$B$5="Menor Salário",IFERROR(IF(OR(C46="",Q46=0,Q46=""),"",($C46/$N46)),""),'Painel Geral'!$B$5="1º Quartil",IFERROR(IF(OR(C46="",Q46=0,Q46=""),"",($C46/$O46)),""), 'Painel Geral'!$B$5="Média",IFERROR(IF(OR(C46="",Q46=0,Q46=""),"",($C46/$P46)),""),'Painel Geral'!$B$5="3º Quartil",IFERROR(IF(OR(C46="",Q46=0,Q46=""),"",($C46/$R46)),""),'Painel Geral'!$B$5="Maior Salário",IFERROR(IF(OR(C46="",Q46=0,Q46=""),"",($C46/$S46)),""))</f>
        <v>0.7043214027</v>
      </c>
      <c r="U46" s="199" t="str">
        <f t="shared" si="3"/>
        <v>Muito Defasado</v>
      </c>
      <c r="V46" s="201"/>
      <c r="W46" s="201"/>
      <c r="X46" s="201"/>
      <c r="Y46" s="201"/>
      <c r="Z46" s="232">
        <v>24.0</v>
      </c>
      <c r="AA46" s="233">
        <f t="shared" si="6"/>
        <v>24947.08</v>
      </c>
      <c r="AB46" s="224">
        <f t="shared" si="7"/>
        <v>0.1720145601</v>
      </c>
      <c r="AC46" s="235"/>
      <c r="AD46" s="201"/>
      <c r="AE46" s="201"/>
      <c r="AF46" s="201"/>
      <c r="AG46" s="201"/>
      <c r="AH46" s="201"/>
      <c r="AI46" s="201"/>
      <c r="AJ46" s="201"/>
      <c r="AK46" s="201"/>
      <c r="AL46" s="201"/>
      <c r="AM46" s="201"/>
      <c r="AN46" s="201"/>
      <c r="AO46" s="201"/>
      <c r="AP46" s="201"/>
    </row>
    <row r="47" ht="15.75" customHeight="1">
      <c r="A47" s="184" t="s">
        <v>118</v>
      </c>
      <c r="B47" s="185" t="str">
        <f>VLOOKUP(A47,Jobmatch!A:G,2,0)</f>
        <v>DIRETOR</v>
      </c>
      <c r="C47" s="186">
        <f>IFERROR(AVERAGEIF('Folha de Pagamento'!A:A,A47,'Folha de Pagamento'!J:J),"")</f>
        <v>55769.23077</v>
      </c>
      <c r="D47" s="187">
        <v>2.0</v>
      </c>
      <c r="E47" s="185" t="str">
        <f>VLOOKUP(A47,Jobmatch!A:H,3,0)</f>
        <v>Comercial</v>
      </c>
      <c r="F47" s="188" t="s">
        <v>332</v>
      </c>
      <c r="G47" s="190" t="str">
        <f>VLOOKUP(A47,Jobmatch!A:I,4,0)</f>
        <v>40 - ADM PROJETOS</v>
      </c>
      <c r="H47" s="191" t="str">
        <f>VLOOKUP(A47,Jobmatch!A:I,5,0)</f>
        <v>Estratégico</v>
      </c>
      <c r="I47" s="192">
        <f>VLOOKUP(A47,Jobmatch!A:I,6,0)</f>
        <v>456</v>
      </c>
      <c r="J47" s="190" t="str">
        <f>VLOOKUP(A47,Jobmatch!A:I,7,0)</f>
        <v>CEO</v>
      </c>
      <c r="K47" s="193" t="str">
        <f>VLOOKUP(A47,Jobmatch!A:I,8,0)</f>
        <v>Indiferente</v>
      </c>
      <c r="L47" s="194" t="str">
        <f t="shared" si="2"/>
        <v>456Indiferente</v>
      </c>
      <c r="M47" s="195">
        <f>COUNTIF('Folha de Pagamento'!A:A,A47)</f>
        <v>1</v>
      </c>
      <c r="N47" s="238">
        <v>25.0</v>
      </c>
      <c r="O47" s="196">
        <f>IFERROR(VLOOKUP(L47,'C-01'!$D:$L,5,0),"")</f>
        <v>24816.78</v>
      </c>
      <c r="P47" s="196">
        <f>IFERROR(VLOOKUP(L47,'C-01'!$D:$L,6,0),"")</f>
        <v>32648.36</v>
      </c>
      <c r="Q47" s="196">
        <f>IFERROR(VLOOKUP(L47,'C-01'!$D:$L,7,0),"")</f>
        <v>29147.75</v>
      </c>
      <c r="R47" s="196">
        <f>IFERROR(VLOOKUP(L47,'C-01'!$D:$L,8,0),"")</f>
        <v>37122.89</v>
      </c>
      <c r="S47" s="197">
        <f>IFERROR(VLOOKUP(L47,'C-01'!$D:$L,9,0),"")</f>
        <v>55429.54</v>
      </c>
      <c r="T47" s="198">
        <f>IFS('Painel Geral'!$B$5="Mediana",IFERROR(IF(OR(C47="",Q47=0,Q47=""),"",($C47/$Q47)),""),'Painel Geral'!$B$5="Menor Salário",IFERROR(IF(OR(C47="",Q47=0,Q47=""),"",($C47/$N47)),""),'Painel Geral'!$B$5="1º Quartil",IFERROR(IF(OR(C47="",Q47=0,Q47=""),"",($C47/$O47)),""), 'Painel Geral'!$B$5="Média",IFERROR(IF(OR(C47="",Q47=0,Q47=""),"",($C47/$P47)),""),'Painel Geral'!$B$5="3º Quartil",IFERROR(IF(OR(C47="",Q47=0,Q47=""),"",($C47/$R47)),""),'Painel Geral'!$B$5="Maior Salário",IFERROR(IF(OR(C47="",Q47=0,Q47=""),"",($C47/$S47)),""))</f>
        <v>1.913328843</v>
      </c>
      <c r="U47" s="199" t="str">
        <f t="shared" si="3"/>
        <v>Agressivo</v>
      </c>
      <c r="V47" s="201"/>
      <c r="W47" s="201"/>
      <c r="X47" s="201"/>
      <c r="Y47" s="201"/>
      <c r="Z47" s="232">
        <v>25.0</v>
      </c>
      <c r="AA47" s="233">
        <f t="shared" si="6"/>
        <v>29071</v>
      </c>
      <c r="AB47" s="224">
        <f t="shared" si="7"/>
        <v>0.1653067213</v>
      </c>
      <c r="AC47" s="235"/>
      <c r="AD47" s="201"/>
      <c r="AE47" s="201"/>
      <c r="AF47" s="201"/>
      <c r="AG47" s="201"/>
      <c r="AH47" s="201"/>
      <c r="AI47" s="201"/>
      <c r="AJ47" s="201"/>
      <c r="AK47" s="201"/>
      <c r="AL47" s="201"/>
      <c r="AM47" s="201"/>
      <c r="AN47" s="201"/>
      <c r="AO47" s="201"/>
      <c r="AP47" s="201"/>
    </row>
  </sheetData>
  <autoFilter ref="$A$3:$U$47">
    <sortState ref="A3:U47">
      <sortCondition ref="Q3:Q47"/>
      <sortCondition ref="E3:E47"/>
    </sortState>
  </autoFilter>
  <customSheetViews>
    <customSheetView guid="{9ED18B37-6EB4-4260-A5FA-FAFBE39E0B69}" filter="1" showAutoFilter="1">
      <autoFilter ref="$A$3:$U$47"/>
    </customSheetView>
    <customSheetView guid="{A7CC0C28-C4CD-4D76-B1EF-29E890F45AC8}" filter="1" showAutoFilter="1">
      <autoFilter ref="$A$3:$U$47">
        <filterColumn colId="9">
          <filters>
            <filter val="Analista de Marketing"/>
            <filter val="Almoxarife"/>
            <filter val="Assistente de Engenharia"/>
            <filter val="Coordenador Financeiro"/>
            <filter val="Analista de Criação"/>
            <filter val="Analista de Controladoria"/>
            <filter val="Assistente de Recursos Humanos"/>
            <filter val="Gerente de Relacionamento"/>
            <filter val="Gerente Administrativo"/>
            <filter val="Coordenador de Obras"/>
            <filter val="Analista de Compras"/>
            <filter val="Coordenador de Legalização"/>
            <filter val="Coordenador de Marketing"/>
            <filter val="Coordenador de Compras"/>
            <filter val="Analista de Custos"/>
            <filter val="Mestre de Obras"/>
            <filter val="Auxiliar de Engenharia"/>
            <filter val="Gerente de Operações"/>
            <filter val="Analista de Urbanismo"/>
            <filter val="Assistente Administrativo"/>
            <filter val="Analista Comercial"/>
            <filter val="Assistente de Tecnologia da Informação"/>
            <filter val="Técnico em Edificações"/>
            <filter val="Controller"/>
            <filter val="CEO"/>
            <filter val="Assistente de Legalização"/>
            <filter val="Auxiliar de Atendimento"/>
            <filter val="Assistente de Controladoria"/>
            <filter val="Coordenador de Recursos Humanos"/>
            <filter val="Assistente de Marketing"/>
            <filter val="Analista de Inovação"/>
            <filter val="Gerente Comercial"/>
            <filter val="Auxiliar Administrativo"/>
            <filter val="Assistente Financeiro"/>
            <filter val="Engenheiro de Urbanismo"/>
          </filters>
        </filterColumn>
      </autoFilter>
    </customSheetView>
    <customSheetView guid="{96C31A28-1028-4009-9DE6-63B3CF4DFB9B}" filter="1" showAutoFilter="1">
      <autoFilter ref="$A$3:$U$47"/>
    </customSheetView>
    <customSheetView guid="{3C6918C3-D868-4D69-A6CD-504F4B52EE22}" filter="1" showAutoFilter="1">
      <autoFilter ref="$A$3:$U$47"/>
    </customSheetView>
    <customSheetView guid="{45EEC70B-EA86-49D3-A588-0A0D84BF9E52}" filter="1" showAutoFilter="1">
      <autoFilter ref="$B$1:$U$1"/>
    </customSheetView>
    <customSheetView guid="{B41F88BD-3F58-45D0-A0E7-C0E19BA24239}" filter="1" showAutoFilter="1">
      <autoFilter ref="$A$3:$U$47"/>
    </customSheetView>
    <customSheetView guid="{0075A802-B66C-4D7D-929F-34C2F59AE8A9}" filter="1" showAutoFilter="1">
      <autoFilter ref="$A$3:$U$47"/>
    </customSheetView>
  </customSheetViews>
  <mergeCells count="1">
    <mergeCell ref="O1:Q1"/>
  </mergeCells>
  <printOptions/>
  <pageMargins bottom="0.787401575" footer="0.0" header="0.0" left="0.511811024" right="0.511811024" top="0.7874015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7.0"/>
    <col customWidth="1" min="2" max="2" width="23.88"/>
    <col customWidth="1" min="3" max="3" width="15.75"/>
    <col customWidth="1" hidden="1" min="4" max="4" width="10.25"/>
    <col customWidth="1" hidden="1" min="5" max="5" width="22.63"/>
    <col customWidth="1" min="6" max="6" width="22.63"/>
    <col customWidth="1" hidden="1" min="7" max="7" width="25.13"/>
    <col customWidth="1" hidden="1" min="8" max="8" width="19.88"/>
    <col customWidth="1" hidden="1" min="9" max="9" width="13.0"/>
    <col customWidth="1" hidden="1" min="10" max="10" width="28.88"/>
    <col customWidth="1" hidden="1" min="11" max="11" width="11.75"/>
    <col customWidth="1" hidden="1" min="12" max="12" width="17.38"/>
    <col customWidth="1" hidden="1" min="13" max="13" width="21.63"/>
    <col customWidth="1" min="14" max="14" width="14.75"/>
    <col customWidth="1" hidden="1" min="15" max="15" width="10.88"/>
    <col customWidth="1" hidden="1" min="16" max="16" width="10.13"/>
    <col customWidth="1" min="17" max="17" width="10.13"/>
    <col customWidth="1" hidden="1" min="18" max="18" width="10.88"/>
    <col customWidth="1" hidden="1" min="19" max="19" width="14.0"/>
    <col customWidth="1" hidden="1" min="20" max="20" width="18.75"/>
    <col customWidth="1" hidden="1" min="21" max="21" width="27.38"/>
    <col customWidth="1" min="22" max="22" width="7.88"/>
    <col customWidth="1" min="23" max="42" width="6.63"/>
  </cols>
  <sheetData>
    <row r="1">
      <c r="B1" s="157"/>
      <c r="C1" s="157"/>
      <c r="D1" s="157"/>
      <c r="E1" s="157"/>
      <c r="F1" s="157"/>
      <c r="G1" s="157"/>
      <c r="H1" s="157"/>
      <c r="I1" s="158" t="s">
        <v>314</v>
      </c>
      <c r="J1" s="157"/>
      <c r="K1" s="157"/>
      <c r="L1" s="157"/>
      <c r="M1" s="157"/>
      <c r="N1" s="159"/>
      <c r="O1" s="159" t="str">
        <f>'Informações Relevantes Cenário'!A1</f>
        <v>Cenário 01: Pesquisas Consolidadas - Nacional</v>
      </c>
      <c r="P1" s="160"/>
      <c r="Q1" s="160"/>
      <c r="R1" s="161"/>
      <c r="S1" s="162"/>
      <c r="T1" s="163" t="str">
        <f>"% Distância da "&amp;'Painel Geral'!B5</f>
        <v>% Distância da Mediana</v>
      </c>
      <c r="U1" s="163" t="s">
        <v>315</v>
      </c>
      <c r="V1" s="213"/>
      <c r="W1" s="213"/>
      <c r="X1" s="213"/>
      <c r="Y1" s="213"/>
      <c r="Z1" s="213"/>
      <c r="AA1" s="213"/>
      <c r="AB1" s="213"/>
      <c r="AC1" s="213"/>
      <c r="AD1" s="213"/>
      <c r="AE1" s="213"/>
      <c r="AF1" s="213"/>
      <c r="AG1" s="213"/>
      <c r="AH1" s="213"/>
      <c r="AI1" s="213"/>
      <c r="AJ1" s="213"/>
      <c r="AK1" s="213"/>
      <c r="AL1" s="213"/>
      <c r="AM1" s="213"/>
      <c r="AN1" s="213"/>
      <c r="AO1" s="213"/>
      <c r="AP1" s="213"/>
    </row>
    <row r="2" ht="6.0" customHeight="1">
      <c r="A2" s="164"/>
      <c r="B2" s="165"/>
      <c r="C2" s="166"/>
      <c r="D2" s="167"/>
      <c r="E2" s="165"/>
      <c r="F2" s="165"/>
      <c r="G2" s="165"/>
      <c r="H2" s="165"/>
      <c r="I2" s="167"/>
      <c r="J2" s="165"/>
      <c r="K2" s="165"/>
      <c r="L2" s="165"/>
      <c r="M2" s="168"/>
      <c r="N2" s="214"/>
      <c r="O2" s="169"/>
      <c r="P2" s="169"/>
      <c r="Q2" s="169"/>
      <c r="R2" s="169"/>
      <c r="S2" s="170"/>
      <c r="T2" s="171"/>
      <c r="U2" s="170"/>
      <c r="V2" s="207"/>
      <c r="W2" s="207"/>
      <c r="X2" s="207"/>
      <c r="Y2" s="207"/>
      <c r="Z2" s="207"/>
      <c r="AA2" s="207"/>
      <c r="AB2" s="207"/>
      <c r="AC2" s="207"/>
      <c r="AD2" s="207"/>
      <c r="AE2" s="207"/>
      <c r="AF2" s="207"/>
      <c r="AG2" s="207"/>
      <c r="AH2" s="207"/>
      <c r="AI2" s="207"/>
      <c r="AJ2" s="207"/>
      <c r="AK2" s="207"/>
      <c r="AL2" s="207"/>
      <c r="AM2" s="207"/>
      <c r="AN2" s="207"/>
      <c r="AO2" s="207"/>
      <c r="AP2" s="207"/>
    </row>
    <row r="3">
      <c r="A3" s="172" t="s">
        <v>2</v>
      </c>
      <c r="B3" s="173" t="s">
        <v>203</v>
      </c>
      <c r="C3" s="174" t="s">
        <v>316</v>
      </c>
      <c r="D3" s="175" t="s">
        <v>317</v>
      </c>
      <c r="E3" s="175" t="s">
        <v>318</v>
      </c>
      <c r="F3" s="175" t="s">
        <v>5</v>
      </c>
      <c r="G3" s="175" t="s">
        <v>319</v>
      </c>
      <c r="H3" s="176" t="s">
        <v>7</v>
      </c>
      <c r="I3" s="176" t="s">
        <v>204</v>
      </c>
      <c r="J3" s="176" t="s">
        <v>205</v>
      </c>
      <c r="K3" s="177" t="s">
        <v>6</v>
      </c>
      <c r="L3" s="178" t="s">
        <v>320</v>
      </c>
      <c r="M3" s="179" t="s">
        <v>321</v>
      </c>
      <c r="N3" s="215"/>
      <c r="O3" s="180" t="s">
        <v>323</v>
      </c>
      <c r="P3" s="180" t="s">
        <v>324</v>
      </c>
      <c r="Q3" s="180" t="s">
        <v>325</v>
      </c>
      <c r="R3" s="180" t="s">
        <v>326</v>
      </c>
      <c r="S3" s="181" t="s">
        <v>327</v>
      </c>
      <c r="T3" s="182" t="s">
        <v>328</v>
      </c>
      <c r="U3" s="183" t="s">
        <v>329</v>
      </c>
      <c r="V3" s="207"/>
      <c r="W3" s="207"/>
      <c r="X3" s="207"/>
      <c r="Y3" s="207"/>
      <c r="Z3" s="207"/>
      <c r="AA3" s="207"/>
      <c r="AB3" s="207"/>
      <c r="AC3" s="207"/>
      <c r="AD3" s="207"/>
      <c r="AE3" s="207"/>
      <c r="AF3" s="207"/>
      <c r="AG3" s="207"/>
      <c r="AH3" s="207"/>
      <c r="AI3" s="207"/>
      <c r="AJ3" s="207"/>
      <c r="AK3" s="207"/>
      <c r="AL3" s="207"/>
      <c r="AM3" s="207"/>
      <c r="AN3" s="207"/>
      <c r="AO3" s="207"/>
      <c r="AP3" s="207"/>
    </row>
    <row r="4" ht="15.75" customHeight="1">
      <c r="A4" s="184" t="s">
        <v>87</v>
      </c>
      <c r="B4" s="185" t="str">
        <f>VLOOKUP(A4,Jobmatch!A:G,2,0)</f>
        <v>AUXILIAR DE ATENDIMENTO II</v>
      </c>
      <c r="C4" s="186">
        <f>IFERROR(AVERAGEIF('Folha de Pagamento'!A:A,A4,'Folha de Pagamento'!J:J),"")</f>
        <v>2560</v>
      </c>
      <c r="D4" s="187">
        <v>1.0</v>
      </c>
      <c r="E4" s="185" t="str">
        <f>VLOOKUP(A4,Jobmatch!A:H,3,0)</f>
        <v>Recepção</v>
      </c>
      <c r="F4" s="188" t="s">
        <v>366</v>
      </c>
      <c r="G4" s="190" t="str">
        <f>VLOOKUP(A4,Jobmatch!A:I,4,0)</f>
        <v>29 - ADM PROJETOS</v>
      </c>
      <c r="H4" s="191" t="str">
        <f>VLOOKUP(A4,Jobmatch!A:I,5,0)</f>
        <v>Operacional</v>
      </c>
      <c r="I4" s="192">
        <f>VLOOKUP(A4,Jobmatch!A:I,6,0)</f>
        <v>318</v>
      </c>
      <c r="J4" s="190" t="str">
        <f>VLOOKUP(A4,Jobmatch!A:I,7,0)</f>
        <v>Auxiliar de Atendimento</v>
      </c>
      <c r="K4" s="193" t="str">
        <f>VLOOKUP(A4,Jobmatch!A:I,8,0)</f>
        <v>Indiferente</v>
      </c>
      <c r="L4" s="194" t="str">
        <f t="shared" ref="L4:L47" si="2">I4&amp;K4</f>
        <v>318Indiferente</v>
      </c>
      <c r="M4" s="195">
        <f>COUNTIF('Folha de Pagamento'!A:A,A4)</f>
        <v>1</v>
      </c>
      <c r="N4" s="238">
        <v>10.0</v>
      </c>
      <c r="O4" s="196">
        <f>IFERROR(VLOOKUP(L4,'C-01'!$D:$L,5,0),"")</f>
        <v>1778.55</v>
      </c>
      <c r="P4" s="196">
        <f>IFERROR(VLOOKUP(L4,'C-01'!$D:$L,6,0),"")</f>
        <v>2041.06</v>
      </c>
      <c r="Q4" s="196">
        <f>IFERROR(VLOOKUP(L4,'C-01'!$D:$L,7,0),"")</f>
        <v>2052.94</v>
      </c>
      <c r="R4" s="196">
        <f>IFERROR(VLOOKUP(L4,'C-01'!$D:$L,8,0),"")</f>
        <v>2169.15</v>
      </c>
      <c r="S4" s="197">
        <f>IFERROR(VLOOKUP(L4,'C-01'!$D:$L,9,0),"")</f>
        <v>2574.08</v>
      </c>
      <c r="T4" s="198">
        <f>IFS('Painel Geral'!$B$5="Mediana",IFERROR(IF(OR(C4="",Q4=0,Q4=""),"",($C4/$Q4)),""),'Painel Geral'!$B$5="Menor Salário",IFERROR(IF(OR(C4="",Q4=0,Q4=""),"",($C4/$N4)),""),'Painel Geral'!$B$5="1º Quartil",IFERROR(IF(OR(C4="",Q4=0,Q4=""),"",($C4/$O4)),""), 'Painel Geral'!$B$5="Média",IFERROR(IF(OR(C4="",Q4=0,Q4=""),"",($C4/$P4)),""),'Painel Geral'!$B$5="3º Quartil",IFERROR(IF(OR(C4="",Q4=0,Q4=""),"",($C4/$R4)),""),'Painel Geral'!$B$5="Maior Salário",IFERROR(IF(OR(C4="",Q4=0,Q4=""),"",($C4/$S4)),""))</f>
        <v>1.246992119</v>
      </c>
      <c r="U4" s="199" t="str">
        <f t="shared" ref="U4:U47" si="3">IFS(OR(N4="",N4=0,C4="", C4=0),"",T4&lt;=80%,"Muito Defasado",T4&lt;=90%,"Defasado",T4&lt;=100%,"Na Média",T4&lt;=110%,"Competitivo",T4&lt;=120%,"Muito Competitivo",T4&gt;120%,"Agressivo")</f>
        <v>Agressivo</v>
      </c>
      <c r="V4" s="201">
        <f>Z30*1.2</f>
        <v>2176.312428</v>
      </c>
      <c r="W4" s="201">
        <f t="shared" ref="W4:AJ4" si="1">V4*1.2</f>
        <v>2611.574913</v>
      </c>
      <c r="X4" s="201">
        <f t="shared" si="1"/>
        <v>3133.889896</v>
      </c>
      <c r="Y4" s="201">
        <f t="shared" si="1"/>
        <v>3760.667875</v>
      </c>
      <c r="Z4" s="201">
        <f t="shared" si="1"/>
        <v>4512.80145</v>
      </c>
      <c r="AA4" s="201">
        <f t="shared" si="1"/>
        <v>5415.36174</v>
      </c>
      <c r="AB4" s="201">
        <f t="shared" si="1"/>
        <v>6498.434088</v>
      </c>
      <c r="AC4" s="201">
        <f t="shared" si="1"/>
        <v>7798.120905</v>
      </c>
      <c r="AD4" s="201">
        <f t="shared" si="1"/>
        <v>9357.745086</v>
      </c>
      <c r="AE4" s="201">
        <f t="shared" si="1"/>
        <v>11229.2941</v>
      </c>
      <c r="AF4" s="201">
        <f t="shared" si="1"/>
        <v>13475.15292</v>
      </c>
      <c r="AG4" s="201">
        <f t="shared" si="1"/>
        <v>16170.18351</v>
      </c>
      <c r="AH4" s="201">
        <f t="shared" si="1"/>
        <v>19404.22021</v>
      </c>
      <c r="AI4" s="201">
        <f t="shared" si="1"/>
        <v>23285.06425</v>
      </c>
      <c r="AJ4" s="201">
        <f t="shared" si="1"/>
        <v>27942.0771</v>
      </c>
      <c r="AK4" s="201"/>
      <c r="AL4" s="201"/>
      <c r="AM4" s="201"/>
      <c r="AN4" s="201"/>
      <c r="AO4" s="201"/>
      <c r="AP4" s="201"/>
    </row>
    <row r="5" ht="15.75" customHeight="1">
      <c r="A5" s="184" t="s">
        <v>83</v>
      </c>
      <c r="B5" s="185" t="str">
        <f>VLOOKUP(A5,Jobmatch!A:G,2,0)</f>
        <v>AUXILIAR ADMINISTRATIVO</v>
      </c>
      <c r="C5" s="186">
        <f>IFERROR(AVERAGEIF('Folha de Pagamento'!A:A,A5,'Folha de Pagamento'!J:J),"")</f>
        <v>2254</v>
      </c>
      <c r="D5" s="187">
        <v>1.0</v>
      </c>
      <c r="E5" s="185" t="str">
        <f>VLOOKUP(A5,Jobmatch!A:H,3,0)</f>
        <v>Administrativo</v>
      </c>
      <c r="F5" s="188" t="s">
        <v>252</v>
      </c>
      <c r="G5" s="190" t="str">
        <f>VLOOKUP(A5,Jobmatch!A:I,4,0)</f>
        <v>27 - ADM PROJETOS</v>
      </c>
      <c r="H5" s="191" t="str">
        <f>VLOOKUP(A5,Jobmatch!A:I,5,0)</f>
        <v>Operacional</v>
      </c>
      <c r="I5" s="192">
        <f>VLOOKUP(A5,Jobmatch!A:I,6,0)</f>
        <v>83</v>
      </c>
      <c r="J5" s="190" t="str">
        <f>VLOOKUP(A5,Jobmatch!A:I,7,0)</f>
        <v>Auxiliar Administrativo</v>
      </c>
      <c r="K5" s="193" t="str">
        <f>VLOOKUP(A5,Jobmatch!A:I,8,0)</f>
        <v>Indiferente</v>
      </c>
      <c r="L5" s="194" t="str">
        <f t="shared" si="2"/>
        <v>83Indiferente</v>
      </c>
      <c r="M5" s="195">
        <f>COUNTIF('Folha de Pagamento'!A:A,A5)</f>
        <v>1</v>
      </c>
      <c r="N5" s="238">
        <v>10.0</v>
      </c>
      <c r="O5" s="196">
        <f>IFERROR(VLOOKUP(L5,'C-01'!$D:$L,5,0),"")</f>
        <v>2128.74</v>
      </c>
      <c r="P5" s="196">
        <f>IFERROR(VLOOKUP(L5,'C-01'!$D:$L,6,0),"")</f>
        <v>2292.87</v>
      </c>
      <c r="Q5" s="196">
        <f>IFERROR(VLOOKUP(L5,'C-01'!$D:$L,7,0),"")</f>
        <v>2309.71</v>
      </c>
      <c r="R5" s="196">
        <f>IFERROR(VLOOKUP(L5,'C-01'!$D:$L,8,0),"")</f>
        <v>2375.14</v>
      </c>
      <c r="S5" s="197">
        <f>IFERROR(VLOOKUP(L5,'C-01'!$D:$L,9,0),"")</f>
        <v>3073.32</v>
      </c>
      <c r="T5" s="198">
        <f>IFS('Painel Geral'!$B$5="Mediana",IFERROR(IF(OR(C5="",Q5=0,Q5=""),"",($C5/$Q5)),""),'Painel Geral'!$B$5="Menor Salário",IFERROR(IF(OR(C5="",Q5=0,Q5=""),"",($C5/$N5)),""),'Painel Geral'!$B$5="1º Quartil",IFERROR(IF(OR(C5="",Q5=0,Q5=""),"",($C5/$O5)),""), 'Painel Geral'!$B$5="Média",IFERROR(IF(OR(C5="",Q5=0,Q5=""),"",($C5/$P5)),""),'Painel Geral'!$B$5="3º Quartil",IFERROR(IF(OR(C5="",Q5=0,Q5=""),"",($C5/$R5)),""),'Painel Geral'!$B$5="Maior Salário",IFERROR(IF(OR(C5="",Q5=0,Q5=""),"",($C5/$S5)),""))</f>
        <v>0.9758800888</v>
      </c>
      <c r="U5" s="199" t="str">
        <f t="shared" si="3"/>
        <v>Na Média</v>
      </c>
      <c r="V5" s="205">
        <v>10.0</v>
      </c>
      <c r="W5" s="205">
        <v>11.0</v>
      </c>
      <c r="X5" s="205">
        <v>12.0</v>
      </c>
      <c r="Y5" s="205">
        <v>13.0</v>
      </c>
      <c r="Z5" s="205">
        <v>14.0</v>
      </c>
      <c r="AA5" s="205">
        <v>15.0</v>
      </c>
      <c r="AB5" s="205">
        <v>16.0</v>
      </c>
      <c r="AC5" s="205">
        <v>17.0</v>
      </c>
      <c r="AD5" s="205">
        <v>18.0</v>
      </c>
      <c r="AE5" s="205">
        <v>19.0</v>
      </c>
      <c r="AF5" s="205">
        <v>20.0</v>
      </c>
      <c r="AG5" s="205">
        <v>21.0</v>
      </c>
      <c r="AH5" s="205">
        <v>22.0</v>
      </c>
      <c r="AI5" s="205">
        <v>23.0</v>
      </c>
      <c r="AJ5" s="205">
        <v>24.0</v>
      </c>
      <c r="AK5" s="201"/>
      <c r="AL5" s="201"/>
      <c r="AM5" s="201"/>
      <c r="AN5" s="201"/>
      <c r="AO5" s="201"/>
      <c r="AP5" s="201"/>
    </row>
    <row r="6" ht="15.75" customHeight="1">
      <c r="A6" s="184" t="s">
        <v>85</v>
      </c>
      <c r="B6" s="185" t="str">
        <f>VLOOKUP(A6,Jobmatch!A:G,2,0)</f>
        <v>AUXILIAR ADMINISTRATIVO III</v>
      </c>
      <c r="C6" s="186">
        <f>IFERROR(AVERAGEIF('Folha de Pagamento'!A:A,A6,'Folha de Pagamento'!J:J),"")</f>
        <v>2739.04</v>
      </c>
      <c r="D6" s="187">
        <v>1.0</v>
      </c>
      <c r="E6" s="185" t="str">
        <f>VLOOKUP(A6,Jobmatch!A:H,3,0)</f>
        <v>Administrativo</v>
      </c>
      <c r="F6" s="188" t="s">
        <v>252</v>
      </c>
      <c r="G6" s="190" t="str">
        <f>VLOOKUP(A6,Jobmatch!A:I,4,0)</f>
        <v>28 - ADM PROJETOS</v>
      </c>
      <c r="H6" s="191" t="str">
        <f>VLOOKUP(A6,Jobmatch!A:I,5,0)</f>
        <v>Operacional</v>
      </c>
      <c r="I6" s="192">
        <f>VLOOKUP(A6,Jobmatch!A:I,6,0)</f>
        <v>83</v>
      </c>
      <c r="J6" s="190" t="str">
        <f>VLOOKUP(A6,Jobmatch!A:I,7,0)</f>
        <v>Auxiliar Administrativo</v>
      </c>
      <c r="K6" s="193" t="str">
        <f>VLOOKUP(A6,Jobmatch!A:I,8,0)</f>
        <v>Indiferente</v>
      </c>
      <c r="L6" s="194" t="str">
        <f t="shared" si="2"/>
        <v>83Indiferente</v>
      </c>
      <c r="M6" s="195">
        <f>COUNTIF('Folha de Pagamento'!A:A,A6)</f>
        <v>1</v>
      </c>
      <c r="N6" s="238">
        <v>10.0</v>
      </c>
      <c r="O6" s="196">
        <f>IFERROR(VLOOKUP(L6,'C-01'!$D:$L,5,0),"")</f>
        <v>2128.74</v>
      </c>
      <c r="P6" s="196">
        <f>IFERROR(VLOOKUP(L6,'C-01'!$D:$L,6,0),"")</f>
        <v>2292.87</v>
      </c>
      <c r="Q6" s="196">
        <f>IFERROR(VLOOKUP(L6,'C-01'!$D:$L,7,0),"")</f>
        <v>2309.71</v>
      </c>
      <c r="R6" s="196">
        <f>IFERROR(VLOOKUP(L6,'C-01'!$D:$L,8,0),"")</f>
        <v>2375.14</v>
      </c>
      <c r="S6" s="197">
        <f>IFERROR(VLOOKUP(L6,'C-01'!$D:$L,9,0),"")</f>
        <v>3073.32</v>
      </c>
      <c r="T6" s="198">
        <f>IFS('Painel Geral'!$B$5="Mediana",IFERROR(IF(OR(C6="",Q6=0,Q6=""),"",($C6/$Q6)),""),'Painel Geral'!$B$5="Menor Salário",IFERROR(IF(OR(C6="",Q6=0,Q6=""),"",($C6/$N6)),""),'Painel Geral'!$B$5="1º Quartil",IFERROR(IF(OR(C6="",Q6=0,Q6=""),"",($C6/$O6)),""), 'Painel Geral'!$B$5="Média",IFERROR(IF(OR(C6="",Q6=0,Q6=""),"",($C6/$P6)),""),'Painel Geral'!$B$5="3º Quartil",IFERROR(IF(OR(C6="",Q6=0,Q6=""),"",($C6/$R6)),""),'Painel Geral'!$B$5="Maior Salário",IFERROR(IF(OR(C6="",Q6=0,Q6=""),"",($C6/$S6)),""))</f>
        <v>1.185880479</v>
      </c>
      <c r="U6" s="199" t="str">
        <f t="shared" si="3"/>
        <v>Muito Competitivo</v>
      </c>
      <c r="V6" s="201"/>
      <c r="W6" s="201"/>
      <c r="X6" s="201"/>
      <c r="Y6" s="201"/>
      <c r="Z6" s="201"/>
      <c r="AA6" s="201"/>
      <c r="AB6" s="201"/>
      <c r="AC6" s="201"/>
      <c r="AD6" s="201"/>
      <c r="AE6" s="201"/>
      <c r="AF6" s="201"/>
      <c r="AG6" s="201"/>
      <c r="AH6" s="201"/>
      <c r="AI6" s="201"/>
      <c r="AJ6" s="201"/>
      <c r="AK6" s="201"/>
      <c r="AL6" s="201"/>
      <c r="AM6" s="201"/>
      <c r="AN6" s="201"/>
      <c r="AO6" s="201"/>
      <c r="AP6" s="201"/>
    </row>
    <row r="7" ht="15.75" customHeight="1">
      <c r="A7" s="184" t="s">
        <v>77</v>
      </c>
      <c r="B7" s="185" t="str">
        <f>VLOOKUP(A7,Jobmatch!A:G,2,0)</f>
        <v>ASSISTENTE DE TI</v>
      </c>
      <c r="C7" s="186">
        <f>IFERROR(AVERAGEIF('Folha de Pagamento'!A:A,A7,'Folha de Pagamento'!J:J),"")</f>
        <v>2919</v>
      </c>
      <c r="D7" s="187">
        <v>1.0</v>
      </c>
      <c r="E7" s="185" t="str">
        <f>VLOOKUP(A7,Jobmatch!A:H,3,0)</f>
        <v>Tecnologia da Informação</v>
      </c>
      <c r="F7" s="188" t="s">
        <v>369</v>
      </c>
      <c r="G7" s="190" t="str">
        <f>VLOOKUP(A7,Jobmatch!A:I,4,0)</f>
        <v>25 - ADM PROJETOS</v>
      </c>
      <c r="H7" s="191" t="str">
        <f>VLOOKUP(A7,Jobmatch!A:I,5,0)</f>
        <v>Operacional</v>
      </c>
      <c r="I7" s="192">
        <f>VLOOKUP(A7,Jobmatch!A:I,6,0)</f>
        <v>31</v>
      </c>
      <c r="J7" s="190" t="str">
        <f>VLOOKUP(A7,Jobmatch!A:I,7,0)</f>
        <v>Assistente de Tecnologia da Informação</v>
      </c>
      <c r="K7" s="193" t="str">
        <f>VLOOKUP(A7,Jobmatch!A:I,8,0)</f>
        <v>Indiferente</v>
      </c>
      <c r="L7" s="194" t="str">
        <f t="shared" si="2"/>
        <v>31Indiferente</v>
      </c>
      <c r="M7" s="195">
        <f>COUNTIF('Folha de Pagamento'!A:A,A7)</f>
        <v>2</v>
      </c>
      <c r="N7" s="238">
        <v>10.0</v>
      </c>
      <c r="O7" s="196">
        <f>IFERROR(VLOOKUP(L7,'C-01'!$D:$L,5,0),"")</f>
        <v>2066.4</v>
      </c>
      <c r="P7" s="196">
        <f>IFERROR(VLOOKUP(L7,'C-01'!$D:$L,6,0),"")</f>
        <v>2589.89</v>
      </c>
      <c r="Q7" s="196">
        <f>IFERROR(VLOOKUP(L7,'C-01'!$D:$L,7,0),"")</f>
        <v>2413.7</v>
      </c>
      <c r="R7" s="196">
        <f>IFERROR(VLOOKUP(L7,'C-01'!$D:$L,8,0),"")</f>
        <v>3121.21</v>
      </c>
      <c r="S7" s="197">
        <f>IFERROR(VLOOKUP(L7,'C-01'!$D:$L,9,0),"")</f>
        <v>3521.6</v>
      </c>
      <c r="T7" s="198">
        <f>IFS('Painel Geral'!$B$5="Mediana",IFERROR(IF(OR(C7="",Q7=0,Q7=""),"",($C7/$Q7)),""),'Painel Geral'!$B$5="Menor Salário",IFERROR(IF(OR(C7="",Q7=0,Q7=""),"",($C7/$N7)),""),'Painel Geral'!$B$5="1º Quartil",IFERROR(IF(OR(C7="",Q7=0,Q7=""),"",($C7/$O7)),""), 'Painel Geral'!$B$5="Média",IFERROR(IF(OR(C7="",Q7=0,Q7=""),"",($C7/$P7)),""),'Painel Geral'!$B$5="3º Quartil",IFERROR(IF(OR(C7="",Q7=0,Q7=""),"",($C7/$R7)),""),'Painel Geral'!$B$5="Maior Salário",IFERROR(IF(OR(C7="",Q7=0,Q7=""),"",($C7/$S7)),""))</f>
        <v>1.209346646</v>
      </c>
      <c r="U7" s="199" t="str">
        <f t="shared" si="3"/>
        <v>Agressivo</v>
      </c>
      <c r="V7" s="201"/>
      <c r="W7" s="201"/>
      <c r="X7" s="201"/>
      <c r="Y7" s="201"/>
      <c r="Z7" s="201"/>
      <c r="AA7" s="201"/>
      <c r="AB7" s="201"/>
      <c r="AC7" s="201"/>
      <c r="AD7" s="201"/>
      <c r="AE7" s="201"/>
      <c r="AF7" s="201"/>
      <c r="AG7" s="201"/>
      <c r="AH7" s="201"/>
      <c r="AI7" s="201"/>
      <c r="AJ7" s="201"/>
      <c r="AK7" s="201"/>
      <c r="AL7" s="201"/>
      <c r="AM7" s="201"/>
      <c r="AN7" s="201"/>
      <c r="AO7" s="201"/>
      <c r="AP7" s="201"/>
    </row>
    <row r="8" ht="15.75" customHeight="1">
      <c r="A8" s="184" t="s">
        <v>64</v>
      </c>
      <c r="B8" s="185" t="str">
        <f>VLOOKUP(A8,Jobmatch!A:G,2,0)</f>
        <v>ASSISTENTE ADMINISTRATIVO lll</v>
      </c>
      <c r="C8" s="186">
        <f>IFERROR(AVERAGEIF('Folha de Pagamento'!A:A,A8,'Folha de Pagamento'!J:J),"")</f>
        <v>3439.7</v>
      </c>
      <c r="D8" s="187">
        <v>1.0</v>
      </c>
      <c r="E8" s="185" t="str">
        <f>VLOOKUP(A8,Jobmatch!A:H,3,0)</f>
        <v>Administrativo</v>
      </c>
      <c r="F8" s="188" t="s">
        <v>238</v>
      </c>
      <c r="G8" s="190" t="str">
        <f>VLOOKUP(A8,Jobmatch!A:I,4,0)</f>
        <v>20 - ADM PROJETOS</v>
      </c>
      <c r="H8" s="191" t="str">
        <f>VLOOKUP(A8,Jobmatch!A:I,5,0)</f>
        <v>Operacional</v>
      </c>
      <c r="I8" s="192">
        <f>VLOOKUP(A8,Jobmatch!A:I,6,0)</f>
        <v>59</v>
      </c>
      <c r="J8" s="190" t="str">
        <f>VLOOKUP(A8,Jobmatch!A:I,7,0)</f>
        <v>Assistente Administrativo</v>
      </c>
      <c r="K8" s="193" t="str">
        <f>VLOOKUP(A8,Jobmatch!A:I,8,0)</f>
        <v>Indiferente</v>
      </c>
      <c r="L8" s="194" t="str">
        <f t="shared" si="2"/>
        <v>59Indiferente</v>
      </c>
      <c r="M8" s="195">
        <f>COUNTIF('Folha de Pagamento'!A:A,A8)</f>
        <v>1</v>
      </c>
      <c r="N8" s="238">
        <v>10.0</v>
      </c>
      <c r="O8" s="196">
        <f>IFERROR(VLOOKUP(L8,'C-01'!$D:$L,5,0),"")</f>
        <v>2329.53</v>
      </c>
      <c r="P8" s="196">
        <f>IFERROR(VLOOKUP(L8,'C-01'!$D:$L,6,0),"")</f>
        <v>2673.92</v>
      </c>
      <c r="Q8" s="196">
        <f>IFERROR(VLOOKUP(L8,'C-01'!$D:$L,7,0),"")</f>
        <v>2630.61</v>
      </c>
      <c r="R8" s="196">
        <f>IFERROR(VLOOKUP(L8,'C-01'!$D:$L,8,0),"")</f>
        <v>2914.75</v>
      </c>
      <c r="S8" s="197">
        <f>IFERROR(VLOOKUP(L8,'C-01'!$D:$L,9,0),"")</f>
        <v>3662.52</v>
      </c>
      <c r="T8" s="198">
        <f>IFS('Painel Geral'!$B$5="Mediana",IFERROR(IF(OR(C8="",Q8=0,Q8=""),"",($C8/$Q8)),""),'Painel Geral'!$B$5="Menor Salário",IFERROR(IF(OR(C8="",Q8=0,Q8=""),"",($C8/$N8)),""),'Painel Geral'!$B$5="1º Quartil",IFERROR(IF(OR(C8="",Q8=0,Q8=""),"",($C8/$O8)),""), 'Painel Geral'!$B$5="Média",IFERROR(IF(OR(C8="",Q8=0,Q8=""),"",($C8/$P8)),""),'Painel Geral'!$B$5="3º Quartil",IFERROR(IF(OR(C8="",Q8=0,Q8=""),"",($C8/$R8)),""),'Painel Geral'!$B$5="Maior Salário",IFERROR(IF(OR(C8="",Q8=0,Q8=""),"",($C8/$S8)),""))</f>
        <v>1.307567446</v>
      </c>
      <c r="U8" s="199" t="str">
        <f t="shared" si="3"/>
        <v>Agressivo</v>
      </c>
      <c r="V8" s="201"/>
      <c r="W8" s="201"/>
      <c r="X8" s="201"/>
      <c r="Y8" s="201"/>
      <c r="Z8" s="201"/>
      <c r="AA8" s="201"/>
      <c r="AB8" s="201"/>
      <c r="AC8" s="201"/>
      <c r="AD8" s="201"/>
      <c r="AE8" s="201"/>
      <c r="AF8" s="201"/>
      <c r="AG8" s="201"/>
      <c r="AH8" s="201"/>
      <c r="AI8" s="201"/>
      <c r="AJ8" s="201"/>
      <c r="AK8" s="201"/>
      <c r="AL8" s="201"/>
      <c r="AM8" s="201"/>
      <c r="AN8" s="201"/>
      <c r="AO8" s="201"/>
      <c r="AP8" s="201"/>
    </row>
    <row r="9" ht="15.75" customHeight="1">
      <c r="A9" s="184" t="s">
        <v>80</v>
      </c>
      <c r="B9" s="185" t="str">
        <f>VLOOKUP(A9,Jobmatch!A:G,2,0)</f>
        <v>ASSISTENTE FINANCEIRO CONTAS A PAGAR</v>
      </c>
      <c r="C9" s="186">
        <f>IFERROR(AVERAGEIF('Folha de Pagamento'!A:A,A9,'Folha de Pagamento'!J:J),"")</f>
        <v>3163.333333</v>
      </c>
      <c r="D9" s="187">
        <v>6.0</v>
      </c>
      <c r="E9" s="185" t="str">
        <f>VLOOKUP(A9,Jobmatch!A:H,3,0)</f>
        <v>Financeiro</v>
      </c>
      <c r="F9" s="188" t="s">
        <v>354</v>
      </c>
      <c r="G9" s="190" t="str">
        <f>VLOOKUP(A9,Jobmatch!A:I,4,0)</f>
        <v>26 - ADM PROJETOS</v>
      </c>
      <c r="H9" s="191" t="str">
        <f>VLOOKUP(A9,Jobmatch!A:I,5,0)</f>
        <v>Operacional</v>
      </c>
      <c r="I9" s="192">
        <f>VLOOKUP(A9,Jobmatch!A:I,6,0)</f>
        <v>79</v>
      </c>
      <c r="J9" s="190" t="str">
        <f>VLOOKUP(A9,Jobmatch!A:I,7,0)</f>
        <v>Assistente Financeiro</v>
      </c>
      <c r="K9" s="193" t="str">
        <f>VLOOKUP(A9,Jobmatch!A:I,8,0)</f>
        <v>Indiferente</v>
      </c>
      <c r="L9" s="194" t="str">
        <f t="shared" si="2"/>
        <v>79Indiferente</v>
      </c>
      <c r="M9" s="195">
        <f>COUNTIF('Folha de Pagamento'!A:A,A9)</f>
        <v>3</v>
      </c>
      <c r="N9" s="238">
        <v>10.0</v>
      </c>
      <c r="O9" s="196">
        <f>IFERROR(VLOOKUP(L9,'C-01'!$D:$L,5,0),"")</f>
        <v>2560.05</v>
      </c>
      <c r="P9" s="196">
        <f>IFERROR(VLOOKUP(L9,'C-01'!$D:$L,6,0),"")</f>
        <v>2799.02</v>
      </c>
      <c r="Q9" s="196">
        <f>IFERROR(VLOOKUP(L9,'C-01'!$D:$L,7,0),"")</f>
        <v>2658.89</v>
      </c>
      <c r="R9" s="196">
        <f>IFERROR(VLOOKUP(L9,'C-01'!$D:$L,8,0),"")</f>
        <v>2935.06</v>
      </c>
      <c r="S9" s="197">
        <f>IFERROR(VLOOKUP(L9,'C-01'!$D:$L,9,0),"")</f>
        <v>3630.87</v>
      </c>
      <c r="T9" s="198">
        <f>IFS('Painel Geral'!$B$5="Mediana",IFERROR(IF(OR(C9="",Q9=0,Q9=""),"",($C9/$Q9)),""),'Painel Geral'!$B$5="Menor Salário",IFERROR(IF(OR(C9="",Q9=0,Q9=""),"",($C9/$N9)),""),'Painel Geral'!$B$5="1º Quartil",IFERROR(IF(OR(C9="",Q9=0,Q9=""),"",($C9/$O9)),""), 'Painel Geral'!$B$5="Média",IFERROR(IF(OR(C9="",Q9=0,Q9=""),"",($C9/$P9)),""),'Painel Geral'!$B$5="3º Quartil",IFERROR(IF(OR(C9="",Q9=0,Q9=""),"",($C9/$R9)),""),'Painel Geral'!$B$5="Maior Salário",IFERROR(IF(OR(C9="",Q9=0,Q9=""),"",($C9/$S9)),""))</f>
        <v>1.18971952</v>
      </c>
      <c r="U9" s="199" t="str">
        <f t="shared" si="3"/>
        <v>Muito Competitivo</v>
      </c>
      <c r="V9" s="201"/>
      <c r="W9" s="201"/>
      <c r="X9" s="201"/>
      <c r="Y9" s="201"/>
      <c r="Z9" s="201"/>
      <c r="AA9" s="201"/>
      <c r="AB9" s="201"/>
      <c r="AC9" s="201"/>
      <c r="AD9" s="201"/>
      <c r="AE9" s="201"/>
      <c r="AF9" s="201"/>
      <c r="AG9" s="201"/>
      <c r="AH9" s="201"/>
      <c r="AI9" s="201"/>
      <c r="AJ9" s="201"/>
      <c r="AK9" s="201"/>
      <c r="AL9" s="201"/>
      <c r="AM9" s="201"/>
      <c r="AN9" s="201"/>
      <c r="AO9" s="201"/>
      <c r="AP9" s="201"/>
    </row>
    <row r="10" ht="15.75" customHeight="1">
      <c r="A10" s="184" t="s">
        <v>90</v>
      </c>
      <c r="B10" s="185" t="str">
        <f>VLOOKUP(A10,Jobmatch!A:G,2,0)</f>
        <v>AUXILIAR DE ENGENHARIA</v>
      </c>
      <c r="C10" s="186">
        <f>IFERROR(AVERAGEIF('Folha de Pagamento'!A:A,A10,'Folha de Pagamento'!J:J),"")</f>
        <v>2560</v>
      </c>
      <c r="D10" s="187">
        <v>10.0</v>
      </c>
      <c r="E10" s="185" t="str">
        <f>VLOOKUP(A10,Jobmatch!A:H,3,0)</f>
        <v>Urbanismo</v>
      </c>
      <c r="F10" s="188" t="s">
        <v>371</v>
      </c>
      <c r="G10" s="190" t="str">
        <f>VLOOKUP(A10,Jobmatch!A:I,4,0)</f>
        <v>30 - ADM PROJETOS</v>
      </c>
      <c r="H10" s="191" t="str">
        <f>VLOOKUP(A10,Jobmatch!A:I,5,0)</f>
        <v>Operacional</v>
      </c>
      <c r="I10" s="192">
        <f>VLOOKUP(A10,Jobmatch!A:I,6,0)</f>
        <v>207</v>
      </c>
      <c r="J10" s="190" t="str">
        <f>VLOOKUP(A10,Jobmatch!A:I,7,0)</f>
        <v>Auxiliar de Engenharia</v>
      </c>
      <c r="K10" s="193" t="str">
        <f>VLOOKUP(A10,Jobmatch!A:I,8,0)</f>
        <v>Indiferente</v>
      </c>
      <c r="L10" s="194" t="str">
        <f t="shared" si="2"/>
        <v>207Indiferente</v>
      </c>
      <c r="M10" s="195">
        <f>COUNTIF('Folha de Pagamento'!A:A,A10)</f>
        <v>1</v>
      </c>
      <c r="N10" s="238">
        <v>11.0</v>
      </c>
      <c r="O10" s="196">
        <f>IFERROR(VLOOKUP(L10,'C-01'!$D:$L,5,0),"")</f>
        <v>2644.47</v>
      </c>
      <c r="P10" s="196">
        <f>IFERROR(VLOOKUP(L10,'C-01'!$D:$L,6,0),"")</f>
        <v>2819.08</v>
      </c>
      <c r="Q10" s="196">
        <f>IFERROR(VLOOKUP(L10,'C-01'!$D:$L,7,0),"")</f>
        <v>2714.85</v>
      </c>
      <c r="R10" s="196">
        <f>IFERROR(VLOOKUP(L10,'C-01'!$D:$L,8,0),"")</f>
        <v>2941.58</v>
      </c>
      <c r="S10" s="197">
        <f>IFERROR(VLOOKUP(L10,'C-01'!$D:$L,9,0),"")</f>
        <v>3168.31</v>
      </c>
      <c r="T10" s="198">
        <f>IFS('Painel Geral'!$B$5="Mediana",IFERROR(IF(OR(C10="",Q10=0,Q10=""),"",($C10/$Q10)),""),'Painel Geral'!$B$5="Menor Salário",IFERROR(IF(OR(C10="",Q10=0,Q10=""),"",($C10/$N10)),""),'Painel Geral'!$B$5="1º Quartil",IFERROR(IF(OR(C10="",Q10=0,Q10=""),"",($C10/$O10)),""), 'Painel Geral'!$B$5="Média",IFERROR(IF(OR(C10="",Q10=0,Q10=""),"",($C10/$P10)),""),'Painel Geral'!$B$5="3º Quartil",IFERROR(IF(OR(C10="",Q10=0,Q10=""),"",($C10/$R10)),""),'Painel Geral'!$B$5="Maior Salário",IFERROR(IF(OR(C10="",Q10=0,Q10=""),"",($C10/$S10)),""))</f>
        <v>0.9429618579</v>
      </c>
      <c r="U10" s="199" t="str">
        <f t="shared" si="3"/>
        <v>Na Média</v>
      </c>
      <c r="V10" s="201"/>
      <c r="W10" s="201"/>
      <c r="X10" s="201"/>
      <c r="Y10" s="201"/>
      <c r="Z10" s="201"/>
      <c r="AA10" s="201"/>
      <c r="AB10" s="201"/>
      <c r="AC10" s="201"/>
      <c r="AD10" s="201"/>
      <c r="AE10" s="201"/>
      <c r="AF10" s="201"/>
      <c r="AG10" s="201"/>
      <c r="AH10" s="201"/>
      <c r="AI10" s="201"/>
      <c r="AJ10" s="201"/>
      <c r="AK10" s="201"/>
      <c r="AL10" s="201"/>
      <c r="AM10" s="201"/>
      <c r="AN10" s="201"/>
      <c r="AO10" s="201"/>
      <c r="AP10" s="201"/>
    </row>
    <row r="11" ht="15.75" customHeight="1">
      <c r="A11" s="184" t="s">
        <v>67</v>
      </c>
      <c r="B11" s="185" t="str">
        <f>VLOOKUP(A11,Jobmatch!A:G,2,0)</f>
        <v>ASSISTENTE DE CONTROLADORIA III</v>
      </c>
      <c r="C11" s="186">
        <f>IFERROR(AVERAGEIF('Folha de Pagamento'!A:A,A11,'Folha de Pagamento'!J:J),"")</f>
        <v>3652</v>
      </c>
      <c r="D11" s="187">
        <v>3.0</v>
      </c>
      <c r="E11" s="185" t="str">
        <f>VLOOKUP(A11,Jobmatch!A:H,3,0)</f>
        <v>Controladoria</v>
      </c>
      <c r="F11" s="188" t="s">
        <v>337</v>
      </c>
      <c r="G11" s="190" t="str">
        <f>VLOOKUP(A11,Jobmatch!A:I,4,0)</f>
        <v>21 - ADM PROJETOS</v>
      </c>
      <c r="H11" s="191" t="str">
        <f>VLOOKUP(A11,Jobmatch!A:I,5,0)</f>
        <v>Operacional</v>
      </c>
      <c r="I11" s="192">
        <f>VLOOKUP(A11,Jobmatch!A:I,6,0)</f>
        <v>150</v>
      </c>
      <c r="J11" s="190" t="str">
        <f>VLOOKUP(A11,Jobmatch!A:I,7,0)</f>
        <v>Assistente de Controladoria</v>
      </c>
      <c r="K11" s="193" t="str">
        <f>VLOOKUP(A11,Jobmatch!A:I,8,0)</f>
        <v>Indiferente</v>
      </c>
      <c r="L11" s="194" t="str">
        <f t="shared" si="2"/>
        <v>150Indiferente</v>
      </c>
      <c r="M11" s="195">
        <f>COUNTIF('Folha de Pagamento'!A:A,A11)</f>
        <v>1</v>
      </c>
      <c r="N11" s="238">
        <v>11.0</v>
      </c>
      <c r="O11" s="196">
        <f>IFERROR(VLOOKUP(L11,'C-01'!$D:$L,5,0),"")</f>
        <v>2640.81</v>
      </c>
      <c r="P11" s="196">
        <f>IFERROR(VLOOKUP(L11,'C-01'!$D:$L,6,0),"")</f>
        <v>2821.08</v>
      </c>
      <c r="Q11" s="196">
        <f>IFERROR(VLOOKUP(L11,'C-01'!$D:$L,7,0),"")</f>
        <v>2766.4</v>
      </c>
      <c r="R11" s="196">
        <f>IFERROR(VLOOKUP(L11,'C-01'!$D:$L,8,0),"")</f>
        <v>3222.24</v>
      </c>
      <c r="S11" s="197">
        <f>IFERROR(VLOOKUP(L11,'C-01'!$D:$L,9,0),"")</f>
        <v>3327.42</v>
      </c>
      <c r="T11" s="198">
        <f>IFS('Painel Geral'!$B$5="Mediana",IFERROR(IF(OR(C11="",Q11=0,Q11=""),"",($C11/$Q11)),""),'Painel Geral'!$B$5="Menor Salário",IFERROR(IF(OR(C11="",Q11=0,Q11=""),"",($C11/$N11)),""),'Painel Geral'!$B$5="1º Quartil",IFERROR(IF(OR(C11="",Q11=0,Q11=""),"",($C11/$O11)),""), 'Painel Geral'!$B$5="Média",IFERROR(IF(OR(C11="",Q11=0,Q11=""),"",($C11/$P11)),""),'Painel Geral'!$B$5="3º Quartil",IFERROR(IF(OR(C11="",Q11=0,Q11=""),"",($C11/$R11)),""),'Painel Geral'!$B$5="Maior Salário",IFERROR(IF(OR(C11="",Q11=0,Q11=""),"",($C11/$S11)),""))</f>
        <v>1.320127241</v>
      </c>
      <c r="U11" s="199" t="str">
        <f t="shared" si="3"/>
        <v>Agressivo</v>
      </c>
      <c r="V11" s="201"/>
      <c r="W11" s="201"/>
      <c r="X11" s="201"/>
      <c r="Y11" s="201"/>
      <c r="Z11" s="201"/>
      <c r="AA11" s="201"/>
      <c r="AB11" s="201"/>
      <c r="AC11" s="201"/>
      <c r="AD11" s="201"/>
      <c r="AE11" s="201"/>
      <c r="AF11" s="201"/>
      <c r="AG11" s="201"/>
      <c r="AH11" s="201"/>
      <c r="AI11" s="201"/>
      <c r="AJ11" s="201"/>
      <c r="AK11" s="201"/>
      <c r="AL11" s="201"/>
      <c r="AM11" s="201"/>
      <c r="AN11" s="201"/>
      <c r="AO11" s="201"/>
      <c r="AP11" s="201"/>
    </row>
    <row r="12" ht="15.75" customHeight="1">
      <c r="A12" s="184" t="s">
        <v>72</v>
      </c>
      <c r="B12" s="185" t="str">
        <f>VLOOKUP(A12,Jobmatch!A:G,2,0)</f>
        <v>ASSISTENTE DE MARKETING</v>
      </c>
      <c r="C12" s="186">
        <f>IFERROR(AVERAGEIF('Folha de Pagamento'!A:A,A12,'Folha de Pagamento'!J:J),"")</f>
        <v>2919</v>
      </c>
      <c r="D12" s="187">
        <v>8.0</v>
      </c>
      <c r="E12" s="185" t="str">
        <f>VLOOKUP(A12,Jobmatch!A:H,3,0)</f>
        <v>Marketing</v>
      </c>
      <c r="F12" s="188" t="s">
        <v>362</v>
      </c>
      <c r="G12" s="190" t="str">
        <f>VLOOKUP(A12,Jobmatch!A:I,4,0)</f>
        <v>23 - ADM PROJETOS</v>
      </c>
      <c r="H12" s="191" t="str">
        <f>VLOOKUP(A12,Jobmatch!A:I,5,0)</f>
        <v>Operacional</v>
      </c>
      <c r="I12" s="192">
        <f>VLOOKUP(A12,Jobmatch!A:I,6,0)</f>
        <v>71</v>
      </c>
      <c r="J12" s="190" t="str">
        <f>VLOOKUP(A12,Jobmatch!A:I,7,0)</f>
        <v>Assistente de Marketing</v>
      </c>
      <c r="K12" s="193" t="str">
        <f>VLOOKUP(A12,Jobmatch!A:I,8,0)</f>
        <v>Indiferente</v>
      </c>
      <c r="L12" s="194" t="str">
        <f t="shared" si="2"/>
        <v>71Indiferente</v>
      </c>
      <c r="M12" s="195">
        <f>COUNTIF('Folha de Pagamento'!A:A,A12)</f>
        <v>1</v>
      </c>
      <c r="N12" s="238">
        <v>11.0</v>
      </c>
      <c r="O12" s="196">
        <f>IFERROR(VLOOKUP(L12,'C-01'!$D:$L,5,0),"")</f>
        <v>2720.21</v>
      </c>
      <c r="P12" s="196">
        <f>IFERROR(VLOOKUP(L12,'C-01'!$D:$L,6,0),"")</f>
        <v>3016.74</v>
      </c>
      <c r="Q12" s="196">
        <f>IFERROR(VLOOKUP(L12,'C-01'!$D:$L,7,0),"")</f>
        <v>2882.27</v>
      </c>
      <c r="R12" s="196">
        <f>IFERROR(VLOOKUP(L12,'C-01'!$D:$L,8,0),"")</f>
        <v>3152.81</v>
      </c>
      <c r="S12" s="197">
        <f>IFERROR(VLOOKUP(L12,'C-01'!$D:$L,9,0),"")</f>
        <v>4078.78</v>
      </c>
      <c r="T12" s="198">
        <f>IFS('Painel Geral'!$B$5="Mediana",IFERROR(IF(OR(C12="",Q12=0,Q12=""),"",($C12/$Q12)),""),'Painel Geral'!$B$5="Menor Salário",IFERROR(IF(OR(C12="",Q12=0,Q12=""),"",($C12/$N12)),""),'Painel Geral'!$B$5="1º Quartil",IFERROR(IF(OR(C12="",Q12=0,Q12=""),"",($C12/$O12)),""), 'Painel Geral'!$B$5="Média",IFERROR(IF(OR(C12="",Q12=0,Q12=""),"",($C12/$P12)),""),'Painel Geral'!$B$5="3º Quartil",IFERROR(IF(OR(C12="",Q12=0,Q12=""),"",($C12/$R12)),""),'Painel Geral'!$B$5="Maior Salário",IFERROR(IF(OR(C12="",Q12=0,Q12=""),"",($C12/$S12)),""))</f>
        <v>1.012743428</v>
      </c>
      <c r="U12" s="199" t="str">
        <f t="shared" si="3"/>
        <v>Competitivo</v>
      </c>
      <c r="V12" s="201"/>
      <c r="W12" s="201"/>
      <c r="X12" s="201"/>
      <c r="Y12" s="201"/>
      <c r="Z12" s="201"/>
      <c r="AA12" s="201"/>
      <c r="AB12" s="201"/>
      <c r="AC12" s="201"/>
      <c r="AD12" s="201"/>
      <c r="AE12" s="201"/>
      <c r="AF12" s="201"/>
      <c r="AG12" s="201"/>
      <c r="AH12" s="201"/>
      <c r="AI12" s="201"/>
      <c r="AJ12" s="201"/>
      <c r="AK12" s="201"/>
      <c r="AL12" s="201"/>
      <c r="AM12" s="201"/>
      <c r="AN12" s="201"/>
      <c r="AO12" s="201"/>
      <c r="AP12" s="201"/>
    </row>
    <row r="13" ht="15.75" customHeight="1">
      <c r="A13" s="184" t="s">
        <v>74</v>
      </c>
      <c r="B13" s="185" t="str">
        <f>VLOOKUP(A13,Jobmatch!A:G,2,0)</f>
        <v>ASSISTENTE DE RECURSOS HUMANOS</v>
      </c>
      <c r="C13" s="186">
        <f>IFERROR(AVERAGEIF('Folha de Pagamento'!A:A,A13,'Folha de Pagamento'!J:J),"")</f>
        <v>2919</v>
      </c>
      <c r="D13" s="187">
        <v>4.0</v>
      </c>
      <c r="E13" s="185" t="str">
        <f>VLOOKUP(A13,Jobmatch!A:H,3,0)</f>
        <v>DHO</v>
      </c>
      <c r="F13" s="188" t="s">
        <v>340</v>
      </c>
      <c r="G13" s="190" t="str">
        <f>VLOOKUP(A13,Jobmatch!A:I,4,0)</f>
        <v>24 - ADM PROJETOS</v>
      </c>
      <c r="H13" s="191" t="str">
        <f>VLOOKUP(A13,Jobmatch!A:I,5,0)</f>
        <v>Operacional</v>
      </c>
      <c r="I13" s="192">
        <f>VLOOKUP(A13,Jobmatch!A:I,6,0)</f>
        <v>77</v>
      </c>
      <c r="J13" s="190" t="str">
        <f>VLOOKUP(A13,Jobmatch!A:I,7,0)</f>
        <v>Assistente de Recursos Humanos</v>
      </c>
      <c r="K13" s="193" t="str">
        <f>VLOOKUP(A13,Jobmatch!A:I,8,0)</f>
        <v>Indiferente</v>
      </c>
      <c r="L13" s="194" t="str">
        <f t="shared" si="2"/>
        <v>77Indiferente</v>
      </c>
      <c r="M13" s="195">
        <f>COUNTIF('Folha de Pagamento'!A:A,A13)</f>
        <v>1</v>
      </c>
      <c r="N13" s="238">
        <v>11.0</v>
      </c>
      <c r="O13" s="196">
        <f>IFERROR(VLOOKUP(L13,'C-01'!$D:$L,5,0),"")</f>
        <v>2619.08</v>
      </c>
      <c r="P13" s="196">
        <f>IFERROR(VLOOKUP(L13,'C-01'!$D:$L,6,0),"")</f>
        <v>3097.88</v>
      </c>
      <c r="Q13" s="196">
        <f>IFERROR(VLOOKUP(L13,'C-01'!$D:$L,7,0),"")</f>
        <v>3080.23</v>
      </c>
      <c r="R13" s="196">
        <f>IFERROR(VLOOKUP(L13,'C-01'!$D:$L,8,0),"")</f>
        <v>3491.33</v>
      </c>
      <c r="S13" s="197">
        <f>IFERROR(VLOOKUP(L13,'C-01'!$D:$L,9,0),"")</f>
        <v>4078.78</v>
      </c>
      <c r="T13" s="198">
        <f>IFS('Painel Geral'!$B$5="Mediana",IFERROR(IF(OR(C13="",Q13=0,Q13=""),"",($C13/$Q13)),""),'Painel Geral'!$B$5="Menor Salário",IFERROR(IF(OR(C13="",Q13=0,Q13=""),"",($C13/$N13)),""),'Painel Geral'!$B$5="1º Quartil",IFERROR(IF(OR(C13="",Q13=0,Q13=""),"",($C13/$O13)),""), 'Painel Geral'!$B$5="Média",IFERROR(IF(OR(C13="",Q13=0,Q13=""),"",($C13/$P13)),""),'Painel Geral'!$B$5="3º Quartil",IFERROR(IF(OR(C13="",Q13=0,Q13=""),"",($C13/$R13)),""),'Painel Geral'!$B$5="Maior Salário",IFERROR(IF(OR(C13="",Q13=0,Q13=""),"",($C13/$S13)),""))</f>
        <v>0.9476565062</v>
      </c>
      <c r="U13" s="199" t="str">
        <f t="shared" si="3"/>
        <v>Na Média</v>
      </c>
      <c r="V13" s="201"/>
      <c r="W13" s="201"/>
      <c r="X13" s="201"/>
      <c r="Y13" s="201"/>
      <c r="Z13" s="201"/>
      <c r="AA13" s="201"/>
      <c r="AB13" s="201"/>
      <c r="AC13" s="201"/>
      <c r="AD13" s="201"/>
      <c r="AE13" s="201"/>
      <c r="AF13" s="201"/>
      <c r="AG13" s="201"/>
      <c r="AH13" s="201"/>
      <c r="AI13" s="201"/>
      <c r="AJ13" s="201"/>
      <c r="AK13" s="201"/>
      <c r="AL13" s="201"/>
      <c r="AM13" s="201"/>
      <c r="AN13" s="201"/>
      <c r="AO13" s="201"/>
      <c r="AP13" s="201"/>
    </row>
    <row r="14" ht="15.75" customHeight="1">
      <c r="A14" s="184" t="s">
        <v>18</v>
      </c>
      <c r="B14" s="185" t="str">
        <f>VLOOKUP(A14,Jobmatch!A:G,2,0)</f>
        <v>ALMOXARIFE</v>
      </c>
      <c r="C14" s="186">
        <f>IFERROR(AVERAGEIF('Folha de Pagamento'!A:A,A14,'Folha de Pagamento'!J:J),"")</f>
        <v>3683</v>
      </c>
      <c r="D14" s="187">
        <v>5.0</v>
      </c>
      <c r="E14" s="185" t="str">
        <f>VLOOKUP(A14,Jobmatch!A:H,3,0)</f>
        <v>Edificação</v>
      </c>
      <c r="F14" s="188" t="s">
        <v>211</v>
      </c>
      <c r="G14" s="190" t="str">
        <f>VLOOKUP(A14,Jobmatch!A:I,4,0)</f>
        <v>8 - ADM PROJETOS</v>
      </c>
      <c r="H14" s="191" t="str">
        <f>VLOOKUP(A14,Jobmatch!A:I,5,0)</f>
        <v>Operacional</v>
      </c>
      <c r="I14" s="192">
        <f>VLOOKUP(A14,Jobmatch!A:I,6,0)</f>
        <v>203</v>
      </c>
      <c r="J14" s="190" t="str">
        <f>VLOOKUP(A14,Jobmatch!A:I,7,0)</f>
        <v>Almoxarife</v>
      </c>
      <c r="K14" s="193" t="str">
        <f>VLOOKUP(A14,Jobmatch!A:I,8,0)</f>
        <v>Indiferente</v>
      </c>
      <c r="L14" s="194" t="str">
        <f t="shared" si="2"/>
        <v>203Indiferente</v>
      </c>
      <c r="M14" s="195">
        <f>COUNTIF('Folha de Pagamento'!A:A,A14)</f>
        <v>2</v>
      </c>
      <c r="N14" s="238">
        <v>12.0</v>
      </c>
      <c r="O14" s="196">
        <f>IFERROR(VLOOKUP(L14,'C-01'!$D:$L,5,0),"")</f>
        <v>3088.9</v>
      </c>
      <c r="P14" s="196">
        <f>IFERROR(VLOOKUP(L14,'C-01'!$D:$L,6,0),"")</f>
        <v>3397.38</v>
      </c>
      <c r="Q14" s="196">
        <f>IFERROR(VLOOKUP(L14,'C-01'!$D:$L,7,0),"")</f>
        <v>3088.9</v>
      </c>
      <c r="R14" s="196">
        <f>IFERROR(VLOOKUP(L14,'C-01'!$D:$L,8,0),"")</f>
        <v>3703.26</v>
      </c>
      <c r="S14" s="197">
        <f>IFERROR(VLOOKUP(L14,'C-01'!$D:$L,9,0),"")</f>
        <v>4425.21</v>
      </c>
      <c r="T14" s="198">
        <f>IFS('Painel Geral'!$B$5="Mediana",IFERROR(IF(OR(C14="",Q14=0,Q14=""),"",($C14/$Q14)),""),'Painel Geral'!$B$5="Menor Salário",IFERROR(IF(OR(C14="",Q14=0,Q14=""),"",($C14/$N14)),""),'Painel Geral'!$B$5="1º Quartil",IFERROR(IF(OR(C14="",Q14=0,Q14=""),"",($C14/$O14)),""), 'Painel Geral'!$B$5="Média",IFERROR(IF(OR(C14="",Q14=0,Q14=""),"",($C14/$P14)),""),'Painel Geral'!$B$5="3º Quartil",IFERROR(IF(OR(C14="",Q14=0,Q14=""),"",($C14/$R14)),""),'Painel Geral'!$B$5="Maior Salário",IFERROR(IF(OR(C14="",Q14=0,Q14=""),"",($C14/$S14)),""))</f>
        <v>1.192333841</v>
      </c>
      <c r="U14" s="199" t="str">
        <f t="shared" si="3"/>
        <v>Muito Competitivo</v>
      </c>
      <c r="V14" s="201"/>
      <c r="W14" s="201"/>
      <c r="X14" s="201"/>
      <c r="Y14" s="201"/>
      <c r="Z14" s="201"/>
      <c r="AA14" s="201"/>
      <c r="AB14" s="201"/>
      <c r="AC14" s="201"/>
      <c r="AD14" s="201"/>
      <c r="AE14" s="201"/>
      <c r="AF14" s="201"/>
      <c r="AG14" s="201"/>
      <c r="AH14" s="201"/>
      <c r="AI14" s="201"/>
      <c r="AJ14" s="201"/>
      <c r="AK14" s="201"/>
      <c r="AL14" s="201"/>
      <c r="AM14" s="201"/>
      <c r="AN14" s="201"/>
      <c r="AO14" s="201"/>
      <c r="AP14" s="201"/>
    </row>
    <row r="15" ht="15.75" customHeight="1">
      <c r="A15" s="184" t="s">
        <v>61</v>
      </c>
      <c r="B15" s="185" t="str">
        <f>VLOOKUP(A15,Jobmatch!A:G,2,0)</f>
        <v>ASSISTENTE ADM DE LEGALIZAÇÃO III</v>
      </c>
      <c r="C15" s="186">
        <f>IFERROR(AVERAGEIF('Folha de Pagamento'!A:A,A15,'Folha de Pagamento'!J:J),"")</f>
        <v>3652</v>
      </c>
      <c r="D15" s="187">
        <v>7.0</v>
      </c>
      <c r="E15" s="185" t="str">
        <f>VLOOKUP(A15,Jobmatch!A:H,3,0)</f>
        <v>Legalização </v>
      </c>
      <c r="F15" s="188" t="s">
        <v>358</v>
      </c>
      <c r="G15" s="190" t="str">
        <f>VLOOKUP(A15,Jobmatch!A:I,4,0)</f>
        <v>19 - ADM PROJETOS</v>
      </c>
      <c r="H15" s="191" t="str">
        <f>VLOOKUP(A15,Jobmatch!A:I,5,0)</f>
        <v>Operacional</v>
      </c>
      <c r="I15" s="192">
        <f>VLOOKUP(A15,Jobmatch!A:I,6,0)</f>
        <v>1201</v>
      </c>
      <c r="J15" s="190" t="str">
        <f>VLOOKUP(A15,Jobmatch!A:I,7,0)</f>
        <v>Assistente de Legalização</v>
      </c>
      <c r="K15" s="193" t="str">
        <f>VLOOKUP(A15,Jobmatch!A:I,8,0)</f>
        <v>Indiferente</v>
      </c>
      <c r="L15" s="194" t="str">
        <f t="shared" si="2"/>
        <v>1201Indiferente</v>
      </c>
      <c r="M15" s="195">
        <f>COUNTIF('Folha de Pagamento'!A:A,A15)</f>
        <v>2</v>
      </c>
      <c r="N15" s="238">
        <v>12.0</v>
      </c>
      <c r="O15" s="196">
        <f>IFERROR(VLOOKUP(L15,'C-01'!$D:$L,5,0),"")</f>
        <v>2803.34</v>
      </c>
      <c r="P15" s="196">
        <f>IFERROR(VLOOKUP(L15,'C-01'!$D:$L,6,0),"")</f>
        <v>3092.92</v>
      </c>
      <c r="Q15" s="196">
        <f>IFERROR(VLOOKUP(L15,'C-01'!$D:$L,7,0),"")</f>
        <v>3092.92</v>
      </c>
      <c r="R15" s="196">
        <f>IFERROR(VLOOKUP(L15,'C-01'!$D:$L,8,0),"")</f>
        <v>3382.51</v>
      </c>
      <c r="S15" s="197">
        <f>IFERROR(VLOOKUP(L15,'C-01'!$D:$L,9,0),"")</f>
        <v>3672.09</v>
      </c>
      <c r="T15" s="198">
        <f>IFS('Painel Geral'!$B$5="Mediana",IFERROR(IF(OR(C15="",Q15=0,Q15=""),"",($C15/$Q15)),""),'Painel Geral'!$B$5="Menor Salário",IFERROR(IF(OR(C15="",Q15=0,Q15=""),"",($C15/$N15)),""),'Painel Geral'!$B$5="1º Quartil",IFERROR(IF(OR(C15="",Q15=0,Q15=""),"",($C15/$O15)),""), 'Painel Geral'!$B$5="Média",IFERROR(IF(OR(C15="",Q15=0,Q15=""),"",($C15/$P15)),""),'Painel Geral'!$B$5="3º Quartil",IFERROR(IF(OR(C15="",Q15=0,Q15=""),"",($C15/$R15)),""),'Painel Geral'!$B$5="Maior Salário",IFERROR(IF(OR(C15="",Q15=0,Q15=""),"",($C15/$S15)),""))</f>
        <v>1.180761222</v>
      </c>
      <c r="U15" s="199" t="str">
        <f t="shared" si="3"/>
        <v>Muito Competitivo</v>
      </c>
      <c r="V15" s="201"/>
      <c r="W15" s="201"/>
      <c r="X15" s="201"/>
      <c r="Y15" s="201"/>
      <c r="Z15" s="201"/>
      <c r="AA15" s="201"/>
      <c r="AB15" s="201"/>
      <c r="AC15" s="201"/>
      <c r="AD15" s="201"/>
      <c r="AE15" s="201"/>
      <c r="AF15" s="201"/>
      <c r="AG15" s="201"/>
      <c r="AH15" s="201"/>
      <c r="AI15" s="201"/>
      <c r="AJ15" s="201"/>
      <c r="AK15" s="218"/>
      <c r="AL15" s="218"/>
      <c r="AM15" s="218"/>
      <c r="AN15" s="218"/>
      <c r="AO15" s="218"/>
      <c r="AP15" s="218">
        <v>0.03</v>
      </c>
    </row>
    <row r="16" ht="15.75" customHeight="1">
      <c r="A16" s="184" t="s">
        <v>58</v>
      </c>
      <c r="B16" s="185" t="str">
        <f>VLOOKUP(A16,Jobmatch!A:G,2,0)</f>
        <v>ANALISTA FINANCEIRO I</v>
      </c>
      <c r="C16" s="186">
        <f>IFERROR(AVERAGEIF('Folha de Pagamento'!A:A,A16,'Folha de Pagamento'!J:J),"")</f>
        <v>3993</v>
      </c>
      <c r="D16" s="187">
        <v>6.0</v>
      </c>
      <c r="E16" s="185" t="str">
        <f>VLOOKUP(A16,Jobmatch!A:H,3,0)</f>
        <v>Financeiro</v>
      </c>
      <c r="F16" s="188" t="s">
        <v>353</v>
      </c>
      <c r="G16" s="190" t="str">
        <f>VLOOKUP(A16,Jobmatch!A:I,4,0)</f>
        <v>18 - ADM PROJETOS</v>
      </c>
      <c r="H16" s="191" t="str">
        <f>VLOOKUP(A16,Jobmatch!A:I,5,0)</f>
        <v>Operacional</v>
      </c>
      <c r="I16" s="192">
        <f>VLOOKUP(A16,Jobmatch!A:I,6,0)</f>
        <v>16</v>
      </c>
      <c r="J16" s="190" t="str">
        <f>VLOOKUP(A16,Jobmatch!A:I,7,0)</f>
        <v>Analista Financeiro</v>
      </c>
      <c r="K16" s="193" t="str">
        <f>VLOOKUP(A16,Jobmatch!A:I,8,0)</f>
        <v>Júnior</v>
      </c>
      <c r="L16" s="194" t="str">
        <f t="shared" si="2"/>
        <v>16Júnior</v>
      </c>
      <c r="M16" s="195">
        <f>COUNTIF('Folha de Pagamento'!A:A,A16)</f>
        <v>1</v>
      </c>
      <c r="N16" s="238">
        <v>12.0</v>
      </c>
      <c r="O16" s="196">
        <f>IFERROR(VLOOKUP(L16,'C-01'!$D:$L,5,0),"")</f>
        <v>3176.35</v>
      </c>
      <c r="P16" s="196">
        <f>IFERROR(VLOOKUP(L16,'C-01'!$D:$L,6,0),"")</f>
        <v>3539.11</v>
      </c>
      <c r="Q16" s="196">
        <f>IFERROR(VLOOKUP(L16,'C-01'!$D:$L,7,0),"")</f>
        <v>3493.97</v>
      </c>
      <c r="R16" s="196">
        <f>IFERROR(VLOOKUP(L16,'C-01'!$D:$L,8,0),"")</f>
        <v>3798.49</v>
      </c>
      <c r="S16" s="197">
        <f>IFERROR(VLOOKUP(L16,'C-01'!$D:$L,9,0),"")</f>
        <v>4392.23</v>
      </c>
      <c r="T16" s="198">
        <f>IFS('Painel Geral'!$B$5="Mediana",IFERROR(IF(OR(C16="",Q16=0,Q16=""),"",($C16/$Q16)),""),'Painel Geral'!$B$5="Menor Salário",IFERROR(IF(OR(C16="",Q16=0,Q16=""),"",($C16/$N16)),""),'Painel Geral'!$B$5="1º Quartil",IFERROR(IF(OR(C16="",Q16=0,Q16=""),"",($C16/$O16)),""), 'Painel Geral'!$B$5="Média",IFERROR(IF(OR(C16="",Q16=0,Q16=""),"",($C16/$P16)),""),'Painel Geral'!$B$5="3º Quartil",IFERROR(IF(OR(C16="",Q16=0,Q16=""),"",($C16/$R16)),""),'Painel Geral'!$B$5="Maior Salário",IFERROR(IF(OR(C16="",Q16=0,Q16=""),"",($C16/$S16)),""))</f>
        <v>1.142826069</v>
      </c>
      <c r="U16" s="199" t="str">
        <f t="shared" si="3"/>
        <v>Muito Competitivo</v>
      </c>
      <c r="V16" s="201"/>
      <c r="W16" s="201"/>
      <c r="X16" s="201"/>
      <c r="Y16" s="201"/>
      <c r="Z16" s="201"/>
      <c r="AA16" s="201"/>
      <c r="AB16" s="201"/>
      <c r="AC16" s="201"/>
      <c r="AD16" s="201"/>
      <c r="AE16" s="201"/>
      <c r="AF16" s="201"/>
      <c r="AG16" s="201"/>
      <c r="AH16" s="201"/>
      <c r="AI16" s="201"/>
      <c r="AJ16" s="201"/>
      <c r="AK16" s="201"/>
      <c r="AL16" s="201"/>
      <c r="AM16" s="201"/>
      <c r="AN16" s="201"/>
      <c r="AO16" s="201"/>
      <c r="AP16" s="201"/>
    </row>
    <row r="17" ht="15.75" customHeight="1">
      <c r="A17" s="184" t="s">
        <v>43</v>
      </c>
      <c r="B17" s="185" t="str">
        <f>VLOOKUP(A17,Jobmatch!A:G,2,0)</f>
        <v>ANALISTA DE MARKETING l</v>
      </c>
      <c r="C17" s="186">
        <f>IFERROR(AVERAGEIF('Folha de Pagamento'!A:A,A17,'Folha de Pagamento'!J:J),"")</f>
        <v>4025.88</v>
      </c>
      <c r="D17" s="187">
        <v>8.0</v>
      </c>
      <c r="E17" s="185" t="str">
        <f>VLOOKUP(A17,Jobmatch!A:H,3,0)</f>
        <v>Marketing</v>
      </c>
      <c r="F17" s="188" t="s">
        <v>361</v>
      </c>
      <c r="G17" s="190" t="str">
        <f>VLOOKUP(A17,Jobmatch!A:I,4,0)</f>
        <v>13 - ADM PROJETOS</v>
      </c>
      <c r="H17" s="191" t="str">
        <f>VLOOKUP(A17,Jobmatch!A:I,5,0)</f>
        <v>Operacional</v>
      </c>
      <c r="I17" s="192">
        <f>VLOOKUP(A17,Jobmatch!A:I,6,0)</f>
        <v>42</v>
      </c>
      <c r="J17" s="190" t="str">
        <f>VLOOKUP(A17,Jobmatch!A:I,7,0)</f>
        <v>Analista de Marketing</v>
      </c>
      <c r="K17" s="193" t="str">
        <f>VLOOKUP(A17,Jobmatch!A:I,8,0)</f>
        <v>Júnior</v>
      </c>
      <c r="L17" s="194" t="str">
        <f t="shared" si="2"/>
        <v>42Júnior</v>
      </c>
      <c r="M17" s="195">
        <f>COUNTIF('Folha de Pagamento'!A:A,A17)</f>
        <v>1</v>
      </c>
      <c r="N17" s="238">
        <v>13.0</v>
      </c>
      <c r="O17" s="196">
        <f>IFERROR(VLOOKUP(L17,'C-01'!$D:$L,5,0),"")</f>
        <v>3503.85</v>
      </c>
      <c r="P17" s="196">
        <f>IFERROR(VLOOKUP(L17,'C-01'!$D:$L,6,0),"")</f>
        <v>3792.81</v>
      </c>
      <c r="Q17" s="196">
        <f>IFERROR(VLOOKUP(L17,'C-01'!$D:$L,7,0),"")</f>
        <v>3674.96</v>
      </c>
      <c r="R17" s="196">
        <f>IFERROR(VLOOKUP(L17,'C-01'!$D:$L,8,0),"")</f>
        <v>3977.13</v>
      </c>
      <c r="S17" s="197">
        <f>IFERROR(VLOOKUP(L17,'C-01'!$D:$L,9,0),"")</f>
        <v>5225.68</v>
      </c>
      <c r="T17" s="198">
        <f>IFS('Painel Geral'!$B$5="Mediana",IFERROR(IF(OR(C17="",Q17=0,Q17=""),"",($C17/$Q17)),""),'Painel Geral'!$B$5="Menor Salário",IFERROR(IF(OR(C17="",Q17=0,Q17=""),"",($C17/$N17)),""),'Painel Geral'!$B$5="1º Quartil",IFERROR(IF(OR(C17="",Q17=0,Q17=""),"",($C17/$O17)),""), 'Painel Geral'!$B$5="Média",IFERROR(IF(OR(C17="",Q17=0,Q17=""),"",($C17/$P17)),""),'Painel Geral'!$B$5="3º Quartil",IFERROR(IF(OR(C17="",Q17=0,Q17=""),"",($C17/$R17)),""),'Painel Geral'!$B$5="Maior Salário",IFERROR(IF(OR(C17="",Q17=0,Q17=""),"",($C17/$S17)),""))</f>
        <v>1.095489475</v>
      </c>
      <c r="U17" s="199" t="str">
        <f t="shared" si="3"/>
        <v>Competitivo</v>
      </c>
      <c r="V17" s="201"/>
      <c r="W17" s="201"/>
      <c r="X17" s="201"/>
      <c r="Y17" s="201"/>
      <c r="Z17" s="201"/>
      <c r="AA17" s="201"/>
      <c r="AB17" s="201"/>
      <c r="AC17" s="201"/>
      <c r="AD17" s="201"/>
      <c r="AE17" s="201"/>
      <c r="AF17" s="201"/>
      <c r="AG17" s="201"/>
      <c r="AH17" s="201"/>
      <c r="AI17" s="201"/>
      <c r="AJ17" s="201"/>
      <c r="AK17" s="201"/>
      <c r="AL17" s="201"/>
      <c r="AM17" s="201"/>
      <c r="AN17" s="201"/>
      <c r="AO17" s="201"/>
      <c r="AP17" s="201"/>
    </row>
    <row r="18" ht="15.75" customHeight="1">
      <c r="A18" s="184" t="s">
        <v>70</v>
      </c>
      <c r="B18" s="185" t="str">
        <f>VLOOKUP(A18,Jobmatch!A:G,2,0)</f>
        <v>ASSISTENTE DE ENGENHARIA lll</v>
      </c>
      <c r="C18" s="186">
        <f>IFERROR(AVERAGEIF('Folha de Pagamento'!A:A,A18,'Folha de Pagamento'!J:J),"")</f>
        <v>3652</v>
      </c>
      <c r="D18" s="187">
        <v>5.0</v>
      </c>
      <c r="E18" s="185" t="str">
        <f>VLOOKUP(A18,Jobmatch!A:H,3,0)</f>
        <v>Edificação</v>
      </c>
      <c r="F18" s="188" t="s">
        <v>344</v>
      </c>
      <c r="G18" s="190" t="str">
        <f>VLOOKUP(A18,Jobmatch!A:I,4,0)</f>
        <v>22 - ADM PROJETOS</v>
      </c>
      <c r="H18" s="191" t="str">
        <f>VLOOKUP(A18,Jobmatch!A:I,5,0)</f>
        <v>Operacional</v>
      </c>
      <c r="I18" s="192">
        <f>VLOOKUP(A18,Jobmatch!A:I,6,0)</f>
        <v>531</v>
      </c>
      <c r="J18" s="190" t="str">
        <f>VLOOKUP(A18,Jobmatch!A:I,7,0)</f>
        <v>Assistente de Engenharia</v>
      </c>
      <c r="K18" s="193" t="str">
        <f>VLOOKUP(A18,Jobmatch!A:I,8,0)</f>
        <v>Indiferente</v>
      </c>
      <c r="L18" s="194" t="str">
        <f t="shared" si="2"/>
        <v>531Indiferente</v>
      </c>
      <c r="M18" s="195">
        <f>COUNTIF('Folha de Pagamento'!A:A,A18)</f>
        <v>1</v>
      </c>
      <c r="N18" s="238">
        <v>13.0</v>
      </c>
      <c r="O18" s="196">
        <f>IFERROR(VLOOKUP(L18,'C-01'!$D:$L,5,0),"")</f>
        <v>3945.44</v>
      </c>
      <c r="P18" s="196">
        <f>IFERROR(VLOOKUP(L18,'C-01'!$D:$L,6,0),"")</f>
        <v>4031.84</v>
      </c>
      <c r="Q18" s="196">
        <f>IFERROR(VLOOKUP(L18,'C-01'!$D:$L,7,0),"")</f>
        <v>3945.44</v>
      </c>
      <c r="R18" s="196">
        <f>IFERROR(VLOOKUP(L18,'C-01'!$D:$L,8,0),"")</f>
        <v>3945.44</v>
      </c>
      <c r="S18" s="197">
        <f>IFERROR(VLOOKUP(L18,'C-01'!$D:$L,9,0),"")</f>
        <v>5084.96</v>
      </c>
      <c r="T18" s="198">
        <f>IFS('Painel Geral'!$B$5="Mediana",IFERROR(IF(OR(C18="",Q18=0,Q18=""),"",($C18/$Q18)),""),'Painel Geral'!$B$5="Menor Salário",IFERROR(IF(OR(C18="",Q18=0,Q18=""),"",($C18/$N18)),""),'Painel Geral'!$B$5="1º Quartil",IFERROR(IF(OR(C18="",Q18=0,Q18=""),"",($C18/$O18)),""), 'Painel Geral'!$B$5="Média",IFERROR(IF(OR(C18="",Q18=0,Q18=""),"",($C18/$P18)),""),'Painel Geral'!$B$5="3º Quartil",IFERROR(IF(OR(C18="",Q18=0,Q18=""),"",($C18/$R18)),""),'Painel Geral'!$B$5="Maior Salário",IFERROR(IF(OR(C18="",Q18=0,Q18=""),"",($C18/$S18)),""))</f>
        <v>0.9256255323</v>
      </c>
      <c r="U18" s="199" t="str">
        <f t="shared" si="3"/>
        <v>Na Média</v>
      </c>
      <c r="V18" s="201"/>
      <c r="W18" s="201"/>
      <c r="X18" s="201"/>
      <c r="Y18" s="201"/>
      <c r="Z18" s="201"/>
      <c r="AA18" s="201"/>
      <c r="AB18" s="201"/>
      <c r="AC18" s="201"/>
      <c r="AD18" s="201"/>
      <c r="AE18" s="201"/>
      <c r="AF18" s="201"/>
      <c r="AG18" s="201"/>
      <c r="AH18" s="201"/>
      <c r="AI18" s="201"/>
      <c r="AJ18" s="201"/>
      <c r="AK18" s="239">
        <v>1907.0</v>
      </c>
      <c r="AL18" s="220">
        <f>AK18*AN27</f>
        <v>1922.469798</v>
      </c>
      <c r="AM18" s="221"/>
      <c r="AN18" s="201"/>
      <c r="AO18" s="201"/>
      <c r="AP18" s="201"/>
    </row>
    <row r="19" ht="15.75" customHeight="1">
      <c r="A19" s="184" t="s">
        <v>186</v>
      </c>
      <c r="B19" s="185" t="str">
        <f>VLOOKUP(A19,Jobmatch!A:G,2,0)</f>
        <v>TECNOLOGO EM CONSTRUÇÃO DE EDIFICIOS</v>
      </c>
      <c r="C19" s="186">
        <f>IFERROR(AVERAGEIF('Folha de Pagamento'!A:A,A19,'Folha de Pagamento'!J:J),"")</f>
        <v>8585</v>
      </c>
      <c r="D19" s="187">
        <v>5.0</v>
      </c>
      <c r="E19" s="185" t="str">
        <f>VLOOKUP(A19,Jobmatch!A:H,3,0)</f>
        <v>Edificação</v>
      </c>
      <c r="F19" s="188" t="s">
        <v>350</v>
      </c>
      <c r="G19" s="190" t="str">
        <f>VLOOKUP(A19,Jobmatch!A:I,4,0)</f>
        <v>61 - ADM PROJETOS</v>
      </c>
      <c r="H19" s="191" t="str">
        <f>VLOOKUP(A19,Jobmatch!A:I,5,0)</f>
        <v>Operacional</v>
      </c>
      <c r="I19" s="192">
        <f>VLOOKUP(A19,Jobmatch!A:I,6,0)</f>
        <v>269</v>
      </c>
      <c r="J19" s="190" t="str">
        <f>VLOOKUP(A19,Jobmatch!A:I,7,0)</f>
        <v>Técnico em Edificações</v>
      </c>
      <c r="K19" s="193" t="str">
        <f>VLOOKUP(A19,Jobmatch!A:I,8,0)</f>
        <v>Indiferente</v>
      </c>
      <c r="L19" s="194" t="str">
        <f t="shared" si="2"/>
        <v>269Indiferente</v>
      </c>
      <c r="M19" s="195">
        <f>COUNTIF('Folha de Pagamento'!A:A,A19)</f>
        <v>1</v>
      </c>
      <c r="N19" s="238">
        <v>13.0</v>
      </c>
      <c r="O19" s="196">
        <f>IFERROR(VLOOKUP(L19,'C-01'!$D:$L,5,0),"")</f>
        <v>3732.17</v>
      </c>
      <c r="P19" s="196">
        <f>IFERROR(VLOOKUP(L19,'C-01'!$D:$L,6,0),"")</f>
        <v>4583.42</v>
      </c>
      <c r="Q19" s="196">
        <f>IFERROR(VLOOKUP(L19,'C-01'!$D:$L,7,0),"")</f>
        <v>4022.01</v>
      </c>
      <c r="R19" s="196">
        <f>IFERROR(VLOOKUP(L19,'C-01'!$D:$L,8,0),"")</f>
        <v>4417.17</v>
      </c>
      <c r="S19" s="197">
        <f>IFERROR(VLOOKUP(L19,'C-01'!$D:$L,9,0),"")</f>
        <v>9075.39</v>
      </c>
      <c r="T19" s="198">
        <f>IFS('Painel Geral'!$B$5="Mediana",IFERROR(IF(OR(C19="",Q19=0,Q19=""),"",($C19/$Q19)),""),'Painel Geral'!$B$5="Menor Salário",IFERROR(IF(OR(C19="",Q19=0,Q19=""),"",($C19/$N19)),""),'Painel Geral'!$B$5="1º Quartil",IFERROR(IF(OR(C19="",Q19=0,Q19=""),"",($C19/$O19)),""), 'Painel Geral'!$B$5="Média",IFERROR(IF(OR(C19="",Q19=0,Q19=""),"",($C19/$P19)),""),'Painel Geral'!$B$5="3º Quartil",IFERROR(IF(OR(C19="",Q19=0,Q19=""),"",($C19/$R19)),""),'Painel Geral'!$B$5="Maior Salário",IFERROR(IF(OR(C19="",Q19=0,Q19=""),"",($C19/$S19)),""))</f>
        <v>2.134504887</v>
      </c>
      <c r="U19" s="199" t="str">
        <f t="shared" si="3"/>
        <v>Agressivo</v>
      </c>
      <c r="V19" s="201"/>
      <c r="W19" s="201"/>
      <c r="X19" s="201"/>
      <c r="Y19" s="201"/>
      <c r="Z19" s="201"/>
      <c r="AA19" s="201"/>
      <c r="AB19" s="201"/>
      <c r="AC19" s="201"/>
      <c r="AD19" s="201"/>
      <c r="AE19" s="201"/>
      <c r="AF19" s="201"/>
      <c r="AG19" s="201"/>
      <c r="AH19" s="201"/>
      <c r="AI19" s="201"/>
      <c r="AJ19" s="201"/>
      <c r="AK19" s="222">
        <v>45778.0</v>
      </c>
      <c r="AL19" s="221"/>
      <c r="AM19" s="221"/>
      <c r="AN19" s="201"/>
      <c r="AO19" s="201"/>
      <c r="AP19" s="201"/>
    </row>
    <row r="20" ht="15.75" customHeight="1">
      <c r="A20" s="184" t="s">
        <v>29</v>
      </c>
      <c r="B20" s="185" t="str">
        <f>VLOOKUP(A20,Jobmatch!A:G,2,0)</f>
        <v>ANALISTA DE CRIAÇAO</v>
      </c>
      <c r="C20" s="186">
        <f>IFERROR(AVERAGEIF('Folha de Pagamento'!A:A,A20,'Folha de Pagamento'!J:J),"")</f>
        <v>5429</v>
      </c>
      <c r="D20" s="187">
        <v>8.0</v>
      </c>
      <c r="E20" s="185" t="str">
        <f>VLOOKUP(A20,Jobmatch!A:H,3,0)</f>
        <v>Marketing</v>
      </c>
      <c r="F20" s="188" t="s">
        <v>360</v>
      </c>
      <c r="G20" s="190" t="str">
        <f>VLOOKUP(A20,Jobmatch!A:I,4,0)</f>
        <v>10 - ADM PROJETOS</v>
      </c>
      <c r="H20" s="191" t="str">
        <f>VLOOKUP(A20,Jobmatch!A:I,5,0)</f>
        <v>Operacional</v>
      </c>
      <c r="I20" s="192">
        <f>VLOOKUP(A20,Jobmatch!A:I,6,0)</f>
        <v>45</v>
      </c>
      <c r="J20" s="190" t="str">
        <f>VLOOKUP(A20,Jobmatch!A:I,7,0)</f>
        <v>Analista de Criação</v>
      </c>
      <c r="K20" s="193" t="str">
        <f>VLOOKUP(A20,Jobmatch!A:I,8,0)</f>
        <v>Indiferente</v>
      </c>
      <c r="L20" s="194" t="str">
        <f t="shared" si="2"/>
        <v>45Indiferente</v>
      </c>
      <c r="M20" s="195">
        <f>COUNTIF('Folha de Pagamento'!A:A,A20)</f>
        <v>1</v>
      </c>
      <c r="N20" s="238">
        <v>14.0</v>
      </c>
      <c r="O20" s="196">
        <f>IFERROR(VLOOKUP(L20,'C-01'!$D:$L,5,0),"")</f>
        <v>3527.33</v>
      </c>
      <c r="P20" s="196">
        <f>IFERROR(VLOOKUP(L20,'C-01'!$D:$L,6,0),"")</f>
        <v>4325.16</v>
      </c>
      <c r="Q20" s="196">
        <f>IFERROR(VLOOKUP(L20,'C-01'!$D:$L,7,0),"")</f>
        <v>4325.72</v>
      </c>
      <c r="R20" s="196">
        <f>IFERROR(VLOOKUP(L20,'C-01'!$D:$L,8,0),"")</f>
        <v>4988.66</v>
      </c>
      <c r="S20" s="197">
        <f>IFERROR(VLOOKUP(L20,'C-01'!$D:$L,9,0),"")</f>
        <v>6418.74</v>
      </c>
      <c r="T20" s="198">
        <f>IFS('Painel Geral'!$B$5="Mediana",IFERROR(IF(OR(C20="",Q20=0,Q20=""),"",($C20/$Q20)),""),'Painel Geral'!$B$5="Menor Salário",IFERROR(IF(OR(C20="",Q20=0,Q20=""),"",($C20/$N20)),""),'Painel Geral'!$B$5="1º Quartil",IFERROR(IF(OR(C20="",Q20=0,Q20=""),"",($C20/$O20)),""), 'Painel Geral'!$B$5="Média",IFERROR(IF(OR(C20="",Q20=0,Q20=""),"",($C20/$P20)),""),'Painel Geral'!$B$5="3º Quartil",IFERROR(IF(OR(C20="",Q20=0,Q20=""),"",($C20/$R20)),""),'Painel Geral'!$B$5="Maior Salário",IFERROR(IF(OR(C20="",Q20=0,Q20=""),"",($C20/$S20)),""))</f>
        <v>1.255051182</v>
      </c>
      <c r="U20" s="199" t="str">
        <f t="shared" si="3"/>
        <v>Agressivo</v>
      </c>
      <c r="V20" s="201"/>
      <c r="W20" s="201"/>
      <c r="X20" s="201"/>
      <c r="Y20" s="201"/>
      <c r="Z20" s="201"/>
      <c r="AA20" s="201"/>
      <c r="AB20" s="201"/>
      <c r="AC20" s="201"/>
      <c r="AD20" s="201"/>
      <c r="AE20" s="201"/>
      <c r="AF20" s="201"/>
      <c r="AG20" s="201"/>
      <c r="AH20" s="201"/>
      <c r="AI20" s="201"/>
      <c r="AJ20" s="201"/>
      <c r="AK20" s="223">
        <v>0.23</v>
      </c>
      <c r="AL20" s="220">
        <f t="shared" ref="AL20:AL25" si="4">1+(AK20/100)</f>
        <v>1.0023</v>
      </c>
      <c r="AM20" s="220">
        <f>AL20</f>
        <v>1.0023</v>
      </c>
      <c r="AN20" s="201"/>
      <c r="AO20" s="201"/>
      <c r="AP20" s="201"/>
    </row>
    <row r="21" ht="15.75" customHeight="1">
      <c r="A21" s="184" t="s">
        <v>33</v>
      </c>
      <c r="B21" s="185" t="str">
        <f>VLOOKUP(A21,Jobmatch!A:G,2,0)</f>
        <v>ANALISTA DE INOVAÇÃO</v>
      </c>
      <c r="C21" s="186">
        <f>IFERROR(AVERAGEIF('Folha de Pagamento'!A:A,A21,'Folha de Pagamento'!J:J),"")</f>
        <v>7299.270073</v>
      </c>
      <c r="D21" s="187">
        <v>7.0</v>
      </c>
      <c r="E21" s="185" t="str">
        <f>VLOOKUP(A21,Jobmatch!A:H,3,0)</f>
        <v>Inovação</v>
      </c>
      <c r="F21" s="188" t="s">
        <v>357</v>
      </c>
      <c r="G21" s="190" t="str">
        <f>VLOOKUP(A21,Jobmatch!A:I,4,0)</f>
        <v>11 - ADM PROJETOS</v>
      </c>
      <c r="H21" s="191" t="str">
        <f>VLOOKUP(A21,Jobmatch!A:I,5,0)</f>
        <v>Tático</v>
      </c>
      <c r="I21" s="192">
        <f>VLOOKUP(A21,Jobmatch!A:I,6,0)</f>
        <v>437</v>
      </c>
      <c r="J21" s="190" t="str">
        <f>VLOOKUP(A21,Jobmatch!A:I,7,0)</f>
        <v>Analista de Inovação</v>
      </c>
      <c r="K21" s="193" t="str">
        <f>VLOOKUP(A21,Jobmatch!A:I,8,0)</f>
        <v>Indiferente</v>
      </c>
      <c r="L21" s="194" t="str">
        <f t="shared" si="2"/>
        <v>437Indiferente</v>
      </c>
      <c r="M21" s="195">
        <f>COUNTIF('Folha de Pagamento'!A:A,A21)</f>
        <v>1</v>
      </c>
      <c r="N21" s="238">
        <v>14.0</v>
      </c>
      <c r="O21" s="196">
        <f>IFERROR(VLOOKUP(L21,'C-01'!$D:$L,5,0),"")</f>
        <v>5268.47</v>
      </c>
      <c r="P21" s="196">
        <f>IFERROR(VLOOKUP(L21,'C-01'!$D:$L,6,0),"")</f>
        <v>5831.57</v>
      </c>
      <c r="Q21" s="196">
        <f>IFERROR(VLOOKUP(L21,'C-01'!$D:$L,7,0),"")</f>
        <v>5268.47</v>
      </c>
      <c r="R21" s="196">
        <f>IFERROR(VLOOKUP(L21,'C-01'!$D:$L,8,0),"")</f>
        <v>6822.26</v>
      </c>
      <c r="S21" s="197">
        <f>IFERROR(VLOOKUP(L21,'C-01'!$D:$L,9,0),"")</f>
        <v>7760.14</v>
      </c>
      <c r="T21" s="198">
        <f>IFS('Painel Geral'!$B$5="Mediana",IFERROR(IF(OR(C21="",Q21=0,Q21=""),"",($C21/$Q21)),""),'Painel Geral'!$B$5="Menor Salário",IFERROR(IF(OR(C21="",Q21=0,Q21=""),"",($C21/$N21)),""),'Painel Geral'!$B$5="1º Quartil",IFERROR(IF(OR(C21="",Q21=0,Q21=""),"",($C21/$O21)),""), 'Painel Geral'!$B$5="Média",IFERROR(IF(OR(C21="",Q21=0,Q21=""),"",($C21/$P21)),""),'Painel Geral'!$B$5="3º Quartil",IFERROR(IF(OR(C21="",Q21=0,Q21=""),"",($C21/$R21)),""),'Painel Geral'!$B$5="Maior Salário",IFERROR(IF(OR(C21="",Q21=0,Q21=""),"",($C21/$S21)),""))</f>
        <v>1.385462966</v>
      </c>
      <c r="U21" s="199" t="str">
        <f t="shared" si="3"/>
        <v>Agressivo</v>
      </c>
      <c r="V21" s="201"/>
      <c r="W21" s="201"/>
      <c r="X21" s="201"/>
      <c r="Y21" s="201"/>
      <c r="Z21" s="201"/>
      <c r="AA21" s="201"/>
      <c r="AB21" s="201"/>
      <c r="AC21" s="201"/>
      <c r="AD21" s="201"/>
      <c r="AE21" s="201"/>
      <c r="AF21" s="201"/>
      <c r="AG21" s="201"/>
      <c r="AH21" s="201"/>
      <c r="AI21" s="201"/>
      <c r="AJ21" s="201"/>
      <c r="AK21" s="223">
        <v>0.21</v>
      </c>
      <c r="AL21" s="220">
        <f t="shared" si="4"/>
        <v>1.0021</v>
      </c>
      <c r="AM21" s="220">
        <f t="shared" ref="AM21:AM25" si="5">AM20*AL21</f>
        <v>1.00440483</v>
      </c>
      <c r="AN21" s="201"/>
      <c r="AO21" s="201"/>
      <c r="AP21" s="201"/>
    </row>
    <row r="22" ht="15.75" customHeight="1">
      <c r="A22" s="184" t="s">
        <v>26</v>
      </c>
      <c r="B22" s="185" t="str">
        <f>VLOOKUP(A22,Jobmatch!A:G,2,0)</f>
        <v>ANALISTA DE COMPRAS</v>
      </c>
      <c r="C22" s="186">
        <f>IFERROR(AVERAGEIF('Folha de Pagamento'!A:A,A22,'Folha de Pagamento'!J:J),"")</f>
        <v>3780</v>
      </c>
      <c r="D22" s="187">
        <v>1.0</v>
      </c>
      <c r="E22" s="185" t="str">
        <f>VLOOKUP(A22,Jobmatch!A:H,3,0)</f>
        <v>Suprimentos </v>
      </c>
      <c r="F22" s="188" t="s">
        <v>367</v>
      </c>
      <c r="G22" s="190" t="str">
        <f>VLOOKUP(A22,Jobmatch!A:I,4,0)</f>
        <v>9 - ADM PROJETOS</v>
      </c>
      <c r="H22" s="191" t="str">
        <f>VLOOKUP(A22,Jobmatch!A:I,5,0)</f>
        <v>Operacional</v>
      </c>
      <c r="I22" s="192">
        <f>VLOOKUP(A22,Jobmatch!A:I,6,0)</f>
        <v>136</v>
      </c>
      <c r="J22" s="190" t="str">
        <f>VLOOKUP(A22,Jobmatch!A:I,7,0)</f>
        <v>Analista de Compras</v>
      </c>
      <c r="K22" s="193" t="str">
        <f>VLOOKUP(A22,Jobmatch!A:I,8,0)</f>
        <v>Pleno</v>
      </c>
      <c r="L22" s="194" t="str">
        <f t="shared" si="2"/>
        <v>136Pleno</v>
      </c>
      <c r="M22" s="195">
        <f>COUNTIF('Folha de Pagamento'!A:A,A22)</f>
        <v>1</v>
      </c>
      <c r="N22" s="238">
        <v>15.0</v>
      </c>
      <c r="O22" s="196">
        <f>IFERROR(VLOOKUP(L22,'C-01'!$D:$L,5,0),"")</f>
        <v>4524.76</v>
      </c>
      <c r="P22" s="196">
        <f>IFERROR(VLOOKUP(L22,'C-01'!$D:$L,6,0),"")</f>
        <v>6002.23</v>
      </c>
      <c r="Q22" s="196">
        <f>IFERROR(VLOOKUP(L22,'C-01'!$D:$L,7,0),"")</f>
        <v>5275.87</v>
      </c>
      <c r="R22" s="196">
        <f>IFERROR(VLOOKUP(L22,'C-01'!$D:$L,8,0),"")</f>
        <v>7842.89</v>
      </c>
      <c r="S22" s="197">
        <f>IFERROR(VLOOKUP(L22,'C-01'!$D:$L,9,0),"")</f>
        <v>7842.89</v>
      </c>
      <c r="T22" s="198">
        <f>IFS('Painel Geral'!$B$5="Mediana",IFERROR(IF(OR(C22="",Q22=0,Q22=""),"",($C22/$Q22)),""),'Painel Geral'!$B$5="Menor Salário",IFERROR(IF(OR(C22="",Q22=0,Q22=""),"",($C22/$N22)),""),'Painel Geral'!$B$5="1º Quartil",IFERROR(IF(OR(C22="",Q22=0,Q22=""),"",($C22/$O22)),""), 'Painel Geral'!$B$5="Média",IFERROR(IF(OR(C22="",Q22=0,Q22=""),"",($C22/$P22)),""),'Painel Geral'!$B$5="3º Quartil",IFERROR(IF(OR(C22="",Q22=0,Q22=""),"",($C22/$R22)),""),'Painel Geral'!$B$5="Maior Salário",IFERROR(IF(OR(C22="",Q22=0,Q22=""),"",($C22/$S22)),""))</f>
        <v>0.7164695112</v>
      </c>
      <c r="U22" s="199" t="str">
        <f t="shared" si="3"/>
        <v>Muito Defasado</v>
      </c>
      <c r="V22" s="201"/>
      <c r="W22" s="201"/>
      <c r="X22" s="201"/>
      <c r="Y22" s="201"/>
      <c r="Z22" s="201"/>
      <c r="AA22" s="201"/>
      <c r="AB22" s="201"/>
      <c r="AC22" s="201"/>
      <c r="AD22" s="201"/>
      <c r="AE22" s="201"/>
      <c r="AF22" s="201"/>
      <c r="AG22" s="201"/>
      <c r="AH22" s="201"/>
      <c r="AI22" s="201"/>
      <c r="AJ22" s="201"/>
      <c r="AK22" s="223">
        <v>-0.21</v>
      </c>
      <c r="AL22" s="220">
        <f t="shared" si="4"/>
        <v>0.9979</v>
      </c>
      <c r="AM22" s="220">
        <f t="shared" si="5"/>
        <v>1.00229558</v>
      </c>
      <c r="AN22" s="201"/>
      <c r="AO22" s="201"/>
      <c r="AP22" s="201"/>
    </row>
    <row r="23" ht="15.75" customHeight="1">
      <c r="A23" s="184" t="s">
        <v>45</v>
      </c>
      <c r="B23" s="185" t="str">
        <f>VLOOKUP(A23,Jobmatch!A:G,2,0)</f>
        <v>ANALISTA DE PÓS VENDAS II</v>
      </c>
      <c r="C23" s="186">
        <f>IFERROR(AVERAGEIF('Folha de Pagamento'!A:A,A23,'Folha de Pagamento'!J:J),"")</f>
        <v>4550</v>
      </c>
      <c r="D23" s="187">
        <v>9.0</v>
      </c>
      <c r="E23" s="185" t="str">
        <f>VLOOKUP(A23,Jobmatch!A:H,3,0)</f>
        <v>Pós Vendas</v>
      </c>
      <c r="F23" s="188" t="s">
        <v>365</v>
      </c>
      <c r="G23" s="190" t="str">
        <f>VLOOKUP(A23,Jobmatch!A:I,4,0)</f>
        <v>14 - ADM PROJETOS</v>
      </c>
      <c r="H23" s="191" t="str">
        <f>VLOOKUP(A23,Jobmatch!A:I,5,0)</f>
        <v>Operacional</v>
      </c>
      <c r="I23" s="192">
        <f>VLOOKUP(A23,Jobmatch!A:I,6,0)</f>
        <v>19</v>
      </c>
      <c r="J23" s="190" t="str">
        <f>VLOOKUP(A23,Jobmatch!A:I,7,0)</f>
        <v>Analista Comercial</v>
      </c>
      <c r="K23" s="193" t="str">
        <f>VLOOKUP(A23,Jobmatch!A:I,8,0)</f>
        <v>Pleno</v>
      </c>
      <c r="L23" s="194" t="str">
        <f t="shared" si="2"/>
        <v>19Pleno</v>
      </c>
      <c r="M23" s="195">
        <f>COUNTIF('Folha de Pagamento'!A:A,A23)</f>
        <v>1</v>
      </c>
      <c r="N23" s="238">
        <v>15.0</v>
      </c>
      <c r="O23" s="196">
        <f>IFERROR(VLOOKUP(L23,'C-01'!$D:$L,5,0),"")</f>
        <v>4898.28</v>
      </c>
      <c r="P23" s="196">
        <f>IFERROR(VLOOKUP(L23,'C-01'!$D:$L,6,0),"")</f>
        <v>5747.37</v>
      </c>
      <c r="Q23" s="196">
        <f>IFERROR(VLOOKUP(L23,'C-01'!$D:$L,7,0),"")</f>
        <v>5320.06</v>
      </c>
      <c r="R23" s="196">
        <f>IFERROR(VLOOKUP(L23,'C-01'!$D:$L,8,0),"")</f>
        <v>6382.81</v>
      </c>
      <c r="S23" s="197">
        <f>IFERROR(VLOOKUP(L23,'C-01'!$D:$L,9,0),"")</f>
        <v>7445.55</v>
      </c>
      <c r="T23" s="198">
        <f>IFS('Painel Geral'!$B$5="Mediana",IFERROR(IF(OR(C23="",Q23=0,Q23=""),"",($C23/$Q23)),""),'Painel Geral'!$B$5="Menor Salário",IFERROR(IF(OR(C23="",Q23=0,Q23=""),"",($C23/$N23)),""),'Painel Geral'!$B$5="1º Quartil",IFERROR(IF(OR(C23="",Q23=0,Q23=""),"",($C23/$O23)),""), 'Painel Geral'!$B$5="Média",IFERROR(IF(OR(C23="",Q23=0,Q23=""),"",($C23/$P23)),""),'Painel Geral'!$B$5="3º Quartil",IFERROR(IF(OR(C23="",Q23=0,Q23=""),"",($C23/$R23)),""),'Painel Geral'!$B$5="Maior Salário",IFERROR(IF(OR(C23="",Q23=0,Q23=""),"",($C23/$S23)),""))</f>
        <v>0.8552535122</v>
      </c>
      <c r="U23" s="199" t="str">
        <f t="shared" si="3"/>
        <v>Defasado</v>
      </c>
      <c r="V23" s="201"/>
      <c r="W23" s="201"/>
      <c r="X23" s="201"/>
      <c r="Y23" s="201"/>
      <c r="Z23" s="201"/>
      <c r="AA23" s="201"/>
      <c r="AB23" s="201"/>
      <c r="AC23" s="201"/>
      <c r="AD23" s="201"/>
      <c r="AE23" s="201"/>
      <c r="AF23" s="201"/>
      <c r="AG23" s="201"/>
      <c r="AH23" s="201"/>
      <c r="AI23" s="201"/>
      <c r="AJ23" s="201"/>
      <c r="AK23" s="223">
        <v>0.52</v>
      </c>
      <c r="AL23" s="220">
        <f t="shared" si="4"/>
        <v>1.0052</v>
      </c>
      <c r="AM23" s="220">
        <f t="shared" si="5"/>
        <v>1.007507517</v>
      </c>
      <c r="AN23" s="201"/>
      <c r="AO23" s="201"/>
      <c r="AP23" s="201"/>
    </row>
    <row r="24" ht="15.75" customHeight="1">
      <c r="A24" s="184" t="s">
        <v>51</v>
      </c>
      <c r="B24" s="185" t="str">
        <f>VLOOKUP(A24,Jobmatch!A:G,2,0)</f>
        <v>ANALISTA FINANCEIRO COMERCIAL III</v>
      </c>
      <c r="C24" s="186">
        <f>IFERROR(AVERAGEIF('Folha de Pagamento'!A:A,A24,'Folha de Pagamento'!J:J),"")</f>
        <v>5213</v>
      </c>
      <c r="D24" s="187">
        <v>6.0</v>
      </c>
      <c r="E24" s="185" t="str">
        <f>VLOOKUP(A24,Jobmatch!A:H,3,0)</f>
        <v>Financeiro</v>
      </c>
      <c r="F24" s="188" t="s">
        <v>351</v>
      </c>
      <c r="G24" s="190" t="str">
        <f>VLOOKUP(A24,Jobmatch!A:I,4,0)</f>
        <v>16 - ADM PROJETOS</v>
      </c>
      <c r="H24" s="191" t="str">
        <f>VLOOKUP(A24,Jobmatch!A:I,5,0)</f>
        <v>Operacional</v>
      </c>
      <c r="I24" s="192">
        <f>VLOOKUP(A24,Jobmatch!A:I,6,0)</f>
        <v>16</v>
      </c>
      <c r="J24" s="190" t="str">
        <f>VLOOKUP(A24,Jobmatch!A:I,7,0)</f>
        <v>Analista Financeiro</v>
      </c>
      <c r="K24" s="193" t="str">
        <f>VLOOKUP(A24,Jobmatch!A:I,8,0)</f>
        <v>Sênior</v>
      </c>
      <c r="L24" s="194" t="str">
        <f t="shared" si="2"/>
        <v>16Sênior</v>
      </c>
      <c r="M24" s="195">
        <f>COUNTIF('Folha de Pagamento'!A:A,A24)</f>
        <v>1</v>
      </c>
      <c r="N24" s="238">
        <v>15.0</v>
      </c>
      <c r="O24" s="196">
        <f>IFERROR(VLOOKUP(L24,'C-01'!$D:$L,5,0),"")</f>
        <v>5489.27</v>
      </c>
      <c r="P24" s="196">
        <f>IFERROR(VLOOKUP(L24,'C-01'!$D:$L,6,0),"")</f>
        <v>6172.24</v>
      </c>
      <c r="Q24" s="196">
        <f>IFERROR(VLOOKUP(L24,'C-01'!$D:$L,7,0),"")</f>
        <v>5910.71</v>
      </c>
      <c r="R24" s="196">
        <f>IFERROR(VLOOKUP(L24,'C-01'!$D:$L,8,0),"")</f>
        <v>6737.39</v>
      </c>
      <c r="S24" s="197">
        <f>IFERROR(VLOOKUP(L24,'C-01'!$D:$L,9,0),"")</f>
        <v>8185.08</v>
      </c>
      <c r="T24" s="198">
        <f>IFS('Painel Geral'!$B$5="Mediana",IFERROR(IF(OR(C24="",Q24=0,Q24=""),"",($C24/$Q24)),""),'Painel Geral'!$B$5="Menor Salário",IFERROR(IF(OR(C24="",Q24=0,Q24=""),"",($C24/$N24)),""),'Painel Geral'!$B$5="1º Quartil",IFERROR(IF(OR(C24="",Q24=0,Q24=""),"",($C24/$O24)),""), 'Painel Geral'!$B$5="Média",IFERROR(IF(OR(C24="",Q24=0,Q24=""),"",($C24/$P24)),""),'Painel Geral'!$B$5="3º Quartil",IFERROR(IF(OR(C24="",Q24=0,Q24=""),"",($C24/$R24)),""),'Painel Geral'!$B$5="Maior Salário",IFERROR(IF(OR(C24="",Q24=0,Q24=""),"",($C24/$S24)),""))</f>
        <v>0.8819583434</v>
      </c>
      <c r="U24" s="199" t="str">
        <f t="shared" si="3"/>
        <v>Defasado</v>
      </c>
      <c r="V24" s="201"/>
      <c r="W24" s="201"/>
      <c r="X24" s="201"/>
      <c r="Y24" s="201"/>
      <c r="Z24" s="201"/>
      <c r="AA24" s="201"/>
      <c r="AB24" s="201"/>
      <c r="AC24" s="201"/>
      <c r="AD24" s="201"/>
      <c r="AE24" s="201"/>
      <c r="AF24" s="201"/>
      <c r="AG24" s="201"/>
      <c r="AH24" s="201"/>
      <c r="AI24" s="201"/>
      <c r="AJ24" s="201"/>
      <c r="AK24" s="223">
        <v>0.03</v>
      </c>
      <c r="AL24" s="220">
        <f t="shared" si="4"/>
        <v>1.0003</v>
      </c>
      <c r="AM24" s="220">
        <f t="shared" si="5"/>
        <v>1.007809769</v>
      </c>
      <c r="AN24" s="201"/>
      <c r="AO24" s="201"/>
      <c r="AP24" s="201"/>
    </row>
    <row r="25" ht="15.75" customHeight="1">
      <c r="A25" s="184" t="s">
        <v>55</v>
      </c>
      <c r="B25" s="185" t="str">
        <f>VLOOKUP(A25,Jobmatch!A:G,2,0)</f>
        <v>ANALISTA FINANCEIRO DE CAPTAÇÃO DE RECURSOS III</v>
      </c>
      <c r="C25" s="186">
        <f>IFERROR(AVERAGEIF('Folha de Pagamento'!A:A,A25,'Folha de Pagamento'!J:J),"")</f>
        <v>5213</v>
      </c>
      <c r="D25" s="187">
        <v>6.0</v>
      </c>
      <c r="E25" s="185" t="str">
        <f>VLOOKUP(A25,Jobmatch!A:H,3,0)</f>
        <v>Financeiro</v>
      </c>
      <c r="F25" s="188" t="s">
        <v>352</v>
      </c>
      <c r="G25" s="190" t="str">
        <f>VLOOKUP(A25,Jobmatch!A:I,4,0)</f>
        <v>17 - ADM PROJETOS</v>
      </c>
      <c r="H25" s="191" t="str">
        <f>VLOOKUP(A25,Jobmatch!A:I,5,0)</f>
        <v>Operacional</v>
      </c>
      <c r="I25" s="192">
        <f>VLOOKUP(A25,Jobmatch!A:I,6,0)</f>
        <v>16</v>
      </c>
      <c r="J25" s="190" t="str">
        <f>VLOOKUP(A25,Jobmatch!A:I,7,0)</f>
        <v>Analista Financeiro</v>
      </c>
      <c r="K25" s="193" t="str">
        <f>VLOOKUP(A25,Jobmatch!A:I,8,0)</f>
        <v>Sênior</v>
      </c>
      <c r="L25" s="194" t="str">
        <f t="shared" si="2"/>
        <v>16Sênior</v>
      </c>
      <c r="M25" s="195">
        <f>COUNTIF('Folha de Pagamento'!A:A,A25)</f>
        <v>1</v>
      </c>
      <c r="N25" s="238">
        <v>16.0</v>
      </c>
      <c r="O25" s="196">
        <f>IFERROR(VLOOKUP(L25,'C-01'!$D:$L,5,0),"")</f>
        <v>5489.27</v>
      </c>
      <c r="P25" s="196">
        <f>IFERROR(VLOOKUP(L25,'C-01'!$D:$L,6,0),"")</f>
        <v>6172.24</v>
      </c>
      <c r="Q25" s="196">
        <f>IFERROR(VLOOKUP(L25,'C-01'!$D:$L,7,0),"")</f>
        <v>5910.71</v>
      </c>
      <c r="R25" s="196">
        <f>IFERROR(VLOOKUP(L25,'C-01'!$D:$L,8,0),"")</f>
        <v>6737.39</v>
      </c>
      <c r="S25" s="197">
        <f>IFERROR(VLOOKUP(L25,'C-01'!$D:$L,9,0),"")</f>
        <v>8185.08</v>
      </c>
      <c r="T25" s="198">
        <f>IFS('Painel Geral'!$B$5="Mediana",IFERROR(IF(OR(C25="",Q25=0,Q25=""),"",($C25/$Q25)),""),'Painel Geral'!$B$5="Menor Salário",IFERROR(IF(OR(C25="",Q25=0,Q25=""),"",($C25/$N25)),""),'Painel Geral'!$B$5="1º Quartil",IFERROR(IF(OR(C25="",Q25=0,Q25=""),"",($C25/$O25)),""), 'Painel Geral'!$B$5="Média",IFERROR(IF(OR(C25="",Q25=0,Q25=""),"",($C25/$P25)),""),'Painel Geral'!$B$5="3º Quartil",IFERROR(IF(OR(C25="",Q25=0,Q25=""),"",($C25/$R25)),""),'Painel Geral'!$B$5="Maior Salário",IFERROR(IF(OR(C25="",Q25=0,Q25=""),"",($C25/$S25)),""))</f>
        <v>0.8819583434</v>
      </c>
      <c r="U25" s="199" t="str">
        <f t="shared" si="3"/>
        <v>Defasado</v>
      </c>
      <c r="V25" s="201"/>
      <c r="W25" s="201"/>
      <c r="X25" s="201"/>
      <c r="Y25" s="201"/>
      <c r="Z25" s="201"/>
      <c r="AA25" s="201"/>
      <c r="AB25" s="201"/>
      <c r="AC25" s="201"/>
      <c r="AD25" s="201"/>
      <c r="AE25" s="201"/>
      <c r="AF25" s="201"/>
      <c r="AG25" s="201"/>
      <c r="AH25" s="201"/>
      <c r="AI25" s="201"/>
      <c r="AJ25" s="201"/>
      <c r="AK25" s="220">
        <v>0.03</v>
      </c>
      <c r="AL25" s="220">
        <f t="shared" si="4"/>
        <v>1.0003</v>
      </c>
      <c r="AM25" s="220">
        <f t="shared" si="5"/>
        <v>1.008112112</v>
      </c>
      <c r="AN25" s="201"/>
      <c r="AO25" s="201"/>
      <c r="AP25" s="201"/>
    </row>
    <row r="26" ht="15.75" customHeight="1">
      <c r="A26" s="184" t="s">
        <v>183</v>
      </c>
      <c r="B26" s="185" t="str">
        <f>VLOOKUP(A26,Jobmatch!A:G,2,0)</f>
        <v>TECNICO ANALISTA DE CUSTOS</v>
      </c>
      <c r="C26" s="186">
        <f>IFERROR(AVERAGEIF('Folha de Pagamento'!A:A,A26,'Folha de Pagamento'!J:J),"")</f>
        <v>7000</v>
      </c>
      <c r="D26" s="187">
        <v>5.0</v>
      </c>
      <c r="E26" s="185" t="str">
        <f>VLOOKUP(A26,Jobmatch!A:H,3,0)</f>
        <v>Edificação</v>
      </c>
      <c r="F26" s="188" t="s">
        <v>349</v>
      </c>
      <c r="G26" s="190" t="str">
        <f>VLOOKUP(A26,Jobmatch!A:I,4,0)</f>
        <v>60 - ADM PROJETOS</v>
      </c>
      <c r="H26" s="191" t="str">
        <f>VLOOKUP(A26,Jobmatch!A:I,5,0)</f>
        <v>Operacional</v>
      </c>
      <c r="I26" s="192">
        <f>VLOOKUP(A26,Jobmatch!A:I,6,0)</f>
        <v>876</v>
      </c>
      <c r="J26" s="190" t="str">
        <f>VLOOKUP(A26,Jobmatch!A:I,7,0)</f>
        <v>Analista de Custos</v>
      </c>
      <c r="K26" s="193" t="str">
        <f>VLOOKUP(A26,Jobmatch!A:I,8,0)</f>
        <v>Indiferente</v>
      </c>
      <c r="L26" s="194" t="str">
        <f t="shared" si="2"/>
        <v>876Indiferente</v>
      </c>
      <c r="M26" s="195">
        <f>COUNTIF('Folha de Pagamento'!A:A,A26)</f>
        <v>3</v>
      </c>
      <c r="N26" s="238">
        <v>16.0</v>
      </c>
      <c r="O26" s="196">
        <f>IFERROR(VLOOKUP(L26,'C-01'!$D:$L,5,0),"")</f>
        <v>6868.23</v>
      </c>
      <c r="P26" s="196">
        <f>IFERROR(VLOOKUP(L26,'C-01'!$D:$L,6,0),"")</f>
        <v>7611.25</v>
      </c>
      <c r="Q26" s="196">
        <f>IFERROR(VLOOKUP(L26,'C-01'!$D:$L,7,0),"")</f>
        <v>7320.76</v>
      </c>
      <c r="R26" s="196">
        <f>IFERROR(VLOOKUP(L26,'C-01'!$D:$L,8,0),"")</f>
        <v>8153.71</v>
      </c>
      <c r="S26" s="197">
        <f>IFERROR(VLOOKUP(L26,'C-01'!$D:$L,9,0),"")</f>
        <v>9161.15</v>
      </c>
      <c r="T26" s="198">
        <f>IFS('Painel Geral'!$B$5="Mediana",IFERROR(IF(OR(C26="",Q26=0,Q26=""),"",($C26/$Q26)),""),'Painel Geral'!$B$5="Menor Salário",IFERROR(IF(OR(C26="",Q26=0,Q26=""),"",($C26/$N26)),""),'Painel Geral'!$B$5="1º Quartil",IFERROR(IF(OR(C26="",Q26=0,Q26=""),"",($C26/$O26)),""), 'Painel Geral'!$B$5="Média",IFERROR(IF(OR(C26="",Q26=0,Q26=""),"",($C26/$P26)),""),'Painel Geral'!$B$5="3º Quartil",IFERROR(IF(OR(C26="",Q26=0,Q26=""),"",($C26/$R26)),""),'Painel Geral'!$B$5="Maior Salário",IFERROR(IF(OR(C26="",Q26=0,Q26=""),"",($C26/$S26)),""))</f>
        <v>0.956184877</v>
      </c>
      <c r="U26" s="199" t="str">
        <f t="shared" si="3"/>
        <v>Na Média</v>
      </c>
      <c r="V26" s="201"/>
      <c r="W26" s="201"/>
      <c r="X26" s="201"/>
      <c r="Y26" s="201"/>
      <c r="Z26" s="201"/>
      <c r="AA26" s="201"/>
      <c r="AB26" s="201"/>
      <c r="AC26" s="201"/>
      <c r="AD26" s="201"/>
      <c r="AE26" s="201"/>
      <c r="AF26" s="201"/>
      <c r="AG26" s="201"/>
      <c r="AH26" s="201"/>
      <c r="AI26" s="201"/>
      <c r="AJ26" s="201"/>
      <c r="AK26" s="220"/>
      <c r="AL26" s="220"/>
      <c r="AM26" s="220"/>
      <c r="AN26" s="201"/>
      <c r="AO26" s="201"/>
      <c r="AP26" s="201"/>
    </row>
    <row r="27" ht="15.75" customHeight="1">
      <c r="A27" s="184" t="s">
        <v>125</v>
      </c>
      <c r="B27" s="185" t="str">
        <f>VLOOKUP(A27,Jobmatch!A:G,2,0)</f>
        <v>ENCARREGADO OBRAS/MANUTENCAO</v>
      </c>
      <c r="C27" s="186">
        <f>IFERROR(AVERAGEIF('Folha de Pagamento'!A:A,A27,'Folha de Pagamento'!J:J),"")</f>
        <v>8714</v>
      </c>
      <c r="D27" s="187">
        <v>5.0</v>
      </c>
      <c r="E27" s="185" t="str">
        <f>VLOOKUP(A27,Jobmatch!A:H,3,0)</f>
        <v>Edificação</v>
      </c>
      <c r="F27" s="188" t="s">
        <v>346</v>
      </c>
      <c r="G27" s="190" t="str">
        <f>VLOOKUP(A27,Jobmatch!A:I,4,0)</f>
        <v>42 - ADM PROJETOS</v>
      </c>
      <c r="H27" s="191" t="str">
        <f>VLOOKUP(A27,Jobmatch!A:I,5,0)</f>
        <v>Operacional</v>
      </c>
      <c r="I27" s="192">
        <f>VLOOKUP(A27,Jobmatch!A:I,6,0)</f>
        <v>470</v>
      </c>
      <c r="J27" s="190" t="str">
        <f>VLOOKUP(A27,Jobmatch!A:I,7,0)</f>
        <v>Mestre de Obras</v>
      </c>
      <c r="K27" s="193" t="str">
        <f>VLOOKUP(A27,Jobmatch!A:I,8,0)</f>
        <v>Indiferente</v>
      </c>
      <c r="L27" s="194" t="str">
        <f t="shared" si="2"/>
        <v>470Indiferente</v>
      </c>
      <c r="M27" s="195">
        <f>COUNTIF('Folha de Pagamento'!A:A,A27)</f>
        <v>1</v>
      </c>
      <c r="N27" s="238">
        <v>17.0</v>
      </c>
      <c r="O27" s="196">
        <f>IFERROR(VLOOKUP(L27,'C-01'!$D:$L,5,0),"")</f>
        <v>5530.26</v>
      </c>
      <c r="P27" s="196">
        <f>IFERROR(VLOOKUP(L27,'C-01'!$D:$L,6,0),"")</f>
        <v>7689.13</v>
      </c>
      <c r="Q27" s="196">
        <f>IFERROR(VLOOKUP(L27,'C-01'!$D:$L,7,0),"")</f>
        <v>7460.82</v>
      </c>
      <c r="R27" s="196">
        <f>IFERROR(VLOOKUP(L27,'C-01'!$D:$L,8,0),"")</f>
        <v>9785.54</v>
      </c>
      <c r="S27" s="197">
        <f>IFERROR(VLOOKUP(L27,'C-01'!$D:$L,9,0),"")</f>
        <v>11138.95</v>
      </c>
      <c r="T27" s="198">
        <f>IFS('Painel Geral'!$B$5="Mediana",IFERROR(IF(OR(C27="",Q27=0,Q27=""),"",($C27/$Q27)),""),'Painel Geral'!$B$5="Menor Salário",IFERROR(IF(OR(C27="",Q27=0,Q27=""),"",($C27/$N27)),""),'Painel Geral'!$B$5="1º Quartil",IFERROR(IF(OR(C27="",Q27=0,Q27=""),"",($C27/$O27)),""), 'Painel Geral'!$B$5="Média",IFERROR(IF(OR(C27="",Q27=0,Q27=""),"",($C27/$P27)),""),'Painel Geral'!$B$5="3º Quartil",IFERROR(IF(OR(C27="",Q27=0,Q27=""),"",($C27/$R27)),""),'Painel Geral'!$B$5="Maior Salário",IFERROR(IF(OR(C27="",Q27=0,Q27=""),"",($C27/$S27)),""))</f>
        <v>1.167968132</v>
      </c>
      <c r="U27" s="199" t="str">
        <f t="shared" si="3"/>
        <v>Muito Competitivo</v>
      </c>
      <c r="V27" s="201"/>
      <c r="W27" s="201"/>
      <c r="X27" s="201"/>
      <c r="Y27" s="201"/>
      <c r="Z27" s="201"/>
      <c r="AA27" s="201"/>
      <c r="AB27" s="201"/>
      <c r="AC27" s="201"/>
      <c r="AD27" s="201"/>
      <c r="AE27" s="201"/>
      <c r="AF27" s="201"/>
      <c r="AG27" s="201"/>
      <c r="AH27" s="201"/>
      <c r="AI27" s="201"/>
      <c r="AJ27" s="201"/>
      <c r="AK27" s="201"/>
      <c r="AL27" s="201"/>
      <c r="AM27" s="201"/>
      <c r="AN27" s="224">
        <f>AM25</f>
        <v>1.008112112</v>
      </c>
      <c r="AO27" s="201"/>
      <c r="AP27" s="201"/>
    </row>
    <row r="28" ht="15.75" customHeight="1">
      <c r="A28" s="184" t="s">
        <v>123</v>
      </c>
      <c r="B28" s="185" t="str">
        <f>VLOOKUP(A28,Jobmatch!A:G,2,0)</f>
        <v>ENCARREGADO DE OBRAS</v>
      </c>
      <c r="C28" s="186">
        <f>IFERROR(AVERAGEIF('Folha de Pagamento'!A:A,A28,'Folha de Pagamento'!J:J),"")</f>
        <v>10000.5</v>
      </c>
      <c r="D28" s="187">
        <v>10.0</v>
      </c>
      <c r="E28" s="185" t="str">
        <f>VLOOKUP(A28,Jobmatch!A:H,3,0)</f>
        <v>Urbanismo</v>
      </c>
      <c r="F28" s="188" t="s">
        <v>372</v>
      </c>
      <c r="G28" s="190" t="str">
        <f>VLOOKUP(A28,Jobmatch!A:I,4,0)</f>
        <v>41 - ADM PROJETOS</v>
      </c>
      <c r="H28" s="191" t="str">
        <f>VLOOKUP(A28,Jobmatch!A:I,5,0)</f>
        <v>Operacional</v>
      </c>
      <c r="I28" s="192">
        <f>VLOOKUP(A28,Jobmatch!A:I,6,0)</f>
        <v>470</v>
      </c>
      <c r="J28" s="190" t="str">
        <f>VLOOKUP(A28,Jobmatch!A:I,7,0)</f>
        <v>Mestre de Obras</v>
      </c>
      <c r="K28" s="193" t="str">
        <f>VLOOKUP(A28,Jobmatch!A:I,8,0)</f>
        <v>Indiferente</v>
      </c>
      <c r="L28" s="194" t="str">
        <f t="shared" si="2"/>
        <v>470Indiferente</v>
      </c>
      <c r="M28" s="195">
        <f>COUNTIF('Folha de Pagamento'!A:A,A28)</f>
        <v>2</v>
      </c>
      <c r="N28" s="238">
        <v>17.0</v>
      </c>
      <c r="O28" s="196">
        <f>IFERROR(VLOOKUP(L28,'C-01'!$D:$L,5,0),"")</f>
        <v>5530.26</v>
      </c>
      <c r="P28" s="196">
        <f>IFERROR(VLOOKUP(L28,'C-01'!$D:$L,6,0),"")</f>
        <v>7689.13</v>
      </c>
      <c r="Q28" s="196">
        <f>IFERROR(VLOOKUP(L28,'C-01'!$D:$L,7,0),"")</f>
        <v>7460.82</v>
      </c>
      <c r="R28" s="196">
        <f>IFERROR(VLOOKUP(L28,'C-01'!$D:$L,8,0),"")</f>
        <v>9785.54</v>
      </c>
      <c r="S28" s="197">
        <f>IFERROR(VLOOKUP(L28,'C-01'!$D:$L,9,0),"")</f>
        <v>11138.95</v>
      </c>
      <c r="T28" s="198">
        <f>IFS('Painel Geral'!$B$5="Mediana",IFERROR(IF(OR(C28="",Q28=0,Q28=""),"",($C28/$Q28)),""),'Painel Geral'!$B$5="Menor Salário",IFERROR(IF(OR(C28="",Q28=0,Q28=""),"",($C28/$N28)),""),'Painel Geral'!$B$5="1º Quartil",IFERROR(IF(OR(C28="",Q28=0,Q28=""),"",($C28/$O28)),""), 'Painel Geral'!$B$5="Média",IFERROR(IF(OR(C28="",Q28=0,Q28=""),"",($C28/$P28)),""),'Painel Geral'!$B$5="3º Quartil",IFERROR(IF(OR(C28="",Q28=0,Q28=""),"",($C28/$R28)),""),'Painel Geral'!$B$5="Maior Salário",IFERROR(IF(OR(C28="",Q28=0,Q28=""),"",($C28/$S28)),""))</f>
        <v>1.340402261</v>
      </c>
      <c r="U28" s="199" t="str">
        <f t="shared" si="3"/>
        <v>Agressivo</v>
      </c>
      <c r="V28" s="201"/>
      <c r="W28" s="201"/>
      <c r="X28" s="201"/>
      <c r="Y28" s="201"/>
      <c r="Z28" s="201"/>
      <c r="AA28" s="201"/>
      <c r="AB28" s="201"/>
      <c r="AC28" s="201"/>
      <c r="AD28" s="201"/>
      <c r="AE28" s="201"/>
      <c r="AF28" s="201"/>
      <c r="AG28" s="201"/>
      <c r="AH28" s="201"/>
      <c r="AI28" s="201"/>
      <c r="AJ28" s="201"/>
      <c r="AK28" s="201"/>
      <c r="AL28" s="201"/>
      <c r="AM28" s="201"/>
      <c r="AN28" s="201"/>
      <c r="AO28" s="201"/>
      <c r="AP28" s="201"/>
    </row>
    <row r="29" ht="15.75" customHeight="1">
      <c r="A29" s="184" t="s">
        <v>115</v>
      </c>
      <c r="B29" s="185" t="str">
        <f>VLOOKUP(A29,Jobmatch!A:G,2,0)</f>
        <v>COORDENADOR FINANCEIRO</v>
      </c>
      <c r="C29" s="186">
        <f>IFERROR(AVERAGEIF('Folha de Pagamento'!A:A,A29,'Folha de Pagamento'!J:J),"")</f>
        <v>7947.019868</v>
      </c>
      <c r="D29" s="187">
        <v>6.0</v>
      </c>
      <c r="E29" s="185" t="str">
        <f>VLOOKUP(A29,Jobmatch!A:H,3,0)</f>
        <v>Financeiro</v>
      </c>
      <c r="F29" s="188" t="s">
        <v>276</v>
      </c>
      <c r="G29" s="190" t="str">
        <f>VLOOKUP(A29,Jobmatch!A:I,4,0)</f>
        <v>39 - ADM PROJETOS</v>
      </c>
      <c r="H29" s="191" t="str">
        <f>VLOOKUP(A29,Jobmatch!A:I,5,0)</f>
        <v>Tático</v>
      </c>
      <c r="I29" s="192">
        <f>VLOOKUP(A29,Jobmatch!A:I,6,0)</f>
        <v>122</v>
      </c>
      <c r="J29" s="190" t="str">
        <f>VLOOKUP(A29,Jobmatch!A:I,7,0)</f>
        <v>Coordenador Financeiro</v>
      </c>
      <c r="K29" s="193" t="str">
        <f>VLOOKUP(A29,Jobmatch!A:I,8,0)</f>
        <v>Indiferente</v>
      </c>
      <c r="L29" s="194" t="str">
        <f t="shared" si="2"/>
        <v>122Indiferente</v>
      </c>
      <c r="M29" s="195">
        <f>COUNTIF('Folha de Pagamento'!A:A,A29)</f>
        <v>1</v>
      </c>
      <c r="N29" s="238">
        <v>17.0</v>
      </c>
      <c r="O29" s="196">
        <f>IFERROR(VLOOKUP(L29,'C-01'!$D:$L,5,0),"")</f>
        <v>6325.01</v>
      </c>
      <c r="P29" s="196">
        <f>IFERROR(VLOOKUP(L29,'C-01'!$D:$L,6,0),"")</f>
        <v>7452.59</v>
      </c>
      <c r="Q29" s="196">
        <f>IFERROR(VLOOKUP(L29,'C-01'!$D:$L,7,0),"")</f>
        <v>7558.57</v>
      </c>
      <c r="R29" s="196">
        <f>IFERROR(VLOOKUP(L29,'C-01'!$D:$L,8,0),"")</f>
        <v>8691.7</v>
      </c>
      <c r="S29" s="197">
        <f>IFERROR(VLOOKUP(L29,'C-01'!$D:$L,9,0),"")</f>
        <v>9982.25</v>
      </c>
      <c r="T29" s="198">
        <f>IFS('Painel Geral'!$B$5="Mediana",IFERROR(IF(OR(C29="",Q29=0,Q29=""),"",($C29/$Q29)),""),'Painel Geral'!$B$5="Menor Salário",IFERROR(IF(OR(C29="",Q29=0,Q29=""),"",($C29/$N29)),""),'Painel Geral'!$B$5="1º Quartil",IFERROR(IF(OR(C29="",Q29=0,Q29=""),"",($C29/$O29)),""), 'Painel Geral'!$B$5="Média",IFERROR(IF(OR(C29="",Q29=0,Q29=""),"",($C29/$P29)),""),'Painel Geral'!$B$5="3º Quartil",IFERROR(IF(OR(C29="",Q29=0,Q29=""),"",($C29/$R29)),""),'Painel Geral'!$B$5="Maior Salário",IFERROR(IF(OR(C29="",Q29=0,Q29=""),"",($C29/$S29)),""))</f>
        <v>1.051391979</v>
      </c>
      <c r="U29" s="199" t="str">
        <f t="shared" si="3"/>
        <v>Competitivo</v>
      </c>
      <c r="V29" s="201"/>
      <c r="W29" s="201"/>
      <c r="X29" s="201"/>
      <c r="Y29" s="201"/>
      <c r="Z29" s="201"/>
      <c r="AA29" s="201"/>
      <c r="AB29" s="201"/>
      <c r="AC29" s="201"/>
      <c r="AD29" s="201"/>
      <c r="AE29" s="201"/>
      <c r="AF29" s="201"/>
      <c r="AG29" s="201"/>
      <c r="AH29" s="201"/>
      <c r="AI29" s="201"/>
      <c r="AJ29" s="201"/>
      <c r="AK29" s="201"/>
      <c r="AL29" s="201"/>
      <c r="AM29" s="201"/>
      <c r="AN29" s="227"/>
      <c r="AO29" s="201"/>
      <c r="AP29" s="201"/>
    </row>
    <row r="30" ht="15.75" customHeight="1">
      <c r="A30" s="184" t="s">
        <v>48</v>
      </c>
      <c r="B30" s="185" t="str">
        <f>VLOOKUP(A30,Jobmatch!A:G,2,0)</f>
        <v>ANALISTA DE URBANISMO</v>
      </c>
      <c r="C30" s="186">
        <f>IFERROR(AVERAGEIF('Folha de Pagamento'!A:A,A30,'Folha de Pagamento'!J:J),"")</f>
        <v>5830</v>
      </c>
      <c r="D30" s="187">
        <v>10.0</v>
      </c>
      <c r="E30" s="185" t="str">
        <f>VLOOKUP(A30,Jobmatch!A:H,3,0)</f>
        <v>Urbanismo</v>
      </c>
      <c r="F30" s="188" t="s">
        <v>370</v>
      </c>
      <c r="G30" s="190" t="str">
        <f>VLOOKUP(A30,Jobmatch!A:I,4,0)</f>
        <v>15 - ADM PROJETOS</v>
      </c>
      <c r="H30" s="191" t="str">
        <f>VLOOKUP(A30,Jobmatch!A:I,5,0)</f>
        <v>Operacional</v>
      </c>
      <c r="I30" s="192">
        <f>VLOOKUP(A30,Jobmatch!A:I,6,0)</f>
        <v>1199</v>
      </c>
      <c r="J30" s="190" t="str">
        <f>VLOOKUP(A30,Jobmatch!A:I,7,0)</f>
        <v>Analista de Urbanismo</v>
      </c>
      <c r="K30" s="193" t="str">
        <f>VLOOKUP(A30,Jobmatch!A:I,8,0)</f>
        <v>Indiferente</v>
      </c>
      <c r="L30" s="194" t="str">
        <f t="shared" si="2"/>
        <v>1199Indiferente</v>
      </c>
      <c r="M30" s="195">
        <f>COUNTIF('Folha de Pagamento'!A:A,A30)</f>
        <v>1</v>
      </c>
      <c r="N30" s="238">
        <v>17.0</v>
      </c>
      <c r="O30" s="196">
        <f>IFERROR(VLOOKUP(L30,'C-01'!$D:$L,5,0),"")</f>
        <v>6091.54</v>
      </c>
      <c r="P30" s="196">
        <f>IFERROR(VLOOKUP(L30,'C-01'!$D:$L,6,0),"")</f>
        <v>7637.46</v>
      </c>
      <c r="Q30" s="196">
        <f>IFERROR(VLOOKUP(L30,'C-01'!$D:$L,7,0),"")</f>
        <v>7848.45</v>
      </c>
      <c r="R30" s="196">
        <f>IFERROR(VLOOKUP(L30,'C-01'!$D:$L,8,0),"")</f>
        <v>9161.15</v>
      </c>
      <c r="S30" s="197">
        <f>IFERROR(VLOOKUP(L30,'C-01'!$D:$L,9,0),"")</f>
        <v>9161.15</v>
      </c>
      <c r="T30" s="198">
        <f>IFS('Painel Geral'!$B$5="Mediana",IFERROR(IF(OR(C30="",Q30=0,Q30=""),"",($C30/$Q30)),""),'Painel Geral'!$B$5="Menor Salário",IFERROR(IF(OR(C30="",Q30=0,Q30=""),"",($C30/$N30)),""),'Painel Geral'!$B$5="1º Quartil",IFERROR(IF(OR(C30="",Q30=0,Q30=""),"",($C30/$O30)),""), 'Painel Geral'!$B$5="Média",IFERROR(IF(OR(C30="",Q30=0,Q30=""),"",($C30/$P30)),""),'Painel Geral'!$B$5="3º Quartil",IFERROR(IF(OR(C30="",Q30=0,Q30=""),"",($C30/$R30)),""),'Painel Geral'!$B$5="Maior Salário",IFERROR(IF(OR(C30="",Q30=0,Q30=""),"",($C30/$S30)),""))</f>
        <v>0.7428218311</v>
      </c>
      <c r="U30" s="199" t="str">
        <f t="shared" si="3"/>
        <v>Muito Defasado</v>
      </c>
      <c r="V30" s="201"/>
      <c r="W30" s="201"/>
      <c r="X30" s="201"/>
      <c r="Y30" s="219">
        <v>1799.0</v>
      </c>
      <c r="Z30" s="225">
        <f>Y30*AN27</f>
        <v>1813.59369</v>
      </c>
      <c r="AA30" s="226"/>
      <c r="AB30" s="221"/>
      <c r="AC30" s="221"/>
      <c r="AD30" s="201"/>
      <c r="AE30" s="201"/>
      <c r="AF30" s="201"/>
      <c r="AG30" s="201"/>
      <c r="AH30" s="201"/>
      <c r="AI30" s="201"/>
      <c r="AJ30" s="201"/>
      <c r="AK30" s="201"/>
      <c r="AL30" s="201"/>
      <c r="AM30" s="201"/>
      <c r="AN30" s="201"/>
      <c r="AO30" s="201"/>
      <c r="AP30" s="201"/>
    </row>
    <row r="31" ht="15.75" customHeight="1">
      <c r="A31" s="184" t="s">
        <v>106</v>
      </c>
      <c r="B31" s="185" t="str">
        <f>VLOOKUP(A31,Jobmatch!A:G,2,0)</f>
        <v>COORDENADOR DE MARKETING II</v>
      </c>
      <c r="C31" s="186">
        <f>IFERROR(AVERAGEIF('Folha de Pagamento'!A:A,A31,'Folha de Pagamento'!J:J),"")</f>
        <v>8647</v>
      </c>
      <c r="D31" s="187">
        <v>8.0</v>
      </c>
      <c r="E31" s="185" t="str">
        <f>VLOOKUP(A31,Jobmatch!A:H,3,0)</f>
        <v>Marketing</v>
      </c>
      <c r="F31" s="188" t="s">
        <v>363</v>
      </c>
      <c r="G31" s="190" t="str">
        <f>VLOOKUP(A31,Jobmatch!A:I,4,0)</f>
        <v>36 - ADM PROJETOS</v>
      </c>
      <c r="H31" s="191" t="str">
        <f>VLOOKUP(A31,Jobmatch!A:I,5,0)</f>
        <v>Tático</v>
      </c>
      <c r="I31" s="192">
        <f>VLOOKUP(A31,Jobmatch!A:I,6,0)</f>
        <v>56</v>
      </c>
      <c r="J31" s="190" t="str">
        <f>VLOOKUP(A31,Jobmatch!A:I,7,0)</f>
        <v>Coordenador de Marketing</v>
      </c>
      <c r="K31" s="193" t="str">
        <f>VLOOKUP(A31,Jobmatch!A:I,8,0)</f>
        <v>Indiferente</v>
      </c>
      <c r="L31" s="194" t="str">
        <f t="shared" si="2"/>
        <v>56Indiferente</v>
      </c>
      <c r="M31" s="195">
        <f>COUNTIF('Folha de Pagamento'!A:A,A31)</f>
        <v>1</v>
      </c>
      <c r="N31" s="238">
        <v>17.0</v>
      </c>
      <c r="O31" s="196">
        <f>IFERROR(VLOOKUP(L31,'C-01'!$D:$L,5,0),"")</f>
        <v>7141.59</v>
      </c>
      <c r="P31" s="196">
        <f>IFERROR(VLOOKUP(L31,'C-01'!$D:$L,6,0),"")</f>
        <v>7927.07</v>
      </c>
      <c r="Q31" s="196">
        <f>IFERROR(VLOOKUP(L31,'C-01'!$D:$L,7,0),"")</f>
        <v>7958.59</v>
      </c>
      <c r="R31" s="196">
        <f>IFERROR(VLOOKUP(L31,'C-01'!$D:$L,8,0),"")</f>
        <v>8825.19</v>
      </c>
      <c r="S31" s="197">
        <f>IFERROR(VLOOKUP(L31,'C-01'!$D:$L,9,0),"")</f>
        <v>10531.61</v>
      </c>
      <c r="T31" s="198">
        <f>IFS('Painel Geral'!$B$5="Mediana",IFERROR(IF(OR(C31="",Q31=0,Q31=""),"",($C31/$Q31)),""),'Painel Geral'!$B$5="Menor Salário",IFERROR(IF(OR(C31="",Q31=0,Q31=""),"",($C31/$N31)),""),'Painel Geral'!$B$5="1º Quartil",IFERROR(IF(OR(C31="",Q31=0,Q31=""),"",($C31/$O31)),""), 'Painel Geral'!$B$5="Média",IFERROR(IF(OR(C31="",Q31=0,Q31=""),"",($C31/$P31)),""),'Painel Geral'!$B$5="3º Quartil",IFERROR(IF(OR(C31="",Q31=0,Q31=""),"",($C31/$R31)),""),'Painel Geral'!$B$5="Maior Salário",IFERROR(IF(OR(C31="",Q31=0,Q31=""),"",($C31/$S31)),""))</f>
        <v>1.08649899</v>
      </c>
      <c r="U31" s="199" t="str">
        <f t="shared" si="3"/>
        <v>Competitivo</v>
      </c>
      <c r="V31" s="201"/>
      <c r="W31" s="201"/>
      <c r="X31" s="201"/>
      <c r="Y31" s="228">
        <v>0.8</v>
      </c>
      <c r="Z31" s="229" t="s">
        <v>376</v>
      </c>
      <c r="AA31" s="228">
        <v>1.0</v>
      </c>
      <c r="AB31" s="234"/>
      <c r="AC31" s="231"/>
      <c r="AD31" s="201"/>
      <c r="AE31" s="201"/>
      <c r="AF31" s="201"/>
      <c r="AG31" s="201"/>
      <c r="AH31" s="201"/>
      <c r="AI31" s="201"/>
      <c r="AJ31" s="201"/>
      <c r="AK31" s="201"/>
      <c r="AL31" s="201"/>
      <c r="AM31" s="201"/>
      <c r="AN31" s="201">
        <f>AN29/AN27</f>
        <v>0</v>
      </c>
      <c r="AO31" s="201"/>
      <c r="AP31" s="201"/>
    </row>
    <row r="32" ht="15.75" customHeight="1">
      <c r="A32" s="184" t="s">
        <v>104</v>
      </c>
      <c r="B32" s="185" t="str">
        <f>VLOOKUP(A32,Jobmatch!A:G,2,0)</f>
        <v>COORDENADOR DE LEGAIZAÇÃO ll</v>
      </c>
      <c r="C32" s="186">
        <f>IFERROR(AVERAGEIF('Folha de Pagamento'!A:A,A32,'Folha de Pagamento'!J:J),"")</f>
        <v>8647</v>
      </c>
      <c r="D32" s="187">
        <v>7.0</v>
      </c>
      <c r="E32" s="185" t="str">
        <f>VLOOKUP(A32,Jobmatch!A:H,3,0)</f>
        <v>Legalização </v>
      </c>
      <c r="F32" s="188" t="s">
        <v>359</v>
      </c>
      <c r="G32" s="190" t="str">
        <f>VLOOKUP(A32,Jobmatch!A:I,4,0)</f>
        <v>35 - ADM PROJETOS</v>
      </c>
      <c r="H32" s="191" t="str">
        <f>VLOOKUP(A32,Jobmatch!A:I,5,0)</f>
        <v>Tático</v>
      </c>
      <c r="I32" s="192">
        <f>VLOOKUP(A32,Jobmatch!A:I,6,0)</f>
        <v>1203</v>
      </c>
      <c r="J32" s="190" t="str">
        <f>VLOOKUP(A32,Jobmatch!A:I,7,0)</f>
        <v>Coordenador de Legalização</v>
      </c>
      <c r="K32" s="193" t="str">
        <f>VLOOKUP(A32,Jobmatch!A:I,8,0)</f>
        <v>Indiferente</v>
      </c>
      <c r="L32" s="194" t="str">
        <f t="shared" si="2"/>
        <v>1203Indiferente</v>
      </c>
      <c r="M32" s="195">
        <f>COUNTIF('Folha de Pagamento'!A:A,A32)</f>
        <v>1</v>
      </c>
      <c r="N32" s="238">
        <v>17.0</v>
      </c>
      <c r="O32" s="196">
        <f>IFERROR(VLOOKUP(L32,'C-01'!$D:$L,5,0),"")</f>
        <v>8783.31</v>
      </c>
      <c r="P32" s="196">
        <f>IFERROR(VLOOKUP(L32,'C-01'!$D:$L,6,0),"")</f>
        <v>8872.04</v>
      </c>
      <c r="Q32" s="196">
        <f>IFERROR(VLOOKUP(L32,'C-01'!$D:$L,7,0),"")</f>
        <v>8872.04</v>
      </c>
      <c r="R32" s="196">
        <f>IFERROR(VLOOKUP(L32,'C-01'!$D:$L,8,0),"")</f>
        <v>8960.78</v>
      </c>
      <c r="S32" s="197">
        <f>IFERROR(VLOOKUP(L32,'C-01'!$D:$L,9,0),"")</f>
        <v>9049.51</v>
      </c>
      <c r="T32" s="198">
        <f>IFS('Painel Geral'!$B$5="Mediana",IFERROR(IF(OR(C32="",Q32=0,Q32=""),"",($C32/$Q32)),""),'Painel Geral'!$B$5="Menor Salário",IFERROR(IF(OR(C32="",Q32=0,Q32=""),"",($C32/$N32)),""),'Painel Geral'!$B$5="1º Quartil",IFERROR(IF(OR(C32="",Q32=0,Q32=""),"",($C32/$O32)),""), 'Painel Geral'!$B$5="Média",IFERROR(IF(OR(C32="",Q32=0,Q32=""),"",($C32/$P32)),""),'Painel Geral'!$B$5="3º Quartil",IFERROR(IF(OR(C32="",Q32=0,Q32=""),"",($C32/$R32)),""),'Painel Geral'!$B$5="Maior Salário",IFERROR(IF(OR(C32="",Q32=0,Q32=""),"",($C32/$S32)),""))</f>
        <v>0.9746349205</v>
      </c>
      <c r="U32" s="199" t="str">
        <f t="shared" si="3"/>
        <v>Na Média</v>
      </c>
      <c r="V32" s="201"/>
      <c r="W32" s="201"/>
      <c r="X32" s="201"/>
      <c r="Y32" s="220">
        <f>AA32*0.8</f>
        <v>1839.2</v>
      </c>
      <c r="Z32" s="240">
        <v>10.0</v>
      </c>
      <c r="AA32" s="233">
        <f t="shared" ref="AA32:AA47" si="6">-7801+2052*Z32-158*Z32*Z32+5.38*Z32*Z32*Z32</f>
        <v>2299</v>
      </c>
      <c r="AB32" s="234"/>
      <c r="AC32" s="235">
        <f>AA32*0.8</f>
        <v>1839.2</v>
      </c>
      <c r="AD32" s="201"/>
      <c r="AE32" s="201"/>
      <c r="AF32" s="201"/>
      <c r="AG32" s="201"/>
      <c r="AH32" s="201"/>
      <c r="AI32" s="201"/>
      <c r="AJ32" s="201"/>
      <c r="AK32" s="201"/>
      <c r="AL32" s="201"/>
      <c r="AM32" s="201"/>
      <c r="AN32" s="201"/>
      <c r="AO32" s="201"/>
      <c r="AP32" s="201"/>
    </row>
    <row r="33" ht="15.75" customHeight="1">
      <c r="A33" s="184" t="s">
        <v>146</v>
      </c>
      <c r="B33" s="185" t="str">
        <f>VLOOKUP(A33,Jobmatch!A:G,2,0)</f>
        <v>GERENTE ADMINISTRATIVA </v>
      </c>
      <c r="C33" s="186">
        <f>IFERROR(AVERAGEIF('Folha de Pagamento'!A:A,A33,'Folha de Pagamento'!J:J),"")</f>
        <v>12242.42424</v>
      </c>
      <c r="D33" s="187">
        <v>1.0</v>
      </c>
      <c r="E33" s="185" t="str">
        <f>VLOOKUP(A33,Jobmatch!A:H,3,0)</f>
        <v>Administrativo</v>
      </c>
      <c r="F33" s="188" t="s">
        <v>331</v>
      </c>
      <c r="G33" s="190" t="str">
        <f>VLOOKUP(A33,Jobmatch!A:I,4,0)</f>
        <v>49 - ADM PROJETOS</v>
      </c>
      <c r="H33" s="191" t="str">
        <f>VLOOKUP(A33,Jobmatch!A:I,5,0)</f>
        <v>Tático</v>
      </c>
      <c r="I33" s="192">
        <f>VLOOKUP(A33,Jobmatch!A:I,6,0)</f>
        <v>106</v>
      </c>
      <c r="J33" s="190" t="str">
        <f>VLOOKUP(A33,Jobmatch!A:I,7,0)</f>
        <v>Gerente Administrativo</v>
      </c>
      <c r="K33" s="193" t="str">
        <f>VLOOKUP(A33,Jobmatch!A:I,8,0)</f>
        <v>Indiferente</v>
      </c>
      <c r="L33" s="194" t="str">
        <f t="shared" si="2"/>
        <v>106Indiferente</v>
      </c>
      <c r="M33" s="195">
        <f>COUNTIF('Folha de Pagamento'!A:A,A33)</f>
        <v>2</v>
      </c>
      <c r="N33" s="238">
        <v>18.0</v>
      </c>
      <c r="O33" s="196">
        <f>IFERROR(VLOOKUP(L33,'C-01'!$D:$L,5,0),"")</f>
        <v>6616.13</v>
      </c>
      <c r="P33" s="196">
        <f>IFERROR(VLOOKUP(L33,'C-01'!$D:$L,6,0),"")</f>
        <v>9881.52</v>
      </c>
      <c r="Q33" s="196">
        <f>IFERROR(VLOOKUP(L33,'C-01'!$D:$L,7,0),"")</f>
        <v>10052.23</v>
      </c>
      <c r="R33" s="196">
        <f>IFERROR(VLOOKUP(L33,'C-01'!$D:$L,8,0),"")</f>
        <v>12479.94</v>
      </c>
      <c r="S33" s="197">
        <f>IFERROR(VLOOKUP(L33,'C-01'!$D:$L,9,0),"")</f>
        <v>15257.82</v>
      </c>
      <c r="T33" s="198">
        <f>IFS('Painel Geral'!$B$5="Mediana",IFERROR(IF(OR(C33="",Q33=0,Q33=""),"",($C33/$Q33)),""),'Painel Geral'!$B$5="Menor Salário",IFERROR(IF(OR(C33="",Q33=0,Q33=""),"",($C33/$N33)),""),'Painel Geral'!$B$5="1º Quartil",IFERROR(IF(OR(C33="",Q33=0,Q33=""),"",($C33/$O33)),""), 'Painel Geral'!$B$5="Média",IFERROR(IF(OR(C33="",Q33=0,Q33=""),"",($C33/$P33)),""),'Painel Geral'!$B$5="3º Quartil",IFERROR(IF(OR(C33="",Q33=0,Q33=""),"",($C33/$R33)),""),'Painel Geral'!$B$5="Maior Salário",IFERROR(IF(OR(C33="",Q33=0,Q33=""),"",($C33/$S33)),""))</f>
        <v>1.21788143</v>
      </c>
      <c r="U33" s="199" t="str">
        <f t="shared" si="3"/>
        <v>Agressivo</v>
      </c>
      <c r="V33" s="201"/>
      <c r="W33" s="201"/>
      <c r="X33" s="201"/>
      <c r="Y33" s="201"/>
      <c r="Z33" s="232">
        <v>11.0</v>
      </c>
      <c r="AA33" s="233">
        <f t="shared" si="6"/>
        <v>2813.78</v>
      </c>
      <c r="AB33" s="224">
        <f t="shared" ref="AB33:AB47" si="7">(AA33-AA32)/AA32</f>
        <v>0.2239147455</v>
      </c>
      <c r="AC33" s="235"/>
      <c r="AD33" s="201"/>
      <c r="AE33" s="201"/>
      <c r="AF33" s="201"/>
      <c r="AG33" s="201"/>
      <c r="AH33" s="201"/>
      <c r="AI33" s="201"/>
      <c r="AJ33" s="201"/>
      <c r="AK33" s="201"/>
      <c r="AL33" s="201"/>
      <c r="AM33" s="201"/>
      <c r="AN33" s="201"/>
      <c r="AO33" s="201"/>
      <c r="AP33" s="201"/>
    </row>
    <row r="34" ht="15.75" customHeight="1">
      <c r="A34" s="184" t="s">
        <v>166</v>
      </c>
      <c r="B34" s="185" t="str">
        <f>VLOOKUP(A34,Jobmatch!A:G,2,0)</f>
        <v>GERENTE DE PARCERIAS</v>
      </c>
      <c r="C34" s="186">
        <f>IFERROR(AVERAGEIF('Folha de Pagamento'!A:A,A34,'Folha de Pagamento'!J:J),"")</f>
        <v>5345</v>
      </c>
      <c r="D34" s="187">
        <v>2.0</v>
      </c>
      <c r="E34" s="185" t="str">
        <f>VLOOKUP(A34,Jobmatch!A:H,3,0)</f>
        <v>Comercial</v>
      </c>
      <c r="F34" s="188" t="s">
        <v>335</v>
      </c>
      <c r="G34" s="190" t="str">
        <f>VLOOKUP(A34,Jobmatch!A:I,4,0)</f>
        <v>55 - ADM PROJETOS</v>
      </c>
      <c r="H34" s="191" t="str">
        <f>VLOOKUP(A34,Jobmatch!A:I,5,0)</f>
        <v>Tático</v>
      </c>
      <c r="I34" s="192">
        <f>VLOOKUP(A34,Jobmatch!A:I,6,0)</f>
        <v>408</v>
      </c>
      <c r="J34" s="190" t="str">
        <f>VLOOKUP(A34,Jobmatch!A:I,7,0)</f>
        <v>Gerente de Relacionamento</v>
      </c>
      <c r="K34" s="193" t="str">
        <f>VLOOKUP(A34,Jobmatch!A:I,8,0)</f>
        <v>Indiferente</v>
      </c>
      <c r="L34" s="194" t="str">
        <f t="shared" si="2"/>
        <v>408Indiferente</v>
      </c>
      <c r="M34" s="195">
        <f>COUNTIF('Folha de Pagamento'!A:A,A34)</f>
        <v>2</v>
      </c>
      <c r="N34" s="238">
        <v>18.0</v>
      </c>
      <c r="O34" s="196">
        <f>IFERROR(VLOOKUP(L34,'C-01'!$D:$L,5,0),"")</f>
        <v>7608.96</v>
      </c>
      <c r="P34" s="196">
        <f>IFERROR(VLOOKUP(L34,'C-01'!$D:$L,6,0),"")</f>
        <v>10973.95</v>
      </c>
      <c r="Q34" s="196">
        <f>IFERROR(VLOOKUP(L34,'C-01'!$D:$L,7,0),"")</f>
        <v>10996.97</v>
      </c>
      <c r="R34" s="196">
        <f>IFERROR(VLOOKUP(L34,'C-01'!$D:$L,8,0),"")</f>
        <v>14004.27</v>
      </c>
      <c r="S34" s="197">
        <f>IFERROR(VLOOKUP(L34,'C-01'!$D:$L,9,0),"")</f>
        <v>16628.86</v>
      </c>
      <c r="T34" s="198">
        <f>IFS('Painel Geral'!$B$5="Mediana",IFERROR(IF(OR(C34="",Q34=0,Q34=""),"",($C34/$Q34)),""),'Painel Geral'!$B$5="Menor Salário",IFERROR(IF(OR(C34="",Q34=0,Q34=""),"",($C34/$N34)),""),'Painel Geral'!$B$5="1º Quartil",IFERROR(IF(OR(C34="",Q34=0,Q34=""),"",($C34/$O34)),""), 'Painel Geral'!$B$5="Média",IFERROR(IF(OR(C34="",Q34=0,Q34=""),"",($C34/$P34)),""),'Painel Geral'!$B$5="3º Quartil",IFERROR(IF(OR(C34="",Q34=0,Q34=""),"",($C34/$R34)),""),'Painel Geral'!$B$5="Maior Salário",IFERROR(IF(OR(C34="",Q34=0,Q34=""),"",($C34/$S34)),""))</f>
        <v>0.4860429737</v>
      </c>
      <c r="U34" s="199" t="str">
        <f t="shared" si="3"/>
        <v>Muito Defasado</v>
      </c>
      <c r="V34" s="201"/>
      <c r="W34" s="201"/>
      <c r="X34" s="201"/>
      <c r="Y34" s="201"/>
      <c r="Z34" s="232">
        <v>12.0</v>
      </c>
      <c r="AA34" s="233">
        <f t="shared" si="6"/>
        <v>3367.64</v>
      </c>
      <c r="AB34" s="224">
        <f t="shared" si="7"/>
        <v>0.1968384166</v>
      </c>
      <c r="AC34" s="235"/>
      <c r="AD34" s="201"/>
      <c r="AE34" s="201"/>
      <c r="AF34" s="201"/>
      <c r="AG34" s="201"/>
      <c r="AH34" s="201"/>
      <c r="AI34" s="201"/>
      <c r="AJ34" s="201"/>
      <c r="AK34" s="201"/>
      <c r="AL34" s="201"/>
      <c r="AM34" s="201"/>
      <c r="AN34" s="201"/>
      <c r="AO34" s="201"/>
      <c r="AP34" s="201"/>
    </row>
    <row r="35" ht="15.75" customHeight="1">
      <c r="A35" s="184" t="s">
        <v>171</v>
      </c>
      <c r="B35" s="185" t="str">
        <f>VLOOKUP(A35,Jobmatch!A:G,2,0)</f>
        <v>GERENTE DE PARCERIAS EXTERNAS</v>
      </c>
      <c r="C35" s="186">
        <f>IFERROR(AVERAGEIF('Folha de Pagamento'!A:A,A35,'Folha de Pagamento'!J:J),"")</f>
        <v>5000</v>
      </c>
      <c r="D35" s="187">
        <v>2.0</v>
      </c>
      <c r="E35" s="185" t="str">
        <f>VLOOKUP(A35,Jobmatch!A:H,3,0)</f>
        <v>Comercial</v>
      </c>
      <c r="F35" s="188" t="s">
        <v>336</v>
      </c>
      <c r="G35" s="190" t="str">
        <f>VLOOKUP(A35,Jobmatch!A:I,4,0)</f>
        <v>56 - ADM PROJETOS</v>
      </c>
      <c r="H35" s="191" t="str">
        <f>VLOOKUP(A35,Jobmatch!A:I,5,0)</f>
        <v>Tático</v>
      </c>
      <c r="I35" s="192">
        <f>VLOOKUP(A35,Jobmatch!A:I,6,0)</f>
        <v>408</v>
      </c>
      <c r="J35" s="190" t="str">
        <f>VLOOKUP(A35,Jobmatch!A:I,7,0)</f>
        <v>Gerente de Relacionamento</v>
      </c>
      <c r="K35" s="193" t="str">
        <f>VLOOKUP(A35,Jobmatch!A:I,8,0)</f>
        <v>Indiferente</v>
      </c>
      <c r="L35" s="194" t="str">
        <f t="shared" si="2"/>
        <v>408Indiferente</v>
      </c>
      <c r="M35" s="195">
        <f>COUNTIF('Folha de Pagamento'!A:A,A35)</f>
        <v>2</v>
      </c>
      <c r="N35" s="238">
        <v>18.0</v>
      </c>
      <c r="O35" s="196">
        <f>IFERROR(VLOOKUP(L35,'C-01'!$D:$L,5,0),"")</f>
        <v>7608.96</v>
      </c>
      <c r="P35" s="196">
        <f>IFERROR(VLOOKUP(L35,'C-01'!$D:$L,6,0),"")</f>
        <v>10973.95</v>
      </c>
      <c r="Q35" s="196">
        <f>IFERROR(VLOOKUP(L35,'C-01'!$D:$L,7,0),"")</f>
        <v>10996.97</v>
      </c>
      <c r="R35" s="196">
        <f>IFERROR(VLOOKUP(L35,'C-01'!$D:$L,8,0),"")</f>
        <v>14004.27</v>
      </c>
      <c r="S35" s="197">
        <f>IFERROR(VLOOKUP(L35,'C-01'!$D:$L,9,0),"")</f>
        <v>16628.86</v>
      </c>
      <c r="T35" s="198">
        <f>IFS('Painel Geral'!$B$5="Mediana",IFERROR(IF(OR(C35="",Q35=0,Q35=""),"",($C35/$Q35)),""),'Painel Geral'!$B$5="Menor Salário",IFERROR(IF(OR(C35="",Q35=0,Q35=""),"",($C35/$N35)),""),'Painel Geral'!$B$5="1º Quartil",IFERROR(IF(OR(C35="",Q35=0,Q35=""),"",($C35/$O35)),""), 'Painel Geral'!$B$5="Média",IFERROR(IF(OR(C35="",Q35=0,Q35=""),"",($C35/$P35)),""),'Painel Geral'!$B$5="3º Quartil",IFERROR(IF(OR(C35="",Q35=0,Q35=""),"",($C35/$R35)),""),'Painel Geral'!$B$5="Maior Salário",IFERROR(IF(OR(C35="",Q35=0,Q35=""),"",($C35/$S35)),""))</f>
        <v>0.4546706957</v>
      </c>
      <c r="U35" s="199" t="str">
        <f t="shared" si="3"/>
        <v>Muito Defasado</v>
      </c>
      <c r="V35" s="201"/>
      <c r="W35" s="201"/>
      <c r="X35" s="201"/>
      <c r="Y35" s="201"/>
      <c r="Z35" s="232">
        <v>13.0</v>
      </c>
      <c r="AA35" s="233">
        <f t="shared" si="6"/>
        <v>3992.86</v>
      </c>
      <c r="AB35" s="224">
        <f t="shared" si="7"/>
        <v>0.1856552363</v>
      </c>
      <c r="AC35" s="235"/>
      <c r="AD35" s="201"/>
      <c r="AE35" s="201"/>
      <c r="AF35" s="201"/>
      <c r="AG35" s="201"/>
      <c r="AH35" s="201"/>
      <c r="AI35" s="201"/>
      <c r="AJ35" s="201"/>
      <c r="AK35" s="201"/>
      <c r="AL35" s="201"/>
      <c r="AM35" s="201"/>
      <c r="AN35" s="201"/>
      <c r="AO35" s="201"/>
      <c r="AP35" s="201"/>
    </row>
    <row r="36" ht="15.75" customHeight="1">
      <c r="A36" s="184" t="s">
        <v>112</v>
      </c>
      <c r="B36" s="185" t="str">
        <f>VLOOKUP(A36,Jobmatch!A:G,2,0)</f>
        <v>COORDENADOR DE SUPRIMENTOS</v>
      </c>
      <c r="C36" s="186">
        <f>IFERROR(AVERAGEIF('Folha de Pagamento'!A:A,A36,'Folha de Pagamento'!J:J),"")</f>
        <v>10596.02649</v>
      </c>
      <c r="D36" s="187">
        <v>1.0</v>
      </c>
      <c r="E36" s="185" t="str">
        <f>VLOOKUP(A36,Jobmatch!A:H,3,0)</f>
        <v>Suprimentos </v>
      </c>
      <c r="F36" s="188" t="s">
        <v>368</v>
      </c>
      <c r="G36" s="190" t="str">
        <f>VLOOKUP(A36,Jobmatch!A:I,4,0)</f>
        <v>38 - ADM PROJETOS</v>
      </c>
      <c r="H36" s="191" t="str">
        <f>VLOOKUP(A36,Jobmatch!A:I,5,0)</f>
        <v>Tático</v>
      </c>
      <c r="I36" s="192">
        <f>VLOOKUP(A36,Jobmatch!A:I,6,0)</f>
        <v>137</v>
      </c>
      <c r="J36" s="190" t="str">
        <f>VLOOKUP(A36,Jobmatch!A:I,7,0)</f>
        <v>Coordenador de Compras</v>
      </c>
      <c r="K36" s="193" t="str">
        <f>VLOOKUP(A36,Jobmatch!A:I,8,0)</f>
        <v>Indiferente</v>
      </c>
      <c r="L36" s="194" t="str">
        <f t="shared" si="2"/>
        <v>137Indiferente</v>
      </c>
      <c r="M36" s="195">
        <f>COUNTIF('Folha de Pagamento'!A:A,A36)</f>
        <v>1</v>
      </c>
      <c r="N36" s="238">
        <v>19.0</v>
      </c>
      <c r="O36" s="196">
        <f>IFERROR(VLOOKUP(L36,'C-01'!$D:$L,5,0),"")</f>
        <v>10557.77</v>
      </c>
      <c r="P36" s="196">
        <f>IFERROR(VLOOKUP(L36,'C-01'!$D:$L,6,0),"")</f>
        <v>13345.69</v>
      </c>
      <c r="Q36" s="196">
        <f>IFERROR(VLOOKUP(L36,'C-01'!$D:$L,7,0),"")</f>
        <v>11060.52</v>
      </c>
      <c r="R36" s="196">
        <f>IFERROR(VLOOKUP(L36,'C-01'!$D:$L,8,0),"")</f>
        <v>14991.02</v>
      </c>
      <c r="S36" s="197">
        <f>IFERROR(VLOOKUP(L36,'C-01'!$D:$L,9,0),"")</f>
        <v>18921.53</v>
      </c>
      <c r="T36" s="198">
        <f>IFS('Painel Geral'!$B$5="Mediana",IFERROR(IF(OR(C36="",Q36=0,Q36=""),"",($C36/$Q36)),""),'Painel Geral'!$B$5="Menor Salário",IFERROR(IF(OR(C36="",Q36=0,Q36=""),"",($C36/$N36)),""),'Painel Geral'!$B$5="1º Quartil",IFERROR(IF(OR(C36="",Q36=0,Q36=""),"",($C36/$O36)),""), 'Painel Geral'!$B$5="Média",IFERROR(IF(OR(C36="",Q36=0,Q36=""),"",($C36/$P36)),""),'Painel Geral'!$B$5="3º Quartil",IFERROR(IF(OR(C36="",Q36=0,Q36=""),"",($C36/$R36)),""),'Painel Geral'!$B$5="Maior Salário",IFERROR(IF(OR(C36="",Q36=0,Q36=""),"",($C36/$S36)),""))</f>
        <v>0.9580043696</v>
      </c>
      <c r="U36" s="199" t="str">
        <f t="shared" si="3"/>
        <v>Na Média</v>
      </c>
      <c r="V36" s="201"/>
      <c r="W36" s="201"/>
      <c r="X36" s="201"/>
      <c r="Y36" s="201"/>
      <c r="Z36" s="232">
        <v>14.0</v>
      </c>
      <c r="AA36" s="233">
        <f t="shared" si="6"/>
        <v>4721.72</v>
      </c>
      <c r="AB36" s="224">
        <f t="shared" si="7"/>
        <v>0.1825408354</v>
      </c>
      <c r="AC36" s="235"/>
      <c r="AD36" s="201"/>
      <c r="AE36" s="201"/>
      <c r="AF36" s="201"/>
      <c r="AG36" s="201"/>
      <c r="AH36" s="201"/>
      <c r="AI36" s="201"/>
      <c r="AJ36" s="201"/>
      <c r="AK36" s="201"/>
      <c r="AL36" s="201"/>
      <c r="AM36" s="201"/>
      <c r="AN36" s="201"/>
      <c r="AO36" s="201"/>
      <c r="AP36" s="201"/>
    </row>
    <row r="37" ht="15.75" customHeight="1">
      <c r="A37" s="184" t="s">
        <v>149</v>
      </c>
      <c r="B37" s="185" t="str">
        <f>VLOOKUP(A37,Jobmatch!A:G,2,0)</f>
        <v>GERENTE COMERCIAL</v>
      </c>
      <c r="C37" s="186">
        <f>IFERROR(AVERAGEIF('Folha de Pagamento'!A:A,A37,'Folha de Pagamento'!J:J),"")</f>
        <v>12090.90909</v>
      </c>
      <c r="D37" s="187">
        <v>2.0</v>
      </c>
      <c r="E37" s="185" t="str">
        <f>VLOOKUP(A37,Jobmatch!A:H,3,0)</f>
        <v>Comercial</v>
      </c>
      <c r="F37" s="188" t="s">
        <v>294</v>
      </c>
      <c r="G37" s="190" t="str">
        <f>VLOOKUP(A37,Jobmatch!A:I,4,0)</f>
        <v>50 - ADM PROJETOS</v>
      </c>
      <c r="H37" s="191" t="str">
        <f>VLOOKUP(A37,Jobmatch!A:I,5,0)</f>
        <v>Tático</v>
      </c>
      <c r="I37" s="192">
        <f>VLOOKUP(A37,Jobmatch!A:I,6,0)</f>
        <v>107</v>
      </c>
      <c r="J37" s="190" t="str">
        <f>VLOOKUP(A37,Jobmatch!A:I,7,0)</f>
        <v>Gerente Comercial</v>
      </c>
      <c r="K37" s="193" t="str">
        <f>VLOOKUP(A37,Jobmatch!A:I,8,0)</f>
        <v>Indiferente</v>
      </c>
      <c r="L37" s="194" t="str">
        <f t="shared" si="2"/>
        <v>107Indiferente</v>
      </c>
      <c r="M37" s="195">
        <f>COUNTIF('Folha de Pagamento'!A:A,A37)</f>
        <v>4</v>
      </c>
      <c r="N37" s="238">
        <v>20.0</v>
      </c>
      <c r="O37" s="196">
        <f>IFERROR(VLOOKUP(L37,'C-01'!$D:$L,5,0),"")</f>
        <v>9778.91</v>
      </c>
      <c r="P37" s="196">
        <f>IFERROR(VLOOKUP(L37,'C-01'!$D:$L,6,0),"")</f>
        <v>12281.04</v>
      </c>
      <c r="Q37" s="196">
        <f>IFERROR(VLOOKUP(L37,'C-01'!$D:$L,7,0),"")</f>
        <v>12107.57</v>
      </c>
      <c r="R37" s="196">
        <f>IFERROR(VLOOKUP(L37,'C-01'!$D:$L,8,0),"")</f>
        <v>15321.87</v>
      </c>
      <c r="S37" s="197">
        <f>IFERROR(VLOOKUP(L37,'C-01'!$D:$L,9,0),"")</f>
        <v>19289.48</v>
      </c>
      <c r="T37" s="198">
        <f>IFS('Painel Geral'!$B$5="Mediana",IFERROR(IF(OR(C37="",Q37=0,Q37=""),"",($C37/$Q37)),""),'Painel Geral'!$B$5="Menor Salário",IFERROR(IF(OR(C37="",Q37=0,Q37=""),"",($C37/$N37)),""),'Painel Geral'!$B$5="1º Quartil",IFERROR(IF(OR(C37="",Q37=0,Q37=""),"",($C37/$O37)),""), 'Painel Geral'!$B$5="Média",IFERROR(IF(OR(C37="",Q37=0,Q37=""),"",($C37/$P37)),""),'Painel Geral'!$B$5="3º Quartil",IFERROR(IF(OR(C37="",Q37=0,Q37=""),"",($C37/$R37)),""),'Painel Geral'!$B$5="Maior Salário",IFERROR(IF(OR(C37="",Q37=0,Q37=""),"",($C37/$S37)),""))</f>
        <v>0.9986239263</v>
      </c>
      <c r="U37" s="199" t="str">
        <f t="shared" si="3"/>
        <v>Na Média</v>
      </c>
      <c r="V37" s="201"/>
      <c r="W37" s="201"/>
      <c r="X37" s="201"/>
      <c r="Y37" s="201"/>
      <c r="Z37" s="232">
        <v>15.0</v>
      </c>
      <c r="AA37" s="233">
        <f t="shared" si="6"/>
        <v>5586.5</v>
      </c>
      <c r="AB37" s="224">
        <f t="shared" si="7"/>
        <v>0.1831493608</v>
      </c>
      <c r="AC37" s="235"/>
      <c r="AD37" s="201"/>
      <c r="AE37" s="201"/>
      <c r="AF37" s="201"/>
      <c r="AG37" s="201"/>
      <c r="AH37" s="201"/>
      <c r="AI37" s="201"/>
      <c r="AJ37" s="201"/>
      <c r="AK37" s="201"/>
      <c r="AL37" s="201"/>
      <c r="AM37" s="201"/>
      <c r="AN37" s="201"/>
      <c r="AO37" s="201"/>
      <c r="AP37" s="201"/>
    </row>
    <row r="38" ht="15.75" customHeight="1">
      <c r="A38" s="184" t="s">
        <v>155</v>
      </c>
      <c r="B38" s="185" t="str">
        <f>VLOOKUP(A38,Jobmatch!A:G,2,0)</f>
        <v>GERENTE DE HOUSE</v>
      </c>
      <c r="C38" s="186">
        <f>IFERROR(AVERAGEIF('Folha de Pagamento'!A:A,A38,'Folha de Pagamento'!J:J),"")</f>
        <v>5125</v>
      </c>
      <c r="D38" s="187">
        <v>2.0</v>
      </c>
      <c r="E38" s="185" t="str">
        <f>VLOOKUP(A38,Jobmatch!A:H,3,0)</f>
        <v>Comercial</v>
      </c>
      <c r="F38" s="188" t="s">
        <v>333</v>
      </c>
      <c r="G38" s="190" t="str">
        <f>VLOOKUP(A38,Jobmatch!A:I,4,0)</f>
        <v>52 - ADM PROJETOS</v>
      </c>
      <c r="H38" s="191" t="str">
        <f>VLOOKUP(A38,Jobmatch!A:I,5,0)</f>
        <v>Tático</v>
      </c>
      <c r="I38" s="192">
        <f>VLOOKUP(A38,Jobmatch!A:I,6,0)</f>
        <v>107</v>
      </c>
      <c r="J38" s="190" t="str">
        <f>VLOOKUP(A38,Jobmatch!A:I,7,0)</f>
        <v>Gerente Comercial</v>
      </c>
      <c r="K38" s="193" t="str">
        <f>VLOOKUP(A38,Jobmatch!A:I,8,0)</f>
        <v>Indiferente</v>
      </c>
      <c r="L38" s="194" t="str">
        <f t="shared" si="2"/>
        <v>107Indiferente</v>
      </c>
      <c r="M38" s="195">
        <f>COUNTIF('Folha de Pagamento'!A:A,A38)</f>
        <v>1</v>
      </c>
      <c r="N38" s="238">
        <v>20.0</v>
      </c>
      <c r="O38" s="196">
        <f>IFERROR(VLOOKUP(L38,'C-01'!$D:$L,5,0),"")</f>
        <v>9778.91</v>
      </c>
      <c r="P38" s="196">
        <f>IFERROR(VLOOKUP(L38,'C-01'!$D:$L,6,0),"")</f>
        <v>12281.04</v>
      </c>
      <c r="Q38" s="196">
        <f>IFERROR(VLOOKUP(L38,'C-01'!$D:$L,7,0),"")</f>
        <v>12107.57</v>
      </c>
      <c r="R38" s="196">
        <f>IFERROR(VLOOKUP(L38,'C-01'!$D:$L,8,0),"")</f>
        <v>15321.87</v>
      </c>
      <c r="S38" s="197">
        <f>IFERROR(VLOOKUP(L38,'C-01'!$D:$L,9,0),"")</f>
        <v>19289.48</v>
      </c>
      <c r="T38" s="198">
        <f>IFS('Painel Geral'!$B$5="Mediana",IFERROR(IF(OR(C38="",Q38=0,Q38=""),"",($C38/$Q38)),""),'Painel Geral'!$B$5="Menor Salário",IFERROR(IF(OR(C38="",Q38=0,Q38=""),"",($C38/$N38)),""),'Painel Geral'!$B$5="1º Quartil",IFERROR(IF(OR(C38="",Q38=0,Q38=""),"",($C38/$O38)),""), 'Painel Geral'!$B$5="Média",IFERROR(IF(OR(C38="",Q38=0,Q38=""),"",($C38/$P38)),""),'Painel Geral'!$B$5="3º Quartil",IFERROR(IF(OR(C38="",Q38=0,Q38=""),"",($C38/$R38)),""),'Painel Geral'!$B$5="Maior Salário",IFERROR(IF(OR(C38="",Q38=0,Q38=""),"",($C38/$S38)),""))</f>
        <v>0.4232889011</v>
      </c>
      <c r="U38" s="199" t="str">
        <f t="shared" si="3"/>
        <v>Muito Defasado</v>
      </c>
      <c r="V38" s="201"/>
      <c r="W38" s="201"/>
      <c r="X38" s="201"/>
      <c r="Y38" s="201"/>
      <c r="Z38" s="232">
        <v>16.0</v>
      </c>
      <c r="AA38" s="233">
        <f t="shared" si="6"/>
        <v>6619.48</v>
      </c>
      <c r="AB38" s="224">
        <f t="shared" si="7"/>
        <v>0.184906471</v>
      </c>
      <c r="AC38" s="235"/>
      <c r="AD38" s="201"/>
      <c r="AE38" s="201"/>
      <c r="AF38" s="201"/>
      <c r="AG38" s="201"/>
      <c r="AH38" s="201"/>
      <c r="AI38" s="201"/>
      <c r="AJ38" s="201"/>
      <c r="AK38" s="201"/>
      <c r="AL38" s="201"/>
      <c r="AM38" s="201"/>
      <c r="AN38" s="201"/>
      <c r="AO38" s="201"/>
      <c r="AP38" s="201"/>
    </row>
    <row r="39" ht="15.75" customHeight="1">
      <c r="A39" s="184" t="s">
        <v>152</v>
      </c>
      <c r="B39" s="185" t="str">
        <f>VLOOKUP(A39,Jobmatch!A:G,2,0)</f>
        <v>GERENTE DE EDIFICAÇÕES</v>
      </c>
      <c r="C39" s="186">
        <f>IFERROR(AVERAGEIF('Folha de Pagamento'!A:A,A39,'Folha de Pagamento'!J:J),"")</f>
        <v>30106.06061</v>
      </c>
      <c r="D39" s="187">
        <v>5.0</v>
      </c>
      <c r="E39" s="185" t="str">
        <f>VLOOKUP(A39,Jobmatch!A:H,3,0)</f>
        <v>Edificação</v>
      </c>
      <c r="F39" s="188" t="s">
        <v>348</v>
      </c>
      <c r="G39" s="190" t="str">
        <f>VLOOKUP(A39,Jobmatch!A:I,4,0)</f>
        <v>51 - ADM PROJETOS</v>
      </c>
      <c r="H39" s="191" t="str">
        <f>VLOOKUP(A39,Jobmatch!A:I,5,0)</f>
        <v>Tático</v>
      </c>
      <c r="I39" s="192">
        <f>VLOOKUP(A39,Jobmatch!A:I,6,0)</f>
        <v>311</v>
      </c>
      <c r="J39" s="190" t="str">
        <f>VLOOKUP(A39,Jobmatch!A:I,7,0)</f>
        <v>Gerente de Operações</v>
      </c>
      <c r="K39" s="193" t="str">
        <f>VLOOKUP(A39,Jobmatch!A:I,8,0)</f>
        <v>Indiferente</v>
      </c>
      <c r="L39" s="194" t="str">
        <f t="shared" si="2"/>
        <v>311Indiferente</v>
      </c>
      <c r="M39" s="195">
        <f>COUNTIF('Folha de Pagamento'!A:A,A39)</f>
        <v>1</v>
      </c>
      <c r="N39" s="238">
        <v>20.0</v>
      </c>
      <c r="O39" s="196">
        <f>IFERROR(VLOOKUP(L39,'C-01'!$D:$L,5,0),"")</f>
        <v>10114.75</v>
      </c>
      <c r="P39" s="196">
        <f>IFERROR(VLOOKUP(L39,'C-01'!$D:$L,6,0),"")</f>
        <v>12711.42</v>
      </c>
      <c r="Q39" s="196">
        <f>IFERROR(VLOOKUP(L39,'C-01'!$D:$L,7,0),"")</f>
        <v>12517.82</v>
      </c>
      <c r="R39" s="196">
        <f>IFERROR(VLOOKUP(L39,'C-01'!$D:$L,8,0),"")</f>
        <v>14749</v>
      </c>
      <c r="S39" s="197">
        <f>IFERROR(VLOOKUP(L39,'C-01'!$D:$L,9,0),"")</f>
        <v>19098.65</v>
      </c>
      <c r="T39" s="198">
        <f>IFS('Painel Geral'!$B$5="Mediana",IFERROR(IF(OR(C39="",Q39=0,Q39=""),"",($C39/$Q39)),""),'Painel Geral'!$B$5="Menor Salário",IFERROR(IF(OR(C39="",Q39=0,Q39=""),"",($C39/$N39)),""),'Painel Geral'!$B$5="1º Quartil",IFERROR(IF(OR(C39="",Q39=0,Q39=""),"",($C39/$O39)),""), 'Painel Geral'!$B$5="Média",IFERROR(IF(OR(C39="",Q39=0,Q39=""),"",($C39/$P39)),""),'Painel Geral'!$B$5="3º Quartil",IFERROR(IF(OR(C39="",Q39=0,Q39=""),"",($C39/$R39)),""),'Painel Geral'!$B$5="Maior Salário",IFERROR(IF(OR(C39="",Q39=0,Q39=""),"",($C39/$S39)),""))</f>
        <v>2.4050562</v>
      </c>
      <c r="U39" s="199" t="str">
        <f t="shared" si="3"/>
        <v>Agressivo</v>
      </c>
      <c r="V39" s="201"/>
      <c r="W39" s="201"/>
      <c r="X39" s="201"/>
      <c r="Y39" s="201"/>
      <c r="Z39" s="232">
        <v>17.0</v>
      </c>
      <c r="AA39" s="233">
        <f t="shared" si="6"/>
        <v>7852.94</v>
      </c>
      <c r="AB39" s="224">
        <f t="shared" si="7"/>
        <v>0.1863378997</v>
      </c>
      <c r="AC39" s="235"/>
      <c r="AD39" s="201"/>
      <c r="AE39" s="201"/>
      <c r="AF39" s="201"/>
      <c r="AG39" s="201"/>
      <c r="AH39" s="201"/>
      <c r="AI39" s="201"/>
      <c r="AJ39" s="201"/>
      <c r="AK39" s="201"/>
      <c r="AL39" s="201"/>
      <c r="AM39" s="201"/>
      <c r="AN39" s="201"/>
      <c r="AO39" s="201"/>
      <c r="AP39" s="201"/>
    </row>
    <row r="40" ht="15.75" customHeight="1">
      <c r="A40" s="184" t="s">
        <v>174</v>
      </c>
      <c r="B40" s="185" t="str">
        <f>VLOOKUP(A40,Jobmatch!A:G,2,0)</f>
        <v>GERENTE DE URBANISMO</v>
      </c>
      <c r="C40" s="186">
        <f>IFERROR(AVERAGEIF('Folha de Pagamento'!A:A,A40,'Folha de Pagamento'!J:J),"")</f>
        <v>28030.30303</v>
      </c>
      <c r="D40" s="187">
        <v>10.0</v>
      </c>
      <c r="E40" s="185" t="str">
        <f>VLOOKUP(A40,Jobmatch!A:H,3,0)</f>
        <v>Urbanismo</v>
      </c>
      <c r="F40" s="188" t="s">
        <v>375</v>
      </c>
      <c r="G40" s="190" t="str">
        <f>VLOOKUP(A40,Jobmatch!A:I,4,0)</f>
        <v>57 - ADM PROJETOS</v>
      </c>
      <c r="H40" s="191" t="str">
        <f>VLOOKUP(A40,Jobmatch!A:I,5,0)</f>
        <v>Tático</v>
      </c>
      <c r="I40" s="192">
        <f>VLOOKUP(A40,Jobmatch!A:I,6,0)</f>
        <v>311</v>
      </c>
      <c r="J40" s="190" t="str">
        <f>VLOOKUP(A40,Jobmatch!A:I,7,0)</f>
        <v>Gerente de Operações</v>
      </c>
      <c r="K40" s="193" t="str">
        <f>VLOOKUP(A40,Jobmatch!A:I,8,0)</f>
        <v>Indiferente</v>
      </c>
      <c r="L40" s="194" t="str">
        <f t="shared" si="2"/>
        <v>311Indiferente</v>
      </c>
      <c r="M40" s="195">
        <f>COUNTIF('Folha de Pagamento'!A:A,A40)</f>
        <v>2</v>
      </c>
      <c r="N40" s="238">
        <v>20.0</v>
      </c>
      <c r="O40" s="196">
        <f>IFERROR(VLOOKUP(L40,'C-01'!$D:$L,5,0),"")</f>
        <v>10114.75</v>
      </c>
      <c r="P40" s="196">
        <f>IFERROR(VLOOKUP(L40,'C-01'!$D:$L,6,0),"")</f>
        <v>12711.42</v>
      </c>
      <c r="Q40" s="196">
        <f>IFERROR(VLOOKUP(L40,'C-01'!$D:$L,7,0),"")</f>
        <v>12517.82</v>
      </c>
      <c r="R40" s="196">
        <f>IFERROR(VLOOKUP(L40,'C-01'!$D:$L,8,0),"")</f>
        <v>14749</v>
      </c>
      <c r="S40" s="197">
        <f>IFERROR(VLOOKUP(L40,'C-01'!$D:$L,9,0),"")</f>
        <v>19098.65</v>
      </c>
      <c r="T40" s="198">
        <f>IFS('Painel Geral'!$B$5="Mediana",IFERROR(IF(OR(C40="",Q40=0,Q40=""),"",($C40/$Q40)),""),'Painel Geral'!$B$5="Menor Salário",IFERROR(IF(OR(C40="",Q40=0,Q40=""),"",($C40/$N40)),""),'Painel Geral'!$B$5="1º Quartil",IFERROR(IF(OR(C40="",Q40=0,Q40=""),"",($C40/$O40)),""), 'Painel Geral'!$B$5="Média",IFERROR(IF(OR(C40="",Q40=0,Q40=""),"",($C40/$P40)),""),'Painel Geral'!$B$5="3º Quartil",IFERROR(IF(OR(C40="",Q40=0,Q40=""),"",($C40/$R40)),""),'Painel Geral'!$B$5="Maior Salário",IFERROR(IF(OR(C40="",Q40=0,Q40=""),"",($C40/$S40)),""))</f>
        <v>2.239231993</v>
      </c>
      <c r="U40" s="199" t="str">
        <f t="shared" si="3"/>
        <v>Agressivo</v>
      </c>
      <c r="V40" s="201"/>
      <c r="W40" s="201"/>
      <c r="X40" s="201"/>
      <c r="Y40" s="201"/>
      <c r="Z40" s="232">
        <v>18.0</v>
      </c>
      <c r="AA40" s="233">
        <f t="shared" si="6"/>
        <v>9319.16</v>
      </c>
      <c r="AB40" s="224">
        <f t="shared" si="7"/>
        <v>0.1867096909</v>
      </c>
      <c r="AC40" s="235"/>
      <c r="AD40" s="201"/>
      <c r="AE40" s="201"/>
      <c r="AF40" s="201"/>
      <c r="AG40" s="201"/>
      <c r="AH40" s="201"/>
      <c r="AI40" s="201"/>
      <c r="AJ40" s="201"/>
      <c r="AK40" s="201"/>
      <c r="AL40" s="201"/>
      <c r="AM40" s="201"/>
      <c r="AN40" s="201"/>
      <c r="AO40" s="201"/>
      <c r="AP40" s="201"/>
    </row>
    <row r="41" ht="15.75" customHeight="1">
      <c r="A41" s="184" t="s">
        <v>101</v>
      </c>
      <c r="B41" s="185" t="str">
        <f>VLOOKUP(A41,Jobmatch!A:G,2,0)</f>
        <v>COORDENADOR DE DHO</v>
      </c>
      <c r="C41" s="186">
        <f>IFERROR(AVERAGEIF('Folha de Pagamento'!A:A,A41,'Folha de Pagamento'!J:J),"")</f>
        <v>7420</v>
      </c>
      <c r="D41" s="187">
        <v>4.0</v>
      </c>
      <c r="E41" s="185" t="str">
        <f>VLOOKUP(A41,Jobmatch!A:H,3,0)</f>
        <v>DHO</v>
      </c>
      <c r="F41" s="188" t="s">
        <v>341</v>
      </c>
      <c r="G41" s="190" t="str">
        <f>VLOOKUP(A41,Jobmatch!A:I,4,0)</f>
        <v>34 - ADM PROJETOS</v>
      </c>
      <c r="H41" s="191" t="str">
        <f>VLOOKUP(A41,Jobmatch!A:I,5,0)</f>
        <v>Tático</v>
      </c>
      <c r="I41" s="192">
        <f>VLOOKUP(A41,Jobmatch!A:I,6,0)</f>
        <v>121</v>
      </c>
      <c r="J41" s="190" t="str">
        <f>VLOOKUP(A41,Jobmatch!A:I,7,0)</f>
        <v>Coordenador de Recursos Humanos</v>
      </c>
      <c r="K41" s="193" t="str">
        <f>VLOOKUP(A41,Jobmatch!A:I,8,0)</f>
        <v>Indiferente</v>
      </c>
      <c r="L41" s="194" t="str">
        <f t="shared" si="2"/>
        <v>121Indiferente</v>
      </c>
      <c r="M41" s="195">
        <f>COUNTIF('Folha de Pagamento'!A:A,A41)</f>
        <v>1</v>
      </c>
      <c r="N41" s="238">
        <v>20.0</v>
      </c>
      <c r="O41" s="196">
        <f>IFERROR(VLOOKUP(L41,'C-01'!$D:$L,5,0),"")</f>
        <v>10014.8</v>
      </c>
      <c r="P41" s="196">
        <f>IFERROR(VLOOKUP(L41,'C-01'!$D:$L,6,0),"")</f>
        <v>11303.85</v>
      </c>
      <c r="Q41" s="196">
        <f>IFERROR(VLOOKUP(L41,'C-01'!$D:$L,7,0),"")</f>
        <v>12568.77</v>
      </c>
      <c r="R41" s="196">
        <f>IFERROR(VLOOKUP(L41,'C-01'!$D:$L,8,0),"")</f>
        <v>13225.36</v>
      </c>
      <c r="S41" s="197">
        <f>IFERROR(VLOOKUP(L41,'C-01'!$D:$L,9,0),"")</f>
        <v>13881.95</v>
      </c>
      <c r="T41" s="198">
        <f>IFS('Painel Geral'!$B$5="Mediana",IFERROR(IF(OR(C41="",Q41=0,Q41=""),"",($C41/$Q41)),""),'Painel Geral'!$B$5="Menor Salário",IFERROR(IF(OR(C41="",Q41=0,Q41=""),"",($C41/$N41)),""),'Painel Geral'!$B$5="1º Quartil",IFERROR(IF(OR(C41="",Q41=0,Q41=""),"",($C41/$O41)),""), 'Painel Geral'!$B$5="Média",IFERROR(IF(OR(C41="",Q41=0,Q41=""),"",($C41/$P41)),""),'Painel Geral'!$B$5="3º Quartil",IFERROR(IF(OR(C41="",Q41=0,Q41=""),"",($C41/$R41)),""),'Painel Geral'!$B$5="Maior Salário",IFERROR(IF(OR(C41="",Q41=0,Q41=""),"",($C41/$S41)),""))</f>
        <v>0.5903521188</v>
      </c>
      <c r="U41" s="199" t="str">
        <f t="shared" si="3"/>
        <v>Muito Defasado</v>
      </c>
      <c r="V41" s="201"/>
      <c r="W41" s="201"/>
      <c r="X41" s="201"/>
      <c r="Y41" s="201"/>
      <c r="Z41" s="232">
        <v>19.0</v>
      </c>
      <c r="AA41" s="233">
        <f t="shared" si="6"/>
        <v>11050.42</v>
      </c>
      <c r="AB41" s="224">
        <f t="shared" si="7"/>
        <v>0.1857742543</v>
      </c>
      <c r="AC41" s="235"/>
      <c r="AD41" s="201"/>
      <c r="AE41" s="201"/>
      <c r="AF41" s="201"/>
      <c r="AG41" s="201"/>
      <c r="AH41" s="201"/>
      <c r="AI41" s="201"/>
      <c r="AJ41" s="201"/>
      <c r="AK41" s="201"/>
      <c r="AL41" s="201"/>
      <c r="AM41" s="201"/>
      <c r="AN41" s="201"/>
      <c r="AO41" s="201"/>
      <c r="AP41" s="201"/>
    </row>
    <row r="42" ht="15.75" customHeight="1">
      <c r="A42" s="184" t="s">
        <v>98</v>
      </c>
      <c r="B42" s="185" t="str">
        <f>VLOOKUP(A42,Jobmatch!A:G,2,0)</f>
        <v>CONTROLLER TÉCNICO</v>
      </c>
      <c r="C42" s="186">
        <f>IFERROR(AVERAGEIF('Folha de Pagamento'!A:A,A42,'Folha de Pagamento'!J:J),"")</f>
        <v>9243.50365</v>
      </c>
      <c r="D42" s="187">
        <v>3.0</v>
      </c>
      <c r="E42" s="185" t="str">
        <f>VLOOKUP(A42,Jobmatch!A:H,3,0)</f>
        <v>Controladoria</v>
      </c>
      <c r="F42" s="188" t="s">
        <v>339</v>
      </c>
      <c r="G42" s="190" t="str">
        <f>VLOOKUP(A42,Jobmatch!A:I,4,0)</f>
        <v>33 - ADM PROJETOS</v>
      </c>
      <c r="H42" s="191" t="str">
        <f>VLOOKUP(A42,Jobmatch!A:I,5,0)</f>
        <v>Tático</v>
      </c>
      <c r="I42" s="192">
        <f>VLOOKUP(A42,Jobmatch!A:I,6,0)</f>
        <v>26</v>
      </c>
      <c r="J42" s="190" t="str">
        <f>VLOOKUP(A42,Jobmatch!A:I,7,0)</f>
        <v>Analista de Controladoria</v>
      </c>
      <c r="K42" s="193" t="str">
        <f>VLOOKUP(A42,Jobmatch!A:I,8,0)</f>
        <v>Especialista</v>
      </c>
      <c r="L42" s="194" t="str">
        <f t="shared" si="2"/>
        <v>26Especialista</v>
      </c>
      <c r="M42" s="195">
        <f>COUNTIF('Folha de Pagamento'!A:A,A42)</f>
        <v>1</v>
      </c>
      <c r="N42" s="238">
        <v>20.0</v>
      </c>
      <c r="O42" s="196">
        <f>IFERROR(VLOOKUP(L42,'C-01'!$D:$L,5,0),"")</f>
        <v>10665.2</v>
      </c>
      <c r="P42" s="196">
        <f>IFERROR(VLOOKUP(L42,'C-01'!$D:$L,6,0),"")</f>
        <v>12572.61</v>
      </c>
      <c r="Q42" s="196">
        <f>IFERROR(VLOOKUP(L42,'C-01'!$D:$L,7,0),"")</f>
        <v>13758.75</v>
      </c>
      <c r="R42" s="196">
        <f>IFERROR(VLOOKUP(L42,'C-01'!$D:$L,8,0),"")</f>
        <v>15666.17</v>
      </c>
      <c r="S42" s="197">
        <f>IFERROR(VLOOKUP(L42,'C-01'!$D:$L,9,0),"")</f>
        <v>15995.86</v>
      </c>
      <c r="T42" s="198">
        <f>IFS('Painel Geral'!$B$5="Mediana",IFERROR(IF(OR(C42="",Q42=0,Q42=""),"",($C42/$Q42)),""),'Painel Geral'!$B$5="Menor Salário",IFERROR(IF(OR(C42="",Q42=0,Q42=""),"",($C42/$N42)),""),'Painel Geral'!$B$5="1º Quartil",IFERROR(IF(OR(C42="",Q42=0,Q42=""),"",($C42/$O42)),""), 'Painel Geral'!$B$5="Média",IFERROR(IF(OR(C42="",Q42=0,Q42=""),"",($C42/$P42)),""),'Painel Geral'!$B$5="3º Quartil",IFERROR(IF(OR(C42="",Q42=0,Q42=""),"",($C42/$R42)),""),'Painel Geral'!$B$5="Maior Salário",IFERROR(IF(OR(C42="",Q42=0,Q42=""),"",($C42/$S42)),""))</f>
        <v>0.6718272844</v>
      </c>
      <c r="U42" s="199" t="str">
        <f t="shared" si="3"/>
        <v>Muito Defasado</v>
      </c>
      <c r="V42" s="201"/>
      <c r="W42" s="201"/>
      <c r="X42" s="201"/>
      <c r="Y42" s="201"/>
      <c r="Z42" s="232">
        <v>20.0</v>
      </c>
      <c r="AA42" s="233">
        <f t="shared" si="6"/>
        <v>13079</v>
      </c>
      <c r="AB42" s="224">
        <f t="shared" si="7"/>
        <v>0.1835749229</v>
      </c>
      <c r="AC42" s="235"/>
      <c r="AD42" s="201"/>
      <c r="AE42" s="201"/>
      <c r="AF42" s="201"/>
      <c r="AG42" s="201"/>
      <c r="AH42" s="201"/>
      <c r="AI42" s="201"/>
      <c r="AJ42" s="201"/>
      <c r="AK42" s="201"/>
      <c r="AL42" s="201"/>
      <c r="AM42" s="201"/>
      <c r="AN42" s="201"/>
      <c r="AO42" s="201"/>
      <c r="AP42" s="201"/>
    </row>
    <row r="43" ht="15.75" customHeight="1">
      <c r="A43" s="184" t="s">
        <v>130</v>
      </c>
      <c r="B43" s="185" t="str">
        <f>VLOOKUP(A43,Jobmatch!A:G,2,0)</f>
        <v>ENGENHEIRO SÊNIOR </v>
      </c>
      <c r="C43" s="186">
        <f>IFERROR(AVERAGEIF('Folha de Pagamento'!A:A,A43,'Folha de Pagamento'!J:J),"")</f>
        <v>14393.93939</v>
      </c>
      <c r="D43" s="187">
        <v>5.0</v>
      </c>
      <c r="E43" s="185" t="str">
        <f>VLOOKUP(A43,Jobmatch!A:H,3,0)</f>
        <v>Edificação</v>
      </c>
      <c r="F43" s="188" t="s">
        <v>347</v>
      </c>
      <c r="G43" s="190" t="str">
        <f>VLOOKUP(A43,Jobmatch!A:I,4,0)</f>
        <v>44 - ADM PROJETOS</v>
      </c>
      <c r="H43" s="191" t="str">
        <f>VLOOKUP(A43,Jobmatch!A:I,5,0)</f>
        <v>Tático</v>
      </c>
      <c r="I43" s="192">
        <f>VLOOKUP(A43,Jobmatch!A:I,6,0)</f>
        <v>212</v>
      </c>
      <c r="J43" s="190" t="str">
        <f>VLOOKUP(A43,Jobmatch!A:I,7,0)</f>
        <v>Engenheiro de Urbanismo</v>
      </c>
      <c r="K43" s="193" t="str">
        <f>VLOOKUP(A43,Jobmatch!A:I,8,0)</f>
        <v>Indiferente</v>
      </c>
      <c r="L43" s="194" t="str">
        <f t="shared" si="2"/>
        <v>212Indiferente</v>
      </c>
      <c r="M43" s="195">
        <f>COUNTIF('Folha de Pagamento'!A:A,A43)</f>
        <v>1</v>
      </c>
      <c r="N43" s="238">
        <v>21.0</v>
      </c>
      <c r="O43" s="196">
        <f>IFERROR(VLOOKUP(L43,'C-01'!$D:$L,5,0),"")</f>
        <v>12766.6</v>
      </c>
      <c r="P43" s="196">
        <f>IFERROR(VLOOKUP(L43,'C-01'!$D:$L,6,0),"")</f>
        <v>14293.39</v>
      </c>
      <c r="Q43" s="196">
        <f>IFERROR(VLOOKUP(L43,'C-01'!$D:$L,7,0),"")</f>
        <v>15082.52</v>
      </c>
      <c r="R43" s="196">
        <f>IFERROR(VLOOKUP(L43,'C-01'!$D:$L,8,0),"")</f>
        <v>16110.29</v>
      </c>
      <c r="S43" s="197">
        <f>IFERROR(VLOOKUP(L43,'C-01'!$D:$L,9,0),"")</f>
        <v>16164.64</v>
      </c>
      <c r="T43" s="198">
        <f>IFS('Painel Geral'!$B$5="Mediana",IFERROR(IF(OR(C43="",Q43=0,Q43=""),"",($C43/$Q43)),""),'Painel Geral'!$B$5="Menor Salário",IFERROR(IF(OR(C43="",Q43=0,Q43=""),"",($C43/$N43)),""),'Painel Geral'!$B$5="1º Quartil",IFERROR(IF(OR(C43="",Q43=0,Q43=""),"",($C43/$O43)),""), 'Painel Geral'!$B$5="Média",IFERROR(IF(OR(C43="",Q43=0,Q43=""),"",($C43/$P43)),""),'Painel Geral'!$B$5="3º Quartil",IFERROR(IF(OR(C43="",Q43=0,Q43=""),"",($C43/$R43)),""),'Painel Geral'!$B$5="Maior Salário",IFERROR(IF(OR(C43="",Q43=0,Q43=""),"",($C43/$S43)),""))</f>
        <v>0.9543457853</v>
      </c>
      <c r="U43" s="199" t="str">
        <f t="shared" si="3"/>
        <v>Na Média</v>
      </c>
      <c r="V43" s="201"/>
      <c r="W43" s="201"/>
      <c r="X43" s="201"/>
      <c r="Y43" s="201"/>
      <c r="Z43" s="232">
        <v>21.0</v>
      </c>
      <c r="AA43" s="233">
        <f t="shared" si="6"/>
        <v>15437.18</v>
      </c>
      <c r="AB43" s="224">
        <f t="shared" si="7"/>
        <v>0.1803027754</v>
      </c>
      <c r="AC43" s="235"/>
      <c r="AD43" s="201"/>
      <c r="AE43" s="201"/>
      <c r="AF43" s="201"/>
      <c r="AG43" s="201"/>
      <c r="AH43" s="201"/>
      <c r="AI43" s="201"/>
      <c r="AJ43" s="201"/>
      <c r="AK43" s="201"/>
      <c r="AL43" s="201"/>
      <c r="AM43" s="201"/>
      <c r="AN43" s="201"/>
      <c r="AO43" s="201"/>
      <c r="AP43" s="201"/>
    </row>
    <row r="44" ht="15.75" customHeight="1">
      <c r="A44" s="184" t="s">
        <v>127</v>
      </c>
      <c r="B44" s="185" t="str">
        <f>VLOOKUP(A44,Jobmatch!A:G,2,0)</f>
        <v>ENGENHEIRO JUNIOR DE URBANISMO</v>
      </c>
      <c r="C44" s="186">
        <f>IFERROR(AVERAGEIF('Folha de Pagamento'!A:A,A44,'Folha de Pagamento'!J:J),"")</f>
        <v>5630.872483</v>
      </c>
      <c r="D44" s="187">
        <v>10.0</v>
      </c>
      <c r="E44" s="185" t="str">
        <f>VLOOKUP(A44,Jobmatch!A:H,3,0)</f>
        <v>Urbanismo</v>
      </c>
      <c r="F44" s="188" t="s">
        <v>373</v>
      </c>
      <c r="G44" s="190" t="str">
        <f>VLOOKUP(A44,Jobmatch!A:I,4,0)</f>
        <v>43 - ADM PROJETOS</v>
      </c>
      <c r="H44" s="191" t="str">
        <f>VLOOKUP(A44,Jobmatch!A:I,5,0)</f>
        <v>Operacional</v>
      </c>
      <c r="I44" s="192">
        <f>VLOOKUP(A44,Jobmatch!A:I,6,0)</f>
        <v>212</v>
      </c>
      <c r="J44" s="190" t="str">
        <f>VLOOKUP(A44,Jobmatch!A:I,7,0)</f>
        <v>Engenheiro de Urbanismo</v>
      </c>
      <c r="K44" s="193" t="str">
        <f>VLOOKUP(A44,Jobmatch!A:I,8,0)</f>
        <v>Indiferente</v>
      </c>
      <c r="L44" s="194" t="str">
        <f t="shared" si="2"/>
        <v>212Indiferente</v>
      </c>
      <c r="M44" s="195">
        <f>COUNTIF('Folha de Pagamento'!A:A,A44)</f>
        <v>1</v>
      </c>
      <c r="N44" s="238">
        <v>21.0</v>
      </c>
      <c r="O44" s="196">
        <f>IFERROR(VLOOKUP(L44,'C-01'!$D:$L,5,0),"")</f>
        <v>12766.6</v>
      </c>
      <c r="P44" s="196">
        <f>IFERROR(VLOOKUP(L44,'C-01'!$D:$L,6,0),"")</f>
        <v>14293.39</v>
      </c>
      <c r="Q44" s="196">
        <f>IFERROR(VLOOKUP(L44,'C-01'!$D:$L,7,0),"")</f>
        <v>15082.52</v>
      </c>
      <c r="R44" s="196">
        <f>IFERROR(VLOOKUP(L44,'C-01'!$D:$L,8,0),"")</f>
        <v>16110.29</v>
      </c>
      <c r="S44" s="197">
        <f>IFERROR(VLOOKUP(L44,'C-01'!$D:$L,9,0),"")</f>
        <v>16164.64</v>
      </c>
      <c r="T44" s="198">
        <f>IFS('Painel Geral'!$B$5="Mediana",IFERROR(IF(OR(C44="",Q44=0,Q44=""),"",($C44/$Q44)),""),'Painel Geral'!$B$5="Menor Salário",IFERROR(IF(OR(C44="",Q44=0,Q44=""),"",($C44/$N44)),""),'Painel Geral'!$B$5="1º Quartil",IFERROR(IF(OR(C44="",Q44=0,Q44=""),"",($C44/$O44)),""), 'Painel Geral'!$B$5="Média",IFERROR(IF(OR(C44="",Q44=0,Q44=""),"",($C44/$P44)),""),'Painel Geral'!$B$5="3º Quartil",IFERROR(IF(OR(C44="",Q44=0,Q44=""),"",($C44/$R44)),""),'Painel Geral'!$B$5="Maior Salário",IFERROR(IF(OR(C44="",Q44=0,Q44=""),"",($C44/$S44)),""))</f>
        <v>0.3733376441</v>
      </c>
      <c r="U44" s="199" t="str">
        <f t="shared" si="3"/>
        <v>Muito Defasado</v>
      </c>
      <c r="V44" s="201"/>
      <c r="W44" s="201"/>
      <c r="X44" s="201"/>
      <c r="Y44" s="201"/>
      <c r="Z44" s="232">
        <v>22.0</v>
      </c>
      <c r="AA44" s="233">
        <f t="shared" si="6"/>
        <v>18157.24</v>
      </c>
      <c r="AB44" s="224">
        <f t="shared" si="7"/>
        <v>0.1762018711</v>
      </c>
      <c r="AC44" s="235"/>
      <c r="AD44" s="201"/>
      <c r="AE44" s="201"/>
      <c r="AF44" s="201"/>
      <c r="AG44" s="201"/>
      <c r="AH44" s="201"/>
      <c r="AI44" s="201"/>
      <c r="AJ44" s="201"/>
      <c r="AK44" s="201"/>
      <c r="AL44" s="201"/>
      <c r="AM44" s="201"/>
      <c r="AN44" s="201"/>
      <c r="AO44" s="201"/>
      <c r="AP44" s="201"/>
    </row>
    <row r="45" ht="15.75" customHeight="1">
      <c r="A45" s="184" t="s">
        <v>109</v>
      </c>
      <c r="B45" s="185" t="str">
        <f>VLOOKUP(A45,Jobmatch!A:G,2,0)</f>
        <v>COORDENADOR DE OBRAS</v>
      </c>
      <c r="C45" s="186">
        <f>IFERROR(AVERAGEIF('Folha de Pagamento'!A:A,A45,'Folha de Pagamento'!J:J),"")</f>
        <v>8714</v>
      </c>
      <c r="D45" s="187">
        <v>5.0</v>
      </c>
      <c r="E45" s="185" t="str">
        <f>VLOOKUP(A45,Jobmatch!A:H,3,0)</f>
        <v>Edificação</v>
      </c>
      <c r="F45" s="188" t="s">
        <v>345</v>
      </c>
      <c r="G45" s="190" t="str">
        <f>VLOOKUP(A45,Jobmatch!A:I,4,0)</f>
        <v>37 - ADM PROJETOS</v>
      </c>
      <c r="H45" s="191" t="str">
        <f>VLOOKUP(A45,Jobmatch!A:I,5,0)</f>
        <v>Tático</v>
      </c>
      <c r="I45" s="192">
        <f>VLOOKUP(A45,Jobmatch!A:I,6,0)</f>
        <v>209</v>
      </c>
      <c r="J45" s="190" t="str">
        <f>VLOOKUP(A45,Jobmatch!A:I,7,0)</f>
        <v>Coordenador de Obras</v>
      </c>
      <c r="K45" s="193" t="str">
        <f>VLOOKUP(A45,Jobmatch!A:I,8,0)</f>
        <v>Indiferente</v>
      </c>
      <c r="L45" s="194" t="str">
        <f t="shared" si="2"/>
        <v>209Indiferente</v>
      </c>
      <c r="M45" s="195">
        <f>COUNTIF('Folha de Pagamento'!A:A,A45)</f>
        <v>1</v>
      </c>
      <c r="N45" s="238">
        <v>21.0</v>
      </c>
      <c r="O45" s="196">
        <f>IFERROR(VLOOKUP(L45,'C-01'!$D:$L,5,0),"")</f>
        <v>10017.83</v>
      </c>
      <c r="P45" s="196">
        <f>IFERROR(VLOOKUP(L45,'C-01'!$D:$L,6,0),"")</f>
        <v>16217.22</v>
      </c>
      <c r="Q45" s="196">
        <f>IFERROR(VLOOKUP(L45,'C-01'!$D:$L,7,0),"")</f>
        <v>16164.64</v>
      </c>
      <c r="R45" s="196">
        <f>IFERROR(VLOOKUP(L45,'C-01'!$D:$L,8,0),"")</f>
        <v>23908.2</v>
      </c>
      <c r="S45" s="197">
        <f>IFERROR(VLOOKUP(L45,'C-01'!$D:$L,9,0),"")</f>
        <v>23908.2</v>
      </c>
      <c r="T45" s="198">
        <f>IFS('Painel Geral'!$B$5="Mediana",IFERROR(IF(OR(C45="",Q45=0,Q45=""),"",($C45/$Q45)),""),'Painel Geral'!$B$5="Menor Salário",IFERROR(IF(OR(C45="",Q45=0,Q45=""),"",($C45/$N45)),""),'Painel Geral'!$B$5="1º Quartil",IFERROR(IF(OR(C45="",Q45=0,Q45=""),"",($C45/$O45)),""), 'Painel Geral'!$B$5="Média",IFERROR(IF(OR(C45="",Q45=0,Q45=""),"",($C45/$P45)),""),'Painel Geral'!$B$5="3º Quartil",IFERROR(IF(OR(C45="",Q45=0,Q45=""),"",($C45/$R45)),""),'Painel Geral'!$B$5="Maior Salário",IFERROR(IF(OR(C45="",Q45=0,Q45=""),"",($C45/$S45)),""))</f>
        <v>0.5390778885</v>
      </c>
      <c r="U45" s="199" t="str">
        <f t="shared" si="3"/>
        <v>Muito Defasado</v>
      </c>
      <c r="V45" s="201"/>
      <c r="W45" s="201"/>
      <c r="X45" s="201"/>
      <c r="Y45" s="201"/>
      <c r="Z45" s="232">
        <v>23.0</v>
      </c>
      <c r="AA45" s="233">
        <f t="shared" si="6"/>
        <v>21271.46</v>
      </c>
      <c r="AB45" s="224">
        <f t="shared" si="7"/>
        <v>0.1715139526</v>
      </c>
      <c r="AC45" s="235"/>
      <c r="AD45" s="201"/>
      <c r="AE45" s="201"/>
      <c r="AF45" s="201"/>
      <c r="AG45" s="201"/>
      <c r="AH45" s="201"/>
      <c r="AI45" s="201"/>
      <c r="AJ45" s="201"/>
      <c r="AK45" s="201"/>
      <c r="AL45" s="201"/>
      <c r="AM45" s="201"/>
      <c r="AN45" s="201"/>
      <c r="AO45" s="201"/>
      <c r="AP45" s="201"/>
    </row>
    <row r="46" ht="15.75" customHeight="1">
      <c r="A46" s="184" t="s">
        <v>95</v>
      </c>
      <c r="B46" s="185" t="str">
        <f>VLOOKUP(A46,Jobmatch!A:G,2,0)</f>
        <v>CONTROLLER GERAL</v>
      </c>
      <c r="C46" s="186">
        <f>IFERROR(AVERAGEIF('Folha de Pagamento'!A:A,A46,'Folha de Pagamento'!J:J),"")</f>
        <v>11678.83212</v>
      </c>
      <c r="D46" s="187">
        <v>3.0</v>
      </c>
      <c r="E46" s="185" t="str">
        <f>VLOOKUP(A46,Jobmatch!A:H,3,0)</f>
        <v>Controladoria</v>
      </c>
      <c r="F46" s="188" t="s">
        <v>338</v>
      </c>
      <c r="G46" s="190" t="str">
        <f>VLOOKUP(A46,Jobmatch!A:I,4,0)</f>
        <v>32 - ADM PROJETOS</v>
      </c>
      <c r="H46" s="191" t="str">
        <f>VLOOKUP(A46,Jobmatch!A:I,5,0)</f>
        <v>Tático</v>
      </c>
      <c r="I46" s="192">
        <f>VLOOKUP(A46,Jobmatch!A:I,6,0)</f>
        <v>95</v>
      </c>
      <c r="J46" s="190" t="str">
        <f>VLOOKUP(A46,Jobmatch!A:I,7,0)</f>
        <v>Controller</v>
      </c>
      <c r="K46" s="193" t="str">
        <f>VLOOKUP(A46,Jobmatch!A:I,8,0)</f>
        <v>Indiferente</v>
      </c>
      <c r="L46" s="194" t="str">
        <f t="shared" si="2"/>
        <v>95Indiferente</v>
      </c>
      <c r="M46" s="195">
        <f>COUNTIF('Folha de Pagamento'!A:A,A46)</f>
        <v>1</v>
      </c>
      <c r="N46" s="238">
        <v>21.0</v>
      </c>
      <c r="O46" s="196">
        <f>IFERROR(VLOOKUP(L46,'C-01'!$D:$L,5,0),"")</f>
        <v>15472.01</v>
      </c>
      <c r="P46" s="196">
        <f>IFERROR(VLOOKUP(L46,'C-01'!$D:$L,6,0),"")</f>
        <v>16594.35</v>
      </c>
      <c r="Q46" s="196">
        <f>IFERROR(VLOOKUP(L46,'C-01'!$D:$L,7,0),"")</f>
        <v>16581.68</v>
      </c>
      <c r="R46" s="196">
        <f>IFERROR(VLOOKUP(L46,'C-01'!$D:$L,8,0),"")</f>
        <v>17497.31</v>
      </c>
      <c r="S46" s="197">
        <f>IFERROR(VLOOKUP(L46,'C-01'!$D:$L,9,0),"")</f>
        <v>18846.04</v>
      </c>
      <c r="T46" s="198">
        <f>IFS('Painel Geral'!$B$5="Mediana",IFERROR(IF(OR(C46="",Q46=0,Q46=""),"",($C46/$Q46)),""),'Painel Geral'!$B$5="Menor Salário",IFERROR(IF(OR(C46="",Q46=0,Q46=""),"",($C46/$N46)),""),'Painel Geral'!$B$5="1º Quartil",IFERROR(IF(OR(C46="",Q46=0,Q46=""),"",($C46/$O46)),""), 'Painel Geral'!$B$5="Média",IFERROR(IF(OR(C46="",Q46=0,Q46=""),"",($C46/$P46)),""),'Painel Geral'!$B$5="3º Quartil",IFERROR(IF(OR(C46="",Q46=0,Q46=""),"",($C46/$R46)),""),'Painel Geral'!$B$5="Maior Salário",IFERROR(IF(OR(C46="",Q46=0,Q46=""),"",($C46/$S46)),""))</f>
        <v>0.7043214027</v>
      </c>
      <c r="U46" s="199" t="str">
        <f t="shared" si="3"/>
        <v>Muito Defasado</v>
      </c>
      <c r="V46" s="201"/>
      <c r="W46" s="201"/>
      <c r="X46" s="201"/>
      <c r="Y46" s="201"/>
      <c r="Z46" s="232">
        <v>24.0</v>
      </c>
      <c r="AA46" s="233">
        <f t="shared" si="6"/>
        <v>24812.12</v>
      </c>
      <c r="AB46" s="224">
        <f t="shared" si="7"/>
        <v>0.166451198</v>
      </c>
      <c r="AC46" s="235"/>
      <c r="AD46" s="201"/>
      <c r="AE46" s="201"/>
      <c r="AF46" s="201"/>
      <c r="AG46" s="201"/>
      <c r="AH46" s="201"/>
      <c r="AI46" s="201"/>
      <c r="AJ46" s="201"/>
      <c r="AK46" s="201"/>
      <c r="AL46" s="201"/>
      <c r="AM46" s="201"/>
      <c r="AN46" s="201"/>
      <c r="AO46" s="201"/>
      <c r="AP46" s="201"/>
    </row>
    <row r="47" ht="15.75" customHeight="1">
      <c r="A47" s="184" t="s">
        <v>118</v>
      </c>
      <c r="B47" s="185" t="str">
        <f>VLOOKUP(A47,Jobmatch!A:G,2,0)</f>
        <v>DIRETOR</v>
      </c>
      <c r="C47" s="186">
        <f>IFERROR(AVERAGEIF('Folha de Pagamento'!A:A,A47,'Folha de Pagamento'!J:J),"")</f>
        <v>55769.23077</v>
      </c>
      <c r="D47" s="187">
        <v>2.0</v>
      </c>
      <c r="E47" s="185" t="str">
        <f>VLOOKUP(A47,Jobmatch!A:H,3,0)</f>
        <v>Comercial</v>
      </c>
      <c r="F47" s="188" t="s">
        <v>332</v>
      </c>
      <c r="G47" s="190" t="str">
        <f>VLOOKUP(A47,Jobmatch!A:I,4,0)</f>
        <v>40 - ADM PROJETOS</v>
      </c>
      <c r="H47" s="191" t="str">
        <f>VLOOKUP(A47,Jobmatch!A:I,5,0)</f>
        <v>Estratégico</v>
      </c>
      <c r="I47" s="192">
        <f>VLOOKUP(A47,Jobmatch!A:I,6,0)</f>
        <v>456</v>
      </c>
      <c r="J47" s="190" t="str">
        <f>VLOOKUP(A47,Jobmatch!A:I,7,0)</f>
        <v>CEO</v>
      </c>
      <c r="K47" s="193" t="str">
        <f>VLOOKUP(A47,Jobmatch!A:I,8,0)</f>
        <v>Indiferente</v>
      </c>
      <c r="L47" s="194" t="str">
        <f t="shared" si="2"/>
        <v>456Indiferente</v>
      </c>
      <c r="M47" s="195">
        <f>COUNTIF('Folha de Pagamento'!A:A,A47)</f>
        <v>1</v>
      </c>
      <c r="N47" s="238">
        <v>25.0</v>
      </c>
      <c r="O47" s="196">
        <f>IFERROR(VLOOKUP(L47,'C-01'!$D:$L,5,0),"")</f>
        <v>24816.78</v>
      </c>
      <c r="P47" s="196">
        <f>IFERROR(VLOOKUP(L47,'C-01'!$D:$L,6,0),"")</f>
        <v>32648.36</v>
      </c>
      <c r="Q47" s="196">
        <f>IFERROR(VLOOKUP(L47,'C-01'!$D:$L,7,0),"")</f>
        <v>29147.75</v>
      </c>
      <c r="R47" s="196">
        <f>IFERROR(VLOOKUP(L47,'C-01'!$D:$L,8,0),"")</f>
        <v>37122.89</v>
      </c>
      <c r="S47" s="197">
        <f>IFERROR(VLOOKUP(L47,'C-01'!$D:$L,9,0),"")</f>
        <v>55429.54</v>
      </c>
      <c r="T47" s="198">
        <f>IFS('Painel Geral'!$B$5="Mediana",IFERROR(IF(OR(C47="",Q47=0,Q47=""),"",($C47/$Q47)),""),'Painel Geral'!$B$5="Menor Salário",IFERROR(IF(OR(C47="",Q47=0,Q47=""),"",($C47/$N47)),""),'Painel Geral'!$B$5="1º Quartil",IFERROR(IF(OR(C47="",Q47=0,Q47=""),"",($C47/$O47)),""), 'Painel Geral'!$B$5="Média",IFERROR(IF(OR(C47="",Q47=0,Q47=""),"",($C47/$P47)),""),'Painel Geral'!$B$5="3º Quartil",IFERROR(IF(OR(C47="",Q47=0,Q47=""),"",($C47/$R47)),""),'Painel Geral'!$B$5="Maior Salário",IFERROR(IF(OR(C47="",Q47=0,Q47=""),"",($C47/$S47)),""))</f>
        <v>1.913328843</v>
      </c>
      <c r="U47" s="199" t="str">
        <f t="shared" si="3"/>
        <v>Agressivo</v>
      </c>
      <c r="V47" s="201"/>
      <c r="W47" s="201"/>
      <c r="X47" s="201"/>
      <c r="Y47" s="201"/>
      <c r="Z47" s="232">
        <v>25.0</v>
      </c>
      <c r="AA47" s="233">
        <f t="shared" si="6"/>
        <v>28811.5</v>
      </c>
      <c r="AB47" s="224">
        <f t="shared" si="7"/>
        <v>0.1611865492</v>
      </c>
      <c r="AC47" s="235"/>
      <c r="AD47" s="201"/>
      <c r="AE47" s="201"/>
      <c r="AF47" s="201"/>
      <c r="AG47" s="201"/>
      <c r="AH47" s="201"/>
      <c r="AI47" s="201"/>
      <c r="AJ47" s="201"/>
      <c r="AK47" s="201"/>
      <c r="AL47" s="201"/>
      <c r="AM47" s="201"/>
      <c r="AN47" s="201"/>
      <c r="AO47" s="201"/>
      <c r="AP47" s="201"/>
    </row>
  </sheetData>
  <autoFilter ref="$A$3:$U$47">
    <sortState ref="A3:U47">
      <sortCondition ref="Q3:Q47"/>
      <sortCondition ref="E3:E47"/>
    </sortState>
  </autoFilter>
  <customSheetViews>
    <customSheetView guid="{A7CC0C28-C4CD-4D76-B1EF-29E890F45AC8}" filter="1" showAutoFilter="1">
      <autoFilter ref="$A$3:$U$47">
        <filterColumn colId="9">
          <filters>
            <filter val="Analista de Marketing"/>
            <filter val="Almoxarife"/>
            <filter val="Assistente de Engenharia"/>
            <filter val="Coordenador Financeiro"/>
            <filter val="Analista de Criação"/>
            <filter val="Analista de Controladoria"/>
            <filter val="Assistente de Recursos Humanos"/>
            <filter val="Gerente de Relacionamento"/>
            <filter val="Gerente Administrativo"/>
            <filter val="Coordenador de Obras"/>
            <filter val="Analista de Compras"/>
            <filter val="Coordenador de Legalização"/>
            <filter val="Coordenador de Marketing"/>
            <filter val="Coordenador de Compras"/>
            <filter val="Analista de Custos"/>
            <filter val="Mestre de Obras"/>
            <filter val="Auxiliar de Engenharia"/>
            <filter val="Gerente de Operações"/>
            <filter val="Analista de Urbanismo"/>
            <filter val="Assistente Administrativo"/>
            <filter val="Analista Comercial"/>
            <filter val="Assistente de Tecnologia da Informação"/>
            <filter val="Técnico em Edificações"/>
            <filter val="Controller"/>
            <filter val="CEO"/>
            <filter val="Assistente de Legalização"/>
            <filter val="Auxiliar de Atendimento"/>
            <filter val="Assistente de Controladoria"/>
            <filter val="Coordenador de Recursos Humanos"/>
            <filter val="Assistente de Marketing"/>
            <filter val="Analista de Inovação"/>
            <filter val="Gerente Comercial"/>
            <filter val="Auxiliar Administrativo"/>
            <filter val="Assistente Financeiro"/>
            <filter val="Engenheiro de Urbanismo"/>
          </filters>
        </filterColumn>
      </autoFilter>
    </customSheetView>
    <customSheetView guid="{0075A802-B66C-4D7D-929F-34C2F59AE8A9}" filter="1" showAutoFilter="1">
      <autoFilter ref="$A$3:$U$47"/>
    </customSheetView>
    <customSheetView guid="{3C6918C3-D868-4D69-A6CD-504F4B52EE22}" filter="1" showAutoFilter="1">
      <autoFilter ref="$A$3:$U$47"/>
    </customSheetView>
    <customSheetView guid="{96C31A28-1028-4009-9DE6-63B3CF4DFB9B}" filter="1" showAutoFilter="1">
      <autoFilter ref="$A$3:$U$47"/>
    </customSheetView>
    <customSheetView guid="{45EEC70B-EA86-49D3-A588-0A0D84BF9E52}" filter="1" showAutoFilter="1">
      <autoFilter ref="$B$1:$U$1"/>
    </customSheetView>
    <customSheetView guid="{9ED18B37-6EB4-4260-A5FA-FAFBE39E0B69}" filter="1" showAutoFilter="1">
      <autoFilter ref="$A$3:$U$47"/>
    </customSheetView>
    <customSheetView guid="{B41F88BD-3F58-45D0-A0E7-C0E19BA24239}" filter="1" showAutoFilter="1">
      <autoFilter ref="$A$3:$U$47"/>
    </customSheetView>
  </customSheetViews>
  <mergeCells count="1">
    <mergeCell ref="O1:Q1"/>
  </mergeCells>
  <printOptions/>
  <pageMargins bottom="0.787401575" footer="0.0" header="0.0" left="0.511811024" right="0.511811024" top="0.7874015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7.0"/>
    <col customWidth="1" min="2" max="2" width="23.88"/>
    <col customWidth="1" min="3" max="3" width="15.75"/>
    <col customWidth="1" hidden="1" min="4" max="4" width="10.25"/>
    <col customWidth="1" hidden="1" min="5" max="5" width="22.63"/>
    <col customWidth="1" min="6" max="6" width="22.63"/>
    <col customWidth="1" hidden="1" min="7" max="7" width="25.13"/>
    <col customWidth="1" hidden="1" min="8" max="8" width="19.88"/>
    <col customWidth="1" hidden="1" min="9" max="9" width="13.0"/>
    <col customWidth="1" hidden="1" min="10" max="10" width="28.88"/>
    <col customWidth="1" hidden="1" min="11" max="11" width="11.75"/>
    <col customWidth="1" hidden="1" min="12" max="12" width="17.38"/>
    <col customWidth="1" hidden="1" min="13" max="13" width="21.63"/>
    <col customWidth="1" min="14" max="14" width="14.75"/>
    <col customWidth="1" hidden="1" min="15" max="15" width="10.88"/>
    <col customWidth="1" hidden="1" min="16" max="16" width="10.13"/>
    <col customWidth="1" min="17" max="17" width="10.13"/>
    <col customWidth="1" hidden="1" min="18" max="18" width="10.88"/>
    <col customWidth="1" hidden="1" min="19" max="19" width="14.0"/>
    <col customWidth="1" hidden="1" min="20" max="20" width="18.75"/>
    <col customWidth="1" hidden="1" min="21" max="21" width="27.38"/>
    <col customWidth="1" min="22" max="22" width="7.88"/>
    <col customWidth="1" min="23" max="42" width="6.63"/>
  </cols>
  <sheetData>
    <row r="1">
      <c r="B1" s="157"/>
      <c r="C1" s="157"/>
      <c r="D1" s="157"/>
      <c r="E1" s="157"/>
      <c r="F1" s="157"/>
      <c r="G1" s="157"/>
      <c r="H1" s="157"/>
      <c r="I1" s="158" t="s">
        <v>314</v>
      </c>
      <c r="J1" s="157"/>
      <c r="K1" s="157"/>
      <c r="L1" s="157"/>
      <c r="M1" s="157"/>
      <c r="N1" s="159"/>
      <c r="O1" s="159" t="str">
        <f>'Informações Relevantes Cenário'!A1</f>
        <v>Cenário 01: Pesquisas Consolidadas - Nacional</v>
      </c>
      <c r="P1" s="160"/>
      <c r="Q1" s="160"/>
      <c r="R1" s="161"/>
      <c r="S1" s="162"/>
      <c r="T1" s="163" t="str">
        <f>"% Distância da "&amp;'Painel Geral'!B5</f>
        <v>% Distância da Mediana</v>
      </c>
      <c r="U1" s="163" t="s">
        <v>315</v>
      </c>
      <c r="V1" s="213"/>
      <c r="W1" s="213"/>
      <c r="X1" s="213"/>
      <c r="Y1" s="213"/>
      <c r="Z1" s="213"/>
      <c r="AA1" s="213"/>
      <c r="AB1" s="213"/>
      <c r="AC1" s="213"/>
      <c r="AD1" s="213"/>
      <c r="AE1" s="213"/>
      <c r="AF1" s="213"/>
      <c r="AG1" s="213"/>
      <c r="AH1" s="213"/>
      <c r="AI1" s="213"/>
      <c r="AJ1" s="213"/>
      <c r="AK1" s="213"/>
      <c r="AL1" s="213"/>
      <c r="AM1" s="213"/>
      <c r="AN1" s="213"/>
      <c r="AO1" s="213"/>
      <c r="AP1" s="213"/>
    </row>
    <row r="2" ht="6.0" customHeight="1">
      <c r="A2" s="164"/>
      <c r="B2" s="165"/>
      <c r="C2" s="166"/>
      <c r="D2" s="167"/>
      <c r="E2" s="165"/>
      <c r="F2" s="165"/>
      <c r="G2" s="165"/>
      <c r="H2" s="165"/>
      <c r="I2" s="167"/>
      <c r="J2" s="165"/>
      <c r="K2" s="165"/>
      <c r="L2" s="165"/>
      <c r="M2" s="168"/>
      <c r="N2" s="214"/>
      <c r="O2" s="169"/>
      <c r="P2" s="169"/>
      <c r="Q2" s="169"/>
      <c r="R2" s="169"/>
      <c r="S2" s="170"/>
      <c r="T2" s="171"/>
      <c r="U2" s="170"/>
      <c r="V2" s="207"/>
      <c r="W2" s="207"/>
      <c r="X2" s="207"/>
      <c r="Y2" s="207"/>
      <c r="Z2" s="207"/>
      <c r="AA2" s="207"/>
      <c r="AB2" s="207"/>
      <c r="AC2" s="207"/>
      <c r="AD2" s="207"/>
      <c r="AE2" s="207"/>
      <c r="AF2" s="207"/>
      <c r="AG2" s="207"/>
      <c r="AH2" s="207"/>
      <c r="AI2" s="207"/>
      <c r="AJ2" s="207"/>
      <c r="AK2" s="207"/>
      <c r="AL2" s="207"/>
      <c r="AM2" s="207"/>
      <c r="AN2" s="207"/>
      <c r="AO2" s="207"/>
      <c r="AP2" s="207"/>
    </row>
    <row r="3">
      <c r="A3" s="172" t="s">
        <v>2</v>
      </c>
      <c r="B3" s="173" t="s">
        <v>203</v>
      </c>
      <c r="C3" s="174" t="s">
        <v>316</v>
      </c>
      <c r="D3" s="175" t="s">
        <v>317</v>
      </c>
      <c r="E3" s="175" t="s">
        <v>318</v>
      </c>
      <c r="F3" s="175" t="s">
        <v>5</v>
      </c>
      <c r="G3" s="175" t="s">
        <v>319</v>
      </c>
      <c r="H3" s="176" t="s">
        <v>7</v>
      </c>
      <c r="I3" s="176" t="s">
        <v>204</v>
      </c>
      <c r="J3" s="176" t="s">
        <v>205</v>
      </c>
      <c r="K3" s="177" t="s">
        <v>6</v>
      </c>
      <c r="L3" s="178" t="s">
        <v>320</v>
      </c>
      <c r="M3" s="179" t="s">
        <v>321</v>
      </c>
      <c r="N3" s="215"/>
      <c r="O3" s="180" t="s">
        <v>323</v>
      </c>
      <c r="P3" s="180" t="s">
        <v>324</v>
      </c>
      <c r="Q3" s="180" t="s">
        <v>325</v>
      </c>
      <c r="R3" s="180" t="s">
        <v>326</v>
      </c>
      <c r="S3" s="181" t="s">
        <v>327</v>
      </c>
      <c r="T3" s="182" t="s">
        <v>328</v>
      </c>
      <c r="U3" s="183" t="s">
        <v>329</v>
      </c>
      <c r="V3" s="207"/>
      <c r="W3" s="207"/>
      <c r="X3" s="207"/>
      <c r="Y3" s="207"/>
      <c r="Z3" s="207"/>
      <c r="AA3" s="207"/>
      <c r="AB3" s="207"/>
      <c r="AC3" s="207"/>
      <c r="AD3" s="207"/>
      <c r="AE3" s="207"/>
      <c r="AF3" s="207"/>
      <c r="AG3" s="207"/>
      <c r="AH3" s="207"/>
      <c r="AI3" s="207"/>
      <c r="AJ3" s="207"/>
      <c r="AK3" s="207"/>
      <c r="AL3" s="207"/>
      <c r="AM3" s="207"/>
      <c r="AN3" s="207"/>
      <c r="AO3" s="207"/>
      <c r="AP3" s="207"/>
    </row>
    <row r="4" ht="15.75" customHeight="1">
      <c r="A4" s="184" t="s">
        <v>87</v>
      </c>
      <c r="B4" s="185" t="str">
        <f>VLOOKUP(A4,Jobmatch!A:G,2,0)</f>
        <v>AUXILIAR DE ATENDIMENTO II</v>
      </c>
      <c r="C4" s="186">
        <f>IFERROR(AVERAGEIF('Folha de Pagamento'!A:A,A4,'Folha de Pagamento'!J:J),"")</f>
        <v>2560</v>
      </c>
      <c r="D4" s="187">
        <v>1.0</v>
      </c>
      <c r="E4" s="185" t="str">
        <f>VLOOKUP(A4,Jobmatch!A:H,3,0)</f>
        <v>Recepção</v>
      </c>
      <c r="F4" s="188" t="s">
        <v>366</v>
      </c>
      <c r="G4" s="190" t="str">
        <f>VLOOKUP(A4,Jobmatch!A:I,4,0)</f>
        <v>29 - ADM PROJETOS</v>
      </c>
      <c r="H4" s="191" t="str">
        <f>VLOOKUP(A4,Jobmatch!A:I,5,0)</f>
        <v>Operacional</v>
      </c>
      <c r="I4" s="192">
        <f>VLOOKUP(A4,Jobmatch!A:I,6,0)</f>
        <v>318</v>
      </c>
      <c r="J4" s="190" t="str">
        <f>VLOOKUP(A4,Jobmatch!A:I,7,0)</f>
        <v>Auxiliar de Atendimento</v>
      </c>
      <c r="K4" s="193" t="str">
        <f>VLOOKUP(A4,Jobmatch!A:I,8,0)</f>
        <v>Indiferente</v>
      </c>
      <c r="L4" s="194" t="str">
        <f t="shared" ref="L4:L47" si="2">I4&amp;K4</f>
        <v>318Indiferente</v>
      </c>
      <c r="M4" s="195">
        <f>COUNTIF('Folha de Pagamento'!A:A,A4)</f>
        <v>1</v>
      </c>
      <c r="N4" s="238">
        <v>10.0</v>
      </c>
      <c r="O4" s="196">
        <f>IFERROR(VLOOKUP(L4,'C-01'!$D:$L,5,0),"")</f>
        <v>1778.55</v>
      </c>
      <c r="P4" s="196">
        <f>IFERROR(VLOOKUP(L4,'C-01'!$D:$L,6,0),"")</f>
        <v>2041.06</v>
      </c>
      <c r="Q4" s="196">
        <f>IFERROR(VLOOKUP(L4,'C-01'!$D:$L,7,0),"")</f>
        <v>2052.94</v>
      </c>
      <c r="R4" s="196">
        <f>IFERROR(VLOOKUP(L4,'C-01'!$D:$L,8,0),"")</f>
        <v>2169.15</v>
      </c>
      <c r="S4" s="197">
        <f>IFERROR(VLOOKUP(L4,'C-01'!$D:$L,9,0),"")</f>
        <v>2574.08</v>
      </c>
      <c r="T4" s="198">
        <f>IFS('Painel Geral'!$B$5="Mediana",IFERROR(IF(OR(C4="",Q4=0,Q4=""),"",($C4/$Q4)),""),'Painel Geral'!$B$5="Menor Salário",IFERROR(IF(OR(C4="",Q4=0,Q4=""),"",($C4/$N4)),""),'Painel Geral'!$B$5="1º Quartil",IFERROR(IF(OR(C4="",Q4=0,Q4=""),"",($C4/$O4)),""), 'Painel Geral'!$B$5="Média",IFERROR(IF(OR(C4="",Q4=0,Q4=""),"",($C4/$P4)),""),'Painel Geral'!$B$5="3º Quartil",IFERROR(IF(OR(C4="",Q4=0,Q4=""),"",($C4/$R4)),""),'Painel Geral'!$B$5="Maior Salário",IFERROR(IF(OR(C4="",Q4=0,Q4=""),"",($C4/$S4)),""))</f>
        <v>1.246992119</v>
      </c>
      <c r="U4" s="199" t="str">
        <f t="shared" ref="U4:U47" si="3">IFS(OR(N4="",N4=0,C4="", C4=0),"",T4&lt;=80%,"Muito Defasado",T4&lt;=90%,"Defasado",T4&lt;=100%,"Na Média",T4&lt;=110%,"Competitivo",T4&lt;=120%,"Muito Competitivo",T4&gt;120%,"Agressivo")</f>
        <v>Agressivo</v>
      </c>
      <c r="V4" s="201">
        <f>Z29*1.2</f>
        <v>2176.312428</v>
      </c>
      <c r="W4" s="201">
        <f t="shared" ref="W4:AJ4" si="1">V4*1.2</f>
        <v>2611.574913</v>
      </c>
      <c r="X4" s="201">
        <f t="shared" si="1"/>
        <v>3133.889896</v>
      </c>
      <c r="Y4" s="201">
        <f t="shared" si="1"/>
        <v>3760.667875</v>
      </c>
      <c r="Z4" s="201">
        <f t="shared" si="1"/>
        <v>4512.80145</v>
      </c>
      <c r="AA4" s="201">
        <f t="shared" si="1"/>
        <v>5415.36174</v>
      </c>
      <c r="AB4" s="201">
        <f t="shared" si="1"/>
        <v>6498.434088</v>
      </c>
      <c r="AC4" s="201">
        <f t="shared" si="1"/>
        <v>7798.120905</v>
      </c>
      <c r="AD4" s="201">
        <f t="shared" si="1"/>
        <v>9357.745086</v>
      </c>
      <c r="AE4" s="201">
        <f t="shared" si="1"/>
        <v>11229.2941</v>
      </c>
      <c r="AF4" s="201">
        <f t="shared" si="1"/>
        <v>13475.15292</v>
      </c>
      <c r="AG4" s="201">
        <f t="shared" si="1"/>
        <v>16170.18351</v>
      </c>
      <c r="AH4" s="201">
        <f t="shared" si="1"/>
        <v>19404.22021</v>
      </c>
      <c r="AI4" s="201">
        <f t="shared" si="1"/>
        <v>23285.06425</v>
      </c>
      <c r="AJ4" s="201">
        <f t="shared" si="1"/>
        <v>27942.0771</v>
      </c>
      <c r="AK4" s="201"/>
      <c r="AL4" s="201"/>
      <c r="AM4" s="201"/>
      <c r="AN4" s="201"/>
      <c r="AO4" s="201"/>
      <c r="AP4" s="201"/>
    </row>
    <row r="5" ht="15.75" customHeight="1">
      <c r="A5" s="184" t="s">
        <v>83</v>
      </c>
      <c r="B5" s="185" t="str">
        <f>VLOOKUP(A5,Jobmatch!A:G,2,0)</f>
        <v>AUXILIAR ADMINISTRATIVO</v>
      </c>
      <c r="C5" s="186">
        <f>IFERROR(AVERAGEIF('Folha de Pagamento'!A:A,A5,'Folha de Pagamento'!J:J),"")</f>
        <v>2254</v>
      </c>
      <c r="D5" s="187">
        <v>1.0</v>
      </c>
      <c r="E5" s="185" t="str">
        <f>VLOOKUP(A5,Jobmatch!A:H,3,0)</f>
        <v>Administrativo</v>
      </c>
      <c r="F5" s="188" t="s">
        <v>252</v>
      </c>
      <c r="G5" s="190" t="str">
        <f>VLOOKUP(A5,Jobmatch!A:I,4,0)</f>
        <v>27 - ADM PROJETOS</v>
      </c>
      <c r="H5" s="191" t="str">
        <f>VLOOKUP(A5,Jobmatch!A:I,5,0)</f>
        <v>Operacional</v>
      </c>
      <c r="I5" s="192">
        <f>VLOOKUP(A5,Jobmatch!A:I,6,0)</f>
        <v>83</v>
      </c>
      <c r="J5" s="190" t="str">
        <f>VLOOKUP(A5,Jobmatch!A:I,7,0)</f>
        <v>Auxiliar Administrativo</v>
      </c>
      <c r="K5" s="193" t="str">
        <f>VLOOKUP(A5,Jobmatch!A:I,8,0)</f>
        <v>Indiferente</v>
      </c>
      <c r="L5" s="194" t="str">
        <f t="shared" si="2"/>
        <v>83Indiferente</v>
      </c>
      <c r="M5" s="195">
        <f>COUNTIF('Folha de Pagamento'!A:A,A5)</f>
        <v>1</v>
      </c>
      <c r="N5" s="238">
        <v>10.0</v>
      </c>
      <c r="O5" s="196">
        <f>IFERROR(VLOOKUP(L5,'C-01'!$D:$L,5,0),"")</f>
        <v>2128.74</v>
      </c>
      <c r="P5" s="196">
        <f>IFERROR(VLOOKUP(L5,'C-01'!$D:$L,6,0),"")</f>
        <v>2292.87</v>
      </c>
      <c r="Q5" s="196">
        <f>IFERROR(VLOOKUP(L5,'C-01'!$D:$L,7,0),"")</f>
        <v>2309.71</v>
      </c>
      <c r="R5" s="196">
        <f>IFERROR(VLOOKUP(L5,'C-01'!$D:$L,8,0),"")</f>
        <v>2375.14</v>
      </c>
      <c r="S5" s="197">
        <f>IFERROR(VLOOKUP(L5,'C-01'!$D:$L,9,0),"")</f>
        <v>3073.32</v>
      </c>
      <c r="T5" s="198">
        <f>IFS('Painel Geral'!$B$5="Mediana",IFERROR(IF(OR(C5="",Q5=0,Q5=""),"",($C5/$Q5)),""),'Painel Geral'!$B$5="Menor Salário",IFERROR(IF(OR(C5="",Q5=0,Q5=""),"",($C5/$N5)),""),'Painel Geral'!$B$5="1º Quartil",IFERROR(IF(OR(C5="",Q5=0,Q5=""),"",($C5/$O5)),""), 'Painel Geral'!$B$5="Média",IFERROR(IF(OR(C5="",Q5=0,Q5=""),"",($C5/$P5)),""),'Painel Geral'!$B$5="3º Quartil",IFERROR(IF(OR(C5="",Q5=0,Q5=""),"",($C5/$R5)),""),'Painel Geral'!$B$5="Maior Salário",IFERROR(IF(OR(C5="",Q5=0,Q5=""),"",($C5/$S5)),""))</f>
        <v>0.9758800888</v>
      </c>
      <c r="U5" s="199" t="str">
        <f t="shared" si="3"/>
        <v>Na Média</v>
      </c>
      <c r="V5" s="205">
        <v>10.0</v>
      </c>
      <c r="W5" s="205">
        <v>11.0</v>
      </c>
      <c r="X5" s="205">
        <v>12.0</v>
      </c>
      <c r="Y5" s="205">
        <v>13.0</v>
      </c>
      <c r="Z5" s="205">
        <v>14.0</v>
      </c>
      <c r="AA5" s="205">
        <v>15.0</v>
      </c>
      <c r="AB5" s="205">
        <v>16.0</v>
      </c>
      <c r="AC5" s="205">
        <v>17.0</v>
      </c>
      <c r="AD5" s="205">
        <v>18.0</v>
      </c>
      <c r="AE5" s="205">
        <v>19.0</v>
      </c>
      <c r="AF5" s="205">
        <v>20.0</v>
      </c>
      <c r="AG5" s="205">
        <v>21.0</v>
      </c>
      <c r="AH5" s="205">
        <v>22.0</v>
      </c>
      <c r="AI5" s="205">
        <v>23.0</v>
      </c>
      <c r="AJ5" s="205">
        <v>24.0</v>
      </c>
      <c r="AK5" s="201"/>
      <c r="AL5" s="201"/>
      <c r="AM5" s="201"/>
      <c r="AN5" s="201"/>
      <c r="AO5" s="201"/>
      <c r="AP5" s="201"/>
    </row>
    <row r="6" ht="15.75" customHeight="1">
      <c r="A6" s="184" t="s">
        <v>85</v>
      </c>
      <c r="B6" s="185" t="str">
        <f>VLOOKUP(A6,Jobmatch!A:G,2,0)</f>
        <v>AUXILIAR ADMINISTRATIVO III</v>
      </c>
      <c r="C6" s="186">
        <f>IFERROR(AVERAGEIF('Folha de Pagamento'!A:A,A6,'Folha de Pagamento'!J:J),"")</f>
        <v>2739.04</v>
      </c>
      <c r="D6" s="187">
        <v>1.0</v>
      </c>
      <c r="E6" s="185" t="str">
        <f>VLOOKUP(A6,Jobmatch!A:H,3,0)</f>
        <v>Administrativo</v>
      </c>
      <c r="F6" s="188" t="s">
        <v>252</v>
      </c>
      <c r="G6" s="190" t="str">
        <f>VLOOKUP(A6,Jobmatch!A:I,4,0)</f>
        <v>28 - ADM PROJETOS</v>
      </c>
      <c r="H6" s="191" t="str">
        <f>VLOOKUP(A6,Jobmatch!A:I,5,0)</f>
        <v>Operacional</v>
      </c>
      <c r="I6" s="192">
        <f>VLOOKUP(A6,Jobmatch!A:I,6,0)</f>
        <v>83</v>
      </c>
      <c r="J6" s="190" t="str">
        <f>VLOOKUP(A6,Jobmatch!A:I,7,0)</f>
        <v>Auxiliar Administrativo</v>
      </c>
      <c r="K6" s="193" t="str">
        <f>VLOOKUP(A6,Jobmatch!A:I,8,0)</f>
        <v>Indiferente</v>
      </c>
      <c r="L6" s="194" t="str">
        <f t="shared" si="2"/>
        <v>83Indiferente</v>
      </c>
      <c r="M6" s="195">
        <f>COUNTIF('Folha de Pagamento'!A:A,A6)</f>
        <v>1</v>
      </c>
      <c r="N6" s="238">
        <v>10.0</v>
      </c>
      <c r="O6" s="196">
        <f>IFERROR(VLOOKUP(L6,'C-01'!$D:$L,5,0),"")</f>
        <v>2128.74</v>
      </c>
      <c r="P6" s="196">
        <f>IFERROR(VLOOKUP(L6,'C-01'!$D:$L,6,0),"")</f>
        <v>2292.87</v>
      </c>
      <c r="Q6" s="196">
        <f>IFERROR(VLOOKUP(L6,'C-01'!$D:$L,7,0),"")</f>
        <v>2309.71</v>
      </c>
      <c r="R6" s="196">
        <f>IFERROR(VLOOKUP(L6,'C-01'!$D:$L,8,0),"")</f>
        <v>2375.14</v>
      </c>
      <c r="S6" s="197">
        <f>IFERROR(VLOOKUP(L6,'C-01'!$D:$L,9,0),"")</f>
        <v>3073.32</v>
      </c>
      <c r="T6" s="198">
        <f>IFS('Painel Geral'!$B$5="Mediana",IFERROR(IF(OR(C6="",Q6=0,Q6=""),"",($C6/$Q6)),""),'Painel Geral'!$B$5="Menor Salário",IFERROR(IF(OR(C6="",Q6=0,Q6=""),"",($C6/$N6)),""),'Painel Geral'!$B$5="1º Quartil",IFERROR(IF(OR(C6="",Q6=0,Q6=""),"",($C6/$O6)),""), 'Painel Geral'!$B$5="Média",IFERROR(IF(OR(C6="",Q6=0,Q6=""),"",($C6/$P6)),""),'Painel Geral'!$B$5="3º Quartil",IFERROR(IF(OR(C6="",Q6=0,Q6=""),"",($C6/$R6)),""),'Painel Geral'!$B$5="Maior Salário",IFERROR(IF(OR(C6="",Q6=0,Q6=""),"",($C6/$S6)),""))</f>
        <v>1.185880479</v>
      </c>
      <c r="U6" s="199" t="str">
        <f t="shared" si="3"/>
        <v>Muito Competitivo</v>
      </c>
      <c r="V6" s="201"/>
      <c r="W6" s="201"/>
      <c r="X6" s="201"/>
      <c r="Y6" s="201"/>
      <c r="Z6" s="201"/>
      <c r="AA6" s="201"/>
      <c r="AB6" s="201"/>
      <c r="AC6" s="201"/>
      <c r="AD6" s="201"/>
      <c r="AE6" s="201"/>
      <c r="AF6" s="201"/>
      <c r="AG6" s="201"/>
      <c r="AH6" s="201"/>
      <c r="AI6" s="201"/>
      <c r="AJ6" s="201"/>
      <c r="AK6" s="201"/>
      <c r="AL6" s="201"/>
      <c r="AM6" s="201"/>
      <c r="AN6" s="201"/>
      <c r="AO6" s="201"/>
      <c r="AP6" s="201"/>
    </row>
    <row r="7" ht="15.75" customHeight="1">
      <c r="A7" s="184" t="s">
        <v>77</v>
      </c>
      <c r="B7" s="185" t="str">
        <f>VLOOKUP(A7,Jobmatch!A:G,2,0)</f>
        <v>ASSISTENTE DE TI</v>
      </c>
      <c r="C7" s="186">
        <f>IFERROR(AVERAGEIF('Folha de Pagamento'!A:A,A7,'Folha de Pagamento'!J:J),"")</f>
        <v>2919</v>
      </c>
      <c r="D7" s="187">
        <v>1.0</v>
      </c>
      <c r="E7" s="185" t="str">
        <f>VLOOKUP(A7,Jobmatch!A:H,3,0)</f>
        <v>Tecnologia da Informação</v>
      </c>
      <c r="F7" s="188" t="s">
        <v>369</v>
      </c>
      <c r="G7" s="190" t="str">
        <f>VLOOKUP(A7,Jobmatch!A:I,4,0)</f>
        <v>25 - ADM PROJETOS</v>
      </c>
      <c r="H7" s="191" t="str">
        <f>VLOOKUP(A7,Jobmatch!A:I,5,0)</f>
        <v>Operacional</v>
      </c>
      <c r="I7" s="192">
        <f>VLOOKUP(A7,Jobmatch!A:I,6,0)</f>
        <v>31</v>
      </c>
      <c r="J7" s="190" t="str">
        <f>VLOOKUP(A7,Jobmatch!A:I,7,0)</f>
        <v>Assistente de Tecnologia da Informação</v>
      </c>
      <c r="K7" s="193" t="str">
        <f>VLOOKUP(A7,Jobmatch!A:I,8,0)</f>
        <v>Indiferente</v>
      </c>
      <c r="L7" s="194" t="str">
        <f t="shared" si="2"/>
        <v>31Indiferente</v>
      </c>
      <c r="M7" s="195">
        <f>COUNTIF('Folha de Pagamento'!A:A,A7)</f>
        <v>2</v>
      </c>
      <c r="N7" s="238">
        <v>10.0</v>
      </c>
      <c r="O7" s="196">
        <f>IFERROR(VLOOKUP(L7,'C-01'!$D:$L,5,0),"")</f>
        <v>2066.4</v>
      </c>
      <c r="P7" s="196">
        <f>IFERROR(VLOOKUP(L7,'C-01'!$D:$L,6,0),"")</f>
        <v>2589.89</v>
      </c>
      <c r="Q7" s="196">
        <f>IFERROR(VLOOKUP(L7,'C-01'!$D:$L,7,0),"")</f>
        <v>2413.7</v>
      </c>
      <c r="R7" s="196">
        <f>IFERROR(VLOOKUP(L7,'C-01'!$D:$L,8,0),"")</f>
        <v>3121.21</v>
      </c>
      <c r="S7" s="197">
        <f>IFERROR(VLOOKUP(L7,'C-01'!$D:$L,9,0),"")</f>
        <v>3521.6</v>
      </c>
      <c r="T7" s="198">
        <f>IFS('Painel Geral'!$B$5="Mediana",IFERROR(IF(OR(C7="",Q7=0,Q7=""),"",($C7/$Q7)),""),'Painel Geral'!$B$5="Menor Salário",IFERROR(IF(OR(C7="",Q7=0,Q7=""),"",($C7/$N7)),""),'Painel Geral'!$B$5="1º Quartil",IFERROR(IF(OR(C7="",Q7=0,Q7=""),"",($C7/$O7)),""), 'Painel Geral'!$B$5="Média",IFERROR(IF(OR(C7="",Q7=0,Q7=""),"",($C7/$P7)),""),'Painel Geral'!$B$5="3º Quartil",IFERROR(IF(OR(C7="",Q7=0,Q7=""),"",($C7/$R7)),""),'Painel Geral'!$B$5="Maior Salário",IFERROR(IF(OR(C7="",Q7=0,Q7=""),"",($C7/$S7)),""))</f>
        <v>1.209346646</v>
      </c>
      <c r="U7" s="199" t="str">
        <f t="shared" si="3"/>
        <v>Agressivo</v>
      </c>
      <c r="V7" s="201"/>
      <c r="W7" s="201"/>
      <c r="X7" s="201"/>
      <c r="Y7" s="201"/>
      <c r="Z7" s="201"/>
      <c r="AA7" s="201"/>
      <c r="AB7" s="201"/>
      <c r="AC7" s="201"/>
      <c r="AD7" s="201"/>
      <c r="AE7" s="201"/>
      <c r="AF7" s="201"/>
      <c r="AG7" s="201"/>
      <c r="AH7" s="201"/>
      <c r="AI7" s="201"/>
      <c r="AJ7" s="201"/>
      <c r="AK7" s="201"/>
      <c r="AL7" s="201"/>
      <c r="AM7" s="201"/>
      <c r="AN7" s="201"/>
      <c r="AO7" s="201"/>
      <c r="AP7" s="201"/>
    </row>
    <row r="8" ht="15.75" customHeight="1">
      <c r="A8" s="184" t="s">
        <v>64</v>
      </c>
      <c r="B8" s="185" t="str">
        <f>VLOOKUP(A8,Jobmatch!A:G,2,0)</f>
        <v>ASSISTENTE ADMINISTRATIVO lll</v>
      </c>
      <c r="C8" s="186">
        <f>IFERROR(AVERAGEIF('Folha de Pagamento'!A:A,A8,'Folha de Pagamento'!J:J),"")</f>
        <v>3439.7</v>
      </c>
      <c r="D8" s="187">
        <v>1.0</v>
      </c>
      <c r="E8" s="185" t="str">
        <f>VLOOKUP(A8,Jobmatch!A:H,3,0)</f>
        <v>Administrativo</v>
      </c>
      <c r="F8" s="188" t="s">
        <v>238</v>
      </c>
      <c r="G8" s="190" t="str">
        <f>VLOOKUP(A8,Jobmatch!A:I,4,0)</f>
        <v>20 - ADM PROJETOS</v>
      </c>
      <c r="H8" s="191" t="str">
        <f>VLOOKUP(A8,Jobmatch!A:I,5,0)</f>
        <v>Operacional</v>
      </c>
      <c r="I8" s="192">
        <f>VLOOKUP(A8,Jobmatch!A:I,6,0)</f>
        <v>59</v>
      </c>
      <c r="J8" s="190" t="str">
        <f>VLOOKUP(A8,Jobmatch!A:I,7,0)</f>
        <v>Assistente Administrativo</v>
      </c>
      <c r="K8" s="193" t="str">
        <f>VLOOKUP(A8,Jobmatch!A:I,8,0)</f>
        <v>Indiferente</v>
      </c>
      <c r="L8" s="194" t="str">
        <f t="shared" si="2"/>
        <v>59Indiferente</v>
      </c>
      <c r="M8" s="195">
        <f>COUNTIF('Folha de Pagamento'!A:A,A8)</f>
        <v>1</v>
      </c>
      <c r="N8" s="238">
        <v>10.0</v>
      </c>
      <c r="O8" s="196">
        <f>IFERROR(VLOOKUP(L8,'C-01'!$D:$L,5,0),"")</f>
        <v>2329.53</v>
      </c>
      <c r="P8" s="196">
        <f>IFERROR(VLOOKUP(L8,'C-01'!$D:$L,6,0),"")</f>
        <v>2673.92</v>
      </c>
      <c r="Q8" s="196">
        <f>IFERROR(VLOOKUP(L8,'C-01'!$D:$L,7,0),"")</f>
        <v>2630.61</v>
      </c>
      <c r="R8" s="196">
        <f>IFERROR(VLOOKUP(L8,'C-01'!$D:$L,8,0),"")</f>
        <v>2914.75</v>
      </c>
      <c r="S8" s="197">
        <f>IFERROR(VLOOKUP(L8,'C-01'!$D:$L,9,0),"")</f>
        <v>3662.52</v>
      </c>
      <c r="T8" s="198">
        <f>IFS('Painel Geral'!$B$5="Mediana",IFERROR(IF(OR(C8="",Q8=0,Q8=""),"",($C8/$Q8)),""),'Painel Geral'!$B$5="Menor Salário",IFERROR(IF(OR(C8="",Q8=0,Q8=""),"",($C8/$N8)),""),'Painel Geral'!$B$5="1º Quartil",IFERROR(IF(OR(C8="",Q8=0,Q8=""),"",($C8/$O8)),""), 'Painel Geral'!$B$5="Média",IFERROR(IF(OR(C8="",Q8=0,Q8=""),"",($C8/$P8)),""),'Painel Geral'!$B$5="3º Quartil",IFERROR(IF(OR(C8="",Q8=0,Q8=""),"",($C8/$R8)),""),'Painel Geral'!$B$5="Maior Salário",IFERROR(IF(OR(C8="",Q8=0,Q8=""),"",($C8/$S8)),""))</f>
        <v>1.307567446</v>
      </c>
      <c r="U8" s="199" t="str">
        <f t="shared" si="3"/>
        <v>Agressivo</v>
      </c>
      <c r="V8" s="201"/>
      <c r="W8" s="201"/>
      <c r="X8" s="201"/>
      <c r="Y8" s="201"/>
      <c r="Z8" s="201"/>
      <c r="AA8" s="201"/>
      <c r="AB8" s="201"/>
      <c r="AC8" s="201"/>
      <c r="AD8" s="201"/>
      <c r="AE8" s="201"/>
      <c r="AF8" s="201"/>
      <c r="AG8" s="201"/>
      <c r="AH8" s="201"/>
      <c r="AI8" s="201"/>
      <c r="AJ8" s="201"/>
      <c r="AK8" s="201"/>
      <c r="AL8" s="201"/>
      <c r="AM8" s="201"/>
      <c r="AN8" s="201"/>
      <c r="AO8" s="201"/>
      <c r="AP8" s="201"/>
    </row>
    <row r="9" ht="15.75" customHeight="1">
      <c r="A9" s="184" t="s">
        <v>80</v>
      </c>
      <c r="B9" s="185" t="str">
        <f>VLOOKUP(A9,Jobmatch!A:G,2,0)</f>
        <v>ASSISTENTE FINANCEIRO CONTAS A PAGAR</v>
      </c>
      <c r="C9" s="186">
        <f>IFERROR(AVERAGEIF('Folha de Pagamento'!A:A,A9,'Folha de Pagamento'!J:J),"")</f>
        <v>3163.333333</v>
      </c>
      <c r="D9" s="187">
        <v>6.0</v>
      </c>
      <c r="E9" s="185" t="str">
        <f>VLOOKUP(A9,Jobmatch!A:H,3,0)</f>
        <v>Financeiro</v>
      </c>
      <c r="F9" s="188" t="s">
        <v>354</v>
      </c>
      <c r="G9" s="190" t="str">
        <f>VLOOKUP(A9,Jobmatch!A:I,4,0)</f>
        <v>26 - ADM PROJETOS</v>
      </c>
      <c r="H9" s="191" t="str">
        <f>VLOOKUP(A9,Jobmatch!A:I,5,0)</f>
        <v>Operacional</v>
      </c>
      <c r="I9" s="192">
        <f>VLOOKUP(A9,Jobmatch!A:I,6,0)</f>
        <v>79</v>
      </c>
      <c r="J9" s="190" t="str">
        <f>VLOOKUP(A9,Jobmatch!A:I,7,0)</f>
        <v>Assistente Financeiro</v>
      </c>
      <c r="K9" s="193" t="str">
        <f>VLOOKUP(A9,Jobmatch!A:I,8,0)</f>
        <v>Indiferente</v>
      </c>
      <c r="L9" s="194" t="str">
        <f t="shared" si="2"/>
        <v>79Indiferente</v>
      </c>
      <c r="M9" s="195">
        <f>COUNTIF('Folha de Pagamento'!A:A,A9)</f>
        <v>3</v>
      </c>
      <c r="N9" s="238">
        <v>11.0</v>
      </c>
      <c r="O9" s="196">
        <f>IFERROR(VLOOKUP(L9,'C-01'!$D:$L,5,0),"")</f>
        <v>2560.05</v>
      </c>
      <c r="P9" s="196">
        <f>IFERROR(VLOOKUP(L9,'C-01'!$D:$L,6,0),"")</f>
        <v>2799.02</v>
      </c>
      <c r="Q9" s="196">
        <f>IFERROR(VLOOKUP(L9,'C-01'!$D:$L,7,0),"")</f>
        <v>2658.89</v>
      </c>
      <c r="R9" s="196">
        <f>IFERROR(VLOOKUP(L9,'C-01'!$D:$L,8,0),"")</f>
        <v>2935.06</v>
      </c>
      <c r="S9" s="197">
        <f>IFERROR(VLOOKUP(L9,'C-01'!$D:$L,9,0),"")</f>
        <v>3630.87</v>
      </c>
      <c r="T9" s="198">
        <f>IFS('Painel Geral'!$B$5="Mediana",IFERROR(IF(OR(C9="",Q9=0,Q9=""),"",($C9/$Q9)),""),'Painel Geral'!$B$5="Menor Salário",IFERROR(IF(OR(C9="",Q9=0,Q9=""),"",($C9/$N9)),""),'Painel Geral'!$B$5="1º Quartil",IFERROR(IF(OR(C9="",Q9=0,Q9=""),"",($C9/$O9)),""), 'Painel Geral'!$B$5="Média",IFERROR(IF(OR(C9="",Q9=0,Q9=""),"",($C9/$P9)),""),'Painel Geral'!$B$5="3º Quartil",IFERROR(IF(OR(C9="",Q9=0,Q9=""),"",($C9/$R9)),""),'Painel Geral'!$B$5="Maior Salário",IFERROR(IF(OR(C9="",Q9=0,Q9=""),"",($C9/$S9)),""))</f>
        <v>1.18971952</v>
      </c>
      <c r="U9" s="199" t="str">
        <f t="shared" si="3"/>
        <v>Muito Competitivo</v>
      </c>
      <c r="V9" s="201"/>
      <c r="W9" s="201"/>
      <c r="X9" s="201"/>
      <c r="Y9" s="201"/>
      <c r="Z9" s="201"/>
      <c r="AA9" s="201"/>
      <c r="AB9" s="201"/>
      <c r="AC9" s="201"/>
      <c r="AD9" s="201"/>
      <c r="AE9" s="201"/>
      <c r="AF9" s="201"/>
      <c r="AG9" s="201"/>
      <c r="AH9" s="201"/>
      <c r="AI9" s="201"/>
      <c r="AJ9" s="201"/>
      <c r="AK9" s="201"/>
      <c r="AL9" s="201"/>
      <c r="AM9" s="201"/>
      <c r="AN9" s="201"/>
      <c r="AO9" s="201"/>
      <c r="AP9" s="201"/>
    </row>
    <row r="10" ht="15.75" customHeight="1">
      <c r="A10" s="184" t="s">
        <v>90</v>
      </c>
      <c r="B10" s="185" t="str">
        <f>VLOOKUP(A10,Jobmatch!A:G,2,0)</f>
        <v>AUXILIAR DE ENGENHARIA</v>
      </c>
      <c r="C10" s="186">
        <f>IFERROR(AVERAGEIF('Folha de Pagamento'!A:A,A10,'Folha de Pagamento'!J:J),"")</f>
        <v>2560</v>
      </c>
      <c r="D10" s="187">
        <v>10.0</v>
      </c>
      <c r="E10" s="185" t="str">
        <f>VLOOKUP(A10,Jobmatch!A:H,3,0)</f>
        <v>Urbanismo</v>
      </c>
      <c r="F10" s="188" t="s">
        <v>371</v>
      </c>
      <c r="G10" s="190" t="str">
        <f>VLOOKUP(A10,Jobmatch!A:I,4,0)</f>
        <v>30 - ADM PROJETOS</v>
      </c>
      <c r="H10" s="191" t="str">
        <f>VLOOKUP(A10,Jobmatch!A:I,5,0)</f>
        <v>Operacional</v>
      </c>
      <c r="I10" s="192">
        <f>VLOOKUP(A10,Jobmatch!A:I,6,0)</f>
        <v>207</v>
      </c>
      <c r="J10" s="190" t="str">
        <f>VLOOKUP(A10,Jobmatch!A:I,7,0)</f>
        <v>Auxiliar de Engenharia</v>
      </c>
      <c r="K10" s="193" t="str">
        <f>VLOOKUP(A10,Jobmatch!A:I,8,0)</f>
        <v>Indiferente</v>
      </c>
      <c r="L10" s="194" t="str">
        <f t="shared" si="2"/>
        <v>207Indiferente</v>
      </c>
      <c r="M10" s="195">
        <f>COUNTIF('Folha de Pagamento'!A:A,A10)</f>
        <v>1</v>
      </c>
      <c r="N10" s="238">
        <v>11.0</v>
      </c>
      <c r="O10" s="196">
        <f>IFERROR(VLOOKUP(L10,'C-01'!$D:$L,5,0),"")</f>
        <v>2644.47</v>
      </c>
      <c r="P10" s="196">
        <f>IFERROR(VLOOKUP(L10,'C-01'!$D:$L,6,0),"")</f>
        <v>2819.08</v>
      </c>
      <c r="Q10" s="196">
        <f>IFERROR(VLOOKUP(L10,'C-01'!$D:$L,7,0),"")</f>
        <v>2714.85</v>
      </c>
      <c r="R10" s="196">
        <f>IFERROR(VLOOKUP(L10,'C-01'!$D:$L,8,0),"")</f>
        <v>2941.58</v>
      </c>
      <c r="S10" s="197">
        <f>IFERROR(VLOOKUP(L10,'C-01'!$D:$L,9,0),"")</f>
        <v>3168.31</v>
      </c>
      <c r="T10" s="198">
        <f>IFS('Painel Geral'!$B$5="Mediana",IFERROR(IF(OR(C10="",Q10=0,Q10=""),"",($C10/$Q10)),""),'Painel Geral'!$B$5="Menor Salário",IFERROR(IF(OR(C10="",Q10=0,Q10=""),"",($C10/$N10)),""),'Painel Geral'!$B$5="1º Quartil",IFERROR(IF(OR(C10="",Q10=0,Q10=""),"",($C10/$O10)),""), 'Painel Geral'!$B$5="Média",IFERROR(IF(OR(C10="",Q10=0,Q10=""),"",($C10/$P10)),""),'Painel Geral'!$B$5="3º Quartil",IFERROR(IF(OR(C10="",Q10=0,Q10=""),"",($C10/$R10)),""),'Painel Geral'!$B$5="Maior Salário",IFERROR(IF(OR(C10="",Q10=0,Q10=""),"",($C10/$S10)),""))</f>
        <v>0.9429618579</v>
      </c>
      <c r="U10" s="199" t="str">
        <f t="shared" si="3"/>
        <v>Na Média</v>
      </c>
      <c r="V10" s="201"/>
      <c r="W10" s="201"/>
      <c r="X10" s="201"/>
      <c r="Y10" s="201"/>
      <c r="Z10" s="201"/>
      <c r="AA10" s="201"/>
      <c r="AB10" s="201"/>
      <c r="AC10" s="201"/>
      <c r="AD10" s="201"/>
      <c r="AE10" s="201"/>
      <c r="AF10" s="201"/>
      <c r="AG10" s="201"/>
      <c r="AH10" s="201"/>
      <c r="AI10" s="201"/>
      <c r="AJ10" s="201"/>
      <c r="AK10" s="201"/>
      <c r="AL10" s="201"/>
      <c r="AM10" s="201"/>
      <c r="AN10" s="201"/>
      <c r="AO10" s="201"/>
      <c r="AP10" s="201"/>
    </row>
    <row r="11" ht="15.75" customHeight="1">
      <c r="A11" s="184" t="s">
        <v>67</v>
      </c>
      <c r="B11" s="185" t="str">
        <f>VLOOKUP(A11,Jobmatch!A:G,2,0)</f>
        <v>ASSISTENTE DE CONTROLADORIA III</v>
      </c>
      <c r="C11" s="186">
        <f>IFERROR(AVERAGEIF('Folha de Pagamento'!A:A,A11,'Folha de Pagamento'!J:J),"")</f>
        <v>3652</v>
      </c>
      <c r="D11" s="187">
        <v>3.0</v>
      </c>
      <c r="E11" s="185" t="str">
        <f>VLOOKUP(A11,Jobmatch!A:H,3,0)</f>
        <v>Controladoria</v>
      </c>
      <c r="F11" s="188" t="s">
        <v>337</v>
      </c>
      <c r="G11" s="190" t="str">
        <f>VLOOKUP(A11,Jobmatch!A:I,4,0)</f>
        <v>21 - ADM PROJETOS</v>
      </c>
      <c r="H11" s="191" t="str">
        <f>VLOOKUP(A11,Jobmatch!A:I,5,0)</f>
        <v>Operacional</v>
      </c>
      <c r="I11" s="192">
        <f>VLOOKUP(A11,Jobmatch!A:I,6,0)</f>
        <v>150</v>
      </c>
      <c r="J11" s="190" t="str">
        <f>VLOOKUP(A11,Jobmatch!A:I,7,0)</f>
        <v>Assistente de Controladoria</v>
      </c>
      <c r="K11" s="193" t="str">
        <f>VLOOKUP(A11,Jobmatch!A:I,8,0)</f>
        <v>Indiferente</v>
      </c>
      <c r="L11" s="194" t="str">
        <f t="shared" si="2"/>
        <v>150Indiferente</v>
      </c>
      <c r="M11" s="195">
        <f>COUNTIF('Folha de Pagamento'!A:A,A11)</f>
        <v>1</v>
      </c>
      <c r="N11" s="238">
        <v>11.0</v>
      </c>
      <c r="O11" s="196">
        <f>IFERROR(VLOOKUP(L11,'C-01'!$D:$L,5,0),"")</f>
        <v>2640.81</v>
      </c>
      <c r="P11" s="196">
        <f>IFERROR(VLOOKUP(L11,'C-01'!$D:$L,6,0),"")</f>
        <v>2821.08</v>
      </c>
      <c r="Q11" s="196">
        <f>IFERROR(VLOOKUP(L11,'C-01'!$D:$L,7,0),"")</f>
        <v>2766.4</v>
      </c>
      <c r="R11" s="196">
        <f>IFERROR(VLOOKUP(L11,'C-01'!$D:$L,8,0),"")</f>
        <v>3222.24</v>
      </c>
      <c r="S11" s="197">
        <f>IFERROR(VLOOKUP(L11,'C-01'!$D:$L,9,0),"")</f>
        <v>3327.42</v>
      </c>
      <c r="T11" s="198">
        <f>IFS('Painel Geral'!$B$5="Mediana",IFERROR(IF(OR(C11="",Q11=0,Q11=""),"",($C11/$Q11)),""),'Painel Geral'!$B$5="Menor Salário",IFERROR(IF(OR(C11="",Q11=0,Q11=""),"",($C11/$N11)),""),'Painel Geral'!$B$5="1º Quartil",IFERROR(IF(OR(C11="",Q11=0,Q11=""),"",($C11/$O11)),""), 'Painel Geral'!$B$5="Média",IFERROR(IF(OR(C11="",Q11=0,Q11=""),"",($C11/$P11)),""),'Painel Geral'!$B$5="3º Quartil",IFERROR(IF(OR(C11="",Q11=0,Q11=""),"",($C11/$R11)),""),'Painel Geral'!$B$5="Maior Salário",IFERROR(IF(OR(C11="",Q11=0,Q11=""),"",($C11/$S11)),""))</f>
        <v>1.320127241</v>
      </c>
      <c r="U11" s="199" t="str">
        <f t="shared" si="3"/>
        <v>Agressivo</v>
      </c>
      <c r="V11" s="201"/>
      <c r="W11" s="201"/>
      <c r="X11" s="201"/>
      <c r="Y11" s="201"/>
      <c r="Z11" s="201"/>
      <c r="AA11" s="201"/>
      <c r="AB11" s="201"/>
      <c r="AC11" s="201"/>
      <c r="AD11" s="201"/>
      <c r="AE11" s="201"/>
      <c r="AF11" s="201"/>
      <c r="AG11" s="201"/>
      <c r="AH11" s="201"/>
      <c r="AI11" s="201"/>
      <c r="AJ11" s="201"/>
      <c r="AK11" s="201"/>
      <c r="AL11" s="201"/>
      <c r="AM11" s="201"/>
      <c r="AN11" s="201"/>
      <c r="AO11" s="201"/>
      <c r="AP11" s="201"/>
    </row>
    <row r="12" ht="15.75" customHeight="1">
      <c r="A12" s="184" t="s">
        <v>72</v>
      </c>
      <c r="B12" s="185" t="str">
        <f>VLOOKUP(A12,Jobmatch!A:G,2,0)</f>
        <v>ASSISTENTE DE MARKETING</v>
      </c>
      <c r="C12" s="186">
        <f>IFERROR(AVERAGEIF('Folha de Pagamento'!A:A,A12,'Folha de Pagamento'!J:J),"")</f>
        <v>2919</v>
      </c>
      <c r="D12" s="187">
        <v>8.0</v>
      </c>
      <c r="E12" s="185" t="str">
        <f>VLOOKUP(A12,Jobmatch!A:H,3,0)</f>
        <v>Marketing</v>
      </c>
      <c r="F12" s="188" t="s">
        <v>362</v>
      </c>
      <c r="G12" s="190" t="str">
        <f>VLOOKUP(A12,Jobmatch!A:I,4,0)</f>
        <v>23 - ADM PROJETOS</v>
      </c>
      <c r="H12" s="191" t="str">
        <f>VLOOKUP(A12,Jobmatch!A:I,5,0)</f>
        <v>Operacional</v>
      </c>
      <c r="I12" s="192">
        <f>VLOOKUP(A12,Jobmatch!A:I,6,0)</f>
        <v>71</v>
      </c>
      <c r="J12" s="190" t="str">
        <f>VLOOKUP(A12,Jobmatch!A:I,7,0)</f>
        <v>Assistente de Marketing</v>
      </c>
      <c r="K12" s="193" t="str">
        <f>VLOOKUP(A12,Jobmatch!A:I,8,0)</f>
        <v>Indiferente</v>
      </c>
      <c r="L12" s="194" t="str">
        <f t="shared" si="2"/>
        <v>71Indiferente</v>
      </c>
      <c r="M12" s="195">
        <f>COUNTIF('Folha de Pagamento'!A:A,A12)</f>
        <v>1</v>
      </c>
      <c r="N12" s="238">
        <v>11.0</v>
      </c>
      <c r="O12" s="196">
        <f>IFERROR(VLOOKUP(L12,'C-01'!$D:$L,5,0),"")</f>
        <v>2720.21</v>
      </c>
      <c r="P12" s="196">
        <f>IFERROR(VLOOKUP(L12,'C-01'!$D:$L,6,0),"")</f>
        <v>3016.74</v>
      </c>
      <c r="Q12" s="196">
        <f>IFERROR(VLOOKUP(L12,'C-01'!$D:$L,7,0),"")</f>
        <v>2882.27</v>
      </c>
      <c r="R12" s="196">
        <f>IFERROR(VLOOKUP(L12,'C-01'!$D:$L,8,0),"")</f>
        <v>3152.81</v>
      </c>
      <c r="S12" s="197">
        <f>IFERROR(VLOOKUP(L12,'C-01'!$D:$L,9,0),"")</f>
        <v>4078.78</v>
      </c>
      <c r="T12" s="198">
        <f>IFS('Painel Geral'!$B$5="Mediana",IFERROR(IF(OR(C12="",Q12=0,Q12=""),"",($C12/$Q12)),""),'Painel Geral'!$B$5="Menor Salário",IFERROR(IF(OR(C12="",Q12=0,Q12=""),"",($C12/$N12)),""),'Painel Geral'!$B$5="1º Quartil",IFERROR(IF(OR(C12="",Q12=0,Q12=""),"",($C12/$O12)),""), 'Painel Geral'!$B$5="Média",IFERROR(IF(OR(C12="",Q12=0,Q12=""),"",($C12/$P12)),""),'Painel Geral'!$B$5="3º Quartil",IFERROR(IF(OR(C12="",Q12=0,Q12=""),"",($C12/$R12)),""),'Painel Geral'!$B$5="Maior Salário",IFERROR(IF(OR(C12="",Q12=0,Q12=""),"",($C12/$S12)),""))</f>
        <v>1.012743428</v>
      </c>
      <c r="U12" s="199" t="str">
        <f t="shared" si="3"/>
        <v>Competitivo</v>
      </c>
      <c r="V12" s="201"/>
      <c r="W12" s="201"/>
      <c r="X12" s="201"/>
      <c r="Y12" s="201"/>
      <c r="Z12" s="201"/>
      <c r="AA12" s="201"/>
      <c r="AB12" s="201"/>
      <c r="AC12" s="201"/>
      <c r="AD12" s="201"/>
      <c r="AE12" s="201"/>
      <c r="AF12" s="201"/>
      <c r="AG12" s="201"/>
      <c r="AH12" s="201"/>
      <c r="AI12" s="201"/>
      <c r="AJ12" s="201"/>
      <c r="AK12" s="201"/>
      <c r="AL12" s="201"/>
      <c r="AM12" s="201"/>
      <c r="AN12" s="201"/>
      <c r="AO12" s="201"/>
      <c r="AP12" s="201"/>
    </row>
    <row r="13" ht="15.75" customHeight="1">
      <c r="A13" s="184" t="s">
        <v>74</v>
      </c>
      <c r="B13" s="185" t="str">
        <f>VLOOKUP(A13,Jobmatch!A:G,2,0)</f>
        <v>ASSISTENTE DE RECURSOS HUMANOS</v>
      </c>
      <c r="C13" s="186">
        <f>IFERROR(AVERAGEIF('Folha de Pagamento'!A:A,A13,'Folha de Pagamento'!J:J),"")</f>
        <v>2919</v>
      </c>
      <c r="D13" s="187">
        <v>4.0</v>
      </c>
      <c r="E13" s="185" t="str">
        <f>VLOOKUP(A13,Jobmatch!A:H,3,0)</f>
        <v>DHO</v>
      </c>
      <c r="F13" s="188" t="s">
        <v>340</v>
      </c>
      <c r="G13" s="190" t="str">
        <f>VLOOKUP(A13,Jobmatch!A:I,4,0)</f>
        <v>24 - ADM PROJETOS</v>
      </c>
      <c r="H13" s="191" t="str">
        <f>VLOOKUP(A13,Jobmatch!A:I,5,0)</f>
        <v>Operacional</v>
      </c>
      <c r="I13" s="192">
        <f>VLOOKUP(A13,Jobmatch!A:I,6,0)</f>
        <v>77</v>
      </c>
      <c r="J13" s="190" t="str">
        <f>VLOOKUP(A13,Jobmatch!A:I,7,0)</f>
        <v>Assistente de Recursos Humanos</v>
      </c>
      <c r="K13" s="193" t="str">
        <f>VLOOKUP(A13,Jobmatch!A:I,8,0)</f>
        <v>Indiferente</v>
      </c>
      <c r="L13" s="194" t="str">
        <f t="shared" si="2"/>
        <v>77Indiferente</v>
      </c>
      <c r="M13" s="195">
        <f>COUNTIF('Folha de Pagamento'!A:A,A13)</f>
        <v>1</v>
      </c>
      <c r="N13" s="238">
        <v>12.0</v>
      </c>
      <c r="O13" s="196">
        <f>IFERROR(VLOOKUP(L13,'C-01'!$D:$L,5,0),"")</f>
        <v>2619.08</v>
      </c>
      <c r="P13" s="196">
        <f>IFERROR(VLOOKUP(L13,'C-01'!$D:$L,6,0),"")</f>
        <v>3097.88</v>
      </c>
      <c r="Q13" s="196">
        <f>IFERROR(VLOOKUP(L13,'C-01'!$D:$L,7,0),"")</f>
        <v>3080.23</v>
      </c>
      <c r="R13" s="196">
        <f>IFERROR(VLOOKUP(L13,'C-01'!$D:$L,8,0),"")</f>
        <v>3491.33</v>
      </c>
      <c r="S13" s="197">
        <f>IFERROR(VLOOKUP(L13,'C-01'!$D:$L,9,0),"")</f>
        <v>4078.78</v>
      </c>
      <c r="T13" s="198">
        <f>IFS('Painel Geral'!$B$5="Mediana",IFERROR(IF(OR(C13="",Q13=0,Q13=""),"",($C13/$Q13)),""),'Painel Geral'!$B$5="Menor Salário",IFERROR(IF(OR(C13="",Q13=0,Q13=""),"",($C13/$N13)),""),'Painel Geral'!$B$5="1º Quartil",IFERROR(IF(OR(C13="",Q13=0,Q13=""),"",($C13/$O13)),""), 'Painel Geral'!$B$5="Média",IFERROR(IF(OR(C13="",Q13=0,Q13=""),"",($C13/$P13)),""),'Painel Geral'!$B$5="3º Quartil",IFERROR(IF(OR(C13="",Q13=0,Q13=""),"",($C13/$R13)),""),'Painel Geral'!$B$5="Maior Salário",IFERROR(IF(OR(C13="",Q13=0,Q13=""),"",($C13/$S13)),""))</f>
        <v>0.9476565062</v>
      </c>
      <c r="U13" s="199" t="str">
        <f t="shared" si="3"/>
        <v>Na Média</v>
      </c>
      <c r="V13" s="201"/>
      <c r="W13" s="201"/>
      <c r="X13" s="201"/>
      <c r="Y13" s="201"/>
      <c r="Z13" s="201"/>
      <c r="AA13" s="201"/>
      <c r="AB13" s="201"/>
      <c r="AC13" s="201"/>
      <c r="AD13" s="201"/>
      <c r="AE13" s="201"/>
      <c r="AF13" s="201"/>
      <c r="AG13" s="201"/>
      <c r="AH13" s="201"/>
      <c r="AI13" s="201"/>
      <c r="AJ13" s="201"/>
      <c r="AK13" s="201"/>
      <c r="AL13" s="201"/>
      <c r="AM13" s="201"/>
      <c r="AN13" s="201"/>
      <c r="AO13" s="201"/>
      <c r="AP13" s="201"/>
    </row>
    <row r="14" ht="15.75" customHeight="1">
      <c r="A14" s="184" t="s">
        <v>18</v>
      </c>
      <c r="B14" s="185" t="str">
        <f>VLOOKUP(A14,Jobmatch!A:G,2,0)</f>
        <v>ALMOXARIFE</v>
      </c>
      <c r="C14" s="186">
        <f>IFERROR(AVERAGEIF('Folha de Pagamento'!A:A,A14,'Folha de Pagamento'!J:J),"")</f>
        <v>3683</v>
      </c>
      <c r="D14" s="187">
        <v>5.0</v>
      </c>
      <c r="E14" s="185" t="str">
        <f>VLOOKUP(A14,Jobmatch!A:H,3,0)</f>
        <v>Edificação</v>
      </c>
      <c r="F14" s="188" t="s">
        <v>211</v>
      </c>
      <c r="G14" s="190" t="str">
        <f>VLOOKUP(A14,Jobmatch!A:I,4,0)</f>
        <v>8 - ADM PROJETOS</v>
      </c>
      <c r="H14" s="191" t="str">
        <f>VLOOKUP(A14,Jobmatch!A:I,5,0)</f>
        <v>Operacional</v>
      </c>
      <c r="I14" s="192">
        <f>VLOOKUP(A14,Jobmatch!A:I,6,0)</f>
        <v>203</v>
      </c>
      <c r="J14" s="190" t="str">
        <f>VLOOKUP(A14,Jobmatch!A:I,7,0)</f>
        <v>Almoxarife</v>
      </c>
      <c r="K14" s="193" t="str">
        <f>VLOOKUP(A14,Jobmatch!A:I,8,0)</f>
        <v>Indiferente</v>
      </c>
      <c r="L14" s="194" t="str">
        <f t="shared" si="2"/>
        <v>203Indiferente</v>
      </c>
      <c r="M14" s="195">
        <f>COUNTIF('Folha de Pagamento'!A:A,A14)</f>
        <v>2</v>
      </c>
      <c r="N14" s="238">
        <v>12.0</v>
      </c>
      <c r="O14" s="196">
        <f>IFERROR(VLOOKUP(L14,'C-01'!$D:$L,5,0),"")</f>
        <v>3088.9</v>
      </c>
      <c r="P14" s="196">
        <f>IFERROR(VLOOKUP(L14,'C-01'!$D:$L,6,0),"")</f>
        <v>3397.38</v>
      </c>
      <c r="Q14" s="196">
        <f>IFERROR(VLOOKUP(L14,'C-01'!$D:$L,7,0),"")</f>
        <v>3088.9</v>
      </c>
      <c r="R14" s="196">
        <f>IFERROR(VLOOKUP(L14,'C-01'!$D:$L,8,0),"")</f>
        <v>3703.26</v>
      </c>
      <c r="S14" s="197">
        <f>IFERROR(VLOOKUP(L14,'C-01'!$D:$L,9,0),"")</f>
        <v>4425.21</v>
      </c>
      <c r="T14" s="198">
        <f>IFS('Painel Geral'!$B$5="Mediana",IFERROR(IF(OR(C14="",Q14=0,Q14=""),"",($C14/$Q14)),""),'Painel Geral'!$B$5="Menor Salário",IFERROR(IF(OR(C14="",Q14=0,Q14=""),"",($C14/$N14)),""),'Painel Geral'!$B$5="1º Quartil",IFERROR(IF(OR(C14="",Q14=0,Q14=""),"",($C14/$O14)),""), 'Painel Geral'!$B$5="Média",IFERROR(IF(OR(C14="",Q14=0,Q14=""),"",($C14/$P14)),""),'Painel Geral'!$B$5="3º Quartil",IFERROR(IF(OR(C14="",Q14=0,Q14=""),"",($C14/$R14)),""),'Painel Geral'!$B$5="Maior Salário",IFERROR(IF(OR(C14="",Q14=0,Q14=""),"",($C14/$S14)),""))</f>
        <v>1.192333841</v>
      </c>
      <c r="U14" s="199" t="str">
        <f t="shared" si="3"/>
        <v>Muito Competitivo</v>
      </c>
      <c r="V14" s="201"/>
      <c r="W14" s="201"/>
      <c r="X14" s="201"/>
      <c r="Y14" s="201"/>
      <c r="Z14" s="201"/>
      <c r="AA14" s="201"/>
      <c r="AB14" s="201"/>
      <c r="AC14" s="201"/>
      <c r="AD14" s="201"/>
      <c r="AE14" s="201"/>
      <c r="AF14" s="201"/>
      <c r="AG14" s="201"/>
      <c r="AH14" s="201"/>
      <c r="AI14" s="201"/>
      <c r="AJ14" s="201"/>
      <c r="AK14" s="201"/>
      <c r="AL14" s="201"/>
      <c r="AM14" s="201"/>
      <c r="AN14" s="201"/>
      <c r="AO14" s="201"/>
      <c r="AP14" s="201"/>
    </row>
    <row r="15" ht="15.75" customHeight="1">
      <c r="A15" s="184" t="s">
        <v>61</v>
      </c>
      <c r="B15" s="185" t="str">
        <f>VLOOKUP(A15,Jobmatch!A:G,2,0)</f>
        <v>ASSISTENTE ADM DE LEGALIZAÇÃO III</v>
      </c>
      <c r="C15" s="186">
        <f>IFERROR(AVERAGEIF('Folha de Pagamento'!A:A,A15,'Folha de Pagamento'!J:J),"")</f>
        <v>3652</v>
      </c>
      <c r="D15" s="187">
        <v>7.0</v>
      </c>
      <c r="E15" s="185" t="str">
        <f>VLOOKUP(A15,Jobmatch!A:H,3,0)</f>
        <v>Legalização </v>
      </c>
      <c r="F15" s="188" t="s">
        <v>358</v>
      </c>
      <c r="G15" s="190" t="str">
        <f>VLOOKUP(A15,Jobmatch!A:I,4,0)</f>
        <v>19 - ADM PROJETOS</v>
      </c>
      <c r="H15" s="191" t="str">
        <f>VLOOKUP(A15,Jobmatch!A:I,5,0)</f>
        <v>Operacional</v>
      </c>
      <c r="I15" s="192">
        <f>VLOOKUP(A15,Jobmatch!A:I,6,0)</f>
        <v>1201</v>
      </c>
      <c r="J15" s="190" t="str">
        <f>VLOOKUP(A15,Jobmatch!A:I,7,0)</f>
        <v>Assistente de Legalização</v>
      </c>
      <c r="K15" s="193" t="str">
        <f>VLOOKUP(A15,Jobmatch!A:I,8,0)</f>
        <v>Indiferente</v>
      </c>
      <c r="L15" s="194" t="str">
        <f t="shared" si="2"/>
        <v>1201Indiferente</v>
      </c>
      <c r="M15" s="195">
        <f>COUNTIF('Folha de Pagamento'!A:A,A15)</f>
        <v>2</v>
      </c>
      <c r="N15" s="238">
        <v>12.0</v>
      </c>
      <c r="O15" s="196">
        <f>IFERROR(VLOOKUP(L15,'C-01'!$D:$L,5,0),"")</f>
        <v>2803.34</v>
      </c>
      <c r="P15" s="196">
        <f>IFERROR(VLOOKUP(L15,'C-01'!$D:$L,6,0),"")</f>
        <v>3092.92</v>
      </c>
      <c r="Q15" s="196">
        <f>IFERROR(VLOOKUP(L15,'C-01'!$D:$L,7,0),"")</f>
        <v>3092.92</v>
      </c>
      <c r="R15" s="196">
        <f>IFERROR(VLOOKUP(L15,'C-01'!$D:$L,8,0),"")</f>
        <v>3382.51</v>
      </c>
      <c r="S15" s="197">
        <f>IFERROR(VLOOKUP(L15,'C-01'!$D:$L,9,0),"")</f>
        <v>3672.09</v>
      </c>
      <c r="T15" s="198">
        <f>IFS('Painel Geral'!$B$5="Mediana",IFERROR(IF(OR(C15="",Q15=0,Q15=""),"",($C15/$Q15)),""),'Painel Geral'!$B$5="Menor Salário",IFERROR(IF(OR(C15="",Q15=0,Q15=""),"",($C15/$N15)),""),'Painel Geral'!$B$5="1º Quartil",IFERROR(IF(OR(C15="",Q15=0,Q15=""),"",($C15/$O15)),""), 'Painel Geral'!$B$5="Média",IFERROR(IF(OR(C15="",Q15=0,Q15=""),"",($C15/$P15)),""),'Painel Geral'!$B$5="3º Quartil",IFERROR(IF(OR(C15="",Q15=0,Q15=""),"",($C15/$R15)),""),'Painel Geral'!$B$5="Maior Salário",IFERROR(IF(OR(C15="",Q15=0,Q15=""),"",($C15/$S15)),""))</f>
        <v>1.180761222</v>
      </c>
      <c r="U15" s="199" t="str">
        <f t="shared" si="3"/>
        <v>Muito Competitivo</v>
      </c>
      <c r="V15" s="201"/>
      <c r="W15" s="201"/>
      <c r="X15" s="201"/>
      <c r="Y15" s="201"/>
      <c r="Z15" s="201"/>
      <c r="AA15" s="201"/>
      <c r="AB15" s="201"/>
      <c r="AC15" s="201"/>
      <c r="AD15" s="201"/>
      <c r="AE15" s="201"/>
      <c r="AF15" s="201"/>
      <c r="AG15" s="201"/>
      <c r="AH15" s="201"/>
      <c r="AI15" s="201"/>
      <c r="AJ15" s="201"/>
      <c r="AK15" s="218"/>
      <c r="AL15" s="218"/>
      <c r="AM15" s="218"/>
      <c r="AN15" s="218"/>
      <c r="AO15" s="218"/>
      <c r="AP15" s="218">
        <v>0.03</v>
      </c>
    </row>
    <row r="16" ht="15.75" customHeight="1">
      <c r="A16" s="184" t="s">
        <v>58</v>
      </c>
      <c r="B16" s="185" t="str">
        <f>VLOOKUP(A16,Jobmatch!A:G,2,0)</f>
        <v>ANALISTA FINANCEIRO I</v>
      </c>
      <c r="C16" s="186">
        <f>IFERROR(AVERAGEIF('Folha de Pagamento'!A:A,A16,'Folha de Pagamento'!J:J),"")</f>
        <v>3993</v>
      </c>
      <c r="D16" s="187">
        <v>6.0</v>
      </c>
      <c r="E16" s="185" t="str">
        <f>VLOOKUP(A16,Jobmatch!A:H,3,0)</f>
        <v>Financeiro</v>
      </c>
      <c r="F16" s="188" t="s">
        <v>353</v>
      </c>
      <c r="G16" s="190" t="str">
        <f>VLOOKUP(A16,Jobmatch!A:I,4,0)</f>
        <v>18 - ADM PROJETOS</v>
      </c>
      <c r="H16" s="191" t="str">
        <f>VLOOKUP(A16,Jobmatch!A:I,5,0)</f>
        <v>Operacional</v>
      </c>
      <c r="I16" s="192">
        <f>VLOOKUP(A16,Jobmatch!A:I,6,0)</f>
        <v>16</v>
      </c>
      <c r="J16" s="190" t="str">
        <f>VLOOKUP(A16,Jobmatch!A:I,7,0)</f>
        <v>Analista Financeiro</v>
      </c>
      <c r="K16" s="193" t="str">
        <f>VLOOKUP(A16,Jobmatch!A:I,8,0)</f>
        <v>Júnior</v>
      </c>
      <c r="L16" s="194" t="str">
        <f t="shared" si="2"/>
        <v>16Júnior</v>
      </c>
      <c r="M16" s="195">
        <f>COUNTIF('Folha de Pagamento'!A:A,A16)</f>
        <v>1</v>
      </c>
      <c r="N16" s="238">
        <v>13.0</v>
      </c>
      <c r="O16" s="196">
        <f>IFERROR(VLOOKUP(L16,'C-01'!$D:$L,5,0),"")</f>
        <v>3176.35</v>
      </c>
      <c r="P16" s="196">
        <f>IFERROR(VLOOKUP(L16,'C-01'!$D:$L,6,0),"")</f>
        <v>3539.11</v>
      </c>
      <c r="Q16" s="196">
        <f>IFERROR(VLOOKUP(L16,'C-01'!$D:$L,7,0),"")</f>
        <v>3493.97</v>
      </c>
      <c r="R16" s="196">
        <f>IFERROR(VLOOKUP(L16,'C-01'!$D:$L,8,0),"")</f>
        <v>3798.49</v>
      </c>
      <c r="S16" s="197">
        <f>IFERROR(VLOOKUP(L16,'C-01'!$D:$L,9,0),"")</f>
        <v>4392.23</v>
      </c>
      <c r="T16" s="198">
        <f>IFS('Painel Geral'!$B$5="Mediana",IFERROR(IF(OR(C16="",Q16=0,Q16=""),"",($C16/$Q16)),""),'Painel Geral'!$B$5="Menor Salário",IFERROR(IF(OR(C16="",Q16=0,Q16=""),"",($C16/$N16)),""),'Painel Geral'!$B$5="1º Quartil",IFERROR(IF(OR(C16="",Q16=0,Q16=""),"",($C16/$O16)),""), 'Painel Geral'!$B$5="Média",IFERROR(IF(OR(C16="",Q16=0,Q16=""),"",($C16/$P16)),""),'Painel Geral'!$B$5="3º Quartil",IFERROR(IF(OR(C16="",Q16=0,Q16=""),"",($C16/$R16)),""),'Painel Geral'!$B$5="Maior Salário",IFERROR(IF(OR(C16="",Q16=0,Q16=""),"",($C16/$S16)),""))</f>
        <v>1.142826069</v>
      </c>
      <c r="U16" s="199" t="str">
        <f t="shared" si="3"/>
        <v>Muito Competitivo</v>
      </c>
      <c r="V16" s="201"/>
      <c r="W16" s="201"/>
      <c r="X16" s="201"/>
      <c r="Y16" s="201"/>
      <c r="Z16" s="201"/>
      <c r="AA16" s="201"/>
      <c r="AB16" s="201"/>
      <c r="AC16" s="201"/>
      <c r="AD16" s="201"/>
      <c r="AE16" s="201"/>
      <c r="AF16" s="201"/>
      <c r="AG16" s="201"/>
      <c r="AH16" s="201"/>
      <c r="AI16" s="201"/>
      <c r="AJ16" s="201"/>
      <c r="AK16" s="201"/>
      <c r="AL16" s="201"/>
      <c r="AM16" s="201"/>
      <c r="AN16" s="201"/>
      <c r="AO16" s="201"/>
      <c r="AP16" s="201"/>
    </row>
    <row r="17" ht="15.75" customHeight="1">
      <c r="A17" s="184" t="s">
        <v>43</v>
      </c>
      <c r="B17" s="185" t="str">
        <f>VLOOKUP(A17,Jobmatch!A:G,2,0)</f>
        <v>ANALISTA DE MARKETING l</v>
      </c>
      <c r="C17" s="186">
        <f>IFERROR(AVERAGEIF('Folha de Pagamento'!A:A,A17,'Folha de Pagamento'!J:J),"")</f>
        <v>4025.88</v>
      </c>
      <c r="D17" s="187">
        <v>8.0</v>
      </c>
      <c r="E17" s="185" t="str">
        <f>VLOOKUP(A17,Jobmatch!A:H,3,0)</f>
        <v>Marketing</v>
      </c>
      <c r="F17" s="188" t="s">
        <v>361</v>
      </c>
      <c r="G17" s="190" t="str">
        <f>VLOOKUP(A17,Jobmatch!A:I,4,0)</f>
        <v>13 - ADM PROJETOS</v>
      </c>
      <c r="H17" s="191" t="str">
        <f>VLOOKUP(A17,Jobmatch!A:I,5,0)</f>
        <v>Operacional</v>
      </c>
      <c r="I17" s="192">
        <f>VLOOKUP(A17,Jobmatch!A:I,6,0)</f>
        <v>42</v>
      </c>
      <c r="J17" s="190" t="str">
        <f>VLOOKUP(A17,Jobmatch!A:I,7,0)</f>
        <v>Analista de Marketing</v>
      </c>
      <c r="K17" s="193" t="str">
        <f>VLOOKUP(A17,Jobmatch!A:I,8,0)</f>
        <v>Júnior</v>
      </c>
      <c r="L17" s="194" t="str">
        <f t="shared" si="2"/>
        <v>42Júnior</v>
      </c>
      <c r="M17" s="195">
        <f>COUNTIF('Folha de Pagamento'!A:A,A17)</f>
        <v>1</v>
      </c>
      <c r="N17" s="238">
        <v>13.0</v>
      </c>
      <c r="O17" s="196">
        <f>IFERROR(VLOOKUP(L17,'C-01'!$D:$L,5,0),"")</f>
        <v>3503.85</v>
      </c>
      <c r="P17" s="196">
        <f>IFERROR(VLOOKUP(L17,'C-01'!$D:$L,6,0),"")</f>
        <v>3792.81</v>
      </c>
      <c r="Q17" s="196">
        <f>IFERROR(VLOOKUP(L17,'C-01'!$D:$L,7,0),"")</f>
        <v>3674.96</v>
      </c>
      <c r="R17" s="196">
        <f>IFERROR(VLOOKUP(L17,'C-01'!$D:$L,8,0),"")</f>
        <v>3977.13</v>
      </c>
      <c r="S17" s="197">
        <f>IFERROR(VLOOKUP(L17,'C-01'!$D:$L,9,0),"")</f>
        <v>5225.68</v>
      </c>
      <c r="T17" s="198">
        <f>IFS('Painel Geral'!$B$5="Mediana",IFERROR(IF(OR(C17="",Q17=0,Q17=""),"",($C17/$Q17)),""),'Painel Geral'!$B$5="Menor Salário",IFERROR(IF(OR(C17="",Q17=0,Q17=""),"",($C17/$N17)),""),'Painel Geral'!$B$5="1º Quartil",IFERROR(IF(OR(C17="",Q17=0,Q17=""),"",($C17/$O17)),""), 'Painel Geral'!$B$5="Média",IFERROR(IF(OR(C17="",Q17=0,Q17=""),"",($C17/$P17)),""),'Painel Geral'!$B$5="3º Quartil",IFERROR(IF(OR(C17="",Q17=0,Q17=""),"",($C17/$R17)),""),'Painel Geral'!$B$5="Maior Salário",IFERROR(IF(OR(C17="",Q17=0,Q17=""),"",($C17/$S17)),""))</f>
        <v>1.095489475</v>
      </c>
      <c r="U17" s="199" t="str">
        <f t="shared" si="3"/>
        <v>Competitivo</v>
      </c>
      <c r="V17" s="201"/>
      <c r="W17" s="201"/>
      <c r="X17" s="201"/>
      <c r="Y17" s="201"/>
      <c r="Z17" s="201"/>
      <c r="AA17" s="201"/>
      <c r="AB17" s="201"/>
      <c r="AC17" s="201"/>
      <c r="AD17" s="201"/>
      <c r="AE17" s="201"/>
      <c r="AF17" s="201"/>
      <c r="AG17" s="201"/>
      <c r="AH17" s="201"/>
      <c r="AI17" s="201"/>
      <c r="AJ17" s="201"/>
      <c r="AK17" s="201"/>
      <c r="AL17" s="201"/>
      <c r="AM17" s="201"/>
      <c r="AN17" s="201"/>
      <c r="AO17" s="201"/>
      <c r="AP17" s="201"/>
    </row>
    <row r="18" ht="15.75" customHeight="1">
      <c r="A18" s="184" t="s">
        <v>70</v>
      </c>
      <c r="B18" s="185" t="str">
        <f>VLOOKUP(A18,Jobmatch!A:G,2,0)</f>
        <v>ASSISTENTE DE ENGENHARIA lll</v>
      </c>
      <c r="C18" s="186">
        <f>IFERROR(AVERAGEIF('Folha de Pagamento'!A:A,A18,'Folha de Pagamento'!J:J),"")</f>
        <v>3652</v>
      </c>
      <c r="D18" s="187">
        <v>5.0</v>
      </c>
      <c r="E18" s="185" t="str">
        <f>VLOOKUP(A18,Jobmatch!A:H,3,0)</f>
        <v>Edificação</v>
      </c>
      <c r="F18" s="188" t="s">
        <v>344</v>
      </c>
      <c r="G18" s="190" t="str">
        <f>VLOOKUP(A18,Jobmatch!A:I,4,0)</f>
        <v>22 - ADM PROJETOS</v>
      </c>
      <c r="H18" s="191" t="str">
        <f>VLOOKUP(A18,Jobmatch!A:I,5,0)</f>
        <v>Operacional</v>
      </c>
      <c r="I18" s="192">
        <f>VLOOKUP(A18,Jobmatch!A:I,6,0)</f>
        <v>531</v>
      </c>
      <c r="J18" s="190" t="str">
        <f>VLOOKUP(A18,Jobmatch!A:I,7,0)</f>
        <v>Assistente de Engenharia</v>
      </c>
      <c r="K18" s="193" t="str">
        <f>VLOOKUP(A18,Jobmatch!A:I,8,0)</f>
        <v>Indiferente</v>
      </c>
      <c r="L18" s="194" t="str">
        <f t="shared" si="2"/>
        <v>531Indiferente</v>
      </c>
      <c r="M18" s="195">
        <f>COUNTIF('Folha de Pagamento'!A:A,A18)</f>
        <v>1</v>
      </c>
      <c r="N18" s="238">
        <v>13.0</v>
      </c>
      <c r="O18" s="196">
        <f>IFERROR(VLOOKUP(L18,'C-01'!$D:$L,5,0),"")</f>
        <v>3945.44</v>
      </c>
      <c r="P18" s="196">
        <f>IFERROR(VLOOKUP(L18,'C-01'!$D:$L,6,0),"")</f>
        <v>4031.84</v>
      </c>
      <c r="Q18" s="196">
        <f>IFERROR(VLOOKUP(L18,'C-01'!$D:$L,7,0),"")</f>
        <v>3945.44</v>
      </c>
      <c r="R18" s="196">
        <f>IFERROR(VLOOKUP(L18,'C-01'!$D:$L,8,0),"")</f>
        <v>3945.44</v>
      </c>
      <c r="S18" s="197">
        <f>IFERROR(VLOOKUP(L18,'C-01'!$D:$L,9,0),"")</f>
        <v>5084.96</v>
      </c>
      <c r="T18" s="198">
        <f>IFS('Painel Geral'!$B$5="Mediana",IFERROR(IF(OR(C18="",Q18=0,Q18=""),"",($C18/$Q18)),""),'Painel Geral'!$B$5="Menor Salário",IFERROR(IF(OR(C18="",Q18=0,Q18=""),"",($C18/$N18)),""),'Painel Geral'!$B$5="1º Quartil",IFERROR(IF(OR(C18="",Q18=0,Q18=""),"",($C18/$O18)),""), 'Painel Geral'!$B$5="Média",IFERROR(IF(OR(C18="",Q18=0,Q18=""),"",($C18/$P18)),""),'Painel Geral'!$B$5="3º Quartil",IFERROR(IF(OR(C18="",Q18=0,Q18=""),"",($C18/$R18)),""),'Painel Geral'!$B$5="Maior Salário",IFERROR(IF(OR(C18="",Q18=0,Q18=""),"",($C18/$S18)),""))</f>
        <v>0.9256255323</v>
      </c>
      <c r="U18" s="199" t="str">
        <f t="shared" si="3"/>
        <v>Na Média</v>
      </c>
      <c r="V18" s="201"/>
      <c r="W18" s="201"/>
      <c r="X18" s="201"/>
      <c r="Y18" s="201"/>
      <c r="Z18" s="201"/>
      <c r="AA18" s="201"/>
      <c r="AB18" s="201"/>
      <c r="AC18" s="201"/>
      <c r="AD18" s="201"/>
      <c r="AE18" s="201"/>
      <c r="AF18" s="201"/>
      <c r="AG18" s="201"/>
      <c r="AH18" s="201"/>
      <c r="AI18" s="201"/>
      <c r="AJ18" s="201"/>
      <c r="AK18" s="239">
        <v>1907.0</v>
      </c>
      <c r="AL18" s="220">
        <f>AK18*AN27</f>
        <v>1922.469798</v>
      </c>
      <c r="AM18" s="221"/>
      <c r="AN18" s="201"/>
      <c r="AO18" s="201"/>
      <c r="AP18" s="201"/>
    </row>
    <row r="19" ht="15.75" customHeight="1">
      <c r="A19" s="184" t="s">
        <v>186</v>
      </c>
      <c r="B19" s="185" t="str">
        <f>VLOOKUP(A19,Jobmatch!A:G,2,0)</f>
        <v>TECNOLOGO EM CONSTRUÇÃO DE EDIFICIOS</v>
      </c>
      <c r="C19" s="186">
        <f>IFERROR(AVERAGEIF('Folha de Pagamento'!A:A,A19,'Folha de Pagamento'!J:J),"")</f>
        <v>8585</v>
      </c>
      <c r="D19" s="187">
        <v>5.0</v>
      </c>
      <c r="E19" s="185" t="str">
        <f>VLOOKUP(A19,Jobmatch!A:H,3,0)</f>
        <v>Edificação</v>
      </c>
      <c r="F19" s="188" t="s">
        <v>350</v>
      </c>
      <c r="G19" s="190" t="str">
        <f>VLOOKUP(A19,Jobmatch!A:I,4,0)</f>
        <v>61 - ADM PROJETOS</v>
      </c>
      <c r="H19" s="191" t="str">
        <f>VLOOKUP(A19,Jobmatch!A:I,5,0)</f>
        <v>Operacional</v>
      </c>
      <c r="I19" s="192">
        <f>VLOOKUP(A19,Jobmatch!A:I,6,0)</f>
        <v>269</v>
      </c>
      <c r="J19" s="190" t="str">
        <f>VLOOKUP(A19,Jobmatch!A:I,7,0)</f>
        <v>Técnico em Edificações</v>
      </c>
      <c r="K19" s="193" t="str">
        <f>VLOOKUP(A19,Jobmatch!A:I,8,0)</f>
        <v>Indiferente</v>
      </c>
      <c r="L19" s="194" t="str">
        <f t="shared" si="2"/>
        <v>269Indiferente</v>
      </c>
      <c r="M19" s="195">
        <f>COUNTIF('Folha de Pagamento'!A:A,A19)</f>
        <v>1</v>
      </c>
      <c r="N19" s="238">
        <v>14.0</v>
      </c>
      <c r="O19" s="196">
        <f>IFERROR(VLOOKUP(L19,'C-01'!$D:$L,5,0),"")</f>
        <v>3732.17</v>
      </c>
      <c r="P19" s="196">
        <f>IFERROR(VLOOKUP(L19,'C-01'!$D:$L,6,0),"")</f>
        <v>4583.42</v>
      </c>
      <c r="Q19" s="196">
        <f>IFERROR(VLOOKUP(L19,'C-01'!$D:$L,7,0),"")</f>
        <v>4022.01</v>
      </c>
      <c r="R19" s="196">
        <f>IFERROR(VLOOKUP(L19,'C-01'!$D:$L,8,0),"")</f>
        <v>4417.17</v>
      </c>
      <c r="S19" s="197">
        <f>IFERROR(VLOOKUP(L19,'C-01'!$D:$L,9,0),"")</f>
        <v>9075.39</v>
      </c>
      <c r="T19" s="198">
        <f>IFS('Painel Geral'!$B$5="Mediana",IFERROR(IF(OR(C19="",Q19=0,Q19=""),"",($C19/$Q19)),""),'Painel Geral'!$B$5="Menor Salário",IFERROR(IF(OR(C19="",Q19=0,Q19=""),"",($C19/$N19)),""),'Painel Geral'!$B$5="1º Quartil",IFERROR(IF(OR(C19="",Q19=0,Q19=""),"",($C19/$O19)),""), 'Painel Geral'!$B$5="Média",IFERROR(IF(OR(C19="",Q19=0,Q19=""),"",($C19/$P19)),""),'Painel Geral'!$B$5="3º Quartil",IFERROR(IF(OR(C19="",Q19=0,Q19=""),"",($C19/$R19)),""),'Painel Geral'!$B$5="Maior Salário",IFERROR(IF(OR(C19="",Q19=0,Q19=""),"",($C19/$S19)),""))</f>
        <v>2.134504887</v>
      </c>
      <c r="U19" s="199" t="str">
        <f t="shared" si="3"/>
        <v>Agressivo</v>
      </c>
      <c r="V19" s="201"/>
      <c r="W19" s="201"/>
      <c r="X19" s="201"/>
      <c r="Y19" s="201"/>
      <c r="Z19" s="201"/>
      <c r="AA19" s="201"/>
      <c r="AB19" s="201"/>
      <c r="AC19" s="201"/>
      <c r="AD19" s="201"/>
      <c r="AE19" s="201"/>
      <c r="AF19" s="201"/>
      <c r="AG19" s="201"/>
      <c r="AH19" s="201"/>
      <c r="AI19" s="201"/>
      <c r="AJ19" s="201"/>
      <c r="AK19" s="222">
        <v>45778.0</v>
      </c>
      <c r="AL19" s="221"/>
      <c r="AM19" s="221"/>
      <c r="AN19" s="201"/>
      <c r="AO19" s="201"/>
      <c r="AP19" s="201"/>
    </row>
    <row r="20" ht="15.75" customHeight="1">
      <c r="A20" s="184" t="s">
        <v>29</v>
      </c>
      <c r="B20" s="185" t="str">
        <f>VLOOKUP(A20,Jobmatch!A:G,2,0)</f>
        <v>ANALISTA DE CRIAÇAO</v>
      </c>
      <c r="C20" s="186">
        <f>IFERROR(AVERAGEIF('Folha de Pagamento'!A:A,A20,'Folha de Pagamento'!J:J),"")</f>
        <v>5429</v>
      </c>
      <c r="D20" s="187">
        <v>8.0</v>
      </c>
      <c r="E20" s="185" t="str">
        <f>VLOOKUP(A20,Jobmatch!A:H,3,0)</f>
        <v>Marketing</v>
      </c>
      <c r="F20" s="188" t="s">
        <v>360</v>
      </c>
      <c r="G20" s="190" t="str">
        <f>VLOOKUP(A20,Jobmatch!A:I,4,0)</f>
        <v>10 - ADM PROJETOS</v>
      </c>
      <c r="H20" s="191" t="str">
        <f>VLOOKUP(A20,Jobmatch!A:I,5,0)</f>
        <v>Operacional</v>
      </c>
      <c r="I20" s="192">
        <f>VLOOKUP(A20,Jobmatch!A:I,6,0)</f>
        <v>45</v>
      </c>
      <c r="J20" s="190" t="str">
        <f>VLOOKUP(A20,Jobmatch!A:I,7,0)</f>
        <v>Analista de Criação</v>
      </c>
      <c r="K20" s="193" t="str">
        <f>VLOOKUP(A20,Jobmatch!A:I,8,0)</f>
        <v>Indiferente</v>
      </c>
      <c r="L20" s="194" t="str">
        <f t="shared" si="2"/>
        <v>45Indiferente</v>
      </c>
      <c r="M20" s="195">
        <f>COUNTIF('Folha de Pagamento'!A:A,A20)</f>
        <v>1</v>
      </c>
      <c r="N20" s="238">
        <v>14.0</v>
      </c>
      <c r="O20" s="196">
        <f>IFERROR(VLOOKUP(L20,'C-01'!$D:$L,5,0),"")</f>
        <v>3527.33</v>
      </c>
      <c r="P20" s="196">
        <f>IFERROR(VLOOKUP(L20,'C-01'!$D:$L,6,0),"")</f>
        <v>4325.16</v>
      </c>
      <c r="Q20" s="196">
        <f>IFERROR(VLOOKUP(L20,'C-01'!$D:$L,7,0),"")</f>
        <v>4325.72</v>
      </c>
      <c r="R20" s="196">
        <f>IFERROR(VLOOKUP(L20,'C-01'!$D:$L,8,0),"")</f>
        <v>4988.66</v>
      </c>
      <c r="S20" s="197">
        <f>IFERROR(VLOOKUP(L20,'C-01'!$D:$L,9,0),"")</f>
        <v>6418.74</v>
      </c>
      <c r="T20" s="198">
        <f>IFS('Painel Geral'!$B$5="Mediana",IFERROR(IF(OR(C20="",Q20=0,Q20=""),"",($C20/$Q20)),""),'Painel Geral'!$B$5="Menor Salário",IFERROR(IF(OR(C20="",Q20=0,Q20=""),"",($C20/$N20)),""),'Painel Geral'!$B$5="1º Quartil",IFERROR(IF(OR(C20="",Q20=0,Q20=""),"",($C20/$O20)),""), 'Painel Geral'!$B$5="Média",IFERROR(IF(OR(C20="",Q20=0,Q20=""),"",($C20/$P20)),""),'Painel Geral'!$B$5="3º Quartil",IFERROR(IF(OR(C20="",Q20=0,Q20=""),"",($C20/$R20)),""),'Painel Geral'!$B$5="Maior Salário",IFERROR(IF(OR(C20="",Q20=0,Q20=""),"",($C20/$S20)),""))</f>
        <v>1.255051182</v>
      </c>
      <c r="U20" s="199" t="str">
        <f t="shared" si="3"/>
        <v>Agressivo</v>
      </c>
      <c r="V20" s="201"/>
      <c r="W20" s="201"/>
      <c r="X20" s="201"/>
      <c r="Y20" s="201"/>
      <c r="Z20" s="201"/>
      <c r="AA20" s="201"/>
      <c r="AB20" s="201"/>
      <c r="AC20" s="201"/>
      <c r="AD20" s="201"/>
      <c r="AE20" s="201"/>
      <c r="AF20" s="201"/>
      <c r="AG20" s="201"/>
      <c r="AH20" s="201"/>
      <c r="AI20" s="201"/>
      <c r="AJ20" s="201"/>
      <c r="AK20" s="223">
        <v>0.23</v>
      </c>
      <c r="AL20" s="220">
        <f t="shared" ref="AL20:AL25" si="4">1+(AK20/100)</f>
        <v>1.0023</v>
      </c>
      <c r="AM20" s="220">
        <f>AL20</f>
        <v>1.0023</v>
      </c>
      <c r="AN20" s="201"/>
      <c r="AO20" s="201"/>
      <c r="AP20" s="201"/>
    </row>
    <row r="21" ht="15.75" customHeight="1">
      <c r="A21" s="184" t="s">
        <v>33</v>
      </c>
      <c r="B21" s="185" t="str">
        <f>VLOOKUP(A21,Jobmatch!A:G,2,0)</f>
        <v>ANALISTA DE INOVAÇÃO</v>
      </c>
      <c r="C21" s="186">
        <f>IFERROR(AVERAGEIF('Folha de Pagamento'!A:A,A21,'Folha de Pagamento'!J:J),"")</f>
        <v>7299.270073</v>
      </c>
      <c r="D21" s="187">
        <v>7.0</v>
      </c>
      <c r="E21" s="185" t="str">
        <f>VLOOKUP(A21,Jobmatch!A:H,3,0)</f>
        <v>Inovação</v>
      </c>
      <c r="F21" s="188" t="s">
        <v>357</v>
      </c>
      <c r="G21" s="190" t="str">
        <f>VLOOKUP(A21,Jobmatch!A:I,4,0)</f>
        <v>11 - ADM PROJETOS</v>
      </c>
      <c r="H21" s="191" t="str">
        <f>VLOOKUP(A21,Jobmatch!A:I,5,0)</f>
        <v>Tático</v>
      </c>
      <c r="I21" s="192">
        <f>VLOOKUP(A21,Jobmatch!A:I,6,0)</f>
        <v>437</v>
      </c>
      <c r="J21" s="190" t="str">
        <f>VLOOKUP(A21,Jobmatch!A:I,7,0)</f>
        <v>Analista de Inovação</v>
      </c>
      <c r="K21" s="193" t="str">
        <f>VLOOKUP(A21,Jobmatch!A:I,8,0)</f>
        <v>Indiferente</v>
      </c>
      <c r="L21" s="194" t="str">
        <f t="shared" si="2"/>
        <v>437Indiferente</v>
      </c>
      <c r="M21" s="195">
        <f>COUNTIF('Folha de Pagamento'!A:A,A21)</f>
        <v>1</v>
      </c>
      <c r="N21" s="238">
        <v>15.0</v>
      </c>
      <c r="O21" s="196">
        <f>IFERROR(VLOOKUP(L21,'C-01'!$D:$L,5,0),"")</f>
        <v>5268.47</v>
      </c>
      <c r="P21" s="196">
        <f>IFERROR(VLOOKUP(L21,'C-01'!$D:$L,6,0),"")</f>
        <v>5831.57</v>
      </c>
      <c r="Q21" s="196">
        <f>IFERROR(VLOOKUP(L21,'C-01'!$D:$L,7,0),"")</f>
        <v>5268.47</v>
      </c>
      <c r="R21" s="196">
        <f>IFERROR(VLOOKUP(L21,'C-01'!$D:$L,8,0),"")</f>
        <v>6822.26</v>
      </c>
      <c r="S21" s="197">
        <f>IFERROR(VLOOKUP(L21,'C-01'!$D:$L,9,0),"")</f>
        <v>7760.14</v>
      </c>
      <c r="T21" s="198">
        <f>IFS('Painel Geral'!$B$5="Mediana",IFERROR(IF(OR(C21="",Q21=0,Q21=""),"",($C21/$Q21)),""),'Painel Geral'!$B$5="Menor Salário",IFERROR(IF(OR(C21="",Q21=0,Q21=""),"",($C21/$N21)),""),'Painel Geral'!$B$5="1º Quartil",IFERROR(IF(OR(C21="",Q21=0,Q21=""),"",($C21/$O21)),""), 'Painel Geral'!$B$5="Média",IFERROR(IF(OR(C21="",Q21=0,Q21=""),"",($C21/$P21)),""),'Painel Geral'!$B$5="3º Quartil",IFERROR(IF(OR(C21="",Q21=0,Q21=""),"",($C21/$R21)),""),'Painel Geral'!$B$5="Maior Salário",IFERROR(IF(OR(C21="",Q21=0,Q21=""),"",($C21/$S21)),""))</f>
        <v>1.385462966</v>
      </c>
      <c r="U21" s="199" t="str">
        <f t="shared" si="3"/>
        <v>Agressivo</v>
      </c>
      <c r="V21" s="201"/>
      <c r="W21" s="201"/>
      <c r="X21" s="201"/>
      <c r="Y21" s="201"/>
      <c r="Z21" s="201"/>
      <c r="AA21" s="201"/>
      <c r="AB21" s="201"/>
      <c r="AC21" s="201"/>
      <c r="AD21" s="201"/>
      <c r="AE21" s="201"/>
      <c r="AF21" s="201"/>
      <c r="AG21" s="201"/>
      <c r="AH21" s="201"/>
      <c r="AI21" s="201"/>
      <c r="AJ21" s="201"/>
      <c r="AK21" s="223">
        <v>0.21</v>
      </c>
      <c r="AL21" s="220">
        <f t="shared" si="4"/>
        <v>1.0021</v>
      </c>
      <c r="AM21" s="220">
        <f t="shared" ref="AM21:AM25" si="5">AM20*AL21</f>
        <v>1.00440483</v>
      </c>
      <c r="AN21" s="201"/>
      <c r="AO21" s="201"/>
      <c r="AP21" s="201"/>
    </row>
    <row r="22" ht="15.75" customHeight="1">
      <c r="A22" s="184" t="s">
        <v>26</v>
      </c>
      <c r="B22" s="185" t="str">
        <f>VLOOKUP(A22,Jobmatch!A:G,2,0)</f>
        <v>ANALISTA DE COMPRAS</v>
      </c>
      <c r="C22" s="186">
        <f>IFERROR(AVERAGEIF('Folha de Pagamento'!A:A,A22,'Folha de Pagamento'!J:J),"")</f>
        <v>3780</v>
      </c>
      <c r="D22" s="187">
        <v>1.0</v>
      </c>
      <c r="E22" s="185" t="str">
        <f>VLOOKUP(A22,Jobmatch!A:H,3,0)</f>
        <v>Suprimentos </v>
      </c>
      <c r="F22" s="188" t="s">
        <v>367</v>
      </c>
      <c r="G22" s="190" t="str">
        <f>VLOOKUP(A22,Jobmatch!A:I,4,0)</f>
        <v>9 - ADM PROJETOS</v>
      </c>
      <c r="H22" s="191" t="str">
        <f>VLOOKUP(A22,Jobmatch!A:I,5,0)</f>
        <v>Operacional</v>
      </c>
      <c r="I22" s="192">
        <f>VLOOKUP(A22,Jobmatch!A:I,6,0)</f>
        <v>136</v>
      </c>
      <c r="J22" s="190" t="str">
        <f>VLOOKUP(A22,Jobmatch!A:I,7,0)</f>
        <v>Analista de Compras</v>
      </c>
      <c r="K22" s="193" t="str">
        <f>VLOOKUP(A22,Jobmatch!A:I,8,0)</f>
        <v>Pleno</v>
      </c>
      <c r="L22" s="194" t="str">
        <f t="shared" si="2"/>
        <v>136Pleno</v>
      </c>
      <c r="M22" s="195">
        <f>COUNTIF('Folha de Pagamento'!A:A,A22)</f>
        <v>1</v>
      </c>
      <c r="N22" s="238">
        <v>15.0</v>
      </c>
      <c r="O22" s="196">
        <f>IFERROR(VLOOKUP(L22,'C-01'!$D:$L,5,0),"")</f>
        <v>4524.76</v>
      </c>
      <c r="P22" s="196">
        <f>IFERROR(VLOOKUP(L22,'C-01'!$D:$L,6,0),"")</f>
        <v>6002.23</v>
      </c>
      <c r="Q22" s="196">
        <f>IFERROR(VLOOKUP(L22,'C-01'!$D:$L,7,0),"")</f>
        <v>5275.87</v>
      </c>
      <c r="R22" s="196">
        <f>IFERROR(VLOOKUP(L22,'C-01'!$D:$L,8,0),"")</f>
        <v>7842.89</v>
      </c>
      <c r="S22" s="197">
        <f>IFERROR(VLOOKUP(L22,'C-01'!$D:$L,9,0),"")</f>
        <v>7842.89</v>
      </c>
      <c r="T22" s="198">
        <f>IFS('Painel Geral'!$B$5="Mediana",IFERROR(IF(OR(C22="",Q22=0,Q22=""),"",($C22/$Q22)),""),'Painel Geral'!$B$5="Menor Salário",IFERROR(IF(OR(C22="",Q22=0,Q22=""),"",($C22/$N22)),""),'Painel Geral'!$B$5="1º Quartil",IFERROR(IF(OR(C22="",Q22=0,Q22=""),"",($C22/$O22)),""), 'Painel Geral'!$B$5="Média",IFERROR(IF(OR(C22="",Q22=0,Q22=""),"",($C22/$P22)),""),'Painel Geral'!$B$5="3º Quartil",IFERROR(IF(OR(C22="",Q22=0,Q22=""),"",($C22/$R22)),""),'Painel Geral'!$B$5="Maior Salário",IFERROR(IF(OR(C22="",Q22=0,Q22=""),"",($C22/$S22)),""))</f>
        <v>0.7164695112</v>
      </c>
      <c r="U22" s="199" t="str">
        <f t="shared" si="3"/>
        <v>Muito Defasado</v>
      </c>
      <c r="V22" s="201"/>
      <c r="W22" s="201"/>
      <c r="X22" s="201"/>
      <c r="Y22" s="201"/>
      <c r="Z22" s="201"/>
      <c r="AA22" s="201"/>
      <c r="AB22" s="201"/>
      <c r="AC22" s="201"/>
      <c r="AD22" s="201"/>
      <c r="AE22" s="201"/>
      <c r="AF22" s="201"/>
      <c r="AG22" s="201"/>
      <c r="AH22" s="201"/>
      <c r="AI22" s="201"/>
      <c r="AJ22" s="201"/>
      <c r="AK22" s="223">
        <v>-0.21</v>
      </c>
      <c r="AL22" s="220">
        <f t="shared" si="4"/>
        <v>0.9979</v>
      </c>
      <c r="AM22" s="220">
        <f t="shared" si="5"/>
        <v>1.00229558</v>
      </c>
      <c r="AN22" s="201"/>
      <c r="AO22" s="201"/>
      <c r="AP22" s="201"/>
    </row>
    <row r="23" ht="15.75" customHeight="1">
      <c r="A23" s="184" t="s">
        <v>45</v>
      </c>
      <c r="B23" s="185" t="str">
        <f>VLOOKUP(A23,Jobmatch!A:G,2,0)</f>
        <v>ANALISTA DE PÓS VENDAS II</v>
      </c>
      <c r="C23" s="186">
        <f>IFERROR(AVERAGEIF('Folha de Pagamento'!A:A,A23,'Folha de Pagamento'!J:J),"")</f>
        <v>4550</v>
      </c>
      <c r="D23" s="187">
        <v>9.0</v>
      </c>
      <c r="E23" s="185" t="str">
        <f>VLOOKUP(A23,Jobmatch!A:H,3,0)</f>
        <v>Pós Vendas</v>
      </c>
      <c r="F23" s="188" t="s">
        <v>365</v>
      </c>
      <c r="G23" s="190" t="str">
        <f>VLOOKUP(A23,Jobmatch!A:I,4,0)</f>
        <v>14 - ADM PROJETOS</v>
      </c>
      <c r="H23" s="191" t="str">
        <f>VLOOKUP(A23,Jobmatch!A:I,5,0)</f>
        <v>Operacional</v>
      </c>
      <c r="I23" s="192">
        <f>VLOOKUP(A23,Jobmatch!A:I,6,0)</f>
        <v>19</v>
      </c>
      <c r="J23" s="190" t="str">
        <f>VLOOKUP(A23,Jobmatch!A:I,7,0)</f>
        <v>Analista Comercial</v>
      </c>
      <c r="K23" s="193" t="str">
        <f>VLOOKUP(A23,Jobmatch!A:I,8,0)</f>
        <v>Pleno</v>
      </c>
      <c r="L23" s="194" t="str">
        <f t="shared" si="2"/>
        <v>19Pleno</v>
      </c>
      <c r="M23" s="195">
        <f>COUNTIF('Folha de Pagamento'!A:A,A23)</f>
        <v>1</v>
      </c>
      <c r="N23" s="238">
        <v>15.0</v>
      </c>
      <c r="O23" s="196">
        <f>IFERROR(VLOOKUP(L23,'C-01'!$D:$L,5,0),"")</f>
        <v>4898.28</v>
      </c>
      <c r="P23" s="196">
        <f>IFERROR(VLOOKUP(L23,'C-01'!$D:$L,6,0),"")</f>
        <v>5747.37</v>
      </c>
      <c r="Q23" s="196">
        <f>IFERROR(VLOOKUP(L23,'C-01'!$D:$L,7,0),"")</f>
        <v>5320.06</v>
      </c>
      <c r="R23" s="196">
        <f>IFERROR(VLOOKUP(L23,'C-01'!$D:$L,8,0),"")</f>
        <v>6382.81</v>
      </c>
      <c r="S23" s="197">
        <f>IFERROR(VLOOKUP(L23,'C-01'!$D:$L,9,0),"")</f>
        <v>7445.55</v>
      </c>
      <c r="T23" s="198">
        <f>IFS('Painel Geral'!$B$5="Mediana",IFERROR(IF(OR(C23="",Q23=0,Q23=""),"",($C23/$Q23)),""),'Painel Geral'!$B$5="Menor Salário",IFERROR(IF(OR(C23="",Q23=0,Q23=""),"",($C23/$N23)),""),'Painel Geral'!$B$5="1º Quartil",IFERROR(IF(OR(C23="",Q23=0,Q23=""),"",($C23/$O23)),""), 'Painel Geral'!$B$5="Média",IFERROR(IF(OR(C23="",Q23=0,Q23=""),"",($C23/$P23)),""),'Painel Geral'!$B$5="3º Quartil",IFERROR(IF(OR(C23="",Q23=0,Q23=""),"",($C23/$R23)),""),'Painel Geral'!$B$5="Maior Salário",IFERROR(IF(OR(C23="",Q23=0,Q23=""),"",($C23/$S23)),""))</f>
        <v>0.8552535122</v>
      </c>
      <c r="U23" s="199" t="str">
        <f t="shared" si="3"/>
        <v>Defasado</v>
      </c>
      <c r="V23" s="201"/>
      <c r="W23" s="201"/>
      <c r="X23" s="201"/>
      <c r="Y23" s="201"/>
      <c r="Z23" s="201"/>
      <c r="AA23" s="201"/>
      <c r="AB23" s="201"/>
      <c r="AC23" s="201"/>
      <c r="AD23" s="201"/>
      <c r="AE23" s="201"/>
      <c r="AF23" s="201"/>
      <c r="AG23" s="201"/>
      <c r="AH23" s="201"/>
      <c r="AI23" s="201"/>
      <c r="AJ23" s="201"/>
      <c r="AK23" s="223">
        <v>0.52</v>
      </c>
      <c r="AL23" s="220">
        <f t="shared" si="4"/>
        <v>1.0052</v>
      </c>
      <c r="AM23" s="220">
        <f t="shared" si="5"/>
        <v>1.007507517</v>
      </c>
      <c r="AN23" s="201"/>
      <c r="AO23" s="201"/>
      <c r="AP23" s="201"/>
    </row>
    <row r="24" ht="15.75" customHeight="1">
      <c r="A24" s="184" t="s">
        <v>51</v>
      </c>
      <c r="B24" s="185" t="str">
        <f>VLOOKUP(A24,Jobmatch!A:G,2,0)</f>
        <v>ANALISTA FINANCEIRO COMERCIAL III</v>
      </c>
      <c r="C24" s="186">
        <f>IFERROR(AVERAGEIF('Folha de Pagamento'!A:A,A24,'Folha de Pagamento'!J:J),"")</f>
        <v>5213</v>
      </c>
      <c r="D24" s="187">
        <v>6.0</v>
      </c>
      <c r="E24" s="185" t="str">
        <f>VLOOKUP(A24,Jobmatch!A:H,3,0)</f>
        <v>Financeiro</v>
      </c>
      <c r="F24" s="188" t="s">
        <v>351</v>
      </c>
      <c r="G24" s="190" t="str">
        <f>VLOOKUP(A24,Jobmatch!A:I,4,0)</f>
        <v>16 - ADM PROJETOS</v>
      </c>
      <c r="H24" s="191" t="str">
        <f>VLOOKUP(A24,Jobmatch!A:I,5,0)</f>
        <v>Operacional</v>
      </c>
      <c r="I24" s="192">
        <f>VLOOKUP(A24,Jobmatch!A:I,6,0)</f>
        <v>16</v>
      </c>
      <c r="J24" s="190" t="str">
        <f>VLOOKUP(A24,Jobmatch!A:I,7,0)</f>
        <v>Analista Financeiro</v>
      </c>
      <c r="K24" s="193" t="str">
        <f>VLOOKUP(A24,Jobmatch!A:I,8,0)</f>
        <v>Sênior</v>
      </c>
      <c r="L24" s="194" t="str">
        <f t="shared" si="2"/>
        <v>16Sênior</v>
      </c>
      <c r="M24" s="195">
        <f>COUNTIF('Folha de Pagamento'!A:A,A24)</f>
        <v>1</v>
      </c>
      <c r="N24" s="238">
        <v>16.0</v>
      </c>
      <c r="O24" s="196">
        <f>IFERROR(VLOOKUP(L24,'C-01'!$D:$L,5,0),"")</f>
        <v>5489.27</v>
      </c>
      <c r="P24" s="196">
        <f>IFERROR(VLOOKUP(L24,'C-01'!$D:$L,6,0),"")</f>
        <v>6172.24</v>
      </c>
      <c r="Q24" s="196">
        <f>IFERROR(VLOOKUP(L24,'C-01'!$D:$L,7,0),"")</f>
        <v>5910.71</v>
      </c>
      <c r="R24" s="196">
        <f>IFERROR(VLOOKUP(L24,'C-01'!$D:$L,8,0),"")</f>
        <v>6737.39</v>
      </c>
      <c r="S24" s="197">
        <f>IFERROR(VLOOKUP(L24,'C-01'!$D:$L,9,0),"")</f>
        <v>8185.08</v>
      </c>
      <c r="T24" s="198">
        <f>IFS('Painel Geral'!$B$5="Mediana",IFERROR(IF(OR(C24="",Q24=0,Q24=""),"",($C24/$Q24)),""),'Painel Geral'!$B$5="Menor Salário",IFERROR(IF(OR(C24="",Q24=0,Q24=""),"",($C24/$N24)),""),'Painel Geral'!$B$5="1º Quartil",IFERROR(IF(OR(C24="",Q24=0,Q24=""),"",($C24/$O24)),""), 'Painel Geral'!$B$5="Média",IFERROR(IF(OR(C24="",Q24=0,Q24=""),"",($C24/$P24)),""),'Painel Geral'!$B$5="3º Quartil",IFERROR(IF(OR(C24="",Q24=0,Q24=""),"",($C24/$R24)),""),'Painel Geral'!$B$5="Maior Salário",IFERROR(IF(OR(C24="",Q24=0,Q24=""),"",($C24/$S24)),""))</f>
        <v>0.8819583434</v>
      </c>
      <c r="U24" s="199" t="str">
        <f t="shared" si="3"/>
        <v>Defasado</v>
      </c>
      <c r="V24" s="201"/>
      <c r="W24" s="201"/>
      <c r="X24" s="201"/>
      <c r="Y24" s="201"/>
      <c r="Z24" s="201"/>
      <c r="AA24" s="201"/>
      <c r="AB24" s="201"/>
      <c r="AC24" s="201"/>
      <c r="AD24" s="201"/>
      <c r="AE24" s="201"/>
      <c r="AF24" s="201"/>
      <c r="AG24" s="201"/>
      <c r="AH24" s="201"/>
      <c r="AI24" s="201"/>
      <c r="AJ24" s="201"/>
      <c r="AK24" s="223">
        <v>0.03</v>
      </c>
      <c r="AL24" s="220">
        <f t="shared" si="4"/>
        <v>1.0003</v>
      </c>
      <c r="AM24" s="220">
        <f t="shared" si="5"/>
        <v>1.007809769</v>
      </c>
      <c r="AN24" s="201"/>
      <c r="AO24" s="201"/>
      <c r="AP24" s="201"/>
    </row>
    <row r="25" ht="15.75" customHeight="1">
      <c r="A25" s="184" t="s">
        <v>55</v>
      </c>
      <c r="B25" s="185" t="str">
        <f>VLOOKUP(A25,Jobmatch!A:G,2,0)</f>
        <v>ANALISTA FINANCEIRO DE CAPTAÇÃO DE RECURSOS III</v>
      </c>
      <c r="C25" s="186">
        <f>IFERROR(AVERAGEIF('Folha de Pagamento'!A:A,A25,'Folha de Pagamento'!J:J),"")</f>
        <v>5213</v>
      </c>
      <c r="D25" s="187">
        <v>6.0</v>
      </c>
      <c r="E25" s="185" t="str">
        <f>VLOOKUP(A25,Jobmatch!A:H,3,0)</f>
        <v>Financeiro</v>
      </c>
      <c r="F25" s="188" t="s">
        <v>352</v>
      </c>
      <c r="G25" s="190" t="str">
        <f>VLOOKUP(A25,Jobmatch!A:I,4,0)</f>
        <v>17 - ADM PROJETOS</v>
      </c>
      <c r="H25" s="191" t="str">
        <f>VLOOKUP(A25,Jobmatch!A:I,5,0)</f>
        <v>Operacional</v>
      </c>
      <c r="I25" s="192">
        <f>VLOOKUP(A25,Jobmatch!A:I,6,0)</f>
        <v>16</v>
      </c>
      <c r="J25" s="190" t="str">
        <f>VLOOKUP(A25,Jobmatch!A:I,7,0)</f>
        <v>Analista Financeiro</v>
      </c>
      <c r="K25" s="193" t="str">
        <f>VLOOKUP(A25,Jobmatch!A:I,8,0)</f>
        <v>Sênior</v>
      </c>
      <c r="L25" s="194" t="str">
        <f t="shared" si="2"/>
        <v>16Sênior</v>
      </c>
      <c r="M25" s="195">
        <f>COUNTIF('Folha de Pagamento'!A:A,A25)</f>
        <v>1</v>
      </c>
      <c r="N25" s="238">
        <v>16.0</v>
      </c>
      <c r="O25" s="196">
        <f>IFERROR(VLOOKUP(L25,'C-01'!$D:$L,5,0),"")</f>
        <v>5489.27</v>
      </c>
      <c r="P25" s="196">
        <f>IFERROR(VLOOKUP(L25,'C-01'!$D:$L,6,0),"")</f>
        <v>6172.24</v>
      </c>
      <c r="Q25" s="196">
        <f>IFERROR(VLOOKUP(L25,'C-01'!$D:$L,7,0),"")</f>
        <v>5910.71</v>
      </c>
      <c r="R25" s="196">
        <f>IFERROR(VLOOKUP(L25,'C-01'!$D:$L,8,0),"")</f>
        <v>6737.39</v>
      </c>
      <c r="S25" s="197">
        <f>IFERROR(VLOOKUP(L25,'C-01'!$D:$L,9,0),"")</f>
        <v>8185.08</v>
      </c>
      <c r="T25" s="198">
        <f>IFS('Painel Geral'!$B$5="Mediana",IFERROR(IF(OR(C25="",Q25=0,Q25=""),"",($C25/$Q25)),""),'Painel Geral'!$B$5="Menor Salário",IFERROR(IF(OR(C25="",Q25=0,Q25=""),"",($C25/$N25)),""),'Painel Geral'!$B$5="1º Quartil",IFERROR(IF(OR(C25="",Q25=0,Q25=""),"",($C25/$O25)),""), 'Painel Geral'!$B$5="Média",IFERROR(IF(OR(C25="",Q25=0,Q25=""),"",($C25/$P25)),""),'Painel Geral'!$B$5="3º Quartil",IFERROR(IF(OR(C25="",Q25=0,Q25=""),"",($C25/$R25)),""),'Painel Geral'!$B$5="Maior Salário",IFERROR(IF(OR(C25="",Q25=0,Q25=""),"",($C25/$S25)),""))</f>
        <v>0.8819583434</v>
      </c>
      <c r="U25" s="199" t="str">
        <f t="shared" si="3"/>
        <v>Defasado</v>
      </c>
      <c r="V25" s="201"/>
      <c r="W25" s="201"/>
      <c r="X25" s="201"/>
      <c r="Y25" s="201"/>
      <c r="Z25" s="201"/>
      <c r="AA25" s="201"/>
      <c r="AB25" s="201"/>
      <c r="AC25" s="201"/>
      <c r="AD25" s="201"/>
      <c r="AE25" s="201"/>
      <c r="AF25" s="201"/>
      <c r="AG25" s="201"/>
      <c r="AH25" s="201"/>
      <c r="AI25" s="201"/>
      <c r="AJ25" s="201"/>
      <c r="AK25" s="220">
        <v>0.03</v>
      </c>
      <c r="AL25" s="220">
        <f t="shared" si="4"/>
        <v>1.0003</v>
      </c>
      <c r="AM25" s="220">
        <f t="shared" si="5"/>
        <v>1.008112112</v>
      </c>
      <c r="AN25" s="201"/>
      <c r="AO25" s="201"/>
      <c r="AP25" s="201"/>
    </row>
    <row r="26" ht="15.75" customHeight="1">
      <c r="A26" s="184" t="s">
        <v>183</v>
      </c>
      <c r="B26" s="185" t="str">
        <f>VLOOKUP(A26,Jobmatch!A:G,2,0)</f>
        <v>TECNICO ANALISTA DE CUSTOS</v>
      </c>
      <c r="C26" s="186">
        <f>IFERROR(AVERAGEIF('Folha de Pagamento'!A:A,A26,'Folha de Pagamento'!J:J),"")</f>
        <v>7000</v>
      </c>
      <c r="D26" s="187">
        <v>5.0</v>
      </c>
      <c r="E26" s="185" t="str">
        <f>VLOOKUP(A26,Jobmatch!A:H,3,0)</f>
        <v>Edificação</v>
      </c>
      <c r="F26" s="188" t="s">
        <v>349</v>
      </c>
      <c r="G26" s="190" t="str">
        <f>VLOOKUP(A26,Jobmatch!A:I,4,0)</f>
        <v>60 - ADM PROJETOS</v>
      </c>
      <c r="H26" s="191" t="str">
        <f>VLOOKUP(A26,Jobmatch!A:I,5,0)</f>
        <v>Operacional</v>
      </c>
      <c r="I26" s="192">
        <f>VLOOKUP(A26,Jobmatch!A:I,6,0)</f>
        <v>876</v>
      </c>
      <c r="J26" s="190" t="str">
        <f>VLOOKUP(A26,Jobmatch!A:I,7,0)</f>
        <v>Analista de Custos</v>
      </c>
      <c r="K26" s="193" t="str">
        <f>VLOOKUP(A26,Jobmatch!A:I,8,0)</f>
        <v>Indiferente</v>
      </c>
      <c r="L26" s="194" t="str">
        <f t="shared" si="2"/>
        <v>876Indiferente</v>
      </c>
      <c r="M26" s="195">
        <f>COUNTIF('Folha de Pagamento'!A:A,A26)</f>
        <v>3</v>
      </c>
      <c r="N26" s="238">
        <v>17.0</v>
      </c>
      <c r="O26" s="196">
        <f>IFERROR(VLOOKUP(L26,'C-01'!$D:$L,5,0),"")</f>
        <v>6868.23</v>
      </c>
      <c r="P26" s="196">
        <f>IFERROR(VLOOKUP(L26,'C-01'!$D:$L,6,0),"")</f>
        <v>7611.25</v>
      </c>
      <c r="Q26" s="196">
        <f>IFERROR(VLOOKUP(L26,'C-01'!$D:$L,7,0),"")</f>
        <v>7320.76</v>
      </c>
      <c r="R26" s="196">
        <f>IFERROR(VLOOKUP(L26,'C-01'!$D:$L,8,0),"")</f>
        <v>8153.71</v>
      </c>
      <c r="S26" s="197">
        <f>IFERROR(VLOOKUP(L26,'C-01'!$D:$L,9,0),"")</f>
        <v>9161.15</v>
      </c>
      <c r="T26" s="198">
        <f>IFS('Painel Geral'!$B$5="Mediana",IFERROR(IF(OR(C26="",Q26=0,Q26=""),"",($C26/$Q26)),""),'Painel Geral'!$B$5="Menor Salário",IFERROR(IF(OR(C26="",Q26=0,Q26=""),"",($C26/$N26)),""),'Painel Geral'!$B$5="1º Quartil",IFERROR(IF(OR(C26="",Q26=0,Q26=""),"",($C26/$O26)),""), 'Painel Geral'!$B$5="Média",IFERROR(IF(OR(C26="",Q26=0,Q26=""),"",($C26/$P26)),""),'Painel Geral'!$B$5="3º Quartil",IFERROR(IF(OR(C26="",Q26=0,Q26=""),"",($C26/$R26)),""),'Painel Geral'!$B$5="Maior Salário",IFERROR(IF(OR(C26="",Q26=0,Q26=""),"",($C26/$S26)),""))</f>
        <v>0.956184877</v>
      </c>
      <c r="U26" s="199" t="str">
        <f t="shared" si="3"/>
        <v>Na Média</v>
      </c>
      <c r="V26" s="201"/>
      <c r="W26" s="201"/>
      <c r="X26" s="201"/>
      <c r="Y26" s="201"/>
      <c r="Z26" s="201"/>
      <c r="AA26" s="201"/>
      <c r="AB26" s="201"/>
      <c r="AC26" s="201"/>
      <c r="AD26" s="201"/>
      <c r="AE26" s="201"/>
      <c r="AF26" s="201"/>
      <c r="AG26" s="201"/>
      <c r="AH26" s="201"/>
      <c r="AI26" s="201"/>
      <c r="AJ26" s="201"/>
      <c r="AK26" s="220"/>
      <c r="AL26" s="220"/>
      <c r="AM26" s="220"/>
      <c r="AN26" s="201"/>
      <c r="AO26" s="201"/>
      <c r="AP26" s="201"/>
    </row>
    <row r="27" ht="15.75" customHeight="1">
      <c r="A27" s="184" t="s">
        <v>125</v>
      </c>
      <c r="B27" s="185" t="str">
        <f>VLOOKUP(A27,Jobmatch!A:G,2,0)</f>
        <v>ENCARREGADO OBRAS/MANUTENCAO</v>
      </c>
      <c r="C27" s="186">
        <f>IFERROR(AVERAGEIF('Folha de Pagamento'!A:A,A27,'Folha de Pagamento'!J:J),"")</f>
        <v>8714</v>
      </c>
      <c r="D27" s="187">
        <v>5.0</v>
      </c>
      <c r="E27" s="185" t="str">
        <f>VLOOKUP(A27,Jobmatch!A:H,3,0)</f>
        <v>Edificação</v>
      </c>
      <c r="F27" s="188" t="s">
        <v>346</v>
      </c>
      <c r="G27" s="190" t="str">
        <f>VLOOKUP(A27,Jobmatch!A:I,4,0)</f>
        <v>42 - ADM PROJETOS</v>
      </c>
      <c r="H27" s="191" t="str">
        <f>VLOOKUP(A27,Jobmatch!A:I,5,0)</f>
        <v>Operacional</v>
      </c>
      <c r="I27" s="192">
        <f>VLOOKUP(A27,Jobmatch!A:I,6,0)</f>
        <v>470</v>
      </c>
      <c r="J27" s="190" t="str">
        <f>VLOOKUP(A27,Jobmatch!A:I,7,0)</f>
        <v>Mestre de Obras</v>
      </c>
      <c r="K27" s="193" t="str">
        <f>VLOOKUP(A27,Jobmatch!A:I,8,0)</f>
        <v>Indiferente</v>
      </c>
      <c r="L27" s="194" t="str">
        <f t="shared" si="2"/>
        <v>470Indiferente</v>
      </c>
      <c r="M27" s="195">
        <f>COUNTIF('Folha de Pagamento'!A:A,A27)</f>
        <v>1</v>
      </c>
      <c r="N27" s="238">
        <v>17.0</v>
      </c>
      <c r="O27" s="196">
        <f>IFERROR(VLOOKUP(L27,'C-01'!$D:$L,5,0),"")</f>
        <v>5530.26</v>
      </c>
      <c r="P27" s="196">
        <f>IFERROR(VLOOKUP(L27,'C-01'!$D:$L,6,0),"")</f>
        <v>7689.13</v>
      </c>
      <c r="Q27" s="196">
        <f>IFERROR(VLOOKUP(L27,'C-01'!$D:$L,7,0),"")</f>
        <v>7460.82</v>
      </c>
      <c r="R27" s="196">
        <f>IFERROR(VLOOKUP(L27,'C-01'!$D:$L,8,0),"")</f>
        <v>9785.54</v>
      </c>
      <c r="S27" s="197">
        <f>IFERROR(VLOOKUP(L27,'C-01'!$D:$L,9,0),"")</f>
        <v>11138.95</v>
      </c>
      <c r="T27" s="198">
        <f>IFS('Painel Geral'!$B$5="Mediana",IFERROR(IF(OR(C27="",Q27=0,Q27=""),"",($C27/$Q27)),""),'Painel Geral'!$B$5="Menor Salário",IFERROR(IF(OR(C27="",Q27=0,Q27=""),"",($C27/$N27)),""),'Painel Geral'!$B$5="1º Quartil",IFERROR(IF(OR(C27="",Q27=0,Q27=""),"",($C27/$O27)),""), 'Painel Geral'!$B$5="Média",IFERROR(IF(OR(C27="",Q27=0,Q27=""),"",($C27/$P27)),""),'Painel Geral'!$B$5="3º Quartil",IFERROR(IF(OR(C27="",Q27=0,Q27=""),"",($C27/$R27)),""),'Painel Geral'!$B$5="Maior Salário",IFERROR(IF(OR(C27="",Q27=0,Q27=""),"",($C27/$S27)),""))</f>
        <v>1.167968132</v>
      </c>
      <c r="U27" s="199" t="str">
        <f t="shared" si="3"/>
        <v>Muito Competitivo</v>
      </c>
      <c r="V27" s="201"/>
      <c r="W27" s="201"/>
      <c r="X27" s="201"/>
      <c r="Y27" s="201"/>
      <c r="Z27" s="201"/>
      <c r="AA27" s="201"/>
      <c r="AB27" s="201"/>
      <c r="AC27" s="201"/>
      <c r="AD27" s="201"/>
      <c r="AE27" s="201"/>
      <c r="AF27" s="201"/>
      <c r="AG27" s="201"/>
      <c r="AH27" s="201"/>
      <c r="AI27" s="201"/>
      <c r="AJ27" s="201"/>
      <c r="AK27" s="201"/>
      <c r="AL27" s="201"/>
      <c r="AM27" s="201"/>
      <c r="AN27" s="224">
        <f>AM25</f>
        <v>1.008112112</v>
      </c>
      <c r="AO27" s="201"/>
      <c r="AP27" s="201"/>
    </row>
    <row r="28" ht="15.75" customHeight="1">
      <c r="A28" s="184" t="s">
        <v>123</v>
      </c>
      <c r="B28" s="185" t="str">
        <f>VLOOKUP(A28,Jobmatch!A:G,2,0)</f>
        <v>ENCARREGADO DE OBRAS</v>
      </c>
      <c r="C28" s="186">
        <f>IFERROR(AVERAGEIF('Folha de Pagamento'!A:A,A28,'Folha de Pagamento'!J:J),"")</f>
        <v>10000.5</v>
      </c>
      <c r="D28" s="187">
        <v>10.0</v>
      </c>
      <c r="E28" s="185" t="str">
        <f>VLOOKUP(A28,Jobmatch!A:H,3,0)</f>
        <v>Urbanismo</v>
      </c>
      <c r="F28" s="188" t="s">
        <v>372</v>
      </c>
      <c r="G28" s="190" t="str">
        <f>VLOOKUP(A28,Jobmatch!A:I,4,0)</f>
        <v>41 - ADM PROJETOS</v>
      </c>
      <c r="H28" s="191" t="str">
        <f>VLOOKUP(A28,Jobmatch!A:I,5,0)</f>
        <v>Operacional</v>
      </c>
      <c r="I28" s="192">
        <f>VLOOKUP(A28,Jobmatch!A:I,6,0)</f>
        <v>470</v>
      </c>
      <c r="J28" s="190" t="str">
        <f>VLOOKUP(A28,Jobmatch!A:I,7,0)</f>
        <v>Mestre de Obras</v>
      </c>
      <c r="K28" s="193" t="str">
        <f>VLOOKUP(A28,Jobmatch!A:I,8,0)</f>
        <v>Indiferente</v>
      </c>
      <c r="L28" s="194" t="str">
        <f t="shared" si="2"/>
        <v>470Indiferente</v>
      </c>
      <c r="M28" s="195">
        <f>COUNTIF('Folha de Pagamento'!A:A,A28)</f>
        <v>2</v>
      </c>
      <c r="N28" s="238">
        <v>17.0</v>
      </c>
      <c r="O28" s="196">
        <f>IFERROR(VLOOKUP(L28,'C-01'!$D:$L,5,0),"")</f>
        <v>5530.26</v>
      </c>
      <c r="P28" s="196">
        <f>IFERROR(VLOOKUP(L28,'C-01'!$D:$L,6,0),"")</f>
        <v>7689.13</v>
      </c>
      <c r="Q28" s="196">
        <f>IFERROR(VLOOKUP(L28,'C-01'!$D:$L,7,0),"")</f>
        <v>7460.82</v>
      </c>
      <c r="R28" s="196">
        <f>IFERROR(VLOOKUP(L28,'C-01'!$D:$L,8,0),"")</f>
        <v>9785.54</v>
      </c>
      <c r="S28" s="197">
        <f>IFERROR(VLOOKUP(L28,'C-01'!$D:$L,9,0),"")</f>
        <v>11138.95</v>
      </c>
      <c r="T28" s="198">
        <f>IFS('Painel Geral'!$B$5="Mediana",IFERROR(IF(OR(C28="",Q28=0,Q28=""),"",($C28/$Q28)),""),'Painel Geral'!$B$5="Menor Salário",IFERROR(IF(OR(C28="",Q28=0,Q28=""),"",($C28/$N28)),""),'Painel Geral'!$B$5="1º Quartil",IFERROR(IF(OR(C28="",Q28=0,Q28=""),"",($C28/$O28)),""), 'Painel Geral'!$B$5="Média",IFERROR(IF(OR(C28="",Q28=0,Q28=""),"",($C28/$P28)),""),'Painel Geral'!$B$5="3º Quartil",IFERROR(IF(OR(C28="",Q28=0,Q28=""),"",($C28/$R28)),""),'Painel Geral'!$B$5="Maior Salário",IFERROR(IF(OR(C28="",Q28=0,Q28=""),"",($C28/$S28)),""))</f>
        <v>1.340402261</v>
      </c>
      <c r="U28" s="199" t="str">
        <f t="shared" si="3"/>
        <v>Agressivo</v>
      </c>
      <c r="V28" s="201"/>
      <c r="W28" s="201"/>
      <c r="X28" s="201"/>
      <c r="Y28" s="201"/>
      <c r="Z28" s="201"/>
      <c r="AA28" s="201"/>
      <c r="AB28" s="201"/>
      <c r="AC28" s="201"/>
      <c r="AD28" s="201"/>
      <c r="AE28" s="201"/>
      <c r="AF28" s="201"/>
      <c r="AG28" s="201"/>
      <c r="AH28" s="201"/>
      <c r="AI28" s="201"/>
      <c r="AJ28" s="201"/>
      <c r="AK28" s="201"/>
      <c r="AL28" s="201"/>
      <c r="AM28" s="201"/>
      <c r="AN28" s="201"/>
      <c r="AO28" s="201"/>
      <c r="AP28" s="201"/>
    </row>
    <row r="29" ht="15.75" customHeight="1">
      <c r="A29" s="184" t="s">
        <v>115</v>
      </c>
      <c r="B29" s="185" t="str">
        <f>VLOOKUP(A29,Jobmatch!A:G,2,0)</f>
        <v>COORDENADOR FINANCEIRO</v>
      </c>
      <c r="C29" s="186">
        <f>IFERROR(AVERAGEIF('Folha de Pagamento'!A:A,A29,'Folha de Pagamento'!J:J),"")</f>
        <v>7947.019868</v>
      </c>
      <c r="D29" s="187">
        <v>6.0</v>
      </c>
      <c r="E29" s="185" t="str">
        <f>VLOOKUP(A29,Jobmatch!A:H,3,0)</f>
        <v>Financeiro</v>
      </c>
      <c r="F29" s="188" t="s">
        <v>276</v>
      </c>
      <c r="G29" s="190" t="str">
        <f>VLOOKUP(A29,Jobmatch!A:I,4,0)</f>
        <v>39 - ADM PROJETOS</v>
      </c>
      <c r="H29" s="191" t="str">
        <f>VLOOKUP(A29,Jobmatch!A:I,5,0)</f>
        <v>Tático</v>
      </c>
      <c r="I29" s="192">
        <f>VLOOKUP(A29,Jobmatch!A:I,6,0)</f>
        <v>122</v>
      </c>
      <c r="J29" s="190" t="str">
        <f>VLOOKUP(A29,Jobmatch!A:I,7,0)</f>
        <v>Coordenador Financeiro</v>
      </c>
      <c r="K29" s="193" t="str">
        <f>VLOOKUP(A29,Jobmatch!A:I,8,0)</f>
        <v>Indiferente</v>
      </c>
      <c r="L29" s="194" t="str">
        <f t="shared" si="2"/>
        <v>122Indiferente</v>
      </c>
      <c r="M29" s="195">
        <f>COUNTIF('Folha de Pagamento'!A:A,A29)</f>
        <v>1</v>
      </c>
      <c r="N29" s="238">
        <v>17.0</v>
      </c>
      <c r="O29" s="196">
        <f>IFERROR(VLOOKUP(L29,'C-01'!$D:$L,5,0),"")</f>
        <v>6325.01</v>
      </c>
      <c r="P29" s="196">
        <f>IFERROR(VLOOKUP(L29,'C-01'!$D:$L,6,0),"")</f>
        <v>7452.59</v>
      </c>
      <c r="Q29" s="196">
        <f>IFERROR(VLOOKUP(L29,'C-01'!$D:$L,7,0),"")</f>
        <v>7558.57</v>
      </c>
      <c r="R29" s="196">
        <f>IFERROR(VLOOKUP(L29,'C-01'!$D:$L,8,0),"")</f>
        <v>8691.7</v>
      </c>
      <c r="S29" s="197">
        <f>IFERROR(VLOOKUP(L29,'C-01'!$D:$L,9,0),"")</f>
        <v>9982.25</v>
      </c>
      <c r="T29" s="198">
        <f>IFS('Painel Geral'!$B$5="Mediana",IFERROR(IF(OR(C29="",Q29=0,Q29=""),"",($C29/$Q29)),""),'Painel Geral'!$B$5="Menor Salário",IFERROR(IF(OR(C29="",Q29=0,Q29=""),"",($C29/$N29)),""),'Painel Geral'!$B$5="1º Quartil",IFERROR(IF(OR(C29="",Q29=0,Q29=""),"",($C29/$O29)),""), 'Painel Geral'!$B$5="Média",IFERROR(IF(OR(C29="",Q29=0,Q29=""),"",($C29/$P29)),""),'Painel Geral'!$B$5="3º Quartil",IFERROR(IF(OR(C29="",Q29=0,Q29=""),"",($C29/$R29)),""),'Painel Geral'!$B$5="Maior Salário",IFERROR(IF(OR(C29="",Q29=0,Q29=""),"",($C29/$S29)),""))</f>
        <v>1.051391979</v>
      </c>
      <c r="U29" s="199" t="str">
        <f t="shared" si="3"/>
        <v>Competitivo</v>
      </c>
      <c r="V29" s="201"/>
      <c r="W29" s="201"/>
      <c r="X29" s="201"/>
      <c r="Y29" s="219">
        <v>1799.0</v>
      </c>
      <c r="Z29" s="225">
        <f>Y29*AN27</f>
        <v>1813.59369</v>
      </c>
      <c r="AA29" s="226"/>
      <c r="AB29" s="221"/>
      <c r="AC29" s="221"/>
      <c r="AD29" s="201"/>
      <c r="AE29" s="201"/>
      <c r="AF29" s="201"/>
      <c r="AG29" s="201"/>
      <c r="AH29" s="201"/>
      <c r="AI29" s="201"/>
      <c r="AJ29" s="201"/>
      <c r="AK29" s="201"/>
      <c r="AL29" s="201"/>
      <c r="AM29" s="201"/>
      <c r="AN29" s="227"/>
      <c r="AO29" s="201"/>
      <c r="AP29" s="201"/>
    </row>
    <row r="30" ht="15.75" customHeight="1">
      <c r="A30" s="184" t="s">
        <v>48</v>
      </c>
      <c r="B30" s="185" t="str">
        <f>VLOOKUP(A30,Jobmatch!A:G,2,0)</f>
        <v>ANALISTA DE URBANISMO</v>
      </c>
      <c r="C30" s="186">
        <f>IFERROR(AVERAGEIF('Folha de Pagamento'!A:A,A30,'Folha de Pagamento'!J:J),"")</f>
        <v>5830</v>
      </c>
      <c r="D30" s="187">
        <v>10.0</v>
      </c>
      <c r="E30" s="185" t="str">
        <f>VLOOKUP(A30,Jobmatch!A:H,3,0)</f>
        <v>Urbanismo</v>
      </c>
      <c r="F30" s="188" t="s">
        <v>370</v>
      </c>
      <c r="G30" s="190" t="str">
        <f>VLOOKUP(A30,Jobmatch!A:I,4,0)</f>
        <v>15 - ADM PROJETOS</v>
      </c>
      <c r="H30" s="191" t="str">
        <f>VLOOKUP(A30,Jobmatch!A:I,5,0)</f>
        <v>Operacional</v>
      </c>
      <c r="I30" s="192">
        <f>VLOOKUP(A30,Jobmatch!A:I,6,0)</f>
        <v>1199</v>
      </c>
      <c r="J30" s="190" t="str">
        <f>VLOOKUP(A30,Jobmatch!A:I,7,0)</f>
        <v>Analista de Urbanismo</v>
      </c>
      <c r="K30" s="193" t="str">
        <f>VLOOKUP(A30,Jobmatch!A:I,8,0)</f>
        <v>Indiferente</v>
      </c>
      <c r="L30" s="194" t="str">
        <f t="shared" si="2"/>
        <v>1199Indiferente</v>
      </c>
      <c r="M30" s="195">
        <f>COUNTIF('Folha de Pagamento'!A:A,A30)</f>
        <v>1</v>
      </c>
      <c r="N30" s="238">
        <v>17.0</v>
      </c>
      <c r="O30" s="196">
        <f>IFERROR(VLOOKUP(L30,'C-01'!$D:$L,5,0),"")</f>
        <v>6091.54</v>
      </c>
      <c r="P30" s="196">
        <f>IFERROR(VLOOKUP(L30,'C-01'!$D:$L,6,0),"")</f>
        <v>7637.46</v>
      </c>
      <c r="Q30" s="196">
        <f>IFERROR(VLOOKUP(L30,'C-01'!$D:$L,7,0),"")</f>
        <v>7848.45</v>
      </c>
      <c r="R30" s="196">
        <f>IFERROR(VLOOKUP(L30,'C-01'!$D:$L,8,0),"")</f>
        <v>9161.15</v>
      </c>
      <c r="S30" s="197">
        <f>IFERROR(VLOOKUP(L30,'C-01'!$D:$L,9,0),"")</f>
        <v>9161.15</v>
      </c>
      <c r="T30" s="198">
        <f>IFS('Painel Geral'!$B$5="Mediana",IFERROR(IF(OR(C30="",Q30=0,Q30=""),"",($C30/$Q30)),""),'Painel Geral'!$B$5="Menor Salário",IFERROR(IF(OR(C30="",Q30=0,Q30=""),"",($C30/$N30)),""),'Painel Geral'!$B$5="1º Quartil",IFERROR(IF(OR(C30="",Q30=0,Q30=""),"",($C30/$O30)),""), 'Painel Geral'!$B$5="Média",IFERROR(IF(OR(C30="",Q30=0,Q30=""),"",($C30/$P30)),""),'Painel Geral'!$B$5="3º Quartil",IFERROR(IF(OR(C30="",Q30=0,Q30=""),"",($C30/$R30)),""),'Painel Geral'!$B$5="Maior Salário",IFERROR(IF(OR(C30="",Q30=0,Q30=""),"",($C30/$S30)),""))</f>
        <v>0.7428218311</v>
      </c>
      <c r="U30" s="199" t="str">
        <f t="shared" si="3"/>
        <v>Muito Defasado</v>
      </c>
      <c r="V30" s="201"/>
      <c r="W30" s="201"/>
      <c r="X30" s="201"/>
      <c r="Y30" s="228">
        <v>0.8</v>
      </c>
      <c r="Z30" s="229" t="s">
        <v>376</v>
      </c>
      <c r="AA30" s="228">
        <v>1.0</v>
      </c>
      <c r="AB30" s="234"/>
      <c r="AC30" s="231"/>
      <c r="AD30" s="201"/>
      <c r="AE30" s="201"/>
      <c r="AF30" s="201"/>
      <c r="AG30" s="201"/>
      <c r="AH30" s="201"/>
      <c r="AI30" s="201"/>
      <c r="AJ30" s="201"/>
      <c r="AK30" s="201"/>
      <c r="AL30" s="201"/>
      <c r="AM30" s="201"/>
      <c r="AN30" s="201"/>
      <c r="AO30" s="201"/>
      <c r="AP30" s="201"/>
    </row>
    <row r="31" ht="15.75" customHeight="1">
      <c r="A31" s="184" t="s">
        <v>106</v>
      </c>
      <c r="B31" s="185" t="str">
        <f>VLOOKUP(A31,Jobmatch!A:G,2,0)</f>
        <v>COORDENADOR DE MARKETING II</v>
      </c>
      <c r="C31" s="186">
        <f>IFERROR(AVERAGEIF('Folha de Pagamento'!A:A,A31,'Folha de Pagamento'!J:J),"")</f>
        <v>8647</v>
      </c>
      <c r="D31" s="187">
        <v>8.0</v>
      </c>
      <c r="E31" s="185" t="str">
        <f>VLOOKUP(A31,Jobmatch!A:H,3,0)</f>
        <v>Marketing</v>
      </c>
      <c r="F31" s="188" t="s">
        <v>363</v>
      </c>
      <c r="G31" s="190" t="str">
        <f>VLOOKUP(A31,Jobmatch!A:I,4,0)</f>
        <v>36 - ADM PROJETOS</v>
      </c>
      <c r="H31" s="191" t="str">
        <f>VLOOKUP(A31,Jobmatch!A:I,5,0)</f>
        <v>Tático</v>
      </c>
      <c r="I31" s="192">
        <f>VLOOKUP(A31,Jobmatch!A:I,6,0)</f>
        <v>56</v>
      </c>
      <c r="J31" s="190" t="str">
        <f>VLOOKUP(A31,Jobmatch!A:I,7,0)</f>
        <v>Coordenador de Marketing</v>
      </c>
      <c r="K31" s="193" t="str">
        <f>VLOOKUP(A31,Jobmatch!A:I,8,0)</f>
        <v>Indiferente</v>
      </c>
      <c r="L31" s="194" t="str">
        <f t="shared" si="2"/>
        <v>56Indiferente</v>
      </c>
      <c r="M31" s="195">
        <f>COUNTIF('Folha de Pagamento'!A:A,A31)</f>
        <v>1</v>
      </c>
      <c r="N31" s="238">
        <v>17.0</v>
      </c>
      <c r="O31" s="196">
        <f>IFERROR(VLOOKUP(L31,'C-01'!$D:$L,5,0),"")</f>
        <v>7141.59</v>
      </c>
      <c r="P31" s="196">
        <f>IFERROR(VLOOKUP(L31,'C-01'!$D:$L,6,0),"")</f>
        <v>7927.07</v>
      </c>
      <c r="Q31" s="196">
        <f>IFERROR(VLOOKUP(L31,'C-01'!$D:$L,7,0),"")</f>
        <v>7958.59</v>
      </c>
      <c r="R31" s="196">
        <f>IFERROR(VLOOKUP(L31,'C-01'!$D:$L,8,0),"")</f>
        <v>8825.19</v>
      </c>
      <c r="S31" s="197">
        <f>IFERROR(VLOOKUP(L31,'C-01'!$D:$L,9,0),"")</f>
        <v>10531.61</v>
      </c>
      <c r="T31" s="198">
        <f>IFS('Painel Geral'!$B$5="Mediana",IFERROR(IF(OR(C31="",Q31=0,Q31=""),"",($C31/$Q31)),""),'Painel Geral'!$B$5="Menor Salário",IFERROR(IF(OR(C31="",Q31=0,Q31=""),"",($C31/$N31)),""),'Painel Geral'!$B$5="1º Quartil",IFERROR(IF(OR(C31="",Q31=0,Q31=""),"",($C31/$O31)),""), 'Painel Geral'!$B$5="Média",IFERROR(IF(OR(C31="",Q31=0,Q31=""),"",($C31/$P31)),""),'Painel Geral'!$B$5="3º Quartil",IFERROR(IF(OR(C31="",Q31=0,Q31=""),"",($C31/$R31)),""),'Painel Geral'!$B$5="Maior Salário",IFERROR(IF(OR(C31="",Q31=0,Q31=""),"",($C31/$S31)),""))</f>
        <v>1.08649899</v>
      </c>
      <c r="U31" s="199" t="str">
        <f t="shared" si="3"/>
        <v>Competitivo</v>
      </c>
      <c r="V31" s="201"/>
      <c r="W31" s="201"/>
      <c r="X31" s="201"/>
      <c r="Y31" s="220">
        <f>AA31*0.8</f>
        <v>1804.8</v>
      </c>
      <c r="Z31" s="240">
        <v>10.0</v>
      </c>
      <c r="AA31" s="233">
        <f t="shared" ref="AA31:AA47" si="6">-2864+944*Z31-76.6*Z31*Z31+3.34*Z31*Z31*Z31</f>
        <v>2256</v>
      </c>
      <c r="AB31" s="234"/>
      <c r="AC31" s="235">
        <f>AA31*0.8</f>
        <v>1804.8</v>
      </c>
      <c r="AD31" s="201"/>
      <c r="AE31" s="201"/>
      <c r="AF31" s="201"/>
      <c r="AG31" s="201"/>
      <c r="AH31" s="201"/>
      <c r="AI31" s="201"/>
      <c r="AJ31" s="201"/>
      <c r="AK31" s="201"/>
      <c r="AL31" s="201"/>
      <c r="AM31" s="201"/>
      <c r="AN31" s="201">
        <f>AN29/AN27</f>
        <v>0</v>
      </c>
      <c r="AO31" s="201"/>
      <c r="AP31" s="201"/>
    </row>
    <row r="32" ht="15.75" customHeight="1">
      <c r="A32" s="184" t="s">
        <v>104</v>
      </c>
      <c r="B32" s="185" t="str">
        <f>VLOOKUP(A32,Jobmatch!A:G,2,0)</f>
        <v>COORDENADOR DE LEGAIZAÇÃO ll</v>
      </c>
      <c r="C32" s="186">
        <f>IFERROR(AVERAGEIF('Folha de Pagamento'!A:A,A32,'Folha de Pagamento'!J:J),"")</f>
        <v>8647</v>
      </c>
      <c r="D32" s="187">
        <v>7.0</v>
      </c>
      <c r="E32" s="185" t="str">
        <f>VLOOKUP(A32,Jobmatch!A:H,3,0)</f>
        <v>Legalização </v>
      </c>
      <c r="F32" s="188" t="s">
        <v>359</v>
      </c>
      <c r="G32" s="190" t="str">
        <f>VLOOKUP(A32,Jobmatch!A:I,4,0)</f>
        <v>35 - ADM PROJETOS</v>
      </c>
      <c r="H32" s="191" t="str">
        <f>VLOOKUP(A32,Jobmatch!A:I,5,0)</f>
        <v>Tático</v>
      </c>
      <c r="I32" s="192">
        <f>VLOOKUP(A32,Jobmatch!A:I,6,0)</f>
        <v>1203</v>
      </c>
      <c r="J32" s="190" t="str">
        <f>VLOOKUP(A32,Jobmatch!A:I,7,0)</f>
        <v>Coordenador de Legalização</v>
      </c>
      <c r="K32" s="193" t="str">
        <f>VLOOKUP(A32,Jobmatch!A:I,8,0)</f>
        <v>Indiferente</v>
      </c>
      <c r="L32" s="194" t="str">
        <f t="shared" si="2"/>
        <v>1203Indiferente</v>
      </c>
      <c r="M32" s="195">
        <f>COUNTIF('Folha de Pagamento'!A:A,A32)</f>
        <v>1</v>
      </c>
      <c r="N32" s="238">
        <v>18.0</v>
      </c>
      <c r="O32" s="196">
        <f>IFERROR(VLOOKUP(L32,'C-01'!$D:$L,5,0),"")</f>
        <v>8783.31</v>
      </c>
      <c r="P32" s="196">
        <f>IFERROR(VLOOKUP(L32,'C-01'!$D:$L,6,0),"")</f>
        <v>8872.04</v>
      </c>
      <c r="Q32" s="196">
        <f>IFERROR(VLOOKUP(L32,'C-01'!$D:$L,7,0),"")</f>
        <v>8872.04</v>
      </c>
      <c r="R32" s="196">
        <f>IFERROR(VLOOKUP(L32,'C-01'!$D:$L,8,0),"")</f>
        <v>8960.78</v>
      </c>
      <c r="S32" s="197">
        <f>IFERROR(VLOOKUP(L32,'C-01'!$D:$L,9,0),"")</f>
        <v>9049.51</v>
      </c>
      <c r="T32" s="198">
        <f>IFS('Painel Geral'!$B$5="Mediana",IFERROR(IF(OR(C32="",Q32=0,Q32=""),"",($C32/$Q32)),""),'Painel Geral'!$B$5="Menor Salário",IFERROR(IF(OR(C32="",Q32=0,Q32=""),"",($C32/$N32)),""),'Painel Geral'!$B$5="1º Quartil",IFERROR(IF(OR(C32="",Q32=0,Q32=""),"",($C32/$O32)),""), 'Painel Geral'!$B$5="Média",IFERROR(IF(OR(C32="",Q32=0,Q32=""),"",($C32/$P32)),""),'Painel Geral'!$B$5="3º Quartil",IFERROR(IF(OR(C32="",Q32=0,Q32=""),"",($C32/$R32)),""),'Painel Geral'!$B$5="Maior Salário",IFERROR(IF(OR(C32="",Q32=0,Q32=""),"",($C32/$S32)),""))</f>
        <v>0.9746349205</v>
      </c>
      <c r="U32" s="199" t="str">
        <f t="shared" si="3"/>
        <v>Na Média</v>
      </c>
      <c r="V32" s="201"/>
      <c r="W32" s="201"/>
      <c r="X32" s="201"/>
      <c r="Y32" s="201"/>
      <c r="Z32" s="232">
        <v>11.0</v>
      </c>
      <c r="AA32" s="233">
        <f t="shared" si="6"/>
        <v>2696.94</v>
      </c>
      <c r="AB32" s="224">
        <f t="shared" ref="AB32:AB47" si="7">(AA32-AA31)/AA31</f>
        <v>0.1954521277</v>
      </c>
      <c r="AC32" s="235"/>
      <c r="AD32" s="201"/>
      <c r="AE32" s="201"/>
      <c r="AF32" s="201"/>
      <c r="AG32" s="201"/>
      <c r="AH32" s="201"/>
      <c r="AI32" s="201"/>
      <c r="AJ32" s="201"/>
      <c r="AK32" s="201"/>
      <c r="AL32" s="201"/>
      <c r="AM32" s="201"/>
      <c r="AN32" s="201"/>
      <c r="AO32" s="201"/>
      <c r="AP32" s="201"/>
    </row>
    <row r="33" ht="15.75" customHeight="1">
      <c r="A33" s="184" t="s">
        <v>146</v>
      </c>
      <c r="B33" s="185" t="str">
        <f>VLOOKUP(A33,Jobmatch!A:G,2,0)</f>
        <v>GERENTE ADMINISTRATIVA </v>
      </c>
      <c r="C33" s="186">
        <f>IFERROR(AVERAGEIF('Folha de Pagamento'!A:A,A33,'Folha de Pagamento'!J:J),"")</f>
        <v>12242.42424</v>
      </c>
      <c r="D33" s="187">
        <v>1.0</v>
      </c>
      <c r="E33" s="185" t="str">
        <f>VLOOKUP(A33,Jobmatch!A:H,3,0)</f>
        <v>Administrativo</v>
      </c>
      <c r="F33" s="188" t="s">
        <v>331</v>
      </c>
      <c r="G33" s="190" t="str">
        <f>VLOOKUP(A33,Jobmatch!A:I,4,0)</f>
        <v>49 - ADM PROJETOS</v>
      </c>
      <c r="H33" s="191" t="str">
        <f>VLOOKUP(A33,Jobmatch!A:I,5,0)</f>
        <v>Tático</v>
      </c>
      <c r="I33" s="192">
        <f>VLOOKUP(A33,Jobmatch!A:I,6,0)</f>
        <v>106</v>
      </c>
      <c r="J33" s="190" t="str">
        <f>VLOOKUP(A33,Jobmatch!A:I,7,0)</f>
        <v>Gerente Administrativo</v>
      </c>
      <c r="K33" s="193" t="str">
        <f>VLOOKUP(A33,Jobmatch!A:I,8,0)</f>
        <v>Indiferente</v>
      </c>
      <c r="L33" s="194" t="str">
        <f t="shared" si="2"/>
        <v>106Indiferente</v>
      </c>
      <c r="M33" s="195">
        <f>COUNTIF('Folha de Pagamento'!A:A,A33)</f>
        <v>2</v>
      </c>
      <c r="N33" s="238">
        <v>19.0</v>
      </c>
      <c r="O33" s="196">
        <f>IFERROR(VLOOKUP(L33,'C-01'!$D:$L,5,0),"")</f>
        <v>6616.13</v>
      </c>
      <c r="P33" s="196">
        <f>IFERROR(VLOOKUP(L33,'C-01'!$D:$L,6,0),"")</f>
        <v>9881.52</v>
      </c>
      <c r="Q33" s="196">
        <f>IFERROR(VLOOKUP(L33,'C-01'!$D:$L,7,0),"")</f>
        <v>10052.23</v>
      </c>
      <c r="R33" s="196">
        <f>IFERROR(VLOOKUP(L33,'C-01'!$D:$L,8,0),"")</f>
        <v>12479.94</v>
      </c>
      <c r="S33" s="197">
        <f>IFERROR(VLOOKUP(L33,'C-01'!$D:$L,9,0),"")</f>
        <v>15257.82</v>
      </c>
      <c r="T33" s="198">
        <f>IFS('Painel Geral'!$B$5="Mediana",IFERROR(IF(OR(C33="",Q33=0,Q33=""),"",($C33/$Q33)),""),'Painel Geral'!$B$5="Menor Salário",IFERROR(IF(OR(C33="",Q33=0,Q33=""),"",($C33/$N33)),""),'Painel Geral'!$B$5="1º Quartil",IFERROR(IF(OR(C33="",Q33=0,Q33=""),"",($C33/$O33)),""), 'Painel Geral'!$B$5="Média",IFERROR(IF(OR(C33="",Q33=0,Q33=""),"",($C33/$P33)),""),'Painel Geral'!$B$5="3º Quartil",IFERROR(IF(OR(C33="",Q33=0,Q33=""),"",($C33/$R33)),""),'Painel Geral'!$B$5="Maior Salário",IFERROR(IF(OR(C33="",Q33=0,Q33=""),"",($C33/$S33)),""))</f>
        <v>1.21788143</v>
      </c>
      <c r="U33" s="199" t="str">
        <f t="shared" si="3"/>
        <v>Agressivo</v>
      </c>
      <c r="V33" s="201"/>
      <c r="W33" s="201"/>
      <c r="X33" s="201"/>
      <c r="Y33" s="201"/>
      <c r="Z33" s="232">
        <v>12.0</v>
      </c>
      <c r="AA33" s="233">
        <f t="shared" si="6"/>
        <v>3205.12</v>
      </c>
      <c r="AB33" s="224">
        <f t="shared" si="7"/>
        <v>0.188428367</v>
      </c>
      <c r="AC33" s="235"/>
      <c r="AD33" s="201"/>
      <c r="AE33" s="201"/>
      <c r="AF33" s="201"/>
      <c r="AG33" s="201"/>
      <c r="AH33" s="201"/>
      <c r="AI33" s="201"/>
      <c r="AJ33" s="201"/>
      <c r="AK33" s="201"/>
      <c r="AL33" s="201"/>
      <c r="AM33" s="201"/>
      <c r="AN33" s="201"/>
      <c r="AO33" s="201"/>
      <c r="AP33" s="201"/>
    </row>
    <row r="34" ht="15.75" customHeight="1">
      <c r="A34" s="184" t="s">
        <v>166</v>
      </c>
      <c r="B34" s="185" t="str">
        <f>VLOOKUP(A34,Jobmatch!A:G,2,0)</f>
        <v>GERENTE DE PARCERIAS</v>
      </c>
      <c r="C34" s="186">
        <f>IFERROR(AVERAGEIF('Folha de Pagamento'!A:A,A34,'Folha de Pagamento'!J:J),"")</f>
        <v>5345</v>
      </c>
      <c r="D34" s="187">
        <v>2.0</v>
      </c>
      <c r="E34" s="185" t="str">
        <f>VLOOKUP(A34,Jobmatch!A:H,3,0)</f>
        <v>Comercial</v>
      </c>
      <c r="F34" s="188" t="s">
        <v>335</v>
      </c>
      <c r="G34" s="190" t="str">
        <f>VLOOKUP(A34,Jobmatch!A:I,4,0)</f>
        <v>55 - ADM PROJETOS</v>
      </c>
      <c r="H34" s="191" t="str">
        <f>VLOOKUP(A34,Jobmatch!A:I,5,0)</f>
        <v>Tático</v>
      </c>
      <c r="I34" s="192">
        <f>VLOOKUP(A34,Jobmatch!A:I,6,0)</f>
        <v>408</v>
      </c>
      <c r="J34" s="190" t="str">
        <f>VLOOKUP(A34,Jobmatch!A:I,7,0)</f>
        <v>Gerente de Relacionamento</v>
      </c>
      <c r="K34" s="193" t="str">
        <f>VLOOKUP(A34,Jobmatch!A:I,8,0)</f>
        <v>Indiferente</v>
      </c>
      <c r="L34" s="194" t="str">
        <f t="shared" si="2"/>
        <v>408Indiferente</v>
      </c>
      <c r="M34" s="195">
        <f>COUNTIF('Folha de Pagamento'!A:A,A34)</f>
        <v>2</v>
      </c>
      <c r="N34" s="238">
        <v>19.0</v>
      </c>
      <c r="O34" s="196">
        <f>IFERROR(VLOOKUP(L34,'C-01'!$D:$L,5,0),"")</f>
        <v>7608.96</v>
      </c>
      <c r="P34" s="196">
        <f>IFERROR(VLOOKUP(L34,'C-01'!$D:$L,6,0),"")</f>
        <v>10973.95</v>
      </c>
      <c r="Q34" s="196">
        <f>IFERROR(VLOOKUP(L34,'C-01'!$D:$L,7,0),"")</f>
        <v>10996.97</v>
      </c>
      <c r="R34" s="196">
        <f>IFERROR(VLOOKUP(L34,'C-01'!$D:$L,8,0),"")</f>
        <v>14004.27</v>
      </c>
      <c r="S34" s="197">
        <f>IFERROR(VLOOKUP(L34,'C-01'!$D:$L,9,0),"")</f>
        <v>16628.86</v>
      </c>
      <c r="T34" s="198">
        <f>IFS('Painel Geral'!$B$5="Mediana",IFERROR(IF(OR(C34="",Q34=0,Q34=""),"",($C34/$Q34)),""),'Painel Geral'!$B$5="Menor Salário",IFERROR(IF(OR(C34="",Q34=0,Q34=""),"",($C34/$N34)),""),'Painel Geral'!$B$5="1º Quartil",IFERROR(IF(OR(C34="",Q34=0,Q34=""),"",($C34/$O34)),""), 'Painel Geral'!$B$5="Média",IFERROR(IF(OR(C34="",Q34=0,Q34=""),"",($C34/$P34)),""),'Painel Geral'!$B$5="3º Quartil",IFERROR(IF(OR(C34="",Q34=0,Q34=""),"",($C34/$R34)),""),'Painel Geral'!$B$5="Maior Salário",IFERROR(IF(OR(C34="",Q34=0,Q34=""),"",($C34/$S34)),""))</f>
        <v>0.4860429737</v>
      </c>
      <c r="U34" s="199" t="str">
        <f t="shared" si="3"/>
        <v>Muito Defasado</v>
      </c>
      <c r="V34" s="201"/>
      <c r="W34" s="201"/>
      <c r="X34" s="201"/>
      <c r="Y34" s="201"/>
      <c r="Z34" s="232">
        <v>13.0</v>
      </c>
      <c r="AA34" s="233">
        <f t="shared" si="6"/>
        <v>3800.58</v>
      </c>
      <c r="AB34" s="224">
        <f t="shared" si="7"/>
        <v>0.1857839956</v>
      </c>
      <c r="AC34" s="235"/>
      <c r="AD34" s="201"/>
      <c r="AE34" s="201"/>
      <c r="AF34" s="201"/>
      <c r="AG34" s="201"/>
      <c r="AH34" s="201"/>
      <c r="AI34" s="201"/>
      <c r="AJ34" s="201"/>
      <c r="AK34" s="201"/>
      <c r="AL34" s="201"/>
      <c r="AM34" s="201"/>
      <c r="AN34" s="201"/>
      <c r="AO34" s="201"/>
      <c r="AP34" s="201"/>
    </row>
    <row r="35" ht="15.75" customHeight="1">
      <c r="A35" s="184" t="s">
        <v>171</v>
      </c>
      <c r="B35" s="185" t="str">
        <f>VLOOKUP(A35,Jobmatch!A:G,2,0)</f>
        <v>GERENTE DE PARCERIAS EXTERNAS</v>
      </c>
      <c r="C35" s="186">
        <f>IFERROR(AVERAGEIF('Folha de Pagamento'!A:A,A35,'Folha de Pagamento'!J:J),"")</f>
        <v>5000</v>
      </c>
      <c r="D35" s="187">
        <v>2.0</v>
      </c>
      <c r="E35" s="185" t="str">
        <f>VLOOKUP(A35,Jobmatch!A:H,3,0)</f>
        <v>Comercial</v>
      </c>
      <c r="F35" s="188" t="s">
        <v>336</v>
      </c>
      <c r="G35" s="190" t="str">
        <f>VLOOKUP(A35,Jobmatch!A:I,4,0)</f>
        <v>56 - ADM PROJETOS</v>
      </c>
      <c r="H35" s="191" t="str">
        <f>VLOOKUP(A35,Jobmatch!A:I,5,0)</f>
        <v>Tático</v>
      </c>
      <c r="I35" s="192">
        <f>VLOOKUP(A35,Jobmatch!A:I,6,0)</f>
        <v>408</v>
      </c>
      <c r="J35" s="190" t="str">
        <f>VLOOKUP(A35,Jobmatch!A:I,7,0)</f>
        <v>Gerente de Relacionamento</v>
      </c>
      <c r="K35" s="193" t="str">
        <f>VLOOKUP(A35,Jobmatch!A:I,8,0)</f>
        <v>Indiferente</v>
      </c>
      <c r="L35" s="194" t="str">
        <f t="shared" si="2"/>
        <v>408Indiferente</v>
      </c>
      <c r="M35" s="195">
        <f>COUNTIF('Folha de Pagamento'!A:A,A35)</f>
        <v>2</v>
      </c>
      <c r="N35" s="238">
        <v>19.0</v>
      </c>
      <c r="O35" s="196">
        <f>IFERROR(VLOOKUP(L35,'C-01'!$D:$L,5,0),"")</f>
        <v>7608.96</v>
      </c>
      <c r="P35" s="196">
        <f>IFERROR(VLOOKUP(L35,'C-01'!$D:$L,6,0),"")</f>
        <v>10973.95</v>
      </c>
      <c r="Q35" s="196">
        <f>IFERROR(VLOOKUP(L35,'C-01'!$D:$L,7,0),"")</f>
        <v>10996.97</v>
      </c>
      <c r="R35" s="196">
        <f>IFERROR(VLOOKUP(L35,'C-01'!$D:$L,8,0),"")</f>
        <v>14004.27</v>
      </c>
      <c r="S35" s="197">
        <f>IFERROR(VLOOKUP(L35,'C-01'!$D:$L,9,0),"")</f>
        <v>16628.86</v>
      </c>
      <c r="T35" s="198">
        <f>IFS('Painel Geral'!$B$5="Mediana",IFERROR(IF(OR(C35="",Q35=0,Q35=""),"",($C35/$Q35)),""),'Painel Geral'!$B$5="Menor Salário",IFERROR(IF(OR(C35="",Q35=0,Q35=""),"",($C35/$N35)),""),'Painel Geral'!$B$5="1º Quartil",IFERROR(IF(OR(C35="",Q35=0,Q35=""),"",($C35/$O35)),""), 'Painel Geral'!$B$5="Média",IFERROR(IF(OR(C35="",Q35=0,Q35=""),"",($C35/$P35)),""),'Painel Geral'!$B$5="3º Quartil",IFERROR(IF(OR(C35="",Q35=0,Q35=""),"",($C35/$R35)),""),'Painel Geral'!$B$5="Maior Salário",IFERROR(IF(OR(C35="",Q35=0,Q35=""),"",($C35/$S35)),""))</f>
        <v>0.4546706957</v>
      </c>
      <c r="U35" s="199" t="str">
        <f t="shared" si="3"/>
        <v>Muito Defasado</v>
      </c>
      <c r="V35" s="201"/>
      <c r="W35" s="201"/>
      <c r="X35" s="201"/>
      <c r="Y35" s="201"/>
      <c r="Z35" s="232">
        <v>14.0</v>
      </c>
      <c r="AA35" s="233">
        <f t="shared" si="6"/>
        <v>4503.36</v>
      </c>
      <c r="AB35" s="224">
        <f t="shared" si="7"/>
        <v>0.1849138816</v>
      </c>
      <c r="AC35" s="235"/>
      <c r="AD35" s="201"/>
      <c r="AE35" s="201"/>
      <c r="AF35" s="201"/>
      <c r="AG35" s="201"/>
      <c r="AH35" s="201"/>
      <c r="AI35" s="201"/>
      <c r="AJ35" s="201"/>
      <c r="AK35" s="201"/>
      <c r="AL35" s="201"/>
      <c r="AM35" s="201"/>
      <c r="AN35" s="201"/>
      <c r="AO35" s="201"/>
      <c r="AP35" s="201"/>
    </row>
    <row r="36" ht="15.75" customHeight="1">
      <c r="A36" s="184" t="s">
        <v>112</v>
      </c>
      <c r="B36" s="185" t="str">
        <f>VLOOKUP(A36,Jobmatch!A:G,2,0)</f>
        <v>COORDENADOR DE SUPRIMENTOS</v>
      </c>
      <c r="C36" s="186">
        <f>IFERROR(AVERAGEIF('Folha de Pagamento'!A:A,A36,'Folha de Pagamento'!J:J),"")</f>
        <v>10596.02649</v>
      </c>
      <c r="D36" s="187">
        <v>1.0</v>
      </c>
      <c r="E36" s="185" t="str">
        <f>VLOOKUP(A36,Jobmatch!A:H,3,0)</f>
        <v>Suprimentos </v>
      </c>
      <c r="F36" s="188" t="s">
        <v>368</v>
      </c>
      <c r="G36" s="190" t="str">
        <f>VLOOKUP(A36,Jobmatch!A:I,4,0)</f>
        <v>38 - ADM PROJETOS</v>
      </c>
      <c r="H36" s="191" t="str">
        <f>VLOOKUP(A36,Jobmatch!A:I,5,0)</f>
        <v>Tático</v>
      </c>
      <c r="I36" s="192">
        <f>VLOOKUP(A36,Jobmatch!A:I,6,0)</f>
        <v>137</v>
      </c>
      <c r="J36" s="190" t="str">
        <f>VLOOKUP(A36,Jobmatch!A:I,7,0)</f>
        <v>Coordenador de Compras</v>
      </c>
      <c r="K36" s="193" t="str">
        <f>VLOOKUP(A36,Jobmatch!A:I,8,0)</f>
        <v>Indiferente</v>
      </c>
      <c r="L36" s="194" t="str">
        <f t="shared" si="2"/>
        <v>137Indiferente</v>
      </c>
      <c r="M36" s="195">
        <f>COUNTIF('Folha de Pagamento'!A:A,A36)</f>
        <v>1</v>
      </c>
      <c r="N36" s="238">
        <v>19.0</v>
      </c>
      <c r="O36" s="196">
        <f>IFERROR(VLOOKUP(L36,'C-01'!$D:$L,5,0),"")</f>
        <v>10557.77</v>
      </c>
      <c r="P36" s="196">
        <f>IFERROR(VLOOKUP(L36,'C-01'!$D:$L,6,0),"")</f>
        <v>13345.69</v>
      </c>
      <c r="Q36" s="196">
        <f>IFERROR(VLOOKUP(L36,'C-01'!$D:$L,7,0),"")</f>
        <v>11060.52</v>
      </c>
      <c r="R36" s="196">
        <f>IFERROR(VLOOKUP(L36,'C-01'!$D:$L,8,0),"")</f>
        <v>14991.02</v>
      </c>
      <c r="S36" s="197">
        <f>IFERROR(VLOOKUP(L36,'C-01'!$D:$L,9,0),"")</f>
        <v>18921.53</v>
      </c>
      <c r="T36" s="198">
        <f>IFS('Painel Geral'!$B$5="Mediana",IFERROR(IF(OR(C36="",Q36=0,Q36=""),"",($C36/$Q36)),""),'Painel Geral'!$B$5="Menor Salário",IFERROR(IF(OR(C36="",Q36=0,Q36=""),"",($C36/$N36)),""),'Painel Geral'!$B$5="1º Quartil",IFERROR(IF(OR(C36="",Q36=0,Q36=""),"",($C36/$O36)),""), 'Painel Geral'!$B$5="Média",IFERROR(IF(OR(C36="",Q36=0,Q36=""),"",($C36/$P36)),""),'Painel Geral'!$B$5="3º Quartil",IFERROR(IF(OR(C36="",Q36=0,Q36=""),"",($C36/$R36)),""),'Painel Geral'!$B$5="Maior Salário",IFERROR(IF(OR(C36="",Q36=0,Q36=""),"",($C36/$S36)),""))</f>
        <v>0.9580043696</v>
      </c>
      <c r="U36" s="199" t="str">
        <f t="shared" si="3"/>
        <v>Na Média</v>
      </c>
      <c r="V36" s="201"/>
      <c r="W36" s="201"/>
      <c r="X36" s="201"/>
      <c r="Y36" s="201"/>
      <c r="Z36" s="232">
        <v>15.0</v>
      </c>
      <c r="AA36" s="233">
        <f t="shared" si="6"/>
        <v>5333.5</v>
      </c>
      <c r="AB36" s="224">
        <f t="shared" si="7"/>
        <v>0.1843379166</v>
      </c>
      <c r="AC36" s="235"/>
      <c r="AD36" s="201"/>
      <c r="AE36" s="201"/>
      <c r="AF36" s="201"/>
      <c r="AG36" s="201"/>
      <c r="AH36" s="201"/>
      <c r="AI36" s="201"/>
      <c r="AJ36" s="201"/>
      <c r="AK36" s="201"/>
      <c r="AL36" s="201"/>
      <c r="AM36" s="201"/>
      <c r="AN36" s="201"/>
      <c r="AO36" s="201"/>
      <c r="AP36" s="201"/>
    </row>
    <row r="37" ht="15.75" customHeight="1">
      <c r="A37" s="184" t="s">
        <v>149</v>
      </c>
      <c r="B37" s="185" t="str">
        <f>VLOOKUP(A37,Jobmatch!A:G,2,0)</f>
        <v>GERENTE COMERCIAL</v>
      </c>
      <c r="C37" s="186">
        <f>IFERROR(AVERAGEIF('Folha de Pagamento'!A:A,A37,'Folha de Pagamento'!J:J),"")</f>
        <v>12090.90909</v>
      </c>
      <c r="D37" s="187">
        <v>2.0</v>
      </c>
      <c r="E37" s="185" t="str">
        <f>VLOOKUP(A37,Jobmatch!A:H,3,0)</f>
        <v>Comercial</v>
      </c>
      <c r="F37" s="188" t="s">
        <v>294</v>
      </c>
      <c r="G37" s="190" t="str">
        <f>VLOOKUP(A37,Jobmatch!A:I,4,0)</f>
        <v>50 - ADM PROJETOS</v>
      </c>
      <c r="H37" s="191" t="str">
        <f>VLOOKUP(A37,Jobmatch!A:I,5,0)</f>
        <v>Tático</v>
      </c>
      <c r="I37" s="192">
        <f>VLOOKUP(A37,Jobmatch!A:I,6,0)</f>
        <v>107</v>
      </c>
      <c r="J37" s="190" t="str">
        <f>VLOOKUP(A37,Jobmatch!A:I,7,0)</f>
        <v>Gerente Comercial</v>
      </c>
      <c r="K37" s="193" t="str">
        <f>VLOOKUP(A37,Jobmatch!A:I,8,0)</f>
        <v>Indiferente</v>
      </c>
      <c r="L37" s="194" t="str">
        <f t="shared" si="2"/>
        <v>107Indiferente</v>
      </c>
      <c r="M37" s="195">
        <f>COUNTIF('Folha de Pagamento'!A:A,A37)</f>
        <v>4</v>
      </c>
      <c r="N37" s="238">
        <v>20.0</v>
      </c>
      <c r="O37" s="196">
        <f>IFERROR(VLOOKUP(L37,'C-01'!$D:$L,5,0),"")</f>
        <v>9778.91</v>
      </c>
      <c r="P37" s="196">
        <f>IFERROR(VLOOKUP(L37,'C-01'!$D:$L,6,0),"")</f>
        <v>12281.04</v>
      </c>
      <c r="Q37" s="196">
        <f>IFERROR(VLOOKUP(L37,'C-01'!$D:$L,7,0),"")</f>
        <v>12107.57</v>
      </c>
      <c r="R37" s="196">
        <f>IFERROR(VLOOKUP(L37,'C-01'!$D:$L,8,0),"")</f>
        <v>15321.87</v>
      </c>
      <c r="S37" s="197">
        <f>IFERROR(VLOOKUP(L37,'C-01'!$D:$L,9,0),"")</f>
        <v>19289.48</v>
      </c>
      <c r="T37" s="198">
        <f>IFS('Painel Geral'!$B$5="Mediana",IFERROR(IF(OR(C37="",Q37=0,Q37=""),"",($C37/$Q37)),""),'Painel Geral'!$B$5="Menor Salário",IFERROR(IF(OR(C37="",Q37=0,Q37=""),"",($C37/$N37)),""),'Painel Geral'!$B$5="1º Quartil",IFERROR(IF(OR(C37="",Q37=0,Q37=""),"",($C37/$O37)),""), 'Painel Geral'!$B$5="Média",IFERROR(IF(OR(C37="",Q37=0,Q37=""),"",($C37/$P37)),""),'Painel Geral'!$B$5="3º Quartil",IFERROR(IF(OR(C37="",Q37=0,Q37=""),"",($C37/$R37)),""),'Painel Geral'!$B$5="Maior Salário",IFERROR(IF(OR(C37="",Q37=0,Q37=""),"",($C37/$S37)),""))</f>
        <v>0.9986239263</v>
      </c>
      <c r="U37" s="199" t="str">
        <f t="shared" si="3"/>
        <v>Na Média</v>
      </c>
      <c r="V37" s="201"/>
      <c r="W37" s="201"/>
      <c r="X37" s="201"/>
      <c r="Y37" s="201"/>
      <c r="Z37" s="232">
        <v>16.0</v>
      </c>
      <c r="AA37" s="233">
        <f t="shared" si="6"/>
        <v>6311.04</v>
      </c>
      <c r="AB37" s="224">
        <f t="shared" si="7"/>
        <v>0.1832830224</v>
      </c>
      <c r="AC37" s="235"/>
      <c r="AD37" s="201"/>
      <c r="AE37" s="201"/>
      <c r="AF37" s="201"/>
      <c r="AG37" s="201"/>
      <c r="AH37" s="201"/>
      <c r="AI37" s="201"/>
      <c r="AJ37" s="201"/>
      <c r="AK37" s="201"/>
      <c r="AL37" s="201"/>
      <c r="AM37" s="201"/>
      <c r="AN37" s="201"/>
      <c r="AO37" s="201"/>
      <c r="AP37" s="201"/>
    </row>
    <row r="38" ht="15.75" customHeight="1">
      <c r="A38" s="184" t="s">
        <v>155</v>
      </c>
      <c r="B38" s="185" t="str">
        <f>VLOOKUP(A38,Jobmatch!A:G,2,0)</f>
        <v>GERENTE DE HOUSE</v>
      </c>
      <c r="C38" s="186">
        <f>IFERROR(AVERAGEIF('Folha de Pagamento'!A:A,A38,'Folha de Pagamento'!J:J),"")</f>
        <v>5125</v>
      </c>
      <c r="D38" s="187">
        <v>2.0</v>
      </c>
      <c r="E38" s="185" t="str">
        <f>VLOOKUP(A38,Jobmatch!A:H,3,0)</f>
        <v>Comercial</v>
      </c>
      <c r="F38" s="188" t="s">
        <v>333</v>
      </c>
      <c r="G38" s="190" t="str">
        <f>VLOOKUP(A38,Jobmatch!A:I,4,0)</f>
        <v>52 - ADM PROJETOS</v>
      </c>
      <c r="H38" s="191" t="str">
        <f>VLOOKUP(A38,Jobmatch!A:I,5,0)</f>
        <v>Tático</v>
      </c>
      <c r="I38" s="192">
        <f>VLOOKUP(A38,Jobmatch!A:I,6,0)</f>
        <v>107</v>
      </c>
      <c r="J38" s="190" t="str">
        <f>VLOOKUP(A38,Jobmatch!A:I,7,0)</f>
        <v>Gerente Comercial</v>
      </c>
      <c r="K38" s="193" t="str">
        <f>VLOOKUP(A38,Jobmatch!A:I,8,0)</f>
        <v>Indiferente</v>
      </c>
      <c r="L38" s="194" t="str">
        <f t="shared" si="2"/>
        <v>107Indiferente</v>
      </c>
      <c r="M38" s="195">
        <f>COUNTIF('Folha de Pagamento'!A:A,A38)</f>
        <v>1</v>
      </c>
      <c r="N38" s="238">
        <v>20.0</v>
      </c>
      <c r="O38" s="196">
        <f>IFERROR(VLOOKUP(L38,'C-01'!$D:$L,5,0),"")</f>
        <v>9778.91</v>
      </c>
      <c r="P38" s="196">
        <f>IFERROR(VLOOKUP(L38,'C-01'!$D:$L,6,0),"")</f>
        <v>12281.04</v>
      </c>
      <c r="Q38" s="196">
        <f>IFERROR(VLOOKUP(L38,'C-01'!$D:$L,7,0),"")</f>
        <v>12107.57</v>
      </c>
      <c r="R38" s="196">
        <f>IFERROR(VLOOKUP(L38,'C-01'!$D:$L,8,0),"")</f>
        <v>15321.87</v>
      </c>
      <c r="S38" s="197">
        <f>IFERROR(VLOOKUP(L38,'C-01'!$D:$L,9,0),"")</f>
        <v>19289.48</v>
      </c>
      <c r="T38" s="198">
        <f>IFS('Painel Geral'!$B$5="Mediana",IFERROR(IF(OR(C38="",Q38=0,Q38=""),"",($C38/$Q38)),""),'Painel Geral'!$B$5="Menor Salário",IFERROR(IF(OR(C38="",Q38=0,Q38=""),"",($C38/$N38)),""),'Painel Geral'!$B$5="1º Quartil",IFERROR(IF(OR(C38="",Q38=0,Q38=""),"",($C38/$O38)),""), 'Painel Geral'!$B$5="Média",IFERROR(IF(OR(C38="",Q38=0,Q38=""),"",($C38/$P38)),""),'Painel Geral'!$B$5="3º Quartil",IFERROR(IF(OR(C38="",Q38=0,Q38=""),"",($C38/$R38)),""),'Painel Geral'!$B$5="Maior Salário",IFERROR(IF(OR(C38="",Q38=0,Q38=""),"",($C38/$S38)),""))</f>
        <v>0.4232889011</v>
      </c>
      <c r="U38" s="199" t="str">
        <f t="shared" si="3"/>
        <v>Muito Defasado</v>
      </c>
      <c r="V38" s="201"/>
      <c r="W38" s="201"/>
      <c r="X38" s="201"/>
      <c r="Y38" s="201"/>
      <c r="Z38" s="232">
        <v>17.0</v>
      </c>
      <c r="AA38" s="233">
        <f t="shared" si="6"/>
        <v>7456.02</v>
      </c>
      <c r="AB38" s="224">
        <f t="shared" si="7"/>
        <v>0.1814249315</v>
      </c>
      <c r="AC38" s="235"/>
      <c r="AD38" s="201"/>
      <c r="AE38" s="201"/>
      <c r="AF38" s="201"/>
      <c r="AG38" s="201"/>
      <c r="AH38" s="201"/>
      <c r="AI38" s="201"/>
      <c r="AJ38" s="201"/>
      <c r="AK38" s="201"/>
      <c r="AL38" s="201"/>
      <c r="AM38" s="201"/>
      <c r="AN38" s="201"/>
      <c r="AO38" s="201"/>
      <c r="AP38" s="201"/>
    </row>
    <row r="39" ht="15.75" customHeight="1">
      <c r="A39" s="184" t="s">
        <v>152</v>
      </c>
      <c r="B39" s="185" t="str">
        <f>VLOOKUP(A39,Jobmatch!A:G,2,0)</f>
        <v>GERENTE DE EDIFICAÇÕES</v>
      </c>
      <c r="C39" s="186">
        <f>IFERROR(AVERAGEIF('Folha de Pagamento'!A:A,A39,'Folha de Pagamento'!J:J),"")</f>
        <v>30106.06061</v>
      </c>
      <c r="D39" s="187">
        <v>5.0</v>
      </c>
      <c r="E39" s="185" t="str">
        <f>VLOOKUP(A39,Jobmatch!A:H,3,0)</f>
        <v>Edificação</v>
      </c>
      <c r="F39" s="188" t="s">
        <v>348</v>
      </c>
      <c r="G39" s="190" t="str">
        <f>VLOOKUP(A39,Jobmatch!A:I,4,0)</f>
        <v>51 - ADM PROJETOS</v>
      </c>
      <c r="H39" s="191" t="str">
        <f>VLOOKUP(A39,Jobmatch!A:I,5,0)</f>
        <v>Tático</v>
      </c>
      <c r="I39" s="192">
        <f>VLOOKUP(A39,Jobmatch!A:I,6,0)</f>
        <v>311</v>
      </c>
      <c r="J39" s="190" t="str">
        <f>VLOOKUP(A39,Jobmatch!A:I,7,0)</f>
        <v>Gerente de Operações</v>
      </c>
      <c r="K39" s="193" t="str">
        <f>VLOOKUP(A39,Jobmatch!A:I,8,0)</f>
        <v>Indiferente</v>
      </c>
      <c r="L39" s="194" t="str">
        <f t="shared" si="2"/>
        <v>311Indiferente</v>
      </c>
      <c r="M39" s="195">
        <f>COUNTIF('Folha de Pagamento'!A:A,A39)</f>
        <v>1</v>
      </c>
      <c r="N39" s="238">
        <v>20.0</v>
      </c>
      <c r="O39" s="196">
        <f>IFERROR(VLOOKUP(L39,'C-01'!$D:$L,5,0),"")</f>
        <v>10114.75</v>
      </c>
      <c r="P39" s="196">
        <f>IFERROR(VLOOKUP(L39,'C-01'!$D:$L,6,0),"")</f>
        <v>12711.42</v>
      </c>
      <c r="Q39" s="196">
        <f>IFERROR(VLOOKUP(L39,'C-01'!$D:$L,7,0),"")</f>
        <v>12517.82</v>
      </c>
      <c r="R39" s="196">
        <f>IFERROR(VLOOKUP(L39,'C-01'!$D:$L,8,0),"")</f>
        <v>14749</v>
      </c>
      <c r="S39" s="197">
        <f>IFERROR(VLOOKUP(L39,'C-01'!$D:$L,9,0),"")</f>
        <v>19098.65</v>
      </c>
      <c r="T39" s="198">
        <f>IFS('Painel Geral'!$B$5="Mediana",IFERROR(IF(OR(C39="",Q39=0,Q39=""),"",($C39/$Q39)),""),'Painel Geral'!$B$5="Menor Salário",IFERROR(IF(OR(C39="",Q39=0,Q39=""),"",($C39/$N39)),""),'Painel Geral'!$B$5="1º Quartil",IFERROR(IF(OR(C39="",Q39=0,Q39=""),"",($C39/$O39)),""), 'Painel Geral'!$B$5="Média",IFERROR(IF(OR(C39="",Q39=0,Q39=""),"",($C39/$P39)),""),'Painel Geral'!$B$5="3º Quartil",IFERROR(IF(OR(C39="",Q39=0,Q39=""),"",($C39/$R39)),""),'Painel Geral'!$B$5="Maior Salário",IFERROR(IF(OR(C39="",Q39=0,Q39=""),"",($C39/$S39)),""))</f>
        <v>2.4050562</v>
      </c>
      <c r="U39" s="199" t="str">
        <f t="shared" si="3"/>
        <v>Agressivo</v>
      </c>
      <c r="V39" s="201"/>
      <c r="W39" s="201"/>
      <c r="X39" s="201"/>
      <c r="Y39" s="201"/>
      <c r="Z39" s="232">
        <v>18.0</v>
      </c>
      <c r="AA39" s="233">
        <f t="shared" si="6"/>
        <v>8788.48</v>
      </c>
      <c r="AB39" s="224">
        <f t="shared" si="7"/>
        <v>0.1787092846</v>
      </c>
      <c r="AC39" s="235"/>
      <c r="AD39" s="201"/>
      <c r="AE39" s="201"/>
      <c r="AF39" s="201"/>
      <c r="AG39" s="201"/>
      <c r="AH39" s="201"/>
      <c r="AI39" s="201"/>
      <c r="AJ39" s="201"/>
      <c r="AK39" s="201"/>
      <c r="AL39" s="201"/>
      <c r="AM39" s="201"/>
      <c r="AN39" s="201"/>
      <c r="AO39" s="201"/>
      <c r="AP39" s="201"/>
    </row>
    <row r="40" ht="15.75" customHeight="1">
      <c r="A40" s="184" t="s">
        <v>174</v>
      </c>
      <c r="B40" s="185" t="str">
        <f>VLOOKUP(A40,Jobmatch!A:G,2,0)</f>
        <v>GERENTE DE URBANISMO</v>
      </c>
      <c r="C40" s="186">
        <f>IFERROR(AVERAGEIF('Folha de Pagamento'!A:A,A40,'Folha de Pagamento'!J:J),"")</f>
        <v>28030.30303</v>
      </c>
      <c r="D40" s="187">
        <v>10.0</v>
      </c>
      <c r="E40" s="185" t="str">
        <f>VLOOKUP(A40,Jobmatch!A:H,3,0)</f>
        <v>Urbanismo</v>
      </c>
      <c r="F40" s="188" t="s">
        <v>375</v>
      </c>
      <c r="G40" s="190" t="str">
        <f>VLOOKUP(A40,Jobmatch!A:I,4,0)</f>
        <v>57 - ADM PROJETOS</v>
      </c>
      <c r="H40" s="191" t="str">
        <f>VLOOKUP(A40,Jobmatch!A:I,5,0)</f>
        <v>Tático</v>
      </c>
      <c r="I40" s="192">
        <f>VLOOKUP(A40,Jobmatch!A:I,6,0)</f>
        <v>311</v>
      </c>
      <c r="J40" s="190" t="str">
        <f>VLOOKUP(A40,Jobmatch!A:I,7,0)</f>
        <v>Gerente de Operações</v>
      </c>
      <c r="K40" s="193" t="str">
        <f>VLOOKUP(A40,Jobmatch!A:I,8,0)</f>
        <v>Indiferente</v>
      </c>
      <c r="L40" s="194" t="str">
        <f t="shared" si="2"/>
        <v>311Indiferente</v>
      </c>
      <c r="M40" s="195">
        <f>COUNTIF('Folha de Pagamento'!A:A,A40)</f>
        <v>2</v>
      </c>
      <c r="N40" s="238">
        <v>20.0</v>
      </c>
      <c r="O40" s="196">
        <f>IFERROR(VLOOKUP(L40,'C-01'!$D:$L,5,0),"")</f>
        <v>10114.75</v>
      </c>
      <c r="P40" s="196">
        <f>IFERROR(VLOOKUP(L40,'C-01'!$D:$L,6,0),"")</f>
        <v>12711.42</v>
      </c>
      <c r="Q40" s="196">
        <f>IFERROR(VLOOKUP(L40,'C-01'!$D:$L,7,0),"")</f>
        <v>12517.82</v>
      </c>
      <c r="R40" s="196">
        <f>IFERROR(VLOOKUP(L40,'C-01'!$D:$L,8,0),"")</f>
        <v>14749</v>
      </c>
      <c r="S40" s="197">
        <f>IFERROR(VLOOKUP(L40,'C-01'!$D:$L,9,0),"")</f>
        <v>19098.65</v>
      </c>
      <c r="T40" s="198">
        <f>IFS('Painel Geral'!$B$5="Mediana",IFERROR(IF(OR(C40="",Q40=0,Q40=""),"",($C40/$Q40)),""),'Painel Geral'!$B$5="Menor Salário",IFERROR(IF(OR(C40="",Q40=0,Q40=""),"",($C40/$N40)),""),'Painel Geral'!$B$5="1º Quartil",IFERROR(IF(OR(C40="",Q40=0,Q40=""),"",($C40/$O40)),""), 'Painel Geral'!$B$5="Média",IFERROR(IF(OR(C40="",Q40=0,Q40=""),"",($C40/$P40)),""),'Painel Geral'!$B$5="3º Quartil",IFERROR(IF(OR(C40="",Q40=0,Q40=""),"",($C40/$R40)),""),'Painel Geral'!$B$5="Maior Salário",IFERROR(IF(OR(C40="",Q40=0,Q40=""),"",($C40/$S40)),""))</f>
        <v>2.239231993</v>
      </c>
      <c r="U40" s="199" t="str">
        <f t="shared" si="3"/>
        <v>Agressivo</v>
      </c>
      <c r="V40" s="201"/>
      <c r="W40" s="201"/>
      <c r="X40" s="201"/>
      <c r="Y40" s="201"/>
      <c r="Z40" s="232">
        <v>19.0</v>
      </c>
      <c r="AA40" s="233">
        <f t="shared" si="6"/>
        <v>10328.46</v>
      </c>
      <c r="AB40" s="224">
        <f t="shared" si="7"/>
        <v>0.1752271155</v>
      </c>
      <c r="AC40" s="235"/>
      <c r="AD40" s="201"/>
      <c r="AE40" s="201"/>
      <c r="AF40" s="201"/>
      <c r="AG40" s="201"/>
      <c r="AH40" s="201"/>
      <c r="AI40" s="201"/>
      <c r="AJ40" s="201"/>
      <c r="AK40" s="201"/>
      <c r="AL40" s="201"/>
      <c r="AM40" s="201"/>
      <c r="AN40" s="201"/>
      <c r="AO40" s="201"/>
      <c r="AP40" s="201"/>
    </row>
    <row r="41" ht="15.75" customHeight="1">
      <c r="A41" s="184" t="s">
        <v>101</v>
      </c>
      <c r="B41" s="185" t="str">
        <f>VLOOKUP(A41,Jobmatch!A:G,2,0)</f>
        <v>COORDENADOR DE DHO</v>
      </c>
      <c r="C41" s="186">
        <f>IFERROR(AVERAGEIF('Folha de Pagamento'!A:A,A41,'Folha de Pagamento'!J:J),"")</f>
        <v>7420</v>
      </c>
      <c r="D41" s="187">
        <v>4.0</v>
      </c>
      <c r="E41" s="185" t="str">
        <f>VLOOKUP(A41,Jobmatch!A:H,3,0)</f>
        <v>DHO</v>
      </c>
      <c r="F41" s="188" t="s">
        <v>341</v>
      </c>
      <c r="G41" s="190" t="str">
        <f>VLOOKUP(A41,Jobmatch!A:I,4,0)</f>
        <v>34 - ADM PROJETOS</v>
      </c>
      <c r="H41" s="191" t="str">
        <f>VLOOKUP(A41,Jobmatch!A:I,5,0)</f>
        <v>Tático</v>
      </c>
      <c r="I41" s="192">
        <f>VLOOKUP(A41,Jobmatch!A:I,6,0)</f>
        <v>121</v>
      </c>
      <c r="J41" s="190" t="str">
        <f>VLOOKUP(A41,Jobmatch!A:I,7,0)</f>
        <v>Coordenador de Recursos Humanos</v>
      </c>
      <c r="K41" s="193" t="str">
        <f>VLOOKUP(A41,Jobmatch!A:I,8,0)</f>
        <v>Indiferente</v>
      </c>
      <c r="L41" s="194" t="str">
        <f t="shared" si="2"/>
        <v>121Indiferente</v>
      </c>
      <c r="M41" s="195">
        <f>COUNTIF('Folha de Pagamento'!A:A,A41)</f>
        <v>1</v>
      </c>
      <c r="N41" s="238">
        <v>20.0</v>
      </c>
      <c r="O41" s="196">
        <f>IFERROR(VLOOKUP(L41,'C-01'!$D:$L,5,0),"")</f>
        <v>10014.8</v>
      </c>
      <c r="P41" s="196">
        <f>IFERROR(VLOOKUP(L41,'C-01'!$D:$L,6,0),"")</f>
        <v>11303.85</v>
      </c>
      <c r="Q41" s="196">
        <f>IFERROR(VLOOKUP(L41,'C-01'!$D:$L,7,0),"")</f>
        <v>12568.77</v>
      </c>
      <c r="R41" s="196">
        <f>IFERROR(VLOOKUP(L41,'C-01'!$D:$L,8,0),"")</f>
        <v>13225.36</v>
      </c>
      <c r="S41" s="197">
        <f>IFERROR(VLOOKUP(L41,'C-01'!$D:$L,9,0),"")</f>
        <v>13881.95</v>
      </c>
      <c r="T41" s="198">
        <f>IFS('Painel Geral'!$B$5="Mediana",IFERROR(IF(OR(C41="",Q41=0,Q41=""),"",($C41/$Q41)),""),'Painel Geral'!$B$5="Menor Salário",IFERROR(IF(OR(C41="",Q41=0,Q41=""),"",($C41/$N41)),""),'Painel Geral'!$B$5="1º Quartil",IFERROR(IF(OR(C41="",Q41=0,Q41=""),"",($C41/$O41)),""), 'Painel Geral'!$B$5="Média",IFERROR(IF(OR(C41="",Q41=0,Q41=""),"",($C41/$P41)),""),'Painel Geral'!$B$5="3º Quartil",IFERROR(IF(OR(C41="",Q41=0,Q41=""),"",($C41/$R41)),""),'Painel Geral'!$B$5="Maior Salário",IFERROR(IF(OR(C41="",Q41=0,Q41=""),"",($C41/$S41)),""))</f>
        <v>0.5903521188</v>
      </c>
      <c r="U41" s="199" t="str">
        <f t="shared" si="3"/>
        <v>Muito Defasado</v>
      </c>
      <c r="V41" s="201"/>
      <c r="W41" s="201"/>
      <c r="X41" s="201"/>
      <c r="Y41" s="201"/>
      <c r="Z41" s="232">
        <v>20.0</v>
      </c>
      <c r="AA41" s="233">
        <f t="shared" si="6"/>
        <v>12096</v>
      </c>
      <c r="AB41" s="224">
        <f t="shared" si="7"/>
        <v>0.1711329666</v>
      </c>
      <c r="AC41" s="235"/>
      <c r="AD41" s="201"/>
      <c r="AE41" s="201"/>
      <c r="AF41" s="201"/>
      <c r="AG41" s="201"/>
      <c r="AH41" s="201"/>
      <c r="AI41" s="201"/>
      <c r="AJ41" s="201"/>
      <c r="AK41" s="201"/>
      <c r="AL41" s="201"/>
      <c r="AM41" s="201"/>
      <c r="AN41" s="201"/>
      <c r="AO41" s="201"/>
      <c r="AP41" s="201"/>
    </row>
    <row r="42" ht="15.75" customHeight="1">
      <c r="A42" s="184" t="s">
        <v>98</v>
      </c>
      <c r="B42" s="185" t="str">
        <f>VLOOKUP(A42,Jobmatch!A:G,2,0)</f>
        <v>CONTROLLER TÉCNICO</v>
      </c>
      <c r="C42" s="186">
        <f>IFERROR(AVERAGEIF('Folha de Pagamento'!A:A,A42,'Folha de Pagamento'!J:J),"")</f>
        <v>9243.50365</v>
      </c>
      <c r="D42" s="187">
        <v>3.0</v>
      </c>
      <c r="E42" s="185" t="str">
        <f>VLOOKUP(A42,Jobmatch!A:H,3,0)</f>
        <v>Controladoria</v>
      </c>
      <c r="F42" s="188" t="s">
        <v>339</v>
      </c>
      <c r="G42" s="190" t="str">
        <f>VLOOKUP(A42,Jobmatch!A:I,4,0)</f>
        <v>33 - ADM PROJETOS</v>
      </c>
      <c r="H42" s="191" t="str">
        <f>VLOOKUP(A42,Jobmatch!A:I,5,0)</f>
        <v>Tático</v>
      </c>
      <c r="I42" s="192">
        <f>VLOOKUP(A42,Jobmatch!A:I,6,0)</f>
        <v>26</v>
      </c>
      <c r="J42" s="190" t="str">
        <f>VLOOKUP(A42,Jobmatch!A:I,7,0)</f>
        <v>Analista de Controladoria</v>
      </c>
      <c r="K42" s="193" t="str">
        <f>VLOOKUP(A42,Jobmatch!A:I,8,0)</f>
        <v>Especialista</v>
      </c>
      <c r="L42" s="194" t="str">
        <f t="shared" si="2"/>
        <v>26Especialista</v>
      </c>
      <c r="M42" s="195">
        <f>COUNTIF('Folha de Pagamento'!A:A,A42)</f>
        <v>1</v>
      </c>
      <c r="N42" s="238">
        <v>21.0</v>
      </c>
      <c r="O42" s="196">
        <f>IFERROR(VLOOKUP(L42,'C-01'!$D:$L,5,0),"")</f>
        <v>10665.2</v>
      </c>
      <c r="P42" s="196">
        <f>IFERROR(VLOOKUP(L42,'C-01'!$D:$L,6,0),"")</f>
        <v>12572.61</v>
      </c>
      <c r="Q42" s="196">
        <f>IFERROR(VLOOKUP(L42,'C-01'!$D:$L,7,0),"")</f>
        <v>13758.75</v>
      </c>
      <c r="R42" s="196">
        <f>IFERROR(VLOOKUP(L42,'C-01'!$D:$L,8,0),"")</f>
        <v>15666.17</v>
      </c>
      <c r="S42" s="197">
        <f>IFERROR(VLOOKUP(L42,'C-01'!$D:$L,9,0),"")</f>
        <v>15995.86</v>
      </c>
      <c r="T42" s="198">
        <f>IFS('Painel Geral'!$B$5="Mediana",IFERROR(IF(OR(C42="",Q42=0,Q42=""),"",($C42/$Q42)),""),'Painel Geral'!$B$5="Menor Salário",IFERROR(IF(OR(C42="",Q42=0,Q42=""),"",($C42/$N42)),""),'Painel Geral'!$B$5="1º Quartil",IFERROR(IF(OR(C42="",Q42=0,Q42=""),"",($C42/$O42)),""), 'Painel Geral'!$B$5="Média",IFERROR(IF(OR(C42="",Q42=0,Q42=""),"",($C42/$P42)),""),'Painel Geral'!$B$5="3º Quartil",IFERROR(IF(OR(C42="",Q42=0,Q42=""),"",($C42/$R42)),""),'Painel Geral'!$B$5="Maior Salário",IFERROR(IF(OR(C42="",Q42=0,Q42=""),"",($C42/$S42)),""))</f>
        <v>0.6718272844</v>
      </c>
      <c r="U42" s="199" t="str">
        <f t="shared" si="3"/>
        <v>Muito Defasado</v>
      </c>
      <c r="V42" s="201"/>
      <c r="W42" s="201"/>
      <c r="X42" s="201"/>
      <c r="Y42" s="201"/>
      <c r="Z42" s="232">
        <v>21.0</v>
      </c>
      <c r="AA42" s="233">
        <f t="shared" si="6"/>
        <v>14111.14</v>
      </c>
      <c r="AB42" s="224">
        <f t="shared" si="7"/>
        <v>0.1665955688</v>
      </c>
      <c r="AC42" s="235"/>
      <c r="AD42" s="201"/>
      <c r="AE42" s="201"/>
      <c r="AF42" s="201"/>
      <c r="AG42" s="201"/>
      <c r="AH42" s="201"/>
      <c r="AI42" s="201"/>
      <c r="AJ42" s="201"/>
      <c r="AK42" s="201"/>
      <c r="AL42" s="201"/>
      <c r="AM42" s="201"/>
      <c r="AN42" s="201"/>
      <c r="AO42" s="201"/>
      <c r="AP42" s="201"/>
    </row>
    <row r="43" ht="15.75" customHeight="1">
      <c r="A43" s="184" t="s">
        <v>130</v>
      </c>
      <c r="B43" s="185" t="str">
        <f>VLOOKUP(A43,Jobmatch!A:G,2,0)</f>
        <v>ENGENHEIRO SÊNIOR </v>
      </c>
      <c r="C43" s="186">
        <f>IFERROR(AVERAGEIF('Folha de Pagamento'!A:A,A43,'Folha de Pagamento'!J:J),"")</f>
        <v>14393.93939</v>
      </c>
      <c r="D43" s="187">
        <v>5.0</v>
      </c>
      <c r="E43" s="185" t="str">
        <f>VLOOKUP(A43,Jobmatch!A:H,3,0)</f>
        <v>Edificação</v>
      </c>
      <c r="F43" s="188" t="s">
        <v>347</v>
      </c>
      <c r="G43" s="190" t="str">
        <f>VLOOKUP(A43,Jobmatch!A:I,4,0)</f>
        <v>44 - ADM PROJETOS</v>
      </c>
      <c r="H43" s="191" t="str">
        <f>VLOOKUP(A43,Jobmatch!A:I,5,0)</f>
        <v>Tático</v>
      </c>
      <c r="I43" s="192">
        <f>VLOOKUP(A43,Jobmatch!A:I,6,0)</f>
        <v>212</v>
      </c>
      <c r="J43" s="190" t="str">
        <f>VLOOKUP(A43,Jobmatch!A:I,7,0)</f>
        <v>Engenheiro de Urbanismo</v>
      </c>
      <c r="K43" s="193" t="str">
        <f>VLOOKUP(A43,Jobmatch!A:I,8,0)</f>
        <v>Indiferente</v>
      </c>
      <c r="L43" s="194" t="str">
        <f t="shared" si="2"/>
        <v>212Indiferente</v>
      </c>
      <c r="M43" s="195">
        <f>COUNTIF('Folha de Pagamento'!A:A,A43)</f>
        <v>1</v>
      </c>
      <c r="N43" s="238">
        <v>22.0</v>
      </c>
      <c r="O43" s="196">
        <f>IFERROR(VLOOKUP(L43,'C-01'!$D:$L,5,0),"")</f>
        <v>12766.6</v>
      </c>
      <c r="P43" s="196">
        <f>IFERROR(VLOOKUP(L43,'C-01'!$D:$L,6,0),"")</f>
        <v>14293.39</v>
      </c>
      <c r="Q43" s="196">
        <f>IFERROR(VLOOKUP(L43,'C-01'!$D:$L,7,0),"")</f>
        <v>15082.52</v>
      </c>
      <c r="R43" s="196">
        <f>IFERROR(VLOOKUP(L43,'C-01'!$D:$L,8,0),"")</f>
        <v>16110.29</v>
      </c>
      <c r="S43" s="197">
        <f>IFERROR(VLOOKUP(L43,'C-01'!$D:$L,9,0),"")</f>
        <v>16164.64</v>
      </c>
      <c r="T43" s="198">
        <f>IFS('Painel Geral'!$B$5="Mediana",IFERROR(IF(OR(C43="",Q43=0,Q43=""),"",($C43/$Q43)),""),'Painel Geral'!$B$5="Menor Salário",IFERROR(IF(OR(C43="",Q43=0,Q43=""),"",($C43/$N43)),""),'Painel Geral'!$B$5="1º Quartil",IFERROR(IF(OR(C43="",Q43=0,Q43=""),"",($C43/$O43)),""), 'Painel Geral'!$B$5="Média",IFERROR(IF(OR(C43="",Q43=0,Q43=""),"",($C43/$P43)),""),'Painel Geral'!$B$5="3º Quartil",IFERROR(IF(OR(C43="",Q43=0,Q43=""),"",($C43/$R43)),""),'Painel Geral'!$B$5="Maior Salário",IFERROR(IF(OR(C43="",Q43=0,Q43=""),"",($C43/$S43)),""))</f>
        <v>0.9543457853</v>
      </c>
      <c r="U43" s="199" t="str">
        <f t="shared" si="3"/>
        <v>Na Média</v>
      </c>
      <c r="V43" s="201"/>
      <c r="W43" s="201"/>
      <c r="X43" s="201"/>
      <c r="Y43" s="201"/>
      <c r="Z43" s="232">
        <v>22.0</v>
      </c>
      <c r="AA43" s="233">
        <f t="shared" si="6"/>
        <v>16393.92</v>
      </c>
      <c r="AB43" s="224">
        <f t="shared" si="7"/>
        <v>0.1617714798</v>
      </c>
      <c r="AC43" s="235"/>
      <c r="AD43" s="201"/>
      <c r="AE43" s="201"/>
      <c r="AF43" s="201"/>
      <c r="AG43" s="201"/>
      <c r="AH43" s="201"/>
      <c r="AI43" s="201"/>
      <c r="AJ43" s="201"/>
      <c r="AK43" s="201"/>
      <c r="AL43" s="201"/>
      <c r="AM43" s="201"/>
      <c r="AN43" s="201"/>
      <c r="AO43" s="201"/>
      <c r="AP43" s="201"/>
    </row>
    <row r="44" ht="15.75" customHeight="1">
      <c r="A44" s="184" t="s">
        <v>127</v>
      </c>
      <c r="B44" s="185" t="str">
        <f>VLOOKUP(A44,Jobmatch!A:G,2,0)</f>
        <v>ENGENHEIRO JUNIOR DE URBANISMO</v>
      </c>
      <c r="C44" s="186">
        <f>IFERROR(AVERAGEIF('Folha de Pagamento'!A:A,A44,'Folha de Pagamento'!J:J),"")</f>
        <v>5630.872483</v>
      </c>
      <c r="D44" s="187">
        <v>10.0</v>
      </c>
      <c r="E44" s="185" t="str">
        <f>VLOOKUP(A44,Jobmatch!A:H,3,0)</f>
        <v>Urbanismo</v>
      </c>
      <c r="F44" s="188" t="s">
        <v>373</v>
      </c>
      <c r="G44" s="190" t="str">
        <f>VLOOKUP(A44,Jobmatch!A:I,4,0)</f>
        <v>43 - ADM PROJETOS</v>
      </c>
      <c r="H44" s="191" t="str">
        <f>VLOOKUP(A44,Jobmatch!A:I,5,0)</f>
        <v>Operacional</v>
      </c>
      <c r="I44" s="192">
        <f>VLOOKUP(A44,Jobmatch!A:I,6,0)</f>
        <v>212</v>
      </c>
      <c r="J44" s="190" t="str">
        <f>VLOOKUP(A44,Jobmatch!A:I,7,0)</f>
        <v>Engenheiro de Urbanismo</v>
      </c>
      <c r="K44" s="193" t="str">
        <f>VLOOKUP(A44,Jobmatch!A:I,8,0)</f>
        <v>Indiferente</v>
      </c>
      <c r="L44" s="194" t="str">
        <f t="shared" si="2"/>
        <v>212Indiferente</v>
      </c>
      <c r="M44" s="195">
        <f>COUNTIF('Folha de Pagamento'!A:A,A44)</f>
        <v>1</v>
      </c>
      <c r="N44" s="238">
        <v>22.0</v>
      </c>
      <c r="O44" s="196">
        <f>IFERROR(VLOOKUP(L44,'C-01'!$D:$L,5,0),"")</f>
        <v>12766.6</v>
      </c>
      <c r="P44" s="196">
        <f>IFERROR(VLOOKUP(L44,'C-01'!$D:$L,6,0),"")</f>
        <v>14293.39</v>
      </c>
      <c r="Q44" s="196">
        <f>IFERROR(VLOOKUP(L44,'C-01'!$D:$L,7,0),"")</f>
        <v>15082.52</v>
      </c>
      <c r="R44" s="196">
        <f>IFERROR(VLOOKUP(L44,'C-01'!$D:$L,8,0),"")</f>
        <v>16110.29</v>
      </c>
      <c r="S44" s="197">
        <f>IFERROR(VLOOKUP(L44,'C-01'!$D:$L,9,0),"")</f>
        <v>16164.64</v>
      </c>
      <c r="T44" s="198">
        <f>IFS('Painel Geral'!$B$5="Mediana",IFERROR(IF(OR(C44="",Q44=0,Q44=""),"",($C44/$Q44)),""),'Painel Geral'!$B$5="Menor Salário",IFERROR(IF(OR(C44="",Q44=0,Q44=""),"",($C44/$N44)),""),'Painel Geral'!$B$5="1º Quartil",IFERROR(IF(OR(C44="",Q44=0,Q44=""),"",($C44/$O44)),""), 'Painel Geral'!$B$5="Média",IFERROR(IF(OR(C44="",Q44=0,Q44=""),"",($C44/$P44)),""),'Painel Geral'!$B$5="3º Quartil",IFERROR(IF(OR(C44="",Q44=0,Q44=""),"",($C44/$R44)),""),'Painel Geral'!$B$5="Maior Salário",IFERROR(IF(OR(C44="",Q44=0,Q44=""),"",($C44/$S44)),""))</f>
        <v>0.3733376441</v>
      </c>
      <c r="U44" s="199" t="str">
        <f t="shared" si="3"/>
        <v>Muito Defasado</v>
      </c>
      <c r="V44" s="201"/>
      <c r="W44" s="201"/>
      <c r="X44" s="201"/>
      <c r="Y44" s="201"/>
      <c r="Z44" s="232">
        <v>23.0</v>
      </c>
      <c r="AA44" s="233">
        <f t="shared" si="6"/>
        <v>18964.38</v>
      </c>
      <c r="AB44" s="224">
        <f t="shared" si="7"/>
        <v>0.1567934942</v>
      </c>
      <c r="AC44" s="235"/>
      <c r="AD44" s="201"/>
      <c r="AE44" s="201"/>
      <c r="AF44" s="201"/>
      <c r="AG44" s="201"/>
      <c r="AH44" s="201"/>
      <c r="AI44" s="201"/>
      <c r="AJ44" s="201"/>
      <c r="AK44" s="201"/>
      <c r="AL44" s="201"/>
      <c r="AM44" s="201"/>
      <c r="AN44" s="201"/>
      <c r="AO44" s="201"/>
      <c r="AP44" s="201"/>
    </row>
    <row r="45" ht="15.75" customHeight="1">
      <c r="A45" s="184" t="s">
        <v>109</v>
      </c>
      <c r="B45" s="185" t="str">
        <f>VLOOKUP(A45,Jobmatch!A:G,2,0)</f>
        <v>COORDENADOR DE OBRAS</v>
      </c>
      <c r="C45" s="186">
        <f>IFERROR(AVERAGEIF('Folha de Pagamento'!A:A,A45,'Folha de Pagamento'!J:J),"")</f>
        <v>8714</v>
      </c>
      <c r="D45" s="187">
        <v>5.0</v>
      </c>
      <c r="E45" s="185" t="str">
        <f>VLOOKUP(A45,Jobmatch!A:H,3,0)</f>
        <v>Edificação</v>
      </c>
      <c r="F45" s="188" t="s">
        <v>345</v>
      </c>
      <c r="G45" s="190" t="str">
        <f>VLOOKUP(A45,Jobmatch!A:I,4,0)</f>
        <v>37 - ADM PROJETOS</v>
      </c>
      <c r="H45" s="191" t="str">
        <f>VLOOKUP(A45,Jobmatch!A:I,5,0)</f>
        <v>Tático</v>
      </c>
      <c r="I45" s="192">
        <f>VLOOKUP(A45,Jobmatch!A:I,6,0)</f>
        <v>209</v>
      </c>
      <c r="J45" s="190" t="str">
        <f>VLOOKUP(A45,Jobmatch!A:I,7,0)</f>
        <v>Coordenador de Obras</v>
      </c>
      <c r="K45" s="193" t="str">
        <f>VLOOKUP(A45,Jobmatch!A:I,8,0)</f>
        <v>Indiferente</v>
      </c>
      <c r="L45" s="194" t="str">
        <f t="shared" si="2"/>
        <v>209Indiferente</v>
      </c>
      <c r="M45" s="195">
        <f>COUNTIF('Folha de Pagamento'!A:A,A45)</f>
        <v>1</v>
      </c>
      <c r="N45" s="238">
        <v>22.0</v>
      </c>
      <c r="O45" s="196">
        <f>IFERROR(VLOOKUP(L45,'C-01'!$D:$L,5,0),"")</f>
        <v>10017.83</v>
      </c>
      <c r="P45" s="196">
        <f>IFERROR(VLOOKUP(L45,'C-01'!$D:$L,6,0),"")</f>
        <v>16217.22</v>
      </c>
      <c r="Q45" s="196">
        <f>IFERROR(VLOOKUP(L45,'C-01'!$D:$L,7,0),"")</f>
        <v>16164.64</v>
      </c>
      <c r="R45" s="196">
        <f>IFERROR(VLOOKUP(L45,'C-01'!$D:$L,8,0),"")</f>
        <v>23908.2</v>
      </c>
      <c r="S45" s="197">
        <f>IFERROR(VLOOKUP(L45,'C-01'!$D:$L,9,0),"")</f>
        <v>23908.2</v>
      </c>
      <c r="T45" s="198">
        <f>IFS('Painel Geral'!$B$5="Mediana",IFERROR(IF(OR(C45="",Q45=0,Q45=""),"",($C45/$Q45)),""),'Painel Geral'!$B$5="Menor Salário",IFERROR(IF(OR(C45="",Q45=0,Q45=""),"",($C45/$N45)),""),'Painel Geral'!$B$5="1º Quartil",IFERROR(IF(OR(C45="",Q45=0,Q45=""),"",($C45/$O45)),""), 'Painel Geral'!$B$5="Média",IFERROR(IF(OR(C45="",Q45=0,Q45=""),"",($C45/$P45)),""),'Painel Geral'!$B$5="3º Quartil",IFERROR(IF(OR(C45="",Q45=0,Q45=""),"",($C45/$R45)),""),'Painel Geral'!$B$5="Maior Salário",IFERROR(IF(OR(C45="",Q45=0,Q45=""),"",($C45/$S45)),""))</f>
        <v>0.5390778885</v>
      </c>
      <c r="U45" s="199" t="str">
        <f t="shared" si="3"/>
        <v>Muito Defasado</v>
      </c>
      <c r="V45" s="201"/>
      <c r="W45" s="201"/>
      <c r="X45" s="201"/>
      <c r="Y45" s="201"/>
      <c r="Z45" s="232">
        <v>24.0</v>
      </c>
      <c r="AA45" s="233">
        <f t="shared" si="6"/>
        <v>21842.56</v>
      </c>
      <c r="AB45" s="224">
        <f t="shared" si="7"/>
        <v>0.1517676824</v>
      </c>
      <c r="AC45" s="235"/>
      <c r="AD45" s="201"/>
      <c r="AE45" s="201"/>
      <c r="AF45" s="201"/>
      <c r="AG45" s="201"/>
      <c r="AH45" s="201"/>
      <c r="AI45" s="201"/>
      <c r="AJ45" s="201"/>
      <c r="AK45" s="201"/>
      <c r="AL45" s="201"/>
      <c r="AM45" s="201"/>
      <c r="AN45" s="201"/>
      <c r="AO45" s="201"/>
      <c r="AP45" s="201"/>
    </row>
    <row r="46" ht="15.75" customHeight="1">
      <c r="A46" s="184" t="s">
        <v>95</v>
      </c>
      <c r="B46" s="185" t="str">
        <f>VLOOKUP(A46,Jobmatch!A:G,2,0)</f>
        <v>CONTROLLER GERAL</v>
      </c>
      <c r="C46" s="186">
        <f>IFERROR(AVERAGEIF('Folha de Pagamento'!A:A,A46,'Folha de Pagamento'!J:J),"")</f>
        <v>11678.83212</v>
      </c>
      <c r="D46" s="187">
        <v>3.0</v>
      </c>
      <c r="E46" s="185" t="str">
        <f>VLOOKUP(A46,Jobmatch!A:H,3,0)</f>
        <v>Controladoria</v>
      </c>
      <c r="F46" s="188" t="s">
        <v>338</v>
      </c>
      <c r="G46" s="190" t="str">
        <f>VLOOKUP(A46,Jobmatch!A:I,4,0)</f>
        <v>32 - ADM PROJETOS</v>
      </c>
      <c r="H46" s="191" t="str">
        <f>VLOOKUP(A46,Jobmatch!A:I,5,0)</f>
        <v>Tático</v>
      </c>
      <c r="I46" s="192">
        <f>VLOOKUP(A46,Jobmatch!A:I,6,0)</f>
        <v>95</v>
      </c>
      <c r="J46" s="190" t="str">
        <f>VLOOKUP(A46,Jobmatch!A:I,7,0)</f>
        <v>Controller</v>
      </c>
      <c r="K46" s="193" t="str">
        <f>VLOOKUP(A46,Jobmatch!A:I,8,0)</f>
        <v>Indiferente</v>
      </c>
      <c r="L46" s="194" t="str">
        <f t="shared" si="2"/>
        <v>95Indiferente</v>
      </c>
      <c r="M46" s="195">
        <f>COUNTIF('Folha de Pagamento'!A:A,A46)</f>
        <v>1</v>
      </c>
      <c r="N46" s="238">
        <v>22.0</v>
      </c>
      <c r="O46" s="196">
        <f>IFERROR(VLOOKUP(L46,'C-01'!$D:$L,5,0),"")</f>
        <v>15472.01</v>
      </c>
      <c r="P46" s="196">
        <f>IFERROR(VLOOKUP(L46,'C-01'!$D:$L,6,0),"")</f>
        <v>16594.35</v>
      </c>
      <c r="Q46" s="196">
        <f>IFERROR(VLOOKUP(L46,'C-01'!$D:$L,7,0),"")</f>
        <v>16581.68</v>
      </c>
      <c r="R46" s="196">
        <f>IFERROR(VLOOKUP(L46,'C-01'!$D:$L,8,0),"")</f>
        <v>17497.31</v>
      </c>
      <c r="S46" s="197">
        <f>IFERROR(VLOOKUP(L46,'C-01'!$D:$L,9,0),"")</f>
        <v>18846.04</v>
      </c>
      <c r="T46" s="198">
        <f>IFS('Painel Geral'!$B$5="Mediana",IFERROR(IF(OR(C46="",Q46=0,Q46=""),"",($C46/$Q46)),""),'Painel Geral'!$B$5="Menor Salário",IFERROR(IF(OR(C46="",Q46=0,Q46=""),"",($C46/$N46)),""),'Painel Geral'!$B$5="1º Quartil",IFERROR(IF(OR(C46="",Q46=0,Q46=""),"",($C46/$O46)),""), 'Painel Geral'!$B$5="Média",IFERROR(IF(OR(C46="",Q46=0,Q46=""),"",($C46/$P46)),""),'Painel Geral'!$B$5="3º Quartil",IFERROR(IF(OR(C46="",Q46=0,Q46=""),"",($C46/$R46)),""),'Painel Geral'!$B$5="Maior Salário",IFERROR(IF(OR(C46="",Q46=0,Q46=""),"",($C46/$S46)),""))</f>
        <v>0.7043214027</v>
      </c>
      <c r="U46" s="199" t="str">
        <f t="shared" si="3"/>
        <v>Muito Defasado</v>
      </c>
      <c r="V46" s="201"/>
      <c r="W46" s="201"/>
      <c r="X46" s="201"/>
      <c r="Y46" s="201"/>
      <c r="Z46" s="232">
        <v>25.0</v>
      </c>
      <c r="AA46" s="233">
        <f t="shared" si="6"/>
        <v>25048.5</v>
      </c>
      <c r="AB46" s="224">
        <f t="shared" si="7"/>
        <v>0.1467749202</v>
      </c>
      <c r="AC46" s="235"/>
      <c r="AD46" s="201"/>
      <c r="AE46" s="201"/>
      <c r="AF46" s="201"/>
      <c r="AG46" s="201"/>
      <c r="AH46" s="201"/>
      <c r="AI46" s="201"/>
      <c r="AJ46" s="201"/>
      <c r="AK46" s="201"/>
      <c r="AL46" s="201"/>
      <c r="AM46" s="201"/>
      <c r="AN46" s="201"/>
      <c r="AO46" s="201"/>
      <c r="AP46" s="201"/>
    </row>
    <row r="47" ht="15.75" customHeight="1">
      <c r="A47" s="184" t="s">
        <v>118</v>
      </c>
      <c r="B47" s="185" t="str">
        <f>VLOOKUP(A47,Jobmatch!A:G,2,0)</f>
        <v>DIRETOR</v>
      </c>
      <c r="C47" s="186">
        <f>IFERROR(AVERAGEIF('Folha de Pagamento'!A:A,A47,'Folha de Pagamento'!J:J),"")</f>
        <v>55769.23077</v>
      </c>
      <c r="D47" s="187">
        <v>2.0</v>
      </c>
      <c r="E47" s="185" t="str">
        <f>VLOOKUP(A47,Jobmatch!A:H,3,0)</f>
        <v>Comercial</v>
      </c>
      <c r="F47" s="188" t="s">
        <v>332</v>
      </c>
      <c r="G47" s="190" t="str">
        <f>VLOOKUP(A47,Jobmatch!A:I,4,0)</f>
        <v>40 - ADM PROJETOS</v>
      </c>
      <c r="H47" s="191" t="str">
        <f>VLOOKUP(A47,Jobmatch!A:I,5,0)</f>
        <v>Estratégico</v>
      </c>
      <c r="I47" s="192">
        <f>VLOOKUP(A47,Jobmatch!A:I,6,0)</f>
        <v>456</v>
      </c>
      <c r="J47" s="190" t="str">
        <f>VLOOKUP(A47,Jobmatch!A:I,7,0)</f>
        <v>CEO</v>
      </c>
      <c r="K47" s="193" t="str">
        <f>VLOOKUP(A47,Jobmatch!A:I,8,0)</f>
        <v>Indiferente</v>
      </c>
      <c r="L47" s="194" t="str">
        <f t="shared" si="2"/>
        <v>456Indiferente</v>
      </c>
      <c r="M47" s="195">
        <f>COUNTIF('Folha de Pagamento'!A:A,A47)</f>
        <v>1</v>
      </c>
      <c r="N47" s="238">
        <v>26.0</v>
      </c>
      <c r="O47" s="196">
        <f>IFERROR(VLOOKUP(L47,'C-01'!$D:$L,5,0),"")</f>
        <v>24816.78</v>
      </c>
      <c r="P47" s="196">
        <f>IFERROR(VLOOKUP(L47,'C-01'!$D:$L,6,0),"")</f>
        <v>32648.36</v>
      </c>
      <c r="Q47" s="196">
        <f>IFERROR(VLOOKUP(L47,'C-01'!$D:$L,7,0),"")</f>
        <v>29147.75</v>
      </c>
      <c r="R47" s="196">
        <f>IFERROR(VLOOKUP(L47,'C-01'!$D:$L,8,0),"")</f>
        <v>37122.89</v>
      </c>
      <c r="S47" s="197">
        <f>IFERROR(VLOOKUP(L47,'C-01'!$D:$L,9,0),"")</f>
        <v>55429.54</v>
      </c>
      <c r="T47" s="198">
        <f>IFS('Painel Geral'!$B$5="Mediana",IFERROR(IF(OR(C47="",Q47=0,Q47=""),"",($C47/$Q47)),""),'Painel Geral'!$B$5="Menor Salário",IFERROR(IF(OR(C47="",Q47=0,Q47=""),"",($C47/$N47)),""),'Painel Geral'!$B$5="1º Quartil",IFERROR(IF(OR(C47="",Q47=0,Q47=""),"",($C47/$O47)),""), 'Painel Geral'!$B$5="Média",IFERROR(IF(OR(C47="",Q47=0,Q47=""),"",($C47/$P47)),""),'Painel Geral'!$B$5="3º Quartil",IFERROR(IF(OR(C47="",Q47=0,Q47=""),"",($C47/$R47)),""),'Painel Geral'!$B$5="Maior Salário",IFERROR(IF(OR(C47="",Q47=0,Q47=""),"",($C47/$S47)),""))</f>
        <v>1.913328843</v>
      </c>
      <c r="U47" s="199" t="str">
        <f t="shared" si="3"/>
        <v>Agressivo</v>
      </c>
      <c r="V47" s="201"/>
      <c r="W47" s="201"/>
      <c r="X47" s="201"/>
      <c r="Z47" s="232">
        <v>26.0</v>
      </c>
      <c r="AA47" s="233">
        <f t="shared" si="6"/>
        <v>28602.24</v>
      </c>
      <c r="AB47" s="224">
        <f t="shared" si="7"/>
        <v>0.1418743637</v>
      </c>
      <c r="AD47" s="201"/>
      <c r="AE47" s="201"/>
      <c r="AF47" s="201"/>
      <c r="AG47" s="201"/>
      <c r="AH47" s="201"/>
      <c r="AI47" s="201"/>
      <c r="AJ47" s="201"/>
      <c r="AK47" s="201"/>
      <c r="AL47" s="201"/>
      <c r="AM47" s="201"/>
      <c r="AN47" s="201"/>
      <c r="AO47" s="201"/>
      <c r="AP47" s="201"/>
    </row>
  </sheetData>
  <autoFilter ref="$A$3:$U$47">
    <sortState ref="A3:U47">
      <sortCondition ref="Q3:Q47"/>
      <sortCondition ref="E3:E47"/>
    </sortState>
  </autoFilter>
  <customSheetViews>
    <customSheetView guid="{3C6918C3-D868-4D69-A6CD-504F4B52EE22}" filter="1" showAutoFilter="1">
      <autoFilter ref="$A$3:$U$47"/>
    </customSheetView>
    <customSheetView guid="{A7CC0C28-C4CD-4D76-B1EF-29E890F45AC8}" filter="1" showAutoFilter="1">
      <autoFilter ref="$A$3:$U$47">
        <filterColumn colId="9">
          <filters>
            <filter val="Analista de Marketing"/>
            <filter val="Almoxarife"/>
            <filter val="Assistente de Engenharia"/>
            <filter val="Coordenador Financeiro"/>
            <filter val="Analista de Criação"/>
            <filter val="Analista de Controladoria"/>
            <filter val="Assistente de Recursos Humanos"/>
            <filter val="Gerente de Relacionamento"/>
            <filter val="Gerente Administrativo"/>
            <filter val="Coordenador de Obras"/>
            <filter val="Analista de Compras"/>
            <filter val="Coordenador de Legalização"/>
            <filter val="Coordenador de Marketing"/>
            <filter val="Coordenador de Compras"/>
            <filter val="Analista de Custos"/>
            <filter val="Mestre de Obras"/>
            <filter val="Auxiliar de Engenharia"/>
            <filter val="Gerente de Operações"/>
            <filter val="Analista de Urbanismo"/>
            <filter val="Assistente Administrativo"/>
            <filter val="Analista Comercial"/>
            <filter val="Assistente de Tecnologia da Informação"/>
            <filter val="Técnico em Edificações"/>
            <filter val="Controller"/>
            <filter val="CEO"/>
            <filter val="Assistente de Legalização"/>
            <filter val="Auxiliar de Atendimento"/>
            <filter val="Assistente de Controladoria"/>
            <filter val="Coordenador de Recursos Humanos"/>
            <filter val="Assistente de Marketing"/>
            <filter val="Analista de Inovação"/>
            <filter val="Gerente Comercial"/>
            <filter val="Auxiliar Administrativo"/>
            <filter val="Assistente Financeiro"/>
            <filter val="Engenheiro de Urbanismo"/>
          </filters>
        </filterColumn>
      </autoFilter>
    </customSheetView>
    <customSheetView guid="{B41F88BD-3F58-45D0-A0E7-C0E19BA24239}" filter="1" showAutoFilter="1">
      <autoFilter ref="$A$3:$U$47"/>
    </customSheetView>
    <customSheetView guid="{0075A802-B66C-4D7D-929F-34C2F59AE8A9}" filter="1" showAutoFilter="1">
      <autoFilter ref="$A$3:$U$47"/>
    </customSheetView>
    <customSheetView guid="{96C31A28-1028-4009-9DE6-63B3CF4DFB9B}" filter="1" showAutoFilter="1">
      <autoFilter ref="$A$3:$U$47"/>
    </customSheetView>
    <customSheetView guid="{45EEC70B-EA86-49D3-A588-0A0D84BF9E52}" filter="1" showAutoFilter="1">
      <autoFilter ref="$B$1:$U$1"/>
    </customSheetView>
    <customSheetView guid="{9ED18B37-6EB4-4260-A5FA-FAFBE39E0B69}" filter="1" showAutoFilter="1">
      <autoFilter ref="$A$3:$U$47"/>
    </customSheetView>
  </customSheetViews>
  <mergeCells count="1">
    <mergeCell ref="O1:Q1"/>
  </mergeCells>
  <printOptions/>
  <pageMargins bottom="0.787401575" footer="0.0" header="0.0" left="0.511811024" right="0.511811024" top="0.7874015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6.88"/>
    <col customWidth="1" min="2" max="2" width="27.38"/>
  </cols>
  <sheetData>
    <row r="1">
      <c r="A1" s="242" t="s">
        <v>19</v>
      </c>
      <c r="B1" s="243" t="s">
        <v>211</v>
      </c>
    </row>
    <row r="2">
      <c r="A2" s="242" t="s">
        <v>19</v>
      </c>
      <c r="B2" s="243" t="s">
        <v>211</v>
      </c>
    </row>
    <row r="3">
      <c r="A3" s="242" t="s">
        <v>27</v>
      </c>
      <c r="B3" s="243" t="s">
        <v>367</v>
      </c>
    </row>
    <row r="4">
      <c r="A4" s="242" t="s">
        <v>30</v>
      </c>
      <c r="B4" s="243" t="s">
        <v>360</v>
      </c>
    </row>
    <row r="5">
      <c r="A5" s="242" t="s">
        <v>35</v>
      </c>
      <c r="B5" s="243" t="s">
        <v>357</v>
      </c>
    </row>
    <row r="6">
      <c r="A6" s="242" t="s">
        <v>40</v>
      </c>
      <c r="B6" s="244" t="s">
        <v>343</v>
      </c>
    </row>
    <row r="7">
      <c r="A7" s="242" t="s">
        <v>44</v>
      </c>
      <c r="B7" s="243" t="s">
        <v>361</v>
      </c>
    </row>
    <row r="8">
      <c r="A8" s="242" t="s">
        <v>46</v>
      </c>
      <c r="B8" s="243" t="s">
        <v>365</v>
      </c>
    </row>
    <row r="9">
      <c r="A9" s="242" t="s">
        <v>49</v>
      </c>
      <c r="B9" s="243" t="s">
        <v>370</v>
      </c>
    </row>
    <row r="10">
      <c r="A10" s="242" t="s">
        <v>52</v>
      </c>
      <c r="B10" s="243" t="s">
        <v>351</v>
      </c>
    </row>
    <row r="11">
      <c r="A11" s="242" t="s">
        <v>56</v>
      </c>
      <c r="B11" s="243" t="s">
        <v>352</v>
      </c>
    </row>
    <row r="12">
      <c r="A12" s="242" t="s">
        <v>59</v>
      </c>
      <c r="B12" s="243" t="s">
        <v>353</v>
      </c>
    </row>
    <row r="13">
      <c r="A13" s="242" t="s">
        <v>62</v>
      </c>
      <c r="B13" s="243" t="s">
        <v>358</v>
      </c>
    </row>
    <row r="14">
      <c r="A14" s="242" t="s">
        <v>65</v>
      </c>
      <c r="B14" s="243" t="s">
        <v>238</v>
      </c>
    </row>
    <row r="15">
      <c r="A15" s="242" t="s">
        <v>68</v>
      </c>
      <c r="B15" s="243" t="s">
        <v>337</v>
      </c>
    </row>
    <row r="16">
      <c r="A16" s="242" t="s">
        <v>71</v>
      </c>
      <c r="B16" s="243" t="s">
        <v>344</v>
      </c>
    </row>
    <row r="17">
      <c r="A17" s="242" t="s">
        <v>73</v>
      </c>
      <c r="B17" s="243" t="s">
        <v>362</v>
      </c>
    </row>
    <row r="18">
      <c r="A18" s="242" t="s">
        <v>75</v>
      </c>
      <c r="B18" s="243" t="s">
        <v>340</v>
      </c>
    </row>
    <row r="19">
      <c r="A19" s="242" t="s">
        <v>78</v>
      </c>
      <c r="B19" s="243" t="s">
        <v>369</v>
      </c>
    </row>
    <row r="20">
      <c r="A20" s="242" t="s">
        <v>81</v>
      </c>
      <c r="B20" s="243" t="s">
        <v>354</v>
      </c>
    </row>
    <row r="21">
      <c r="A21" s="242" t="s">
        <v>81</v>
      </c>
      <c r="B21" s="243" t="s">
        <v>354</v>
      </c>
    </row>
    <row r="22">
      <c r="A22" s="242" t="s">
        <v>82</v>
      </c>
      <c r="B22" s="243" t="s">
        <v>354</v>
      </c>
    </row>
    <row r="23">
      <c r="A23" s="242" t="s">
        <v>84</v>
      </c>
      <c r="B23" s="243" t="s">
        <v>252</v>
      </c>
    </row>
    <row r="24">
      <c r="A24" s="242" t="s">
        <v>86</v>
      </c>
      <c r="B24" s="243" t="s">
        <v>252</v>
      </c>
    </row>
    <row r="25">
      <c r="A25" s="242" t="s">
        <v>88</v>
      </c>
      <c r="B25" s="243" t="s">
        <v>366</v>
      </c>
    </row>
    <row r="26">
      <c r="A26" s="242" t="s">
        <v>91</v>
      </c>
      <c r="B26" s="243" t="s">
        <v>371</v>
      </c>
    </row>
    <row r="27">
      <c r="A27" s="242" t="s">
        <v>94</v>
      </c>
      <c r="B27" s="245" t="s">
        <v>330</v>
      </c>
    </row>
    <row r="28">
      <c r="A28" s="242" t="s">
        <v>97</v>
      </c>
      <c r="B28" s="243" t="s">
        <v>338</v>
      </c>
    </row>
    <row r="29">
      <c r="A29" s="242" t="s">
        <v>100</v>
      </c>
      <c r="B29" s="243" t="s">
        <v>339</v>
      </c>
    </row>
    <row r="30">
      <c r="A30" s="242" t="s">
        <v>102</v>
      </c>
      <c r="B30" s="243" t="s">
        <v>341</v>
      </c>
    </row>
    <row r="31">
      <c r="A31" s="242" t="s">
        <v>105</v>
      </c>
      <c r="B31" s="243" t="s">
        <v>359</v>
      </c>
    </row>
    <row r="32">
      <c r="A32" s="242" t="s">
        <v>107</v>
      </c>
      <c r="B32" s="243" t="s">
        <v>363</v>
      </c>
    </row>
    <row r="33">
      <c r="A33" s="242" t="s">
        <v>110</v>
      </c>
      <c r="B33" s="243" t="s">
        <v>345</v>
      </c>
    </row>
    <row r="34">
      <c r="A34" s="242" t="s">
        <v>114</v>
      </c>
      <c r="B34" s="243" t="s">
        <v>368</v>
      </c>
    </row>
    <row r="35">
      <c r="A35" s="242" t="s">
        <v>117</v>
      </c>
      <c r="B35" s="243" t="s">
        <v>276</v>
      </c>
    </row>
    <row r="36">
      <c r="A36" s="242" t="s">
        <v>120</v>
      </c>
      <c r="B36" s="243" t="s">
        <v>332</v>
      </c>
    </row>
    <row r="37">
      <c r="A37" s="242" t="s">
        <v>124</v>
      </c>
      <c r="B37" s="243" t="s">
        <v>372</v>
      </c>
    </row>
    <row r="38">
      <c r="A38" s="242" t="s">
        <v>124</v>
      </c>
      <c r="B38" s="243" t="s">
        <v>372</v>
      </c>
    </row>
    <row r="39">
      <c r="A39" s="242" t="s">
        <v>126</v>
      </c>
      <c r="B39" s="243" t="s">
        <v>346</v>
      </c>
    </row>
    <row r="40">
      <c r="A40" s="242" t="s">
        <v>129</v>
      </c>
      <c r="B40" s="243" t="s">
        <v>373</v>
      </c>
    </row>
    <row r="41">
      <c r="A41" s="242" t="s">
        <v>378</v>
      </c>
      <c r="B41" s="245" t="s">
        <v>379</v>
      </c>
    </row>
    <row r="42">
      <c r="A42" s="242" t="s">
        <v>135</v>
      </c>
      <c r="B42" s="245" t="s">
        <v>137</v>
      </c>
    </row>
    <row r="43">
      <c r="A43" s="242" t="s">
        <v>140</v>
      </c>
      <c r="B43" s="245" t="s">
        <v>286</v>
      </c>
    </row>
    <row r="44">
      <c r="A44" s="242" t="s">
        <v>380</v>
      </c>
      <c r="B44" s="245" t="s">
        <v>381</v>
      </c>
    </row>
    <row r="45">
      <c r="A45" s="242" t="s">
        <v>145</v>
      </c>
      <c r="B45" s="245" t="s">
        <v>382</v>
      </c>
    </row>
    <row r="46">
      <c r="A46" s="242" t="s">
        <v>383</v>
      </c>
      <c r="B46" s="245" t="s">
        <v>331</v>
      </c>
    </row>
    <row r="47">
      <c r="A47" s="242" t="s">
        <v>151</v>
      </c>
      <c r="B47" s="243" t="s">
        <v>294</v>
      </c>
    </row>
    <row r="48">
      <c r="A48" s="242" t="s">
        <v>154</v>
      </c>
      <c r="B48" s="243" t="s">
        <v>348</v>
      </c>
    </row>
    <row r="49">
      <c r="A49" s="242" t="s">
        <v>157</v>
      </c>
      <c r="B49" s="243" t="s">
        <v>333</v>
      </c>
    </row>
    <row r="50">
      <c r="A50" s="242" t="s">
        <v>160</v>
      </c>
      <c r="B50" s="246" t="s">
        <v>334</v>
      </c>
    </row>
    <row r="51">
      <c r="A51" s="242" t="s">
        <v>160</v>
      </c>
      <c r="B51" s="246" t="s">
        <v>334</v>
      </c>
    </row>
    <row r="52">
      <c r="A52" s="242" t="s">
        <v>384</v>
      </c>
      <c r="B52" s="188" t="s">
        <v>356</v>
      </c>
    </row>
    <row r="53">
      <c r="A53" s="242" t="s">
        <v>168</v>
      </c>
      <c r="B53" s="243" t="s">
        <v>335</v>
      </c>
    </row>
    <row r="54">
      <c r="A54" s="242" t="s">
        <v>168</v>
      </c>
      <c r="B54" s="243" t="s">
        <v>335</v>
      </c>
    </row>
    <row r="55">
      <c r="A55" s="242" t="s">
        <v>173</v>
      </c>
      <c r="B55" s="243" t="s">
        <v>336</v>
      </c>
    </row>
    <row r="56">
      <c r="A56" s="242" t="s">
        <v>176</v>
      </c>
      <c r="B56" s="243" t="s">
        <v>375</v>
      </c>
    </row>
    <row r="57">
      <c r="A57" s="242" t="s">
        <v>385</v>
      </c>
      <c r="B57" s="188" t="s">
        <v>364</v>
      </c>
    </row>
    <row r="58">
      <c r="A58" s="242" t="s">
        <v>181</v>
      </c>
      <c r="B58" s="188" t="s">
        <v>355</v>
      </c>
    </row>
    <row r="59">
      <c r="A59" s="242" t="s">
        <v>185</v>
      </c>
      <c r="B59" s="243" t="s">
        <v>349</v>
      </c>
    </row>
    <row r="60">
      <c r="A60" s="242" t="s">
        <v>187</v>
      </c>
      <c r="B60" s="243" t="s">
        <v>350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4.0"/>
    <col customWidth="1" min="2" max="2" width="38.25"/>
    <col customWidth="1" min="3" max="3" width="29.25"/>
    <col customWidth="1" min="4" max="4" width="11.63"/>
    <col customWidth="1" min="5" max="5" width="13.5"/>
    <col customWidth="1" min="6" max="7" width="20.75"/>
    <col customWidth="1" min="8" max="9" width="14.75"/>
    <col customWidth="1" min="10" max="14" width="13.75"/>
  </cols>
  <sheetData>
    <row r="1" ht="12.75" customHeight="1">
      <c r="A1" s="247"/>
      <c r="J1" s="248"/>
      <c r="K1" s="248"/>
      <c r="L1" s="249"/>
      <c r="M1" s="249"/>
      <c r="N1" s="249"/>
    </row>
    <row r="2" ht="12.75" customHeight="1">
      <c r="A2" s="250"/>
      <c r="F2" s="251"/>
      <c r="G2" s="251"/>
      <c r="H2" s="251"/>
      <c r="I2" s="251"/>
      <c r="J2" s="251"/>
      <c r="K2" s="251"/>
      <c r="L2" s="252"/>
      <c r="M2" s="252"/>
      <c r="N2" s="252"/>
    </row>
    <row r="3" ht="12.75" customHeight="1">
      <c r="A3" s="250"/>
      <c r="B3" s="253" t="s">
        <v>386</v>
      </c>
      <c r="F3" s="254" t="str">
        <f>"Legenda (em relação à "&amp;B5&amp;"):"</f>
        <v>Legenda (em relação à Mediana):</v>
      </c>
      <c r="G3" s="254"/>
      <c r="H3" s="254"/>
      <c r="K3" s="251"/>
      <c r="L3" s="252"/>
      <c r="M3" s="252"/>
      <c r="N3" s="252"/>
    </row>
    <row r="4" ht="12.75" customHeight="1">
      <c r="A4" s="255"/>
      <c r="F4" s="256" t="s">
        <v>387</v>
      </c>
      <c r="G4" s="257" t="s">
        <v>388</v>
      </c>
      <c r="H4" s="257" t="s">
        <v>389</v>
      </c>
      <c r="K4" s="258"/>
      <c r="L4" s="259"/>
      <c r="M4" s="259"/>
      <c r="N4" s="259"/>
    </row>
    <row r="5" ht="12.75" customHeight="1">
      <c r="A5" s="255"/>
      <c r="B5" s="260" t="s">
        <v>325</v>
      </c>
      <c r="D5" s="261"/>
      <c r="E5" s="261"/>
      <c r="F5" s="262" t="s">
        <v>387</v>
      </c>
      <c r="G5" s="263" t="s">
        <v>390</v>
      </c>
      <c r="H5" s="263" t="s">
        <v>391</v>
      </c>
      <c r="K5" s="264"/>
      <c r="L5" s="265"/>
      <c r="M5" s="265"/>
      <c r="N5" s="265"/>
    </row>
    <row r="6" ht="12.75" customHeight="1">
      <c r="A6" s="255"/>
      <c r="D6" s="266"/>
      <c r="E6" s="267"/>
      <c r="F6" s="268" t="s">
        <v>387</v>
      </c>
      <c r="G6" s="257" t="s">
        <v>392</v>
      </c>
      <c r="H6" s="257" t="s">
        <v>393</v>
      </c>
      <c r="K6" s="258"/>
      <c r="L6" s="259"/>
      <c r="M6" s="259"/>
      <c r="N6" s="259"/>
    </row>
    <row r="7" ht="12.75" customHeight="1">
      <c r="A7" s="255"/>
      <c r="B7" s="269"/>
      <c r="C7" s="269"/>
      <c r="D7" s="270"/>
      <c r="E7" s="269"/>
      <c r="F7" s="271" t="s">
        <v>387</v>
      </c>
      <c r="G7" s="263" t="s">
        <v>394</v>
      </c>
      <c r="H7" s="263" t="s">
        <v>395</v>
      </c>
      <c r="K7" s="258"/>
      <c r="L7" s="259"/>
      <c r="M7" s="259"/>
      <c r="N7" s="259"/>
    </row>
    <row r="8" ht="12.75" customHeight="1">
      <c r="A8" s="255"/>
      <c r="B8" s="257"/>
      <c r="C8" s="257"/>
      <c r="D8" s="272"/>
      <c r="E8" s="269"/>
      <c r="F8" s="273" t="s">
        <v>387</v>
      </c>
      <c r="G8" s="257" t="s">
        <v>396</v>
      </c>
      <c r="H8" s="257" t="s">
        <v>397</v>
      </c>
      <c r="K8" s="258"/>
      <c r="L8" s="259"/>
      <c r="M8" s="259"/>
      <c r="N8" s="259"/>
    </row>
    <row r="9" ht="12.75" customHeight="1">
      <c r="A9" s="255"/>
      <c r="B9" s="257"/>
      <c r="C9" s="257"/>
      <c r="D9" s="272"/>
      <c r="E9" s="269"/>
      <c r="F9" s="274" t="s">
        <v>387</v>
      </c>
      <c r="G9" s="263" t="s">
        <v>398</v>
      </c>
      <c r="H9" s="263" t="s">
        <v>399</v>
      </c>
      <c r="K9" s="258"/>
      <c r="L9" s="259"/>
      <c r="M9" s="259"/>
      <c r="N9" s="259"/>
    </row>
    <row r="10" ht="12.75" customHeight="1">
      <c r="A10" s="255"/>
      <c r="B10" s="258"/>
      <c r="C10" s="258"/>
      <c r="D10" s="258"/>
      <c r="E10" s="258"/>
      <c r="F10" s="258"/>
      <c r="H10" s="258"/>
      <c r="I10" s="258"/>
      <c r="J10" s="258"/>
      <c r="K10" s="258"/>
      <c r="L10" s="259"/>
      <c r="M10" s="259"/>
      <c r="N10" s="259"/>
    </row>
    <row r="11" ht="12.75" customHeight="1">
      <c r="A11" s="255"/>
      <c r="B11" s="275"/>
      <c r="C11" s="258"/>
      <c r="D11" s="258"/>
      <c r="E11" s="258"/>
      <c r="F11" s="258"/>
      <c r="H11" s="258"/>
      <c r="I11" s="258"/>
      <c r="J11" s="258"/>
      <c r="K11" s="258"/>
      <c r="L11" s="259"/>
      <c r="M11" s="259"/>
      <c r="N11" s="259"/>
    </row>
    <row r="12" ht="12.75" customHeight="1">
      <c r="A12" s="255"/>
      <c r="B12" s="276" t="s">
        <v>400</v>
      </c>
      <c r="E12" s="277"/>
      <c r="F12" s="278"/>
      <c r="K12" s="279"/>
      <c r="L12" s="280"/>
      <c r="M12" s="280"/>
      <c r="N12" s="259"/>
    </row>
    <row r="13" ht="12.75" customHeight="1">
      <c r="A13" s="255"/>
      <c r="B13" s="281"/>
      <c r="C13" s="281"/>
      <c r="D13" s="281"/>
      <c r="E13" s="277"/>
      <c r="K13" s="258"/>
      <c r="L13" s="280"/>
      <c r="M13" s="280"/>
      <c r="N13" s="259"/>
    </row>
    <row r="14" ht="12.75" customHeight="1">
      <c r="A14" s="255"/>
      <c r="B14" s="258"/>
      <c r="C14" s="258"/>
      <c r="D14" s="258"/>
      <c r="E14" s="258"/>
      <c r="F14" s="282"/>
      <c r="G14" s="283"/>
      <c r="H14" s="282"/>
      <c r="I14" s="282"/>
      <c r="J14" s="282"/>
      <c r="K14" s="258"/>
      <c r="L14" s="259"/>
      <c r="M14" s="259"/>
      <c r="N14" s="259"/>
    </row>
    <row r="15" ht="12.75" customHeight="1">
      <c r="A15" s="255"/>
      <c r="B15" s="258"/>
      <c r="C15" s="258"/>
      <c r="D15" s="284">
        <f>D42</f>
        <v>47</v>
      </c>
      <c r="E15" s="258"/>
      <c r="F15" s="282"/>
      <c r="G15" s="283"/>
      <c r="H15" s="282"/>
      <c r="I15" s="282"/>
      <c r="J15" s="285"/>
      <c r="K15" s="258"/>
      <c r="L15" s="259"/>
      <c r="M15" s="259"/>
      <c r="N15" s="259"/>
    </row>
    <row r="16" ht="12.75" customHeight="1">
      <c r="A16" s="255"/>
      <c r="B16" s="258"/>
      <c r="C16" s="258"/>
      <c r="E16" s="258"/>
      <c r="F16" s="282"/>
      <c r="G16" s="283"/>
      <c r="H16" s="282"/>
      <c r="I16" s="282"/>
      <c r="K16" s="258"/>
      <c r="L16" s="259"/>
      <c r="M16" s="259"/>
      <c r="N16" s="259"/>
    </row>
    <row r="17" ht="12.75" customHeight="1">
      <c r="A17" s="255"/>
      <c r="B17" s="258"/>
      <c r="C17" s="258"/>
      <c r="D17" s="286" t="s">
        <v>401</v>
      </c>
      <c r="E17" s="258"/>
      <c r="F17" s="287"/>
      <c r="G17" s="283"/>
      <c r="H17" s="287"/>
      <c r="I17" s="287"/>
      <c r="J17" s="288"/>
      <c r="K17" s="258"/>
      <c r="L17" s="259"/>
      <c r="M17" s="259"/>
      <c r="N17" s="259"/>
    </row>
    <row r="18" ht="12.75" customHeight="1">
      <c r="A18" s="255"/>
      <c r="B18" s="258"/>
      <c r="C18" s="258"/>
      <c r="E18" s="258"/>
      <c r="F18" s="287"/>
      <c r="G18" s="283"/>
      <c r="H18" s="287"/>
      <c r="I18" s="287"/>
      <c r="K18" s="258"/>
      <c r="L18" s="259"/>
      <c r="M18" s="259"/>
      <c r="N18" s="289" t="s">
        <v>402</v>
      </c>
    </row>
    <row r="19" ht="12.75" customHeight="1">
      <c r="A19" s="255"/>
      <c r="B19" s="258"/>
      <c r="C19" s="258"/>
      <c r="E19" s="258"/>
      <c r="F19" s="287"/>
      <c r="G19" s="283"/>
      <c r="H19" s="287"/>
      <c r="I19" s="287"/>
      <c r="K19" s="258"/>
      <c r="L19" s="259"/>
      <c r="M19" s="259"/>
      <c r="N19" s="259"/>
    </row>
    <row r="20" ht="12.75" customHeight="1">
      <c r="A20" s="255"/>
      <c r="B20" s="258"/>
      <c r="C20" s="258"/>
      <c r="E20" s="258"/>
      <c r="F20" s="287"/>
      <c r="G20" s="283"/>
      <c r="H20" s="287"/>
      <c r="I20" s="287"/>
      <c r="K20" s="258"/>
      <c r="L20" s="259"/>
      <c r="M20" s="259"/>
      <c r="N20" s="259"/>
    </row>
    <row r="21" ht="12.75" customHeight="1">
      <c r="A21" s="255"/>
      <c r="B21" s="258"/>
      <c r="C21" s="258"/>
      <c r="E21" s="258"/>
      <c r="F21" s="287"/>
      <c r="G21" s="283"/>
      <c r="H21" s="287"/>
      <c r="I21" s="287"/>
      <c r="K21" s="258"/>
      <c r="L21" s="259"/>
      <c r="M21" s="259"/>
      <c r="N21" s="259"/>
    </row>
    <row r="22" ht="12.75" customHeight="1">
      <c r="A22" s="255"/>
      <c r="B22" s="258"/>
      <c r="C22" s="258"/>
      <c r="D22" s="290"/>
      <c r="E22" s="258"/>
      <c r="F22" s="287"/>
      <c r="G22" s="283"/>
      <c r="H22" s="287"/>
      <c r="I22" s="287"/>
      <c r="J22" s="291"/>
      <c r="K22" s="258"/>
      <c r="L22" s="259"/>
      <c r="M22" s="259"/>
      <c r="N22" s="259"/>
    </row>
    <row r="23" ht="12.75" customHeight="1">
      <c r="A23" s="255"/>
      <c r="B23" s="258"/>
      <c r="C23" s="258"/>
      <c r="D23" s="290"/>
      <c r="E23" s="258"/>
      <c r="F23" s="287"/>
      <c r="G23" s="283"/>
      <c r="H23" s="287"/>
      <c r="I23" s="287"/>
      <c r="J23" s="291"/>
      <c r="K23" s="258"/>
      <c r="L23" s="259"/>
      <c r="M23" s="259"/>
      <c r="N23" s="259"/>
    </row>
    <row r="24" ht="12.75" customHeight="1">
      <c r="A24" s="255"/>
      <c r="B24" s="258"/>
      <c r="C24" s="258"/>
      <c r="D24" s="292">
        <f>IF(SUM(C36:C38)&gt;SUM(C39:C41),SUM(C36:C38),SUM(C39:C41))</f>
        <v>0.5319148936</v>
      </c>
      <c r="E24" s="258"/>
      <c r="F24" s="287"/>
      <c r="G24" s="283"/>
      <c r="H24" s="287"/>
      <c r="I24" s="287"/>
      <c r="J24" s="291"/>
      <c r="K24" s="258"/>
      <c r="L24" s="259"/>
      <c r="M24" s="259"/>
      <c r="N24" s="259"/>
    </row>
    <row r="25" ht="12.75" customHeight="1">
      <c r="A25" s="255"/>
      <c r="B25" s="258"/>
      <c r="C25" s="258"/>
      <c r="E25" s="258"/>
      <c r="F25" s="287"/>
      <c r="G25" s="283"/>
      <c r="H25" s="287"/>
      <c r="I25" s="287"/>
      <c r="K25" s="258"/>
      <c r="L25" s="259"/>
      <c r="M25" s="259"/>
      <c r="N25" s="259"/>
    </row>
    <row r="26" ht="12.75" customHeight="1">
      <c r="A26" s="255"/>
      <c r="B26" s="258"/>
      <c r="C26" s="258"/>
      <c r="D26" s="286" t="str">
        <f>IF(SUM(C36:C38)&gt;SUM(C39:C41),"dos cargos abaixo "&amp;IF(B5="Mediana","da ",IF(B5="Média","da ","do "))&amp;B5,"dos cargos acima "&amp;IF(B5="Mediana","da ",IF(B5="Média","da ","do "))&amp;B5)</f>
        <v>dos cargos abaixo da Mediana</v>
      </c>
      <c r="E26" s="258"/>
      <c r="F26" s="287"/>
      <c r="G26" s="283"/>
      <c r="H26" s="287"/>
      <c r="I26" s="287"/>
      <c r="J26" s="288"/>
      <c r="K26" s="258"/>
      <c r="L26" s="259"/>
      <c r="M26" s="259"/>
      <c r="N26" s="259"/>
    </row>
    <row r="27" ht="12.75" customHeight="1">
      <c r="A27" s="255"/>
      <c r="B27" s="258"/>
      <c r="C27" s="258"/>
      <c r="E27" s="258"/>
      <c r="F27" s="287"/>
      <c r="G27" s="283"/>
      <c r="H27" s="287"/>
      <c r="I27" s="287"/>
      <c r="K27" s="258"/>
      <c r="L27" s="259"/>
      <c r="M27" s="259"/>
      <c r="N27" s="259"/>
    </row>
    <row r="28" ht="12.75" customHeight="1">
      <c r="A28" s="255"/>
      <c r="B28" s="258"/>
      <c r="C28" s="258"/>
      <c r="E28" s="258"/>
      <c r="F28" s="287"/>
      <c r="G28" s="283"/>
      <c r="H28" s="287"/>
      <c r="I28" s="287"/>
      <c r="K28" s="258"/>
      <c r="L28" s="259"/>
      <c r="M28" s="259"/>
      <c r="N28" s="259"/>
    </row>
    <row r="29" ht="12.75" customHeight="1">
      <c r="A29" s="255"/>
      <c r="B29" s="258"/>
      <c r="C29" s="258"/>
      <c r="E29" s="258"/>
      <c r="F29" s="287"/>
      <c r="G29" s="283"/>
      <c r="H29" s="287"/>
      <c r="I29" s="287"/>
      <c r="K29" s="258"/>
      <c r="L29" s="259"/>
      <c r="M29" s="259"/>
      <c r="N29" s="259"/>
    </row>
    <row r="30" ht="12.75" customHeight="1">
      <c r="A30" s="255"/>
      <c r="B30" s="258"/>
      <c r="C30" s="258"/>
      <c r="E30" s="258"/>
      <c r="F30" s="287"/>
      <c r="G30" s="283"/>
      <c r="H30" s="287"/>
      <c r="I30" s="287"/>
      <c r="K30" s="258"/>
      <c r="L30" s="259"/>
      <c r="M30" s="259"/>
      <c r="N30" s="259"/>
    </row>
    <row r="31" ht="12.75" customHeight="1">
      <c r="A31" s="255"/>
      <c r="B31" s="258"/>
      <c r="C31" s="258"/>
      <c r="D31" s="258"/>
      <c r="E31" s="258"/>
      <c r="F31" s="287"/>
      <c r="G31" s="283"/>
      <c r="H31" s="287"/>
      <c r="I31" s="287"/>
      <c r="J31" s="287"/>
      <c r="K31" s="258"/>
      <c r="L31" s="259"/>
      <c r="M31" s="259"/>
      <c r="N31" s="259"/>
    </row>
    <row r="32" ht="12.75" customHeight="1">
      <c r="A32" s="255"/>
      <c r="B32" s="258"/>
      <c r="C32" s="258"/>
      <c r="D32" s="258"/>
      <c r="E32" s="258"/>
      <c r="F32" s="287"/>
      <c r="G32" s="283"/>
      <c r="H32" s="287"/>
      <c r="I32" s="287"/>
      <c r="J32" s="287"/>
      <c r="K32" s="258"/>
      <c r="L32" s="259"/>
      <c r="M32" s="259"/>
      <c r="N32" s="259"/>
    </row>
    <row r="33" ht="12.75" customHeight="1">
      <c r="A33" s="255"/>
      <c r="B33" s="258"/>
      <c r="C33" s="258"/>
      <c r="D33" s="258"/>
      <c r="E33" s="258"/>
      <c r="F33" s="287"/>
      <c r="G33" s="283"/>
      <c r="H33" s="287"/>
      <c r="I33" s="287"/>
      <c r="J33" s="287"/>
      <c r="K33" s="258"/>
      <c r="L33" s="259"/>
      <c r="M33" s="259"/>
      <c r="N33" s="259"/>
    </row>
    <row r="34" ht="12.75" customHeight="1">
      <c r="A34" s="255"/>
      <c r="B34" s="293"/>
      <c r="C34" s="294"/>
      <c r="D34" s="294"/>
      <c r="E34" s="295"/>
      <c r="F34" s="296"/>
      <c r="G34" s="283"/>
      <c r="H34" s="297"/>
      <c r="I34" s="297"/>
      <c r="J34" s="298"/>
      <c r="K34" s="251"/>
      <c r="L34" s="252"/>
      <c r="M34" s="252"/>
      <c r="N34" s="252"/>
    </row>
    <row r="35" ht="12.75" customHeight="1">
      <c r="A35" s="255"/>
      <c r="B35" s="299" t="s">
        <v>403</v>
      </c>
      <c r="C35" s="299" t="s">
        <v>404</v>
      </c>
      <c r="D35" s="299" t="s">
        <v>405</v>
      </c>
      <c r="E35" s="300"/>
      <c r="F35" s="301"/>
      <c r="G35" s="302"/>
      <c r="H35" s="301"/>
      <c r="I35" s="302"/>
      <c r="J35" s="301"/>
      <c r="K35" s="251"/>
      <c r="L35" s="252"/>
      <c r="M35" s="252"/>
      <c r="N35" s="252"/>
    </row>
    <row r="36" ht="12.75" customHeight="1">
      <c r="A36" s="255"/>
      <c r="B36" s="303" t="s">
        <v>389</v>
      </c>
      <c r="C36" s="304">
        <f t="shared" ref="C36:C41" si="1">IFERROR(D36/$D$42,0)</f>
        <v>0.2340425532</v>
      </c>
      <c r="D36" s="305">
        <f>COUNTIF('Cálculos Comparativos'!V:V,$B36)</f>
        <v>11</v>
      </c>
      <c r="E36" s="306"/>
      <c r="F36" s="307"/>
      <c r="G36" s="308"/>
      <c r="H36" s="309"/>
      <c r="I36" s="308"/>
      <c r="J36" s="307"/>
      <c r="K36" s="251"/>
      <c r="L36" s="252"/>
      <c r="M36" s="252"/>
      <c r="N36" s="252"/>
    </row>
    <row r="37" ht="12.75" customHeight="1">
      <c r="A37" s="255"/>
      <c r="B37" s="303" t="s">
        <v>391</v>
      </c>
      <c r="C37" s="304">
        <f t="shared" si="1"/>
        <v>0.1063829787</v>
      </c>
      <c r="D37" s="305">
        <f>COUNTIF('Cálculos Comparativos'!V:V,$B37)</f>
        <v>5</v>
      </c>
      <c r="E37" s="306"/>
      <c r="F37" s="307"/>
      <c r="G37" s="310"/>
      <c r="H37" s="309"/>
      <c r="I37" s="310"/>
      <c r="J37" s="307"/>
      <c r="K37" s="251"/>
      <c r="L37" s="252"/>
      <c r="M37" s="252"/>
      <c r="N37" s="252"/>
    </row>
    <row r="38" ht="12.75" customHeight="1">
      <c r="A38" s="255"/>
      <c r="B38" s="303" t="s">
        <v>393</v>
      </c>
      <c r="C38" s="304">
        <f t="shared" si="1"/>
        <v>0.1914893617</v>
      </c>
      <c r="D38" s="305">
        <f>COUNTIF('Cálculos Comparativos'!V:V,$B38)</f>
        <v>9</v>
      </c>
      <c r="E38" s="306"/>
      <c r="F38" s="307"/>
      <c r="G38" s="308"/>
      <c r="H38" s="309"/>
      <c r="I38" s="308"/>
      <c r="J38" s="307"/>
      <c r="K38" s="251"/>
      <c r="L38" s="252"/>
      <c r="M38" s="252"/>
      <c r="N38" s="252"/>
    </row>
    <row r="39" ht="12.75" customHeight="1">
      <c r="A39" s="255"/>
      <c r="B39" s="303" t="s">
        <v>395</v>
      </c>
      <c r="C39" s="304">
        <f t="shared" si="1"/>
        <v>0.08510638298</v>
      </c>
      <c r="D39" s="305">
        <f>COUNTIF('Cálculos Comparativos'!V:V,$B39)</f>
        <v>4</v>
      </c>
      <c r="E39" s="306"/>
      <c r="F39" s="307"/>
      <c r="G39" s="310"/>
      <c r="H39" s="309"/>
      <c r="I39" s="310"/>
      <c r="J39" s="307"/>
      <c r="K39" s="251"/>
      <c r="L39" s="252"/>
      <c r="M39" s="252"/>
      <c r="N39" s="252"/>
    </row>
    <row r="40" ht="12.75" customHeight="1">
      <c r="A40" s="255"/>
      <c r="B40" s="303" t="s">
        <v>397</v>
      </c>
      <c r="C40" s="304">
        <f t="shared" si="1"/>
        <v>0.1276595745</v>
      </c>
      <c r="D40" s="305">
        <f>COUNTIF('Cálculos Comparativos'!V:V,$B40)</f>
        <v>6</v>
      </c>
      <c r="E40" s="306"/>
      <c r="F40" s="307"/>
      <c r="G40" s="308"/>
      <c r="H40" s="309"/>
      <c r="I40" s="308"/>
      <c r="J40" s="307"/>
      <c r="K40" s="251"/>
      <c r="L40" s="252"/>
      <c r="M40" s="252"/>
      <c r="N40" s="252"/>
    </row>
    <row r="41" ht="12.75" customHeight="1">
      <c r="A41" s="255"/>
      <c r="B41" s="303" t="s">
        <v>399</v>
      </c>
      <c r="C41" s="304">
        <f t="shared" si="1"/>
        <v>0.2553191489</v>
      </c>
      <c r="D41" s="305">
        <f>COUNTIF('Cálculos Comparativos'!V:V,$B41)</f>
        <v>12</v>
      </c>
      <c r="E41" s="306"/>
      <c r="F41" s="307"/>
      <c r="G41" s="310"/>
      <c r="H41" s="309"/>
      <c r="I41" s="310"/>
      <c r="J41" s="307"/>
      <c r="K41" s="251"/>
      <c r="L41" s="252"/>
      <c r="M41" s="252"/>
      <c r="N41" s="252"/>
    </row>
    <row r="42" ht="12.75" customHeight="1">
      <c r="A42" s="255"/>
      <c r="B42" s="311" t="s">
        <v>406</v>
      </c>
      <c r="C42" s="312">
        <f t="shared" ref="C42:D42" si="2">SUM(C36:C41)</f>
        <v>1</v>
      </c>
      <c r="D42" s="313">
        <f t="shared" si="2"/>
        <v>47</v>
      </c>
      <c r="E42" s="306"/>
      <c r="F42" s="314"/>
      <c r="G42" s="308"/>
      <c r="H42" s="314"/>
      <c r="I42" s="308"/>
      <c r="J42" s="314"/>
      <c r="K42" s="251"/>
      <c r="L42" s="252"/>
      <c r="M42" s="252"/>
      <c r="N42" s="252"/>
    </row>
    <row r="43" ht="12.75" customHeight="1">
      <c r="A43" s="255"/>
      <c r="B43" s="315"/>
      <c r="C43" s="297"/>
      <c r="D43" s="297"/>
      <c r="E43" s="306"/>
      <c r="F43" s="316"/>
      <c r="G43" s="317"/>
      <c r="H43" s="317"/>
      <c r="I43" s="317"/>
      <c r="J43" s="317"/>
      <c r="K43" s="251"/>
      <c r="L43" s="252"/>
      <c r="M43" s="252"/>
      <c r="N43" s="252"/>
    </row>
    <row r="44" ht="12.75" customHeight="1">
      <c r="A44" s="255"/>
      <c r="B44" s="318"/>
      <c r="C44" s="318"/>
      <c r="D44" s="318"/>
      <c r="E44" s="319"/>
      <c r="F44" s="319"/>
      <c r="G44" s="320"/>
      <c r="H44" s="320"/>
      <c r="I44" s="321"/>
      <c r="J44" s="321"/>
      <c r="K44" s="251"/>
      <c r="L44" s="252"/>
      <c r="M44" s="252"/>
      <c r="N44" s="252"/>
    </row>
    <row r="45">
      <c r="A45" s="255"/>
      <c r="B45" s="322" t="s">
        <v>407</v>
      </c>
      <c r="E45" s="323"/>
      <c r="F45" s="323"/>
      <c r="G45" s="324"/>
      <c r="H45" s="324"/>
      <c r="I45" s="251"/>
      <c r="J45" s="251"/>
      <c r="K45" s="251"/>
      <c r="L45" s="252"/>
      <c r="M45" s="252"/>
      <c r="N45" s="252"/>
    </row>
    <row r="46">
      <c r="A46" s="255"/>
      <c r="B46" s="325" t="s">
        <v>408</v>
      </c>
      <c r="E46" s="323"/>
      <c r="F46" s="323"/>
      <c r="G46" s="324"/>
      <c r="H46" s="324"/>
      <c r="I46" s="251"/>
      <c r="J46" s="251"/>
      <c r="K46" s="251"/>
      <c r="L46" s="252"/>
      <c r="M46" s="252"/>
      <c r="N46" s="252"/>
    </row>
    <row r="47" ht="12.75" customHeight="1">
      <c r="A47" s="255"/>
      <c r="B47" s="326"/>
      <c r="E47" s="323"/>
      <c r="F47" s="323"/>
      <c r="G47" s="324"/>
      <c r="H47" s="324"/>
      <c r="I47" s="251"/>
      <c r="J47" s="251"/>
      <c r="K47" s="251"/>
      <c r="L47" s="252"/>
      <c r="M47" s="252"/>
      <c r="N47" s="252"/>
    </row>
    <row r="48" ht="12.75" customHeight="1">
      <c r="A48" s="255"/>
      <c r="E48" s="323"/>
      <c r="F48" s="323"/>
      <c r="G48" s="324"/>
      <c r="H48" s="324"/>
      <c r="I48" s="251"/>
      <c r="J48" s="251"/>
      <c r="K48" s="251"/>
      <c r="L48" s="252"/>
      <c r="M48" s="252"/>
      <c r="N48" s="252"/>
    </row>
    <row r="49" ht="12.75" customHeight="1">
      <c r="A49" s="255"/>
      <c r="B49" s="327" t="s">
        <v>21</v>
      </c>
      <c r="E49" s="323"/>
      <c r="F49" s="323"/>
      <c r="G49" s="324"/>
      <c r="H49" s="324"/>
      <c r="I49" s="251"/>
      <c r="J49" s="251"/>
      <c r="K49" s="251"/>
      <c r="L49" s="252"/>
      <c r="M49" s="252"/>
      <c r="N49" s="252"/>
    </row>
    <row r="50" ht="12.75" customHeight="1">
      <c r="A50" s="255"/>
      <c r="D50" s="328"/>
      <c r="E50" s="328"/>
      <c r="F50" s="329"/>
      <c r="G50" s="330"/>
      <c r="H50" s="330"/>
      <c r="I50" s="251"/>
      <c r="J50" s="251"/>
      <c r="K50" s="251"/>
      <c r="L50" s="252"/>
      <c r="M50" s="252"/>
      <c r="N50" s="252"/>
    </row>
    <row r="51" ht="12.75" customHeight="1">
      <c r="A51" s="255"/>
      <c r="F51" s="306"/>
      <c r="G51" s="331"/>
      <c r="H51" s="331"/>
      <c r="I51" s="251"/>
      <c r="J51" s="251"/>
      <c r="K51" s="251"/>
      <c r="L51" s="252"/>
      <c r="M51" s="252"/>
      <c r="N51" s="252"/>
    </row>
    <row r="52" ht="12.75" customHeight="1">
      <c r="A52" s="255"/>
      <c r="B52" s="332" t="s">
        <v>403</v>
      </c>
      <c r="C52" s="332" t="s">
        <v>409</v>
      </c>
      <c r="D52" s="333"/>
      <c r="F52" s="306"/>
      <c r="G52" s="331"/>
      <c r="H52" s="331"/>
      <c r="I52" s="251"/>
      <c r="J52" s="251"/>
      <c r="K52" s="251"/>
      <c r="L52" s="252"/>
      <c r="M52" s="252"/>
      <c r="N52" s="252"/>
    </row>
    <row r="53" ht="12.75" customHeight="1">
      <c r="A53" s="255"/>
      <c r="B53" s="334" t="s">
        <v>389</v>
      </c>
      <c r="C53" s="335">
        <f>IFERROR(COUNTIFS('Cálculos Comparativos'!I:I,$B$49,'Cálculos Comparativos'!V:V,$B53)/C$59, 0)</f>
        <v>0.1379310345</v>
      </c>
      <c r="D53" s="335"/>
      <c r="F53" s="306"/>
      <c r="G53" s="331"/>
      <c r="H53" s="331"/>
      <c r="I53" s="251"/>
      <c r="J53" s="251"/>
      <c r="K53" s="251"/>
      <c r="L53" s="252"/>
      <c r="M53" s="252"/>
      <c r="N53" s="252"/>
    </row>
    <row r="54" ht="12.75" customHeight="1">
      <c r="A54" s="255"/>
      <c r="B54" s="336" t="s">
        <v>391</v>
      </c>
      <c r="C54" s="337">
        <f>IFERROR(COUNTIFS('Cálculos Comparativos'!I:I,$B$49,'Cálculos Comparativos'!V:V,$B54)/C$59, 0)</f>
        <v>0.1724137931</v>
      </c>
      <c r="D54" s="335"/>
      <c r="F54" s="306"/>
      <c r="G54" s="331"/>
      <c r="H54" s="331"/>
      <c r="I54" s="251"/>
      <c r="J54" s="251"/>
      <c r="K54" s="251"/>
      <c r="L54" s="252"/>
      <c r="M54" s="252"/>
      <c r="N54" s="252"/>
    </row>
    <row r="55" ht="12.75" customHeight="1">
      <c r="A55" s="255"/>
      <c r="B55" s="334" t="s">
        <v>393</v>
      </c>
      <c r="C55" s="335">
        <f>IFERROR(COUNTIFS('Cálculos Comparativos'!I:I,$B$49,'Cálculos Comparativos'!V:V,$B55)/C$59, 0)</f>
        <v>0.1724137931</v>
      </c>
      <c r="D55" s="335"/>
      <c r="F55" s="306"/>
      <c r="G55" s="331"/>
      <c r="H55" s="331"/>
      <c r="I55" s="251"/>
      <c r="J55" s="251"/>
      <c r="K55" s="251"/>
      <c r="L55" s="252"/>
      <c r="M55" s="252"/>
      <c r="N55" s="252"/>
    </row>
    <row r="56" ht="12.75" customHeight="1">
      <c r="A56" s="255"/>
      <c r="B56" s="336" t="s">
        <v>395</v>
      </c>
      <c r="C56" s="337">
        <f>IFERROR(COUNTIFS('Cálculos Comparativos'!I:I,$B$49,'Cálculos Comparativos'!V:V,$B56)/C$59, 0)</f>
        <v>0.06896551724</v>
      </c>
      <c r="D56" s="335"/>
      <c r="F56" s="306"/>
      <c r="G56" s="331"/>
      <c r="H56" s="331"/>
      <c r="I56" s="251"/>
      <c r="J56" s="251"/>
      <c r="K56" s="251"/>
      <c r="L56" s="252"/>
      <c r="M56" s="252"/>
      <c r="N56" s="252"/>
    </row>
    <row r="57" ht="12.75" customHeight="1">
      <c r="A57" s="255"/>
      <c r="B57" s="334" t="s">
        <v>397</v>
      </c>
      <c r="C57" s="335">
        <f>IFERROR(COUNTIFS('Cálculos Comparativos'!I:I,$B$49,'Cálculos Comparativos'!V:V,$B57)/C$59, 0)</f>
        <v>0.2068965517</v>
      </c>
      <c r="D57" s="335"/>
      <c r="F57" s="306"/>
      <c r="G57" s="317"/>
      <c r="H57" s="317"/>
      <c r="I57" s="251"/>
      <c r="J57" s="251"/>
      <c r="K57" s="251"/>
      <c r="L57" s="252"/>
      <c r="M57" s="252"/>
      <c r="N57" s="252"/>
    </row>
    <row r="58" ht="12.75" customHeight="1">
      <c r="A58" s="255"/>
      <c r="B58" s="336" t="s">
        <v>399</v>
      </c>
      <c r="C58" s="337">
        <f>IFERROR(COUNTIFS('Cálculos Comparativos'!I:I,$B$49,'Cálculos Comparativos'!V:V,$B58)/C$59, 0)</f>
        <v>0.2413793103</v>
      </c>
      <c r="D58" s="335"/>
      <c r="F58" s="329"/>
      <c r="G58" s="330"/>
      <c r="H58" s="330"/>
      <c r="I58" s="251"/>
      <c r="J58" s="251"/>
      <c r="K58" s="251"/>
      <c r="L58" s="252"/>
      <c r="M58" s="252"/>
      <c r="N58" s="252"/>
    </row>
    <row r="59" ht="12.75" customHeight="1">
      <c r="A59" s="255"/>
      <c r="B59" s="338" t="s">
        <v>410</v>
      </c>
      <c r="C59" s="338">
        <f>COUNTIFS('Cálculos Comparativos'!I:I,B49,'Cálculos Comparativos'!V:V,"?*")</f>
        <v>29</v>
      </c>
      <c r="D59" s="334"/>
      <c r="F59" s="329"/>
      <c r="G59" s="330"/>
      <c r="H59" s="330"/>
      <c r="I59" s="251"/>
      <c r="J59" s="251"/>
      <c r="K59" s="251"/>
      <c r="L59" s="252"/>
      <c r="M59" s="252"/>
      <c r="N59" s="252"/>
    </row>
    <row r="60" ht="12.75" customHeight="1">
      <c r="A60" s="255"/>
      <c r="B60" s="339"/>
      <c r="C60" s="340"/>
      <c r="D60" s="340"/>
      <c r="E60" s="329"/>
      <c r="F60" s="329"/>
      <c r="G60" s="330"/>
      <c r="H60" s="330"/>
      <c r="I60" s="251"/>
      <c r="J60" s="251"/>
      <c r="K60" s="251"/>
      <c r="L60" s="252"/>
      <c r="M60" s="252"/>
      <c r="N60" s="252"/>
    </row>
    <row r="61" ht="12.75" customHeight="1">
      <c r="A61" s="255"/>
      <c r="B61" s="339"/>
      <c r="C61" s="340"/>
      <c r="D61" s="340"/>
      <c r="E61" s="329"/>
      <c r="F61" s="329"/>
      <c r="G61" s="330"/>
      <c r="H61" s="330"/>
      <c r="I61" s="251"/>
      <c r="J61" s="251"/>
      <c r="K61" s="251"/>
      <c r="L61" s="252"/>
      <c r="M61" s="252"/>
      <c r="N61" s="252"/>
    </row>
    <row r="62" ht="12.75" customHeight="1">
      <c r="A62" s="255"/>
      <c r="B62" s="339"/>
      <c r="C62" s="340"/>
      <c r="D62" s="340"/>
      <c r="E62" s="329"/>
      <c r="F62" s="329"/>
      <c r="G62" s="330"/>
      <c r="H62" s="330"/>
      <c r="I62" s="251"/>
      <c r="J62" s="251"/>
      <c r="K62" s="251"/>
      <c r="L62" s="252"/>
      <c r="M62" s="252"/>
      <c r="N62" s="252"/>
    </row>
    <row r="63" ht="12.75" customHeight="1">
      <c r="A63" s="255"/>
      <c r="B63" s="339"/>
      <c r="C63" s="340"/>
      <c r="D63" s="340"/>
      <c r="E63" s="329"/>
      <c r="F63" s="329"/>
      <c r="G63" s="330"/>
      <c r="H63" s="330"/>
      <c r="I63" s="251"/>
      <c r="J63" s="251"/>
      <c r="K63" s="251"/>
      <c r="L63" s="252"/>
      <c r="M63" s="252"/>
      <c r="N63" s="252"/>
    </row>
    <row r="64" ht="12.75" customHeight="1">
      <c r="A64" s="255"/>
      <c r="B64" s="339"/>
      <c r="C64" s="340"/>
      <c r="D64" s="340"/>
      <c r="E64" s="329"/>
      <c r="F64" s="329"/>
      <c r="G64" s="330"/>
      <c r="H64" s="330"/>
      <c r="I64" s="251"/>
      <c r="J64" s="251"/>
      <c r="K64" s="251"/>
      <c r="L64" s="252"/>
      <c r="M64" s="252"/>
      <c r="N64" s="252"/>
    </row>
    <row r="65" ht="12.75" customHeight="1">
      <c r="A65" s="255"/>
      <c r="B65" s="339"/>
      <c r="C65" s="340"/>
      <c r="D65" s="340"/>
      <c r="E65" s="329"/>
      <c r="F65" s="329"/>
      <c r="G65" s="330"/>
      <c r="H65" s="330"/>
      <c r="I65" s="251"/>
      <c r="J65" s="251"/>
      <c r="K65" s="251"/>
      <c r="L65" s="252"/>
      <c r="M65" s="252"/>
      <c r="N65" s="252"/>
    </row>
    <row r="66" ht="12.75" customHeight="1">
      <c r="A66" s="255"/>
      <c r="B66" s="339"/>
      <c r="C66" s="340"/>
      <c r="D66" s="340"/>
      <c r="E66" s="329"/>
      <c r="F66" s="329"/>
      <c r="G66" s="330"/>
      <c r="H66" s="330"/>
      <c r="I66" s="251"/>
      <c r="J66" s="251"/>
      <c r="K66" s="251"/>
      <c r="L66" s="252"/>
      <c r="M66" s="252"/>
      <c r="N66" s="252"/>
    </row>
    <row r="67" ht="12.75" customHeight="1">
      <c r="A67" s="255"/>
      <c r="B67" s="339"/>
      <c r="C67" s="340"/>
      <c r="D67" s="340"/>
      <c r="E67" s="329"/>
      <c r="F67" s="329"/>
      <c r="G67" s="341">
        <f>IF(SUM(C53:C55)&gt;SUM(C56:C58),SUM(C53:C55),SUM(C56:C58))</f>
        <v>0.5172413793</v>
      </c>
      <c r="H67" s="342" t="str">
        <f>IF(SUM(C53:C55)&gt;SUM(C56:C58),"dos cargos abaixo "&amp;IF(B5="Mediana","da ",IF(B5="Média","da ","do "))&amp;B5,"dos cargos acima "&amp;IF(B5="Mediana","da ",IF(B5="Média","da ","do "))&amp;B5)</f>
        <v>dos cargos acima da Mediana</v>
      </c>
      <c r="J67" s="251"/>
      <c r="K67" s="251"/>
      <c r="L67" s="252"/>
      <c r="M67" s="252"/>
      <c r="N67" s="252"/>
    </row>
    <row r="68" ht="12.75" customHeight="1">
      <c r="A68" s="255"/>
      <c r="B68" s="339"/>
      <c r="C68" s="340"/>
      <c r="D68" s="340"/>
      <c r="E68" s="329"/>
      <c r="F68" s="329"/>
      <c r="J68" s="251"/>
      <c r="K68" s="251"/>
      <c r="L68" s="252"/>
      <c r="M68" s="252"/>
      <c r="N68" s="252"/>
    </row>
    <row r="69" ht="12.75" customHeight="1">
      <c r="A69" s="255"/>
      <c r="B69" s="339"/>
      <c r="C69" s="340"/>
      <c r="D69" s="340"/>
      <c r="E69" s="329"/>
      <c r="F69" s="329"/>
      <c r="G69" s="330"/>
      <c r="H69" s="330"/>
      <c r="I69" s="251"/>
      <c r="J69" s="251"/>
      <c r="K69" s="251"/>
      <c r="L69" s="252"/>
      <c r="M69" s="252"/>
      <c r="N69" s="252"/>
    </row>
    <row r="70" ht="12.75" customHeight="1">
      <c r="A70" s="255"/>
      <c r="E70" s="323"/>
      <c r="F70" s="323"/>
      <c r="G70" s="324"/>
      <c r="H70" s="324"/>
      <c r="I70" s="251"/>
      <c r="J70" s="251"/>
      <c r="K70" s="251"/>
      <c r="L70" s="252"/>
      <c r="M70" s="252"/>
      <c r="N70" s="252"/>
    </row>
    <row r="71" ht="12.75" customHeight="1">
      <c r="A71" s="255"/>
      <c r="B71" s="343"/>
      <c r="C71" s="344"/>
      <c r="D71" s="344"/>
      <c r="E71" s="345"/>
      <c r="F71" s="345"/>
      <c r="G71" s="346"/>
      <c r="H71" s="346"/>
      <c r="I71" s="321"/>
      <c r="J71" s="321"/>
      <c r="K71" s="251"/>
      <c r="L71" s="252"/>
      <c r="M71" s="252"/>
      <c r="N71" s="252"/>
    </row>
    <row r="72" ht="12.75" customHeight="1">
      <c r="A72" s="255"/>
      <c r="B72" s="347" t="str">
        <f>"5 Maiores Salários acima "&amp;IF(B5="Mediana","da ",IF(B5="Média","da ","do "))&amp;B5</f>
        <v>5 Maiores Salários acima da Mediana</v>
      </c>
      <c r="C72" s="348"/>
      <c r="D72" s="348"/>
      <c r="E72" s="348"/>
      <c r="F72" s="348"/>
      <c r="G72" s="348"/>
      <c r="H72" s="348"/>
      <c r="I72" s="348"/>
      <c r="J72" s="349"/>
      <c r="K72" s="251"/>
      <c r="L72" s="252"/>
      <c r="M72" s="252"/>
      <c r="N72" s="252"/>
    </row>
    <row r="73" ht="12.75" customHeight="1">
      <c r="A73" s="255"/>
      <c r="B73" s="339"/>
      <c r="C73" s="340"/>
      <c r="D73" s="340"/>
      <c r="E73" s="329"/>
      <c r="F73" s="329"/>
      <c r="G73" s="330"/>
      <c r="H73" s="330"/>
      <c r="I73" s="251"/>
      <c r="J73" s="251"/>
      <c r="K73" s="251"/>
      <c r="L73" s="252"/>
      <c r="M73" s="252"/>
      <c r="N73" s="252"/>
    </row>
    <row r="74" ht="12.75" customHeight="1">
      <c r="A74" s="255"/>
      <c r="B74" s="350" t="s">
        <v>411</v>
      </c>
      <c r="C74" s="251"/>
      <c r="D74" s="251"/>
      <c r="E74" s="351" t="s">
        <v>400</v>
      </c>
      <c r="G74" s="352"/>
      <c r="I74" s="353"/>
      <c r="K74" s="251"/>
      <c r="L74" s="252"/>
      <c r="M74" s="252"/>
      <c r="N74" s="252"/>
    </row>
    <row r="75" ht="12.75" customHeight="1">
      <c r="A75" s="255"/>
      <c r="B75" s="354" t="s">
        <v>203</v>
      </c>
      <c r="C75" s="354" t="s">
        <v>205</v>
      </c>
      <c r="D75" s="355" t="s">
        <v>412</v>
      </c>
      <c r="E75" s="356" t="str">
        <f>$B$5</f>
        <v>Mediana</v>
      </c>
      <c r="F75" s="356" t="s">
        <v>403</v>
      </c>
      <c r="G75" s="357"/>
      <c r="H75" s="357"/>
      <c r="I75" s="358"/>
      <c r="J75" s="358"/>
      <c r="K75" s="251"/>
      <c r="L75" s="252"/>
      <c r="M75" s="252"/>
      <c r="N75" s="252"/>
    </row>
    <row r="76" ht="12.75" customHeight="1">
      <c r="A76" s="359" t="str">
        <f t="array" ref="A76">INDEX('Cálculos Comparativos'!A:A, MATCH(LARGE('Cálculos Comparativos'!U:U, ROW(A1)), 'Cálculos Comparativos'!U:U, 0))</f>
        <v>44</v>
      </c>
      <c r="B76" s="360" t="str">
        <f>iferror(VLOOKUP($A76,'Cálculos Comparativos'!$A:$V,2,0),"")</f>
        <v>GERENTE DE EDIFICAÇÕES</v>
      </c>
      <c r="C76" s="360" t="str">
        <f>iferror(VLOOKUP($A76,'Cálculos Comparativos'!$A:$V,9,0)&amp;" "&amp;if(VLOOKUP($A76,'Cálculos Comparativos'!$A:$V,10,0)="Indiferente","",VLOOKUP($A76,'Cálculos Comparativos'!$A:$V,10,0)),"")</f>
        <v>Tático 311</v>
      </c>
      <c r="D76" s="361">
        <f>VLOOKUP(A76,'Cálculos Comparativos'!$A:$V,3,0)</f>
        <v>30106.06061</v>
      </c>
      <c r="E76" s="362">
        <f>IFS($B$5="Mediana",VLOOKUP(A76,'Cálculos Comparativos'!A:V,17,0),$B$5="Menor Salário",VLOOKUP(A76,'Cálculos Comparativos'!A:V,14,0),$B$5="1º Quartil",VLOOKUP(A76,'Cálculos Comparativos'!A:V,15,0),$B$5="Média",VLOOKUP(A76,'Cálculos Comparativos'!A:V,16,0),$B$5="3º Quartil",VLOOKUP(A76,'Cálculos Comparativos'!A:V,17,0),$B$5="Maior Salário",VLOOKUP(A76,'Cálculos Comparativos'!A:V,19,0))</f>
        <v>12711.42</v>
      </c>
      <c r="F76" s="304">
        <f>VLOOKUP(A76,'Cálculos Comparativos'!$A:$V,20,0)</f>
        <v>19098.65</v>
      </c>
      <c r="G76" s="363"/>
      <c r="H76" s="364"/>
      <c r="I76" s="365"/>
      <c r="J76" s="366"/>
      <c r="K76" s="251"/>
      <c r="L76" s="252"/>
      <c r="M76" s="252"/>
      <c r="N76" s="252"/>
    </row>
    <row r="77" ht="12.75" customHeight="1">
      <c r="A77" s="359" t="str">
        <f t="array" ref="A77">INDEX('Cálculos Comparativos'!A:A, MATCH(LARGE('Cálculos Comparativos'!U:U, ROW(A2)), 'Cálculos Comparativos'!U:U, 0))</f>
        <v>50</v>
      </c>
      <c r="B77" s="360" t="str">
        <f>iferror(VLOOKUP($A77,'Cálculos Comparativos'!$A:$V,2,0),"")</f>
        <v>GERENTE DE URBANISMO</v>
      </c>
      <c r="C77" s="360" t="str">
        <f>iferror(VLOOKUP($A77,'Cálculos Comparativos'!$A:$V,9,0)&amp;" "&amp;if(VLOOKUP($A77,'Cálculos Comparativos'!$A:$V,10,0)="Indiferente","",VLOOKUP($A77,'Cálculos Comparativos'!$A:$V,10,0)),"")</f>
        <v>Tático 311</v>
      </c>
      <c r="D77" s="361">
        <f>VLOOKUP(A77,'Cálculos Comparativos'!$A:$V,3,0)</f>
        <v>28030.30303</v>
      </c>
      <c r="E77" s="362">
        <f>IFS($B$5="Mediana",VLOOKUP(A77,'Cálculos Comparativos'!A:V,17,0),$B$5="Menor Salário",VLOOKUP(A77,'Cálculos Comparativos'!A:V,14,0),$B$5="1º Quartil",VLOOKUP(A77,'Cálculos Comparativos'!A:V,15,0),$B$5="Média",VLOOKUP(A77,'Cálculos Comparativos'!A:V,16,0),$B$5="3º Quartil",VLOOKUP(A77,'Cálculos Comparativos'!A:V,17,0),$B$5="Maior Salário",VLOOKUP(A77,'Cálculos Comparativos'!A:V,19,0))</f>
        <v>12711.42</v>
      </c>
      <c r="F77" s="304">
        <f>VLOOKUP(A77,'Cálculos Comparativos'!$A:$V,20,0)</f>
        <v>19098.65</v>
      </c>
      <c r="G77" s="363"/>
      <c r="H77" s="364"/>
      <c r="I77" s="365"/>
      <c r="J77" s="366"/>
      <c r="K77" s="251"/>
      <c r="L77" s="252"/>
      <c r="M77" s="252"/>
      <c r="N77" s="252"/>
    </row>
    <row r="78" ht="12.75" customHeight="1">
      <c r="A78" s="359" t="str">
        <f t="array" ref="A78">INDEX('Cálculos Comparativos'!A:A, MATCH(LARGE('Cálculos Comparativos'!U:U, ROW(A3)), 'Cálculos Comparativos'!U:U, 0))</f>
        <v>54</v>
      </c>
      <c r="B78" s="360" t="str">
        <f>iferror(VLOOKUP($A78,'Cálculos Comparativos'!$A:$V,2,0),"")</f>
        <v>TECNOLOGO EM CONSTRUÇÃO DE EDIFICIOS</v>
      </c>
      <c r="C78" s="360" t="str">
        <f>iferror(VLOOKUP($A78,'Cálculos Comparativos'!$A:$V,9,0)&amp;" "&amp;if(VLOOKUP($A78,'Cálculos Comparativos'!$A:$V,10,0)="Indiferente","",VLOOKUP($A78,'Cálculos Comparativos'!$A:$V,10,0)),"")</f>
        <v>Operacional 269</v>
      </c>
      <c r="D78" s="361">
        <f>VLOOKUP(A78,'Cálculos Comparativos'!$A:$V,3,0)</f>
        <v>8585</v>
      </c>
      <c r="E78" s="362">
        <f>IFS($B$5="Mediana",VLOOKUP(A78,'Cálculos Comparativos'!A:V,17,0),$B$5="Menor Salário",VLOOKUP(A78,'Cálculos Comparativos'!A:V,14,0),$B$5="1º Quartil",VLOOKUP(A78,'Cálculos Comparativos'!A:V,15,0),$B$5="Média",VLOOKUP(A78,'Cálculos Comparativos'!A:V,16,0),$B$5="3º Quartil",VLOOKUP(A78,'Cálculos Comparativos'!A:V,17,0),$B$5="Maior Salário",VLOOKUP(A78,'Cálculos Comparativos'!A:V,19,0))</f>
        <v>4583.42</v>
      </c>
      <c r="F78" s="304">
        <f>VLOOKUP(A78,'Cálculos Comparativos'!$A:$V,20,0)</f>
        <v>9075.39</v>
      </c>
      <c r="G78" s="363"/>
      <c r="H78" s="364"/>
      <c r="I78" s="365"/>
      <c r="J78" s="366"/>
      <c r="K78" s="251"/>
      <c r="L78" s="252"/>
      <c r="M78" s="252"/>
      <c r="N78" s="252"/>
    </row>
    <row r="79" ht="12.75" customHeight="1">
      <c r="A79" s="359" t="str">
        <f t="array" ref="A79">INDEX('Cálculos Comparativos'!A:A, MATCH(LARGE('Cálculos Comparativos'!U:U, ROW(A4)), 'Cálculos Comparativos'!U:U, 0))</f>
        <v>33</v>
      </c>
      <c r="B79" s="360" t="str">
        <f>iferror(VLOOKUP($A79,'Cálculos Comparativos'!$A:$V,2,0),"")</f>
        <v>DIRETOR</v>
      </c>
      <c r="C79" s="360" t="str">
        <f>iferror(VLOOKUP($A79,'Cálculos Comparativos'!$A:$V,9,0)&amp;" "&amp;if(VLOOKUP($A79,'Cálculos Comparativos'!$A:$V,10,0)="Indiferente","",VLOOKUP($A79,'Cálculos Comparativos'!$A:$V,10,0)),"")</f>
        <v>Estratégico 456</v>
      </c>
      <c r="D79" s="361">
        <f>VLOOKUP(A79,'Cálculos Comparativos'!$A:$V,3,0)</f>
        <v>55769.23077</v>
      </c>
      <c r="E79" s="362">
        <f>IFS($B$5="Mediana",VLOOKUP(A79,'Cálculos Comparativos'!A:V,17,0),$B$5="Menor Salário",VLOOKUP(A79,'Cálculos Comparativos'!A:V,14,0),$B$5="1º Quartil",VLOOKUP(A79,'Cálculos Comparativos'!A:V,15,0),$B$5="Média",VLOOKUP(A79,'Cálculos Comparativos'!A:V,16,0),$B$5="3º Quartil",VLOOKUP(A79,'Cálculos Comparativos'!A:V,17,0),$B$5="Maior Salário",VLOOKUP(A79,'Cálculos Comparativos'!A:V,19,0))</f>
        <v>32648.36</v>
      </c>
      <c r="F79" s="304">
        <f>VLOOKUP(A79,'Cálculos Comparativos'!$A:$V,20,0)</f>
        <v>55429.54</v>
      </c>
      <c r="G79" s="363"/>
      <c r="H79" s="364"/>
      <c r="I79" s="365"/>
      <c r="J79" s="366"/>
      <c r="K79" s="251"/>
      <c r="L79" s="252"/>
      <c r="M79" s="252"/>
      <c r="N79" s="252"/>
    </row>
    <row r="80" ht="12.75" customHeight="1">
      <c r="A80" s="359" t="str">
        <f t="array" ref="A80">INDEX('Cálculos Comparativos'!A:A, MATCH(LARGE('Cálculos Comparativos'!U:U, ROW(A5)), 'Cálculos Comparativos'!U:U, 0))</f>
        <v>4</v>
      </c>
      <c r="B80" s="360" t="str">
        <f>iferror(VLOOKUP($A80,'Cálculos Comparativos'!$A:$V,2,0),"")</f>
        <v>ANALISTA DE INOVAÇÃO</v>
      </c>
      <c r="C80" s="360" t="str">
        <f>iferror(VLOOKUP($A80,'Cálculos Comparativos'!$A:$V,9,0)&amp;" "&amp;if(VLOOKUP($A80,'Cálculos Comparativos'!$A:$V,10,0)="Indiferente","",VLOOKUP($A80,'Cálculos Comparativos'!$A:$V,10,0)),"")</f>
        <v>Tático 437</v>
      </c>
      <c r="D80" s="361">
        <f>VLOOKUP(A80,'Cálculos Comparativos'!$A:$V,3,0)</f>
        <v>7299.270073</v>
      </c>
      <c r="E80" s="362">
        <f>IFS($B$5="Mediana",VLOOKUP(A80,'Cálculos Comparativos'!A:V,17,0),$B$5="Menor Salário",VLOOKUP(A80,'Cálculos Comparativos'!A:V,14,0),$B$5="1º Quartil",VLOOKUP(A80,'Cálculos Comparativos'!A:V,15,0),$B$5="Média",VLOOKUP(A80,'Cálculos Comparativos'!A:V,16,0),$B$5="3º Quartil",VLOOKUP(A80,'Cálculos Comparativos'!A:V,17,0),$B$5="Maior Salário",VLOOKUP(A80,'Cálculos Comparativos'!A:V,19,0))</f>
        <v>5831.57</v>
      </c>
      <c r="F80" s="304">
        <f>VLOOKUP(A80,'Cálculos Comparativos'!$A:$V,20,0)</f>
        <v>7760.14</v>
      </c>
      <c r="G80" s="363"/>
      <c r="H80" s="364"/>
      <c r="I80" s="365"/>
      <c r="J80" s="366"/>
      <c r="K80" s="251"/>
      <c r="L80" s="252"/>
      <c r="M80" s="252"/>
      <c r="N80" s="252"/>
    </row>
    <row r="81" ht="12.75" customHeight="1">
      <c r="A81" s="255"/>
      <c r="B81" s="339"/>
      <c r="C81" s="340"/>
      <c r="D81" s="340"/>
      <c r="E81" s="329"/>
      <c r="F81" s="329"/>
      <c r="G81" s="330"/>
      <c r="H81" s="330"/>
      <c r="I81" s="251"/>
      <c r="J81" s="251"/>
      <c r="K81" s="251"/>
      <c r="L81" s="252"/>
      <c r="M81" s="252"/>
      <c r="N81" s="252"/>
    </row>
    <row r="82" ht="12.75" customHeight="1">
      <c r="A82" s="255"/>
      <c r="B82" s="367"/>
      <c r="C82" s="367"/>
      <c r="D82" s="367"/>
      <c r="E82" s="367"/>
      <c r="F82" s="367"/>
      <c r="G82" s="367"/>
      <c r="H82" s="367"/>
      <c r="I82" s="367"/>
      <c r="J82" s="367"/>
      <c r="K82" s="251"/>
      <c r="L82" s="252"/>
      <c r="M82" s="252"/>
      <c r="N82" s="252"/>
    </row>
    <row r="83" ht="12.75" customHeight="1">
      <c r="A83" s="255"/>
      <c r="B83" s="367"/>
      <c r="C83" s="367"/>
      <c r="D83" s="367"/>
      <c r="E83" s="367"/>
      <c r="F83" s="367"/>
      <c r="G83" s="367"/>
      <c r="H83" s="367"/>
      <c r="I83" s="367"/>
      <c r="J83" s="367"/>
      <c r="K83" s="251"/>
      <c r="L83" s="252"/>
      <c r="M83" s="252"/>
      <c r="N83" s="252"/>
    </row>
    <row r="84" ht="12.75" customHeight="1">
      <c r="A84" s="255"/>
      <c r="B84" s="368" t="str">
        <f>"5 Menores Salários abaixo "&amp;IF(B5="Mediana","da ",IF(B5="Média","da ","do "))&amp;B5</f>
        <v>5 Menores Salários abaixo da Mediana</v>
      </c>
      <c r="C84" s="348"/>
      <c r="D84" s="348"/>
      <c r="E84" s="348"/>
      <c r="F84" s="348"/>
      <c r="G84" s="348"/>
      <c r="H84" s="348"/>
      <c r="I84" s="348"/>
      <c r="J84" s="349"/>
      <c r="K84" s="251"/>
      <c r="L84" s="252"/>
      <c r="M84" s="252"/>
      <c r="N84" s="252"/>
    </row>
    <row r="85" ht="12.75" customHeight="1">
      <c r="A85" s="255"/>
      <c r="B85" s="339"/>
      <c r="C85" s="340"/>
      <c r="D85" s="340"/>
      <c r="E85" s="329"/>
      <c r="F85" s="329"/>
      <c r="G85" s="330"/>
      <c r="H85" s="330"/>
      <c r="I85" s="251"/>
      <c r="J85" s="251"/>
      <c r="K85" s="251"/>
      <c r="L85" s="252"/>
      <c r="M85" s="252"/>
      <c r="N85" s="252"/>
    </row>
    <row r="86" ht="12.75" customHeight="1">
      <c r="A86" s="255"/>
      <c r="B86" s="350" t="s">
        <v>411</v>
      </c>
      <c r="C86" s="251"/>
      <c r="D86" s="369"/>
      <c r="E86" s="351" t="s">
        <v>400</v>
      </c>
      <c r="G86" s="352"/>
      <c r="I86" s="251"/>
      <c r="J86" s="251"/>
      <c r="K86" s="251"/>
      <c r="L86" s="252"/>
      <c r="M86" s="252"/>
      <c r="N86" s="252"/>
    </row>
    <row r="87" ht="12.75" customHeight="1">
      <c r="A87" s="255"/>
      <c r="B87" s="354" t="s">
        <v>203</v>
      </c>
      <c r="C87" s="354" t="s">
        <v>205</v>
      </c>
      <c r="D87" s="355" t="s">
        <v>412</v>
      </c>
      <c r="E87" s="356" t="str">
        <f>$B$5</f>
        <v>Mediana</v>
      </c>
      <c r="F87" s="356" t="s">
        <v>403</v>
      </c>
      <c r="G87" s="357"/>
      <c r="H87" s="357"/>
      <c r="I87" s="251"/>
      <c r="J87" s="251"/>
      <c r="K87" s="251"/>
      <c r="L87" s="252"/>
      <c r="M87" s="252"/>
      <c r="N87" s="252"/>
    </row>
    <row r="88" ht="12.75" customHeight="1">
      <c r="A88" s="359" t="str">
        <f t="array" ref="A88">INDEX('Cálculos Comparativos'!A:A, MATCH(SMALL('Cálculos Comparativos'!U:U, ROW(A1)), 'Cálculos Comparativos'!U:U, 0))</f>
        <v>36</v>
      </c>
      <c r="B88" s="360" t="str">
        <f>iferror(VLOOKUP($A88,'Cálculos Comparativos'!$A:$V,2,0),"")</f>
        <v>ENGENHEIRO JUNIOR DE URBANISMO</v>
      </c>
      <c r="C88" s="360" t="str">
        <f>iferror(VLOOKUP($A88,'Cálculos Comparativos'!$A:$V,9,0)&amp;" "&amp;if(VLOOKUP($A88,'Cálculos Comparativos'!$A:$V,10,0)="Indiferente","",VLOOKUP($A88,'Cálculos Comparativos'!$A:$V,10,0)),"")</f>
        <v>Operacional 212</v>
      </c>
      <c r="D88" s="361">
        <f>VLOOKUP(A88,'Cálculos Comparativos'!$A:$V,3,0)</f>
        <v>5630.872483</v>
      </c>
      <c r="E88" s="362">
        <f>IFS($B$5="Mediana",VLOOKUP(A88,'Cálculos Comparativos'!A:V,17,0),$B$5="Menor Salário",VLOOKUP(A88,'Cálculos Comparativos'!A:V,14,0),$B$5="1º Quartil",VLOOKUP(A88,'Cálculos Comparativos'!A:V,15,0),$B$5="Média",VLOOKUP(A88,'Cálculos Comparativos'!A:V,15,0),$B$5="3º Quartil",VLOOKUP(A88,'Cálculos Comparativos'!A:V,18,0),$B$5="Maior Salário",VLOOKUP(A88,'Cálculos Comparativos'!A:V,19,0))</f>
        <v>14293.39</v>
      </c>
      <c r="F88" s="304">
        <f>VLOOKUP(A88,'Cálculos Comparativos'!$A:$V,20,0)</f>
        <v>16164.64</v>
      </c>
      <c r="G88" s="363"/>
      <c r="H88" s="364"/>
      <c r="I88" s="370"/>
      <c r="J88" s="251"/>
      <c r="K88" s="251"/>
      <c r="L88" s="252"/>
      <c r="M88" s="252"/>
      <c r="N88" s="252"/>
    </row>
    <row r="89" ht="12.75" customHeight="1">
      <c r="A89" s="359" t="str">
        <f t="array" ref="A89">INDEX('Cálculos Comparativos'!A:A, MATCH(SMALL('Cálculos Comparativos'!U:U, ROW(A2)), 'Cálculos Comparativos'!U:U, 0))</f>
        <v>45</v>
      </c>
      <c r="B89" s="360" t="str">
        <f>iferror(VLOOKUP($A89,'Cálculos Comparativos'!$A:$V,2,0),"")</f>
        <v>GERENTE DE HOUSE</v>
      </c>
      <c r="C89" s="360" t="str">
        <f>iferror(VLOOKUP($A89,'Cálculos Comparativos'!$A:$V,9,0)&amp;" "&amp;if(VLOOKUP($A89,'Cálculos Comparativos'!$A:$V,10,0)="Indiferente","",VLOOKUP($A89,'Cálculos Comparativos'!$A:$V,10,0)),"")</f>
        <v>Tático 107</v>
      </c>
      <c r="D89" s="361">
        <f>VLOOKUP(A89,'Cálculos Comparativos'!$A:$V,3,0)</f>
        <v>5125</v>
      </c>
      <c r="E89" s="362">
        <f>IFS($B$5="Mediana",VLOOKUP(A89,'Cálculos Comparativos'!A:V,17,0),$B$5="Menor Salário",VLOOKUP(A89,'Cálculos Comparativos'!A:V,14,0),$B$5="1º Quartil",VLOOKUP(A89,'Cálculos Comparativos'!A:V,15,0),$B$5="Média",VLOOKUP(A89,'Cálculos Comparativos'!A:V,15,0),$B$5="3º Quartil",VLOOKUP(A89,'Cálculos Comparativos'!A:V,18,0),$B$5="Maior Salário",VLOOKUP(A89,'Cálculos Comparativos'!A:V,19,0))</f>
        <v>12281.04</v>
      </c>
      <c r="F89" s="304">
        <f>VLOOKUP(A89,'Cálculos Comparativos'!$A:$V,20,0)</f>
        <v>19289.48</v>
      </c>
      <c r="G89" s="363"/>
      <c r="H89" s="364"/>
      <c r="I89" s="370"/>
      <c r="J89" s="251"/>
      <c r="K89" s="251"/>
      <c r="L89" s="252"/>
      <c r="M89" s="252"/>
      <c r="N89" s="252"/>
    </row>
    <row r="90" ht="12.75" customHeight="1">
      <c r="A90" s="359" t="str">
        <f t="array" ref="A90">INDEX('Cálculos Comparativos'!A:A, MATCH(SMALL('Cálculos Comparativos'!U:U, ROW(A3)), 'Cálculos Comparativos'!U:U, 0))</f>
        <v>49</v>
      </c>
      <c r="B90" s="360" t="str">
        <f>iferror(VLOOKUP($A90,'Cálculos Comparativos'!$A:$V,2,0),"")</f>
        <v>GERENTE DE PARCERIAS EXTERNAS</v>
      </c>
      <c r="C90" s="360" t="str">
        <f>iferror(VLOOKUP($A90,'Cálculos Comparativos'!$A:$V,9,0)&amp;" "&amp;if(VLOOKUP($A90,'Cálculos Comparativos'!$A:$V,10,0)="Indiferente","",VLOOKUP($A90,'Cálculos Comparativos'!$A:$V,10,0)),"")</f>
        <v>Tático 408</v>
      </c>
      <c r="D90" s="361">
        <f>VLOOKUP(A90,'Cálculos Comparativos'!$A:$V,3,0)</f>
        <v>5000</v>
      </c>
      <c r="E90" s="362">
        <f>IFS($B$5="Mediana",VLOOKUP(A90,'Cálculos Comparativos'!A:V,17,0),$B$5="Menor Salário",VLOOKUP(A90,'Cálculos Comparativos'!A:V,14,0),$B$5="1º Quartil",VLOOKUP(A90,'Cálculos Comparativos'!A:V,15,0),$B$5="Média",VLOOKUP(A90,'Cálculos Comparativos'!A:V,15,0),$B$5="3º Quartil",VLOOKUP(A90,'Cálculos Comparativos'!A:V,18,0),$B$5="Maior Salário",VLOOKUP(A90,'Cálculos Comparativos'!A:V,19,0))</f>
        <v>10973.95</v>
      </c>
      <c r="F90" s="304">
        <f>VLOOKUP(A90,'Cálculos Comparativos'!$A:$V,20,0)</f>
        <v>16628.86</v>
      </c>
      <c r="G90" s="363"/>
      <c r="H90" s="364"/>
      <c r="I90" s="370"/>
      <c r="J90" s="251"/>
      <c r="K90" s="251"/>
      <c r="L90" s="252"/>
      <c r="M90" s="252"/>
      <c r="N90" s="252"/>
    </row>
    <row r="91" ht="12.75" customHeight="1">
      <c r="A91" s="359" t="str">
        <f t="array" ref="A91">INDEX('Cálculos Comparativos'!A:A, MATCH(SMALL('Cálculos Comparativos'!U:U, ROW(A4)), 'Cálculos Comparativos'!U:U, 0))</f>
        <v>48</v>
      </c>
      <c r="B91" s="360" t="str">
        <f>iferror(VLOOKUP($A91,'Cálculos Comparativos'!$A:$V,2,0),"")</f>
        <v>GERENTE DE PARCERIAS</v>
      </c>
      <c r="C91" s="360" t="str">
        <f>iferror(VLOOKUP($A91,'Cálculos Comparativos'!$A:$V,9,0)&amp;" "&amp;if(VLOOKUP($A91,'Cálculos Comparativos'!$A:$V,10,0)="Indiferente","",VLOOKUP($A91,'Cálculos Comparativos'!$A:$V,10,0)),"")</f>
        <v>Tático 408</v>
      </c>
      <c r="D91" s="361">
        <f>VLOOKUP(A91,'Cálculos Comparativos'!$A:$V,3,0)</f>
        <v>5345</v>
      </c>
      <c r="E91" s="362">
        <f>IFS($B$5="Mediana",VLOOKUP(A91,'Cálculos Comparativos'!A:V,17,0),$B$5="Menor Salário",VLOOKUP(A91,'Cálculos Comparativos'!A:V,14,0),$B$5="1º Quartil",VLOOKUP(A91,'Cálculos Comparativos'!A:V,15,0),$B$5="Média",VLOOKUP(A91,'Cálculos Comparativos'!A:V,15,0),$B$5="3º Quartil",VLOOKUP(A91,'Cálculos Comparativos'!A:V,18,0),$B$5="Maior Salário",VLOOKUP(A91,'Cálculos Comparativos'!A:V,19,0))</f>
        <v>10973.95</v>
      </c>
      <c r="F91" s="304">
        <f>VLOOKUP(A91,'Cálculos Comparativos'!$A:$V,20,0)</f>
        <v>16628.86</v>
      </c>
      <c r="G91" s="363"/>
      <c r="H91" s="364"/>
      <c r="I91" s="370"/>
      <c r="J91" s="251"/>
      <c r="K91" s="251"/>
      <c r="L91" s="252"/>
      <c r="M91" s="252"/>
      <c r="N91" s="252"/>
    </row>
    <row r="92" ht="13.5" customHeight="1">
      <c r="A92" s="359" t="str">
        <f t="array" ref="A92">INDEX('Cálculos Comparativos'!A:A, MATCH(SMALL('Cálculos Comparativos'!U:U, ROW(A5)), 'Cálculos Comparativos'!U:U, 0))</f>
        <v>30</v>
      </c>
      <c r="B92" s="360" t="str">
        <f>iferror(VLOOKUP($A92,'Cálculos Comparativos'!$A:$V,2,0),"")</f>
        <v>COORDENADOR DE OBRAS</v>
      </c>
      <c r="C92" s="360" t="str">
        <f>iferror(VLOOKUP($A92,'Cálculos Comparativos'!$A:$V,9,0)&amp;" "&amp;if(VLOOKUP($A92,'Cálculos Comparativos'!$A:$V,10,0)="Indiferente","",VLOOKUP($A92,'Cálculos Comparativos'!$A:$V,10,0)),"")</f>
        <v>Tático 209</v>
      </c>
      <c r="D92" s="361">
        <f>VLOOKUP(A92,'Cálculos Comparativos'!$A:$V,3,0)</f>
        <v>8714</v>
      </c>
      <c r="E92" s="362">
        <f>IFS($B$5="Mediana",VLOOKUP(A92,'Cálculos Comparativos'!A:V,17,0),$B$5="Menor Salário",VLOOKUP(A92,'Cálculos Comparativos'!A:V,14,0),$B$5="1º Quartil",VLOOKUP(A92,'Cálculos Comparativos'!A:V,15,0),$B$5="Média",VLOOKUP(A92,'Cálculos Comparativos'!A:V,15,0),$B$5="3º Quartil",VLOOKUP(A92,'Cálculos Comparativos'!A:V,18,0),$B$5="Maior Salário",VLOOKUP(A92,'Cálculos Comparativos'!A:V,19,0))</f>
        <v>16217.22</v>
      </c>
      <c r="F92" s="304">
        <f>VLOOKUP(A92,'Cálculos Comparativos'!$A:$V,20,0)</f>
        <v>23908.2</v>
      </c>
      <c r="G92" s="363"/>
      <c r="H92" s="364"/>
      <c r="I92" s="370"/>
      <c r="J92" s="251"/>
      <c r="K92" s="251"/>
      <c r="L92" s="252"/>
      <c r="M92" s="252"/>
      <c r="N92" s="252"/>
    </row>
    <row r="93" ht="12.75" customHeight="1">
      <c r="A93" s="255"/>
      <c r="B93" s="339"/>
      <c r="C93" s="340"/>
      <c r="D93" s="340"/>
      <c r="E93" s="329"/>
      <c r="F93" s="329"/>
      <c r="G93" s="330"/>
      <c r="H93" s="330"/>
      <c r="I93" s="251"/>
      <c r="J93" s="251"/>
      <c r="K93" s="251"/>
      <c r="L93" s="252"/>
      <c r="M93" s="252"/>
      <c r="N93" s="252"/>
    </row>
    <row r="94" ht="12.75" customHeight="1">
      <c r="A94" s="255"/>
      <c r="B94" s="339"/>
      <c r="C94" s="340"/>
      <c r="D94" s="340"/>
      <c r="E94" s="329"/>
      <c r="F94" s="329"/>
      <c r="G94" s="330"/>
      <c r="H94" s="330"/>
      <c r="I94" s="251"/>
      <c r="J94" s="251"/>
      <c r="K94" s="251"/>
      <c r="L94" s="252"/>
      <c r="M94" s="252"/>
      <c r="N94" s="252"/>
    </row>
    <row r="95" ht="12.75" customHeight="1">
      <c r="A95" s="255"/>
      <c r="B95" s="339"/>
      <c r="C95" s="340"/>
      <c r="D95" s="340"/>
      <c r="E95" s="329"/>
      <c r="F95" s="329"/>
      <c r="G95" s="330"/>
      <c r="H95" s="330"/>
      <c r="I95" s="251"/>
      <c r="J95" s="251"/>
      <c r="K95" s="251"/>
      <c r="L95" s="252"/>
      <c r="M95" s="252"/>
      <c r="N95" s="252"/>
    </row>
    <row r="96" ht="12.75" customHeight="1">
      <c r="A96" s="255"/>
      <c r="B96" s="339"/>
      <c r="C96" s="340"/>
      <c r="D96" s="340"/>
      <c r="E96" s="329"/>
      <c r="F96" s="329"/>
      <c r="G96" s="330"/>
      <c r="H96" s="330"/>
      <c r="I96" s="251"/>
      <c r="J96" s="251"/>
      <c r="K96" s="251"/>
      <c r="L96" s="252"/>
      <c r="M96" s="252"/>
      <c r="N96" s="252"/>
    </row>
    <row r="97" ht="12.75" customHeight="1">
      <c r="A97" s="255"/>
      <c r="B97" s="339"/>
      <c r="C97" s="340"/>
      <c r="D97" s="340"/>
      <c r="E97" s="329"/>
      <c r="F97" s="329"/>
      <c r="G97" s="330"/>
      <c r="H97" s="330"/>
      <c r="I97" s="251"/>
      <c r="J97" s="251"/>
      <c r="K97" s="251"/>
      <c r="L97" s="252"/>
      <c r="M97" s="252"/>
      <c r="N97" s="252"/>
    </row>
    <row r="98" ht="12.75" customHeight="1">
      <c r="A98" s="255"/>
      <c r="B98" s="339"/>
      <c r="C98" s="340"/>
      <c r="D98" s="340"/>
      <c r="E98" s="329"/>
      <c r="F98" s="329"/>
      <c r="G98" s="330"/>
      <c r="H98" s="330"/>
      <c r="I98" s="251"/>
      <c r="J98" s="251"/>
      <c r="K98" s="251"/>
      <c r="L98" s="252"/>
      <c r="M98" s="252"/>
      <c r="N98" s="252"/>
    </row>
    <row r="99" ht="12.75" customHeight="1">
      <c r="A99" s="255"/>
      <c r="B99" s="339"/>
      <c r="C99" s="340"/>
      <c r="D99" s="340"/>
      <c r="E99" s="329"/>
      <c r="F99" s="329"/>
      <c r="G99" s="330"/>
      <c r="H99" s="330"/>
      <c r="I99" s="251"/>
      <c r="J99" s="251"/>
      <c r="K99" s="251"/>
      <c r="L99" s="252"/>
      <c r="M99" s="252"/>
      <c r="N99" s="252"/>
    </row>
    <row r="100" ht="12.75" customHeight="1">
      <c r="A100" s="255"/>
      <c r="B100" s="339"/>
      <c r="C100" s="340"/>
      <c r="D100" s="340"/>
      <c r="E100" s="329"/>
      <c r="F100" s="329"/>
      <c r="G100" s="330"/>
      <c r="H100" s="330"/>
      <c r="I100" s="251"/>
      <c r="J100" s="251"/>
      <c r="K100" s="251"/>
      <c r="L100" s="252"/>
      <c r="M100" s="252"/>
      <c r="N100" s="252"/>
    </row>
    <row r="101" ht="12.75" customHeight="1">
      <c r="A101" s="255"/>
      <c r="B101" s="339"/>
      <c r="C101" s="340"/>
      <c r="D101" s="340"/>
      <c r="E101" s="329"/>
      <c r="F101" s="329"/>
      <c r="G101" s="330"/>
      <c r="H101" s="330"/>
      <c r="I101" s="251"/>
      <c r="J101" s="251"/>
      <c r="K101" s="251"/>
      <c r="L101" s="252"/>
      <c r="M101" s="252"/>
      <c r="N101" s="252"/>
    </row>
    <row r="102" ht="12.75" customHeight="1">
      <c r="A102" s="255"/>
      <c r="B102" s="339"/>
      <c r="C102" s="340"/>
      <c r="D102" s="340"/>
      <c r="E102" s="329"/>
      <c r="F102" s="329"/>
      <c r="G102" s="330"/>
      <c r="H102" s="330"/>
      <c r="I102" s="251"/>
      <c r="J102" s="251"/>
      <c r="K102" s="251"/>
      <c r="L102" s="252"/>
      <c r="M102" s="252"/>
      <c r="N102" s="252"/>
    </row>
    <row r="103" ht="12.75" customHeight="1">
      <c r="A103" s="255"/>
      <c r="B103" s="339"/>
      <c r="C103" s="340"/>
      <c r="D103" s="340"/>
      <c r="E103" s="329"/>
      <c r="F103" s="329"/>
      <c r="G103" s="330"/>
      <c r="H103" s="330"/>
      <c r="I103" s="251"/>
      <c r="J103" s="251"/>
      <c r="K103" s="251"/>
      <c r="L103" s="252"/>
      <c r="M103" s="252"/>
      <c r="N103" s="252"/>
    </row>
    <row r="104" ht="12.75" customHeight="1">
      <c r="A104" s="255"/>
      <c r="B104" s="339"/>
      <c r="C104" s="340"/>
      <c r="D104" s="340"/>
      <c r="E104" s="329"/>
      <c r="F104" s="329"/>
      <c r="G104" s="330"/>
      <c r="H104" s="330"/>
      <c r="I104" s="251"/>
      <c r="J104" s="251"/>
      <c r="K104" s="251"/>
      <c r="L104" s="252"/>
      <c r="M104" s="252"/>
      <c r="N104" s="252"/>
    </row>
    <row r="105" ht="12.75" customHeight="1">
      <c r="L105" s="371"/>
      <c r="M105" s="371"/>
      <c r="N105" s="371"/>
    </row>
    <row r="106" ht="12.75" customHeight="1">
      <c r="L106" s="371"/>
      <c r="M106" s="371"/>
      <c r="N106" s="371"/>
    </row>
    <row r="107" ht="12.75" customHeight="1">
      <c r="L107" s="371"/>
      <c r="M107" s="371"/>
      <c r="N107" s="371"/>
    </row>
    <row r="108" ht="12.75" customHeight="1">
      <c r="L108" s="371"/>
      <c r="M108" s="371"/>
      <c r="N108" s="371"/>
    </row>
    <row r="109" ht="12.75" customHeight="1">
      <c r="L109" s="371"/>
      <c r="M109" s="371"/>
      <c r="N109" s="371"/>
    </row>
    <row r="110" ht="12.75" customHeight="1">
      <c r="L110" s="371"/>
      <c r="M110" s="371"/>
      <c r="N110" s="371"/>
    </row>
    <row r="111" ht="12.75" customHeight="1">
      <c r="L111" s="371"/>
      <c r="M111" s="371"/>
      <c r="N111" s="371"/>
    </row>
    <row r="112" ht="12.75" customHeight="1">
      <c r="L112" s="371"/>
      <c r="M112" s="371"/>
      <c r="N112" s="371"/>
    </row>
    <row r="113" ht="12.75" customHeight="1">
      <c r="L113" s="371"/>
      <c r="M113" s="371"/>
      <c r="N113" s="371"/>
    </row>
    <row r="114" ht="12.75" customHeight="1">
      <c r="A114" s="372"/>
      <c r="L114" s="371"/>
      <c r="M114" s="371"/>
      <c r="N114" s="371"/>
    </row>
    <row r="115" ht="12.75" customHeight="1">
      <c r="L115" s="371"/>
      <c r="M115" s="371"/>
      <c r="N115" s="371"/>
    </row>
    <row r="116" ht="12.75" customHeight="1">
      <c r="L116" s="371"/>
      <c r="M116" s="371"/>
      <c r="N116" s="371"/>
    </row>
    <row r="117" ht="12.75" customHeight="1">
      <c r="L117" s="371"/>
      <c r="M117" s="371"/>
      <c r="N117" s="371"/>
    </row>
    <row r="118" ht="12.75" customHeight="1">
      <c r="L118" s="371"/>
      <c r="M118" s="371"/>
      <c r="N118" s="371"/>
    </row>
    <row r="119" ht="12.75" customHeight="1">
      <c r="L119" s="371"/>
      <c r="M119" s="371"/>
      <c r="N119" s="371"/>
    </row>
    <row r="120" ht="12.75" customHeight="1">
      <c r="L120" s="371"/>
      <c r="M120" s="371"/>
      <c r="N120" s="371"/>
    </row>
    <row r="121" ht="12.75" customHeight="1">
      <c r="L121" s="371"/>
      <c r="M121" s="371"/>
      <c r="N121" s="371"/>
    </row>
    <row r="122" ht="12.75" customHeight="1">
      <c r="L122" s="371"/>
      <c r="M122" s="371"/>
      <c r="N122" s="371"/>
    </row>
    <row r="123" ht="12.75" customHeight="1">
      <c r="L123" s="371"/>
      <c r="M123" s="371"/>
      <c r="N123" s="371"/>
    </row>
    <row r="124" ht="12.75" customHeight="1">
      <c r="L124" s="371"/>
      <c r="M124" s="371"/>
      <c r="N124" s="371"/>
    </row>
    <row r="125" ht="12.75" customHeight="1">
      <c r="L125" s="371"/>
      <c r="M125" s="371"/>
      <c r="N125" s="371"/>
    </row>
    <row r="126" ht="12.75" customHeight="1">
      <c r="L126" s="371"/>
      <c r="M126" s="371"/>
      <c r="N126" s="371"/>
    </row>
    <row r="127" ht="12.75" customHeight="1">
      <c r="L127" s="371"/>
      <c r="M127" s="371"/>
      <c r="N127" s="371"/>
    </row>
    <row r="128" ht="12.75" customHeight="1">
      <c r="L128" s="371"/>
      <c r="M128" s="371"/>
      <c r="N128" s="371"/>
    </row>
    <row r="129" ht="12.75" customHeight="1">
      <c r="L129" s="371"/>
      <c r="M129" s="371"/>
      <c r="N129" s="371"/>
    </row>
    <row r="130" ht="12.75" customHeight="1">
      <c r="L130" s="371"/>
      <c r="M130" s="371"/>
      <c r="N130" s="371"/>
    </row>
    <row r="131" ht="12.75" customHeight="1">
      <c r="L131" s="371"/>
      <c r="M131" s="371"/>
      <c r="N131" s="371"/>
    </row>
    <row r="132" ht="12.75" customHeight="1">
      <c r="L132" s="371"/>
      <c r="M132" s="371"/>
      <c r="N132" s="371"/>
    </row>
    <row r="133" ht="12.75" customHeight="1">
      <c r="L133" s="371"/>
      <c r="M133" s="371"/>
      <c r="N133" s="371"/>
    </row>
    <row r="134" ht="12.75" customHeight="1">
      <c r="L134" s="371"/>
      <c r="M134" s="371"/>
      <c r="N134" s="371"/>
    </row>
    <row r="135" ht="12.75" customHeight="1">
      <c r="L135" s="371"/>
      <c r="M135" s="371"/>
      <c r="N135" s="371"/>
    </row>
    <row r="136" ht="12.75" customHeight="1">
      <c r="L136" s="371"/>
      <c r="M136" s="371"/>
      <c r="N136" s="371"/>
    </row>
    <row r="137" ht="12.75" customHeight="1">
      <c r="L137" s="371"/>
      <c r="M137" s="371"/>
      <c r="N137" s="371"/>
    </row>
    <row r="138" ht="12.75" customHeight="1">
      <c r="L138" s="371"/>
      <c r="M138" s="371"/>
      <c r="N138" s="371"/>
    </row>
    <row r="139" ht="12.75" customHeight="1">
      <c r="L139" s="371"/>
      <c r="M139" s="371"/>
      <c r="N139" s="371"/>
    </row>
    <row r="140" ht="12.75" customHeight="1">
      <c r="L140" s="371"/>
      <c r="M140" s="371"/>
      <c r="N140" s="371"/>
    </row>
    <row r="141" ht="12.75" customHeight="1">
      <c r="L141" s="371"/>
      <c r="M141" s="371"/>
      <c r="N141" s="371"/>
    </row>
    <row r="142" ht="12.75" customHeight="1">
      <c r="L142" s="371"/>
      <c r="M142" s="371"/>
      <c r="N142" s="371"/>
    </row>
    <row r="143" ht="12.75" customHeight="1">
      <c r="L143" s="371"/>
      <c r="M143" s="371"/>
      <c r="N143" s="371"/>
    </row>
    <row r="144" ht="12.75" customHeight="1">
      <c r="L144" s="371"/>
      <c r="M144" s="371"/>
      <c r="N144" s="371"/>
    </row>
    <row r="145" ht="12.75" customHeight="1">
      <c r="L145" s="371"/>
      <c r="M145" s="371"/>
      <c r="N145" s="371"/>
    </row>
    <row r="146" ht="12.75" customHeight="1">
      <c r="L146" s="371"/>
      <c r="M146" s="371"/>
      <c r="N146" s="371"/>
    </row>
    <row r="147" ht="12.75" customHeight="1">
      <c r="L147" s="371"/>
      <c r="M147" s="371"/>
      <c r="N147" s="371"/>
    </row>
    <row r="148" ht="12.75" customHeight="1">
      <c r="L148" s="371"/>
      <c r="M148" s="371"/>
      <c r="N148" s="371"/>
    </row>
    <row r="149" ht="12.75" customHeight="1">
      <c r="L149" s="371"/>
      <c r="M149" s="371"/>
      <c r="N149" s="371"/>
    </row>
    <row r="150" ht="12.75" customHeight="1">
      <c r="L150" s="371"/>
      <c r="M150" s="371"/>
      <c r="N150" s="371"/>
    </row>
    <row r="151" ht="12.75" customHeight="1">
      <c r="L151" s="371"/>
      <c r="M151" s="371"/>
      <c r="N151" s="371"/>
    </row>
    <row r="152" ht="12.75" customHeight="1">
      <c r="L152" s="371"/>
      <c r="M152" s="371"/>
      <c r="N152" s="371"/>
    </row>
    <row r="153" ht="12.75" customHeight="1">
      <c r="L153" s="371"/>
      <c r="M153" s="371"/>
      <c r="N153" s="371"/>
    </row>
    <row r="154" ht="12.75" customHeight="1">
      <c r="L154" s="371"/>
      <c r="M154" s="371"/>
      <c r="N154" s="371"/>
    </row>
    <row r="155" ht="12.75" customHeight="1">
      <c r="L155" s="371"/>
      <c r="M155" s="371"/>
      <c r="N155" s="371"/>
    </row>
    <row r="156" ht="12.75" customHeight="1">
      <c r="L156" s="371"/>
      <c r="M156" s="371"/>
      <c r="N156" s="371"/>
    </row>
    <row r="157" ht="12.75" customHeight="1">
      <c r="L157" s="371"/>
      <c r="M157" s="371"/>
      <c r="N157" s="371"/>
    </row>
    <row r="158" ht="12.75" customHeight="1">
      <c r="L158" s="371"/>
      <c r="M158" s="371"/>
      <c r="N158" s="371"/>
    </row>
    <row r="159" ht="12.75" customHeight="1">
      <c r="L159" s="371"/>
      <c r="M159" s="371"/>
      <c r="N159" s="371"/>
    </row>
    <row r="160" ht="12.75" customHeight="1">
      <c r="L160" s="371"/>
      <c r="M160" s="371"/>
      <c r="N160" s="371"/>
    </row>
    <row r="161" ht="12.75" customHeight="1">
      <c r="L161" s="371"/>
      <c r="M161" s="371"/>
      <c r="N161" s="371"/>
    </row>
    <row r="162" ht="12.75" customHeight="1">
      <c r="L162" s="371"/>
      <c r="M162" s="371"/>
      <c r="N162" s="371"/>
    </row>
    <row r="163" ht="12.75" customHeight="1">
      <c r="L163" s="371"/>
      <c r="M163" s="371"/>
      <c r="N163" s="371"/>
    </row>
    <row r="164" ht="12.75" customHeight="1">
      <c r="L164" s="371"/>
      <c r="M164" s="371"/>
      <c r="N164" s="371"/>
    </row>
    <row r="165" ht="12.75" customHeight="1">
      <c r="L165" s="371"/>
      <c r="M165" s="371"/>
      <c r="N165" s="371"/>
    </row>
    <row r="166" ht="12.75" customHeight="1">
      <c r="L166" s="371"/>
      <c r="M166" s="371"/>
      <c r="N166" s="371"/>
    </row>
    <row r="167" ht="12.75" customHeight="1">
      <c r="L167" s="371"/>
      <c r="M167" s="371"/>
      <c r="N167" s="371"/>
    </row>
    <row r="168" ht="12.75" customHeight="1">
      <c r="L168" s="371"/>
      <c r="M168" s="371"/>
      <c r="N168" s="371"/>
    </row>
    <row r="169" ht="12.75" customHeight="1">
      <c r="L169" s="371"/>
      <c r="M169" s="371"/>
      <c r="N169" s="371"/>
    </row>
    <row r="170" ht="12.75" customHeight="1">
      <c r="L170" s="371"/>
      <c r="M170" s="371"/>
      <c r="N170" s="371"/>
    </row>
    <row r="171" ht="12.75" customHeight="1">
      <c r="L171" s="371"/>
      <c r="M171" s="371"/>
      <c r="N171" s="371"/>
    </row>
    <row r="172" ht="12.75" customHeight="1">
      <c r="L172" s="371"/>
      <c r="M172" s="371"/>
      <c r="N172" s="371"/>
    </row>
    <row r="173" ht="12.75" customHeight="1">
      <c r="L173" s="371"/>
      <c r="M173" s="371"/>
      <c r="N173" s="371"/>
    </row>
    <row r="174" ht="12.75" customHeight="1">
      <c r="L174" s="371"/>
      <c r="M174" s="371"/>
      <c r="N174" s="371"/>
    </row>
    <row r="175" ht="12.75" customHeight="1">
      <c r="L175" s="371"/>
      <c r="M175" s="371"/>
      <c r="N175" s="371"/>
    </row>
    <row r="176" ht="12.75" customHeight="1">
      <c r="L176" s="371"/>
      <c r="M176" s="371"/>
      <c r="N176" s="371"/>
    </row>
    <row r="177" ht="12.75" customHeight="1">
      <c r="L177" s="371"/>
      <c r="M177" s="371"/>
      <c r="N177" s="371"/>
    </row>
    <row r="178" ht="12.75" customHeight="1">
      <c r="L178" s="371"/>
      <c r="M178" s="371"/>
      <c r="N178" s="371"/>
    </row>
    <row r="179" ht="12.75" customHeight="1">
      <c r="L179" s="371"/>
      <c r="M179" s="371"/>
      <c r="N179" s="371"/>
    </row>
    <row r="180" ht="12.75" customHeight="1">
      <c r="L180" s="371"/>
      <c r="M180" s="371"/>
      <c r="N180" s="371"/>
    </row>
    <row r="181" ht="12.75" customHeight="1">
      <c r="L181" s="371"/>
      <c r="M181" s="371"/>
      <c r="N181" s="371"/>
    </row>
    <row r="182" ht="12.75" customHeight="1">
      <c r="L182" s="371"/>
      <c r="M182" s="371"/>
      <c r="N182" s="371"/>
    </row>
    <row r="183" ht="12.75" customHeight="1">
      <c r="L183" s="371"/>
      <c r="M183" s="371"/>
      <c r="N183" s="371"/>
    </row>
    <row r="184" ht="12.75" customHeight="1">
      <c r="L184" s="371"/>
      <c r="M184" s="371"/>
      <c r="N184" s="371"/>
    </row>
    <row r="185" ht="12.75" customHeight="1">
      <c r="L185" s="371"/>
      <c r="M185" s="371"/>
      <c r="N185" s="371"/>
    </row>
    <row r="186" ht="12.75" customHeight="1">
      <c r="L186" s="371"/>
      <c r="M186" s="371"/>
      <c r="N186" s="371"/>
    </row>
    <row r="187" ht="12.75" customHeight="1">
      <c r="L187" s="371"/>
      <c r="M187" s="371"/>
      <c r="N187" s="371"/>
    </row>
    <row r="188" ht="12.75" customHeight="1">
      <c r="L188" s="371"/>
      <c r="M188" s="371"/>
      <c r="N188" s="371"/>
    </row>
    <row r="189" ht="12.75" customHeight="1">
      <c r="L189" s="371"/>
      <c r="M189" s="371"/>
      <c r="N189" s="371"/>
    </row>
    <row r="190" ht="12.75" customHeight="1">
      <c r="L190" s="371"/>
      <c r="M190" s="371"/>
      <c r="N190" s="371"/>
    </row>
    <row r="191" ht="12.75" customHeight="1">
      <c r="L191" s="371"/>
      <c r="M191" s="371"/>
      <c r="N191" s="371"/>
    </row>
    <row r="192" ht="12.75" customHeight="1">
      <c r="L192" s="371"/>
      <c r="M192" s="371"/>
      <c r="N192" s="371"/>
    </row>
    <row r="193" ht="12.75" customHeight="1">
      <c r="L193" s="371"/>
      <c r="M193" s="371"/>
      <c r="N193" s="371"/>
    </row>
    <row r="194" ht="12.75" customHeight="1">
      <c r="L194" s="371"/>
      <c r="M194" s="371"/>
      <c r="N194" s="371"/>
    </row>
    <row r="195" ht="12.75" customHeight="1">
      <c r="L195" s="371"/>
      <c r="M195" s="371"/>
      <c r="N195" s="371"/>
    </row>
    <row r="196" ht="12.75" customHeight="1">
      <c r="L196" s="371"/>
      <c r="M196" s="371"/>
      <c r="N196" s="371"/>
    </row>
    <row r="197" ht="12.75" customHeight="1">
      <c r="L197" s="371"/>
      <c r="M197" s="371"/>
      <c r="N197" s="371"/>
    </row>
    <row r="198" ht="12.75" customHeight="1">
      <c r="L198" s="371"/>
      <c r="M198" s="371"/>
      <c r="N198" s="371"/>
    </row>
    <row r="199" ht="12.75" customHeight="1">
      <c r="L199" s="371"/>
      <c r="M199" s="371"/>
      <c r="N199" s="371"/>
    </row>
    <row r="200" ht="12.75" customHeight="1">
      <c r="L200" s="371"/>
      <c r="M200" s="371"/>
      <c r="N200" s="371"/>
    </row>
    <row r="201" ht="12.75" customHeight="1">
      <c r="L201" s="371"/>
      <c r="M201" s="371"/>
      <c r="N201" s="371"/>
    </row>
    <row r="202" ht="12.75" customHeight="1">
      <c r="L202" s="371"/>
      <c r="M202" s="371"/>
      <c r="N202" s="371"/>
    </row>
    <row r="203" ht="12.75" customHeight="1">
      <c r="L203" s="371"/>
      <c r="M203" s="371"/>
      <c r="N203" s="371"/>
    </row>
    <row r="204" ht="12.75" customHeight="1">
      <c r="L204" s="371"/>
      <c r="M204" s="371"/>
      <c r="N204" s="371"/>
    </row>
    <row r="205" ht="12.75" customHeight="1">
      <c r="L205" s="371"/>
      <c r="M205" s="371"/>
      <c r="N205" s="371"/>
    </row>
    <row r="206" ht="12.75" customHeight="1">
      <c r="L206" s="371"/>
      <c r="M206" s="371"/>
      <c r="N206" s="371"/>
    </row>
    <row r="207" ht="12.75" customHeight="1">
      <c r="L207" s="371"/>
      <c r="M207" s="371"/>
      <c r="N207" s="371"/>
    </row>
    <row r="208" ht="12.75" customHeight="1">
      <c r="L208" s="371"/>
      <c r="M208" s="371"/>
      <c r="N208" s="371"/>
    </row>
    <row r="209" ht="12.75" customHeight="1">
      <c r="L209" s="371"/>
      <c r="M209" s="371"/>
      <c r="N209" s="371"/>
    </row>
    <row r="210" ht="12.75" customHeight="1">
      <c r="L210" s="371"/>
      <c r="M210" s="371"/>
      <c r="N210" s="371"/>
    </row>
    <row r="211" ht="12.75" customHeight="1">
      <c r="L211" s="371"/>
      <c r="M211" s="371"/>
      <c r="N211" s="371"/>
    </row>
    <row r="212" ht="12.75" customHeight="1">
      <c r="L212" s="371"/>
      <c r="M212" s="371"/>
      <c r="N212" s="371"/>
    </row>
    <row r="213" ht="12.75" customHeight="1">
      <c r="L213" s="371"/>
      <c r="M213" s="371"/>
      <c r="N213" s="371"/>
    </row>
    <row r="214" ht="12.75" customHeight="1">
      <c r="L214" s="371"/>
      <c r="M214" s="371"/>
      <c r="N214" s="371"/>
    </row>
    <row r="215" ht="12.75" customHeight="1">
      <c r="L215" s="371"/>
      <c r="M215" s="371"/>
      <c r="N215" s="371"/>
    </row>
    <row r="216" ht="12.75" customHeight="1">
      <c r="L216" s="371"/>
      <c r="M216" s="371"/>
      <c r="N216" s="371"/>
    </row>
    <row r="217" ht="12.75" customHeight="1">
      <c r="L217" s="371"/>
      <c r="M217" s="371"/>
      <c r="N217" s="371"/>
    </row>
    <row r="218" ht="12.75" customHeight="1">
      <c r="L218" s="371"/>
      <c r="M218" s="371"/>
      <c r="N218" s="371"/>
    </row>
    <row r="219" ht="12.75" customHeight="1">
      <c r="L219" s="371"/>
      <c r="M219" s="371"/>
      <c r="N219" s="371"/>
    </row>
    <row r="220" ht="12.75" customHeight="1">
      <c r="L220" s="371"/>
      <c r="M220" s="371"/>
      <c r="N220" s="371"/>
    </row>
    <row r="221" ht="12.75" customHeight="1">
      <c r="L221" s="371"/>
      <c r="M221" s="371"/>
      <c r="N221" s="371"/>
    </row>
    <row r="222" ht="12.75" customHeight="1">
      <c r="L222" s="371"/>
      <c r="M222" s="371"/>
      <c r="N222" s="371"/>
    </row>
    <row r="223" ht="12.75" customHeight="1">
      <c r="L223" s="371"/>
      <c r="M223" s="371"/>
      <c r="N223" s="371"/>
    </row>
    <row r="224" ht="12.75" customHeight="1">
      <c r="L224" s="371"/>
      <c r="M224" s="371"/>
      <c r="N224" s="371"/>
    </row>
    <row r="225" ht="12.75" customHeight="1">
      <c r="L225" s="371"/>
      <c r="M225" s="371"/>
      <c r="N225" s="371"/>
    </row>
    <row r="226" ht="12.75" customHeight="1">
      <c r="L226" s="371"/>
      <c r="M226" s="371"/>
      <c r="N226" s="371"/>
    </row>
    <row r="227" ht="12.75" customHeight="1">
      <c r="L227" s="371"/>
      <c r="M227" s="371"/>
      <c r="N227" s="371"/>
    </row>
    <row r="228" ht="12.75" customHeight="1">
      <c r="L228" s="371"/>
      <c r="M228" s="371"/>
      <c r="N228" s="371"/>
    </row>
    <row r="229" ht="12.75" customHeight="1">
      <c r="L229" s="371"/>
      <c r="M229" s="371"/>
      <c r="N229" s="371"/>
    </row>
    <row r="230" ht="12.75" customHeight="1">
      <c r="L230" s="371"/>
      <c r="M230" s="371"/>
      <c r="N230" s="371"/>
    </row>
    <row r="231" ht="12.75" customHeight="1">
      <c r="L231" s="371"/>
      <c r="M231" s="371"/>
      <c r="N231" s="371"/>
    </row>
    <row r="232" ht="12.75" customHeight="1">
      <c r="L232" s="371"/>
      <c r="M232" s="371"/>
      <c r="N232" s="371"/>
    </row>
    <row r="233" ht="12.75" customHeight="1">
      <c r="L233" s="371"/>
      <c r="M233" s="371"/>
      <c r="N233" s="371"/>
    </row>
    <row r="234" ht="12.75" customHeight="1">
      <c r="L234" s="371"/>
      <c r="M234" s="371"/>
      <c r="N234" s="371"/>
    </row>
    <row r="235" ht="12.75" customHeight="1">
      <c r="L235" s="371"/>
      <c r="M235" s="371"/>
      <c r="N235" s="371"/>
    </row>
    <row r="236" ht="12.75" customHeight="1">
      <c r="L236" s="371"/>
      <c r="M236" s="371"/>
      <c r="N236" s="371"/>
    </row>
    <row r="237" ht="12.75" customHeight="1">
      <c r="L237" s="371"/>
      <c r="M237" s="371"/>
      <c r="N237" s="371"/>
    </row>
    <row r="238" ht="12.75" customHeight="1">
      <c r="L238" s="371"/>
      <c r="M238" s="371"/>
      <c r="N238" s="371"/>
    </row>
    <row r="239" ht="12.75" customHeight="1">
      <c r="L239" s="371"/>
      <c r="M239" s="371"/>
      <c r="N239" s="371"/>
    </row>
    <row r="240" ht="12.75" customHeight="1">
      <c r="L240" s="371"/>
      <c r="M240" s="371"/>
      <c r="N240" s="371"/>
    </row>
    <row r="241" ht="12.75" customHeight="1">
      <c r="L241" s="371"/>
      <c r="M241" s="371"/>
      <c r="N241" s="371"/>
    </row>
    <row r="242" ht="12.75" customHeight="1">
      <c r="L242" s="371"/>
      <c r="M242" s="371"/>
      <c r="N242" s="371"/>
    </row>
    <row r="243" ht="12.75" customHeight="1">
      <c r="L243" s="371"/>
      <c r="M243" s="371"/>
      <c r="N243" s="371"/>
    </row>
    <row r="244" ht="12.75" customHeight="1">
      <c r="L244" s="371"/>
      <c r="M244" s="371"/>
      <c r="N244" s="371"/>
    </row>
    <row r="245" ht="12.75" customHeight="1">
      <c r="L245" s="371"/>
      <c r="M245" s="371"/>
      <c r="N245" s="371"/>
    </row>
    <row r="246" ht="12.75" customHeight="1">
      <c r="L246" s="371"/>
      <c r="M246" s="371"/>
      <c r="N246" s="371"/>
    </row>
    <row r="247" ht="12.75" customHeight="1">
      <c r="L247" s="371"/>
      <c r="M247" s="371"/>
      <c r="N247" s="371"/>
    </row>
    <row r="248" ht="12.75" customHeight="1">
      <c r="L248" s="371"/>
      <c r="M248" s="371"/>
      <c r="N248" s="371"/>
    </row>
    <row r="249" ht="12.75" customHeight="1">
      <c r="L249" s="371"/>
      <c r="M249" s="371"/>
      <c r="N249" s="371"/>
    </row>
    <row r="250" ht="12.75" customHeight="1">
      <c r="L250" s="371"/>
      <c r="M250" s="371"/>
      <c r="N250" s="371"/>
    </row>
    <row r="251" ht="12.75" customHeight="1">
      <c r="L251" s="371"/>
      <c r="M251" s="371"/>
      <c r="N251" s="371"/>
    </row>
    <row r="252" ht="12.75" customHeight="1">
      <c r="L252" s="371"/>
      <c r="M252" s="371"/>
      <c r="N252" s="371"/>
    </row>
    <row r="253" ht="12.75" customHeight="1">
      <c r="L253" s="371"/>
      <c r="M253" s="371"/>
      <c r="N253" s="371"/>
    </row>
    <row r="254" ht="12.75" customHeight="1">
      <c r="L254" s="371"/>
      <c r="M254" s="371"/>
      <c r="N254" s="371"/>
    </row>
    <row r="255" ht="12.75" customHeight="1">
      <c r="L255" s="371"/>
      <c r="M255" s="371"/>
      <c r="N255" s="371"/>
    </row>
    <row r="256" ht="12.75" customHeight="1">
      <c r="L256" s="371"/>
      <c r="M256" s="371"/>
      <c r="N256" s="371"/>
    </row>
    <row r="257" ht="12.75" customHeight="1">
      <c r="L257" s="371"/>
      <c r="M257" s="371"/>
      <c r="N257" s="371"/>
    </row>
    <row r="258" ht="12.75" customHeight="1">
      <c r="L258" s="371"/>
      <c r="M258" s="371"/>
      <c r="N258" s="371"/>
    </row>
    <row r="259" ht="12.75" customHeight="1">
      <c r="L259" s="371"/>
      <c r="M259" s="371"/>
      <c r="N259" s="371"/>
    </row>
    <row r="260" ht="12.75" customHeight="1">
      <c r="L260" s="371"/>
      <c r="M260" s="371"/>
      <c r="N260" s="371"/>
    </row>
    <row r="261" ht="12.75" customHeight="1">
      <c r="L261" s="371"/>
      <c r="M261" s="371"/>
      <c r="N261" s="371"/>
    </row>
    <row r="262" ht="12.75" customHeight="1">
      <c r="L262" s="371"/>
      <c r="M262" s="371"/>
      <c r="N262" s="371"/>
    </row>
    <row r="263" ht="12.75" customHeight="1">
      <c r="L263" s="371"/>
      <c r="M263" s="371"/>
      <c r="N263" s="371"/>
    </row>
    <row r="264" ht="12.75" customHeight="1">
      <c r="L264" s="371"/>
      <c r="M264" s="371"/>
      <c r="N264" s="371"/>
    </row>
    <row r="265" ht="12.75" customHeight="1">
      <c r="L265" s="371"/>
      <c r="M265" s="371"/>
      <c r="N265" s="371"/>
    </row>
    <row r="266" ht="12.75" customHeight="1">
      <c r="L266" s="371"/>
      <c r="M266" s="371"/>
      <c r="N266" s="371"/>
    </row>
    <row r="267" ht="12.75" customHeight="1">
      <c r="L267" s="371"/>
      <c r="M267" s="371"/>
      <c r="N267" s="371"/>
    </row>
    <row r="268" ht="12.75" customHeight="1">
      <c r="L268" s="371"/>
      <c r="M268" s="371"/>
      <c r="N268" s="371"/>
    </row>
    <row r="269" ht="12.75" customHeight="1">
      <c r="L269" s="371"/>
      <c r="M269" s="371"/>
      <c r="N269" s="371"/>
    </row>
    <row r="270" ht="12.75" customHeight="1">
      <c r="L270" s="371"/>
      <c r="M270" s="371"/>
      <c r="N270" s="371"/>
    </row>
    <row r="271" ht="12.75" customHeight="1">
      <c r="L271" s="371"/>
      <c r="M271" s="371"/>
      <c r="N271" s="371"/>
    </row>
    <row r="272" ht="12.75" customHeight="1">
      <c r="L272" s="371"/>
      <c r="M272" s="371"/>
      <c r="N272" s="371"/>
    </row>
    <row r="273" ht="12.75" customHeight="1">
      <c r="L273" s="371"/>
      <c r="M273" s="371"/>
      <c r="N273" s="371"/>
    </row>
    <row r="274" ht="12.75" customHeight="1">
      <c r="L274" s="371"/>
      <c r="M274" s="371"/>
      <c r="N274" s="371"/>
    </row>
    <row r="275" ht="12.75" customHeight="1">
      <c r="L275" s="371"/>
      <c r="M275" s="371"/>
      <c r="N275" s="371"/>
    </row>
    <row r="276" ht="12.75" customHeight="1">
      <c r="L276" s="371"/>
      <c r="M276" s="371"/>
      <c r="N276" s="371"/>
    </row>
    <row r="277" ht="12.75" customHeight="1">
      <c r="L277" s="371"/>
      <c r="M277" s="371"/>
      <c r="N277" s="371"/>
    </row>
    <row r="278" ht="12.75" customHeight="1">
      <c r="L278" s="371"/>
      <c r="M278" s="371"/>
      <c r="N278" s="371"/>
    </row>
    <row r="279" ht="12.75" customHeight="1">
      <c r="L279" s="371"/>
      <c r="M279" s="371"/>
      <c r="N279" s="371"/>
    </row>
    <row r="280" ht="12.75" customHeight="1">
      <c r="L280" s="371"/>
      <c r="M280" s="371"/>
      <c r="N280" s="371"/>
    </row>
    <row r="281" ht="12.75" customHeight="1">
      <c r="L281" s="371"/>
      <c r="M281" s="371"/>
      <c r="N281" s="371"/>
    </row>
  </sheetData>
  <mergeCells count="53">
    <mergeCell ref="B3:E4"/>
    <mergeCell ref="H3:J3"/>
    <mergeCell ref="H4:J4"/>
    <mergeCell ref="B5:C6"/>
    <mergeCell ref="H5:J5"/>
    <mergeCell ref="H6:J6"/>
    <mergeCell ref="H7:J7"/>
    <mergeCell ref="D17:D21"/>
    <mergeCell ref="D24:D25"/>
    <mergeCell ref="D26:D30"/>
    <mergeCell ref="H8:J8"/>
    <mergeCell ref="H9:J9"/>
    <mergeCell ref="B12:D13"/>
    <mergeCell ref="F12:J13"/>
    <mergeCell ref="D15:D16"/>
    <mergeCell ref="J15:J16"/>
    <mergeCell ref="J17:J21"/>
    <mergeCell ref="J24:J25"/>
    <mergeCell ref="J26:J30"/>
    <mergeCell ref="F35:G35"/>
    <mergeCell ref="H35:I35"/>
    <mergeCell ref="F36:G36"/>
    <mergeCell ref="H36:I36"/>
    <mergeCell ref="H37:I37"/>
    <mergeCell ref="F37:G37"/>
    <mergeCell ref="F38:G38"/>
    <mergeCell ref="H38:I38"/>
    <mergeCell ref="F39:G39"/>
    <mergeCell ref="H39:I39"/>
    <mergeCell ref="F40:G40"/>
    <mergeCell ref="H40:I40"/>
    <mergeCell ref="F41:G41"/>
    <mergeCell ref="H41:I41"/>
    <mergeCell ref="F42:G42"/>
    <mergeCell ref="H42:I42"/>
    <mergeCell ref="B49:C50"/>
    <mergeCell ref="D52:E52"/>
    <mergeCell ref="D53:E53"/>
    <mergeCell ref="H67:I68"/>
    <mergeCell ref="B72:J72"/>
    <mergeCell ref="E74:F74"/>
    <mergeCell ref="G74:H74"/>
    <mergeCell ref="I74:J74"/>
    <mergeCell ref="B84:J84"/>
    <mergeCell ref="E86:F86"/>
    <mergeCell ref="G86:H86"/>
    <mergeCell ref="D54:E54"/>
    <mergeCell ref="D55:E55"/>
    <mergeCell ref="D56:E56"/>
    <mergeCell ref="D57:E57"/>
    <mergeCell ref="D58:E58"/>
    <mergeCell ref="D59:E59"/>
    <mergeCell ref="G67:G68"/>
  </mergeCells>
  <dataValidations>
    <dataValidation type="list" allowBlank="1" showErrorMessage="1" sqref="B49">
      <formula1>"Operacional,Tático,Estratégico"</formula1>
    </dataValidation>
    <dataValidation type="list" allowBlank="1" showErrorMessage="1" sqref="B5">
      <formula1>"Mediana,Menor Salário,1º Quartil,Média,3º Quartil,Maior Salário"</formula1>
    </dataValidation>
  </dataValidations>
  <printOptions/>
  <pageMargins bottom="0.787401575" footer="0.0" header="0.0" left="0.511811024" right="0.511811024" top="0.7874015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3.88"/>
    <col customWidth="1" min="2" max="2" width="38.25"/>
    <col customWidth="1" min="3" max="3" width="27.88"/>
    <col customWidth="1" min="4" max="6" width="12.5"/>
    <col customWidth="1" min="8" max="8" width="14.63"/>
    <col customWidth="1" min="12" max="12" width="10.5"/>
  </cols>
  <sheetData>
    <row r="1">
      <c r="E1" s="373" t="s">
        <v>400</v>
      </c>
      <c r="F1" s="281"/>
      <c r="G1" s="281"/>
      <c r="H1" s="281"/>
      <c r="I1" s="281"/>
      <c r="J1" s="281"/>
      <c r="K1" s="281"/>
      <c r="L1" s="281"/>
      <c r="M1" s="374"/>
      <c r="N1" s="371"/>
      <c r="P1" s="375" t="s">
        <v>413</v>
      </c>
      <c r="Q1" s="375">
        <v>1.0</v>
      </c>
      <c r="R1" s="376"/>
      <c r="S1" s="371"/>
      <c r="T1" s="371"/>
      <c r="U1" s="371"/>
    </row>
    <row r="2">
      <c r="M2" s="371"/>
      <c r="N2" s="371"/>
      <c r="P2" s="375" t="s">
        <v>122</v>
      </c>
      <c r="Q2" s="375">
        <v>2.0</v>
      </c>
      <c r="R2" s="376"/>
      <c r="S2" s="371"/>
      <c r="T2" s="371"/>
      <c r="U2" s="371"/>
    </row>
    <row r="3">
      <c r="B3" s="253" t="s">
        <v>386</v>
      </c>
      <c r="E3" s="377"/>
      <c r="M3" s="378"/>
      <c r="N3" s="371"/>
      <c r="P3" s="375" t="s">
        <v>69</v>
      </c>
      <c r="Q3" s="375">
        <v>3.0</v>
      </c>
      <c r="R3" s="371"/>
      <c r="S3" s="371"/>
      <c r="T3" s="371"/>
      <c r="U3" s="371"/>
    </row>
    <row r="4">
      <c r="E4" s="379">
        <f>$D$28</f>
        <v>9</v>
      </c>
      <c r="M4" s="380"/>
      <c r="N4" s="371"/>
      <c r="P4" s="375" t="s">
        <v>76</v>
      </c>
      <c r="Q4" s="375">
        <v>4.0</v>
      </c>
      <c r="R4" s="371"/>
      <c r="S4" s="371"/>
      <c r="T4" s="371"/>
      <c r="U4" s="371"/>
    </row>
    <row r="5">
      <c r="B5" s="260" t="str">
        <f>'Painel Geral'!$B$5</f>
        <v>Mediana</v>
      </c>
      <c r="D5" s="381"/>
      <c r="N5" s="371"/>
      <c r="P5" s="375" t="s">
        <v>22</v>
      </c>
      <c r="Q5" s="375">
        <v>5.0</v>
      </c>
      <c r="R5" s="376"/>
      <c r="S5" s="371"/>
      <c r="T5" s="371"/>
      <c r="U5" s="371"/>
    </row>
    <row r="6">
      <c r="D6" s="381"/>
      <c r="E6" s="382" t="s">
        <v>401</v>
      </c>
      <c r="M6" s="383"/>
      <c r="N6" s="371"/>
      <c r="P6" s="375" t="s">
        <v>54</v>
      </c>
      <c r="Q6" s="375">
        <v>6.0</v>
      </c>
      <c r="R6" s="371"/>
      <c r="S6" s="371"/>
      <c r="T6" s="371"/>
      <c r="U6" s="371"/>
    </row>
    <row r="7">
      <c r="B7" s="384" t="s">
        <v>414</v>
      </c>
      <c r="D7" s="385"/>
      <c r="N7" s="371"/>
      <c r="P7" s="375" t="s">
        <v>415</v>
      </c>
      <c r="Q7" s="375">
        <v>7.0</v>
      </c>
      <c r="R7" s="376"/>
      <c r="S7" s="371"/>
      <c r="T7" s="371"/>
      <c r="U7" s="371"/>
    </row>
    <row r="8">
      <c r="N8" s="371"/>
      <c r="P8" s="375" t="s">
        <v>31</v>
      </c>
      <c r="Q8" s="375">
        <v>8.0</v>
      </c>
      <c r="R8" s="376"/>
      <c r="S8" s="371"/>
      <c r="T8" s="371"/>
      <c r="U8" s="371"/>
    </row>
    <row r="9">
      <c r="B9" s="386" t="s">
        <v>416</v>
      </c>
      <c r="N9" s="371"/>
      <c r="P9" s="375" t="s">
        <v>417</v>
      </c>
      <c r="Q9" s="375">
        <v>9.0</v>
      </c>
      <c r="R9" s="376"/>
      <c r="S9" s="371"/>
      <c r="T9" s="371"/>
      <c r="U9" s="371"/>
    </row>
    <row r="10">
      <c r="B10" s="387" t="s">
        <v>418</v>
      </c>
      <c r="M10" s="378"/>
      <c r="N10" s="371"/>
      <c r="P10" s="375" t="s">
        <v>50</v>
      </c>
      <c r="Q10" s="375">
        <v>10.0</v>
      </c>
      <c r="R10" s="376"/>
      <c r="S10" s="371"/>
      <c r="T10" s="371"/>
      <c r="U10" s="371"/>
    </row>
    <row r="11">
      <c r="B11" s="386" t="s">
        <v>419</v>
      </c>
      <c r="E11" s="388">
        <f>IF(SUM(C22:C24)&gt;SUM(C25:C27),SUM(C22:C24),SUM(C25:C27))</f>
        <v>0.5555555556</v>
      </c>
      <c r="M11" s="389"/>
      <c r="N11" s="371"/>
      <c r="O11" s="371"/>
      <c r="P11" s="371"/>
      <c r="Q11" s="371"/>
      <c r="R11" s="371"/>
      <c r="S11" s="371"/>
      <c r="T11" s="371"/>
      <c r="U11" s="371"/>
    </row>
    <row r="12">
      <c r="B12" s="390"/>
      <c r="C12" s="390"/>
      <c r="N12" s="371"/>
      <c r="O12" s="371"/>
      <c r="P12" s="376"/>
      <c r="Q12" s="371"/>
      <c r="R12" s="371"/>
      <c r="S12" s="371"/>
      <c r="T12" s="371"/>
      <c r="U12" s="371"/>
    </row>
    <row r="13">
      <c r="B13" s="391" t="s">
        <v>413</v>
      </c>
      <c r="E13" s="382" t="str">
        <f>IF(SUM(C22:C24)&gt;SUM(C25:C27),"dos cargos abaixo "&amp;IF(B5="Mediana","da ",IF(B5="Média","da ","do "))&amp;B5,"dos cargos acima "&amp;IF(B5="Mediana","da ",IF(B5="Média","da ","do "))&amp;B5)</f>
        <v>dos cargos acima da Mediana</v>
      </c>
      <c r="M13" s="383"/>
      <c r="N13" s="371"/>
      <c r="O13" s="371"/>
      <c r="P13" s="371"/>
      <c r="Q13" s="371"/>
      <c r="R13" s="371"/>
      <c r="S13" s="371"/>
      <c r="T13" s="371"/>
      <c r="U13" s="371"/>
    </row>
    <row r="14">
      <c r="N14" s="371"/>
      <c r="O14" s="371"/>
      <c r="P14" s="371"/>
      <c r="Q14" s="371"/>
      <c r="R14" s="371"/>
    </row>
    <row r="15">
      <c r="B15" s="392">
        <f>VLOOKUP(B13,P:Q,2,0)</f>
        <v>1</v>
      </c>
      <c r="C15" s="392"/>
      <c r="N15" s="371"/>
      <c r="O15" s="371"/>
      <c r="P15" s="371"/>
      <c r="Q15" s="371"/>
      <c r="R15" s="371"/>
    </row>
    <row r="16">
      <c r="N16" s="371"/>
      <c r="O16" s="371"/>
      <c r="P16" s="371"/>
      <c r="Q16" s="371"/>
      <c r="R16" s="371"/>
    </row>
    <row r="17">
      <c r="M17" s="269"/>
    </row>
    <row r="18">
      <c r="M18" s="269"/>
    </row>
    <row r="19">
      <c r="P19" s="246"/>
    </row>
    <row r="20">
      <c r="A20" s="393">
        <v>2.0</v>
      </c>
      <c r="B20" s="264"/>
      <c r="C20" s="351" t="s">
        <v>400</v>
      </c>
      <c r="E20" s="352"/>
      <c r="G20" s="352"/>
      <c r="H20" s="394" t="s">
        <v>403</v>
      </c>
      <c r="I20" s="394" t="s">
        <v>420</v>
      </c>
      <c r="J20" s="395"/>
      <c r="L20" s="269"/>
    </row>
    <row r="21">
      <c r="A21" s="396"/>
      <c r="B21" s="397" t="s">
        <v>403</v>
      </c>
      <c r="C21" s="356" t="s">
        <v>404</v>
      </c>
      <c r="D21" s="398" t="s">
        <v>421</v>
      </c>
      <c r="E21" s="399"/>
      <c r="F21" s="399"/>
      <c r="G21" s="399"/>
      <c r="H21" s="400" t="s">
        <v>389</v>
      </c>
      <c r="I21" s="401">
        <f t="shared" ref="I21:I26" si="1">C22</f>
        <v>0.1111111111</v>
      </c>
      <c r="J21" s="401"/>
      <c r="L21" s="269"/>
    </row>
    <row r="22">
      <c r="A22" s="396"/>
      <c r="B22" s="306" t="s">
        <v>389</v>
      </c>
      <c r="C22" s="402">
        <f t="shared" ref="C22:C27" si="2">iferror(D22/D$28,0)</f>
        <v>0.1111111111</v>
      </c>
      <c r="D22" s="305">
        <f>COUNTIFS('Cálculos Comparativos'!V:V,$B22,'Cálculos Comparativos'!D:D,$B$15)</f>
        <v>1</v>
      </c>
      <c r="E22" s="403"/>
      <c r="F22" s="306"/>
      <c r="G22" s="403"/>
      <c r="H22" s="404" t="s">
        <v>391</v>
      </c>
      <c r="I22" s="405">
        <f t="shared" si="1"/>
        <v>0.1111111111</v>
      </c>
      <c r="J22" s="401"/>
      <c r="L22" s="269"/>
    </row>
    <row r="23">
      <c r="A23" s="396"/>
      <c r="B23" s="406" t="s">
        <v>391</v>
      </c>
      <c r="C23" s="402">
        <f t="shared" si="2"/>
        <v>0.1111111111</v>
      </c>
      <c r="D23" s="305">
        <f>COUNTIFS('Cálculos Comparativos'!V:V,$B23,'Cálculos Comparativos'!D:D,$B$15)</f>
        <v>1</v>
      </c>
      <c r="E23" s="403"/>
      <c r="F23" s="306"/>
      <c r="G23" s="403"/>
      <c r="H23" s="400" t="s">
        <v>393</v>
      </c>
      <c r="I23" s="401">
        <f t="shared" si="1"/>
        <v>0.2222222222</v>
      </c>
      <c r="J23" s="401"/>
      <c r="L23" s="269"/>
    </row>
    <row r="24">
      <c r="A24" s="407"/>
      <c r="B24" s="306" t="s">
        <v>393</v>
      </c>
      <c r="C24" s="402">
        <f t="shared" si="2"/>
        <v>0.2222222222</v>
      </c>
      <c r="D24" s="305">
        <f>COUNTIFS('Cálculos Comparativos'!V:V,$B24,'Cálculos Comparativos'!D:D,$B$15)</f>
        <v>2</v>
      </c>
      <c r="E24" s="403"/>
      <c r="F24" s="306"/>
      <c r="G24" s="403"/>
      <c r="H24" s="404" t="s">
        <v>395</v>
      </c>
      <c r="I24" s="408">
        <f t="shared" si="1"/>
        <v>0</v>
      </c>
      <c r="J24" s="401"/>
      <c r="L24" s="269"/>
    </row>
    <row r="25">
      <c r="A25" s="407"/>
      <c r="B25" s="406" t="s">
        <v>395</v>
      </c>
      <c r="C25" s="402">
        <f t="shared" si="2"/>
        <v>0</v>
      </c>
      <c r="D25" s="305">
        <f>COUNTIFS('Cálculos Comparativos'!V:V,$B25,'Cálculos Comparativos'!D:D,$B$15)</f>
        <v>0</v>
      </c>
      <c r="E25" s="403"/>
      <c r="F25" s="306"/>
      <c r="G25" s="403"/>
      <c r="H25" s="400" t="s">
        <v>397</v>
      </c>
      <c r="I25" s="401">
        <f t="shared" si="1"/>
        <v>0.1111111111</v>
      </c>
      <c r="J25" s="401"/>
      <c r="L25" s="269"/>
    </row>
    <row r="26">
      <c r="A26" s="407"/>
      <c r="B26" s="306" t="s">
        <v>397</v>
      </c>
      <c r="C26" s="402">
        <f t="shared" si="2"/>
        <v>0.1111111111</v>
      </c>
      <c r="D26" s="305">
        <f>COUNTIFS('Cálculos Comparativos'!V:V,$B26,'Cálculos Comparativos'!D:D,$B$15)</f>
        <v>1</v>
      </c>
      <c r="E26" s="403"/>
      <c r="F26" s="306"/>
      <c r="G26" s="403"/>
      <c r="H26" s="404" t="s">
        <v>399</v>
      </c>
      <c r="I26" s="405">
        <f t="shared" si="1"/>
        <v>0.4444444444</v>
      </c>
      <c r="J26" s="401"/>
      <c r="L26" s="269"/>
    </row>
    <row r="27">
      <c r="A27" s="255">
        <v>2.0</v>
      </c>
      <c r="B27" s="406" t="s">
        <v>399</v>
      </c>
      <c r="C27" s="402">
        <f t="shared" si="2"/>
        <v>0.4444444444</v>
      </c>
      <c r="D27" s="305">
        <f>COUNTIFS('Cálculos Comparativos'!V:V,$B27,'Cálculos Comparativos'!D:D,$B$15)</f>
        <v>4</v>
      </c>
      <c r="E27" s="403"/>
      <c r="F27" s="306"/>
      <c r="G27" s="403"/>
      <c r="H27" s="409" t="s">
        <v>406</v>
      </c>
      <c r="I27" s="410">
        <f>SUM(I21:I26)</f>
        <v>1</v>
      </c>
      <c r="J27" s="411"/>
      <c r="L27" s="269"/>
    </row>
    <row r="28">
      <c r="A28" s="255"/>
      <c r="B28" s="412" t="s">
        <v>406</v>
      </c>
      <c r="C28" s="413">
        <f t="shared" ref="C28:D28" si="3">SUM(C22:C27)</f>
        <v>1</v>
      </c>
      <c r="D28" s="414">
        <f t="shared" si="3"/>
        <v>9</v>
      </c>
      <c r="E28" s="415"/>
      <c r="F28" s="330"/>
      <c r="G28" s="415"/>
      <c r="H28" s="330"/>
      <c r="I28" s="416"/>
      <c r="J28" s="416"/>
      <c r="K28" s="416"/>
      <c r="L28" s="416"/>
    </row>
    <row r="29">
      <c r="A29" s="255"/>
      <c r="B29" s="251"/>
      <c r="C29" s="251"/>
      <c r="D29" s="251"/>
      <c r="E29" s="251"/>
      <c r="F29" s="251"/>
      <c r="G29" s="251"/>
      <c r="H29" s="251"/>
      <c r="I29" s="251"/>
      <c r="J29" s="251"/>
      <c r="K29" s="251"/>
      <c r="L29" s="251"/>
    </row>
    <row r="30">
      <c r="A30" s="255"/>
      <c r="B30" s="251"/>
      <c r="C30" s="251"/>
      <c r="D30" s="251"/>
      <c r="E30" s="351" t="s">
        <v>400</v>
      </c>
      <c r="H30" s="417"/>
      <c r="K30" s="298"/>
      <c r="L30" s="251"/>
    </row>
    <row r="31">
      <c r="A31" s="255"/>
      <c r="B31" s="354" t="s">
        <v>203</v>
      </c>
      <c r="C31" s="354" t="s">
        <v>205</v>
      </c>
      <c r="D31" s="355" t="s">
        <v>316</v>
      </c>
      <c r="E31" s="356" t="str">
        <f>B5</f>
        <v>Mediana</v>
      </c>
      <c r="F31" s="418" t="s">
        <v>403</v>
      </c>
      <c r="G31" s="419"/>
      <c r="H31" s="420"/>
      <c r="I31" s="421"/>
      <c r="K31" s="422"/>
      <c r="L31" s="423"/>
    </row>
    <row r="32">
      <c r="A32" s="424" t="str">
        <f>IFERROR(__xludf.DUMMYFUNCTION("FILTER('Cálculos Comparativos'!A:A,'Cálculos Comparativos'!D:D=$B$15,'Cálculos Comparativos'!V:V&lt;&gt;"""")"),"13")</f>
        <v>13</v>
      </c>
      <c r="B32" s="360" t="str">
        <f>IFERROR(VLOOKUP($A32,'Cálculos Comparativos'!$A:$V,2,0),"")</f>
        <v>ASSISTENTE ADMINISTRATIVO lll</v>
      </c>
      <c r="C32" s="360" t="str">
        <f>IFERROR(VLOOKUP($A32,'Cálculos Comparativos'!$A:$V,9,0)&amp;" "&amp;if(VLOOKUP($A32,'Cálculos Comparativos'!$A:$V,10,0)="Indiferente","",VLOOKUP($A32,'Cálculos Comparativos'!$A:$V,10,0)),"")</f>
        <v>Operacional 59</v>
      </c>
      <c r="D32" s="361">
        <f>IFERROR(VLOOKUP(A32,'Cálculos Comparativos'!A:N,3,0),"")</f>
        <v>3439.7</v>
      </c>
      <c r="E32" s="362">
        <f>IFERROR(IFS($B$5="Mediana",VLOOKUP(A32,'Cálculos Comparativos'!A:V,17,0),$B$5="Menor Salário",VLOOKUP(A32,'Cálculos Comparativos'!A:V,14,0),$B$5="1º Quartil",VLOOKUP(A32,'Cálculos Comparativos'!A:V,15,0),$B$5="Média",VLOOKUP(A32,'Cálculos Comparativos'!A:V,16,0),$B$5="3º Quartil",VLOOKUP(A32,'Cálculos Comparativos'!A:V,18,0),$B$5="Maior Salário",VLOOKUP(A32,'Cálculos Comparativos'!A:V,19,0)),"")</f>
        <v>2673.92</v>
      </c>
      <c r="F32" s="304">
        <f>IFERROR(VLOOKUP($A32,'Cálculos Comparativos'!$A:$V,20,0),"")</f>
        <v>3662.52</v>
      </c>
      <c r="G32" s="425">
        <f>IFERROR(VLOOKUP($A32,'Cálculos Comparativos'!$A:$V,20,0),"")</f>
        <v>3662.52</v>
      </c>
      <c r="H32" s="426"/>
      <c r="I32" s="427"/>
      <c r="J32" s="428"/>
      <c r="K32" s="297"/>
      <c r="L32" s="423"/>
    </row>
    <row r="33">
      <c r="A33" s="424" t="str">
        <f>IFERROR(__xludf.DUMMYFUNCTION("""COMPUTED_VALUE"""),"20")</f>
        <v>20</v>
      </c>
      <c r="B33" s="360" t="str">
        <f>IFERROR(VLOOKUP($A33,'Cálculos Comparativos'!$A:$V,2,0),"")</f>
        <v>AUXILIAR ADMINISTRATIVO</v>
      </c>
      <c r="C33" s="360" t="str">
        <f>IFERROR(VLOOKUP($A33,'Cálculos Comparativos'!$A:$V,9,0)&amp;" "&amp;if(VLOOKUP($A33,'Cálculos Comparativos'!$A:$V,10,0)="Indiferente","",VLOOKUP($A33,'Cálculos Comparativos'!$A:$V,10,0)),"")</f>
        <v>Operacional 83</v>
      </c>
      <c r="D33" s="361">
        <f>IFERROR(VLOOKUP(A33,'Cálculos Comparativos'!A:N,3,0),"")</f>
        <v>2254</v>
      </c>
      <c r="E33" s="362">
        <f>IFERROR(IFS($B$5="Mediana",VLOOKUP(A33,'Cálculos Comparativos'!A:V,17,0),$B$5="Menor Salário",VLOOKUP(A33,'Cálculos Comparativos'!A:V,14,0),$B$5="1º Quartil",VLOOKUP(A33,'Cálculos Comparativos'!A:V,15,0),$B$5="Média",VLOOKUP(A33,'Cálculos Comparativos'!A:V,16,0),$B$5="3º Quartil",VLOOKUP(A33,'Cálculos Comparativos'!A:V,18,0),$B$5="Maior Salário",VLOOKUP(A33,'Cálculos Comparativos'!A:V,19,0)),"")</f>
        <v>2292.87</v>
      </c>
      <c r="F33" s="304">
        <f>IFERROR(VLOOKUP($A33,'Cálculos Comparativos'!$A:$V,20,0),"")</f>
        <v>3073.32</v>
      </c>
      <c r="G33" s="425">
        <f>IFERROR(VLOOKUP($A33,'Cálculos Comparativos'!$A:$V,20,0),"")</f>
        <v>3073.32</v>
      </c>
      <c r="H33" s="426"/>
      <c r="I33" s="427"/>
      <c r="J33" s="428"/>
      <c r="K33" s="297"/>
      <c r="L33" s="429"/>
    </row>
    <row r="34">
      <c r="A34" s="424" t="str">
        <f>IFERROR(__xludf.DUMMYFUNCTION("""COMPUTED_VALUE"""),"21")</f>
        <v>21</v>
      </c>
      <c r="B34" s="360" t="str">
        <f>IFERROR(VLOOKUP($A34,'Cálculos Comparativos'!$A:$V,2,0),"")</f>
        <v>AUXILIAR ADMINISTRATIVO III</v>
      </c>
      <c r="C34" s="360" t="str">
        <f>IFERROR(VLOOKUP($A34,'Cálculos Comparativos'!$A:$V,9,0)&amp;" "&amp;if(VLOOKUP($A34,'Cálculos Comparativos'!$A:$V,10,0)="Indiferente","",VLOOKUP($A34,'Cálculos Comparativos'!$A:$V,10,0)),"")</f>
        <v>Operacional 83</v>
      </c>
      <c r="D34" s="361">
        <f>IFERROR(VLOOKUP(A34,'Cálculos Comparativos'!A:N,3,0),"")</f>
        <v>2739.04</v>
      </c>
      <c r="E34" s="362">
        <f>IFERROR(IFS($B$5="Mediana",VLOOKUP(A34,'Cálculos Comparativos'!A:V,17,0),$B$5="Menor Salário",VLOOKUP(A34,'Cálculos Comparativos'!A:V,14,0),$B$5="1º Quartil",VLOOKUP(A34,'Cálculos Comparativos'!A:V,15,0),$B$5="Média",VLOOKUP(A34,'Cálculos Comparativos'!A:V,16,0),$B$5="3º Quartil",VLOOKUP(A34,'Cálculos Comparativos'!A:V,18,0),$B$5="Maior Salário",VLOOKUP(A34,'Cálculos Comparativos'!A:V,19,0)),"")</f>
        <v>2292.87</v>
      </c>
      <c r="F34" s="304">
        <f>IFERROR(VLOOKUP($A34,'Cálculos Comparativos'!$A:$V,20,0),"")</f>
        <v>3073.32</v>
      </c>
      <c r="G34" s="425">
        <f>IFERROR(VLOOKUP($A34,'Cálculos Comparativos'!$A:$V,20,0),"")</f>
        <v>3073.32</v>
      </c>
      <c r="H34" s="426"/>
      <c r="I34" s="427"/>
      <c r="J34" s="428"/>
      <c r="K34" s="297"/>
      <c r="L34" s="429"/>
    </row>
    <row r="35">
      <c r="A35" s="430" t="str">
        <f>IFERROR(__xludf.DUMMYFUNCTION("""COMPUTED_VALUE"""),"39")</f>
        <v>39</v>
      </c>
      <c r="B35" s="360" t="str">
        <f>IFERROR(VLOOKUP($A35,'Cálculos Comparativos'!$A:$V,2,0),"")</f>
        <v>ESTAGIÁRIO(A) ADM</v>
      </c>
      <c r="C35" s="360" t="str">
        <f>IFERROR(VLOOKUP($A35,'Cálculos Comparativos'!$A:$V,9,0)&amp;" "&amp;if(VLOOKUP($A35,'Cálculos Comparativos'!$A:$V,10,0)="Indiferente","",VLOOKUP($A35,'Cálculos Comparativos'!$A:$V,10,0)),"")</f>
        <v>Operacional 338</v>
      </c>
      <c r="D35" s="361">
        <f>IFERROR(VLOOKUP(A35,'Cálculos Comparativos'!A:N,3,0),"")</f>
        <v>1521</v>
      </c>
      <c r="E35" s="362">
        <f>IFERROR(IFS($B$5="Mediana",VLOOKUP(A35,'Cálculos Comparativos'!A:V,17,0),$B$5="Menor Salário",VLOOKUP(A35,'Cálculos Comparativos'!A:V,14,0),$B$5="1º Quartil",VLOOKUP(A35,'Cálculos Comparativos'!A:V,15,0),$B$5="Média",VLOOKUP(A35,'Cálculos Comparativos'!A:V,16,0),$B$5="3º Quartil",VLOOKUP(A35,'Cálculos Comparativos'!A:V,18,0),$B$5="Maior Salário",VLOOKUP(A35,'Cálculos Comparativos'!A:V,19,0)),"")</f>
        <v>1753.343182</v>
      </c>
      <c r="F35" s="304">
        <f>IFERROR(VLOOKUP($A35,'Cálculos Comparativos'!$A:$V,20,0),"")</f>
        <v>2011.002273</v>
      </c>
      <c r="G35" s="425">
        <f>IFERROR(VLOOKUP($A35,'Cálculos Comparativos'!$A:$V,20,0),"")</f>
        <v>2011.002273</v>
      </c>
      <c r="H35" s="426"/>
      <c r="I35" s="427"/>
      <c r="J35" s="428"/>
      <c r="K35" s="297"/>
      <c r="L35" s="429"/>
    </row>
    <row r="36">
      <c r="A36" s="430" t="str">
        <f>IFERROR(__xludf.DUMMYFUNCTION("""COMPUTED_VALUE"""),"42")</f>
        <v>42</v>
      </c>
      <c r="B36" s="360" t="str">
        <f>IFERROR(VLOOKUP($A36,'Cálculos Comparativos'!$A:$V,2,0),"")</f>
        <v>GERENTE ADMINISTRATIVA </v>
      </c>
      <c r="C36" s="360" t="str">
        <f>IFERROR(VLOOKUP($A36,'Cálculos Comparativos'!$A:$V,9,0)&amp;" "&amp;if(VLOOKUP($A36,'Cálculos Comparativos'!$A:$V,10,0)="Indiferente","",VLOOKUP($A36,'Cálculos Comparativos'!$A:$V,10,0)),"")</f>
        <v>Tático 106</v>
      </c>
      <c r="D36" s="361">
        <f>IFERROR(VLOOKUP(A36,'Cálculos Comparativos'!A:N,3,0),"")</f>
        <v>12242.42424</v>
      </c>
      <c r="E36" s="362">
        <f>IFERROR(IFS($B$5="Mediana",VLOOKUP(A36,'Cálculos Comparativos'!A:V,17,0),$B$5="Menor Salário",VLOOKUP(A36,'Cálculos Comparativos'!A:V,14,0),$B$5="1º Quartil",VLOOKUP(A36,'Cálculos Comparativos'!A:V,15,0),$B$5="Média",VLOOKUP(A36,'Cálculos Comparativos'!A:V,16,0),$B$5="3º Quartil",VLOOKUP(A36,'Cálculos Comparativos'!A:V,18,0),$B$5="Maior Salário",VLOOKUP(A36,'Cálculos Comparativos'!A:V,19,0)),"")</f>
        <v>9881.52</v>
      </c>
      <c r="F36" s="304">
        <f>IFERROR(VLOOKUP($A36,'Cálculos Comparativos'!$A:$V,20,0),"")</f>
        <v>15257.82</v>
      </c>
      <c r="G36" s="425">
        <f>IFERROR(VLOOKUP($A36,'Cálculos Comparativos'!$A:$V,20,0),"")</f>
        <v>15257.82</v>
      </c>
      <c r="H36" s="426"/>
      <c r="I36" s="427"/>
      <c r="J36" s="428"/>
      <c r="K36" s="297"/>
      <c r="L36" s="429"/>
    </row>
    <row r="37">
      <c r="A37" s="430" t="str">
        <f>IFERROR(__xludf.DUMMYFUNCTION("""COMPUTED_VALUE"""),"22")</f>
        <v>22</v>
      </c>
      <c r="B37" s="360" t="str">
        <f>IFERROR(VLOOKUP($A37,'Cálculos Comparativos'!$A:$V,2,0),"")</f>
        <v>AUXILIAR DE ATENDIMENTO II</v>
      </c>
      <c r="C37" s="360" t="str">
        <f>IFERROR(VLOOKUP($A37,'Cálculos Comparativos'!$A:$V,9,0)&amp;" "&amp;if(VLOOKUP($A37,'Cálculos Comparativos'!$A:$V,10,0)="Indiferente","",VLOOKUP($A37,'Cálculos Comparativos'!$A:$V,10,0)),"")</f>
        <v>Operacional 318</v>
      </c>
      <c r="D37" s="361">
        <f>IFERROR(VLOOKUP(A37,'Cálculos Comparativos'!A:N,3,0),"")</f>
        <v>2560</v>
      </c>
      <c r="E37" s="362">
        <f>IFERROR(IFS($B$5="Mediana",VLOOKUP(A37,'Cálculos Comparativos'!A:V,17,0),$B$5="Menor Salário",VLOOKUP(A37,'Cálculos Comparativos'!A:V,14,0),$B$5="1º Quartil",VLOOKUP(A37,'Cálculos Comparativos'!A:V,15,0),$B$5="Média",VLOOKUP(A37,'Cálculos Comparativos'!A:V,16,0),$B$5="3º Quartil",VLOOKUP(A37,'Cálculos Comparativos'!A:V,18,0),$B$5="Maior Salário",VLOOKUP(A37,'Cálculos Comparativos'!A:V,19,0)),"")</f>
        <v>2041.06</v>
      </c>
      <c r="F37" s="304">
        <f>IFERROR(VLOOKUP($A37,'Cálculos Comparativos'!$A:$V,20,0),"")</f>
        <v>2574.08</v>
      </c>
      <c r="G37" s="425">
        <f>IFERROR(VLOOKUP($A37,'Cálculos Comparativos'!$A:$V,20,0),"")</f>
        <v>2574.08</v>
      </c>
      <c r="H37" s="426"/>
      <c r="I37" s="427"/>
      <c r="J37" s="428"/>
      <c r="K37" s="297"/>
      <c r="L37" s="423"/>
    </row>
    <row r="38">
      <c r="A38" s="430" t="str">
        <f>IFERROR(__xludf.DUMMYFUNCTION("""COMPUTED_VALUE"""),"2")</f>
        <v>2</v>
      </c>
      <c r="B38" s="360" t="str">
        <f>IFERROR(VLOOKUP($A38,'Cálculos Comparativos'!$A:$V,2,0),"")</f>
        <v>ANALISTA DE COMPRAS</v>
      </c>
      <c r="C38" s="360" t="str">
        <f>IFERROR(VLOOKUP($A38,'Cálculos Comparativos'!$A:$V,9,0)&amp;" "&amp;if(VLOOKUP($A38,'Cálculos Comparativos'!$A:$V,10,0)="Indiferente","",VLOOKUP($A38,'Cálculos Comparativos'!$A:$V,10,0)),"")</f>
        <v>Operacional 136</v>
      </c>
      <c r="D38" s="361">
        <f>IFERROR(VLOOKUP(A38,'Cálculos Comparativos'!A:N,3,0),"")</f>
        <v>3780</v>
      </c>
      <c r="E38" s="362">
        <f>IFERROR(IFS($B$5="Mediana",VLOOKUP(A38,'Cálculos Comparativos'!A:V,17,0),$B$5="Menor Salário",VLOOKUP(A38,'Cálculos Comparativos'!A:V,14,0),$B$5="1º Quartil",VLOOKUP(A38,'Cálculos Comparativos'!A:V,15,0),$B$5="Média",VLOOKUP(A38,'Cálculos Comparativos'!A:V,16,0),$B$5="3º Quartil",VLOOKUP(A38,'Cálculos Comparativos'!A:V,18,0),$B$5="Maior Salário",VLOOKUP(A38,'Cálculos Comparativos'!A:V,19,0)),"")</f>
        <v>6002.23</v>
      </c>
      <c r="F38" s="304">
        <f>IFERROR(VLOOKUP($A38,'Cálculos Comparativos'!$A:$V,20,0),"")</f>
        <v>7842.89</v>
      </c>
      <c r="G38" s="425">
        <f>IFERROR(VLOOKUP($A38,'Cálculos Comparativos'!$A:$V,20,0),"")</f>
        <v>7842.89</v>
      </c>
      <c r="H38" s="426"/>
      <c r="I38" s="427"/>
      <c r="J38" s="428"/>
      <c r="K38" s="297"/>
      <c r="L38" s="423"/>
    </row>
    <row r="39">
      <c r="A39" s="430" t="str">
        <f>IFERROR(__xludf.DUMMYFUNCTION("""COMPUTED_VALUE"""),"31")</f>
        <v>31</v>
      </c>
      <c r="B39" s="360" t="str">
        <f>IFERROR(VLOOKUP($A39,'Cálculos Comparativos'!$A:$V,2,0),"")</f>
        <v>COORDENADOR DE SUPRIMENTOS</v>
      </c>
      <c r="C39" s="360" t="str">
        <f>IFERROR(VLOOKUP($A39,'Cálculos Comparativos'!$A:$V,9,0)&amp;" "&amp;if(VLOOKUP($A39,'Cálculos Comparativos'!$A:$V,10,0)="Indiferente","",VLOOKUP($A39,'Cálculos Comparativos'!$A:$V,10,0)),"")</f>
        <v>Tático 137</v>
      </c>
      <c r="D39" s="361">
        <f>IFERROR(VLOOKUP(A39,'Cálculos Comparativos'!A:N,3,0),"")</f>
        <v>10596.02649</v>
      </c>
      <c r="E39" s="362">
        <f>IFERROR(IFS($B$5="Mediana",VLOOKUP(A39,'Cálculos Comparativos'!A:V,17,0),$B$5="Menor Salário",VLOOKUP(A39,'Cálculos Comparativos'!A:V,14,0),$B$5="1º Quartil",VLOOKUP(A39,'Cálculos Comparativos'!A:V,15,0),$B$5="Média",VLOOKUP(A39,'Cálculos Comparativos'!A:V,16,0),$B$5="3º Quartil",VLOOKUP(A39,'Cálculos Comparativos'!A:V,18,0),$B$5="Maior Salário",VLOOKUP(A39,'Cálculos Comparativos'!A:V,19,0)),"")</f>
        <v>13345.69</v>
      </c>
      <c r="F39" s="304">
        <f>IFERROR(VLOOKUP($A39,'Cálculos Comparativos'!$A:$V,20,0),"")</f>
        <v>18921.53</v>
      </c>
      <c r="G39" s="425">
        <f>IFERROR(VLOOKUP($A39,'Cálculos Comparativos'!$A:$V,20,0),"")</f>
        <v>18921.53</v>
      </c>
      <c r="H39" s="426"/>
      <c r="I39" s="427"/>
      <c r="J39" s="428"/>
      <c r="K39" s="297"/>
      <c r="L39" s="423"/>
    </row>
    <row r="40">
      <c r="A40" s="430" t="str">
        <f>IFERROR(__xludf.DUMMYFUNCTION("""COMPUTED_VALUE"""),"18")</f>
        <v>18</v>
      </c>
      <c r="B40" s="360" t="str">
        <f>IFERROR(VLOOKUP($A40,'Cálculos Comparativos'!$A:$V,2,0),"")</f>
        <v>ASSISTENTE DE TI</v>
      </c>
      <c r="C40" s="360" t="str">
        <f>IFERROR(VLOOKUP($A40,'Cálculos Comparativos'!$A:$V,9,0)&amp;" "&amp;if(VLOOKUP($A40,'Cálculos Comparativos'!$A:$V,10,0)="Indiferente","",VLOOKUP($A40,'Cálculos Comparativos'!$A:$V,10,0)),"")</f>
        <v>Operacional 31</v>
      </c>
      <c r="D40" s="361">
        <f>IFERROR(VLOOKUP(A40,'Cálculos Comparativos'!A:N,3,0),"")</f>
        <v>2919</v>
      </c>
      <c r="E40" s="362">
        <f>IFERROR(IFS($B$5="Mediana",VLOOKUP(A40,'Cálculos Comparativos'!A:V,17,0),$B$5="Menor Salário",VLOOKUP(A40,'Cálculos Comparativos'!A:V,14,0),$B$5="1º Quartil",VLOOKUP(A40,'Cálculos Comparativos'!A:V,15,0),$B$5="Média",VLOOKUP(A40,'Cálculos Comparativos'!A:V,16,0),$B$5="3º Quartil",VLOOKUP(A40,'Cálculos Comparativos'!A:V,18,0),$B$5="Maior Salário",VLOOKUP(A40,'Cálculos Comparativos'!A:V,19,0)),"")</f>
        <v>2589.89</v>
      </c>
      <c r="F40" s="304">
        <f>IFERROR(VLOOKUP($A40,'Cálculos Comparativos'!$A:$V,20,0),"")</f>
        <v>3521.6</v>
      </c>
      <c r="G40" s="425">
        <f>IFERROR(VLOOKUP($A40,'Cálculos Comparativos'!$A:$V,20,0),"")</f>
        <v>3521.6</v>
      </c>
      <c r="H40" s="426"/>
      <c r="I40" s="427"/>
      <c r="J40" s="428"/>
      <c r="K40" s="297"/>
      <c r="L40" s="423"/>
    </row>
    <row r="41">
      <c r="A41" s="407"/>
      <c r="B41" s="360" t="str">
        <f>IFERROR(VLOOKUP($A41,'Cálculos Comparativos'!$A:$V,2,0),"")</f>
        <v/>
      </c>
      <c r="C41" s="360" t="str">
        <f>IFERROR(VLOOKUP($A41,'Cálculos Comparativos'!$A:$V,9,0)&amp;" "&amp;if(VLOOKUP($A41,'Cálculos Comparativos'!$A:$V,10,0)="Indiferente","",VLOOKUP($A41,'Cálculos Comparativos'!$A:$V,10,0)),"")</f>
        <v/>
      </c>
      <c r="D41" s="361" t="str">
        <f>IFERROR(VLOOKUP(A41,'Cálculos Comparativos'!A:N,3,0),"")</f>
        <v/>
      </c>
      <c r="E41" s="362" t="str">
        <f>IFERROR(IFS($B$5="Mediana",VLOOKUP(A41,'Cálculos Comparativos'!A:V,17,0),$B$5="Menor Salário",VLOOKUP(A41,'Cálculos Comparativos'!A:V,14,0),$B$5="1º Quartil",VLOOKUP(A41,'Cálculos Comparativos'!A:V,15,0),$B$5="Média",VLOOKUP(A41,'Cálculos Comparativos'!A:V,16,0),$B$5="3º Quartil",VLOOKUP(A41,'Cálculos Comparativos'!A:V,18,0),$B$5="Maior Salário",VLOOKUP(A41,'Cálculos Comparativos'!A:V,19,0)),"")</f>
        <v/>
      </c>
      <c r="F41" s="304" t="str">
        <f>IFERROR(VLOOKUP($A41,'Cálculos Comparativos'!$A:$V,20,0),"")</f>
        <v/>
      </c>
      <c r="G41" s="425" t="str">
        <f>IFERROR(VLOOKUP($A41,'Cálculos Comparativos'!$A:$V,20,0),"")</f>
        <v/>
      </c>
      <c r="H41" s="426"/>
      <c r="I41" s="427"/>
      <c r="J41" s="428"/>
      <c r="K41" s="297"/>
    </row>
    <row r="42">
      <c r="A42" s="407"/>
      <c r="B42" s="360" t="str">
        <f>IFERROR(VLOOKUP($A42,'Cálculos Comparativos'!$A:$V,2,0),"")</f>
        <v/>
      </c>
      <c r="C42" s="360" t="str">
        <f>IFERROR(VLOOKUP($A42,'Cálculos Comparativos'!$A:$V,9,0)&amp;" "&amp;if(VLOOKUP($A42,'Cálculos Comparativos'!$A:$V,10,0)="Indiferente","",VLOOKUP($A42,'Cálculos Comparativos'!$A:$V,10,0)),"")</f>
        <v/>
      </c>
      <c r="D42" s="361" t="str">
        <f>IFERROR(VLOOKUP(A42,'Cálculos Comparativos'!A:N,3,0),"")</f>
        <v/>
      </c>
      <c r="E42" s="362" t="str">
        <f>IFERROR(IFS($B$5="Mediana",VLOOKUP(A42,'Cálculos Comparativos'!A:V,17,0),$B$5="Menor Salário",VLOOKUP(A42,'Cálculos Comparativos'!A:V,14,0),$B$5="1º Quartil",VLOOKUP(A42,'Cálculos Comparativos'!A:V,15,0),$B$5="Média",VLOOKUP(A42,'Cálculos Comparativos'!A:V,16,0),$B$5="3º Quartil",VLOOKUP(A42,'Cálculos Comparativos'!A:V,18,0),$B$5="Maior Salário",VLOOKUP(A42,'Cálculos Comparativos'!A:V,19,0)),"")</f>
        <v/>
      </c>
      <c r="F42" s="304" t="str">
        <f>IFERROR(VLOOKUP($A42,'Cálculos Comparativos'!$A:$V,20,0),"")</f>
        <v/>
      </c>
      <c r="G42" s="425" t="str">
        <f>IFERROR(VLOOKUP($A42,'Cálculos Comparativos'!$A:$V,20,0),"")</f>
        <v/>
      </c>
      <c r="H42" s="426"/>
      <c r="I42" s="427"/>
      <c r="J42" s="428"/>
      <c r="K42" s="297"/>
    </row>
    <row r="43">
      <c r="A43" s="407"/>
      <c r="B43" s="360" t="str">
        <f>IFERROR(VLOOKUP($A43,'Cálculos Comparativos'!$A:$V,2,0),"")</f>
        <v/>
      </c>
      <c r="C43" s="360" t="str">
        <f>IFERROR(VLOOKUP($A43,'Cálculos Comparativos'!$A:$V,9,0)&amp;" "&amp;if(VLOOKUP($A43,'Cálculos Comparativos'!$A:$V,10,0)="Indiferente","",VLOOKUP($A43,'Cálculos Comparativos'!$A:$V,10,0)),"")</f>
        <v/>
      </c>
      <c r="D43" s="361" t="str">
        <f>IFERROR(VLOOKUP(A43,'Cálculos Comparativos'!A:N,3,0),"")</f>
        <v/>
      </c>
      <c r="E43" s="362" t="str">
        <f>IFERROR(IFS($B$5="Mediana",VLOOKUP(A43,'Cálculos Comparativos'!A:V,17,0),$B$5="Menor Salário",VLOOKUP(A43,'Cálculos Comparativos'!A:V,14,0),$B$5="1º Quartil",VLOOKUP(A43,'Cálculos Comparativos'!A:V,15,0),$B$5="Média",VLOOKUP(A43,'Cálculos Comparativos'!A:V,16,0),$B$5="3º Quartil",VLOOKUP(A43,'Cálculos Comparativos'!A:V,18,0),$B$5="Maior Salário",VLOOKUP(A43,'Cálculos Comparativos'!A:V,19,0)),"")</f>
        <v/>
      </c>
      <c r="F43" s="304" t="str">
        <f>IFERROR(VLOOKUP($A43,'Cálculos Comparativos'!$A:$V,20,0),"")</f>
        <v/>
      </c>
      <c r="G43" s="425" t="str">
        <f>IFERROR(VLOOKUP($A43,'Cálculos Comparativos'!$A:$V,20,0),"")</f>
        <v/>
      </c>
      <c r="H43" s="426"/>
      <c r="I43" s="427"/>
      <c r="J43" s="428"/>
      <c r="K43" s="297"/>
    </row>
    <row r="44">
      <c r="A44" s="407"/>
      <c r="B44" s="360" t="str">
        <f>IFERROR(VLOOKUP($A44,'Cálculos Comparativos'!$A:$V,2,0),"")</f>
        <v/>
      </c>
      <c r="C44" s="360" t="str">
        <f>IFERROR(VLOOKUP($A44,'Cálculos Comparativos'!$A:$V,9,0)&amp;" "&amp;if(VLOOKUP($A44,'Cálculos Comparativos'!$A:$V,10,0)="Indiferente","",VLOOKUP($A44,'Cálculos Comparativos'!$A:$V,10,0)),"")</f>
        <v/>
      </c>
      <c r="D44" s="361" t="str">
        <f>IFERROR(VLOOKUP(A44,'Cálculos Comparativos'!A:N,3,0),"")</f>
        <v/>
      </c>
      <c r="E44" s="362" t="str">
        <f>IFERROR(IFS($B$5="Mediana",VLOOKUP(A44,'Cálculos Comparativos'!A:V,17,0),$B$5="Menor Salário",VLOOKUP(A44,'Cálculos Comparativos'!A:V,14,0),$B$5="1º Quartil",VLOOKUP(A44,'Cálculos Comparativos'!A:V,15,0),$B$5="Média",VLOOKUP(A44,'Cálculos Comparativos'!A:V,16,0),$B$5="3º Quartil",VLOOKUP(A44,'Cálculos Comparativos'!A:V,18,0),$B$5="Maior Salário",VLOOKUP(A44,'Cálculos Comparativos'!A:V,19,0)),"")</f>
        <v/>
      </c>
      <c r="F44" s="304" t="str">
        <f>IFERROR(VLOOKUP($A44,'Cálculos Comparativos'!$A:$V,20,0),"")</f>
        <v/>
      </c>
      <c r="G44" s="425" t="str">
        <f>IFERROR(VLOOKUP($A44,'Cálculos Comparativos'!$A:$V,20,0),"")</f>
        <v/>
      </c>
      <c r="H44" s="426"/>
      <c r="I44" s="427"/>
      <c r="J44" s="428"/>
      <c r="K44" s="297"/>
    </row>
    <row r="45">
      <c r="A45" s="407"/>
      <c r="B45" s="360" t="str">
        <f>IFERROR(VLOOKUP($A45,'Cálculos Comparativos'!$A:$V,2,0),"")</f>
        <v/>
      </c>
      <c r="C45" s="360" t="str">
        <f>IFERROR(VLOOKUP($A45,'Cálculos Comparativos'!$A:$V,9,0)&amp;" "&amp;if(VLOOKUP($A45,'Cálculos Comparativos'!$A:$V,10,0)="Indiferente","",VLOOKUP($A45,'Cálculos Comparativos'!$A:$V,10,0)),"")</f>
        <v/>
      </c>
      <c r="D45" s="361" t="str">
        <f>IFERROR(VLOOKUP(A45,'Cálculos Comparativos'!A:N,3,0),"")</f>
        <v/>
      </c>
      <c r="E45" s="362" t="str">
        <f>IFERROR(IFS($B$5="Mediana",VLOOKUP(A45,'Cálculos Comparativos'!A:V,17,0),$B$5="Menor Salário",VLOOKUP(A45,'Cálculos Comparativos'!A:V,14,0),$B$5="1º Quartil",VLOOKUP(A45,'Cálculos Comparativos'!A:V,15,0),$B$5="Média",VLOOKUP(A45,'Cálculos Comparativos'!A:V,16,0),$B$5="3º Quartil",VLOOKUP(A45,'Cálculos Comparativos'!A:V,18,0),$B$5="Maior Salário",VLOOKUP(A45,'Cálculos Comparativos'!A:V,19,0)),"")</f>
        <v/>
      </c>
      <c r="F45" s="304" t="str">
        <f>IFERROR(VLOOKUP($A45,'Cálculos Comparativos'!$A:$V,20,0),"")</f>
        <v/>
      </c>
      <c r="G45" s="425" t="str">
        <f>IFERROR(VLOOKUP($A45,'Cálculos Comparativos'!$A:$V,20,0),"")</f>
        <v/>
      </c>
      <c r="H45" s="426"/>
      <c r="I45" s="427"/>
      <c r="J45" s="428"/>
      <c r="K45" s="297"/>
    </row>
    <row r="46">
      <c r="A46" s="407"/>
      <c r="B46" s="360" t="str">
        <f>IFERROR(VLOOKUP($A46,'Cálculos Comparativos'!$A:$V,2,0),"")</f>
        <v/>
      </c>
      <c r="C46" s="360" t="str">
        <f>IFERROR(VLOOKUP($A46,'Cálculos Comparativos'!$A:$V,9,0)&amp;" "&amp;if(VLOOKUP($A46,'Cálculos Comparativos'!$A:$V,10,0)="Indiferente","",VLOOKUP($A46,'Cálculos Comparativos'!$A:$V,10,0)),"")</f>
        <v/>
      </c>
      <c r="D46" s="361" t="str">
        <f>IFERROR(VLOOKUP(A46,'Cálculos Comparativos'!A:N,3,0),"")</f>
        <v/>
      </c>
      <c r="E46" s="362" t="str">
        <f>IFERROR(IFS($B$5="Mediana",VLOOKUP(A46,'Cálculos Comparativos'!A:V,17,0),$B$5="Menor Salário",VLOOKUP(A46,'Cálculos Comparativos'!A:V,14,0),$B$5="1º Quartil",VLOOKUP(A46,'Cálculos Comparativos'!A:V,15,0),$B$5="Média",VLOOKUP(A46,'Cálculos Comparativos'!A:V,16,0),$B$5="3º Quartil",VLOOKUP(A46,'Cálculos Comparativos'!A:V,18,0),$B$5="Maior Salário",VLOOKUP(A46,'Cálculos Comparativos'!A:V,19,0)),"")</f>
        <v/>
      </c>
      <c r="F46" s="304" t="str">
        <f>IFERROR(VLOOKUP($A46,'Cálculos Comparativos'!$A:$V,20,0),"")</f>
        <v/>
      </c>
      <c r="G46" s="425" t="str">
        <f>IFERROR(VLOOKUP($A46,'Cálculos Comparativos'!$A:$V,20,0),"")</f>
        <v/>
      </c>
      <c r="H46" s="426"/>
      <c r="I46" s="427"/>
      <c r="J46" s="428"/>
      <c r="K46" s="297"/>
    </row>
    <row r="47">
      <c r="A47" s="407"/>
      <c r="B47" s="360" t="str">
        <f>IFERROR(VLOOKUP($A47,'Cálculos Comparativos'!$A:$V,2,0),"")</f>
        <v/>
      </c>
      <c r="C47" s="360" t="str">
        <f>IFERROR(VLOOKUP($A47,'Cálculos Comparativos'!$A:$V,9,0)&amp;" "&amp;if(VLOOKUP($A47,'Cálculos Comparativos'!$A:$V,10,0)="Indiferente","",VLOOKUP($A47,'Cálculos Comparativos'!$A:$V,10,0)),"")</f>
        <v/>
      </c>
      <c r="D47" s="361" t="str">
        <f>IFERROR(VLOOKUP(A47,'Cálculos Comparativos'!A:N,3,0),"")</f>
        <v/>
      </c>
      <c r="E47" s="362" t="str">
        <f>IFERROR(IFS($B$5="Mediana",VLOOKUP(A47,'Cálculos Comparativos'!A:V,17,0),$B$5="Menor Salário",VLOOKUP(A47,'Cálculos Comparativos'!A:V,14,0),$B$5="1º Quartil",VLOOKUP(A47,'Cálculos Comparativos'!A:V,15,0),$B$5="Média",VLOOKUP(A47,'Cálculos Comparativos'!A:V,16,0),$B$5="3º Quartil",VLOOKUP(A47,'Cálculos Comparativos'!A:V,18,0),$B$5="Maior Salário",VLOOKUP(A47,'Cálculos Comparativos'!A:V,19,0)),"")</f>
        <v/>
      </c>
      <c r="F47" s="304" t="str">
        <f>IFERROR(VLOOKUP($A47,'Cálculos Comparativos'!$A:$V,20,0),"")</f>
        <v/>
      </c>
      <c r="G47" s="425" t="str">
        <f>IFERROR(VLOOKUP($A47,'Cálculos Comparativos'!$A:$V,20,0),"")</f>
        <v/>
      </c>
      <c r="H47" s="426"/>
      <c r="I47" s="427"/>
      <c r="J47" s="428"/>
      <c r="K47" s="297"/>
    </row>
    <row r="48">
      <c r="A48" s="407"/>
      <c r="B48" s="360" t="str">
        <f>IFERROR(VLOOKUP($A48,'Cálculos Comparativos'!$A:$V,2,0),"")</f>
        <v/>
      </c>
      <c r="C48" s="360" t="str">
        <f>IFERROR(VLOOKUP($A48,'Cálculos Comparativos'!$A:$V,9,0)&amp;" "&amp;if(VLOOKUP($A48,'Cálculos Comparativos'!$A:$V,10,0)="Indiferente","",VLOOKUP($A48,'Cálculos Comparativos'!$A:$V,10,0)),"")</f>
        <v/>
      </c>
      <c r="D48" s="361" t="str">
        <f>IFERROR(VLOOKUP(A48,'Cálculos Comparativos'!A:N,3,0),"")</f>
        <v/>
      </c>
      <c r="E48" s="362" t="str">
        <f>IFERROR(IFS($B$5="Mediana",VLOOKUP(A48,'Cálculos Comparativos'!A:V,17,0),$B$5="Menor Salário",VLOOKUP(A48,'Cálculos Comparativos'!A:V,14,0),$B$5="1º Quartil",VLOOKUP(A48,'Cálculos Comparativos'!A:V,15,0),$B$5="Média",VLOOKUP(A48,'Cálculos Comparativos'!A:V,16,0),$B$5="3º Quartil",VLOOKUP(A48,'Cálculos Comparativos'!A:V,18,0),$B$5="Maior Salário",VLOOKUP(A48,'Cálculos Comparativos'!A:V,19,0)),"")</f>
        <v/>
      </c>
      <c r="F48" s="304" t="str">
        <f>IFERROR(VLOOKUP($A48,'Cálculos Comparativos'!$A:$V,20,0),"")</f>
        <v/>
      </c>
      <c r="G48" s="425" t="str">
        <f>IFERROR(VLOOKUP($A48,'Cálculos Comparativos'!$A:$V,20,0),"")</f>
        <v/>
      </c>
      <c r="H48" s="426"/>
      <c r="I48" s="427"/>
      <c r="J48" s="428"/>
      <c r="K48" s="297"/>
    </row>
    <row r="49">
      <c r="A49" s="407"/>
      <c r="B49" s="360" t="str">
        <f>IFERROR(VLOOKUP($A49,'Cálculos Comparativos'!$A:$V,2,0),"")</f>
        <v/>
      </c>
      <c r="C49" s="360" t="str">
        <f>IFERROR(VLOOKUP($A49,'Cálculos Comparativos'!$A:$V,9,0)&amp;" "&amp;if(VLOOKUP($A49,'Cálculos Comparativos'!$A:$V,10,0)="Indiferente","",VLOOKUP($A49,'Cálculos Comparativos'!$A:$V,10,0)),"")</f>
        <v/>
      </c>
      <c r="D49" s="361" t="str">
        <f>IFERROR(VLOOKUP(A49,'Cálculos Comparativos'!A:N,3,0),"")</f>
        <v/>
      </c>
      <c r="E49" s="362" t="str">
        <f>IFERROR(IFS($B$5="Mediana",VLOOKUP(A49,'Cálculos Comparativos'!A:V,17,0),$B$5="Menor Salário",VLOOKUP(A49,'Cálculos Comparativos'!A:V,14,0),$B$5="1º Quartil",VLOOKUP(A49,'Cálculos Comparativos'!A:V,15,0),$B$5="Média",VLOOKUP(A49,'Cálculos Comparativos'!A:V,16,0),$B$5="3º Quartil",VLOOKUP(A49,'Cálculos Comparativos'!A:V,18,0),$B$5="Maior Salário",VLOOKUP(A49,'Cálculos Comparativos'!A:V,19,0)),"")</f>
        <v/>
      </c>
      <c r="F49" s="304" t="str">
        <f>IFERROR(VLOOKUP($A49,'Cálculos Comparativos'!$A:$V,20,0),"")</f>
        <v/>
      </c>
      <c r="G49" s="425" t="str">
        <f>IFERROR(VLOOKUP($A49,'Cálculos Comparativos'!$A:$V,20,0),"")</f>
        <v/>
      </c>
      <c r="H49" s="426"/>
      <c r="I49" s="427"/>
      <c r="J49" s="428"/>
      <c r="K49" s="297"/>
    </row>
    <row r="50">
      <c r="A50" s="407"/>
      <c r="B50" s="360" t="str">
        <f>IFERROR(VLOOKUP($A50,'Cálculos Comparativos'!$A:$V,2,0),"")</f>
        <v/>
      </c>
      <c r="C50" s="360" t="str">
        <f>IFERROR(VLOOKUP($A50,'Cálculos Comparativos'!$A:$V,9,0)&amp;" "&amp;if(VLOOKUP($A50,'Cálculos Comparativos'!$A:$V,10,0)="Indiferente","",VLOOKUP($A50,'Cálculos Comparativos'!$A:$V,10,0)),"")</f>
        <v/>
      </c>
      <c r="D50" s="361" t="str">
        <f>IFERROR(VLOOKUP(A50,'Cálculos Comparativos'!A:N,3,0),"")</f>
        <v/>
      </c>
      <c r="E50" s="362" t="str">
        <f>IFERROR(IFS($B$5="Mediana",VLOOKUP(A50,'Cálculos Comparativos'!A:V,17,0),$B$5="Menor Salário",VLOOKUP(A50,'Cálculos Comparativos'!A:V,14,0),$B$5="1º Quartil",VLOOKUP(A50,'Cálculos Comparativos'!A:V,15,0),$B$5="Média",VLOOKUP(A50,'Cálculos Comparativos'!A:V,16,0),$B$5="3º Quartil",VLOOKUP(A50,'Cálculos Comparativos'!A:V,18,0),$B$5="Maior Salário",VLOOKUP(A50,'Cálculos Comparativos'!A:V,19,0)),"")</f>
        <v/>
      </c>
      <c r="F50" s="304" t="str">
        <f>IFERROR(VLOOKUP($A50,'Cálculos Comparativos'!$A:$V,20,0),"")</f>
        <v/>
      </c>
      <c r="G50" s="425" t="str">
        <f>IFERROR(VLOOKUP($A50,'Cálculos Comparativos'!$A:$V,20,0),"")</f>
        <v/>
      </c>
      <c r="H50" s="426"/>
      <c r="I50" s="427"/>
      <c r="J50" s="428"/>
      <c r="K50" s="297"/>
    </row>
    <row r="51">
      <c r="A51" s="407"/>
      <c r="B51" s="360" t="str">
        <f>IFERROR(VLOOKUP($A51,'Cálculos Comparativos'!$A:$V,2,0),"")</f>
        <v/>
      </c>
      <c r="C51" s="360" t="str">
        <f>IFERROR(VLOOKUP($A51,'Cálculos Comparativos'!$A:$V,9,0)&amp;" "&amp;if(VLOOKUP($A51,'Cálculos Comparativos'!$A:$V,10,0)="Indiferente","",VLOOKUP($A51,'Cálculos Comparativos'!$A:$V,10,0)),"")</f>
        <v/>
      </c>
      <c r="D51" s="361" t="str">
        <f>IFERROR(VLOOKUP(A51,'Cálculos Comparativos'!A:N,3,0),"")</f>
        <v/>
      </c>
      <c r="E51" s="362" t="str">
        <f>IFERROR(IFS($B$5="Mediana",VLOOKUP(A51,'Cálculos Comparativos'!A:V,17,0),$B$5="Menor Salário",VLOOKUP(A51,'Cálculos Comparativos'!A:V,14,0),$B$5="1º Quartil",VLOOKUP(A51,'Cálculos Comparativos'!A:V,15,0),$B$5="Média",VLOOKUP(A51,'Cálculos Comparativos'!A:V,16,0),$B$5="3º Quartil",VLOOKUP(A51,'Cálculos Comparativos'!A:V,18,0),$B$5="Maior Salário",VLOOKUP(A51,'Cálculos Comparativos'!A:V,19,0)),"")</f>
        <v/>
      </c>
      <c r="F51" s="304" t="str">
        <f>IFERROR(VLOOKUP($A51,'Cálculos Comparativos'!$A:$V,20,0),"")</f>
        <v/>
      </c>
      <c r="G51" s="425" t="str">
        <f>IFERROR(VLOOKUP($A51,'Cálculos Comparativos'!$A:$V,20,0),"")</f>
        <v/>
      </c>
      <c r="H51" s="426"/>
      <c r="I51" s="427"/>
      <c r="J51" s="428"/>
      <c r="K51" s="297"/>
    </row>
    <row r="52">
      <c r="A52" s="407"/>
      <c r="B52" s="360" t="str">
        <f>IFERROR(VLOOKUP($A52,'Cálculos Comparativos'!$A:$V,2,0),"")</f>
        <v/>
      </c>
      <c r="C52" s="360" t="str">
        <f>IFERROR(VLOOKUP($A52,'Cálculos Comparativos'!$A:$V,9,0)&amp;" "&amp;if(VLOOKUP($A52,'Cálculos Comparativos'!$A:$V,10,0)="Indiferente","",VLOOKUP($A52,'Cálculos Comparativos'!$A:$V,10,0)),"")</f>
        <v/>
      </c>
      <c r="D52" s="361" t="str">
        <f>IFERROR(VLOOKUP(A52,'Cálculos Comparativos'!A:N,3,0),"")</f>
        <v/>
      </c>
      <c r="E52" s="362" t="str">
        <f>IFERROR(IFS($B$5="Mediana",VLOOKUP(A52,'Cálculos Comparativos'!A:V,17,0),$B$5="Menor Salário",VLOOKUP(A52,'Cálculos Comparativos'!A:V,14,0),$B$5="1º Quartil",VLOOKUP(A52,'Cálculos Comparativos'!A:V,15,0),$B$5="Média",VLOOKUP(A52,'Cálculos Comparativos'!A:V,16,0),$B$5="3º Quartil",VLOOKUP(A52,'Cálculos Comparativos'!A:V,18,0),$B$5="Maior Salário",VLOOKUP(A52,'Cálculos Comparativos'!A:V,19,0)),"")</f>
        <v/>
      </c>
      <c r="F52" s="304" t="str">
        <f>IFERROR(VLOOKUP($A52,'Cálculos Comparativos'!$A:$V,20,0),"")</f>
        <v/>
      </c>
      <c r="G52" s="425" t="str">
        <f>IFERROR(VLOOKUP($A52,'Cálculos Comparativos'!$A:$V,20,0),"")</f>
        <v/>
      </c>
      <c r="H52" s="426"/>
      <c r="I52" s="427"/>
      <c r="J52" s="428"/>
      <c r="K52" s="297"/>
    </row>
    <row r="53">
      <c r="A53" s="407"/>
      <c r="B53" s="360" t="str">
        <f>IFERROR(VLOOKUP($A53,'Cálculos Comparativos'!$A:$V,2,0),"")</f>
        <v/>
      </c>
      <c r="C53" s="360" t="str">
        <f>IFERROR(VLOOKUP($A53,'Cálculos Comparativos'!$A:$V,9,0)&amp;" "&amp;if(VLOOKUP($A53,'Cálculos Comparativos'!$A:$V,10,0)="Indiferente","",VLOOKUP($A53,'Cálculos Comparativos'!$A:$V,10,0)),"")</f>
        <v/>
      </c>
      <c r="D53" s="361" t="str">
        <f>IFERROR(VLOOKUP(A53,'Cálculos Comparativos'!A:N,3,0),"")</f>
        <v/>
      </c>
      <c r="E53" s="362" t="str">
        <f>IFERROR(IFS($B$5="Mediana",VLOOKUP(A53,'Cálculos Comparativos'!A:V,17,0),$B$5="Menor Salário",VLOOKUP(A53,'Cálculos Comparativos'!A:V,14,0),$B$5="1º Quartil",VLOOKUP(A53,'Cálculos Comparativos'!A:V,15,0),$B$5="Média",VLOOKUP(A53,'Cálculos Comparativos'!A:V,16,0),$B$5="3º Quartil",VLOOKUP(A53,'Cálculos Comparativos'!A:V,18,0),$B$5="Maior Salário",VLOOKUP(A53,'Cálculos Comparativos'!A:V,19,0)),"")</f>
        <v/>
      </c>
      <c r="F53" s="304" t="str">
        <f>IFERROR(VLOOKUP($A53,'Cálculos Comparativos'!$A:$V,20,0),"")</f>
        <v/>
      </c>
      <c r="G53" s="425" t="str">
        <f>IFERROR(VLOOKUP($A53,'Cálculos Comparativos'!$A:$V,20,0),"")</f>
        <v/>
      </c>
      <c r="H53" s="426"/>
      <c r="I53" s="427"/>
      <c r="J53" s="428"/>
      <c r="K53" s="297"/>
    </row>
    <row r="54">
      <c r="A54" s="407"/>
      <c r="B54" s="360" t="str">
        <f>IFERROR(VLOOKUP($A54,'Cálculos Comparativos'!$A:$V,2,0),"")</f>
        <v/>
      </c>
      <c r="C54" s="360" t="str">
        <f>IFERROR(VLOOKUP($A54,'Cálculos Comparativos'!$A:$V,9,0)&amp;" "&amp;if(VLOOKUP($A54,'Cálculos Comparativos'!$A:$V,10,0)="Indiferente","",VLOOKUP($A54,'Cálculos Comparativos'!$A:$V,10,0)),"")</f>
        <v/>
      </c>
      <c r="D54" s="361" t="str">
        <f>IFERROR(VLOOKUP(A54,'Cálculos Comparativos'!A:N,3,0),"")</f>
        <v/>
      </c>
      <c r="E54" s="362" t="str">
        <f>IFERROR(IFS($B$5="Mediana",VLOOKUP(A54,'Cálculos Comparativos'!A:V,17,0),$B$5="Menor Salário",VLOOKUP(A54,'Cálculos Comparativos'!A:V,14,0),$B$5="1º Quartil",VLOOKUP(A54,'Cálculos Comparativos'!A:V,15,0),$B$5="Média",VLOOKUP(A54,'Cálculos Comparativos'!A:V,16,0),$B$5="3º Quartil",VLOOKUP(A54,'Cálculos Comparativos'!A:V,18,0),$B$5="Maior Salário",VLOOKUP(A54,'Cálculos Comparativos'!A:V,19,0)),"")</f>
        <v/>
      </c>
      <c r="F54" s="304" t="str">
        <f>IFERROR(VLOOKUP($A54,'Cálculos Comparativos'!$A:$V,20,0),"")</f>
        <v/>
      </c>
      <c r="G54" s="425" t="str">
        <f>IFERROR(VLOOKUP($A54,'Cálculos Comparativos'!$A:$V,20,0),"")</f>
        <v/>
      </c>
      <c r="H54" s="426"/>
      <c r="I54" s="427"/>
      <c r="J54" s="428"/>
      <c r="K54" s="297"/>
    </row>
    <row r="55">
      <c r="A55" s="407"/>
      <c r="B55" s="360" t="str">
        <f>IFERROR(VLOOKUP($A55,'Cálculos Comparativos'!$A:$V,2,0),"")</f>
        <v/>
      </c>
      <c r="C55" s="360" t="str">
        <f>IFERROR(VLOOKUP($A55,'Cálculos Comparativos'!$A:$V,9,0)&amp;" "&amp;if(VLOOKUP($A55,'Cálculos Comparativos'!$A:$V,10,0)="Indiferente","",VLOOKUP($A55,'Cálculos Comparativos'!$A:$V,10,0)),"")</f>
        <v/>
      </c>
      <c r="D55" s="361" t="str">
        <f>IFERROR(VLOOKUP(A55,'Cálculos Comparativos'!A:N,3,0),"")</f>
        <v/>
      </c>
      <c r="E55" s="362" t="str">
        <f>IFERROR(IFS($B$5="Mediana",VLOOKUP(A55,'Cálculos Comparativos'!A:V,17,0),$B$5="Menor Salário",VLOOKUP(A55,'Cálculos Comparativos'!A:V,14,0),$B$5="1º Quartil",VLOOKUP(A55,'Cálculos Comparativos'!A:V,15,0),$B$5="Média",VLOOKUP(A55,'Cálculos Comparativos'!A:V,16,0),$B$5="3º Quartil",VLOOKUP(A55,'Cálculos Comparativos'!A:V,18,0),$B$5="Maior Salário",VLOOKUP(A55,'Cálculos Comparativos'!A:V,19,0)),"")</f>
        <v/>
      </c>
      <c r="F55" s="304" t="str">
        <f>IFERROR(VLOOKUP($A55,'Cálculos Comparativos'!$A:$V,20,0),"")</f>
        <v/>
      </c>
      <c r="G55" s="425" t="str">
        <f>IFERROR(VLOOKUP($A55,'Cálculos Comparativos'!$A:$V,20,0),"")</f>
        <v/>
      </c>
      <c r="H55" s="426"/>
      <c r="I55" s="427"/>
      <c r="J55" s="428"/>
      <c r="K55" s="297"/>
    </row>
    <row r="56">
      <c r="A56" s="407"/>
      <c r="B56" s="360" t="str">
        <f>IFERROR(VLOOKUP($A56,'Cálculos Comparativos'!$A:$V,2,0),"")</f>
        <v/>
      </c>
      <c r="C56" s="360" t="str">
        <f>IFERROR(VLOOKUP($A56,'Cálculos Comparativos'!$A:$V,9,0)&amp;" "&amp;if(VLOOKUP($A56,'Cálculos Comparativos'!$A:$V,10,0)="Indiferente","",VLOOKUP($A56,'Cálculos Comparativos'!$A:$V,10,0)),"")</f>
        <v/>
      </c>
      <c r="D56" s="361" t="str">
        <f>IFERROR(VLOOKUP(A56,'Cálculos Comparativos'!A:N,3,0),"")</f>
        <v/>
      </c>
      <c r="E56" s="362" t="str">
        <f>IFERROR(IFS($B$5="Mediana",VLOOKUP(A56,'Cálculos Comparativos'!A:V,17,0),$B$5="Menor Salário",VLOOKUP(A56,'Cálculos Comparativos'!A:V,14,0),$B$5="1º Quartil",VLOOKUP(A56,'Cálculos Comparativos'!A:V,15,0),$B$5="Média",VLOOKUP(A56,'Cálculos Comparativos'!A:V,16,0),$B$5="3º Quartil",VLOOKUP(A56,'Cálculos Comparativos'!A:V,18,0),$B$5="Maior Salário",VLOOKUP(A56,'Cálculos Comparativos'!A:V,19,0)),"")</f>
        <v/>
      </c>
      <c r="F56" s="304" t="str">
        <f>IFERROR(VLOOKUP($A56,'Cálculos Comparativos'!$A:$V,20,0),"")</f>
        <v/>
      </c>
      <c r="G56" s="425" t="str">
        <f>IFERROR(VLOOKUP($A56,'Cálculos Comparativos'!$A:$V,20,0),"")</f>
        <v/>
      </c>
      <c r="H56" s="426"/>
      <c r="I56" s="427"/>
      <c r="J56" s="428"/>
      <c r="K56" s="297"/>
    </row>
    <row r="57">
      <c r="A57" s="407"/>
      <c r="B57" s="360" t="str">
        <f>IFERROR(VLOOKUP($A57,'Cálculos Comparativos'!$A:$V,2,0),"")</f>
        <v/>
      </c>
      <c r="C57" s="360" t="str">
        <f>IFERROR(VLOOKUP($A57,'Cálculos Comparativos'!$A:$V,9,0)&amp;" "&amp;if(VLOOKUP($A57,'Cálculos Comparativos'!$A:$V,10,0)="Indiferente","",VLOOKUP($A57,'Cálculos Comparativos'!$A:$V,10,0)),"")</f>
        <v/>
      </c>
      <c r="D57" s="361" t="str">
        <f>IFERROR(VLOOKUP(A57,'Cálculos Comparativos'!A:N,3,0),"")</f>
        <v/>
      </c>
      <c r="E57" s="362" t="str">
        <f>IFERROR(IFS($B$5="Mediana",VLOOKUP(A57,'Cálculos Comparativos'!A:V,17,0),$B$5="Menor Salário",VLOOKUP(A57,'Cálculos Comparativos'!A:V,14,0),$B$5="1º Quartil",VLOOKUP(A57,'Cálculos Comparativos'!A:V,15,0),$B$5="Média",VLOOKUP(A57,'Cálculos Comparativos'!A:V,16,0),$B$5="3º Quartil",VLOOKUP(A57,'Cálculos Comparativos'!A:V,18,0),$B$5="Maior Salário",VLOOKUP(A57,'Cálculos Comparativos'!A:V,19,0)),"")</f>
        <v/>
      </c>
      <c r="F57" s="304" t="str">
        <f>IFERROR(VLOOKUP($A57,'Cálculos Comparativos'!$A:$V,20,0),"")</f>
        <v/>
      </c>
      <c r="G57" s="425" t="str">
        <f>IFERROR(VLOOKUP($A57,'Cálculos Comparativos'!$A:$V,20,0),"")</f>
        <v/>
      </c>
      <c r="H57" s="426"/>
      <c r="I57" s="427"/>
      <c r="J57" s="428"/>
      <c r="K57" s="297"/>
    </row>
    <row r="58">
      <c r="A58" s="407"/>
      <c r="B58" s="360" t="str">
        <f>IFERROR(VLOOKUP($A58,'Cálculos Comparativos'!$A:$V,2,0),"")</f>
        <v/>
      </c>
      <c r="C58" s="360" t="str">
        <f>IFERROR(VLOOKUP($A58,'Cálculos Comparativos'!$A:$V,9,0)&amp;" "&amp;if(VLOOKUP($A58,'Cálculos Comparativos'!$A:$V,10,0)="Indiferente","",VLOOKUP($A58,'Cálculos Comparativos'!$A:$V,10,0)),"")</f>
        <v/>
      </c>
      <c r="D58" s="361" t="str">
        <f>IFERROR(VLOOKUP(A58,'Cálculos Comparativos'!A:N,3,0),"")</f>
        <v/>
      </c>
      <c r="E58" s="362" t="str">
        <f>IFERROR(IFS($B$5="Mediana",VLOOKUP(A58,'Cálculos Comparativos'!A:V,17,0),$B$5="Menor Salário",VLOOKUP(A58,'Cálculos Comparativos'!A:V,14,0),$B$5="1º Quartil",VLOOKUP(A58,'Cálculos Comparativos'!A:V,15,0),$B$5="Média",VLOOKUP(A58,'Cálculos Comparativos'!A:V,16,0),$B$5="3º Quartil",VLOOKUP(A58,'Cálculos Comparativos'!A:V,18,0),$B$5="Maior Salário",VLOOKUP(A58,'Cálculos Comparativos'!A:V,19,0)),"")</f>
        <v/>
      </c>
      <c r="F58" s="304" t="str">
        <f>IFERROR(VLOOKUP($A58,'Cálculos Comparativos'!$A:$V,20,0),"")</f>
        <v/>
      </c>
      <c r="G58" s="425" t="str">
        <f>IFERROR(VLOOKUP($A58,'Cálculos Comparativos'!$A:$V,20,0),"")</f>
        <v/>
      </c>
      <c r="H58" s="426"/>
      <c r="I58" s="427"/>
      <c r="J58" s="428"/>
      <c r="K58" s="297"/>
    </row>
    <row r="59">
      <c r="A59" s="407"/>
      <c r="B59" s="360" t="str">
        <f>IFERROR(VLOOKUP($A59,'Cálculos Comparativos'!$A:$V,2,0),"")</f>
        <v/>
      </c>
      <c r="C59" s="360" t="str">
        <f>IFERROR(VLOOKUP($A59,'Cálculos Comparativos'!$A:$V,9,0)&amp;" "&amp;if(VLOOKUP($A59,'Cálculos Comparativos'!$A:$V,10,0)="Indiferente","",VLOOKUP($A59,'Cálculos Comparativos'!$A:$V,10,0)),"")</f>
        <v/>
      </c>
      <c r="D59" s="361" t="str">
        <f>IFERROR(VLOOKUP(A59,'Cálculos Comparativos'!A:N,3,0),"")</f>
        <v/>
      </c>
      <c r="E59" s="362" t="str">
        <f>IFERROR(IFS($B$5="Mediana",VLOOKUP(A59,'Cálculos Comparativos'!A:V,17,0),$B$5="Menor Salário",VLOOKUP(A59,'Cálculos Comparativos'!A:V,14,0),$B$5="1º Quartil",VLOOKUP(A59,'Cálculos Comparativos'!A:V,15,0),$B$5="Média",VLOOKUP(A59,'Cálculos Comparativos'!A:V,16,0),$B$5="3º Quartil",VLOOKUP(A59,'Cálculos Comparativos'!A:V,18,0),$B$5="Maior Salário",VLOOKUP(A59,'Cálculos Comparativos'!A:V,19,0)),"")</f>
        <v/>
      </c>
      <c r="F59" s="304" t="str">
        <f>IFERROR(VLOOKUP($A59,'Cálculos Comparativos'!$A:$V,20,0),"")</f>
        <v/>
      </c>
      <c r="G59" s="425" t="str">
        <f>IFERROR(VLOOKUP($A59,'Cálculos Comparativos'!$A:$V,20,0),"")</f>
        <v/>
      </c>
      <c r="H59" s="426"/>
      <c r="I59" s="427"/>
      <c r="J59" s="428"/>
      <c r="K59" s="297"/>
    </row>
    <row r="60">
      <c r="A60" s="431"/>
      <c r="B60" s="360" t="str">
        <f>IFERROR(VLOOKUP($A60,'Cálculos Comparativos'!$A:$V,2,0),"")</f>
        <v/>
      </c>
      <c r="C60" s="360" t="str">
        <f>IFERROR(VLOOKUP($A60,'Cálculos Comparativos'!$A:$V,9,0)&amp;" "&amp;if(VLOOKUP($A60,'Cálculos Comparativos'!$A:$V,10,0)="Indiferente","",VLOOKUP($A60,'Cálculos Comparativos'!$A:$V,10,0)),"")</f>
        <v/>
      </c>
      <c r="D60" s="361" t="str">
        <f>IFERROR(VLOOKUP(A60,'Cálculos Comparativos'!A:N,3,0),"")</f>
        <v/>
      </c>
      <c r="E60" s="362" t="str">
        <f>IFERROR(IFS($B$5="Mediana",VLOOKUP(A60,'Cálculos Comparativos'!A:V,17,0),$B$5="Menor Salário",VLOOKUP(A60,'Cálculos Comparativos'!A:V,14,0),$B$5="1º Quartil",VLOOKUP(A60,'Cálculos Comparativos'!A:V,15,0),$B$5="Média",VLOOKUP(A60,'Cálculos Comparativos'!A:V,16,0),$B$5="3º Quartil",VLOOKUP(A60,'Cálculos Comparativos'!A:V,18,0),$B$5="Maior Salário",VLOOKUP(A60,'Cálculos Comparativos'!A:V,19,0)),"")</f>
        <v/>
      </c>
      <c r="F60" s="304" t="str">
        <f>IFERROR(VLOOKUP($A60,'Cálculos Comparativos'!$A:$V,20,0),"")</f>
        <v/>
      </c>
      <c r="G60" s="425" t="str">
        <f>IFERROR(VLOOKUP($A60,'Cálculos Comparativos'!$A:$V,20,0),"")</f>
        <v/>
      </c>
      <c r="H60" s="426"/>
      <c r="I60" s="427"/>
      <c r="J60" s="428"/>
      <c r="K60" s="297"/>
    </row>
    <row r="61">
      <c r="A61" s="407"/>
      <c r="B61" s="360" t="str">
        <f>IFERROR(VLOOKUP($A61,'Cálculos Comparativos'!$A:$V,2,0),"")</f>
        <v/>
      </c>
      <c r="C61" s="360" t="str">
        <f>IFERROR(VLOOKUP($A61,'Cálculos Comparativos'!$A:$V,9,0)&amp;" "&amp;if(VLOOKUP($A61,'Cálculos Comparativos'!$A:$V,10,0)="Indiferente","",VLOOKUP($A61,'Cálculos Comparativos'!$A:$V,10,0)),"")</f>
        <v/>
      </c>
      <c r="D61" s="361" t="str">
        <f>IFERROR(VLOOKUP(A61,'Cálculos Comparativos'!A:N,3,0),"")</f>
        <v/>
      </c>
      <c r="E61" s="362" t="str">
        <f>IFERROR(IFS($B$5="Mediana",VLOOKUP(A61,'Cálculos Comparativos'!A:V,17,0),$B$5="Menor Salário",VLOOKUP(A61,'Cálculos Comparativos'!A:V,14,0),$B$5="1º Quartil",VLOOKUP(A61,'Cálculos Comparativos'!A:V,15,0),$B$5="Média",VLOOKUP(A61,'Cálculos Comparativos'!A:V,16,0),$B$5="3º Quartil",VLOOKUP(A61,'Cálculos Comparativos'!A:V,18,0),$B$5="Maior Salário",VLOOKUP(A61,'Cálculos Comparativos'!A:V,19,0)),"")</f>
        <v/>
      </c>
      <c r="F61" s="304" t="str">
        <f>IFERROR(VLOOKUP($A61,'Cálculos Comparativos'!$A:$V,20,0),"")</f>
        <v/>
      </c>
      <c r="G61" s="425" t="str">
        <f>IFERROR(VLOOKUP($A61,'Cálculos Comparativos'!$A:$V,20,0),"")</f>
        <v/>
      </c>
      <c r="H61" s="426"/>
      <c r="I61" s="427"/>
      <c r="J61" s="428"/>
      <c r="K61" s="297"/>
    </row>
    <row r="62">
      <c r="A62" s="407"/>
      <c r="B62" s="360" t="str">
        <f>IFERROR(VLOOKUP($A62,'Cálculos Comparativos'!$A:$V,2,0),"")</f>
        <v/>
      </c>
      <c r="C62" s="360" t="str">
        <f>IFERROR(VLOOKUP($A62,'Cálculos Comparativos'!$A:$V,9,0)&amp;" "&amp;if(VLOOKUP($A62,'Cálculos Comparativos'!$A:$V,10,0)="Indiferente","",VLOOKUP($A62,'Cálculos Comparativos'!$A:$V,10,0)),"")</f>
        <v/>
      </c>
      <c r="D62" s="361" t="str">
        <f>IFERROR(VLOOKUP(A62,'Cálculos Comparativos'!A:N,3,0),"")</f>
        <v/>
      </c>
      <c r="E62" s="362" t="str">
        <f>IFERROR(IFS($B$5="Mediana",VLOOKUP(A62,'Cálculos Comparativos'!A:V,17,0),$B$5="Menor Salário",VLOOKUP(A62,'Cálculos Comparativos'!A:V,14,0),$B$5="1º Quartil",VLOOKUP(A62,'Cálculos Comparativos'!A:V,15,0),$B$5="Média",VLOOKUP(A62,'Cálculos Comparativos'!A:V,16,0),$B$5="3º Quartil",VLOOKUP(A62,'Cálculos Comparativos'!A:V,18,0),$B$5="Maior Salário",VLOOKUP(A62,'Cálculos Comparativos'!A:V,19,0)),"")</f>
        <v/>
      </c>
      <c r="F62" s="304" t="str">
        <f>IFERROR(VLOOKUP($A62,'Cálculos Comparativos'!$A:$V,20,0),"")</f>
        <v/>
      </c>
      <c r="G62" s="425" t="str">
        <f>IFERROR(VLOOKUP($A62,'Cálculos Comparativos'!$A:$V,20,0),"")</f>
        <v/>
      </c>
      <c r="H62" s="426"/>
      <c r="I62" s="427"/>
      <c r="J62" s="428"/>
      <c r="K62" s="297"/>
    </row>
    <row r="64">
      <c r="B64" s="432" t="s">
        <v>422</v>
      </c>
      <c r="C64" s="348"/>
      <c r="D64" s="348"/>
      <c r="E64" s="348"/>
      <c r="F64" s="348"/>
      <c r="G64" s="348"/>
      <c r="H64" s="348"/>
      <c r="I64" s="348"/>
      <c r="J64" s="348"/>
      <c r="K64" s="348"/>
      <c r="L64" s="348"/>
      <c r="M64" s="349"/>
    </row>
    <row r="65">
      <c r="B65" s="433"/>
      <c r="C65" s="433"/>
      <c r="D65" s="433"/>
      <c r="E65" s="434"/>
      <c r="F65" s="433"/>
      <c r="G65" s="433"/>
      <c r="H65" s="433"/>
      <c r="I65" s="433"/>
      <c r="J65" s="433"/>
      <c r="K65" s="433"/>
    </row>
    <row r="66">
      <c r="B66" s="433"/>
      <c r="C66" s="433"/>
      <c r="D66" s="433"/>
      <c r="E66" s="434"/>
      <c r="F66" s="433"/>
      <c r="G66" s="433"/>
      <c r="H66" s="433"/>
      <c r="I66" s="433"/>
      <c r="J66" s="433"/>
      <c r="K66" s="433"/>
    </row>
    <row r="67">
      <c r="B67" s="433"/>
      <c r="C67" s="433"/>
      <c r="D67" s="433"/>
      <c r="E67" s="434"/>
      <c r="F67" s="433"/>
      <c r="G67" s="433"/>
      <c r="H67" s="433"/>
      <c r="I67" s="433"/>
      <c r="J67" s="433"/>
      <c r="K67" s="433"/>
    </row>
    <row r="68">
      <c r="B68" s="433"/>
      <c r="C68" s="433"/>
      <c r="D68" s="433"/>
      <c r="E68" s="434"/>
      <c r="F68" s="433"/>
      <c r="G68" s="433"/>
      <c r="H68" s="433"/>
      <c r="I68" s="433"/>
      <c r="J68" s="433"/>
      <c r="K68" s="433"/>
    </row>
    <row r="69">
      <c r="B69" s="433"/>
      <c r="C69" s="433"/>
      <c r="D69" s="433"/>
      <c r="E69" s="434"/>
      <c r="F69" s="433"/>
      <c r="G69" s="433"/>
      <c r="H69" s="433"/>
      <c r="I69" s="433"/>
      <c r="J69" s="433"/>
      <c r="K69" s="433"/>
    </row>
    <row r="70">
      <c r="B70" s="433"/>
      <c r="C70" s="433"/>
      <c r="D70" s="433"/>
      <c r="E70" s="434"/>
      <c r="F70" s="433"/>
      <c r="G70" s="433"/>
      <c r="H70" s="433"/>
      <c r="I70" s="433"/>
      <c r="J70" s="433"/>
      <c r="K70" s="433"/>
    </row>
    <row r="71">
      <c r="B71" s="433"/>
      <c r="C71" s="433"/>
      <c r="D71" s="433"/>
      <c r="E71" s="434"/>
      <c r="F71" s="433"/>
      <c r="G71" s="433"/>
      <c r="H71" s="433"/>
      <c r="I71" s="433"/>
      <c r="J71" s="433"/>
      <c r="K71" s="433"/>
    </row>
    <row r="72">
      <c r="B72" s="433"/>
      <c r="C72" s="433"/>
      <c r="D72" s="433"/>
      <c r="E72" s="434"/>
      <c r="F72" s="433"/>
      <c r="G72" s="433"/>
      <c r="H72" s="433"/>
      <c r="I72" s="433"/>
      <c r="J72" s="433"/>
      <c r="K72" s="433"/>
    </row>
    <row r="73">
      <c r="B73" s="433"/>
      <c r="C73" s="433"/>
      <c r="D73" s="433"/>
      <c r="E73" s="434"/>
      <c r="F73" s="433"/>
      <c r="G73" s="433"/>
      <c r="H73" s="433"/>
      <c r="I73" s="433"/>
      <c r="J73" s="433"/>
      <c r="K73" s="433"/>
    </row>
    <row r="74">
      <c r="B74" s="433"/>
      <c r="C74" s="433"/>
      <c r="D74" s="433"/>
      <c r="E74" s="434"/>
      <c r="F74" s="433"/>
      <c r="G74" s="433"/>
      <c r="H74" s="433"/>
      <c r="I74" s="433"/>
      <c r="J74" s="433"/>
      <c r="K74" s="433"/>
    </row>
    <row r="75">
      <c r="B75" s="433"/>
      <c r="C75" s="433"/>
      <c r="D75" s="433"/>
      <c r="E75" s="434"/>
      <c r="F75" s="433"/>
      <c r="G75" s="433"/>
      <c r="H75" s="433"/>
      <c r="I75" s="433"/>
      <c r="J75" s="433"/>
      <c r="K75" s="433"/>
    </row>
    <row r="76">
      <c r="B76" s="433"/>
      <c r="C76" s="433"/>
      <c r="D76" s="433"/>
      <c r="E76" s="434"/>
      <c r="F76" s="433"/>
      <c r="G76" s="433"/>
      <c r="H76" s="433"/>
      <c r="I76" s="433"/>
      <c r="J76" s="433"/>
      <c r="K76" s="433"/>
    </row>
    <row r="77">
      <c r="B77" s="433"/>
      <c r="C77" s="433"/>
      <c r="D77" s="433"/>
      <c r="E77" s="434"/>
      <c r="F77" s="433"/>
      <c r="G77" s="433"/>
      <c r="H77" s="433"/>
      <c r="I77" s="433"/>
      <c r="J77" s="433"/>
      <c r="K77" s="433"/>
    </row>
    <row r="78">
      <c r="B78" s="433"/>
      <c r="C78" s="433"/>
      <c r="D78" s="433"/>
      <c r="E78" s="434"/>
      <c r="F78" s="433"/>
      <c r="G78" s="433"/>
      <c r="H78" s="433"/>
      <c r="I78" s="433"/>
      <c r="J78" s="433"/>
      <c r="K78" s="433"/>
    </row>
    <row r="79">
      <c r="B79" s="433"/>
      <c r="C79" s="433"/>
      <c r="D79" s="433"/>
      <c r="E79" s="434"/>
      <c r="F79" s="433"/>
      <c r="G79" s="433"/>
      <c r="H79" s="433"/>
      <c r="I79" s="433"/>
      <c r="J79" s="433"/>
      <c r="K79" s="433"/>
    </row>
    <row r="80">
      <c r="B80" s="433"/>
      <c r="C80" s="433"/>
      <c r="D80" s="433"/>
      <c r="E80" s="434"/>
      <c r="F80" s="433"/>
      <c r="G80" s="433"/>
      <c r="H80" s="433"/>
      <c r="I80" s="433"/>
      <c r="J80" s="433"/>
      <c r="K80" s="433"/>
    </row>
    <row r="81">
      <c r="B81" s="433"/>
      <c r="C81" s="433"/>
      <c r="D81" s="433"/>
      <c r="E81" s="434"/>
      <c r="F81" s="433"/>
      <c r="G81" s="433"/>
      <c r="H81" s="433"/>
      <c r="I81" s="433"/>
      <c r="J81" s="433"/>
      <c r="K81" s="433"/>
    </row>
    <row r="82">
      <c r="B82" s="433"/>
      <c r="C82" s="433"/>
      <c r="D82" s="433"/>
      <c r="E82" s="434"/>
      <c r="F82" s="433"/>
      <c r="G82" s="433"/>
      <c r="H82" s="433"/>
      <c r="I82" s="433"/>
      <c r="J82" s="433"/>
      <c r="K82" s="433"/>
    </row>
    <row r="83">
      <c r="B83" s="433"/>
      <c r="C83" s="433"/>
      <c r="D83" s="433"/>
      <c r="E83" s="434"/>
      <c r="F83" s="433"/>
      <c r="G83" s="433"/>
      <c r="H83" s="433"/>
      <c r="I83" s="433"/>
      <c r="J83" s="433"/>
      <c r="K83" s="433"/>
    </row>
    <row r="84">
      <c r="B84" s="433"/>
      <c r="C84" s="433"/>
      <c r="D84" s="433"/>
      <c r="E84" s="434"/>
      <c r="F84" s="433"/>
      <c r="G84" s="433"/>
      <c r="H84" s="433"/>
      <c r="I84" s="433"/>
      <c r="J84" s="433"/>
      <c r="K84" s="433"/>
    </row>
    <row r="85">
      <c r="B85" s="433"/>
      <c r="C85" s="433"/>
      <c r="D85" s="433"/>
      <c r="E85" s="434"/>
      <c r="F85" s="433"/>
      <c r="G85" s="433"/>
      <c r="H85" s="433"/>
      <c r="I85" s="433"/>
      <c r="J85" s="433"/>
      <c r="K85" s="433"/>
    </row>
    <row r="86">
      <c r="B86" s="433"/>
      <c r="C86" s="433"/>
      <c r="D86" s="433"/>
      <c r="E86" s="434"/>
      <c r="F86" s="433"/>
      <c r="G86" s="433"/>
      <c r="H86" s="433"/>
      <c r="I86" s="433"/>
      <c r="J86" s="433"/>
      <c r="K86" s="433"/>
    </row>
    <row r="87">
      <c r="B87" s="435" t="s">
        <v>423</v>
      </c>
      <c r="C87" s="435" t="s">
        <v>424</v>
      </c>
      <c r="D87" s="435"/>
      <c r="E87" s="436"/>
      <c r="F87" s="435" t="s">
        <v>389</v>
      </c>
      <c r="G87" s="435" t="s">
        <v>391</v>
      </c>
      <c r="H87" s="435" t="s">
        <v>393</v>
      </c>
      <c r="I87" s="435" t="s">
        <v>395</v>
      </c>
      <c r="J87" s="435" t="s">
        <v>397</v>
      </c>
      <c r="K87" s="435" t="s">
        <v>399</v>
      </c>
    </row>
    <row r="88">
      <c r="B88" s="437" t="str">
        <f t="shared" ref="B88:B117" si="4">A32</f>
        <v>13</v>
      </c>
      <c r="C88" s="438" t="str">
        <f>IFERROR(VLOOKUP(B88,'Cálculos Comparativos'!A:B,2,0),"")</f>
        <v>ASSISTENTE ADMINISTRATIVO lll</v>
      </c>
      <c r="D88" s="439" t="s">
        <v>425</v>
      </c>
      <c r="E88" s="440" t="str">
        <f t="shared" ref="E88:E117" si="5">IF(C88="","",C88&amp;" "&amp;D88)</f>
        <v>ASSISTENTE ADMINISTRATIVO lll - C-01</v>
      </c>
      <c r="F88" s="439">
        <f>IF(E88="","",IFERROR(COUNTIFS('Comparativo por Funcionário'!A:A,B88,'Comparativo por Funcionário'!U:U,F$87),0))</f>
        <v>0</v>
      </c>
      <c r="G88" s="439">
        <f>IF(E88="","",IFERROR(COUNTIFS('Comparativo por Funcionário'!$A:$A,$B88,'Comparativo por Funcionário'!$U:$U,G$87),0))</f>
        <v>0</v>
      </c>
      <c r="H88" s="439">
        <f>IF(E88="","",IFERROR(COUNTIFS('Comparativo por Funcionário'!$A:$A,$B88,'Comparativo por Funcionário'!$U:$U,H$87),0))</f>
        <v>0</v>
      </c>
      <c r="I88" s="439">
        <f>IF(E88="","",IFERROR(COUNTIFS('Comparativo por Funcionário'!$A:$A,$B88,'Comparativo por Funcionário'!$U:$U,I$87),0))</f>
        <v>0</v>
      </c>
      <c r="J88" s="439">
        <f>IF(E88="","",IFERROR(COUNTIFS('Comparativo por Funcionário'!$A:$A,$B88,'Comparativo por Funcionário'!$U:$U,J$87),0))</f>
        <v>0</v>
      </c>
      <c r="K88" s="439">
        <f>IF(E88="","",IFERROR(COUNTIFS('Comparativo por Funcionário'!$A:$A,$B88,'Comparativo por Funcionário'!$U:$U,K$87),0))</f>
        <v>1</v>
      </c>
    </row>
    <row r="89">
      <c r="B89" s="441" t="str">
        <f t="shared" si="4"/>
        <v>20</v>
      </c>
      <c r="C89" s="442" t="str">
        <f>IFERROR(VLOOKUP(B89,'Cálculos Comparativos'!A:B,2,0),"")</f>
        <v>AUXILIAR ADMINISTRATIVO</v>
      </c>
      <c r="D89" s="443" t="s">
        <v>425</v>
      </c>
      <c r="E89" s="444" t="str">
        <f t="shared" si="5"/>
        <v>AUXILIAR ADMINISTRATIVO - C-01</v>
      </c>
      <c r="F89" s="443">
        <f>IF(E89="","",IFERROR(COUNTIFS('Comparativo por Funcionário'!A:A,B89,'Comparativo por Funcionário'!U:U,F$87),0))</f>
        <v>0</v>
      </c>
      <c r="G89" s="443">
        <f>IF(E89="","",IFERROR(COUNTIFS('Comparativo por Funcionário'!$A:$A,$B89,'Comparativo por Funcionário'!$U:$U,G$87),0))</f>
        <v>0</v>
      </c>
      <c r="H89" s="443">
        <f>IF(E89="","",IFERROR(COUNTIFS('Comparativo por Funcionário'!$A:$A,$B89,'Comparativo por Funcionário'!$U:$U,H$87),0))</f>
        <v>1</v>
      </c>
      <c r="I89" s="443">
        <f>IF(E89="","",IFERROR(COUNTIFS('Comparativo por Funcionário'!$A:$A,$B89,'Comparativo por Funcionário'!$U:$U,I$87),0))</f>
        <v>0</v>
      </c>
      <c r="J89" s="443">
        <f>IF(E89="","",IFERROR(COUNTIFS('Comparativo por Funcionário'!$A:$A,$B89,'Comparativo por Funcionário'!$U:$U,J$87),0))</f>
        <v>0</v>
      </c>
      <c r="K89" s="443">
        <f>IF(E89="","",IFERROR(COUNTIFS('Comparativo por Funcionário'!$A:$A,$B89,'Comparativo por Funcionário'!$U:$U,K$87),0))</f>
        <v>0</v>
      </c>
    </row>
    <row r="90">
      <c r="B90" s="437" t="str">
        <f t="shared" si="4"/>
        <v>21</v>
      </c>
      <c r="C90" s="438" t="str">
        <f>IFERROR(VLOOKUP(B90,'Cálculos Comparativos'!A:B,2,0),"")</f>
        <v>AUXILIAR ADMINISTRATIVO III</v>
      </c>
      <c r="D90" s="439" t="s">
        <v>425</v>
      </c>
      <c r="E90" s="440" t="str">
        <f t="shared" si="5"/>
        <v>AUXILIAR ADMINISTRATIVO III - C-01</v>
      </c>
      <c r="F90" s="439">
        <f>IF(E90="","",IFERROR(COUNTIFS('Comparativo por Funcionário'!A:A,B90,'Comparativo por Funcionário'!U:U,F$87),0))</f>
        <v>0</v>
      </c>
      <c r="G90" s="439">
        <f>IF(E90="","",IFERROR(COUNTIFS('Comparativo por Funcionário'!$A:$A,$B90,'Comparativo por Funcionário'!$U:$U,G$87),0))</f>
        <v>0</v>
      </c>
      <c r="H90" s="439">
        <f>IF(E90="","",IFERROR(COUNTIFS('Comparativo por Funcionário'!$A:$A,$B90,'Comparativo por Funcionário'!$U:$U,H$87),0))</f>
        <v>0</v>
      </c>
      <c r="I90" s="439">
        <f>IF(E90="","",IFERROR(COUNTIFS('Comparativo por Funcionário'!$A:$A,$B90,'Comparativo por Funcionário'!$U:$U,I$87),0))</f>
        <v>0</v>
      </c>
      <c r="J90" s="439">
        <f>IF(E90="","",IFERROR(COUNTIFS('Comparativo por Funcionário'!$A:$A,$B90,'Comparativo por Funcionário'!$U:$U,J$87),0))</f>
        <v>1</v>
      </c>
      <c r="K90" s="439">
        <f>IF(E90="","",IFERROR(COUNTIFS('Comparativo por Funcionário'!$A:$A,$B90,'Comparativo por Funcionário'!$U:$U,K$87),0))</f>
        <v>0</v>
      </c>
    </row>
    <row r="91">
      <c r="A91" s="445"/>
      <c r="B91" s="441" t="str">
        <f t="shared" si="4"/>
        <v>39</v>
      </c>
      <c r="C91" s="442" t="str">
        <f>IFERROR(VLOOKUP(B91,'Cálculos Comparativos'!A:B,2,0),"")</f>
        <v>ESTAGIÁRIO(A) ADM</v>
      </c>
      <c r="D91" s="443" t="s">
        <v>425</v>
      </c>
      <c r="E91" s="444" t="str">
        <f t="shared" si="5"/>
        <v>ESTAGIÁRIO(A) ADM - C-01</v>
      </c>
      <c r="F91" s="443">
        <f>IF(E91="","",IFERROR(COUNTIFS('Comparativo por Funcionário'!A:A,B91,'Comparativo por Funcionário'!U:U,F$87),0))</f>
        <v>0</v>
      </c>
      <c r="G91" s="443">
        <f>IF(E91="","",IFERROR(COUNTIFS('Comparativo por Funcionário'!$A:$A,$B91,'Comparativo por Funcionário'!$U:$U,G$87),0))</f>
        <v>1</v>
      </c>
      <c r="H91" s="443">
        <f>IF(E91="","",IFERROR(COUNTIFS('Comparativo por Funcionário'!$A:$A,$B91,'Comparativo por Funcionário'!$U:$U,H$87),0))</f>
        <v>0</v>
      </c>
      <c r="I91" s="443">
        <f>IF(E91="","",IFERROR(COUNTIFS('Comparativo por Funcionário'!$A:$A,$B91,'Comparativo por Funcionário'!$U:$U,I$87),0))</f>
        <v>0</v>
      </c>
      <c r="J91" s="443">
        <f>IF(E91="","",IFERROR(COUNTIFS('Comparativo por Funcionário'!$A:$A,$B91,'Comparativo por Funcionário'!$U:$U,J$87),0))</f>
        <v>0</v>
      </c>
      <c r="K91" s="443">
        <f>IF(E91="","",IFERROR(COUNTIFS('Comparativo por Funcionário'!$A:$A,$B91,'Comparativo por Funcionário'!$U:$U,K$87),0))</f>
        <v>0</v>
      </c>
    </row>
    <row r="92">
      <c r="A92" s="445"/>
      <c r="B92" s="437" t="str">
        <f t="shared" si="4"/>
        <v>42</v>
      </c>
      <c r="C92" s="438" t="str">
        <f>IFERROR(VLOOKUP(B92,'Cálculos Comparativos'!A:B,2,0),"")</f>
        <v>GERENTE ADMINISTRATIVA </v>
      </c>
      <c r="D92" s="439" t="s">
        <v>425</v>
      </c>
      <c r="E92" s="440" t="str">
        <f t="shared" si="5"/>
        <v>GERENTE ADMINISTRATIVA  - C-01</v>
      </c>
      <c r="F92" s="439">
        <f>IF(E92="","",IFERROR(COUNTIFS('Comparativo por Funcionário'!A:A,B92,'Comparativo por Funcionário'!U:U,F$87),0))</f>
        <v>0</v>
      </c>
      <c r="G92" s="439">
        <f>IF(E92="","",IFERROR(COUNTIFS('Comparativo por Funcionário'!$A:$A,$B92,'Comparativo por Funcionário'!$U:$U,G$87),0))</f>
        <v>0</v>
      </c>
      <c r="H92" s="439">
        <f>IF(E92="","",IFERROR(COUNTIFS('Comparativo por Funcionário'!$A:$A,$B92,'Comparativo por Funcionário'!$U:$U,H$87),0))</f>
        <v>0</v>
      </c>
      <c r="I92" s="439">
        <f>IF(E92="","",IFERROR(COUNTIFS('Comparativo por Funcionário'!$A:$A,$B92,'Comparativo por Funcionário'!$U:$U,I$87),0))</f>
        <v>0</v>
      </c>
      <c r="J92" s="439">
        <f>IF(E92="","",IFERROR(COUNTIFS('Comparativo por Funcionário'!$A:$A,$B92,'Comparativo por Funcionário'!$U:$U,J$87),0))</f>
        <v>0</v>
      </c>
      <c r="K92" s="439">
        <f>IF(E92="","",IFERROR(COUNTIFS('Comparativo por Funcionário'!$A:$A,$B92,'Comparativo por Funcionário'!$U:$U,K$87),0))</f>
        <v>1</v>
      </c>
    </row>
    <row r="93">
      <c r="A93" s="244"/>
      <c r="B93" s="441" t="str">
        <f t="shared" si="4"/>
        <v>22</v>
      </c>
      <c r="C93" s="442" t="str">
        <f>IFERROR(VLOOKUP(B93,'Cálculos Comparativos'!A:B,2,0),"")</f>
        <v>AUXILIAR DE ATENDIMENTO II</v>
      </c>
      <c r="D93" s="443" t="s">
        <v>425</v>
      </c>
      <c r="E93" s="444" t="str">
        <f t="shared" si="5"/>
        <v>AUXILIAR DE ATENDIMENTO II - C-01</v>
      </c>
      <c r="F93" s="443">
        <f>IF(E93="","",IFERROR(COUNTIFS('Comparativo por Funcionário'!A:A,B93,'Comparativo por Funcionário'!U:U,F$87),0))</f>
        <v>0</v>
      </c>
      <c r="G93" s="443">
        <f>IF(E93="","",IFERROR(COUNTIFS('Comparativo por Funcionário'!$A:$A,$B93,'Comparativo por Funcionário'!$U:$U,G$87),0))</f>
        <v>0</v>
      </c>
      <c r="H93" s="443">
        <f>IF(E93="","",IFERROR(COUNTIFS('Comparativo por Funcionário'!$A:$A,$B93,'Comparativo por Funcionário'!$U:$U,H$87),0))</f>
        <v>0</v>
      </c>
      <c r="I93" s="443">
        <f>IF(E93="","",IFERROR(COUNTIFS('Comparativo por Funcionário'!$A:$A,$B93,'Comparativo por Funcionário'!$U:$U,I$87),0))</f>
        <v>0</v>
      </c>
      <c r="J93" s="443">
        <f>IF(E93="","",IFERROR(COUNTIFS('Comparativo por Funcionário'!$A:$A,$B93,'Comparativo por Funcionário'!$U:$U,J$87),0))</f>
        <v>0</v>
      </c>
      <c r="K93" s="443">
        <f>IF(E93="","",IFERROR(COUNTIFS('Comparativo por Funcionário'!$A:$A,$B93,'Comparativo por Funcionário'!$U:$U,K$87),0))</f>
        <v>1</v>
      </c>
    </row>
    <row r="94">
      <c r="A94" s="244"/>
      <c r="B94" s="437" t="str">
        <f t="shared" si="4"/>
        <v>2</v>
      </c>
      <c r="C94" s="438" t="str">
        <f>IFERROR(VLOOKUP(B94,'Cálculos Comparativos'!A:B,2,0),"")</f>
        <v>ANALISTA DE COMPRAS</v>
      </c>
      <c r="D94" s="439" t="s">
        <v>425</v>
      </c>
      <c r="E94" s="440" t="str">
        <f t="shared" si="5"/>
        <v>ANALISTA DE COMPRAS - C-01</v>
      </c>
      <c r="F94" s="439">
        <f>IF(E94="","",IFERROR(COUNTIFS('Comparativo por Funcionário'!A:A,B94,'Comparativo por Funcionário'!U:U,F$87),0))</f>
        <v>1</v>
      </c>
      <c r="G94" s="439">
        <f>IF(E94="","",IFERROR(COUNTIFS('Comparativo por Funcionário'!$A:$A,$B94,'Comparativo por Funcionário'!$U:$U,G$87),0))</f>
        <v>0</v>
      </c>
      <c r="H94" s="439">
        <f>IF(E94="","",IFERROR(COUNTIFS('Comparativo por Funcionário'!$A:$A,$B94,'Comparativo por Funcionário'!$U:$U,H$87),0))</f>
        <v>0</v>
      </c>
      <c r="I94" s="439">
        <f>IF(E94="","",IFERROR(COUNTIFS('Comparativo por Funcionário'!$A:$A,$B94,'Comparativo por Funcionário'!$U:$U,I$87),0))</f>
        <v>0</v>
      </c>
      <c r="J94" s="439">
        <f>IF(E94="","",IFERROR(COUNTIFS('Comparativo por Funcionário'!$A:$A,$B94,'Comparativo por Funcionário'!$U:$U,J$87),0))</f>
        <v>0</v>
      </c>
      <c r="K94" s="439">
        <f>IF(E94="","",IFERROR(COUNTIFS('Comparativo por Funcionário'!$A:$A,$B94,'Comparativo por Funcionário'!$U:$U,K$87),0))</f>
        <v>0</v>
      </c>
    </row>
    <row r="95">
      <c r="A95" s="244"/>
      <c r="B95" s="441" t="str">
        <f t="shared" si="4"/>
        <v>31</v>
      </c>
      <c r="C95" s="442" t="str">
        <f>IFERROR(VLOOKUP(B95,'Cálculos Comparativos'!A:B,2,0),"")</f>
        <v>COORDENADOR DE SUPRIMENTOS</v>
      </c>
      <c r="D95" s="443" t="s">
        <v>425</v>
      </c>
      <c r="E95" s="444" t="str">
        <f t="shared" si="5"/>
        <v>COORDENADOR DE SUPRIMENTOS - C-01</v>
      </c>
      <c r="F95" s="443">
        <f>IF(E95="","",IFERROR(COUNTIFS('Comparativo por Funcionário'!A:A,B95,'Comparativo por Funcionário'!U:U,F$87),0))</f>
        <v>0</v>
      </c>
      <c r="G95" s="443">
        <f>IF(E95="","",IFERROR(COUNTIFS('Comparativo por Funcionário'!$A:$A,$B95,'Comparativo por Funcionário'!$U:$U,G$87),0))</f>
        <v>0</v>
      </c>
      <c r="H95" s="443">
        <f>IF(E95="","",IFERROR(COUNTIFS('Comparativo por Funcionário'!$A:$A,$B95,'Comparativo por Funcionário'!$U:$U,H$87),0))</f>
        <v>1</v>
      </c>
      <c r="I95" s="443">
        <f>IF(E95="","",IFERROR(COUNTIFS('Comparativo por Funcionário'!$A:$A,$B95,'Comparativo por Funcionário'!$U:$U,I$87),0))</f>
        <v>0</v>
      </c>
      <c r="J95" s="443">
        <f>IF(E95="","",IFERROR(COUNTIFS('Comparativo por Funcionário'!$A:$A,$B95,'Comparativo por Funcionário'!$U:$U,J$87),0))</f>
        <v>0</v>
      </c>
      <c r="K95" s="443">
        <f>IF(E95="","",IFERROR(COUNTIFS('Comparativo por Funcionário'!$A:$A,$B95,'Comparativo por Funcionário'!$U:$U,K$87),0))</f>
        <v>0</v>
      </c>
    </row>
    <row r="96">
      <c r="A96" s="244"/>
      <c r="B96" s="437" t="str">
        <f t="shared" si="4"/>
        <v>18</v>
      </c>
      <c r="C96" s="438" t="str">
        <f>IFERROR(VLOOKUP(B96,'Cálculos Comparativos'!A:B,2,0),"")</f>
        <v>ASSISTENTE DE TI</v>
      </c>
      <c r="D96" s="439" t="s">
        <v>425</v>
      </c>
      <c r="E96" s="440" t="str">
        <f t="shared" si="5"/>
        <v>ASSISTENTE DE TI - C-01</v>
      </c>
      <c r="F96" s="439">
        <f>IF(E96="","",IFERROR(COUNTIFS('Comparativo por Funcionário'!A:A,B96,'Comparativo por Funcionário'!U:U,F$87),0))</f>
        <v>0</v>
      </c>
      <c r="G96" s="439">
        <f>IF(E96="","",IFERROR(COUNTIFS('Comparativo por Funcionário'!$A:$A,$B96,'Comparativo por Funcionário'!$U:$U,G$87),0))</f>
        <v>0</v>
      </c>
      <c r="H96" s="439">
        <f>IF(E96="","",IFERROR(COUNTIFS('Comparativo por Funcionário'!$A:$A,$B96,'Comparativo por Funcionário'!$U:$U,H$87),0))</f>
        <v>0</v>
      </c>
      <c r="I96" s="439">
        <f>IF(E96="","",IFERROR(COUNTIFS('Comparativo por Funcionário'!$A:$A,$B96,'Comparativo por Funcionário'!$U:$U,I$87),0))</f>
        <v>0</v>
      </c>
      <c r="J96" s="439">
        <f>IF(E96="","",IFERROR(COUNTIFS('Comparativo por Funcionário'!$A:$A,$B96,'Comparativo por Funcionário'!$U:$U,J$87),0))</f>
        <v>0</v>
      </c>
      <c r="K96" s="439">
        <f>IF(E96="","",IFERROR(COUNTIFS('Comparativo por Funcionário'!$A:$A,$B96,'Comparativo por Funcionário'!$U:$U,K$87),0))</f>
        <v>1</v>
      </c>
    </row>
    <row r="97">
      <c r="A97" s="244"/>
      <c r="B97" s="441" t="str">
        <f t="shared" si="4"/>
        <v/>
      </c>
      <c r="C97" s="442" t="str">
        <f>IFERROR(VLOOKUP(B97,'Cálculos Comparativos'!A:B,2,0),"")</f>
        <v/>
      </c>
      <c r="D97" s="443" t="s">
        <v>425</v>
      </c>
      <c r="E97" s="444" t="str">
        <f t="shared" si="5"/>
        <v/>
      </c>
      <c r="F97" s="443" t="str">
        <f>IF(E97="","",IFERROR(COUNTIFS('Comparativo por Funcionário'!A:A,B97,'Comparativo por Funcionário'!U:U,F$87),0))</f>
        <v/>
      </c>
      <c r="G97" s="443" t="str">
        <f>IF(E97="","",IFERROR(COUNTIFS('Comparativo por Funcionário'!$A:$A,$B97,'Comparativo por Funcionário'!$U:$U,G$87),0))</f>
        <v/>
      </c>
      <c r="H97" s="443" t="str">
        <f>IF(E97="","",IFERROR(COUNTIFS('Comparativo por Funcionário'!$A:$A,$B97,'Comparativo por Funcionário'!$U:$U,H$87),0))</f>
        <v/>
      </c>
      <c r="I97" s="443" t="str">
        <f>IF(E97="","",IFERROR(COUNTIFS('Comparativo por Funcionário'!$A:$A,$B97,'Comparativo por Funcionário'!$U:$U,I$87),0))</f>
        <v/>
      </c>
      <c r="J97" s="443" t="str">
        <f>IF(E97="","",IFERROR(COUNTIFS('Comparativo por Funcionário'!$A:$A,$B97,'Comparativo por Funcionário'!$U:$U,J$87),0))</f>
        <v/>
      </c>
      <c r="K97" s="443" t="str">
        <f>IF(E97="","",IFERROR(COUNTIFS('Comparativo por Funcionário'!$A:$A,$B97,'Comparativo por Funcionário'!$U:$U,K$87),0))</f>
        <v/>
      </c>
    </row>
    <row r="98">
      <c r="A98" s="244"/>
      <c r="B98" s="437" t="str">
        <f t="shared" si="4"/>
        <v/>
      </c>
      <c r="C98" s="438" t="str">
        <f>IFERROR(VLOOKUP(B98,'Cálculos Comparativos'!A:B,2,0),"")</f>
        <v/>
      </c>
      <c r="D98" s="439" t="s">
        <v>425</v>
      </c>
      <c r="E98" s="440" t="str">
        <f t="shared" si="5"/>
        <v/>
      </c>
      <c r="F98" s="439" t="str">
        <f>IF(E98="","",IFERROR(COUNTIFS('Comparativo por Funcionário'!A:A,B98,'Comparativo por Funcionário'!U:U,F$87),0))</f>
        <v/>
      </c>
      <c r="G98" s="439" t="str">
        <f>IF(E98="","",IFERROR(COUNTIFS('Comparativo por Funcionário'!$A:$A,$B98,'Comparativo por Funcionário'!$U:$U,G$87),0))</f>
        <v/>
      </c>
      <c r="H98" s="439" t="str">
        <f>IF(E98="","",IFERROR(COUNTIFS('Comparativo por Funcionário'!$A:$A,$B98,'Comparativo por Funcionário'!$U:$U,H$87),0))</f>
        <v/>
      </c>
      <c r="I98" s="439" t="str">
        <f>IF(E98="","",IFERROR(COUNTIFS('Comparativo por Funcionário'!$A:$A,$B98,'Comparativo por Funcionário'!$U:$U,I$87),0))</f>
        <v/>
      </c>
      <c r="J98" s="439" t="str">
        <f>IF(E98="","",IFERROR(COUNTIFS('Comparativo por Funcionário'!$A:$A,$B98,'Comparativo por Funcionário'!$U:$U,J$87),0))</f>
        <v/>
      </c>
      <c r="K98" s="439" t="str">
        <f>IF(E98="","",IFERROR(COUNTIFS('Comparativo por Funcionário'!$A:$A,$B98,'Comparativo por Funcionário'!$U:$U,K$87),0))</f>
        <v/>
      </c>
    </row>
    <row r="99">
      <c r="B99" s="441" t="str">
        <f t="shared" si="4"/>
        <v/>
      </c>
      <c r="C99" s="442" t="str">
        <f>IFERROR(VLOOKUP(B99,'Cálculos Comparativos'!A:B,2,0),"")</f>
        <v/>
      </c>
      <c r="D99" s="443" t="s">
        <v>425</v>
      </c>
      <c r="E99" s="444" t="str">
        <f t="shared" si="5"/>
        <v/>
      </c>
      <c r="F99" s="443" t="str">
        <f>IF(E99="","",IFERROR(COUNTIFS('Comparativo por Funcionário'!A:A,B99,'Comparativo por Funcionário'!U:U,F$87),0))</f>
        <v/>
      </c>
      <c r="G99" s="443" t="str">
        <f>IF(E99="","",IFERROR(COUNTIFS('Comparativo por Funcionário'!$A:$A,$B99,'Comparativo por Funcionário'!$U:$U,G$87),0))</f>
        <v/>
      </c>
      <c r="H99" s="443" t="str">
        <f>IF(E99="","",IFERROR(COUNTIFS('Comparativo por Funcionário'!$A:$A,$B99,'Comparativo por Funcionário'!$U:$U,H$87),0))</f>
        <v/>
      </c>
      <c r="I99" s="443" t="str">
        <f>IF(E99="","",IFERROR(COUNTIFS('Comparativo por Funcionário'!$A:$A,$B99,'Comparativo por Funcionário'!$U:$U,I$87),0))</f>
        <v/>
      </c>
      <c r="J99" s="443" t="str">
        <f>IF(E99="","",IFERROR(COUNTIFS('Comparativo por Funcionário'!$A:$A,$B99,'Comparativo por Funcionário'!$U:$U,J$87),0))</f>
        <v/>
      </c>
      <c r="K99" s="443" t="str">
        <f>IF(E99="","",IFERROR(COUNTIFS('Comparativo por Funcionário'!$A:$A,$B99,'Comparativo por Funcionário'!$U:$U,K$87),0))</f>
        <v/>
      </c>
    </row>
    <row r="100">
      <c r="B100" s="437" t="str">
        <f t="shared" si="4"/>
        <v/>
      </c>
      <c r="C100" s="438" t="str">
        <f>IFERROR(VLOOKUP(B100,'Cálculos Comparativos'!A:B,2,0),"")</f>
        <v/>
      </c>
      <c r="D100" s="439" t="s">
        <v>425</v>
      </c>
      <c r="E100" s="440" t="str">
        <f t="shared" si="5"/>
        <v/>
      </c>
      <c r="F100" s="439" t="str">
        <f>IF(E100="","",IFERROR(COUNTIFS('Comparativo por Funcionário'!A:A,B100,'Comparativo por Funcionário'!U:U,F$87),0))</f>
        <v/>
      </c>
      <c r="G100" s="439" t="str">
        <f>IF(E100="","",IFERROR(COUNTIFS('Comparativo por Funcionário'!$A:$A,$B100,'Comparativo por Funcionário'!$U:$U,G$87),0))</f>
        <v/>
      </c>
      <c r="H100" s="439" t="str">
        <f>IF(E100="","",IFERROR(COUNTIFS('Comparativo por Funcionário'!$A:$A,$B100,'Comparativo por Funcionário'!$U:$U,H$87),0))</f>
        <v/>
      </c>
      <c r="I100" s="439" t="str">
        <f>IF(E100="","",IFERROR(COUNTIFS('Comparativo por Funcionário'!$A:$A,$B100,'Comparativo por Funcionário'!$U:$U,I$87),0))</f>
        <v/>
      </c>
      <c r="J100" s="439" t="str">
        <f>IF(E100="","",IFERROR(COUNTIFS('Comparativo por Funcionário'!$A:$A,$B100,'Comparativo por Funcionário'!$U:$U,J$87),0))</f>
        <v/>
      </c>
      <c r="K100" s="439" t="str">
        <f>IF(E100="","",IFERROR(COUNTIFS('Comparativo por Funcionário'!$A:$A,$B100,'Comparativo por Funcionário'!$U:$U,K$87),0))</f>
        <v/>
      </c>
    </row>
    <row r="101">
      <c r="B101" s="441" t="str">
        <f t="shared" si="4"/>
        <v/>
      </c>
      <c r="C101" s="442" t="str">
        <f>IFERROR(VLOOKUP(B101,'Cálculos Comparativos'!A:B,2,0),"")</f>
        <v/>
      </c>
      <c r="D101" s="443" t="s">
        <v>425</v>
      </c>
      <c r="E101" s="444" t="str">
        <f t="shared" si="5"/>
        <v/>
      </c>
      <c r="F101" s="443" t="str">
        <f>IF(E101="","",IFERROR(COUNTIFS('Comparativo por Funcionário'!A:A,B101,'Comparativo por Funcionário'!U:U,F$87),0))</f>
        <v/>
      </c>
      <c r="G101" s="443" t="str">
        <f>IF(E101="","",IFERROR(COUNTIFS('Comparativo por Funcionário'!$A:$A,$B101,'Comparativo por Funcionário'!$U:$U,G$87),0))</f>
        <v/>
      </c>
      <c r="H101" s="443" t="str">
        <f>IF(E101="","",IFERROR(COUNTIFS('Comparativo por Funcionário'!$A:$A,$B101,'Comparativo por Funcionário'!$U:$U,H$87),0))</f>
        <v/>
      </c>
      <c r="I101" s="443" t="str">
        <f>IF(E101="","",IFERROR(COUNTIFS('Comparativo por Funcionário'!$A:$A,$B101,'Comparativo por Funcionário'!$U:$U,I$87),0))</f>
        <v/>
      </c>
      <c r="J101" s="443" t="str">
        <f>IF(E101="","",IFERROR(COUNTIFS('Comparativo por Funcionário'!$A:$A,$B101,'Comparativo por Funcionário'!$U:$U,J$87),0))</f>
        <v/>
      </c>
      <c r="K101" s="443" t="str">
        <f>IF(E101="","",IFERROR(COUNTIFS('Comparativo por Funcionário'!$A:$A,$B101,'Comparativo por Funcionário'!$U:$U,K$87),0))</f>
        <v/>
      </c>
    </row>
    <row r="102">
      <c r="B102" s="446" t="str">
        <f t="shared" si="4"/>
        <v/>
      </c>
      <c r="C102" s="447" t="str">
        <f>IFERROR(VLOOKUP(B102,'Cálculos Comparativos'!A:B,2,0),"")</f>
        <v/>
      </c>
      <c r="D102" s="448" t="s">
        <v>425</v>
      </c>
      <c r="E102" s="449" t="str">
        <f t="shared" si="5"/>
        <v/>
      </c>
      <c r="F102" s="448" t="str">
        <f>IF(E102="","",IFERROR(COUNTIFS('Comparativo por Funcionário'!A:A,B102,'Comparativo por Funcionário'!U:U,F$87),0))</f>
        <v/>
      </c>
      <c r="G102" s="448" t="str">
        <f>IF(E102="","",IFERROR(COUNTIFS('Comparativo por Funcionário'!$A:$A,$B102,'Comparativo por Funcionário'!$U:$U,G$87),0))</f>
        <v/>
      </c>
      <c r="H102" s="448" t="str">
        <f>IF(E102="","",IFERROR(COUNTIFS('Comparativo por Funcionário'!$A:$A,$B102,'Comparativo por Funcionário'!$U:$U,H$87),0))</f>
        <v/>
      </c>
      <c r="I102" s="448" t="str">
        <f>IF(E102="","",IFERROR(COUNTIFS('Comparativo por Funcionário'!$A:$A,$B102,'Comparativo por Funcionário'!$U:$U,I$87),0))</f>
        <v/>
      </c>
      <c r="J102" s="448" t="str">
        <f>IF(E102="","",IFERROR(COUNTIFS('Comparativo por Funcionário'!$A:$A,$B102,'Comparativo por Funcionário'!$U:$U,J$87),0))</f>
        <v/>
      </c>
      <c r="K102" s="448" t="str">
        <f>IF(E102="","",IFERROR(COUNTIFS('Comparativo por Funcionário'!$A:$A,$B102,'Comparativo por Funcionário'!$U:$U,K$87),0))</f>
        <v/>
      </c>
    </row>
    <row r="103">
      <c r="B103" s="450" t="str">
        <f t="shared" si="4"/>
        <v/>
      </c>
      <c r="C103" s="451" t="str">
        <f>IFERROR(VLOOKUP(B103,'Cálculos Comparativos'!A:B,2,0),"")</f>
        <v/>
      </c>
      <c r="D103" s="452" t="s">
        <v>425</v>
      </c>
      <c r="E103" s="453" t="str">
        <f t="shared" si="5"/>
        <v/>
      </c>
      <c r="F103" s="452" t="str">
        <f>IF(E103="","",IFERROR(COUNTIFS('Comparativo por Funcionário'!A:A,B103,'Comparativo por Funcionário'!U:U,F$87),0))</f>
        <v/>
      </c>
      <c r="G103" s="452" t="str">
        <f>IF(E103="","",IFERROR(COUNTIFS('Comparativo por Funcionário'!$A:$A,$B103,'Comparativo por Funcionário'!$U:$U,G$87),0))</f>
        <v/>
      </c>
      <c r="H103" s="452" t="str">
        <f>IF(E103="","",IFERROR(COUNTIFS('Comparativo por Funcionário'!$A:$A,$B103,'Comparativo por Funcionário'!$U:$U,H$87),0))</f>
        <v/>
      </c>
      <c r="I103" s="452" t="str">
        <f>IF(E103="","",IFERROR(COUNTIFS('Comparativo por Funcionário'!$A:$A,$B103,'Comparativo por Funcionário'!$U:$U,I$87),0))</f>
        <v/>
      </c>
      <c r="J103" s="452" t="str">
        <f>IF(E103="","",IFERROR(COUNTIFS('Comparativo por Funcionário'!$A:$A,$B103,'Comparativo por Funcionário'!$U:$U,J$87),0))</f>
        <v/>
      </c>
      <c r="K103" s="452" t="str">
        <f>IF(E103="","",IFERROR(COUNTIFS('Comparativo por Funcionário'!$A:$A,$B103,'Comparativo por Funcionário'!$U:$U,K$87),0))</f>
        <v/>
      </c>
    </row>
    <row r="104">
      <c r="B104" s="446" t="str">
        <f t="shared" si="4"/>
        <v/>
      </c>
      <c r="C104" s="447" t="str">
        <f>IFERROR(VLOOKUP(B104,'Cálculos Comparativos'!A:B,2,0),"")</f>
        <v/>
      </c>
      <c r="D104" s="448" t="s">
        <v>425</v>
      </c>
      <c r="E104" s="449" t="str">
        <f t="shared" si="5"/>
        <v/>
      </c>
      <c r="F104" s="448" t="str">
        <f>IF(E104="","",IFERROR(COUNTIFS('Comparativo por Funcionário'!A:A,B104,'Comparativo por Funcionário'!U:U,F$87),0))</f>
        <v/>
      </c>
      <c r="G104" s="448" t="str">
        <f>IF(E104="","",IFERROR(COUNTIFS('Comparativo por Funcionário'!$A:$A,$B104,'Comparativo por Funcionário'!$U:$U,G$87),0))</f>
        <v/>
      </c>
      <c r="H104" s="448" t="str">
        <f>IF(E104="","",IFERROR(COUNTIFS('Comparativo por Funcionário'!$A:$A,$B104,'Comparativo por Funcionário'!$U:$U,H$87),0))</f>
        <v/>
      </c>
      <c r="I104" s="448" t="str">
        <f>IF(E104="","",IFERROR(COUNTIFS('Comparativo por Funcionário'!$A:$A,$B104,'Comparativo por Funcionário'!$U:$U,I$87),0))</f>
        <v/>
      </c>
      <c r="J104" s="448" t="str">
        <f>IF(E104="","",IFERROR(COUNTIFS('Comparativo por Funcionário'!$A:$A,$B104,'Comparativo por Funcionário'!$U:$U,J$87),0))</f>
        <v/>
      </c>
      <c r="K104" s="448" t="str">
        <f>IF(E104="","",IFERROR(COUNTIFS('Comparativo por Funcionário'!$A:$A,$B104,'Comparativo por Funcionário'!$U:$U,K$87),0))</f>
        <v/>
      </c>
    </row>
    <row r="105">
      <c r="B105" s="450" t="str">
        <f t="shared" si="4"/>
        <v/>
      </c>
      <c r="C105" s="451" t="str">
        <f>IFERROR(VLOOKUP(B105,'Cálculos Comparativos'!A:B,2,0),"")</f>
        <v/>
      </c>
      <c r="D105" s="452" t="s">
        <v>425</v>
      </c>
      <c r="E105" s="453" t="str">
        <f t="shared" si="5"/>
        <v/>
      </c>
      <c r="F105" s="452" t="str">
        <f>IF(E105="","",IFERROR(COUNTIFS('Comparativo por Funcionário'!A:A,B105,'Comparativo por Funcionário'!U:U,F$87),0))</f>
        <v/>
      </c>
      <c r="G105" s="452" t="str">
        <f>IF(E105="","",IFERROR(COUNTIFS('Comparativo por Funcionário'!$A:$A,$B105,'Comparativo por Funcionário'!$U:$U,G$87),0))</f>
        <v/>
      </c>
      <c r="H105" s="452" t="str">
        <f>IF(E105="","",IFERROR(COUNTIFS('Comparativo por Funcionário'!$A:$A,$B105,'Comparativo por Funcionário'!$U:$U,H$87),0))</f>
        <v/>
      </c>
      <c r="I105" s="452" t="str">
        <f>IF(E105="","",IFERROR(COUNTIFS('Comparativo por Funcionário'!$A:$A,$B105,'Comparativo por Funcionário'!$U:$U,I$87),0))</f>
        <v/>
      </c>
      <c r="J105" s="452" t="str">
        <f>IF(E105="","",IFERROR(COUNTIFS('Comparativo por Funcionário'!$A:$A,$B105,'Comparativo por Funcionário'!$U:$U,J$87),0))</f>
        <v/>
      </c>
      <c r="K105" s="452" t="str">
        <f>IF(E105="","",IFERROR(COUNTIFS('Comparativo por Funcionário'!$A:$A,$B105,'Comparativo por Funcionário'!$U:$U,K$87),0))</f>
        <v/>
      </c>
    </row>
    <row r="106">
      <c r="B106" s="446" t="str">
        <f t="shared" si="4"/>
        <v/>
      </c>
      <c r="C106" s="447" t="str">
        <f>IFERROR(VLOOKUP(B106,'Cálculos Comparativos'!A:B,2,0),"")</f>
        <v/>
      </c>
      <c r="D106" s="448" t="s">
        <v>425</v>
      </c>
      <c r="E106" s="449" t="str">
        <f t="shared" si="5"/>
        <v/>
      </c>
      <c r="F106" s="448" t="str">
        <f>IF(E106="","",IFERROR(COUNTIFS('Comparativo por Funcionário'!A:A,B106,'Comparativo por Funcionário'!U:U,F$87),0))</f>
        <v/>
      </c>
      <c r="G106" s="448" t="str">
        <f>IF(E106="","",IFERROR(COUNTIFS('Comparativo por Funcionário'!$A:$A,$B106,'Comparativo por Funcionário'!$U:$U,G$87),0))</f>
        <v/>
      </c>
      <c r="H106" s="448" t="str">
        <f>IF(E106="","",IFERROR(COUNTIFS('Comparativo por Funcionário'!$A:$A,$B106,'Comparativo por Funcionário'!$U:$U,H$87),0))</f>
        <v/>
      </c>
      <c r="I106" s="448" t="str">
        <f>IF(E106="","",IFERROR(COUNTIFS('Comparativo por Funcionário'!$A:$A,$B106,'Comparativo por Funcionário'!$U:$U,I$87),0))</f>
        <v/>
      </c>
      <c r="J106" s="448" t="str">
        <f>IF(E106="","",IFERROR(COUNTIFS('Comparativo por Funcionário'!$A:$A,$B106,'Comparativo por Funcionário'!$U:$U,J$87),0))</f>
        <v/>
      </c>
      <c r="K106" s="448" t="str">
        <f>IF(E106="","",IFERROR(COUNTIFS('Comparativo por Funcionário'!$A:$A,$B106,'Comparativo por Funcionário'!$U:$U,K$87),0))</f>
        <v/>
      </c>
    </row>
    <row r="107">
      <c r="B107" s="450" t="str">
        <f t="shared" si="4"/>
        <v/>
      </c>
      <c r="C107" s="451" t="str">
        <f>IFERROR(VLOOKUP(B107,'Cálculos Comparativos'!A:B,2,0),"")</f>
        <v/>
      </c>
      <c r="D107" s="452" t="s">
        <v>425</v>
      </c>
      <c r="E107" s="453" t="str">
        <f t="shared" si="5"/>
        <v/>
      </c>
      <c r="F107" s="452" t="str">
        <f>IF(E107="","",IFERROR(COUNTIFS('Comparativo por Funcionário'!A:A,B107,'Comparativo por Funcionário'!U:U,F$87),0))</f>
        <v/>
      </c>
      <c r="G107" s="452" t="str">
        <f>IF(E107="","",IFERROR(COUNTIFS('Comparativo por Funcionário'!$A:$A,$B107,'Comparativo por Funcionário'!$U:$U,G$87),0))</f>
        <v/>
      </c>
      <c r="H107" s="452" t="str">
        <f>IF(E107="","",IFERROR(COUNTIFS('Comparativo por Funcionário'!$A:$A,$B107,'Comparativo por Funcionário'!$U:$U,H$87),0))</f>
        <v/>
      </c>
      <c r="I107" s="452" t="str">
        <f>IF(E107="","",IFERROR(COUNTIFS('Comparativo por Funcionário'!$A:$A,$B107,'Comparativo por Funcionário'!$U:$U,I$87),0))</f>
        <v/>
      </c>
      <c r="J107" s="452" t="str">
        <f>IF(E107="","",IFERROR(COUNTIFS('Comparativo por Funcionário'!$A:$A,$B107,'Comparativo por Funcionário'!$U:$U,J$87),0))</f>
        <v/>
      </c>
      <c r="K107" s="452" t="str">
        <f>IF(E107="","",IFERROR(COUNTIFS('Comparativo por Funcionário'!$A:$A,$B107,'Comparativo por Funcionário'!$U:$U,K$87),0))</f>
        <v/>
      </c>
    </row>
    <row r="108">
      <c r="B108" s="446" t="str">
        <f t="shared" si="4"/>
        <v/>
      </c>
      <c r="C108" s="447" t="str">
        <f>IFERROR(VLOOKUP(B108,'Cálculos Comparativos'!A:B,2,0),"")</f>
        <v/>
      </c>
      <c r="D108" s="448" t="s">
        <v>425</v>
      </c>
      <c r="E108" s="449" t="str">
        <f t="shared" si="5"/>
        <v/>
      </c>
      <c r="F108" s="448" t="str">
        <f>IF(E108="","",IFERROR(COUNTIFS('Comparativo por Funcionário'!A:A,B108,'Comparativo por Funcionário'!U:U,F$87),0))</f>
        <v/>
      </c>
      <c r="G108" s="448" t="str">
        <f>IF(E108="","",IFERROR(COUNTIFS('Comparativo por Funcionário'!$A:$A,$B108,'Comparativo por Funcionário'!$U:$U,G$87),0))</f>
        <v/>
      </c>
      <c r="H108" s="448" t="str">
        <f>IF(E108="","",IFERROR(COUNTIFS('Comparativo por Funcionário'!$A:$A,$B108,'Comparativo por Funcionário'!$U:$U,H$87),0))</f>
        <v/>
      </c>
      <c r="I108" s="448" t="str">
        <f>IF(E108="","",IFERROR(COUNTIFS('Comparativo por Funcionário'!$A:$A,$B108,'Comparativo por Funcionário'!$U:$U,I$87),0))</f>
        <v/>
      </c>
      <c r="J108" s="448" t="str">
        <f>IF(E108="","",IFERROR(COUNTIFS('Comparativo por Funcionário'!$A:$A,$B108,'Comparativo por Funcionário'!$U:$U,J$87),0))</f>
        <v/>
      </c>
      <c r="K108" s="448" t="str">
        <f>IF(E108="","",IFERROR(COUNTIFS('Comparativo por Funcionário'!$A:$A,$B108,'Comparativo por Funcionário'!$U:$U,K$87),0))</f>
        <v/>
      </c>
    </row>
    <row r="109">
      <c r="B109" s="450" t="str">
        <f t="shared" si="4"/>
        <v/>
      </c>
      <c r="C109" s="451" t="str">
        <f>IFERROR(VLOOKUP(B109,'Cálculos Comparativos'!A:B,2,0),"")</f>
        <v/>
      </c>
      <c r="D109" s="452" t="s">
        <v>425</v>
      </c>
      <c r="E109" s="453" t="str">
        <f t="shared" si="5"/>
        <v/>
      </c>
      <c r="F109" s="452" t="str">
        <f>IF(E109="","",IFERROR(COUNTIFS('Comparativo por Funcionário'!A:A,B109,'Comparativo por Funcionário'!U:U,F$87),0))</f>
        <v/>
      </c>
      <c r="G109" s="452" t="str">
        <f>IF(E109="","",IFERROR(COUNTIFS('Comparativo por Funcionário'!$A:$A,$B109,'Comparativo por Funcionário'!$U:$U,G$87),0))</f>
        <v/>
      </c>
      <c r="H109" s="452" t="str">
        <f>IF(E109="","",IFERROR(COUNTIFS('Comparativo por Funcionário'!$A:$A,$B109,'Comparativo por Funcionário'!$U:$U,H$87),0))</f>
        <v/>
      </c>
      <c r="I109" s="452" t="str">
        <f>IF(E109="","",IFERROR(COUNTIFS('Comparativo por Funcionário'!$A:$A,$B109,'Comparativo por Funcionário'!$U:$U,I$87),0))</f>
        <v/>
      </c>
      <c r="J109" s="452" t="str">
        <f>IF(E109="","",IFERROR(COUNTIFS('Comparativo por Funcionário'!$A:$A,$B109,'Comparativo por Funcionário'!$U:$U,J$87),0))</f>
        <v/>
      </c>
      <c r="K109" s="452" t="str">
        <f>IF(E109="","",IFERROR(COUNTIFS('Comparativo por Funcionário'!$A:$A,$B109,'Comparativo por Funcionário'!$U:$U,K$87),0))</f>
        <v/>
      </c>
    </row>
    <row r="110">
      <c r="B110" s="446" t="str">
        <f t="shared" si="4"/>
        <v/>
      </c>
      <c r="C110" s="447" t="str">
        <f>IFERROR(VLOOKUP(B110,'Cálculos Comparativos'!A:B,2,0),"")</f>
        <v/>
      </c>
      <c r="D110" s="448" t="s">
        <v>425</v>
      </c>
      <c r="E110" s="449" t="str">
        <f t="shared" si="5"/>
        <v/>
      </c>
      <c r="F110" s="448" t="str">
        <f>IF(E110="","",IFERROR(COUNTIFS('Comparativo por Funcionário'!A:A,B110,'Comparativo por Funcionário'!U:U,F$87),0))</f>
        <v/>
      </c>
      <c r="G110" s="448" t="str">
        <f>IF(E110="","",IFERROR(COUNTIFS('Comparativo por Funcionário'!$A:$A,$B110,'Comparativo por Funcionário'!$U:$U,G$87),0))</f>
        <v/>
      </c>
      <c r="H110" s="448" t="str">
        <f>IF(E110="","",IFERROR(COUNTIFS('Comparativo por Funcionário'!$A:$A,$B110,'Comparativo por Funcionário'!$U:$U,H$87),0))</f>
        <v/>
      </c>
      <c r="I110" s="448" t="str">
        <f>IF(E110="","",IFERROR(COUNTIFS('Comparativo por Funcionário'!$A:$A,$B110,'Comparativo por Funcionário'!$U:$U,I$87),0))</f>
        <v/>
      </c>
      <c r="J110" s="448" t="str">
        <f>IF(E110="","",IFERROR(COUNTIFS('Comparativo por Funcionário'!$A:$A,$B110,'Comparativo por Funcionário'!$U:$U,J$87),0))</f>
        <v/>
      </c>
      <c r="K110" s="448" t="str">
        <f>IF(E110="","",IFERROR(COUNTIFS('Comparativo por Funcionário'!$A:$A,$B110,'Comparativo por Funcionário'!$U:$U,K$87),0))</f>
        <v/>
      </c>
    </row>
    <row r="111">
      <c r="B111" s="450" t="str">
        <f t="shared" si="4"/>
        <v/>
      </c>
      <c r="C111" s="451" t="str">
        <f>IFERROR(VLOOKUP(B111,'Cálculos Comparativos'!A:B,2,0),"")</f>
        <v/>
      </c>
      <c r="D111" s="452" t="s">
        <v>425</v>
      </c>
      <c r="E111" s="453" t="str">
        <f t="shared" si="5"/>
        <v/>
      </c>
      <c r="F111" s="452" t="str">
        <f>IF(E111="","",IFERROR(COUNTIFS('Comparativo por Funcionário'!A:A,B111,'Comparativo por Funcionário'!U:U,F$87),0))</f>
        <v/>
      </c>
      <c r="G111" s="452" t="str">
        <f>IF(E111="","",IFERROR(COUNTIFS('Comparativo por Funcionário'!$A:$A,$B111,'Comparativo por Funcionário'!$U:$U,G$87),0))</f>
        <v/>
      </c>
      <c r="H111" s="452" t="str">
        <f>IF(E111="","",IFERROR(COUNTIFS('Comparativo por Funcionário'!$A:$A,$B111,'Comparativo por Funcionário'!$U:$U,H$87),0))</f>
        <v/>
      </c>
      <c r="I111" s="452" t="str">
        <f>IF(E111="","",IFERROR(COUNTIFS('Comparativo por Funcionário'!$A:$A,$B111,'Comparativo por Funcionário'!$U:$U,I$87),0))</f>
        <v/>
      </c>
      <c r="J111" s="452" t="str">
        <f>IF(E111="","",IFERROR(COUNTIFS('Comparativo por Funcionário'!$A:$A,$B111,'Comparativo por Funcionário'!$U:$U,J$87),0))</f>
        <v/>
      </c>
      <c r="K111" s="452" t="str">
        <f>IF(E111="","",IFERROR(COUNTIFS('Comparativo por Funcionário'!$A:$A,$B111,'Comparativo por Funcionário'!$U:$U,K$87),0))</f>
        <v/>
      </c>
    </row>
    <row r="112">
      <c r="B112" s="446" t="str">
        <f t="shared" si="4"/>
        <v/>
      </c>
      <c r="C112" s="447" t="str">
        <f>IFERROR(VLOOKUP(B112,'Cálculos Comparativos'!A:B,2,0),"")</f>
        <v/>
      </c>
      <c r="D112" s="448" t="s">
        <v>425</v>
      </c>
      <c r="E112" s="449" t="str">
        <f t="shared" si="5"/>
        <v/>
      </c>
      <c r="F112" s="448" t="str">
        <f>IF(E112="","",IFERROR(COUNTIFS('Comparativo por Funcionário'!A:A,B112,'Comparativo por Funcionário'!U:U,F$87),0))</f>
        <v/>
      </c>
      <c r="G112" s="448" t="str">
        <f>IF(E112="","",IFERROR(COUNTIFS('Comparativo por Funcionário'!$A:$A,$B112,'Comparativo por Funcionário'!$U:$U,G$87),0))</f>
        <v/>
      </c>
      <c r="H112" s="448" t="str">
        <f>IF(E112="","",IFERROR(COUNTIFS('Comparativo por Funcionário'!$A:$A,$B112,'Comparativo por Funcionário'!$U:$U,H$87),0))</f>
        <v/>
      </c>
      <c r="I112" s="448" t="str">
        <f>IF(E112="","",IFERROR(COUNTIFS('Comparativo por Funcionário'!$A:$A,$B112,'Comparativo por Funcionário'!$U:$U,I$87),0))</f>
        <v/>
      </c>
      <c r="J112" s="448" t="str">
        <f>IF(E112="","",IFERROR(COUNTIFS('Comparativo por Funcionário'!$A:$A,$B112,'Comparativo por Funcionário'!$U:$U,J$87),0))</f>
        <v/>
      </c>
      <c r="K112" s="448" t="str">
        <f>IF(E112="","",IFERROR(COUNTIFS('Comparativo por Funcionário'!$A:$A,$B112,'Comparativo por Funcionário'!$U:$U,K$87),0))</f>
        <v/>
      </c>
    </row>
    <row r="113">
      <c r="B113" s="450" t="str">
        <f t="shared" si="4"/>
        <v/>
      </c>
      <c r="C113" s="451" t="str">
        <f>IFERROR(VLOOKUP(B113,'Cálculos Comparativos'!A:B,2,0),"")</f>
        <v/>
      </c>
      <c r="D113" s="452" t="s">
        <v>425</v>
      </c>
      <c r="E113" s="453" t="str">
        <f t="shared" si="5"/>
        <v/>
      </c>
      <c r="F113" s="452" t="str">
        <f>IF(E113="","",IFERROR(COUNTIFS('Comparativo por Funcionário'!A:A,B113,'Comparativo por Funcionário'!U:U,F$87),0))</f>
        <v/>
      </c>
      <c r="G113" s="452" t="str">
        <f>IF(E113="","",IFERROR(COUNTIFS('Comparativo por Funcionário'!$A:$A,$B113,'Comparativo por Funcionário'!$U:$U,G$87),0))</f>
        <v/>
      </c>
      <c r="H113" s="452" t="str">
        <f>IF(E113="","",IFERROR(COUNTIFS('Comparativo por Funcionário'!$A:$A,$B113,'Comparativo por Funcionário'!$U:$U,H$87),0))</f>
        <v/>
      </c>
      <c r="I113" s="452" t="str">
        <f>IF(E113="","",IFERROR(COUNTIFS('Comparativo por Funcionário'!$A:$A,$B113,'Comparativo por Funcionário'!$U:$U,I$87),0))</f>
        <v/>
      </c>
      <c r="J113" s="452" t="str">
        <f>IF(E113="","",IFERROR(COUNTIFS('Comparativo por Funcionário'!$A:$A,$B113,'Comparativo por Funcionário'!$U:$U,J$87),0))</f>
        <v/>
      </c>
      <c r="K113" s="452" t="str">
        <f>IF(E113="","",IFERROR(COUNTIFS('Comparativo por Funcionário'!$A:$A,$B113,'Comparativo por Funcionário'!$U:$U,K$87),0))</f>
        <v/>
      </c>
    </row>
    <row r="114">
      <c r="B114" s="446" t="str">
        <f t="shared" si="4"/>
        <v/>
      </c>
      <c r="C114" s="447" t="str">
        <f>IFERROR(VLOOKUP(B114,'Cálculos Comparativos'!A:B,2,0),"")</f>
        <v/>
      </c>
      <c r="D114" s="448" t="s">
        <v>425</v>
      </c>
      <c r="E114" s="449" t="str">
        <f t="shared" si="5"/>
        <v/>
      </c>
      <c r="F114" s="448" t="str">
        <f>IF(E114="","",IFERROR(COUNTIFS('Comparativo por Funcionário'!A:A,B114,'Comparativo por Funcionário'!U:U,F$87),0))</f>
        <v/>
      </c>
      <c r="G114" s="448" t="str">
        <f>IF(E114="","",IFERROR(COUNTIFS('Comparativo por Funcionário'!$A:$A,$B114,'Comparativo por Funcionário'!$U:$U,G$87),0))</f>
        <v/>
      </c>
      <c r="H114" s="448" t="str">
        <f>IF(E114="","",IFERROR(COUNTIFS('Comparativo por Funcionário'!$A:$A,$B114,'Comparativo por Funcionário'!$U:$U,H$87),0))</f>
        <v/>
      </c>
      <c r="I114" s="448" t="str">
        <f>IF(E114="","",IFERROR(COUNTIFS('Comparativo por Funcionário'!$A:$A,$B114,'Comparativo por Funcionário'!$U:$U,I$87),0))</f>
        <v/>
      </c>
      <c r="J114" s="448" t="str">
        <f>IF(E114="","",IFERROR(COUNTIFS('Comparativo por Funcionário'!$A:$A,$B114,'Comparativo por Funcionário'!$U:$U,J$87),0))</f>
        <v/>
      </c>
      <c r="K114" s="448" t="str">
        <f>IF(E114="","",IFERROR(COUNTIFS('Comparativo por Funcionário'!$A:$A,$B114,'Comparativo por Funcionário'!$U:$U,K$87),0))</f>
        <v/>
      </c>
    </row>
    <row r="115">
      <c r="B115" s="450" t="str">
        <f t="shared" si="4"/>
        <v/>
      </c>
      <c r="C115" s="451" t="str">
        <f>IFERROR(VLOOKUP(B115,'Cálculos Comparativos'!A:B,2,0),"")</f>
        <v/>
      </c>
      <c r="D115" s="452" t="s">
        <v>425</v>
      </c>
      <c r="E115" s="453" t="str">
        <f t="shared" si="5"/>
        <v/>
      </c>
      <c r="F115" s="452" t="str">
        <f>IF(E115="","",IFERROR(COUNTIFS('Comparativo por Funcionário'!A:A,B115,'Comparativo por Funcionário'!U:U,F$87),0))</f>
        <v/>
      </c>
      <c r="G115" s="452" t="str">
        <f>IF(E115="","",IFERROR(COUNTIFS('Comparativo por Funcionário'!$A:$A,$B115,'Comparativo por Funcionário'!$U:$U,G$87),0))</f>
        <v/>
      </c>
      <c r="H115" s="452" t="str">
        <f>IF(E115="","",IFERROR(COUNTIFS('Comparativo por Funcionário'!$A:$A,$B115,'Comparativo por Funcionário'!$U:$U,H$87),0))</f>
        <v/>
      </c>
      <c r="I115" s="452" t="str">
        <f>IF(E115="","",IFERROR(COUNTIFS('Comparativo por Funcionário'!$A:$A,$B115,'Comparativo por Funcionário'!$U:$U,I$87),0))</f>
        <v/>
      </c>
      <c r="J115" s="452" t="str">
        <f>IF(E115="","",IFERROR(COUNTIFS('Comparativo por Funcionário'!$A:$A,$B115,'Comparativo por Funcionário'!$U:$U,J$87),0))</f>
        <v/>
      </c>
      <c r="K115" s="452" t="str">
        <f>IF(E115="","",IFERROR(COUNTIFS('Comparativo por Funcionário'!$A:$A,$B115,'Comparativo por Funcionário'!$U:$U,K$87),0))</f>
        <v/>
      </c>
    </row>
    <row r="116">
      <c r="B116" s="446" t="str">
        <f t="shared" si="4"/>
        <v/>
      </c>
      <c r="C116" s="447" t="str">
        <f>IFERROR(VLOOKUP(B116,'Cálculos Comparativos'!A:B,2,0),"")</f>
        <v/>
      </c>
      <c r="D116" s="448" t="s">
        <v>425</v>
      </c>
      <c r="E116" s="449" t="str">
        <f t="shared" si="5"/>
        <v/>
      </c>
      <c r="F116" s="448" t="str">
        <f>IF(E116="","",IFERROR(COUNTIFS('Comparativo por Funcionário'!A:A,B116,'Comparativo por Funcionário'!U:U,F$87),0))</f>
        <v/>
      </c>
      <c r="G116" s="448" t="str">
        <f>IF(E116="","",IFERROR(COUNTIFS('Comparativo por Funcionário'!$A:$A,$B116,'Comparativo por Funcionário'!$U:$U,G$87),0))</f>
        <v/>
      </c>
      <c r="H116" s="448" t="str">
        <f>IF(E116="","",IFERROR(COUNTIFS('Comparativo por Funcionário'!$A:$A,$B116,'Comparativo por Funcionário'!$U:$U,H$87),0))</f>
        <v/>
      </c>
      <c r="I116" s="448" t="str">
        <f>IF(E116="","",IFERROR(COUNTIFS('Comparativo por Funcionário'!$A:$A,$B116,'Comparativo por Funcionário'!$U:$U,I$87),0))</f>
        <v/>
      </c>
      <c r="J116" s="448" t="str">
        <f>IF(E116="","",IFERROR(COUNTIFS('Comparativo por Funcionário'!$A:$A,$B116,'Comparativo por Funcionário'!$U:$U,J$87),0))</f>
        <v/>
      </c>
      <c r="K116" s="448" t="str">
        <f>IF(E116="","",IFERROR(COUNTIFS('Comparativo por Funcionário'!$A:$A,$B116,'Comparativo por Funcionário'!$U:$U,K$87),0))</f>
        <v/>
      </c>
    </row>
    <row r="117">
      <c r="B117" s="450" t="str">
        <f t="shared" si="4"/>
        <v/>
      </c>
      <c r="C117" s="451" t="str">
        <f>IFERROR(VLOOKUP(B117,'Cálculos Comparativos'!A:B,2,0),"")</f>
        <v/>
      </c>
      <c r="D117" s="452" t="s">
        <v>425</v>
      </c>
      <c r="E117" s="453" t="str">
        <f t="shared" si="5"/>
        <v/>
      </c>
      <c r="F117" s="452" t="str">
        <f>IF(E117="","",IFERROR(COUNTIFS('Comparativo por Funcionário'!A:A,B117,'Comparativo por Funcionário'!U:U,F$87),0))</f>
        <v/>
      </c>
      <c r="G117" s="452" t="str">
        <f>IF(E117="","",IFERROR(COUNTIFS('Comparativo por Funcionário'!$A:$A,$B117,'Comparativo por Funcionário'!$U:$U,G$87),0))</f>
        <v/>
      </c>
      <c r="H117" s="452" t="str">
        <f>IF(E117="","",IFERROR(COUNTIFS('Comparativo por Funcionário'!$A:$A,$B117,'Comparativo por Funcionário'!$U:$U,H$87),0))</f>
        <v/>
      </c>
      <c r="I117" s="452" t="str">
        <f>IF(E117="","",IFERROR(COUNTIFS('Comparativo por Funcionário'!$A:$A,$B117,'Comparativo por Funcionário'!$U:$U,I$87),0))</f>
        <v/>
      </c>
      <c r="J117" s="452" t="str">
        <f>IF(E117="","",IFERROR(COUNTIFS('Comparativo por Funcionário'!$A:$A,$B117,'Comparativo por Funcionário'!$U:$U,J$87),0))</f>
        <v/>
      </c>
      <c r="K117" s="452" t="str">
        <f>IF(E117="","",IFERROR(COUNTIFS('Comparativo por Funcionário'!$A:$A,$B117,'Comparativo por Funcionário'!$U:$U,K$87),0))</f>
        <v/>
      </c>
    </row>
    <row r="118">
      <c r="B118" s="454"/>
      <c r="C118" s="447"/>
      <c r="D118" s="448"/>
      <c r="E118" s="449"/>
      <c r="F118" s="448"/>
      <c r="G118" s="448"/>
      <c r="H118" s="448"/>
      <c r="I118" s="448"/>
      <c r="J118" s="448"/>
      <c r="K118" s="448"/>
    </row>
    <row r="119">
      <c r="B119" s="454"/>
      <c r="C119" s="447"/>
      <c r="D119" s="448"/>
      <c r="E119" s="449"/>
      <c r="F119" s="448"/>
      <c r="G119" s="448"/>
      <c r="H119" s="448"/>
      <c r="I119" s="448"/>
      <c r="J119" s="448"/>
      <c r="K119" s="448"/>
    </row>
    <row r="121">
      <c r="A121" s="407"/>
      <c r="B121" s="455" t="s">
        <v>426</v>
      </c>
      <c r="C121" s="455" t="s">
        <v>400</v>
      </c>
      <c r="D121" s="456"/>
    </row>
    <row r="122">
      <c r="A122" s="407"/>
      <c r="B122" s="457" t="s">
        <v>427</v>
      </c>
      <c r="C122" s="457" t="s">
        <v>328</v>
      </c>
      <c r="D122" s="458"/>
    </row>
    <row r="123">
      <c r="A123" s="459">
        <v>1.0</v>
      </c>
      <c r="B123" s="375" t="s">
        <v>428</v>
      </c>
      <c r="C123" s="460">
        <f>(COUNTIFS('Cálculos Comparativos'!V:V,$B$22,'Cálculos Comparativos'!D:D,A123)+COUNTIFS('Cálculos Comparativos'!V:V,$B$23,'Cálculos Comparativos'!D:D,A123)+COUNTIFS('Cálculos Comparativos'!V:V,$B$24,'Cálculos Comparativos'!D:D,A123))/(COUNTIFS('Cálculos Comparativos'!V:V,$B$22,'Cálculos Comparativos'!D:D,A123)+COUNTIFS('Cálculos Comparativos'!V:V,$B$23,'Cálculos Comparativos'!D:D,A123)+COUNTIFS('Cálculos Comparativos'!V:V,$B$24,'Cálculos Comparativos'!D:D,A123)+COUNTIFS('Cálculos Comparativos'!V:V,$B$25,'Cálculos Comparativos'!D:D,A123)+COUNTIFS('Cálculos Comparativos'!V:V,$B$26,'Cálculos Comparativos'!D:D,A123)+COUNTIFS('Cálculos Comparativos'!V:V,$B$27,'Cálculos Comparativos'!D:D,A123))</f>
        <v>0.4444444444</v>
      </c>
      <c r="D123" s="461"/>
      <c r="E123" s="246"/>
      <c r="F123" s="243" t="str">
        <f>IFERROR(__xludf.DUMMYFUNCTION("QUERY(B123:C132, ""select B, C order by C desc"", 0)"),"Obras")</f>
        <v>Obras</v>
      </c>
      <c r="G123" s="460">
        <f>IFERROR(__xludf.DUMMYFUNCTION("""COMPUTED_VALUE"""),1.0)</f>
        <v>1</v>
      </c>
    </row>
    <row r="124">
      <c r="A124" s="459">
        <v>2.0</v>
      </c>
      <c r="B124" s="375" t="s">
        <v>429</v>
      </c>
      <c r="C124" s="460">
        <f>(COUNTIFS('Cálculos Comparativos'!V:V,$B$22,'Cálculos Comparativos'!D:D,A124)+COUNTIFS('Cálculos Comparativos'!V:V,$B$23,'Cálculos Comparativos'!D:D,A124)+COUNTIFS('Cálculos Comparativos'!V:V,$B$24,'Cálculos Comparativos'!D:D,A124))/(COUNTIFS('Cálculos Comparativos'!V:V,$B$22,'Cálculos Comparativos'!D:D,A124)+COUNTIFS('Cálculos Comparativos'!V:V,$B$23,'Cálculos Comparativos'!D:D,A124)+COUNTIFS('Cálculos Comparativos'!V:V,$B$24,'Cálculos Comparativos'!D:D,A124)+COUNTIFS('Cálculos Comparativos'!V:V,$B$25,'Cálculos Comparativos'!D:D,A124)+COUNTIFS('Cálculos Comparativos'!V:V,$B$26,'Cálculos Comparativos'!D:D,A124)+COUNTIFS('Cálculos Comparativos'!V:V,$B$27,'Cálculos Comparativos'!D:D,A124))</f>
        <v>0.8</v>
      </c>
      <c r="D124" s="461"/>
      <c r="E124" s="246"/>
      <c r="F124" s="243" t="str">
        <f>IFERROR(__xludf.DUMMYFUNCTION("""COMPUTED_VALUE"""),"Suprimentos, Qualidade &amp; Segurança")</f>
        <v>Suprimentos, Qualidade &amp; Segurança</v>
      </c>
      <c r="G124" s="460">
        <f>IFERROR(__xludf.DUMMYFUNCTION("""COMPUTED_VALUE"""),0.8)</f>
        <v>0.8</v>
      </c>
    </row>
    <row r="125">
      <c r="A125" s="459">
        <v>3.0</v>
      </c>
      <c r="B125" s="375" t="s">
        <v>54</v>
      </c>
      <c r="C125" s="460">
        <f>(COUNTIFS('Cálculos Comparativos'!V:V,$B$22,'Cálculos Comparativos'!D:D,A125)+COUNTIFS('Cálculos Comparativos'!V:V,$B$23,'Cálculos Comparativos'!D:D,A125)+COUNTIFS('Cálculos Comparativos'!V:V,$B$24,'Cálculos Comparativos'!D:D,A125))/(COUNTIFS('Cálculos Comparativos'!V:V,$B$22,'Cálculos Comparativos'!D:D,A125)+COUNTIFS('Cálculos Comparativos'!V:V,$B$23,'Cálculos Comparativos'!D:D,A125)+COUNTIFS('Cálculos Comparativos'!V:V,$B$24,'Cálculos Comparativos'!D:D,A125)+COUNTIFS('Cálculos Comparativos'!V:V,$B$25,'Cálculos Comparativos'!D:D,A125)+COUNTIFS('Cálculos Comparativos'!V:V,$B$26,'Cálculos Comparativos'!D:D,A125)+COUNTIFS('Cálculos Comparativos'!V:V,$B$27,'Cálculos Comparativos'!D:D,A125))</f>
        <v>0.6666666667</v>
      </c>
      <c r="D125" s="461"/>
      <c r="F125" s="243" t="str">
        <f>IFERROR(__xludf.DUMMYFUNCTION("""COMPUTED_VALUE"""),"Financeiro")</f>
        <v>Financeiro</v>
      </c>
      <c r="G125" s="460">
        <f>IFERROR(__xludf.DUMMYFUNCTION("""COMPUTED_VALUE"""),0.6666666666666666)</f>
        <v>0.6666666667</v>
      </c>
    </row>
    <row r="126">
      <c r="A126" s="459">
        <v>4.0</v>
      </c>
      <c r="B126" s="375" t="s">
        <v>430</v>
      </c>
      <c r="C126" s="460">
        <f>(COUNTIFS('Cálculos Comparativos'!V:V,$B$22,'Cálculos Comparativos'!D:D,A126)+COUNTIFS('Cálculos Comparativos'!V:V,$B$23,'Cálculos Comparativos'!D:D,A126)+COUNTIFS('Cálculos Comparativos'!V:V,$B$24,'Cálculos Comparativos'!D:D,A126))/(COUNTIFS('Cálculos Comparativos'!V:V,$B$22,'Cálculos Comparativos'!D:D,A126)+COUNTIFS('Cálculos Comparativos'!V:V,$B$23,'Cálculos Comparativos'!D:D,A126)+COUNTIFS('Cálculos Comparativos'!V:V,$B$24,'Cálculos Comparativos'!D:D,A126)+COUNTIFS('Cálculos Comparativos'!V:V,$B$25,'Cálculos Comparativos'!D:D,A126)+COUNTIFS('Cálculos Comparativos'!V:V,$B$26,'Cálculos Comparativos'!D:D,A126)+COUNTIFS('Cálculos Comparativos'!V:V,$B$27,'Cálculos Comparativos'!D:D,A126))</f>
        <v>1</v>
      </c>
      <c r="D126" s="461"/>
      <c r="F126" s="243" t="str">
        <f>IFERROR(__xludf.DUMMYFUNCTION("""COMPUTED_VALUE"""),"Marketing")</f>
        <v>Marketing</v>
      </c>
      <c r="G126" s="460">
        <f>IFERROR(__xludf.DUMMYFUNCTION("""COMPUTED_VALUE"""),0.5)</f>
        <v>0.5</v>
      </c>
    </row>
    <row r="127">
      <c r="A127" s="459">
        <v>5.0</v>
      </c>
      <c r="B127" s="376" t="s">
        <v>31</v>
      </c>
      <c r="C127" s="460">
        <f>(COUNTIFS('Cálculos Comparativos'!V:V,$B$22,'Cálculos Comparativos'!D:D,A127)+COUNTIFS('Cálculos Comparativos'!V:V,$B$23,'Cálculos Comparativos'!D:D,A127)+COUNTIFS('Cálculos Comparativos'!V:V,$B$24,'Cálculos Comparativos'!D:D,A127))/(COUNTIFS('Cálculos Comparativos'!V:V,$B$22,'Cálculos Comparativos'!D:D,A127)+COUNTIFS('Cálculos Comparativos'!V:V,$B$23,'Cálculos Comparativos'!D:D,A127)+COUNTIFS('Cálculos Comparativos'!V:V,$B$24,'Cálculos Comparativos'!D:D,A127)+COUNTIFS('Cálculos Comparativos'!V:V,$B$25,'Cálculos Comparativos'!D:D,A127)+COUNTIFS('Cálculos Comparativos'!V:V,$B$26,'Cálculos Comparativos'!D:D,A127)+COUNTIFS('Cálculos Comparativos'!V:V,$B$27,'Cálculos Comparativos'!D:D,A127))</f>
        <v>0.5</v>
      </c>
      <c r="D127" s="461"/>
      <c r="F127" s="243" t="str">
        <f>IFERROR(__xludf.DUMMYFUNCTION("""COMPUTED_VALUE"""),"ADM, RH &amp; TI")</f>
        <v>ADM, RH &amp; TI</v>
      </c>
      <c r="G127" s="460">
        <f>IFERROR(__xludf.DUMMYFUNCTION("""COMPUTED_VALUE"""),0.4444444444444444)</f>
        <v>0.4444444444</v>
      </c>
    </row>
    <row r="128">
      <c r="A128" s="459">
        <v>6.0</v>
      </c>
      <c r="B128" s="376" t="s">
        <v>122</v>
      </c>
      <c r="C128" s="460">
        <f>(COUNTIFS('Cálculos Comparativos'!V:V,$B$22,'Cálculos Comparativos'!D:D,A128)+COUNTIFS('Cálculos Comparativos'!V:V,$B$23,'Cálculos Comparativos'!D:D,A128)+COUNTIFS('Cálculos Comparativos'!V:V,$B$24,'Cálculos Comparativos'!D:D,A128))/(COUNTIFS('Cálculos Comparativos'!V:V,$B$22,'Cálculos Comparativos'!D:D,A128)+COUNTIFS('Cálculos Comparativos'!V:V,$B$23,'Cálculos Comparativos'!D:D,A128)+COUNTIFS('Cálculos Comparativos'!V:V,$B$24,'Cálculos Comparativos'!D:D,A128)+COUNTIFS('Cálculos Comparativos'!V:V,$B$25,'Cálculos Comparativos'!D:D,A128)+COUNTIFS('Cálculos Comparativos'!V:V,$B$26,'Cálculos Comparativos'!D:D,A128)+COUNTIFS('Cálculos Comparativos'!V:V,$B$27,'Cálculos Comparativos'!D:D,A128))</f>
        <v>0.4</v>
      </c>
      <c r="D128" s="461"/>
      <c r="F128" s="243" t="str">
        <f>IFERROR(__xludf.DUMMYFUNCTION("""COMPUTED_VALUE"""),"Comercial")</f>
        <v>Comercial</v>
      </c>
      <c r="G128" s="460">
        <f>IFERROR(__xludf.DUMMYFUNCTION("""COMPUTED_VALUE"""),0.4)</f>
        <v>0.4</v>
      </c>
    </row>
    <row r="129">
      <c r="A129" s="459">
        <v>7.0</v>
      </c>
      <c r="B129" s="375" t="s">
        <v>431</v>
      </c>
      <c r="C129" s="460">
        <f>(COUNTIFS('Cálculos Comparativos'!V:V,$B$22,'Cálculos Comparativos'!D:D,A129)+COUNTIFS('Cálculos Comparativos'!V:V,$B$23,'Cálculos Comparativos'!D:D,A129)+COUNTIFS('Cálculos Comparativos'!V:V,$B$24,'Cálculos Comparativos'!D:D,A129))/(COUNTIFS('Cálculos Comparativos'!V:V,$B$22,'Cálculos Comparativos'!D:D,A129)+COUNTIFS('Cálculos Comparativos'!V:V,$B$23,'Cálculos Comparativos'!D:D,A129)+COUNTIFS('Cálculos Comparativos'!V:V,$B$24,'Cálculos Comparativos'!D:D,A129)+COUNTIFS('Cálculos Comparativos'!V:V,$B$25,'Cálculos Comparativos'!D:D,A129)+COUNTIFS('Cálculos Comparativos'!V:V,$B$26,'Cálculos Comparativos'!D:D,A129)+COUNTIFS('Cálculos Comparativos'!V:V,$B$27,'Cálculos Comparativos'!D:D,A129))</f>
        <v>0.3333333333</v>
      </c>
      <c r="D129" s="461"/>
      <c r="F129" s="243" t="str">
        <f>IFERROR(__xludf.DUMMYFUNCTION("""COMPUTED_VALUE"""),"Planejamento")</f>
        <v>Planejamento</v>
      </c>
      <c r="G129" s="460">
        <f>IFERROR(__xludf.DUMMYFUNCTION("""COMPUTED_VALUE"""),0.3333333333333333)</f>
        <v>0.3333333333</v>
      </c>
    </row>
    <row r="130">
      <c r="A130" s="459">
        <v>8.0</v>
      </c>
      <c r="B130" s="375" t="s">
        <v>432</v>
      </c>
      <c r="C130" s="460">
        <f>(COUNTIFS('Cálculos Comparativos'!V:V,$B$22,'Cálculos Comparativos'!D:D,A130)+COUNTIFS('Cálculos Comparativos'!V:V,$B$23,'Cálculos Comparativos'!D:D,A130)+COUNTIFS('Cálculos Comparativos'!V:V,$B$24,'Cálculos Comparativos'!D:D,A130))/(COUNTIFS('Cálculos Comparativos'!V:V,$B$22,'Cálculos Comparativos'!D:D,A130)+COUNTIFS('Cálculos Comparativos'!V:V,$B$23,'Cálculos Comparativos'!D:D,A130)+COUNTIFS('Cálculos Comparativos'!V:V,$B$24,'Cálculos Comparativos'!D:D,A130)+COUNTIFS('Cálculos Comparativos'!V:V,$B$25,'Cálculos Comparativos'!D:D,A130)+COUNTIFS('Cálculos Comparativos'!V:V,$B$26,'Cálculos Comparativos'!D:D,A130)+COUNTIFS('Cálculos Comparativos'!V:V,$B$27,'Cálculos Comparativos'!D:D,A130))</f>
        <v>0</v>
      </c>
      <c r="D130" s="461"/>
      <c r="F130" s="243" t="str">
        <f>IFERROR(__xludf.DUMMYFUNCTION("""COMPUTED_VALUE"""),"Jurídico")</f>
        <v>Jurídico</v>
      </c>
      <c r="G130" s="460">
        <f>IFERROR(__xludf.DUMMYFUNCTION("""COMPUTED_VALUE"""),0.0)</f>
        <v>0</v>
      </c>
    </row>
    <row r="131">
      <c r="A131" s="459"/>
      <c r="B131" s="375"/>
      <c r="C131" s="460"/>
      <c r="D131" s="461"/>
      <c r="F131" s="243"/>
      <c r="G131" s="460"/>
    </row>
    <row r="132">
      <c r="A132" s="407"/>
      <c r="C132" s="460"/>
      <c r="D132" s="461"/>
      <c r="F132" s="243"/>
      <c r="G132" s="460"/>
    </row>
    <row r="133">
      <c r="A133" s="407"/>
      <c r="B133" s="246"/>
      <c r="C133" s="460"/>
      <c r="D133" s="461"/>
    </row>
    <row r="134">
      <c r="A134" s="407"/>
      <c r="C134" s="460"/>
      <c r="D134" s="460"/>
    </row>
    <row r="135">
      <c r="A135" s="407"/>
      <c r="B135" s="246"/>
      <c r="C135" s="460"/>
      <c r="D135" s="460"/>
    </row>
    <row r="136">
      <c r="A136" s="407"/>
      <c r="B136" s="375"/>
      <c r="C136" s="375"/>
      <c r="D136" s="460"/>
    </row>
    <row r="137">
      <c r="A137" s="407"/>
      <c r="B137" s="375"/>
      <c r="C137" s="375"/>
      <c r="D137" s="460"/>
    </row>
    <row r="138">
      <c r="A138" s="407"/>
      <c r="B138" s="375"/>
      <c r="C138" s="375"/>
      <c r="D138" s="460"/>
    </row>
    <row r="139">
      <c r="A139" s="407"/>
      <c r="C139" s="375"/>
      <c r="D139" s="460"/>
    </row>
    <row r="140">
      <c r="A140" s="407"/>
      <c r="C140" s="375"/>
      <c r="D140" s="460"/>
    </row>
    <row r="141">
      <c r="A141" s="407"/>
      <c r="B141" s="375"/>
      <c r="C141" s="375"/>
      <c r="D141" s="460"/>
    </row>
    <row r="142">
      <c r="A142" s="407"/>
      <c r="B142" s="375"/>
      <c r="C142" s="375"/>
      <c r="D142" s="460"/>
    </row>
    <row r="143">
      <c r="A143" s="407"/>
      <c r="B143" s="375"/>
      <c r="C143" s="375"/>
      <c r="D143" s="460"/>
    </row>
    <row r="144">
      <c r="A144" s="407"/>
      <c r="B144" s="375"/>
      <c r="C144" s="375"/>
      <c r="D144" s="460"/>
    </row>
    <row r="145">
      <c r="A145" s="407"/>
      <c r="B145" s="375"/>
      <c r="C145" s="375"/>
      <c r="D145" s="460"/>
    </row>
    <row r="146">
      <c r="A146" s="407"/>
      <c r="B146" s="246"/>
      <c r="C146" s="460"/>
      <c r="D146" s="462"/>
    </row>
    <row r="147">
      <c r="A147" s="407"/>
      <c r="C147" s="460"/>
      <c r="D147" s="460"/>
    </row>
    <row r="148">
      <c r="A148" s="407"/>
    </row>
    <row r="149">
      <c r="A149" s="407"/>
      <c r="B149" s="463" t="s">
        <v>433</v>
      </c>
      <c r="C149" s="455" t="s">
        <v>400</v>
      </c>
      <c r="D149" s="456"/>
    </row>
    <row r="150">
      <c r="A150" s="407"/>
      <c r="B150" s="457" t="s">
        <v>427</v>
      </c>
      <c r="C150" s="457" t="s">
        <v>328</v>
      </c>
      <c r="D150" s="458"/>
    </row>
    <row r="151">
      <c r="A151" s="459">
        <v>1.0</v>
      </c>
      <c r="B151" s="375" t="s">
        <v>428</v>
      </c>
      <c r="C151" s="460">
        <f>(COUNTIFS('Cálculos Comparativos'!V:V,$B$27,'Cálculos Comparativos'!D:D,A151)+COUNTIFS('Cálculos Comparativos'!V:V,$B$26,'Cálculos Comparativos'!D:D,A151)+COUNTIFS('Cálculos Comparativos'!V:V,$B$25,'Cálculos Comparativos'!D:D,A151))/(COUNTIFS('Cálculos Comparativos'!V:V,$B$22,'Cálculos Comparativos'!D:D,A151)+COUNTIFS('Cálculos Comparativos'!V:V,$B$23,'Cálculos Comparativos'!D:D,A151)+COUNTIFS('Cálculos Comparativos'!V:V,$B$24,'Cálculos Comparativos'!D:D,A151)+COUNTIFS('Cálculos Comparativos'!V:V,$B$25,'Cálculos Comparativos'!D:D,A151)+COUNTIFS('Cálculos Comparativos'!V:V,$B$26,'Cálculos Comparativos'!D:D,A151)+COUNTIFS('Cálculos Comparativos'!V:V,$B$27,'Cálculos Comparativos'!D:D,A151))</f>
        <v>0.5555555556</v>
      </c>
      <c r="D151" s="461"/>
      <c r="F151" s="243" t="str">
        <f>IFERROR(__xludf.DUMMYFUNCTION("QUERY(B151:C160, ""select B, C order by C desc"", 0)"),"Jurídico")</f>
        <v>Jurídico</v>
      </c>
      <c r="G151" s="460">
        <f>IFERROR(__xludf.DUMMYFUNCTION("""COMPUTED_VALUE"""),1.0)</f>
        <v>1</v>
      </c>
    </row>
    <row r="152">
      <c r="A152" s="459">
        <v>2.0</v>
      </c>
      <c r="B152" s="375" t="s">
        <v>429</v>
      </c>
      <c r="C152" s="460">
        <f>(COUNTIFS('Cálculos Comparativos'!V:V,$B$27,'Cálculos Comparativos'!D:D,A152)+COUNTIFS('Cálculos Comparativos'!V:V,$B$26,'Cálculos Comparativos'!D:D,A152)+COUNTIFS('Cálculos Comparativos'!V:V,$B$25,'Cálculos Comparativos'!D:D,A152))/(COUNTIFS('Cálculos Comparativos'!V:V,$B$22,'Cálculos Comparativos'!D:D,A152)+COUNTIFS('Cálculos Comparativos'!V:V,$B$23,'Cálculos Comparativos'!D:D,A152)+COUNTIFS('Cálculos Comparativos'!V:V,$B$24,'Cálculos Comparativos'!D:D,A152)+COUNTIFS('Cálculos Comparativos'!V:V,$B$25,'Cálculos Comparativos'!D:D,A152)+COUNTIFS('Cálculos Comparativos'!V:V,$B$26,'Cálculos Comparativos'!D:D,A152)+COUNTIFS('Cálculos Comparativos'!V:V,$B$27,'Cálculos Comparativos'!D:D,A152))</f>
        <v>0.2</v>
      </c>
      <c r="D152" s="461"/>
      <c r="F152" s="243" t="str">
        <f>IFERROR(__xludf.DUMMYFUNCTION("""COMPUTED_VALUE"""),"Planejamento")</f>
        <v>Planejamento</v>
      </c>
      <c r="G152" s="460">
        <f>IFERROR(__xludf.DUMMYFUNCTION("""COMPUTED_VALUE"""),0.6666666666666666)</f>
        <v>0.6666666667</v>
      </c>
    </row>
    <row r="153">
      <c r="A153" s="459">
        <v>3.0</v>
      </c>
      <c r="B153" s="375" t="s">
        <v>54</v>
      </c>
      <c r="C153" s="460">
        <f>(COUNTIFS('Cálculos Comparativos'!V:V,$B$27,'Cálculos Comparativos'!D:D,A153)+COUNTIFS('Cálculos Comparativos'!V:V,$B$26,'Cálculos Comparativos'!D:D,A153)+COUNTIFS('Cálculos Comparativos'!V:V,$B$25,'Cálculos Comparativos'!D:D,A153))/(COUNTIFS('Cálculos Comparativos'!V:V,$B$22,'Cálculos Comparativos'!D:D,A153)+COUNTIFS('Cálculos Comparativos'!V:V,$B$23,'Cálculos Comparativos'!D:D,A153)+COUNTIFS('Cálculos Comparativos'!V:V,$B$24,'Cálculos Comparativos'!D:D,A153)+COUNTIFS('Cálculos Comparativos'!V:V,$B$25,'Cálculos Comparativos'!D:D,A153)+COUNTIFS('Cálculos Comparativos'!V:V,$B$26,'Cálculos Comparativos'!D:D,A153)+COUNTIFS('Cálculos Comparativos'!V:V,$B$27,'Cálculos Comparativos'!D:D,A153))</f>
        <v>0.3333333333</v>
      </c>
      <c r="D153" s="461"/>
      <c r="F153" s="243" t="str">
        <f>IFERROR(__xludf.DUMMYFUNCTION("""COMPUTED_VALUE"""),"Comercial")</f>
        <v>Comercial</v>
      </c>
      <c r="G153" s="460">
        <f>IFERROR(__xludf.DUMMYFUNCTION("""COMPUTED_VALUE"""),0.6)</f>
        <v>0.6</v>
      </c>
    </row>
    <row r="154">
      <c r="A154" s="459">
        <v>4.0</v>
      </c>
      <c r="B154" s="375" t="s">
        <v>430</v>
      </c>
      <c r="C154" s="460">
        <f>(COUNTIFS('Cálculos Comparativos'!V:V,$B$27,'Cálculos Comparativos'!D:D,A154)+COUNTIFS('Cálculos Comparativos'!V:V,$B$26,'Cálculos Comparativos'!D:D,A154)+COUNTIFS('Cálculos Comparativos'!V:V,$B$25,'Cálculos Comparativos'!D:D,A154))/(COUNTIFS('Cálculos Comparativos'!V:V,$B$22,'Cálculos Comparativos'!D:D,A154)+COUNTIFS('Cálculos Comparativos'!V:V,$B$23,'Cálculos Comparativos'!D:D,A154)+COUNTIFS('Cálculos Comparativos'!V:V,$B$24,'Cálculos Comparativos'!D:D,A154)+COUNTIFS('Cálculos Comparativos'!V:V,$B$25,'Cálculos Comparativos'!D:D,A154)+COUNTIFS('Cálculos Comparativos'!V:V,$B$26,'Cálculos Comparativos'!D:D,A154)+COUNTIFS('Cálculos Comparativos'!V:V,$B$27,'Cálculos Comparativos'!D:D,A154))</f>
        <v>0</v>
      </c>
      <c r="D154" s="461"/>
      <c r="F154" s="243" t="str">
        <f>IFERROR(__xludf.DUMMYFUNCTION("""COMPUTED_VALUE"""),"ADM, RH &amp; TI")</f>
        <v>ADM, RH &amp; TI</v>
      </c>
      <c r="G154" s="460">
        <f>IFERROR(__xludf.DUMMYFUNCTION("""COMPUTED_VALUE"""),0.5555555555555556)</f>
        <v>0.5555555556</v>
      </c>
    </row>
    <row r="155">
      <c r="A155" s="459">
        <v>5.0</v>
      </c>
      <c r="B155" s="376" t="s">
        <v>31</v>
      </c>
      <c r="C155" s="460">
        <f>(COUNTIFS('Cálculos Comparativos'!V:V,$B$27,'Cálculos Comparativos'!D:D,A155)+COUNTIFS('Cálculos Comparativos'!V:V,$B$26,'Cálculos Comparativos'!D:D,A155)+COUNTIFS('Cálculos Comparativos'!V:V,$B$25,'Cálculos Comparativos'!D:D,A155))/(COUNTIFS('Cálculos Comparativos'!V:V,$B$22,'Cálculos Comparativos'!D:D,A155)+COUNTIFS('Cálculos Comparativos'!V:V,$B$23,'Cálculos Comparativos'!D:D,A155)+COUNTIFS('Cálculos Comparativos'!V:V,$B$24,'Cálculos Comparativos'!D:D,A155)+COUNTIFS('Cálculos Comparativos'!V:V,$B$25,'Cálculos Comparativos'!D:D,A155)+COUNTIFS('Cálculos Comparativos'!V:V,$B$26,'Cálculos Comparativos'!D:D,A155)+COUNTIFS('Cálculos Comparativos'!V:V,$B$27,'Cálculos Comparativos'!D:D,A155))</f>
        <v>0.5</v>
      </c>
      <c r="D155" s="461"/>
      <c r="F155" s="243" t="str">
        <f>IFERROR(__xludf.DUMMYFUNCTION("""COMPUTED_VALUE"""),"Marketing")</f>
        <v>Marketing</v>
      </c>
      <c r="G155" s="460">
        <f>IFERROR(__xludf.DUMMYFUNCTION("""COMPUTED_VALUE"""),0.5)</f>
        <v>0.5</v>
      </c>
    </row>
    <row r="156">
      <c r="A156" s="459">
        <v>6.0</v>
      </c>
      <c r="B156" s="376" t="s">
        <v>122</v>
      </c>
      <c r="C156" s="460">
        <f>(COUNTIFS('Cálculos Comparativos'!V:V,$B$27,'Cálculos Comparativos'!D:D,A156)+COUNTIFS('Cálculos Comparativos'!V:V,$B$26,'Cálculos Comparativos'!D:D,A156)+COUNTIFS('Cálculos Comparativos'!V:V,$B$25,'Cálculos Comparativos'!D:D,A156))/(COUNTIFS('Cálculos Comparativos'!V:V,$B$22,'Cálculos Comparativos'!D:D,A156)+COUNTIFS('Cálculos Comparativos'!V:V,$B$23,'Cálculos Comparativos'!D:D,A156)+COUNTIFS('Cálculos Comparativos'!V:V,$B$24,'Cálculos Comparativos'!D:D,A156)+COUNTIFS('Cálculos Comparativos'!V:V,$B$25,'Cálculos Comparativos'!D:D,A156)+COUNTIFS('Cálculos Comparativos'!V:V,$B$26,'Cálculos Comparativos'!D:D,A156)+COUNTIFS('Cálculos Comparativos'!V:V,$B$27,'Cálculos Comparativos'!D:D,A156))</f>
        <v>0.6</v>
      </c>
      <c r="D156" s="461"/>
      <c r="F156" s="243" t="str">
        <f>IFERROR(__xludf.DUMMYFUNCTION("""COMPUTED_VALUE"""),"Financeiro")</f>
        <v>Financeiro</v>
      </c>
      <c r="G156" s="460">
        <f>IFERROR(__xludf.DUMMYFUNCTION("""COMPUTED_VALUE"""),0.3333333333333333)</f>
        <v>0.3333333333</v>
      </c>
    </row>
    <row r="157">
      <c r="A157" s="459">
        <v>7.0</v>
      </c>
      <c r="B157" s="375" t="s">
        <v>431</v>
      </c>
      <c r="C157" s="460">
        <f>(COUNTIFS('Cálculos Comparativos'!V:V,$B$27,'Cálculos Comparativos'!D:D,A157)+COUNTIFS('Cálculos Comparativos'!V:V,$B$26,'Cálculos Comparativos'!D:D,A157)+COUNTIFS('Cálculos Comparativos'!V:V,$B$25,'Cálculos Comparativos'!D:D,A157))/(COUNTIFS('Cálculos Comparativos'!V:V,$B$22,'Cálculos Comparativos'!D:D,A157)+COUNTIFS('Cálculos Comparativos'!V:V,$B$23,'Cálculos Comparativos'!D:D,A157)+COUNTIFS('Cálculos Comparativos'!V:V,$B$24,'Cálculos Comparativos'!D:D,A157)+COUNTIFS('Cálculos Comparativos'!V:V,$B$25,'Cálculos Comparativos'!D:D,A157)+COUNTIFS('Cálculos Comparativos'!V:V,$B$26,'Cálculos Comparativos'!D:D,A157)+COUNTIFS('Cálculos Comparativos'!V:V,$B$27,'Cálculos Comparativos'!D:D,A157))</f>
        <v>0.6666666667</v>
      </c>
      <c r="D157" s="461"/>
      <c r="F157" s="243" t="str">
        <f>IFERROR(__xludf.DUMMYFUNCTION("""COMPUTED_VALUE"""),"Suprimentos, Qualidade &amp; Segurança")</f>
        <v>Suprimentos, Qualidade &amp; Segurança</v>
      </c>
      <c r="G157" s="460">
        <f>IFERROR(__xludf.DUMMYFUNCTION("""COMPUTED_VALUE"""),0.2)</f>
        <v>0.2</v>
      </c>
    </row>
    <row r="158">
      <c r="A158" s="459">
        <v>8.0</v>
      </c>
      <c r="B158" s="375" t="s">
        <v>432</v>
      </c>
      <c r="C158" s="460">
        <f>(COUNTIFS('Cálculos Comparativos'!V:V,$B$27,'Cálculos Comparativos'!D:D,A158)+COUNTIFS('Cálculos Comparativos'!V:V,$B$26,'Cálculos Comparativos'!D:D,A158)+COUNTIFS('Cálculos Comparativos'!V:V,$B$25,'Cálculos Comparativos'!D:D,A158))/(COUNTIFS('Cálculos Comparativos'!V:V,$B$22,'Cálculos Comparativos'!D:D,A158)+COUNTIFS('Cálculos Comparativos'!V:V,$B$23,'Cálculos Comparativos'!D:D,A158)+COUNTIFS('Cálculos Comparativos'!V:V,$B$24,'Cálculos Comparativos'!D:D,A158)+COUNTIFS('Cálculos Comparativos'!V:V,$B$25,'Cálculos Comparativos'!D:D,A158)+COUNTIFS('Cálculos Comparativos'!V:V,$B$26,'Cálculos Comparativos'!D:D,A158)+COUNTIFS('Cálculos Comparativos'!V:V,$B$27,'Cálculos Comparativos'!D:D,A158))</f>
        <v>1</v>
      </c>
      <c r="D158" s="461"/>
      <c r="F158" s="243" t="str">
        <f>IFERROR(__xludf.DUMMYFUNCTION("""COMPUTED_VALUE"""),"Obras")</f>
        <v>Obras</v>
      </c>
      <c r="G158" s="460">
        <f>IFERROR(__xludf.DUMMYFUNCTION("""COMPUTED_VALUE"""),0.0)</f>
        <v>0</v>
      </c>
    </row>
    <row r="159">
      <c r="A159" s="459">
        <v>10.0</v>
      </c>
      <c r="B159" s="375"/>
      <c r="C159" s="460"/>
      <c r="D159" s="461"/>
      <c r="F159" s="243"/>
      <c r="G159" s="460"/>
    </row>
    <row r="160">
      <c r="A160" s="459"/>
      <c r="C160" s="460"/>
      <c r="D160" s="461"/>
      <c r="F160" s="243"/>
      <c r="G160" s="460"/>
    </row>
    <row r="161">
      <c r="A161" s="407"/>
      <c r="B161" s="246"/>
      <c r="C161" s="460"/>
      <c r="D161" s="461"/>
    </row>
    <row r="162">
      <c r="A162" s="407"/>
      <c r="C162" s="460"/>
      <c r="D162" s="461"/>
    </row>
    <row r="163">
      <c r="A163" s="407"/>
      <c r="B163" s="246"/>
      <c r="C163" s="460"/>
      <c r="D163" s="460"/>
    </row>
    <row r="164">
      <c r="A164" s="407"/>
      <c r="C164" s="460"/>
      <c r="D164" s="460"/>
    </row>
    <row r="165">
      <c r="A165" s="407"/>
      <c r="B165" s="246"/>
      <c r="C165" s="460"/>
      <c r="D165" s="460"/>
    </row>
    <row r="166">
      <c r="A166" s="407"/>
      <c r="C166" s="460"/>
      <c r="D166" s="460"/>
    </row>
    <row r="167">
      <c r="A167" s="407"/>
      <c r="C167" s="460"/>
      <c r="D167" s="460"/>
    </row>
    <row r="168">
      <c r="A168" s="407"/>
      <c r="B168" s="246"/>
      <c r="C168" s="460"/>
      <c r="D168" s="460"/>
    </row>
    <row r="169">
      <c r="A169" s="407"/>
      <c r="C169" s="460"/>
      <c r="D169" s="460"/>
    </row>
    <row r="170">
      <c r="A170" s="407"/>
      <c r="C170" s="460"/>
      <c r="D170" s="460"/>
    </row>
    <row r="171">
      <c r="A171" s="407"/>
      <c r="C171" s="460"/>
      <c r="D171" s="460"/>
    </row>
    <row r="172">
      <c r="A172" s="407"/>
    </row>
    <row r="173">
      <c r="C173" s="460"/>
      <c r="D173" s="460"/>
    </row>
    <row r="174">
      <c r="B174" s="246"/>
      <c r="C174" s="460"/>
      <c r="D174" s="460"/>
    </row>
    <row r="175">
      <c r="C175" s="460"/>
      <c r="D175" s="460"/>
    </row>
    <row r="176">
      <c r="C176" s="460"/>
      <c r="D176" s="460"/>
    </row>
    <row r="177">
      <c r="B177" s="246"/>
      <c r="C177" s="460"/>
      <c r="D177" s="460"/>
    </row>
    <row r="178">
      <c r="B178" s="246"/>
      <c r="C178" s="460"/>
      <c r="D178" s="460"/>
    </row>
    <row r="179">
      <c r="C179" s="460"/>
      <c r="D179" s="460"/>
    </row>
    <row r="180">
      <c r="B180" s="246"/>
      <c r="C180" s="460"/>
      <c r="D180" s="462"/>
    </row>
    <row r="181">
      <c r="C181" s="460"/>
      <c r="D181" s="460"/>
    </row>
    <row r="182">
      <c r="C182" s="460"/>
      <c r="D182" s="460"/>
    </row>
    <row r="183">
      <c r="C183" s="460"/>
      <c r="D183" s="460"/>
    </row>
    <row r="185">
      <c r="A185" s="407"/>
    </row>
    <row r="186">
      <c r="A186" s="407"/>
    </row>
    <row r="187">
      <c r="A187" s="407"/>
    </row>
    <row r="188">
      <c r="A188" s="407"/>
    </row>
    <row r="189">
      <c r="A189" s="407"/>
    </row>
    <row r="190">
      <c r="A190" s="407"/>
    </row>
    <row r="191">
      <c r="A191" s="407"/>
    </row>
    <row r="192">
      <c r="A192" s="407"/>
    </row>
    <row r="193">
      <c r="A193" s="407"/>
    </row>
    <row r="194">
      <c r="A194" s="407"/>
    </row>
    <row r="195">
      <c r="A195" s="407"/>
    </row>
    <row r="196">
      <c r="A196" s="407"/>
    </row>
    <row r="197">
      <c r="A197" s="407"/>
    </row>
    <row r="198">
      <c r="A198" s="407"/>
    </row>
    <row r="199">
      <c r="A199" s="407"/>
    </row>
    <row r="200">
      <c r="A200" s="407"/>
    </row>
    <row r="201">
      <c r="A201" s="407"/>
    </row>
    <row r="202">
      <c r="A202" s="407"/>
    </row>
    <row r="203">
      <c r="A203" s="407"/>
    </row>
    <row r="204">
      <c r="A204" s="407"/>
    </row>
  </sheetData>
  <autoFilter ref="$B$87:$K$117"/>
  <mergeCells count="31">
    <mergeCell ref="M11:M12"/>
    <mergeCell ref="M13:M16"/>
    <mergeCell ref="E1:L1"/>
    <mergeCell ref="B3:D4"/>
    <mergeCell ref="E4:E5"/>
    <mergeCell ref="M4:M5"/>
    <mergeCell ref="B5:C6"/>
    <mergeCell ref="E6:E9"/>
    <mergeCell ref="M6:M9"/>
    <mergeCell ref="B7:C7"/>
    <mergeCell ref="B9:C9"/>
    <mergeCell ref="B10:C10"/>
    <mergeCell ref="B11:C11"/>
    <mergeCell ref="E11:E12"/>
    <mergeCell ref="B13:C14"/>
    <mergeCell ref="E13:E16"/>
    <mergeCell ref="J25:K25"/>
    <mergeCell ref="J26:K26"/>
    <mergeCell ref="J27:K27"/>
    <mergeCell ref="E30:G30"/>
    <mergeCell ref="H30:J30"/>
    <mergeCell ref="F31:G31"/>
    <mergeCell ref="I31:J31"/>
    <mergeCell ref="B64:M64"/>
    <mergeCell ref="C20:D20"/>
    <mergeCell ref="E20:F20"/>
    <mergeCell ref="J20:K20"/>
    <mergeCell ref="J21:K21"/>
    <mergeCell ref="J22:K22"/>
    <mergeCell ref="J23:K23"/>
    <mergeCell ref="J24:K24"/>
  </mergeCells>
  <dataValidations>
    <dataValidation type="list" allowBlank="1" showErrorMessage="1" sqref="B13">
      <formula1>'Painel Áreas'!$P:$P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9.75"/>
    <col customWidth="1" min="2" max="2" width="18.38"/>
    <col customWidth="1" min="3" max="3" width="41.63"/>
    <col customWidth="1" min="4" max="5" width="17.88"/>
    <col customWidth="1" min="6" max="6" width="19.88"/>
    <col customWidth="1" min="7" max="7" width="16.0"/>
    <col customWidth="1" min="8" max="8" width="21.38"/>
    <col customWidth="1" min="9" max="9" width="15.0"/>
    <col customWidth="1" min="10" max="10" width="28.38"/>
    <col customWidth="1" min="11" max="11" width="13.0"/>
    <col customWidth="1" min="12" max="12" width="19.75"/>
    <col customWidth="1" min="13" max="13" width="19.0"/>
    <col customWidth="1" min="14" max="14" width="14.25"/>
    <col customWidth="1" min="15" max="15" width="10.88"/>
    <col customWidth="1" min="16" max="16" width="8.25"/>
    <col customWidth="1" min="17" max="17" width="10.13"/>
    <col customWidth="1" min="18" max="18" width="10.88"/>
    <col customWidth="1" min="19" max="19" width="14.0"/>
    <col customWidth="1" min="20" max="20" width="17.0"/>
    <col customWidth="1" min="21" max="21" width="27.38"/>
    <col customWidth="1" min="22" max="22" width="21.5"/>
  </cols>
  <sheetData>
    <row r="1">
      <c r="A1" s="158" t="s">
        <v>434</v>
      </c>
      <c r="B1" s="464"/>
      <c r="C1" s="464"/>
      <c r="D1" s="464"/>
      <c r="E1" s="464"/>
      <c r="F1" s="464"/>
      <c r="G1" s="464"/>
      <c r="H1" s="464"/>
      <c r="I1" s="464"/>
      <c r="J1" s="464"/>
      <c r="K1" s="464"/>
      <c r="L1" s="464"/>
      <c r="M1" s="464"/>
      <c r="N1" s="465" t="str">
        <f>'Informações Relevantes Cenário'!A1</f>
        <v>Cenário 01: Pesquisas Consolidadas - Nacional</v>
      </c>
      <c r="O1" s="160"/>
      <c r="P1" s="160"/>
      <c r="Q1" s="160"/>
      <c r="R1" s="160"/>
      <c r="S1" s="466"/>
      <c r="T1" s="467" t="str">
        <f>"% da "&amp;'Painel Geral'!B5</f>
        <v>% da Mediana</v>
      </c>
      <c r="U1" s="468" t="s">
        <v>315</v>
      </c>
      <c r="V1" s="207"/>
    </row>
    <row r="2" ht="6.0" customHeight="1">
      <c r="A2" s="469"/>
      <c r="B2" s="470"/>
      <c r="C2" s="471"/>
      <c r="D2" s="471"/>
      <c r="E2" s="471"/>
      <c r="F2" s="471"/>
      <c r="G2" s="471"/>
      <c r="H2" s="471"/>
      <c r="I2" s="472"/>
      <c r="J2" s="471"/>
      <c r="K2" s="471"/>
      <c r="L2" s="471"/>
      <c r="M2" s="473"/>
      <c r="N2" s="474"/>
      <c r="O2" s="475"/>
      <c r="P2" s="475"/>
      <c r="Q2" s="475"/>
      <c r="R2" s="475"/>
      <c r="S2" s="476"/>
      <c r="T2" s="477"/>
      <c r="U2" s="476"/>
      <c r="V2" s="471"/>
    </row>
    <row r="3">
      <c r="A3" s="478" t="s">
        <v>2</v>
      </c>
      <c r="B3" s="479" t="s">
        <v>435</v>
      </c>
      <c r="C3" s="480" t="s">
        <v>203</v>
      </c>
      <c r="D3" s="481" t="s">
        <v>318</v>
      </c>
      <c r="E3" s="481" t="s">
        <v>319</v>
      </c>
      <c r="F3" s="480" t="s">
        <v>7</v>
      </c>
      <c r="G3" s="481" t="s">
        <v>15</v>
      </c>
      <c r="H3" s="481" t="s">
        <v>436</v>
      </c>
      <c r="I3" s="480" t="s">
        <v>204</v>
      </c>
      <c r="J3" s="480" t="s">
        <v>205</v>
      </c>
      <c r="K3" s="482" t="s">
        <v>6</v>
      </c>
      <c r="L3" s="483" t="s">
        <v>320</v>
      </c>
      <c r="M3" s="484" t="s">
        <v>437</v>
      </c>
      <c r="N3" s="485" t="s">
        <v>322</v>
      </c>
      <c r="O3" s="486" t="s">
        <v>323</v>
      </c>
      <c r="P3" s="486" t="s">
        <v>324</v>
      </c>
      <c r="Q3" s="486" t="s">
        <v>325</v>
      </c>
      <c r="R3" s="486" t="s">
        <v>326</v>
      </c>
      <c r="S3" s="487" t="s">
        <v>327</v>
      </c>
      <c r="T3" s="488" t="s">
        <v>328</v>
      </c>
      <c r="U3" s="489" t="s">
        <v>329</v>
      </c>
      <c r="V3" s="480" t="s">
        <v>438</v>
      </c>
    </row>
    <row r="4" ht="15.75" customHeight="1">
      <c r="A4" s="17" t="s">
        <v>18</v>
      </c>
      <c r="B4" s="18">
        <v>1362.0</v>
      </c>
      <c r="C4" s="490" t="str">
        <f>VLOOKUP(A4,Jobmatch!A:F,2,0)</f>
        <v>ALMOXARIFE</v>
      </c>
      <c r="D4" s="490" t="str">
        <f>VLOOKUP(B4,'Folha de Pagamento'!B:G,6,0)</f>
        <v>Edificação</v>
      </c>
      <c r="E4" s="491" t="str">
        <f>VLOOKUP(A4,Jobmatch!A:F,4,0)</f>
        <v>8 - ADM PROJETOS</v>
      </c>
      <c r="F4" s="490" t="str">
        <f>VLOOKUP(A4,Jobmatch!A:F,5,0)</f>
        <v>Operacional</v>
      </c>
      <c r="G4" s="492">
        <f>VLOOKUP(B4,'Folha de Pagamento'!B:N,13,0)</f>
        <v>45871</v>
      </c>
      <c r="H4" s="493">
        <f t="shared" ref="H4:H63" si="1">(TODAY()-G4)/365</f>
        <v>0.5945205479</v>
      </c>
      <c r="I4" s="494">
        <f>VLOOKUP(A4,Jobmatch!A:G,6,0)</f>
        <v>203</v>
      </c>
      <c r="J4" s="491" t="str">
        <f>VLOOKUP(A4,Jobmatch!A:H,7,0)</f>
        <v>Almoxarife</v>
      </c>
      <c r="K4" s="495" t="str">
        <f>VLOOKUP(A4,Jobmatch!A:I,8,0)</f>
        <v>Indiferente</v>
      </c>
      <c r="L4" s="496" t="str">
        <f t="shared" ref="L4:L63" si="2">I4&amp;K4</f>
        <v>203Indiferente</v>
      </c>
      <c r="M4" s="497">
        <f>IFERROR(VLOOKUP(B4,'Folha de Pagamento'!B:J,9,0),"")</f>
        <v>3683</v>
      </c>
      <c r="N4" s="498">
        <f>IFERROR(VLOOKUP(L4,'C-01'!$D:$L,4,0),"")</f>
        <v>2966.23</v>
      </c>
      <c r="O4" s="499">
        <f>IFERROR(VLOOKUP(L4,'C-01'!$D:$L,5,0),"")</f>
        <v>3088.9</v>
      </c>
      <c r="P4" s="499">
        <f>IFERROR(VLOOKUP(L4,'C-01'!$D:$L,6,0),"")</f>
        <v>3397.38</v>
      </c>
      <c r="Q4" s="499">
        <f>IFERROR(VLOOKUP(L4,'C-01'!$D:$L,7,0),"")</f>
        <v>3088.9</v>
      </c>
      <c r="R4" s="499">
        <f>IFERROR(VLOOKUP(L4,'C-01'!$D:$L,8,0),"")</f>
        <v>3703.26</v>
      </c>
      <c r="S4" s="498">
        <f>IFERROR(VLOOKUP(L4,'C-01'!$D:$L,9,0),"")</f>
        <v>4425.21</v>
      </c>
      <c r="T4" s="500">
        <f>IFS('Painel Geral'!$B$5="Mediana",IFERROR(IF(OR(M4="",Q4=0,Q4=""),"",($M4/$Q4)),""),'Painel Geral'!$B$5="Menor Salário",IFERROR(IF(OR(M4="",Q4=0,Q4=""),"",($M4/$N4)),""),'Painel Geral'!$B$5="1º Quartil",IFERROR(IF(OR(M4="",Q4=0,Q4=""),"",($M4/$O4)),""),'Painel Geral'!$B$5="Média",IFERROR(IF(OR(M4="",Q4=0,Q4=""),"",($M4/$P4)),""),'Painel Geral'!$B$5="3º Quartil",IFERROR(IF(OR(M4="",Q4=0,Q4=""),"",($M4/$R4)),""),'Painel Geral'!$B$5="Maior Salário",IFERROR(IF(OR(M4="",Q4=0,Q4=""),"",($M4/$S4)),""))</f>
        <v>1.192333841</v>
      </c>
      <c r="U4" s="491" t="str">
        <f t="shared" ref="U4:U63" si="3">IFS(OR(N4="",N4=0,M4="", M4=0),"",T4&lt;=80%,"Muito Defasado",T4&lt;=90%,"Defasado",T4&lt;=100%,"Na Média",T4&lt;=110%,"Competitivo",T4&lt;=120%,"Muito Competitivo",T4&gt;120%,"Agressivo")</f>
        <v>Muito Competitivo</v>
      </c>
      <c r="V4" s="501">
        <f>VLOOKUP(A4,'Cálculos Comparativos'!$A:$E,4,0)</f>
        <v>5</v>
      </c>
    </row>
    <row r="5" ht="15.75" customHeight="1">
      <c r="A5" s="17" t="s">
        <v>18</v>
      </c>
      <c r="B5" s="29">
        <v>1957.0</v>
      </c>
      <c r="C5" s="490" t="str">
        <f>VLOOKUP(A5,Jobmatch!A:F,2,0)</f>
        <v>ALMOXARIFE</v>
      </c>
      <c r="D5" s="490" t="str">
        <f>VLOOKUP(B5,'Folha de Pagamento'!B:G,6,0)</f>
        <v>Edificação</v>
      </c>
      <c r="E5" s="491" t="str">
        <f>VLOOKUP(A5,Jobmatch!A:F,4,0)</f>
        <v>8 - ADM PROJETOS</v>
      </c>
      <c r="F5" s="490" t="str">
        <f>VLOOKUP(A5,Jobmatch!A:F,5,0)</f>
        <v>Operacional</v>
      </c>
      <c r="G5" s="492">
        <f>VLOOKUP(B5,'Folha de Pagamento'!B:N,13,0)</f>
        <v>45870</v>
      </c>
      <c r="H5" s="493">
        <f t="shared" si="1"/>
        <v>0.597260274</v>
      </c>
      <c r="I5" s="494">
        <f>VLOOKUP(A5,Jobmatch!A:G,6,0)</f>
        <v>203</v>
      </c>
      <c r="J5" s="491" t="str">
        <f>VLOOKUP(A5,Jobmatch!A:H,7,0)</f>
        <v>Almoxarife</v>
      </c>
      <c r="K5" s="495" t="str">
        <f>VLOOKUP(A5,Jobmatch!A:I,8,0)</f>
        <v>Indiferente</v>
      </c>
      <c r="L5" s="496" t="str">
        <f t="shared" si="2"/>
        <v>203Indiferente</v>
      </c>
      <c r="M5" s="497">
        <f>IFERROR(VLOOKUP(B5,'Folha de Pagamento'!B:J,9,0),"")</f>
        <v>3683</v>
      </c>
      <c r="N5" s="498">
        <f>IFERROR(VLOOKUP(L5,'C-01'!$D:$L,4,0),"")</f>
        <v>2966.23</v>
      </c>
      <c r="O5" s="499">
        <f>IFERROR(VLOOKUP(L5,'C-01'!$D:$L,5,0),"")</f>
        <v>3088.9</v>
      </c>
      <c r="P5" s="499">
        <f>IFERROR(VLOOKUP(L5,'C-01'!$D:$L,6,0),"")</f>
        <v>3397.38</v>
      </c>
      <c r="Q5" s="499">
        <f>IFERROR(VLOOKUP(L5,'C-01'!$D:$L,7,0),"")</f>
        <v>3088.9</v>
      </c>
      <c r="R5" s="499">
        <f>IFERROR(VLOOKUP(L5,'C-01'!$D:$L,8,0),"")</f>
        <v>3703.26</v>
      </c>
      <c r="S5" s="498">
        <f>IFERROR(VLOOKUP(L5,'C-01'!$D:$L,9,0),"")</f>
        <v>4425.21</v>
      </c>
      <c r="T5" s="500">
        <f>IFS('Painel Geral'!$B$5="Mediana",IFERROR(IF(OR(M5="",Q5=0,Q5=""),"",($M5/$Q5)),""),'Painel Geral'!$B$5="Menor Salário",IFERROR(IF(OR(M5="",Q5=0,Q5=""),"",($M5/$N5)),""),'Painel Geral'!$B$5="1º Quartil",IFERROR(IF(OR(M5="",Q5=0,Q5=""),"",($M5/$O5)),""),'Painel Geral'!$B$5="Média",IFERROR(IF(OR(M5="",Q5=0,Q5=""),"",($M5/$P5)),""),'Painel Geral'!$B$5="3º Quartil",IFERROR(IF(OR(M5="",Q5=0,Q5=""),"",($M5/$R5)),""),'Painel Geral'!$B$5="Maior Salário",IFERROR(IF(OR(M5="",Q5=0,Q5=""),"",($M5/$S5)),""))</f>
        <v>1.192333841</v>
      </c>
      <c r="U5" s="491" t="str">
        <f t="shared" si="3"/>
        <v>Muito Competitivo</v>
      </c>
      <c r="V5" s="501">
        <f>VLOOKUP(A5,'Cálculos Comparativos'!$A:$E,4,0)</f>
        <v>5</v>
      </c>
    </row>
    <row r="6" ht="15.75" customHeight="1">
      <c r="A6" s="17" t="s">
        <v>26</v>
      </c>
      <c r="B6" s="29">
        <v>1964.0</v>
      </c>
      <c r="C6" s="490" t="str">
        <f>VLOOKUP(A6,Jobmatch!A:F,2,0)</f>
        <v>ANALISTA DE COMPRAS</v>
      </c>
      <c r="D6" s="490" t="str">
        <f>VLOOKUP(B6,'Folha de Pagamento'!B:G,6,0)</f>
        <v>Suprimentos </v>
      </c>
      <c r="E6" s="491" t="str">
        <f>VLOOKUP(A6,Jobmatch!A:F,4,0)</f>
        <v>9 - ADM PROJETOS</v>
      </c>
      <c r="F6" s="490" t="str">
        <f>VLOOKUP(A6,Jobmatch!A:F,5,0)</f>
        <v>Operacional</v>
      </c>
      <c r="G6" s="502">
        <f>VLOOKUP(B6,'Folha de Pagamento'!B:N,13,0)</f>
        <v>45872</v>
      </c>
      <c r="H6" s="493">
        <f t="shared" si="1"/>
        <v>0.5917808219</v>
      </c>
      <c r="I6" s="494">
        <f>VLOOKUP(A6,Jobmatch!A:G,6,0)</f>
        <v>136</v>
      </c>
      <c r="J6" s="491" t="str">
        <f>VLOOKUP(A6,Jobmatch!A:H,7,0)</f>
        <v>Analista de Compras</v>
      </c>
      <c r="K6" s="495" t="str">
        <f>VLOOKUP(A6,Jobmatch!A:I,8,0)</f>
        <v>Pleno</v>
      </c>
      <c r="L6" s="496" t="str">
        <f t="shared" si="2"/>
        <v>136Pleno</v>
      </c>
      <c r="M6" s="497">
        <f>IFERROR(VLOOKUP(B6,'Folha de Pagamento'!B:J,9,0),"")</f>
        <v>3780</v>
      </c>
      <c r="N6" s="498">
        <f>IFERROR(VLOOKUP(L6,'C-01'!$D:$L,4,0),"")</f>
        <v>4524.76</v>
      </c>
      <c r="O6" s="499">
        <f>IFERROR(VLOOKUP(L6,'C-01'!$D:$L,5,0),"")</f>
        <v>4524.76</v>
      </c>
      <c r="P6" s="499">
        <f>IFERROR(VLOOKUP(L6,'C-01'!$D:$L,6,0),"")</f>
        <v>6002.23</v>
      </c>
      <c r="Q6" s="499">
        <f>IFERROR(VLOOKUP(L6,'C-01'!$D:$L,7,0),"")</f>
        <v>5275.87</v>
      </c>
      <c r="R6" s="499">
        <f>IFERROR(VLOOKUP(L6,'C-01'!$D:$L,8,0),"")</f>
        <v>7842.89</v>
      </c>
      <c r="S6" s="498">
        <f>IFERROR(VLOOKUP(L6,'C-01'!$D:$L,9,0),"")</f>
        <v>7842.89</v>
      </c>
      <c r="T6" s="500">
        <f>IFS('Painel Geral'!$B$5="Mediana",IFERROR(IF(OR(M6="",Q6=0,Q6=""),"",($M6/$Q6)),""),'Painel Geral'!$B$5="Menor Salário",IFERROR(IF(OR(M6="",Q6=0,Q6=""),"",($M6/$N6)),""),'Painel Geral'!$B$5="1º Quartil",IFERROR(IF(OR(M6="",Q6=0,Q6=""),"",($M6/$O6)),""),'Painel Geral'!$B$5="Média",IFERROR(IF(OR(M6="",Q6=0,Q6=""),"",($M6/$P6)),""),'Painel Geral'!$B$5="3º Quartil",IFERROR(IF(OR(M6="",Q6=0,Q6=""),"",($M6/$R6)),""),'Painel Geral'!$B$5="Maior Salário",IFERROR(IF(OR(M6="",Q6=0,Q6=""),"",($M6/$S6)),""))</f>
        <v>0.7164695112</v>
      </c>
      <c r="U6" s="491" t="str">
        <f t="shared" si="3"/>
        <v>Muito Defasado</v>
      </c>
      <c r="V6" s="501">
        <f>VLOOKUP(A6,'Cálculos Comparativos'!$A:$E,4,0)</f>
        <v>1</v>
      </c>
    </row>
    <row r="7" ht="15.75" customHeight="1">
      <c r="A7" s="17" t="s">
        <v>29</v>
      </c>
      <c r="B7" s="29">
        <v>1910.0</v>
      </c>
      <c r="C7" s="490" t="str">
        <f>VLOOKUP(A7,Jobmatch!A:F,2,0)</f>
        <v>ANALISTA DE CRIAÇAO</v>
      </c>
      <c r="D7" s="490" t="str">
        <f>VLOOKUP(B7,'Folha de Pagamento'!B:G,6,0)</f>
        <v>Marketing</v>
      </c>
      <c r="E7" s="491" t="str">
        <f>VLOOKUP(A7,Jobmatch!A:F,4,0)</f>
        <v>10 - ADM PROJETOS</v>
      </c>
      <c r="F7" s="490" t="str">
        <f>VLOOKUP(A7,Jobmatch!A:F,5,0)</f>
        <v>Operacional</v>
      </c>
      <c r="G7" s="502">
        <f>VLOOKUP(B7,'Folha de Pagamento'!B:N,13,0)</f>
        <v>45873</v>
      </c>
      <c r="H7" s="493">
        <f t="shared" si="1"/>
        <v>0.5890410959</v>
      </c>
      <c r="I7" s="494">
        <f>VLOOKUP(A7,Jobmatch!A:G,6,0)</f>
        <v>45</v>
      </c>
      <c r="J7" s="491" t="str">
        <f>VLOOKUP(A7,Jobmatch!A:H,7,0)</f>
        <v>Analista de Criação</v>
      </c>
      <c r="K7" s="495" t="str">
        <f>VLOOKUP(A7,Jobmatch!A:I,8,0)</f>
        <v>Indiferente</v>
      </c>
      <c r="L7" s="496" t="str">
        <f t="shared" si="2"/>
        <v>45Indiferente</v>
      </c>
      <c r="M7" s="497">
        <f>IFERROR(VLOOKUP(B7,'Folha de Pagamento'!B:J,9,0),"")</f>
        <v>5429</v>
      </c>
      <c r="N7" s="498">
        <f>IFERROR(VLOOKUP(L7,'C-01'!$D:$L,4,0),"")</f>
        <v>2771.48</v>
      </c>
      <c r="O7" s="499">
        <f>IFERROR(VLOOKUP(L7,'C-01'!$D:$L,5,0),"")</f>
        <v>3527.33</v>
      </c>
      <c r="P7" s="499">
        <f>IFERROR(VLOOKUP(L7,'C-01'!$D:$L,6,0),"")</f>
        <v>4325.16</v>
      </c>
      <c r="Q7" s="499">
        <f>IFERROR(VLOOKUP(L7,'C-01'!$D:$L,7,0),"")</f>
        <v>4325.72</v>
      </c>
      <c r="R7" s="499">
        <f>IFERROR(VLOOKUP(L7,'C-01'!$D:$L,8,0),"")</f>
        <v>4988.66</v>
      </c>
      <c r="S7" s="498">
        <f>IFERROR(VLOOKUP(L7,'C-01'!$D:$L,9,0),"")</f>
        <v>6418.74</v>
      </c>
      <c r="T7" s="500">
        <f>IFS('Painel Geral'!$B$5="Mediana",IFERROR(IF(OR(M7="",Q7=0,Q7=""),"",($M7/$Q7)),""),'Painel Geral'!$B$5="Menor Salário",IFERROR(IF(OR(M7="",Q7=0,Q7=""),"",($M7/$N7)),""),'Painel Geral'!$B$5="1º Quartil",IFERROR(IF(OR(M7="",Q7=0,Q7=""),"",($M7/$O7)),""),'Painel Geral'!$B$5="Média",IFERROR(IF(OR(M7="",Q7=0,Q7=""),"",($M7/$P7)),""),'Painel Geral'!$B$5="3º Quartil",IFERROR(IF(OR(M7="",Q7=0,Q7=""),"",($M7/$R7)),""),'Painel Geral'!$B$5="Maior Salário",IFERROR(IF(OR(M7="",Q7=0,Q7=""),"",($M7/$S7)),""))</f>
        <v>1.255051182</v>
      </c>
      <c r="U7" s="491" t="str">
        <f t="shared" si="3"/>
        <v>Agressivo</v>
      </c>
      <c r="V7" s="501">
        <f>VLOOKUP(A7,'Cálculos Comparativos'!$A:$E,4,0)</f>
        <v>8</v>
      </c>
    </row>
    <row r="8" ht="15.75" customHeight="1">
      <c r="A8" s="17" t="s">
        <v>33</v>
      </c>
      <c r="B8" s="29" t="s">
        <v>34</v>
      </c>
      <c r="C8" s="490" t="str">
        <f>VLOOKUP(A8,Jobmatch!A:F,2,0)</f>
        <v>ANALISTA DE INOVAÇÃO</v>
      </c>
      <c r="D8" s="490" t="str">
        <f>VLOOKUP(B8,'Folha de Pagamento'!B:G,6,0)</f>
        <v>Inovação</v>
      </c>
      <c r="E8" s="491" t="str">
        <f>VLOOKUP(A8,Jobmatch!A:F,4,0)</f>
        <v>11 - ADM PROJETOS</v>
      </c>
      <c r="F8" s="490" t="str">
        <f>VLOOKUP(A8,Jobmatch!A:F,5,0)</f>
        <v>Tático</v>
      </c>
      <c r="G8" s="502">
        <f>VLOOKUP(B8,'Folha de Pagamento'!B:N,13,0)</f>
        <v>45874</v>
      </c>
      <c r="H8" s="493">
        <f t="shared" si="1"/>
        <v>0.5863013699</v>
      </c>
      <c r="I8" s="494">
        <f>VLOOKUP(A8,Jobmatch!A:G,6,0)</f>
        <v>437</v>
      </c>
      <c r="J8" s="491" t="str">
        <f>VLOOKUP(A8,Jobmatch!A:H,7,0)</f>
        <v>Analista de Inovação</v>
      </c>
      <c r="K8" s="495" t="str">
        <f>VLOOKUP(A8,Jobmatch!A:I,8,0)</f>
        <v>Indiferente</v>
      </c>
      <c r="L8" s="496" t="str">
        <f t="shared" si="2"/>
        <v>437Indiferente</v>
      </c>
      <c r="M8" s="497">
        <f>IFERROR(VLOOKUP(B8,'Folha de Pagamento'!B:J,9,0),"")</f>
        <v>7299.270073</v>
      </c>
      <c r="N8" s="498">
        <f>IFERROR(VLOOKUP(L8,'C-01'!$D:$L,4,0),"")</f>
        <v>4634.38</v>
      </c>
      <c r="O8" s="499">
        <f>IFERROR(VLOOKUP(L8,'C-01'!$D:$L,5,0),"")</f>
        <v>5268.47</v>
      </c>
      <c r="P8" s="499">
        <f>IFERROR(VLOOKUP(L8,'C-01'!$D:$L,6,0),"")</f>
        <v>5831.57</v>
      </c>
      <c r="Q8" s="499">
        <f>IFERROR(VLOOKUP(L8,'C-01'!$D:$L,7,0),"")</f>
        <v>5268.47</v>
      </c>
      <c r="R8" s="499">
        <f>IFERROR(VLOOKUP(L8,'C-01'!$D:$L,8,0),"")</f>
        <v>6822.26</v>
      </c>
      <c r="S8" s="498">
        <f>IFERROR(VLOOKUP(L8,'C-01'!$D:$L,9,0),"")</f>
        <v>7760.14</v>
      </c>
      <c r="T8" s="500">
        <f>IFS('Painel Geral'!$B$5="Mediana",IFERROR(IF(OR(M8="",Q8=0,Q8=""),"",($M8/$Q8)),""),'Painel Geral'!$B$5="Menor Salário",IFERROR(IF(OR(M8="",Q8=0,Q8=""),"",($M8/$N8)),""),'Painel Geral'!$B$5="1º Quartil",IFERROR(IF(OR(M8="",Q8=0,Q8=""),"",($M8/$O8)),""),'Painel Geral'!$B$5="Média",IFERROR(IF(OR(M8="",Q8=0,Q8=""),"",($M8/$P8)),""),'Painel Geral'!$B$5="3º Quartil",IFERROR(IF(OR(M8="",Q8=0,Q8=""),"",($M8/$R8)),""),'Painel Geral'!$B$5="Maior Salário",IFERROR(IF(OR(M8="",Q8=0,Q8=""),"",($M8/$S8)),""))</f>
        <v>1.385462966</v>
      </c>
      <c r="U8" s="491" t="str">
        <f t="shared" si="3"/>
        <v>Agressivo</v>
      </c>
      <c r="V8" s="501">
        <f>VLOOKUP(A8,'Cálculos Comparativos'!$A:$E,4,0)</f>
        <v>7</v>
      </c>
    </row>
    <row r="9" ht="15.75" customHeight="1">
      <c r="A9" s="17" t="s">
        <v>39</v>
      </c>
      <c r="B9" s="29">
        <v>1373.0</v>
      </c>
      <c r="C9" s="490" t="str">
        <f>VLOOKUP(A9,Jobmatch!A:F,2,0)</f>
        <v>ANALISTA DE MANUTENÇÃO II</v>
      </c>
      <c r="D9" s="490" t="str">
        <f>VLOOKUP(B9,'Folha de Pagamento'!B:G,6,0)</f>
        <v>Edificação</v>
      </c>
      <c r="E9" s="491" t="str">
        <f>VLOOKUP(A9,Jobmatch!A:F,4,0)</f>
        <v>12 - ADM PROJETOS</v>
      </c>
      <c r="F9" s="490" t="str">
        <f>VLOOKUP(A9,Jobmatch!A:F,5,0)</f>
        <v>Operacional</v>
      </c>
      <c r="G9" s="502">
        <f>VLOOKUP(B9,'Folha de Pagamento'!B:N,13,0)</f>
        <v>45875</v>
      </c>
      <c r="H9" s="493">
        <f t="shared" si="1"/>
        <v>0.5835616438</v>
      </c>
      <c r="I9" s="494">
        <f>VLOOKUP(A9,Jobmatch!A:G,6,0)</f>
        <v>820</v>
      </c>
      <c r="J9" s="491" t="str">
        <f>VLOOKUP(A9,Jobmatch!A:H,7,0)</f>
        <v>Encarregado de Manutenção</v>
      </c>
      <c r="K9" s="495" t="str">
        <f>VLOOKUP(A9,Jobmatch!A:I,8,0)</f>
        <v>Indiferente</v>
      </c>
      <c r="L9" s="496" t="str">
        <f t="shared" si="2"/>
        <v>820Indiferente</v>
      </c>
      <c r="M9" s="497">
        <f>IFERROR(VLOOKUP(B9,'Folha de Pagamento'!B:J,9,0),"")</f>
        <v>4550</v>
      </c>
      <c r="N9" s="498" t="str">
        <f>IFERROR(VLOOKUP(L9,'C-01'!$D:$L,4,0),"")</f>
        <v/>
      </c>
      <c r="O9" s="499" t="str">
        <f>IFERROR(VLOOKUP(L9,'C-01'!$D:$L,5,0),"")</f>
        <v/>
      </c>
      <c r="P9" s="499" t="str">
        <f>IFERROR(VLOOKUP(L9,'C-01'!$D:$L,6,0),"")</f>
        <v/>
      </c>
      <c r="Q9" s="499" t="str">
        <f>IFERROR(VLOOKUP(L9,'C-01'!$D:$L,7,0),"")</f>
        <v/>
      </c>
      <c r="R9" s="499" t="str">
        <f>IFERROR(VLOOKUP(L9,'C-01'!$D:$L,8,0),"")</f>
        <v/>
      </c>
      <c r="S9" s="498" t="str">
        <f>IFERROR(VLOOKUP(L9,'C-01'!$D:$L,9,0),"")</f>
        <v/>
      </c>
      <c r="T9" s="500" t="str">
        <f>IFS('Painel Geral'!$B$5="Mediana",IFERROR(IF(OR(M9="",Q9=0,Q9=""),"",($M9/$Q9)),""),'Painel Geral'!$B$5="Menor Salário",IFERROR(IF(OR(M9="",Q9=0,Q9=""),"",($M9/$N9)),""),'Painel Geral'!$B$5="1º Quartil",IFERROR(IF(OR(M9="",Q9=0,Q9=""),"",($M9/$O9)),""),'Painel Geral'!$B$5="Média",IFERROR(IF(OR(M9="",Q9=0,Q9=""),"",($M9/$P9)),""),'Painel Geral'!$B$5="3º Quartil",IFERROR(IF(OR(M9="",Q9=0,Q9=""),"",($M9/$R9)),""),'Painel Geral'!$B$5="Maior Salário",IFERROR(IF(OR(M9="",Q9=0,Q9=""),"",($M9/$S9)),""))</f>
        <v/>
      </c>
      <c r="U9" s="491" t="str">
        <f t="shared" si="3"/>
        <v/>
      </c>
      <c r="V9" s="501">
        <f>VLOOKUP(A9,'Cálculos Comparativos'!$A:$E,4,0)</f>
        <v>5</v>
      </c>
    </row>
    <row r="10" ht="15.75" customHeight="1">
      <c r="A10" s="17" t="s">
        <v>43</v>
      </c>
      <c r="B10" s="29">
        <v>139.0</v>
      </c>
      <c r="C10" s="490" t="str">
        <f>VLOOKUP(A10,Jobmatch!A:F,2,0)</f>
        <v>ANALISTA DE MARKETING l</v>
      </c>
      <c r="D10" s="490" t="str">
        <f>VLOOKUP(B10,'Folha de Pagamento'!B:G,6,0)</f>
        <v>Marketing</v>
      </c>
      <c r="E10" s="491" t="str">
        <f>VLOOKUP(A10,Jobmatch!A:F,4,0)</f>
        <v>13 - ADM PROJETOS</v>
      </c>
      <c r="F10" s="490" t="str">
        <f>VLOOKUP(A10,Jobmatch!A:F,5,0)</f>
        <v>Operacional</v>
      </c>
      <c r="G10" s="502">
        <f>VLOOKUP(B10,'Folha de Pagamento'!B:N,13,0)</f>
        <v>45876</v>
      </c>
      <c r="H10" s="493">
        <f t="shared" si="1"/>
        <v>0.5808219178</v>
      </c>
      <c r="I10" s="494">
        <f>VLOOKUP(A10,Jobmatch!A:G,6,0)</f>
        <v>42</v>
      </c>
      <c r="J10" s="491" t="str">
        <f>VLOOKUP(A10,Jobmatch!A:H,7,0)</f>
        <v>Analista de Marketing</v>
      </c>
      <c r="K10" s="495" t="str">
        <f>VLOOKUP(A10,Jobmatch!A:I,8,0)</f>
        <v>Júnior</v>
      </c>
      <c r="L10" s="496" t="str">
        <f t="shared" si="2"/>
        <v>42Júnior</v>
      </c>
      <c r="M10" s="497">
        <f>IFERROR(VLOOKUP(B10,'Folha de Pagamento'!B:J,9,0),"")</f>
        <v>4025.88</v>
      </c>
      <c r="N10" s="498">
        <f>IFERROR(VLOOKUP(L10,'C-01'!$D:$L,4,0),"")</f>
        <v>2523.15</v>
      </c>
      <c r="O10" s="499">
        <f>IFERROR(VLOOKUP(L10,'C-01'!$D:$L,5,0),"")</f>
        <v>3503.85</v>
      </c>
      <c r="P10" s="499">
        <f>IFERROR(VLOOKUP(L10,'C-01'!$D:$L,6,0),"")</f>
        <v>3792.81</v>
      </c>
      <c r="Q10" s="499">
        <f>IFERROR(VLOOKUP(L10,'C-01'!$D:$L,7,0),"")</f>
        <v>3674.96</v>
      </c>
      <c r="R10" s="499">
        <f>IFERROR(VLOOKUP(L10,'C-01'!$D:$L,8,0),"")</f>
        <v>3977.13</v>
      </c>
      <c r="S10" s="498">
        <f>IFERROR(VLOOKUP(L10,'C-01'!$D:$L,9,0),"")</f>
        <v>5225.68</v>
      </c>
      <c r="T10" s="500">
        <f>IFS('Painel Geral'!$B$5="Mediana",IFERROR(IF(OR(M10="",Q10=0,Q10=""),"",($M10/$Q10)),""),'Painel Geral'!$B$5="Menor Salário",IFERROR(IF(OR(M10="",Q10=0,Q10=""),"",($M10/$N10)),""),'Painel Geral'!$B$5="1º Quartil",IFERROR(IF(OR(M10="",Q10=0,Q10=""),"",($M10/$O10)),""),'Painel Geral'!$B$5="Média",IFERROR(IF(OR(M10="",Q10=0,Q10=""),"",($M10/$P10)),""),'Painel Geral'!$B$5="3º Quartil",IFERROR(IF(OR(M10="",Q10=0,Q10=""),"",($M10/$R10)),""),'Painel Geral'!$B$5="Maior Salário",IFERROR(IF(OR(M10="",Q10=0,Q10=""),"",($M10/$S10)),""))</f>
        <v>1.095489475</v>
      </c>
      <c r="U10" s="491" t="str">
        <f t="shared" si="3"/>
        <v>Competitivo</v>
      </c>
      <c r="V10" s="501">
        <f>VLOOKUP(A10,'Cálculos Comparativos'!$A:$E,4,0)</f>
        <v>8</v>
      </c>
    </row>
    <row r="11" ht="15.75" customHeight="1">
      <c r="A11" s="17" t="s">
        <v>45</v>
      </c>
      <c r="B11" s="29">
        <v>1962.0</v>
      </c>
      <c r="C11" s="490" t="str">
        <f>VLOOKUP(A11,Jobmatch!A:F,2,0)</f>
        <v>ANALISTA DE PÓS VENDAS II</v>
      </c>
      <c r="D11" s="490" t="str">
        <f>VLOOKUP(B11,'Folha de Pagamento'!B:G,6,0)</f>
        <v>Pós Vendas</v>
      </c>
      <c r="E11" s="491" t="str">
        <f>VLOOKUP(A11,Jobmatch!A:F,4,0)</f>
        <v>14 - ADM PROJETOS</v>
      </c>
      <c r="F11" s="490" t="str">
        <f>VLOOKUP(A11,Jobmatch!A:F,5,0)</f>
        <v>Operacional</v>
      </c>
      <c r="G11" s="502">
        <f>VLOOKUP(B11,'Folha de Pagamento'!B:N,13,0)</f>
        <v>45877</v>
      </c>
      <c r="H11" s="493">
        <f t="shared" si="1"/>
        <v>0.5780821918</v>
      </c>
      <c r="I11" s="494">
        <f>VLOOKUP(A11,Jobmatch!A:G,6,0)</f>
        <v>19</v>
      </c>
      <c r="J11" s="491" t="str">
        <f>VLOOKUP(A11,Jobmatch!A:H,7,0)</f>
        <v>Analista Comercial</v>
      </c>
      <c r="K11" s="495" t="str">
        <f>VLOOKUP(A11,Jobmatch!A:I,8,0)</f>
        <v>Pleno</v>
      </c>
      <c r="L11" s="496" t="str">
        <f t="shared" si="2"/>
        <v>19Pleno</v>
      </c>
      <c r="M11" s="497">
        <f>IFERROR(VLOOKUP(B11,'Folha de Pagamento'!B:J,9,0),"")</f>
        <v>4550</v>
      </c>
      <c r="N11" s="498">
        <f>IFERROR(VLOOKUP(L11,'C-01'!$D:$L,4,0),"")</f>
        <v>4476.49</v>
      </c>
      <c r="O11" s="499">
        <f>IFERROR(VLOOKUP(L11,'C-01'!$D:$L,5,0),"")</f>
        <v>4898.28</v>
      </c>
      <c r="P11" s="499">
        <f>IFERROR(VLOOKUP(L11,'C-01'!$D:$L,6,0),"")</f>
        <v>5747.37</v>
      </c>
      <c r="Q11" s="499">
        <f>IFERROR(VLOOKUP(L11,'C-01'!$D:$L,7,0),"")</f>
        <v>5320.06</v>
      </c>
      <c r="R11" s="499">
        <f>IFERROR(VLOOKUP(L11,'C-01'!$D:$L,8,0),"")</f>
        <v>6382.81</v>
      </c>
      <c r="S11" s="498">
        <f>IFERROR(VLOOKUP(L11,'C-01'!$D:$L,9,0),"")</f>
        <v>7445.55</v>
      </c>
      <c r="T11" s="500">
        <f>IFS('Painel Geral'!$B$5="Mediana",IFERROR(IF(OR(M11="",Q11=0,Q11=""),"",($M11/$Q11)),""),'Painel Geral'!$B$5="Menor Salário",IFERROR(IF(OR(M11="",Q11=0,Q11=""),"",($M11/$N11)),""),'Painel Geral'!$B$5="1º Quartil",IFERROR(IF(OR(M11="",Q11=0,Q11=""),"",($M11/$O11)),""),'Painel Geral'!$B$5="Média",IFERROR(IF(OR(M11="",Q11=0,Q11=""),"",($M11/$P11)),""),'Painel Geral'!$B$5="3º Quartil",IFERROR(IF(OR(M11="",Q11=0,Q11=""),"",($M11/$R11)),""),'Painel Geral'!$B$5="Maior Salário",IFERROR(IF(OR(M11="",Q11=0,Q11=""),"",($M11/$S11)),""))</f>
        <v>0.8552535122</v>
      </c>
      <c r="U11" s="491" t="str">
        <f t="shared" si="3"/>
        <v>Defasado</v>
      </c>
      <c r="V11" s="501">
        <f>VLOOKUP(A11,'Cálculos Comparativos'!$A:$E,4,0)</f>
        <v>9</v>
      </c>
    </row>
    <row r="12" ht="15.75" customHeight="1">
      <c r="A12" s="17" t="s">
        <v>48</v>
      </c>
      <c r="B12" s="29">
        <v>187.0</v>
      </c>
      <c r="C12" s="490" t="str">
        <f>VLOOKUP(A12,Jobmatch!A:F,2,0)</f>
        <v>ANALISTA DE URBANISMO</v>
      </c>
      <c r="D12" s="490" t="str">
        <f>VLOOKUP(B12,'Folha de Pagamento'!B:G,6,0)</f>
        <v>Urbanismo</v>
      </c>
      <c r="E12" s="491" t="str">
        <f>VLOOKUP(A12,Jobmatch!A:F,4,0)</f>
        <v>15 - ADM PROJETOS</v>
      </c>
      <c r="F12" s="490" t="str">
        <f>VLOOKUP(A12,Jobmatch!A:F,5,0)</f>
        <v>Operacional</v>
      </c>
      <c r="G12" s="502">
        <f>VLOOKUP(B12,'Folha de Pagamento'!B:N,13,0)</f>
        <v>45878</v>
      </c>
      <c r="H12" s="493">
        <f t="shared" si="1"/>
        <v>0.5753424658</v>
      </c>
      <c r="I12" s="494">
        <f>VLOOKUP(A12,Jobmatch!A:G,6,0)</f>
        <v>1199</v>
      </c>
      <c r="J12" s="491" t="str">
        <f>VLOOKUP(A12,Jobmatch!A:H,7,0)</f>
        <v>Analista de Urbanismo</v>
      </c>
      <c r="K12" s="495" t="str">
        <f>VLOOKUP(A12,Jobmatch!A:I,8,0)</f>
        <v>Indiferente</v>
      </c>
      <c r="L12" s="496" t="str">
        <f t="shared" si="2"/>
        <v>1199Indiferente</v>
      </c>
      <c r="M12" s="497">
        <f>IFERROR(VLOOKUP(B12,'Folha de Pagamento'!B:J,9,0),"")</f>
        <v>5830</v>
      </c>
      <c r="N12" s="498">
        <f>IFERROR(VLOOKUP(L12,'C-01'!$D:$L,4,0),"")</f>
        <v>5862.07</v>
      </c>
      <c r="O12" s="499">
        <f>IFERROR(VLOOKUP(L12,'C-01'!$D:$L,5,0),"")</f>
        <v>6091.54</v>
      </c>
      <c r="P12" s="499">
        <f>IFERROR(VLOOKUP(L12,'C-01'!$D:$L,6,0),"")</f>
        <v>7637.46</v>
      </c>
      <c r="Q12" s="499">
        <f>IFERROR(VLOOKUP(L12,'C-01'!$D:$L,7,0),"")</f>
        <v>7848.45</v>
      </c>
      <c r="R12" s="499">
        <f>IFERROR(VLOOKUP(L12,'C-01'!$D:$L,8,0),"")</f>
        <v>9161.15</v>
      </c>
      <c r="S12" s="498">
        <f>IFERROR(VLOOKUP(L12,'C-01'!$D:$L,9,0),"")</f>
        <v>9161.15</v>
      </c>
      <c r="T12" s="500">
        <f>IFS('Painel Geral'!$B$5="Mediana",IFERROR(IF(OR(M12="",Q12=0,Q12=""),"",($M12/$Q12)),""),'Painel Geral'!$B$5="Menor Salário",IFERROR(IF(OR(M12="",Q12=0,Q12=""),"",($M12/$N12)),""),'Painel Geral'!$B$5="1º Quartil",IFERROR(IF(OR(M12="",Q12=0,Q12=""),"",($M12/$O12)),""),'Painel Geral'!$B$5="Média",IFERROR(IF(OR(M12="",Q12=0,Q12=""),"",($M12/$P12)),""),'Painel Geral'!$B$5="3º Quartil",IFERROR(IF(OR(M12="",Q12=0,Q12=""),"",($M12/$R12)),""),'Painel Geral'!$B$5="Maior Salário",IFERROR(IF(OR(M12="",Q12=0,Q12=""),"",($M12/$S12)),""))</f>
        <v>0.7428218311</v>
      </c>
      <c r="U12" s="491" t="str">
        <f t="shared" si="3"/>
        <v>Muito Defasado</v>
      </c>
      <c r="V12" s="501">
        <f>VLOOKUP(A12,'Cálculos Comparativos'!$A:$E,4,0)</f>
        <v>10</v>
      </c>
    </row>
    <row r="13" ht="15.75" customHeight="1">
      <c r="A13" s="17" t="s">
        <v>51</v>
      </c>
      <c r="B13" s="29">
        <v>1868.0</v>
      </c>
      <c r="C13" s="490" t="str">
        <f>VLOOKUP(A13,Jobmatch!A:F,2,0)</f>
        <v>ANALISTA FINANCEIRO COMERCIAL III</v>
      </c>
      <c r="D13" s="490" t="str">
        <f>VLOOKUP(B13,'Folha de Pagamento'!B:G,6,0)</f>
        <v>Financeiro</v>
      </c>
      <c r="E13" s="491" t="str">
        <f>VLOOKUP(A13,Jobmatch!A:F,4,0)</f>
        <v>16 - ADM PROJETOS</v>
      </c>
      <c r="F13" s="490" t="str">
        <f>VLOOKUP(A13,Jobmatch!A:F,5,0)</f>
        <v>Operacional</v>
      </c>
      <c r="G13" s="492">
        <f>VLOOKUP(B13,'Folha de Pagamento'!B:N,13,0)</f>
        <v>45879</v>
      </c>
      <c r="H13" s="493">
        <f t="shared" si="1"/>
        <v>0.5726027397</v>
      </c>
      <c r="I13" s="494">
        <f>VLOOKUP(A13,Jobmatch!A:G,6,0)</f>
        <v>16</v>
      </c>
      <c r="J13" s="491" t="str">
        <f>VLOOKUP(A13,Jobmatch!A:H,7,0)</f>
        <v>Analista Financeiro</v>
      </c>
      <c r="K13" s="495" t="str">
        <f>VLOOKUP(A13,Jobmatch!A:I,8,0)</f>
        <v>Sênior</v>
      </c>
      <c r="L13" s="496" t="str">
        <f t="shared" si="2"/>
        <v>16Sênior</v>
      </c>
      <c r="M13" s="497">
        <f>IFERROR(VLOOKUP(B13,'Folha de Pagamento'!B:J,9,0),"")</f>
        <v>5213</v>
      </c>
      <c r="N13" s="498">
        <f>IFERROR(VLOOKUP(L13,'C-01'!$D:$L,4,0),"")</f>
        <v>4882.37</v>
      </c>
      <c r="O13" s="499">
        <f>IFERROR(VLOOKUP(L13,'C-01'!$D:$L,5,0),"")</f>
        <v>5489.27</v>
      </c>
      <c r="P13" s="499">
        <f>IFERROR(VLOOKUP(L13,'C-01'!$D:$L,6,0),"")</f>
        <v>6172.24</v>
      </c>
      <c r="Q13" s="499">
        <f>IFERROR(VLOOKUP(L13,'C-01'!$D:$L,7,0),"")</f>
        <v>5910.71</v>
      </c>
      <c r="R13" s="499">
        <f>IFERROR(VLOOKUP(L13,'C-01'!$D:$L,8,0),"")</f>
        <v>6737.39</v>
      </c>
      <c r="S13" s="498">
        <f>IFERROR(VLOOKUP(L13,'C-01'!$D:$L,9,0),"")</f>
        <v>8185.08</v>
      </c>
      <c r="T13" s="500">
        <f>IFS('Painel Geral'!$B$5="Mediana",IFERROR(IF(OR(M13="",Q13=0,Q13=""),"",($M13/$Q13)),""),'Painel Geral'!$B$5="Menor Salário",IFERROR(IF(OR(M13="",Q13=0,Q13=""),"",($M13/$N13)),""),'Painel Geral'!$B$5="1º Quartil",IFERROR(IF(OR(M13="",Q13=0,Q13=""),"",($M13/$O13)),""),'Painel Geral'!$B$5="Média",IFERROR(IF(OR(M13="",Q13=0,Q13=""),"",($M13/$P13)),""),'Painel Geral'!$B$5="3º Quartil",IFERROR(IF(OR(M13="",Q13=0,Q13=""),"",($M13/$R13)),""),'Painel Geral'!$B$5="Maior Salário",IFERROR(IF(OR(M13="",Q13=0,Q13=""),"",($M13/$S13)),""))</f>
        <v>0.8819583434</v>
      </c>
      <c r="U13" s="491" t="str">
        <f t="shared" si="3"/>
        <v>Defasado</v>
      </c>
      <c r="V13" s="501">
        <f>VLOOKUP(A13,'Cálculos Comparativos'!$A:$E,4,0)</f>
        <v>6</v>
      </c>
    </row>
    <row r="14" ht="15.75" customHeight="1">
      <c r="A14" s="17" t="s">
        <v>55</v>
      </c>
      <c r="B14" s="29">
        <v>176.0</v>
      </c>
      <c r="C14" s="490" t="str">
        <f>VLOOKUP(A14,Jobmatch!A:F,2,0)</f>
        <v>ANALISTA FINANCEIRO DE CAPTAÇÃO DE RECURSOS III</v>
      </c>
      <c r="D14" s="490" t="str">
        <f>VLOOKUP(B14,'Folha de Pagamento'!B:G,6,0)</f>
        <v>Financeiro</v>
      </c>
      <c r="E14" s="491" t="str">
        <f>VLOOKUP(A14,Jobmatch!A:F,4,0)</f>
        <v>17 - ADM PROJETOS</v>
      </c>
      <c r="F14" s="490" t="str">
        <f>VLOOKUP(A14,Jobmatch!A:F,5,0)</f>
        <v>Operacional</v>
      </c>
      <c r="G14" s="492">
        <f>VLOOKUP(B14,'Folha de Pagamento'!B:N,13,0)</f>
        <v>45880</v>
      </c>
      <c r="H14" s="493">
        <f t="shared" si="1"/>
        <v>0.5698630137</v>
      </c>
      <c r="I14" s="494">
        <f>VLOOKUP(A14,Jobmatch!A:G,6,0)</f>
        <v>16</v>
      </c>
      <c r="J14" s="491" t="str">
        <f>VLOOKUP(A14,Jobmatch!A:H,7,0)</f>
        <v>Analista Financeiro</v>
      </c>
      <c r="K14" s="495" t="str">
        <f>VLOOKUP(A14,Jobmatch!A:I,8,0)</f>
        <v>Sênior</v>
      </c>
      <c r="L14" s="496" t="str">
        <f t="shared" si="2"/>
        <v>16Sênior</v>
      </c>
      <c r="M14" s="497">
        <f>IFERROR(VLOOKUP(B14,'Folha de Pagamento'!B:J,9,0),"")</f>
        <v>5213</v>
      </c>
      <c r="N14" s="498">
        <f>IFERROR(VLOOKUP(L14,'C-01'!$D:$L,4,0),"")</f>
        <v>4882.37</v>
      </c>
      <c r="O14" s="499">
        <f>IFERROR(VLOOKUP(L14,'C-01'!$D:$L,5,0),"")</f>
        <v>5489.27</v>
      </c>
      <c r="P14" s="499">
        <f>IFERROR(VLOOKUP(L14,'C-01'!$D:$L,6,0),"")</f>
        <v>6172.24</v>
      </c>
      <c r="Q14" s="499">
        <f>IFERROR(VLOOKUP(L14,'C-01'!$D:$L,7,0),"")</f>
        <v>5910.71</v>
      </c>
      <c r="R14" s="499">
        <f>IFERROR(VLOOKUP(L14,'C-01'!$D:$L,8,0),"")</f>
        <v>6737.39</v>
      </c>
      <c r="S14" s="498">
        <f>IFERROR(VLOOKUP(L14,'C-01'!$D:$L,9,0),"")</f>
        <v>8185.08</v>
      </c>
      <c r="T14" s="500">
        <f>IFS('Painel Geral'!$B$5="Mediana",IFERROR(IF(OR(M14="",Q14=0,Q14=""),"",($M14/$Q14)),""),'Painel Geral'!$B$5="Menor Salário",IFERROR(IF(OR(M14="",Q14=0,Q14=""),"",($M14/$N14)),""),'Painel Geral'!$B$5="1º Quartil",IFERROR(IF(OR(M14="",Q14=0,Q14=""),"",($M14/$O14)),""),'Painel Geral'!$B$5="Média",IFERROR(IF(OR(M14="",Q14=0,Q14=""),"",($M14/$P14)),""),'Painel Geral'!$B$5="3º Quartil",IFERROR(IF(OR(M14="",Q14=0,Q14=""),"",($M14/$R14)),""),'Painel Geral'!$B$5="Maior Salário",IFERROR(IF(OR(M14="",Q14=0,Q14=""),"",($M14/$S14)),""))</f>
        <v>0.8819583434</v>
      </c>
      <c r="U14" s="491" t="str">
        <f t="shared" si="3"/>
        <v>Defasado</v>
      </c>
      <c r="V14" s="501">
        <f>VLOOKUP(A14,'Cálculos Comparativos'!$A:$E,4,0)</f>
        <v>6</v>
      </c>
    </row>
    <row r="15" ht="15.75" customHeight="1">
      <c r="A15" s="17" t="s">
        <v>58</v>
      </c>
      <c r="B15" s="29">
        <v>1927.0</v>
      </c>
      <c r="C15" s="490" t="str">
        <f>VLOOKUP(A15,Jobmatch!A:F,2,0)</f>
        <v>ANALISTA FINANCEIRO I</v>
      </c>
      <c r="D15" s="490" t="str">
        <f>VLOOKUP(B15,'Folha de Pagamento'!B:G,6,0)</f>
        <v>Financeiro</v>
      </c>
      <c r="E15" s="491" t="str">
        <f>VLOOKUP(A15,Jobmatch!A:F,4,0)</f>
        <v>18 - ADM PROJETOS</v>
      </c>
      <c r="F15" s="490" t="str">
        <f>VLOOKUP(A15,Jobmatch!A:F,5,0)</f>
        <v>Operacional</v>
      </c>
      <c r="G15" s="492">
        <f>VLOOKUP(B15,'Folha de Pagamento'!B:N,13,0)</f>
        <v>45881</v>
      </c>
      <c r="H15" s="493">
        <f t="shared" si="1"/>
        <v>0.5671232877</v>
      </c>
      <c r="I15" s="494">
        <f>VLOOKUP(A15,Jobmatch!A:G,6,0)</f>
        <v>16</v>
      </c>
      <c r="J15" s="491" t="str">
        <f>VLOOKUP(A15,Jobmatch!A:H,7,0)</f>
        <v>Analista Financeiro</v>
      </c>
      <c r="K15" s="495" t="str">
        <f>VLOOKUP(A15,Jobmatch!A:I,8,0)</f>
        <v>Júnior</v>
      </c>
      <c r="L15" s="496" t="str">
        <f t="shared" si="2"/>
        <v>16Júnior</v>
      </c>
      <c r="M15" s="497">
        <f>IFERROR(VLOOKUP(B15,'Folha de Pagamento'!B:J,9,0),"")</f>
        <v>3993</v>
      </c>
      <c r="N15" s="498">
        <f>IFERROR(VLOOKUP(L15,'C-01'!$D:$L,4,0),"")</f>
        <v>2937.55</v>
      </c>
      <c r="O15" s="499">
        <f>IFERROR(VLOOKUP(L15,'C-01'!$D:$L,5,0),"")</f>
        <v>3176.35</v>
      </c>
      <c r="P15" s="499">
        <f>IFERROR(VLOOKUP(L15,'C-01'!$D:$L,6,0),"")</f>
        <v>3539.11</v>
      </c>
      <c r="Q15" s="499">
        <f>IFERROR(VLOOKUP(L15,'C-01'!$D:$L,7,0),"")</f>
        <v>3493.97</v>
      </c>
      <c r="R15" s="499">
        <f>IFERROR(VLOOKUP(L15,'C-01'!$D:$L,8,0),"")</f>
        <v>3798.49</v>
      </c>
      <c r="S15" s="498">
        <f>IFERROR(VLOOKUP(L15,'C-01'!$D:$L,9,0),"")</f>
        <v>4392.23</v>
      </c>
      <c r="T15" s="500">
        <f>IFS('Painel Geral'!$B$5="Mediana",IFERROR(IF(OR(M15="",Q15=0,Q15=""),"",($M15/$Q15)),""),'Painel Geral'!$B$5="Menor Salário",IFERROR(IF(OR(M15="",Q15=0,Q15=""),"",($M15/$N15)),""),'Painel Geral'!$B$5="1º Quartil",IFERROR(IF(OR(M15="",Q15=0,Q15=""),"",($M15/$O15)),""),'Painel Geral'!$B$5="Média",IFERROR(IF(OR(M15="",Q15=0,Q15=""),"",($M15/$P15)),""),'Painel Geral'!$B$5="3º Quartil",IFERROR(IF(OR(M15="",Q15=0,Q15=""),"",($M15/$R15)),""),'Painel Geral'!$B$5="Maior Salário",IFERROR(IF(OR(M15="",Q15=0,Q15=""),"",($M15/$S15)),""))</f>
        <v>1.142826069</v>
      </c>
      <c r="U15" s="491" t="str">
        <f t="shared" si="3"/>
        <v>Muito Competitivo</v>
      </c>
      <c r="V15" s="501">
        <f>VLOOKUP(A15,'Cálculos Comparativos'!$A:$E,4,0)</f>
        <v>6</v>
      </c>
    </row>
    <row r="16" ht="15.75" customHeight="1">
      <c r="A16" s="17" t="s">
        <v>61</v>
      </c>
      <c r="B16" s="29">
        <v>164.0</v>
      </c>
      <c r="C16" s="490" t="str">
        <f>VLOOKUP(A16,Jobmatch!A:F,2,0)</f>
        <v>ASSISTENTE ADM DE LEGALIZAÇÃO III</v>
      </c>
      <c r="D16" s="490" t="str">
        <f>VLOOKUP(B16,'Folha de Pagamento'!B:G,6,0)</f>
        <v>Legalização </v>
      </c>
      <c r="E16" s="491" t="str">
        <f>VLOOKUP(A16,Jobmatch!A:F,4,0)</f>
        <v>19 - ADM PROJETOS</v>
      </c>
      <c r="F16" s="490" t="str">
        <f>VLOOKUP(A16,Jobmatch!A:F,5,0)</f>
        <v>Operacional</v>
      </c>
      <c r="G16" s="492">
        <f>VLOOKUP(B16,'Folha de Pagamento'!B:N,13,0)</f>
        <v>45882</v>
      </c>
      <c r="H16" s="493">
        <f t="shared" si="1"/>
        <v>0.5643835616</v>
      </c>
      <c r="I16" s="494">
        <f>VLOOKUP(A16,Jobmatch!A:G,6,0)</f>
        <v>1201</v>
      </c>
      <c r="J16" s="491" t="str">
        <f>VLOOKUP(A16,Jobmatch!A:H,7,0)</f>
        <v>Assistente de Legalização</v>
      </c>
      <c r="K16" s="495" t="str">
        <f>VLOOKUP(A16,Jobmatch!A:I,8,0)</f>
        <v>Indiferente</v>
      </c>
      <c r="L16" s="496" t="str">
        <f t="shared" si="2"/>
        <v>1201Indiferente</v>
      </c>
      <c r="M16" s="497">
        <f>IFERROR(VLOOKUP(B16,'Folha de Pagamento'!B:J,9,0),"")</f>
        <v>3652</v>
      </c>
      <c r="N16" s="498">
        <f>IFERROR(VLOOKUP(L16,'C-01'!$D:$L,4,0),"")</f>
        <v>2513.75</v>
      </c>
      <c r="O16" s="499">
        <f>IFERROR(VLOOKUP(L16,'C-01'!$D:$L,5,0),"")</f>
        <v>2803.34</v>
      </c>
      <c r="P16" s="499">
        <f>IFERROR(VLOOKUP(L16,'C-01'!$D:$L,6,0),"")</f>
        <v>3092.92</v>
      </c>
      <c r="Q16" s="499">
        <f>IFERROR(VLOOKUP(L16,'C-01'!$D:$L,7,0),"")</f>
        <v>3092.92</v>
      </c>
      <c r="R16" s="499">
        <f>IFERROR(VLOOKUP(L16,'C-01'!$D:$L,8,0),"")</f>
        <v>3382.51</v>
      </c>
      <c r="S16" s="498">
        <f>IFERROR(VLOOKUP(L16,'C-01'!$D:$L,9,0),"")</f>
        <v>3672.09</v>
      </c>
      <c r="T16" s="500">
        <f>IFS('Painel Geral'!$B$5="Mediana",IFERROR(IF(OR(M16="",Q16=0,Q16=""),"",($M16/$Q16)),""),'Painel Geral'!$B$5="Menor Salário",IFERROR(IF(OR(M16="",Q16=0,Q16=""),"",($M16/$N16)),""),'Painel Geral'!$B$5="1º Quartil",IFERROR(IF(OR(M16="",Q16=0,Q16=""),"",($M16/$O16)),""),'Painel Geral'!$B$5="Média",IFERROR(IF(OR(M16="",Q16=0,Q16=""),"",($M16/$P16)),""),'Painel Geral'!$B$5="3º Quartil",IFERROR(IF(OR(M16="",Q16=0,Q16=""),"",($M16/$R16)),""),'Painel Geral'!$B$5="Maior Salário",IFERROR(IF(OR(M16="",Q16=0,Q16=""),"",($M16/$S16)),""))</f>
        <v>1.180761222</v>
      </c>
      <c r="U16" s="491" t="str">
        <f t="shared" si="3"/>
        <v>Muito Competitivo</v>
      </c>
      <c r="V16" s="501">
        <f>VLOOKUP(A16,'Cálculos Comparativos'!$A:$E,4,0)</f>
        <v>7</v>
      </c>
    </row>
    <row r="17" ht="15.75" customHeight="1">
      <c r="A17" s="17" t="s">
        <v>64</v>
      </c>
      <c r="B17" s="29">
        <v>1892.0</v>
      </c>
      <c r="C17" s="490" t="str">
        <f>VLOOKUP(A17,Jobmatch!A:F,2,0)</f>
        <v>ASSISTENTE ADMINISTRATIVO lll</v>
      </c>
      <c r="D17" s="490" t="str">
        <f>VLOOKUP(B17,'Folha de Pagamento'!B:G,6,0)</f>
        <v>Administrativo</v>
      </c>
      <c r="E17" s="491" t="str">
        <f>VLOOKUP(A17,Jobmatch!A:F,4,0)</f>
        <v>20 - ADM PROJETOS</v>
      </c>
      <c r="F17" s="490" t="str">
        <f>VLOOKUP(A17,Jobmatch!A:F,5,0)</f>
        <v>Operacional</v>
      </c>
      <c r="G17" s="492">
        <f>VLOOKUP(B17,'Folha de Pagamento'!B:N,13,0)</f>
        <v>45883</v>
      </c>
      <c r="H17" s="493">
        <f t="shared" si="1"/>
        <v>0.5616438356</v>
      </c>
      <c r="I17" s="494">
        <f>VLOOKUP(A17,Jobmatch!A:G,6,0)</f>
        <v>59</v>
      </c>
      <c r="J17" s="491" t="str">
        <f>VLOOKUP(A17,Jobmatch!A:H,7,0)</f>
        <v>Assistente Administrativo</v>
      </c>
      <c r="K17" s="495" t="str">
        <f>VLOOKUP(A17,Jobmatch!A:I,8,0)</f>
        <v>Indiferente</v>
      </c>
      <c r="L17" s="496" t="str">
        <f t="shared" si="2"/>
        <v>59Indiferente</v>
      </c>
      <c r="M17" s="497">
        <f>IFERROR(VLOOKUP(B17,'Folha de Pagamento'!B:J,9,0),"")</f>
        <v>3439.7</v>
      </c>
      <c r="N17" s="498">
        <f>IFERROR(VLOOKUP(L17,'C-01'!$D:$L,4,0),"")</f>
        <v>2076.09</v>
      </c>
      <c r="O17" s="499">
        <f>IFERROR(VLOOKUP(L17,'C-01'!$D:$L,5,0),"")</f>
        <v>2329.53</v>
      </c>
      <c r="P17" s="499">
        <f>IFERROR(VLOOKUP(L17,'C-01'!$D:$L,6,0),"")</f>
        <v>2673.92</v>
      </c>
      <c r="Q17" s="499">
        <f>IFERROR(VLOOKUP(L17,'C-01'!$D:$L,7,0),"")</f>
        <v>2630.61</v>
      </c>
      <c r="R17" s="499">
        <f>IFERROR(VLOOKUP(L17,'C-01'!$D:$L,8,0),"")</f>
        <v>2914.75</v>
      </c>
      <c r="S17" s="498">
        <f>IFERROR(VLOOKUP(L17,'C-01'!$D:$L,9,0),"")</f>
        <v>3662.52</v>
      </c>
      <c r="T17" s="500">
        <f>IFS('Painel Geral'!$B$5="Mediana",IFERROR(IF(OR(M17="",Q17=0,Q17=""),"",($M17/$Q17)),""),'Painel Geral'!$B$5="Menor Salário",IFERROR(IF(OR(M17="",Q17=0,Q17=""),"",($M17/$N17)),""),'Painel Geral'!$B$5="1º Quartil",IFERROR(IF(OR(M17="",Q17=0,Q17=""),"",($M17/$O17)),""),'Painel Geral'!$B$5="Média",IFERROR(IF(OR(M17="",Q17=0,Q17=""),"",($M17/$P17)),""),'Painel Geral'!$B$5="3º Quartil",IFERROR(IF(OR(M17="",Q17=0,Q17=""),"",($M17/$R17)),""),'Painel Geral'!$B$5="Maior Salário",IFERROR(IF(OR(M17="",Q17=0,Q17=""),"",($M17/$S17)),""))</f>
        <v>1.307567446</v>
      </c>
      <c r="U17" s="491" t="str">
        <f t="shared" si="3"/>
        <v>Agressivo</v>
      </c>
      <c r="V17" s="501">
        <f>VLOOKUP(A17,'Cálculos Comparativos'!$A:$E,4,0)</f>
        <v>1</v>
      </c>
    </row>
    <row r="18" ht="15.75" customHeight="1">
      <c r="A18" s="17" t="s">
        <v>67</v>
      </c>
      <c r="B18" s="29">
        <v>1940.0</v>
      </c>
      <c r="C18" s="490" t="str">
        <f>VLOOKUP(A18,Jobmatch!A:F,2,0)</f>
        <v>ASSISTENTE DE CONTROLADORIA III</v>
      </c>
      <c r="D18" s="490" t="str">
        <f>VLOOKUP(B18,'Folha de Pagamento'!B:G,6,0)</f>
        <v>Controladoria</v>
      </c>
      <c r="E18" s="491" t="str">
        <f>VLOOKUP(A18,Jobmatch!A:F,4,0)</f>
        <v>21 - ADM PROJETOS</v>
      </c>
      <c r="F18" s="490" t="str">
        <f>VLOOKUP(A18,Jobmatch!A:F,5,0)</f>
        <v>Operacional</v>
      </c>
      <c r="G18" s="492">
        <f>VLOOKUP(B18,'Folha de Pagamento'!B:N,13,0)</f>
        <v>45884</v>
      </c>
      <c r="H18" s="493">
        <f t="shared" si="1"/>
        <v>0.5589041096</v>
      </c>
      <c r="I18" s="494">
        <f>VLOOKUP(A18,Jobmatch!A:G,6,0)</f>
        <v>150</v>
      </c>
      <c r="J18" s="491" t="str">
        <f>VLOOKUP(A18,Jobmatch!A:H,7,0)</f>
        <v>Assistente de Controladoria</v>
      </c>
      <c r="K18" s="495" t="str">
        <f>VLOOKUP(A18,Jobmatch!A:I,8,0)</f>
        <v>Indiferente</v>
      </c>
      <c r="L18" s="496" t="str">
        <f t="shared" si="2"/>
        <v>150Indiferente</v>
      </c>
      <c r="M18" s="497">
        <f>IFERROR(VLOOKUP(B18,'Folha de Pagamento'!B:J,9,0),"")</f>
        <v>3652</v>
      </c>
      <c r="N18" s="498">
        <f>IFERROR(VLOOKUP(L18,'C-01'!$D:$L,4,0),"")</f>
        <v>2148.56</v>
      </c>
      <c r="O18" s="499">
        <f>IFERROR(VLOOKUP(L18,'C-01'!$D:$L,5,0),"")</f>
        <v>2640.81</v>
      </c>
      <c r="P18" s="499">
        <f>IFERROR(VLOOKUP(L18,'C-01'!$D:$L,6,0),"")</f>
        <v>2821.08</v>
      </c>
      <c r="Q18" s="499">
        <f>IFERROR(VLOOKUP(L18,'C-01'!$D:$L,7,0),"")</f>
        <v>2766.4</v>
      </c>
      <c r="R18" s="499">
        <f>IFERROR(VLOOKUP(L18,'C-01'!$D:$L,8,0),"")</f>
        <v>3222.24</v>
      </c>
      <c r="S18" s="498">
        <f>IFERROR(VLOOKUP(L18,'C-01'!$D:$L,9,0),"")</f>
        <v>3327.42</v>
      </c>
      <c r="T18" s="500">
        <f>IFS('Painel Geral'!$B$5="Mediana",IFERROR(IF(OR(M18="",Q18=0,Q18=""),"",($M18/$Q18)),""),'Painel Geral'!$B$5="Menor Salário",IFERROR(IF(OR(M18="",Q18=0,Q18=""),"",($M18/$N18)),""),'Painel Geral'!$B$5="1º Quartil",IFERROR(IF(OR(M18="",Q18=0,Q18=""),"",($M18/$O18)),""),'Painel Geral'!$B$5="Média",IFERROR(IF(OR(M18="",Q18=0,Q18=""),"",($M18/$P18)),""),'Painel Geral'!$B$5="3º Quartil",IFERROR(IF(OR(M18="",Q18=0,Q18=""),"",($M18/$R18)),""),'Painel Geral'!$B$5="Maior Salário",IFERROR(IF(OR(M18="",Q18=0,Q18=""),"",($M18/$S18)),""))</f>
        <v>1.320127241</v>
      </c>
      <c r="U18" s="491" t="str">
        <f t="shared" si="3"/>
        <v>Agressivo</v>
      </c>
      <c r="V18" s="501">
        <f>VLOOKUP(A18,'Cálculos Comparativos'!$A:$E,4,0)</f>
        <v>3</v>
      </c>
    </row>
    <row r="19" ht="15.75" customHeight="1">
      <c r="A19" s="17" t="s">
        <v>70</v>
      </c>
      <c r="B19" s="29">
        <v>1963.0</v>
      </c>
      <c r="C19" s="490" t="str">
        <f>VLOOKUP(A19,Jobmatch!A:F,2,0)</f>
        <v>ASSISTENTE DE ENGENHARIA lll</v>
      </c>
      <c r="D19" s="490" t="str">
        <f>VLOOKUP(B19,'Folha de Pagamento'!B:G,6,0)</f>
        <v>Edificação</v>
      </c>
      <c r="E19" s="491" t="str">
        <f>VLOOKUP(A19,Jobmatch!A:F,4,0)</f>
        <v>22 - ADM PROJETOS</v>
      </c>
      <c r="F19" s="490" t="str">
        <f>VLOOKUP(A19,Jobmatch!A:F,5,0)</f>
        <v>Operacional</v>
      </c>
      <c r="G19" s="492">
        <f>VLOOKUP(B19,'Folha de Pagamento'!B:N,13,0)</f>
        <v>45885</v>
      </c>
      <c r="H19" s="493">
        <f t="shared" si="1"/>
        <v>0.5561643836</v>
      </c>
      <c r="I19" s="494">
        <f>VLOOKUP(A19,Jobmatch!A:G,6,0)</f>
        <v>531</v>
      </c>
      <c r="J19" s="491" t="str">
        <f>VLOOKUP(A19,Jobmatch!A:H,7,0)</f>
        <v>Assistente de Engenharia</v>
      </c>
      <c r="K19" s="495" t="str">
        <f>VLOOKUP(A19,Jobmatch!A:I,8,0)</f>
        <v>Indiferente</v>
      </c>
      <c r="L19" s="496" t="str">
        <f t="shared" si="2"/>
        <v>531Indiferente</v>
      </c>
      <c r="M19" s="497">
        <f>IFERROR(VLOOKUP(B19,'Folha de Pagamento'!B:J,9,0),"")</f>
        <v>3652</v>
      </c>
      <c r="N19" s="498">
        <f>IFERROR(VLOOKUP(L19,'C-01'!$D:$L,4,0),"")</f>
        <v>3146.47</v>
      </c>
      <c r="O19" s="499">
        <f>IFERROR(VLOOKUP(L19,'C-01'!$D:$L,5,0),"")</f>
        <v>3945.44</v>
      </c>
      <c r="P19" s="499">
        <f>IFERROR(VLOOKUP(L19,'C-01'!$D:$L,6,0),"")</f>
        <v>4031.84</v>
      </c>
      <c r="Q19" s="499">
        <f>IFERROR(VLOOKUP(L19,'C-01'!$D:$L,7,0),"")</f>
        <v>3945.44</v>
      </c>
      <c r="R19" s="499">
        <f>IFERROR(VLOOKUP(L19,'C-01'!$D:$L,8,0),"")</f>
        <v>3945.44</v>
      </c>
      <c r="S19" s="498">
        <f>IFERROR(VLOOKUP(L19,'C-01'!$D:$L,9,0),"")</f>
        <v>5084.96</v>
      </c>
      <c r="T19" s="500">
        <f>IFS('Painel Geral'!$B$5="Mediana",IFERROR(IF(OR(M19="",Q19=0,Q19=""),"",($M19/$Q19)),""),'Painel Geral'!$B$5="Menor Salário",IFERROR(IF(OR(M19="",Q19=0,Q19=""),"",($M19/$N19)),""),'Painel Geral'!$B$5="1º Quartil",IFERROR(IF(OR(M19="",Q19=0,Q19=""),"",($M19/$O19)),""),'Painel Geral'!$B$5="Média",IFERROR(IF(OR(M19="",Q19=0,Q19=""),"",($M19/$P19)),""),'Painel Geral'!$B$5="3º Quartil",IFERROR(IF(OR(M19="",Q19=0,Q19=""),"",($M19/$R19)),""),'Painel Geral'!$B$5="Maior Salário",IFERROR(IF(OR(M19="",Q19=0,Q19=""),"",($M19/$S19)),""))</f>
        <v>0.9256255323</v>
      </c>
      <c r="U19" s="491" t="str">
        <f t="shared" si="3"/>
        <v>Na Média</v>
      </c>
      <c r="V19" s="501">
        <f>VLOOKUP(A19,'Cálculos Comparativos'!$A:$E,4,0)</f>
        <v>5</v>
      </c>
    </row>
    <row r="20" ht="15.75" customHeight="1">
      <c r="A20" s="17" t="s">
        <v>72</v>
      </c>
      <c r="B20" s="29">
        <v>190.0</v>
      </c>
      <c r="C20" s="490" t="str">
        <f>VLOOKUP(A20,Jobmatch!A:F,2,0)</f>
        <v>ASSISTENTE DE MARKETING</v>
      </c>
      <c r="D20" s="490" t="str">
        <f>VLOOKUP(B20,'Folha de Pagamento'!B:G,6,0)</f>
        <v>Marketing</v>
      </c>
      <c r="E20" s="491" t="str">
        <f>VLOOKUP(A20,Jobmatch!A:F,4,0)</f>
        <v>23 - ADM PROJETOS</v>
      </c>
      <c r="F20" s="490" t="str">
        <f>VLOOKUP(A20,Jobmatch!A:F,5,0)</f>
        <v>Operacional</v>
      </c>
      <c r="G20" s="492">
        <f>VLOOKUP(B20,'Folha de Pagamento'!B:N,13,0)</f>
        <v>45886</v>
      </c>
      <c r="H20" s="493">
        <f t="shared" si="1"/>
        <v>0.5534246575</v>
      </c>
      <c r="I20" s="494">
        <f>VLOOKUP(A20,Jobmatch!A:G,6,0)</f>
        <v>71</v>
      </c>
      <c r="J20" s="491" t="str">
        <f>VLOOKUP(A20,Jobmatch!A:H,7,0)</f>
        <v>Assistente de Marketing</v>
      </c>
      <c r="K20" s="495" t="str">
        <f>VLOOKUP(A20,Jobmatch!A:I,8,0)</f>
        <v>Indiferente</v>
      </c>
      <c r="L20" s="496" t="str">
        <f t="shared" si="2"/>
        <v>71Indiferente</v>
      </c>
      <c r="M20" s="497">
        <f>IFERROR(VLOOKUP(B20,'Folha de Pagamento'!B:J,9,0),"")</f>
        <v>2919</v>
      </c>
      <c r="N20" s="498">
        <f>IFERROR(VLOOKUP(L20,'C-01'!$D:$L,4,0),"")</f>
        <v>2347.95</v>
      </c>
      <c r="O20" s="499">
        <f>IFERROR(VLOOKUP(L20,'C-01'!$D:$L,5,0),"")</f>
        <v>2720.21</v>
      </c>
      <c r="P20" s="499">
        <f>IFERROR(VLOOKUP(L20,'C-01'!$D:$L,6,0),"")</f>
        <v>3016.74</v>
      </c>
      <c r="Q20" s="499">
        <f>IFERROR(VLOOKUP(L20,'C-01'!$D:$L,7,0),"")</f>
        <v>2882.27</v>
      </c>
      <c r="R20" s="499">
        <f>IFERROR(VLOOKUP(L20,'C-01'!$D:$L,8,0),"")</f>
        <v>3152.81</v>
      </c>
      <c r="S20" s="498">
        <f>IFERROR(VLOOKUP(L20,'C-01'!$D:$L,9,0),"")</f>
        <v>4078.78</v>
      </c>
      <c r="T20" s="500">
        <f>IFS('Painel Geral'!$B$5="Mediana",IFERROR(IF(OR(M20="",Q20=0,Q20=""),"",($M20/$Q20)),""),'Painel Geral'!$B$5="Menor Salário",IFERROR(IF(OR(M20="",Q20=0,Q20=""),"",($M20/$N20)),""),'Painel Geral'!$B$5="1º Quartil",IFERROR(IF(OR(M20="",Q20=0,Q20=""),"",($M20/$O20)),""),'Painel Geral'!$B$5="Média",IFERROR(IF(OR(M20="",Q20=0,Q20=""),"",($M20/$P20)),""),'Painel Geral'!$B$5="3º Quartil",IFERROR(IF(OR(M20="",Q20=0,Q20=""),"",($M20/$R20)),""),'Painel Geral'!$B$5="Maior Salário",IFERROR(IF(OR(M20="",Q20=0,Q20=""),"",($M20/$S20)),""))</f>
        <v>1.012743428</v>
      </c>
      <c r="U20" s="491" t="str">
        <f t="shared" si="3"/>
        <v>Competitivo</v>
      </c>
      <c r="V20" s="501">
        <f>VLOOKUP(A20,'Cálculos Comparativos'!$A:$E,4,0)</f>
        <v>8</v>
      </c>
    </row>
    <row r="21" ht="15.75" customHeight="1">
      <c r="A21" s="17" t="s">
        <v>74</v>
      </c>
      <c r="B21" s="29">
        <v>189.0</v>
      </c>
      <c r="C21" s="490" t="str">
        <f>VLOOKUP(A21,Jobmatch!A:F,2,0)</f>
        <v>ASSISTENTE DE RECURSOS HUMANOS</v>
      </c>
      <c r="D21" s="490" t="str">
        <f>VLOOKUP(B21,'Folha de Pagamento'!B:G,6,0)</f>
        <v>DHO</v>
      </c>
      <c r="E21" s="491" t="str">
        <f>VLOOKUP(A21,Jobmatch!A:F,4,0)</f>
        <v>24 - ADM PROJETOS</v>
      </c>
      <c r="F21" s="490" t="str">
        <f>VLOOKUP(A21,Jobmatch!A:F,5,0)</f>
        <v>Operacional</v>
      </c>
      <c r="G21" s="492">
        <f>VLOOKUP(B21,'Folha de Pagamento'!B:N,13,0)</f>
        <v>45887</v>
      </c>
      <c r="H21" s="493">
        <f t="shared" si="1"/>
        <v>0.5506849315</v>
      </c>
      <c r="I21" s="494">
        <f>VLOOKUP(A21,Jobmatch!A:G,6,0)</f>
        <v>77</v>
      </c>
      <c r="J21" s="491" t="str">
        <f>VLOOKUP(A21,Jobmatch!A:H,7,0)</f>
        <v>Assistente de Recursos Humanos</v>
      </c>
      <c r="K21" s="495" t="str">
        <f>VLOOKUP(A21,Jobmatch!A:I,8,0)</f>
        <v>Indiferente</v>
      </c>
      <c r="L21" s="496" t="str">
        <f t="shared" si="2"/>
        <v>77Indiferente</v>
      </c>
      <c r="M21" s="497">
        <f>IFERROR(VLOOKUP(B21,'Folha de Pagamento'!B:J,9,0),"")</f>
        <v>2919</v>
      </c>
      <c r="N21" s="498">
        <f>IFERROR(VLOOKUP(L21,'C-01'!$D:$L,4,0),"")</f>
        <v>2254.33</v>
      </c>
      <c r="O21" s="499">
        <f>IFERROR(VLOOKUP(L21,'C-01'!$D:$L,5,0),"")</f>
        <v>2619.08</v>
      </c>
      <c r="P21" s="499">
        <f>IFERROR(VLOOKUP(L21,'C-01'!$D:$L,6,0),"")</f>
        <v>3097.88</v>
      </c>
      <c r="Q21" s="499">
        <f>IFERROR(VLOOKUP(L21,'C-01'!$D:$L,7,0),"")</f>
        <v>3080.23</v>
      </c>
      <c r="R21" s="499">
        <f>IFERROR(VLOOKUP(L21,'C-01'!$D:$L,8,0),"")</f>
        <v>3491.33</v>
      </c>
      <c r="S21" s="498">
        <f>IFERROR(VLOOKUP(L21,'C-01'!$D:$L,9,0),"")</f>
        <v>4078.78</v>
      </c>
      <c r="T21" s="500">
        <f>IFS('Painel Geral'!$B$5="Mediana",IFERROR(IF(OR(M21="",Q21=0,Q21=""),"",($M21/$Q21)),""),'Painel Geral'!$B$5="Menor Salário",IFERROR(IF(OR(M21="",Q21=0,Q21=""),"",($M21/$N21)),""),'Painel Geral'!$B$5="1º Quartil",IFERROR(IF(OR(M21="",Q21=0,Q21=""),"",($M21/$O21)),""),'Painel Geral'!$B$5="Média",IFERROR(IF(OR(M21="",Q21=0,Q21=""),"",($M21/$P21)),""),'Painel Geral'!$B$5="3º Quartil",IFERROR(IF(OR(M21="",Q21=0,Q21=""),"",($M21/$R21)),""),'Painel Geral'!$B$5="Maior Salário",IFERROR(IF(OR(M21="",Q21=0,Q21=""),"",($M21/$S21)),""))</f>
        <v>0.9476565062</v>
      </c>
      <c r="U21" s="491" t="str">
        <f t="shared" si="3"/>
        <v>Na Média</v>
      </c>
      <c r="V21" s="501">
        <f>VLOOKUP(A21,'Cálculos Comparativos'!$A:$E,4,0)</f>
        <v>4</v>
      </c>
    </row>
    <row r="22" ht="15.75" customHeight="1">
      <c r="A22" s="17" t="s">
        <v>77</v>
      </c>
      <c r="B22" s="29">
        <v>1656.0</v>
      </c>
      <c r="C22" s="490" t="str">
        <f>VLOOKUP(A22,Jobmatch!A:F,2,0)</f>
        <v>ASSISTENTE DE TI</v>
      </c>
      <c r="D22" s="490" t="str">
        <f>VLOOKUP(B22,'Folha de Pagamento'!B:G,6,0)</f>
        <v>Tecnologia da Informação</v>
      </c>
      <c r="E22" s="491" t="str">
        <f>VLOOKUP(A22,Jobmatch!A:F,4,0)</f>
        <v>25 - ADM PROJETOS</v>
      </c>
      <c r="F22" s="490" t="str">
        <f>VLOOKUP(A22,Jobmatch!A:F,5,0)</f>
        <v>Operacional</v>
      </c>
      <c r="G22" s="492">
        <f>VLOOKUP(B22,'Folha de Pagamento'!B:N,13,0)</f>
        <v>45888</v>
      </c>
      <c r="H22" s="493">
        <f t="shared" si="1"/>
        <v>0.5479452055</v>
      </c>
      <c r="I22" s="494">
        <f>VLOOKUP(A22,Jobmatch!A:G,6,0)</f>
        <v>31</v>
      </c>
      <c r="J22" s="491" t="str">
        <f>VLOOKUP(A22,Jobmatch!A:H,7,0)</f>
        <v>Assistente de Tecnologia da Informação</v>
      </c>
      <c r="K22" s="495" t="str">
        <f>VLOOKUP(A22,Jobmatch!A:I,8,0)</f>
        <v>Indiferente</v>
      </c>
      <c r="L22" s="496" t="str">
        <f t="shared" si="2"/>
        <v>31Indiferente</v>
      </c>
      <c r="M22" s="497">
        <f>IFERROR(VLOOKUP(B22,'Folha de Pagamento'!B:J,9,0),"")</f>
        <v>2919</v>
      </c>
      <c r="N22" s="498">
        <f>IFERROR(VLOOKUP(L22,'C-01'!$D:$L,4,0),"")</f>
        <v>2010.58</v>
      </c>
      <c r="O22" s="499">
        <f>IFERROR(VLOOKUP(L22,'C-01'!$D:$L,5,0),"")</f>
        <v>2066.4</v>
      </c>
      <c r="P22" s="499">
        <f>IFERROR(VLOOKUP(L22,'C-01'!$D:$L,6,0),"")</f>
        <v>2589.89</v>
      </c>
      <c r="Q22" s="499">
        <f>IFERROR(VLOOKUP(L22,'C-01'!$D:$L,7,0),"")</f>
        <v>2413.7</v>
      </c>
      <c r="R22" s="499">
        <f>IFERROR(VLOOKUP(L22,'C-01'!$D:$L,8,0),"")</f>
        <v>3121.21</v>
      </c>
      <c r="S22" s="498">
        <f>IFERROR(VLOOKUP(L22,'C-01'!$D:$L,9,0),"")</f>
        <v>3521.6</v>
      </c>
      <c r="T22" s="500">
        <f>IFS('Painel Geral'!$B$5="Mediana",IFERROR(IF(OR(M22="",Q22=0,Q22=""),"",($M22/$Q22)),""),'Painel Geral'!$B$5="Menor Salário",IFERROR(IF(OR(M22="",Q22=0,Q22=""),"",($M22/$N22)),""),'Painel Geral'!$B$5="1º Quartil",IFERROR(IF(OR(M22="",Q22=0,Q22=""),"",($M22/$O22)),""),'Painel Geral'!$B$5="Média",IFERROR(IF(OR(M22="",Q22=0,Q22=""),"",($M22/$P22)),""),'Painel Geral'!$B$5="3º Quartil",IFERROR(IF(OR(M22="",Q22=0,Q22=""),"",($M22/$R22)),""),'Painel Geral'!$B$5="Maior Salário",IFERROR(IF(OR(M22="",Q22=0,Q22=""),"",($M22/$S22)),""))</f>
        <v>1.209346646</v>
      </c>
      <c r="U22" s="491" t="str">
        <f t="shared" si="3"/>
        <v>Agressivo</v>
      </c>
      <c r="V22" s="501">
        <f>VLOOKUP(A22,'Cálculos Comparativos'!$A:$E,4,0)</f>
        <v>1</v>
      </c>
    </row>
    <row r="23" ht="15.75" customHeight="1">
      <c r="A23" s="17" t="s">
        <v>80</v>
      </c>
      <c r="B23" s="29">
        <v>192.0</v>
      </c>
      <c r="C23" s="490" t="str">
        <f>VLOOKUP(A23,Jobmatch!A:F,2,0)</f>
        <v>ASSISTENTE FINANCEIRO CONTAS A PAGAR</v>
      </c>
      <c r="D23" s="490" t="str">
        <f>VLOOKUP(B23,'Folha de Pagamento'!B:G,6,0)</f>
        <v>Financeiro</v>
      </c>
      <c r="E23" s="491" t="str">
        <f>VLOOKUP(A23,Jobmatch!A:F,4,0)</f>
        <v>26 - ADM PROJETOS</v>
      </c>
      <c r="F23" s="490" t="str">
        <f>VLOOKUP(A23,Jobmatch!A:F,5,0)</f>
        <v>Operacional</v>
      </c>
      <c r="G23" s="492">
        <f>VLOOKUP(B23,'Folha de Pagamento'!B:N,13,0)</f>
        <v>45889</v>
      </c>
      <c r="H23" s="493">
        <f t="shared" si="1"/>
        <v>0.5452054795</v>
      </c>
      <c r="I23" s="494">
        <f>VLOOKUP(A23,Jobmatch!A:G,6,0)</f>
        <v>79</v>
      </c>
      <c r="J23" s="491" t="str">
        <f>VLOOKUP(A23,Jobmatch!A:H,7,0)</f>
        <v>Assistente Financeiro</v>
      </c>
      <c r="K23" s="495" t="str">
        <f>VLOOKUP(A23,Jobmatch!A:I,8,0)</f>
        <v>Indiferente</v>
      </c>
      <c r="L23" s="496" t="str">
        <f t="shared" si="2"/>
        <v>79Indiferente</v>
      </c>
      <c r="M23" s="497">
        <f>IFERROR(VLOOKUP(B23,'Folha de Pagamento'!B:J,9,0),"")</f>
        <v>2919</v>
      </c>
      <c r="N23" s="498">
        <f>IFERROR(VLOOKUP(L23,'C-01'!$D:$L,4,0),"")</f>
        <v>2465.34</v>
      </c>
      <c r="O23" s="499">
        <f>IFERROR(VLOOKUP(L23,'C-01'!$D:$L,5,0),"")</f>
        <v>2560.05</v>
      </c>
      <c r="P23" s="499">
        <f>IFERROR(VLOOKUP(L23,'C-01'!$D:$L,6,0),"")</f>
        <v>2799.02</v>
      </c>
      <c r="Q23" s="499">
        <f>IFERROR(VLOOKUP(L23,'C-01'!$D:$L,7,0),"")</f>
        <v>2658.89</v>
      </c>
      <c r="R23" s="499">
        <f>IFERROR(VLOOKUP(L23,'C-01'!$D:$L,8,0),"")</f>
        <v>2935.06</v>
      </c>
      <c r="S23" s="498">
        <f>IFERROR(VLOOKUP(L23,'C-01'!$D:$L,9,0),"")</f>
        <v>3630.87</v>
      </c>
      <c r="T23" s="500">
        <f>IFS('Painel Geral'!$B$5="Mediana",IFERROR(IF(OR(M23="",Q23=0,Q23=""),"",($M23/$Q23)),""),'Painel Geral'!$B$5="Menor Salário",IFERROR(IF(OR(M23="",Q23=0,Q23=""),"",($M23/$N23)),""),'Painel Geral'!$B$5="1º Quartil",IFERROR(IF(OR(M23="",Q23=0,Q23=""),"",($M23/$O23)),""),'Painel Geral'!$B$5="Média",IFERROR(IF(OR(M23="",Q23=0,Q23=""),"",($M23/$P23)),""),'Painel Geral'!$B$5="3º Quartil",IFERROR(IF(OR(M23="",Q23=0,Q23=""),"",($M23/$R23)),""),'Painel Geral'!$B$5="Maior Salário",IFERROR(IF(OR(M23="",Q23=0,Q23=""),"",($M23/$S23)),""))</f>
        <v>1.097826537</v>
      </c>
      <c r="U23" s="491" t="str">
        <f t="shared" si="3"/>
        <v>Competitivo</v>
      </c>
      <c r="V23" s="501">
        <f>VLOOKUP(A23,'Cálculos Comparativos'!$A:$E,4,0)</f>
        <v>6</v>
      </c>
    </row>
    <row r="24" ht="15.75" customHeight="1">
      <c r="A24" s="17" t="s">
        <v>80</v>
      </c>
      <c r="B24" s="29">
        <v>193.0</v>
      </c>
      <c r="C24" s="490" t="str">
        <f>VLOOKUP(A24,Jobmatch!A:F,2,0)</f>
        <v>ASSISTENTE FINANCEIRO CONTAS A PAGAR</v>
      </c>
      <c r="D24" s="490" t="str">
        <f>VLOOKUP(B24,'Folha de Pagamento'!B:G,6,0)</f>
        <v>Financeiro</v>
      </c>
      <c r="E24" s="491" t="str">
        <f>VLOOKUP(A24,Jobmatch!A:F,4,0)</f>
        <v>26 - ADM PROJETOS</v>
      </c>
      <c r="F24" s="490" t="str">
        <f>VLOOKUP(A24,Jobmatch!A:F,5,0)</f>
        <v>Operacional</v>
      </c>
      <c r="G24" s="492">
        <f>VLOOKUP(B24,'Folha de Pagamento'!B:N,13,0)</f>
        <v>45890</v>
      </c>
      <c r="H24" s="493">
        <f t="shared" si="1"/>
        <v>0.5424657534</v>
      </c>
      <c r="I24" s="494">
        <f>VLOOKUP(A24,Jobmatch!A:G,6,0)</f>
        <v>79</v>
      </c>
      <c r="J24" s="491" t="str">
        <f>VLOOKUP(A24,Jobmatch!A:H,7,0)</f>
        <v>Assistente Financeiro</v>
      </c>
      <c r="K24" s="495" t="str">
        <f>VLOOKUP(A24,Jobmatch!A:I,8,0)</f>
        <v>Indiferente</v>
      </c>
      <c r="L24" s="496" t="str">
        <f t="shared" si="2"/>
        <v>79Indiferente</v>
      </c>
      <c r="M24" s="497">
        <f>IFERROR(VLOOKUP(B24,'Folha de Pagamento'!B:J,9,0),"")</f>
        <v>2919</v>
      </c>
      <c r="N24" s="498">
        <f>IFERROR(VLOOKUP(L24,'C-01'!$D:$L,4,0),"")</f>
        <v>2465.34</v>
      </c>
      <c r="O24" s="499">
        <f>IFERROR(VLOOKUP(L24,'C-01'!$D:$L,5,0),"")</f>
        <v>2560.05</v>
      </c>
      <c r="P24" s="499">
        <f>IFERROR(VLOOKUP(L24,'C-01'!$D:$L,6,0),"")</f>
        <v>2799.02</v>
      </c>
      <c r="Q24" s="499">
        <f>IFERROR(VLOOKUP(L24,'C-01'!$D:$L,7,0),"")</f>
        <v>2658.89</v>
      </c>
      <c r="R24" s="499">
        <f>IFERROR(VLOOKUP(L24,'C-01'!$D:$L,8,0),"")</f>
        <v>2935.06</v>
      </c>
      <c r="S24" s="498">
        <f>IFERROR(VLOOKUP(L24,'C-01'!$D:$L,9,0),"")</f>
        <v>3630.87</v>
      </c>
      <c r="T24" s="500">
        <f>IFS('Painel Geral'!$B$5="Mediana",IFERROR(IF(OR(M24="",Q24=0,Q24=""),"",($M24/$Q24)),""),'Painel Geral'!$B$5="Menor Salário",IFERROR(IF(OR(M24="",Q24=0,Q24=""),"",($M24/$N24)),""),'Painel Geral'!$B$5="1º Quartil",IFERROR(IF(OR(M24="",Q24=0,Q24=""),"",($M24/$O24)),""),'Painel Geral'!$B$5="Média",IFERROR(IF(OR(M24="",Q24=0,Q24=""),"",($M24/$P24)),""),'Painel Geral'!$B$5="3º Quartil",IFERROR(IF(OR(M24="",Q24=0,Q24=""),"",($M24/$R24)),""),'Painel Geral'!$B$5="Maior Salário",IFERROR(IF(OR(M24="",Q24=0,Q24=""),"",($M24/$S24)),""))</f>
        <v>1.097826537</v>
      </c>
      <c r="U24" s="491" t="str">
        <f t="shared" si="3"/>
        <v>Competitivo</v>
      </c>
      <c r="V24" s="501">
        <f>VLOOKUP(A24,'Cálculos Comparativos'!$A:$E,4,0)</f>
        <v>6</v>
      </c>
    </row>
    <row r="25" ht="15.75" customHeight="1">
      <c r="A25" s="17" t="s">
        <v>80</v>
      </c>
      <c r="B25" s="29">
        <v>1941.0</v>
      </c>
      <c r="C25" s="490" t="str">
        <f>VLOOKUP(A25,Jobmatch!A:F,2,0)</f>
        <v>ASSISTENTE FINANCEIRO CONTAS A PAGAR</v>
      </c>
      <c r="D25" s="490" t="str">
        <f>VLOOKUP(B25,'Folha de Pagamento'!B:G,6,0)</f>
        <v>Financeiro</v>
      </c>
      <c r="E25" s="491" t="str">
        <f>VLOOKUP(A25,Jobmatch!A:F,4,0)</f>
        <v>26 - ADM PROJETOS</v>
      </c>
      <c r="F25" s="490" t="str">
        <f>VLOOKUP(A25,Jobmatch!A:F,5,0)</f>
        <v>Operacional</v>
      </c>
      <c r="G25" s="492">
        <f>VLOOKUP(B25,'Folha de Pagamento'!B:N,13,0)</f>
        <v>45891</v>
      </c>
      <c r="H25" s="493">
        <f t="shared" si="1"/>
        <v>0.5397260274</v>
      </c>
      <c r="I25" s="494">
        <f>VLOOKUP(A25,Jobmatch!A:G,6,0)</f>
        <v>79</v>
      </c>
      <c r="J25" s="491" t="str">
        <f>VLOOKUP(A25,Jobmatch!A:H,7,0)</f>
        <v>Assistente Financeiro</v>
      </c>
      <c r="K25" s="495" t="str">
        <f>VLOOKUP(A25,Jobmatch!A:I,8,0)</f>
        <v>Indiferente</v>
      </c>
      <c r="L25" s="496" t="str">
        <f t="shared" si="2"/>
        <v>79Indiferente</v>
      </c>
      <c r="M25" s="497">
        <f>IFERROR(VLOOKUP(B25,'Folha de Pagamento'!B:J,9,0),"")</f>
        <v>3652</v>
      </c>
      <c r="N25" s="498">
        <f>IFERROR(VLOOKUP(L25,'C-01'!$D:$L,4,0),"")</f>
        <v>2465.34</v>
      </c>
      <c r="O25" s="499">
        <f>IFERROR(VLOOKUP(L25,'C-01'!$D:$L,5,0),"")</f>
        <v>2560.05</v>
      </c>
      <c r="P25" s="499">
        <f>IFERROR(VLOOKUP(L25,'C-01'!$D:$L,6,0),"")</f>
        <v>2799.02</v>
      </c>
      <c r="Q25" s="499">
        <f>IFERROR(VLOOKUP(L25,'C-01'!$D:$L,7,0),"")</f>
        <v>2658.89</v>
      </c>
      <c r="R25" s="499">
        <f>IFERROR(VLOOKUP(L25,'C-01'!$D:$L,8,0),"")</f>
        <v>2935.06</v>
      </c>
      <c r="S25" s="498">
        <f>IFERROR(VLOOKUP(L25,'C-01'!$D:$L,9,0),"")</f>
        <v>3630.87</v>
      </c>
      <c r="T25" s="500">
        <f>IFS('Painel Geral'!$B$5="Mediana",IFERROR(IF(OR(M25="",Q25=0,Q25=""),"",($M25/$Q25)),""),'Painel Geral'!$B$5="Menor Salário",IFERROR(IF(OR(M25="",Q25=0,Q25=""),"",($M25/$N25)),""),'Painel Geral'!$B$5="1º Quartil",IFERROR(IF(OR(M25="",Q25=0,Q25=""),"",($M25/$O25)),""),'Painel Geral'!$B$5="Média",IFERROR(IF(OR(M25="",Q25=0,Q25=""),"",($M25/$P25)),""),'Painel Geral'!$B$5="3º Quartil",IFERROR(IF(OR(M25="",Q25=0,Q25=""),"",($M25/$R25)),""),'Painel Geral'!$B$5="Maior Salário",IFERROR(IF(OR(M25="",Q25=0,Q25=""),"",($M25/$S25)),""))</f>
        <v>1.373505485</v>
      </c>
      <c r="U25" s="491" t="str">
        <f t="shared" si="3"/>
        <v>Agressivo</v>
      </c>
      <c r="V25" s="501">
        <f>VLOOKUP(A25,'Cálculos Comparativos'!$A:$E,4,0)</f>
        <v>6</v>
      </c>
    </row>
    <row r="26" ht="15.75" customHeight="1">
      <c r="A26" s="17" t="s">
        <v>83</v>
      </c>
      <c r="B26" s="29">
        <v>1961.0</v>
      </c>
      <c r="C26" s="490" t="str">
        <f>VLOOKUP(A26,Jobmatch!A:F,2,0)</f>
        <v>AUXILIAR ADMINISTRATIVO</v>
      </c>
      <c r="D26" s="490" t="str">
        <f>VLOOKUP(B26,'Folha de Pagamento'!B:G,6,0)</f>
        <v>Administrativo</v>
      </c>
      <c r="E26" s="491" t="str">
        <f>VLOOKUP(A26,Jobmatch!A:F,4,0)</f>
        <v>27 - ADM PROJETOS</v>
      </c>
      <c r="F26" s="490" t="str">
        <f>VLOOKUP(A26,Jobmatch!A:F,5,0)</f>
        <v>Operacional</v>
      </c>
      <c r="G26" s="492">
        <f>VLOOKUP(B26,'Folha de Pagamento'!B:N,13,0)</f>
        <v>45892</v>
      </c>
      <c r="H26" s="493">
        <f t="shared" si="1"/>
        <v>0.5369863014</v>
      </c>
      <c r="I26" s="494">
        <f>VLOOKUP(A26,Jobmatch!A:G,6,0)</f>
        <v>83</v>
      </c>
      <c r="J26" s="491" t="str">
        <f>VLOOKUP(A26,Jobmatch!A:H,7,0)</f>
        <v>Auxiliar Administrativo</v>
      </c>
      <c r="K26" s="495" t="str">
        <f>VLOOKUP(A26,Jobmatch!A:I,8,0)</f>
        <v>Indiferente</v>
      </c>
      <c r="L26" s="496" t="str">
        <f t="shared" si="2"/>
        <v>83Indiferente</v>
      </c>
      <c r="M26" s="497">
        <f>IFERROR(VLOOKUP(B26,'Folha de Pagamento'!B:J,9,0),"")</f>
        <v>2254</v>
      </c>
      <c r="N26" s="498">
        <f>IFERROR(VLOOKUP(L26,'C-01'!$D:$L,4,0),"")</f>
        <v>1771.74</v>
      </c>
      <c r="O26" s="499">
        <f>IFERROR(VLOOKUP(L26,'C-01'!$D:$L,5,0),"")</f>
        <v>2128.74</v>
      </c>
      <c r="P26" s="499">
        <f>IFERROR(VLOOKUP(L26,'C-01'!$D:$L,6,0),"")</f>
        <v>2292.87</v>
      </c>
      <c r="Q26" s="499">
        <f>IFERROR(VLOOKUP(L26,'C-01'!$D:$L,7,0),"")</f>
        <v>2309.71</v>
      </c>
      <c r="R26" s="499">
        <f>IFERROR(VLOOKUP(L26,'C-01'!$D:$L,8,0),"")</f>
        <v>2375.14</v>
      </c>
      <c r="S26" s="498">
        <f>IFERROR(VLOOKUP(L26,'C-01'!$D:$L,9,0),"")</f>
        <v>3073.32</v>
      </c>
      <c r="T26" s="500">
        <f>IFS('Painel Geral'!$B$5="Mediana",IFERROR(IF(OR(M26="",Q26=0,Q26=""),"",($M26/$Q26)),""),'Painel Geral'!$B$5="Menor Salário",IFERROR(IF(OR(M26="",Q26=0,Q26=""),"",($M26/$N26)),""),'Painel Geral'!$B$5="1º Quartil",IFERROR(IF(OR(M26="",Q26=0,Q26=""),"",($M26/$O26)),""),'Painel Geral'!$B$5="Média",IFERROR(IF(OR(M26="",Q26=0,Q26=""),"",($M26/$P26)),""),'Painel Geral'!$B$5="3º Quartil",IFERROR(IF(OR(M26="",Q26=0,Q26=""),"",($M26/$R26)),""),'Painel Geral'!$B$5="Maior Salário",IFERROR(IF(OR(M26="",Q26=0,Q26=""),"",($M26/$S26)),""))</f>
        <v>0.9758800888</v>
      </c>
      <c r="U26" s="491" t="str">
        <f t="shared" si="3"/>
        <v>Na Média</v>
      </c>
      <c r="V26" s="501">
        <f>VLOOKUP(A26,'Cálculos Comparativos'!$A:$E,4,0)</f>
        <v>1</v>
      </c>
    </row>
    <row r="27" ht="15.75" customHeight="1">
      <c r="A27" s="17" t="s">
        <v>85</v>
      </c>
      <c r="B27" s="29">
        <v>184.0</v>
      </c>
      <c r="C27" s="490" t="str">
        <f>VLOOKUP(A27,Jobmatch!A:F,2,0)</f>
        <v>AUXILIAR ADMINISTRATIVO III</v>
      </c>
      <c r="D27" s="490" t="str">
        <f>VLOOKUP(B27,'Folha de Pagamento'!B:G,6,0)</f>
        <v>Administrativo</v>
      </c>
      <c r="E27" s="491" t="str">
        <f>VLOOKUP(A27,Jobmatch!A:F,4,0)</f>
        <v>28 - ADM PROJETOS</v>
      </c>
      <c r="F27" s="490" t="str">
        <f>VLOOKUP(A27,Jobmatch!A:F,5,0)</f>
        <v>Operacional</v>
      </c>
      <c r="G27" s="492">
        <f>VLOOKUP(B27,'Folha de Pagamento'!B:N,13,0)</f>
        <v>45893</v>
      </c>
      <c r="H27" s="493">
        <f t="shared" si="1"/>
        <v>0.5342465753</v>
      </c>
      <c r="I27" s="494">
        <f>VLOOKUP(A27,Jobmatch!A:G,6,0)</f>
        <v>83</v>
      </c>
      <c r="J27" s="491" t="str">
        <f>VLOOKUP(A27,Jobmatch!A:H,7,0)</f>
        <v>Auxiliar Administrativo</v>
      </c>
      <c r="K27" s="495" t="str">
        <f>VLOOKUP(A27,Jobmatch!A:I,8,0)</f>
        <v>Indiferente</v>
      </c>
      <c r="L27" s="496" t="str">
        <f t="shared" si="2"/>
        <v>83Indiferente</v>
      </c>
      <c r="M27" s="497">
        <f>IFERROR(VLOOKUP(B27,'Folha de Pagamento'!B:J,9,0),"")</f>
        <v>2739.04</v>
      </c>
      <c r="N27" s="498">
        <f>IFERROR(VLOOKUP(L27,'C-01'!$D:$L,4,0),"")</f>
        <v>1771.74</v>
      </c>
      <c r="O27" s="499">
        <f>IFERROR(VLOOKUP(L27,'C-01'!$D:$L,5,0),"")</f>
        <v>2128.74</v>
      </c>
      <c r="P27" s="499">
        <f>IFERROR(VLOOKUP(L27,'C-01'!$D:$L,6,0),"")</f>
        <v>2292.87</v>
      </c>
      <c r="Q27" s="499">
        <f>IFERROR(VLOOKUP(L27,'C-01'!$D:$L,7,0),"")</f>
        <v>2309.71</v>
      </c>
      <c r="R27" s="499">
        <f>IFERROR(VLOOKUP(L27,'C-01'!$D:$L,8,0),"")</f>
        <v>2375.14</v>
      </c>
      <c r="S27" s="498">
        <f>IFERROR(VLOOKUP(L27,'C-01'!$D:$L,9,0),"")</f>
        <v>3073.32</v>
      </c>
      <c r="T27" s="500">
        <f>IFS('Painel Geral'!$B$5="Mediana",IFERROR(IF(OR(M27="",Q27=0,Q27=""),"",($M27/$Q27)),""),'Painel Geral'!$B$5="Menor Salário",IFERROR(IF(OR(M27="",Q27=0,Q27=""),"",($M27/$N27)),""),'Painel Geral'!$B$5="1º Quartil",IFERROR(IF(OR(M27="",Q27=0,Q27=""),"",($M27/$O27)),""),'Painel Geral'!$B$5="Média",IFERROR(IF(OR(M27="",Q27=0,Q27=""),"",($M27/$P27)),""),'Painel Geral'!$B$5="3º Quartil",IFERROR(IF(OR(M27="",Q27=0,Q27=""),"",($M27/$R27)),""),'Painel Geral'!$B$5="Maior Salário",IFERROR(IF(OR(M27="",Q27=0,Q27=""),"",($M27/$S27)),""))</f>
        <v>1.185880479</v>
      </c>
      <c r="U27" s="491" t="str">
        <f t="shared" si="3"/>
        <v>Muito Competitivo</v>
      </c>
      <c r="V27" s="501">
        <f>VLOOKUP(A27,'Cálculos Comparativos'!$A:$E,4,0)</f>
        <v>1</v>
      </c>
    </row>
    <row r="28" ht="15.75" customHeight="1">
      <c r="A28" s="17" t="s">
        <v>87</v>
      </c>
      <c r="B28" s="29">
        <v>1951.0</v>
      </c>
      <c r="C28" s="490" t="str">
        <f>VLOOKUP(A28,Jobmatch!A:F,2,0)</f>
        <v>AUXILIAR DE ATENDIMENTO II</v>
      </c>
      <c r="D28" s="490" t="str">
        <f>VLOOKUP(B28,'Folha de Pagamento'!B:G,6,0)</f>
        <v>Recepção</v>
      </c>
      <c r="E28" s="491" t="str">
        <f>VLOOKUP(A28,Jobmatch!A:F,4,0)</f>
        <v>29 - ADM PROJETOS</v>
      </c>
      <c r="F28" s="490" t="str">
        <f>VLOOKUP(A28,Jobmatch!A:F,5,0)</f>
        <v>Operacional</v>
      </c>
      <c r="G28" s="492">
        <f>VLOOKUP(B28,'Folha de Pagamento'!B:N,13,0)</f>
        <v>45894</v>
      </c>
      <c r="H28" s="493">
        <f t="shared" si="1"/>
        <v>0.5315068493</v>
      </c>
      <c r="I28" s="494">
        <f>VLOOKUP(A28,Jobmatch!A:G,6,0)</f>
        <v>318</v>
      </c>
      <c r="J28" s="491" t="str">
        <f>VLOOKUP(A28,Jobmatch!A:H,7,0)</f>
        <v>Auxiliar de Atendimento</v>
      </c>
      <c r="K28" s="495" t="str">
        <f>VLOOKUP(A28,Jobmatch!A:I,8,0)</f>
        <v>Indiferente</v>
      </c>
      <c r="L28" s="496" t="str">
        <f t="shared" si="2"/>
        <v>318Indiferente</v>
      </c>
      <c r="M28" s="497">
        <f>IFERROR(VLOOKUP(B28,'Folha de Pagamento'!B:J,9,0),"")</f>
        <v>2560</v>
      </c>
      <c r="N28" s="498">
        <f>IFERROR(VLOOKUP(L28,'C-01'!$D:$L,4,0),"")</f>
        <v>1731.3</v>
      </c>
      <c r="O28" s="499">
        <f>IFERROR(VLOOKUP(L28,'C-01'!$D:$L,5,0),"")</f>
        <v>1778.55</v>
      </c>
      <c r="P28" s="499">
        <f>IFERROR(VLOOKUP(L28,'C-01'!$D:$L,6,0),"")</f>
        <v>2041.06</v>
      </c>
      <c r="Q28" s="499">
        <f>IFERROR(VLOOKUP(L28,'C-01'!$D:$L,7,0),"")</f>
        <v>2052.94</v>
      </c>
      <c r="R28" s="499">
        <f>IFERROR(VLOOKUP(L28,'C-01'!$D:$L,8,0),"")</f>
        <v>2169.15</v>
      </c>
      <c r="S28" s="498">
        <f>IFERROR(VLOOKUP(L28,'C-01'!$D:$L,9,0),"")</f>
        <v>2574.08</v>
      </c>
      <c r="T28" s="500">
        <f>IFS('Painel Geral'!$B$5="Mediana",IFERROR(IF(OR(M28="",Q28=0,Q28=""),"",($M28/$Q28)),""),'Painel Geral'!$B$5="Menor Salário",IFERROR(IF(OR(M28="",Q28=0,Q28=""),"",($M28/$N28)),""),'Painel Geral'!$B$5="1º Quartil",IFERROR(IF(OR(M28="",Q28=0,Q28=""),"",($M28/$O28)),""),'Painel Geral'!$B$5="Média",IFERROR(IF(OR(M28="",Q28=0,Q28=""),"",($M28/$P28)),""),'Painel Geral'!$B$5="3º Quartil",IFERROR(IF(OR(M28="",Q28=0,Q28=""),"",($M28/$R28)),""),'Painel Geral'!$B$5="Maior Salário",IFERROR(IF(OR(M28="",Q28=0,Q28=""),"",($M28/$S28)),""))</f>
        <v>1.246992119</v>
      </c>
      <c r="U28" s="491" t="str">
        <f t="shared" si="3"/>
        <v>Agressivo</v>
      </c>
      <c r="V28" s="501">
        <f>VLOOKUP(A28,'Cálculos Comparativos'!$A:$E,4,0)</f>
        <v>1</v>
      </c>
    </row>
    <row r="29" ht="15.75" customHeight="1">
      <c r="A29" s="17" t="s">
        <v>90</v>
      </c>
      <c r="B29" s="29">
        <v>191.0</v>
      </c>
      <c r="C29" s="490" t="str">
        <f>VLOOKUP(A29,Jobmatch!A:F,2,0)</f>
        <v>AUXILIAR DE ENGENHARIA</v>
      </c>
      <c r="D29" s="490" t="str">
        <f>VLOOKUP(B29,'Folha de Pagamento'!B:G,6,0)</f>
        <v>Urbanismo</v>
      </c>
      <c r="E29" s="491" t="str">
        <f>VLOOKUP(A29,Jobmatch!A:F,4,0)</f>
        <v>30 - ADM PROJETOS</v>
      </c>
      <c r="F29" s="490" t="str">
        <f>VLOOKUP(A29,Jobmatch!A:F,5,0)</f>
        <v>Operacional</v>
      </c>
      <c r="G29" s="492">
        <f>VLOOKUP(B29,'Folha de Pagamento'!B:N,13,0)</f>
        <v>45895</v>
      </c>
      <c r="H29" s="493">
        <f t="shared" si="1"/>
        <v>0.5287671233</v>
      </c>
      <c r="I29" s="494">
        <f>VLOOKUP(A29,Jobmatch!A:G,6,0)</f>
        <v>207</v>
      </c>
      <c r="J29" s="491" t="str">
        <f>VLOOKUP(A29,Jobmatch!A:H,7,0)</f>
        <v>Auxiliar de Engenharia</v>
      </c>
      <c r="K29" s="495" t="str">
        <f>VLOOKUP(A29,Jobmatch!A:I,8,0)</f>
        <v>Indiferente</v>
      </c>
      <c r="L29" s="496" t="str">
        <f t="shared" si="2"/>
        <v>207Indiferente</v>
      </c>
      <c r="M29" s="497">
        <f>IFERROR(VLOOKUP(B29,'Folha de Pagamento'!B:J,9,0),"")</f>
        <v>2560</v>
      </c>
      <c r="N29" s="498">
        <f>IFERROR(VLOOKUP(L29,'C-01'!$D:$L,4,0),"")</f>
        <v>2574.08</v>
      </c>
      <c r="O29" s="499">
        <f>IFERROR(VLOOKUP(L29,'C-01'!$D:$L,5,0),"")</f>
        <v>2644.47</v>
      </c>
      <c r="P29" s="499">
        <f>IFERROR(VLOOKUP(L29,'C-01'!$D:$L,6,0),"")</f>
        <v>2819.08</v>
      </c>
      <c r="Q29" s="499">
        <f>IFERROR(VLOOKUP(L29,'C-01'!$D:$L,7,0),"")</f>
        <v>2714.85</v>
      </c>
      <c r="R29" s="499">
        <f>IFERROR(VLOOKUP(L29,'C-01'!$D:$L,8,0),"")</f>
        <v>2941.58</v>
      </c>
      <c r="S29" s="498">
        <f>IFERROR(VLOOKUP(L29,'C-01'!$D:$L,9,0),"")</f>
        <v>3168.31</v>
      </c>
      <c r="T29" s="500">
        <f>IFS('Painel Geral'!$B$5="Mediana",IFERROR(IF(OR(M29="",Q29=0,Q29=""),"",($M29/$Q29)),""),'Painel Geral'!$B$5="Menor Salário",IFERROR(IF(OR(M29="",Q29=0,Q29=""),"",($M29/$N29)),""),'Painel Geral'!$B$5="1º Quartil",IFERROR(IF(OR(M29="",Q29=0,Q29=""),"",($M29/$O29)),""),'Painel Geral'!$B$5="Média",IFERROR(IF(OR(M29="",Q29=0,Q29=""),"",($M29/$P29)),""),'Painel Geral'!$B$5="3º Quartil",IFERROR(IF(OR(M29="",Q29=0,Q29=""),"",($M29/$R29)),""),'Painel Geral'!$B$5="Maior Salário",IFERROR(IF(OR(M29="",Q29=0,Q29=""),"",($M29/$S29)),""))</f>
        <v>0.9429618579</v>
      </c>
      <c r="U29" s="491" t="str">
        <f t="shared" si="3"/>
        <v>Na Média</v>
      </c>
      <c r="V29" s="501">
        <f>VLOOKUP(A29,'Cálculos Comparativos'!$A:$E,4,0)</f>
        <v>10</v>
      </c>
    </row>
    <row r="30" ht="15.75" customHeight="1">
      <c r="A30" s="17" t="s">
        <v>92</v>
      </c>
      <c r="B30" s="29" t="s">
        <v>93</v>
      </c>
      <c r="C30" s="490" t="str">
        <f>VLOOKUP(A30,Jobmatch!A:F,2,0)</f>
        <v>CONTROLER JURÍDICO</v>
      </c>
      <c r="D30" s="490" t="str">
        <f>VLOOKUP(B30,'Folha de Pagamento'!B:G,6,0)</f>
        <v>Administrativo</v>
      </c>
      <c r="E30" s="491" t="str">
        <f>VLOOKUP(A30,Jobmatch!A:F,4,0)</f>
        <v>31 - ADM PROJETOS</v>
      </c>
      <c r="F30" s="490" t="str">
        <f>VLOOKUP(A30,Jobmatch!A:F,5,0)</f>
        <v>Tático</v>
      </c>
      <c r="G30" s="492">
        <f>VLOOKUP(B30,'Folha de Pagamento'!B:N,13,0)</f>
        <v>45896</v>
      </c>
      <c r="H30" s="493">
        <f t="shared" si="1"/>
        <v>0.5260273973</v>
      </c>
      <c r="I30" s="494">
        <f>VLOOKUP(A30,Jobmatch!A:G,6,0)</f>
        <v>9</v>
      </c>
      <c r="J30" s="491" t="str">
        <f>VLOOKUP(A30,Jobmatch!A:H,7,0)</f>
        <v>Advogado</v>
      </c>
      <c r="K30" s="495" t="str">
        <f>VLOOKUP(A30,Jobmatch!A:I,8,0)</f>
        <v>Sênior</v>
      </c>
      <c r="L30" s="496" t="str">
        <f t="shared" si="2"/>
        <v>9Sênior</v>
      </c>
      <c r="M30" s="497">
        <f>IFERROR(VLOOKUP(B30,'Folha de Pagamento'!B:J,9,0),"")</f>
        <v>8276.642336</v>
      </c>
      <c r="N30" s="498">
        <f>IFERROR(VLOOKUP(L30,'C-01'!$D:$L,4,0),"")</f>
        <v>0</v>
      </c>
      <c r="O30" s="499">
        <f>IFERROR(VLOOKUP(L30,'C-01'!$D:$L,5,0),"")</f>
        <v>0</v>
      </c>
      <c r="P30" s="499">
        <f>IFERROR(VLOOKUP(L30,'C-01'!$D:$L,6,0),"")</f>
        <v>0</v>
      </c>
      <c r="Q30" s="499">
        <f>IFERROR(VLOOKUP(L30,'C-01'!$D:$L,7,0),"")</f>
        <v>0</v>
      </c>
      <c r="R30" s="499">
        <f>IFERROR(VLOOKUP(L30,'C-01'!$D:$L,8,0),"")</f>
        <v>0</v>
      </c>
      <c r="S30" s="498">
        <f>IFERROR(VLOOKUP(L30,'C-01'!$D:$L,9,0),"")</f>
        <v>0</v>
      </c>
      <c r="T30" s="500" t="str">
        <f>IFS('Painel Geral'!$B$5="Mediana",IFERROR(IF(OR(M30="",Q30=0,Q30=""),"",($M30/$Q30)),""),'Painel Geral'!$B$5="Menor Salário",IFERROR(IF(OR(M30="",Q30=0,Q30=""),"",($M30/$N30)),""),'Painel Geral'!$B$5="1º Quartil",IFERROR(IF(OR(M30="",Q30=0,Q30=""),"",($M30/$O30)),""),'Painel Geral'!$B$5="Média",IFERROR(IF(OR(M30="",Q30=0,Q30=""),"",($M30/$P30)),""),'Painel Geral'!$B$5="3º Quartil",IFERROR(IF(OR(M30="",Q30=0,Q30=""),"",($M30/$R30)),""),'Painel Geral'!$B$5="Maior Salário",IFERROR(IF(OR(M30="",Q30=0,Q30=""),"",($M30/$S30)),""))</f>
        <v/>
      </c>
      <c r="U30" s="491" t="str">
        <f t="shared" si="3"/>
        <v/>
      </c>
      <c r="V30" s="501">
        <f>VLOOKUP(A30,'Cálculos Comparativos'!$A:$E,4,0)</f>
        <v>1</v>
      </c>
    </row>
    <row r="31" ht="15.75" customHeight="1">
      <c r="A31" s="17" t="s">
        <v>95</v>
      </c>
      <c r="B31" s="29" t="s">
        <v>96</v>
      </c>
      <c r="C31" s="490" t="str">
        <f>VLOOKUP(A31,Jobmatch!A:F,2,0)</f>
        <v>CONTROLLER GERAL</v>
      </c>
      <c r="D31" s="490" t="str">
        <f>VLOOKUP(B31,'Folha de Pagamento'!B:G,6,0)</f>
        <v>Controladoria</v>
      </c>
      <c r="E31" s="491" t="str">
        <f>VLOOKUP(A31,Jobmatch!A:F,4,0)</f>
        <v>32 - ADM PROJETOS</v>
      </c>
      <c r="F31" s="490" t="str">
        <f>VLOOKUP(A31,Jobmatch!A:F,5,0)</f>
        <v>Tático</v>
      </c>
      <c r="G31" s="492">
        <f>VLOOKUP(B31,'Folha de Pagamento'!B:N,13,0)</f>
        <v>45897</v>
      </c>
      <c r="H31" s="493">
        <f t="shared" si="1"/>
        <v>0.5232876712</v>
      </c>
      <c r="I31" s="494">
        <f>VLOOKUP(A31,Jobmatch!A:G,6,0)</f>
        <v>95</v>
      </c>
      <c r="J31" s="491" t="str">
        <f>VLOOKUP(A31,Jobmatch!A:H,7,0)</f>
        <v>Controller</v>
      </c>
      <c r="K31" s="495" t="str">
        <f>VLOOKUP(A31,Jobmatch!A:I,8,0)</f>
        <v>Indiferente</v>
      </c>
      <c r="L31" s="496" t="str">
        <f t="shared" si="2"/>
        <v>95Indiferente</v>
      </c>
      <c r="M31" s="497">
        <f>IFERROR(VLOOKUP(B31,'Folha de Pagamento'!B:J,9,0),"")</f>
        <v>11678.83212</v>
      </c>
      <c r="N31" s="498">
        <f>IFERROR(VLOOKUP(L31,'C-01'!$D:$L,4,0),"")</f>
        <v>14652.03</v>
      </c>
      <c r="O31" s="499">
        <f>IFERROR(VLOOKUP(L31,'C-01'!$D:$L,5,0),"")</f>
        <v>15472.01</v>
      </c>
      <c r="P31" s="499">
        <f>IFERROR(VLOOKUP(L31,'C-01'!$D:$L,6,0),"")</f>
        <v>16594.35</v>
      </c>
      <c r="Q31" s="499">
        <f>IFERROR(VLOOKUP(L31,'C-01'!$D:$L,7,0),"")</f>
        <v>16581.68</v>
      </c>
      <c r="R31" s="499">
        <f>IFERROR(VLOOKUP(L31,'C-01'!$D:$L,8,0),"")</f>
        <v>17497.31</v>
      </c>
      <c r="S31" s="498">
        <f>IFERROR(VLOOKUP(L31,'C-01'!$D:$L,9,0),"")</f>
        <v>18846.04</v>
      </c>
      <c r="T31" s="500">
        <f>IFS('Painel Geral'!$B$5="Mediana",IFERROR(IF(OR(M31="",Q31=0,Q31=""),"",($M31/$Q31)),""),'Painel Geral'!$B$5="Menor Salário",IFERROR(IF(OR(M31="",Q31=0,Q31=""),"",($M31/$N31)),""),'Painel Geral'!$B$5="1º Quartil",IFERROR(IF(OR(M31="",Q31=0,Q31=""),"",($M31/$O31)),""),'Painel Geral'!$B$5="Média",IFERROR(IF(OR(M31="",Q31=0,Q31=""),"",($M31/$P31)),""),'Painel Geral'!$B$5="3º Quartil",IFERROR(IF(OR(M31="",Q31=0,Q31=""),"",($M31/$R31)),""),'Painel Geral'!$B$5="Maior Salário",IFERROR(IF(OR(M31="",Q31=0,Q31=""),"",($M31/$S31)),""))</f>
        <v>0.7043214027</v>
      </c>
      <c r="U31" s="491" t="str">
        <f t="shared" si="3"/>
        <v>Muito Defasado</v>
      </c>
      <c r="V31" s="501">
        <f>VLOOKUP(A31,'Cálculos Comparativos'!$A:$E,4,0)</f>
        <v>3</v>
      </c>
    </row>
    <row r="32" ht="15.75" customHeight="1">
      <c r="A32" s="17" t="s">
        <v>98</v>
      </c>
      <c r="B32" s="29" t="s">
        <v>99</v>
      </c>
      <c r="C32" s="490" t="str">
        <f>VLOOKUP(A32,Jobmatch!A:F,2,0)</f>
        <v>CONTROLLER TÉCNICO</v>
      </c>
      <c r="D32" s="490" t="str">
        <f>VLOOKUP(B32,'Folha de Pagamento'!B:G,6,0)</f>
        <v>Controladoria</v>
      </c>
      <c r="E32" s="491" t="str">
        <f>VLOOKUP(A32,Jobmatch!A:F,4,0)</f>
        <v>33 - ADM PROJETOS</v>
      </c>
      <c r="F32" s="490" t="str">
        <f>VLOOKUP(A32,Jobmatch!A:F,5,0)</f>
        <v>Tático</v>
      </c>
      <c r="G32" s="492">
        <f>VLOOKUP(B32,'Folha de Pagamento'!B:N,13,0)</f>
        <v>45898</v>
      </c>
      <c r="H32" s="493">
        <f t="shared" si="1"/>
        <v>0.5205479452</v>
      </c>
      <c r="I32" s="494">
        <f>VLOOKUP(A32,Jobmatch!A:G,6,0)</f>
        <v>26</v>
      </c>
      <c r="J32" s="491" t="str">
        <f>VLOOKUP(A32,Jobmatch!A:H,7,0)</f>
        <v>Analista de Controladoria</v>
      </c>
      <c r="K32" s="495" t="str">
        <f>VLOOKUP(A32,Jobmatch!A:I,8,0)</f>
        <v>Especialista</v>
      </c>
      <c r="L32" s="496" t="str">
        <f t="shared" si="2"/>
        <v>26Especialista</v>
      </c>
      <c r="M32" s="497">
        <f>IFERROR(VLOOKUP(B32,'Folha de Pagamento'!B:J,9,0),"")</f>
        <v>9243.50365</v>
      </c>
      <c r="N32" s="498">
        <f>IFERROR(VLOOKUP(L32,'C-01'!$D:$L,4,0),"")</f>
        <v>6777.08</v>
      </c>
      <c r="O32" s="499">
        <f>IFERROR(VLOOKUP(L32,'C-01'!$D:$L,5,0),"")</f>
        <v>10665.2</v>
      </c>
      <c r="P32" s="499">
        <f>IFERROR(VLOOKUP(L32,'C-01'!$D:$L,6,0),"")</f>
        <v>12572.61</v>
      </c>
      <c r="Q32" s="499">
        <f>IFERROR(VLOOKUP(L32,'C-01'!$D:$L,7,0),"")</f>
        <v>13758.75</v>
      </c>
      <c r="R32" s="499">
        <f>IFERROR(VLOOKUP(L32,'C-01'!$D:$L,8,0),"")</f>
        <v>15666.17</v>
      </c>
      <c r="S32" s="498">
        <f>IFERROR(VLOOKUP(L32,'C-01'!$D:$L,9,0),"")</f>
        <v>15995.86</v>
      </c>
      <c r="T32" s="500">
        <f>IFS('Painel Geral'!$B$5="Mediana",IFERROR(IF(OR(M32="",Q32=0,Q32=""),"",($M32/$Q32)),""),'Painel Geral'!$B$5="Menor Salário",IFERROR(IF(OR(M32="",Q32=0,Q32=""),"",($M32/$N32)),""),'Painel Geral'!$B$5="1º Quartil",IFERROR(IF(OR(M32="",Q32=0,Q32=""),"",($M32/$O32)),""),'Painel Geral'!$B$5="Média",IFERROR(IF(OR(M32="",Q32=0,Q32=""),"",($M32/$P32)),""),'Painel Geral'!$B$5="3º Quartil",IFERROR(IF(OR(M32="",Q32=0,Q32=""),"",($M32/$R32)),""),'Painel Geral'!$B$5="Maior Salário",IFERROR(IF(OR(M32="",Q32=0,Q32=""),"",($M32/$S32)),""))</f>
        <v>0.6718272844</v>
      </c>
      <c r="U32" s="491" t="str">
        <f t="shared" si="3"/>
        <v>Muito Defasado</v>
      </c>
      <c r="V32" s="501">
        <f>VLOOKUP(A32,'Cálculos Comparativos'!$A:$E,4,0)</f>
        <v>3</v>
      </c>
    </row>
    <row r="33" ht="15.75" customHeight="1">
      <c r="A33" s="17" t="s">
        <v>101</v>
      </c>
      <c r="B33" s="29">
        <v>1959.0</v>
      </c>
      <c r="C33" s="490" t="str">
        <f>VLOOKUP(A33,Jobmatch!A:F,2,0)</f>
        <v>COORDENADOR DE DHO</v>
      </c>
      <c r="D33" s="490" t="str">
        <f>VLOOKUP(B33,'Folha de Pagamento'!B:G,6,0)</f>
        <v>DHO</v>
      </c>
      <c r="E33" s="491" t="str">
        <f>VLOOKUP(A33,Jobmatch!A:F,4,0)</f>
        <v>34 - ADM PROJETOS</v>
      </c>
      <c r="F33" s="490" t="str">
        <f>VLOOKUP(A33,Jobmatch!A:F,5,0)</f>
        <v>Tático</v>
      </c>
      <c r="G33" s="492">
        <f>VLOOKUP(B33,'Folha de Pagamento'!B:N,13,0)</f>
        <v>45899</v>
      </c>
      <c r="H33" s="493">
        <f t="shared" si="1"/>
        <v>0.5178082192</v>
      </c>
      <c r="I33" s="494">
        <f>VLOOKUP(A33,Jobmatch!A:G,6,0)</f>
        <v>121</v>
      </c>
      <c r="J33" s="491" t="str">
        <f>VLOOKUP(A33,Jobmatch!A:H,7,0)</f>
        <v>Coordenador de Recursos Humanos</v>
      </c>
      <c r="K33" s="495" t="str">
        <f>VLOOKUP(A33,Jobmatch!A:I,8,0)</f>
        <v>Indiferente</v>
      </c>
      <c r="L33" s="496" t="str">
        <f t="shared" si="2"/>
        <v>121Indiferente</v>
      </c>
      <c r="M33" s="497">
        <f>IFERROR(VLOOKUP(B33,'Folha de Pagamento'!B:J,9,0),"")</f>
        <v>7420</v>
      </c>
      <c r="N33" s="498">
        <f>IFERROR(VLOOKUP(L33,'C-01'!$D:$L,4,0),"")</f>
        <v>7460.82</v>
      </c>
      <c r="O33" s="499">
        <f>IFERROR(VLOOKUP(L33,'C-01'!$D:$L,5,0),"")</f>
        <v>10014.8</v>
      </c>
      <c r="P33" s="499">
        <f>IFERROR(VLOOKUP(L33,'C-01'!$D:$L,6,0),"")</f>
        <v>11303.85</v>
      </c>
      <c r="Q33" s="499">
        <f>IFERROR(VLOOKUP(L33,'C-01'!$D:$L,7,0),"")</f>
        <v>12568.77</v>
      </c>
      <c r="R33" s="499">
        <f>IFERROR(VLOOKUP(L33,'C-01'!$D:$L,8,0),"")</f>
        <v>13225.36</v>
      </c>
      <c r="S33" s="498">
        <f>IFERROR(VLOOKUP(L33,'C-01'!$D:$L,9,0),"")</f>
        <v>13881.95</v>
      </c>
      <c r="T33" s="500">
        <f>IFS('Painel Geral'!$B$5="Mediana",IFERROR(IF(OR(M33="",Q33=0,Q33=""),"",($M33/$Q33)),""),'Painel Geral'!$B$5="Menor Salário",IFERROR(IF(OR(M33="",Q33=0,Q33=""),"",($M33/$N33)),""),'Painel Geral'!$B$5="1º Quartil",IFERROR(IF(OR(M33="",Q33=0,Q33=""),"",($M33/$O33)),""),'Painel Geral'!$B$5="Média",IFERROR(IF(OR(M33="",Q33=0,Q33=""),"",($M33/$P33)),""),'Painel Geral'!$B$5="3º Quartil",IFERROR(IF(OR(M33="",Q33=0,Q33=""),"",($M33/$R33)),""),'Painel Geral'!$B$5="Maior Salário",IFERROR(IF(OR(M33="",Q33=0,Q33=""),"",($M33/$S33)),""))</f>
        <v>0.5903521188</v>
      </c>
      <c r="U33" s="491" t="str">
        <f t="shared" si="3"/>
        <v>Muito Defasado</v>
      </c>
      <c r="V33" s="501">
        <f>VLOOKUP(A33,'Cálculos Comparativos'!$A:$E,4,0)</f>
        <v>4</v>
      </c>
    </row>
    <row r="34" ht="15.75" customHeight="1">
      <c r="A34" s="17" t="s">
        <v>104</v>
      </c>
      <c r="B34" s="29">
        <v>151.0</v>
      </c>
      <c r="C34" s="490" t="str">
        <f>VLOOKUP(A34,Jobmatch!A:F,2,0)</f>
        <v>COORDENADOR DE LEGAIZAÇÃO ll</v>
      </c>
      <c r="D34" s="490" t="str">
        <f>VLOOKUP(B34,'Folha de Pagamento'!B:G,6,0)</f>
        <v>Legalização </v>
      </c>
      <c r="E34" s="491" t="str">
        <f>VLOOKUP(A34,Jobmatch!A:F,4,0)</f>
        <v>35 - ADM PROJETOS</v>
      </c>
      <c r="F34" s="490" t="str">
        <f>VLOOKUP(A34,Jobmatch!A:F,5,0)</f>
        <v>Tático</v>
      </c>
      <c r="G34" s="492">
        <f>VLOOKUP(B34,'Folha de Pagamento'!B:N,13,0)</f>
        <v>45900</v>
      </c>
      <c r="H34" s="493">
        <f t="shared" si="1"/>
        <v>0.5150684932</v>
      </c>
      <c r="I34" s="494">
        <f>VLOOKUP(A34,Jobmatch!A:G,6,0)</f>
        <v>1203</v>
      </c>
      <c r="J34" s="491" t="str">
        <f>VLOOKUP(A34,Jobmatch!A:H,7,0)</f>
        <v>Coordenador de Legalização</v>
      </c>
      <c r="K34" s="495" t="str">
        <f>VLOOKUP(A34,Jobmatch!A:I,8,0)</f>
        <v>Indiferente</v>
      </c>
      <c r="L34" s="496" t="str">
        <f t="shared" si="2"/>
        <v>1203Indiferente</v>
      </c>
      <c r="M34" s="497">
        <f>IFERROR(VLOOKUP(B34,'Folha de Pagamento'!B:J,9,0),"")</f>
        <v>8647</v>
      </c>
      <c r="N34" s="498">
        <f>IFERROR(VLOOKUP(L34,'C-01'!$D:$L,4,0),"")</f>
        <v>8694.57</v>
      </c>
      <c r="O34" s="499">
        <f>IFERROR(VLOOKUP(L34,'C-01'!$D:$L,5,0),"")</f>
        <v>8783.31</v>
      </c>
      <c r="P34" s="499">
        <f>IFERROR(VLOOKUP(L34,'C-01'!$D:$L,6,0),"")</f>
        <v>8872.04</v>
      </c>
      <c r="Q34" s="499">
        <f>IFERROR(VLOOKUP(L34,'C-01'!$D:$L,7,0),"")</f>
        <v>8872.04</v>
      </c>
      <c r="R34" s="499">
        <f>IFERROR(VLOOKUP(L34,'C-01'!$D:$L,8,0),"")</f>
        <v>8960.78</v>
      </c>
      <c r="S34" s="498">
        <f>IFERROR(VLOOKUP(L34,'C-01'!$D:$L,9,0),"")</f>
        <v>9049.51</v>
      </c>
      <c r="T34" s="500">
        <f>IFS('Painel Geral'!$B$5="Mediana",IFERROR(IF(OR(M34="",Q34=0,Q34=""),"",($M34/$Q34)),""),'Painel Geral'!$B$5="Menor Salário",IFERROR(IF(OR(M34="",Q34=0,Q34=""),"",($M34/$N34)),""),'Painel Geral'!$B$5="1º Quartil",IFERROR(IF(OR(M34="",Q34=0,Q34=""),"",($M34/$O34)),""),'Painel Geral'!$B$5="Média",IFERROR(IF(OR(M34="",Q34=0,Q34=""),"",($M34/$P34)),""),'Painel Geral'!$B$5="3º Quartil",IFERROR(IF(OR(M34="",Q34=0,Q34=""),"",($M34/$R34)),""),'Painel Geral'!$B$5="Maior Salário",IFERROR(IF(OR(M34="",Q34=0,Q34=""),"",($M34/$S34)),""))</f>
        <v>0.9746349205</v>
      </c>
      <c r="U34" s="491" t="str">
        <f t="shared" si="3"/>
        <v>Na Média</v>
      </c>
      <c r="V34" s="501">
        <f>VLOOKUP(A34,'Cálculos Comparativos'!$A:$E,4,0)</f>
        <v>7</v>
      </c>
    </row>
    <row r="35" ht="15.75" customHeight="1">
      <c r="A35" s="17" t="s">
        <v>106</v>
      </c>
      <c r="B35" s="29">
        <v>1911.0</v>
      </c>
      <c r="C35" s="490" t="str">
        <f>VLOOKUP(A35,Jobmatch!A:F,2,0)</f>
        <v>COORDENADOR DE MARKETING II</v>
      </c>
      <c r="D35" s="490" t="str">
        <f>VLOOKUP(B35,'Folha de Pagamento'!B:G,6,0)</f>
        <v>Marketing</v>
      </c>
      <c r="E35" s="491" t="str">
        <f>VLOOKUP(A35,Jobmatch!A:F,4,0)</f>
        <v>36 - ADM PROJETOS</v>
      </c>
      <c r="F35" s="490" t="str">
        <f>VLOOKUP(A35,Jobmatch!A:F,5,0)</f>
        <v>Tático</v>
      </c>
      <c r="G35" s="492">
        <f>VLOOKUP(B35,'Folha de Pagamento'!B:N,13,0)</f>
        <v>45870</v>
      </c>
      <c r="H35" s="493">
        <f t="shared" si="1"/>
        <v>0.597260274</v>
      </c>
      <c r="I35" s="494">
        <f>VLOOKUP(A35,Jobmatch!A:G,6,0)</f>
        <v>56</v>
      </c>
      <c r="J35" s="491" t="str">
        <f>VLOOKUP(A35,Jobmatch!A:H,7,0)</f>
        <v>Coordenador de Marketing</v>
      </c>
      <c r="K35" s="495" t="str">
        <f>VLOOKUP(A35,Jobmatch!A:I,8,0)</f>
        <v>Indiferente</v>
      </c>
      <c r="L35" s="496" t="str">
        <f t="shared" si="2"/>
        <v>56Indiferente</v>
      </c>
      <c r="M35" s="497">
        <f>IFERROR(VLOOKUP(B35,'Folha de Pagamento'!B:J,9,0),"")</f>
        <v>8647</v>
      </c>
      <c r="N35" s="498">
        <f>IFERROR(VLOOKUP(L35,'C-01'!$D:$L,4,0),"")</f>
        <v>5322.81</v>
      </c>
      <c r="O35" s="499">
        <f>IFERROR(VLOOKUP(L35,'C-01'!$D:$L,5,0),"")</f>
        <v>7141.59</v>
      </c>
      <c r="P35" s="499">
        <f>IFERROR(VLOOKUP(L35,'C-01'!$D:$L,6,0),"")</f>
        <v>7927.07</v>
      </c>
      <c r="Q35" s="499">
        <f>IFERROR(VLOOKUP(L35,'C-01'!$D:$L,7,0),"")</f>
        <v>7958.59</v>
      </c>
      <c r="R35" s="499">
        <f>IFERROR(VLOOKUP(L35,'C-01'!$D:$L,8,0),"")</f>
        <v>8825.19</v>
      </c>
      <c r="S35" s="498">
        <f>IFERROR(VLOOKUP(L35,'C-01'!$D:$L,9,0),"")</f>
        <v>10531.61</v>
      </c>
      <c r="T35" s="500">
        <f>IFS('Painel Geral'!$B$5="Mediana",IFERROR(IF(OR(M35="",Q35=0,Q35=""),"",($M35/$Q35)),""),'Painel Geral'!$B$5="Menor Salário",IFERROR(IF(OR(M35="",Q35=0,Q35=""),"",($M35/$N35)),""),'Painel Geral'!$B$5="1º Quartil",IFERROR(IF(OR(M35="",Q35=0,Q35=""),"",($M35/$O35)),""),'Painel Geral'!$B$5="Média",IFERROR(IF(OR(M35="",Q35=0,Q35=""),"",($M35/$P35)),""),'Painel Geral'!$B$5="3º Quartil",IFERROR(IF(OR(M35="",Q35=0,Q35=""),"",($M35/$R35)),""),'Painel Geral'!$B$5="Maior Salário",IFERROR(IF(OR(M35="",Q35=0,Q35=""),"",($M35/$S35)),""))</f>
        <v>1.08649899</v>
      </c>
      <c r="U35" s="491" t="str">
        <f t="shared" si="3"/>
        <v>Competitivo</v>
      </c>
      <c r="V35" s="501">
        <f>VLOOKUP(A35,'Cálculos Comparativos'!$A:$E,4,0)</f>
        <v>8</v>
      </c>
    </row>
    <row r="36" ht="15.75" customHeight="1">
      <c r="A36" s="17" t="s">
        <v>109</v>
      </c>
      <c r="B36" s="29">
        <v>1452.0</v>
      </c>
      <c r="C36" s="490" t="str">
        <f>VLOOKUP(A36,Jobmatch!A:F,2,0)</f>
        <v>COORDENADOR DE OBRAS</v>
      </c>
      <c r="D36" s="490" t="str">
        <f>VLOOKUP(B36,'Folha de Pagamento'!B:G,6,0)</f>
        <v>Edificação</v>
      </c>
      <c r="E36" s="491" t="str">
        <f>VLOOKUP(A36,Jobmatch!A:F,4,0)</f>
        <v>37 - ADM PROJETOS</v>
      </c>
      <c r="F36" s="490" t="str">
        <f>VLOOKUP(A36,Jobmatch!A:F,5,0)</f>
        <v>Tático</v>
      </c>
      <c r="G36" s="492">
        <f>VLOOKUP(B36,'Folha de Pagamento'!B:N,13,0)</f>
        <v>45871</v>
      </c>
      <c r="H36" s="493">
        <f t="shared" si="1"/>
        <v>0.5945205479</v>
      </c>
      <c r="I36" s="494">
        <f>VLOOKUP(A36,Jobmatch!A:G,6,0)</f>
        <v>209</v>
      </c>
      <c r="J36" s="491" t="str">
        <f>VLOOKUP(A36,Jobmatch!A:H,7,0)</f>
        <v>Coordenador de Obras</v>
      </c>
      <c r="K36" s="495" t="str">
        <f>VLOOKUP(A36,Jobmatch!A:I,8,0)</f>
        <v>Indiferente</v>
      </c>
      <c r="L36" s="496" t="str">
        <f t="shared" si="2"/>
        <v>209Indiferente</v>
      </c>
      <c r="M36" s="497">
        <f>IFERROR(VLOOKUP(B36,'Folha de Pagamento'!B:J,9,0),"")</f>
        <v>8714</v>
      </c>
      <c r="N36" s="498">
        <f>IFERROR(VLOOKUP(L36,'C-01'!$D:$L,4,0),"")</f>
        <v>5595.62</v>
      </c>
      <c r="O36" s="499">
        <f>IFERROR(VLOOKUP(L36,'C-01'!$D:$L,5,0),"")</f>
        <v>10017.83</v>
      </c>
      <c r="P36" s="499">
        <f>IFERROR(VLOOKUP(L36,'C-01'!$D:$L,6,0),"")</f>
        <v>16217.22</v>
      </c>
      <c r="Q36" s="499">
        <f>IFERROR(VLOOKUP(L36,'C-01'!$D:$L,7,0),"")</f>
        <v>16164.64</v>
      </c>
      <c r="R36" s="499">
        <f>IFERROR(VLOOKUP(L36,'C-01'!$D:$L,8,0),"")</f>
        <v>23908.2</v>
      </c>
      <c r="S36" s="498">
        <f>IFERROR(VLOOKUP(L36,'C-01'!$D:$L,9,0),"")</f>
        <v>23908.2</v>
      </c>
      <c r="T36" s="500">
        <f>IFS('Painel Geral'!$B$5="Mediana",IFERROR(IF(OR(M36="",Q36=0,Q36=""),"",($M36/$Q36)),""),'Painel Geral'!$B$5="Menor Salário",IFERROR(IF(OR(M36="",Q36=0,Q36=""),"",($M36/$N36)),""),'Painel Geral'!$B$5="1º Quartil",IFERROR(IF(OR(M36="",Q36=0,Q36=""),"",($M36/$O36)),""),'Painel Geral'!$B$5="Média",IFERROR(IF(OR(M36="",Q36=0,Q36=""),"",($M36/$P36)),""),'Painel Geral'!$B$5="3º Quartil",IFERROR(IF(OR(M36="",Q36=0,Q36=""),"",($M36/$R36)),""),'Painel Geral'!$B$5="Maior Salário",IFERROR(IF(OR(M36="",Q36=0,Q36=""),"",($M36/$S36)),""))</f>
        <v>0.5390778885</v>
      </c>
      <c r="U36" s="491" t="str">
        <f t="shared" si="3"/>
        <v>Muito Defasado</v>
      </c>
      <c r="V36" s="501">
        <f>VLOOKUP(A36,'Cálculos Comparativos'!$A:$E,4,0)</f>
        <v>5</v>
      </c>
    </row>
    <row r="37" ht="15.75" customHeight="1">
      <c r="A37" s="17" t="s">
        <v>112</v>
      </c>
      <c r="B37" s="29" t="s">
        <v>113</v>
      </c>
      <c r="C37" s="490" t="str">
        <f>VLOOKUP(A37,Jobmatch!A:F,2,0)</f>
        <v>COORDENADOR DE SUPRIMENTOS</v>
      </c>
      <c r="D37" s="490" t="str">
        <f>VLOOKUP(B37,'Folha de Pagamento'!B:G,6,0)</f>
        <v>Suprimentos </v>
      </c>
      <c r="E37" s="491" t="str">
        <f>VLOOKUP(A37,Jobmatch!A:F,4,0)</f>
        <v>38 - ADM PROJETOS</v>
      </c>
      <c r="F37" s="490" t="str">
        <f>VLOOKUP(A37,Jobmatch!A:F,5,0)</f>
        <v>Tático</v>
      </c>
      <c r="G37" s="492">
        <f>VLOOKUP(B37,'Folha de Pagamento'!B:N,13,0)</f>
        <v>45872</v>
      </c>
      <c r="H37" s="493">
        <f t="shared" si="1"/>
        <v>0.5917808219</v>
      </c>
      <c r="I37" s="494">
        <f>VLOOKUP(A37,Jobmatch!A:G,6,0)</f>
        <v>137</v>
      </c>
      <c r="J37" s="491" t="str">
        <f>VLOOKUP(A37,Jobmatch!A:H,7,0)</f>
        <v>Coordenador de Compras</v>
      </c>
      <c r="K37" s="495" t="str">
        <f>VLOOKUP(A37,Jobmatch!A:I,8,0)</f>
        <v>Indiferente</v>
      </c>
      <c r="L37" s="496" t="str">
        <f t="shared" si="2"/>
        <v>137Indiferente</v>
      </c>
      <c r="M37" s="497">
        <f>IFERROR(VLOOKUP(B37,'Folha de Pagamento'!B:J,9,0),"")</f>
        <v>10596.02649</v>
      </c>
      <c r="N37" s="498">
        <f>IFERROR(VLOOKUP(L37,'C-01'!$D:$L,4,0),"")</f>
        <v>10055.02</v>
      </c>
      <c r="O37" s="499">
        <f>IFERROR(VLOOKUP(L37,'C-01'!$D:$L,5,0),"")</f>
        <v>10557.77</v>
      </c>
      <c r="P37" s="499">
        <f>IFERROR(VLOOKUP(L37,'C-01'!$D:$L,6,0),"")</f>
        <v>13345.69</v>
      </c>
      <c r="Q37" s="499">
        <f>IFERROR(VLOOKUP(L37,'C-01'!$D:$L,7,0),"")</f>
        <v>11060.52</v>
      </c>
      <c r="R37" s="499">
        <f>IFERROR(VLOOKUP(L37,'C-01'!$D:$L,8,0),"")</f>
        <v>14991.02</v>
      </c>
      <c r="S37" s="498">
        <f>IFERROR(VLOOKUP(L37,'C-01'!$D:$L,9,0),"")</f>
        <v>18921.53</v>
      </c>
      <c r="T37" s="500">
        <f>IFS('Painel Geral'!$B$5="Mediana",IFERROR(IF(OR(M37="",Q37=0,Q37=""),"",($M37/$Q37)),""),'Painel Geral'!$B$5="Menor Salário",IFERROR(IF(OR(M37="",Q37=0,Q37=""),"",($M37/$N37)),""),'Painel Geral'!$B$5="1º Quartil",IFERROR(IF(OR(M37="",Q37=0,Q37=""),"",($M37/$O37)),""),'Painel Geral'!$B$5="Média",IFERROR(IF(OR(M37="",Q37=0,Q37=""),"",($M37/$P37)),""),'Painel Geral'!$B$5="3º Quartil",IFERROR(IF(OR(M37="",Q37=0,Q37=""),"",($M37/$R37)),""),'Painel Geral'!$B$5="Maior Salário",IFERROR(IF(OR(M37="",Q37=0,Q37=""),"",($M37/$S37)),""))</f>
        <v>0.9580043696</v>
      </c>
      <c r="U37" s="491" t="str">
        <f t="shared" si="3"/>
        <v>Na Média</v>
      </c>
      <c r="V37" s="501">
        <f>VLOOKUP(A37,'Cálculos Comparativos'!$A:$E,4,0)</f>
        <v>1</v>
      </c>
    </row>
    <row r="38" ht="15.75" customHeight="1">
      <c r="A38" s="17" t="s">
        <v>115</v>
      </c>
      <c r="B38" s="29" t="s">
        <v>116</v>
      </c>
      <c r="C38" s="490" t="str">
        <f>VLOOKUP(A38,Jobmatch!A:F,2,0)</f>
        <v>COORDENADOR FINANCEIRO</v>
      </c>
      <c r="D38" s="490" t="str">
        <f>VLOOKUP(B38,'Folha de Pagamento'!B:G,6,0)</f>
        <v>Financeiro</v>
      </c>
      <c r="E38" s="491" t="str">
        <f>VLOOKUP(A38,Jobmatch!A:F,4,0)</f>
        <v>39 - ADM PROJETOS</v>
      </c>
      <c r="F38" s="490" t="str">
        <f>VLOOKUP(A38,Jobmatch!A:F,5,0)</f>
        <v>Tático</v>
      </c>
      <c r="G38" s="492">
        <f>VLOOKUP(B38,'Folha de Pagamento'!B:N,13,0)</f>
        <v>45873</v>
      </c>
      <c r="H38" s="493">
        <f t="shared" si="1"/>
        <v>0.5890410959</v>
      </c>
      <c r="I38" s="494">
        <f>VLOOKUP(A38,Jobmatch!A:G,6,0)</f>
        <v>122</v>
      </c>
      <c r="J38" s="491" t="str">
        <f>VLOOKUP(A38,Jobmatch!A:H,7,0)</f>
        <v>Coordenador Financeiro</v>
      </c>
      <c r="K38" s="495" t="str">
        <f>VLOOKUP(A38,Jobmatch!A:I,8,0)</f>
        <v>Indiferente</v>
      </c>
      <c r="L38" s="496" t="str">
        <f t="shared" si="2"/>
        <v>122Indiferente</v>
      </c>
      <c r="M38" s="497">
        <f>IFERROR(VLOOKUP(B38,'Folha de Pagamento'!B:J,9,0),"")</f>
        <v>7947.019868</v>
      </c>
      <c r="N38" s="498">
        <f>IFERROR(VLOOKUP(L38,'C-01'!$D:$L,4,0),"")</f>
        <v>5281.61</v>
      </c>
      <c r="O38" s="499">
        <f>IFERROR(VLOOKUP(L38,'C-01'!$D:$L,5,0),"")</f>
        <v>6325.01</v>
      </c>
      <c r="P38" s="499">
        <f>IFERROR(VLOOKUP(L38,'C-01'!$D:$L,6,0),"")</f>
        <v>7452.59</v>
      </c>
      <c r="Q38" s="499">
        <f>IFERROR(VLOOKUP(L38,'C-01'!$D:$L,7,0),"")</f>
        <v>7558.57</v>
      </c>
      <c r="R38" s="499">
        <f>IFERROR(VLOOKUP(L38,'C-01'!$D:$L,8,0),"")</f>
        <v>8691.7</v>
      </c>
      <c r="S38" s="498">
        <f>IFERROR(VLOOKUP(L38,'C-01'!$D:$L,9,0),"")</f>
        <v>9982.25</v>
      </c>
      <c r="T38" s="500">
        <f>IFS('Painel Geral'!$B$5="Mediana",IFERROR(IF(OR(M38="",Q38=0,Q38=""),"",($M38/$Q38)),""),'Painel Geral'!$B$5="Menor Salário",IFERROR(IF(OR(M38="",Q38=0,Q38=""),"",($M38/$N38)),""),'Painel Geral'!$B$5="1º Quartil",IFERROR(IF(OR(M38="",Q38=0,Q38=""),"",($M38/$O38)),""),'Painel Geral'!$B$5="Média",IFERROR(IF(OR(M38="",Q38=0,Q38=""),"",($M38/$P38)),""),'Painel Geral'!$B$5="3º Quartil",IFERROR(IF(OR(M38="",Q38=0,Q38=""),"",($M38/$R38)),""),'Painel Geral'!$B$5="Maior Salário",IFERROR(IF(OR(M38="",Q38=0,Q38=""),"",($M38/$S38)),""))</f>
        <v>1.051391979</v>
      </c>
      <c r="U38" s="491" t="str">
        <f t="shared" si="3"/>
        <v>Competitivo</v>
      </c>
      <c r="V38" s="501">
        <f>VLOOKUP(A38,'Cálculos Comparativos'!$A:$E,4,0)</f>
        <v>6</v>
      </c>
    </row>
    <row r="39" ht="15.75" customHeight="1">
      <c r="A39" s="17" t="s">
        <v>118</v>
      </c>
      <c r="B39" s="29" t="s">
        <v>119</v>
      </c>
      <c r="C39" s="490" t="str">
        <f>VLOOKUP(A39,Jobmatch!A:F,2,0)</f>
        <v>DIRETOR</v>
      </c>
      <c r="D39" s="490" t="str">
        <f>VLOOKUP(B39,'Folha de Pagamento'!B:G,6,0)</f>
        <v>Comercial</v>
      </c>
      <c r="E39" s="491" t="str">
        <f>VLOOKUP(A39,Jobmatch!A:F,4,0)</f>
        <v>40 - ADM PROJETOS</v>
      </c>
      <c r="F39" s="490" t="str">
        <f>VLOOKUP(A39,Jobmatch!A:F,5,0)</f>
        <v>Estratégico</v>
      </c>
      <c r="G39" s="492">
        <f>VLOOKUP(B39,'Folha de Pagamento'!B:N,13,0)</f>
        <v>45874</v>
      </c>
      <c r="H39" s="493">
        <f t="shared" si="1"/>
        <v>0.5863013699</v>
      </c>
      <c r="I39" s="494">
        <f>VLOOKUP(A39,Jobmatch!A:G,6,0)</f>
        <v>456</v>
      </c>
      <c r="J39" s="491" t="str">
        <f>VLOOKUP(A39,Jobmatch!A:H,7,0)</f>
        <v>CEO</v>
      </c>
      <c r="K39" s="495" t="str">
        <f>VLOOKUP(A39,Jobmatch!A:I,8,0)</f>
        <v>Indiferente</v>
      </c>
      <c r="L39" s="496" t="str">
        <f t="shared" si="2"/>
        <v>456Indiferente</v>
      </c>
      <c r="M39" s="497">
        <f>IFERROR(VLOOKUP(B39,'Folha de Pagamento'!B:J,9,0),"")</f>
        <v>55769.23077</v>
      </c>
      <c r="N39" s="498">
        <f>IFERROR(VLOOKUP(L39,'C-01'!$D:$L,4,0),"")</f>
        <v>18287.31</v>
      </c>
      <c r="O39" s="499">
        <f>IFERROR(VLOOKUP(L39,'C-01'!$D:$L,5,0),"")</f>
        <v>24816.78</v>
      </c>
      <c r="P39" s="499">
        <f>IFERROR(VLOOKUP(L39,'C-01'!$D:$L,6,0),"")</f>
        <v>32648.36</v>
      </c>
      <c r="Q39" s="499">
        <f>IFERROR(VLOOKUP(L39,'C-01'!$D:$L,7,0),"")</f>
        <v>29147.75</v>
      </c>
      <c r="R39" s="499">
        <f>IFERROR(VLOOKUP(L39,'C-01'!$D:$L,8,0),"")</f>
        <v>37122.89</v>
      </c>
      <c r="S39" s="498">
        <f>IFERROR(VLOOKUP(L39,'C-01'!$D:$L,9,0),"")</f>
        <v>55429.54</v>
      </c>
      <c r="T39" s="500">
        <f>IFS('Painel Geral'!$B$5="Mediana",IFERROR(IF(OR(M39="",Q39=0,Q39=""),"",($M39/$Q39)),""),'Painel Geral'!$B$5="Menor Salário",IFERROR(IF(OR(M39="",Q39=0,Q39=""),"",($M39/$N39)),""),'Painel Geral'!$B$5="1º Quartil",IFERROR(IF(OR(M39="",Q39=0,Q39=""),"",($M39/$O39)),""),'Painel Geral'!$B$5="Média",IFERROR(IF(OR(M39="",Q39=0,Q39=""),"",($M39/$P39)),""),'Painel Geral'!$B$5="3º Quartil",IFERROR(IF(OR(M39="",Q39=0,Q39=""),"",($M39/$R39)),""),'Painel Geral'!$B$5="Maior Salário",IFERROR(IF(OR(M39="",Q39=0,Q39=""),"",($M39/$S39)),""))</f>
        <v>1.913328843</v>
      </c>
      <c r="U39" s="491" t="str">
        <f t="shared" si="3"/>
        <v>Agressivo</v>
      </c>
      <c r="V39" s="501">
        <f>VLOOKUP(A39,'Cálculos Comparativos'!$A:$E,4,0)</f>
        <v>2</v>
      </c>
    </row>
    <row r="40" ht="15.75" customHeight="1">
      <c r="A40" s="17" t="s">
        <v>123</v>
      </c>
      <c r="B40" s="29">
        <v>132.0</v>
      </c>
      <c r="C40" s="490" t="str">
        <f>VLOOKUP(A40,Jobmatch!A:F,2,0)</f>
        <v>ENCARREGADO DE OBRAS</v>
      </c>
      <c r="D40" s="490" t="str">
        <f>VLOOKUP(B40,'Folha de Pagamento'!B:G,6,0)</f>
        <v>Urbanismo</v>
      </c>
      <c r="E40" s="491" t="str">
        <f>VLOOKUP(A40,Jobmatch!A:F,4,0)</f>
        <v>41 - ADM PROJETOS</v>
      </c>
      <c r="F40" s="490" t="str">
        <f>VLOOKUP(A40,Jobmatch!A:F,5,0)</f>
        <v>Operacional</v>
      </c>
      <c r="G40" s="492">
        <f>VLOOKUP(B40,'Folha de Pagamento'!B:N,13,0)</f>
        <v>45875</v>
      </c>
      <c r="H40" s="493">
        <f t="shared" si="1"/>
        <v>0.5835616438</v>
      </c>
      <c r="I40" s="494">
        <f>VLOOKUP(A40,Jobmatch!A:G,6,0)</f>
        <v>470</v>
      </c>
      <c r="J40" s="491" t="str">
        <f>VLOOKUP(A40,Jobmatch!A:H,7,0)</f>
        <v>Mestre de Obras</v>
      </c>
      <c r="K40" s="495" t="str">
        <f>VLOOKUP(A40,Jobmatch!A:I,8,0)</f>
        <v>Indiferente</v>
      </c>
      <c r="L40" s="496" t="str">
        <f t="shared" si="2"/>
        <v>470Indiferente</v>
      </c>
      <c r="M40" s="497">
        <f>IFERROR(VLOOKUP(B40,'Folha de Pagamento'!B:J,9,0),"")</f>
        <v>8461</v>
      </c>
      <c r="N40" s="498">
        <f>IFERROR(VLOOKUP(L40,'C-01'!$D:$L,4,0),"")</f>
        <v>5530.26</v>
      </c>
      <c r="O40" s="499">
        <f>IFERROR(VLOOKUP(L40,'C-01'!$D:$L,5,0),"")</f>
        <v>5530.26</v>
      </c>
      <c r="P40" s="499">
        <f>IFERROR(VLOOKUP(L40,'C-01'!$D:$L,6,0),"")</f>
        <v>7689.13</v>
      </c>
      <c r="Q40" s="499">
        <f>IFERROR(VLOOKUP(L40,'C-01'!$D:$L,7,0),"")</f>
        <v>7460.82</v>
      </c>
      <c r="R40" s="499">
        <f>IFERROR(VLOOKUP(L40,'C-01'!$D:$L,8,0),"")</f>
        <v>9785.54</v>
      </c>
      <c r="S40" s="498">
        <f>IFERROR(VLOOKUP(L40,'C-01'!$D:$L,9,0),"")</f>
        <v>11138.95</v>
      </c>
      <c r="T40" s="500">
        <f>IFS('Painel Geral'!$B$5="Mediana",IFERROR(IF(OR(M40="",Q40=0,Q40=""),"",($M40/$Q40)),""),'Painel Geral'!$B$5="Menor Salário",IFERROR(IF(OR(M40="",Q40=0,Q40=""),"",($M40/$N40)),""),'Painel Geral'!$B$5="1º Quartil",IFERROR(IF(OR(M40="",Q40=0,Q40=""),"",($M40/$O40)),""),'Painel Geral'!$B$5="Média",IFERROR(IF(OR(M40="",Q40=0,Q40=""),"",($M40/$P40)),""),'Painel Geral'!$B$5="3º Quartil",IFERROR(IF(OR(M40="",Q40=0,Q40=""),"",($M40/$R40)),""),'Painel Geral'!$B$5="Maior Salário",IFERROR(IF(OR(M40="",Q40=0,Q40=""),"",($M40/$S40)),""))</f>
        <v>1.13405765</v>
      </c>
      <c r="U40" s="491" t="str">
        <f t="shared" si="3"/>
        <v>Muito Competitivo</v>
      </c>
      <c r="V40" s="501">
        <f>VLOOKUP(A40,'Cálculos Comparativos'!$A:$E,4,0)</f>
        <v>10</v>
      </c>
    </row>
    <row r="41" ht="15.75" customHeight="1">
      <c r="A41" s="17" t="s">
        <v>123</v>
      </c>
      <c r="B41" s="29">
        <v>182.0</v>
      </c>
      <c r="C41" s="490" t="str">
        <f>VLOOKUP(A41,Jobmatch!A:F,2,0)</f>
        <v>ENCARREGADO DE OBRAS</v>
      </c>
      <c r="D41" s="490" t="str">
        <f>VLOOKUP(B41,'Folha de Pagamento'!B:G,6,0)</f>
        <v>Urbanismo</v>
      </c>
      <c r="E41" s="491" t="str">
        <f>VLOOKUP(A41,Jobmatch!A:F,4,0)</f>
        <v>41 - ADM PROJETOS</v>
      </c>
      <c r="F41" s="490" t="str">
        <f>VLOOKUP(A41,Jobmatch!A:F,5,0)</f>
        <v>Operacional</v>
      </c>
      <c r="G41" s="492">
        <f>VLOOKUP(B41,'Folha de Pagamento'!B:N,13,0)</f>
        <v>45876</v>
      </c>
      <c r="H41" s="493">
        <f t="shared" si="1"/>
        <v>0.5808219178</v>
      </c>
      <c r="I41" s="494">
        <f>VLOOKUP(A41,Jobmatch!A:G,6,0)</f>
        <v>470</v>
      </c>
      <c r="J41" s="491" t="str">
        <f>VLOOKUP(A41,Jobmatch!A:H,7,0)</f>
        <v>Mestre de Obras</v>
      </c>
      <c r="K41" s="495" t="str">
        <f>VLOOKUP(A41,Jobmatch!A:I,8,0)</f>
        <v>Indiferente</v>
      </c>
      <c r="L41" s="496" t="str">
        <f t="shared" si="2"/>
        <v>470Indiferente</v>
      </c>
      <c r="M41" s="497">
        <f>IFERROR(VLOOKUP(B41,'Folha de Pagamento'!B:J,9,0),"")</f>
        <v>11540</v>
      </c>
      <c r="N41" s="498">
        <f>IFERROR(VLOOKUP(L41,'C-01'!$D:$L,4,0),"")</f>
        <v>5530.26</v>
      </c>
      <c r="O41" s="499">
        <f>IFERROR(VLOOKUP(L41,'C-01'!$D:$L,5,0),"")</f>
        <v>5530.26</v>
      </c>
      <c r="P41" s="499">
        <f>IFERROR(VLOOKUP(L41,'C-01'!$D:$L,6,0),"")</f>
        <v>7689.13</v>
      </c>
      <c r="Q41" s="499">
        <f>IFERROR(VLOOKUP(L41,'C-01'!$D:$L,7,0),"")</f>
        <v>7460.82</v>
      </c>
      <c r="R41" s="499">
        <f>IFERROR(VLOOKUP(L41,'C-01'!$D:$L,8,0),"")</f>
        <v>9785.54</v>
      </c>
      <c r="S41" s="498">
        <f>IFERROR(VLOOKUP(L41,'C-01'!$D:$L,9,0),"")</f>
        <v>11138.95</v>
      </c>
      <c r="T41" s="500">
        <f>IFS('Painel Geral'!$B$5="Mediana",IFERROR(IF(OR(M41="",Q41=0,Q41=""),"",($M41/$Q41)),""),'Painel Geral'!$B$5="Menor Salário",IFERROR(IF(OR(M41="",Q41=0,Q41=""),"",($M41/$N41)),""),'Painel Geral'!$B$5="1º Quartil",IFERROR(IF(OR(M41="",Q41=0,Q41=""),"",($M41/$O41)),""),'Painel Geral'!$B$5="Média",IFERROR(IF(OR(M41="",Q41=0,Q41=""),"",($M41/$P41)),""),'Painel Geral'!$B$5="3º Quartil",IFERROR(IF(OR(M41="",Q41=0,Q41=""),"",($M41/$R41)),""),'Painel Geral'!$B$5="Maior Salário",IFERROR(IF(OR(M41="",Q41=0,Q41=""),"",($M41/$S41)),""))</f>
        <v>1.546746872</v>
      </c>
      <c r="U41" s="491" t="str">
        <f t="shared" si="3"/>
        <v>Agressivo</v>
      </c>
      <c r="V41" s="501">
        <f>VLOOKUP(A41,'Cálculos Comparativos'!$A:$E,4,0)</f>
        <v>10</v>
      </c>
    </row>
    <row r="42" ht="15.75" customHeight="1">
      <c r="A42" s="17" t="s">
        <v>125</v>
      </c>
      <c r="B42" s="29">
        <v>1351.0</v>
      </c>
      <c r="C42" s="490" t="str">
        <f>VLOOKUP(A42,Jobmatch!A:F,2,0)</f>
        <v>ENCARREGADO OBRAS/MANUTENCAO</v>
      </c>
      <c r="D42" s="490" t="str">
        <f>VLOOKUP(B42,'Folha de Pagamento'!B:G,6,0)</f>
        <v>Edificação</v>
      </c>
      <c r="E42" s="491" t="str">
        <f>VLOOKUP(A42,Jobmatch!A:F,4,0)</f>
        <v>42 - ADM PROJETOS</v>
      </c>
      <c r="F42" s="490" t="str">
        <f>VLOOKUP(A42,Jobmatch!A:F,5,0)</f>
        <v>Operacional</v>
      </c>
      <c r="G42" s="492" t="str">
        <f>VLOOKUP(B42,'Folha de Pagamento'!B:N,13,0)</f>
        <v/>
      </c>
      <c r="H42" s="493">
        <f t="shared" si="1"/>
        <v>126.2684932</v>
      </c>
      <c r="I42" s="494">
        <f>VLOOKUP(A42,Jobmatch!A:G,6,0)</f>
        <v>470</v>
      </c>
      <c r="J42" s="491" t="str">
        <f>VLOOKUP(A42,Jobmatch!A:H,7,0)</f>
        <v>Mestre de Obras</v>
      </c>
      <c r="K42" s="495" t="str">
        <f>VLOOKUP(A42,Jobmatch!A:I,8,0)</f>
        <v>Indiferente</v>
      </c>
      <c r="L42" s="496" t="str">
        <f t="shared" si="2"/>
        <v>470Indiferente</v>
      </c>
      <c r="M42" s="497">
        <f>IFERROR(VLOOKUP(B42,'Folha de Pagamento'!B:J,9,0),"")</f>
        <v>8714</v>
      </c>
      <c r="N42" s="498">
        <f>IFERROR(VLOOKUP(L42,'C-01'!$D:$L,4,0),"")</f>
        <v>5530.26</v>
      </c>
      <c r="O42" s="499">
        <f>IFERROR(VLOOKUP(L42,'C-01'!$D:$L,5,0),"")</f>
        <v>5530.26</v>
      </c>
      <c r="P42" s="499">
        <f>IFERROR(VLOOKUP(L42,'C-01'!$D:$L,6,0),"")</f>
        <v>7689.13</v>
      </c>
      <c r="Q42" s="499">
        <f>IFERROR(VLOOKUP(L42,'C-01'!$D:$L,7,0),"")</f>
        <v>7460.82</v>
      </c>
      <c r="R42" s="499">
        <f>IFERROR(VLOOKUP(L42,'C-01'!$D:$L,8,0),"")</f>
        <v>9785.54</v>
      </c>
      <c r="S42" s="498">
        <f>IFERROR(VLOOKUP(L42,'C-01'!$D:$L,9,0),"")</f>
        <v>11138.95</v>
      </c>
      <c r="T42" s="500">
        <f>IFS('Painel Geral'!$B$5="Mediana",IFERROR(IF(OR(M42="",Q42=0,Q42=""),"",($M42/$Q42)),""),'Painel Geral'!$B$5="Menor Salário",IFERROR(IF(OR(M42="",Q42=0,Q42=""),"",($M42/$N42)),""),'Painel Geral'!$B$5="1º Quartil",IFERROR(IF(OR(M42="",Q42=0,Q42=""),"",($M42/$O42)),""),'Painel Geral'!$B$5="Média",IFERROR(IF(OR(M42="",Q42=0,Q42=""),"",($M42/$P42)),""),'Painel Geral'!$B$5="3º Quartil",IFERROR(IF(OR(M42="",Q42=0,Q42=""),"",($M42/$R42)),""),'Painel Geral'!$B$5="Maior Salário",IFERROR(IF(OR(M42="",Q42=0,Q42=""),"",($M42/$S42)),""))</f>
        <v>1.167968132</v>
      </c>
      <c r="U42" s="491" t="str">
        <f t="shared" si="3"/>
        <v>Muito Competitivo</v>
      </c>
      <c r="V42" s="501">
        <f>VLOOKUP(A42,'Cálculos Comparativos'!$A:$E,4,0)</f>
        <v>5</v>
      </c>
    </row>
    <row r="43" ht="15.75" customHeight="1">
      <c r="A43" s="17" t="s">
        <v>127</v>
      </c>
      <c r="B43" s="29" t="s">
        <v>128</v>
      </c>
      <c r="C43" s="490" t="str">
        <f>VLOOKUP(A43,Jobmatch!A:F,2,0)</f>
        <v>ENGENHEIRO JUNIOR DE URBANISMO</v>
      </c>
      <c r="D43" s="490" t="str">
        <f>VLOOKUP(B43,'Folha de Pagamento'!B:G,6,0)</f>
        <v>Urbanismo</v>
      </c>
      <c r="E43" s="491" t="str">
        <f>VLOOKUP(A43,Jobmatch!A:F,4,0)</f>
        <v>43 - ADM PROJETOS</v>
      </c>
      <c r="F43" s="490" t="str">
        <f>VLOOKUP(A43,Jobmatch!A:F,5,0)</f>
        <v>Operacional</v>
      </c>
      <c r="G43" s="492" t="str">
        <f>VLOOKUP(B43,'Folha de Pagamento'!B:N,13,0)</f>
        <v/>
      </c>
      <c r="H43" s="493">
        <f t="shared" si="1"/>
        <v>126.2684932</v>
      </c>
      <c r="I43" s="494">
        <f>VLOOKUP(A43,Jobmatch!A:G,6,0)</f>
        <v>212</v>
      </c>
      <c r="J43" s="491" t="str">
        <f>VLOOKUP(A43,Jobmatch!A:H,7,0)</f>
        <v>Engenheiro de Urbanismo</v>
      </c>
      <c r="K43" s="495" t="str">
        <f>VLOOKUP(A43,Jobmatch!A:I,8,0)</f>
        <v>Indiferente</v>
      </c>
      <c r="L43" s="496" t="str">
        <f t="shared" si="2"/>
        <v>212Indiferente</v>
      </c>
      <c r="M43" s="497">
        <f>IFERROR(VLOOKUP(B43,'Folha de Pagamento'!B:J,9,0),"")</f>
        <v>5630.872483</v>
      </c>
      <c r="N43" s="498">
        <f>IFERROR(VLOOKUP(L43,'C-01'!$D:$L,4,0),"")</f>
        <v>10281.25</v>
      </c>
      <c r="O43" s="499">
        <f>IFERROR(VLOOKUP(L43,'C-01'!$D:$L,5,0),"")</f>
        <v>12766.6</v>
      </c>
      <c r="P43" s="499">
        <f>IFERROR(VLOOKUP(L43,'C-01'!$D:$L,6,0),"")</f>
        <v>14293.39</v>
      </c>
      <c r="Q43" s="499">
        <f>IFERROR(VLOOKUP(L43,'C-01'!$D:$L,7,0),"")</f>
        <v>15082.52</v>
      </c>
      <c r="R43" s="499">
        <f>IFERROR(VLOOKUP(L43,'C-01'!$D:$L,8,0),"")</f>
        <v>16110.29</v>
      </c>
      <c r="S43" s="498">
        <f>IFERROR(VLOOKUP(L43,'C-01'!$D:$L,9,0),"")</f>
        <v>16164.64</v>
      </c>
      <c r="T43" s="500">
        <f>IFS('Painel Geral'!$B$5="Mediana",IFERROR(IF(OR(M43="",Q43=0,Q43=""),"",($M43/$Q43)),""),'Painel Geral'!$B$5="Menor Salário",IFERROR(IF(OR(M43="",Q43=0,Q43=""),"",($M43/$N43)),""),'Painel Geral'!$B$5="1º Quartil",IFERROR(IF(OR(M43="",Q43=0,Q43=""),"",($M43/$O43)),""),'Painel Geral'!$B$5="Média",IFERROR(IF(OR(M43="",Q43=0,Q43=""),"",($M43/$P43)),""),'Painel Geral'!$B$5="3º Quartil",IFERROR(IF(OR(M43="",Q43=0,Q43=""),"",($M43/$R43)),""),'Painel Geral'!$B$5="Maior Salário",IFERROR(IF(OR(M43="",Q43=0,Q43=""),"",($M43/$S43)),""))</f>
        <v>0.3733376441</v>
      </c>
      <c r="U43" s="491" t="str">
        <f t="shared" si="3"/>
        <v>Muito Defasado</v>
      </c>
      <c r="V43" s="501">
        <f>VLOOKUP(A43,'Cálculos Comparativos'!$A:$E,4,0)</f>
        <v>10</v>
      </c>
    </row>
    <row r="44" ht="15.75" customHeight="1">
      <c r="A44" s="17" t="s">
        <v>130</v>
      </c>
      <c r="B44" s="29" t="s">
        <v>131</v>
      </c>
      <c r="C44" s="490" t="str">
        <f>VLOOKUP(A44,Jobmatch!A:F,2,0)</f>
        <v>ENGENHEIRO SÊNIOR </v>
      </c>
      <c r="D44" s="490" t="str">
        <f>VLOOKUP(B44,'Folha de Pagamento'!B:G,6,0)</f>
        <v>Edificação</v>
      </c>
      <c r="E44" s="491" t="str">
        <f>VLOOKUP(A44,Jobmatch!A:F,4,0)</f>
        <v>44 - ADM PROJETOS</v>
      </c>
      <c r="F44" s="490" t="str">
        <f>VLOOKUP(A44,Jobmatch!A:F,5,0)</f>
        <v>Tático</v>
      </c>
      <c r="G44" s="492" t="str">
        <f>VLOOKUP(B44,'Folha de Pagamento'!B:N,13,0)</f>
        <v/>
      </c>
      <c r="H44" s="493">
        <f t="shared" si="1"/>
        <v>126.2684932</v>
      </c>
      <c r="I44" s="494">
        <f>VLOOKUP(A44,Jobmatch!A:G,6,0)</f>
        <v>212</v>
      </c>
      <c r="J44" s="491" t="str">
        <f>VLOOKUP(A44,Jobmatch!A:H,7,0)</f>
        <v>Engenheiro de Urbanismo</v>
      </c>
      <c r="K44" s="495" t="str">
        <f>VLOOKUP(A44,Jobmatch!A:I,8,0)</f>
        <v>Indiferente</v>
      </c>
      <c r="L44" s="496" t="str">
        <f t="shared" si="2"/>
        <v>212Indiferente</v>
      </c>
      <c r="M44" s="497">
        <f>IFERROR(VLOOKUP(B44,'Folha de Pagamento'!B:J,9,0),"")</f>
        <v>14393.93939</v>
      </c>
      <c r="N44" s="498">
        <f>IFERROR(VLOOKUP(L44,'C-01'!$D:$L,4,0),"")</f>
        <v>10281.25</v>
      </c>
      <c r="O44" s="499">
        <f>IFERROR(VLOOKUP(L44,'C-01'!$D:$L,5,0),"")</f>
        <v>12766.6</v>
      </c>
      <c r="P44" s="499">
        <f>IFERROR(VLOOKUP(L44,'C-01'!$D:$L,6,0),"")</f>
        <v>14293.39</v>
      </c>
      <c r="Q44" s="499">
        <f>IFERROR(VLOOKUP(L44,'C-01'!$D:$L,7,0),"")</f>
        <v>15082.52</v>
      </c>
      <c r="R44" s="499">
        <f>IFERROR(VLOOKUP(L44,'C-01'!$D:$L,8,0),"")</f>
        <v>16110.29</v>
      </c>
      <c r="S44" s="498">
        <f>IFERROR(VLOOKUP(L44,'C-01'!$D:$L,9,0),"")</f>
        <v>16164.64</v>
      </c>
      <c r="T44" s="500">
        <f>IFS('Painel Geral'!$B$5="Mediana",IFERROR(IF(OR(M44="",Q44=0,Q44=""),"",($M44/$Q44)),""),'Painel Geral'!$B$5="Menor Salário",IFERROR(IF(OR(M44="",Q44=0,Q44=""),"",($M44/$N44)),""),'Painel Geral'!$B$5="1º Quartil",IFERROR(IF(OR(M44="",Q44=0,Q44=""),"",($M44/$O44)),""),'Painel Geral'!$B$5="Média",IFERROR(IF(OR(M44="",Q44=0,Q44=""),"",($M44/$P44)),""),'Painel Geral'!$B$5="3º Quartil",IFERROR(IF(OR(M44="",Q44=0,Q44=""),"",($M44/$R44)),""),'Painel Geral'!$B$5="Maior Salário",IFERROR(IF(OR(M44="",Q44=0,Q44=""),"",($M44/$S44)),""))</f>
        <v>0.9543457853</v>
      </c>
      <c r="U44" s="491" t="str">
        <f t="shared" si="3"/>
        <v>Na Média</v>
      </c>
      <c r="V44" s="501">
        <f>VLOOKUP(A44,'Cálculos Comparativos'!$A:$E,4,0)</f>
        <v>5</v>
      </c>
    </row>
    <row r="45" ht="15.75" customHeight="1">
      <c r="A45" s="17" t="s">
        <v>133</v>
      </c>
      <c r="B45" s="29" t="s">
        <v>134</v>
      </c>
      <c r="C45" s="490" t="str">
        <f>VLOOKUP(A45,Jobmatch!A:F,2,0)</f>
        <v>ESTAGIARIO (A)</v>
      </c>
      <c r="D45" s="490" t="str">
        <f>VLOOKUP(B45,'Folha de Pagamento'!B:G,6,0)</f>
        <v>Novos Negócios</v>
      </c>
      <c r="E45" s="491" t="str">
        <f>VLOOKUP(A45,Jobmatch!A:F,4,0)</f>
        <v>45 - ADM PROJETOS</v>
      </c>
      <c r="F45" s="490" t="str">
        <f>VLOOKUP(A45,Jobmatch!A:F,5,0)</f>
        <v>Operacional</v>
      </c>
      <c r="G45" s="492" t="str">
        <f>VLOOKUP(B45,'Folha de Pagamento'!B:N,13,0)</f>
        <v/>
      </c>
      <c r="H45" s="493">
        <f t="shared" si="1"/>
        <v>126.2684932</v>
      </c>
      <c r="I45" s="494">
        <f>VLOOKUP(A45,Jobmatch!A:G,6,0)</f>
        <v>338</v>
      </c>
      <c r="J45" s="491" t="str">
        <f>VLOOKUP(A45,Jobmatch!A:H,7,0)</f>
        <v>Estagiário Administrativo</v>
      </c>
      <c r="K45" s="495" t="str">
        <f>VLOOKUP(A45,Jobmatch!A:I,8,0)</f>
        <v>Indiferente</v>
      </c>
      <c r="L45" s="496" t="str">
        <f t="shared" si="2"/>
        <v>338Indiferente</v>
      </c>
      <c r="M45" s="497">
        <f>IFERROR(VLOOKUP(B45,'Folha de Pagamento'!B:J,9,0),"")</f>
        <v>1521</v>
      </c>
      <c r="N45" s="498">
        <f>IFERROR(VLOOKUP(L45,'C-01'!$D:$L,4,0),"")</f>
        <v>1558.527273</v>
      </c>
      <c r="O45" s="499">
        <f>IFERROR(VLOOKUP(L45,'C-01'!$D:$L,5,0),"")</f>
        <v>1615.084091</v>
      </c>
      <c r="P45" s="499">
        <f>IFERROR(VLOOKUP(L45,'C-01'!$D:$L,6,0),"")</f>
        <v>1753.343182</v>
      </c>
      <c r="Q45" s="499">
        <f>IFERROR(VLOOKUP(L45,'C-01'!$D:$L,7,0),"")</f>
        <v>1721.918182</v>
      </c>
      <c r="R45" s="499">
        <f>IFERROR(VLOOKUP(L45,'C-01'!$D:$L,8,0),"")</f>
        <v>1860.177273</v>
      </c>
      <c r="S45" s="498">
        <f>IFERROR(VLOOKUP(L45,'C-01'!$D:$L,9,0),"")</f>
        <v>2011.002273</v>
      </c>
      <c r="T45" s="500">
        <f>IFS('Painel Geral'!$B$5="Mediana",IFERROR(IF(OR(M45="",Q45=0,Q45=""),"",($M45/$Q45)),""),'Painel Geral'!$B$5="Menor Salário",IFERROR(IF(OR(M45="",Q45=0,Q45=""),"",($M45/$N45)),""),'Painel Geral'!$B$5="1º Quartil",IFERROR(IF(OR(M45="",Q45=0,Q45=""),"",($M45/$O45)),""),'Painel Geral'!$B$5="Média",IFERROR(IF(OR(M45="",Q45=0,Q45=""),"",($M45/$P45)),""),'Painel Geral'!$B$5="3º Quartil",IFERROR(IF(OR(M45="",Q45=0,Q45=""),"",($M45/$R45)),""),'Painel Geral'!$B$5="Maior Salário",IFERROR(IF(OR(M45="",Q45=0,Q45=""),"",($M45/$S45)),""))</f>
        <v>0.8833172308</v>
      </c>
      <c r="U45" s="491" t="str">
        <f t="shared" si="3"/>
        <v>Defasado</v>
      </c>
      <c r="V45" s="501">
        <f>VLOOKUP(A45,'Cálculos Comparativos'!$A:$E,4,0)</f>
        <v>9</v>
      </c>
    </row>
    <row r="46" ht="15.75" customHeight="1">
      <c r="A46" s="17" t="s">
        <v>138</v>
      </c>
      <c r="B46" s="29" t="s">
        <v>139</v>
      </c>
      <c r="C46" s="490" t="str">
        <f>VLOOKUP(A46,Jobmatch!A:F,2,0)</f>
        <v>ESTAGIÁRIO(A) ADM</v>
      </c>
      <c r="D46" s="490" t="str">
        <f>VLOOKUP(B46,'Folha de Pagamento'!B:G,6,0)</f>
        <v>Administrativo</v>
      </c>
      <c r="E46" s="491" t="str">
        <f>VLOOKUP(A46,Jobmatch!A:F,4,0)</f>
        <v>46 - ADM PROJETOS</v>
      </c>
      <c r="F46" s="490" t="str">
        <f>VLOOKUP(A46,Jobmatch!A:F,5,0)</f>
        <v>Operacional</v>
      </c>
      <c r="G46" s="492" t="str">
        <f>VLOOKUP(B46,'Folha de Pagamento'!B:N,13,0)</f>
        <v/>
      </c>
      <c r="H46" s="493">
        <f t="shared" si="1"/>
        <v>126.2684932</v>
      </c>
      <c r="I46" s="494">
        <f>VLOOKUP(A46,Jobmatch!A:G,6,0)</f>
        <v>338</v>
      </c>
      <c r="J46" s="491" t="str">
        <f>VLOOKUP(A46,Jobmatch!A:H,7,0)</f>
        <v>Estagiário Administrativo</v>
      </c>
      <c r="K46" s="495" t="str">
        <f>VLOOKUP(A46,Jobmatch!A:I,8,0)</f>
        <v>Indiferente</v>
      </c>
      <c r="L46" s="496" t="str">
        <f t="shared" si="2"/>
        <v>338Indiferente</v>
      </c>
      <c r="M46" s="497">
        <f>IFERROR(VLOOKUP(B46,'Folha de Pagamento'!B:J,9,0),"")</f>
        <v>1521</v>
      </c>
      <c r="N46" s="498">
        <f>IFERROR(VLOOKUP(L46,'C-01'!$D:$L,4,0),"")</f>
        <v>1558.527273</v>
      </c>
      <c r="O46" s="499">
        <f>IFERROR(VLOOKUP(L46,'C-01'!$D:$L,5,0),"")</f>
        <v>1615.084091</v>
      </c>
      <c r="P46" s="499">
        <f>IFERROR(VLOOKUP(L46,'C-01'!$D:$L,6,0),"")</f>
        <v>1753.343182</v>
      </c>
      <c r="Q46" s="499">
        <f>IFERROR(VLOOKUP(L46,'C-01'!$D:$L,7,0),"")</f>
        <v>1721.918182</v>
      </c>
      <c r="R46" s="499">
        <f>IFERROR(VLOOKUP(L46,'C-01'!$D:$L,8,0),"")</f>
        <v>1860.177273</v>
      </c>
      <c r="S46" s="498">
        <f>IFERROR(VLOOKUP(L46,'C-01'!$D:$L,9,0),"")</f>
        <v>2011.002273</v>
      </c>
      <c r="T46" s="500">
        <f>IFS('Painel Geral'!$B$5="Mediana",IFERROR(IF(OR(M46="",Q46=0,Q46=""),"",($M46/$Q46)),""),'Painel Geral'!$B$5="Menor Salário",IFERROR(IF(OR(M46="",Q46=0,Q46=""),"",($M46/$N46)),""),'Painel Geral'!$B$5="1º Quartil",IFERROR(IF(OR(M46="",Q46=0,Q46=""),"",($M46/$O46)),""),'Painel Geral'!$B$5="Média",IFERROR(IF(OR(M46="",Q46=0,Q46=""),"",($M46/$P46)),""),'Painel Geral'!$B$5="3º Quartil",IFERROR(IF(OR(M46="",Q46=0,Q46=""),"",($M46/$R46)),""),'Painel Geral'!$B$5="Maior Salário",IFERROR(IF(OR(M46="",Q46=0,Q46=""),"",($M46/$S46)),""))</f>
        <v>0.8833172308</v>
      </c>
      <c r="U46" s="491" t="str">
        <f t="shared" si="3"/>
        <v>Defasado</v>
      </c>
      <c r="V46" s="501">
        <f>VLOOKUP(A46,'Cálculos Comparativos'!$A:$E,4,0)</f>
        <v>1</v>
      </c>
    </row>
    <row r="47" ht="15.75" customHeight="1">
      <c r="A47" s="17" t="s">
        <v>141</v>
      </c>
      <c r="B47" s="29" t="s">
        <v>142</v>
      </c>
      <c r="C47" s="490" t="str">
        <f>VLOOKUP(A47,Jobmatch!A:F,2,0)</f>
        <v>ESTAGIARIO(A) ENG. CIVIL </v>
      </c>
      <c r="D47" s="490" t="str">
        <f>VLOOKUP(B47,'Folha de Pagamento'!B:G,6,0)</f>
        <v>Urbanismo</v>
      </c>
      <c r="E47" s="491" t="str">
        <f>VLOOKUP(A47,Jobmatch!A:F,4,0)</f>
        <v>47 - ADM PROJETOS</v>
      </c>
      <c r="F47" s="490" t="str">
        <f>VLOOKUP(A47,Jobmatch!A:F,5,0)</f>
        <v>Operacional</v>
      </c>
      <c r="G47" s="492" t="str">
        <f>VLOOKUP(B47,'Folha de Pagamento'!B:N,13,0)</f>
        <v/>
      </c>
      <c r="H47" s="493">
        <f t="shared" si="1"/>
        <v>126.2684932</v>
      </c>
      <c r="I47" s="494">
        <f>VLOOKUP(A47,Jobmatch!A:G,6,0)</f>
        <v>1204</v>
      </c>
      <c r="J47" s="491" t="str">
        <f>VLOOKUP(A47,Jobmatch!A:H,7,0)</f>
        <v>Estagiário de Engenharia Civil</v>
      </c>
      <c r="K47" s="495" t="str">
        <f>VLOOKUP(A47,Jobmatch!A:I,8,0)</f>
        <v>Indiferente</v>
      </c>
      <c r="L47" s="496" t="str">
        <f t="shared" si="2"/>
        <v>1204Indiferente</v>
      </c>
      <c r="M47" s="497">
        <f>IFERROR(VLOOKUP(B47,'Folha de Pagamento'!B:J,9,0),"")</f>
        <v>1521</v>
      </c>
      <c r="N47" s="498">
        <f>IFERROR(VLOOKUP(L47,'C-01'!$D:$L,4,0),"")</f>
        <v>0</v>
      </c>
      <c r="O47" s="499">
        <f>IFERROR(VLOOKUP(L47,'C-01'!$D:$L,5,0),"")</f>
        <v>0</v>
      </c>
      <c r="P47" s="499">
        <f>IFERROR(VLOOKUP(L47,'C-01'!$D:$L,6,0),"")</f>
        <v>0</v>
      </c>
      <c r="Q47" s="499">
        <f>IFERROR(VLOOKUP(L47,'C-01'!$D:$L,7,0),"")</f>
        <v>0</v>
      </c>
      <c r="R47" s="499">
        <f>IFERROR(VLOOKUP(L47,'C-01'!$D:$L,8,0),"")</f>
        <v>0</v>
      </c>
      <c r="S47" s="498">
        <f>IFERROR(VLOOKUP(L47,'C-01'!$D:$L,9,0),"")</f>
        <v>0</v>
      </c>
      <c r="T47" s="500" t="str">
        <f>IFS('Painel Geral'!$B$5="Mediana",IFERROR(IF(OR(M47="",Q47=0,Q47=""),"",($M47/$Q47)),""),'Painel Geral'!$B$5="Menor Salário",IFERROR(IF(OR(M47="",Q47=0,Q47=""),"",($M47/$N47)),""),'Painel Geral'!$B$5="1º Quartil",IFERROR(IF(OR(M47="",Q47=0,Q47=""),"",($M47/$O47)),""),'Painel Geral'!$B$5="Média",IFERROR(IF(OR(M47="",Q47=0,Q47=""),"",($M47/$P47)),""),'Painel Geral'!$B$5="3º Quartil",IFERROR(IF(OR(M47="",Q47=0,Q47=""),"",($M47/$R47)),""),'Painel Geral'!$B$5="Maior Salário",IFERROR(IF(OR(M47="",Q47=0,Q47=""),"",($M47/$S47)),""))</f>
        <v/>
      </c>
      <c r="U47" s="491" t="str">
        <f t="shared" si="3"/>
        <v/>
      </c>
      <c r="V47" s="501">
        <f>VLOOKUP(A47,'Cálculos Comparativos'!$A:$E,4,0)</f>
        <v>10</v>
      </c>
    </row>
    <row r="48" ht="15.75" customHeight="1">
      <c r="A48" s="17" t="s">
        <v>144</v>
      </c>
      <c r="B48" s="29">
        <v>1940.0</v>
      </c>
      <c r="C48" s="490" t="str">
        <f>VLOOKUP(A48,Jobmatch!A:F,2,0)</f>
        <v>ESTAGIÁRIO(A) RH/DP</v>
      </c>
      <c r="D48" s="490" t="str">
        <f>VLOOKUP(B48,'Folha de Pagamento'!B:G,6,0)</f>
        <v>Controladoria</v>
      </c>
      <c r="E48" s="491" t="str">
        <f>VLOOKUP(A48,Jobmatch!A:F,4,0)</f>
        <v>48 - ADM PROJETOS</v>
      </c>
      <c r="F48" s="490" t="str">
        <f>VLOOKUP(A48,Jobmatch!A:F,5,0)</f>
        <v>Operacional</v>
      </c>
      <c r="G48" s="492">
        <f>VLOOKUP(B48,'Folha de Pagamento'!B:N,13,0)</f>
        <v>45884</v>
      </c>
      <c r="H48" s="493">
        <f t="shared" si="1"/>
        <v>0.5589041096</v>
      </c>
      <c r="I48" s="494">
        <f>VLOOKUP(A48,Jobmatch!A:G,6,0)</f>
        <v>338</v>
      </c>
      <c r="J48" s="491" t="str">
        <f>VLOOKUP(A48,Jobmatch!A:H,7,0)</f>
        <v>Estagiário Administrativo</v>
      </c>
      <c r="K48" s="495" t="str">
        <f>VLOOKUP(A48,Jobmatch!A:I,8,0)</f>
        <v>Indiferente</v>
      </c>
      <c r="L48" s="496" t="str">
        <f t="shared" si="2"/>
        <v>338Indiferente</v>
      </c>
      <c r="M48" s="497">
        <f>IFERROR(VLOOKUP(B48,'Folha de Pagamento'!B:J,9,0),"")</f>
        <v>3652</v>
      </c>
      <c r="N48" s="498">
        <f>IFERROR(VLOOKUP(L48,'C-01'!$D:$L,4,0),"")</f>
        <v>1558.527273</v>
      </c>
      <c r="O48" s="499">
        <f>IFERROR(VLOOKUP(L48,'C-01'!$D:$L,5,0),"")</f>
        <v>1615.084091</v>
      </c>
      <c r="P48" s="499">
        <f>IFERROR(VLOOKUP(L48,'C-01'!$D:$L,6,0),"")</f>
        <v>1753.343182</v>
      </c>
      <c r="Q48" s="499">
        <f>IFERROR(VLOOKUP(L48,'C-01'!$D:$L,7,0),"")</f>
        <v>1721.918182</v>
      </c>
      <c r="R48" s="499">
        <f>IFERROR(VLOOKUP(L48,'C-01'!$D:$L,8,0),"")</f>
        <v>1860.177273</v>
      </c>
      <c r="S48" s="498">
        <f>IFERROR(VLOOKUP(L48,'C-01'!$D:$L,9,0),"")</f>
        <v>2011.002273</v>
      </c>
      <c r="T48" s="500">
        <f>IFS('Painel Geral'!$B$5="Mediana",IFERROR(IF(OR(M48="",Q48=0,Q48=""),"",($M48/$Q48)),""),'Painel Geral'!$B$5="Menor Salário",IFERROR(IF(OR(M48="",Q48=0,Q48=""),"",($M48/$N48)),""),'Painel Geral'!$B$5="1º Quartil",IFERROR(IF(OR(M48="",Q48=0,Q48=""),"",($M48/$O48)),""),'Painel Geral'!$B$5="Média",IFERROR(IF(OR(M48="",Q48=0,Q48=""),"",($M48/$P48)),""),'Painel Geral'!$B$5="3º Quartil",IFERROR(IF(OR(M48="",Q48=0,Q48=""),"",($M48/$R48)),""),'Painel Geral'!$B$5="Maior Salário",IFERROR(IF(OR(M48="",Q48=0,Q48=""),"",($M48/$S48)),""))</f>
        <v>2.12089055</v>
      </c>
      <c r="U48" s="491" t="str">
        <f t="shared" si="3"/>
        <v>Agressivo</v>
      </c>
      <c r="V48" s="501">
        <f>VLOOKUP(A48,'Cálculos Comparativos'!$A:$E,4,0)</f>
        <v>4</v>
      </c>
    </row>
    <row r="49" ht="15.75" customHeight="1">
      <c r="A49" s="17" t="s">
        <v>146</v>
      </c>
      <c r="B49" s="29" t="s">
        <v>147</v>
      </c>
      <c r="C49" s="490" t="str">
        <f>VLOOKUP(A49,Jobmatch!A:F,2,0)</f>
        <v>GERENTE ADMINISTRATIVA </v>
      </c>
      <c r="D49" s="490" t="str">
        <f>VLOOKUP(B49,'Folha de Pagamento'!B:G,6,0)</f>
        <v>Administrativo</v>
      </c>
      <c r="E49" s="491" t="str">
        <f>VLOOKUP(A49,Jobmatch!A:F,4,0)</f>
        <v>49 - ADM PROJETOS</v>
      </c>
      <c r="F49" s="490" t="str">
        <f>VLOOKUP(A49,Jobmatch!A:F,5,0)</f>
        <v>Tático</v>
      </c>
      <c r="G49" s="492" t="str">
        <f>VLOOKUP(B49,'Folha de Pagamento'!B:N,13,0)</f>
        <v/>
      </c>
      <c r="H49" s="493">
        <f t="shared" si="1"/>
        <v>126.2684932</v>
      </c>
      <c r="I49" s="494">
        <f>VLOOKUP(A49,Jobmatch!A:G,6,0)</f>
        <v>106</v>
      </c>
      <c r="J49" s="491" t="str">
        <f>VLOOKUP(A49,Jobmatch!A:H,7,0)</f>
        <v>Gerente Administrativo</v>
      </c>
      <c r="K49" s="495" t="str">
        <f>VLOOKUP(A49,Jobmatch!A:I,8,0)</f>
        <v>Indiferente</v>
      </c>
      <c r="L49" s="496" t="str">
        <f t="shared" si="2"/>
        <v>106Indiferente</v>
      </c>
      <c r="M49" s="497">
        <f>IFERROR(VLOOKUP(B49,'Folha de Pagamento'!B:J,9,0),"")</f>
        <v>12242.42424</v>
      </c>
      <c r="N49" s="498">
        <f>IFERROR(VLOOKUP(L49,'C-01'!$D:$L,4,0),"")</f>
        <v>5281.61</v>
      </c>
      <c r="O49" s="499">
        <f>IFERROR(VLOOKUP(L49,'C-01'!$D:$L,5,0),"")</f>
        <v>6616.13</v>
      </c>
      <c r="P49" s="499">
        <f>IFERROR(VLOOKUP(L49,'C-01'!$D:$L,6,0),"")</f>
        <v>9881.52</v>
      </c>
      <c r="Q49" s="499">
        <f>IFERROR(VLOOKUP(L49,'C-01'!$D:$L,7,0),"")</f>
        <v>10052.23</v>
      </c>
      <c r="R49" s="499">
        <f>IFERROR(VLOOKUP(L49,'C-01'!$D:$L,8,0),"")</f>
        <v>12479.94</v>
      </c>
      <c r="S49" s="498">
        <f>IFERROR(VLOOKUP(L49,'C-01'!$D:$L,9,0),"")</f>
        <v>15257.82</v>
      </c>
      <c r="T49" s="500">
        <f>IFS('Painel Geral'!$B$5="Mediana",IFERROR(IF(OR(M49="",Q49=0,Q49=""),"",($M49/$Q49)),""),'Painel Geral'!$B$5="Menor Salário",IFERROR(IF(OR(M49="",Q49=0,Q49=""),"",($M49/$N49)),""),'Painel Geral'!$B$5="1º Quartil",IFERROR(IF(OR(M49="",Q49=0,Q49=""),"",($M49/$O49)),""),'Painel Geral'!$B$5="Média",IFERROR(IF(OR(M49="",Q49=0,Q49=""),"",($M49/$P49)),""),'Painel Geral'!$B$5="3º Quartil",IFERROR(IF(OR(M49="",Q49=0,Q49=""),"",($M49/$R49)),""),'Painel Geral'!$B$5="Maior Salário",IFERROR(IF(OR(M49="",Q49=0,Q49=""),"",($M49/$S49)),""))</f>
        <v>1.21788143</v>
      </c>
      <c r="U49" s="491" t="str">
        <f t="shared" si="3"/>
        <v>Agressivo</v>
      </c>
      <c r="V49" s="501">
        <f>VLOOKUP(A49,'Cálculos Comparativos'!$A:$E,4,0)</f>
        <v>1</v>
      </c>
    </row>
    <row r="50" ht="15.75" customHeight="1">
      <c r="A50" s="17" t="s">
        <v>149</v>
      </c>
      <c r="B50" s="29" t="s">
        <v>150</v>
      </c>
      <c r="C50" s="490" t="str">
        <f>VLOOKUP(A50,Jobmatch!A:F,2,0)</f>
        <v>GERENTE COMERCIAL</v>
      </c>
      <c r="D50" s="490" t="str">
        <f>VLOOKUP(B50,'Folha de Pagamento'!B:G,6,0)</f>
        <v>Comercial</v>
      </c>
      <c r="E50" s="491" t="str">
        <f>VLOOKUP(A50,Jobmatch!A:F,4,0)</f>
        <v>50 - ADM PROJETOS</v>
      </c>
      <c r="F50" s="490" t="str">
        <f>VLOOKUP(A50,Jobmatch!A:F,5,0)</f>
        <v>Tático</v>
      </c>
      <c r="G50" s="492" t="str">
        <f>VLOOKUP(B50,'Folha de Pagamento'!B:N,13,0)</f>
        <v/>
      </c>
      <c r="H50" s="493">
        <f t="shared" si="1"/>
        <v>126.2684932</v>
      </c>
      <c r="I50" s="494">
        <f>VLOOKUP(A50,Jobmatch!A:G,6,0)</f>
        <v>107</v>
      </c>
      <c r="J50" s="491" t="str">
        <f>VLOOKUP(A50,Jobmatch!A:H,7,0)</f>
        <v>Gerente Comercial</v>
      </c>
      <c r="K50" s="495" t="str">
        <f>VLOOKUP(A50,Jobmatch!A:I,8,0)</f>
        <v>Indiferente</v>
      </c>
      <c r="L50" s="496" t="str">
        <f t="shared" si="2"/>
        <v>107Indiferente</v>
      </c>
      <c r="M50" s="497">
        <f>IFERROR(VLOOKUP(B50,'Folha de Pagamento'!B:J,9,0),"")</f>
        <v>12090.90909</v>
      </c>
      <c r="N50" s="498">
        <f>IFERROR(VLOOKUP(L50,'C-01'!$D:$L,4,0),"")</f>
        <v>5570.67</v>
      </c>
      <c r="O50" s="499">
        <f>IFERROR(VLOOKUP(L50,'C-01'!$D:$L,5,0),"")</f>
        <v>9778.91</v>
      </c>
      <c r="P50" s="499">
        <f>IFERROR(VLOOKUP(L50,'C-01'!$D:$L,6,0),"")</f>
        <v>12281.04</v>
      </c>
      <c r="Q50" s="499">
        <f>IFERROR(VLOOKUP(L50,'C-01'!$D:$L,7,0),"")</f>
        <v>12107.57</v>
      </c>
      <c r="R50" s="499">
        <f>IFERROR(VLOOKUP(L50,'C-01'!$D:$L,8,0),"")</f>
        <v>15321.87</v>
      </c>
      <c r="S50" s="498">
        <f>IFERROR(VLOOKUP(L50,'C-01'!$D:$L,9,0),"")</f>
        <v>19289.48</v>
      </c>
      <c r="T50" s="500">
        <f>IFS('Painel Geral'!$B$5="Mediana",IFERROR(IF(OR(M50="",Q50=0,Q50=""),"",($M50/$Q50)),""),'Painel Geral'!$B$5="Menor Salário",IFERROR(IF(OR(M50="",Q50=0,Q50=""),"",($M50/$N50)),""),'Painel Geral'!$B$5="1º Quartil",IFERROR(IF(OR(M50="",Q50=0,Q50=""),"",($M50/$O50)),""),'Painel Geral'!$B$5="Média",IFERROR(IF(OR(M50="",Q50=0,Q50=""),"",($M50/$P50)),""),'Painel Geral'!$B$5="3º Quartil",IFERROR(IF(OR(M50="",Q50=0,Q50=""),"",($M50/$R50)),""),'Painel Geral'!$B$5="Maior Salário",IFERROR(IF(OR(M50="",Q50=0,Q50=""),"",($M50/$S50)),""))</f>
        <v>0.9986239263</v>
      </c>
      <c r="U50" s="491" t="str">
        <f t="shared" si="3"/>
        <v>Na Média</v>
      </c>
      <c r="V50" s="501">
        <f>VLOOKUP(A50,'Cálculos Comparativos'!$A:$E,4,0)</f>
        <v>2</v>
      </c>
    </row>
    <row r="51" ht="15.75" customHeight="1">
      <c r="A51" s="17" t="s">
        <v>152</v>
      </c>
      <c r="B51" s="29" t="s">
        <v>153</v>
      </c>
      <c r="C51" s="490" t="str">
        <f>VLOOKUP(A51,Jobmatch!A:F,2,0)</f>
        <v>GERENTE DE EDIFICAÇÕES</v>
      </c>
      <c r="D51" s="490" t="str">
        <f>VLOOKUP(B51,'Folha de Pagamento'!B:G,6,0)</f>
        <v>Edificação</v>
      </c>
      <c r="E51" s="491" t="str">
        <f>VLOOKUP(A51,Jobmatch!A:F,4,0)</f>
        <v>51 - ADM PROJETOS</v>
      </c>
      <c r="F51" s="490" t="str">
        <f>VLOOKUP(A51,Jobmatch!A:F,5,0)</f>
        <v>Tático</v>
      </c>
      <c r="G51" s="492" t="str">
        <f>VLOOKUP(B51,'Folha de Pagamento'!B:N,13,0)</f>
        <v/>
      </c>
      <c r="H51" s="493">
        <f t="shared" si="1"/>
        <v>126.2684932</v>
      </c>
      <c r="I51" s="494">
        <f>VLOOKUP(A51,Jobmatch!A:G,6,0)</f>
        <v>311</v>
      </c>
      <c r="J51" s="491" t="str">
        <f>VLOOKUP(A51,Jobmatch!A:H,7,0)</f>
        <v>Gerente de Operações</v>
      </c>
      <c r="K51" s="495" t="str">
        <f>VLOOKUP(A51,Jobmatch!A:I,8,0)</f>
        <v>Indiferente</v>
      </c>
      <c r="L51" s="496" t="str">
        <f t="shared" si="2"/>
        <v>311Indiferente</v>
      </c>
      <c r="M51" s="497">
        <f>IFERROR(VLOOKUP(B51,'Folha de Pagamento'!B:J,9,0),"")</f>
        <v>30106.06061</v>
      </c>
      <c r="N51" s="498">
        <f>IFERROR(VLOOKUP(L51,'C-01'!$D:$L,4,0),"")</f>
        <v>7331.45</v>
      </c>
      <c r="O51" s="499">
        <f>IFERROR(VLOOKUP(L51,'C-01'!$D:$L,5,0),"")</f>
        <v>10114.75</v>
      </c>
      <c r="P51" s="499">
        <f>IFERROR(VLOOKUP(L51,'C-01'!$D:$L,6,0),"")</f>
        <v>12711.42</v>
      </c>
      <c r="Q51" s="499">
        <f>IFERROR(VLOOKUP(L51,'C-01'!$D:$L,7,0),"")</f>
        <v>12517.82</v>
      </c>
      <c r="R51" s="499">
        <f>IFERROR(VLOOKUP(L51,'C-01'!$D:$L,8,0),"")</f>
        <v>14749</v>
      </c>
      <c r="S51" s="498">
        <f>IFERROR(VLOOKUP(L51,'C-01'!$D:$L,9,0),"")</f>
        <v>19098.65</v>
      </c>
      <c r="T51" s="500">
        <f>IFS('Painel Geral'!$B$5="Mediana",IFERROR(IF(OR(M51="",Q51=0,Q51=""),"",($M51/$Q51)),""),'Painel Geral'!$B$5="Menor Salário",IFERROR(IF(OR(M51="",Q51=0,Q51=""),"",($M51/$N51)),""),'Painel Geral'!$B$5="1º Quartil",IFERROR(IF(OR(M51="",Q51=0,Q51=""),"",($M51/$O51)),""),'Painel Geral'!$B$5="Média",IFERROR(IF(OR(M51="",Q51=0,Q51=""),"",($M51/$P51)),""),'Painel Geral'!$B$5="3º Quartil",IFERROR(IF(OR(M51="",Q51=0,Q51=""),"",($M51/$R51)),""),'Painel Geral'!$B$5="Maior Salário",IFERROR(IF(OR(M51="",Q51=0,Q51=""),"",($M51/$S51)),""))</f>
        <v>2.4050562</v>
      </c>
      <c r="U51" s="491" t="str">
        <f t="shared" si="3"/>
        <v>Agressivo</v>
      </c>
      <c r="V51" s="501">
        <f>VLOOKUP(A51,'Cálculos Comparativos'!$A:$E,4,0)</f>
        <v>5</v>
      </c>
    </row>
    <row r="52" ht="15.75" customHeight="1">
      <c r="A52" s="17" t="s">
        <v>155</v>
      </c>
      <c r="B52" s="29" t="s">
        <v>156</v>
      </c>
      <c r="C52" s="490" t="str">
        <f>VLOOKUP(A52,Jobmatch!A:F,2,0)</f>
        <v>GERENTE DE HOUSE</v>
      </c>
      <c r="D52" s="490" t="str">
        <f>VLOOKUP(B52,'Folha de Pagamento'!B:G,6,0)</f>
        <v>Comercial</v>
      </c>
      <c r="E52" s="491" t="str">
        <f>VLOOKUP(A52,Jobmatch!A:F,4,0)</f>
        <v>52 - ADM PROJETOS</v>
      </c>
      <c r="F52" s="490" t="str">
        <f>VLOOKUP(A52,Jobmatch!A:F,5,0)</f>
        <v>Tático</v>
      </c>
      <c r="G52" s="492" t="str">
        <f>VLOOKUP(B52,'Folha de Pagamento'!B:N,13,0)</f>
        <v/>
      </c>
      <c r="H52" s="493">
        <f t="shared" si="1"/>
        <v>126.2684932</v>
      </c>
      <c r="I52" s="494">
        <f>VLOOKUP(A52,Jobmatch!A:G,6,0)</f>
        <v>107</v>
      </c>
      <c r="J52" s="491" t="str">
        <f>VLOOKUP(A52,Jobmatch!A:H,7,0)</f>
        <v>Gerente Comercial</v>
      </c>
      <c r="K52" s="495" t="str">
        <f>VLOOKUP(A52,Jobmatch!A:I,8,0)</f>
        <v>Indiferente</v>
      </c>
      <c r="L52" s="496" t="str">
        <f t="shared" si="2"/>
        <v>107Indiferente</v>
      </c>
      <c r="M52" s="497">
        <f>IFERROR(VLOOKUP(B52,'Folha de Pagamento'!B:J,9,0),"")</f>
        <v>5125</v>
      </c>
      <c r="N52" s="498">
        <f>IFERROR(VLOOKUP(L52,'C-01'!$D:$L,4,0),"")</f>
        <v>5570.67</v>
      </c>
      <c r="O52" s="499">
        <f>IFERROR(VLOOKUP(L52,'C-01'!$D:$L,5,0),"")</f>
        <v>9778.91</v>
      </c>
      <c r="P52" s="499">
        <f>IFERROR(VLOOKUP(L52,'C-01'!$D:$L,6,0),"")</f>
        <v>12281.04</v>
      </c>
      <c r="Q52" s="499">
        <f>IFERROR(VLOOKUP(L52,'C-01'!$D:$L,7,0),"")</f>
        <v>12107.57</v>
      </c>
      <c r="R52" s="499">
        <f>IFERROR(VLOOKUP(L52,'C-01'!$D:$L,8,0),"")</f>
        <v>15321.87</v>
      </c>
      <c r="S52" s="498">
        <f>IFERROR(VLOOKUP(L52,'C-01'!$D:$L,9,0),"")</f>
        <v>19289.48</v>
      </c>
      <c r="T52" s="500">
        <f>IFS('Painel Geral'!$B$5="Mediana",IFERROR(IF(OR(M52="",Q52=0,Q52=""),"",($M52/$Q52)),""),'Painel Geral'!$B$5="Menor Salário",IFERROR(IF(OR(M52="",Q52=0,Q52=""),"",($M52/$N52)),""),'Painel Geral'!$B$5="1º Quartil",IFERROR(IF(OR(M52="",Q52=0,Q52=""),"",($M52/$O52)),""),'Painel Geral'!$B$5="Média",IFERROR(IF(OR(M52="",Q52=0,Q52=""),"",($M52/$P52)),""),'Painel Geral'!$B$5="3º Quartil",IFERROR(IF(OR(M52="",Q52=0,Q52=""),"",($M52/$R52)),""),'Painel Geral'!$B$5="Maior Salário",IFERROR(IF(OR(M52="",Q52=0,Q52=""),"",($M52/$S52)),""))</f>
        <v>0.4232889011</v>
      </c>
      <c r="U52" s="491" t="str">
        <f t="shared" si="3"/>
        <v>Muito Defasado</v>
      </c>
      <c r="V52" s="501">
        <f>VLOOKUP(A52,'Cálculos Comparativos'!$A:$E,4,0)</f>
        <v>2</v>
      </c>
    </row>
    <row r="53" ht="15.75" customHeight="1">
      <c r="A53" s="17" t="s">
        <v>158</v>
      </c>
      <c r="B53" s="29" t="s">
        <v>159</v>
      </c>
      <c r="C53" s="490" t="str">
        <f>VLOOKUP(A53,Jobmatch!A:F,2,0)</f>
        <v>GERENTE DE IMOBILIÁRIAS EXTERNAS</v>
      </c>
      <c r="D53" s="490" t="str">
        <f>VLOOKUP(B53,'Folha de Pagamento'!B:G,6,0)</f>
        <v>Comercial</v>
      </c>
      <c r="E53" s="491" t="str">
        <f>VLOOKUP(A53,Jobmatch!A:F,4,0)</f>
        <v>53 - ADM PROJETOS</v>
      </c>
      <c r="F53" s="490" t="str">
        <f>VLOOKUP(A53,Jobmatch!A:F,5,0)</f>
        <v>Tático</v>
      </c>
      <c r="G53" s="492" t="str">
        <f>VLOOKUP(B53,'Folha de Pagamento'!B:N,13,0)</f>
        <v/>
      </c>
      <c r="H53" s="493">
        <f t="shared" si="1"/>
        <v>126.2684932</v>
      </c>
      <c r="I53" s="494">
        <f>VLOOKUP(A53,Jobmatch!A:G,6,0)</f>
        <v>1205</v>
      </c>
      <c r="J53" s="491" t="str">
        <f>VLOOKUP(A53,Jobmatch!A:H,7,0)</f>
        <v>Gerente de Imobiliárias</v>
      </c>
      <c r="K53" s="495" t="str">
        <f>VLOOKUP(A53,Jobmatch!A:I,8,0)</f>
        <v>Indiferente</v>
      </c>
      <c r="L53" s="496" t="str">
        <f t="shared" si="2"/>
        <v>1205Indiferente</v>
      </c>
      <c r="M53" s="497">
        <f>IFERROR(VLOOKUP(B53,'Folha de Pagamento'!B:J,9,0),"")</f>
        <v>5266</v>
      </c>
      <c r="N53" s="498">
        <f>IFERROR(VLOOKUP(L53,'C-01'!$D:$L,4,0),"")</f>
        <v>0</v>
      </c>
      <c r="O53" s="499">
        <f>IFERROR(VLOOKUP(L53,'C-01'!$D:$L,5,0),"")</f>
        <v>0</v>
      </c>
      <c r="P53" s="499">
        <f>IFERROR(VLOOKUP(L53,'C-01'!$D:$L,6,0),"")</f>
        <v>0</v>
      </c>
      <c r="Q53" s="499">
        <f>IFERROR(VLOOKUP(L53,'C-01'!$D:$L,7,0),"")</f>
        <v>0</v>
      </c>
      <c r="R53" s="499">
        <f>IFERROR(VLOOKUP(L53,'C-01'!$D:$L,8,0),"")</f>
        <v>0</v>
      </c>
      <c r="S53" s="498">
        <f>IFERROR(VLOOKUP(L53,'C-01'!$D:$L,9,0),"")</f>
        <v>0</v>
      </c>
      <c r="T53" s="500" t="str">
        <f>IFS('Painel Geral'!$B$5="Mediana",IFERROR(IF(OR(M53="",Q53=0,Q53=""),"",($M53/$Q53)),""),'Painel Geral'!$B$5="Menor Salário",IFERROR(IF(OR(M53="",Q53=0,Q53=""),"",($M53/$N53)),""),'Painel Geral'!$B$5="1º Quartil",IFERROR(IF(OR(M53="",Q53=0,Q53=""),"",($M53/$O53)),""),'Painel Geral'!$B$5="Média",IFERROR(IF(OR(M53="",Q53=0,Q53=""),"",($M53/$P53)),""),'Painel Geral'!$B$5="3º Quartil",IFERROR(IF(OR(M53="",Q53=0,Q53=""),"",($M53/$R53)),""),'Painel Geral'!$B$5="Maior Salário",IFERROR(IF(OR(M53="",Q53=0,Q53=""),"",($M53/$S53)),""))</f>
        <v/>
      </c>
      <c r="U53" s="491" t="str">
        <f t="shared" si="3"/>
        <v/>
      </c>
      <c r="V53" s="501">
        <f>VLOOKUP(A53,'Cálculos Comparativos'!$A:$E,4,0)</f>
        <v>2</v>
      </c>
    </row>
    <row r="54" ht="15.75" customHeight="1">
      <c r="A54" s="17" t="s">
        <v>158</v>
      </c>
      <c r="B54" s="29" t="s">
        <v>161</v>
      </c>
      <c r="C54" s="490" t="str">
        <f>VLOOKUP(A54,Jobmatch!A:F,2,0)</f>
        <v>GERENTE DE IMOBILIÁRIAS EXTERNAS</v>
      </c>
      <c r="D54" s="490" t="str">
        <f>VLOOKUP(B54,'Folha de Pagamento'!B:G,6,0)</f>
        <v>Comercial</v>
      </c>
      <c r="E54" s="491" t="str">
        <f>VLOOKUP(A54,Jobmatch!A:F,4,0)</f>
        <v>53 - ADM PROJETOS</v>
      </c>
      <c r="F54" s="490" t="str">
        <f>VLOOKUP(A54,Jobmatch!A:F,5,0)</f>
        <v>Tático</v>
      </c>
      <c r="G54" s="492" t="str">
        <f>VLOOKUP(B54,'Folha de Pagamento'!B:N,13,0)</f>
        <v/>
      </c>
      <c r="H54" s="493">
        <f t="shared" si="1"/>
        <v>126.2684932</v>
      </c>
      <c r="I54" s="494">
        <f>VLOOKUP(A54,Jobmatch!A:G,6,0)</f>
        <v>1205</v>
      </c>
      <c r="J54" s="491" t="str">
        <f>VLOOKUP(A54,Jobmatch!A:H,7,0)</f>
        <v>Gerente de Imobiliárias</v>
      </c>
      <c r="K54" s="495" t="str">
        <f>VLOOKUP(A54,Jobmatch!A:I,8,0)</f>
        <v>Indiferente</v>
      </c>
      <c r="L54" s="496" t="str">
        <f t="shared" si="2"/>
        <v>1205Indiferente</v>
      </c>
      <c r="M54" s="497">
        <f>IFERROR(VLOOKUP(B54,'Folha de Pagamento'!B:J,9,0),"")</f>
        <v>5795</v>
      </c>
      <c r="N54" s="498">
        <f>IFERROR(VLOOKUP(L54,'C-01'!$D:$L,4,0),"")</f>
        <v>0</v>
      </c>
      <c r="O54" s="499">
        <f>IFERROR(VLOOKUP(L54,'C-01'!$D:$L,5,0),"")</f>
        <v>0</v>
      </c>
      <c r="P54" s="499">
        <f>IFERROR(VLOOKUP(L54,'C-01'!$D:$L,6,0),"")</f>
        <v>0</v>
      </c>
      <c r="Q54" s="499">
        <f>IFERROR(VLOOKUP(L54,'C-01'!$D:$L,7,0),"")</f>
        <v>0</v>
      </c>
      <c r="R54" s="499">
        <f>IFERROR(VLOOKUP(L54,'C-01'!$D:$L,8,0),"")</f>
        <v>0</v>
      </c>
      <c r="S54" s="498">
        <f>IFERROR(VLOOKUP(L54,'C-01'!$D:$L,9,0),"")</f>
        <v>0</v>
      </c>
      <c r="T54" s="500" t="str">
        <f>IFS('Painel Geral'!$B$5="Mediana",IFERROR(IF(OR(M54="",Q54=0,Q54=""),"",($M54/$Q54)),""),'Painel Geral'!$B$5="Menor Salário",IFERROR(IF(OR(M54="",Q54=0,Q54=""),"",($M54/$N54)),""),'Painel Geral'!$B$5="1º Quartil",IFERROR(IF(OR(M54="",Q54=0,Q54=""),"",($M54/$O54)),""),'Painel Geral'!$B$5="Média",IFERROR(IF(OR(M54="",Q54=0,Q54=""),"",($M54/$P54)),""),'Painel Geral'!$B$5="3º Quartil",IFERROR(IF(OR(M54="",Q54=0,Q54=""),"",($M54/$R54)),""),'Painel Geral'!$B$5="Maior Salário",IFERROR(IF(OR(M54="",Q54=0,Q54=""),"",($M54/$S54)),""))</f>
        <v/>
      </c>
      <c r="U54" s="491" t="str">
        <f t="shared" si="3"/>
        <v/>
      </c>
      <c r="V54" s="501">
        <f>VLOOKUP(A54,'Cálculos Comparativos'!$A:$E,4,0)</f>
        <v>2</v>
      </c>
    </row>
    <row r="55" ht="15.75" customHeight="1">
      <c r="A55" s="17" t="s">
        <v>162</v>
      </c>
      <c r="B55" s="29" t="s">
        <v>163</v>
      </c>
      <c r="C55" s="490" t="str">
        <f>VLOOKUP(A55,Jobmatch!A:F,2,0)</f>
        <v>GERENTE DE INCORPORAÇÃO </v>
      </c>
      <c r="D55" s="490" t="str">
        <f>VLOOKUP(B55,'Folha de Pagamento'!B:G,6,0)</f>
        <v>Incorporação</v>
      </c>
      <c r="E55" s="491" t="str">
        <f>VLOOKUP(A55,Jobmatch!A:F,4,0)</f>
        <v>54 - ADM PROJETOS</v>
      </c>
      <c r="F55" s="490" t="str">
        <f>VLOOKUP(A55,Jobmatch!A:F,5,0)</f>
        <v>Tático</v>
      </c>
      <c r="G55" s="492" t="str">
        <f>VLOOKUP(B55,'Folha de Pagamento'!B:N,13,0)</f>
        <v/>
      </c>
      <c r="H55" s="493">
        <f t="shared" si="1"/>
        <v>126.2684932</v>
      </c>
      <c r="I55" s="494">
        <f>VLOOKUP(A55,Jobmatch!A:G,6,0)</f>
        <v>548</v>
      </c>
      <c r="J55" s="491" t="str">
        <f>VLOOKUP(A55,Jobmatch!A:H,7,0)</f>
        <v>Gerente de Incorporação</v>
      </c>
      <c r="K55" s="495" t="str">
        <f>VLOOKUP(A55,Jobmatch!A:I,8,0)</f>
        <v>Indiferente</v>
      </c>
      <c r="L55" s="496" t="str">
        <f t="shared" si="2"/>
        <v>548Indiferente</v>
      </c>
      <c r="M55" s="497">
        <f>IFERROR(VLOOKUP(B55,'Folha de Pagamento'!B:J,9,0),"")</f>
        <v>14045.45455</v>
      </c>
      <c r="N55" s="498">
        <f>IFERROR(VLOOKUP(L55,'C-01'!$D:$L,4,0),"")</f>
        <v>0</v>
      </c>
      <c r="O55" s="499">
        <f>IFERROR(VLOOKUP(L55,'C-01'!$D:$L,5,0),"")</f>
        <v>0</v>
      </c>
      <c r="P55" s="499">
        <f>IFERROR(VLOOKUP(L55,'C-01'!$D:$L,6,0),"")</f>
        <v>0</v>
      </c>
      <c r="Q55" s="499">
        <f>IFERROR(VLOOKUP(L55,'C-01'!$D:$L,7,0),"")</f>
        <v>0</v>
      </c>
      <c r="R55" s="499">
        <f>IFERROR(VLOOKUP(L55,'C-01'!$D:$L,8,0),"")</f>
        <v>0</v>
      </c>
      <c r="S55" s="498">
        <f>IFERROR(VLOOKUP(L55,'C-01'!$D:$L,9,0),"")</f>
        <v>0</v>
      </c>
      <c r="T55" s="500" t="str">
        <f>IFS('Painel Geral'!$B$5="Mediana",IFERROR(IF(OR(M55="",Q55=0,Q55=""),"",($M55/$Q55)),""),'Painel Geral'!$B$5="Menor Salário",IFERROR(IF(OR(M55="",Q55=0,Q55=""),"",($M55/$N55)),""),'Painel Geral'!$B$5="1º Quartil",IFERROR(IF(OR(M55="",Q55=0,Q55=""),"",($M55/$O55)),""),'Painel Geral'!$B$5="Média",IFERROR(IF(OR(M55="",Q55=0,Q55=""),"",($M55/$P55)),""),'Painel Geral'!$B$5="3º Quartil",IFERROR(IF(OR(M55="",Q55=0,Q55=""),"",($M55/$R55)),""),'Painel Geral'!$B$5="Maior Salário",IFERROR(IF(OR(M55="",Q55=0,Q55=""),"",($M55/$S55)),""))</f>
        <v/>
      </c>
      <c r="U55" s="491" t="str">
        <f t="shared" si="3"/>
        <v/>
      </c>
      <c r="V55" s="501">
        <f>VLOOKUP(A55,'Cálculos Comparativos'!$A:$E,4,0)</f>
        <v>7</v>
      </c>
    </row>
    <row r="56" ht="15.75" customHeight="1">
      <c r="A56" s="17" t="s">
        <v>166</v>
      </c>
      <c r="B56" s="29" t="s">
        <v>167</v>
      </c>
      <c r="C56" s="490" t="str">
        <f>VLOOKUP(A56,Jobmatch!A:F,2,0)</f>
        <v>GERENTE DE PARCERIAS</v>
      </c>
      <c r="D56" s="490" t="str">
        <f>VLOOKUP(B56,'Folha de Pagamento'!B:G,6,0)</f>
        <v>Comercial</v>
      </c>
      <c r="E56" s="491" t="str">
        <f>VLOOKUP(A56,Jobmatch!A:F,4,0)</f>
        <v>55 - ADM PROJETOS</v>
      </c>
      <c r="F56" s="490" t="str">
        <f>VLOOKUP(A56,Jobmatch!A:F,5,0)</f>
        <v>Tático</v>
      </c>
      <c r="G56" s="492" t="str">
        <f>VLOOKUP(B56,'Folha de Pagamento'!B:N,13,0)</f>
        <v/>
      </c>
      <c r="H56" s="493">
        <f t="shared" si="1"/>
        <v>126.2684932</v>
      </c>
      <c r="I56" s="494">
        <f>VLOOKUP(A56,Jobmatch!A:G,6,0)</f>
        <v>408</v>
      </c>
      <c r="J56" s="491" t="str">
        <f>VLOOKUP(A56,Jobmatch!A:H,7,0)</f>
        <v>Gerente de Relacionamento</v>
      </c>
      <c r="K56" s="495" t="str">
        <f>VLOOKUP(A56,Jobmatch!A:I,8,0)</f>
        <v>Indiferente</v>
      </c>
      <c r="L56" s="496" t="str">
        <f t="shared" si="2"/>
        <v>408Indiferente</v>
      </c>
      <c r="M56" s="497">
        <f>IFERROR(VLOOKUP(B56,'Folha de Pagamento'!B:J,9,0),"")</f>
        <v>5640</v>
      </c>
      <c r="N56" s="498">
        <f>IFERROR(VLOOKUP(L56,'C-01'!$D:$L,4,0),"")</f>
        <v>5772.56</v>
      </c>
      <c r="O56" s="499">
        <f>IFERROR(VLOOKUP(L56,'C-01'!$D:$L,5,0),"")</f>
        <v>7608.96</v>
      </c>
      <c r="P56" s="499">
        <f>IFERROR(VLOOKUP(L56,'C-01'!$D:$L,6,0),"")</f>
        <v>10973.95</v>
      </c>
      <c r="Q56" s="499">
        <f>IFERROR(VLOOKUP(L56,'C-01'!$D:$L,7,0),"")</f>
        <v>10996.97</v>
      </c>
      <c r="R56" s="499">
        <f>IFERROR(VLOOKUP(L56,'C-01'!$D:$L,8,0),"")</f>
        <v>14004.27</v>
      </c>
      <c r="S56" s="498">
        <f>IFERROR(VLOOKUP(L56,'C-01'!$D:$L,9,0),"")</f>
        <v>16628.86</v>
      </c>
      <c r="T56" s="500">
        <f>IFS('Painel Geral'!$B$5="Mediana",IFERROR(IF(OR(M56="",Q56=0,Q56=""),"",($M56/$Q56)),""),'Painel Geral'!$B$5="Menor Salário",IFERROR(IF(OR(M56="",Q56=0,Q56=""),"",($M56/$N56)),""),'Painel Geral'!$B$5="1º Quartil",IFERROR(IF(OR(M56="",Q56=0,Q56=""),"",($M56/$O56)),""),'Painel Geral'!$B$5="Média",IFERROR(IF(OR(M56="",Q56=0,Q56=""),"",($M56/$P56)),""),'Painel Geral'!$B$5="3º Quartil",IFERROR(IF(OR(M56="",Q56=0,Q56=""),"",($M56/$R56)),""),'Painel Geral'!$B$5="Maior Salário",IFERROR(IF(OR(M56="",Q56=0,Q56=""),"",($M56/$S56)),""))</f>
        <v>0.5128685447</v>
      </c>
      <c r="U56" s="491" t="str">
        <f t="shared" si="3"/>
        <v>Muito Defasado</v>
      </c>
      <c r="V56" s="501">
        <f>VLOOKUP(A56,'Cálculos Comparativos'!$A:$E,4,0)</f>
        <v>2</v>
      </c>
    </row>
    <row r="57" ht="15.75" customHeight="1">
      <c r="A57" s="17" t="s">
        <v>166</v>
      </c>
      <c r="B57" s="29" t="s">
        <v>169</v>
      </c>
      <c r="C57" s="490" t="str">
        <f>VLOOKUP(A57,Jobmatch!A:F,2,0)</f>
        <v>GERENTE DE PARCERIAS</v>
      </c>
      <c r="D57" s="490" t="str">
        <f>VLOOKUP(B57,'Folha de Pagamento'!B:G,6,0)</f>
        <v>Comercial</v>
      </c>
      <c r="E57" s="491" t="str">
        <f>VLOOKUP(A57,Jobmatch!A:F,4,0)</f>
        <v>55 - ADM PROJETOS</v>
      </c>
      <c r="F57" s="490" t="str">
        <f>VLOOKUP(A57,Jobmatch!A:F,5,0)</f>
        <v>Tático</v>
      </c>
      <c r="G57" s="492" t="str">
        <f>VLOOKUP(B57,'Folha de Pagamento'!B:N,13,0)</f>
        <v/>
      </c>
      <c r="H57" s="493">
        <f t="shared" si="1"/>
        <v>126.2684932</v>
      </c>
      <c r="I57" s="494">
        <f>VLOOKUP(A57,Jobmatch!A:G,6,0)</f>
        <v>408</v>
      </c>
      <c r="J57" s="491" t="str">
        <f>VLOOKUP(A57,Jobmatch!A:H,7,0)</f>
        <v>Gerente de Relacionamento</v>
      </c>
      <c r="K57" s="495" t="str">
        <f>VLOOKUP(A57,Jobmatch!A:I,8,0)</f>
        <v>Indiferente</v>
      </c>
      <c r="L57" s="496" t="str">
        <f t="shared" si="2"/>
        <v>408Indiferente</v>
      </c>
      <c r="M57" s="497">
        <f>IFERROR(VLOOKUP(B57,'Folha de Pagamento'!B:J,9,0),"")</f>
        <v>5050</v>
      </c>
      <c r="N57" s="498">
        <f>IFERROR(VLOOKUP(L57,'C-01'!$D:$L,4,0),"")</f>
        <v>5772.56</v>
      </c>
      <c r="O57" s="499">
        <f>IFERROR(VLOOKUP(L57,'C-01'!$D:$L,5,0),"")</f>
        <v>7608.96</v>
      </c>
      <c r="P57" s="499">
        <f>IFERROR(VLOOKUP(L57,'C-01'!$D:$L,6,0),"")</f>
        <v>10973.95</v>
      </c>
      <c r="Q57" s="499">
        <f>IFERROR(VLOOKUP(L57,'C-01'!$D:$L,7,0),"")</f>
        <v>10996.97</v>
      </c>
      <c r="R57" s="499">
        <f>IFERROR(VLOOKUP(L57,'C-01'!$D:$L,8,0),"")</f>
        <v>14004.27</v>
      </c>
      <c r="S57" s="498">
        <f>IFERROR(VLOOKUP(L57,'C-01'!$D:$L,9,0),"")</f>
        <v>16628.86</v>
      </c>
      <c r="T57" s="500">
        <f>IFS('Painel Geral'!$B$5="Mediana",IFERROR(IF(OR(M57="",Q57=0,Q57=""),"",($M57/$Q57)),""),'Painel Geral'!$B$5="Menor Salário",IFERROR(IF(OR(M57="",Q57=0,Q57=""),"",($M57/$N57)),""),'Painel Geral'!$B$5="1º Quartil",IFERROR(IF(OR(M57="",Q57=0,Q57=""),"",($M57/$O57)),""),'Painel Geral'!$B$5="Média",IFERROR(IF(OR(M57="",Q57=0,Q57=""),"",($M57/$P57)),""),'Painel Geral'!$B$5="3º Quartil",IFERROR(IF(OR(M57="",Q57=0,Q57=""),"",($M57/$R57)),""),'Painel Geral'!$B$5="Maior Salário",IFERROR(IF(OR(M57="",Q57=0,Q57=""),"",($M57/$S57)),""))</f>
        <v>0.4592174026</v>
      </c>
      <c r="U57" s="491" t="str">
        <f t="shared" si="3"/>
        <v>Muito Defasado</v>
      </c>
      <c r="V57" s="501">
        <f>VLOOKUP(A57,'Cálculos Comparativos'!$A:$E,4,0)</f>
        <v>2</v>
      </c>
    </row>
    <row r="58" ht="15.75" customHeight="1">
      <c r="A58" s="17" t="s">
        <v>171</v>
      </c>
      <c r="B58" s="29" t="s">
        <v>172</v>
      </c>
      <c r="C58" s="490" t="str">
        <f>VLOOKUP(A58,Jobmatch!A:F,2,0)</f>
        <v>GERENTE DE PARCERIAS EXTERNAS</v>
      </c>
      <c r="D58" s="490" t="str">
        <f>VLOOKUP(B58,'Folha de Pagamento'!B:G,6,0)</f>
        <v>Comercial</v>
      </c>
      <c r="E58" s="491" t="str">
        <f>VLOOKUP(A58,Jobmatch!A:F,4,0)</f>
        <v>56 - ADM PROJETOS</v>
      </c>
      <c r="F58" s="490" t="str">
        <f>VLOOKUP(A58,Jobmatch!A:F,5,0)</f>
        <v>Tático</v>
      </c>
      <c r="G58" s="492" t="str">
        <f>VLOOKUP(B58,'Folha de Pagamento'!B:N,13,0)</f>
        <v/>
      </c>
      <c r="H58" s="493">
        <f t="shared" si="1"/>
        <v>126.2684932</v>
      </c>
      <c r="I58" s="494">
        <f>VLOOKUP(A58,Jobmatch!A:G,6,0)</f>
        <v>408</v>
      </c>
      <c r="J58" s="491" t="str">
        <f>VLOOKUP(A58,Jobmatch!A:H,7,0)</f>
        <v>Gerente de Relacionamento</v>
      </c>
      <c r="K58" s="495" t="str">
        <f>VLOOKUP(A58,Jobmatch!A:I,8,0)</f>
        <v>Indiferente</v>
      </c>
      <c r="L58" s="496" t="str">
        <f t="shared" si="2"/>
        <v>408Indiferente</v>
      </c>
      <c r="M58" s="497">
        <f>IFERROR(VLOOKUP(B58,'Folha de Pagamento'!B:J,9,0),"")</f>
        <v>5000</v>
      </c>
      <c r="N58" s="498">
        <f>IFERROR(VLOOKUP(L58,'C-01'!$D:$L,4,0),"")</f>
        <v>5772.56</v>
      </c>
      <c r="O58" s="499">
        <f>IFERROR(VLOOKUP(L58,'C-01'!$D:$L,5,0),"")</f>
        <v>7608.96</v>
      </c>
      <c r="P58" s="499">
        <f>IFERROR(VLOOKUP(L58,'C-01'!$D:$L,6,0),"")</f>
        <v>10973.95</v>
      </c>
      <c r="Q58" s="499">
        <f>IFERROR(VLOOKUP(L58,'C-01'!$D:$L,7,0),"")</f>
        <v>10996.97</v>
      </c>
      <c r="R58" s="499">
        <f>IFERROR(VLOOKUP(L58,'C-01'!$D:$L,8,0),"")</f>
        <v>14004.27</v>
      </c>
      <c r="S58" s="498">
        <f>IFERROR(VLOOKUP(L58,'C-01'!$D:$L,9,0),"")</f>
        <v>16628.86</v>
      </c>
      <c r="T58" s="500">
        <f>IFS('Painel Geral'!$B$5="Mediana",IFERROR(IF(OR(M58="",Q58=0,Q58=""),"",($M58/$Q58)),""),'Painel Geral'!$B$5="Menor Salário",IFERROR(IF(OR(M58="",Q58=0,Q58=""),"",($M58/$N58)),""),'Painel Geral'!$B$5="1º Quartil",IFERROR(IF(OR(M58="",Q58=0,Q58=""),"",($M58/$O58)),""),'Painel Geral'!$B$5="Média",IFERROR(IF(OR(M58="",Q58=0,Q58=""),"",($M58/$P58)),""),'Painel Geral'!$B$5="3º Quartil",IFERROR(IF(OR(M58="",Q58=0,Q58=""),"",($M58/$R58)),""),'Painel Geral'!$B$5="Maior Salário",IFERROR(IF(OR(M58="",Q58=0,Q58=""),"",($M58/$S58)),""))</f>
        <v>0.4546706957</v>
      </c>
      <c r="U58" s="491" t="str">
        <f t="shared" si="3"/>
        <v>Muito Defasado</v>
      </c>
      <c r="V58" s="501">
        <f>VLOOKUP(A58,'Cálculos Comparativos'!$A:$E,4,0)</f>
        <v>2</v>
      </c>
    </row>
    <row r="59" ht="15.75" customHeight="1">
      <c r="A59" s="17" t="s">
        <v>174</v>
      </c>
      <c r="B59" s="29" t="s">
        <v>175</v>
      </c>
      <c r="C59" s="490" t="str">
        <f>VLOOKUP(A59,Jobmatch!A:F,2,0)</f>
        <v>GERENTE DE URBANISMO</v>
      </c>
      <c r="D59" s="490" t="str">
        <f>VLOOKUP(B59,'Folha de Pagamento'!B:G,6,0)</f>
        <v>Urbanismo</v>
      </c>
      <c r="E59" s="491" t="str">
        <f>VLOOKUP(A59,Jobmatch!A:F,4,0)</f>
        <v>57 - ADM PROJETOS</v>
      </c>
      <c r="F59" s="490" t="str">
        <f>VLOOKUP(A59,Jobmatch!A:F,5,0)</f>
        <v>Tático</v>
      </c>
      <c r="G59" s="492" t="str">
        <f>VLOOKUP(B59,'Folha de Pagamento'!B:N,13,0)</f>
        <v/>
      </c>
      <c r="H59" s="493">
        <f t="shared" si="1"/>
        <v>126.2684932</v>
      </c>
      <c r="I59" s="494">
        <f>VLOOKUP(A59,Jobmatch!A:G,6,0)</f>
        <v>311</v>
      </c>
      <c r="J59" s="491" t="str">
        <f>VLOOKUP(A59,Jobmatch!A:H,7,0)</f>
        <v>Gerente de Operações</v>
      </c>
      <c r="K59" s="495" t="str">
        <f>VLOOKUP(A59,Jobmatch!A:I,8,0)</f>
        <v>Indiferente</v>
      </c>
      <c r="L59" s="496" t="str">
        <f t="shared" si="2"/>
        <v>311Indiferente</v>
      </c>
      <c r="M59" s="497">
        <f>IFERROR(VLOOKUP(B59,'Folha de Pagamento'!B:J,9,0),"")</f>
        <v>28030.30303</v>
      </c>
      <c r="N59" s="498">
        <f>IFERROR(VLOOKUP(L59,'C-01'!$D:$L,4,0),"")</f>
        <v>7331.45</v>
      </c>
      <c r="O59" s="499">
        <f>IFERROR(VLOOKUP(L59,'C-01'!$D:$L,5,0),"")</f>
        <v>10114.75</v>
      </c>
      <c r="P59" s="499">
        <f>IFERROR(VLOOKUP(L59,'C-01'!$D:$L,6,0),"")</f>
        <v>12711.42</v>
      </c>
      <c r="Q59" s="499">
        <f>IFERROR(VLOOKUP(L59,'C-01'!$D:$L,7,0),"")</f>
        <v>12517.82</v>
      </c>
      <c r="R59" s="499">
        <f>IFERROR(VLOOKUP(L59,'C-01'!$D:$L,8,0),"")</f>
        <v>14749</v>
      </c>
      <c r="S59" s="498">
        <f>IFERROR(VLOOKUP(L59,'C-01'!$D:$L,9,0),"")</f>
        <v>19098.65</v>
      </c>
      <c r="T59" s="500">
        <f>IFS('Painel Geral'!$B$5="Mediana",IFERROR(IF(OR(M59="",Q59=0,Q59=""),"",($M59/$Q59)),""),'Painel Geral'!$B$5="Menor Salário",IFERROR(IF(OR(M59="",Q59=0,Q59=""),"",($M59/$N59)),""),'Painel Geral'!$B$5="1º Quartil",IFERROR(IF(OR(M59="",Q59=0,Q59=""),"",($M59/$O59)),""),'Painel Geral'!$B$5="Média",IFERROR(IF(OR(M59="",Q59=0,Q59=""),"",($M59/$P59)),""),'Painel Geral'!$B$5="3º Quartil",IFERROR(IF(OR(M59="",Q59=0,Q59=""),"",($M59/$R59)),""),'Painel Geral'!$B$5="Maior Salário",IFERROR(IF(OR(M59="",Q59=0,Q59=""),"",($M59/$S59)),""))</f>
        <v>2.239231993</v>
      </c>
      <c r="U59" s="491" t="str">
        <f t="shared" si="3"/>
        <v>Agressivo</v>
      </c>
      <c r="V59" s="501">
        <f>VLOOKUP(A59,'Cálculos Comparativos'!$A:$E,4,0)</f>
        <v>10</v>
      </c>
    </row>
    <row r="60" ht="15.75" customHeight="1">
      <c r="A60" s="17" t="s">
        <v>177</v>
      </c>
      <c r="B60" s="29" t="s">
        <v>178</v>
      </c>
      <c r="C60" s="490" t="str">
        <f>VLOOKUP(A60,Jobmatch!A:F,2,0)</f>
        <v>SUPERVISOR DE NOVOS NEGÓCIOS </v>
      </c>
      <c r="D60" s="490" t="str">
        <f>VLOOKUP(B60,'Folha de Pagamento'!B:G,6,0)</f>
        <v>Novos Negócios</v>
      </c>
      <c r="E60" s="491" t="str">
        <f>VLOOKUP(A60,Jobmatch!A:F,4,0)</f>
        <v>58 - ADM PROJETOS</v>
      </c>
      <c r="F60" s="490" t="str">
        <f>VLOOKUP(A60,Jobmatch!A:F,5,0)</f>
        <v>Tático</v>
      </c>
      <c r="G60" s="492" t="str">
        <f>VLOOKUP(B60,'Folha de Pagamento'!B:N,13,0)</f>
        <v/>
      </c>
      <c r="H60" s="493">
        <f t="shared" si="1"/>
        <v>126.2684932</v>
      </c>
      <c r="I60" s="494">
        <f>VLOOKUP(A60,Jobmatch!A:G,6,0)</f>
        <v>583</v>
      </c>
      <c r="J60" s="491" t="str">
        <f>VLOOKUP(A60,Jobmatch!A:H,7,0)</f>
        <v>Supervisor de Negócios</v>
      </c>
      <c r="K60" s="495" t="str">
        <f>VLOOKUP(A60,Jobmatch!A:I,8,0)</f>
        <v>Indiferente</v>
      </c>
      <c r="L60" s="496" t="str">
        <f t="shared" si="2"/>
        <v>583Indiferente</v>
      </c>
      <c r="M60" s="497">
        <f>IFERROR(VLOOKUP(B60,'Folha de Pagamento'!B:J,9,0),"")</f>
        <v>8759.124088</v>
      </c>
      <c r="N60" s="498">
        <f>IFERROR(VLOOKUP(L60,'C-01'!$D:$L,4,0),"")</f>
        <v>0</v>
      </c>
      <c r="O60" s="499">
        <f>IFERROR(VLOOKUP(L60,'C-01'!$D:$L,5,0),"")</f>
        <v>0</v>
      </c>
      <c r="P60" s="499">
        <f>IFERROR(VLOOKUP(L60,'C-01'!$D:$L,6,0),"")</f>
        <v>0</v>
      </c>
      <c r="Q60" s="499">
        <f>IFERROR(VLOOKUP(L60,'C-01'!$D:$L,7,0),"")</f>
        <v>0</v>
      </c>
      <c r="R60" s="499">
        <f>IFERROR(VLOOKUP(L60,'C-01'!$D:$L,8,0),"")</f>
        <v>0</v>
      </c>
      <c r="S60" s="498">
        <f>IFERROR(VLOOKUP(L60,'C-01'!$D:$L,9,0),"")</f>
        <v>0</v>
      </c>
      <c r="T60" s="500" t="str">
        <f>IFS('Painel Geral'!$B$5="Mediana",IFERROR(IF(OR(M60="",Q60=0,Q60=""),"",($M60/$Q60)),""),'Painel Geral'!$B$5="Menor Salário",IFERROR(IF(OR(M60="",Q60=0,Q60=""),"",($M60/$N60)),""),'Painel Geral'!$B$5="1º Quartil",IFERROR(IF(OR(M60="",Q60=0,Q60=""),"",($M60/$O60)),""),'Painel Geral'!$B$5="Média",IFERROR(IF(OR(M60="",Q60=0,Q60=""),"",($M60/$P60)),""),'Painel Geral'!$B$5="3º Quartil",IFERROR(IF(OR(M60="",Q60=0,Q60=""),"",($M60/$R60)),""),'Painel Geral'!$B$5="Maior Salário",IFERROR(IF(OR(M60="",Q60=0,Q60=""),"",($M60/$S60)),""))</f>
        <v/>
      </c>
      <c r="U60" s="491" t="str">
        <f t="shared" si="3"/>
        <v/>
      </c>
      <c r="V60" s="501">
        <f>VLOOKUP(A60,'Cálculos Comparativos'!$A:$E,4,0)</f>
        <v>9</v>
      </c>
    </row>
    <row r="61" ht="15.75" customHeight="1">
      <c r="A61" s="17" t="s">
        <v>180</v>
      </c>
      <c r="B61" s="29">
        <v>186.0</v>
      </c>
      <c r="C61" s="490" t="str">
        <f>VLOOKUP(A61,Jobmatch!A:F,2,0)</f>
        <v>SUPERVISOR(A) FINANCEIRO I</v>
      </c>
      <c r="D61" s="490" t="str">
        <f>VLOOKUP(B61,'Folha de Pagamento'!B:G,6,0)</f>
        <v>Financeiro</v>
      </c>
      <c r="E61" s="491" t="str">
        <f>VLOOKUP(A61,Jobmatch!A:F,4,0)</f>
        <v>59 - ADM PROJETOS</v>
      </c>
      <c r="F61" s="490" t="str">
        <f>VLOOKUP(A61,Jobmatch!A:F,5,0)</f>
        <v>Operacional</v>
      </c>
      <c r="G61" s="492" t="str">
        <f>VLOOKUP(B61,'Folha de Pagamento'!B:N,13,0)</f>
        <v/>
      </c>
      <c r="H61" s="493">
        <f t="shared" si="1"/>
        <v>126.2684932</v>
      </c>
      <c r="I61" s="494">
        <f>VLOOKUP(A61,Jobmatch!A:G,6,0)</f>
        <v>469</v>
      </c>
      <c r="J61" s="491" t="str">
        <f>VLOOKUP(A61,Jobmatch!A:H,7,0)</f>
        <v>Supervisor Financeiro</v>
      </c>
      <c r="K61" s="495" t="str">
        <f>VLOOKUP(A61,Jobmatch!A:I,8,0)</f>
        <v>Júnior</v>
      </c>
      <c r="L61" s="496" t="str">
        <f t="shared" si="2"/>
        <v>469Júnior</v>
      </c>
      <c r="M61" s="497">
        <f>IFERROR(VLOOKUP(B61,'Folha de Pagamento'!B:J,9,0),"")</f>
        <v>5955.08</v>
      </c>
      <c r="N61" s="498">
        <f>IFERROR(VLOOKUP(L61,'C-01'!$D:$L,4,0),"")</f>
        <v>0</v>
      </c>
      <c r="O61" s="499">
        <f>IFERROR(VLOOKUP(L61,'C-01'!$D:$L,5,0),"")</f>
        <v>0</v>
      </c>
      <c r="P61" s="499">
        <f>IFERROR(VLOOKUP(L61,'C-01'!$D:$L,6,0),"")</f>
        <v>0</v>
      </c>
      <c r="Q61" s="499">
        <f>IFERROR(VLOOKUP(L61,'C-01'!$D:$L,7,0),"")</f>
        <v>0</v>
      </c>
      <c r="R61" s="499">
        <f>IFERROR(VLOOKUP(L61,'C-01'!$D:$L,8,0),"")</f>
        <v>0</v>
      </c>
      <c r="S61" s="498">
        <f>IFERROR(VLOOKUP(L61,'C-01'!$D:$L,9,0),"")</f>
        <v>0</v>
      </c>
      <c r="T61" s="500" t="str">
        <f>IFS('Painel Geral'!$B$5="Mediana",IFERROR(IF(OR(M61="",Q61=0,Q61=""),"",($M61/$Q61)),""),'Painel Geral'!$B$5="Menor Salário",IFERROR(IF(OR(M61="",Q61=0,Q61=""),"",($M61/$N61)),""),'Painel Geral'!$B$5="1º Quartil",IFERROR(IF(OR(M61="",Q61=0,Q61=""),"",($M61/$O61)),""),'Painel Geral'!$B$5="Média",IFERROR(IF(OR(M61="",Q61=0,Q61=""),"",($M61/$P61)),""),'Painel Geral'!$B$5="3º Quartil",IFERROR(IF(OR(M61="",Q61=0,Q61=""),"",($M61/$R61)),""),'Painel Geral'!$B$5="Maior Salário",IFERROR(IF(OR(M61="",Q61=0,Q61=""),"",($M61/$S61)),""))</f>
        <v/>
      </c>
      <c r="U61" s="491" t="str">
        <f t="shared" si="3"/>
        <v/>
      </c>
      <c r="V61" s="501">
        <f>VLOOKUP(A61,'Cálculos Comparativos'!$A:$E,4,0)</f>
        <v>6</v>
      </c>
    </row>
    <row r="62" ht="15.75" customHeight="1">
      <c r="A62" s="17" t="s">
        <v>183</v>
      </c>
      <c r="B62" s="29" t="s">
        <v>184</v>
      </c>
      <c r="C62" s="490" t="str">
        <f>VLOOKUP(A62,Jobmatch!A:F,2,0)</f>
        <v>TECNICO ANALISTA DE CUSTOS</v>
      </c>
      <c r="D62" s="490" t="str">
        <f>VLOOKUP(B62,'Folha de Pagamento'!B:G,6,0)</f>
        <v>Edificação</v>
      </c>
      <c r="E62" s="491" t="str">
        <f>VLOOKUP(A62,Jobmatch!A:F,4,0)</f>
        <v>60 - ADM PROJETOS</v>
      </c>
      <c r="F62" s="490" t="str">
        <f>VLOOKUP(A62,Jobmatch!A:F,5,0)</f>
        <v>Operacional</v>
      </c>
      <c r="G62" s="492" t="str">
        <f>VLOOKUP(B62,'Folha de Pagamento'!B:N,13,0)</f>
        <v/>
      </c>
      <c r="H62" s="493">
        <f t="shared" si="1"/>
        <v>126.2684932</v>
      </c>
      <c r="I62" s="494">
        <f>VLOOKUP(A62,Jobmatch!A:G,6,0)</f>
        <v>876</v>
      </c>
      <c r="J62" s="491" t="str">
        <f>VLOOKUP(A62,Jobmatch!A:H,7,0)</f>
        <v>Analista de Custos</v>
      </c>
      <c r="K62" s="495" t="str">
        <f>VLOOKUP(A62,Jobmatch!A:I,8,0)</f>
        <v>Indiferente</v>
      </c>
      <c r="L62" s="496" t="str">
        <f t="shared" si="2"/>
        <v>876Indiferente</v>
      </c>
      <c r="M62" s="497">
        <f>IFERROR(VLOOKUP(B62,'Folha de Pagamento'!B:J,9,0),"")</f>
        <v>7000</v>
      </c>
      <c r="N62" s="498">
        <f>IFERROR(VLOOKUP(L62,'C-01'!$D:$L,4,0),"")</f>
        <v>6752.95</v>
      </c>
      <c r="O62" s="499">
        <f>IFERROR(VLOOKUP(L62,'C-01'!$D:$L,5,0),"")</f>
        <v>6868.23</v>
      </c>
      <c r="P62" s="499">
        <f>IFERROR(VLOOKUP(L62,'C-01'!$D:$L,6,0),"")</f>
        <v>7611.25</v>
      </c>
      <c r="Q62" s="499">
        <f>IFERROR(VLOOKUP(L62,'C-01'!$D:$L,7,0),"")</f>
        <v>7320.76</v>
      </c>
      <c r="R62" s="499">
        <f>IFERROR(VLOOKUP(L62,'C-01'!$D:$L,8,0),"")</f>
        <v>8153.71</v>
      </c>
      <c r="S62" s="498">
        <f>IFERROR(VLOOKUP(L62,'C-01'!$D:$L,9,0),"")</f>
        <v>9161.15</v>
      </c>
      <c r="T62" s="500">
        <f>IFS('Painel Geral'!$B$5="Mediana",IFERROR(IF(OR(M62="",Q62=0,Q62=""),"",($M62/$Q62)),""),'Painel Geral'!$B$5="Menor Salário",IFERROR(IF(OR(M62="",Q62=0,Q62=""),"",($M62/$N62)),""),'Painel Geral'!$B$5="1º Quartil",IFERROR(IF(OR(M62="",Q62=0,Q62=""),"",($M62/$O62)),""),'Painel Geral'!$B$5="Média",IFERROR(IF(OR(M62="",Q62=0,Q62=""),"",($M62/$P62)),""),'Painel Geral'!$B$5="3º Quartil",IFERROR(IF(OR(M62="",Q62=0,Q62=""),"",($M62/$R62)),""),'Painel Geral'!$B$5="Maior Salário",IFERROR(IF(OR(M62="",Q62=0,Q62=""),"",($M62/$S62)),""))</f>
        <v>0.956184877</v>
      </c>
      <c r="U62" s="491" t="str">
        <f t="shared" si="3"/>
        <v>Na Média</v>
      </c>
      <c r="V62" s="501">
        <f>VLOOKUP(A62,'Cálculos Comparativos'!$A:$E,4,0)</f>
        <v>5</v>
      </c>
    </row>
    <row r="63" ht="15.75" customHeight="1">
      <c r="A63" s="17" t="s">
        <v>186</v>
      </c>
      <c r="B63" s="29">
        <v>1871.0</v>
      </c>
      <c r="C63" s="490" t="str">
        <f>VLOOKUP(A63,Jobmatch!A:F,2,0)</f>
        <v>TECNOLOGO EM CONSTRUÇÃO DE EDIFICIOS</v>
      </c>
      <c r="D63" s="490" t="str">
        <f>VLOOKUP(B63,'Folha de Pagamento'!B:G,6,0)</f>
        <v>Edificação</v>
      </c>
      <c r="E63" s="491" t="str">
        <f>VLOOKUP(A63,Jobmatch!A:F,4,0)</f>
        <v>61 - ADM PROJETOS</v>
      </c>
      <c r="F63" s="490" t="str">
        <f>VLOOKUP(A63,Jobmatch!A:F,5,0)</f>
        <v>Operacional</v>
      </c>
      <c r="G63" s="492" t="str">
        <f>VLOOKUP(B63,'Folha de Pagamento'!B:N,13,0)</f>
        <v/>
      </c>
      <c r="H63" s="493">
        <f t="shared" si="1"/>
        <v>126.2684932</v>
      </c>
      <c r="I63" s="494">
        <f>VLOOKUP(A63,Jobmatch!A:G,6,0)</f>
        <v>269</v>
      </c>
      <c r="J63" s="491" t="str">
        <f>VLOOKUP(A63,Jobmatch!A:H,7,0)</f>
        <v>Técnico em Edificações</v>
      </c>
      <c r="K63" s="495" t="str">
        <f>VLOOKUP(A63,Jobmatch!A:I,8,0)</f>
        <v>Indiferente</v>
      </c>
      <c r="L63" s="496" t="str">
        <f t="shared" si="2"/>
        <v>269Indiferente</v>
      </c>
      <c r="M63" s="497">
        <f>IFERROR(VLOOKUP(B63,'Folha de Pagamento'!B:J,9,0),"")</f>
        <v>8585</v>
      </c>
      <c r="N63" s="498">
        <f>IFERROR(VLOOKUP(L63,'C-01'!$D:$L,4,0),"")</f>
        <v>3016.5</v>
      </c>
      <c r="O63" s="499">
        <f>IFERROR(VLOOKUP(L63,'C-01'!$D:$L,5,0),"")</f>
        <v>3732.17</v>
      </c>
      <c r="P63" s="499">
        <f>IFERROR(VLOOKUP(L63,'C-01'!$D:$L,6,0),"")</f>
        <v>4583.42</v>
      </c>
      <c r="Q63" s="499">
        <f>IFERROR(VLOOKUP(L63,'C-01'!$D:$L,7,0),"")</f>
        <v>4022.01</v>
      </c>
      <c r="R63" s="499">
        <f>IFERROR(VLOOKUP(L63,'C-01'!$D:$L,8,0),"")</f>
        <v>4417.17</v>
      </c>
      <c r="S63" s="498">
        <f>IFERROR(VLOOKUP(L63,'C-01'!$D:$L,9,0),"")</f>
        <v>9075.39</v>
      </c>
      <c r="T63" s="500">
        <f>IFS('Painel Geral'!$B$5="Mediana",IFERROR(IF(OR(M63="",Q63=0,Q63=""),"",($M63/$Q63)),""),'Painel Geral'!$B$5="Menor Salário",IFERROR(IF(OR(M63="",Q63=0,Q63=""),"",($M63/$N63)),""),'Painel Geral'!$B$5="1º Quartil",IFERROR(IF(OR(M63="",Q63=0,Q63=""),"",($M63/$O63)),""),'Painel Geral'!$B$5="Média",IFERROR(IF(OR(M63="",Q63=0,Q63=""),"",($M63/$P63)),""),'Painel Geral'!$B$5="3º Quartil",IFERROR(IF(OR(M63="",Q63=0,Q63=""),"",($M63/$R63)),""),'Painel Geral'!$B$5="Maior Salário",IFERROR(IF(OR(M63="",Q63=0,Q63=""),"",($M63/$S63)),""))</f>
        <v>2.134504887</v>
      </c>
      <c r="U63" s="491" t="str">
        <f t="shared" si="3"/>
        <v>Agressivo</v>
      </c>
      <c r="V63" s="501">
        <f>VLOOKUP(A63,'Cálculos Comparativos'!$A:$E,4,0)</f>
        <v>5</v>
      </c>
    </row>
  </sheetData>
  <autoFilter ref="$A$3:$V$63">
    <sortState ref="A3:V63">
      <sortCondition ref="V3:V63"/>
      <sortCondition descending="1" ref="T3:T63"/>
    </sortState>
  </autoFilter>
  <customSheetViews>
    <customSheetView guid="{3C6918C3-D868-4D69-A6CD-504F4B52EE22}" filter="1" showAutoFilter="1">
      <autoFilter ref="$A$3:$U$3"/>
    </customSheetView>
    <customSheetView guid="{96C31A28-1028-4009-9DE6-63B3CF4DFB9B}" filter="1" showAutoFilter="1">
      <autoFilter ref="$A$3:$U$3"/>
    </customSheetView>
    <customSheetView guid="{B41F88BD-3F58-45D0-A0E7-C0E19BA24239}" filter="1" showAutoFilter="1">
      <autoFilter ref="$A$3:$U$3"/>
    </customSheetView>
    <customSheetView guid="{A7CC0C28-C4CD-4D76-B1EF-29E890F45AC8}" filter="1" showAutoFilter="1">
      <autoFilter ref="$A$3:$U$3"/>
    </customSheetView>
    <customSheetView guid="{0075A802-B66C-4D7D-929F-34C2F59AE8A9}" filter="1" showAutoFilter="1">
      <autoFilter ref="$A$3:$U$3"/>
    </customSheetView>
    <customSheetView guid="{9ED18B37-6EB4-4260-A5FA-FAFBE39E0B69}" filter="1" showAutoFilter="1">
      <autoFilter ref="$A$3:$U$3"/>
    </customSheetView>
    <customSheetView guid="{45EEC70B-EA86-49D3-A588-0A0D84BF9E52}" filter="1" showAutoFilter="1">
      <autoFilter ref="$A$1:$U$1"/>
    </customSheetView>
  </customSheetViews>
  <mergeCells count="2">
    <mergeCell ref="A1:M1"/>
    <mergeCell ref="N1:S1"/>
  </mergeCells>
  <printOptions/>
  <pageMargins bottom="0.787401575" footer="0.0" header="0.0" left="0.511811024" right="0.511811024" top="0.787401575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78.5"/>
    <col customWidth="1" min="2" max="2" width="2.63"/>
    <col customWidth="1" min="3" max="3" width="3.88"/>
  </cols>
  <sheetData>
    <row r="1" ht="21.75" customHeight="1">
      <c r="A1" s="503" t="s">
        <v>439</v>
      </c>
      <c r="B1" s="504"/>
      <c r="C1" s="504"/>
      <c r="D1" s="504"/>
      <c r="E1" s="504"/>
      <c r="F1" s="504"/>
      <c r="G1" s="504"/>
      <c r="H1" s="504"/>
      <c r="I1" s="504"/>
    </row>
    <row r="2">
      <c r="A2" s="505" t="s">
        <v>440</v>
      </c>
      <c r="B2" s="506"/>
      <c r="C2" s="506"/>
      <c r="D2" s="506"/>
      <c r="E2" s="506"/>
      <c r="F2" s="506"/>
      <c r="G2" s="506"/>
      <c r="H2" s="506"/>
      <c r="I2" s="506"/>
    </row>
    <row r="3">
      <c r="A3" s="507"/>
      <c r="B3" s="506"/>
      <c r="C3" s="506"/>
      <c r="D3" s="506"/>
      <c r="E3" s="506"/>
      <c r="F3" s="506"/>
      <c r="G3" s="506"/>
      <c r="H3" s="506"/>
      <c r="I3" s="506"/>
    </row>
    <row r="4">
      <c r="A4" s="507" t="s">
        <v>441</v>
      </c>
      <c r="B4" s="508"/>
      <c r="C4" s="508"/>
      <c r="D4" s="508"/>
      <c r="E4" s="508"/>
      <c r="F4" s="508"/>
      <c r="G4" s="508"/>
      <c r="H4" s="508"/>
      <c r="I4" s="508"/>
    </row>
    <row r="5">
      <c r="A5" s="507" t="s">
        <v>442</v>
      </c>
      <c r="B5" s="508"/>
      <c r="C5" s="508"/>
      <c r="D5" s="508"/>
      <c r="E5" s="508"/>
      <c r="F5" s="508"/>
      <c r="G5" s="508"/>
      <c r="H5" s="508"/>
      <c r="I5" s="508"/>
    </row>
    <row r="6">
      <c r="A6" s="507" t="s">
        <v>443</v>
      </c>
      <c r="B6" s="508"/>
      <c r="C6" s="508"/>
      <c r="D6" s="508"/>
      <c r="E6" s="508"/>
      <c r="F6" s="508"/>
      <c r="G6" s="508"/>
      <c r="H6" s="508"/>
      <c r="I6" s="508"/>
    </row>
    <row r="7">
      <c r="A7" s="507" t="s">
        <v>444</v>
      </c>
      <c r="B7" s="508"/>
      <c r="C7" s="508"/>
      <c r="D7" s="508"/>
      <c r="E7" s="508"/>
      <c r="F7" s="508"/>
      <c r="G7" s="508"/>
      <c r="H7" s="508"/>
      <c r="I7" s="508"/>
    </row>
    <row r="8">
      <c r="A8" s="507" t="s">
        <v>445</v>
      </c>
      <c r="B8" s="508"/>
      <c r="C8" s="508"/>
      <c r="D8" s="508"/>
      <c r="E8" s="508"/>
      <c r="F8" s="508"/>
      <c r="G8" s="508"/>
      <c r="H8" s="508"/>
      <c r="I8" s="508"/>
    </row>
    <row r="9">
      <c r="A9" s="507" t="s">
        <v>446</v>
      </c>
      <c r="B9" s="508"/>
      <c r="C9" s="508"/>
      <c r="D9" s="508"/>
      <c r="E9" s="508"/>
      <c r="F9" s="508"/>
      <c r="G9" s="508"/>
      <c r="H9" s="508"/>
      <c r="I9" s="508"/>
    </row>
    <row r="10">
      <c r="A10" s="507"/>
      <c r="B10" s="508"/>
      <c r="C10" s="508"/>
      <c r="D10" s="508"/>
      <c r="E10" s="508"/>
      <c r="F10" s="508"/>
      <c r="G10" s="508"/>
      <c r="H10" s="508"/>
      <c r="I10" s="508"/>
    </row>
    <row r="11">
      <c r="A11" s="507" t="s">
        <v>447</v>
      </c>
      <c r="B11" s="508"/>
      <c r="C11" s="508"/>
      <c r="D11" s="508"/>
      <c r="E11" s="508"/>
      <c r="F11" s="508"/>
      <c r="G11" s="508"/>
      <c r="H11" s="508"/>
      <c r="I11" s="508"/>
    </row>
    <row r="12">
      <c r="A12" s="507" t="s">
        <v>448</v>
      </c>
      <c r="B12" s="508"/>
      <c r="C12" s="508"/>
      <c r="D12" s="508"/>
      <c r="E12" s="508"/>
      <c r="F12" s="508"/>
      <c r="G12" s="508"/>
      <c r="H12" s="508"/>
      <c r="I12" s="508"/>
    </row>
    <row r="13">
      <c r="A13" s="507" t="s">
        <v>449</v>
      </c>
      <c r="B13" s="508"/>
      <c r="C13" s="508"/>
      <c r="D13" s="508"/>
      <c r="E13" s="508"/>
      <c r="F13" s="508"/>
      <c r="G13" s="508"/>
      <c r="H13" s="508"/>
      <c r="I13" s="508"/>
    </row>
    <row r="14">
      <c r="A14" s="507" t="s">
        <v>450</v>
      </c>
      <c r="B14" s="508"/>
      <c r="C14" s="508"/>
      <c r="D14" s="508"/>
      <c r="E14" s="508"/>
      <c r="F14" s="508"/>
      <c r="G14" s="508"/>
      <c r="H14" s="508"/>
      <c r="I14" s="508"/>
    </row>
    <row r="15">
      <c r="A15" s="507" t="s">
        <v>451</v>
      </c>
      <c r="B15" s="508"/>
      <c r="C15" s="508"/>
      <c r="D15" s="508"/>
      <c r="E15" s="508"/>
      <c r="F15" s="508"/>
      <c r="G15" s="508"/>
      <c r="H15" s="508"/>
      <c r="I15" s="508"/>
    </row>
    <row r="16">
      <c r="A16" s="507" t="s">
        <v>452</v>
      </c>
      <c r="B16" s="508"/>
      <c r="C16" s="508"/>
      <c r="D16" s="508"/>
      <c r="E16" s="508"/>
      <c r="F16" s="508"/>
      <c r="G16" s="508"/>
      <c r="H16" s="508"/>
      <c r="I16" s="508"/>
    </row>
    <row r="17">
      <c r="A17" s="507" t="s">
        <v>453</v>
      </c>
      <c r="B17" s="508"/>
      <c r="C17" s="508"/>
      <c r="D17" s="508"/>
      <c r="E17" s="508"/>
      <c r="F17" s="508"/>
      <c r="G17" s="508"/>
      <c r="H17" s="508"/>
      <c r="I17" s="508"/>
    </row>
    <row r="18">
      <c r="A18" s="507" t="s">
        <v>454</v>
      </c>
      <c r="B18" s="508"/>
      <c r="C18" s="508"/>
      <c r="D18" s="508"/>
      <c r="E18" s="508"/>
      <c r="F18" s="508"/>
      <c r="G18" s="508"/>
      <c r="H18" s="508"/>
      <c r="I18" s="508"/>
    </row>
    <row r="19">
      <c r="A19" s="507" t="s">
        <v>455</v>
      </c>
      <c r="B19" s="508"/>
      <c r="C19" s="508"/>
      <c r="D19" s="508"/>
      <c r="E19" s="508"/>
      <c r="F19" s="508"/>
      <c r="G19" s="508"/>
      <c r="H19" s="508"/>
      <c r="I19" s="508"/>
    </row>
    <row r="20">
      <c r="A20" s="507"/>
      <c r="B20" s="508"/>
      <c r="C20" s="508"/>
      <c r="D20" s="508"/>
      <c r="E20" s="508"/>
      <c r="F20" s="508"/>
      <c r="G20" s="508"/>
      <c r="H20" s="508"/>
      <c r="I20" s="508"/>
    </row>
    <row r="21">
      <c r="A21" s="509" t="s">
        <v>456</v>
      </c>
      <c r="B21" s="508"/>
      <c r="C21" s="508"/>
      <c r="D21" s="508"/>
      <c r="E21" s="508"/>
      <c r="F21" s="508"/>
      <c r="G21" s="508"/>
      <c r="H21" s="508"/>
      <c r="I21" s="508"/>
    </row>
    <row r="22">
      <c r="A22" s="510"/>
      <c r="B22" s="508"/>
      <c r="C22" s="508"/>
      <c r="D22" s="508"/>
      <c r="E22" s="508"/>
      <c r="F22" s="508"/>
      <c r="G22" s="508"/>
      <c r="H22" s="508"/>
      <c r="I22" s="508"/>
    </row>
    <row r="23">
      <c r="A23" s="509" t="s">
        <v>457</v>
      </c>
      <c r="B23" s="508"/>
      <c r="C23" s="508"/>
      <c r="D23" s="508"/>
      <c r="E23" s="508"/>
      <c r="F23" s="508"/>
      <c r="G23" s="508"/>
      <c r="H23" s="508"/>
      <c r="I23" s="508"/>
    </row>
    <row r="24">
      <c r="A24" s="511"/>
      <c r="C24" s="508"/>
      <c r="D24" s="508"/>
      <c r="E24" s="508"/>
      <c r="F24" s="508"/>
      <c r="G24" s="508"/>
      <c r="H24" s="508"/>
      <c r="I24" s="508"/>
    </row>
    <row r="25">
      <c r="A25" s="509" t="s">
        <v>440</v>
      </c>
      <c r="C25" s="508"/>
      <c r="D25" s="508"/>
      <c r="E25" s="508"/>
      <c r="F25" s="508"/>
      <c r="G25" s="508"/>
      <c r="H25" s="508"/>
      <c r="I25" s="508"/>
    </row>
    <row r="26">
      <c r="A26" s="507"/>
      <c r="B26" s="506"/>
      <c r="C26" s="506"/>
      <c r="D26" s="506"/>
      <c r="E26" s="506"/>
      <c r="F26" s="506"/>
      <c r="G26" s="506"/>
      <c r="H26" s="506"/>
      <c r="I26" s="506"/>
    </row>
    <row r="27">
      <c r="A27" s="509" t="s">
        <v>458</v>
      </c>
      <c r="B27" s="506"/>
      <c r="C27" s="506"/>
      <c r="D27" s="506"/>
      <c r="E27" s="506"/>
      <c r="F27" s="506"/>
      <c r="G27" s="506"/>
      <c r="H27" s="506"/>
      <c r="I27" s="506"/>
    </row>
    <row r="28">
      <c r="A28" s="505"/>
      <c r="B28" s="506"/>
      <c r="C28" s="506"/>
      <c r="D28" s="506"/>
      <c r="E28" s="506"/>
      <c r="F28" s="506"/>
      <c r="G28" s="506"/>
      <c r="H28" s="506"/>
      <c r="I28" s="506"/>
    </row>
    <row r="29">
      <c r="A29" s="512" t="s">
        <v>444</v>
      </c>
      <c r="B29" s="506"/>
      <c r="C29" s="506"/>
      <c r="D29" s="506"/>
      <c r="E29" s="506"/>
      <c r="F29" s="506"/>
      <c r="G29" s="506"/>
      <c r="H29" s="506"/>
      <c r="I29" s="506"/>
    </row>
    <row r="30">
      <c r="A30" s="512" t="s">
        <v>459</v>
      </c>
      <c r="B30" s="506"/>
      <c r="C30" s="506"/>
      <c r="D30" s="506"/>
      <c r="E30" s="506"/>
      <c r="F30" s="506"/>
      <c r="G30" s="506"/>
      <c r="H30" s="506"/>
      <c r="I30" s="506"/>
    </row>
    <row r="31">
      <c r="A31" s="512" t="s">
        <v>446</v>
      </c>
      <c r="B31" s="506"/>
      <c r="C31" s="506"/>
      <c r="D31" s="506"/>
      <c r="E31" s="506"/>
      <c r="F31" s="506"/>
      <c r="G31" s="506"/>
      <c r="H31" s="506"/>
      <c r="I31" s="506"/>
    </row>
    <row r="32">
      <c r="A32" s="512"/>
      <c r="B32" s="506"/>
      <c r="C32" s="513"/>
      <c r="D32" s="506"/>
      <c r="E32" s="506"/>
      <c r="F32" s="506"/>
      <c r="G32" s="506"/>
      <c r="H32" s="506"/>
      <c r="I32" s="506"/>
    </row>
    <row r="33">
      <c r="A33" s="512" t="s">
        <v>447</v>
      </c>
      <c r="B33" s="506"/>
      <c r="C33" s="506"/>
      <c r="D33" s="506"/>
      <c r="E33" s="506"/>
      <c r="F33" s="506"/>
      <c r="G33" s="506"/>
      <c r="H33" s="506"/>
      <c r="I33" s="506"/>
    </row>
    <row r="34">
      <c r="A34" s="512" t="s">
        <v>460</v>
      </c>
      <c r="B34" s="506"/>
      <c r="C34" s="506"/>
      <c r="D34" s="506"/>
      <c r="E34" s="506"/>
      <c r="F34" s="506"/>
      <c r="G34" s="506"/>
      <c r="H34" s="506"/>
      <c r="I34" s="506"/>
    </row>
    <row r="35">
      <c r="A35" s="512" t="s">
        <v>461</v>
      </c>
      <c r="B35" s="506"/>
      <c r="C35" s="506"/>
      <c r="D35" s="506"/>
      <c r="E35" s="506"/>
      <c r="F35" s="506"/>
      <c r="G35" s="506"/>
      <c r="H35" s="506"/>
      <c r="I35" s="506"/>
    </row>
    <row r="36">
      <c r="A36" s="512" t="s">
        <v>462</v>
      </c>
      <c r="B36" s="506"/>
      <c r="C36" s="506"/>
      <c r="D36" s="506"/>
      <c r="E36" s="506"/>
      <c r="F36" s="506"/>
      <c r="G36" s="506"/>
      <c r="H36" s="506"/>
      <c r="I36" s="506"/>
    </row>
    <row r="37">
      <c r="A37" s="512" t="s">
        <v>463</v>
      </c>
      <c r="B37" s="506"/>
      <c r="C37" s="506"/>
      <c r="D37" s="506"/>
      <c r="E37" s="506"/>
      <c r="F37" s="506"/>
      <c r="G37" s="506"/>
      <c r="H37" s="506"/>
      <c r="I37" s="506"/>
    </row>
    <row r="38">
      <c r="A38" s="512" t="s">
        <v>464</v>
      </c>
      <c r="B38" s="506"/>
      <c r="C38" s="506"/>
      <c r="D38" s="506"/>
      <c r="E38" s="506"/>
      <c r="F38" s="506"/>
      <c r="G38" s="506"/>
      <c r="H38" s="506"/>
      <c r="I38" s="506"/>
    </row>
    <row r="39">
      <c r="A39" s="512" t="s">
        <v>465</v>
      </c>
      <c r="B39" s="506"/>
      <c r="C39" s="506"/>
      <c r="D39" s="506"/>
      <c r="E39" s="506"/>
      <c r="F39" s="506"/>
      <c r="G39" s="506"/>
      <c r="H39" s="506"/>
      <c r="I39" s="506"/>
    </row>
    <row r="40">
      <c r="A40" s="512" t="s">
        <v>466</v>
      </c>
      <c r="B40" s="506"/>
      <c r="C40" s="506"/>
      <c r="D40" s="506"/>
      <c r="E40" s="506"/>
      <c r="F40" s="506"/>
      <c r="G40" s="506"/>
      <c r="H40" s="506"/>
      <c r="I40" s="506"/>
    </row>
    <row r="41">
      <c r="A41" s="512"/>
      <c r="B41" s="506"/>
      <c r="C41" s="506"/>
      <c r="D41" s="506"/>
      <c r="E41" s="506"/>
      <c r="F41" s="506"/>
      <c r="G41" s="506"/>
      <c r="H41" s="506"/>
      <c r="I41" s="506"/>
    </row>
    <row r="42">
      <c r="A42" s="512" t="s">
        <v>467</v>
      </c>
      <c r="B42" s="506"/>
      <c r="C42" s="506"/>
      <c r="D42" s="506"/>
      <c r="E42" s="506"/>
      <c r="F42" s="506"/>
      <c r="G42" s="506"/>
      <c r="H42" s="506"/>
      <c r="I42" s="506"/>
    </row>
    <row r="43">
      <c r="A43" s="512"/>
      <c r="B43" s="506"/>
      <c r="C43" s="506"/>
      <c r="D43" s="506"/>
      <c r="E43" s="506"/>
      <c r="F43" s="506"/>
      <c r="G43" s="506"/>
      <c r="H43" s="506"/>
      <c r="I43" s="506"/>
    </row>
    <row r="44">
      <c r="A44" s="512"/>
      <c r="B44" s="506"/>
      <c r="C44" s="506"/>
      <c r="D44" s="506"/>
      <c r="E44" s="506"/>
      <c r="F44" s="506"/>
      <c r="G44" s="506"/>
      <c r="H44" s="506"/>
      <c r="I44" s="506"/>
    </row>
    <row r="45">
      <c r="A45" s="512"/>
      <c r="B45" s="506"/>
      <c r="C45" s="506"/>
      <c r="D45" s="506"/>
      <c r="E45" s="506"/>
      <c r="F45" s="506"/>
      <c r="G45" s="506"/>
      <c r="H45" s="506"/>
      <c r="I45" s="506"/>
    </row>
    <row r="46">
      <c r="A46" s="512"/>
      <c r="B46" s="506"/>
      <c r="C46" s="506"/>
      <c r="D46" s="506"/>
      <c r="E46" s="506"/>
      <c r="F46" s="506"/>
      <c r="G46" s="506"/>
      <c r="H46" s="506"/>
      <c r="I46" s="506"/>
    </row>
    <row r="47">
      <c r="A47" s="513"/>
      <c r="B47" s="506"/>
      <c r="C47" s="506"/>
      <c r="D47" s="506"/>
      <c r="E47" s="506"/>
      <c r="F47" s="506"/>
      <c r="G47" s="506"/>
      <c r="H47" s="506"/>
      <c r="I47" s="506"/>
    </row>
    <row r="48">
      <c r="A48" s="512"/>
      <c r="B48" s="506"/>
      <c r="C48" s="506"/>
      <c r="D48" s="506"/>
      <c r="E48" s="506"/>
      <c r="F48" s="506"/>
      <c r="G48" s="506"/>
      <c r="H48" s="506"/>
      <c r="I48" s="506"/>
    </row>
    <row r="49">
      <c r="A49" s="512"/>
      <c r="B49" s="506"/>
      <c r="C49" s="506"/>
      <c r="D49" s="506"/>
      <c r="E49" s="506"/>
      <c r="F49" s="506"/>
      <c r="G49" s="506"/>
      <c r="H49" s="506"/>
      <c r="I49" s="506"/>
    </row>
    <row r="50">
      <c r="A50" s="512"/>
      <c r="B50" s="506"/>
      <c r="C50" s="506"/>
      <c r="D50" s="506"/>
      <c r="E50" s="506"/>
      <c r="F50" s="506"/>
      <c r="G50" s="506"/>
      <c r="H50" s="506"/>
      <c r="I50" s="506"/>
    </row>
    <row r="51">
      <c r="A51" s="514"/>
      <c r="B51" s="506"/>
      <c r="C51" s="513"/>
      <c r="D51" s="506"/>
      <c r="E51" s="506"/>
      <c r="F51" s="506"/>
      <c r="G51" s="506"/>
      <c r="H51" s="506"/>
      <c r="I51" s="506"/>
    </row>
    <row r="52">
      <c r="A52" s="512"/>
      <c r="B52" s="506"/>
      <c r="C52" s="506"/>
      <c r="D52" s="506"/>
      <c r="E52" s="506"/>
      <c r="F52" s="506"/>
      <c r="G52" s="506"/>
      <c r="H52" s="506"/>
      <c r="I52" s="506"/>
    </row>
    <row r="53">
      <c r="A53" s="513"/>
      <c r="B53" s="506"/>
      <c r="C53" s="513"/>
      <c r="D53" s="506"/>
      <c r="E53" s="506"/>
      <c r="F53" s="506"/>
      <c r="G53" s="506"/>
      <c r="H53" s="506"/>
      <c r="I53" s="506"/>
    </row>
    <row r="54">
      <c r="A54" s="515"/>
      <c r="B54" s="506"/>
      <c r="C54" s="506"/>
      <c r="D54" s="506"/>
      <c r="E54" s="506"/>
      <c r="F54" s="506"/>
      <c r="G54" s="506"/>
      <c r="H54" s="506"/>
      <c r="I54" s="506"/>
    </row>
    <row r="55">
      <c r="A55" s="515"/>
      <c r="B55" s="506"/>
      <c r="C55" s="506"/>
      <c r="D55" s="506"/>
      <c r="E55" s="506"/>
      <c r="F55" s="506"/>
      <c r="G55" s="506"/>
      <c r="H55" s="506"/>
      <c r="I55" s="506"/>
    </row>
    <row r="56">
      <c r="A56" s="513"/>
      <c r="B56" s="506"/>
      <c r="C56" s="506"/>
      <c r="D56" s="506"/>
      <c r="E56" s="506"/>
      <c r="F56" s="506"/>
      <c r="G56" s="506"/>
      <c r="H56" s="506"/>
      <c r="I56" s="506"/>
    </row>
    <row r="57">
      <c r="A57" s="513"/>
      <c r="B57" s="506"/>
      <c r="C57" s="506"/>
      <c r="D57" s="506"/>
      <c r="E57" s="506"/>
      <c r="F57" s="506"/>
      <c r="G57" s="506"/>
      <c r="H57" s="506"/>
      <c r="I57" s="506"/>
    </row>
    <row r="58">
      <c r="A58" s="513"/>
      <c r="B58" s="506"/>
      <c r="C58" s="506"/>
      <c r="D58" s="506"/>
      <c r="E58" s="506"/>
      <c r="F58" s="506"/>
      <c r="G58" s="506"/>
      <c r="H58" s="506"/>
      <c r="I58" s="506"/>
    </row>
    <row r="59">
      <c r="A59" s="513"/>
      <c r="B59" s="506"/>
      <c r="C59" s="506"/>
      <c r="D59" s="506"/>
      <c r="E59" s="506"/>
      <c r="F59" s="506"/>
      <c r="G59" s="506"/>
      <c r="H59" s="506"/>
      <c r="I59" s="506"/>
    </row>
    <row r="60">
      <c r="A60" s="513"/>
      <c r="B60" s="506"/>
      <c r="C60" s="506"/>
      <c r="D60" s="506"/>
      <c r="E60" s="506"/>
      <c r="F60" s="506"/>
      <c r="G60" s="506"/>
      <c r="H60" s="506"/>
      <c r="I60" s="506"/>
    </row>
    <row r="61">
      <c r="A61" s="513"/>
      <c r="B61" s="506"/>
      <c r="C61" s="506"/>
      <c r="D61" s="506"/>
      <c r="E61" s="506"/>
      <c r="F61" s="506"/>
      <c r="G61" s="506"/>
      <c r="H61" s="506"/>
      <c r="I61" s="506"/>
    </row>
    <row r="62">
      <c r="A62" s="513"/>
      <c r="B62" s="506"/>
      <c r="C62" s="506"/>
      <c r="D62" s="506"/>
      <c r="E62" s="506"/>
      <c r="F62" s="506"/>
      <c r="G62" s="506"/>
      <c r="H62" s="506"/>
      <c r="I62" s="506"/>
    </row>
    <row r="63">
      <c r="A63" s="513"/>
      <c r="B63" s="506"/>
      <c r="C63" s="506"/>
      <c r="D63" s="506"/>
      <c r="E63" s="506"/>
      <c r="F63" s="506"/>
      <c r="G63" s="506"/>
      <c r="H63" s="506"/>
      <c r="I63" s="506"/>
    </row>
    <row r="64">
      <c r="A64" s="513"/>
      <c r="B64" s="506"/>
      <c r="C64" s="506"/>
      <c r="D64" s="506"/>
      <c r="E64" s="506"/>
      <c r="F64" s="506"/>
      <c r="G64" s="506"/>
      <c r="H64" s="506"/>
      <c r="I64" s="506"/>
    </row>
    <row r="65">
      <c r="A65" s="513"/>
      <c r="B65" s="506"/>
      <c r="C65" s="506"/>
      <c r="D65" s="506"/>
      <c r="E65" s="506"/>
      <c r="F65" s="506"/>
      <c r="G65" s="506"/>
      <c r="H65" s="506"/>
      <c r="I65" s="506"/>
    </row>
    <row r="66">
      <c r="A66" s="513"/>
      <c r="B66" s="506"/>
      <c r="C66" s="506"/>
      <c r="D66" s="506"/>
      <c r="E66" s="506"/>
      <c r="F66" s="506"/>
      <c r="G66" s="506"/>
      <c r="H66" s="506"/>
      <c r="I66" s="506"/>
    </row>
    <row r="67">
      <c r="A67" s="513"/>
      <c r="B67" s="506"/>
      <c r="C67" s="506"/>
      <c r="D67" s="506"/>
      <c r="E67" s="506"/>
      <c r="F67" s="506"/>
      <c r="G67" s="506"/>
      <c r="H67" s="506"/>
      <c r="I67" s="506"/>
    </row>
    <row r="68">
      <c r="A68" s="513"/>
      <c r="B68" s="506"/>
      <c r="C68" s="506"/>
      <c r="D68" s="506"/>
      <c r="E68" s="506"/>
      <c r="F68" s="506"/>
      <c r="G68" s="506"/>
      <c r="H68" s="506"/>
      <c r="I68" s="506"/>
    </row>
    <row r="69">
      <c r="A69" s="513"/>
      <c r="B69" s="506"/>
      <c r="C69" s="506"/>
      <c r="D69" s="506"/>
      <c r="E69" s="506"/>
      <c r="F69" s="506"/>
      <c r="G69" s="506"/>
      <c r="H69" s="506"/>
      <c r="I69" s="506"/>
    </row>
    <row r="70">
      <c r="A70" s="513"/>
      <c r="B70" s="506"/>
      <c r="C70" s="506"/>
      <c r="D70" s="506"/>
      <c r="E70" s="506"/>
      <c r="F70" s="506"/>
      <c r="G70" s="506"/>
      <c r="H70" s="506"/>
      <c r="I70" s="506"/>
    </row>
    <row r="71">
      <c r="A71" s="513"/>
      <c r="B71" s="506"/>
      <c r="C71" s="506"/>
      <c r="D71" s="506"/>
      <c r="E71" s="506"/>
      <c r="F71" s="506"/>
      <c r="G71" s="506"/>
      <c r="H71" s="506"/>
      <c r="I71" s="506"/>
    </row>
    <row r="72">
      <c r="A72" s="513"/>
      <c r="B72" s="506"/>
      <c r="C72" s="506"/>
      <c r="D72" s="506"/>
      <c r="E72" s="506"/>
      <c r="F72" s="506"/>
      <c r="G72" s="506"/>
      <c r="H72" s="506"/>
      <c r="I72" s="506"/>
    </row>
    <row r="73">
      <c r="A73" s="513"/>
      <c r="B73" s="506"/>
      <c r="C73" s="506"/>
      <c r="D73" s="506"/>
      <c r="E73" s="506"/>
      <c r="F73" s="506"/>
      <c r="G73" s="506"/>
      <c r="H73" s="506"/>
      <c r="I73" s="506"/>
    </row>
    <row r="74">
      <c r="A74" s="513"/>
      <c r="B74" s="506"/>
      <c r="C74" s="506"/>
      <c r="D74" s="506"/>
      <c r="E74" s="506"/>
      <c r="F74" s="506"/>
      <c r="G74" s="506"/>
      <c r="H74" s="506"/>
      <c r="I74" s="506"/>
    </row>
    <row r="75">
      <c r="A75" s="513"/>
      <c r="B75" s="506"/>
      <c r="C75" s="506"/>
      <c r="D75" s="506"/>
      <c r="E75" s="506"/>
      <c r="F75" s="506"/>
      <c r="G75" s="506"/>
      <c r="H75" s="506"/>
      <c r="I75" s="506"/>
    </row>
    <row r="76">
      <c r="A76" s="513"/>
      <c r="B76" s="506"/>
      <c r="C76" s="506"/>
      <c r="D76" s="506"/>
      <c r="E76" s="506"/>
      <c r="F76" s="506"/>
      <c r="G76" s="506"/>
      <c r="H76" s="506"/>
      <c r="I76" s="506"/>
    </row>
    <row r="77">
      <c r="A77" s="513"/>
      <c r="B77" s="506"/>
      <c r="C77" s="506"/>
      <c r="D77" s="506"/>
      <c r="E77" s="506"/>
      <c r="F77" s="506"/>
      <c r="G77" s="506"/>
      <c r="H77" s="506"/>
      <c r="I77" s="506"/>
    </row>
    <row r="78">
      <c r="A78" s="513"/>
      <c r="B78" s="506"/>
      <c r="C78" s="506"/>
      <c r="D78" s="506"/>
      <c r="E78" s="506"/>
      <c r="F78" s="506"/>
      <c r="G78" s="506"/>
      <c r="H78" s="506"/>
      <c r="I78" s="506"/>
    </row>
    <row r="79">
      <c r="A79" s="513"/>
      <c r="B79" s="506"/>
      <c r="C79" s="506"/>
      <c r="D79" s="506"/>
      <c r="E79" s="506"/>
      <c r="F79" s="506"/>
      <c r="G79" s="506"/>
      <c r="H79" s="506"/>
      <c r="I79" s="506"/>
    </row>
    <row r="80">
      <c r="A80" s="513"/>
      <c r="B80" s="506"/>
      <c r="C80" s="506"/>
      <c r="D80" s="506"/>
      <c r="E80" s="506"/>
      <c r="F80" s="506"/>
      <c r="G80" s="506"/>
      <c r="H80" s="506"/>
      <c r="I80" s="506"/>
    </row>
    <row r="81">
      <c r="A81" s="513"/>
      <c r="B81" s="506"/>
      <c r="C81" s="506"/>
      <c r="D81" s="506"/>
      <c r="E81" s="506"/>
      <c r="F81" s="506"/>
      <c r="G81" s="506"/>
      <c r="H81" s="506"/>
      <c r="I81" s="506"/>
    </row>
    <row r="82">
      <c r="A82" s="513"/>
      <c r="B82" s="506"/>
      <c r="C82" s="506"/>
      <c r="D82" s="506"/>
      <c r="E82" s="506"/>
      <c r="F82" s="506"/>
      <c r="G82" s="506"/>
      <c r="H82" s="506"/>
      <c r="I82" s="506"/>
    </row>
    <row r="83">
      <c r="A83" s="513"/>
      <c r="B83" s="506"/>
      <c r="C83" s="506"/>
      <c r="D83" s="506"/>
      <c r="E83" s="506"/>
      <c r="F83" s="506"/>
      <c r="G83" s="506"/>
      <c r="H83" s="506"/>
      <c r="I83" s="506"/>
    </row>
    <row r="84">
      <c r="A84" s="513"/>
      <c r="B84" s="506"/>
      <c r="C84" s="506"/>
      <c r="D84" s="506"/>
      <c r="E84" s="506"/>
      <c r="F84" s="506"/>
      <c r="G84" s="506"/>
      <c r="H84" s="506"/>
      <c r="I84" s="506"/>
    </row>
    <row r="85">
      <c r="A85" s="513"/>
      <c r="B85" s="506"/>
      <c r="C85" s="506"/>
      <c r="D85" s="506"/>
      <c r="E85" s="506"/>
      <c r="F85" s="506"/>
      <c r="G85" s="506"/>
      <c r="H85" s="506"/>
      <c r="I85" s="506"/>
    </row>
    <row r="86">
      <c r="A86" s="513"/>
      <c r="B86" s="506"/>
      <c r="C86" s="506"/>
      <c r="D86" s="506"/>
      <c r="E86" s="506"/>
      <c r="F86" s="506"/>
      <c r="G86" s="506"/>
      <c r="H86" s="506"/>
      <c r="I86" s="506"/>
    </row>
    <row r="87">
      <c r="A87" s="513"/>
      <c r="B87" s="506"/>
      <c r="C87" s="506"/>
      <c r="D87" s="506"/>
      <c r="E87" s="506"/>
      <c r="F87" s="506"/>
      <c r="G87" s="506"/>
      <c r="H87" s="506"/>
      <c r="I87" s="506"/>
    </row>
    <row r="88">
      <c r="A88" s="513"/>
      <c r="B88" s="506"/>
      <c r="C88" s="506"/>
      <c r="D88" s="506"/>
      <c r="E88" s="506"/>
      <c r="F88" s="506"/>
      <c r="G88" s="506"/>
      <c r="H88" s="506"/>
      <c r="I88" s="506"/>
    </row>
    <row r="89">
      <c r="A89" s="513"/>
      <c r="B89" s="506"/>
      <c r="C89" s="506"/>
      <c r="D89" s="506"/>
      <c r="E89" s="506"/>
      <c r="F89" s="506"/>
      <c r="G89" s="506"/>
      <c r="H89" s="506"/>
      <c r="I89" s="506"/>
    </row>
    <row r="90">
      <c r="A90" s="513"/>
      <c r="B90" s="506"/>
      <c r="C90" s="506"/>
      <c r="D90" s="506"/>
      <c r="E90" s="506"/>
      <c r="F90" s="506"/>
      <c r="G90" s="506"/>
      <c r="H90" s="506"/>
      <c r="I90" s="506"/>
    </row>
    <row r="91">
      <c r="A91" s="513"/>
      <c r="B91" s="506"/>
      <c r="C91" s="506"/>
      <c r="D91" s="506"/>
      <c r="E91" s="506"/>
      <c r="F91" s="506"/>
      <c r="G91" s="506"/>
      <c r="H91" s="506"/>
      <c r="I91" s="506"/>
    </row>
    <row r="92">
      <c r="A92" s="513"/>
      <c r="B92" s="506"/>
      <c r="C92" s="506"/>
      <c r="D92" s="506"/>
      <c r="E92" s="506"/>
      <c r="F92" s="506"/>
      <c r="G92" s="506"/>
      <c r="H92" s="506"/>
      <c r="I92" s="506"/>
    </row>
    <row r="93">
      <c r="A93" s="513"/>
      <c r="B93" s="506"/>
      <c r="C93" s="506"/>
      <c r="D93" s="506"/>
      <c r="E93" s="506"/>
      <c r="F93" s="506"/>
      <c r="G93" s="506"/>
      <c r="H93" s="506"/>
      <c r="I93" s="506"/>
    </row>
    <row r="94">
      <c r="A94" s="513"/>
      <c r="B94" s="506"/>
      <c r="C94" s="506"/>
      <c r="D94" s="506"/>
      <c r="E94" s="506"/>
      <c r="F94" s="506"/>
      <c r="G94" s="506"/>
      <c r="H94" s="506"/>
      <c r="I94" s="506"/>
    </row>
    <row r="95">
      <c r="A95" s="513"/>
      <c r="B95" s="506"/>
      <c r="C95" s="506"/>
      <c r="D95" s="506"/>
      <c r="E95" s="506"/>
      <c r="F95" s="506"/>
      <c r="G95" s="506"/>
      <c r="H95" s="506"/>
      <c r="I95" s="506"/>
    </row>
    <row r="96">
      <c r="A96" s="513"/>
      <c r="B96" s="506"/>
      <c r="C96" s="506"/>
      <c r="D96" s="506"/>
      <c r="E96" s="506"/>
      <c r="F96" s="506"/>
      <c r="G96" s="506"/>
      <c r="H96" s="506"/>
      <c r="I96" s="506"/>
    </row>
    <row r="97">
      <c r="A97" s="513"/>
      <c r="B97" s="506"/>
      <c r="C97" s="506"/>
      <c r="D97" s="506"/>
      <c r="E97" s="506"/>
      <c r="F97" s="506"/>
      <c r="G97" s="506"/>
      <c r="H97" s="506"/>
      <c r="I97" s="506"/>
    </row>
    <row r="98">
      <c r="A98" s="513"/>
      <c r="B98" s="506"/>
      <c r="C98" s="506"/>
      <c r="D98" s="506"/>
      <c r="E98" s="506"/>
      <c r="F98" s="506"/>
      <c r="G98" s="506"/>
      <c r="H98" s="506"/>
      <c r="I98" s="506"/>
    </row>
    <row r="99">
      <c r="A99" s="513"/>
      <c r="B99" s="506"/>
      <c r="C99" s="506"/>
      <c r="D99" s="506"/>
      <c r="E99" s="506"/>
      <c r="F99" s="506"/>
      <c r="G99" s="506"/>
      <c r="H99" s="506"/>
      <c r="I99" s="506"/>
    </row>
    <row r="100">
      <c r="A100" s="513"/>
      <c r="B100" s="506"/>
      <c r="C100" s="506"/>
      <c r="D100" s="506"/>
      <c r="E100" s="506"/>
      <c r="F100" s="506"/>
      <c r="G100" s="506"/>
      <c r="H100" s="506"/>
      <c r="I100" s="506"/>
    </row>
    <row r="101">
      <c r="A101" s="513"/>
      <c r="B101" s="506"/>
      <c r="C101" s="506"/>
      <c r="D101" s="506"/>
      <c r="E101" s="506"/>
      <c r="F101" s="506"/>
      <c r="G101" s="506"/>
      <c r="H101" s="506"/>
      <c r="I101" s="506"/>
    </row>
    <row r="102">
      <c r="A102" s="513"/>
      <c r="B102" s="506"/>
      <c r="C102" s="506"/>
      <c r="D102" s="506"/>
      <c r="E102" s="506"/>
      <c r="F102" s="506"/>
      <c r="G102" s="506"/>
      <c r="H102" s="506"/>
      <c r="I102" s="506"/>
    </row>
    <row r="103">
      <c r="A103" s="513"/>
      <c r="B103" s="506"/>
      <c r="C103" s="506"/>
      <c r="D103" s="506"/>
      <c r="E103" s="506"/>
      <c r="F103" s="506"/>
      <c r="G103" s="506"/>
      <c r="H103" s="506"/>
      <c r="I103" s="506"/>
    </row>
    <row r="104">
      <c r="A104" s="513"/>
      <c r="B104" s="506"/>
      <c r="C104" s="506"/>
      <c r="D104" s="506"/>
      <c r="E104" s="506"/>
      <c r="F104" s="506"/>
      <c r="G104" s="506"/>
      <c r="H104" s="506"/>
      <c r="I104" s="506"/>
    </row>
    <row r="105">
      <c r="A105" s="513"/>
      <c r="B105" s="506"/>
      <c r="C105" s="506"/>
      <c r="D105" s="506"/>
      <c r="E105" s="506"/>
      <c r="F105" s="506"/>
      <c r="G105" s="506"/>
      <c r="H105" s="506"/>
      <c r="I105" s="506"/>
    </row>
    <row r="106">
      <c r="A106" s="513"/>
      <c r="B106" s="506"/>
      <c r="C106" s="506"/>
      <c r="D106" s="506"/>
      <c r="E106" s="506"/>
      <c r="F106" s="506"/>
      <c r="G106" s="506"/>
      <c r="H106" s="506"/>
      <c r="I106" s="506"/>
    </row>
    <row r="107">
      <c r="A107" s="513"/>
      <c r="B107" s="506"/>
      <c r="C107" s="506"/>
      <c r="D107" s="506"/>
      <c r="E107" s="506"/>
      <c r="F107" s="506"/>
      <c r="G107" s="506"/>
      <c r="H107" s="506"/>
      <c r="I107" s="506"/>
    </row>
    <row r="108">
      <c r="A108" s="513"/>
      <c r="B108" s="506"/>
      <c r="C108" s="506"/>
      <c r="D108" s="506"/>
      <c r="E108" s="506"/>
      <c r="F108" s="506"/>
      <c r="G108" s="506"/>
      <c r="H108" s="506"/>
      <c r="I108" s="506"/>
    </row>
    <row r="109">
      <c r="A109" s="513"/>
      <c r="B109" s="506"/>
      <c r="C109" s="506"/>
      <c r="D109" s="506"/>
      <c r="E109" s="506"/>
      <c r="F109" s="506"/>
      <c r="G109" s="506"/>
      <c r="H109" s="506"/>
      <c r="I109" s="506"/>
    </row>
    <row r="110">
      <c r="A110" s="513"/>
      <c r="B110" s="506"/>
      <c r="C110" s="506"/>
      <c r="D110" s="506"/>
      <c r="E110" s="506"/>
      <c r="F110" s="506"/>
      <c r="G110" s="506"/>
      <c r="H110" s="506"/>
      <c r="I110" s="506"/>
    </row>
    <row r="111">
      <c r="A111" s="513"/>
      <c r="B111" s="506"/>
      <c r="C111" s="506"/>
      <c r="D111" s="506"/>
      <c r="E111" s="506"/>
      <c r="F111" s="506"/>
      <c r="G111" s="506"/>
      <c r="H111" s="506"/>
      <c r="I111" s="506"/>
    </row>
    <row r="112">
      <c r="A112" s="513"/>
      <c r="B112" s="506"/>
      <c r="C112" s="506"/>
      <c r="D112" s="506"/>
      <c r="E112" s="506"/>
      <c r="F112" s="506"/>
      <c r="G112" s="506"/>
      <c r="H112" s="506"/>
      <c r="I112" s="506"/>
    </row>
    <row r="113">
      <c r="A113" s="513"/>
      <c r="B113" s="506"/>
      <c r="C113" s="506"/>
      <c r="D113" s="506"/>
      <c r="E113" s="506"/>
      <c r="F113" s="506"/>
      <c r="G113" s="506"/>
      <c r="H113" s="506"/>
      <c r="I113" s="506"/>
    </row>
    <row r="114">
      <c r="A114" s="513"/>
      <c r="B114" s="506"/>
      <c r="C114" s="506"/>
      <c r="D114" s="506"/>
      <c r="E114" s="506"/>
      <c r="F114" s="506"/>
      <c r="G114" s="506"/>
      <c r="H114" s="506"/>
      <c r="I114" s="506"/>
    </row>
    <row r="115">
      <c r="A115" s="513"/>
      <c r="B115" s="506"/>
      <c r="C115" s="506"/>
      <c r="D115" s="506"/>
      <c r="E115" s="506"/>
      <c r="F115" s="506"/>
      <c r="G115" s="506"/>
      <c r="H115" s="506"/>
      <c r="I115" s="506"/>
    </row>
    <row r="116">
      <c r="A116" s="513"/>
      <c r="B116" s="506"/>
      <c r="C116" s="506"/>
      <c r="D116" s="506"/>
      <c r="E116" s="506"/>
      <c r="F116" s="506"/>
      <c r="G116" s="506"/>
      <c r="H116" s="506"/>
      <c r="I116" s="506"/>
    </row>
    <row r="117">
      <c r="A117" s="513"/>
      <c r="B117" s="506"/>
      <c r="C117" s="506"/>
      <c r="D117" s="506"/>
      <c r="E117" s="506"/>
      <c r="F117" s="506"/>
      <c r="G117" s="506"/>
      <c r="H117" s="506"/>
      <c r="I117" s="506"/>
    </row>
    <row r="118">
      <c r="A118" s="513"/>
      <c r="B118" s="506"/>
      <c r="C118" s="506"/>
      <c r="D118" s="506"/>
      <c r="E118" s="506"/>
      <c r="F118" s="506"/>
      <c r="G118" s="506"/>
      <c r="H118" s="506"/>
      <c r="I118" s="506"/>
    </row>
    <row r="119">
      <c r="A119" s="513"/>
      <c r="B119" s="506"/>
      <c r="C119" s="506"/>
      <c r="D119" s="506"/>
      <c r="E119" s="506"/>
      <c r="F119" s="506"/>
      <c r="G119" s="506"/>
      <c r="H119" s="506"/>
      <c r="I119" s="506"/>
    </row>
    <row r="120">
      <c r="A120" s="513"/>
      <c r="B120" s="506"/>
      <c r="C120" s="506"/>
      <c r="D120" s="506"/>
      <c r="E120" s="506"/>
      <c r="F120" s="506"/>
      <c r="G120" s="506"/>
      <c r="H120" s="506"/>
      <c r="I120" s="506"/>
    </row>
    <row r="121">
      <c r="A121" s="513"/>
      <c r="B121" s="506"/>
      <c r="C121" s="506"/>
      <c r="D121" s="506"/>
      <c r="E121" s="506"/>
      <c r="F121" s="506"/>
      <c r="G121" s="506"/>
      <c r="H121" s="506"/>
      <c r="I121" s="506"/>
    </row>
    <row r="122">
      <c r="A122" s="513"/>
      <c r="B122" s="506"/>
      <c r="C122" s="506"/>
      <c r="D122" s="506"/>
      <c r="E122" s="506"/>
      <c r="F122" s="506"/>
      <c r="G122" s="506"/>
      <c r="H122" s="506"/>
      <c r="I122" s="506"/>
    </row>
    <row r="123">
      <c r="A123" s="513"/>
      <c r="B123" s="506"/>
      <c r="C123" s="506"/>
      <c r="D123" s="506"/>
      <c r="E123" s="506"/>
      <c r="F123" s="506"/>
      <c r="G123" s="506"/>
      <c r="H123" s="506"/>
      <c r="I123" s="506"/>
    </row>
    <row r="124">
      <c r="A124" s="513"/>
      <c r="B124" s="506"/>
      <c r="C124" s="506"/>
      <c r="D124" s="506"/>
      <c r="E124" s="506"/>
      <c r="F124" s="506"/>
      <c r="G124" s="506"/>
      <c r="H124" s="506"/>
      <c r="I124" s="506"/>
    </row>
    <row r="125">
      <c r="A125" s="513"/>
      <c r="B125" s="506"/>
      <c r="C125" s="506"/>
      <c r="D125" s="506"/>
      <c r="E125" s="506"/>
      <c r="F125" s="506"/>
      <c r="G125" s="506"/>
      <c r="H125" s="506"/>
      <c r="I125" s="506"/>
    </row>
    <row r="126">
      <c r="A126" s="513"/>
      <c r="B126" s="506"/>
      <c r="C126" s="506"/>
      <c r="D126" s="506"/>
      <c r="E126" s="506"/>
      <c r="F126" s="506"/>
      <c r="G126" s="506"/>
      <c r="H126" s="506"/>
      <c r="I126" s="506"/>
    </row>
    <row r="127">
      <c r="A127" s="513"/>
      <c r="B127" s="506"/>
      <c r="C127" s="506"/>
      <c r="D127" s="506"/>
      <c r="E127" s="506"/>
      <c r="F127" s="506"/>
      <c r="G127" s="506"/>
      <c r="H127" s="506"/>
      <c r="I127" s="506"/>
    </row>
    <row r="128">
      <c r="A128" s="513"/>
      <c r="B128" s="506"/>
      <c r="C128" s="506"/>
      <c r="D128" s="506"/>
      <c r="E128" s="506"/>
      <c r="F128" s="506"/>
      <c r="G128" s="506"/>
      <c r="H128" s="506"/>
      <c r="I128" s="506"/>
    </row>
    <row r="129">
      <c r="A129" s="513"/>
      <c r="B129" s="506"/>
      <c r="C129" s="506"/>
      <c r="D129" s="506"/>
      <c r="E129" s="506"/>
      <c r="F129" s="506"/>
      <c r="G129" s="506"/>
      <c r="H129" s="506"/>
      <c r="I129" s="506"/>
    </row>
    <row r="130">
      <c r="A130" s="513"/>
      <c r="B130" s="506"/>
      <c r="C130" s="506"/>
      <c r="D130" s="506"/>
      <c r="E130" s="506"/>
      <c r="F130" s="506"/>
      <c r="G130" s="506"/>
      <c r="H130" s="506"/>
      <c r="I130" s="506"/>
    </row>
    <row r="131">
      <c r="A131" s="513"/>
      <c r="B131" s="506"/>
      <c r="C131" s="506"/>
      <c r="D131" s="506"/>
      <c r="E131" s="506"/>
      <c r="F131" s="506"/>
      <c r="G131" s="506"/>
      <c r="H131" s="506"/>
      <c r="I131" s="506"/>
    </row>
    <row r="132">
      <c r="A132" s="513"/>
      <c r="B132" s="506"/>
      <c r="C132" s="506"/>
      <c r="D132" s="506"/>
      <c r="E132" s="506"/>
      <c r="F132" s="506"/>
      <c r="G132" s="506"/>
      <c r="H132" s="506"/>
      <c r="I132" s="506"/>
    </row>
    <row r="133">
      <c r="A133" s="513"/>
      <c r="B133" s="506"/>
      <c r="C133" s="506"/>
      <c r="D133" s="506"/>
      <c r="E133" s="506"/>
      <c r="F133" s="506"/>
      <c r="G133" s="506"/>
      <c r="H133" s="506"/>
      <c r="I133" s="506"/>
    </row>
    <row r="134">
      <c r="A134" s="513"/>
      <c r="B134" s="506"/>
      <c r="C134" s="506"/>
      <c r="D134" s="506"/>
      <c r="E134" s="506"/>
      <c r="F134" s="506"/>
      <c r="G134" s="506"/>
      <c r="H134" s="506"/>
      <c r="I134" s="506"/>
    </row>
    <row r="135">
      <c r="A135" s="513"/>
      <c r="B135" s="506"/>
      <c r="C135" s="506"/>
      <c r="D135" s="506"/>
      <c r="E135" s="506"/>
      <c r="F135" s="506"/>
      <c r="G135" s="506"/>
      <c r="H135" s="506"/>
      <c r="I135" s="506"/>
    </row>
    <row r="136">
      <c r="A136" s="513"/>
      <c r="B136" s="506"/>
      <c r="C136" s="506"/>
      <c r="D136" s="506"/>
      <c r="E136" s="506"/>
      <c r="F136" s="506"/>
      <c r="G136" s="506"/>
      <c r="H136" s="506"/>
      <c r="I136" s="506"/>
    </row>
    <row r="137">
      <c r="A137" s="513"/>
      <c r="B137" s="506"/>
      <c r="C137" s="506"/>
      <c r="D137" s="506"/>
      <c r="E137" s="506"/>
      <c r="F137" s="506"/>
      <c r="G137" s="506"/>
      <c r="H137" s="506"/>
      <c r="I137" s="506"/>
    </row>
    <row r="138">
      <c r="A138" s="513"/>
      <c r="B138" s="506"/>
      <c r="C138" s="506"/>
      <c r="D138" s="506"/>
      <c r="E138" s="506"/>
      <c r="F138" s="506"/>
      <c r="G138" s="506"/>
      <c r="H138" s="506"/>
      <c r="I138" s="506"/>
    </row>
    <row r="139">
      <c r="A139" s="513"/>
      <c r="B139" s="506"/>
      <c r="C139" s="506"/>
      <c r="D139" s="506"/>
      <c r="E139" s="506"/>
      <c r="F139" s="506"/>
      <c r="G139" s="506"/>
      <c r="H139" s="506"/>
      <c r="I139" s="506"/>
    </row>
    <row r="140">
      <c r="A140" s="513"/>
      <c r="B140" s="506"/>
      <c r="C140" s="506"/>
      <c r="D140" s="506"/>
      <c r="E140" s="506"/>
      <c r="F140" s="506"/>
      <c r="G140" s="506"/>
      <c r="H140" s="506"/>
      <c r="I140" s="506"/>
    </row>
    <row r="141">
      <c r="A141" s="513"/>
      <c r="B141" s="506"/>
      <c r="C141" s="506"/>
      <c r="D141" s="506"/>
      <c r="E141" s="506"/>
      <c r="F141" s="506"/>
      <c r="G141" s="506"/>
      <c r="H141" s="506"/>
      <c r="I141" s="506"/>
    </row>
    <row r="142">
      <c r="A142" s="513"/>
      <c r="B142" s="506"/>
      <c r="C142" s="506"/>
      <c r="D142" s="506"/>
      <c r="E142" s="506"/>
      <c r="F142" s="506"/>
      <c r="G142" s="506"/>
      <c r="H142" s="506"/>
      <c r="I142" s="506"/>
    </row>
    <row r="143">
      <c r="A143" s="513"/>
      <c r="B143" s="506"/>
      <c r="C143" s="506"/>
      <c r="D143" s="506"/>
      <c r="E143" s="506"/>
      <c r="F143" s="506"/>
      <c r="G143" s="506"/>
      <c r="H143" s="506"/>
      <c r="I143" s="506"/>
    </row>
    <row r="144">
      <c r="A144" s="513"/>
      <c r="B144" s="506"/>
      <c r="C144" s="506"/>
      <c r="D144" s="506"/>
      <c r="E144" s="506"/>
      <c r="F144" s="506"/>
      <c r="G144" s="506"/>
      <c r="H144" s="506"/>
      <c r="I144" s="506"/>
    </row>
    <row r="145">
      <c r="A145" s="513"/>
      <c r="B145" s="506"/>
      <c r="C145" s="506"/>
      <c r="D145" s="506"/>
      <c r="E145" s="506"/>
      <c r="F145" s="506"/>
      <c r="G145" s="506"/>
      <c r="H145" s="506"/>
      <c r="I145" s="506"/>
    </row>
    <row r="146">
      <c r="A146" s="513"/>
      <c r="B146" s="506"/>
      <c r="C146" s="506"/>
      <c r="D146" s="506"/>
      <c r="E146" s="506"/>
      <c r="F146" s="506"/>
      <c r="G146" s="506"/>
      <c r="H146" s="506"/>
      <c r="I146" s="506"/>
    </row>
    <row r="147">
      <c r="A147" s="513"/>
      <c r="B147" s="506"/>
      <c r="C147" s="506"/>
      <c r="D147" s="506"/>
      <c r="E147" s="506"/>
      <c r="F147" s="506"/>
      <c r="G147" s="506"/>
      <c r="H147" s="506"/>
      <c r="I147" s="506"/>
    </row>
    <row r="148">
      <c r="A148" s="513"/>
      <c r="B148" s="506"/>
      <c r="C148" s="506"/>
      <c r="D148" s="506"/>
      <c r="E148" s="506"/>
      <c r="F148" s="506"/>
      <c r="G148" s="506"/>
      <c r="H148" s="506"/>
      <c r="I148" s="506"/>
    </row>
    <row r="149">
      <c r="A149" s="513"/>
      <c r="B149" s="506"/>
      <c r="C149" s="506"/>
      <c r="D149" s="506"/>
      <c r="E149" s="506"/>
      <c r="F149" s="506"/>
      <c r="G149" s="506"/>
      <c r="H149" s="506"/>
      <c r="I149" s="506"/>
    </row>
    <row r="150">
      <c r="A150" s="513"/>
      <c r="B150" s="506"/>
      <c r="C150" s="506"/>
      <c r="D150" s="506"/>
      <c r="E150" s="506"/>
      <c r="F150" s="506"/>
      <c r="G150" s="506"/>
      <c r="H150" s="506"/>
      <c r="I150" s="506"/>
    </row>
    <row r="151">
      <c r="A151" s="513"/>
      <c r="B151" s="506"/>
      <c r="C151" s="506"/>
      <c r="D151" s="506"/>
      <c r="E151" s="506"/>
      <c r="F151" s="506"/>
      <c r="G151" s="506"/>
      <c r="H151" s="506"/>
      <c r="I151" s="506"/>
    </row>
    <row r="152">
      <c r="A152" s="513"/>
      <c r="B152" s="506"/>
      <c r="C152" s="506"/>
      <c r="D152" s="506"/>
      <c r="E152" s="506"/>
      <c r="F152" s="506"/>
      <c r="G152" s="506"/>
      <c r="H152" s="506"/>
      <c r="I152" s="506"/>
    </row>
    <row r="153">
      <c r="A153" s="513"/>
      <c r="B153" s="506"/>
      <c r="C153" s="506"/>
      <c r="D153" s="506"/>
      <c r="E153" s="506"/>
      <c r="F153" s="506"/>
      <c r="G153" s="506"/>
      <c r="H153" s="506"/>
      <c r="I153" s="506"/>
    </row>
    <row r="154">
      <c r="A154" s="513"/>
      <c r="B154" s="506"/>
      <c r="C154" s="506"/>
      <c r="D154" s="506"/>
      <c r="E154" s="506"/>
      <c r="F154" s="506"/>
      <c r="G154" s="506"/>
      <c r="H154" s="506"/>
      <c r="I154" s="506"/>
    </row>
    <row r="155">
      <c r="A155" s="513"/>
      <c r="B155" s="506"/>
      <c r="C155" s="506"/>
      <c r="D155" s="506"/>
      <c r="E155" s="506"/>
      <c r="F155" s="506"/>
      <c r="G155" s="506"/>
      <c r="H155" s="506"/>
      <c r="I155" s="506"/>
    </row>
    <row r="156">
      <c r="A156" s="513"/>
      <c r="B156" s="506"/>
      <c r="C156" s="506"/>
      <c r="D156" s="506"/>
      <c r="E156" s="506"/>
      <c r="F156" s="506"/>
      <c r="G156" s="506"/>
      <c r="H156" s="506"/>
      <c r="I156" s="506"/>
    </row>
    <row r="157">
      <c r="A157" s="513"/>
      <c r="B157" s="506"/>
      <c r="C157" s="506"/>
      <c r="D157" s="506"/>
      <c r="E157" s="506"/>
      <c r="F157" s="506"/>
      <c r="G157" s="506"/>
      <c r="H157" s="506"/>
      <c r="I157" s="506"/>
    </row>
    <row r="158">
      <c r="A158" s="513"/>
      <c r="B158" s="506"/>
      <c r="C158" s="506"/>
      <c r="D158" s="506"/>
      <c r="E158" s="506"/>
      <c r="F158" s="506"/>
      <c r="G158" s="506"/>
      <c r="H158" s="506"/>
      <c r="I158" s="506"/>
    </row>
    <row r="159">
      <c r="A159" s="513"/>
      <c r="B159" s="506"/>
      <c r="C159" s="506"/>
      <c r="D159" s="506"/>
      <c r="E159" s="506"/>
      <c r="F159" s="506"/>
      <c r="G159" s="506"/>
      <c r="H159" s="506"/>
      <c r="I159" s="506"/>
    </row>
    <row r="160">
      <c r="A160" s="513"/>
      <c r="B160" s="506"/>
      <c r="C160" s="506"/>
      <c r="D160" s="506"/>
      <c r="E160" s="506"/>
      <c r="F160" s="506"/>
      <c r="G160" s="506"/>
      <c r="H160" s="506"/>
      <c r="I160" s="506"/>
    </row>
    <row r="161">
      <c r="A161" s="513"/>
      <c r="B161" s="506"/>
      <c r="C161" s="506"/>
      <c r="D161" s="506"/>
      <c r="E161" s="506"/>
      <c r="F161" s="506"/>
      <c r="G161" s="506"/>
      <c r="H161" s="506"/>
      <c r="I161" s="506"/>
    </row>
    <row r="162">
      <c r="A162" s="513"/>
      <c r="B162" s="506"/>
      <c r="C162" s="506"/>
      <c r="D162" s="506"/>
      <c r="E162" s="506"/>
      <c r="F162" s="506"/>
      <c r="G162" s="506"/>
      <c r="H162" s="506"/>
      <c r="I162" s="506"/>
    </row>
    <row r="163">
      <c r="A163" s="513"/>
      <c r="B163" s="506"/>
      <c r="C163" s="506"/>
      <c r="D163" s="506"/>
      <c r="E163" s="506"/>
      <c r="F163" s="506"/>
      <c r="G163" s="506"/>
      <c r="H163" s="506"/>
      <c r="I163" s="506"/>
    </row>
    <row r="164">
      <c r="A164" s="513"/>
      <c r="B164" s="506"/>
      <c r="C164" s="506"/>
      <c r="D164" s="506"/>
      <c r="E164" s="506"/>
      <c r="F164" s="506"/>
      <c r="G164" s="506"/>
      <c r="H164" s="506"/>
      <c r="I164" s="506"/>
    </row>
    <row r="165">
      <c r="A165" s="513"/>
      <c r="B165" s="506"/>
      <c r="C165" s="506"/>
      <c r="D165" s="506"/>
      <c r="E165" s="506"/>
      <c r="F165" s="506"/>
      <c r="G165" s="506"/>
      <c r="H165" s="506"/>
      <c r="I165" s="506"/>
    </row>
    <row r="166">
      <c r="A166" s="513"/>
      <c r="B166" s="506"/>
      <c r="C166" s="506"/>
      <c r="D166" s="506"/>
      <c r="E166" s="506"/>
      <c r="F166" s="506"/>
      <c r="G166" s="506"/>
      <c r="H166" s="506"/>
      <c r="I166" s="506"/>
    </row>
    <row r="167">
      <c r="A167" s="513"/>
      <c r="B167" s="506"/>
      <c r="C167" s="506"/>
      <c r="D167" s="506"/>
      <c r="E167" s="506"/>
      <c r="F167" s="506"/>
      <c r="G167" s="506"/>
      <c r="H167" s="506"/>
      <c r="I167" s="506"/>
    </row>
    <row r="168">
      <c r="A168" s="513"/>
      <c r="B168" s="506"/>
      <c r="C168" s="506"/>
      <c r="D168" s="506"/>
      <c r="E168" s="506"/>
      <c r="F168" s="506"/>
      <c r="G168" s="506"/>
      <c r="H168" s="506"/>
      <c r="I168" s="506"/>
    </row>
    <row r="169">
      <c r="A169" s="513"/>
      <c r="B169" s="506"/>
      <c r="C169" s="506"/>
      <c r="D169" s="506"/>
      <c r="E169" s="506"/>
      <c r="F169" s="506"/>
      <c r="G169" s="506"/>
      <c r="H169" s="506"/>
      <c r="I169" s="506"/>
    </row>
    <row r="170">
      <c r="A170" s="513"/>
      <c r="B170" s="506"/>
      <c r="C170" s="506"/>
      <c r="D170" s="506"/>
      <c r="E170" s="506"/>
      <c r="F170" s="506"/>
      <c r="G170" s="506"/>
      <c r="H170" s="506"/>
      <c r="I170" s="506"/>
    </row>
    <row r="171">
      <c r="A171" s="513"/>
      <c r="B171" s="506"/>
      <c r="C171" s="506"/>
      <c r="D171" s="506"/>
      <c r="E171" s="506"/>
      <c r="F171" s="506"/>
      <c r="G171" s="506"/>
      <c r="H171" s="506"/>
      <c r="I171" s="506"/>
    </row>
    <row r="172">
      <c r="A172" s="513"/>
      <c r="B172" s="506"/>
      <c r="C172" s="506"/>
      <c r="D172" s="506"/>
      <c r="E172" s="506"/>
      <c r="F172" s="506"/>
      <c r="G172" s="506"/>
      <c r="H172" s="506"/>
      <c r="I172" s="506"/>
    </row>
    <row r="173">
      <c r="A173" s="513"/>
      <c r="B173" s="506"/>
      <c r="C173" s="506"/>
      <c r="D173" s="506"/>
      <c r="E173" s="506"/>
      <c r="F173" s="506"/>
      <c r="G173" s="506"/>
      <c r="H173" s="506"/>
      <c r="I173" s="506"/>
    </row>
    <row r="174">
      <c r="A174" s="513"/>
      <c r="B174" s="506"/>
      <c r="C174" s="506"/>
      <c r="D174" s="506"/>
      <c r="E174" s="506"/>
      <c r="F174" s="506"/>
      <c r="G174" s="506"/>
      <c r="H174" s="506"/>
      <c r="I174" s="506"/>
    </row>
    <row r="175">
      <c r="A175" s="513"/>
      <c r="B175" s="506"/>
      <c r="C175" s="506"/>
      <c r="D175" s="506"/>
      <c r="E175" s="506"/>
      <c r="F175" s="506"/>
      <c r="G175" s="506"/>
      <c r="H175" s="506"/>
      <c r="I175" s="506"/>
    </row>
    <row r="176">
      <c r="A176" s="513"/>
      <c r="B176" s="506"/>
      <c r="C176" s="506"/>
      <c r="D176" s="506"/>
      <c r="E176" s="506"/>
      <c r="F176" s="506"/>
      <c r="G176" s="506"/>
      <c r="H176" s="506"/>
      <c r="I176" s="506"/>
    </row>
    <row r="177">
      <c r="A177" s="513"/>
      <c r="B177" s="506"/>
      <c r="C177" s="506"/>
      <c r="D177" s="506"/>
      <c r="E177" s="506"/>
      <c r="F177" s="506"/>
      <c r="G177" s="506"/>
      <c r="H177" s="506"/>
      <c r="I177" s="506"/>
    </row>
    <row r="178">
      <c r="A178" s="513"/>
      <c r="B178" s="506"/>
      <c r="C178" s="506"/>
      <c r="D178" s="506"/>
      <c r="E178" s="506"/>
      <c r="F178" s="506"/>
      <c r="G178" s="506"/>
      <c r="H178" s="506"/>
      <c r="I178" s="506"/>
    </row>
    <row r="179">
      <c r="A179" s="513"/>
      <c r="B179" s="506"/>
      <c r="C179" s="506"/>
      <c r="D179" s="506"/>
      <c r="E179" s="506"/>
      <c r="F179" s="506"/>
      <c r="G179" s="506"/>
      <c r="H179" s="506"/>
      <c r="I179" s="506"/>
    </row>
    <row r="180">
      <c r="A180" s="513"/>
      <c r="B180" s="506"/>
      <c r="C180" s="506"/>
      <c r="D180" s="506"/>
      <c r="E180" s="506"/>
      <c r="F180" s="506"/>
      <c r="G180" s="506"/>
      <c r="H180" s="506"/>
      <c r="I180" s="506"/>
    </row>
    <row r="181">
      <c r="A181" s="513"/>
      <c r="B181" s="506"/>
      <c r="C181" s="506"/>
      <c r="D181" s="506"/>
      <c r="E181" s="506"/>
      <c r="F181" s="506"/>
      <c r="G181" s="506"/>
      <c r="H181" s="506"/>
      <c r="I181" s="506"/>
    </row>
    <row r="182">
      <c r="A182" s="513"/>
      <c r="B182" s="506"/>
      <c r="C182" s="506"/>
      <c r="D182" s="506"/>
      <c r="E182" s="506"/>
      <c r="F182" s="506"/>
      <c r="G182" s="506"/>
      <c r="H182" s="506"/>
      <c r="I182" s="506"/>
    </row>
    <row r="183">
      <c r="A183" s="513"/>
      <c r="B183" s="506"/>
      <c r="C183" s="506"/>
      <c r="D183" s="506"/>
      <c r="E183" s="506"/>
      <c r="F183" s="506"/>
      <c r="G183" s="506"/>
      <c r="H183" s="506"/>
      <c r="I183" s="506"/>
    </row>
    <row r="184">
      <c r="A184" s="513"/>
      <c r="B184" s="506"/>
      <c r="C184" s="506"/>
      <c r="D184" s="506"/>
      <c r="E184" s="506"/>
      <c r="F184" s="506"/>
      <c r="G184" s="506"/>
      <c r="H184" s="506"/>
      <c r="I184" s="506"/>
    </row>
    <row r="185">
      <c r="A185" s="513"/>
      <c r="B185" s="506"/>
      <c r="C185" s="506"/>
      <c r="D185" s="506"/>
      <c r="E185" s="506"/>
      <c r="F185" s="506"/>
      <c r="G185" s="506"/>
      <c r="H185" s="506"/>
      <c r="I185" s="506"/>
    </row>
    <row r="186">
      <c r="A186" s="513"/>
      <c r="B186" s="506"/>
      <c r="C186" s="506"/>
      <c r="D186" s="506"/>
      <c r="E186" s="506"/>
      <c r="F186" s="506"/>
      <c r="G186" s="506"/>
      <c r="H186" s="506"/>
      <c r="I186" s="506"/>
    </row>
    <row r="187">
      <c r="A187" s="513"/>
      <c r="B187" s="506"/>
      <c r="C187" s="506"/>
      <c r="D187" s="506"/>
      <c r="E187" s="506"/>
      <c r="F187" s="506"/>
      <c r="G187" s="506"/>
      <c r="H187" s="506"/>
      <c r="I187" s="506"/>
    </row>
    <row r="188">
      <c r="A188" s="513"/>
      <c r="B188" s="506"/>
      <c r="C188" s="506"/>
      <c r="D188" s="506"/>
      <c r="E188" s="506"/>
      <c r="F188" s="506"/>
      <c r="G188" s="506"/>
      <c r="H188" s="506"/>
      <c r="I188" s="506"/>
    </row>
    <row r="189">
      <c r="A189" s="513"/>
      <c r="B189" s="506"/>
      <c r="C189" s="506"/>
      <c r="D189" s="506"/>
      <c r="E189" s="506"/>
      <c r="F189" s="506"/>
      <c r="G189" s="506"/>
      <c r="H189" s="506"/>
      <c r="I189" s="506"/>
    </row>
    <row r="190">
      <c r="A190" s="513"/>
      <c r="B190" s="506"/>
      <c r="C190" s="506"/>
      <c r="D190" s="506"/>
      <c r="E190" s="506"/>
      <c r="F190" s="506"/>
      <c r="G190" s="506"/>
      <c r="H190" s="506"/>
      <c r="I190" s="506"/>
    </row>
    <row r="191">
      <c r="A191" s="513"/>
      <c r="B191" s="506"/>
      <c r="C191" s="506"/>
      <c r="D191" s="506"/>
      <c r="E191" s="506"/>
      <c r="F191" s="506"/>
      <c r="G191" s="506"/>
      <c r="H191" s="506"/>
      <c r="I191" s="506"/>
    </row>
    <row r="192">
      <c r="A192" s="513"/>
      <c r="B192" s="506"/>
      <c r="C192" s="506"/>
      <c r="D192" s="506"/>
      <c r="E192" s="506"/>
      <c r="F192" s="506"/>
      <c r="G192" s="506"/>
      <c r="H192" s="506"/>
      <c r="I192" s="506"/>
    </row>
    <row r="193">
      <c r="A193" s="513"/>
      <c r="B193" s="506"/>
      <c r="C193" s="506"/>
      <c r="D193" s="506"/>
      <c r="E193" s="506"/>
      <c r="F193" s="506"/>
      <c r="G193" s="506"/>
      <c r="H193" s="506"/>
      <c r="I193" s="506"/>
    </row>
    <row r="194">
      <c r="A194" s="513"/>
      <c r="B194" s="506"/>
      <c r="C194" s="506"/>
      <c r="D194" s="506"/>
      <c r="E194" s="506"/>
      <c r="F194" s="506"/>
      <c r="G194" s="506"/>
      <c r="H194" s="506"/>
      <c r="I194" s="506"/>
    </row>
    <row r="195">
      <c r="A195" s="513"/>
      <c r="B195" s="506"/>
      <c r="C195" s="506"/>
      <c r="D195" s="506"/>
      <c r="E195" s="506"/>
      <c r="F195" s="506"/>
      <c r="G195" s="506"/>
      <c r="H195" s="506"/>
      <c r="I195" s="506"/>
    </row>
    <row r="196">
      <c r="A196" s="513"/>
      <c r="B196" s="506"/>
      <c r="C196" s="506"/>
      <c r="D196" s="506"/>
      <c r="E196" s="506"/>
      <c r="F196" s="506"/>
      <c r="G196" s="506"/>
      <c r="H196" s="506"/>
      <c r="I196" s="506"/>
    </row>
    <row r="197">
      <c r="A197" s="513"/>
      <c r="B197" s="506"/>
      <c r="C197" s="506"/>
      <c r="D197" s="506"/>
      <c r="E197" s="506"/>
      <c r="F197" s="506"/>
      <c r="G197" s="506"/>
      <c r="H197" s="506"/>
      <c r="I197" s="506"/>
    </row>
    <row r="198">
      <c r="A198" s="513"/>
      <c r="B198" s="506"/>
      <c r="C198" s="506"/>
      <c r="D198" s="506"/>
      <c r="E198" s="506"/>
      <c r="F198" s="506"/>
      <c r="G198" s="506"/>
      <c r="H198" s="506"/>
      <c r="I198" s="506"/>
    </row>
    <row r="199">
      <c r="A199" s="513"/>
      <c r="B199" s="506"/>
      <c r="C199" s="506"/>
      <c r="D199" s="506"/>
      <c r="E199" s="506"/>
      <c r="F199" s="506"/>
      <c r="G199" s="506"/>
      <c r="H199" s="506"/>
      <c r="I199" s="506"/>
    </row>
    <row r="200">
      <c r="A200" s="513"/>
      <c r="B200" s="506"/>
      <c r="C200" s="506"/>
      <c r="D200" s="506"/>
      <c r="E200" s="506"/>
      <c r="F200" s="506"/>
      <c r="G200" s="506"/>
      <c r="H200" s="506"/>
      <c r="I200" s="506"/>
    </row>
    <row r="201">
      <c r="A201" s="513"/>
      <c r="B201" s="506"/>
      <c r="C201" s="506"/>
      <c r="D201" s="506"/>
      <c r="E201" s="506"/>
      <c r="F201" s="506"/>
      <c r="G201" s="506"/>
      <c r="H201" s="506"/>
      <c r="I201" s="506"/>
    </row>
    <row r="202">
      <c r="A202" s="513"/>
      <c r="B202" s="506"/>
      <c r="C202" s="506"/>
      <c r="D202" s="506"/>
      <c r="E202" s="506"/>
      <c r="F202" s="506"/>
      <c r="G202" s="506"/>
      <c r="H202" s="506"/>
      <c r="I202" s="506"/>
    </row>
    <row r="203">
      <c r="A203" s="513"/>
      <c r="B203" s="506"/>
      <c r="C203" s="506"/>
      <c r="D203" s="506"/>
      <c r="E203" s="506"/>
      <c r="F203" s="506"/>
      <c r="G203" s="506"/>
      <c r="H203" s="506"/>
      <c r="I203" s="506"/>
    </row>
    <row r="204">
      <c r="A204" s="513"/>
      <c r="B204" s="506"/>
      <c r="C204" s="506"/>
      <c r="D204" s="506"/>
      <c r="E204" s="506"/>
      <c r="F204" s="506"/>
      <c r="G204" s="506"/>
      <c r="H204" s="506"/>
      <c r="I204" s="506"/>
    </row>
    <row r="205">
      <c r="A205" s="513"/>
      <c r="B205" s="506"/>
      <c r="C205" s="506"/>
      <c r="D205" s="506"/>
      <c r="E205" s="506"/>
      <c r="F205" s="506"/>
      <c r="G205" s="506"/>
      <c r="H205" s="506"/>
      <c r="I205" s="506"/>
    </row>
    <row r="206">
      <c r="A206" s="513"/>
      <c r="B206" s="506"/>
      <c r="C206" s="506"/>
      <c r="D206" s="506"/>
      <c r="E206" s="506"/>
      <c r="F206" s="506"/>
      <c r="G206" s="506"/>
      <c r="H206" s="506"/>
      <c r="I206" s="506"/>
    </row>
    <row r="207">
      <c r="A207" s="513"/>
      <c r="B207" s="506"/>
      <c r="C207" s="506"/>
      <c r="D207" s="506"/>
      <c r="E207" s="506"/>
      <c r="F207" s="506"/>
      <c r="G207" s="506"/>
      <c r="H207" s="506"/>
      <c r="I207" s="506"/>
    </row>
    <row r="208">
      <c r="A208" s="513"/>
      <c r="B208" s="506"/>
      <c r="C208" s="506"/>
      <c r="D208" s="506"/>
      <c r="E208" s="506"/>
      <c r="F208" s="506"/>
      <c r="G208" s="506"/>
      <c r="H208" s="506"/>
      <c r="I208" s="506"/>
    </row>
    <row r="209">
      <c r="A209" s="513"/>
      <c r="B209" s="506"/>
      <c r="C209" s="506"/>
      <c r="D209" s="506"/>
      <c r="E209" s="506"/>
      <c r="F209" s="506"/>
      <c r="G209" s="506"/>
      <c r="H209" s="506"/>
      <c r="I209" s="506"/>
    </row>
    <row r="210">
      <c r="A210" s="513"/>
      <c r="B210" s="506"/>
      <c r="C210" s="506"/>
      <c r="D210" s="506"/>
      <c r="E210" s="506"/>
      <c r="F210" s="506"/>
      <c r="G210" s="506"/>
      <c r="H210" s="506"/>
      <c r="I210" s="506"/>
    </row>
    <row r="211">
      <c r="A211" s="513"/>
      <c r="B211" s="506"/>
      <c r="C211" s="506"/>
      <c r="D211" s="506"/>
      <c r="E211" s="506"/>
      <c r="F211" s="506"/>
      <c r="G211" s="506"/>
      <c r="H211" s="506"/>
      <c r="I211" s="506"/>
    </row>
    <row r="212">
      <c r="A212" s="513"/>
      <c r="B212" s="506"/>
      <c r="C212" s="506"/>
      <c r="D212" s="506"/>
      <c r="E212" s="506"/>
      <c r="F212" s="506"/>
      <c r="G212" s="506"/>
      <c r="H212" s="506"/>
      <c r="I212" s="506"/>
    </row>
    <row r="213">
      <c r="A213" s="513"/>
      <c r="B213" s="506"/>
      <c r="C213" s="506"/>
      <c r="D213" s="506"/>
      <c r="E213" s="506"/>
      <c r="F213" s="506"/>
      <c r="G213" s="506"/>
      <c r="H213" s="506"/>
      <c r="I213" s="506"/>
    </row>
    <row r="214">
      <c r="A214" s="513"/>
      <c r="B214" s="506"/>
      <c r="C214" s="506"/>
      <c r="D214" s="506"/>
      <c r="E214" s="506"/>
      <c r="F214" s="506"/>
      <c r="G214" s="506"/>
      <c r="H214" s="506"/>
      <c r="I214" s="506"/>
    </row>
    <row r="215">
      <c r="A215" s="513"/>
      <c r="B215" s="506"/>
      <c r="C215" s="506"/>
      <c r="D215" s="506"/>
      <c r="E215" s="506"/>
      <c r="F215" s="506"/>
      <c r="G215" s="506"/>
      <c r="H215" s="506"/>
      <c r="I215" s="506"/>
    </row>
    <row r="216">
      <c r="A216" s="513"/>
      <c r="B216" s="506"/>
      <c r="C216" s="506"/>
      <c r="D216" s="506"/>
      <c r="E216" s="506"/>
      <c r="F216" s="506"/>
      <c r="G216" s="506"/>
      <c r="H216" s="506"/>
      <c r="I216" s="506"/>
    </row>
    <row r="217">
      <c r="A217" s="513"/>
      <c r="B217" s="506"/>
      <c r="C217" s="506"/>
      <c r="D217" s="506"/>
      <c r="E217" s="506"/>
      <c r="F217" s="506"/>
      <c r="G217" s="506"/>
      <c r="H217" s="506"/>
      <c r="I217" s="506"/>
    </row>
    <row r="218">
      <c r="A218" s="513"/>
      <c r="B218" s="506"/>
      <c r="C218" s="506"/>
      <c r="D218" s="506"/>
      <c r="E218" s="506"/>
      <c r="F218" s="506"/>
      <c r="G218" s="506"/>
      <c r="H218" s="506"/>
      <c r="I218" s="506"/>
    </row>
    <row r="219">
      <c r="A219" s="513"/>
      <c r="B219" s="506"/>
      <c r="C219" s="506"/>
      <c r="D219" s="506"/>
      <c r="E219" s="506"/>
      <c r="F219" s="506"/>
      <c r="G219" s="506"/>
      <c r="H219" s="506"/>
      <c r="I219" s="506"/>
    </row>
    <row r="220">
      <c r="A220" s="513"/>
      <c r="B220" s="506"/>
      <c r="C220" s="506"/>
      <c r="D220" s="506"/>
      <c r="E220" s="506"/>
      <c r="F220" s="506"/>
      <c r="G220" s="506"/>
      <c r="H220" s="506"/>
      <c r="I220" s="506"/>
    </row>
    <row r="221">
      <c r="A221" s="513"/>
      <c r="B221" s="506"/>
      <c r="C221" s="506"/>
      <c r="D221" s="506"/>
      <c r="E221" s="506"/>
      <c r="F221" s="506"/>
      <c r="G221" s="506"/>
      <c r="H221" s="506"/>
      <c r="I221" s="506"/>
    </row>
    <row r="222">
      <c r="A222" s="513"/>
      <c r="B222" s="506"/>
      <c r="C222" s="506"/>
      <c r="D222" s="506"/>
      <c r="E222" s="506"/>
      <c r="F222" s="506"/>
      <c r="G222" s="506"/>
      <c r="H222" s="506"/>
      <c r="I222" s="506"/>
    </row>
    <row r="223">
      <c r="A223" s="513"/>
      <c r="B223" s="506"/>
      <c r="C223" s="506"/>
      <c r="D223" s="506"/>
      <c r="E223" s="506"/>
      <c r="F223" s="506"/>
      <c r="G223" s="506"/>
      <c r="H223" s="506"/>
      <c r="I223" s="506"/>
    </row>
    <row r="224">
      <c r="A224" s="513"/>
      <c r="B224" s="506"/>
      <c r="C224" s="506"/>
      <c r="D224" s="506"/>
      <c r="E224" s="506"/>
      <c r="F224" s="506"/>
      <c r="G224" s="506"/>
      <c r="H224" s="506"/>
      <c r="I224" s="506"/>
    </row>
    <row r="225">
      <c r="A225" s="513"/>
      <c r="B225" s="506"/>
      <c r="C225" s="506"/>
      <c r="D225" s="506"/>
      <c r="E225" s="506"/>
      <c r="F225" s="506"/>
      <c r="G225" s="506"/>
      <c r="H225" s="506"/>
      <c r="I225" s="506"/>
    </row>
    <row r="226">
      <c r="A226" s="513"/>
      <c r="B226" s="506"/>
      <c r="C226" s="506"/>
      <c r="D226" s="506"/>
      <c r="E226" s="506"/>
      <c r="F226" s="506"/>
      <c r="G226" s="506"/>
      <c r="H226" s="506"/>
      <c r="I226" s="506"/>
    </row>
    <row r="227">
      <c r="A227" s="513"/>
      <c r="B227" s="506"/>
      <c r="C227" s="506"/>
      <c r="D227" s="506"/>
      <c r="E227" s="506"/>
      <c r="F227" s="506"/>
      <c r="G227" s="506"/>
      <c r="H227" s="506"/>
      <c r="I227" s="506"/>
    </row>
    <row r="228">
      <c r="A228" s="513"/>
      <c r="B228" s="506"/>
      <c r="C228" s="506"/>
      <c r="D228" s="506"/>
      <c r="E228" s="506"/>
      <c r="F228" s="506"/>
      <c r="G228" s="506"/>
      <c r="H228" s="506"/>
      <c r="I228" s="506"/>
    </row>
    <row r="229">
      <c r="A229" s="513"/>
      <c r="B229" s="506"/>
      <c r="C229" s="506"/>
      <c r="D229" s="506"/>
      <c r="E229" s="506"/>
      <c r="F229" s="506"/>
      <c r="G229" s="506"/>
      <c r="H229" s="506"/>
      <c r="I229" s="506"/>
    </row>
    <row r="230">
      <c r="A230" s="513"/>
      <c r="B230" s="506"/>
      <c r="C230" s="506"/>
      <c r="D230" s="506"/>
      <c r="E230" s="506"/>
      <c r="F230" s="506"/>
      <c r="G230" s="506"/>
      <c r="H230" s="506"/>
      <c r="I230" s="506"/>
    </row>
    <row r="231">
      <c r="A231" s="513"/>
      <c r="B231" s="506"/>
      <c r="C231" s="506"/>
      <c r="D231" s="506"/>
      <c r="E231" s="506"/>
      <c r="F231" s="506"/>
      <c r="G231" s="506"/>
      <c r="H231" s="506"/>
      <c r="I231" s="506"/>
    </row>
    <row r="232">
      <c r="A232" s="513"/>
      <c r="B232" s="506"/>
      <c r="C232" s="506"/>
      <c r="D232" s="506"/>
      <c r="E232" s="506"/>
      <c r="F232" s="506"/>
      <c r="G232" s="506"/>
      <c r="H232" s="506"/>
      <c r="I232" s="506"/>
    </row>
    <row r="233">
      <c r="A233" s="513"/>
      <c r="B233" s="506"/>
      <c r="C233" s="506"/>
      <c r="D233" s="506"/>
      <c r="E233" s="506"/>
      <c r="F233" s="506"/>
      <c r="G233" s="506"/>
      <c r="H233" s="506"/>
      <c r="I233" s="506"/>
    </row>
    <row r="234">
      <c r="A234" s="513"/>
      <c r="B234" s="506"/>
      <c r="C234" s="506"/>
      <c r="D234" s="506"/>
      <c r="E234" s="506"/>
      <c r="F234" s="506"/>
      <c r="G234" s="506"/>
      <c r="H234" s="506"/>
      <c r="I234" s="506"/>
    </row>
    <row r="235">
      <c r="A235" s="513"/>
      <c r="B235" s="506"/>
      <c r="C235" s="506"/>
      <c r="D235" s="506"/>
      <c r="E235" s="506"/>
      <c r="F235" s="506"/>
      <c r="G235" s="506"/>
      <c r="H235" s="506"/>
      <c r="I235" s="506"/>
    </row>
    <row r="236">
      <c r="A236" s="513"/>
      <c r="B236" s="506"/>
      <c r="C236" s="506"/>
      <c r="D236" s="506"/>
      <c r="E236" s="506"/>
      <c r="F236" s="506"/>
      <c r="G236" s="506"/>
      <c r="H236" s="506"/>
      <c r="I236" s="506"/>
    </row>
    <row r="237">
      <c r="A237" s="513"/>
      <c r="B237" s="506"/>
      <c r="C237" s="506"/>
      <c r="D237" s="506"/>
      <c r="E237" s="506"/>
      <c r="F237" s="506"/>
      <c r="G237" s="506"/>
      <c r="H237" s="506"/>
      <c r="I237" s="506"/>
    </row>
    <row r="238">
      <c r="A238" s="513"/>
      <c r="B238" s="506"/>
      <c r="C238" s="506"/>
      <c r="D238" s="506"/>
      <c r="E238" s="506"/>
      <c r="F238" s="506"/>
      <c r="G238" s="506"/>
      <c r="H238" s="506"/>
      <c r="I238" s="506"/>
    </row>
    <row r="239">
      <c r="A239" s="513"/>
      <c r="B239" s="506"/>
      <c r="C239" s="506"/>
      <c r="D239" s="506"/>
      <c r="E239" s="506"/>
      <c r="F239" s="506"/>
      <c r="G239" s="506"/>
      <c r="H239" s="506"/>
      <c r="I239" s="506"/>
    </row>
    <row r="240">
      <c r="A240" s="513"/>
      <c r="B240" s="506"/>
      <c r="C240" s="506"/>
      <c r="D240" s="506"/>
      <c r="E240" s="506"/>
      <c r="F240" s="506"/>
      <c r="G240" s="506"/>
      <c r="H240" s="506"/>
      <c r="I240" s="506"/>
    </row>
    <row r="241">
      <c r="A241" s="513"/>
      <c r="B241" s="506"/>
      <c r="C241" s="506"/>
      <c r="D241" s="506"/>
      <c r="E241" s="506"/>
      <c r="F241" s="506"/>
      <c r="G241" s="506"/>
      <c r="H241" s="506"/>
      <c r="I241" s="506"/>
    </row>
    <row r="242">
      <c r="A242" s="513"/>
      <c r="B242" s="506"/>
      <c r="C242" s="506"/>
      <c r="D242" s="506"/>
      <c r="E242" s="506"/>
      <c r="F242" s="506"/>
      <c r="G242" s="506"/>
      <c r="H242" s="506"/>
      <c r="I242" s="506"/>
    </row>
    <row r="243">
      <c r="A243" s="513"/>
      <c r="B243" s="506"/>
      <c r="C243" s="506"/>
      <c r="D243" s="506"/>
      <c r="E243" s="506"/>
      <c r="F243" s="506"/>
      <c r="G243" s="506"/>
      <c r="H243" s="506"/>
      <c r="I243" s="506"/>
    </row>
    <row r="244">
      <c r="A244" s="513"/>
      <c r="B244" s="506"/>
      <c r="C244" s="506"/>
      <c r="D244" s="506"/>
      <c r="E244" s="506"/>
      <c r="F244" s="506"/>
      <c r="G244" s="506"/>
      <c r="H244" s="506"/>
      <c r="I244" s="506"/>
    </row>
    <row r="245">
      <c r="A245" s="513"/>
      <c r="B245" s="506"/>
      <c r="C245" s="506"/>
      <c r="D245" s="506"/>
      <c r="E245" s="506"/>
      <c r="F245" s="506"/>
      <c r="G245" s="506"/>
      <c r="H245" s="506"/>
      <c r="I245" s="506"/>
    </row>
    <row r="246">
      <c r="A246" s="513"/>
      <c r="B246" s="506"/>
      <c r="C246" s="506"/>
      <c r="D246" s="506"/>
      <c r="E246" s="506"/>
      <c r="F246" s="506"/>
      <c r="G246" s="506"/>
      <c r="H246" s="506"/>
      <c r="I246" s="506"/>
    </row>
    <row r="247">
      <c r="A247" s="513"/>
      <c r="B247" s="506"/>
      <c r="C247" s="506"/>
      <c r="D247" s="506"/>
      <c r="E247" s="506"/>
      <c r="F247" s="506"/>
      <c r="G247" s="506"/>
      <c r="H247" s="506"/>
      <c r="I247" s="506"/>
    </row>
    <row r="248">
      <c r="A248" s="513"/>
      <c r="B248" s="506"/>
      <c r="C248" s="506"/>
      <c r="D248" s="506"/>
      <c r="E248" s="506"/>
      <c r="F248" s="506"/>
      <c r="G248" s="506"/>
      <c r="H248" s="506"/>
      <c r="I248" s="506"/>
    </row>
    <row r="249">
      <c r="A249" s="513"/>
      <c r="B249" s="506"/>
      <c r="C249" s="506"/>
      <c r="D249" s="506"/>
      <c r="E249" s="506"/>
      <c r="F249" s="506"/>
      <c r="G249" s="506"/>
      <c r="H249" s="506"/>
      <c r="I249" s="506"/>
    </row>
    <row r="250">
      <c r="A250" s="513"/>
      <c r="B250" s="506"/>
      <c r="C250" s="506"/>
      <c r="D250" s="506"/>
      <c r="E250" s="506"/>
      <c r="F250" s="506"/>
      <c r="G250" s="506"/>
      <c r="H250" s="506"/>
      <c r="I250" s="506"/>
    </row>
    <row r="251">
      <c r="A251" s="513"/>
      <c r="B251" s="506"/>
      <c r="C251" s="506"/>
      <c r="D251" s="506"/>
      <c r="E251" s="506"/>
      <c r="F251" s="506"/>
      <c r="G251" s="506"/>
      <c r="H251" s="506"/>
      <c r="I251" s="506"/>
    </row>
    <row r="252">
      <c r="A252" s="513"/>
      <c r="B252" s="506"/>
      <c r="C252" s="506"/>
      <c r="D252" s="506"/>
      <c r="E252" s="506"/>
      <c r="F252" s="506"/>
      <c r="G252" s="506"/>
      <c r="H252" s="506"/>
      <c r="I252" s="506"/>
    </row>
    <row r="253">
      <c r="A253" s="513"/>
      <c r="B253" s="506"/>
      <c r="C253" s="506"/>
      <c r="D253" s="506"/>
      <c r="E253" s="506"/>
      <c r="F253" s="506"/>
      <c r="G253" s="506"/>
      <c r="H253" s="506"/>
      <c r="I253" s="506"/>
    </row>
    <row r="254">
      <c r="A254" s="513"/>
      <c r="B254" s="506"/>
      <c r="C254" s="506"/>
      <c r="D254" s="506"/>
      <c r="E254" s="506"/>
      <c r="F254" s="506"/>
      <c r="G254" s="506"/>
      <c r="H254" s="506"/>
      <c r="I254" s="506"/>
    </row>
    <row r="255">
      <c r="A255" s="513"/>
      <c r="B255" s="506"/>
      <c r="C255" s="506"/>
      <c r="D255" s="506"/>
      <c r="E255" s="506"/>
      <c r="F255" s="506"/>
      <c r="G255" s="506"/>
      <c r="H255" s="506"/>
      <c r="I255" s="506"/>
    </row>
    <row r="256">
      <c r="A256" s="513"/>
      <c r="B256" s="506"/>
      <c r="C256" s="506"/>
      <c r="D256" s="506"/>
      <c r="E256" s="506"/>
      <c r="F256" s="506"/>
      <c r="G256" s="506"/>
      <c r="H256" s="506"/>
      <c r="I256" s="506"/>
    </row>
    <row r="257">
      <c r="A257" s="513"/>
      <c r="B257" s="506"/>
      <c r="C257" s="506"/>
      <c r="D257" s="506"/>
      <c r="E257" s="506"/>
      <c r="F257" s="506"/>
      <c r="G257" s="506"/>
      <c r="H257" s="506"/>
      <c r="I257" s="506"/>
    </row>
    <row r="258">
      <c r="A258" s="513"/>
      <c r="B258" s="506"/>
      <c r="C258" s="506"/>
      <c r="D258" s="506"/>
      <c r="E258" s="506"/>
      <c r="F258" s="506"/>
      <c r="G258" s="506"/>
      <c r="H258" s="506"/>
      <c r="I258" s="506"/>
    </row>
    <row r="259">
      <c r="A259" s="513"/>
      <c r="B259" s="506"/>
      <c r="C259" s="506"/>
      <c r="D259" s="506"/>
      <c r="E259" s="506"/>
      <c r="F259" s="506"/>
      <c r="G259" s="506"/>
      <c r="H259" s="506"/>
      <c r="I259" s="506"/>
    </row>
    <row r="260">
      <c r="A260" s="513"/>
      <c r="B260" s="506"/>
      <c r="C260" s="506"/>
      <c r="D260" s="506"/>
      <c r="E260" s="506"/>
      <c r="F260" s="506"/>
      <c r="G260" s="506"/>
      <c r="H260" s="506"/>
      <c r="I260" s="506"/>
    </row>
    <row r="261">
      <c r="A261" s="513"/>
      <c r="B261" s="506"/>
      <c r="C261" s="506"/>
      <c r="D261" s="506"/>
      <c r="E261" s="506"/>
      <c r="F261" s="506"/>
      <c r="G261" s="506"/>
      <c r="H261" s="506"/>
      <c r="I261" s="506"/>
    </row>
    <row r="262">
      <c r="A262" s="513"/>
      <c r="B262" s="506"/>
      <c r="C262" s="506"/>
      <c r="D262" s="506"/>
      <c r="E262" s="506"/>
      <c r="F262" s="506"/>
      <c r="G262" s="506"/>
      <c r="H262" s="506"/>
      <c r="I262" s="506"/>
    </row>
    <row r="263">
      <c r="A263" s="513"/>
      <c r="B263" s="506"/>
      <c r="C263" s="506"/>
      <c r="D263" s="506"/>
      <c r="E263" s="506"/>
      <c r="F263" s="506"/>
      <c r="G263" s="506"/>
      <c r="H263" s="506"/>
      <c r="I263" s="506"/>
    </row>
    <row r="264">
      <c r="A264" s="513"/>
      <c r="B264" s="506"/>
      <c r="C264" s="506"/>
      <c r="D264" s="506"/>
      <c r="E264" s="506"/>
      <c r="F264" s="506"/>
      <c r="G264" s="506"/>
      <c r="H264" s="506"/>
      <c r="I264" s="506"/>
    </row>
    <row r="265">
      <c r="A265" s="513"/>
      <c r="B265" s="506"/>
      <c r="C265" s="506"/>
      <c r="D265" s="506"/>
      <c r="E265" s="506"/>
      <c r="F265" s="506"/>
      <c r="G265" s="506"/>
      <c r="H265" s="506"/>
      <c r="I265" s="506"/>
    </row>
    <row r="266">
      <c r="A266" s="513"/>
      <c r="B266" s="506"/>
      <c r="C266" s="506"/>
      <c r="D266" s="506"/>
      <c r="E266" s="506"/>
      <c r="F266" s="506"/>
      <c r="G266" s="506"/>
      <c r="H266" s="506"/>
      <c r="I266" s="506"/>
    </row>
    <row r="267">
      <c r="A267" s="513"/>
      <c r="B267" s="506"/>
      <c r="C267" s="506"/>
      <c r="D267" s="506"/>
      <c r="E267" s="506"/>
      <c r="F267" s="506"/>
      <c r="G267" s="506"/>
      <c r="H267" s="506"/>
      <c r="I267" s="506"/>
    </row>
    <row r="268">
      <c r="A268" s="513"/>
      <c r="B268" s="506"/>
      <c r="C268" s="506"/>
      <c r="D268" s="506"/>
      <c r="E268" s="506"/>
      <c r="F268" s="506"/>
      <c r="G268" s="506"/>
      <c r="H268" s="506"/>
      <c r="I268" s="506"/>
    </row>
    <row r="269">
      <c r="A269" s="513"/>
      <c r="B269" s="506"/>
      <c r="C269" s="506"/>
      <c r="D269" s="506"/>
      <c r="E269" s="506"/>
      <c r="F269" s="506"/>
      <c r="G269" s="506"/>
      <c r="H269" s="506"/>
      <c r="I269" s="506"/>
    </row>
    <row r="270">
      <c r="A270" s="513"/>
      <c r="B270" s="506"/>
      <c r="C270" s="506"/>
      <c r="D270" s="506"/>
      <c r="E270" s="506"/>
      <c r="F270" s="506"/>
      <c r="G270" s="506"/>
      <c r="H270" s="506"/>
      <c r="I270" s="506"/>
    </row>
    <row r="271">
      <c r="A271" s="513"/>
      <c r="B271" s="506"/>
      <c r="C271" s="506"/>
      <c r="D271" s="506"/>
      <c r="E271" s="506"/>
      <c r="F271" s="506"/>
      <c r="G271" s="506"/>
      <c r="H271" s="506"/>
      <c r="I271" s="506"/>
    </row>
    <row r="272">
      <c r="A272" s="513"/>
      <c r="B272" s="506"/>
      <c r="C272" s="506"/>
      <c r="D272" s="506"/>
      <c r="E272" s="506"/>
      <c r="F272" s="506"/>
      <c r="G272" s="506"/>
      <c r="H272" s="506"/>
      <c r="I272" s="506"/>
    </row>
    <row r="273">
      <c r="A273" s="513"/>
      <c r="B273" s="506"/>
      <c r="C273" s="506"/>
      <c r="D273" s="506"/>
      <c r="E273" s="506"/>
      <c r="F273" s="506"/>
      <c r="G273" s="506"/>
      <c r="H273" s="506"/>
      <c r="I273" s="506"/>
    </row>
    <row r="274">
      <c r="A274" s="513"/>
      <c r="B274" s="506"/>
      <c r="C274" s="506"/>
      <c r="D274" s="506"/>
      <c r="E274" s="506"/>
      <c r="F274" s="506"/>
      <c r="G274" s="506"/>
      <c r="H274" s="506"/>
      <c r="I274" s="506"/>
    </row>
    <row r="275">
      <c r="A275" s="513"/>
      <c r="B275" s="506"/>
      <c r="C275" s="506"/>
      <c r="D275" s="506"/>
      <c r="E275" s="506"/>
      <c r="F275" s="506"/>
      <c r="G275" s="506"/>
      <c r="H275" s="506"/>
      <c r="I275" s="506"/>
    </row>
    <row r="276">
      <c r="A276" s="513"/>
      <c r="B276" s="506"/>
      <c r="C276" s="506"/>
      <c r="D276" s="506"/>
      <c r="E276" s="506"/>
      <c r="F276" s="506"/>
      <c r="G276" s="506"/>
      <c r="H276" s="506"/>
      <c r="I276" s="506"/>
    </row>
    <row r="277">
      <c r="A277" s="513"/>
      <c r="B277" s="506"/>
      <c r="C277" s="506"/>
      <c r="D277" s="506"/>
      <c r="E277" s="506"/>
      <c r="F277" s="506"/>
      <c r="G277" s="506"/>
      <c r="H277" s="506"/>
      <c r="I277" s="506"/>
    </row>
    <row r="278">
      <c r="A278" s="513"/>
      <c r="B278" s="506"/>
      <c r="C278" s="506"/>
      <c r="D278" s="506"/>
      <c r="E278" s="506"/>
      <c r="F278" s="506"/>
      <c r="G278" s="506"/>
      <c r="H278" s="506"/>
      <c r="I278" s="506"/>
    </row>
    <row r="279">
      <c r="A279" s="513"/>
      <c r="B279" s="506"/>
      <c r="C279" s="506"/>
      <c r="D279" s="506"/>
      <c r="E279" s="506"/>
      <c r="F279" s="506"/>
      <c r="G279" s="506"/>
      <c r="H279" s="506"/>
      <c r="I279" s="506"/>
    </row>
    <row r="280">
      <c r="A280" s="513"/>
      <c r="B280" s="506"/>
      <c r="C280" s="506"/>
      <c r="D280" s="506"/>
      <c r="E280" s="506"/>
      <c r="F280" s="506"/>
      <c r="G280" s="506"/>
      <c r="H280" s="506"/>
      <c r="I280" s="506"/>
    </row>
    <row r="281">
      <c r="A281" s="513"/>
      <c r="B281" s="506"/>
      <c r="C281" s="506"/>
      <c r="D281" s="506"/>
      <c r="E281" s="506"/>
      <c r="F281" s="506"/>
      <c r="G281" s="506"/>
      <c r="H281" s="506"/>
      <c r="I281" s="506"/>
    </row>
    <row r="282">
      <c r="A282" s="513"/>
      <c r="B282" s="506"/>
      <c r="C282" s="506"/>
      <c r="D282" s="506"/>
      <c r="E282" s="506"/>
      <c r="F282" s="506"/>
      <c r="G282" s="506"/>
      <c r="H282" s="506"/>
      <c r="I282" s="506"/>
    </row>
    <row r="283">
      <c r="A283" s="513"/>
      <c r="B283" s="506"/>
      <c r="C283" s="506"/>
      <c r="D283" s="506"/>
      <c r="E283" s="506"/>
      <c r="F283" s="506"/>
      <c r="G283" s="506"/>
      <c r="H283" s="506"/>
      <c r="I283" s="506"/>
    </row>
    <row r="284">
      <c r="A284" s="513"/>
      <c r="B284" s="506"/>
      <c r="C284" s="506"/>
      <c r="D284" s="506"/>
      <c r="E284" s="506"/>
      <c r="F284" s="506"/>
      <c r="G284" s="506"/>
      <c r="H284" s="506"/>
      <c r="I284" s="506"/>
    </row>
    <row r="285">
      <c r="A285" s="513"/>
      <c r="B285" s="506"/>
      <c r="C285" s="506"/>
      <c r="D285" s="506"/>
      <c r="E285" s="506"/>
      <c r="F285" s="506"/>
      <c r="G285" s="506"/>
      <c r="H285" s="506"/>
      <c r="I285" s="506"/>
    </row>
    <row r="286">
      <c r="A286" s="513"/>
      <c r="B286" s="506"/>
      <c r="C286" s="506"/>
      <c r="D286" s="506"/>
      <c r="E286" s="506"/>
      <c r="F286" s="506"/>
      <c r="G286" s="506"/>
      <c r="H286" s="506"/>
      <c r="I286" s="506"/>
    </row>
    <row r="287">
      <c r="A287" s="513"/>
      <c r="B287" s="506"/>
      <c r="C287" s="506"/>
      <c r="D287" s="506"/>
      <c r="E287" s="506"/>
      <c r="F287" s="506"/>
      <c r="G287" s="506"/>
      <c r="H287" s="506"/>
      <c r="I287" s="506"/>
    </row>
    <row r="288">
      <c r="A288" s="513"/>
      <c r="B288" s="506"/>
      <c r="C288" s="506"/>
      <c r="D288" s="506"/>
      <c r="E288" s="506"/>
      <c r="F288" s="506"/>
      <c r="G288" s="506"/>
      <c r="H288" s="506"/>
      <c r="I288" s="506"/>
    </row>
    <row r="289">
      <c r="A289" s="513"/>
      <c r="B289" s="506"/>
      <c r="C289" s="506"/>
      <c r="D289" s="506"/>
      <c r="E289" s="506"/>
      <c r="F289" s="506"/>
      <c r="G289" s="506"/>
      <c r="H289" s="506"/>
      <c r="I289" s="506"/>
    </row>
    <row r="290">
      <c r="A290" s="513"/>
      <c r="B290" s="506"/>
      <c r="C290" s="506"/>
      <c r="D290" s="506"/>
      <c r="E290" s="506"/>
      <c r="F290" s="506"/>
      <c r="G290" s="506"/>
      <c r="H290" s="506"/>
      <c r="I290" s="506"/>
    </row>
    <row r="291">
      <c r="A291" s="513"/>
      <c r="B291" s="506"/>
      <c r="C291" s="506"/>
      <c r="D291" s="506"/>
      <c r="E291" s="506"/>
      <c r="F291" s="506"/>
      <c r="G291" s="506"/>
      <c r="H291" s="506"/>
      <c r="I291" s="506"/>
    </row>
    <row r="292">
      <c r="A292" s="513"/>
      <c r="B292" s="506"/>
      <c r="C292" s="506"/>
      <c r="D292" s="506"/>
      <c r="E292" s="506"/>
      <c r="F292" s="506"/>
      <c r="G292" s="506"/>
      <c r="H292" s="506"/>
      <c r="I292" s="506"/>
    </row>
    <row r="293">
      <c r="A293" s="513"/>
      <c r="B293" s="506"/>
      <c r="C293" s="506"/>
      <c r="D293" s="506"/>
      <c r="E293" s="506"/>
      <c r="F293" s="506"/>
      <c r="G293" s="506"/>
      <c r="H293" s="506"/>
      <c r="I293" s="506"/>
    </row>
    <row r="294">
      <c r="A294" s="513"/>
      <c r="B294" s="506"/>
      <c r="C294" s="506"/>
      <c r="D294" s="506"/>
      <c r="E294" s="506"/>
      <c r="F294" s="506"/>
      <c r="G294" s="506"/>
      <c r="H294" s="506"/>
      <c r="I294" s="506"/>
    </row>
    <row r="295">
      <c r="A295" s="513"/>
      <c r="B295" s="506"/>
      <c r="C295" s="506"/>
      <c r="D295" s="506"/>
      <c r="E295" s="506"/>
      <c r="F295" s="506"/>
      <c r="G295" s="506"/>
      <c r="H295" s="506"/>
      <c r="I295" s="506"/>
    </row>
    <row r="296">
      <c r="A296" s="513"/>
      <c r="B296" s="506"/>
      <c r="C296" s="506"/>
      <c r="D296" s="506"/>
      <c r="E296" s="506"/>
      <c r="F296" s="506"/>
      <c r="G296" s="506"/>
      <c r="H296" s="506"/>
      <c r="I296" s="506"/>
    </row>
    <row r="297">
      <c r="A297" s="513"/>
      <c r="B297" s="506"/>
      <c r="C297" s="506"/>
      <c r="D297" s="506"/>
      <c r="E297" s="506"/>
      <c r="F297" s="506"/>
      <c r="G297" s="506"/>
      <c r="H297" s="506"/>
      <c r="I297" s="506"/>
    </row>
    <row r="298">
      <c r="A298" s="513"/>
      <c r="B298" s="506"/>
      <c r="C298" s="506"/>
      <c r="D298" s="506"/>
      <c r="E298" s="506"/>
      <c r="F298" s="506"/>
      <c r="G298" s="506"/>
      <c r="H298" s="506"/>
      <c r="I298" s="506"/>
    </row>
    <row r="299">
      <c r="A299" s="513"/>
      <c r="B299" s="506"/>
      <c r="C299" s="506"/>
      <c r="D299" s="506"/>
      <c r="E299" s="506"/>
      <c r="F299" s="506"/>
      <c r="G299" s="506"/>
      <c r="H299" s="506"/>
      <c r="I299" s="506"/>
    </row>
    <row r="300">
      <c r="A300" s="513"/>
      <c r="B300" s="506"/>
      <c r="C300" s="506"/>
      <c r="D300" s="506"/>
      <c r="E300" s="506"/>
      <c r="F300" s="506"/>
      <c r="G300" s="506"/>
      <c r="H300" s="506"/>
      <c r="I300" s="506"/>
    </row>
    <row r="301">
      <c r="A301" s="513"/>
      <c r="B301" s="506"/>
      <c r="C301" s="506"/>
      <c r="D301" s="506"/>
      <c r="E301" s="506"/>
      <c r="F301" s="506"/>
      <c r="G301" s="506"/>
      <c r="H301" s="506"/>
      <c r="I301" s="506"/>
    </row>
    <row r="302">
      <c r="A302" s="513"/>
      <c r="B302" s="506"/>
      <c r="C302" s="506"/>
      <c r="D302" s="506"/>
      <c r="E302" s="506"/>
      <c r="F302" s="506"/>
      <c r="G302" s="506"/>
      <c r="H302" s="506"/>
      <c r="I302" s="506"/>
    </row>
    <row r="303">
      <c r="A303" s="513"/>
      <c r="B303" s="506"/>
      <c r="C303" s="506"/>
      <c r="D303" s="506"/>
      <c r="E303" s="506"/>
      <c r="F303" s="506"/>
      <c r="G303" s="506"/>
      <c r="H303" s="506"/>
      <c r="I303" s="506"/>
    </row>
    <row r="304">
      <c r="A304" s="513"/>
      <c r="B304" s="506"/>
      <c r="C304" s="506"/>
      <c r="D304" s="506"/>
      <c r="E304" s="506"/>
      <c r="F304" s="506"/>
      <c r="G304" s="506"/>
      <c r="H304" s="506"/>
      <c r="I304" s="506"/>
    </row>
    <row r="305">
      <c r="A305" s="513"/>
      <c r="B305" s="506"/>
      <c r="C305" s="506"/>
      <c r="D305" s="506"/>
      <c r="E305" s="506"/>
      <c r="F305" s="506"/>
      <c r="G305" s="506"/>
      <c r="H305" s="506"/>
      <c r="I305" s="506"/>
    </row>
    <row r="306">
      <c r="A306" s="513"/>
      <c r="B306" s="506"/>
      <c r="C306" s="506"/>
      <c r="D306" s="506"/>
      <c r="E306" s="506"/>
      <c r="F306" s="506"/>
      <c r="G306" s="506"/>
      <c r="H306" s="506"/>
      <c r="I306" s="506"/>
    </row>
    <row r="307">
      <c r="A307" s="513"/>
      <c r="B307" s="506"/>
      <c r="C307" s="506"/>
      <c r="D307" s="506"/>
      <c r="E307" s="506"/>
      <c r="F307" s="506"/>
      <c r="G307" s="506"/>
      <c r="H307" s="506"/>
      <c r="I307" s="506"/>
    </row>
    <row r="308">
      <c r="A308" s="513"/>
      <c r="B308" s="506"/>
      <c r="C308" s="506"/>
      <c r="D308" s="506"/>
      <c r="E308" s="506"/>
      <c r="F308" s="506"/>
      <c r="G308" s="506"/>
      <c r="H308" s="506"/>
      <c r="I308" s="506"/>
    </row>
    <row r="309">
      <c r="A309" s="513"/>
      <c r="B309" s="506"/>
      <c r="C309" s="506"/>
      <c r="D309" s="506"/>
      <c r="E309" s="506"/>
      <c r="F309" s="506"/>
      <c r="G309" s="506"/>
      <c r="H309" s="506"/>
      <c r="I309" s="506"/>
    </row>
    <row r="310">
      <c r="A310" s="513"/>
      <c r="B310" s="506"/>
      <c r="C310" s="506"/>
      <c r="D310" s="506"/>
      <c r="E310" s="506"/>
      <c r="F310" s="506"/>
      <c r="G310" s="506"/>
      <c r="H310" s="506"/>
      <c r="I310" s="506"/>
    </row>
    <row r="311">
      <c r="A311" s="513"/>
      <c r="B311" s="506"/>
      <c r="C311" s="506"/>
      <c r="D311" s="506"/>
      <c r="E311" s="506"/>
      <c r="F311" s="506"/>
      <c r="G311" s="506"/>
      <c r="H311" s="506"/>
      <c r="I311" s="506"/>
    </row>
    <row r="312">
      <c r="A312" s="513"/>
      <c r="B312" s="506"/>
      <c r="C312" s="506"/>
      <c r="D312" s="506"/>
      <c r="E312" s="506"/>
      <c r="F312" s="506"/>
      <c r="G312" s="506"/>
      <c r="H312" s="506"/>
      <c r="I312" s="506"/>
    </row>
    <row r="313">
      <c r="A313" s="513"/>
      <c r="B313" s="506"/>
      <c r="C313" s="506"/>
      <c r="D313" s="506"/>
      <c r="E313" s="506"/>
      <c r="F313" s="506"/>
      <c r="G313" s="506"/>
      <c r="H313" s="506"/>
      <c r="I313" s="506"/>
    </row>
    <row r="314">
      <c r="A314" s="513"/>
      <c r="B314" s="506"/>
      <c r="C314" s="506"/>
      <c r="D314" s="506"/>
      <c r="E314" s="506"/>
      <c r="F314" s="506"/>
      <c r="G314" s="506"/>
      <c r="H314" s="506"/>
      <c r="I314" s="506"/>
    </row>
    <row r="315">
      <c r="A315" s="513"/>
      <c r="B315" s="506"/>
      <c r="C315" s="506"/>
      <c r="D315" s="506"/>
      <c r="E315" s="506"/>
      <c r="F315" s="506"/>
      <c r="G315" s="506"/>
      <c r="H315" s="506"/>
      <c r="I315" s="506"/>
    </row>
    <row r="316">
      <c r="A316" s="513"/>
      <c r="B316" s="506"/>
      <c r="C316" s="506"/>
      <c r="D316" s="506"/>
      <c r="E316" s="506"/>
      <c r="F316" s="506"/>
      <c r="G316" s="506"/>
      <c r="H316" s="506"/>
      <c r="I316" s="506"/>
    </row>
    <row r="317">
      <c r="A317" s="513"/>
      <c r="B317" s="506"/>
      <c r="C317" s="506"/>
      <c r="D317" s="506"/>
      <c r="E317" s="506"/>
      <c r="F317" s="506"/>
      <c r="G317" s="506"/>
      <c r="H317" s="506"/>
      <c r="I317" s="506"/>
    </row>
    <row r="318">
      <c r="A318" s="513"/>
      <c r="B318" s="506"/>
      <c r="C318" s="506"/>
      <c r="D318" s="506"/>
      <c r="E318" s="506"/>
      <c r="F318" s="506"/>
      <c r="G318" s="506"/>
      <c r="H318" s="506"/>
      <c r="I318" s="506"/>
    </row>
    <row r="319">
      <c r="A319" s="513"/>
      <c r="B319" s="506"/>
      <c r="C319" s="506"/>
      <c r="D319" s="506"/>
      <c r="E319" s="506"/>
      <c r="F319" s="506"/>
      <c r="G319" s="506"/>
      <c r="H319" s="506"/>
      <c r="I319" s="506"/>
    </row>
    <row r="320">
      <c r="A320" s="513"/>
      <c r="B320" s="506"/>
      <c r="C320" s="506"/>
      <c r="D320" s="506"/>
      <c r="E320" s="506"/>
      <c r="F320" s="506"/>
      <c r="G320" s="506"/>
      <c r="H320" s="506"/>
      <c r="I320" s="506"/>
    </row>
    <row r="321">
      <c r="A321" s="513"/>
      <c r="B321" s="506"/>
      <c r="C321" s="506"/>
      <c r="D321" s="506"/>
      <c r="E321" s="506"/>
      <c r="F321" s="506"/>
      <c r="G321" s="506"/>
      <c r="H321" s="506"/>
      <c r="I321" s="506"/>
    </row>
    <row r="322">
      <c r="A322" s="513"/>
      <c r="B322" s="506"/>
      <c r="C322" s="506"/>
      <c r="D322" s="506"/>
      <c r="E322" s="506"/>
      <c r="F322" s="506"/>
      <c r="G322" s="506"/>
      <c r="H322" s="506"/>
      <c r="I322" s="506"/>
    </row>
    <row r="323">
      <c r="A323" s="513"/>
      <c r="B323" s="506"/>
      <c r="C323" s="506"/>
      <c r="D323" s="506"/>
      <c r="E323" s="506"/>
      <c r="F323" s="506"/>
      <c r="G323" s="506"/>
      <c r="H323" s="506"/>
      <c r="I323" s="506"/>
    </row>
    <row r="324">
      <c r="A324" s="513"/>
      <c r="B324" s="506"/>
      <c r="C324" s="506"/>
      <c r="D324" s="506"/>
      <c r="E324" s="506"/>
      <c r="F324" s="506"/>
      <c r="G324" s="506"/>
      <c r="H324" s="506"/>
      <c r="I324" s="506"/>
    </row>
    <row r="325">
      <c r="A325" s="513"/>
      <c r="B325" s="506"/>
      <c r="C325" s="506"/>
      <c r="D325" s="506"/>
      <c r="E325" s="506"/>
      <c r="F325" s="506"/>
      <c r="G325" s="506"/>
      <c r="H325" s="506"/>
      <c r="I325" s="506"/>
    </row>
    <row r="326">
      <c r="A326" s="513"/>
      <c r="B326" s="506"/>
      <c r="C326" s="506"/>
      <c r="D326" s="506"/>
      <c r="E326" s="506"/>
      <c r="F326" s="506"/>
      <c r="G326" s="506"/>
      <c r="H326" s="506"/>
      <c r="I326" s="506"/>
    </row>
    <row r="327">
      <c r="A327" s="513"/>
      <c r="B327" s="506"/>
      <c r="C327" s="506"/>
      <c r="D327" s="506"/>
      <c r="E327" s="506"/>
      <c r="F327" s="506"/>
      <c r="G327" s="506"/>
      <c r="H327" s="506"/>
      <c r="I327" s="506"/>
    </row>
    <row r="328">
      <c r="A328" s="513"/>
      <c r="B328" s="506"/>
      <c r="C328" s="506"/>
      <c r="D328" s="506"/>
      <c r="E328" s="506"/>
      <c r="F328" s="506"/>
      <c r="G328" s="506"/>
      <c r="H328" s="506"/>
      <c r="I328" s="506"/>
    </row>
    <row r="329">
      <c r="A329" s="513"/>
      <c r="B329" s="506"/>
      <c r="C329" s="506"/>
      <c r="D329" s="506"/>
      <c r="E329" s="506"/>
      <c r="F329" s="506"/>
      <c r="G329" s="506"/>
      <c r="H329" s="506"/>
      <c r="I329" s="506"/>
    </row>
    <row r="330">
      <c r="A330" s="513"/>
      <c r="B330" s="506"/>
      <c r="C330" s="506"/>
      <c r="D330" s="506"/>
      <c r="E330" s="506"/>
      <c r="F330" s="506"/>
      <c r="G330" s="506"/>
      <c r="H330" s="506"/>
      <c r="I330" s="506"/>
    </row>
    <row r="331">
      <c r="A331" s="513"/>
      <c r="B331" s="506"/>
      <c r="C331" s="506"/>
      <c r="D331" s="506"/>
      <c r="E331" s="506"/>
      <c r="F331" s="506"/>
      <c r="G331" s="506"/>
      <c r="H331" s="506"/>
      <c r="I331" s="506"/>
    </row>
    <row r="332">
      <c r="A332" s="513"/>
      <c r="B332" s="506"/>
      <c r="C332" s="506"/>
      <c r="D332" s="506"/>
      <c r="E332" s="506"/>
      <c r="F332" s="506"/>
      <c r="G332" s="506"/>
      <c r="H332" s="506"/>
      <c r="I332" s="506"/>
    </row>
    <row r="333">
      <c r="A333" s="513"/>
      <c r="B333" s="506"/>
      <c r="C333" s="506"/>
      <c r="D333" s="506"/>
      <c r="E333" s="506"/>
      <c r="F333" s="506"/>
      <c r="G333" s="506"/>
      <c r="H333" s="506"/>
      <c r="I333" s="506"/>
    </row>
    <row r="334">
      <c r="A334" s="513"/>
      <c r="B334" s="506"/>
      <c r="C334" s="506"/>
      <c r="D334" s="506"/>
      <c r="E334" s="506"/>
      <c r="F334" s="506"/>
      <c r="G334" s="506"/>
      <c r="H334" s="506"/>
      <c r="I334" s="506"/>
    </row>
    <row r="335">
      <c r="A335" s="513"/>
      <c r="B335" s="506"/>
      <c r="C335" s="506"/>
      <c r="D335" s="506"/>
      <c r="E335" s="506"/>
      <c r="F335" s="506"/>
      <c r="G335" s="506"/>
      <c r="H335" s="506"/>
      <c r="I335" s="506"/>
    </row>
    <row r="336">
      <c r="A336" s="513"/>
      <c r="B336" s="506"/>
      <c r="C336" s="506"/>
      <c r="D336" s="506"/>
      <c r="E336" s="506"/>
      <c r="F336" s="506"/>
      <c r="G336" s="506"/>
      <c r="H336" s="506"/>
      <c r="I336" s="506"/>
    </row>
    <row r="337">
      <c r="A337" s="513"/>
      <c r="B337" s="506"/>
      <c r="C337" s="506"/>
      <c r="D337" s="506"/>
      <c r="E337" s="506"/>
      <c r="F337" s="506"/>
      <c r="G337" s="506"/>
      <c r="H337" s="506"/>
      <c r="I337" s="506"/>
    </row>
    <row r="338">
      <c r="A338" s="513"/>
      <c r="B338" s="506"/>
      <c r="C338" s="506"/>
      <c r="D338" s="506"/>
      <c r="E338" s="506"/>
      <c r="F338" s="506"/>
      <c r="G338" s="506"/>
      <c r="H338" s="506"/>
      <c r="I338" s="506"/>
    </row>
    <row r="339">
      <c r="A339" s="513"/>
      <c r="B339" s="506"/>
      <c r="C339" s="506"/>
      <c r="D339" s="506"/>
      <c r="E339" s="506"/>
      <c r="F339" s="506"/>
      <c r="G339" s="506"/>
      <c r="H339" s="506"/>
      <c r="I339" s="506"/>
    </row>
    <row r="340">
      <c r="A340" s="513"/>
      <c r="B340" s="506"/>
      <c r="C340" s="506"/>
      <c r="D340" s="506"/>
      <c r="E340" s="506"/>
      <c r="F340" s="506"/>
      <c r="G340" s="506"/>
      <c r="H340" s="506"/>
      <c r="I340" s="506"/>
    </row>
    <row r="341">
      <c r="A341" s="513"/>
      <c r="B341" s="506"/>
      <c r="C341" s="506"/>
      <c r="D341" s="506"/>
      <c r="E341" s="506"/>
      <c r="F341" s="506"/>
      <c r="G341" s="506"/>
      <c r="H341" s="506"/>
      <c r="I341" s="506"/>
    </row>
    <row r="342">
      <c r="A342" s="513"/>
      <c r="B342" s="506"/>
      <c r="C342" s="506"/>
      <c r="D342" s="506"/>
      <c r="E342" s="506"/>
      <c r="F342" s="506"/>
      <c r="G342" s="506"/>
      <c r="H342" s="506"/>
      <c r="I342" s="506"/>
    </row>
    <row r="343">
      <c r="A343" s="513"/>
      <c r="B343" s="506"/>
      <c r="C343" s="506"/>
      <c r="D343" s="506"/>
      <c r="E343" s="506"/>
      <c r="F343" s="506"/>
      <c r="G343" s="506"/>
      <c r="H343" s="506"/>
      <c r="I343" s="506"/>
    </row>
    <row r="344">
      <c r="A344" s="513"/>
      <c r="B344" s="506"/>
      <c r="C344" s="506"/>
      <c r="D344" s="506"/>
      <c r="E344" s="506"/>
      <c r="F344" s="506"/>
      <c r="G344" s="506"/>
      <c r="H344" s="506"/>
      <c r="I344" s="506"/>
    </row>
    <row r="345">
      <c r="A345" s="513"/>
      <c r="B345" s="506"/>
      <c r="C345" s="506"/>
      <c r="D345" s="506"/>
      <c r="E345" s="506"/>
      <c r="F345" s="506"/>
      <c r="G345" s="506"/>
      <c r="H345" s="506"/>
      <c r="I345" s="506"/>
    </row>
    <row r="346">
      <c r="A346" s="513"/>
      <c r="B346" s="506"/>
      <c r="C346" s="506"/>
      <c r="D346" s="506"/>
      <c r="E346" s="506"/>
      <c r="F346" s="506"/>
      <c r="G346" s="506"/>
      <c r="H346" s="506"/>
      <c r="I346" s="506"/>
    </row>
    <row r="347">
      <c r="A347" s="513"/>
      <c r="B347" s="506"/>
      <c r="C347" s="506"/>
      <c r="D347" s="506"/>
      <c r="E347" s="506"/>
      <c r="F347" s="506"/>
      <c r="G347" s="506"/>
      <c r="H347" s="506"/>
      <c r="I347" s="506"/>
    </row>
    <row r="348">
      <c r="A348" s="513"/>
      <c r="B348" s="506"/>
      <c r="C348" s="506"/>
      <c r="D348" s="506"/>
      <c r="E348" s="506"/>
      <c r="F348" s="506"/>
      <c r="G348" s="506"/>
      <c r="H348" s="506"/>
      <c r="I348" s="506"/>
    </row>
    <row r="349">
      <c r="A349" s="513"/>
      <c r="B349" s="506"/>
      <c r="C349" s="506"/>
      <c r="D349" s="506"/>
      <c r="E349" s="506"/>
      <c r="F349" s="506"/>
      <c r="G349" s="506"/>
      <c r="H349" s="506"/>
      <c r="I349" s="506"/>
    </row>
    <row r="350">
      <c r="A350" s="513"/>
      <c r="B350" s="506"/>
      <c r="C350" s="506"/>
      <c r="D350" s="506"/>
      <c r="E350" s="506"/>
      <c r="F350" s="506"/>
      <c r="G350" s="506"/>
      <c r="H350" s="506"/>
      <c r="I350" s="506"/>
    </row>
    <row r="351">
      <c r="A351" s="513"/>
      <c r="B351" s="506"/>
      <c r="C351" s="506"/>
      <c r="D351" s="506"/>
      <c r="E351" s="506"/>
      <c r="F351" s="506"/>
      <c r="G351" s="506"/>
      <c r="H351" s="506"/>
      <c r="I351" s="506"/>
    </row>
    <row r="352">
      <c r="A352" s="513"/>
      <c r="B352" s="506"/>
      <c r="C352" s="506"/>
      <c r="D352" s="506"/>
      <c r="E352" s="506"/>
      <c r="F352" s="506"/>
      <c r="G352" s="506"/>
      <c r="H352" s="506"/>
      <c r="I352" s="506"/>
    </row>
    <row r="353">
      <c r="A353" s="513"/>
      <c r="B353" s="506"/>
      <c r="C353" s="506"/>
      <c r="D353" s="506"/>
      <c r="E353" s="506"/>
      <c r="F353" s="506"/>
      <c r="G353" s="506"/>
      <c r="H353" s="506"/>
      <c r="I353" s="506"/>
    </row>
    <row r="354">
      <c r="A354" s="513"/>
      <c r="B354" s="506"/>
      <c r="C354" s="506"/>
      <c r="D354" s="506"/>
      <c r="E354" s="506"/>
      <c r="F354" s="506"/>
      <c r="G354" s="506"/>
      <c r="H354" s="506"/>
      <c r="I354" s="506"/>
    </row>
    <row r="355">
      <c r="A355" s="513"/>
      <c r="B355" s="506"/>
      <c r="C355" s="506"/>
      <c r="D355" s="506"/>
      <c r="E355" s="506"/>
      <c r="F355" s="506"/>
      <c r="G355" s="506"/>
      <c r="H355" s="506"/>
      <c r="I355" s="506"/>
    </row>
    <row r="356">
      <c r="A356" s="513"/>
      <c r="B356" s="506"/>
      <c r="C356" s="506"/>
      <c r="D356" s="506"/>
      <c r="E356" s="506"/>
      <c r="F356" s="506"/>
      <c r="G356" s="506"/>
      <c r="H356" s="506"/>
      <c r="I356" s="506"/>
    </row>
    <row r="357">
      <c r="A357" s="513"/>
      <c r="B357" s="506"/>
      <c r="C357" s="506"/>
      <c r="D357" s="506"/>
      <c r="E357" s="506"/>
      <c r="F357" s="506"/>
      <c r="G357" s="506"/>
      <c r="H357" s="506"/>
      <c r="I357" s="506"/>
    </row>
    <row r="358">
      <c r="A358" s="513"/>
      <c r="B358" s="506"/>
      <c r="C358" s="506"/>
      <c r="D358" s="506"/>
      <c r="E358" s="506"/>
      <c r="F358" s="506"/>
      <c r="G358" s="506"/>
      <c r="H358" s="506"/>
      <c r="I358" s="506"/>
    </row>
    <row r="359">
      <c r="A359" s="513"/>
      <c r="B359" s="506"/>
      <c r="C359" s="506"/>
      <c r="D359" s="506"/>
      <c r="E359" s="506"/>
      <c r="F359" s="506"/>
      <c r="G359" s="506"/>
      <c r="H359" s="506"/>
      <c r="I359" s="506"/>
    </row>
    <row r="360">
      <c r="A360" s="513"/>
      <c r="B360" s="506"/>
      <c r="C360" s="506"/>
      <c r="D360" s="506"/>
      <c r="E360" s="506"/>
      <c r="F360" s="506"/>
      <c r="G360" s="506"/>
      <c r="H360" s="506"/>
      <c r="I360" s="506"/>
    </row>
    <row r="361">
      <c r="A361" s="513"/>
      <c r="B361" s="506"/>
      <c r="C361" s="506"/>
      <c r="D361" s="506"/>
      <c r="E361" s="506"/>
      <c r="F361" s="506"/>
      <c r="G361" s="506"/>
      <c r="H361" s="506"/>
      <c r="I361" s="506"/>
    </row>
    <row r="362">
      <c r="A362" s="513"/>
      <c r="B362" s="506"/>
      <c r="C362" s="506"/>
      <c r="D362" s="506"/>
      <c r="E362" s="506"/>
      <c r="F362" s="506"/>
      <c r="G362" s="506"/>
      <c r="H362" s="506"/>
      <c r="I362" s="506"/>
    </row>
    <row r="363">
      <c r="A363" s="513"/>
      <c r="B363" s="506"/>
      <c r="C363" s="506"/>
      <c r="D363" s="506"/>
      <c r="E363" s="506"/>
      <c r="F363" s="506"/>
      <c r="G363" s="506"/>
      <c r="H363" s="506"/>
      <c r="I363" s="506"/>
    </row>
    <row r="364">
      <c r="A364" s="513"/>
      <c r="B364" s="506"/>
      <c r="C364" s="506"/>
      <c r="D364" s="506"/>
      <c r="E364" s="506"/>
      <c r="F364" s="506"/>
      <c r="G364" s="506"/>
      <c r="H364" s="506"/>
      <c r="I364" s="506"/>
    </row>
    <row r="365">
      <c r="A365" s="513"/>
      <c r="B365" s="506"/>
      <c r="C365" s="506"/>
      <c r="D365" s="506"/>
      <c r="E365" s="506"/>
      <c r="F365" s="506"/>
      <c r="G365" s="506"/>
      <c r="H365" s="506"/>
      <c r="I365" s="506"/>
    </row>
    <row r="366">
      <c r="A366" s="513"/>
      <c r="B366" s="506"/>
      <c r="C366" s="506"/>
      <c r="D366" s="506"/>
      <c r="E366" s="506"/>
      <c r="F366" s="506"/>
      <c r="G366" s="506"/>
      <c r="H366" s="506"/>
      <c r="I366" s="506"/>
    </row>
    <row r="367">
      <c r="A367" s="513"/>
      <c r="B367" s="506"/>
      <c r="C367" s="506"/>
      <c r="D367" s="506"/>
      <c r="E367" s="506"/>
      <c r="F367" s="506"/>
      <c r="G367" s="506"/>
      <c r="H367" s="506"/>
      <c r="I367" s="506"/>
    </row>
    <row r="368">
      <c r="A368" s="513"/>
      <c r="B368" s="506"/>
      <c r="C368" s="506"/>
      <c r="D368" s="506"/>
      <c r="E368" s="506"/>
      <c r="F368" s="506"/>
      <c r="G368" s="506"/>
      <c r="H368" s="506"/>
      <c r="I368" s="506"/>
    </row>
    <row r="369">
      <c r="A369" s="513"/>
      <c r="B369" s="506"/>
      <c r="C369" s="506"/>
      <c r="D369" s="506"/>
      <c r="E369" s="506"/>
      <c r="F369" s="506"/>
      <c r="G369" s="506"/>
      <c r="H369" s="506"/>
      <c r="I369" s="506"/>
    </row>
    <row r="370">
      <c r="A370" s="513"/>
      <c r="B370" s="506"/>
      <c r="C370" s="506"/>
      <c r="D370" s="506"/>
      <c r="E370" s="506"/>
      <c r="F370" s="506"/>
      <c r="G370" s="506"/>
      <c r="H370" s="506"/>
      <c r="I370" s="506"/>
    </row>
    <row r="371">
      <c r="A371" s="513"/>
      <c r="B371" s="506"/>
      <c r="C371" s="506"/>
      <c r="D371" s="506"/>
      <c r="E371" s="506"/>
      <c r="F371" s="506"/>
      <c r="G371" s="506"/>
      <c r="H371" s="506"/>
      <c r="I371" s="506"/>
    </row>
    <row r="372">
      <c r="A372" s="513"/>
      <c r="B372" s="506"/>
      <c r="C372" s="506"/>
      <c r="D372" s="506"/>
      <c r="E372" s="506"/>
      <c r="F372" s="506"/>
      <c r="G372" s="506"/>
      <c r="H372" s="506"/>
      <c r="I372" s="506"/>
    </row>
    <row r="373">
      <c r="A373" s="513"/>
      <c r="B373" s="506"/>
      <c r="C373" s="506"/>
      <c r="D373" s="506"/>
      <c r="E373" s="506"/>
      <c r="F373" s="506"/>
      <c r="G373" s="506"/>
      <c r="H373" s="506"/>
      <c r="I373" s="506"/>
    </row>
    <row r="374">
      <c r="A374" s="513"/>
      <c r="B374" s="506"/>
      <c r="C374" s="506"/>
      <c r="D374" s="506"/>
      <c r="E374" s="506"/>
      <c r="F374" s="506"/>
      <c r="G374" s="506"/>
      <c r="H374" s="506"/>
      <c r="I374" s="506"/>
    </row>
    <row r="375">
      <c r="A375" s="513"/>
      <c r="B375" s="506"/>
      <c r="C375" s="506"/>
      <c r="D375" s="506"/>
      <c r="E375" s="506"/>
      <c r="F375" s="506"/>
      <c r="G375" s="506"/>
      <c r="H375" s="506"/>
      <c r="I375" s="506"/>
    </row>
    <row r="376">
      <c r="A376" s="513"/>
      <c r="B376" s="506"/>
      <c r="C376" s="506"/>
      <c r="D376" s="506"/>
      <c r="E376" s="506"/>
      <c r="F376" s="506"/>
      <c r="G376" s="506"/>
      <c r="H376" s="506"/>
      <c r="I376" s="506"/>
    </row>
    <row r="377">
      <c r="A377" s="513"/>
      <c r="B377" s="506"/>
      <c r="C377" s="506"/>
      <c r="D377" s="506"/>
      <c r="E377" s="506"/>
      <c r="F377" s="506"/>
      <c r="G377" s="506"/>
      <c r="H377" s="506"/>
      <c r="I377" s="506"/>
    </row>
    <row r="378">
      <c r="A378" s="513"/>
      <c r="B378" s="506"/>
      <c r="C378" s="506"/>
      <c r="D378" s="506"/>
      <c r="E378" s="506"/>
      <c r="F378" s="506"/>
      <c r="G378" s="506"/>
      <c r="H378" s="506"/>
      <c r="I378" s="506"/>
    </row>
    <row r="379">
      <c r="A379" s="513"/>
      <c r="B379" s="506"/>
      <c r="C379" s="506"/>
      <c r="D379" s="506"/>
      <c r="E379" s="506"/>
      <c r="F379" s="506"/>
      <c r="G379" s="506"/>
      <c r="H379" s="506"/>
      <c r="I379" s="506"/>
    </row>
    <row r="380">
      <c r="A380" s="513"/>
      <c r="B380" s="506"/>
      <c r="C380" s="506"/>
      <c r="D380" s="506"/>
      <c r="E380" s="506"/>
      <c r="F380" s="506"/>
      <c r="G380" s="506"/>
      <c r="H380" s="506"/>
      <c r="I380" s="506"/>
    </row>
    <row r="381">
      <c r="A381" s="513"/>
      <c r="B381" s="506"/>
      <c r="C381" s="506"/>
      <c r="D381" s="506"/>
      <c r="E381" s="506"/>
      <c r="F381" s="506"/>
      <c r="G381" s="506"/>
      <c r="H381" s="506"/>
      <c r="I381" s="506"/>
    </row>
    <row r="382">
      <c r="A382" s="513"/>
      <c r="B382" s="506"/>
      <c r="C382" s="506"/>
      <c r="D382" s="506"/>
      <c r="E382" s="506"/>
      <c r="F382" s="506"/>
      <c r="G382" s="506"/>
      <c r="H382" s="506"/>
      <c r="I382" s="506"/>
    </row>
    <row r="383">
      <c r="A383" s="513"/>
      <c r="B383" s="506"/>
      <c r="C383" s="506"/>
      <c r="D383" s="506"/>
      <c r="E383" s="506"/>
      <c r="F383" s="506"/>
      <c r="G383" s="506"/>
      <c r="H383" s="506"/>
      <c r="I383" s="506"/>
    </row>
    <row r="384">
      <c r="A384" s="513"/>
      <c r="B384" s="506"/>
      <c r="C384" s="506"/>
      <c r="D384" s="506"/>
      <c r="E384" s="506"/>
      <c r="F384" s="506"/>
      <c r="G384" s="506"/>
      <c r="H384" s="506"/>
      <c r="I384" s="506"/>
    </row>
    <row r="385">
      <c r="A385" s="513"/>
      <c r="B385" s="506"/>
      <c r="C385" s="506"/>
      <c r="D385" s="506"/>
      <c r="E385" s="506"/>
      <c r="F385" s="506"/>
      <c r="G385" s="506"/>
      <c r="H385" s="506"/>
      <c r="I385" s="506"/>
    </row>
    <row r="386">
      <c r="A386" s="513"/>
      <c r="B386" s="506"/>
      <c r="C386" s="506"/>
      <c r="D386" s="506"/>
      <c r="E386" s="506"/>
      <c r="F386" s="506"/>
      <c r="G386" s="506"/>
      <c r="H386" s="506"/>
      <c r="I386" s="506"/>
    </row>
    <row r="387">
      <c r="A387" s="513"/>
      <c r="B387" s="506"/>
      <c r="C387" s="506"/>
      <c r="D387" s="506"/>
      <c r="E387" s="506"/>
      <c r="F387" s="506"/>
      <c r="G387" s="506"/>
      <c r="H387" s="506"/>
      <c r="I387" s="506"/>
    </row>
    <row r="388">
      <c r="A388" s="513"/>
      <c r="B388" s="506"/>
      <c r="C388" s="506"/>
      <c r="D388" s="506"/>
      <c r="E388" s="506"/>
      <c r="F388" s="506"/>
      <c r="G388" s="506"/>
      <c r="H388" s="506"/>
      <c r="I388" s="506"/>
    </row>
    <row r="389">
      <c r="A389" s="513"/>
      <c r="B389" s="506"/>
      <c r="C389" s="506"/>
      <c r="D389" s="506"/>
      <c r="E389" s="506"/>
      <c r="F389" s="506"/>
      <c r="G389" s="506"/>
      <c r="H389" s="506"/>
      <c r="I389" s="506"/>
    </row>
    <row r="390">
      <c r="A390" s="513"/>
      <c r="B390" s="506"/>
      <c r="C390" s="506"/>
      <c r="D390" s="506"/>
      <c r="E390" s="506"/>
      <c r="F390" s="506"/>
      <c r="G390" s="506"/>
      <c r="H390" s="506"/>
      <c r="I390" s="506"/>
    </row>
    <row r="391">
      <c r="A391" s="513"/>
      <c r="B391" s="506"/>
      <c r="C391" s="506"/>
      <c r="D391" s="506"/>
      <c r="E391" s="506"/>
      <c r="F391" s="506"/>
      <c r="G391" s="506"/>
      <c r="H391" s="506"/>
      <c r="I391" s="506"/>
    </row>
    <row r="392">
      <c r="A392" s="513"/>
      <c r="B392" s="506"/>
      <c r="C392" s="506"/>
      <c r="D392" s="506"/>
      <c r="E392" s="506"/>
      <c r="F392" s="506"/>
      <c r="G392" s="506"/>
      <c r="H392" s="506"/>
      <c r="I392" s="506"/>
    </row>
    <row r="393">
      <c r="A393" s="513"/>
      <c r="B393" s="506"/>
      <c r="C393" s="506"/>
      <c r="D393" s="506"/>
      <c r="E393" s="506"/>
      <c r="F393" s="506"/>
      <c r="G393" s="506"/>
      <c r="H393" s="506"/>
      <c r="I393" s="506"/>
    </row>
    <row r="394">
      <c r="A394" s="513"/>
      <c r="B394" s="506"/>
      <c r="C394" s="506"/>
      <c r="D394" s="506"/>
      <c r="E394" s="506"/>
      <c r="F394" s="506"/>
      <c r="G394" s="506"/>
      <c r="H394" s="506"/>
      <c r="I394" s="506"/>
    </row>
    <row r="395">
      <c r="A395" s="513"/>
      <c r="B395" s="506"/>
      <c r="C395" s="506"/>
      <c r="D395" s="506"/>
      <c r="E395" s="506"/>
      <c r="F395" s="506"/>
      <c r="G395" s="506"/>
      <c r="H395" s="506"/>
      <c r="I395" s="506"/>
    </row>
    <row r="396">
      <c r="A396" s="513"/>
      <c r="B396" s="506"/>
      <c r="C396" s="506"/>
      <c r="D396" s="506"/>
      <c r="E396" s="506"/>
      <c r="F396" s="506"/>
      <c r="G396" s="506"/>
      <c r="H396" s="506"/>
      <c r="I396" s="506"/>
    </row>
    <row r="397">
      <c r="A397" s="513"/>
      <c r="B397" s="506"/>
      <c r="C397" s="506"/>
      <c r="D397" s="506"/>
      <c r="E397" s="506"/>
      <c r="F397" s="506"/>
      <c r="G397" s="506"/>
      <c r="H397" s="506"/>
      <c r="I397" s="506"/>
    </row>
    <row r="398">
      <c r="A398" s="513"/>
      <c r="B398" s="506"/>
      <c r="C398" s="506"/>
      <c r="D398" s="506"/>
      <c r="E398" s="506"/>
      <c r="F398" s="506"/>
      <c r="G398" s="506"/>
      <c r="H398" s="506"/>
      <c r="I398" s="506"/>
    </row>
    <row r="399">
      <c r="A399" s="513"/>
      <c r="B399" s="506"/>
      <c r="C399" s="506"/>
      <c r="D399" s="506"/>
      <c r="E399" s="506"/>
      <c r="F399" s="506"/>
      <c r="G399" s="506"/>
      <c r="H399" s="506"/>
      <c r="I399" s="506"/>
    </row>
    <row r="400">
      <c r="A400" s="513"/>
      <c r="B400" s="506"/>
      <c r="C400" s="506"/>
      <c r="D400" s="506"/>
      <c r="E400" s="506"/>
      <c r="F400" s="506"/>
      <c r="G400" s="506"/>
      <c r="H400" s="506"/>
      <c r="I400" s="506"/>
    </row>
    <row r="401">
      <c r="A401" s="513"/>
      <c r="B401" s="506"/>
      <c r="C401" s="506"/>
      <c r="D401" s="506"/>
      <c r="E401" s="506"/>
      <c r="F401" s="506"/>
      <c r="G401" s="506"/>
      <c r="H401" s="506"/>
      <c r="I401" s="506"/>
    </row>
    <row r="402">
      <c r="A402" s="513"/>
      <c r="B402" s="506"/>
      <c r="C402" s="506"/>
      <c r="D402" s="506"/>
      <c r="E402" s="506"/>
      <c r="F402" s="506"/>
      <c r="G402" s="506"/>
      <c r="H402" s="506"/>
      <c r="I402" s="506"/>
    </row>
    <row r="403">
      <c r="A403" s="513"/>
      <c r="B403" s="506"/>
      <c r="C403" s="506"/>
      <c r="D403" s="506"/>
      <c r="E403" s="506"/>
      <c r="F403" s="506"/>
      <c r="G403" s="506"/>
      <c r="H403" s="506"/>
      <c r="I403" s="506"/>
    </row>
    <row r="404">
      <c r="A404" s="513"/>
      <c r="B404" s="506"/>
      <c r="C404" s="506"/>
      <c r="D404" s="506"/>
      <c r="E404" s="506"/>
      <c r="F404" s="506"/>
      <c r="G404" s="506"/>
      <c r="H404" s="506"/>
      <c r="I404" s="506"/>
    </row>
    <row r="405">
      <c r="A405" s="513"/>
      <c r="B405" s="506"/>
      <c r="C405" s="506"/>
      <c r="D405" s="506"/>
      <c r="E405" s="506"/>
      <c r="F405" s="506"/>
      <c r="G405" s="506"/>
      <c r="H405" s="506"/>
      <c r="I405" s="506"/>
    </row>
    <row r="406">
      <c r="A406" s="513"/>
      <c r="B406" s="506"/>
      <c r="C406" s="506"/>
      <c r="D406" s="506"/>
      <c r="E406" s="506"/>
      <c r="F406" s="506"/>
      <c r="G406" s="506"/>
      <c r="H406" s="506"/>
      <c r="I406" s="506"/>
    </row>
    <row r="407">
      <c r="A407" s="513"/>
      <c r="B407" s="506"/>
      <c r="C407" s="506"/>
      <c r="D407" s="506"/>
      <c r="E407" s="506"/>
      <c r="F407" s="506"/>
      <c r="G407" s="506"/>
      <c r="H407" s="506"/>
      <c r="I407" s="506"/>
    </row>
    <row r="408">
      <c r="A408" s="513"/>
      <c r="B408" s="506"/>
      <c r="C408" s="506"/>
      <c r="D408" s="506"/>
      <c r="E408" s="506"/>
      <c r="F408" s="506"/>
      <c r="G408" s="506"/>
      <c r="H408" s="506"/>
      <c r="I408" s="506"/>
    </row>
    <row r="409">
      <c r="A409" s="513"/>
      <c r="B409" s="506"/>
      <c r="C409" s="506"/>
      <c r="D409" s="506"/>
      <c r="E409" s="506"/>
      <c r="F409" s="506"/>
      <c r="G409" s="506"/>
      <c r="H409" s="506"/>
      <c r="I409" s="506"/>
    </row>
    <row r="410">
      <c r="A410" s="513"/>
      <c r="B410" s="506"/>
      <c r="C410" s="506"/>
      <c r="D410" s="506"/>
      <c r="E410" s="506"/>
      <c r="F410" s="506"/>
      <c r="G410" s="506"/>
      <c r="H410" s="506"/>
      <c r="I410" s="506"/>
    </row>
    <row r="411">
      <c r="A411" s="513"/>
      <c r="B411" s="506"/>
      <c r="C411" s="506"/>
      <c r="D411" s="506"/>
      <c r="E411" s="506"/>
      <c r="F411" s="506"/>
      <c r="G411" s="506"/>
      <c r="H411" s="506"/>
      <c r="I411" s="506"/>
    </row>
    <row r="412">
      <c r="A412" s="513"/>
      <c r="B412" s="506"/>
      <c r="C412" s="506"/>
      <c r="D412" s="506"/>
      <c r="E412" s="506"/>
      <c r="F412" s="506"/>
      <c r="G412" s="506"/>
      <c r="H412" s="506"/>
      <c r="I412" s="506"/>
    </row>
    <row r="413">
      <c r="A413" s="513"/>
      <c r="B413" s="506"/>
      <c r="C413" s="506"/>
      <c r="D413" s="506"/>
      <c r="E413" s="506"/>
      <c r="F413" s="506"/>
      <c r="G413" s="506"/>
      <c r="H413" s="506"/>
      <c r="I413" s="506"/>
    </row>
    <row r="414">
      <c r="A414" s="513"/>
      <c r="B414" s="506"/>
      <c r="C414" s="506"/>
      <c r="D414" s="506"/>
      <c r="E414" s="506"/>
      <c r="F414" s="506"/>
      <c r="G414" s="506"/>
      <c r="H414" s="506"/>
      <c r="I414" s="506"/>
    </row>
    <row r="415">
      <c r="A415" s="513"/>
      <c r="B415" s="506"/>
      <c r="C415" s="506"/>
      <c r="D415" s="506"/>
      <c r="E415" s="506"/>
      <c r="F415" s="506"/>
      <c r="G415" s="506"/>
      <c r="H415" s="506"/>
      <c r="I415" s="506"/>
    </row>
    <row r="416">
      <c r="A416" s="513"/>
      <c r="B416" s="506"/>
      <c r="C416" s="506"/>
      <c r="D416" s="506"/>
      <c r="E416" s="506"/>
      <c r="F416" s="506"/>
      <c r="G416" s="506"/>
      <c r="H416" s="506"/>
      <c r="I416" s="506"/>
    </row>
    <row r="417">
      <c r="A417" s="513"/>
      <c r="B417" s="506"/>
      <c r="C417" s="506"/>
      <c r="D417" s="506"/>
      <c r="E417" s="506"/>
      <c r="F417" s="506"/>
      <c r="G417" s="506"/>
      <c r="H417" s="506"/>
      <c r="I417" s="506"/>
    </row>
    <row r="418">
      <c r="A418" s="513"/>
      <c r="B418" s="506"/>
      <c r="C418" s="506"/>
      <c r="D418" s="506"/>
      <c r="E418" s="506"/>
      <c r="F418" s="506"/>
      <c r="G418" s="506"/>
      <c r="H418" s="506"/>
      <c r="I418" s="506"/>
    </row>
    <row r="419">
      <c r="A419" s="513"/>
      <c r="B419" s="506"/>
      <c r="C419" s="506"/>
      <c r="D419" s="506"/>
      <c r="E419" s="506"/>
      <c r="F419" s="506"/>
      <c r="G419" s="506"/>
      <c r="H419" s="506"/>
      <c r="I419" s="506"/>
    </row>
    <row r="420">
      <c r="A420" s="513"/>
      <c r="B420" s="506"/>
      <c r="C420" s="506"/>
      <c r="D420" s="506"/>
      <c r="E420" s="506"/>
      <c r="F420" s="506"/>
      <c r="G420" s="506"/>
      <c r="H420" s="506"/>
      <c r="I420" s="506"/>
    </row>
    <row r="421">
      <c r="A421" s="513"/>
      <c r="B421" s="506"/>
      <c r="C421" s="506"/>
      <c r="D421" s="506"/>
      <c r="E421" s="506"/>
      <c r="F421" s="506"/>
      <c r="G421" s="506"/>
      <c r="H421" s="506"/>
      <c r="I421" s="506"/>
    </row>
    <row r="422">
      <c r="A422" s="513"/>
      <c r="B422" s="506"/>
      <c r="C422" s="506"/>
      <c r="D422" s="506"/>
      <c r="E422" s="506"/>
      <c r="F422" s="506"/>
      <c r="G422" s="506"/>
      <c r="H422" s="506"/>
      <c r="I422" s="506"/>
    </row>
    <row r="423">
      <c r="A423" s="513"/>
      <c r="B423" s="506"/>
      <c r="C423" s="506"/>
      <c r="D423" s="506"/>
      <c r="E423" s="506"/>
      <c r="F423" s="506"/>
      <c r="G423" s="506"/>
      <c r="H423" s="506"/>
      <c r="I423" s="506"/>
    </row>
    <row r="424">
      <c r="A424" s="513"/>
      <c r="B424" s="506"/>
      <c r="C424" s="506"/>
      <c r="D424" s="506"/>
      <c r="E424" s="506"/>
      <c r="F424" s="506"/>
      <c r="G424" s="506"/>
      <c r="H424" s="506"/>
      <c r="I424" s="506"/>
    </row>
    <row r="425">
      <c r="A425" s="513"/>
      <c r="B425" s="506"/>
      <c r="C425" s="506"/>
      <c r="D425" s="506"/>
      <c r="E425" s="506"/>
      <c r="F425" s="506"/>
      <c r="G425" s="506"/>
      <c r="H425" s="506"/>
      <c r="I425" s="506"/>
    </row>
    <row r="426">
      <c r="A426" s="513"/>
      <c r="B426" s="506"/>
      <c r="C426" s="506"/>
      <c r="D426" s="506"/>
      <c r="E426" s="506"/>
      <c r="F426" s="506"/>
      <c r="G426" s="506"/>
      <c r="H426" s="506"/>
      <c r="I426" s="506"/>
    </row>
    <row r="427">
      <c r="A427" s="513"/>
      <c r="B427" s="506"/>
      <c r="C427" s="506"/>
      <c r="D427" s="506"/>
      <c r="E427" s="506"/>
      <c r="F427" s="506"/>
      <c r="G427" s="506"/>
      <c r="H427" s="506"/>
      <c r="I427" s="506"/>
    </row>
    <row r="428">
      <c r="A428" s="513"/>
      <c r="B428" s="506"/>
      <c r="C428" s="506"/>
      <c r="D428" s="506"/>
      <c r="E428" s="506"/>
      <c r="F428" s="506"/>
      <c r="G428" s="506"/>
      <c r="H428" s="506"/>
      <c r="I428" s="506"/>
    </row>
    <row r="429">
      <c r="A429" s="513"/>
      <c r="B429" s="506"/>
      <c r="C429" s="506"/>
      <c r="D429" s="506"/>
      <c r="E429" s="506"/>
      <c r="F429" s="506"/>
      <c r="G429" s="506"/>
      <c r="H429" s="506"/>
      <c r="I429" s="506"/>
    </row>
    <row r="430">
      <c r="A430" s="513"/>
      <c r="B430" s="506"/>
      <c r="C430" s="506"/>
      <c r="D430" s="506"/>
      <c r="E430" s="506"/>
      <c r="F430" s="506"/>
      <c r="G430" s="506"/>
      <c r="H430" s="506"/>
      <c r="I430" s="506"/>
    </row>
    <row r="431">
      <c r="A431" s="513"/>
      <c r="B431" s="506"/>
      <c r="C431" s="506"/>
      <c r="D431" s="506"/>
      <c r="E431" s="506"/>
      <c r="F431" s="506"/>
      <c r="G431" s="506"/>
      <c r="H431" s="506"/>
      <c r="I431" s="506"/>
    </row>
    <row r="432">
      <c r="A432" s="513"/>
      <c r="B432" s="506"/>
      <c r="C432" s="506"/>
      <c r="D432" s="506"/>
      <c r="E432" s="506"/>
      <c r="F432" s="506"/>
      <c r="G432" s="506"/>
      <c r="H432" s="506"/>
      <c r="I432" s="506"/>
    </row>
    <row r="433">
      <c r="A433" s="513"/>
      <c r="B433" s="506"/>
      <c r="C433" s="506"/>
      <c r="D433" s="506"/>
      <c r="E433" s="506"/>
      <c r="F433" s="506"/>
      <c r="G433" s="506"/>
      <c r="H433" s="506"/>
      <c r="I433" s="506"/>
    </row>
    <row r="434">
      <c r="A434" s="513"/>
      <c r="B434" s="506"/>
      <c r="C434" s="506"/>
      <c r="D434" s="506"/>
      <c r="E434" s="506"/>
      <c r="F434" s="506"/>
      <c r="G434" s="506"/>
      <c r="H434" s="506"/>
      <c r="I434" s="506"/>
    </row>
    <row r="435">
      <c r="A435" s="513"/>
      <c r="B435" s="506"/>
      <c r="C435" s="506"/>
      <c r="D435" s="506"/>
      <c r="E435" s="506"/>
      <c r="F435" s="506"/>
      <c r="G435" s="506"/>
      <c r="H435" s="506"/>
      <c r="I435" s="506"/>
    </row>
    <row r="436">
      <c r="A436" s="513"/>
      <c r="B436" s="506"/>
      <c r="C436" s="506"/>
      <c r="D436" s="506"/>
      <c r="E436" s="506"/>
      <c r="F436" s="506"/>
      <c r="G436" s="506"/>
      <c r="H436" s="506"/>
      <c r="I436" s="506"/>
    </row>
    <row r="437">
      <c r="A437" s="513"/>
      <c r="B437" s="506"/>
      <c r="C437" s="506"/>
      <c r="D437" s="506"/>
      <c r="E437" s="506"/>
      <c r="F437" s="506"/>
      <c r="G437" s="506"/>
      <c r="H437" s="506"/>
      <c r="I437" s="506"/>
    </row>
    <row r="438">
      <c r="A438" s="513"/>
      <c r="B438" s="506"/>
      <c r="C438" s="506"/>
      <c r="D438" s="506"/>
      <c r="E438" s="506"/>
      <c r="F438" s="506"/>
      <c r="G438" s="506"/>
      <c r="H438" s="506"/>
      <c r="I438" s="506"/>
    </row>
    <row r="439">
      <c r="A439" s="513"/>
      <c r="B439" s="506"/>
      <c r="C439" s="506"/>
      <c r="D439" s="506"/>
      <c r="E439" s="506"/>
      <c r="F439" s="506"/>
      <c r="G439" s="506"/>
      <c r="H439" s="506"/>
      <c r="I439" s="506"/>
    </row>
    <row r="440">
      <c r="A440" s="513"/>
      <c r="B440" s="506"/>
      <c r="C440" s="506"/>
      <c r="D440" s="506"/>
      <c r="E440" s="506"/>
      <c r="F440" s="506"/>
      <c r="G440" s="506"/>
      <c r="H440" s="506"/>
      <c r="I440" s="506"/>
    </row>
    <row r="441">
      <c r="A441" s="513"/>
      <c r="B441" s="506"/>
      <c r="C441" s="506"/>
      <c r="D441" s="506"/>
      <c r="E441" s="506"/>
      <c r="F441" s="506"/>
      <c r="G441" s="506"/>
      <c r="H441" s="506"/>
      <c r="I441" s="506"/>
    </row>
    <row r="442">
      <c r="A442" s="513"/>
      <c r="B442" s="506"/>
      <c r="C442" s="506"/>
      <c r="D442" s="506"/>
      <c r="E442" s="506"/>
      <c r="F442" s="506"/>
      <c r="G442" s="506"/>
      <c r="H442" s="506"/>
      <c r="I442" s="506"/>
    </row>
    <row r="443">
      <c r="A443" s="513"/>
      <c r="B443" s="506"/>
      <c r="C443" s="506"/>
      <c r="D443" s="506"/>
      <c r="E443" s="506"/>
      <c r="F443" s="506"/>
      <c r="G443" s="506"/>
      <c r="H443" s="506"/>
      <c r="I443" s="506"/>
    </row>
    <row r="444">
      <c r="A444" s="513"/>
      <c r="B444" s="506"/>
      <c r="C444" s="506"/>
      <c r="D444" s="506"/>
      <c r="E444" s="506"/>
      <c r="F444" s="506"/>
      <c r="G444" s="506"/>
      <c r="H444" s="506"/>
      <c r="I444" s="506"/>
    </row>
    <row r="445">
      <c r="A445" s="513"/>
      <c r="B445" s="506"/>
      <c r="C445" s="506"/>
      <c r="D445" s="506"/>
      <c r="E445" s="506"/>
      <c r="F445" s="506"/>
      <c r="G445" s="506"/>
      <c r="H445" s="506"/>
      <c r="I445" s="506"/>
    </row>
    <row r="446">
      <c r="A446" s="513"/>
      <c r="B446" s="506"/>
      <c r="C446" s="506"/>
      <c r="D446" s="506"/>
      <c r="E446" s="506"/>
      <c r="F446" s="506"/>
      <c r="G446" s="506"/>
      <c r="H446" s="506"/>
      <c r="I446" s="506"/>
    </row>
    <row r="447">
      <c r="A447" s="513"/>
      <c r="B447" s="506"/>
      <c r="C447" s="506"/>
      <c r="D447" s="506"/>
      <c r="E447" s="506"/>
      <c r="F447" s="506"/>
      <c r="G447" s="506"/>
      <c r="H447" s="506"/>
      <c r="I447" s="506"/>
    </row>
    <row r="448">
      <c r="A448" s="513"/>
      <c r="B448" s="506"/>
      <c r="C448" s="506"/>
      <c r="D448" s="506"/>
      <c r="E448" s="506"/>
      <c r="F448" s="506"/>
      <c r="G448" s="506"/>
      <c r="H448" s="506"/>
      <c r="I448" s="506"/>
    </row>
    <row r="449">
      <c r="A449" s="513"/>
      <c r="B449" s="506"/>
      <c r="C449" s="506"/>
      <c r="D449" s="506"/>
      <c r="E449" s="506"/>
      <c r="F449" s="506"/>
      <c r="G449" s="506"/>
      <c r="H449" s="506"/>
      <c r="I449" s="506"/>
    </row>
    <row r="450">
      <c r="A450" s="513"/>
      <c r="B450" s="506"/>
      <c r="C450" s="506"/>
      <c r="D450" s="506"/>
      <c r="E450" s="506"/>
      <c r="F450" s="506"/>
      <c r="G450" s="506"/>
      <c r="H450" s="506"/>
      <c r="I450" s="506"/>
    </row>
    <row r="451">
      <c r="A451" s="513"/>
      <c r="B451" s="506"/>
      <c r="C451" s="506"/>
      <c r="D451" s="506"/>
      <c r="E451" s="506"/>
      <c r="F451" s="506"/>
      <c r="G451" s="506"/>
      <c r="H451" s="506"/>
      <c r="I451" s="506"/>
    </row>
    <row r="452">
      <c r="A452" s="513"/>
      <c r="B452" s="506"/>
      <c r="C452" s="506"/>
      <c r="D452" s="506"/>
      <c r="E452" s="506"/>
      <c r="F452" s="506"/>
      <c r="G452" s="506"/>
      <c r="H452" s="506"/>
      <c r="I452" s="506"/>
    </row>
    <row r="453">
      <c r="A453" s="513"/>
      <c r="B453" s="506"/>
      <c r="C453" s="506"/>
      <c r="D453" s="506"/>
      <c r="E453" s="506"/>
      <c r="F453" s="506"/>
      <c r="G453" s="506"/>
      <c r="H453" s="506"/>
      <c r="I453" s="506"/>
    </row>
    <row r="454">
      <c r="A454" s="513"/>
      <c r="B454" s="506"/>
      <c r="C454" s="506"/>
      <c r="D454" s="506"/>
      <c r="E454" s="506"/>
      <c r="F454" s="506"/>
      <c r="G454" s="506"/>
      <c r="H454" s="506"/>
      <c r="I454" s="506"/>
    </row>
    <row r="455">
      <c r="A455" s="513"/>
      <c r="B455" s="506"/>
      <c r="C455" s="506"/>
      <c r="D455" s="506"/>
      <c r="E455" s="506"/>
      <c r="F455" s="506"/>
      <c r="G455" s="506"/>
      <c r="H455" s="506"/>
      <c r="I455" s="506"/>
    </row>
    <row r="456">
      <c r="A456" s="513"/>
      <c r="B456" s="506"/>
      <c r="C456" s="506"/>
      <c r="D456" s="506"/>
      <c r="E456" s="506"/>
      <c r="F456" s="506"/>
      <c r="G456" s="506"/>
      <c r="H456" s="506"/>
      <c r="I456" s="506"/>
    </row>
    <row r="457">
      <c r="A457" s="513"/>
      <c r="B457" s="506"/>
      <c r="C457" s="506"/>
      <c r="D457" s="506"/>
      <c r="E457" s="506"/>
      <c r="F457" s="506"/>
      <c r="G457" s="506"/>
      <c r="H457" s="506"/>
      <c r="I457" s="506"/>
    </row>
    <row r="458">
      <c r="A458" s="513"/>
      <c r="B458" s="506"/>
      <c r="C458" s="506"/>
      <c r="D458" s="506"/>
      <c r="E458" s="506"/>
      <c r="F458" s="506"/>
      <c r="G458" s="506"/>
      <c r="H458" s="506"/>
      <c r="I458" s="506"/>
    </row>
    <row r="459">
      <c r="A459" s="513"/>
      <c r="B459" s="506"/>
      <c r="C459" s="506"/>
      <c r="D459" s="506"/>
      <c r="E459" s="506"/>
      <c r="F459" s="506"/>
      <c r="G459" s="506"/>
      <c r="H459" s="506"/>
      <c r="I459" s="506"/>
    </row>
    <row r="460">
      <c r="A460" s="513"/>
      <c r="B460" s="506"/>
      <c r="C460" s="506"/>
      <c r="D460" s="506"/>
      <c r="E460" s="506"/>
      <c r="F460" s="506"/>
      <c r="G460" s="506"/>
      <c r="H460" s="506"/>
      <c r="I460" s="506"/>
    </row>
    <row r="461">
      <c r="A461" s="513"/>
      <c r="B461" s="506"/>
      <c r="C461" s="506"/>
      <c r="D461" s="506"/>
      <c r="E461" s="506"/>
      <c r="F461" s="506"/>
      <c r="G461" s="506"/>
      <c r="H461" s="506"/>
      <c r="I461" s="506"/>
    </row>
    <row r="462">
      <c r="A462" s="513"/>
      <c r="B462" s="506"/>
      <c r="C462" s="506"/>
      <c r="D462" s="506"/>
      <c r="E462" s="506"/>
      <c r="F462" s="506"/>
      <c r="G462" s="506"/>
      <c r="H462" s="506"/>
      <c r="I462" s="506"/>
    </row>
    <row r="463">
      <c r="A463" s="513"/>
      <c r="B463" s="506"/>
      <c r="C463" s="506"/>
      <c r="D463" s="506"/>
      <c r="E463" s="506"/>
      <c r="F463" s="506"/>
      <c r="G463" s="506"/>
      <c r="H463" s="506"/>
      <c r="I463" s="506"/>
    </row>
    <row r="464">
      <c r="A464" s="513"/>
      <c r="B464" s="506"/>
      <c r="C464" s="506"/>
      <c r="D464" s="506"/>
      <c r="E464" s="506"/>
      <c r="F464" s="506"/>
      <c r="G464" s="506"/>
      <c r="H464" s="506"/>
      <c r="I464" s="506"/>
    </row>
    <row r="465">
      <c r="A465" s="513"/>
      <c r="B465" s="506"/>
      <c r="C465" s="506"/>
      <c r="D465" s="506"/>
      <c r="E465" s="506"/>
      <c r="F465" s="506"/>
      <c r="G465" s="506"/>
      <c r="H465" s="506"/>
      <c r="I465" s="506"/>
    </row>
    <row r="466">
      <c r="A466" s="513"/>
      <c r="B466" s="506"/>
      <c r="C466" s="506"/>
      <c r="D466" s="506"/>
      <c r="E466" s="506"/>
      <c r="F466" s="506"/>
      <c r="G466" s="506"/>
      <c r="H466" s="506"/>
      <c r="I466" s="506"/>
    </row>
    <row r="467">
      <c r="A467" s="513"/>
      <c r="B467" s="506"/>
      <c r="C467" s="506"/>
      <c r="D467" s="506"/>
      <c r="E467" s="506"/>
      <c r="F467" s="506"/>
      <c r="G467" s="506"/>
      <c r="H467" s="506"/>
      <c r="I467" s="506"/>
    </row>
    <row r="468">
      <c r="A468" s="513"/>
      <c r="B468" s="506"/>
      <c r="C468" s="506"/>
      <c r="D468" s="506"/>
      <c r="E468" s="506"/>
      <c r="F468" s="506"/>
      <c r="G468" s="506"/>
      <c r="H468" s="506"/>
      <c r="I468" s="506"/>
    </row>
    <row r="469">
      <c r="A469" s="513"/>
      <c r="B469" s="506"/>
      <c r="C469" s="506"/>
      <c r="D469" s="506"/>
      <c r="E469" s="506"/>
      <c r="F469" s="506"/>
      <c r="G469" s="506"/>
      <c r="H469" s="506"/>
      <c r="I469" s="506"/>
    </row>
    <row r="470">
      <c r="A470" s="513"/>
      <c r="B470" s="506"/>
      <c r="C470" s="506"/>
      <c r="D470" s="506"/>
      <c r="E470" s="506"/>
      <c r="F470" s="506"/>
      <c r="G470" s="506"/>
      <c r="H470" s="506"/>
      <c r="I470" s="506"/>
    </row>
    <row r="471">
      <c r="A471" s="513"/>
      <c r="B471" s="506"/>
      <c r="C471" s="506"/>
      <c r="D471" s="506"/>
      <c r="E471" s="506"/>
      <c r="F471" s="506"/>
      <c r="G471" s="506"/>
      <c r="H471" s="506"/>
      <c r="I471" s="506"/>
    </row>
    <row r="472">
      <c r="A472" s="513"/>
      <c r="B472" s="506"/>
      <c r="C472" s="506"/>
      <c r="D472" s="506"/>
      <c r="E472" s="506"/>
      <c r="F472" s="506"/>
      <c r="G472" s="506"/>
      <c r="H472" s="506"/>
      <c r="I472" s="506"/>
    </row>
    <row r="473">
      <c r="A473" s="513"/>
      <c r="B473" s="506"/>
      <c r="C473" s="506"/>
      <c r="D473" s="506"/>
      <c r="E473" s="506"/>
      <c r="F473" s="506"/>
      <c r="G473" s="506"/>
      <c r="H473" s="506"/>
      <c r="I473" s="506"/>
    </row>
    <row r="474">
      <c r="A474" s="513"/>
      <c r="B474" s="506"/>
      <c r="C474" s="506"/>
      <c r="D474" s="506"/>
      <c r="E474" s="506"/>
      <c r="F474" s="506"/>
      <c r="G474" s="506"/>
      <c r="H474" s="506"/>
      <c r="I474" s="506"/>
    </row>
    <row r="475">
      <c r="A475" s="513"/>
      <c r="B475" s="506"/>
      <c r="C475" s="506"/>
      <c r="D475" s="506"/>
      <c r="E475" s="506"/>
      <c r="F475" s="506"/>
      <c r="G475" s="506"/>
      <c r="H475" s="506"/>
      <c r="I475" s="506"/>
    </row>
    <row r="476">
      <c r="A476" s="513"/>
      <c r="B476" s="506"/>
      <c r="C476" s="506"/>
      <c r="D476" s="506"/>
      <c r="E476" s="506"/>
      <c r="F476" s="506"/>
      <c r="G476" s="506"/>
      <c r="H476" s="506"/>
      <c r="I476" s="506"/>
    </row>
    <row r="477">
      <c r="A477" s="513"/>
      <c r="B477" s="506"/>
      <c r="C477" s="506"/>
      <c r="D477" s="506"/>
      <c r="E477" s="506"/>
      <c r="F477" s="506"/>
      <c r="G477" s="506"/>
      <c r="H477" s="506"/>
      <c r="I477" s="506"/>
    </row>
    <row r="478">
      <c r="A478" s="513"/>
      <c r="B478" s="506"/>
      <c r="C478" s="506"/>
      <c r="D478" s="506"/>
      <c r="E478" s="506"/>
      <c r="F478" s="506"/>
      <c r="G478" s="506"/>
      <c r="H478" s="506"/>
      <c r="I478" s="506"/>
    </row>
    <row r="479">
      <c r="A479" s="513"/>
      <c r="B479" s="506"/>
      <c r="C479" s="506"/>
      <c r="D479" s="506"/>
      <c r="E479" s="506"/>
      <c r="F479" s="506"/>
      <c r="G479" s="506"/>
      <c r="H479" s="506"/>
      <c r="I479" s="506"/>
    </row>
    <row r="480">
      <c r="A480" s="513"/>
      <c r="B480" s="506"/>
      <c r="C480" s="506"/>
      <c r="D480" s="506"/>
      <c r="E480" s="506"/>
      <c r="F480" s="506"/>
      <c r="G480" s="506"/>
      <c r="H480" s="506"/>
      <c r="I480" s="506"/>
    </row>
    <row r="481">
      <c r="A481" s="513"/>
      <c r="B481" s="506"/>
      <c r="C481" s="506"/>
      <c r="D481" s="506"/>
      <c r="E481" s="506"/>
      <c r="F481" s="506"/>
      <c r="G481" s="506"/>
      <c r="H481" s="506"/>
      <c r="I481" s="506"/>
    </row>
    <row r="482">
      <c r="A482" s="513"/>
      <c r="B482" s="506"/>
      <c r="C482" s="506"/>
      <c r="D482" s="506"/>
      <c r="E482" s="506"/>
      <c r="F482" s="506"/>
      <c r="G482" s="506"/>
      <c r="H482" s="506"/>
      <c r="I482" s="506"/>
    </row>
    <row r="483">
      <c r="A483" s="513"/>
      <c r="B483" s="506"/>
      <c r="C483" s="506"/>
      <c r="D483" s="506"/>
      <c r="E483" s="506"/>
      <c r="F483" s="506"/>
      <c r="G483" s="506"/>
      <c r="H483" s="506"/>
      <c r="I483" s="506"/>
    </row>
    <row r="484">
      <c r="A484" s="513"/>
      <c r="B484" s="506"/>
      <c r="C484" s="506"/>
      <c r="D484" s="506"/>
      <c r="E484" s="506"/>
      <c r="F484" s="506"/>
      <c r="G484" s="506"/>
      <c r="H484" s="506"/>
      <c r="I484" s="506"/>
    </row>
    <row r="485">
      <c r="A485" s="513"/>
      <c r="B485" s="506"/>
      <c r="C485" s="506"/>
      <c r="D485" s="506"/>
      <c r="E485" s="506"/>
      <c r="F485" s="506"/>
      <c r="G485" s="506"/>
      <c r="H485" s="506"/>
      <c r="I485" s="506"/>
    </row>
    <row r="486">
      <c r="A486" s="513"/>
      <c r="B486" s="506"/>
      <c r="C486" s="506"/>
      <c r="D486" s="506"/>
      <c r="E486" s="506"/>
      <c r="F486" s="506"/>
      <c r="G486" s="506"/>
      <c r="H486" s="506"/>
      <c r="I486" s="506"/>
    </row>
    <row r="487">
      <c r="A487" s="513"/>
      <c r="B487" s="506"/>
      <c r="C487" s="506"/>
      <c r="D487" s="506"/>
      <c r="E487" s="506"/>
      <c r="F487" s="506"/>
      <c r="G487" s="506"/>
      <c r="H487" s="506"/>
      <c r="I487" s="506"/>
    </row>
    <row r="488">
      <c r="A488" s="513"/>
      <c r="B488" s="506"/>
      <c r="C488" s="506"/>
      <c r="D488" s="506"/>
      <c r="E488" s="506"/>
      <c r="F488" s="506"/>
      <c r="G488" s="506"/>
      <c r="H488" s="506"/>
      <c r="I488" s="506"/>
    </row>
    <row r="489">
      <c r="A489" s="513"/>
      <c r="B489" s="506"/>
      <c r="C489" s="506"/>
      <c r="D489" s="506"/>
      <c r="E489" s="506"/>
      <c r="F489" s="506"/>
      <c r="G489" s="506"/>
      <c r="H489" s="506"/>
      <c r="I489" s="506"/>
    </row>
    <row r="490">
      <c r="A490" s="513"/>
      <c r="B490" s="506"/>
      <c r="C490" s="506"/>
      <c r="D490" s="506"/>
      <c r="E490" s="506"/>
      <c r="F490" s="506"/>
      <c r="G490" s="506"/>
      <c r="H490" s="506"/>
      <c r="I490" s="506"/>
    </row>
    <row r="491">
      <c r="A491" s="513"/>
      <c r="B491" s="506"/>
      <c r="C491" s="506"/>
      <c r="D491" s="506"/>
      <c r="E491" s="506"/>
      <c r="F491" s="506"/>
      <c r="G491" s="506"/>
      <c r="H491" s="506"/>
      <c r="I491" s="506"/>
    </row>
    <row r="492">
      <c r="A492" s="513"/>
      <c r="B492" s="506"/>
      <c r="C492" s="506"/>
      <c r="D492" s="506"/>
      <c r="E492" s="506"/>
      <c r="F492" s="506"/>
      <c r="G492" s="506"/>
      <c r="H492" s="506"/>
      <c r="I492" s="506"/>
    </row>
    <row r="493">
      <c r="A493" s="513"/>
      <c r="B493" s="506"/>
      <c r="C493" s="506"/>
      <c r="D493" s="506"/>
      <c r="E493" s="506"/>
      <c r="F493" s="506"/>
      <c r="G493" s="506"/>
      <c r="H493" s="506"/>
      <c r="I493" s="506"/>
    </row>
    <row r="494">
      <c r="A494" s="513"/>
      <c r="B494" s="506"/>
      <c r="C494" s="506"/>
      <c r="D494" s="506"/>
      <c r="E494" s="506"/>
      <c r="F494" s="506"/>
      <c r="G494" s="506"/>
      <c r="H494" s="506"/>
      <c r="I494" s="506"/>
    </row>
    <row r="495">
      <c r="A495" s="513"/>
      <c r="B495" s="506"/>
      <c r="C495" s="506"/>
      <c r="D495" s="506"/>
      <c r="E495" s="506"/>
      <c r="F495" s="506"/>
      <c r="G495" s="506"/>
      <c r="H495" s="506"/>
      <c r="I495" s="506"/>
    </row>
    <row r="496">
      <c r="A496" s="513"/>
      <c r="B496" s="506"/>
      <c r="C496" s="506"/>
      <c r="D496" s="506"/>
      <c r="E496" s="506"/>
      <c r="F496" s="506"/>
      <c r="G496" s="506"/>
      <c r="H496" s="506"/>
      <c r="I496" s="506"/>
    </row>
    <row r="497">
      <c r="A497" s="513"/>
      <c r="B497" s="506"/>
      <c r="C497" s="506"/>
      <c r="D497" s="506"/>
      <c r="E497" s="506"/>
      <c r="F497" s="506"/>
      <c r="G497" s="506"/>
      <c r="H497" s="506"/>
      <c r="I497" s="506"/>
    </row>
    <row r="498">
      <c r="A498" s="513"/>
      <c r="B498" s="506"/>
      <c r="C498" s="506"/>
      <c r="D498" s="506"/>
      <c r="E498" s="506"/>
      <c r="F498" s="506"/>
      <c r="G498" s="506"/>
      <c r="H498" s="506"/>
      <c r="I498" s="506"/>
    </row>
    <row r="499">
      <c r="A499" s="513"/>
      <c r="B499" s="506"/>
      <c r="C499" s="506"/>
      <c r="D499" s="506"/>
      <c r="E499" s="506"/>
      <c r="F499" s="506"/>
      <c r="G499" s="506"/>
      <c r="H499" s="506"/>
      <c r="I499" s="506"/>
    </row>
    <row r="500">
      <c r="A500" s="513"/>
      <c r="B500" s="506"/>
      <c r="C500" s="506"/>
      <c r="D500" s="506"/>
      <c r="E500" s="506"/>
      <c r="F500" s="506"/>
      <c r="G500" s="506"/>
      <c r="H500" s="506"/>
      <c r="I500" s="506"/>
    </row>
    <row r="501">
      <c r="A501" s="513"/>
      <c r="B501" s="506"/>
      <c r="C501" s="506"/>
      <c r="D501" s="506"/>
      <c r="E501" s="506"/>
      <c r="F501" s="506"/>
      <c r="G501" s="506"/>
      <c r="H501" s="506"/>
      <c r="I501" s="506"/>
    </row>
    <row r="502">
      <c r="A502" s="513"/>
      <c r="B502" s="506"/>
      <c r="C502" s="506"/>
      <c r="D502" s="506"/>
      <c r="E502" s="506"/>
      <c r="F502" s="506"/>
      <c r="G502" s="506"/>
      <c r="H502" s="506"/>
      <c r="I502" s="506"/>
    </row>
    <row r="503">
      <c r="A503" s="513"/>
      <c r="B503" s="506"/>
      <c r="C503" s="506"/>
      <c r="D503" s="506"/>
      <c r="E503" s="506"/>
      <c r="F503" s="506"/>
      <c r="G503" s="506"/>
      <c r="H503" s="506"/>
      <c r="I503" s="506"/>
    </row>
    <row r="504">
      <c r="A504" s="513"/>
      <c r="B504" s="506"/>
      <c r="C504" s="506"/>
      <c r="D504" s="506"/>
      <c r="E504" s="506"/>
      <c r="F504" s="506"/>
      <c r="G504" s="506"/>
      <c r="H504" s="506"/>
      <c r="I504" s="506"/>
    </row>
    <row r="505">
      <c r="A505" s="513"/>
      <c r="B505" s="506"/>
      <c r="C505" s="506"/>
      <c r="D505" s="506"/>
      <c r="E505" s="506"/>
      <c r="F505" s="506"/>
      <c r="G505" s="506"/>
      <c r="H505" s="506"/>
      <c r="I505" s="506"/>
    </row>
    <row r="506">
      <c r="A506" s="513"/>
      <c r="B506" s="506"/>
      <c r="C506" s="506"/>
      <c r="D506" s="506"/>
      <c r="E506" s="506"/>
      <c r="F506" s="506"/>
      <c r="G506" s="506"/>
      <c r="H506" s="506"/>
      <c r="I506" s="506"/>
    </row>
    <row r="507">
      <c r="A507" s="513"/>
      <c r="B507" s="506"/>
      <c r="C507" s="506"/>
      <c r="D507" s="506"/>
      <c r="E507" s="506"/>
      <c r="F507" s="506"/>
      <c r="G507" s="506"/>
      <c r="H507" s="506"/>
      <c r="I507" s="506"/>
    </row>
    <row r="508">
      <c r="A508" s="513"/>
      <c r="B508" s="506"/>
      <c r="C508" s="506"/>
      <c r="D508" s="506"/>
      <c r="E508" s="506"/>
      <c r="F508" s="506"/>
      <c r="G508" s="506"/>
      <c r="H508" s="506"/>
      <c r="I508" s="506"/>
    </row>
    <row r="509">
      <c r="A509" s="513"/>
      <c r="B509" s="506"/>
      <c r="C509" s="506"/>
      <c r="D509" s="506"/>
      <c r="E509" s="506"/>
      <c r="F509" s="506"/>
      <c r="G509" s="506"/>
      <c r="H509" s="506"/>
      <c r="I509" s="506"/>
    </row>
    <row r="510">
      <c r="A510" s="513"/>
      <c r="B510" s="506"/>
      <c r="C510" s="506"/>
      <c r="D510" s="506"/>
      <c r="E510" s="506"/>
      <c r="F510" s="506"/>
      <c r="G510" s="506"/>
      <c r="H510" s="506"/>
      <c r="I510" s="506"/>
    </row>
    <row r="511">
      <c r="A511" s="513"/>
      <c r="B511" s="506"/>
      <c r="C511" s="506"/>
      <c r="D511" s="506"/>
      <c r="E511" s="506"/>
      <c r="F511" s="506"/>
      <c r="G511" s="506"/>
      <c r="H511" s="506"/>
      <c r="I511" s="506"/>
    </row>
    <row r="512">
      <c r="A512" s="513"/>
      <c r="B512" s="506"/>
      <c r="C512" s="506"/>
      <c r="D512" s="506"/>
      <c r="E512" s="506"/>
      <c r="F512" s="506"/>
      <c r="G512" s="506"/>
      <c r="H512" s="506"/>
      <c r="I512" s="506"/>
    </row>
    <row r="513">
      <c r="A513" s="513"/>
      <c r="B513" s="506"/>
      <c r="C513" s="506"/>
      <c r="D513" s="506"/>
      <c r="E513" s="506"/>
      <c r="F513" s="506"/>
      <c r="G513" s="506"/>
      <c r="H513" s="506"/>
      <c r="I513" s="506"/>
    </row>
    <row r="514">
      <c r="A514" s="513"/>
      <c r="B514" s="506"/>
      <c r="C514" s="506"/>
      <c r="D514" s="506"/>
      <c r="E514" s="506"/>
      <c r="F514" s="506"/>
      <c r="G514" s="506"/>
      <c r="H514" s="506"/>
      <c r="I514" s="506"/>
    </row>
    <row r="515">
      <c r="A515" s="513"/>
      <c r="B515" s="506"/>
      <c r="C515" s="506"/>
      <c r="D515" s="506"/>
      <c r="E515" s="506"/>
      <c r="F515" s="506"/>
      <c r="G515" s="506"/>
      <c r="H515" s="506"/>
      <c r="I515" s="506"/>
    </row>
    <row r="516">
      <c r="A516" s="513"/>
      <c r="B516" s="506"/>
      <c r="C516" s="506"/>
      <c r="D516" s="506"/>
      <c r="E516" s="506"/>
      <c r="F516" s="506"/>
      <c r="G516" s="506"/>
      <c r="H516" s="506"/>
      <c r="I516" s="506"/>
    </row>
    <row r="517">
      <c r="A517" s="513"/>
      <c r="B517" s="506"/>
      <c r="C517" s="506"/>
      <c r="D517" s="506"/>
      <c r="E517" s="506"/>
      <c r="F517" s="506"/>
      <c r="G517" s="506"/>
      <c r="H517" s="506"/>
      <c r="I517" s="506"/>
    </row>
    <row r="518">
      <c r="A518" s="513"/>
      <c r="B518" s="506"/>
      <c r="C518" s="506"/>
      <c r="D518" s="506"/>
      <c r="E518" s="506"/>
      <c r="F518" s="506"/>
      <c r="G518" s="506"/>
      <c r="H518" s="506"/>
      <c r="I518" s="506"/>
    </row>
    <row r="519">
      <c r="A519" s="513"/>
      <c r="B519" s="506"/>
      <c r="C519" s="506"/>
      <c r="D519" s="506"/>
      <c r="E519" s="506"/>
      <c r="F519" s="506"/>
      <c r="G519" s="506"/>
      <c r="H519" s="506"/>
      <c r="I519" s="506"/>
    </row>
    <row r="520">
      <c r="A520" s="513"/>
      <c r="B520" s="506"/>
      <c r="C520" s="506"/>
      <c r="D520" s="506"/>
      <c r="E520" s="506"/>
      <c r="F520" s="506"/>
      <c r="G520" s="506"/>
      <c r="H520" s="506"/>
      <c r="I520" s="506"/>
    </row>
    <row r="521">
      <c r="A521" s="513"/>
      <c r="B521" s="506"/>
      <c r="C521" s="506"/>
      <c r="D521" s="506"/>
      <c r="E521" s="506"/>
      <c r="F521" s="506"/>
      <c r="G521" s="506"/>
      <c r="H521" s="506"/>
      <c r="I521" s="506"/>
    </row>
    <row r="522">
      <c r="A522" s="513"/>
      <c r="B522" s="506"/>
      <c r="C522" s="506"/>
      <c r="D522" s="506"/>
      <c r="E522" s="506"/>
      <c r="F522" s="506"/>
      <c r="G522" s="506"/>
      <c r="H522" s="506"/>
      <c r="I522" s="506"/>
    </row>
    <row r="523">
      <c r="A523" s="513"/>
      <c r="B523" s="506"/>
      <c r="C523" s="506"/>
      <c r="D523" s="506"/>
      <c r="E523" s="506"/>
      <c r="F523" s="506"/>
      <c r="G523" s="506"/>
      <c r="H523" s="506"/>
      <c r="I523" s="506"/>
    </row>
    <row r="524">
      <c r="A524" s="513"/>
      <c r="B524" s="506"/>
      <c r="C524" s="506"/>
      <c r="D524" s="506"/>
      <c r="E524" s="506"/>
      <c r="F524" s="506"/>
      <c r="G524" s="506"/>
      <c r="H524" s="506"/>
      <c r="I524" s="506"/>
    </row>
    <row r="525">
      <c r="A525" s="513"/>
      <c r="B525" s="506"/>
      <c r="C525" s="506"/>
      <c r="D525" s="506"/>
      <c r="E525" s="506"/>
      <c r="F525" s="506"/>
      <c r="G525" s="506"/>
      <c r="H525" s="506"/>
      <c r="I525" s="506"/>
    </row>
    <row r="526">
      <c r="A526" s="513"/>
      <c r="B526" s="506"/>
      <c r="C526" s="506"/>
      <c r="D526" s="506"/>
      <c r="E526" s="506"/>
      <c r="F526" s="506"/>
      <c r="G526" s="506"/>
      <c r="H526" s="506"/>
      <c r="I526" s="506"/>
    </row>
    <row r="527">
      <c r="A527" s="513"/>
      <c r="B527" s="506"/>
      <c r="C527" s="506"/>
      <c r="D527" s="506"/>
      <c r="E527" s="506"/>
      <c r="F527" s="506"/>
      <c r="G527" s="506"/>
      <c r="H527" s="506"/>
      <c r="I527" s="506"/>
    </row>
    <row r="528">
      <c r="A528" s="513"/>
      <c r="B528" s="506"/>
      <c r="C528" s="506"/>
      <c r="D528" s="506"/>
      <c r="E528" s="506"/>
      <c r="F528" s="506"/>
      <c r="G528" s="506"/>
      <c r="H528" s="506"/>
      <c r="I528" s="506"/>
    </row>
    <row r="529">
      <c r="A529" s="513"/>
      <c r="B529" s="506"/>
      <c r="C529" s="506"/>
      <c r="D529" s="506"/>
      <c r="E529" s="506"/>
      <c r="F529" s="506"/>
      <c r="G529" s="506"/>
      <c r="H529" s="506"/>
      <c r="I529" s="506"/>
    </row>
    <row r="530">
      <c r="A530" s="513"/>
      <c r="B530" s="506"/>
      <c r="C530" s="506"/>
      <c r="D530" s="506"/>
      <c r="E530" s="506"/>
      <c r="F530" s="506"/>
      <c r="G530" s="506"/>
      <c r="H530" s="506"/>
      <c r="I530" s="506"/>
    </row>
    <row r="531">
      <c r="A531" s="513"/>
      <c r="B531" s="506"/>
      <c r="C531" s="506"/>
      <c r="D531" s="506"/>
      <c r="E531" s="506"/>
      <c r="F531" s="506"/>
      <c r="G531" s="506"/>
      <c r="H531" s="506"/>
      <c r="I531" s="506"/>
    </row>
    <row r="532">
      <c r="A532" s="513"/>
      <c r="B532" s="506"/>
      <c r="C532" s="506"/>
      <c r="D532" s="506"/>
      <c r="E532" s="506"/>
      <c r="F532" s="506"/>
      <c r="G532" s="506"/>
      <c r="H532" s="506"/>
      <c r="I532" s="506"/>
    </row>
    <row r="533">
      <c r="A533" s="513"/>
      <c r="B533" s="506"/>
      <c r="C533" s="506"/>
      <c r="D533" s="506"/>
      <c r="E533" s="506"/>
      <c r="F533" s="506"/>
      <c r="G533" s="506"/>
      <c r="H533" s="506"/>
      <c r="I533" s="506"/>
    </row>
    <row r="534">
      <c r="A534" s="513"/>
      <c r="B534" s="506"/>
      <c r="C534" s="506"/>
      <c r="D534" s="506"/>
      <c r="E534" s="506"/>
      <c r="F534" s="506"/>
      <c r="G534" s="506"/>
      <c r="H534" s="506"/>
      <c r="I534" s="506"/>
    </row>
    <row r="535">
      <c r="A535" s="513"/>
      <c r="B535" s="506"/>
      <c r="C535" s="506"/>
      <c r="D535" s="506"/>
      <c r="E535" s="506"/>
      <c r="F535" s="506"/>
      <c r="G535" s="506"/>
      <c r="H535" s="506"/>
      <c r="I535" s="506"/>
    </row>
    <row r="536">
      <c r="A536" s="513"/>
      <c r="B536" s="506"/>
      <c r="C536" s="506"/>
      <c r="D536" s="506"/>
      <c r="E536" s="506"/>
      <c r="F536" s="506"/>
      <c r="G536" s="506"/>
      <c r="H536" s="506"/>
      <c r="I536" s="506"/>
    </row>
    <row r="537">
      <c r="A537" s="513"/>
      <c r="B537" s="506"/>
      <c r="C537" s="506"/>
      <c r="D537" s="506"/>
      <c r="E537" s="506"/>
      <c r="F537" s="506"/>
      <c r="G537" s="506"/>
      <c r="H537" s="506"/>
      <c r="I537" s="506"/>
    </row>
    <row r="538">
      <c r="A538" s="513"/>
      <c r="B538" s="506"/>
      <c r="C538" s="506"/>
      <c r="D538" s="506"/>
      <c r="E538" s="506"/>
      <c r="F538" s="506"/>
      <c r="G538" s="506"/>
      <c r="H538" s="506"/>
      <c r="I538" s="506"/>
    </row>
    <row r="539">
      <c r="A539" s="513"/>
      <c r="B539" s="506"/>
      <c r="C539" s="506"/>
      <c r="D539" s="506"/>
      <c r="E539" s="506"/>
      <c r="F539" s="506"/>
      <c r="G539" s="506"/>
      <c r="H539" s="506"/>
      <c r="I539" s="506"/>
    </row>
    <row r="540">
      <c r="A540" s="513"/>
      <c r="B540" s="506"/>
      <c r="C540" s="506"/>
      <c r="D540" s="506"/>
      <c r="E540" s="506"/>
      <c r="F540" s="506"/>
      <c r="G540" s="506"/>
      <c r="H540" s="506"/>
      <c r="I540" s="506"/>
    </row>
    <row r="541">
      <c r="A541" s="513"/>
      <c r="B541" s="506"/>
      <c r="C541" s="506"/>
      <c r="D541" s="506"/>
      <c r="E541" s="506"/>
      <c r="F541" s="506"/>
      <c r="G541" s="506"/>
      <c r="H541" s="506"/>
      <c r="I541" s="506"/>
    </row>
    <row r="542">
      <c r="A542" s="513"/>
      <c r="B542" s="506"/>
      <c r="C542" s="506"/>
      <c r="D542" s="506"/>
      <c r="E542" s="506"/>
      <c r="F542" s="506"/>
      <c r="G542" s="506"/>
      <c r="H542" s="506"/>
      <c r="I542" s="506"/>
    </row>
    <row r="543">
      <c r="A543" s="513"/>
      <c r="B543" s="506"/>
      <c r="C543" s="506"/>
      <c r="D543" s="506"/>
      <c r="E543" s="506"/>
      <c r="F543" s="506"/>
      <c r="G543" s="506"/>
      <c r="H543" s="506"/>
      <c r="I543" s="506"/>
    </row>
    <row r="544">
      <c r="A544" s="513"/>
      <c r="B544" s="506"/>
      <c r="C544" s="506"/>
      <c r="D544" s="506"/>
      <c r="E544" s="506"/>
      <c r="F544" s="506"/>
      <c r="G544" s="506"/>
      <c r="H544" s="506"/>
      <c r="I544" s="506"/>
    </row>
    <row r="545">
      <c r="A545" s="513"/>
      <c r="B545" s="506"/>
      <c r="C545" s="506"/>
      <c r="D545" s="506"/>
      <c r="E545" s="506"/>
      <c r="F545" s="506"/>
      <c r="G545" s="506"/>
      <c r="H545" s="506"/>
      <c r="I545" s="506"/>
    </row>
    <row r="546">
      <c r="A546" s="513"/>
      <c r="B546" s="506"/>
      <c r="C546" s="506"/>
      <c r="D546" s="506"/>
      <c r="E546" s="506"/>
      <c r="F546" s="506"/>
      <c r="G546" s="506"/>
      <c r="H546" s="506"/>
      <c r="I546" s="506"/>
    </row>
    <row r="547">
      <c r="A547" s="513"/>
      <c r="B547" s="506"/>
      <c r="C547" s="506"/>
      <c r="D547" s="506"/>
      <c r="E547" s="506"/>
      <c r="F547" s="506"/>
      <c r="G547" s="506"/>
      <c r="H547" s="506"/>
      <c r="I547" s="506"/>
    </row>
    <row r="548">
      <c r="A548" s="513"/>
      <c r="B548" s="506"/>
      <c r="C548" s="506"/>
      <c r="D548" s="506"/>
      <c r="E548" s="506"/>
      <c r="F548" s="506"/>
      <c r="G548" s="506"/>
      <c r="H548" s="506"/>
      <c r="I548" s="506"/>
    </row>
    <row r="549">
      <c r="A549" s="513"/>
      <c r="B549" s="506"/>
      <c r="C549" s="506"/>
      <c r="D549" s="506"/>
      <c r="E549" s="506"/>
      <c r="F549" s="506"/>
      <c r="G549" s="506"/>
      <c r="H549" s="506"/>
      <c r="I549" s="506"/>
    </row>
    <row r="550">
      <c r="A550" s="513"/>
      <c r="B550" s="506"/>
      <c r="C550" s="506"/>
      <c r="D550" s="506"/>
      <c r="E550" s="506"/>
      <c r="F550" s="506"/>
      <c r="G550" s="506"/>
      <c r="H550" s="506"/>
      <c r="I550" s="506"/>
    </row>
    <row r="551">
      <c r="A551" s="513"/>
      <c r="B551" s="506"/>
      <c r="C551" s="506"/>
      <c r="D551" s="506"/>
      <c r="E551" s="506"/>
      <c r="F551" s="506"/>
      <c r="G551" s="506"/>
      <c r="H551" s="506"/>
      <c r="I551" s="506"/>
    </row>
    <row r="552">
      <c r="A552" s="513"/>
      <c r="B552" s="506"/>
      <c r="C552" s="506"/>
      <c r="D552" s="506"/>
      <c r="E552" s="506"/>
      <c r="F552" s="506"/>
      <c r="G552" s="506"/>
      <c r="H552" s="506"/>
      <c r="I552" s="506"/>
    </row>
    <row r="553">
      <c r="A553" s="513"/>
      <c r="B553" s="506"/>
      <c r="C553" s="506"/>
      <c r="D553" s="506"/>
      <c r="E553" s="506"/>
      <c r="F553" s="506"/>
      <c r="G553" s="506"/>
      <c r="H553" s="506"/>
      <c r="I553" s="506"/>
    </row>
    <row r="554">
      <c r="A554" s="513"/>
      <c r="B554" s="506"/>
      <c r="C554" s="506"/>
      <c r="D554" s="506"/>
      <c r="E554" s="506"/>
      <c r="F554" s="506"/>
      <c r="G554" s="506"/>
      <c r="H554" s="506"/>
      <c r="I554" s="506"/>
    </row>
    <row r="555">
      <c r="A555" s="513"/>
      <c r="B555" s="506"/>
      <c r="C555" s="506"/>
      <c r="D555" s="506"/>
      <c r="E555" s="506"/>
      <c r="F555" s="506"/>
      <c r="G555" s="506"/>
      <c r="H555" s="506"/>
      <c r="I555" s="506"/>
    </row>
    <row r="556">
      <c r="A556" s="513"/>
      <c r="B556" s="506"/>
      <c r="C556" s="506"/>
      <c r="D556" s="506"/>
      <c r="E556" s="506"/>
      <c r="F556" s="506"/>
      <c r="G556" s="506"/>
      <c r="H556" s="506"/>
      <c r="I556" s="506"/>
    </row>
    <row r="557">
      <c r="A557" s="513"/>
      <c r="B557" s="506"/>
      <c r="C557" s="506"/>
      <c r="D557" s="506"/>
      <c r="E557" s="506"/>
      <c r="F557" s="506"/>
      <c r="G557" s="506"/>
      <c r="H557" s="506"/>
      <c r="I557" s="506"/>
    </row>
    <row r="558">
      <c r="A558" s="513"/>
      <c r="B558" s="506"/>
      <c r="C558" s="506"/>
      <c r="D558" s="506"/>
      <c r="E558" s="506"/>
      <c r="F558" s="506"/>
      <c r="G558" s="506"/>
      <c r="H558" s="506"/>
      <c r="I558" s="506"/>
    </row>
    <row r="559">
      <c r="A559" s="513"/>
      <c r="B559" s="506"/>
      <c r="C559" s="506"/>
      <c r="D559" s="506"/>
      <c r="E559" s="506"/>
      <c r="F559" s="506"/>
      <c r="G559" s="506"/>
      <c r="H559" s="506"/>
      <c r="I559" s="506"/>
    </row>
    <row r="560">
      <c r="A560" s="513"/>
      <c r="B560" s="506"/>
      <c r="C560" s="506"/>
      <c r="D560" s="506"/>
      <c r="E560" s="506"/>
      <c r="F560" s="506"/>
      <c r="G560" s="506"/>
      <c r="H560" s="506"/>
      <c r="I560" s="506"/>
    </row>
    <row r="561">
      <c r="A561" s="513"/>
      <c r="B561" s="506"/>
      <c r="C561" s="506"/>
      <c r="D561" s="506"/>
      <c r="E561" s="506"/>
      <c r="F561" s="506"/>
      <c r="G561" s="506"/>
      <c r="H561" s="506"/>
      <c r="I561" s="506"/>
    </row>
    <row r="562">
      <c r="A562" s="513"/>
      <c r="B562" s="506"/>
      <c r="C562" s="506"/>
      <c r="D562" s="506"/>
      <c r="E562" s="506"/>
      <c r="F562" s="506"/>
      <c r="G562" s="506"/>
      <c r="H562" s="506"/>
      <c r="I562" s="506"/>
    </row>
    <row r="563">
      <c r="A563" s="513"/>
      <c r="B563" s="506"/>
      <c r="C563" s="506"/>
      <c r="D563" s="506"/>
      <c r="E563" s="506"/>
      <c r="F563" s="506"/>
      <c r="G563" s="506"/>
      <c r="H563" s="506"/>
      <c r="I563" s="506"/>
    </row>
    <row r="564">
      <c r="A564" s="513"/>
      <c r="B564" s="506"/>
      <c r="C564" s="506"/>
      <c r="D564" s="506"/>
      <c r="E564" s="506"/>
      <c r="F564" s="506"/>
      <c r="G564" s="506"/>
      <c r="H564" s="506"/>
      <c r="I564" s="506"/>
    </row>
    <row r="565">
      <c r="A565" s="513"/>
      <c r="B565" s="506"/>
      <c r="C565" s="506"/>
      <c r="D565" s="506"/>
      <c r="E565" s="506"/>
      <c r="F565" s="506"/>
      <c r="G565" s="506"/>
      <c r="H565" s="506"/>
      <c r="I565" s="506"/>
    </row>
    <row r="566">
      <c r="A566" s="513"/>
      <c r="B566" s="506"/>
      <c r="C566" s="506"/>
      <c r="D566" s="506"/>
      <c r="E566" s="506"/>
      <c r="F566" s="506"/>
      <c r="G566" s="506"/>
      <c r="H566" s="506"/>
      <c r="I566" s="506"/>
    </row>
    <row r="567">
      <c r="A567" s="513"/>
      <c r="B567" s="506"/>
      <c r="C567" s="506"/>
      <c r="D567" s="506"/>
      <c r="E567" s="506"/>
      <c r="F567" s="506"/>
      <c r="G567" s="506"/>
      <c r="H567" s="506"/>
      <c r="I567" s="506"/>
    </row>
    <row r="568">
      <c r="A568" s="513"/>
      <c r="B568" s="506"/>
      <c r="C568" s="506"/>
      <c r="D568" s="506"/>
      <c r="E568" s="506"/>
      <c r="F568" s="506"/>
      <c r="G568" s="506"/>
      <c r="H568" s="506"/>
      <c r="I568" s="506"/>
    </row>
    <row r="569">
      <c r="A569" s="513"/>
      <c r="B569" s="506"/>
      <c r="C569" s="506"/>
      <c r="D569" s="506"/>
      <c r="E569" s="506"/>
      <c r="F569" s="506"/>
      <c r="G569" s="506"/>
      <c r="H569" s="506"/>
      <c r="I569" s="506"/>
    </row>
    <row r="570">
      <c r="A570" s="513"/>
      <c r="B570" s="506"/>
      <c r="C570" s="506"/>
      <c r="D570" s="506"/>
      <c r="E570" s="506"/>
      <c r="F570" s="506"/>
      <c r="G570" s="506"/>
      <c r="H570" s="506"/>
      <c r="I570" s="506"/>
    </row>
    <row r="571">
      <c r="A571" s="513"/>
      <c r="B571" s="506"/>
      <c r="C571" s="506"/>
      <c r="D571" s="506"/>
      <c r="E571" s="506"/>
      <c r="F571" s="506"/>
      <c r="G571" s="506"/>
      <c r="H571" s="506"/>
      <c r="I571" s="506"/>
    </row>
    <row r="572">
      <c r="A572" s="513"/>
      <c r="B572" s="506"/>
      <c r="C572" s="506"/>
      <c r="D572" s="506"/>
      <c r="E572" s="506"/>
      <c r="F572" s="506"/>
      <c r="G572" s="506"/>
      <c r="H572" s="506"/>
      <c r="I572" s="506"/>
    </row>
    <row r="573">
      <c r="A573" s="513"/>
      <c r="B573" s="506"/>
      <c r="C573" s="506"/>
      <c r="D573" s="506"/>
      <c r="E573" s="506"/>
      <c r="F573" s="506"/>
      <c r="G573" s="506"/>
      <c r="H573" s="506"/>
      <c r="I573" s="506"/>
    </row>
    <row r="574">
      <c r="A574" s="513"/>
      <c r="B574" s="506"/>
      <c r="C574" s="506"/>
      <c r="D574" s="506"/>
      <c r="E574" s="506"/>
      <c r="F574" s="506"/>
      <c r="G574" s="506"/>
      <c r="H574" s="506"/>
      <c r="I574" s="506"/>
    </row>
    <row r="575">
      <c r="A575" s="513"/>
      <c r="B575" s="506"/>
      <c r="C575" s="506"/>
      <c r="D575" s="506"/>
      <c r="E575" s="506"/>
      <c r="F575" s="506"/>
      <c r="G575" s="506"/>
      <c r="H575" s="506"/>
      <c r="I575" s="506"/>
    </row>
    <row r="576">
      <c r="A576" s="513"/>
      <c r="B576" s="506"/>
      <c r="C576" s="506"/>
      <c r="D576" s="506"/>
      <c r="E576" s="506"/>
      <c r="F576" s="506"/>
      <c r="G576" s="506"/>
      <c r="H576" s="506"/>
      <c r="I576" s="506"/>
    </row>
    <row r="577">
      <c r="A577" s="513"/>
      <c r="B577" s="506"/>
      <c r="C577" s="506"/>
      <c r="D577" s="506"/>
      <c r="E577" s="506"/>
      <c r="F577" s="506"/>
      <c r="G577" s="506"/>
      <c r="H577" s="506"/>
      <c r="I577" s="506"/>
    </row>
    <row r="578">
      <c r="A578" s="513"/>
      <c r="B578" s="506"/>
      <c r="C578" s="506"/>
      <c r="D578" s="506"/>
      <c r="E578" s="506"/>
      <c r="F578" s="506"/>
      <c r="G578" s="506"/>
      <c r="H578" s="506"/>
      <c r="I578" s="506"/>
    </row>
    <row r="579">
      <c r="A579" s="513"/>
      <c r="B579" s="506"/>
      <c r="C579" s="506"/>
      <c r="D579" s="506"/>
      <c r="E579" s="506"/>
      <c r="F579" s="506"/>
      <c r="G579" s="506"/>
      <c r="H579" s="506"/>
      <c r="I579" s="506"/>
    </row>
    <row r="580">
      <c r="A580" s="513"/>
      <c r="B580" s="506"/>
      <c r="C580" s="506"/>
      <c r="D580" s="506"/>
      <c r="E580" s="506"/>
      <c r="F580" s="506"/>
      <c r="G580" s="506"/>
      <c r="H580" s="506"/>
      <c r="I580" s="506"/>
    </row>
    <row r="581">
      <c r="A581" s="513"/>
      <c r="B581" s="506"/>
      <c r="C581" s="506"/>
      <c r="D581" s="506"/>
      <c r="E581" s="506"/>
      <c r="F581" s="506"/>
      <c r="G581" s="506"/>
      <c r="H581" s="506"/>
      <c r="I581" s="506"/>
    </row>
    <row r="582">
      <c r="A582" s="513"/>
      <c r="B582" s="506"/>
      <c r="C582" s="506"/>
      <c r="D582" s="506"/>
      <c r="E582" s="506"/>
      <c r="F582" s="506"/>
      <c r="G582" s="506"/>
      <c r="H582" s="506"/>
      <c r="I582" s="506"/>
    </row>
    <row r="583">
      <c r="A583" s="513"/>
      <c r="B583" s="506"/>
      <c r="C583" s="506"/>
      <c r="D583" s="506"/>
      <c r="E583" s="506"/>
      <c r="F583" s="506"/>
      <c r="G583" s="506"/>
      <c r="H583" s="506"/>
      <c r="I583" s="506"/>
    </row>
    <row r="584">
      <c r="A584" s="513"/>
      <c r="B584" s="506"/>
      <c r="C584" s="506"/>
      <c r="D584" s="506"/>
      <c r="E584" s="506"/>
      <c r="F584" s="506"/>
      <c r="G584" s="506"/>
      <c r="H584" s="506"/>
      <c r="I584" s="506"/>
    </row>
    <row r="585">
      <c r="A585" s="513"/>
      <c r="B585" s="506"/>
      <c r="C585" s="506"/>
      <c r="D585" s="506"/>
      <c r="E585" s="506"/>
      <c r="F585" s="506"/>
      <c r="G585" s="506"/>
      <c r="H585" s="506"/>
      <c r="I585" s="506"/>
    </row>
    <row r="586">
      <c r="A586" s="513"/>
      <c r="B586" s="506"/>
      <c r="C586" s="506"/>
      <c r="D586" s="506"/>
      <c r="E586" s="506"/>
      <c r="F586" s="506"/>
      <c r="G586" s="506"/>
      <c r="H586" s="506"/>
      <c r="I586" s="506"/>
    </row>
    <row r="587">
      <c r="A587" s="513"/>
      <c r="B587" s="506"/>
      <c r="C587" s="506"/>
      <c r="D587" s="506"/>
      <c r="E587" s="506"/>
      <c r="F587" s="506"/>
      <c r="G587" s="506"/>
      <c r="H587" s="506"/>
      <c r="I587" s="506"/>
    </row>
    <row r="588">
      <c r="A588" s="513"/>
      <c r="B588" s="506"/>
      <c r="C588" s="506"/>
      <c r="D588" s="506"/>
      <c r="E588" s="506"/>
      <c r="F588" s="506"/>
      <c r="G588" s="506"/>
      <c r="H588" s="506"/>
      <c r="I588" s="506"/>
    </row>
    <row r="589">
      <c r="A589" s="513"/>
      <c r="B589" s="506"/>
      <c r="C589" s="506"/>
      <c r="D589" s="506"/>
      <c r="E589" s="506"/>
      <c r="F589" s="506"/>
      <c r="G589" s="506"/>
      <c r="H589" s="506"/>
      <c r="I589" s="506"/>
    </row>
    <row r="590">
      <c r="A590" s="513"/>
      <c r="B590" s="506"/>
      <c r="C590" s="506"/>
      <c r="D590" s="506"/>
      <c r="E590" s="506"/>
      <c r="F590" s="506"/>
      <c r="G590" s="506"/>
      <c r="H590" s="506"/>
      <c r="I590" s="506"/>
    </row>
    <row r="591">
      <c r="A591" s="513"/>
      <c r="B591" s="506"/>
      <c r="C591" s="506"/>
      <c r="D591" s="506"/>
      <c r="E591" s="506"/>
      <c r="F591" s="506"/>
      <c r="G591" s="506"/>
      <c r="H591" s="506"/>
      <c r="I591" s="506"/>
    </row>
    <row r="592">
      <c r="A592" s="513"/>
      <c r="B592" s="506"/>
      <c r="C592" s="506"/>
      <c r="D592" s="506"/>
      <c r="E592" s="506"/>
      <c r="F592" s="506"/>
      <c r="G592" s="506"/>
      <c r="H592" s="506"/>
      <c r="I592" s="506"/>
    </row>
    <row r="593">
      <c r="A593" s="513"/>
      <c r="B593" s="506"/>
      <c r="C593" s="506"/>
      <c r="D593" s="506"/>
      <c r="E593" s="506"/>
      <c r="F593" s="506"/>
      <c r="G593" s="506"/>
      <c r="H593" s="506"/>
      <c r="I593" s="506"/>
    </row>
    <row r="594">
      <c r="A594" s="513"/>
      <c r="B594" s="506"/>
      <c r="C594" s="506"/>
      <c r="D594" s="506"/>
      <c r="E594" s="506"/>
      <c r="F594" s="506"/>
      <c r="G594" s="506"/>
      <c r="H594" s="506"/>
      <c r="I594" s="506"/>
    </row>
    <row r="595">
      <c r="A595" s="513"/>
      <c r="B595" s="506"/>
      <c r="C595" s="506"/>
      <c r="D595" s="506"/>
      <c r="E595" s="506"/>
      <c r="F595" s="506"/>
      <c r="G595" s="506"/>
      <c r="H595" s="506"/>
      <c r="I595" s="506"/>
    </row>
    <row r="596">
      <c r="A596" s="513"/>
      <c r="B596" s="506"/>
      <c r="C596" s="506"/>
      <c r="D596" s="506"/>
      <c r="E596" s="506"/>
      <c r="F596" s="506"/>
      <c r="G596" s="506"/>
      <c r="H596" s="506"/>
      <c r="I596" s="506"/>
    </row>
    <row r="597">
      <c r="A597" s="513"/>
      <c r="B597" s="506"/>
      <c r="C597" s="506"/>
      <c r="D597" s="506"/>
      <c r="E597" s="506"/>
      <c r="F597" s="506"/>
      <c r="G597" s="506"/>
      <c r="H597" s="506"/>
      <c r="I597" s="506"/>
    </row>
    <row r="598">
      <c r="A598" s="513"/>
      <c r="B598" s="506"/>
      <c r="C598" s="506"/>
      <c r="D598" s="506"/>
      <c r="E598" s="506"/>
      <c r="F598" s="506"/>
      <c r="G598" s="506"/>
      <c r="H598" s="506"/>
      <c r="I598" s="506"/>
    </row>
    <row r="599">
      <c r="A599" s="513"/>
      <c r="B599" s="506"/>
      <c r="C599" s="506"/>
      <c r="D599" s="506"/>
      <c r="E599" s="506"/>
      <c r="F599" s="506"/>
      <c r="G599" s="506"/>
      <c r="H599" s="506"/>
      <c r="I599" s="506"/>
    </row>
    <row r="600">
      <c r="A600" s="513"/>
      <c r="B600" s="506"/>
      <c r="C600" s="506"/>
      <c r="D600" s="506"/>
      <c r="E600" s="506"/>
      <c r="F600" s="506"/>
      <c r="G600" s="506"/>
      <c r="H600" s="506"/>
      <c r="I600" s="506"/>
    </row>
    <row r="601">
      <c r="A601" s="513"/>
      <c r="B601" s="506"/>
      <c r="C601" s="506"/>
      <c r="D601" s="506"/>
      <c r="E601" s="506"/>
      <c r="F601" s="506"/>
      <c r="G601" s="506"/>
      <c r="H601" s="506"/>
      <c r="I601" s="506"/>
    </row>
    <row r="602">
      <c r="A602" s="513"/>
      <c r="B602" s="506"/>
      <c r="C602" s="506"/>
      <c r="D602" s="506"/>
      <c r="E602" s="506"/>
      <c r="F602" s="506"/>
      <c r="G602" s="506"/>
      <c r="H602" s="506"/>
      <c r="I602" s="506"/>
    </row>
    <row r="603">
      <c r="A603" s="513"/>
      <c r="B603" s="506"/>
      <c r="C603" s="506"/>
      <c r="D603" s="506"/>
      <c r="E603" s="506"/>
      <c r="F603" s="506"/>
      <c r="G603" s="506"/>
      <c r="H603" s="506"/>
      <c r="I603" s="506"/>
    </row>
    <row r="604">
      <c r="A604" s="513"/>
      <c r="B604" s="506"/>
      <c r="C604" s="506"/>
      <c r="D604" s="506"/>
      <c r="E604" s="506"/>
      <c r="F604" s="506"/>
      <c r="G604" s="506"/>
      <c r="H604" s="506"/>
      <c r="I604" s="506"/>
    </row>
    <row r="605">
      <c r="A605" s="513"/>
      <c r="B605" s="506"/>
      <c r="C605" s="506"/>
      <c r="D605" s="506"/>
      <c r="E605" s="506"/>
      <c r="F605" s="506"/>
      <c r="G605" s="506"/>
      <c r="H605" s="506"/>
      <c r="I605" s="506"/>
    </row>
    <row r="606">
      <c r="A606" s="513"/>
      <c r="B606" s="506"/>
      <c r="C606" s="506"/>
      <c r="D606" s="506"/>
      <c r="E606" s="506"/>
      <c r="F606" s="506"/>
      <c r="G606" s="506"/>
      <c r="H606" s="506"/>
      <c r="I606" s="506"/>
    </row>
    <row r="607">
      <c r="A607" s="513"/>
      <c r="B607" s="506"/>
      <c r="C607" s="506"/>
      <c r="D607" s="506"/>
      <c r="E607" s="506"/>
      <c r="F607" s="506"/>
      <c r="G607" s="506"/>
      <c r="H607" s="506"/>
      <c r="I607" s="506"/>
    </row>
    <row r="608">
      <c r="A608" s="513"/>
      <c r="B608" s="506"/>
      <c r="C608" s="506"/>
      <c r="D608" s="506"/>
      <c r="E608" s="506"/>
      <c r="F608" s="506"/>
      <c r="G608" s="506"/>
      <c r="H608" s="506"/>
      <c r="I608" s="506"/>
    </row>
    <row r="609">
      <c r="A609" s="513"/>
      <c r="B609" s="506"/>
      <c r="C609" s="506"/>
      <c r="D609" s="506"/>
      <c r="E609" s="506"/>
      <c r="F609" s="506"/>
      <c r="G609" s="506"/>
      <c r="H609" s="506"/>
      <c r="I609" s="506"/>
    </row>
    <row r="610">
      <c r="A610" s="513"/>
      <c r="B610" s="506"/>
      <c r="C610" s="506"/>
      <c r="D610" s="506"/>
      <c r="E610" s="506"/>
      <c r="F610" s="506"/>
      <c r="G610" s="506"/>
      <c r="H610" s="506"/>
      <c r="I610" s="506"/>
    </row>
    <row r="611">
      <c r="A611" s="513"/>
      <c r="B611" s="506"/>
      <c r="C611" s="506"/>
      <c r="D611" s="506"/>
      <c r="E611" s="506"/>
      <c r="F611" s="506"/>
      <c r="G611" s="506"/>
      <c r="H611" s="506"/>
      <c r="I611" s="506"/>
    </row>
    <row r="612">
      <c r="A612" s="513"/>
      <c r="B612" s="506"/>
      <c r="C612" s="506"/>
      <c r="D612" s="506"/>
      <c r="E612" s="506"/>
      <c r="F612" s="506"/>
      <c r="G612" s="506"/>
      <c r="H612" s="506"/>
      <c r="I612" s="506"/>
    </row>
    <row r="613">
      <c r="A613" s="513"/>
      <c r="B613" s="506"/>
      <c r="C613" s="506"/>
      <c r="D613" s="506"/>
      <c r="E613" s="506"/>
      <c r="F613" s="506"/>
      <c r="G613" s="506"/>
      <c r="H613" s="506"/>
      <c r="I613" s="506"/>
    </row>
    <row r="614">
      <c r="A614" s="513"/>
      <c r="B614" s="506"/>
      <c r="C614" s="506"/>
      <c r="D614" s="506"/>
      <c r="E614" s="506"/>
      <c r="F614" s="506"/>
      <c r="G614" s="506"/>
      <c r="H614" s="506"/>
      <c r="I614" s="506"/>
    </row>
    <row r="615">
      <c r="A615" s="513"/>
      <c r="B615" s="506"/>
      <c r="C615" s="506"/>
      <c r="D615" s="506"/>
      <c r="E615" s="506"/>
      <c r="F615" s="506"/>
      <c r="G615" s="506"/>
      <c r="H615" s="506"/>
      <c r="I615" s="506"/>
    </row>
    <row r="616">
      <c r="A616" s="513"/>
      <c r="B616" s="506"/>
      <c r="C616" s="506"/>
      <c r="D616" s="506"/>
      <c r="E616" s="506"/>
      <c r="F616" s="506"/>
      <c r="G616" s="506"/>
      <c r="H616" s="506"/>
      <c r="I616" s="506"/>
    </row>
    <row r="617">
      <c r="A617" s="513"/>
      <c r="B617" s="506"/>
      <c r="C617" s="506"/>
      <c r="D617" s="506"/>
      <c r="E617" s="506"/>
      <c r="F617" s="506"/>
      <c r="G617" s="506"/>
      <c r="H617" s="506"/>
      <c r="I617" s="506"/>
    </row>
    <row r="618">
      <c r="A618" s="513"/>
      <c r="B618" s="506"/>
      <c r="C618" s="506"/>
      <c r="D618" s="506"/>
      <c r="E618" s="506"/>
      <c r="F618" s="506"/>
      <c r="G618" s="506"/>
      <c r="H618" s="506"/>
      <c r="I618" s="506"/>
    </row>
    <row r="619">
      <c r="A619" s="513"/>
      <c r="B619" s="506"/>
      <c r="C619" s="506"/>
      <c r="D619" s="506"/>
      <c r="E619" s="506"/>
      <c r="F619" s="506"/>
      <c r="G619" s="506"/>
      <c r="H619" s="506"/>
      <c r="I619" s="506"/>
    </row>
    <row r="620">
      <c r="A620" s="513"/>
      <c r="B620" s="506"/>
      <c r="C620" s="506"/>
      <c r="D620" s="506"/>
      <c r="E620" s="506"/>
      <c r="F620" s="506"/>
      <c r="G620" s="506"/>
      <c r="H620" s="506"/>
      <c r="I620" s="506"/>
    </row>
    <row r="621">
      <c r="A621" s="513"/>
      <c r="B621" s="506"/>
      <c r="C621" s="506"/>
      <c r="D621" s="506"/>
      <c r="E621" s="506"/>
      <c r="F621" s="506"/>
      <c r="G621" s="506"/>
      <c r="H621" s="506"/>
      <c r="I621" s="506"/>
    </row>
    <row r="622">
      <c r="A622" s="513"/>
      <c r="B622" s="506"/>
      <c r="C622" s="506"/>
      <c r="D622" s="506"/>
      <c r="E622" s="506"/>
      <c r="F622" s="506"/>
      <c r="G622" s="506"/>
      <c r="H622" s="506"/>
      <c r="I622" s="506"/>
    </row>
    <row r="623">
      <c r="A623" s="513"/>
      <c r="B623" s="506"/>
      <c r="C623" s="506"/>
      <c r="D623" s="506"/>
      <c r="E623" s="506"/>
      <c r="F623" s="506"/>
      <c r="G623" s="506"/>
      <c r="H623" s="506"/>
      <c r="I623" s="506"/>
    </row>
    <row r="624">
      <c r="A624" s="513"/>
      <c r="B624" s="506"/>
      <c r="C624" s="506"/>
      <c r="D624" s="506"/>
      <c r="E624" s="506"/>
      <c r="F624" s="506"/>
      <c r="G624" s="506"/>
      <c r="H624" s="506"/>
      <c r="I624" s="506"/>
    </row>
    <row r="625">
      <c r="A625" s="513"/>
      <c r="B625" s="506"/>
      <c r="C625" s="506"/>
      <c r="D625" s="506"/>
      <c r="E625" s="506"/>
      <c r="F625" s="506"/>
      <c r="G625" s="506"/>
      <c r="H625" s="506"/>
      <c r="I625" s="506"/>
    </row>
    <row r="626">
      <c r="A626" s="513"/>
      <c r="B626" s="506"/>
      <c r="C626" s="506"/>
      <c r="D626" s="506"/>
      <c r="E626" s="506"/>
      <c r="F626" s="506"/>
      <c r="G626" s="506"/>
      <c r="H626" s="506"/>
      <c r="I626" s="506"/>
    </row>
    <row r="627">
      <c r="A627" s="513"/>
      <c r="B627" s="506"/>
      <c r="C627" s="506"/>
      <c r="D627" s="506"/>
      <c r="E627" s="506"/>
      <c r="F627" s="506"/>
      <c r="G627" s="506"/>
      <c r="H627" s="506"/>
      <c r="I627" s="506"/>
    </row>
    <row r="628">
      <c r="A628" s="513"/>
      <c r="B628" s="506"/>
      <c r="C628" s="506"/>
      <c r="D628" s="506"/>
      <c r="E628" s="506"/>
      <c r="F628" s="506"/>
      <c r="G628" s="506"/>
      <c r="H628" s="506"/>
      <c r="I628" s="506"/>
    </row>
    <row r="629">
      <c r="A629" s="513"/>
      <c r="B629" s="506"/>
      <c r="C629" s="506"/>
      <c r="D629" s="506"/>
      <c r="E629" s="506"/>
      <c r="F629" s="506"/>
      <c r="G629" s="506"/>
      <c r="H629" s="506"/>
      <c r="I629" s="506"/>
    </row>
    <row r="630">
      <c r="A630" s="513"/>
      <c r="B630" s="506"/>
      <c r="C630" s="506"/>
      <c r="D630" s="506"/>
      <c r="E630" s="506"/>
      <c r="F630" s="506"/>
      <c r="G630" s="506"/>
      <c r="H630" s="506"/>
      <c r="I630" s="506"/>
    </row>
    <row r="631">
      <c r="A631" s="513"/>
      <c r="B631" s="506"/>
      <c r="C631" s="506"/>
      <c r="D631" s="506"/>
      <c r="E631" s="506"/>
      <c r="F631" s="506"/>
      <c r="G631" s="506"/>
      <c r="H631" s="506"/>
      <c r="I631" s="506"/>
    </row>
    <row r="632">
      <c r="A632" s="513"/>
      <c r="B632" s="506"/>
      <c r="C632" s="506"/>
      <c r="D632" s="506"/>
      <c r="E632" s="506"/>
      <c r="F632" s="506"/>
      <c r="G632" s="506"/>
      <c r="H632" s="506"/>
      <c r="I632" s="506"/>
    </row>
    <row r="633">
      <c r="A633" s="513"/>
      <c r="B633" s="506"/>
      <c r="C633" s="506"/>
      <c r="D633" s="506"/>
      <c r="E633" s="506"/>
      <c r="F633" s="506"/>
      <c r="G633" s="506"/>
      <c r="H633" s="506"/>
      <c r="I633" s="506"/>
    </row>
    <row r="634">
      <c r="A634" s="513"/>
      <c r="B634" s="506"/>
      <c r="C634" s="506"/>
      <c r="D634" s="506"/>
      <c r="E634" s="506"/>
      <c r="F634" s="506"/>
      <c r="G634" s="506"/>
      <c r="H634" s="506"/>
      <c r="I634" s="506"/>
    </row>
    <row r="635">
      <c r="A635" s="513"/>
      <c r="B635" s="506"/>
      <c r="C635" s="506"/>
      <c r="D635" s="506"/>
      <c r="E635" s="506"/>
      <c r="F635" s="506"/>
      <c r="G635" s="506"/>
      <c r="H635" s="506"/>
      <c r="I635" s="506"/>
    </row>
    <row r="636">
      <c r="A636" s="513"/>
      <c r="B636" s="506"/>
      <c r="C636" s="506"/>
      <c r="D636" s="506"/>
      <c r="E636" s="506"/>
      <c r="F636" s="506"/>
      <c r="G636" s="506"/>
      <c r="H636" s="506"/>
      <c r="I636" s="506"/>
    </row>
    <row r="637">
      <c r="A637" s="513"/>
      <c r="B637" s="506"/>
      <c r="C637" s="506"/>
      <c r="D637" s="506"/>
      <c r="E637" s="506"/>
      <c r="F637" s="506"/>
      <c r="G637" s="506"/>
      <c r="H637" s="506"/>
      <c r="I637" s="506"/>
    </row>
    <row r="638">
      <c r="A638" s="513"/>
      <c r="B638" s="506"/>
      <c r="C638" s="506"/>
      <c r="D638" s="506"/>
      <c r="E638" s="506"/>
      <c r="F638" s="506"/>
      <c r="G638" s="506"/>
      <c r="H638" s="506"/>
      <c r="I638" s="506"/>
    </row>
    <row r="639">
      <c r="A639" s="513"/>
      <c r="B639" s="506"/>
      <c r="C639" s="506"/>
      <c r="D639" s="506"/>
      <c r="E639" s="506"/>
      <c r="F639" s="506"/>
      <c r="G639" s="506"/>
      <c r="H639" s="506"/>
      <c r="I639" s="506"/>
    </row>
    <row r="640">
      <c r="A640" s="513"/>
      <c r="B640" s="506"/>
      <c r="C640" s="506"/>
      <c r="D640" s="506"/>
      <c r="E640" s="506"/>
      <c r="F640" s="506"/>
      <c r="G640" s="506"/>
      <c r="H640" s="506"/>
      <c r="I640" s="506"/>
    </row>
    <row r="641">
      <c r="A641" s="513"/>
      <c r="B641" s="506"/>
      <c r="C641" s="506"/>
      <c r="D641" s="506"/>
      <c r="E641" s="506"/>
      <c r="F641" s="506"/>
      <c r="G641" s="506"/>
      <c r="H641" s="506"/>
      <c r="I641" s="506"/>
    </row>
    <row r="642">
      <c r="A642" s="513"/>
      <c r="B642" s="506"/>
      <c r="C642" s="506"/>
      <c r="D642" s="506"/>
      <c r="E642" s="506"/>
      <c r="F642" s="506"/>
      <c r="G642" s="506"/>
      <c r="H642" s="506"/>
      <c r="I642" s="506"/>
    </row>
    <row r="643">
      <c r="A643" s="513"/>
      <c r="B643" s="506"/>
      <c r="C643" s="506"/>
      <c r="D643" s="506"/>
      <c r="E643" s="506"/>
      <c r="F643" s="506"/>
      <c r="G643" s="506"/>
      <c r="H643" s="506"/>
      <c r="I643" s="506"/>
    </row>
    <row r="644">
      <c r="A644" s="513"/>
      <c r="B644" s="506"/>
      <c r="C644" s="506"/>
      <c r="D644" s="506"/>
      <c r="E644" s="506"/>
      <c r="F644" s="506"/>
      <c r="G644" s="506"/>
      <c r="H644" s="506"/>
      <c r="I644" s="506"/>
    </row>
    <row r="645">
      <c r="A645" s="513"/>
      <c r="B645" s="506"/>
      <c r="C645" s="506"/>
      <c r="D645" s="506"/>
      <c r="E645" s="506"/>
      <c r="F645" s="506"/>
      <c r="G645" s="506"/>
      <c r="H645" s="506"/>
      <c r="I645" s="506"/>
    </row>
    <row r="646">
      <c r="A646" s="513"/>
      <c r="B646" s="506"/>
      <c r="C646" s="506"/>
      <c r="D646" s="506"/>
      <c r="E646" s="506"/>
      <c r="F646" s="506"/>
      <c r="G646" s="506"/>
      <c r="H646" s="506"/>
      <c r="I646" s="506"/>
    </row>
    <row r="647">
      <c r="A647" s="513"/>
      <c r="B647" s="506"/>
      <c r="C647" s="506"/>
      <c r="D647" s="506"/>
      <c r="E647" s="506"/>
      <c r="F647" s="506"/>
      <c r="G647" s="506"/>
      <c r="H647" s="506"/>
      <c r="I647" s="506"/>
    </row>
    <row r="648">
      <c r="A648" s="513"/>
      <c r="B648" s="506"/>
      <c r="C648" s="506"/>
      <c r="D648" s="506"/>
      <c r="E648" s="506"/>
      <c r="F648" s="506"/>
      <c r="G648" s="506"/>
      <c r="H648" s="506"/>
      <c r="I648" s="506"/>
    </row>
    <row r="649">
      <c r="A649" s="513"/>
      <c r="B649" s="506"/>
      <c r="C649" s="506"/>
      <c r="D649" s="506"/>
      <c r="E649" s="506"/>
      <c r="F649" s="506"/>
      <c r="G649" s="506"/>
      <c r="H649" s="506"/>
      <c r="I649" s="506"/>
    </row>
    <row r="650">
      <c r="A650" s="513"/>
      <c r="B650" s="506"/>
      <c r="C650" s="506"/>
      <c r="D650" s="506"/>
      <c r="E650" s="506"/>
      <c r="F650" s="506"/>
      <c r="G650" s="506"/>
      <c r="H650" s="506"/>
      <c r="I650" s="506"/>
    </row>
    <row r="651">
      <c r="A651" s="513"/>
      <c r="B651" s="506"/>
      <c r="C651" s="506"/>
      <c r="D651" s="506"/>
      <c r="E651" s="506"/>
      <c r="F651" s="506"/>
      <c r="G651" s="506"/>
      <c r="H651" s="506"/>
      <c r="I651" s="506"/>
    </row>
    <row r="652">
      <c r="A652" s="513"/>
      <c r="B652" s="506"/>
      <c r="C652" s="506"/>
      <c r="D652" s="506"/>
      <c r="E652" s="506"/>
      <c r="F652" s="506"/>
      <c r="G652" s="506"/>
      <c r="H652" s="506"/>
      <c r="I652" s="506"/>
    </row>
    <row r="653">
      <c r="A653" s="513"/>
      <c r="B653" s="506"/>
      <c r="C653" s="506"/>
      <c r="D653" s="506"/>
      <c r="E653" s="506"/>
      <c r="F653" s="506"/>
      <c r="G653" s="506"/>
      <c r="H653" s="506"/>
      <c r="I653" s="506"/>
    </row>
    <row r="654">
      <c r="A654" s="513"/>
      <c r="B654" s="506"/>
      <c r="C654" s="506"/>
      <c r="D654" s="506"/>
      <c r="E654" s="506"/>
      <c r="F654" s="506"/>
      <c r="G654" s="506"/>
      <c r="H654" s="506"/>
      <c r="I654" s="506"/>
    </row>
    <row r="655">
      <c r="A655" s="513"/>
      <c r="B655" s="506"/>
      <c r="C655" s="506"/>
      <c r="D655" s="506"/>
      <c r="E655" s="506"/>
      <c r="F655" s="506"/>
      <c r="G655" s="506"/>
      <c r="H655" s="506"/>
      <c r="I655" s="506"/>
    </row>
    <row r="656">
      <c r="A656" s="513"/>
      <c r="B656" s="506"/>
      <c r="C656" s="506"/>
      <c r="D656" s="506"/>
      <c r="E656" s="506"/>
      <c r="F656" s="506"/>
      <c r="G656" s="506"/>
      <c r="H656" s="506"/>
      <c r="I656" s="506"/>
    </row>
    <row r="657">
      <c r="A657" s="513"/>
      <c r="B657" s="506"/>
      <c r="C657" s="506"/>
      <c r="D657" s="506"/>
      <c r="E657" s="506"/>
      <c r="F657" s="506"/>
      <c r="G657" s="506"/>
      <c r="H657" s="506"/>
      <c r="I657" s="506"/>
    </row>
    <row r="658">
      <c r="A658" s="513"/>
      <c r="B658" s="506"/>
      <c r="C658" s="506"/>
      <c r="D658" s="506"/>
      <c r="E658" s="506"/>
      <c r="F658" s="506"/>
      <c r="G658" s="506"/>
      <c r="H658" s="506"/>
      <c r="I658" s="506"/>
    </row>
    <row r="659">
      <c r="A659" s="513"/>
      <c r="B659" s="506"/>
      <c r="C659" s="506"/>
      <c r="D659" s="506"/>
      <c r="E659" s="506"/>
      <c r="F659" s="506"/>
      <c r="G659" s="506"/>
      <c r="H659" s="506"/>
      <c r="I659" s="506"/>
    </row>
    <row r="660">
      <c r="A660" s="513"/>
      <c r="B660" s="506"/>
      <c r="C660" s="506"/>
      <c r="D660" s="506"/>
      <c r="E660" s="506"/>
      <c r="F660" s="506"/>
      <c r="G660" s="506"/>
      <c r="H660" s="506"/>
      <c r="I660" s="506"/>
    </row>
    <row r="661">
      <c r="A661" s="513"/>
      <c r="B661" s="506"/>
      <c r="C661" s="506"/>
      <c r="D661" s="506"/>
      <c r="E661" s="506"/>
      <c r="F661" s="506"/>
      <c r="G661" s="506"/>
      <c r="H661" s="506"/>
      <c r="I661" s="506"/>
    </row>
    <row r="662">
      <c r="A662" s="513"/>
      <c r="B662" s="506"/>
      <c r="C662" s="506"/>
      <c r="D662" s="506"/>
      <c r="E662" s="506"/>
      <c r="F662" s="506"/>
      <c r="G662" s="506"/>
      <c r="H662" s="506"/>
      <c r="I662" s="506"/>
    </row>
    <row r="663">
      <c r="A663" s="513"/>
      <c r="B663" s="506"/>
      <c r="C663" s="506"/>
      <c r="D663" s="506"/>
      <c r="E663" s="506"/>
      <c r="F663" s="506"/>
      <c r="G663" s="506"/>
      <c r="H663" s="506"/>
      <c r="I663" s="506"/>
    </row>
    <row r="664">
      <c r="A664" s="513"/>
      <c r="B664" s="506"/>
      <c r="C664" s="506"/>
      <c r="D664" s="506"/>
      <c r="E664" s="506"/>
      <c r="F664" s="506"/>
      <c r="G664" s="506"/>
      <c r="H664" s="506"/>
      <c r="I664" s="506"/>
    </row>
    <row r="665">
      <c r="A665" s="513"/>
      <c r="B665" s="506"/>
      <c r="C665" s="506"/>
      <c r="D665" s="506"/>
      <c r="E665" s="506"/>
      <c r="F665" s="506"/>
      <c r="G665" s="506"/>
      <c r="H665" s="506"/>
      <c r="I665" s="506"/>
    </row>
    <row r="666">
      <c r="A666" s="513"/>
      <c r="B666" s="506"/>
      <c r="C666" s="506"/>
      <c r="D666" s="506"/>
      <c r="E666" s="506"/>
      <c r="F666" s="506"/>
      <c r="G666" s="506"/>
      <c r="H666" s="506"/>
      <c r="I666" s="506"/>
    </row>
    <row r="667">
      <c r="A667" s="513"/>
      <c r="B667" s="506"/>
      <c r="C667" s="506"/>
      <c r="D667" s="506"/>
      <c r="E667" s="506"/>
      <c r="F667" s="506"/>
      <c r="G667" s="506"/>
      <c r="H667" s="506"/>
      <c r="I667" s="506"/>
    </row>
    <row r="668">
      <c r="A668" s="513"/>
      <c r="B668" s="506"/>
      <c r="C668" s="506"/>
      <c r="D668" s="506"/>
      <c r="E668" s="506"/>
      <c r="F668" s="506"/>
      <c r="G668" s="506"/>
      <c r="H668" s="506"/>
      <c r="I668" s="506"/>
    </row>
    <row r="669">
      <c r="A669" s="513"/>
      <c r="B669" s="506"/>
      <c r="C669" s="506"/>
      <c r="D669" s="506"/>
      <c r="E669" s="506"/>
      <c r="F669" s="506"/>
      <c r="G669" s="506"/>
      <c r="H669" s="506"/>
      <c r="I669" s="506"/>
    </row>
    <row r="670">
      <c r="A670" s="513"/>
      <c r="B670" s="506"/>
      <c r="C670" s="506"/>
      <c r="D670" s="506"/>
      <c r="E670" s="506"/>
      <c r="F670" s="506"/>
      <c r="G670" s="506"/>
      <c r="H670" s="506"/>
      <c r="I670" s="506"/>
    </row>
    <row r="671">
      <c r="A671" s="513"/>
      <c r="B671" s="506"/>
      <c r="C671" s="506"/>
      <c r="D671" s="506"/>
      <c r="E671" s="506"/>
      <c r="F671" s="506"/>
      <c r="G671" s="506"/>
      <c r="H671" s="506"/>
      <c r="I671" s="506"/>
    </row>
    <row r="672">
      <c r="A672" s="513"/>
      <c r="B672" s="506"/>
      <c r="C672" s="506"/>
      <c r="D672" s="506"/>
      <c r="E672" s="506"/>
      <c r="F672" s="506"/>
      <c r="G672" s="506"/>
      <c r="H672" s="506"/>
      <c r="I672" s="506"/>
    </row>
    <row r="673">
      <c r="A673" s="513"/>
      <c r="B673" s="506"/>
      <c r="C673" s="506"/>
      <c r="D673" s="506"/>
      <c r="E673" s="506"/>
      <c r="F673" s="506"/>
      <c r="G673" s="506"/>
      <c r="H673" s="506"/>
      <c r="I673" s="506"/>
    </row>
    <row r="674">
      <c r="A674" s="513"/>
      <c r="B674" s="506"/>
      <c r="C674" s="506"/>
      <c r="D674" s="506"/>
      <c r="E674" s="506"/>
      <c r="F674" s="506"/>
      <c r="G674" s="506"/>
      <c r="H674" s="506"/>
      <c r="I674" s="506"/>
    </row>
    <row r="675">
      <c r="A675" s="513"/>
      <c r="B675" s="506"/>
      <c r="C675" s="506"/>
      <c r="D675" s="506"/>
      <c r="E675" s="506"/>
      <c r="F675" s="506"/>
      <c r="G675" s="506"/>
      <c r="H675" s="506"/>
      <c r="I675" s="506"/>
    </row>
    <row r="676">
      <c r="A676" s="513"/>
      <c r="B676" s="506"/>
      <c r="C676" s="506"/>
      <c r="D676" s="506"/>
      <c r="E676" s="506"/>
      <c r="F676" s="506"/>
      <c r="G676" s="506"/>
      <c r="H676" s="506"/>
      <c r="I676" s="506"/>
    </row>
    <row r="677">
      <c r="A677" s="513"/>
      <c r="B677" s="506"/>
      <c r="C677" s="506"/>
      <c r="D677" s="506"/>
      <c r="E677" s="506"/>
      <c r="F677" s="506"/>
      <c r="G677" s="506"/>
      <c r="H677" s="506"/>
      <c r="I677" s="506"/>
    </row>
    <row r="678">
      <c r="A678" s="513"/>
      <c r="B678" s="506"/>
      <c r="C678" s="506"/>
      <c r="D678" s="506"/>
      <c r="E678" s="506"/>
      <c r="F678" s="506"/>
      <c r="G678" s="506"/>
      <c r="H678" s="506"/>
      <c r="I678" s="506"/>
    </row>
    <row r="679">
      <c r="A679" s="513"/>
      <c r="B679" s="506"/>
      <c r="C679" s="506"/>
      <c r="D679" s="506"/>
      <c r="E679" s="506"/>
      <c r="F679" s="506"/>
      <c r="G679" s="506"/>
      <c r="H679" s="506"/>
      <c r="I679" s="506"/>
    </row>
    <row r="680">
      <c r="A680" s="513"/>
      <c r="B680" s="506"/>
      <c r="C680" s="506"/>
      <c r="D680" s="506"/>
      <c r="E680" s="506"/>
      <c r="F680" s="506"/>
      <c r="G680" s="506"/>
      <c r="H680" s="506"/>
      <c r="I680" s="506"/>
    </row>
    <row r="681">
      <c r="A681" s="513"/>
      <c r="B681" s="506"/>
      <c r="C681" s="506"/>
      <c r="D681" s="506"/>
      <c r="E681" s="506"/>
      <c r="F681" s="506"/>
      <c r="G681" s="506"/>
      <c r="H681" s="506"/>
      <c r="I681" s="506"/>
    </row>
    <row r="682">
      <c r="A682" s="513"/>
      <c r="B682" s="506"/>
      <c r="C682" s="506"/>
      <c r="D682" s="506"/>
      <c r="E682" s="506"/>
      <c r="F682" s="506"/>
      <c r="G682" s="506"/>
      <c r="H682" s="506"/>
      <c r="I682" s="506"/>
    </row>
    <row r="683">
      <c r="A683" s="513"/>
      <c r="B683" s="506"/>
      <c r="C683" s="506"/>
      <c r="D683" s="506"/>
      <c r="E683" s="506"/>
      <c r="F683" s="506"/>
      <c r="G683" s="506"/>
      <c r="H683" s="506"/>
      <c r="I683" s="506"/>
    </row>
    <row r="684">
      <c r="A684" s="513"/>
      <c r="B684" s="506"/>
      <c r="C684" s="506"/>
      <c r="D684" s="506"/>
      <c r="E684" s="506"/>
      <c r="F684" s="506"/>
      <c r="G684" s="506"/>
      <c r="H684" s="506"/>
      <c r="I684" s="506"/>
    </row>
    <row r="685">
      <c r="A685" s="513"/>
      <c r="B685" s="506"/>
      <c r="C685" s="506"/>
      <c r="D685" s="506"/>
      <c r="E685" s="506"/>
      <c r="F685" s="506"/>
      <c r="G685" s="506"/>
      <c r="H685" s="506"/>
      <c r="I685" s="506"/>
    </row>
    <row r="686">
      <c r="A686" s="513"/>
      <c r="B686" s="506"/>
      <c r="C686" s="506"/>
      <c r="D686" s="506"/>
      <c r="E686" s="506"/>
      <c r="F686" s="506"/>
      <c r="G686" s="506"/>
      <c r="H686" s="506"/>
      <c r="I686" s="506"/>
    </row>
    <row r="687">
      <c r="A687" s="513"/>
      <c r="B687" s="506"/>
      <c r="C687" s="506"/>
      <c r="D687" s="506"/>
      <c r="E687" s="506"/>
      <c r="F687" s="506"/>
      <c r="G687" s="506"/>
      <c r="H687" s="506"/>
      <c r="I687" s="506"/>
    </row>
    <row r="688">
      <c r="A688" s="513"/>
      <c r="B688" s="506"/>
      <c r="C688" s="506"/>
      <c r="D688" s="506"/>
      <c r="E688" s="506"/>
      <c r="F688" s="506"/>
      <c r="G688" s="506"/>
      <c r="H688" s="506"/>
      <c r="I688" s="506"/>
    </row>
    <row r="689">
      <c r="A689" s="513"/>
      <c r="B689" s="506"/>
      <c r="C689" s="506"/>
      <c r="D689" s="506"/>
      <c r="E689" s="506"/>
      <c r="F689" s="506"/>
      <c r="G689" s="506"/>
      <c r="H689" s="506"/>
      <c r="I689" s="506"/>
    </row>
    <row r="690">
      <c r="A690" s="513"/>
      <c r="B690" s="506"/>
      <c r="C690" s="506"/>
      <c r="D690" s="506"/>
      <c r="E690" s="506"/>
      <c r="F690" s="506"/>
      <c r="G690" s="506"/>
      <c r="H690" s="506"/>
      <c r="I690" s="506"/>
    </row>
    <row r="691">
      <c r="A691" s="513"/>
      <c r="B691" s="506"/>
      <c r="C691" s="506"/>
      <c r="D691" s="506"/>
      <c r="E691" s="506"/>
      <c r="F691" s="506"/>
      <c r="G691" s="506"/>
      <c r="H691" s="506"/>
      <c r="I691" s="506"/>
    </row>
    <row r="692">
      <c r="A692" s="513"/>
      <c r="B692" s="506"/>
      <c r="C692" s="506"/>
      <c r="D692" s="506"/>
      <c r="E692" s="506"/>
      <c r="F692" s="506"/>
      <c r="G692" s="506"/>
      <c r="H692" s="506"/>
      <c r="I692" s="506"/>
    </row>
    <row r="693">
      <c r="A693" s="513"/>
      <c r="B693" s="506"/>
      <c r="C693" s="506"/>
      <c r="D693" s="506"/>
      <c r="E693" s="506"/>
      <c r="F693" s="506"/>
      <c r="G693" s="506"/>
      <c r="H693" s="506"/>
      <c r="I693" s="506"/>
    </row>
    <row r="694">
      <c r="A694" s="513"/>
      <c r="B694" s="506"/>
      <c r="C694" s="506"/>
      <c r="D694" s="506"/>
      <c r="E694" s="506"/>
      <c r="F694" s="506"/>
      <c r="G694" s="506"/>
      <c r="H694" s="506"/>
      <c r="I694" s="506"/>
    </row>
    <row r="695">
      <c r="A695" s="513"/>
      <c r="B695" s="506"/>
      <c r="C695" s="506"/>
      <c r="D695" s="506"/>
      <c r="E695" s="506"/>
      <c r="F695" s="506"/>
      <c r="G695" s="506"/>
      <c r="H695" s="506"/>
      <c r="I695" s="506"/>
    </row>
    <row r="696">
      <c r="A696" s="513"/>
      <c r="B696" s="506"/>
      <c r="C696" s="506"/>
      <c r="D696" s="506"/>
      <c r="E696" s="506"/>
      <c r="F696" s="506"/>
      <c r="G696" s="506"/>
      <c r="H696" s="506"/>
      <c r="I696" s="506"/>
    </row>
    <row r="697">
      <c r="A697" s="513"/>
      <c r="B697" s="506"/>
      <c r="C697" s="506"/>
      <c r="D697" s="506"/>
      <c r="E697" s="506"/>
      <c r="F697" s="506"/>
      <c r="G697" s="506"/>
      <c r="H697" s="506"/>
      <c r="I697" s="506"/>
    </row>
    <row r="698">
      <c r="A698" s="513"/>
      <c r="B698" s="506"/>
      <c r="C698" s="506"/>
      <c r="D698" s="506"/>
      <c r="E698" s="506"/>
      <c r="F698" s="506"/>
      <c r="G698" s="506"/>
      <c r="H698" s="506"/>
      <c r="I698" s="506"/>
    </row>
    <row r="699">
      <c r="A699" s="513"/>
      <c r="B699" s="506"/>
      <c r="C699" s="506"/>
      <c r="D699" s="506"/>
      <c r="E699" s="506"/>
      <c r="F699" s="506"/>
      <c r="G699" s="506"/>
      <c r="H699" s="506"/>
      <c r="I699" s="506"/>
    </row>
    <row r="700">
      <c r="A700" s="513"/>
      <c r="B700" s="506"/>
      <c r="C700" s="506"/>
      <c r="D700" s="506"/>
      <c r="E700" s="506"/>
      <c r="F700" s="506"/>
      <c r="G700" s="506"/>
      <c r="H700" s="506"/>
      <c r="I700" s="506"/>
    </row>
    <row r="701">
      <c r="A701" s="513"/>
      <c r="B701" s="506"/>
      <c r="C701" s="506"/>
      <c r="D701" s="506"/>
      <c r="E701" s="506"/>
      <c r="F701" s="506"/>
      <c r="G701" s="506"/>
      <c r="H701" s="506"/>
      <c r="I701" s="506"/>
    </row>
    <row r="702">
      <c r="A702" s="513"/>
      <c r="B702" s="506"/>
      <c r="C702" s="506"/>
      <c r="D702" s="506"/>
      <c r="E702" s="506"/>
      <c r="F702" s="506"/>
      <c r="G702" s="506"/>
      <c r="H702" s="506"/>
      <c r="I702" s="506"/>
    </row>
    <row r="703">
      <c r="A703" s="513"/>
      <c r="B703" s="506"/>
      <c r="C703" s="506"/>
      <c r="D703" s="506"/>
      <c r="E703" s="506"/>
      <c r="F703" s="506"/>
      <c r="G703" s="506"/>
      <c r="H703" s="506"/>
      <c r="I703" s="506"/>
    </row>
    <row r="704">
      <c r="A704" s="513"/>
      <c r="B704" s="506"/>
      <c r="C704" s="506"/>
      <c r="D704" s="506"/>
      <c r="E704" s="506"/>
      <c r="F704" s="506"/>
      <c r="G704" s="506"/>
      <c r="H704" s="506"/>
      <c r="I704" s="506"/>
    </row>
    <row r="705">
      <c r="A705" s="513"/>
      <c r="B705" s="506"/>
      <c r="C705" s="506"/>
      <c r="D705" s="506"/>
      <c r="E705" s="506"/>
      <c r="F705" s="506"/>
      <c r="G705" s="506"/>
      <c r="H705" s="506"/>
      <c r="I705" s="506"/>
    </row>
    <row r="706">
      <c r="A706" s="513"/>
      <c r="B706" s="506"/>
      <c r="C706" s="506"/>
      <c r="D706" s="506"/>
      <c r="E706" s="506"/>
      <c r="F706" s="506"/>
      <c r="G706" s="506"/>
      <c r="H706" s="506"/>
      <c r="I706" s="506"/>
    </row>
    <row r="707">
      <c r="A707" s="513"/>
      <c r="B707" s="506"/>
      <c r="C707" s="506"/>
      <c r="D707" s="506"/>
      <c r="E707" s="506"/>
      <c r="F707" s="506"/>
      <c r="G707" s="506"/>
      <c r="H707" s="506"/>
      <c r="I707" s="506"/>
    </row>
    <row r="708">
      <c r="A708" s="513"/>
      <c r="B708" s="506"/>
      <c r="C708" s="506"/>
      <c r="D708" s="506"/>
      <c r="E708" s="506"/>
      <c r="F708" s="506"/>
      <c r="G708" s="506"/>
      <c r="H708" s="506"/>
      <c r="I708" s="506"/>
    </row>
    <row r="709">
      <c r="A709" s="513"/>
      <c r="B709" s="506"/>
      <c r="C709" s="506"/>
      <c r="D709" s="506"/>
      <c r="E709" s="506"/>
      <c r="F709" s="506"/>
      <c r="G709" s="506"/>
      <c r="H709" s="506"/>
      <c r="I709" s="506"/>
    </row>
    <row r="710">
      <c r="A710" s="513"/>
      <c r="B710" s="506"/>
      <c r="C710" s="506"/>
      <c r="D710" s="506"/>
      <c r="E710" s="506"/>
      <c r="F710" s="506"/>
      <c r="G710" s="506"/>
      <c r="H710" s="506"/>
      <c r="I710" s="506"/>
    </row>
    <row r="711">
      <c r="A711" s="513"/>
      <c r="B711" s="506"/>
      <c r="C711" s="506"/>
      <c r="D711" s="506"/>
      <c r="E711" s="506"/>
      <c r="F711" s="506"/>
      <c r="G711" s="506"/>
      <c r="H711" s="506"/>
      <c r="I711" s="506"/>
    </row>
    <row r="712">
      <c r="A712" s="513"/>
      <c r="B712" s="506"/>
      <c r="C712" s="506"/>
      <c r="D712" s="506"/>
      <c r="E712" s="506"/>
      <c r="F712" s="506"/>
      <c r="G712" s="506"/>
      <c r="H712" s="506"/>
      <c r="I712" s="506"/>
    </row>
    <row r="713">
      <c r="A713" s="513"/>
      <c r="B713" s="506"/>
      <c r="C713" s="506"/>
      <c r="D713" s="506"/>
      <c r="E713" s="506"/>
      <c r="F713" s="506"/>
      <c r="G713" s="506"/>
      <c r="H713" s="506"/>
      <c r="I713" s="506"/>
    </row>
    <row r="714">
      <c r="A714" s="513"/>
      <c r="B714" s="506"/>
      <c r="C714" s="506"/>
      <c r="D714" s="506"/>
      <c r="E714" s="506"/>
      <c r="F714" s="506"/>
      <c r="G714" s="506"/>
      <c r="H714" s="506"/>
      <c r="I714" s="506"/>
    </row>
    <row r="715">
      <c r="A715" s="513"/>
      <c r="B715" s="506"/>
      <c r="C715" s="506"/>
      <c r="D715" s="506"/>
      <c r="E715" s="506"/>
      <c r="F715" s="506"/>
      <c r="G715" s="506"/>
      <c r="H715" s="506"/>
      <c r="I715" s="506"/>
    </row>
    <row r="716">
      <c r="A716" s="513"/>
      <c r="B716" s="506"/>
      <c r="C716" s="506"/>
      <c r="D716" s="506"/>
      <c r="E716" s="506"/>
      <c r="F716" s="506"/>
      <c r="G716" s="506"/>
      <c r="H716" s="506"/>
      <c r="I716" s="506"/>
    </row>
    <row r="717">
      <c r="A717" s="513"/>
      <c r="B717" s="506"/>
      <c r="C717" s="506"/>
      <c r="D717" s="506"/>
      <c r="E717" s="506"/>
      <c r="F717" s="506"/>
      <c r="G717" s="506"/>
      <c r="H717" s="506"/>
      <c r="I717" s="506"/>
    </row>
    <row r="718">
      <c r="A718" s="513"/>
      <c r="B718" s="506"/>
      <c r="C718" s="506"/>
      <c r="D718" s="506"/>
      <c r="E718" s="506"/>
      <c r="F718" s="506"/>
      <c r="G718" s="506"/>
      <c r="H718" s="506"/>
      <c r="I718" s="506"/>
    </row>
    <row r="719">
      <c r="A719" s="513"/>
      <c r="B719" s="506"/>
      <c r="C719" s="506"/>
      <c r="D719" s="506"/>
      <c r="E719" s="506"/>
      <c r="F719" s="506"/>
      <c r="G719" s="506"/>
      <c r="H719" s="506"/>
      <c r="I719" s="506"/>
    </row>
    <row r="720">
      <c r="A720" s="513"/>
      <c r="B720" s="506"/>
      <c r="C720" s="506"/>
      <c r="D720" s="506"/>
      <c r="E720" s="506"/>
      <c r="F720" s="506"/>
      <c r="G720" s="506"/>
      <c r="H720" s="506"/>
      <c r="I720" s="506"/>
    </row>
    <row r="721">
      <c r="A721" s="513"/>
      <c r="B721" s="506"/>
      <c r="C721" s="506"/>
      <c r="D721" s="506"/>
      <c r="E721" s="506"/>
      <c r="F721" s="506"/>
      <c r="G721" s="506"/>
      <c r="H721" s="506"/>
      <c r="I721" s="506"/>
    </row>
    <row r="722">
      <c r="A722" s="513"/>
      <c r="B722" s="506"/>
      <c r="C722" s="506"/>
      <c r="D722" s="506"/>
      <c r="E722" s="506"/>
      <c r="F722" s="506"/>
      <c r="G722" s="506"/>
      <c r="H722" s="506"/>
      <c r="I722" s="506"/>
    </row>
    <row r="723">
      <c r="A723" s="513"/>
      <c r="B723" s="506"/>
      <c r="C723" s="506"/>
      <c r="D723" s="506"/>
      <c r="E723" s="506"/>
      <c r="F723" s="506"/>
      <c r="G723" s="506"/>
      <c r="H723" s="506"/>
      <c r="I723" s="506"/>
    </row>
    <row r="724">
      <c r="A724" s="513"/>
      <c r="B724" s="506"/>
      <c r="C724" s="506"/>
      <c r="D724" s="506"/>
      <c r="E724" s="506"/>
      <c r="F724" s="506"/>
      <c r="G724" s="506"/>
      <c r="H724" s="506"/>
      <c r="I724" s="506"/>
    </row>
    <row r="725">
      <c r="A725" s="513"/>
      <c r="B725" s="506"/>
      <c r="C725" s="506"/>
      <c r="D725" s="506"/>
      <c r="E725" s="506"/>
      <c r="F725" s="506"/>
      <c r="G725" s="506"/>
      <c r="H725" s="506"/>
      <c r="I725" s="506"/>
    </row>
    <row r="726">
      <c r="A726" s="513"/>
      <c r="B726" s="506"/>
      <c r="C726" s="506"/>
      <c r="D726" s="506"/>
      <c r="E726" s="506"/>
      <c r="F726" s="506"/>
      <c r="G726" s="506"/>
      <c r="H726" s="506"/>
      <c r="I726" s="506"/>
    </row>
    <row r="727">
      <c r="A727" s="513"/>
      <c r="B727" s="506"/>
      <c r="C727" s="506"/>
      <c r="D727" s="506"/>
      <c r="E727" s="506"/>
      <c r="F727" s="506"/>
      <c r="G727" s="506"/>
      <c r="H727" s="506"/>
      <c r="I727" s="506"/>
    </row>
    <row r="728">
      <c r="A728" s="513"/>
      <c r="B728" s="506"/>
      <c r="C728" s="506"/>
      <c r="D728" s="506"/>
      <c r="E728" s="506"/>
      <c r="F728" s="506"/>
      <c r="G728" s="506"/>
      <c r="H728" s="506"/>
      <c r="I728" s="506"/>
    </row>
    <row r="729">
      <c r="A729" s="513"/>
      <c r="B729" s="506"/>
      <c r="C729" s="506"/>
      <c r="D729" s="506"/>
      <c r="E729" s="506"/>
      <c r="F729" s="506"/>
      <c r="G729" s="506"/>
      <c r="H729" s="506"/>
      <c r="I729" s="506"/>
    </row>
    <row r="730">
      <c r="A730" s="513"/>
      <c r="B730" s="506"/>
      <c r="C730" s="506"/>
      <c r="D730" s="506"/>
      <c r="E730" s="506"/>
      <c r="F730" s="506"/>
      <c r="G730" s="506"/>
      <c r="H730" s="506"/>
      <c r="I730" s="506"/>
    </row>
    <row r="731">
      <c r="A731" s="513"/>
      <c r="B731" s="506"/>
      <c r="C731" s="506"/>
      <c r="D731" s="506"/>
      <c r="E731" s="506"/>
      <c r="F731" s="506"/>
      <c r="G731" s="506"/>
      <c r="H731" s="506"/>
      <c r="I731" s="506"/>
    </row>
    <row r="732">
      <c r="A732" s="513"/>
      <c r="B732" s="506"/>
      <c r="C732" s="506"/>
      <c r="D732" s="506"/>
      <c r="E732" s="506"/>
      <c r="F732" s="506"/>
      <c r="G732" s="506"/>
      <c r="H732" s="506"/>
      <c r="I732" s="506"/>
    </row>
    <row r="733">
      <c r="A733" s="513"/>
      <c r="B733" s="506"/>
      <c r="C733" s="506"/>
      <c r="D733" s="506"/>
      <c r="E733" s="506"/>
      <c r="F733" s="506"/>
      <c r="G733" s="506"/>
      <c r="H733" s="506"/>
      <c r="I733" s="506"/>
    </row>
    <row r="734">
      <c r="A734" s="513"/>
      <c r="B734" s="506"/>
      <c r="C734" s="506"/>
      <c r="D734" s="506"/>
      <c r="E734" s="506"/>
      <c r="F734" s="506"/>
      <c r="G734" s="506"/>
      <c r="H734" s="506"/>
      <c r="I734" s="506"/>
    </row>
    <row r="735">
      <c r="A735" s="513"/>
      <c r="B735" s="506"/>
      <c r="C735" s="506"/>
      <c r="D735" s="506"/>
      <c r="E735" s="506"/>
      <c r="F735" s="506"/>
      <c r="G735" s="506"/>
      <c r="H735" s="506"/>
      <c r="I735" s="506"/>
    </row>
    <row r="736">
      <c r="A736" s="513"/>
      <c r="B736" s="506"/>
      <c r="C736" s="506"/>
      <c r="D736" s="506"/>
      <c r="E736" s="506"/>
      <c r="F736" s="506"/>
      <c r="G736" s="506"/>
      <c r="H736" s="506"/>
      <c r="I736" s="506"/>
    </row>
    <row r="737">
      <c r="A737" s="513"/>
      <c r="B737" s="506"/>
      <c r="C737" s="506"/>
      <c r="D737" s="506"/>
      <c r="E737" s="506"/>
      <c r="F737" s="506"/>
      <c r="G737" s="506"/>
      <c r="H737" s="506"/>
      <c r="I737" s="506"/>
    </row>
    <row r="738">
      <c r="A738" s="513"/>
      <c r="B738" s="506"/>
      <c r="C738" s="506"/>
      <c r="D738" s="506"/>
      <c r="E738" s="506"/>
      <c r="F738" s="506"/>
      <c r="G738" s="506"/>
      <c r="H738" s="506"/>
      <c r="I738" s="506"/>
    </row>
    <row r="739">
      <c r="A739" s="513"/>
      <c r="B739" s="506"/>
      <c r="C739" s="506"/>
      <c r="D739" s="506"/>
      <c r="E739" s="506"/>
      <c r="F739" s="506"/>
      <c r="G739" s="506"/>
      <c r="H739" s="506"/>
      <c r="I739" s="506"/>
    </row>
    <row r="740">
      <c r="A740" s="513"/>
      <c r="B740" s="506"/>
      <c r="C740" s="506"/>
      <c r="D740" s="506"/>
      <c r="E740" s="506"/>
      <c r="F740" s="506"/>
      <c r="G740" s="506"/>
      <c r="H740" s="506"/>
      <c r="I740" s="506"/>
    </row>
    <row r="741">
      <c r="A741" s="513"/>
      <c r="B741" s="506"/>
      <c r="C741" s="506"/>
      <c r="D741" s="506"/>
      <c r="E741" s="506"/>
      <c r="F741" s="506"/>
      <c r="G741" s="506"/>
      <c r="H741" s="506"/>
      <c r="I741" s="506"/>
    </row>
    <row r="742">
      <c r="A742" s="513"/>
      <c r="B742" s="506"/>
      <c r="C742" s="506"/>
      <c r="D742" s="506"/>
      <c r="E742" s="506"/>
      <c r="F742" s="506"/>
      <c r="G742" s="506"/>
      <c r="H742" s="506"/>
      <c r="I742" s="506"/>
    </row>
    <row r="743">
      <c r="A743" s="513"/>
      <c r="B743" s="506"/>
      <c r="C743" s="506"/>
      <c r="D743" s="506"/>
      <c r="E743" s="506"/>
      <c r="F743" s="506"/>
      <c r="G743" s="506"/>
      <c r="H743" s="506"/>
      <c r="I743" s="506"/>
    </row>
    <row r="744">
      <c r="A744" s="513"/>
      <c r="B744" s="506"/>
      <c r="C744" s="506"/>
      <c r="D744" s="506"/>
      <c r="E744" s="506"/>
      <c r="F744" s="506"/>
      <c r="G744" s="506"/>
      <c r="H744" s="506"/>
      <c r="I744" s="506"/>
    </row>
    <row r="745">
      <c r="A745" s="513"/>
      <c r="B745" s="506"/>
      <c r="C745" s="506"/>
      <c r="D745" s="506"/>
      <c r="E745" s="506"/>
      <c r="F745" s="506"/>
      <c r="G745" s="506"/>
      <c r="H745" s="506"/>
      <c r="I745" s="506"/>
    </row>
    <row r="746">
      <c r="A746" s="513"/>
      <c r="B746" s="506"/>
      <c r="C746" s="506"/>
      <c r="D746" s="506"/>
      <c r="E746" s="506"/>
      <c r="F746" s="506"/>
      <c r="G746" s="506"/>
      <c r="H746" s="506"/>
      <c r="I746" s="506"/>
    </row>
    <row r="747">
      <c r="A747" s="513"/>
      <c r="B747" s="506"/>
      <c r="C747" s="506"/>
      <c r="D747" s="506"/>
      <c r="E747" s="506"/>
      <c r="F747" s="506"/>
      <c r="G747" s="506"/>
      <c r="H747" s="506"/>
      <c r="I747" s="506"/>
    </row>
    <row r="748">
      <c r="A748" s="513"/>
      <c r="B748" s="506"/>
      <c r="C748" s="506"/>
      <c r="D748" s="506"/>
      <c r="E748" s="506"/>
      <c r="F748" s="506"/>
      <c r="G748" s="506"/>
      <c r="H748" s="506"/>
      <c r="I748" s="506"/>
    </row>
    <row r="749">
      <c r="A749" s="513"/>
      <c r="B749" s="506"/>
      <c r="C749" s="506"/>
      <c r="D749" s="506"/>
      <c r="E749" s="506"/>
      <c r="F749" s="506"/>
      <c r="G749" s="506"/>
      <c r="H749" s="506"/>
      <c r="I749" s="506"/>
    </row>
    <row r="750">
      <c r="A750" s="513"/>
      <c r="B750" s="506"/>
      <c r="C750" s="506"/>
      <c r="D750" s="506"/>
      <c r="E750" s="506"/>
      <c r="F750" s="506"/>
      <c r="G750" s="506"/>
      <c r="H750" s="506"/>
      <c r="I750" s="506"/>
    </row>
    <row r="751">
      <c r="A751" s="513"/>
      <c r="B751" s="506"/>
      <c r="C751" s="506"/>
      <c r="D751" s="506"/>
      <c r="E751" s="506"/>
      <c r="F751" s="506"/>
      <c r="G751" s="506"/>
      <c r="H751" s="506"/>
      <c r="I751" s="506"/>
    </row>
    <row r="752">
      <c r="A752" s="513"/>
      <c r="B752" s="506"/>
      <c r="C752" s="506"/>
      <c r="D752" s="506"/>
      <c r="E752" s="506"/>
      <c r="F752" s="506"/>
      <c r="G752" s="506"/>
      <c r="H752" s="506"/>
      <c r="I752" s="506"/>
    </row>
    <row r="753">
      <c r="A753" s="513"/>
      <c r="B753" s="506"/>
      <c r="C753" s="506"/>
      <c r="D753" s="506"/>
      <c r="E753" s="506"/>
      <c r="F753" s="506"/>
      <c r="G753" s="506"/>
      <c r="H753" s="506"/>
      <c r="I753" s="506"/>
    </row>
    <row r="754">
      <c r="A754" s="513"/>
      <c r="B754" s="506"/>
      <c r="C754" s="506"/>
      <c r="D754" s="506"/>
      <c r="E754" s="506"/>
      <c r="F754" s="506"/>
      <c r="G754" s="506"/>
      <c r="H754" s="506"/>
      <c r="I754" s="506"/>
    </row>
    <row r="755">
      <c r="A755" s="513"/>
      <c r="B755" s="506"/>
      <c r="C755" s="506"/>
      <c r="D755" s="506"/>
      <c r="E755" s="506"/>
      <c r="F755" s="506"/>
      <c r="G755" s="506"/>
      <c r="H755" s="506"/>
      <c r="I755" s="506"/>
    </row>
    <row r="756">
      <c r="A756" s="513"/>
      <c r="B756" s="506"/>
      <c r="C756" s="506"/>
      <c r="D756" s="506"/>
      <c r="E756" s="506"/>
      <c r="F756" s="506"/>
      <c r="G756" s="506"/>
      <c r="H756" s="506"/>
      <c r="I756" s="506"/>
    </row>
    <row r="757">
      <c r="A757" s="513"/>
      <c r="B757" s="506"/>
      <c r="C757" s="506"/>
      <c r="D757" s="506"/>
      <c r="E757" s="506"/>
      <c r="F757" s="506"/>
      <c r="G757" s="506"/>
      <c r="H757" s="506"/>
      <c r="I757" s="506"/>
    </row>
    <row r="758">
      <c r="A758" s="513"/>
      <c r="B758" s="506"/>
      <c r="C758" s="506"/>
      <c r="D758" s="506"/>
      <c r="E758" s="506"/>
      <c r="F758" s="506"/>
      <c r="G758" s="506"/>
      <c r="H758" s="506"/>
      <c r="I758" s="506"/>
    </row>
    <row r="759">
      <c r="A759" s="513"/>
      <c r="B759" s="506"/>
      <c r="C759" s="506"/>
      <c r="D759" s="506"/>
      <c r="E759" s="506"/>
      <c r="F759" s="506"/>
      <c r="G759" s="506"/>
      <c r="H759" s="506"/>
      <c r="I759" s="506"/>
    </row>
    <row r="760">
      <c r="A760" s="513"/>
      <c r="B760" s="506"/>
      <c r="C760" s="506"/>
      <c r="D760" s="506"/>
      <c r="E760" s="506"/>
      <c r="F760" s="506"/>
      <c r="G760" s="506"/>
      <c r="H760" s="506"/>
      <c r="I760" s="506"/>
    </row>
    <row r="761">
      <c r="A761" s="513"/>
      <c r="B761" s="506"/>
      <c r="C761" s="506"/>
      <c r="D761" s="506"/>
      <c r="E761" s="506"/>
      <c r="F761" s="506"/>
      <c r="G761" s="506"/>
      <c r="H761" s="506"/>
      <c r="I761" s="506"/>
    </row>
    <row r="762">
      <c r="A762" s="513"/>
      <c r="B762" s="506"/>
      <c r="C762" s="506"/>
      <c r="D762" s="506"/>
      <c r="E762" s="506"/>
      <c r="F762" s="506"/>
      <c r="G762" s="506"/>
      <c r="H762" s="506"/>
      <c r="I762" s="506"/>
    </row>
    <row r="763">
      <c r="A763" s="513"/>
      <c r="B763" s="506"/>
      <c r="C763" s="506"/>
      <c r="D763" s="506"/>
      <c r="E763" s="506"/>
      <c r="F763" s="506"/>
      <c r="G763" s="506"/>
      <c r="H763" s="506"/>
      <c r="I763" s="506"/>
    </row>
    <row r="764">
      <c r="A764" s="513"/>
      <c r="B764" s="506"/>
      <c r="C764" s="506"/>
      <c r="D764" s="506"/>
      <c r="E764" s="506"/>
      <c r="F764" s="506"/>
      <c r="G764" s="506"/>
      <c r="H764" s="506"/>
      <c r="I764" s="506"/>
    </row>
    <row r="765">
      <c r="A765" s="513"/>
      <c r="B765" s="506"/>
      <c r="C765" s="506"/>
      <c r="D765" s="506"/>
      <c r="E765" s="506"/>
      <c r="F765" s="506"/>
      <c r="G765" s="506"/>
      <c r="H765" s="506"/>
      <c r="I765" s="506"/>
    </row>
    <row r="766">
      <c r="A766" s="513"/>
      <c r="B766" s="506"/>
      <c r="C766" s="506"/>
      <c r="D766" s="506"/>
      <c r="E766" s="506"/>
      <c r="F766" s="506"/>
      <c r="G766" s="506"/>
      <c r="H766" s="506"/>
      <c r="I766" s="506"/>
    </row>
    <row r="767">
      <c r="A767" s="513"/>
      <c r="B767" s="506"/>
      <c r="C767" s="506"/>
      <c r="D767" s="506"/>
      <c r="E767" s="506"/>
      <c r="F767" s="506"/>
      <c r="G767" s="506"/>
      <c r="H767" s="506"/>
      <c r="I767" s="506"/>
    </row>
    <row r="768">
      <c r="A768" s="513"/>
      <c r="B768" s="506"/>
      <c r="C768" s="506"/>
      <c r="D768" s="506"/>
      <c r="E768" s="506"/>
      <c r="F768" s="506"/>
      <c r="G768" s="506"/>
      <c r="H768" s="506"/>
      <c r="I768" s="506"/>
    </row>
    <row r="769">
      <c r="A769" s="513"/>
      <c r="B769" s="506"/>
      <c r="C769" s="506"/>
      <c r="D769" s="506"/>
      <c r="E769" s="506"/>
      <c r="F769" s="506"/>
      <c r="G769" s="506"/>
      <c r="H769" s="506"/>
      <c r="I769" s="506"/>
    </row>
    <row r="770">
      <c r="A770" s="513"/>
      <c r="B770" s="506"/>
      <c r="C770" s="506"/>
      <c r="D770" s="506"/>
      <c r="E770" s="506"/>
      <c r="F770" s="506"/>
      <c r="G770" s="506"/>
      <c r="H770" s="506"/>
      <c r="I770" s="506"/>
    </row>
    <row r="771">
      <c r="A771" s="513"/>
      <c r="B771" s="506"/>
      <c r="C771" s="506"/>
      <c r="D771" s="506"/>
      <c r="E771" s="506"/>
      <c r="F771" s="506"/>
      <c r="G771" s="506"/>
      <c r="H771" s="506"/>
      <c r="I771" s="506"/>
    </row>
    <row r="772">
      <c r="A772" s="513"/>
      <c r="B772" s="506"/>
      <c r="C772" s="506"/>
      <c r="D772" s="506"/>
      <c r="E772" s="506"/>
      <c r="F772" s="506"/>
      <c r="G772" s="506"/>
      <c r="H772" s="506"/>
      <c r="I772" s="506"/>
    </row>
    <row r="773">
      <c r="A773" s="513"/>
      <c r="B773" s="506"/>
      <c r="C773" s="506"/>
      <c r="D773" s="506"/>
      <c r="E773" s="506"/>
      <c r="F773" s="506"/>
      <c r="G773" s="506"/>
      <c r="H773" s="506"/>
      <c r="I773" s="506"/>
    </row>
    <row r="774">
      <c r="A774" s="513"/>
      <c r="B774" s="506"/>
      <c r="C774" s="506"/>
      <c r="D774" s="506"/>
      <c r="E774" s="506"/>
      <c r="F774" s="506"/>
      <c r="G774" s="506"/>
      <c r="H774" s="506"/>
      <c r="I774" s="506"/>
    </row>
    <row r="775">
      <c r="A775" s="513"/>
      <c r="B775" s="506"/>
      <c r="C775" s="506"/>
      <c r="D775" s="506"/>
      <c r="E775" s="506"/>
      <c r="F775" s="506"/>
      <c r="G775" s="506"/>
      <c r="H775" s="506"/>
      <c r="I775" s="506"/>
    </row>
    <row r="776">
      <c r="A776" s="513"/>
      <c r="B776" s="506"/>
      <c r="C776" s="506"/>
      <c r="D776" s="506"/>
      <c r="E776" s="506"/>
      <c r="F776" s="506"/>
      <c r="G776" s="506"/>
      <c r="H776" s="506"/>
      <c r="I776" s="506"/>
    </row>
    <row r="777">
      <c r="A777" s="513"/>
      <c r="B777" s="506"/>
      <c r="C777" s="506"/>
      <c r="D777" s="506"/>
      <c r="E777" s="506"/>
      <c r="F777" s="506"/>
      <c r="G777" s="506"/>
      <c r="H777" s="506"/>
      <c r="I777" s="506"/>
    </row>
    <row r="778">
      <c r="A778" s="513"/>
      <c r="B778" s="506"/>
      <c r="C778" s="506"/>
      <c r="D778" s="506"/>
      <c r="E778" s="506"/>
      <c r="F778" s="506"/>
      <c r="G778" s="506"/>
      <c r="H778" s="506"/>
      <c r="I778" s="506"/>
    </row>
    <row r="779">
      <c r="A779" s="513"/>
      <c r="B779" s="506"/>
      <c r="C779" s="506"/>
      <c r="D779" s="506"/>
      <c r="E779" s="506"/>
      <c r="F779" s="506"/>
      <c r="G779" s="506"/>
      <c r="H779" s="506"/>
      <c r="I779" s="506"/>
    </row>
    <row r="780">
      <c r="A780" s="513"/>
      <c r="B780" s="506"/>
      <c r="C780" s="506"/>
      <c r="D780" s="506"/>
      <c r="E780" s="506"/>
      <c r="F780" s="506"/>
      <c r="G780" s="506"/>
      <c r="H780" s="506"/>
      <c r="I780" s="506"/>
    </row>
    <row r="781">
      <c r="A781" s="513"/>
      <c r="B781" s="506"/>
      <c r="C781" s="506"/>
      <c r="D781" s="506"/>
      <c r="E781" s="506"/>
      <c r="F781" s="506"/>
      <c r="G781" s="506"/>
      <c r="H781" s="506"/>
      <c r="I781" s="506"/>
    </row>
    <row r="782">
      <c r="A782" s="513"/>
      <c r="B782" s="506"/>
      <c r="C782" s="506"/>
      <c r="D782" s="506"/>
      <c r="E782" s="506"/>
      <c r="F782" s="506"/>
      <c r="G782" s="506"/>
      <c r="H782" s="506"/>
      <c r="I782" s="506"/>
    </row>
    <row r="783">
      <c r="A783" s="513"/>
      <c r="B783" s="506"/>
      <c r="C783" s="506"/>
      <c r="D783" s="506"/>
      <c r="E783" s="506"/>
      <c r="F783" s="506"/>
      <c r="G783" s="506"/>
      <c r="H783" s="506"/>
      <c r="I783" s="506"/>
    </row>
    <row r="784">
      <c r="A784" s="513"/>
      <c r="B784" s="506"/>
      <c r="C784" s="506"/>
      <c r="D784" s="506"/>
      <c r="E784" s="506"/>
      <c r="F784" s="506"/>
      <c r="G784" s="506"/>
      <c r="H784" s="506"/>
      <c r="I784" s="506"/>
    </row>
    <row r="785">
      <c r="A785" s="513"/>
      <c r="B785" s="506"/>
      <c r="C785" s="506"/>
      <c r="D785" s="506"/>
      <c r="E785" s="506"/>
      <c r="F785" s="506"/>
      <c r="G785" s="506"/>
      <c r="H785" s="506"/>
      <c r="I785" s="506"/>
    </row>
    <row r="786">
      <c r="A786" s="513"/>
      <c r="B786" s="506"/>
      <c r="C786" s="506"/>
      <c r="D786" s="506"/>
      <c r="E786" s="506"/>
      <c r="F786" s="506"/>
      <c r="G786" s="506"/>
      <c r="H786" s="506"/>
      <c r="I786" s="506"/>
    </row>
    <row r="787">
      <c r="A787" s="513"/>
      <c r="B787" s="506"/>
      <c r="C787" s="506"/>
      <c r="D787" s="506"/>
      <c r="E787" s="506"/>
      <c r="F787" s="506"/>
      <c r="G787" s="506"/>
      <c r="H787" s="506"/>
      <c r="I787" s="506"/>
    </row>
    <row r="788">
      <c r="A788" s="513"/>
      <c r="B788" s="506"/>
      <c r="C788" s="506"/>
      <c r="D788" s="506"/>
      <c r="E788" s="506"/>
      <c r="F788" s="506"/>
      <c r="G788" s="506"/>
      <c r="H788" s="506"/>
      <c r="I788" s="506"/>
    </row>
    <row r="789">
      <c r="A789" s="513"/>
      <c r="B789" s="506"/>
      <c r="C789" s="506"/>
      <c r="D789" s="506"/>
      <c r="E789" s="506"/>
      <c r="F789" s="506"/>
      <c r="G789" s="506"/>
      <c r="H789" s="506"/>
      <c r="I789" s="506"/>
    </row>
    <row r="790">
      <c r="A790" s="513"/>
      <c r="B790" s="506"/>
      <c r="C790" s="506"/>
      <c r="D790" s="506"/>
      <c r="E790" s="506"/>
      <c r="F790" s="506"/>
      <c r="G790" s="506"/>
      <c r="H790" s="506"/>
      <c r="I790" s="506"/>
    </row>
    <row r="791">
      <c r="A791" s="513"/>
      <c r="B791" s="506"/>
      <c r="C791" s="506"/>
      <c r="D791" s="506"/>
      <c r="E791" s="506"/>
      <c r="F791" s="506"/>
      <c r="G791" s="506"/>
      <c r="H791" s="506"/>
      <c r="I791" s="506"/>
    </row>
    <row r="792">
      <c r="A792" s="513"/>
      <c r="B792" s="506"/>
      <c r="C792" s="506"/>
      <c r="D792" s="506"/>
      <c r="E792" s="506"/>
      <c r="F792" s="506"/>
      <c r="G792" s="506"/>
      <c r="H792" s="506"/>
      <c r="I792" s="506"/>
    </row>
    <row r="793">
      <c r="A793" s="513"/>
      <c r="B793" s="506"/>
      <c r="C793" s="506"/>
      <c r="D793" s="506"/>
      <c r="E793" s="506"/>
      <c r="F793" s="506"/>
      <c r="G793" s="506"/>
      <c r="H793" s="506"/>
      <c r="I793" s="506"/>
    </row>
    <row r="794">
      <c r="A794" s="513"/>
      <c r="B794" s="506"/>
      <c r="C794" s="506"/>
      <c r="D794" s="506"/>
      <c r="E794" s="506"/>
      <c r="F794" s="506"/>
      <c r="G794" s="506"/>
      <c r="H794" s="506"/>
      <c r="I794" s="506"/>
    </row>
    <row r="795">
      <c r="A795" s="513"/>
      <c r="B795" s="506"/>
      <c r="C795" s="506"/>
      <c r="D795" s="506"/>
      <c r="E795" s="506"/>
      <c r="F795" s="506"/>
      <c r="G795" s="506"/>
      <c r="H795" s="506"/>
      <c r="I795" s="506"/>
    </row>
    <row r="796">
      <c r="A796" s="513"/>
      <c r="B796" s="506"/>
      <c r="C796" s="506"/>
      <c r="D796" s="506"/>
      <c r="E796" s="506"/>
      <c r="F796" s="506"/>
      <c r="G796" s="506"/>
      <c r="H796" s="506"/>
      <c r="I796" s="506"/>
    </row>
    <row r="797">
      <c r="A797" s="513"/>
      <c r="B797" s="506"/>
      <c r="C797" s="506"/>
      <c r="D797" s="506"/>
      <c r="E797" s="506"/>
      <c r="F797" s="506"/>
      <c r="G797" s="506"/>
      <c r="H797" s="506"/>
      <c r="I797" s="506"/>
    </row>
    <row r="798">
      <c r="A798" s="513"/>
      <c r="B798" s="506"/>
      <c r="C798" s="506"/>
      <c r="D798" s="506"/>
      <c r="E798" s="506"/>
      <c r="F798" s="506"/>
      <c r="G798" s="506"/>
      <c r="H798" s="506"/>
      <c r="I798" s="506"/>
    </row>
    <row r="799">
      <c r="A799" s="513"/>
      <c r="B799" s="506"/>
      <c r="C799" s="506"/>
      <c r="D799" s="506"/>
      <c r="E799" s="506"/>
      <c r="F799" s="506"/>
      <c r="G799" s="506"/>
      <c r="H799" s="506"/>
      <c r="I799" s="506"/>
    </row>
    <row r="800">
      <c r="A800" s="513"/>
      <c r="B800" s="506"/>
      <c r="C800" s="506"/>
      <c r="D800" s="506"/>
      <c r="E800" s="506"/>
      <c r="F800" s="506"/>
      <c r="G800" s="506"/>
      <c r="H800" s="506"/>
      <c r="I800" s="506"/>
    </row>
    <row r="801">
      <c r="A801" s="513"/>
      <c r="B801" s="506"/>
      <c r="C801" s="506"/>
      <c r="D801" s="506"/>
      <c r="E801" s="506"/>
      <c r="F801" s="506"/>
      <c r="G801" s="506"/>
      <c r="H801" s="506"/>
      <c r="I801" s="506"/>
    </row>
    <row r="802">
      <c r="A802" s="513"/>
      <c r="B802" s="506"/>
      <c r="C802" s="506"/>
      <c r="D802" s="506"/>
      <c r="E802" s="506"/>
      <c r="F802" s="506"/>
      <c r="G802" s="506"/>
      <c r="H802" s="506"/>
      <c r="I802" s="506"/>
    </row>
    <row r="803">
      <c r="A803" s="513"/>
      <c r="B803" s="506"/>
      <c r="C803" s="506"/>
      <c r="D803" s="506"/>
      <c r="E803" s="506"/>
      <c r="F803" s="506"/>
      <c r="G803" s="506"/>
      <c r="H803" s="506"/>
      <c r="I803" s="506"/>
    </row>
    <row r="804">
      <c r="A804" s="513"/>
      <c r="B804" s="506"/>
      <c r="C804" s="506"/>
      <c r="D804" s="506"/>
      <c r="E804" s="506"/>
      <c r="F804" s="506"/>
      <c r="G804" s="506"/>
      <c r="H804" s="506"/>
      <c r="I804" s="506"/>
    </row>
    <row r="805">
      <c r="A805" s="513"/>
      <c r="B805" s="506"/>
      <c r="C805" s="506"/>
      <c r="D805" s="506"/>
      <c r="E805" s="506"/>
      <c r="F805" s="506"/>
      <c r="G805" s="506"/>
      <c r="H805" s="506"/>
      <c r="I805" s="506"/>
    </row>
    <row r="806">
      <c r="A806" s="513"/>
      <c r="B806" s="506"/>
      <c r="C806" s="506"/>
      <c r="D806" s="506"/>
      <c r="E806" s="506"/>
      <c r="F806" s="506"/>
      <c r="G806" s="506"/>
      <c r="H806" s="506"/>
      <c r="I806" s="506"/>
    </row>
    <row r="807">
      <c r="A807" s="513"/>
      <c r="B807" s="506"/>
      <c r="C807" s="506"/>
      <c r="D807" s="506"/>
      <c r="E807" s="506"/>
      <c r="F807" s="506"/>
      <c r="G807" s="506"/>
      <c r="H807" s="506"/>
      <c r="I807" s="506"/>
    </row>
    <row r="808">
      <c r="A808" s="513"/>
      <c r="B808" s="506"/>
      <c r="C808" s="506"/>
      <c r="D808" s="506"/>
      <c r="E808" s="506"/>
      <c r="F808" s="506"/>
      <c r="G808" s="506"/>
      <c r="H808" s="506"/>
      <c r="I808" s="506"/>
    </row>
    <row r="809">
      <c r="A809" s="513"/>
      <c r="B809" s="506"/>
      <c r="C809" s="506"/>
      <c r="D809" s="506"/>
      <c r="E809" s="506"/>
      <c r="F809" s="506"/>
      <c r="G809" s="506"/>
      <c r="H809" s="506"/>
      <c r="I809" s="506"/>
    </row>
    <row r="810">
      <c r="A810" s="513"/>
      <c r="B810" s="506"/>
      <c r="C810" s="506"/>
      <c r="D810" s="506"/>
      <c r="E810" s="506"/>
      <c r="F810" s="506"/>
      <c r="G810" s="506"/>
      <c r="H810" s="506"/>
      <c r="I810" s="506"/>
    </row>
    <row r="811">
      <c r="A811" s="513"/>
      <c r="B811" s="506"/>
      <c r="C811" s="506"/>
      <c r="D811" s="506"/>
      <c r="E811" s="506"/>
      <c r="F811" s="506"/>
      <c r="G811" s="506"/>
      <c r="H811" s="506"/>
      <c r="I811" s="506"/>
    </row>
    <row r="812">
      <c r="A812" s="513"/>
      <c r="B812" s="506"/>
      <c r="C812" s="506"/>
      <c r="D812" s="506"/>
      <c r="E812" s="506"/>
      <c r="F812" s="506"/>
      <c r="G812" s="506"/>
      <c r="H812" s="506"/>
      <c r="I812" s="506"/>
    </row>
    <row r="813">
      <c r="A813" s="513"/>
      <c r="B813" s="506"/>
      <c r="C813" s="506"/>
      <c r="D813" s="506"/>
      <c r="E813" s="506"/>
      <c r="F813" s="506"/>
      <c r="G813" s="506"/>
      <c r="H813" s="506"/>
      <c r="I813" s="506"/>
    </row>
    <row r="814">
      <c r="A814" s="513"/>
      <c r="B814" s="506"/>
      <c r="C814" s="506"/>
      <c r="D814" s="506"/>
      <c r="E814" s="506"/>
      <c r="F814" s="506"/>
      <c r="G814" s="506"/>
      <c r="H814" s="506"/>
      <c r="I814" s="506"/>
    </row>
    <row r="815">
      <c r="A815" s="513"/>
      <c r="B815" s="506"/>
      <c r="C815" s="506"/>
      <c r="D815" s="506"/>
      <c r="E815" s="506"/>
      <c r="F815" s="506"/>
      <c r="G815" s="506"/>
      <c r="H815" s="506"/>
      <c r="I815" s="506"/>
    </row>
    <row r="816">
      <c r="A816" s="513"/>
      <c r="B816" s="506"/>
      <c r="C816" s="506"/>
      <c r="D816" s="506"/>
      <c r="E816" s="506"/>
      <c r="F816" s="506"/>
      <c r="G816" s="506"/>
      <c r="H816" s="506"/>
      <c r="I816" s="506"/>
    </row>
    <row r="817">
      <c r="A817" s="513"/>
      <c r="B817" s="506"/>
      <c r="C817" s="506"/>
      <c r="D817" s="506"/>
      <c r="E817" s="506"/>
      <c r="F817" s="506"/>
      <c r="G817" s="506"/>
      <c r="H817" s="506"/>
      <c r="I817" s="506"/>
    </row>
    <row r="818">
      <c r="A818" s="513"/>
      <c r="B818" s="506"/>
      <c r="C818" s="506"/>
      <c r="D818" s="506"/>
      <c r="E818" s="506"/>
      <c r="F818" s="506"/>
      <c r="G818" s="506"/>
      <c r="H818" s="506"/>
      <c r="I818" s="506"/>
    </row>
    <row r="819">
      <c r="A819" s="513"/>
      <c r="B819" s="506"/>
      <c r="C819" s="506"/>
      <c r="D819" s="506"/>
      <c r="E819" s="506"/>
      <c r="F819" s="506"/>
      <c r="G819" s="506"/>
      <c r="H819" s="506"/>
      <c r="I819" s="506"/>
    </row>
    <row r="820">
      <c r="A820" s="513"/>
      <c r="B820" s="506"/>
      <c r="C820" s="506"/>
      <c r="D820" s="506"/>
      <c r="E820" s="506"/>
      <c r="F820" s="506"/>
      <c r="G820" s="506"/>
      <c r="H820" s="506"/>
      <c r="I820" s="506"/>
    </row>
    <row r="821">
      <c r="A821" s="513"/>
      <c r="B821" s="506"/>
      <c r="C821" s="506"/>
      <c r="D821" s="506"/>
      <c r="E821" s="506"/>
      <c r="F821" s="506"/>
      <c r="G821" s="506"/>
      <c r="H821" s="506"/>
      <c r="I821" s="506"/>
    </row>
    <row r="822">
      <c r="A822" s="513"/>
      <c r="B822" s="506"/>
      <c r="C822" s="506"/>
      <c r="D822" s="506"/>
      <c r="E822" s="506"/>
      <c r="F822" s="506"/>
      <c r="G822" s="506"/>
      <c r="H822" s="506"/>
      <c r="I822" s="506"/>
    </row>
    <row r="823">
      <c r="A823" s="513"/>
      <c r="B823" s="506"/>
      <c r="C823" s="506"/>
      <c r="D823" s="506"/>
      <c r="E823" s="506"/>
      <c r="F823" s="506"/>
      <c r="G823" s="506"/>
      <c r="H823" s="506"/>
      <c r="I823" s="506"/>
    </row>
    <row r="824">
      <c r="A824" s="513"/>
      <c r="B824" s="506"/>
      <c r="C824" s="506"/>
      <c r="D824" s="506"/>
      <c r="E824" s="506"/>
      <c r="F824" s="506"/>
      <c r="G824" s="506"/>
      <c r="H824" s="506"/>
      <c r="I824" s="506"/>
    </row>
    <row r="825">
      <c r="A825" s="513"/>
      <c r="B825" s="506"/>
      <c r="C825" s="506"/>
      <c r="D825" s="506"/>
      <c r="E825" s="506"/>
      <c r="F825" s="506"/>
      <c r="G825" s="506"/>
      <c r="H825" s="506"/>
      <c r="I825" s="506"/>
    </row>
    <row r="826">
      <c r="A826" s="513"/>
      <c r="B826" s="506"/>
      <c r="C826" s="506"/>
      <c r="D826" s="506"/>
      <c r="E826" s="506"/>
      <c r="F826" s="506"/>
      <c r="G826" s="506"/>
      <c r="H826" s="506"/>
      <c r="I826" s="506"/>
    </row>
    <row r="827">
      <c r="A827" s="513"/>
      <c r="B827" s="506"/>
      <c r="C827" s="506"/>
      <c r="D827" s="506"/>
      <c r="E827" s="506"/>
      <c r="F827" s="506"/>
      <c r="G827" s="506"/>
      <c r="H827" s="506"/>
      <c r="I827" s="506"/>
    </row>
    <row r="828">
      <c r="A828" s="513"/>
      <c r="B828" s="506"/>
      <c r="C828" s="506"/>
      <c r="D828" s="506"/>
      <c r="E828" s="506"/>
      <c r="F828" s="506"/>
      <c r="G828" s="506"/>
      <c r="H828" s="506"/>
      <c r="I828" s="506"/>
    </row>
    <row r="829">
      <c r="A829" s="513"/>
      <c r="B829" s="506"/>
      <c r="C829" s="506"/>
      <c r="D829" s="506"/>
      <c r="E829" s="506"/>
      <c r="F829" s="506"/>
      <c r="G829" s="506"/>
      <c r="H829" s="506"/>
      <c r="I829" s="506"/>
    </row>
    <row r="830">
      <c r="A830" s="513"/>
      <c r="B830" s="506"/>
      <c r="C830" s="506"/>
      <c r="D830" s="506"/>
      <c r="E830" s="506"/>
      <c r="F830" s="506"/>
      <c r="G830" s="506"/>
      <c r="H830" s="506"/>
      <c r="I830" s="506"/>
    </row>
    <row r="831">
      <c r="A831" s="513"/>
      <c r="B831" s="506"/>
      <c r="C831" s="506"/>
      <c r="D831" s="506"/>
      <c r="E831" s="506"/>
      <c r="F831" s="506"/>
      <c r="G831" s="506"/>
      <c r="H831" s="506"/>
      <c r="I831" s="506"/>
    </row>
    <row r="832">
      <c r="A832" s="513"/>
      <c r="B832" s="506"/>
      <c r="C832" s="506"/>
      <c r="D832" s="506"/>
      <c r="E832" s="506"/>
      <c r="F832" s="506"/>
      <c r="G832" s="506"/>
      <c r="H832" s="506"/>
      <c r="I832" s="506"/>
    </row>
    <row r="833">
      <c r="A833" s="513"/>
      <c r="B833" s="506"/>
      <c r="C833" s="506"/>
      <c r="D833" s="506"/>
      <c r="E833" s="506"/>
      <c r="F833" s="506"/>
      <c r="G833" s="506"/>
      <c r="H833" s="506"/>
      <c r="I833" s="506"/>
    </row>
    <row r="834">
      <c r="A834" s="513"/>
      <c r="B834" s="506"/>
      <c r="C834" s="506"/>
      <c r="D834" s="506"/>
      <c r="E834" s="506"/>
      <c r="F834" s="506"/>
      <c r="G834" s="506"/>
      <c r="H834" s="506"/>
      <c r="I834" s="506"/>
    </row>
    <row r="835">
      <c r="A835" s="513"/>
      <c r="B835" s="506"/>
      <c r="C835" s="506"/>
      <c r="D835" s="506"/>
      <c r="E835" s="506"/>
      <c r="F835" s="506"/>
      <c r="G835" s="506"/>
      <c r="H835" s="506"/>
      <c r="I835" s="506"/>
    </row>
    <row r="836">
      <c r="A836" s="513"/>
      <c r="B836" s="506"/>
      <c r="C836" s="506"/>
      <c r="D836" s="506"/>
      <c r="E836" s="506"/>
      <c r="F836" s="506"/>
      <c r="G836" s="506"/>
      <c r="H836" s="506"/>
      <c r="I836" s="506"/>
    </row>
    <row r="837">
      <c r="A837" s="513"/>
      <c r="B837" s="506"/>
      <c r="C837" s="506"/>
      <c r="D837" s="506"/>
      <c r="E837" s="506"/>
      <c r="F837" s="506"/>
      <c r="G837" s="506"/>
      <c r="H837" s="506"/>
      <c r="I837" s="506"/>
    </row>
    <row r="838">
      <c r="A838" s="513"/>
      <c r="B838" s="506"/>
      <c r="C838" s="506"/>
      <c r="D838" s="506"/>
      <c r="E838" s="506"/>
      <c r="F838" s="506"/>
      <c r="G838" s="506"/>
      <c r="H838" s="506"/>
      <c r="I838" s="506"/>
    </row>
    <row r="839">
      <c r="A839" s="513"/>
      <c r="B839" s="506"/>
      <c r="C839" s="506"/>
      <c r="D839" s="506"/>
      <c r="E839" s="506"/>
      <c r="F839" s="506"/>
      <c r="G839" s="506"/>
      <c r="H839" s="506"/>
      <c r="I839" s="506"/>
    </row>
    <row r="840">
      <c r="A840" s="513"/>
      <c r="B840" s="506"/>
      <c r="C840" s="506"/>
      <c r="D840" s="506"/>
      <c r="E840" s="506"/>
      <c r="F840" s="506"/>
      <c r="G840" s="506"/>
      <c r="H840" s="506"/>
      <c r="I840" s="506"/>
    </row>
    <row r="841">
      <c r="A841" s="513"/>
      <c r="B841" s="506"/>
      <c r="C841" s="506"/>
      <c r="D841" s="506"/>
      <c r="E841" s="506"/>
      <c r="F841" s="506"/>
      <c r="G841" s="506"/>
      <c r="H841" s="506"/>
      <c r="I841" s="506"/>
    </row>
    <row r="842">
      <c r="A842" s="513"/>
      <c r="B842" s="506"/>
      <c r="C842" s="506"/>
      <c r="D842" s="506"/>
      <c r="E842" s="506"/>
      <c r="F842" s="506"/>
      <c r="G842" s="506"/>
      <c r="H842" s="506"/>
      <c r="I842" s="506"/>
    </row>
    <row r="843">
      <c r="A843" s="513"/>
      <c r="B843" s="506"/>
      <c r="C843" s="506"/>
      <c r="D843" s="506"/>
      <c r="E843" s="506"/>
      <c r="F843" s="506"/>
      <c r="G843" s="506"/>
      <c r="H843" s="506"/>
      <c r="I843" s="506"/>
    </row>
    <row r="844">
      <c r="A844" s="513"/>
      <c r="B844" s="506"/>
      <c r="C844" s="506"/>
      <c r="D844" s="506"/>
      <c r="E844" s="506"/>
      <c r="F844" s="506"/>
      <c r="G844" s="506"/>
      <c r="H844" s="506"/>
      <c r="I844" s="506"/>
    </row>
    <row r="845">
      <c r="A845" s="513"/>
      <c r="B845" s="506"/>
      <c r="C845" s="506"/>
      <c r="D845" s="506"/>
      <c r="E845" s="506"/>
      <c r="F845" s="506"/>
      <c r="G845" s="506"/>
      <c r="H845" s="506"/>
      <c r="I845" s="506"/>
    </row>
    <row r="846">
      <c r="A846" s="513"/>
      <c r="B846" s="506"/>
      <c r="C846" s="506"/>
      <c r="D846" s="506"/>
      <c r="E846" s="506"/>
      <c r="F846" s="506"/>
      <c r="G846" s="506"/>
      <c r="H846" s="506"/>
      <c r="I846" s="506"/>
    </row>
    <row r="847">
      <c r="A847" s="513"/>
      <c r="B847" s="506"/>
      <c r="C847" s="506"/>
      <c r="D847" s="506"/>
      <c r="E847" s="506"/>
      <c r="F847" s="506"/>
      <c r="G847" s="506"/>
      <c r="H847" s="506"/>
      <c r="I847" s="506"/>
    </row>
    <row r="848">
      <c r="A848" s="513"/>
      <c r="B848" s="506"/>
      <c r="C848" s="506"/>
      <c r="D848" s="506"/>
      <c r="E848" s="506"/>
      <c r="F848" s="506"/>
      <c r="G848" s="506"/>
      <c r="H848" s="506"/>
      <c r="I848" s="506"/>
    </row>
    <row r="849">
      <c r="A849" s="513"/>
      <c r="B849" s="506"/>
      <c r="C849" s="506"/>
      <c r="D849" s="506"/>
      <c r="E849" s="506"/>
      <c r="F849" s="506"/>
      <c r="G849" s="506"/>
      <c r="H849" s="506"/>
      <c r="I849" s="506"/>
    </row>
    <row r="850">
      <c r="A850" s="513"/>
      <c r="B850" s="506"/>
      <c r="C850" s="506"/>
      <c r="D850" s="506"/>
      <c r="E850" s="506"/>
      <c r="F850" s="506"/>
      <c r="G850" s="506"/>
      <c r="H850" s="506"/>
      <c r="I850" s="506"/>
    </row>
    <row r="851">
      <c r="A851" s="513"/>
      <c r="B851" s="506"/>
      <c r="C851" s="506"/>
      <c r="D851" s="506"/>
      <c r="E851" s="506"/>
      <c r="F851" s="506"/>
      <c r="G851" s="506"/>
      <c r="H851" s="506"/>
      <c r="I851" s="506"/>
    </row>
    <row r="852">
      <c r="A852" s="513"/>
      <c r="B852" s="506"/>
      <c r="C852" s="506"/>
      <c r="D852" s="506"/>
      <c r="E852" s="506"/>
      <c r="F852" s="506"/>
      <c r="G852" s="506"/>
      <c r="H852" s="506"/>
      <c r="I852" s="506"/>
    </row>
    <row r="853">
      <c r="A853" s="513"/>
      <c r="B853" s="506"/>
      <c r="C853" s="506"/>
      <c r="D853" s="506"/>
      <c r="E853" s="506"/>
      <c r="F853" s="506"/>
      <c r="G853" s="506"/>
      <c r="H853" s="506"/>
      <c r="I853" s="506"/>
    </row>
    <row r="854">
      <c r="A854" s="513"/>
      <c r="B854" s="506"/>
      <c r="C854" s="506"/>
      <c r="D854" s="506"/>
      <c r="E854" s="506"/>
      <c r="F854" s="506"/>
      <c r="G854" s="506"/>
      <c r="H854" s="506"/>
      <c r="I854" s="506"/>
    </row>
    <row r="855">
      <c r="A855" s="513"/>
      <c r="B855" s="506"/>
      <c r="C855" s="506"/>
      <c r="D855" s="506"/>
      <c r="E855" s="506"/>
      <c r="F855" s="506"/>
      <c r="G855" s="506"/>
      <c r="H855" s="506"/>
      <c r="I855" s="506"/>
    </row>
    <row r="856">
      <c r="A856" s="513"/>
      <c r="B856" s="506"/>
      <c r="C856" s="506"/>
      <c r="D856" s="506"/>
      <c r="E856" s="506"/>
      <c r="F856" s="506"/>
      <c r="G856" s="506"/>
      <c r="H856" s="506"/>
      <c r="I856" s="506"/>
    </row>
    <row r="857">
      <c r="A857" s="513"/>
      <c r="B857" s="506"/>
      <c r="C857" s="506"/>
      <c r="D857" s="506"/>
      <c r="E857" s="506"/>
      <c r="F857" s="506"/>
      <c r="G857" s="506"/>
      <c r="H857" s="506"/>
      <c r="I857" s="506"/>
    </row>
    <row r="858">
      <c r="A858" s="513"/>
      <c r="B858" s="506"/>
      <c r="C858" s="506"/>
      <c r="D858" s="506"/>
      <c r="E858" s="506"/>
      <c r="F858" s="506"/>
      <c r="G858" s="506"/>
      <c r="H858" s="506"/>
      <c r="I858" s="506"/>
    </row>
    <row r="859">
      <c r="A859" s="513"/>
      <c r="B859" s="506"/>
      <c r="C859" s="506"/>
      <c r="D859" s="506"/>
      <c r="E859" s="506"/>
      <c r="F859" s="506"/>
      <c r="G859" s="506"/>
      <c r="H859" s="506"/>
      <c r="I859" s="506"/>
    </row>
    <row r="860">
      <c r="A860" s="513"/>
      <c r="B860" s="506"/>
      <c r="C860" s="506"/>
      <c r="D860" s="506"/>
      <c r="E860" s="506"/>
      <c r="F860" s="506"/>
      <c r="G860" s="506"/>
      <c r="H860" s="506"/>
      <c r="I860" s="506"/>
    </row>
    <row r="861">
      <c r="A861" s="513"/>
      <c r="B861" s="506"/>
      <c r="C861" s="506"/>
      <c r="D861" s="506"/>
      <c r="E861" s="506"/>
      <c r="F861" s="506"/>
      <c r="G861" s="506"/>
      <c r="H861" s="506"/>
      <c r="I861" s="506"/>
    </row>
    <row r="862">
      <c r="A862" s="513"/>
      <c r="B862" s="506"/>
      <c r="C862" s="506"/>
      <c r="D862" s="506"/>
      <c r="E862" s="506"/>
      <c r="F862" s="506"/>
      <c r="G862" s="506"/>
      <c r="H862" s="506"/>
      <c r="I862" s="506"/>
    </row>
    <row r="863">
      <c r="A863" s="513"/>
      <c r="B863" s="506"/>
      <c r="C863" s="506"/>
      <c r="D863" s="506"/>
      <c r="E863" s="506"/>
      <c r="F863" s="506"/>
      <c r="G863" s="506"/>
      <c r="H863" s="506"/>
      <c r="I863" s="506"/>
    </row>
    <row r="864">
      <c r="A864" s="513"/>
      <c r="B864" s="506"/>
      <c r="C864" s="506"/>
      <c r="D864" s="506"/>
      <c r="E864" s="506"/>
      <c r="F864" s="506"/>
      <c r="G864" s="506"/>
      <c r="H864" s="506"/>
      <c r="I864" s="506"/>
    </row>
    <row r="865">
      <c r="A865" s="513"/>
      <c r="B865" s="506"/>
      <c r="C865" s="506"/>
      <c r="D865" s="506"/>
      <c r="E865" s="506"/>
      <c r="F865" s="506"/>
      <c r="G865" s="506"/>
      <c r="H865" s="506"/>
      <c r="I865" s="506"/>
    </row>
    <row r="866">
      <c r="A866" s="513"/>
      <c r="B866" s="506"/>
      <c r="C866" s="506"/>
      <c r="D866" s="506"/>
      <c r="E866" s="506"/>
      <c r="F866" s="506"/>
      <c r="G866" s="506"/>
      <c r="H866" s="506"/>
      <c r="I866" s="506"/>
    </row>
    <row r="867">
      <c r="A867" s="513"/>
      <c r="B867" s="506"/>
      <c r="C867" s="506"/>
      <c r="D867" s="506"/>
      <c r="E867" s="506"/>
      <c r="F867" s="506"/>
      <c r="G867" s="506"/>
      <c r="H867" s="506"/>
      <c r="I867" s="506"/>
    </row>
    <row r="868">
      <c r="A868" s="513"/>
      <c r="B868" s="506"/>
      <c r="C868" s="506"/>
      <c r="D868" s="506"/>
      <c r="E868" s="506"/>
      <c r="F868" s="506"/>
      <c r="G868" s="506"/>
      <c r="H868" s="506"/>
      <c r="I868" s="506"/>
    </row>
    <row r="869">
      <c r="A869" s="513"/>
      <c r="B869" s="506"/>
      <c r="C869" s="506"/>
      <c r="D869" s="506"/>
      <c r="E869" s="506"/>
      <c r="F869" s="506"/>
      <c r="G869" s="506"/>
      <c r="H869" s="506"/>
      <c r="I869" s="506"/>
    </row>
    <row r="870">
      <c r="A870" s="513"/>
      <c r="B870" s="506"/>
      <c r="C870" s="506"/>
      <c r="D870" s="506"/>
      <c r="E870" s="506"/>
      <c r="F870" s="506"/>
      <c r="G870" s="506"/>
      <c r="H870" s="506"/>
      <c r="I870" s="506"/>
    </row>
    <row r="871">
      <c r="A871" s="513"/>
      <c r="B871" s="506"/>
      <c r="C871" s="506"/>
      <c r="D871" s="506"/>
      <c r="E871" s="506"/>
      <c r="F871" s="506"/>
      <c r="G871" s="506"/>
      <c r="H871" s="506"/>
      <c r="I871" s="506"/>
    </row>
    <row r="872">
      <c r="A872" s="513"/>
      <c r="B872" s="506"/>
      <c r="C872" s="506"/>
      <c r="D872" s="506"/>
      <c r="E872" s="506"/>
      <c r="F872" s="506"/>
      <c r="G872" s="506"/>
      <c r="H872" s="506"/>
      <c r="I872" s="506"/>
    </row>
    <row r="873">
      <c r="A873" s="513"/>
      <c r="B873" s="506"/>
      <c r="C873" s="506"/>
      <c r="D873" s="506"/>
      <c r="E873" s="506"/>
      <c r="F873" s="506"/>
      <c r="G873" s="506"/>
      <c r="H873" s="506"/>
      <c r="I873" s="506"/>
    </row>
    <row r="874">
      <c r="A874" s="513"/>
      <c r="B874" s="506"/>
      <c r="C874" s="506"/>
      <c r="D874" s="506"/>
      <c r="E874" s="506"/>
      <c r="F874" s="506"/>
      <c r="G874" s="506"/>
      <c r="H874" s="506"/>
      <c r="I874" s="506"/>
    </row>
    <row r="875">
      <c r="A875" s="513"/>
      <c r="B875" s="506"/>
      <c r="C875" s="506"/>
      <c r="D875" s="506"/>
      <c r="E875" s="506"/>
      <c r="F875" s="506"/>
      <c r="G875" s="506"/>
      <c r="H875" s="506"/>
      <c r="I875" s="506"/>
    </row>
    <row r="876">
      <c r="A876" s="513"/>
      <c r="B876" s="506"/>
      <c r="C876" s="506"/>
      <c r="D876" s="506"/>
      <c r="E876" s="506"/>
      <c r="F876" s="506"/>
      <c r="G876" s="506"/>
      <c r="H876" s="506"/>
      <c r="I876" s="506"/>
    </row>
    <row r="877">
      <c r="A877" s="513"/>
      <c r="B877" s="506"/>
      <c r="C877" s="506"/>
      <c r="D877" s="506"/>
      <c r="E877" s="506"/>
      <c r="F877" s="506"/>
      <c r="G877" s="506"/>
      <c r="H877" s="506"/>
      <c r="I877" s="506"/>
    </row>
    <row r="878">
      <c r="A878" s="513"/>
      <c r="B878" s="506"/>
      <c r="C878" s="506"/>
      <c r="D878" s="506"/>
      <c r="E878" s="506"/>
      <c r="F878" s="506"/>
      <c r="G878" s="506"/>
      <c r="H878" s="506"/>
      <c r="I878" s="506"/>
    </row>
    <row r="879">
      <c r="A879" s="513"/>
      <c r="B879" s="506"/>
      <c r="C879" s="506"/>
      <c r="D879" s="506"/>
      <c r="E879" s="506"/>
      <c r="F879" s="506"/>
      <c r="G879" s="506"/>
      <c r="H879" s="506"/>
      <c r="I879" s="506"/>
    </row>
    <row r="880">
      <c r="A880" s="513"/>
      <c r="B880" s="506"/>
      <c r="C880" s="506"/>
      <c r="D880" s="506"/>
      <c r="E880" s="506"/>
      <c r="F880" s="506"/>
      <c r="G880" s="506"/>
      <c r="H880" s="506"/>
      <c r="I880" s="506"/>
    </row>
    <row r="881">
      <c r="A881" s="513"/>
      <c r="B881" s="506"/>
      <c r="C881" s="506"/>
      <c r="D881" s="506"/>
      <c r="E881" s="506"/>
      <c r="F881" s="506"/>
      <c r="G881" s="506"/>
      <c r="H881" s="506"/>
      <c r="I881" s="506"/>
    </row>
    <row r="882">
      <c r="A882" s="513"/>
      <c r="B882" s="506"/>
      <c r="C882" s="506"/>
      <c r="D882" s="506"/>
      <c r="E882" s="506"/>
      <c r="F882" s="506"/>
      <c r="G882" s="506"/>
      <c r="H882" s="506"/>
      <c r="I882" s="506"/>
    </row>
    <row r="883">
      <c r="A883" s="513"/>
      <c r="B883" s="506"/>
      <c r="C883" s="506"/>
      <c r="D883" s="506"/>
      <c r="E883" s="506"/>
      <c r="F883" s="506"/>
      <c r="G883" s="506"/>
      <c r="H883" s="506"/>
      <c r="I883" s="506"/>
    </row>
    <row r="884">
      <c r="A884" s="513"/>
      <c r="B884" s="506"/>
      <c r="C884" s="506"/>
      <c r="D884" s="506"/>
      <c r="E884" s="506"/>
      <c r="F884" s="506"/>
      <c r="G884" s="506"/>
      <c r="H884" s="506"/>
      <c r="I884" s="506"/>
    </row>
    <row r="885">
      <c r="A885" s="513"/>
      <c r="B885" s="506"/>
      <c r="C885" s="506"/>
      <c r="D885" s="506"/>
      <c r="E885" s="506"/>
      <c r="F885" s="506"/>
      <c r="G885" s="506"/>
      <c r="H885" s="506"/>
      <c r="I885" s="506"/>
    </row>
    <row r="886">
      <c r="A886" s="513"/>
      <c r="B886" s="506"/>
      <c r="C886" s="506"/>
      <c r="D886" s="506"/>
      <c r="E886" s="506"/>
      <c r="F886" s="506"/>
      <c r="G886" s="506"/>
      <c r="H886" s="506"/>
      <c r="I886" s="506"/>
    </row>
    <row r="887">
      <c r="A887" s="513"/>
      <c r="B887" s="506"/>
      <c r="C887" s="506"/>
      <c r="D887" s="506"/>
      <c r="E887" s="506"/>
      <c r="F887" s="506"/>
      <c r="G887" s="506"/>
      <c r="H887" s="506"/>
      <c r="I887" s="506"/>
    </row>
    <row r="888">
      <c r="A888" s="513"/>
      <c r="B888" s="506"/>
      <c r="C888" s="506"/>
      <c r="D888" s="506"/>
      <c r="E888" s="506"/>
      <c r="F888" s="506"/>
      <c r="G888" s="506"/>
      <c r="H888" s="506"/>
      <c r="I888" s="506"/>
    </row>
    <row r="889">
      <c r="A889" s="513"/>
      <c r="B889" s="506"/>
      <c r="C889" s="506"/>
      <c r="D889" s="506"/>
      <c r="E889" s="506"/>
      <c r="F889" s="506"/>
      <c r="G889" s="506"/>
      <c r="H889" s="506"/>
      <c r="I889" s="506"/>
    </row>
    <row r="890">
      <c r="A890" s="513"/>
      <c r="B890" s="506"/>
      <c r="C890" s="506"/>
      <c r="D890" s="506"/>
      <c r="E890" s="506"/>
      <c r="F890" s="506"/>
      <c r="G890" s="506"/>
      <c r="H890" s="506"/>
      <c r="I890" s="506"/>
    </row>
    <row r="891">
      <c r="A891" s="513"/>
      <c r="B891" s="506"/>
      <c r="C891" s="506"/>
      <c r="D891" s="506"/>
      <c r="E891" s="506"/>
      <c r="F891" s="506"/>
      <c r="G891" s="506"/>
      <c r="H891" s="506"/>
      <c r="I891" s="506"/>
    </row>
    <row r="892">
      <c r="A892" s="513"/>
      <c r="B892" s="506"/>
      <c r="C892" s="506"/>
      <c r="D892" s="506"/>
      <c r="E892" s="506"/>
      <c r="F892" s="506"/>
      <c r="G892" s="506"/>
      <c r="H892" s="506"/>
      <c r="I892" s="506"/>
    </row>
    <row r="893">
      <c r="A893" s="513"/>
      <c r="B893" s="506"/>
      <c r="C893" s="506"/>
      <c r="D893" s="506"/>
      <c r="E893" s="506"/>
      <c r="F893" s="506"/>
      <c r="G893" s="506"/>
      <c r="H893" s="506"/>
      <c r="I893" s="506"/>
    </row>
    <row r="894">
      <c r="A894" s="513"/>
      <c r="B894" s="506"/>
      <c r="C894" s="506"/>
      <c r="D894" s="506"/>
      <c r="E894" s="506"/>
      <c r="F894" s="506"/>
      <c r="G894" s="506"/>
      <c r="H894" s="506"/>
      <c r="I894" s="506"/>
    </row>
    <row r="895">
      <c r="A895" s="513"/>
      <c r="B895" s="506"/>
      <c r="C895" s="506"/>
      <c r="D895" s="506"/>
      <c r="E895" s="506"/>
      <c r="F895" s="506"/>
      <c r="G895" s="506"/>
      <c r="H895" s="506"/>
      <c r="I895" s="506"/>
    </row>
    <row r="896">
      <c r="A896" s="513"/>
      <c r="B896" s="506"/>
      <c r="C896" s="506"/>
      <c r="D896" s="506"/>
      <c r="E896" s="506"/>
      <c r="F896" s="506"/>
      <c r="G896" s="506"/>
      <c r="H896" s="506"/>
      <c r="I896" s="506"/>
    </row>
    <row r="897">
      <c r="A897" s="513"/>
      <c r="B897" s="506"/>
      <c r="C897" s="506"/>
      <c r="D897" s="506"/>
      <c r="E897" s="506"/>
      <c r="F897" s="506"/>
      <c r="G897" s="506"/>
      <c r="H897" s="506"/>
      <c r="I897" s="506"/>
    </row>
    <row r="898">
      <c r="A898" s="513"/>
      <c r="B898" s="506"/>
      <c r="C898" s="506"/>
      <c r="D898" s="506"/>
      <c r="E898" s="506"/>
      <c r="F898" s="506"/>
      <c r="G898" s="506"/>
      <c r="H898" s="506"/>
      <c r="I898" s="506"/>
    </row>
    <row r="899">
      <c r="A899" s="513"/>
      <c r="B899" s="506"/>
      <c r="C899" s="506"/>
      <c r="D899" s="506"/>
      <c r="E899" s="506"/>
      <c r="F899" s="506"/>
      <c r="G899" s="506"/>
      <c r="H899" s="506"/>
      <c r="I899" s="506"/>
    </row>
    <row r="900">
      <c r="A900" s="513"/>
      <c r="B900" s="506"/>
      <c r="C900" s="506"/>
      <c r="D900" s="506"/>
      <c r="E900" s="506"/>
      <c r="F900" s="506"/>
      <c r="G900" s="506"/>
      <c r="H900" s="506"/>
      <c r="I900" s="506"/>
    </row>
    <row r="901">
      <c r="A901" s="513"/>
      <c r="B901" s="506"/>
      <c r="C901" s="506"/>
      <c r="D901" s="506"/>
      <c r="E901" s="506"/>
      <c r="F901" s="506"/>
      <c r="G901" s="506"/>
      <c r="H901" s="506"/>
      <c r="I901" s="506"/>
    </row>
    <row r="902">
      <c r="A902" s="513"/>
      <c r="B902" s="506"/>
      <c r="C902" s="506"/>
      <c r="D902" s="506"/>
      <c r="E902" s="506"/>
      <c r="F902" s="506"/>
      <c r="G902" s="506"/>
      <c r="H902" s="506"/>
      <c r="I902" s="506"/>
    </row>
    <row r="903">
      <c r="A903" s="513"/>
      <c r="B903" s="506"/>
      <c r="C903" s="506"/>
      <c r="D903" s="506"/>
      <c r="E903" s="506"/>
      <c r="F903" s="506"/>
      <c r="G903" s="506"/>
      <c r="H903" s="506"/>
      <c r="I903" s="506"/>
    </row>
    <row r="904">
      <c r="A904" s="513"/>
      <c r="B904" s="506"/>
      <c r="C904" s="506"/>
      <c r="D904" s="506"/>
      <c r="E904" s="506"/>
      <c r="F904" s="506"/>
      <c r="G904" s="506"/>
      <c r="H904" s="506"/>
      <c r="I904" s="506"/>
    </row>
    <row r="905">
      <c r="A905" s="513"/>
      <c r="B905" s="506"/>
      <c r="C905" s="506"/>
      <c r="D905" s="506"/>
      <c r="E905" s="506"/>
      <c r="F905" s="506"/>
      <c r="G905" s="506"/>
      <c r="H905" s="506"/>
      <c r="I905" s="506"/>
    </row>
    <row r="906">
      <c r="A906" s="513"/>
      <c r="B906" s="506"/>
      <c r="C906" s="506"/>
      <c r="D906" s="506"/>
      <c r="E906" s="506"/>
      <c r="F906" s="506"/>
      <c r="G906" s="506"/>
      <c r="H906" s="506"/>
      <c r="I906" s="506"/>
    </row>
    <row r="907">
      <c r="A907" s="513"/>
      <c r="B907" s="506"/>
      <c r="C907" s="506"/>
      <c r="D907" s="506"/>
      <c r="E907" s="506"/>
      <c r="F907" s="506"/>
      <c r="G907" s="506"/>
      <c r="H907" s="506"/>
      <c r="I907" s="506"/>
    </row>
    <row r="908">
      <c r="A908" s="513"/>
      <c r="B908" s="506"/>
      <c r="C908" s="506"/>
      <c r="D908" s="506"/>
      <c r="E908" s="506"/>
      <c r="F908" s="506"/>
      <c r="G908" s="506"/>
      <c r="H908" s="506"/>
      <c r="I908" s="506"/>
    </row>
    <row r="909">
      <c r="A909" s="513"/>
      <c r="B909" s="506"/>
      <c r="C909" s="506"/>
      <c r="D909" s="506"/>
      <c r="E909" s="506"/>
      <c r="F909" s="506"/>
      <c r="G909" s="506"/>
      <c r="H909" s="506"/>
      <c r="I909" s="506"/>
    </row>
    <row r="910">
      <c r="A910" s="513"/>
      <c r="B910" s="506"/>
      <c r="C910" s="506"/>
      <c r="D910" s="506"/>
      <c r="E910" s="506"/>
      <c r="F910" s="506"/>
      <c r="G910" s="506"/>
      <c r="H910" s="506"/>
      <c r="I910" s="506"/>
    </row>
    <row r="911">
      <c r="A911" s="513"/>
      <c r="B911" s="506"/>
      <c r="C911" s="506"/>
      <c r="D911" s="506"/>
      <c r="E911" s="506"/>
      <c r="F911" s="506"/>
      <c r="G911" s="506"/>
      <c r="H911" s="506"/>
      <c r="I911" s="506"/>
    </row>
    <row r="912">
      <c r="A912" s="513"/>
      <c r="B912" s="506"/>
      <c r="C912" s="506"/>
      <c r="D912" s="506"/>
      <c r="E912" s="506"/>
      <c r="F912" s="506"/>
      <c r="G912" s="506"/>
      <c r="H912" s="506"/>
      <c r="I912" s="506"/>
    </row>
    <row r="913">
      <c r="A913" s="513"/>
      <c r="B913" s="506"/>
      <c r="C913" s="506"/>
      <c r="D913" s="506"/>
      <c r="E913" s="506"/>
      <c r="F913" s="506"/>
      <c r="G913" s="506"/>
      <c r="H913" s="506"/>
      <c r="I913" s="506"/>
    </row>
    <row r="914">
      <c r="A914" s="513"/>
      <c r="B914" s="506"/>
      <c r="C914" s="506"/>
      <c r="D914" s="506"/>
      <c r="E914" s="506"/>
      <c r="F914" s="506"/>
      <c r="G914" s="506"/>
      <c r="H914" s="506"/>
      <c r="I914" s="506"/>
    </row>
    <row r="915">
      <c r="A915" s="513"/>
      <c r="B915" s="506"/>
      <c r="C915" s="506"/>
      <c r="D915" s="506"/>
      <c r="E915" s="506"/>
      <c r="F915" s="506"/>
      <c r="G915" s="506"/>
      <c r="H915" s="506"/>
      <c r="I915" s="506"/>
    </row>
    <row r="916">
      <c r="A916" s="513"/>
      <c r="B916" s="506"/>
      <c r="C916" s="506"/>
      <c r="D916" s="506"/>
      <c r="E916" s="506"/>
      <c r="F916" s="506"/>
      <c r="G916" s="506"/>
      <c r="H916" s="506"/>
      <c r="I916" s="506"/>
    </row>
    <row r="917">
      <c r="A917" s="513"/>
      <c r="B917" s="506"/>
      <c r="C917" s="506"/>
      <c r="D917" s="506"/>
      <c r="E917" s="506"/>
      <c r="F917" s="506"/>
      <c r="G917" s="506"/>
      <c r="H917" s="506"/>
      <c r="I917" s="506"/>
    </row>
    <row r="918">
      <c r="A918" s="513"/>
      <c r="B918" s="506"/>
      <c r="C918" s="506"/>
      <c r="D918" s="506"/>
      <c r="E918" s="506"/>
      <c r="F918" s="506"/>
      <c r="G918" s="506"/>
      <c r="H918" s="506"/>
      <c r="I918" s="506"/>
    </row>
    <row r="919">
      <c r="A919" s="513"/>
      <c r="B919" s="506"/>
      <c r="C919" s="506"/>
      <c r="D919" s="506"/>
      <c r="E919" s="506"/>
      <c r="F919" s="506"/>
      <c r="G919" s="506"/>
      <c r="H919" s="506"/>
      <c r="I919" s="506"/>
    </row>
    <row r="920">
      <c r="A920" s="513"/>
      <c r="B920" s="506"/>
      <c r="C920" s="506"/>
      <c r="D920" s="506"/>
      <c r="E920" s="506"/>
      <c r="F920" s="506"/>
      <c r="G920" s="506"/>
      <c r="H920" s="506"/>
      <c r="I920" s="506"/>
    </row>
    <row r="921">
      <c r="A921" s="513"/>
      <c r="B921" s="506"/>
      <c r="C921" s="506"/>
      <c r="D921" s="506"/>
      <c r="E921" s="506"/>
      <c r="F921" s="506"/>
      <c r="G921" s="506"/>
      <c r="H921" s="506"/>
      <c r="I921" s="506"/>
    </row>
    <row r="922">
      <c r="A922" s="513"/>
      <c r="B922" s="506"/>
      <c r="C922" s="506"/>
      <c r="D922" s="506"/>
      <c r="E922" s="506"/>
      <c r="F922" s="506"/>
      <c r="G922" s="506"/>
      <c r="H922" s="506"/>
      <c r="I922" s="506"/>
    </row>
    <row r="923">
      <c r="A923" s="513"/>
      <c r="B923" s="506"/>
      <c r="C923" s="506"/>
      <c r="D923" s="506"/>
      <c r="E923" s="506"/>
      <c r="F923" s="506"/>
      <c r="G923" s="506"/>
      <c r="H923" s="506"/>
      <c r="I923" s="506"/>
    </row>
    <row r="924">
      <c r="A924" s="513"/>
      <c r="B924" s="506"/>
      <c r="C924" s="506"/>
      <c r="D924" s="506"/>
      <c r="E924" s="506"/>
      <c r="F924" s="506"/>
      <c r="G924" s="506"/>
      <c r="H924" s="506"/>
      <c r="I924" s="506"/>
    </row>
    <row r="925">
      <c r="A925" s="513"/>
      <c r="B925" s="506"/>
      <c r="C925" s="506"/>
      <c r="D925" s="506"/>
      <c r="E925" s="506"/>
      <c r="F925" s="506"/>
      <c r="G925" s="506"/>
      <c r="H925" s="506"/>
      <c r="I925" s="506"/>
    </row>
    <row r="926">
      <c r="A926" s="513"/>
      <c r="B926" s="506"/>
      <c r="C926" s="506"/>
      <c r="D926" s="506"/>
      <c r="E926" s="506"/>
      <c r="F926" s="506"/>
      <c r="G926" s="506"/>
      <c r="H926" s="506"/>
      <c r="I926" s="506"/>
    </row>
    <row r="927">
      <c r="A927" s="513"/>
      <c r="B927" s="506"/>
      <c r="C927" s="506"/>
      <c r="D927" s="506"/>
      <c r="E927" s="506"/>
      <c r="F927" s="506"/>
      <c r="G927" s="506"/>
      <c r="H927" s="506"/>
      <c r="I927" s="506"/>
    </row>
    <row r="928">
      <c r="A928" s="513"/>
      <c r="B928" s="506"/>
      <c r="C928" s="506"/>
      <c r="D928" s="506"/>
      <c r="E928" s="506"/>
      <c r="F928" s="506"/>
      <c r="G928" s="506"/>
      <c r="H928" s="506"/>
      <c r="I928" s="506"/>
    </row>
    <row r="929">
      <c r="A929" s="513"/>
      <c r="B929" s="506"/>
      <c r="C929" s="506"/>
      <c r="D929" s="506"/>
      <c r="E929" s="506"/>
      <c r="F929" s="506"/>
      <c r="G929" s="506"/>
      <c r="H929" s="506"/>
      <c r="I929" s="506"/>
    </row>
    <row r="930">
      <c r="A930" s="513"/>
      <c r="B930" s="506"/>
      <c r="C930" s="506"/>
      <c r="D930" s="506"/>
      <c r="E930" s="506"/>
      <c r="F930" s="506"/>
      <c r="G930" s="506"/>
      <c r="H930" s="506"/>
      <c r="I930" s="506"/>
    </row>
    <row r="931">
      <c r="A931" s="513"/>
      <c r="B931" s="506"/>
      <c r="C931" s="506"/>
      <c r="D931" s="506"/>
      <c r="E931" s="506"/>
      <c r="F931" s="506"/>
      <c r="G931" s="506"/>
      <c r="H931" s="506"/>
      <c r="I931" s="506"/>
    </row>
    <row r="932">
      <c r="A932" s="513"/>
      <c r="B932" s="506"/>
      <c r="C932" s="506"/>
      <c r="D932" s="506"/>
      <c r="E932" s="506"/>
      <c r="F932" s="506"/>
      <c r="G932" s="506"/>
      <c r="H932" s="506"/>
      <c r="I932" s="506"/>
    </row>
    <row r="933">
      <c r="A933" s="513"/>
      <c r="B933" s="506"/>
      <c r="C933" s="506"/>
      <c r="D933" s="506"/>
      <c r="E933" s="506"/>
      <c r="F933" s="506"/>
      <c r="G933" s="506"/>
      <c r="H933" s="506"/>
      <c r="I933" s="506"/>
    </row>
    <row r="934">
      <c r="A934" s="513"/>
      <c r="B934" s="506"/>
      <c r="C934" s="506"/>
      <c r="D934" s="506"/>
      <c r="E934" s="506"/>
      <c r="F934" s="506"/>
      <c r="G934" s="506"/>
      <c r="H934" s="506"/>
      <c r="I934" s="506"/>
    </row>
    <row r="935">
      <c r="A935" s="513"/>
      <c r="B935" s="506"/>
      <c r="C935" s="506"/>
      <c r="D935" s="506"/>
      <c r="E935" s="506"/>
      <c r="F935" s="506"/>
      <c r="G935" s="506"/>
      <c r="H935" s="506"/>
      <c r="I935" s="506"/>
    </row>
    <row r="936">
      <c r="A936" s="513"/>
      <c r="B936" s="506"/>
      <c r="C936" s="506"/>
      <c r="D936" s="506"/>
      <c r="E936" s="506"/>
      <c r="F936" s="506"/>
      <c r="G936" s="506"/>
      <c r="H936" s="506"/>
      <c r="I936" s="506"/>
    </row>
    <row r="937">
      <c r="A937" s="513"/>
      <c r="B937" s="506"/>
      <c r="C937" s="506"/>
      <c r="D937" s="506"/>
      <c r="E937" s="506"/>
      <c r="F937" s="506"/>
      <c r="G937" s="506"/>
      <c r="H937" s="506"/>
      <c r="I937" s="506"/>
    </row>
    <row r="938">
      <c r="A938" s="513"/>
      <c r="B938" s="506"/>
      <c r="C938" s="506"/>
      <c r="D938" s="506"/>
      <c r="E938" s="506"/>
      <c r="F938" s="506"/>
      <c r="G938" s="506"/>
      <c r="H938" s="506"/>
      <c r="I938" s="506"/>
    </row>
    <row r="939">
      <c r="A939" s="513"/>
      <c r="B939" s="506"/>
      <c r="C939" s="506"/>
      <c r="D939" s="506"/>
      <c r="E939" s="506"/>
      <c r="F939" s="506"/>
      <c r="G939" s="506"/>
      <c r="H939" s="506"/>
      <c r="I939" s="506"/>
    </row>
    <row r="940">
      <c r="A940" s="513"/>
      <c r="B940" s="506"/>
      <c r="C940" s="506"/>
      <c r="D940" s="506"/>
      <c r="E940" s="506"/>
      <c r="F940" s="506"/>
      <c r="G940" s="506"/>
      <c r="H940" s="506"/>
      <c r="I940" s="506"/>
    </row>
    <row r="941">
      <c r="A941" s="513"/>
      <c r="B941" s="506"/>
      <c r="C941" s="506"/>
      <c r="D941" s="506"/>
      <c r="E941" s="506"/>
      <c r="F941" s="506"/>
      <c r="G941" s="506"/>
      <c r="H941" s="506"/>
      <c r="I941" s="506"/>
    </row>
    <row r="942">
      <c r="A942" s="513"/>
      <c r="B942" s="506"/>
      <c r="C942" s="506"/>
      <c r="D942" s="506"/>
      <c r="E942" s="506"/>
      <c r="F942" s="506"/>
      <c r="G942" s="506"/>
      <c r="H942" s="506"/>
      <c r="I942" s="506"/>
    </row>
    <row r="943">
      <c r="A943" s="513"/>
      <c r="B943" s="506"/>
      <c r="C943" s="506"/>
      <c r="D943" s="506"/>
      <c r="E943" s="506"/>
      <c r="F943" s="506"/>
      <c r="G943" s="506"/>
      <c r="H943" s="506"/>
      <c r="I943" s="506"/>
    </row>
    <row r="944">
      <c r="A944" s="513"/>
      <c r="B944" s="506"/>
      <c r="C944" s="506"/>
      <c r="D944" s="506"/>
      <c r="E944" s="506"/>
      <c r="F944" s="506"/>
      <c r="G944" s="506"/>
      <c r="H944" s="506"/>
      <c r="I944" s="506"/>
    </row>
    <row r="945">
      <c r="A945" s="513"/>
      <c r="B945" s="506"/>
      <c r="C945" s="506"/>
      <c r="D945" s="506"/>
      <c r="E945" s="506"/>
      <c r="F945" s="506"/>
      <c r="G945" s="506"/>
      <c r="H945" s="506"/>
      <c r="I945" s="506"/>
    </row>
    <row r="946">
      <c r="A946" s="513"/>
      <c r="B946" s="506"/>
      <c r="C946" s="506"/>
      <c r="D946" s="506"/>
      <c r="E946" s="506"/>
      <c r="F946" s="506"/>
      <c r="G946" s="506"/>
      <c r="H946" s="506"/>
      <c r="I946" s="506"/>
    </row>
    <row r="947">
      <c r="A947" s="513"/>
      <c r="B947" s="506"/>
      <c r="C947" s="506"/>
      <c r="D947" s="506"/>
      <c r="E947" s="506"/>
      <c r="F947" s="506"/>
      <c r="G947" s="506"/>
      <c r="H947" s="506"/>
      <c r="I947" s="506"/>
    </row>
    <row r="948">
      <c r="A948" s="513"/>
      <c r="B948" s="506"/>
      <c r="C948" s="506"/>
      <c r="D948" s="506"/>
      <c r="E948" s="506"/>
      <c r="F948" s="506"/>
      <c r="G948" s="506"/>
      <c r="H948" s="506"/>
      <c r="I948" s="506"/>
    </row>
    <row r="949">
      <c r="A949" s="513"/>
      <c r="B949" s="506"/>
      <c r="C949" s="506"/>
      <c r="D949" s="506"/>
      <c r="E949" s="506"/>
      <c r="F949" s="506"/>
      <c r="G949" s="506"/>
      <c r="H949" s="506"/>
      <c r="I949" s="506"/>
    </row>
    <row r="950">
      <c r="A950" s="513"/>
      <c r="B950" s="506"/>
      <c r="C950" s="506"/>
      <c r="D950" s="506"/>
      <c r="E950" s="506"/>
      <c r="F950" s="506"/>
      <c r="G950" s="506"/>
      <c r="H950" s="506"/>
      <c r="I950" s="506"/>
    </row>
    <row r="951">
      <c r="A951" s="513"/>
      <c r="B951" s="506"/>
      <c r="C951" s="506"/>
      <c r="D951" s="506"/>
      <c r="E951" s="506"/>
      <c r="F951" s="506"/>
      <c r="G951" s="506"/>
      <c r="H951" s="506"/>
      <c r="I951" s="506"/>
    </row>
    <row r="952">
      <c r="A952" s="513"/>
      <c r="B952" s="506"/>
      <c r="C952" s="506"/>
      <c r="D952" s="506"/>
      <c r="E952" s="506"/>
      <c r="F952" s="506"/>
      <c r="G952" s="506"/>
      <c r="H952" s="506"/>
      <c r="I952" s="506"/>
    </row>
    <row r="953">
      <c r="A953" s="513"/>
      <c r="B953" s="506"/>
      <c r="C953" s="506"/>
      <c r="D953" s="506"/>
      <c r="E953" s="506"/>
      <c r="F953" s="506"/>
      <c r="G953" s="506"/>
      <c r="H953" s="506"/>
      <c r="I953" s="506"/>
    </row>
    <row r="954">
      <c r="A954" s="513"/>
      <c r="B954" s="506"/>
      <c r="C954" s="506"/>
      <c r="D954" s="506"/>
      <c r="E954" s="506"/>
      <c r="F954" s="506"/>
      <c r="G954" s="506"/>
      <c r="H954" s="506"/>
      <c r="I954" s="506"/>
    </row>
    <row r="955">
      <c r="A955" s="513"/>
      <c r="B955" s="506"/>
      <c r="C955" s="506"/>
      <c r="D955" s="506"/>
      <c r="E955" s="506"/>
      <c r="F955" s="506"/>
      <c r="G955" s="506"/>
      <c r="H955" s="506"/>
      <c r="I955" s="506"/>
    </row>
    <row r="956">
      <c r="A956" s="513"/>
      <c r="B956" s="506"/>
      <c r="C956" s="506"/>
      <c r="D956" s="506"/>
      <c r="E956" s="506"/>
      <c r="F956" s="506"/>
      <c r="G956" s="506"/>
      <c r="H956" s="506"/>
      <c r="I956" s="506"/>
    </row>
    <row r="957">
      <c r="A957" s="513"/>
      <c r="B957" s="506"/>
      <c r="C957" s="506"/>
      <c r="D957" s="506"/>
      <c r="E957" s="506"/>
      <c r="F957" s="506"/>
      <c r="G957" s="506"/>
      <c r="H957" s="506"/>
      <c r="I957" s="506"/>
    </row>
    <row r="958">
      <c r="A958" s="513"/>
      <c r="B958" s="506"/>
      <c r="C958" s="506"/>
      <c r="D958" s="506"/>
      <c r="E958" s="506"/>
      <c r="F958" s="506"/>
      <c r="G958" s="506"/>
      <c r="H958" s="506"/>
      <c r="I958" s="506"/>
    </row>
    <row r="959">
      <c r="A959" s="513"/>
      <c r="B959" s="506"/>
      <c r="C959" s="506"/>
      <c r="D959" s="506"/>
      <c r="E959" s="506"/>
      <c r="F959" s="506"/>
      <c r="G959" s="506"/>
      <c r="H959" s="506"/>
      <c r="I959" s="506"/>
    </row>
    <row r="960">
      <c r="A960" s="513"/>
      <c r="B960" s="506"/>
      <c r="C960" s="506"/>
      <c r="D960" s="506"/>
      <c r="E960" s="506"/>
      <c r="F960" s="506"/>
      <c r="G960" s="506"/>
      <c r="H960" s="506"/>
      <c r="I960" s="506"/>
    </row>
    <row r="961">
      <c r="A961" s="513"/>
      <c r="B961" s="506"/>
      <c r="C961" s="506"/>
      <c r="D961" s="506"/>
      <c r="E961" s="506"/>
      <c r="F961" s="506"/>
      <c r="G961" s="506"/>
      <c r="H961" s="506"/>
      <c r="I961" s="506"/>
    </row>
    <row r="962">
      <c r="A962" s="513"/>
      <c r="B962" s="506"/>
      <c r="C962" s="506"/>
      <c r="D962" s="506"/>
      <c r="E962" s="506"/>
      <c r="F962" s="506"/>
      <c r="G962" s="506"/>
      <c r="H962" s="506"/>
      <c r="I962" s="506"/>
    </row>
    <row r="963">
      <c r="A963" s="513"/>
      <c r="B963" s="506"/>
      <c r="C963" s="506"/>
      <c r="D963" s="506"/>
      <c r="E963" s="506"/>
      <c r="F963" s="506"/>
      <c r="G963" s="506"/>
      <c r="H963" s="506"/>
      <c r="I963" s="506"/>
    </row>
    <row r="964">
      <c r="A964" s="513"/>
      <c r="B964" s="506"/>
      <c r="C964" s="506"/>
      <c r="D964" s="506"/>
      <c r="E964" s="506"/>
      <c r="F964" s="506"/>
      <c r="G964" s="506"/>
      <c r="H964" s="506"/>
      <c r="I964" s="506"/>
    </row>
    <row r="965">
      <c r="A965" s="513"/>
      <c r="B965" s="506"/>
      <c r="C965" s="506"/>
      <c r="D965" s="506"/>
      <c r="E965" s="506"/>
      <c r="F965" s="506"/>
      <c r="G965" s="506"/>
      <c r="H965" s="506"/>
      <c r="I965" s="506"/>
    </row>
    <row r="966">
      <c r="A966" s="513"/>
      <c r="B966" s="506"/>
      <c r="C966" s="506"/>
      <c r="D966" s="506"/>
      <c r="E966" s="506"/>
      <c r="F966" s="506"/>
      <c r="G966" s="506"/>
      <c r="H966" s="506"/>
      <c r="I966" s="506"/>
    </row>
    <row r="967">
      <c r="A967" s="513"/>
      <c r="B967" s="506"/>
      <c r="C967" s="506"/>
      <c r="D967" s="506"/>
      <c r="E967" s="506"/>
      <c r="F967" s="506"/>
      <c r="G967" s="506"/>
      <c r="H967" s="506"/>
      <c r="I967" s="506"/>
    </row>
    <row r="968">
      <c r="A968" s="513"/>
      <c r="B968" s="506"/>
      <c r="C968" s="506"/>
      <c r="D968" s="506"/>
      <c r="E968" s="506"/>
      <c r="F968" s="506"/>
      <c r="G968" s="506"/>
      <c r="H968" s="506"/>
      <c r="I968" s="506"/>
    </row>
    <row r="969">
      <c r="A969" s="513"/>
      <c r="B969" s="506"/>
      <c r="C969" s="506"/>
      <c r="D969" s="506"/>
      <c r="E969" s="506"/>
      <c r="F969" s="506"/>
      <c r="G969" s="506"/>
      <c r="H969" s="506"/>
      <c r="I969" s="506"/>
    </row>
    <row r="970">
      <c r="A970" s="513"/>
      <c r="B970" s="506"/>
      <c r="C970" s="506"/>
      <c r="D970" s="506"/>
      <c r="E970" s="506"/>
      <c r="F970" s="506"/>
      <c r="G970" s="506"/>
      <c r="H970" s="506"/>
      <c r="I970" s="506"/>
    </row>
    <row r="971">
      <c r="A971" s="513"/>
      <c r="B971" s="506"/>
      <c r="C971" s="506"/>
      <c r="D971" s="506"/>
      <c r="E971" s="506"/>
      <c r="F971" s="506"/>
      <c r="G971" s="506"/>
      <c r="H971" s="506"/>
      <c r="I971" s="506"/>
    </row>
    <row r="972">
      <c r="A972" s="513"/>
      <c r="B972" s="506"/>
      <c r="C972" s="506"/>
      <c r="D972" s="506"/>
      <c r="E972" s="506"/>
      <c r="F972" s="506"/>
      <c r="G972" s="506"/>
      <c r="H972" s="506"/>
      <c r="I972" s="506"/>
    </row>
    <row r="973">
      <c r="A973" s="513"/>
      <c r="B973" s="506"/>
      <c r="C973" s="506"/>
      <c r="D973" s="506"/>
      <c r="E973" s="506"/>
      <c r="F973" s="506"/>
      <c r="G973" s="506"/>
      <c r="H973" s="506"/>
      <c r="I973" s="506"/>
    </row>
    <row r="974">
      <c r="A974" s="513"/>
      <c r="B974" s="506"/>
      <c r="C974" s="506"/>
      <c r="D974" s="506"/>
      <c r="E974" s="506"/>
      <c r="F974" s="506"/>
      <c r="G974" s="506"/>
      <c r="H974" s="506"/>
      <c r="I974" s="506"/>
    </row>
    <row r="975">
      <c r="A975" s="513"/>
      <c r="B975" s="506"/>
      <c r="C975" s="506"/>
      <c r="D975" s="506"/>
      <c r="E975" s="506"/>
      <c r="F975" s="506"/>
      <c r="G975" s="506"/>
      <c r="H975" s="506"/>
      <c r="I975" s="506"/>
    </row>
    <row r="976">
      <c r="A976" s="513"/>
      <c r="B976" s="506"/>
      <c r="C976" s="506"/>
      <c r="D976" s="506"/>
      <c r="E976" s="506"/>
      <c r="F976" s="506"/>
      <c r="G976" s="506"/>
      <c r="H976" s="506"/>
      <c r="I976" s="506"/>
    </row>
    <row r="977">
      <c r="A977" s="513"/>
      <c r="B977" s="506"/>
      <c r="C977" s="506"/>
      <c r="D977" s="506"/>
      <c r="E977" s="506"/>
      <c r="F977" s="506"/>
      <c r="G977" s="506"/>
      <c r="H977" s="506"/>
      <c r="I977" s="506"/>
    </row>
    <row r="978">
      <c r="A978" s="513"/>
      <c r="B978" s="506"/>
      <c r="C978" s="506"/>
      <c r="D978" s="506"/>
      <c r="E978" s="506"/>
      <c r="F978" s="506"/>
      <c r="G978" s="506"/>
      <c r="H978" s="506"/>
      <c r="I978" s="506"/>
    </row>
    <row r="979">
      <c r="A979" s="513"/>
      <c r="B979" s="506"/>
      <c r="C979" s="506"/>
      <c r="D979" s="506"/>
      <c r="E979" s="506"/>
      <c r="F979" s="506"/>
      <c r="G979" s="506"/>
      <c r="H979" s="506"/>
      <c r="I979" s="506"/>
    </row>
    <row r="980">
      <c r="A980" s="513"/>
      <c r="B980" s="506"/>
      <c r="C980" s="506"/>
      <c r="D980" s="506"/>
      <c r="E980" s="506"/>
      <c r="F980" s="506"/>
      <c r="G980" s="506"/>
      <c r="H980" s="506"/>
      <c r="I980" s="506"/>
    </row>
    <row r="981">
      <c r="A981" s="513"/>
      <c r="B981" s="506"/>
      <c r="C981" s="506"/>
      <c r="D981" s="506"/>
      <c r="E981" s="506"/>
      <c r="F981" s="506"/>
      <c r="G981" s="506"/>
      <c r="H981" s="506"/>
      <c r="I981" s="506"/>
    </row>
    <row r="982">
      <c r="A982" s="513"/>
      <c r="B982" s="506"/>
      <c r="C982" s="506"/>
      <c r="D982" s="506"/>
      <c r="E982" s="506"/>
      <c r="F982" s="506"/>
      <c r="G982" s="506"/>
      <c r="H982" s="506"/>
      <c r="I982" s="506"/>
    </row>
    <row r="983">
      <c r="A983" s="513"/>
      <c r="B983" s="506"/>
      <c r="C983" s="506"/>
      <c r="D983" s="506"/>
      <c r="E983" s="506"/>
      <c r="F983" s="506"/>
      <c r="G983" s="506"/>
      <c r="H983" s="506"/>
      <c r="I983" s="506"/>
    </row>
    <row r="984">
      <c r="A984" s="513"/>
      <c r="B984" s="506"/>
      <c r="C984" s="506"/>
      <c r="D984" s="506"/>
      <c r="E984" s="506"/>
      <c r="F984" s="506"/>
      <c r="G984" s="506"/>
      <c r="H984" s="506"/>
      <c r="I984" s="506"/>
    </row>
    <row r="985">
      <c r="A985" s="513"/>
      <c r="B985" s="506"/>
      <c r="C985" s="506"/>
      <c r="D985" s="506"/>
      <c r="E985" s="506"/>
      <c r="F985" s="506"/>
      <c r="G985" s="506"/>
      <c r="H985" s="506"/>
      <c r="I985" s="506"/>
    </row>
    <row r="986">
      <c r="A986" s="513"/>
      <c r="B986" s="506"/>
      <c r="C986" s="506"/>
      <c r="D986" s="506"/>
      <c r="E986" s="506"/>
      <c r="F986" s="506"/>
      <c r="G986" s="506"/>
      <c r="H986" s="506"/>
      <c r="I986" s="506"/>
    </row>
    <row r="987">
      <c r="A987" s="513"/>
      <c r="B987" s="506"/>
      <c r="C987" s="506"/>
      <c r="D987" s="506"/>
      <c r="E987" s="506"/>
      <c r="F987" s="506"/>
      <c r="G987" s="506"/>
      <c r="H987" s="506"/>
      <c r="I987" s="506"/>
    </row>
    <row r="988">
      <c r="A988" s="513"/>
      <c r="B988" s="506"/>
      <c r="C988" s="506"/>
      <c r="D988" s="506"/>
      <c r="E988" s="506"/>
      <c r="F988" s="506"/>
      <c r="G988" s="506"/>
      <c r="H988" s="506"/>
      <c r="I988" s="506"/>
    </row>
    <row r="989">
      <c r="A989" s="513"/>
      <c r="B989" s="506"/>
      <c r="C989" s="506"/>
      <c r="D989" s="506"/>
      <c r="E989" s="506"/>
      <c r="F989" s="506"/>
      <c r="G989" s="506"/>
      <c r="H989" s="506"/>
      <c r="I989" s="506"/>
    </row>
    <row r="990">
      <c r="A990" s="513"/>
      <c r="B990" s="506"/>
      <c r="C990" s="506"/>
      <c r="D990" s="506"/>
      <c r="E990" s="506"/>
      <c r="F990" s="506"/>
      <c r="G990" s="506"/>
      <c r="H990" s="506"/>
      <c r="I990" s="506"/>
    </row>
    <row r="991">
      <c r="A991" s="513"/>
      <c r="B991" s="506"/>
      <c r="C991" s="506"/>
      <c r="D991" s="506"/>
      <c r="E991" s="506"/>
      <c r="F991" s="506"/>
      <c r="G991" s="506"/>
      <c r="H991" s="506"/>
      <c r="I991" s="506"/>
    </row>
    <row r="992">
      <c r="A992" s="513"/>
      <c r="B992" s="506"/>
      <c r="C992" s="506"/>
      <c r="D992" s="506"/>
      <c r="E992" s="506"/>
      <c r="F992" s="506"/>
      <c r="G992" s="506"/>
      <c r="H992" s="506"/>
      <c r="I992" s="506"/>
    </row>
    <row r="993">
      <c r="A993" s="513"/>
      <c r="B993" s="506"/>
      <c r="C993" s="506"/>
      <c r="D993" s="506"/>
      <c r="E993" s="506"/>
      <c r="F993" s="506"/>
      <c r="G993" s="506"/>
      <c r="H993" s="506"/>
      <c r="I993" s="506"/>
    </row>
    <row r="994">
      <c r="A994" s="513"/>
      <c r="B994" s="506"/>
      <c r="C994" s="506"/>
      <c r="D994" s="506"/>
      <c r="E994" s="506"/>
      <c r="F994" s="506"/>
      <c r="G994" s="506"/>
      <c r="H994" s="506"/>
      <c r="I994" s="506"/>
    </row>
    <row r="995">
      <c r="A995" s="513"/>
      <c r="B995" s="506"/>
      <c r="C995" s="506"/>
      <c r="D995" s="506"/>
      <c r="E995" s="506"/>
      <c r="F995" s="506"/>
      <c r="G995" s="506"/>
      <c r="H995" s="506"/>
      <c r="I995" s="506"/>
    </row>
    <row r="996">
      <c r="A996" s="513"/>
      <c r="B996" s="506"/>
      <c r="C996" s="506"/>
      <c r="D996" s="506"/>
      <c r="E996" s="506"/>
      <c r="F996" s="506"/>
      <c r="G996" s="506"/>
      <c r="H996" s="506"/>
      <c r="I996" s="506"/>
    </row>
    <row r="997">
      <c r="A997" s="513"/>
      <c r="B997" s="506"/>
      <c r="C997" s="506"/>
      <c r="D997" s="506"/>
      <c r="E997" s="506"/>
      <c r="F997" s="506"/>
      <c r="G997" s="506"/>
      <c r="H997" s="506"/>
      <c r="I997" s="506"/>
    </row>
    <row r="998">
      <c r="A998" s="513"/>
      <c r="B998" s="506"/>
      <c r="C998" s="506"/>
      <c r="D998" s="506"/>
      <c r="E998" s="506"/>
      <c r="F998" s="506"/>
      <c r="G998" s="506"/>
      <c r="H998" s="506"/>
      <c r="I998" s="506"/>
    </row>
    <row r="999">
      <c r="A999" s="513"/>
      <c r="B999" s="506"/>
      <c r="C999" s="506"/>
      <c r="D999" s="506"/>
      <c r="E999" s="506"/>
      <c r="F999" s="506"/>
      <c r="G999" s="506"/>
      <c r="H999" s="506"/>
      <c r="I999" s="506"/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2" max="2" width="35.0"/>
    <col customWidth="1" min="5" max="6" width="7.5"/>
  </cols>
  <sheetData>
    <row r="1" ht="14.25" customHeight="1">
      <c r="A1" s="516" t="s">
        <v>468</v>
      </c>
      <c r="B1" s="517" t="s">
        <v>469</v>
      </c>
      <c r="C1" s="518" t="s">
        <v>6</v>
      </c>
      <c r="D1" s="516" t="s">
        <v>470</v>
      </c>
      <c r="E1" s="519" t="s">
        <v>471</v>
      </c>
      <c r="F1" s="519" t="s">
        <v>472</v>
      </c>
      <c r="G1" s="520" t="s">
        <v>322</v>
      </c>
      <c r="H1" s="520" t="s">
        <v>473</v>
      </c>
      <c r="I1" s="520" t="s">
        <v>324</v>
      </c>
      <c r="J1" s="520" t="s">
        <v>325</v>
      </c>
      <c r="K1" s="520" t="s">
        <v>474</v>
      </c>
      <c r="L1" s="520" t="s">
        <v>327</v>
      </c>
      <c r="M1" s="520"/>
    </row>
    <row r="2" ht="15.75" customHeight="1">
      <c r="A2" s="521">
        <v>9.0</v>
      </c>
      <c r="B2" s="507" t="s">
        <v>475</v>
      </c>
      <c r="C2" s="507" t="s">
        <v>212</v>
      </c>
      <c r="D2" s="522" t="str">
        <f t="shared" ref="D2:D661" si="1">A2&amp;C2</f>
        <v>9Indiferente</v>
      </c>
      <c r="E2" s="523">
        <v>3.0</v>
      </c>
      <c r="F2" s="523">
        <v>9.0</v>
      </c>
      <c r="G2" s="524">
        <v>6234.11</v>
      </c>
      <c r="H2" s="524">
        <v>6234.11</v>
      </c>
      <c r="I2" s="524">
        <v>7930.83</v>
      </c>
      <c r="J2" s="524">
        <v>7693.09</v>
      </c>
      <c r="K2" s="524">
        <v>8455.58</v>
      </c>
      <c r="L2" s="524">
        <v>10957.61</v>
      </c>
      <c r="M2" s="524"/>
    </row>
    <row r="3" ht="15.75" customHeight="1">
      <c r="A3" s="521">
        <v>9.0</v>
      </c>
      <c r="B3" s="507" t="s">
        <v>475</v>
      </c>
      <c r="C3" s="507" t="s">
        <v>60</v>
      </c>
      <c r="D3" s="522" t="str">
        <f t="shared" si="1"/>
        <v>9Júnior</v>
      </c>
      <c r="E3" s="523">
        <v>2.0</v>
      </c>
      <c r="F3" s="523">
        <v>2.0</v>
      </c>
      <c r="G3" s="524">
        <v>0.0</v>
      </c>
      <c r="H3" s="524">
        <v>0.0</v>
      </c>
      <c r="I3" s="524">
        <v>0.0</v>
      </c>
      <c r="J3" s="524">
        <v>0.0</v>
      </c>
      <c r="K3" s="524">
        <v>0.0</v>
      </c>
      <c r="L3" s="524">
        <v>0.0</v>
      </c>
      <c r="M3" s="524"/>
    </row>
    <row r="4" ht="15.75" customHeight="1">
      <c r="A4" s="521">
        <v>9.0</v>
      </c>
      <c r="B4" s="507" t="s">
        <v>475</v>
      </c>
      <c r="C4" s="507" t="s">
        <v>41</v>
      </c>
      <c r="D4" s="522" t="str">
        <f t="shared" si="1"/>
        <v>9Pleno</v>
      </c>
      <c r="E4" s="523">
        <v>3.0</v>
      </c>
      <c r="F4" s="523">
        <v>6.0</v>
      </c>
      <c r="G4" s="524">
        <v>6234.11</v>
      </c>
      <c r="H4" s="524">
        <v>6234.11</v>
      </c>
      <c r="I4" s="524">
        <v>7149.17</v>
      </c>
      <c r="J4" s="524">
        <v>6963.6</v>
      </c>
      <c r="K4" s="524">
        <v>7956.28</v>
      </c>
      <c r="L4" s="524">
        <v>8455.58</v>
      </c>
      <c r="M4" s="524"/>
    </row>
    <row r="5" ht="15.75" customHeight="1">
      <c r="A5" s="521">
        <v>9.0</v>
      </c>
      <c r="B5" s="507" t="s">
        <v>475</v>
      </c>
      <c r="C5" s="507" t="s">
        <v>53</v>
      </c>
      <c r="D5" s="522" t="str">
        <f t="shared" si="1"/>
        <v>9Sênior</v>
      </c>
      <c r="E5" s="523">
        <v>2.0</v>
      </c>
      <c r="F5" s="523">
        <v>3.0</v>
      </c>
      <c r="G5" s="524">
        <v>0.0</v>
      </c>
      <c r="H5" s="524">
        <v>0.0</v>
      </c>
      <c r="I5" s="524">
        <v>0.0</v>
      </c>
      <c r="J5" s="524">
        <v>0.0</v>
      </c>
      <c r="K5" s="524">
        <v>0.0</v>
      </c>
      <c r="L5" s="524">
        <v>0.0</v>
      </c>
      <c r="M5" s="524"/>
    </row>
    <row r="6" ht="15.75" customHeight="1">
      <c r="A6" s="521">
        <v>9.0</v>
      </c>
      <c r="B6" s="507" t="s">
        <v>475</v>
      </c>
      <c r="C6" s="507" t="s">
        <v>476</v>
      </c>
      <c r="D6" s="522" t="str">
        <f t="shared" si="1"/>
        <v>9Master</v>
      </c>
      <c r="E6" s="523">
        <v>0.0</v>
      </c>
      <c r="F6" s="523">
        <v>0.0</v>
      </c>
      <c r="G6" s="524">
        <v>0.0</v>
      </c>
      <c r="H6" s="524">
        <v>0.0</v>
      </c>
      <c r="I6" s="524">
        <v>0.0</v>
      </c>
      <c r="J6" s="524">
        <v>0.0</v>
      </c>
      <c r="K6" s="524">
        <v>0.0</v>
      </c>
      <c r="L6" s="524">
        <v>0.0</v>
      </c>
      <c r="M6" s="524"/>
    </row>
    <row r="7" ht="15.75" customHeight="1">
      <c r="A7" s="521">
        <v>9.0</v>
      </c>
      <c r="B7" s="507" t="s">
        <v>475</v>
      </c>
      <c r="C7" s="507" t="s">
        <v>264</v>
      </c>
      <c r="D7" s="522" t="str">
        <f t="shared" si="1"/>
        <v>9Especialista</v>
      </c>
      <c r="E7" s="523">
        <v>0.0</v>
      </c>
      <c r="F7" s="523">
        <v>0.0</v>
      </c>
      <c r="G7" s="524">
        <v>0.0</v>
      </c>
      <c r="H7" s="524">
        <v>0.0</v>
      </c>
      <c r="I7" s="524">
        <v>0.0</v>
      </c>
      <c r="J7" s="524">
        <v>0.0</v>
      </c>
      <c r="K7" s="524">
        <v>0.0</v>
      </c>
      <c r="L7" s="524">
        <v>0.0</v>
      </c>
      <c r="M7" s="524"/>
    </row>
    <row r="8" ht="15.75" customHeight="1">
      <c r="A8" s="521">
        <v>203.0</v>
      </c>
      <c r="B8" s="507" t="s">
        <v>211</v>
      </c>
      <c r="C8" s="507" t="s">
        <v>212</v>
      </c>
      <c r="D8" s="522" t="str">
        <f t="shared" si="1"/>
        <v>203Indiferente</v>
      </c>
      <c r="E8" s="523">
        <v>5.0</v>
      </c>
      <c r="F8" s="523">
        <v>18.0</v>
      </c>
      <c r="G8" s="524">
        <v>2966.23</v>
      </c>
      <c r="H8" s="524">
        <v>3088.9</v>
      </c>
      <c r="I8" s="524">
        <v>3397.38</v>
      </c>
      <c r="J8" s="524">
        <v>3088.9</v>
      </c>
      <c r="K8" s="524">
        <v>3703.26</v>
      </c>
      <c r="L8" s="524">
        <v>4425.21</v>
      </c>
      <c r="M8" s="524"/>
    </row>
    <row r="9" ht="15.75" customHeight="1">
      <c r="A9" s="521">
        <v>203.0</v>
      </c>
      <c r="B9" s="507" t="s">
        <v>211</v>
      </c>
      <c r="C9" s="507" t="s">
        <v>60</v>
      </c>
      <c r="D9" s="522" t="str">
        <f t="shared" si="1"/>
        <v>203Júnior</v>
      </c>
      <c r="E9" s="523">
        <v>1.0</v>
      </c>
      <c r="F9" s="523">
        <v>1.0</v>
      </c>
      <c r="G9" s="524">
        <v>0.0</v>
      </c>
      <c r="H9" s="524">
        <v>0.0</v>
      </c>
      <c r="I9" s="524">
        <v>0.0</v>
      </c>
      <c r="J9" s="524">
        <v>0.0</v>
      </c>
      <c r="K9" s="524">
        <v>0.0</v>
      </c>
      <c r="L9" s="524">
        <v>0.0</v>
      </c>
      <c r="M9" s="524"/>
    </row>
    <row r="10" ht="15.75" customHeight="1">
      <c r="A10" s="521">
        <v>203.0</v>
      </c>
      <c r="B10" s="507" t="s">
        <v>211</v>
      </c>
      <c r="C10" s="507" t="s">
        <v>41</v>
      </c>
      <c r="D10" s="522" t="str">
        <f t="shared" si="1"/>
        <v>203Pleno</v>
      </c>
      <c r="E10" s="523">
        <v>0.0</v>
      </c>
      <c r="F10" s="523">
        <v>0.0</v>
      </c>
      <c r="G10" s="524">
        <v>0.0</v>
      </c>
      <c r="H10" s="524">
        <v>0.0</v>
      </c>
      <c r="I10" s="524">
        <v>0.0</v>
      </c>
      <c r="J10" s="524">
        <v>0.0</v>
      </c>
      <c r="K10" s="524">
        <v>0.0</v>
      </c>
      <c r="L10" s="524">
        <v>0.0</v>
      </c>
      <c r="M10" s="524"/>
    </row>
    <row r="11" ht="15.75" customHeight="1">
      <c r="A11" s="521">
        <v>203.0</v>
      </c>
      <c r="B11" s="507" t="s">
        <v>211</v>
      </c>
      <c r="C11" s="507" t="s">
        <v>53</v>
      </c>
      <c r="D11" s="522" t="str">
        <f t="shared" si="1"/>
        <v>203Sênior</v>
      </c>
      <c r="E11" s="523">
        <v>1.0</v>
      </c>
      <c r="F11" s="523">
        <v>1.0</v>
      </c>
      <c r="G11" s="524">
        <v>0.0</v>
      </c>
      <c r="H11" s="524">
        <v>0.0</v>
      </c>
      <c r="I11" s="524">
        <v>0.0</v>
      </c>
      <c r="J11" s="524">
        <v>0.0</v>
      </c>
      <c r="K11" s="524">
        <v>0.0</v>
      </c>
      <c r="L11" s="524">
        <v>0.0</v>
      </c>
      <c r="M11" s="524"/>
    </row>
    <row r="12" ht="15.75" customHeight="1">
      <c r="A12" s="521">
        <v>203.0</v>
      </c>
      <c r="B12" s="507" t="s">
        <v>211</v>
      </c>
      <c r="C12" s="507" t="s">
        <v>476</v>
      </c>
      <c r="D12" s="522" t="str">
        <f t="shared" si="1"/>
        <v>203Master</v>
      </c>
      <c r="E12" s="523">
        <v>0.0</v>
      </c>
      <c r="F12" s="523">
        <v>0.0</v>
      </c>
      <c r="G12" s="524">
        <v>0.0</v>
      </c>
      <c r="H12" s="524">
        <v>0.0</v>
      </c>
      <c r="I12" s="524">
        <v>0.0</v>
      </c>
      <c r="J12" s="524">
        <v>0.0</v>
      </c>
      <c r="K12" s="524">
        <v>0.0</v>
      </c>
      <c r="L12" s="524">
        <v>0.0</v>
      </c>
      <c r="M12" s="524"/>
    </row>
    <row r="13" ht="15.75" customHeight="1">
      <c r="A13" s="521">
        <v>203.0</v>
      </c>
      <c r="B13" s="507" t="s">
        <v>211</v>
      </c>
      <c r="C13" s="507" t="s">
        <v>264</v>
      </c>
      <c r="D13" s="522" t="str">
        <f t="shared" si="1"/>
        <v>203Especialista</v>
      </c>
      <c r="E13" s="523">
        <v>0.0</v>
      </c>
      <c r="F13" s="523">
        <v>0.0</v>
      </c>
      <c r="G13" s="524">
        <v>0.0</v>
      </c>
      <c r="H13" s="524">
        <v>0.0</v>
      </c>
      <c r="I13" s="524">
        <v>0.0</v>
      </c>
      <c r="J13" s="524">
        <v>0.0</v>
      </c>
      <c r="K13" s="524">
        <v>0.0</v>
      </c>
      <c r="L13" s="524">
        <v>0.0</v>
      </c>
      <c r="M13" s="524"/>
    </row>
    <row r="14" ht="15.75" customHeight="1">
      <c r="A14" s="521">
        <v>13.0</v>
      </c>
      <c r="B14" s="507" t="s">
        <v>477</v>
      </c>
      <c r="C14" s="507" t="s">
        <v>212</v>
      </c>
      <c r="D14" s="522" t="str">
        <f t="shared" si="1"/>
        <v>13Indiferente</v>
      </c>
      <c r="E14" s="523">
        <v>81.0</v>
      </c>
      <c r="F14" s="523">
        <v>200.0</v>
      </c>
      <c r="G14" s="524">
        <v>2683.8</v>
      </c>
      <c r="H14" s="524">
        <v>3474.02</v>
      </c>
      <c r="I14" s="524">
        <v>3995.01</v>
      </c>
      <c r="J14" s="524">
        <v>3936.95</v>
      </c>
      <c r="K14" s="524">
        <v>4487.11</v>
      </c>
      <c r="L14" s="524">
        <v>5444.79</v>
      </c>
      <c r="M14" s="524"/>
    </row>
    <row r="15" ht="15.75" customHeight="1">
      <c r="A15" s="521">
        <v>13.0</v>
      </c>
      <c r="B15" s="507" t="s">
        <v>477</v>
      </c>
      <c r="C15" s="507" t="s">
        <v>60</v>
      </c>
      <c r="D15" s="522" t="str">
        <f t="shared" si="1"/>
        <v>13Júnior</v>
      </c>
      <c r="E15" s="523">
        <v>31.0</v>
      </c>
      <c r="F15" s="523">
        <v>101.0</v>
      </c>
      <c r="G15" s="524">
        <v>2505.24</v>
      </c>
      <c r="H15" s="524">
        <v>2552.69</v>
      </c>
      <c r="I15" s="524">
        <v>3022.82</v>
      </c>
      <c r="J15" s="524">
        <v>2782.56</v>
      </c>
      <c r="K15" s="524">
        <v>3465.23</v>
      </c>
      <c r="L15" s="524">
        <v>4055.68</v>
      </c>
      <c r="M15" s="524"/>
    </row>
    <row r="16" ht="15.75" customHeight="1">
      <c r="A16" s="521">
        <v>13.0</v>
      </c>
      <c r="B16" s="507" t="s">
        <v>477</v>
      </c>
      <c r="C16" s="507" t="s">
        <v>41</v>
      </c>
      <c r="D16" s="522" t="str">
        <f t="shared" si="1"/>
        <v>13Pleno</v>
      </c>
      <c r="E16" s="523">
        <v>37.0</v>
      </c>
      <c r="F16" s="523">
        <v>67.0</v>
      </c>
      <c r="G16" s="524">
        <v>3325.77</v>
      </c>
      <c r="H16" s="524">
        <v>4114.38</v>
      </c>
      <c r="I16" s="524">
        <v>4428.33</v>
      </c>
      <c r="J16" s="524">
        <v>4197.53</v>
      </c>
      <c r="K16" s="524">
        <v>4833.17</v>
      </c>
      <c r="L16" s="524">
        <v>6130.51</v>
      </c>
      <c r="M16" s="524"/>
    </row>
    <row r="17" ht="15.75" customHeight="1">
      <c r="A17" s="521">
        <v>13.0</v>
      </c>
      <c r="B17" s="507" t="s">
        <v>477</v>
      </c>
      <c r="C17" s="507" t="s">
        <v>53</v>
      </c>
      <c r="D17" s="522" t="str">
        <f t="shared" si="1"/>
        <v>13Sênior</v>
      </c>
      <c r="E17" s="523">
        <v>12.0</v>
      </c>
      <c r="F17" s="523">
        <v>15.0</v>
      </c>
      <c r="G17" s="524">
        <v>4439.69</v>
      </c>
      <c r="H17" s="524">
        <v>5065.1</v>
      </c>
      <c r="I17" s="524">
        <v>5472.2</v>
      </c>
      <c r="J17" s="524">
        <v>5300.2</v>
      </c>
      <c r="K17" s="524">
        <v>6064.34</v>
      </c>
      <c r="L17" s="524">
        <v>6804.69</v>
      </c>
      <c r="M17" s="524"/>
    </row>
    <row r="18" ht="15.75" customHeight="1">
      <c r="A18" s="521">
        <v>13.0</v>
      </c>
      <c r="B18" s="507" t="s">
        <v>477</v>
      </c>
      <c r="C18" s="507" t="s">
        <v>476</v>
      </c>
      <c r="D18" s="522" t="str">
        <f t="shared" si="1"/>
        <v>13Master</v>
      </c>
      <c r="E18" s="523">
        <v>0.0</v>
      </c>
      <c r="F18" s="523">
        <v>0.0</v>
      </c>
      <c r="G18" s="524">
        <v>0.0</v>
      </c>
      <c r="H18" s="524">
        <v>0.0</v>
      </c>
      <c r="I18" s="524">
        <v>0.0</v>
      </c>
      <c r="J18" s="524">
        <v>0.0</v>
      </c>
      <c r="K18" s="524">
        <v>0.0</v>
      </c>
      <c r="L18" s="524">
        <v>0.0</v>
      </c>
      <c r="M18" s="524"/>
    </row>
    <row r="19" ht="15.75" customHeight="1">
      <c r="A19" s="521">
        <v>13.0</v>
      </c>
      <c r="B19" s="507" t="s">
        <v>477</v>
      </c>
      <c r="C19" s="507" t="s">
        <v>264</v>
      </c>
      <c r="D19" s="522" t="str">
        <f t="shared" si="1"/>
        <v>13Especialista</v>
      </c>
      <c r="E19" s="523">
        <v>2.0</v>
      </c>
      <c r="F19" s="523">
        <v>2.0</v>
      </c>
      <c r="G19" s="524">
        <v>4518.71</v>
      </c>
      <c r="H19" s="524">
        <v>4986.92</v>
      </c>
      <c r="I19" s="524">
        <v>5455.12</v>
      </c>
      <c r="J19" s="524">
        <v>5455.12</v>
      </c>
      <c r="K19" s="524">
        <v>5923.33</v>
      </c>
      <c r="L19" s="524">
        <v>6391.53</v>
      </c>
      <c r="M19" s="524"/>
    </row>
    <row r="20" ht="15.75" customHeight="1">
      <c r="A20" s="521">
        <v>19.0</v>
      </c>
      <c r="B20" s="507" t="s">
        <v>228</v>
      </c>
      <c r="C20" s="507" t="s">
        <v>212</v>
      </c>
      <c r="D20" s="522" t="str">
        <f t="shared" si="1"/>
        <v>19Indiferente</v>
      </c>
      <c r="E20" s="523">
        <v>5.0</v>
      </c>
      <c r="F20" s="523">
        <v>8.0</v>
      </c>
      <c r="G20" s="524">
        <v>3845.04</v>
      </c>
      <c r="H20" s="524">
        <v>5050.38</v>
      </c>
      <c r="I20" s="524">
        <v>5847.05</v>
      </c>
      <c r="J20" s="524">
        <v>5563.07</v>
      </c>
      <c r="K20" s="524">
        <v>7320.76</v>
      </c>
      <c r="L20" s="524">
        <v>7445.55</v>
      </c>
      <c r="M20" s="524"/>
    </row>
    <row r="21" ht="15.75" customHeight="1">
      <c r="A21" s="521">
        <v>19.0</v>
      </c>
      <c r="B21" s="507" t="s">
        <v>228</v>
      </c>
      <c r="C21" s="507" t="s">
        <v>60</v>
      </c>
      <c r="D21" s="522" t="str">
        <f t="shared" si="1"/>
        <v>19Júnior</v>
      </c>
      <c r="E21" s="523">
        <v>2.0</v>
      </c>
      <c r="F21" s="523">
        <v>2.0</v>
      </c>
      <c r="G21" s="524">
        <v>0.0</v>
      </c>
      <c r="H21" s="524">
        <v>0.0</v>
      </c>
      <c r="I21" s="524">
        <v>0.0</v>
      </c>
      <c r="J21" s="524">
        <v>0.0</v>
      </c>
      <c r="K21" s="524">
        <v>0.0</v>
      </c>
      <c r="L21" s="524">
        <v>0.0</v>
      </c>
      <c r="M21" s="524"/>
    </row>
    <row r="22" ht="15.75" customHeight="1">
      <c r="A22" s="521">
        <v>19.0</v>
      </c>
      <c r="B22" s="507" t="s">
        <v>228</v>
      </c>
      <c r="C22" s="507" t="s">
        <v>41</v>
      </c>
      <c r="D22" s="522" t="str">
        <f t="shared" si="1"/>
        <v>19Pleno</v>
      </c>
      <c r="E22" s="523">
        <v>3.0</v>
      </c>
      <c r="F22" s="523">
        <v>3.0</v>
      </c>
      <c r="G22" s="524">
        <v>4476.49</v>
      </c>
      <c r="H22" s="524">
        <v>4898.28</v>
      </c>
      <c r="I22" s="524">
        <v>5747.37</v>
      </c>
      <c r="J22" s="524">
        <v>5320.06</v>
      </c>
      <c r="K22" s="524">
        <v>6382.81</v>
      </c>
      <c r="L22" s="524">
        <v>7445.55</v>
      </c>
      <c r="M22" s="524"/>
    </row>
    <row r="23" ht="15.75" customHeight="1">
      <c r="A23" s="521">
        <v>19.0</v>
      </c>
      <c r="B23" s="507" t="s">
        <v>228</v>
      </c>
      <c r="C23" s="507" t="s">
        <v>53</v>
      </c>
      <c r="D23" s="522" t="str">
        <f t="shared" si="1"/>
        <v>19Sênior</v>
      </c>
      <c r="E23" s="523">
        <v>2.0</v>
      </c>
      <c r="F23" s="523">
        <v>3.0</v>
      </c>
      <c r="G23" s="524">
        <v>0.0</v>
      </c>
      <c r="H23" s="524">
        <v>0.0</v>
      </c>
      <c r="I23" s="524">
        <v>0.0</v>
      </c>
      <c r="J23" s="524">
        <v>0.0</v>
      </c>
      <c r="K23" s="524">
        <v>0.0</v>
      </c>
      <c r="L23" s="524">
        <v>0.0</v>
      </c>
      <c r="M23" s="524"/>
    </row>
    <row r="24" ht="15.75" customHeight="1">
      <c r="A24" s="521">
        <v>19.0</v>
      </c>
      <c r="B24" s="507" t="s">
        <v>228</v>
      </c>
      <c r="C24" s="507" t="s">
        <v>476</v>
      </c>
      <c r="D24" s="522" t="str">
        <f t="shared" si="1"/>
        <v>19Master</v>
      </c>
      <c r="E24" s="523">
        <v>0.0</v>
      </c>
      <c r="F24" s="523">
        <v>0.0</v>
      </c>
      <c r="G24" s="524">
        <v>0.0</v>
      </c>
      <c r="H24" s="524">
        <v>0.0</v>
      </c>
      <c r="I24" s="524">
        <v>0.0</v>
      </c>
      <c r="J24" s="524">
        <v>0.0</v>
      </c>
      <c r="K24" s="524">
        <v>0.0</v>
      </c>
      <c r="L24" s="524">
        <v>0.0</v>
      </c>
      <c r="M24" s="524"/>
    </row>
    <row r="25" ht="15.75" customHeight="1">
      <c r="A25" s="521">
        <v>19.0</v>
      </c>
      <c r="B25" s="507" t="s">
        <v>228</v>
      </c>
      <c r="C25" s="507" t="s">
        <v>264</v>
      </c>
      <c r="D25" s="522" t="str">
        <f t="shared" si="1"/>
        <v>19Especialista</v>
      </c>
      <c r="E25" s="523">
        <v>0.0</v>
      </c>
      <c r="F25" s="523">
        <v>0.0</v>
      </c>
      <c r="G25" s="524">
        <v>0.0</v>
      </c>
      <c r="H25" s="524">
        <v>0.0</v>
      </c>
      <c r="I25" s="524">
        <v>0.0</v>
      </c>
      <c r="J25" s="524">
        <v>0.0</v>
      </c>
      <c r="K25" s="524">
        <v>0.0</v>
      </c>
      <c r="L25" s="524">
        <v>0.0</v>
      </c>
      <c r="M25" s="524"/>
    </row>
    <row r="26" ht="15.75" customHeight="1">
      <c r="A26" s="521">
        <v>1200.0</v>
      </c>
      <c r="B26" s="507" t="s">
        <v>478</v>
      </c>
      <c r="C26" s="507" t="s">
        <v>212</v>
      </c>
      <c r="D26" s="522" t="str">
        <f t="shared" si="1"/>
        <v>1200Indiferente</v>
      </c>
      <c r="E26" s="523">
        <v>2.0</v>
      </c>
      <c r="F26" s="523">
        <v>4.0</v>
      </c>
      <c r="G26" s="524">
        <v>0.0</v>
      </c>
      <c r="H26" s="524">
        <v>0.0</v>
      </c>
      <c r="I26" s="524">
        <v>0.0</v>
      </c>
      <c r="J26" s="524">
        <v>0.0</v>
      </c>
      <c r="K26" s="524">
        <v>0.0</v>
      </c>
      <c r="L26" s="524">
        <v>0.0</v>
      </c>
      <c r="M26" s="524"/>
    </row>
    <row r="27" ht="15.75" customHeight="1">
      <c r="A27" s="521">
        <v>1200.0</v>
      </c>
      <c r="B27" s="507" t="s">
        <v>478</v>
      </c>
      <c r="C27" s="507" t="s">
        <v>60</v>
      </c>
      <c r="D27" s="522" t="str">
        <f t="shared" si="1"/>
        <v>1200Júnior</v>
      </c>
      <c r="E27" s="523">
        <v>1.0</v>
      </c>
      <c r="F27" s="523">
        <v>1.0</v>
      </c>
      <c r="G27" s="524">
        <v>0.0</v>
      </c>
      <c r="H27" s="524">
        <v>0.0</v>
      </c>
      <c r="I27" s="524">
        <v>0.0</v>
      </c>
      <c r="J27" s="524">
        <v>0.0</v>
      </c>
      <c r="K27" s="524">
        <v>0.0</v>
      </c>
      <c r="L27" s="524">
        <v>0.0</v>
      </c>
      <c r="M27" s="524"/>
    </row>
    <row r="28" ht="17.25" customHeight="1">
      <c r="A28" s="521">
        <v>1200.0</v>
      </c>
      <c r="B28" s="507" t="s">
        <v>478</v>
      </c>
      <c r="C28" s="507" t="s">
        <v>41</v>
      </c>
      <c r="D28" s="522" t="str">
        <f t="shared" si="1"/>
        <v>1200Pleno</v>
      </c>
      <c r="E28" s="523">
        <v>1.0</v>
      </c>
      <c r="F28" s="523">
        <v>2.0</v>
      </c>
      <c r="G28" s="524">
        <v>0.0</v>
      </c>
      <c r="H28" s="524">
        <v>0.0</v>
      </c>
      <c r="I28" s="524">
        <v>0.0</v>
      </c>
      <c r="J28" s="524">
        <v>0.0</v>
      </c>
      <c r="K28" s="524">
        <v>0.0</v>
      </c>
      <c r="L28" s="524">
        <v>0.0</v>
      </c>
      <c r="M28" s="524"/>
    </row>
    <row r="29" ht="15.75" customHeight="1">
      <c r="A29" s="521">
        <v>1200.0</v>
      </c>
      <c r="B29" s="507" t="s">
        <v>478</v>
      </c>
      <c r="C29" s="507" t="s">
        <v>53</v>
      </c>
      <c r="D29" s="522" t="str">
        <f t="shared" si="1"/>
        <v>1200Sênior</v>
      </c>
      <c r="E29" s="523">
        <v>0.0</v>
      </c>
      <c r="F29" s="523">
        <v>0.0</v>
      </c>
      <c r="G29" s="524">
        <v>0.0</v>
      </c>
      <c r="H29" s="524">
        <v>0.0</v>
      </c>
      <c r="I29" s="524">
        <v>0.0</v>
      </c>
      <c r="J29" s="524">
        <v>0.0</v>
      </c>
      <c r="K29" s="524">
        <v>0.0</v>
      </c>
      <c r="L29" s="524">
        <v>0.0</v>
      </c>
      <c r="M29" s="524"/>
    </row>
    <row r="30" ht="15.75" customHeight="1">
      <c r="A30" s="521">
        <v>1200.0</v>
      </c>
      <c r="B30" s="507" t="s">
        <v>478</v>
      </c>
      <c r="C30" s="507" t="s">
        <v>476</v>
      </c>
      <c r="D30" s="522" t="str">
        <f t="shared" si="1"/>
        <v>1200Master</v>
      </c>
      <c r="E30" s="523">
        <v>0.0</v>
      </c>
      <c r="F30" s="523">
        <v>0.0</v>
      </c>
      <c r="G30" s="524">
        <v>0.0</v>
      </c>
      <c r="H30" s="524">
        <v>0.0</v>
      </c>
      <c r="I30" s="524">
        <v>0.0</v>
      </c>
      <c r="J30" s="524">
        <v>0.0</v>
      </c>
      <c r="K30" s="524">
        <v>0.0</v>
      </c>
      <c r="L30" s="524">
        <v>0.0</v>
      </c>
      <c r="M30" s="524"/>
    </row>
    <row r="31" ht="15.75" customHeight="1">
      <c r="A31" s="521">
        <v>1200.0</v>
      </c>
      <c r="B31" s="507" t="s">
        <v>478</v>
      </c>
      <c r="C31" s="507" t="s">
        <v>264</v>
      </c>
      <c r="D31" s="522" t="str">
        <f t="shared" si="1"/>
        <v>1200Especialista</v>
      </c>
      <c r="E31" s="523">
        <v>0.0</v>
      </c>
      <c r="F31" s="523">
        <v>0.0</v>
      </c>
      <c r="G31" s="524">
        <v>0.0</v>
      </c>
      <c r="H31" s="524">
        <v>0.0</v>
      </c>
      <c r="I31" s="524">
        <v>0.0</v>
      </c>
      <c r="J31" s="524">
        <v>0.0</v>
      </c>
      <c r="K31" s="524">
        <v>0.0</v>
      </c>
      <c r="L31" s="524">
        <v>0.0</v>
      </c>
      <c r="M31" s="524"/>
    </row>
    <row r="32" ht="15.75" customHeight="1">
      <c r="A32" s="521">
        <v>136.0</v>
      </c>
      <c r="B32" s="507" t="s">
        <v>217</v>
      </c>
      <c r="C32" s="507" t="s">
        <v>212</v>
      </c>
      <c r="D32" s="522" t="str">
        <f t="shared" si="1"/>
        <v>136Indiferente</v>
      </c>
      <c r="E32" s="523">
        <v>4.0</v>
      </c>
      <c r="F32" s="523">
        <v>13.0</v>
      </c>
      <c r="G32" s="524">
        <v>3987.82</v>
      </c>
      <c r="H32" s="524">
        <v>4524.76</v>
      </c>
      <c r="I32" s="524">
        <v>6285.59</v>
      </c>
      <c r="J32" s="524">
        <v>7320.76</v>
      </c>
      <c r="K32" s="524">
        <v>7320.76</v>
      </c>
      <c r="L32" s="524">
        <v>7842.89</v>
      </c>
      <c r="M32" s="524"/>
    </row>
    <row r="33" ht="15.75" customHeight="1">
      <c r="A33" s="521">
        <v>136.0</v>
      </c>
      <c r="B33" s="507" t="s">
        <v>217</v>
      </c>
      <c r="C33" s="507" t="s">
        <v>60</v>
      </c>
      <c r="D33" s="522" t="str">
        <f t="shared" si="1"/>
        <v>136Júnior</v>
      </c>
      <c r="E33" s="523">
        <v>3.0</v>
      </c>
      <c r="F33" s="523">
        <v>5.0</v>
      </c>
      <c r="G33" s="524">
        <v>3217.6</v>
      </c>
      <c r="H33" s="524">
        <v>3303.79</v>
      </c>
      <c r="I33" s="524">
        <v>3618.34</v>
      </c>
      <c r="J33" s="524">
        <v>3484.06</v>
      </c>
      <c r="K33" s="524">
        <v>3987.82</v>
      </c>
      <c r="L33" s="524">
        <v>4098.42</v>
      </c>
      <c r="M33" s="524"/>
    </row>
    <row r="34" ht="15.75" customHeight="1">
      <c r="A34" s="521">
        <v>136.0</v>
      </c>
      <c r="B34" s="507" t="s">
        <v>217</v>
      </c>
      <c r="C34" s="507" t="s">
        <v>41</v>
      </c>
      <c r="D34" s="522" t="str">
        <f t="shared" si="1"/>
        <v>136Pleno</v>
      </c>
      <c r="E34" s="523">
        <v>3.0</v>
      </c>
      <c r="F34" s="523">
        <v>5.0</v>
      </c>
      <c r="G34" s="524">
        <v>4524.76</v>
      </c>
      <c r="H34" s="524">
        <v>4524.76</v>
      </c>
      <c r="I34" s="524">
        <v>6002.23</v>
      </c>
      <c r="J34" s="524">
        <v>5275.87</v>
      </c>
      <c r="K34" s="524">
        <v>7842.89</v>
      </c>
      <c r="L34" s="524">
        <v>7842.89</v>
      </c>
      <c r="M34" s="524"/>
    </row>
    <row r="35" ht="15.75" customHeight="1">
      <c r="A35" s="521">
        <v>136.0</v>
      </c>
      <c r="B35" s="507" t="s">
        <v>217</v>
      </c>
      <c r="C35" s="507" t="s">
        <v>53</v>
      </c>
      <c r="D35" s="522" t="str">
        <f t="shared" si="1"/>
        <v>136Sênior</v>
      </c>
      <c r="E35" s="523">
        <v>2.0</v>
      </c>
      <c r="F35" s="523">
        <v>5.0</v>
      </c>
      <c r="G35" s="524">
        <v>0.0</v>
      </c>
      <c r="H35" s="524">
        <v>0.0</v>
      </c>
      <c r="I35" s="524">
        <v>0.0</v>
      </c>
      <c r="J35" s="524">
        <v>0.0</v>
      </c>
      <c r="K35" s="524">
        <v>0.0</v>
      </c>
      <c r="L35" s="524">
        <v>0.0</v>
      </c>
      <c r="M35" s="524"/>
    </row>
    <row r="36" ht="15.75" customHeight="1">
      <c r="A36" s="521">
        <v>136.0</v>
      </c>
      <c r="B36" s="507" t="s">
        <v>217</v>
      </c>
      <c r="C36" s="507" t="s">
        <v>476</v>
      </c>
      <c r="D36" s="522" t="str">
        <f t="shared" si="1"/>
        <v>136Master</v>
      </c>
      <c r="E36" s="523">
        <v>0.0</v>
      </c>
      <c r="F36" s="523">
        <v>0.0</v>
      </c>
      <c r="G36" s="524">
        <v>0.0</v>
      </c>
      <c r="H36" s="524">
        <v>0.0</v>
      </c>
      <c r="I36" s="524">
        <v>0.0</v>
      </c>
      <c r="J36" s="524">
        <v>0.0</v>
      </c>
      <c r="K36" s="524">
        <v>0.0</v>
      </c>
      <c r="L36" s="524">
        <v>0.0</v>
      </c>
      <c r="M36" s="524"/>
    </row>
    <row r="37" ht="15.75" customHeight="1">
      <c r="A37" s="521">
        <v>136.0</v>
      </c>
      <c r="B37" s="507" t="s">
        <v>217</v>
      </c>
      <c r="C37" s="507" t="s">
        <v>264</v>
      </c>
      <c r="D37" s="522" t="str">
        <f t="shared" si="1"/>
        <v>136Especialista</v>
      </c>
      <c r="E37" s="523">
        <v>0.0</v>
      </c>
      <c r="F37" s="523">
        <v>0.0</v>
      </c>
      <c r="G37" s="524">
        <v>0.0</v>
      </c>
      <c r="H37" s="524">
        <v>0.0</v>
      </c>
      <c r="I37" s="524">
        <v>0.0</v>
      </c>
      <c r="J37" s="524">
        <v>0.0</v>
      </c>
      <c r="K37" s="524">
        <v>0.0</v>
      </c>
      <c r="L37" s="524">
        <v>0.0</v>
      </c>
      <c r="M37" s="524"/>
    </row>
    <row r="38" ht="15.75" customHeight="1">
      <c r="A38" s="521">
        <v>26.0</v>
      </c>
      <c r="B38" s="507" t="s">
        <v>263</v>
      </c>
      <c r="C38" s="507" t="s">
        <v>212</v>
      </c>
      <c r="D38" s="522" t="str">
        <f t="shared" si="1"/>
        <v>26Indiferente</v>
      </c>
      <c r="E38" s="523">
        <v>41.0</v>
      </c>
      <c r="F38" s="523">
        <v>75.0</v>
      </c>
      <c r="G38" s="524">
        <v>3101.07</v>
      </c>
      <c r="H38" s="524">
        <v>4229.05</v>
      </c>
      <c r="I38" s="524">
        <v>5296.2</v>
      </c>
      <c r="J38" s="524">
        <v>5404.98</v>
      </c>
      <c r="K38" s="524">
        <v>6517.53</v>
      </c>
      <c r="L38" s="524">
        <v>7403.38</v>
      </c>
      <c r="M38" s="524"/>
    </row>
    <row r="39" ht="15.75" customHeight="1">
      <c r="A39" s="521">
        <v>26.0</v>
      </c>
      <c r="B39" s="507" t="s">
        <v>263</v>
      </c>
      <c r="C39" s="507" t="s">
        <v>60</v>
      </c>
      <c r="D39" s="522" t="str">
        <f t="shared" si="1"/>
        <v>26Júnior</v>
      </c>
      <c r="E39" s="523">
        <v>8.0</v>
      </c>
      <c r="F39" s="523">
        <v>9.0</v>
      </c>
      <c r="G39" s="524">
        <v>3581.92</v>
      </c>
      <c r="H39" s="524">
        <v>3774.55</v>
      </c>
      <c r="I39" s="524">
        <v>4033.89</v>
      </c>
      <c r="J39" s="524">
        <v>3880.07</v>
      </c>
      <c r="K39" s="524">
        <v>4232.8</v>
      </c>
      <c r="L39" s="524">
        <v>4811.28</v>
      </c>
      <c r="M39" s="524"/>
    </row>
    <row r="40" ht="15.75" customHeight="1">
      <c r="A40" s="521">
        <v>26.0</v>
      </c>
      <c r="B40" s="507" t="s">
        <v>263</v>
      </c>
      <c r="C40" s="507" t="s">
        <v>41</v>
      </c>
      <c r="D40" s="522" t="str">
        <f t="shared" si="1"/>
        <v>26Pleno</v>
      </c>
      <c r="E40" s="523">
        <v>12.0</v>
      </c>
      <c r="F40" s="523">
        <v>16.0</v>
      </c>
      <c r="G40" s="524">
        <v>3596.78</v>
      </c>
      <c r="H40" s="524">
        <v>4180.44</v>
      </c>
      <c r="I40" s="524">
        <v>4561.62</v>
      </c>
      <c r="J40" s="524">
        <v>4721.09</v>
      </c>
      <c r="K40" s="524">
        <v>4998.37</v>
      </c>
      <c r="L40" s="524">
        <v>5332.32</v>
      </c>
      <c r="M40" s="524"/>
    </row>
    <row r="41" ht="15.75" customHeight="1">
      <c r="A41" s="521">
        <v>26.0</v>
      </c>
      <c r="B41" s="507" t="s">
        <v>263</v>
      </c>
      <c r="C41" s="507" t="s">
        <v>53</v>
      </c>
      <c r="D41" s="522" t="str">
        <f t="shared" si="1"/>
        <v>26Sênior</v>
      </c>
      <c r="E41" s="523">
        <v>14.0</v>
      </c>
      <c r="F41" s="523">
        <v>27.0</v>
      </c>
      <c r="G41" s="524">
        <v>5179.15</v>
      </c>
      <c r="H41" s="524">
        <v>6517.53</v>
      </c>
      <c r="I41" s="524">
        <v>6482.17</v>
      </c>
      <c r="J41" s="524">
        <v>6517.53</v>
      </c>
      <c r="K41" s="524">
        <v>6612.66</v>
      </c>
      <c r="L41" s="524">
        <v>7981.85</v>
      </c>
      <c r="M41" s="524"/>
    </row>
    <row r="42" ht="15.75" customHeight="1">
      <c r="A42" s="521">
        <v>26.0</v>
      </c>
      <c r="B42" s="507" t="s">
        <v>263</v>
      </c>
      <c r="C42" s="507" t="s">
        <v>476</v>
      </c>
      <c r="D42" s="522" t="str">
        <f t="shared" si="1"/>
        <v>26Master</v>
      </c>
      <c r="E42" s="523">
        <v>0.0</v>
      </c>
      <c r="F42" s="523">
        <v>0.0</v>
      </c>
      <c r="G42" s="524">
        <v>0.0</v>
      </c>
      <c r="H42" s="524">
        <v>0.0</v>
      </c>
      <c r="I42" s="524">
        <v>0.0</v>
      </c>
      <c r="J42" s="524">
        <v>0.0</v>
      </c>
      <c r="K42" s="524">
        <v>0.0</v>
      </c>
      <c r="L42" s="524">
        <v>0.0</v>
      </c>
      <c r="M42" s="524"/>
    </row>
    <row r="43" ht="15.75" customHeight="1">
      <c r="A43" s="521">
        <v>26.0</v>
      </c>
      <c r="B43" s="507" t="s">
        <v>263</v>
      </c>
      <c r="C43" s="507" t="s">
        <v>264</v>
      </c>
      <c r="D43" s="522" t="str">
        <f t="shared" si="1"/>
        <v>26Especialista</v>
      </c>
      <c r="E43" s="523">
        <v>4.0</v>
      </c>
      <c r="F43" s="523">
        <v>4.0</v>
      </c>
      <c r="G43" s="524">
        <v>6777.08</v>
      </c>
      <c r="H43" s="524">
        <v>10665.2</v>
      </c>
      <c r="I43" s="524">
        <v>12572.61</v>
      </c>
      <c r="J43" s="524">
        <v>13758.75</v>
      </c>
      <c r="K43" s="524">
        <v>15666.17</v>
      </c>
      <c r="L43" s="524">
        <v>15995.86</v>
      </c>
      <c r="M43" s="524"/>
    </row>
    <row r="44" ht="15.75" customHeight="1">
      <c r="A44" s="521">
        <v>876.0</v>
      </c>
      <c r="B44" s="507" t="s">
        <v>311</v>
      </c>
      <c r="C44" s="507" t="s">
        <v>212</v>
      </c>
      <c r="D44" s="522" t="str">
        <f t="shared" si="1"/>
        <v>876Indiferente</v>
      </c>
      <c r="E44" s="523">
        <v>4.0</v>
      </c>
      <c r="F44" s="523">
        <v>7.0</v>
      </c>
      <c r="G44" s="524">
        <v>6752.95</v>
      </c>
      <c r="H44" s="524">
        <v>6868.23</v>
      </c>
      <c r="I44" s="524">
        <v>7611.25</v>
      </c>
      <c r="J44" s="524">
        <v>7320.76</v>
      </c>
      <c r="K44" s="524">
        <v>8153.71</v>
      </c>
      <c r="L44" s="524">
        <v>9161.15</v>
      </c>
      <c r="M44" s="524"/>
    </row>
    <row r="45" ht="15.75" customHeight="1">
      <c r="A45" s="521">
        <v>876.0</v>
      </c>
      <c r="B45" s="507" t="s">
        <v>311</v>
      </c>
      <c r="C45" s="507" t="s">
        <v>60</v>
      </c>
      <c r="D45" s="522" t="str">
        <f t="shared" si="1"/>
        <v>876Júnior</v>
      </c>
      <c r="E45" s="523">
        <v>3.0</v>
      </c>
      <c r="F45" s="523">
        <v>4.0</v>
      </c>
      <c r="G45" s="524">
        <v>3676.83</v>
      </c>
      <c r="H45" s="524">
        <v>6013.08</v>
      </c>
      <c r="I45" s="524">
        <v>6599.99</v>
      </c>
      <c r="J45" s="524">
        <v>6868.23</v>
      </c>
      <c r="K45" s="524">
        <v>7455.13</v>
      </c>
      <c r="L45" s="524">
        <v>8986.67</v>
      </c>
      <c r="M45" s="524"/>
    </row>
    <row r="46" ht="15.75" customHeight="1">
      <c r="A46" s="521">
        <v>876.0</v>
      </c>
      <c r="B46" s="507" t="s">
        <v>311</v>
      </c>
      <c r="C46" s="507" t="s">
        <v>41</v>
      </c>
      <c r="D46" s="522" t="str">
        <f t="shared" si="1"/>
        <v>876Pleno</v>
      </c>
      <c r="E46" s="523">
        <v>1.0</v>
      </c>
      <c r="F46" s="523">
        <v>1.0</v>
      </c>
      <c r="G46" s="524">
        <v>0.0</v>
      </c>
      <c r="H46" s="524">
        <v>0.0</v>
      </c>
      <c r="I46" s="524">
        <v>0.0</v>
      </c>
      <c r="J46" s="524">
        <v>0.0</v>
      </c>
      <c r="K46" s="524">
        <v>0.0</v>
      </c>
      <c r="L46" s="524">
        <v>0.0</v>
      </c>
      <c r="M46" s="524"/>
    </row>
    <row r="47" ht="15.75" customHeight="1">
      <c r="A47" s="521">
        <v>876.0</v>
      </c>
      <c r="B47" s="507" t="s">
        <v>311</v>
      </c>
      <c r="C47" s="507" t="s">
        <v>53</v>
      </c>
      <c r="D47" s="522" t="str">
        <f t="shared" si="1"/>
        <v>876Sênior</v>
      </c>
      <c r="E47" s="523">
        <v>1.0</v>
      </c>
      <c r="F47" s="523">
        <v>1.0</v>
      </c>
      <c r="G47" s="524">
        <v>0.0</v>
      </c>
      <c r="H47" s="524">
        <v>0.0</v>
      </c>
      <c r="I47" s="524">
        <v>0.0</v>
      </c>
      <c r="J47" s="524">
        <v>0.0</v>
      </c>
      <c r="K47" s="524">
        <v>0.0</v>
      </c>
      <c r="L47" s="524">
        <v>0.0</v>
      </c>
      <c r="M47" s="524"/>
    </row>
    <row r="48" ht="15.75" customHeight="1">
      <c r="A48" s="521">
        <v>876.0</v>
      </c>
      <c r="B48" s="507" t="s">
        <v>311</v>
      </c>
      <c r="C48" s="507" t="s">
        <v>476</v>
      </c>
      <c r="D48" s="522" t="str">
        <f t="shared" si="1"/>
        <v>876Master</v>
      </c>
      <c r="E48" s="523">
        <v>0.0</v>
      </c>
      <c r="F48" s="523">
        <v>0.0</v>
      </c>
      <c r="G48" s="524">
        <v>0.0</v>
      </c>
      <c r="H48" s="524">
        <v>0.0</v>
      </c>
      <c r="I48" s="524">
        <v>0.0</v>
      </c>
      <c r="J48" s="524">
        <v>0.0</v>
      </c>
      <c r="K48" s="524">
        <v>0.0</v>
      </c>
      <c r="L48" s="524">
        <v>0.0</v>
      </c>
      <c r="M48" s="524"/>
    </row>
    <row r="49" ht="15.75" customHeight="1">
      <c r="A49" s="521">
        <v>876.0</v>
      </c>
      <c r="B49" s="507" t="s">
        <v>311</v>
      </c>
      <c r="C49" s="507" t="s">
        <v>264</v>
      </c>
      <c r="D49" s="522" t="str">
        <f t="shared" si="1"/>
        <v>876Especialista</v>
      </c>
      <c r="E49" s="523">
        <v>0.0</v>
      </c>
      <c r="F49" s="523">
        <v>0.0</v>
      </c>
      <c r="G49" s="524">
        <v>0.0</v>
      </c>
      <c r="H49" s="524">
        <v>0.0</v>
      </c>
      <c r="I49" s="524">
        <v>0.0</v>
      </c>
      <c r="J49" s="524">
        <v>0.0</v>
      </c>
      <c r="K49" s="524">
        <v>0.0</v>
      </c>
      <c r="L49" s="524">
        <v>0.0</v>
      </c>
      <c r="M49" s="524"/>
    </row>
    <row r="50" ht="15.75" customHeight="1">
      <c r="A50" s="521">
        <v>543.0</v>
      </c>
      <c r="B50" s="507" t="s">
        <v>479</v>
      </c>
      <c r="C50" s="507" t="s">
        <v>212</v>
      </c>
      <c r="D50" s="522" t="str">
        <f t="shared" si="1"/>
        <v>543Indiferente</v>
      </c>
      <c r="E50" s="523">
        <v>3.0</v>
      </c>
      <c r="F50" s="523">
        <v>5.0</v>
      </c>
      <c r="G50" s="524">
        <v>3676.11</v>
      </c>
      <c r="H50" s="524">
        <v>4427.22</v>
      </c>
      <c r="I50" s="524">
        <v>7496.4</v>
      </c>
      <c r="J50" s="524">
        <v>5932.46</v>
      </c>
      <c r="K50" s="524">
        <v>10715.23</v>
      </c>
      <c r="L50" s="524">
        <v>12730.95</v>
      </c>
      <c r="M50" s="524"/>
    </row>
    <row r="51" ht="15.75" customHeight="1">
      <c r="A51" s="521">
        <v>543.0</v>
      </c>
      <c r="B51" s="507" t="s">
        <v>479</v>
      </c>
      <c r="C51" s="507" t="s">
        <v>60</v>
      </c>
      <c r="D51" s="522" t="str">
        <f t="shared" si="1"/>
        <v>543Júnior</v>
      </c>
      <c r="E51" s="523">
        <v>1.0</v>
      </c>
      <c r="F51" s="523">
        <v>1.0</v>
      </c>
      <c r="G51" s="524">
        <v>0.0</v>
      </c>
      <c r="H51" s="524">
        <v>0.0</v>
      </c>
      <c r="I51" s="524">
        <v>0.0</v>
      </c>
      <c r="J51" s="524">
        <v>0.0</v>
      </c>
      <c r="K51" s="524">
        <v>0.0</v>
      </c>
      <c r="L51" s="524">
        <v>0.0</v>
      </c>
      <c r="M51" s="524"/>
    </row>
    <row r="52" ht="15.75" customHeight="1">
      <c r="A52" s="521">
        <v>543.0</v>
      </c>
      <c r="B52" s="507" t="s">
        <v>479</v>
      </c>
      <c r="C52" s="507" t="s">
        <v>41</v>
      </c>
      <c r="D52" s="522" t="str">
        <f t="shared" si="1"/>
        <v>543Pleno</v>
      </c>
      <c r="E52" s="523">
        <v>1.0</v>
      </c>
      <c r="F52" s="523">
        <v>1.0</v>
      </c>
      <c r="G52" s="524">
        <v>0.0</v>
      </c>
      <c r="H52" s="524">
        <v>0.0</v>
      </c>
      <c r="I52" s="524">
        <v>0.0</v>
      </c>
      <c r="J52" s="524">
        <v>0.0</v>
      </c>
      <c r="K52" s="524">
        <v>0.0</v>
      </c>
      <c r="L52" s="524">
        <v>0.0</v>
      </c>
      <c r="M52" s="524"/>
    </row>
    <row r="53" ht="15.75" customHeight="1">
      <c r="A53" s="521">
        <v>543.0</v>
      </c>
      <c r="B53" s="507" t="s">
        <v>479</v>
      </c>
      <c r="C53" s="507" t="s">
        <v>53</v>
      </c>
      <c r="D53" s="522" t="str">
        <f t="shared" si="1"/>
        <v>543Sênior</v>
      </c>
      <c r="E53" s="523">
        <v>1.0</v>
      </c>
      <c r="F53" s="523">
        <v>1.0</v>
      </c>
      <c r="G53" s="524">
        <v>0.0</v>
      </c>
      <c r="H53" s="524">
        <v>0.0</v>
      </c>
      <c r="I53" s="524">
        <v>0.0</v>
      </c>
      <c r="J53" s="524">
        <v>0.0</v>
      </c>
      <c r="K53" s="524">
        <v>0.0</v>
      </c>
      <c r="L53" s="524">
        <v>0.0</v>
      </c>
      <c r="M53" s="524"/>
    </row>
    <row r="54" ht="15.75" customHeight="1">
      <c r="A54" s="521">
        <v>543.0</v>
      </c>
      <c r="B54" s="507" t="s">
        <v>479</v>
      </c>
      <c r="C54" s="507" t="s">
        <v>476</v>
      </c>
      <c r="D54" s="522" t="str">
        <f t="shared" si="1"/>
        <v>543Master</v>
      </c>
      <c r="E54" s="523">
        <v>0.0</v>
      </c>
      <c r="F54" s="523">
        <v>0.0</v>
      </c>
      <c r="G54" s="524">
        <v>0.0</v>
      </c>
      <c r="H54" s="524">
        <v>0.0</v>
      </c>
      <c r="I54" s="524">
        <v>0.0</v>
      </c>
      <c r="J54" s="524">
        <v>0.0</v>
      </c>
      <c r="K54" s="524">
        <v>0.0</v>
      </c>
      <c r="L54" s="524">
        <v>0.0</v>
      </c>
      <c r="M54" s="524"/>
    </row>
    <row r="55" ht="15.75" customHeight="1">
      <c r="A55" s="521">
        <v>543.0</v>
      </c>
      <c r="B55" s="507" t="s">
        <v>479</v>
      </c>
      <c r="C55" s="507" t="s">
        <v>264</v>
      </c>
      <c r="D55" s="522" t="str">
        <f t="shared" si="1"/>
        <v>543Especialista</v>
      </c>
      <c r="E55" s="523">
        <v>1.0</v>
      </c>
      <c r="F55" s="523">
        <v>1.0</v>
      </c>
      <c r="G55" s="524">
        <v>0.0</v>
      </c>
      <c r="H55" s="524">
        <v>0.0</v>
      </c>
      <c r="I55" s="524">
        <v>0.0</v>
      </c>
      <c r="J55" s="524">
        <v>0.0</v>
      </c>
      <c r="K55" s="524">
        <v>0.0</v>
      </c>
      <c r="L55" s="524">
        <v>0.0</v>
      </c>
      <c r="M55" s="524"/>
    </row>
    <row r="56" ht="15.75" customHeight="1">
      <c r="A56" s="521">
        <v>437.0</v>
      </c>
      <c r="B56" s="507" t="s">
        <v>222</v>
      </c>
      <c r="C56" s="507" t="s">
        <v>212</v>
      </c>
      <c r="D56" s="522" t="str">
        <f t="shared" si="1"/>
        <v>437Indiferente</v>
      </c>
      <c r="E56" s="521">
        <v>7.0</v>
      </c>
      <c r="F56" s="521">
        <v>30.0</v>
      </c>
      <c r="G56" s="525">
        <v>4634.38</v>
      </c>
      <c r="H56" s="525">
        <v>5268.47</v>
      </c>
      <c r="I56" s="525">
        <v>5831.57</v>
      </c>
      <c r="J56" s="525">
        <v>5268.47</v>
      </c>
      <c r="K56" s="525">
        <v>6822.26</v>
      </c>
      <c r="L56" s="525">
        <v>7760.14</v>
      </c>
      <c r="M56" s="525"/>
    </row>
    <row r="57" ht="15.75" customHeight="1">
      <c r="A57" s="521">
        <v>437.0</v>
      </c>
      <c r="B57" s="507" t="s">
        <v>222</v>
      </c>
      <c r="C57" s="507" t="s">
        <v>60</v>
      </c>
      <c r="D57" s="522" t="str">
        <f t="shared" si="1"/>
        <v>437Júnior</v>
      </c>
      <c r="E57" s="521">
        <v>6.0</v>
      </c>
      <c r="F57" s="521">
        <v>21.0</v>
      </c>
      <c r="G57" s="525">
        <v>4634.38</v>
      </c>
      <c r="H57" s="525">
        <v>5268.47</v>
      </c>
      <c r="I57" s="525">
        <v>5321.45</v>
      </c>
      <c r="J57" s="525">
        <v>5268.47</v>
      </c>
      <c r="K57" s="525">
        <v>5268.47</v>
      </c>
      <c r="L57" s="525">
        <v>6651.54</v>
      </c>
      <c r="M57" s="525"/>
    </row>
    <row r="58" ht="15.75" customHeight="1">
      <c r="A58" s="521">
        <v>437.0</v>
      </c>
      <c r="B58" s="507" t="s">
        <v>222</v>
      </c>
      <c r="C58" s="507" t="s">
        <v>41</v>
      </c>
      <c r="D58" s="522" t="str">
        <f t="shared" si="1"/>
        <v>437Pleno</v>
      </c>
      <c r="E58" s="521">
        <v>1.0</v>
      </c>
      <c r="F58" s="521">
        <v>2.0</v>
      </c>
      <c r="G58" s="525">
        <v>7321.13</v>
      </c>
      <c r="H58" s="525">
        <v>7430.88</v>
      </c>
      <c r="I58" s="525">
        <v>7540.63</v>
      </c>
      <c r="J58" s="525">
        <v>7540.63</v>
      </c>
      <c r="K58" s="525">
        <v>7650.38</v>
      </c>
      <c r="L58" s="525">
        <v>7760.14</v>
      </c>
      <c r="M58" s="525"/>
    </row>
    <row r="59" ht="15.75" customHeight="1">
      <c r="A59" s="521">
        <v>437.0</v>
      </c>
      <c r="B59" s="507" t="s">
        <v>222</v>
      </c>
      <c r="C59" s="507" t="s">
        <v>53</v>
      </c>
      <c r="D59" s="522" t="str">
        <f t="shared" si="1"/>
        <v>437Sênior</v>
      </c>
      <c r="E59" s="521">
        <v>2.0</v>
      </c>
      <c r="F59" s="521">
        <v>6.0</v>
      </c>
      <c r="G59" s="525">
        <v>6264.85</v>
      </c>
      <c r="H59" s="525">
        <v>8314.43</v>
      </c>
      <c r="I59" s="525">
        <v>8418.69</v>
      </c>
      <c r="J59" s="525">
        <v>8601.56</v>
      </c>
      <c r="K59" s="525">
        <v>9202.24</v>
      </c>
      <c r="L59" s="525">
        <v>9423.02</v>
      </c>
      <c r="M59" s="525"/>
    </row>
    <row r="60" ht="15.75" customHeight="1">
      <c r="A60" s="521">
        <v>437.0</v>
      </c>
      <c r="B60" s="507" t="s">
        <v>222</v>
      </c>
      <c r="C60" s="507" t="s">
        <v>476</v>
      </c>
      <c r="D60" s="522" t="str">
        <f t="shared" si="1"/>
        <v>437Master</v>
      </c>
      <c r="E60" s="521">
        <v>0.0</v>
      </c>
      <c r="F60" s="521">
        <v>0.0</v>
      </c>
      <c r="G60" s="525">
        <v>0.0</v>
      </c>
      <c r="H60" s="525">
        <v>0.0</v>
      </c>
      <c r="I60" s="525">
        <v>0.0</v>
      </c>
      <c r="J60" s="525">
        <v>0.0</v>
      </c>
      <c r="K60" s="525">
        <v>0.0</v>
      </c>
      <c r="L60" s="525">
        <v>0.0</v>
      </c>
      <c r="M60" s="525"/>
    </row>
    <row r="61" ht="15.75" customHeight="1">
      <c r="A61" s="521">
        <v>437.0</v>
      </c>
      <c r="B61" s="507" t="s">
        <v>222</v>
      </c>
      <c r="C61" s="507" t="s">
        <v>264</v>
      </c>
      <c r="D61" s="522" t="str">
        <f t="shared" si="1"/>
        <v>437Especialista</v>
      </c>
      <c r="E61" s="521">
        <v>0.0</v>
      </c>
      <c r="F61" s="521">
        <v>0.0</v>
      </c>
      <c r="G61" s="525">
        <v>0.0</v>
      </c>
      <c r="H61" s="525">
        <v>0.0</v>
      </c>
      <c r="I61" s="525">
        <v>0.0</v>
      </c>
      <c r="J61" s="525">
        <v>0.0</v>
      </c>
      <c r="K61" s="525">
        <v>0.0</v>
      </c>
      <c r="L61" s="525">
        <v>0.0</v>
      </c>
      <c r="M61" s="525"/>
    </row>
    <row r="62" ht="15.75" customHeight="1">
      <c r="A62" s="521">
        <v>42.0</v>
      </c>
      <c r="B62" s="507" t="s">
        <v>226</v>
      </c>
      <c r="C62" s="507" t="s">
        <v>212</v>
      </c>
      <c r="D62" s="522" t="str">
        <f t="shared" si="1"/>
        <v>42Indiferente</v>
      </c>
      <c r="E62" s="523">
        <v>91.0</v>
      </c>
      <c r="F62" s="523">
        <v>251.0</v>
      </c>
      <c r="G62" s="524">
        <v>3628.12</v>
      </c>
      <c r="H62" s="524">
        <v>4031.24</v>
      </c>
      <c r="I62" s="524">
        <v>5121.6</v>
      </c>
      <c r="J62" s="524">
        <v>4967.88</v>
      </c>
      <c r="K62" s="524">
        <v>6431.49</v>
      </c>
      <c r="L62" s="524">
        <v>6746.92</v>
      </c>
      <c r="M62" s="524"/>
    </row>
    <row r="63" ht="15.75" customHeight="1">
      <c r="A63" s="521">
        <v>42.0</v>
      </c>
      <c r="B63" s="507" t="s">
        <v>226</v>
      </c>
      <c r="C63" s="507" t="s">
        <v>60</v>
      </c>
      <c r="D63" s="522" t="str">
        <f t="shared" si="1"/>
        <v>42Júnior</v>
      </c>
      <c r="E63" s="523">
        <v>43.0</v>
      </c>
      <c r="F63" s="523">
        <v>71.0</v>
      </c>
      <c r="G63" s="524">
        <v>2523.15</v>
      </c>
      <c r="H63" s="524">
        <v>3503.85</v>
      </c>
      <c r="I63" s="524">
        <v>3792.81</v>
      </c>
      <c r="J63" s="524">
        <v>3674.96</v>
      </c>
      <c r="K63" s="524">
        <v>3977.13</v>
      </c>
      <c r="L63" s="524">
        <v>5225.68</v>
      </c>
      <c r="M63" s="524"/>
    </row>
    <row r="64" ht="15.75" customHeight="1">
      <c r="A64" s="521">
        <v>42.0</v>
      </c>
      <c r="B64" s="507" t="s">
        <v>226</v>
      </c>
      <c r="C64" s="507" t="s">
        <v>41</v>
      </c>
      <c r="D64" s="522" t="str">
        <f t="shared" si="1"/>
        <v>42Pleno</v>
      </c>
      <c r="E64" s="523">
        <v>31.0</v>
      </c>
      <c r="F64" s="523">
        <v>103.0</v>
      </c>
      <c r="G64" s="524">
        <v>4544.65</v>
      </c>
      <c r="H64" s="524">
        <v>5353.12</v>
      </c>
      <c r="I64" s="524">
        <v>5953.51</v>
      </c>
      <c r="J64" s="524">
        <v>6431.49</v>
      </c>
      <c r="K64" s="524">
        <v>6431.49</v>
      </c>
      <c r="L64" s="524">
        <v>6609.05</v>
      </c>
      <c r="M64" s="524"/>
    </row>
    <row r="65" ht="15.75" customHeight="1">
      <c r="A65" s="521">
        <v>42.0</v>
      </c>
      <c r="B65" s="507" t="s">
        <v>226</v>
      </c>
      <c r="C65" s="507" t="s">
        <v>53</v>
      </c>
      <c r="D65" s="522" t="str">
        <f t="shared" si="1"/>
        <v>42Sênior</v>
      </c>
      <c r="E65" s="523">
        <v>26.0</v>
      </c>
      <c r="F65" s="523">
        <v>38.0</v>
      </c>
      <c r="G65" s="524">
        <v>4635.92</v>
      </c>
      <c r="H65" s="524">
        <v>6370.85</v>
      </c>
      <c r="I65" s="524">
        <v>6710.07</v>
      </c>
      <c r="J65" s="524">
        <v>6579.75</v>
      </c>
      <c r="K65" s="524">
        <v>7311.11</v>
      </c>
      <c r="L65" s="524">
        <v>8633.48</v>
      </c>
      <c r="M65" s="524"/>
    </row>
    <row r="66" ht="15.75" customHeight="1">
      <c r="A66" s="521">
        <v>42.0</v>
      </c>
      <c r="B66" s="507" t="s">
        <v>226</v>
      </c>
      <c r="C66" s="507" t="s">
        <v>476</v>
      </c>
      <c r="D66" s="522" t="str">
        <f t="shared" si="1"/>
        <v>42Master</v>
      </c>
      <c r="E66" s="523">
        <v>1.0</v>
      </c>
      <c r="F66" s="523">
        <v>1.0</v>
      </c>
      <c r="G66" s="524">
        <v>7298.41</v>
      </c>
      <c r="H66" s="524">
        <v>7298.41</v>
      </c>
      <c r="I66" s="524">
        <v>7298.41</v>
      </c>
      <c r="J66" s="524">
        <v>7298.41</v>
      </c>
      <c r="K66" s="524">
        <v>7298.41</v>
      </c>
      <c r="L66" s="524">
        <v>7298.41</v>
      </c>
      <c r="M66" s="524"/>
    </row>
    <row r="67" ht="15.75" customHeight="1">
      <c r="A67" s="521">
        <v>42.0</v>
      </c>
      <c r="B67" s="507" t="s">
        <v>226</v>
      </c>
      <c r="C67" s="507" t="s">
        <v>264</v>
      </c>
      <c r="D67" s="522" t="str">
        <f t="shared" si="1"/>
        <v>42Especialista</v>
      </c>
      <c r="E67" s="523">
        <v>4.0</v>
      </c>
      <c r="F67" s="523">
        <v>7.0</v>
      </c>
      <c r="G67" s="524">
        <v>7605.92</v>
      </c>
      <c r="H67" s="524">
        <v>9298.28</v>
      </c>
      <c r="I67" s="524">
        <v>10192.48</v>
      </c>
      <c r="J67" s="524">
        <v>9944.56</v>
      </c>
      <c r="K67" s="524">
        <v>10855.49</v>
      </c>
      <c r="L67" s="524">
        <v>13489.33</v>
      </c>
      <c r="M67" s="524"/>
    </row>
    <row r="68" ht="15.75" customHeight="1">
      <c r="A68" s="521">
        <v>45.0</v>
      </c>
      <c r="B68" s="507" t="s">
        <v>220</v>
      </c>
      <c r="C68" s="507" t="s">
        <v>212</v>
      </c>
      <c r="D68" s="522" t="str">
        <f t="shared" si="1"/>
        <v>45Indiferente</v>
      </c>
      <c r="E68" s="523">
        <v>21.0</v>
      </c>
      <c r="F68" s="523">
        <v>33.0</v>
      </c>
      <c r="G68" s="524">
        <v>2771.48</v>
      </c>
      <c r="H68" s="524">
        <v>3527.33</v>
      </c>
      <c r="I68" s="524">
        <v>4325.16</v>
      </c>
      <c r="J68" s="524">
        <v>4325.72</v>
      </c>
      <c r="K68" s="524">
        <v>4988.66</v>
      </c>
      <c r="L68" s="524">
        <v>6418.74</v>
      </c>
      <c r="M68" s="524"/>
    </row>
    <row r="69" ht="15.75" customHeight="1">
      <c r="A69" s="521">
        <v>45.0</v>
      </c>
      <c r="B69" s="507" t="s">
        <v>220</v>
      </c>
      <c r="C69" s="507" t="s">
        <v>60</v>
      </c>
      <c r="D69" s="522" t="str">
        <f t="shared" si="1"/>
        <v>45Júnior</v>
      </c>
      <c r="E69" s="523">
        <v>6.0</v>
      </c>
      <c r="F69" s="523">
        <v>7.0</v>
      </c>
      <c r="G69" s="524">
        <v>2771.48</v>
      </c>
      <c r="H69" s="524">
        <v>2897.45</v>
      </c>
      <c r="I69" s="524">
        <v>3212.69</v>
      </c>
      <c r="J69" s="524">
        <v>3048.62</v>
      </c>
      <c r="K69" s="524">
        <v>3496.87</v>
      </c>
      <c r="L69" s="524">
        <v>3880.07</v>
      </c>
      <c r="M69" s="524"/>
    </row>
    <row r="70" ht="15.75" customHeight="1">
      <c r="A70" s="521">
        <v>45.0</v>
      </c>
      <c r="B70" s="507" t="s">
        <v>220</v>
      </c>
      <c r="C70" s="507" t="s">
        <v>41</v>
      </c>
      <c r="D70" s="522" t="str">
        <f t="shared" si="1"/>
        <v>45Pleno</v>
      </c>
      <c r="E70" s="523">
        <v>9.0</v>
      </c>
      <c r="F70" s="523">
        <v>9.0</v>
      </c>
      <c r="G70" s="524">
        <v>3930.46</v>
      </c>
      <c r="H70" s="524">
        <v>4089.69</v>
      </c>
      <c r="I70" s="524">
        <v>4587.72</v>
      </c>
      <c r="J70" s="524">
        <v>4706.47</v>
      </c>
      <c r="K70" s="524">
        <v>4988.66</v>
      </c>
      <c r="L70" s="524">
        <v>5542.95</v>
      </c>
      <c r="M70" s="524"/>
    </row>
    <row r="71" ht="15.75" customHeight="1">
      <c r="A71" s="521">
        <v>45.0</v>
      </c>
      <c r="B71" s="507" t="s">
        <v>220</v>
      </c>
      <c r="C71" s="507" t="s">
        <v>53</v>
      </c>
      <c r="D71" s="522" t="str">
        <f t="shared" si="1"/>
        <v>45Sênior</v>
      </c>
      <c r="E71" s="523">
        <v>4.0</v>
      </c>
      <c r="F71" s="523">
        <v>4.0</v>
      </c>
      <c r="G71" s="524">
        <v>4160.24</v>
      </c>
      <c r="H71" s="524">
        <v>5716.93</v>
      </c>
      <c r="I71" s="524">
        <v>5945.35</v>
      </c>
      <c r="J71" s="524">
        <v>6327.28</v>
      </c>
      <c r="K71" s="524">
        <v>6555.71</v>
      </c>
      <c r="L71" s="524">
        <v>6966.62</v>
      </c>
      <c r="M71" s="524"/>
    </row>
    <row r="72" ht="15.75" customHeight="1">
      <c r="A72" s="521">
        <v>45.0</v>
      </c>
      <c r="B72" s="507" t="s">
        <v>220</v>
      </c>
      <c r="C72" s="507" t="s">
        <v>476</v>
      </c>
      <c r="D72" s="522" t="str">
        <f t="shared" si="1"/>
        <v>45Master</v>
      </c>
      <c r="E72" s="523">
        <v>0.0</v>
      </c>
      <c r="F72" s="523">
        <v>0.0</v>
      </c>
      <c r="G72" s="524">
        <v>0.0</v>
      </c>
      <c r="H72" s="524">
        <v>0.0</v>
      </c>
      <c r="I72" s="524">
        <v>0.0</v>
      </c>
      <c r="J72" s="524">
        <v>0.0</v>
      </c>
      <c r="K72" s="524">
        <v>0.0</v>
      </c>
      <c r="L72" s="524">
        <v>0.0</v>
      </c>
      <c r="M72" s="524"/>
    </row>
    <row r="73" ht="15.75" customHeight="1">
      <c r="A73" s="521">
        <v>45.0</v>
      </c>
      <c r="B73" s="507" t="s">
        <v>220</v>
      </c>
      <c r="C73" s="507" t="s">
        <v>264</v>
      </c>
      <c r="D73" s="522" t="str">
        <f t="shared" si="1"/>
        <v>45Especialista</v>
      </c>
      <c r="E73" s="523">
        <v>1.0</v>
      </c>
      <c r="F73" s="523">
        <v>1.0</v>
      </c>
      <c r="G73" s="524">
        <v>15213.55</v>
      </c>
      <c r="H73" s="524">
        <v>15213.55</v>
      </c>
      <c r="I73" s="524">
        <v>15213.55</v>
      </c>
      <c r="J73" s="524">
        <v>15213.55</v>
      </c>
      <c r="K73" s="524">
        <v>15213.55</v>
      </c>
      <c r="L73" s="524">
        <v>15213.55</v>
      </c>
      <c r="M73" s="524"/>
    </row>
    <row r="74" ht="15.75" customHeight="1">
      <c r="A74" s="521">
        <v>46.0</v>
      </c>
      <c r="B74" s="507" t="s">
        <v>480</v>
      </c>
      <c r="C74" s="507" t="s">
        <v>212</v>
      </c>
      <c r="D74" s="522" t="str">
        <f t="shared" si="1"/>
        <v>46Indiferente</v>
      </c>
      <c r="E74" s="523">
        <v>1.0</v>
      </c>
      <c r="F74" s="523">
        <v>1.0</v>
      </c>
      <c r="G74" s="524">
        <v>0.0</v>
      </c>
      <c r="H74" s="524">
        <v>0.0</v>
      </c>
      <c r="I74" s="524">
        <v>0.0</v>
      </c>
      <c r="J74" s="524">
        <v>0.0</v>
      </c>
      <c r="K74" s="524">
        <v>0.0</v>
      </c>
      <c r="L74" s="524">
        <v>0.0</v>
      </c>
      <c r="M74" s="524"/>
    </row>
    <row r="75" ht="15.75" customHeight="1">
      <c r="A75" s="521">
        <v>46.0</v>
      </c>
      <c r="B75" s="507" t="s">
        <v>480</v>
      </c>
      <c r="C75" s="507" t="s">
        <v>60</v>
      </c>
      <c r="D75" s="522" t="str">
        <f t="shared" si="1"/>
        <v>46Júnior</v>
      </c>
      <c r="E75" s="523">
        <v>0.0</v>
      </c>
      <c r="F75" s="523">
        <v>0.0</v>
      </c>
      <c r="G75" s="524">
        <v>0.0</v>
      </c>
      <c r="H75" s="524">
        <v>0.0</v>
      </c>
      <c r="I75" s="524">
        <v>0.0</v>
      </c>
      <c r="J75" s="524">
        <v>0.0</v>
      </c>
      <c r="K75" s="524">
        <v>0.0</v>
      </c>
      <c r="L75" s="524">
        <v>0.0</v>
      </c>
      <c r="M75" s="524"/>
    </row>
    <row r="76" ht="15.75" customHeight="1">
      <c r="A76" s="521">
        <v>46.0</v>
      </c>
      <c r="B76" s="507" t="s">
        <v>480</v>
      </c>
      <c r="C76" s="507" t="s">
        <v>41</v>
      </c>
      <c r="D76" s="522" t="str">
        <f t="shared" si="1"/>
        <v>46Pleno</v>
      </c>
      <c r="E76" s="523">
        <v>1.0</v>
      </c>
      <c r="F76" s="523">
        <v>1.0</v>
      </c>
      <c r="G76" s="524">
        <v>0.0</v>
      </c>
      <c r="H76" s="524">
        <v>0.0</v>
      </c>
      <c r="I76" s="524">
        <v>0.0</v>
      </c>
      <c r="J76" s="524">
        <v>0.0</v>
      </c>
      <c r="K76" s="524">
        <v>0.0</v>
      </c>
      <c r="L76" s="524">
        <v>0.0</v>
      </c>
      <c r="M76" s="524"/>
    </row>
    <row r="77" ht="15.75" customHeight="1">
      <c r="A77" s="521">
        <v>46.0</v>
      </c>
      <c r="B77" s="507" t="s">
        <v>480</v>
      </c>
      <c r="C77" s="507" t="s">
        <v>53</v>
      </c>
      <c r="D77" s="522" t="str">
        <f t="shared" si="1"/>
        <v>46Sênior</v>
      </c>
      <c r="E77" s="523">
        <v>0.0</v>
      </c>
      <c r="F77" s="523">
        <v>0.0</v>
      </c>
      <c r="G77" s="524">
        <v>0.0</v>
      </c>
      <c r="H77" s="524">
        <v>0.0</v>
      </c>
      <c r="I77" s="524">
        <v>0.0</v>
      </c>
      <c r="J77" s="524">
        <v>0.0</v>
      </c>
      <c r="K77" s="524">
        <v>0.0</v>
      </c>
      <c r="L77" s="524">
        <v>0.0</v>
      </c>
      <c r="M77" s="524"/>
    </row>
    <row r="78" ht="15.75" customHeight="1">
      <c r="A78" s="521">
        <v>46.0</v>
      </c>
      <c r="B78" s="507" t="s">
        <v>480</v>
      </c>
      <c r="C78" s="507" t="s">
        <v>476</v>
      </c>
      <c r="D78" s="522" t="str">
        <f t="shared" si="1"/>
        <v>46Master</v>
      </c>
      <c r="E78" s="523">
        <v>0.0</v>
      </c>
      <c r="F78" s="523">
        <v>0.0</v>
      </c>
      <c r="G78" s="524">
        <v>0.0</v>
      </c>
      <c r="H78" s="524">
        <v>0.0</v>
      </c>
      <c r="I78" s="524">
        <v>0.0</v>
      </c>
      <c r="J78" s="524">
        <v>0.0</v>
      </c>
      <c r="K78" s="524">
        <v>0.0</v>
      </c>
      <c r="L78" s="524">
        <v>0.0</v>
      </c>
      <c r="M78" s="524"/>
    </row>
    <row r="79" ht="15.75" customHeight="1">
      <c r="A79" s="521">
        <v>46.0</v>
      </c>
      <c r="B79" s="507" t="s">
        <v>480</v>
      </c>
      <c r="C79" s="507" t="s">
        <v>264</v>
      </c>
      <c r="D79" s="522" t="str">
        <f t="shared" si="1"/>
        <v>46Especialista</v>
      </c>
      <c r="E79" s="523">
        <v>0.0</v>
      </c>
      <c r="F79" s="523">
        <v>0.0</v>
      </c>
      <c r="G79" s="524">
        <v>0.0</v>
      </c>
      <c r="H79" s="524">
        <v>0.0</v>
      </c>
      <c r="I79" s="524">
        <v>0.0</v>
      </c>
      <c r="J79" s="524">
        <v>0.0</v>
      </c>
      <c r="K79" s="524">
        <v>0.0</v>
      </c>
      <c r="L79" s="524">
        <v>0.0</v>
      </c>
      <c r="M79" s="524"/>
    </row>
    <row r="80" ht="15.75" customHeight="1">
      <c r="A80" s="521">
        <v>190.0</v>
      </c>
      <c r="B80" s="507" t="s">
        <v>481</v>
      </c>
      <c r="C80" s="507" t="s">
        <v>212</v>
      </c>
      <c r="D80" s="522" t="str">
        <f t="shared" si="1"/>
        <v>190Indiferente</v>
      </c>
      <c r="E80" s="523">
        <v>10.0</v>
      </c>
      <c r="F80" s="523">
        <v>16.0</v>
      </c>
      <c r="G80" s="524">
        <v>3566.64</v>
      </c>
      <c r="H80" s="524">
        <v>3992.72</v>
      </c>
      <c r="I80" s="524">
        <v>5454.26</v>
      </c>
      <c r="J80" s="524">
        <v>4526.33</v>
      </c>
      <c r="K80" s="524">
        <v>6722.34</v>
      </c>
      <c r="L80" s="524">
        <v>8901.26</v>
      </c>
      <c r="M80" s="524"/>
    </row>
    <row r="81" ht="15.75" customHeight="1">
      <c r="A81" s="521">
        <v>190.0</v>
      </c>
      <c r="B81" s="507" t="s">
        <v>481</v>
      </c>
      <c r="C81" s="507" t="s">
        <v>60</v>
      </c>
      <c r="D81" s="522" t="str">
        <f t="shared" si="1"/>
        <v>190Júnior</v>
      </c>
      <c r="E81" s="523">
        <v>0.0</v>
      </c>
      <c r="F81" s="523">
        <v>0.0</v>
      </c>
      <c r="G81" s="524">
        <v>0.0</v>
      </c>
      <c r="H81" s="524">
        <v>0.0</v>
      </c>
      <c r="I81" s="524">
        <v>0.0</v>
      </c>
      <c r="J81" s="524">
        <v>0.0</v>
      </c>
      <c r="K81" s="524">
        <v>0.0</v>
      </c>
      <c r="L81" s="524">
        <v>0.0</v>
      </c>
      <c r="M81" s="524"/>
    </row>
    <row r="82" ht="15.75" customHeight="1">
      <c r="A82" s="521">
        <v>190.0</v>
      </c>
      <c r="B82" s="507" t="s">
        <v>481</v>
      </c>
      <c r="C82" s="507" t="s">
        <v>41</v>
      </c>
      <c r="D82" s="522" t="str">
        <f t="shared" si="1"/>
        <v>190Pleno</v>
      </c>
      <c r="E82" s="523">
        <v>0.0</v>
      </c>
      <c r="F82" s="523">
        <v>0.0</v>
      </c>
      <c r="G82" s="524">
        <v>0.0</v>
      </c>
      <c r="H82" s="524">
        <v>0.0</v>
      </c>
      <c r="I82" s="524">
        <v>0.0</v>
      </c>
      <c r="J82" s="524">
        <v>0.0</v>
      </c>
      <c r="K82" s="524">
        <v>0.0</v>
      </c>
      <c r="L82" s="524">
        <v>0.0</v>
      </c>
      <c r="M82" s="524"/>
    </row>
    <row r="83" ht="15.75" customHeight="1">
      <c r="A83" s="521">
        <v>190.0</v>
      </c>
      <c r="B83" s="507" t="s">
        <v>481</v>
      </c>
      <c r="C83" s="507" t="s">
        <v>53</v>
      </c>
      <c r="D83" s="522" t="str">
        <f t="shared" si="1"/>
        <v>190Sênior</v>
      </c>
      <c r="E83" s="523">
        <v>0.0</v>
      </c>
      <c r="F83" s="523">
        <v>0.0</v>
      </c>
      <c r="G83" s="524">
        <v>0.0</v>
      </c>
      <c r="H83" s="524">
        <v>0.0</v>
      </c>
      <c r="I83" s="524">
        <v>0.0</v>
      </c>
      <c r="J83" s="524">
        <v>0.0</v>
      </c>
      <c r="K83" s="524">
        <v>0.0</v>
      </c>
      <c r="L83" s="524">
        <v>0.0</v>
      </c>
      <c r="M83" s="524"/>
    </row>
    <row r="84" ht="15.75" customHeight="1">
      <c r="A84" s="521">
        <v>190.0</v>
      </c>
      <c r="B84" s="507" t="s">
        <v>481</v>
      </c>
      <c r="C84" s="507" t="s">
        <v>476</v>
      </c>
      <c r="D84" s="522" t="str">
        <f t="shared" si="1"/>
        <v>190Master</v>
      </c>
      <c r="E84" s="523">
        <v>0.0</v>
      </c>
      <c r="F84" s="523">
        <v>0.0</v>
      </c>
      <c r="G84" s="524">
        <v>0.0</v>
      </c>
      <c r="H84" s="524">
        <v>0.0</v>
      </c>
      <c r="I84" s="524">
        <v>0.0</v>
      </c>
      <c r="J84" s="524">
        <v>0.0</v>
      </c>
      <c r="K84" s="524">
        <v>0.0</v>
      </c>
      <c r="L84" s="524">
        <v>0.0</v>
      </c>
      <c r="M84" s="524"/>
    </row>
    <row r="85" ht="15.75" customHeight="1">
      <c r="A85" s="521">
        <v>190.0</v>
      </c>
      <c r="B85" s="507" t="s">
        <v>481</v>
      </c>
      <c r="C85" s="507" t="s">
        <v>264</v>
      </c>
      <c r="D85" s="522" t="str">
        <f t="shared" si="1"/>
        <v>190Especialista</v>
      </c>
      <c r="E85" s="523">
        <v>3.0</v>
      </c>
      <c r="F85" s="523">
        <v>3.0</v>
      </c>
      <c r="G85" s="524">
        <v>8868.73</v>
      </c>
      <c r="H85" s="524">
        <v>9503.39</v>
      </c>
      <c r="I85" s="524">
        <v>10138.06</v>
      </c>
      <c r="J85" s="524">
        <v>10138.06</v>
      </c>
      <c r="K85" s="524">
        <v>10772.73</v>
      </c>
      <c r="L85" s="524">
        <v>11407.4</v>
      </c>
      <c r="M85" s="524"/>
    </row>
    <row r="86" ht="15.75" customHeight="1">
      <c r="A86" s="521">
        <v>375.0</v>
      </c>
      <c r="B86" s="507" t="s">
        <v>482</v>
      </c>
      <c r="C86" s="507" t="s">
        <v>212</v>
      </c>
      <c r="D86" s="522" t="str">
        <f t="shared" si="1"/>
        <v>375Indiferente</v>
      </c>
      <c r="E86" s="523">
        <v>26.0</v>
      </c>
      <c r="F86" s="523">
        <v>106.0</v>
      </c>
      <c r="G86" s="524">
        <v>4263.71</v>
      </c>
      <c r="H86" s="524">
        <v>5825.62</v>
      </c>
      <c r="I86" s="524">
        <v>7261.64</v>
      </c>
      <c r="J86" s="524">
        <v>7037.03</v>
      </c>
      <c r="K86" s="524">
        <v>8502.36</v>
      </c>
      <c r="L86" s="524">
        <v>10999.65</v>
      </c>
      <c r="M86" s="524"/>
    </row>
    <row r="87" ht="15.75" customHeight="1">
      <c r="A87" s="521">
        <v>375.0</v>
      </c>
      <c r="B87" s="507" t="s">
        <v>482</v>
      </c>
      <c r="C87" s="507" t="s">
        <v>60</v>
      </c>
      <c r="D87" s="522" t="str">
        <f t="shared" si="1"/>
        <v>375Júnior</v>
      </c>
      <c r="E87" s="523">
        <v>9.0</v>
      </c>
      <c r="F87" s="523">
        <v>25.0</v>
      </c>
      <c r="G87" s="524">
        <v>4263.71</v>
      </c>
      <c r="H87" s="524">
        <v>4988.66</v>
      </c>
      <c r="I87" s="524">
        <v>5430.43</v>
      </c>
      <c r="J87" s="524">
        <v>5682.03</v>
      </c>
      <c r="K87" s="524">
        <v>5825.62</v>
      </c>
      <c r="L87" s="524">
        <v>6352.06</v>
      </c>
      <c r="M87" s="524"/>
    </row>
    <row r="88" ht="15.75" customHeight="1">
      <c r="A88" s="521">
        <v>375.0</v>
      </c>
      <c r="B88" s="507" t="s">
        <v>482</v>
      </c>
      <c r="C88" s="507" t="s">
        <v>41</v>
      </c>
      <c r="D88" s="522" t="str">
        <f t="shared" si="1"/>
        <v>375Pleno</v>
      </c>
      <c r="E88" s="523">
        <v>16.0</v>
      </c>
      <c r="F88" s="523">
        <v>38.0</v>
      </c>
      <c r="G88" s="524">
        <v>5158.69</v>
      </c>
      <c r="H88" s="524">
        <v>6387.82</v>
      </c>
      <c r="I88" s="524">
        <v>7317.46</v>
      </c>
      <c r="J88" s="524">
        <v>7570.59</v>
      </c>
      <c r="K88" s="524">
        <v>7981.69</v>
      </c>
      <c r="L88" s="524">
        <v>9715.94</v>
      </c>
      <c r="M88" s="524"/>
    </row>
    <row r="89" ht="15.75" customHeight="1">
      <c r="A89" s="521">
        <v>375.0</v>
      </c>
      <c r="B89" s="507" t="s">
        <v>482</v>
      </c>
      <c r="C89" s="507" t="s">
        <v>53</v>
      </c>
      <c r="D89" s="522" t="str">
        <f t="shared" si="1"/>
        <v>375Sênior</v>
      </c>
      <c r="E89" s="523">
        <v>5.0</v>
      </c>
      <c r="F89" s="523">
        <v>21.0</v>
      </c>
      <c r="G89" s="524">
        <v>8010.41</v>
      </c>
      <c r="H89" s="524">
        <v>9713.43</v>
      </c>
      <c r="I89" s="524">
        <v>9771.57</v>
      </c>
      <c r="J89" s="524">
        <v>9884.2</v>
      </c>
      <c r="K89" s="524">
        <v>10148.17</v>
      </c>
      <c r="L89" s="524">
        <v>10999.65</v>
      </c>
      <c r="M89" s="524"/>
    </row>
    <row r="90" ht="15.75" customHeight="1">
      <c r="A90" s="521">
        <v>375.0</v>
      </c>
      <c r="B90" s="507" t="s">
        <v>482</v>
      </c>
      <c r="C90" s="507" t="s">
        <v>476</v>
      </c>
      <c r="D90" s="522" t="str">
        <f t="shared" si="1"/>
        <v>375Master</v>
      </c>
      <c r="E90" s="523">
        <v>0.0</v>
      </c>
      <c r="F90" s="523">
        <v>0.0</v>
      </c>
      <c r="G90" s="524">
        <v>0.0</v>
      </c>
      <c r="H90" s="524">
        <v>0.0</v>
      </c>
      <c r="I90" s="524">
        <v>0.0</v>
      </c>
      <c r="J90" s="524">
        <v>0.0</v>
      </c>
      <c r="K90" s="524">
        <v>0.0</v>
      </c>
      <c r="L90" s="524">
        <v>0.0</v>
      </c>
      <c r="M90" s="524"/>
    </row>
    <row r="91" ht="15.75" customHeight="1">
      <c r="A91" s="521">
        <v>375.0</v>
      </c>
      <c r="B91" s="507" t="s">
        <v>482</v>
      </c>
      <c r="C91" s="507" t="s">
        <v>264</v>
      </c>
      <c r="D91" s="522" t="str">
        <f t="shared" si="1"/>
        <v>375Especialista</v>
      </c>
      <c r="E91" s="523">
        <v>4.0</v>
      </c>
      <c r="F91" s="523">
        <v>9.0</v>
      </c>
      <c r="G91" s="524">
        <v>8536.63</v>
      </c>
      <c r="H91" s="524">
        <v>10959.31</v>
      </c>
      <c r="I91" s="524">
        <v>14232.03</v>
      </c>
      <c r="J91" s="524">
        <v>15861.11</v>
      </c>
      <c r="K91" s="524">
        <v>17178.13</v>
      </c>
      <c r="L91" s="524">
        <v>18161.9</v>
      </c>
      <c r="M91" s="524"/>
    </row>
    <row r="92" ht="15.75" customHeight="1">
      <c r="A92" s="521">
        <v>18.0</v>
      </c>
      <c r="B92" s="507" t="s">
        <v>483</v>
      </c>
      <c r="C92" s="507" t="s">
        <v>212</v>
      </c>
      <c r="D92" s="522" t="str">
        <f t="shared" si="1"/>
        <v>18Indiferente</v>
      </c>
      <c r="E92" s="523">
        <v>3.0</v>
      </c>
      <c r="F92" s="523">
        <v>5.0</v>
      </c>
      <c r="G92" s="524">
        <v>4263.33</v>
      </c>
      <c r="H92" s="524">
        <v>4263.33</v>
      </c>
      <c r="I92" s="524">
        <v>5899.22</v>
      </c>
      <c r="J92" s="524">
        <v>6083.28</v>
      </c>
      <c r="K92" s="524">
        <v>7320.76</v>
      </c>
      <c r="L92" s="524">
        <v>7565.39</v>
      </c>
      <c r="M92" s="524"/>
    </row>
    <row r="93" ht="15.75" customHeight="1">
      <c r="A93" s="521">
        <v>18.0</v>
      </c>
      <c r="B93" s="507" t="s">
        <v>483</v>
      </c>
      <c r="C93" s="507" t="s">
        <v>60</v>
      </c>
      <c r="D93" s="522" t="str">
        <f t="shared" si="1"/>
        <v>18Júnior</v>
      </c>
      <c r="E93" s="523">
        <v>1.0</v>
      </c>
      <c r="F93" s="523">
        <v>1.0</v>
      </c>
      <c r="G93" s="524">
        <v>0.0</v>
      </c>
      <c r="H93" s="524">
        <v>0.0</v>
      </c>
      <c r="I93" s="524">
        <v>0.0</v>
      </c>
      <c r="J93" s="524">
        <v>0.0</v>
      </c>
      <c r="K93" s="524">
        <v>0.0</v>
      </c>
      <c r="L93" s="524">
        <v>0.0</v>
      </c>
      <c r="M93" s="524"/>
    </row>
    <row r="94" ht="15.75" customHeight="1">
      <c r="A94" s="521">
        <v>18.0</v>
      </c>
      <c r="B94" s="507" t="s">
        <v>483</v>
      </c>
      <c r="C94" s="507" t="s">
        <v>41</v>
      </c>
      <c r="D94" s="522" t="str">
        <f t="shared" si="1"/>
        <v>18Pleno</v>
      </c>
      <c r="E94" s="523">
        <v>2.0</v>
      </c>
      <c r="F94" s="523">
        <v>3.0</v>
      </c>
      <c r="G94" s="524">
        <v>0.0</v>
      </c>
      <c r="H94" s="524">
        <v>0.0</v>
      </c>
      <c r="I94" s="524">
        <v>0.0</v>
      </c>
      <c r="J94" s="524">
        <v>0.0</v>
      </c>
      <c r="K94" s="524">
        <v>0.0</v>
      </c>
      <c r="L94" s="524">
        <v>0.0</v>
      </c>
      <c r="M94" s="524"/>
    </row>
    <row r="95" ht="15.75" customHeight="1">
      <c r="A95" s="521">
        <v>18.0</v>
      </c>
      <c r="B95" s="507" t="s">
        <v>483</v>
      </c>
      <c r="C95" s="507" t="s">
        <v>53</v>
      </c>
      <c r="D95" s="522" t="str">
        <f t="shared" si="1"/>
        <v>18Sênior</v>
      </c>
      <c r="E95" s="523">
        <v>1.0</v>
      </c>
      <c r="F95" s="523">
        <v>2.0</v>
      </c>
      <c r="G95" s="524">
        <v>0.0</v>
      </c>
      <c r="H95" s="524">
        <v>0.0</v>
      </c>
      <c r="I95" s="524">
        <v>0.0</v>
      </c>
      <c r="J95" s="524">
        <v>0.0</v>
      </c>
      <c r="K95" s="524">
        <v>0.0</v>
      </c>
      <c r="L95" s="524">
        <v>0.0</v>
      </c>
      <c r="M95" s="524"/>
    </row>
    <row r="96" ht="15.75" customHeight="1">
      <c r="A96" s="521">
        <v>18.0</v>
      </c>
      <c r="B96" s="507" t="s">
        <v>483</v>
      </c>
      <c r="C96" s="507" t="s">
        <v>476</v>
      </c>
      <c r="D96" s="522" t="str">
        <f t="shared" si="1"/>
        <v>18Master</v>
      </c>
      <c r="E96" s="523">
        <v>0.0</v>
      </c>
      <c r="F96" s="523">
        <v>0.0</v>
      </c>
      <c r="G96" s="524">
        <v>0.0</v>
      </c>
      <c r="H96" s="524">
        <v>0.0</v>
      </c>
      <c r="I96" s="524">
        <v>0.0</v>
      </c>
      <c r="J96" s="524">
        <v>0.0</v>
      </c>
      <c r="K96" s="524">
        <v>0.0</v>
      </c>
      <c r="L96" s="524">
        <v>0.0</v>
      </c>
      <c r="M96" s="524"/>
    </row>
    <row r="97" ht="15.75" customHeight="1">
      <c r="A97" s="521">
        <v>18.0</v>
      </c>
      <c r="B97" s="507" t="s">
        <v>483</v>
      </c>
      <c r="C97" s="507" t="s">
        <v>264</v>
      </c>
      <c r="D97" s="522" t="str">
        <f t="shared" si="1"/>
        <v>18Especialista</v>
      </c>
      <c r="E97" s="523">
        <v>0.0</v>
      </c>
      <c r="F97" s="523">
        <v>0.0</v>
      </c>
      <c r="G97" s="524">
        <v>0.0</v>
      </c>
      <c r="H97" s="524">
        <v>0.0</v>
      </c>
      <c r="I97" s="524">
        <v>0.0</v>
      </c>
      <c r="J97" s="524">
        <v>0.0</v>
      </c>
      <c r="K97" s="524">
        <v>0.0</v>
      </c>
      <c r="L97" s="524">
        <v>0.0</v>
      </c>
      <c r="M97" s="524"/>
    </row>
    <row r="98" ht="15.75" customHeight="1">
      <c r="A98" s="521">
        <v>52.0</v>
      </c>
      <c r="B98" s="507" t="s">
        <v>484</v>
      </c>
      <c r="C98" s="507" t="s">
        <v>212</v>
      </c>
      <c r="D98" s="522" t="str">
        <f t="shared" si="1"/>
        <v>52Indiferente</v>
      </c>
      <c r="E98" s="523">
        <v>6.0</v>
      </c>
      <c r="F98" s="523">
        <v>16.0</v>
      </c>
      <c r="G98" s="524">
        <v>4005.94</v>
      </c>
      <c r="H98" s="524">
        <v>4594.77</v>
      </c>
      <c r="I98" s="524">
        <v>5563.23</v>
      </c>
      <c r="J98" s="524">
        <v>5333.66</v>
      </c>
      <c r="K98" s="524">
        <v>6560.6</v>
      </c>
      <c r="L98" s="524">
        <v>7807.34</v>
      </c>
      <c r="M98" s="524"/>
    </row>
    <row r="99" ht="15.75" customHeight="1">
      <c r="A99" s="521">
        <v>52.0</v>
      </c>
      <c r="B99" s="507" t="s">
        <v>484</v>
      </c>
      <c r="C99" s="507" t="s">
        <v>60</v>
      </c>
      <c r="D99" s="522" t="str">
        <f t="shared" si="1"/>
        <v>52Júnior</v>
      </c>
      <c r="E99" s="523">
        <v>3.0</v>
      </c>
      <c r="F99" s="523">
        <v>5.0</v>
      </c>
      <c r="G99" s="524">
        <v>3303.79</v>
      </c>
      <c r="H99" s="524">
        <v>3615.91</v>
      </c>
      <c r="I99" s="524">
        <v>3862.22</v>
      </c>
      <c r="J99" s="524">
        <v>3615.91</v>
      </c>
      <c r="K99" s="524">
        <v>4005.94</v>
      </c>
      <c r="L99" s="524">
        <v>4769.56</v>
      </c>
      <c r="M99" s="524"/>
    </row>
    <row r="100" ht="15.75" customHeight="1">
      <c r="A100" s="521">
        <v>52.0</v>
      </c>
      <c r="B100" s="507" t="s">
        <v>484</v>
      </c>
      <c r="C100" s="507" t="s">
        <v>41</v>
      </c>
      <c r="D100" s="522" t="str">
        <f t="shared" si="1"/>
        <v>52Pleno</v>
      </c>
      <c r="E100" s="523">
        <v>3.0</v>
      </c>
      <c r="F100" s="523">
        <v>7.0</v>
      </c>
      <c r="G100" s="524">
        <v>4216.57</v>
      </c>
      <c r="H100" s="524">
        <v>5020.44</v>
      </c>
      <c r="I100" s="524">
        <v>5655.43</v>
      </c>
      <c r="J100" s="524">
        <v>5950.56</v>
      </c>
      <c r="K100" s="524">
        <v>6399.23</v>
      </c>
      <c r="L100" s="524">
        <v>6581.56</v>
      </c>
      <c r="M100" s="524"/>
    </row>
    <row r="101" ht="15.75" customHeight="1">
      <c r="A101" s="521">
        <v>52.0</v>
      </c>
      <c r="B101" s="507" t="s">
        <v>484</v>
      </c>
      <c r="C101" s="507" t="s">
        <v>53</v>
      </c>
      <c r="D101" s="522" t="str">
        <f t="shared" si="1"/>
        <v>52Sênior</v>
      </c>
      <c r="E101" s="523">
        <v>2.0</v>
      </c>
      <c r="F101" s="523">
        <v>4.0</v>
      </c>
      <c r="G101" s="524">
        <v>0.0</v>
      </c>
      <c r="H101" s="524">
        <v>0.0</v>
      </c>
      <c r="I101" s="524">
        <v>0.0</v>
      </c>
      <c r="J101" s="524">
        <v>0.0</v>
      </c>
      <c r="K101" s="524">
        <v>0.0</v>
      </c>
      <c r="L101" s="524">
        <v>0.0</v>
      </c>
      <c r="M101" s="524"/>
    </row>
    <row r="102" ht="15.75" customHeight="1">
      <c r="A102" s="521">
        <v>52.0</v>
      </c>
      <c r="B102" s="507" t="s">
        <v>484</v>
      </c>
      <c r="C102" s="507" t="s">
        <v>476</v>
      </c>
      <c r="D102" s="522" t="str">
        <f t="shared" si="1"/>
        <v>52Master</v>
      </c>
      <c r="E102" s="523">
        <v>0.0</v>
      </c>
      <c r="F102" s="523">
        <v>0.0</v>
      </c>
      <c r="G102" s="524">
        <v>0.0</v>
      </c>
      <c r="H102" s="524">
        <v>0.0</v>
      </c>
      <c r="I102" s="524">
        <v>0.0</v>
      </c>
      <c r="J102" s="524">
        <v>0.0</v>
      </c>
      <c r="K102" s="524">
        <v>0.0</v>
      </c>
      <c r="L102" s="524">
        <v>0.0</v>
      </c>
      <c r="M102" s="524"/>
    </row>
    <row r="103" ht="15.75" customHeight="1">
      <c r="A103" s="521">
        <v>52.0</v>
      </c>
      <c r="B103" s="507" t="s">
        <v>484</v>
      </c>
      <c r="C103" s="507" t="s">
        <v>264</v>
      </c>
      <c r="D103" s="522" t="str">
        <f t="shared" si="1"/>
        <v>52Especialista</v>
      </c>
      <c r="E103" s="523">
        <v>0.0</v>
      </c>
      <c r="F103" s="523">
        <v>0.0</v>
      </c>
      <c r="G103" s="524">
        <v>0.0</v>
      </c>
      <c r="H103" s="524">
        <v>0.0</v>
      </c>
      <c r="I103" s="524">
        <v>0.0</v>
      </c>
      <c r="J103" s="524">
        <v>0.0</v>
      </c>
      <c r="K103" s="524">
        <v>0.0</v>
      </c>
      <c r="L103" s="524">
        <v>0.0</v>
      </c>
      <c r="M103" s="524"/>
    </row>
    <row r="104" ht="15.75" customHeight="1">
      <c r="A104" s="521">
        <v>376.0</v>
      </c>
      <c r="B104" s="507" t="s">
        <v>485</v>
      </c>
      <c r="C104" s="507" t="s">
        <v>212</v>
      </c>
      <c r="D104" s="522" t="str">
        <f t="shared" si="1"/>
        <v>376Indiferente</v>
      </c>
      <c r="E104" s="523">
        <v>3.0</v>
      </c>
      <c r="F104" s="523">
        <v>9.0</v>
      </c>
      <c r="G104" s="524">
        <v>2865.68</v>
      </c>
      <c r="H104" s="524">
        <v>3233.69</v>
      </c>
      <c r="I104" s="524">
        <v>3909.2</v>
      </c>
      <c r="J104" s="524">
        <v>3820.91</v>
      </c>
      <c r="K104" s="524">
        <v>4223.11</v>
      </c>
      <c r="L104" s="524">
        <v>5806.07</v>
      </c>
      <c r="M104" s="524"/>
    </row>
    <row r="105" ht="15.75" customHeight="1">
      <c r="A105" s="521">
        <v>376.0</v>
      </c>
      <c r="B105" s="507" t="s">
        <v>485</v>
      </c>
      <c r="C105" s="507" t="s">
        <v>60</v>
      </c>
      <c r="D105" s="522" t="str">
        <f t="shared" si="1"/>
        <v>376Júnior</v>
      </c>
      <c r="E105" s="523">
        <v>2.0</v>
      </c>
      <c r="F105" s="523">
        <v>2.0</v>
      </c>
      <c r="G105" s="524">
        <v>0.0</v>
      </c>
      <c r="H105" s="524">
        <v>0.0</v>
      </c>
      <c r="I105" s="524">
        <v>0.0</v>
      </c>
      <c r="J105" s="524">
        <v>0.0</v>
      </c>
      <c r="K105" s="524">
        <v>0.0</v>
      </c>
      <c r="L105" s="524">
        <v>0.0</v>
      </c>
      <c r="M105" s="524"/>
    </row>
    <row r="106" ht="15.75" customHeight="1">
      <c r="A106" s="521">
        <v>376.0</v>
      </c>
      <c r="B106" s="507" t="s">
        <v>485</v>
      </c>
      <c r="C106" s="507" t="s">
        <v>41</v>
      </c>
      <c r="D106" s="522" t="str">
        <f t="shared" si="1"/>
        <v>376Pleno</v>
      </c>
      <c r="E106" s="523">
        <v>2.0</v>
      </c>
      <c r="F106" s="523">
        <v>5.0</v>
      </c>
      <c r="G106" s="524">
        <v>0.0</v>
      </c>
      <c r="H106" s="524">
        <v>0.0</v>
      </c>
      <c r="I106" s="524">
        <v>0.0</v>
      </c>
      <c r="J106" s="524">
        <v>0.0</v>
      </c>
      <c r="K106" s="524">
        <v>0.0</v>
      </c>
      <c r="L106" s="524">
        <v>0.0</v>
      </c>
      <c r="M106" s="524"/>
    </row>
    <row r="107" ht="15.75" customHeight="1">
      <c r="A107" s="521">
        <v>376.0</v>
      </c>
      <c r="B107" s="507" t="s">
        <v>485</v>
      </c>
      <c r="C107" s="507" t="s">
        <v>53</v>
      </c>
      <c r="D107" s="522" t="str">
        <f t="shared" si="1"/>
        <v>376Sênior</v>
      </c>
      <c r="E107" s="523">
        <v>0.0</v>
      </c>
      <c r="F107" s="523">
        <v>0.0</v>
      </c>
      <c r="G107" s="524">
        <v>0.0</v>
      </c>
      <c r="H107" s="524">
        <v>0.0</v>
      </c>
      <c r="I107" s="524">
        <v>0.0</v>
      </c>
      <c r="J107" s="524">
        <v>0.0</v>
      </c>
      <c r="K107" s="524">
        <v>0.0</v>
      </c>
      <c r="L107" s="524">
        <v>0.0</v>
      </c>
      <c r="M107" s="524"/>
    </row>
    <row r="108" ht="15.75" customHeight="1">
      <c r="A108" s="521">
        <v>376.0</v>
      </c>
      <c r="B108" s="507" t="s">
        <v>485</v>
      </c>
      <c r="C108" s="507" t="s">
        <v>476</v>
      </c>
      <c r="D108" s="522" t="str">
        <f t="shared" si="1"/>
        <v>376Master</v>
      </c>
      <c r="E108" s="523">
        <v>0.0</v>
      </c>
      <c r="F108" s="523">
        <v>0.0</v>
      </c>
      <c r="G108" s="524">
        <v>0.0</v>
      </c>
      <c r="H108" s="524">
        <v>0.0</v>
      </c>
      <c r="I108" s="524">
        <v>0.0</v>
      </c>
      <c r="J108" s="524">
        <v>0.0</v>
      </c>
      <c r="K108" s="524">
        <v>0.0</v>
      </c>
      <c r="L108" s="524">
        <v>0.0</v>
      </c>
      <c r="M108" s="524"/>
    </row>
    <row r="109" ht="15.75" customHeight="1">
      <c r="A109" s="521">
        <v>376.0</v>
      </c>
      <c r="B109" s="507" t="s">
        <v>485</v>
      </c>
      <c r="C109" s="507" t="s">
        <v>264</v>
      </c>
      <c r="D109" s="522" t="str">
        <f t="shared" si="1"/>
        <v>376Especialista</v>
      </c>
      <c r="E109" s="523">
        <v>0.0</v>
      </c>
      <c r="F109" s="523">
        <v>0.0</v>
      </c>
      <c r="G109" s="524">
        <v>0.0</v>
      </c>
      <c r="H109" s="524">
        <v>0.0</v>
      </c>
      <c r="I109" s="524">
        <v>0.0</v>
      </c>
      <c r="J109" s="524">
        <v>0.0</v>
      </c>
      <c r="K109" s="524">
        <v>0.0</v>
      </c>
      <c r="L109" s="524">
        <v>0.0</v>
      </c>
      <c r="M109" s="524"/>
    </row>
    <row r="110" ht="15.75" customHeight="1">
      <c r="A110" s="521">
        <v>30.0</v>
      </c>
      <c r="B110" s="507" t="s">
        <v>486</v>
      </c>
      <c r="C110" s="507" t="s">
        <v>212</v>
      </c>
      <c r="D110" s="522" t="str">
        <f t="shared" si="1"/>
        <v>30Indiferente</v>
      </c>
      <c r="E110" s="523">
        <v>3.0</v>
      </c>
      <c r="F110" s="523">
        <v>6.0</v>
      </c>
      <c r="G110" s="524">
        <v>4057.2</v>
      </c>
      <c r="H110" s="524">
        <v>4352.31</v>
      </c>
      <c r="I110" s="524">
        <v>5537.62</v>
      </c>
      <c r="J110" s="524">
        <v>5278.86</v>
      </c>
      <c r="K110" s="524">
        <v>6649.62</v>
      </c>
      <c r="L110" s="524">
        <v>7460.82</v>
      </c>
      <c r="M110" s="524"/>
    </row>
    <row r="111" ht="15.75" customHeight="1">
      <c r="A111" s="521">
        <v>30.0</v>
      </c>
      <c r="B111" s="507" t="s">
        <v>486</v>
      </c>
      <c r="C111" s="507" t="s">
        <v>60</v>
      </c>
      <c r="D111" s="522" t="str">
        <f t="shared" si="1"/>
        <v>30Júnior</v>
      </c>
      <c r="E111" s="523">
        <v>1.0</v>
      </c>
      <c r="F111" s="523">
        <v>1.0</v>
      </c>
      <c r="G111" s="524">
        <v>0.0</v>
      </c>
      <c r="H111" s="524">
        <v>0.0</v>
      </c>
      <c r="I111" s="524">
        <v>0.0</v>
      </c>
      <c r="J111" s="524">
        <v>0.0</v>
      </c>
      <c r="K111" s="524">
        <v>0.0</v>
      </c>
      <c r="L111" s="524">
        <v>0.0</v>
      </c>
      <c r="M111" s="524"/>
    </row>
    <row r="112" ht="15.75" customHeight="1">
      <c r="A112" s="521">
        <v>30.0</v>
      </c>
      <c r="B112" s="507" t="s">
        <v>486</v>
      </c>
      <c r="C112" s="507" t="s">
        <v>41</v>
      </c>
      <c r="D112" s="522" t="str">
        <f t="shared" si="1"/>
        <v>30Pleno</v>
      </c>
      <c r="E112" s="523">
        <v>2.0</v>
      </c>
      <c r="F112" s="523">
        <v>3.0</v>
      </c>
      <c r="G112" s="524">
        <v>0.0</v>
      </c>
      <c r="H112" s="524">
        <v>0.0</v>
      </c>
      <c r="I112" s="524">
        <v>0.0</v>
      </c>
      <c r="J112" s="524">
        <v>0.0</v>
      </c>
      <c r="K112" s="524">
        <v>0.0</v>
      </c>
      <c r="L112" s="524">
        <v>0.0</v>
      </c>
      <c r="M112" s="524"/>
    </row>
    <row r="113" ht="15.75" customHeight="1">
      <c r="A113" s="521">
        <v>30.0</v>
      </c>
      <c r="B113" s="507" t="s">
        <v>486</v>
      </c>
      <c r="C113" s="507" t="s">
        <v>53</v>
      </c>
      <c r="D113" s="522" t="str">
        <f t="shared" si="1"/>
        <v>30Sênior</v>
      </c>
      <c r="E113" s="523">
        <v>2.0</v>
      </c>
      <c r="F113" s="523">
        <v>3.0</v>
      </c>
      <c r="G113" s="524">
        <v>0.0</v>
      </c>
      <c r="H113" s="524">
        <v>0.0</v>
      </c>
      <c r="I113" s="524">
        <v>0.0</v>
      </c>
      <c r="J113" s="524">
        <v>0.0</v>
      </c>
      <c r="K113" s="524">
        <v>0.0</v>
      </c>
      <c r="L113" s="524">
        <v>0.0</v>
      </c>
      <c r="M113" s="524"/>
    </row>
    <row r="114" ht="15.75" customHeight="1">
      <c r="A114" s="521">
        <v>30.0</v>
      </c>
      <c r="B114" s="507" t="s">
        <v>486</v>
      </c>
      <c r="C114" s="507" t="s">
        <v>476</v>
      </c>
      <c r="D114" s="522" t="str">
        <f t="shared" si="1"/>
        <v>30Master</v>
      </c>
      <c r="E114" s="523">
        <v>0.0</v>
      </c>
      <c r="F114" s="523">
        <v>0.0</v>
      </c>
      <c r="G114" s="524">
        <v>0.0</v>
      </c>
      <c r="H114" s="524">
        <v>0.0</v>
      </c>
      <c r="I114" s="524">
        <v>0.0</v>
      </c>
      <c r="J114" s="524">
        <v>0.0</v>
      </c>
      <c r="K114" s="524">
        <v>0.0</v>
      </c>
      <c r="L114" s="524">
        <v>0.0</v>
      </c>
      <c r="M114" s="524"/>
    </row>
    <row r="115" ht="15.75" customHeight="1">
      <c r="A115" s="521">
        <v>30.0</v>
      </c>
      <c r="B115" s="507" t="s">
        <v>486</v>
      </c>
      <c r="C115" s="507" t="s">
        <v>264</v>
      </c>
      <c r="D115" s="522" t="str">
        <f t="shared" si="1"/>
        <v>30Especialista</v>
      </c>
      <c r="E115" s="523">
        <v>0.0</v>
      </c>
      <c r="F115" s="523">
        <v>0.0</v>
      </c>
      <c r="G115" s="524">
        <v>0.0</v>
      </c>
      <c r="H115" s="524">
        <v>0.0</v>
      </c>
      <c r="I115" s="524">
        <v>0.0</v>
      </c>
      <c r="J115" s="524">
        <v>0.0</v>
      </c>
      <c r="K115" s="524">
        <v>0.0</v>
      </c>
      <c r="L115" s="524">
        <v>0.0</v>
      </c>
      <c r="M115" s="524"/>
    </row>
    <row r="116" ht="15.75" customHeight="1">
      <c r="A116" s="521">
        <v>1199.0</v>
      </c>
      <c r="B116" s="507" t="s">
        <v>230</v>
      </c>
      <c r="C116" s="507" t="s">
        <v>212</v>
      </c>
      <c r="D116" s="522" t="str">
        <f t="shared" si="1"/>
        <v>1199Indiferente</v>
      </c>
      <c r="E116" s="523">
        <v>3.0</v>
      </c>
      <c r="F116" s="523">
        <v>6.0</v>
      </c>
      <c r="G116" s="524">
        <v>5862.07</v>
      </c>
      <c r="H116" s="524">
        <v>6091.54</v>
      </c>
      <c r="I116" s="524">
        <v>7637.46</v>
      </c>
      <c r="J116" s="524">
        <v>7848.45</v>
      </c>
      <c r="K116" s="524">
        <v>9161.15</v>
      </c>
      <c r="L116" s="524">
        <v>9161.15</v>
      </c>
      <c r="M116" s="524"/>
    </row>
    <row r="117" ht="15.75" customHeight="1">
      <c r="A117" s="521">
        <v>1199.0</v>
      </c>
      <c r="B117" s="507" t="s">
        <v>230</v>
      </c>
      <c r="C117" s="507" t="s">
        <v>60</v>
      </c>
      <c r="D117" s="522" t="str">
        <f t="shared" si="1"/>
        <v>1199Júnior</v>
      </c>
      <c r="E117" s="523">
        <v>2.0</v>
      </c>
      <c r="F117" s="523">
        <v>2.0</v>
      </c>
      <c r="G117" s="524">
        <v>0.0</v>
      </c>
      <c r="H117" s="524">
        <v>0.0</v>
      </c>
      <c r="I117" s="524">
        <v>0.0</v>
      </c>
      <c r="J117" s="524">
        <v>0.0</v>
      </c>
      <c r="K117" s="524">
        <v>0.0</v>
      </c>
      <c r="L117" s="524">
        <v>0.0</v>
      </c>
      <c r="M117" s="524"/>
    </row>
    <row r="118" ht="15.75" customHeight="1">
      <c r="A118" s="521">
        <v>1199.0</v>
      </c>
      <c r="B118" s="507" t="s">
        <v>230</v>
      </c>
      <c r="C118" s="507" t="s">
        <v>41</v>
      </c>
      <c r="D118" s="522" t="str">
        <f t="shared" si="1"/>
        <v>1199Pleno</v>
      </c>
      <c r="E118" s="523">
        <v>2.0</v>
      </c>
      <c r="F118" s="523">
        <v>4.0</v>
      </c>
      <c r="G118" s="524">
        <v>0.0</v>
      </c>
      <c r="H118" s="524">
        <v>0.0</v>
      </c>
      <c r="I118" s="524">
        <v>0.0</v>
      </c>
      <c r="J118" s="524">
        <v>0.0</v>
      </c>
      <c r="K118" s="524">
        <v>0.0</v>
      </c>
      <c r="L118" s="524">
        <v>0.0</v>
      </c>
      <c r="M118" s="524"/>
    </row>
    <row r="119" ht="15.75" customHeight="1">
      <c r="A119" s="521">
        <v>1199.0</v>
      </c>
      <c r="B119" s="507" t="s">
        <v>230</v>
      </c>
      <c r="C119" s="507" t="s">
        <v>53</v>
      </c>
      <c r="D119" s="522" t="str">
        <f t="shared" si="1"/>
        <v>1199Sênior</v>
      </c>
      <c r="E119" s="523">
        <v>1.0</v>
      </c>
      <c r="F119" s="523">
        <v>2.0</v>
      </c>
      <c r="G119" s="524">
        <v>0.0</v>
      </c>
      <c r="H119" s="524">
        <v>0.0</v>
      </c>
      <c r="I119" s="524">
        <v>0.0</v>
      </c>
      <c r="J119" s="524">
        <v>0.0</v>
      </c>
      <c r="K119" s="524">
        <v>0.0</v>
      </c>
      <c r="L119" s="524">
        <v>0.0</v>
      </c>
      <c r="M119" s="524"/>
    </row>
    <row r="120" ht="15.75" customHeight="1">
      <c r="A120" s="521">
        <v>1199.0</v>
      </c>
      <c r="B120" s="507" t="s">
        <v>230</v>
      </c>
      <c r="C120" s="507" t="s">
        <v>476</v>
      </c>
      <c r="D120" s="522" t="str">
        <f t="shared" si="1"/>
        <v>1199Master</v>
      </c>
      <c r="E120" s="523">
        <v>0.0</v>
      </c>
      <c r="F120" s="523">
        <v>0.0</v>
      </c>
      <c r="G120" s="524">
        <v>0.0</v>
      </c>
      <c r="H120" s="524">
        <v>0.0</v>
      </c>
      <c r="I120" s="524">
        <v>0.0</v>
      </c>
      <c r="J120" s="524">
        <v>0.0</v>
      </c>
      <c r="K120" s="524">
        <v>0.0</v>
      </c>
      <c r="L120" s="524">
        <v>0.0</v>
      </c>
      <c r="M120" s="524"/>
    </row>
    <row r="121" ht="15.75" customHeight="1">
      <c r="A121" s="521">
        <v>1199.0</v>
      </c>
      <c r="B121" s="507" t="s">
        <v>230</v>
      </c>
      <c r="C121" s="507" t="s">
        <v>264</v>
      </c>
      <c r="D121" s="522" t="str">
        <f t="shared" si="1"/>
        <v>1199Especialista</v>
      </c>
      <c r="E121" s="523">
        <v>0.0</v>
      </c>
      <c r="F121" s="523">
        <v>0.0</v>
      </c>
      <c r="G121" s="524">
        <v>0.0</v>
      </c>
      <c r="H121" s="524">
        <v>0.0</v>
      </c>
      <c r="I121" s="524">
        <v>0.0</v>
      </c>
      <c r="J121" s="524">
        <v>0.0</v>
      </c>
      <c r="K121" s="524">
        <v>0.0</v>
      </c>
      <c r="L121" s="524">
        <v>0.0</v>
      </c>
      <c r="M121" s="524"/>
    </row>
    <row r="122" ht="15.75" customHeight="1">
      <c r="A122" s="521">
        <v>16.0</v>
      </c>
      <c r="B122" s="507" t="s">
        <v>232</v>
      </c>
      <c r="C122" s="507" t="s">
        <v>212</v>
      </c>
      <c r="D122" s="522" t="str">
        <f t="shared" si="1"/>
        <v>16Indiferente</v>
      </c>
      <c r="E122" s="521">
        <v>128.0</v>
      </c>
      <c r="F122" s="521">
        <v>283.0</v>
      </c>
      <c r="G122" s="525">
        <v>3163.47</v>
      </c>
      <c r="H122" s="525">
        <v>3880.07</v>
      </c>
      <c r="I122" s="525">
        <v>4552.22</v>
      </c>
      <c r="J122" s="525">
        <v>4489.37</v>
      </c>
      <c r="K122" s="525">
        <v>5018.92</v>
      </c>
      <c r="L122" s="525">
        <v>6825.24</v>
      </c>
      <c r="M122" s="525"/>
    </row>
    <row r="123" ht="15.75" customHeight="1">
      <c r="A123" s="521">
        <v>16.0</v>
      </c>
      <c r="B123" s="507" t="s">
        <v>232</v>
      </c>
      <c r="C123" s="507" t="s">
        <v>60</v>
      </c>
      <c r="D123" s="522" t="str">
        <f t="shared" si="1"/>
        <v>16Júnior</v>
      </c>
      <c r="E123" s="521">
        <v>54.0</v>
      </c>
      <c r="F123" s="521">
        <v>72.0</v>
      </c>
      <c r="G123" s="525">
        <v>2937.55</v>
      </c>
      <c r="H123" s="525">
        <v>3176.35</v>
      </c>
      <c r="I123" s="525">
        <v>3539.11</v>
      </c>
      <c r="J123" s="525">
        <v>3493.97</v>
      </c>
      <c r="K123" s="525">
        <v>3798.49</v>
      </c>
      <c r="L123" s="525">
        <v>4392.23</v>
      </c>
      <c r="M123" s="525"/>
    </row>
    <row r="124" ht="15.75" customHeight="1">
      <c r="A124" s="521">
        <v>16.0</v>
      </c>
      <c r="B124" s="507" t="s">
        <v>232</v>
      </c>
      <c r="C124" s="507" t="s">
        <v>41</v>
      </c>
      <c r="D124" s="522" t="str">
        <f t="shared" si="1"/>
        <v>16Pleno</v>
      </c>
      <c r="E124" s="521">
        <v>79.0</v>
      </c>
      <c r="F124" s="521">
        <v>132.0</v>
      </c>
      <c r="G124" s="525">
        <v>3739.98</v>
      </c>
      <c r="H124" s="525">
        <v>4260.53</v>
      </c>
      <c r="I124" s="525">
        <v>4775.58</v>
      </c>
      <c r="J124" s="525">
        <v>4714.28</v>
      </c>
      <c r="K124" s="525">
        <v>5046.92</v>
      </c>
      <c r="L124" s="525">
        <v>6825.24</v>
      </c>
      <c r="M124" s="525"/>
    </row>
    <row r="125" ht="15.75" customHeight="1">
      <c r="A125" s="521">
        <v>16.0</v>
      </c>
      <c r="B125" s="507" t="s">
        <v>232</v>
      </c>
      <c r="C125" s="507" t="s">
        <v>53</v>
      </c>
      <c r="D125" s="522" t="str">
        <f t="shared" si="1"/>
        <v>16Sênior</v>
      </c>
      <c r="E125" s="521">
        <v>30.0</v>
      </c>
      <c r="F125" s="521">
        <v>36.0</v>
      </c>
      <c r="G125" s="525">
        <v>4882.37</v>
      </c>
      <c r="H125" s="525">
        <v>5489.27</v>
      </c>
      <c r="I125" s="525">
        <v>6172.24</v>
      </c>
      <c r="J125" s="525">
        <v>5910.71</v>
      </c>
      <c r="K125" s="525">
        <v>6737.39</v>
      </c>
      <c r="L125" s="525">
        <v>8185.08</v>
      </c>
      <c r="M125" s="525"/>
    </row>
    <row r="126" ht="15.75" customHeight="1">
      <c r="A126" s="521">
        <v>16.0</v>
      </c>
      <c r="B126" s="507" t="s">
        <v>232</v>
      </c>
      <c r="C126" s="507" t="s">
        <v>476</v>
      </c>
      <c r="D126" s="522" t="str">
        <f t="shared" si="1"/>
        <v>16Master</v>
      </c>
      <c r="E126" s="521">
        <v>1.0</v>
      </c>
      <c r="F126" s="521">
        <v>1.0</v>
      </c>
      <c r="G126" s="525">
        <v>7346.75</v>
      </c>
      <c r="H126" s="525">
        <v>7346.75</v>
      </c>
      <c r="I126" s="525">
        <v>7346.75</v>
      </c>
      <c r="J126" s="525">
        <v>7346.75</v>
      </c>
      <c r="K126" s="525">
        <v>7346.75</v>
      </c>
      <c r="L126" s="525">
        <v>7346.75</v>
      </c>
      <c r="M126" s="525"/>
    </row>
    <row r="127" ht="15.75" customHeight="1">
      <c r="A127" s="521">
        <v>16.0</v>
      </c>
      <c r="B127" s="507" t="s">
        <v>232</v>
      </c>
      <c r="C127" s="507" t="s">
        <v>264</v>
      </c>
      <c r="D127" s="522" t="str">
        <f t="shared" si="1"/>
        <v>16Especialista</v>
      </c>
      <c r="E127" s="521">
        <v>5.0</v>
      </c>
      <c r="F127" s="521">
        <v>8.0</v>
      </c>
      <c r="G127" s="525">
        <v>4865.37</v>
      </c>
      <c r="H127" s="525">
        <v>8627.81</v>
      </c>
      <c r="I127" s="525">
        <v>9747.25</v>
      </c>
      <c r="J127" s="525">
        <v>10885.96</v>
      </c>
      <c r="K127" s="525">
        <v>11789.67</v>
      </c>
      <c r="L127" s="525">
        <v>11789.67</v>
      </c>
      <c r="M127" s="525"/>
    </row>
    <row r="128" ht="15.75" customHeight="1">
      <c r="A128" s="521">
        <v>475.0</v>
      </c>
      <c r="B128" s="507" t="s">
        <v>487</v>
      </c>
      <c r="C128" s="507" t="s">
        <v>212</v>
      </c>
      <c r="D128" s="522" t="str">
        <f t="shared" si="1"/>
        <v>475Indiferente</v>
      </c>
      <c r="E128" s="523">
        <v>4.0</v>
      </c>
      <c r="F128" s="523">
        <v>5.0</v>
      </c>
      <c r="G128" s="524">
        <v>4122.56</v>
      </c>
      <c r="H128" s="524">
        <v>6984.21</v>
      </c>
      <c r="I128" s="524">
        <v>10360.11</v>
      </c>
      <c r="J128" s="524">
        <v>9293.85</v>
      </c>
      <c r="K128" s="524">
        <v>15082.52</v>
      </c>
      <c r="L128" s="524">
        <v>16317.38</v>
      </c>
      <c r="M128" s="524"/>
    </row>
    <row r="129" ht="15.75" customHeight="1">
      <c r="A129" s="521">
        <v>475.0</v>
      </c>
      <c r="B129" s="507" t="s">
        <v>487</v>
      </c>
      <c r="C129" s="507" t="s">
        <v>60</v>
      </c>
      <c r="D129" s="522" t="str">
        <f t="shared" si="1"/>
        <v>475Júnior</v>
      </c>
      <c r="E129" s="523">
        <v>1.0</v>
      </c>
      <c r="F129" s="523">
        <v>2.0</v>
      </c>
      <c r="G129" s="524">
        <v>0.0</v>
      </c>
      <c r="H129" s="524">
        <v>0.0</v>
      </c>
      <c r="I129" s="524">
        <v>0.0</v>
      </c>
      <c r="J129" s="524">
        <v>0.0</v>
      </c>
      <c r="K129" s="524">
        <v>0.0</v>
      </c>
      <c r="L129" s="524">
        <v>0.0</v>
      </c>
      <c r="M129" s="524"/>
    </row>
    <row r="130" ht="15.75" customHeight="1">
      <c r="A130" s="521">
        <v>475.0</v>
      </c>
      <c r="B130" s="507" t="s">
        <v>487</v>
      </c>
      <c r="C130" s="507" t="s">
        <v>41</v>
      </c>
      <c r="D130" s="522" t="str">
        <f t="shared" si="1"/>
        <v>475Pleno</v>
      </c>
      <c r="E130" s="523">
        <v>0.0</v>
      </c>
      <c r="F130" s="523">
        <v>0.0</v>
      </c>
      <c r="G130" s="524">
        <v>0.0</v>
      </c>
      <c r="H130" s="524">
        <v>0.0</v>
      </c>
      <c r="I130" s="524">
        <v>0.0</v>
      </c>
      <c r="J130" s="524">
        <v>0.0</v>
      </c>
      <c r="K130" s="524">
        <v>0.0</v>
      </c>
      <c r="L130" s="524">
        <v>0.0</v>
      </c>
      <c r="M130" s="524"/>
    </row>
    <row r="131" ht="15.75" customHeight="1">
      <c r="A131" s="521">
        <v>475.0</v>
      </c>
      <c r="B131" s="507" t="s">
        <v>487</v>
      </c>
      <c r="C131" s="507" t="s">
        <v>53</v>
      </c>
      <c r="D131" s="522" t="str">
        <f t="shared" si="1"/>
        <v>475Sênior</v>
      </c>
      <c r="E131" s="523">
        <v>0.0</v>
      </c>
      <c r="F131" s="523">
        <v>0.0</v>
      </c>
      <c r="G131" s="524">
        <v>0.0</v>
      </c>
      <c r="H131" s="524">
        <v>0.0</v>
      </c>
      <c r="I131" s="524">
        <v>0.0</v>
      </c>
      <c r="J131" s="524">
        <v>0.0</v>
      </c>
      <c r="K131" s="524">
        <v>0.0</v>
      </c>
      <c r="L131" s="524">
        <v>0.0</v>
      </c>
      <c r="M131" s="524"/>
    </row>
    <row r="132" ht="15.75" customHeight="1">
      <c r="A132" s="521">
        <v>475.0</v>
      </c>
      <c r="B132" s="507" t="s">
        <v>487</v>
      </c>
      <c r="C132" s="507" t="s">
        <v>476</v>
      </c>
      <c r="D132" s="522" t="str">
        <f t="shared" si="1"/>
        <v>475Master</v>
      </c>
      <c r="E132" s="523">
        <v>0.0</v>
      </c>
      <c r="F132" s="523">
        <v>0.0</v>
      </c>
      <c r="G132" s="524">
        <v>0.0</v>
      </c>
      <c r="H132" s="524">
        <v>0.0</v>
      </c>
      <c r="I132" s="524">
        <v>0.0</v>
      </c>
      <c r="J132" s="524">
        <v>0.0</v>
      </c>
      <c r="K132" s="524">
        <v>0.0</v>
      </c>
      <c r="L132" s="524">
        <v>0.0</v>
      </c>
      <c r="M132" s="524"/>
    </row>
    <row r="133" ht="15.75" customHeight="1">
      <c r="A133" s="521">
        <v>475.0</v>
      </c>
      <c r="B133" s="507" t="s">
        <v>487</v>
      </c>
      <c r="C133" s="507" t="s">
        <v>264</v>
      </c>
      <c r="D133" s="522" t="str">
        <f t="shared" si="1"/>
        <v>475Especialista</v>
      </c>
      <c r="E133" s="523">
        <v>0.0</v>
      </c>
      <c r="F133" s="523">
        <v>0.0</v>
      </c>
      <c r="G133" s="524">
        <v>0.0</v>
      </c>
      <c r="H133" s="524">
        <v>0.0</v>
      </c>
      <c r="I133" s="524">
        <v>0.0</v>
      </c>
      <c r="J133" s="524">
        <v>0.0</v>
      </c>
      <c r="K133" s="524">
        <v>0.0</v>
      </c>
      <c r="L133" s="524">
        <v>0.0</v>
      </c>
      <c r="M133" s="524"/>
    </row>
    <row r="134" ht="15.75" customHeight="1">
      <c r="A134" s="521">
        <v>59.0</v>
      </c>
      <c r="B134" s="507" t="s">
        <v>238</v>
      </c>
      <c r="C134" s="507" t="s">
        <v>212</v>
      </c>
      <c r="D134" s="522" t="str">
        <f t="shared" si="1"/>
        <v>59Indiferente</v>
      </c>
      <c r="E134" s="521">
        <v>131.0</v>
      </c>
      <c r="F134" s="521">
        <v>415.0</v>
      </c>
      <c r="G134" s="525">
        <v>2076.09</v>
      </c>
      <c r="H134" s="525">
        <v>2329.53</v>
      </c>
      <c r="I134" s="525">
        <v>2673.92</v>
      </c>
      <c r="J134" s="525">
        <v>2630.61</v>
      </c>
      <c r="K134" s="525">
        <v>2914.75</v>
      </c>
      <c r="L134" s="525">
        <v>3662.52</v>
      </c>
      <c r="M134" s="525"/>
    </row>
    <row r="135" ht="15.75" customHeight="1">
      <c r="A135" s="521">
        <v>59.0</v>
      </c>
      <c r="B135" s="507" t="s">
        <v>238</v>
      </c>
      <c r="C135" s="507" t="s">
        <v>60</v>
      </c>
      <c r="D135" s="522" t="str">
        <f t="shared" si="1"/>
        <v>59Júnior</v>
      </c>
      <c r="E135" s="521">
        <v>23.0</v>
      </c>
      <c r="F135" s="521">
        <v>42.0</v>
      </c>
      <c r="G135" s="525">
        <v>1993.45</v>
      </c>
      <c r="H135" s="525">
        <v>2177.41</v>
      </c>
      <c r="I135" s="525">
        <v>2401.39</v>
      </c>
      <c r="J135" s="525">
        <v>2428.34</v>
      </c>
      <c r="K135" s="525">
        <v>2462.29</v>
      </c>
      <c r="L135" s="525">
        <v>2959.92</v>
      </c>
      <c r="M135" s="525"/>
    </row>
    <row r="136" ht="15.75" customHeight="1">
      <c r="A136" s="521">
        <v>59.0</v>
      </c>
      <c r="B136" s="507" t="s">
        <v>238</v>
      </c>
      <c r="C136" s="507" t="s">
        <v>41</v>
      </c>
      <c r="D136" s="522" t="str">
        <f t="shared" si="1"/>
        <v>59Pleno</v>
      </c>
      <c r="E136" s="521">
        <v>16.0</v>
      </c>
      <c r="F136" s="521">
        <v>26.0</v>
      </c>
      <c r="G136" s="525">
        <v>2438.69</v>
      </c>
      <c r="H136" s="525">
        <v>2709.61</v>
      </c>
      <c r="I136" s="525">
        <v>2843.28</v>
      </c>
      <c r="J136" s="525">
        <v>2763.86</v>
      </c>
      <c r="K136" s="525">
        <v>2987.81</v>
      </c>
      <c r="L136" s="525">
        <v>3302.06</v>
      </c>
      <c r="M136" s="525"/>
    </row>
    <row r="137" ht="15.75" customHeight="1">
      <c r="A137" s="521">
        <v>59.0</v>
      </c>
      <c r="B137" s="507" t="s">
        <v>238</v>
      </c>
      <c r="C137" s="507" t="s">
        <v>53</v>
      </c>
      <c r="D137" s="522" t="str">
        <f t="shared" si="1"/>
        <v>59Sênior</v>
      </c>
      <c r="E137" s="521">
        <v>6.0</v>
      </c>
      <c r="F137" s="521">
        <v>10.0</v>
      </c>
      <c r="G137" s="525">
        <v>2799.25</v>
      </c>
      <c r="H137" s="525">
        <v>3303.11</v>
      </c>
      <c r="I137" s="525">
        <v>4158.98</v>
      </c>
      <c r="J137" s="525">
        <v>3992.9</v>
      </c>
      <c r="K137" s="525">
        <v>5202.39</v>
      </c>
      <c r="L137" s="525">
        <v>5889.39</v>
      </c>
      <c r="M137" s="525"/>
    </row>
    <row r="138" ht="15.75" customHeight="1">
      <c r="A138" s="521">
        <v>59.0</v>
      </c>
      <c r="B138" s="507" t="s">
        <v>238</v>
      </c>
      <c r="C138" s="507" t="s">
        <v>476</v>
      </c>
      <c r="D138" s="522" t="str">
        <f t="shared" si="1"/>
        <v>59Master</v>
      </c>
      <c r="E138" s="521">
        <v>2.0</v>
      </c>
      <c r="F138" s="521">
        <v>5.0</v>
      </c>
      <c r="G138" s="525">
        <v>2147.35</v>
      </c>
      <c r="H138" s="525">
        <v>2147.35</v>
      </c>
      <c r="I138" s="525">
        <v>2316.28</v>
      </c>
      <c r="J138" s="525">
        <v>2147.35</v>
      </c>
      <c r="K138" s="525">
        <v>2147.35</v>
      </c>
      <c r="L138" s="525">
        <v>2992.01</v>
      </c>
      <c r="M138" s="525"/>
    </row>
    <row r="139" ht="15.75" customHeight="1">
      <c r="A139" s="521">
        <v>59.0</v>
      </c>
      <c r="B139" s="507" t="s">
        <v>238</v>
      </c>
      <c r="C139" s="507" t="s">
        <v>264</v>
      </c>
      <c r="D139" s="522" t="str">
        <f t="shared" si="1"/>
        <v>59Especialista</v>
      </c>
      <c r="E139" s="521">
        <v>1.0</v>
      </c>
      <c r="F139" s="521">
        <v>1.0</v>
      </c>
      <c r="G139" s="525">
        <v>2218.28</v>
      </c>
      <c r="H139" s="525">
        <v>2218.28</v>
      </c>
      <c r="I139" s="525">
        <v>2218.28</v>
      </c>
      <c r="J139" s="525">
        <v>2218.28</v>
      </c>
      <c r="K139" s="525">
        <v>2218.28</v>
      </c>
      <c r="L139" s="525">
        <v>2218.28</v>
      </c>
      <c r="M139" s="525"/>
    </row>
    <row r="140" ht="15.75" customHeight="1">
      <c r="A140" s="521">
        <v>62.0</v>
      </c>
      <c r="B140" s="507" t="s">
        <v>488</v>
      </c>
      <c r="C140" s="507" t="s">
        <v>212</v>
      </c>
      <c r="D140" s="522" t="str">
        <f t="shared" si="1"/>
        <v>62Indiferente</v>
      </c>
      <c r="E140" s="523">
        <v>66.0</v>
      </c>
      <c r="F140" s="523">
        <v>140.0</v>
      </c>
      <c r="G140" s="524">
        <v>2192.79</v>
      </c>
      <c r="H140" s="524">
        <v>2515.8</v>
      </c>
      <c r="I140" s="524">
        <v>2885.71</v>
      </c>
      <c r="J140" s="524">
        <v>2926.22</v>
      </c>
      <c r="K140" s="524">
        <v>3135.26</v>
      </c>
      <c r="L140" s="524">
        <v>3697.13</v>
      </c>
      <c r="M140" s="524"/>
    </row>
    <row r="141" ht="15.75" customHeight="1">
      <c r="A141" s="521">
        <v>62.0</v>
      </c>
      <c r="B141" s="507" t="s">
        <v>488</v>
      </c>
      <c r="C141" s="507" t="s">
        <v>60</v>
      </c>
      <c r="D141" s="522" t="str">
        <f t="shared" si="1"/>
        <v>62Júnior</v>
      </c>
      <c r="E141" s="523">
        <v>13.0</v>
      </c>
      <c r="F141" s="523">
        <v>16.0</v>
      </c>
      <c r="G141" s="524">
        <v>1993.45</v>
      </c>
      <c r="H141" s="524">
        <v>2265.72</v>
      </c>
      <c r="I141" s="524">
        <v>2520.85</v>
      </c>
      <c r="J141" s="524">
        <v>2561.88</v>
      </c>
      <c r="K141" s="524">
        <v>2772.6</v>
      </c>
      <c r="L141" s="524">
        <v>2998.9</v>
      </c>
      <c r="M141" s="524"/>
    </row>
    <row r="142" ht="15.75" customHeight="1">
      <c r="A142" s="521">
        <v>62.0</v>
      </c>
      <c r="B142" s="507" t="s">
        <v>488</v>
      </c>
      <c r="C142" s="507" t="s">
        <v>41</v>
      </c>
      <c r="D142" s="522" t="str">
        <f t="shared" si="1"/>
        <v>62Pleno</v>
      </c>
      <c r="E142" s="523">
        <v>10.0</v>
      </c>
      <c r="F142" s="523">
        <v>21.0</v>
      </c>
      <c r="G142" s="524">
        <v>1999.62</v>
      </c>
      <c r="H142" s="524">
        <v>2112.64</v>
      </c>
      <c r="I142" s="524">
        <v>2701.49</v>
      </c>
      <c r="J142" s="524">
        <v>2568.98</v>
      </c>
      <c r="K142" s="524">
        <v>3023.43</v>
      </c>
      <c r="L142" s="524">
        <v>3908.39</v>
      </c>
      <c r="M142" s="524"/>
    </row>
    <row r="143" ht="15.75" customHeight="1">
      <c r="A143" s="521">
        <v>62.0</v>
      </c>
      <c r="B143" s="507" t="s">
        <v>488</v>
      </c>
      <c r="C143" s="507" t="s">
        <v>53</v>
      </c>
      <c r="D143" s="522" t="str">
        <f t="shared" si="1"/>
        <v>62Sênior</v>
      </c>
      <c r="E143" s="523">
        <v>4.0</v>
      </c>
      <c r="F143" s="523">
        <v>25.0</v>
      </c>
      <c r="G143" s="524">
        <v>2751.72</v>
      </c>
      <c r="H143" s="524">
        <v>3071.39</v>
      </c>
      <c r="I143" s="524">
        <v>3323.81</v>
      </c>
      <c r="J143" s="524">
        <v>3459.92</v>
      </c>
      <c r="K143" s="524">
        <v>3527.33</v>
      </c>
      <c r="L143" s="524">
        <v>3903.25</v>
      </c>
      <c r="M143" s="524"/>
    </row>
    <row r="144" ht="15.75" customHeight="1">
      <c r="A144" s="521">
        <v>62.0</v>
      </c>
      <c r="B144" s="507" t="s">
        <v>488</v>
      </c>
      <c r="C144" s="507" t="s">
        <v>476</v>
      </c>
      <c r="D144" s="522" t="str">
        <f t="shared" si="1"/>
        <v>62Master</v>
      </c>
      <c r="E144" s="523">
        <v>1.0</v>
      </c>
      <c r="F144" s="523">
        <v>8.0</v>
      </c>
      <c r="G144" s="524">
        <v>2988.76</v>
      </c>
      <c r="H144" s="524">
        <v>3075.0</v>
      </c>
      <c r="I144" s="524">
        <v>3693.08</v>
      </c>
      <c r="J144" s="524">
        <v>3772.02</v>
      </c>
      <c r="K144" s="524">
        <v>4183.69</v>
      </c>
      <c r="L144" s="524">
        <v>4414.08</v>
      </c>
      <c r="M144" s="524"/>
    </row>
    <row r="145" ht="15.75" customHeight="1">
      <c r="A145" s="521">
        <v>62.0</v>
      </c>
      <c r="B145" s="507" t="s">
        <v>488</v>
      </c>
      <c r="C145" s="507" t="s">
        <v>264</v>
      </c>
      <c r="D145" s="522" t="str">
        <f t="shared" si="1"/>
        <v>62Especialista</v>
      </c>
      <c r="E145" s="523">
        <v>0.0</v>
      </c>
      <c r="F145" s="523">
        <v>0.0</v>
      </c>
      <c r="G145" s="524">
        <v>0.0</v>
      </c>
      <c r="H145" s="524">
        <v>0.0</v>
      </c>
      <c r="I145" s="524">
        <v>0.0</v>
      </c>
      <c r="J145" s="524">
        <v>0.0</v>
      </c>
      <c r="K145" s="524">
        <v>0.0</v>
      </c>
      <c r="L145" s="524">
        <v>0.0</v>
      </c>
      <c r="M145" s="524"/>
    </row>
    <row r="146" ht="15.75" customHeight="1">
      <c r="A146" s="521">
        <v>67.0</v>
      </c>
      <c r="B146" s="507" t="s">
        <v>489</v>
      </c>
      <c r="C146" s="507" t="s">
        <v>212</v>
      </c>
      <c r="D146" s="522" t="str">
        <f t="shared" si="1"/>
        <v>67Indiferente</v>
      </c>
      <c r="E146" s="523">
        <v>3.0</v>
      </c>
      <c r="F146" s="523">
        <v>3.0</v>
      </c>
      <c r="G146" s="524">
        <v>2614.3</v>
      </c>
      <c r="H146" s="524">
        <v>2637.87</v>
      </c>
      <c r="I146" s="524">
        <v>2931.27</v>
      </c>
      <c r="J146" s="524">
        <v>2661.44</v>
      </c>
      <c r="K146" s="524">
        <v>3089.76</v>
      </c>
      <c r="L146" s="524">
        <v>3518.07</v>
      </c>
      <c r="M146" s="524"/>
    </row>
    <row r="147" ht="15.75" customHeight="1">
      <c r="A147" s="521">
        <v>67.0</v>
      </c>
      <c r="B147" s="507" t="s">
        <v>489</v>
      </c>
      <c r="C147" s="507" t="s">
        <v>60</v>
      </c>
      <c r="D147" s="522" t="str">
        <f t="shared" si="1"/>
        <v>67Júnior</v>
      </c>
      <c r="E147" s="523">
        <v>0.0</v>
      </c>
      <c r="F147" s="523">
        <v>0.0</v>
      </c>
      <c r="G147" s="524">
        <v>0.0</v>
      </c>
      <c r="H147" s="524">
        <v>0.0</v>
      </c>
      <c r="I147" s="524">
        <v>0.0</v>
      </c>
      <c r="J147" s="524">
        <v>0.0</v>
      </c>
      <c r="K147" s="524">
        <v>0.0</v>
      </c>
      <c r="L147" s="524">
        <v>0.0</v>
      </c>
      <c r="M147" s="524"/>
    </row>
    <row r="148" ht="15.75" customHeight="1">
      <c r="A148" s="521">
        <v>67.0</v>
      </c>
      <c r="B148" s="507" t="s">
        <v>489</v>
      </c>
      <c r="C148" s="507" t="s">
        <v>41</v>
      </c>
      <c r="D148" s="522" t="str">
        <f t="shared" si="1"/>
        <v>67Pleno</v>
      </c>
      <c r="E148" s="523">
        <v>0.0</v>
      </c>
      <c r="F148" s="523">
        <v>0.0</v>
      </c>
      <c r="G148" s="524">
        <v>0.0</v>
      </c>
      <c r="H148" s="524">
        <v>0.0</v>
      </c>
      <c r="I148" s="524">
        <v>0.0</v>
      </c>
      <c r="J148" s="524">
        <v>0.0</v>
      </c>
      <c r="K148" s="524">
        <v>0.0</v>
      </c>
      <c r="L148" s="524">
        <v>0.0</v>
      </c>
      <c r="M148" s="524"/>
    </row>
    <row r="149" ht="15.75" customHeight="1">
      <c r="A149" s="521">
        <v>67.0</v>
      </c>
      <c r="B149" s="507" t="s">
        <v>489</v>
      </c>
      <c r="C149" s="507" t="s">
        <v>53</v>
      </c>
      <c r="D149" s="522" t="str">
        <f t="shared" si="1"/>
        <v>67Sênior</v>
      </c>
      <c r="E149" s="523">
        <v>0.0</v>
      </c>
      <c r="F149" s="523">
        <v>0.0</v>
      </c>
      <c r="G149" s="524">
        <v>0.0</v>
      </c>
      <c r="H149" s="524">
        <v>0.0</v>
      </c>
      <c r="I149" s="524">
        <v>0.0</v>
      </c>
      <c r="J149" s="524">
        <v>0.0</v>
      </c>
      <c r="K149" s="524">
        <v>0.0</v>
      </c>
      <c r="L149" s="524">
        <v>0.0</v>
      </c>
      <c r="M149" s="524"/>
    </row>
    <row r="150" ht="15.75" customHeight="1">
      <c r="A150" s="521">
        <v>67.0</v>
      </c>
      <c r="B150" s="507" t="s">
        <v>489</v>
      </c>
      <c r="C150" s="507" t="s">
        <v>476</v>
      </c>
      <c r="D150" s="522" t="str">
        <f t="shared" si="1"/>
        <v>67Master</v>
      </c>
      <c r="E150" s="523">
        <v>0.0</v>
      </c>
      <c r="F150" s="523">
        <v>0.0</v>
      </c>
      <c r="G150" s="524">
        <v>0.0</v>
      </c>
      <c r="H150" s="524">
        <v>0.0</v>
      </c>
      <c r="I150" s="524">
        <v>0.0</v>
      </c>
      <c r="J150" s="524">
        <v>0.0</v>
      </c>
      <c r="K150" s="524">
        <v>0.0</v>
      </c>
      <c r="L150" s="524">
        <v>0.0</v>
      </c>
      <c r="M150" s="524"/>
    </row>
    <row r="151" ht="15.75" customHeight="1">
      <c r="A151" s="521">
        <v>67.0</v>
      </c>
      <c r="B151" s="507" t="s">
        <v>489</v>
      </c>
      <c r="C151" s="507" t="s">
        <v>264</v>
      </c>
      <c r="D151" s="522" t="str">
        <f t="shared" si="1"/>
        <v>67Especialista</v>
      </c>
      <c r="E151" s="523">
        <v>0.0</v>
      </c>
      <c r="F151" s="523">
        <v>0.0</v>
      </c>
      <c r="G151" s="524">
        <v>0.0</v>
      </c>
      <c r="H151" s="524">
        <v>0.0</v>
      </c>
      <c r="I151" s="524">
        <v>0.0</v>
      </c>
      <c r="J151" s="524">
        <v>0.0</v>
      </c>
      <c r="K151" s="524">
        <v>0.0</v>
      </c>
      <c r="L151" s="524">
        <v>0.0</v>
      </c>
      <c r="M151" s="524"/>
    </row>
    <row r="152" ht="15.75" customHeight="1">
      <c r="A152" s="521">
        <v>531.0</v>
      </c>
      <c r="B152" s="507" t="s">
        <v>242</v>
      </c>
      <c r="C152" s="507" t="s">
        <v>212</v>
      </c>
      <c r="D152" s="522" t="str">
        <f t="shared" si="1"/>
        <v>531Indiferente</v>
      </c>
      <c r="E152" s="523">
        <v>5.0</v>
      </c>
      <c r="F152" s="523">
        <v>41.0</v>
      </c>
      <c r="G152" s="524">
        <v>3146.47</v>
      </c>
      <c r="H152" s="524">
        <v>3945.44</v>
      </c>
      <c r="I152" s="524">
        <v>4031.84</v>
      </c>
      <c r="J152" s="524">
        <v>3945.44</v>
      </c>
      <c r="K152" s="524">
        <v>3945.44</v>
      </c>
      <c r="L152" s="524">
        <v>5084.96</v>
      </c>
      <c r="M152" s="524"/>
    </row>
    <row r="153" ht="15.75" customHeight="1">
      <c r="A153" s="521">
        <v>531.0</v>
      </c>
      <c r="B153" s="507" t="s">
        <v>242</v>
      </c>
      <c r="C153" s="507" t="s">
        <v>60</v>
      </c>
      <c r="D153" s="522" t="str">
        <f t="shared" si="1"/>
        <v>531Júnior</v>
      </c>
      <c r="E153" s="523">
        <v>1.0</v>
      </c>
      <c r="F153" s="523">
        <v>1.0</v>
      </c>
      <c r="G153" s="524">
        <v>0.0</v>
      </c>
      <c r="H153" s="524">
        <v>0.0</v>
      </c>
      <c r="I153" s="524">
        <v>0.0</v>
      </c>
      <c r="J153" s="524">
        <v>0.0</v>
      </c>
      <c r="K153" s="524">
        <v>0.0</v>
      </c>
      <c r="L153" s="524">
        <v>0.0</v>
      </c>
      <c r="M153" s="524"/>
    </row>
    <row r="154" ht="15.75" customHeight="1">
      <c r="A154" s="521">
        <v>531.0</v>
      </c>
      <c r="B154" s="507" t="s">
        <v>242</v>
      </c>
      <c r="C154" s="507" t="s">
        <v>41</v>
      </c>
      <c r="D154" s="522" t="str">
        <f t="shared" si="1"/>
        <v>531Pleno</v>
      </c>
      <c r="E154" s="523">
        <v>1.0</v>
      </c>
      <c r="F154" s="523">
        <v>1.0</v>
      </c>
      <c r="G154" s="524">
        <v>0.0</v>
      </c>
      <c r="H154" s="524">
        <v>0.0</v>
      </c>
      <c r="I154" s="524">
        <v>0.0</v>
      </c>
      <c r="J154" s="524">
        <v>0.0</v>
      </c>
      <c r="K154" s="524">
        <v>0.0</v>
      </c>
      <c r="L154" s="524">
        <v>0.0</v>
      </c>
      <c r="M154" s="524"/>
    </row>
    <row r="155" ht="15.75" customHeight="1">
      <c r="A155" s="521">
        <v>531.0</v>
      </c>
      <c r="B155" s="507" t="s">
        <v>242</v>
      </c>
      <c r="C155" s="507" t="s">
        <v>53</v>
      </c>
      <c r="D155" s="522" t="str">
        <f t="shared" si="1"/>
        <v>531Sênior</v>
      </c>
      <c r="E155" s="523">
        <v>1.0</v>
      </c>
      <c r="F155" s="523">
        <v>1.0</v>
      </c>
      <c r="G155" s="524">
        <v>0.0</v>
      </c>
      <c r="H155" s="524">
        <v>0.0</v>
      </c>
      <c r="I155" s="524">
        <v>0.0</v>
      </c>
      <c r="J155" s="524">
        <v>0.0</v>
      </c>
      <c r="K155" s="524">
        <v>0.0</v>
      </c>
      <c r="L155" s="524">
        <v>0.0</v>
      </c>
      <c r="M155" s="524"/>
    </row>
    <row r="156" ht="15.75" customHeight="1">
      <c r="A156" s="521">
        <v>531.0</v>
      </c>
      <c r="B156" s="507" t="s">
        <v>242</v>
      </c>
      <c r="C156" s="507" t="s">
        <v>476</v>
      </c>
      <c r="D156" s="522" t="str">
        <f t="shared" si="1"/>
        <v>531Master</v>
      </c>
      <c r="E156" s="523">
        <v>0.0</v>
      </c>
      <c r="F156" s="523">
        <v>0.0</v>
      </c>
      <c r="G156" s="524">
        <v>0.0</v>
      </c>
      <c r="H156" s="524">
        <v>0.0</v>
      </c>
      <c r="I156" s="524">
        <v>0.0</v>
      </c>
      <c r="J156" s="524">
        <v>0.0</v>
      </c>
      <c r="K156" s="524">
        <v>0.0</v>
      </c>
      <c r="L156" s="524">
        <v>0.0</v>
      </c>
      <c r="M156" s="524"/>
    </row>
    <row r="157" ht="15.75" customHeight="1">
      <c r="A157" s="521">
        <v>531.0</v>
      </c>
      <c r="B157" s="507" t="s">
        <v>242</v>
      </c>
      <c r="C157" s="507" t="s">
        <v>264</v>
      </c>
      <c r="D157" s="522" t="str">
        <f t="shared" si="1"/>
        <v>531Especialista</v>
      </c>
      <c r="E157" s="523">
        <v>0.0</v>
      </c>
      <c r="F157" s="523">
        <v>0.0</v>
      </c>
      <c r="G157" s="524">
        <v>0.0</v>
      </c>
      <c r="H157" s="524">
        <v>0.0</v>
      </c>
      <c r="I157" s="524">
        <v>0.0</v>
      </c>
      <c r="J157" s="524">
        <v>0.0</v>
      </c>
      <c r="K157" s="524">
        <v>0.0</v>
      </c>
      <c r="L157" s="524">
        <v>0.0</v>
      </c>
      <c r="M157" s="524"/>
    </row>
    <row r="158" ht="15.75" customHeight="1">
      <c r="A158" s="521">
        <v>544.0</v>
      </c>
      <c r="B158" s="507" t="s">
        <v>490</v>
      </c>
      <c r="C158" s="507" t="s">
        <v>212</v>
      </c>
      <c r="D158" s="522" t="str">
        <f t="shared" si="1"/>
        <v>544Indiferente</v>
      </c>
      <c r="E158" s="523">
        <v>2.0</v>
      </c>
      <c r="F158" s="523">
        <v>2.0</v>
      </c>
      <c r="G158" s="524">
        <v>0.0</v>
      </c>
      <c r="H158" s="524">
        <v>0.0</v>
      </c>
      <c r="I158" s="524">
        <v>0.0</v>
      </c>
      <c r="J158" s="524">
        <v>0.0</v>
      </c>
      <c r="K158" s="524">
        <v>0.0</v>
      </c>
      <c r="L158" s="524">
        <v>0.0</v>
      </c>
      <c r="M158" s="524"/>
    </row>
    <row r="159" ht="15.75" customHeight="1">
      <c r="A159" s="521">
        <v>544.0</v>
      </c>
      <c r="B159" s="507" t="s">
        <v>490</v>
      </c>
      <c r="C159" s="507" t="s">
        <v>60</v>
      </c>
      <c r="D159" s="522" t="str">
        <f t="shared" si="1"/>
        <v>544Júnior</v>
      </c>
      <c r="E159" s="523">
        <v>0.0</v>
      </c>
      <c r="F159" s="523">
        <v>0.0</v>
      </c>
      <c r="G159" s="524">
        <v>0.0</v>
      </c>
      <c r="H159" s="524">
        <v>0.0</v>
      </c>
      <c r="I159" s="524">
        <v>0.0</v>
      </c>
      <c r="J159" s="524">
        <v>0.0</v>
      </c>
      <c r="K159" s="524">
        <v>0.0</v>
      </c>
      <c r="L159" s="524">
        <v>0.0</v>
      </c>
      <c r="M159" s="524"/>
    </row>
    <row r="160" ht="15.75" customHeight="1">
      <c r="A160" s="521">
        <v>544.0</v>
      </c>
      <c r="B160" s="507" t="s">
        <v>490</v>
      </c>
      <c r="C160" s="507" t="s">
        <v>41</v>
      </c>
      <c r="D160" s="522" t="str">
        <f t="shared" si="1"/>
        <v>544Pleno</v>
      </c>
      <c r="E160" s="523">
        <v>0.0</v>
      </c>
      <c r="F160" s="523">
        <v>0.0</v>
      </c>
      <c r="G160" s="524">
        <v>0.0</v>
      </c>
      <c r="H160" s="524">
        <v>0.0</v>
      </c>
      <c r="I160" s="524">
        <v>0.0</v>
      </c>
      <c r="J160" s="524">
        <v>0.0</v>
      </c>
      <c r="K160" s="524">
        <v>0.0</v>
      </c>
      <c r="L160" s="524">
        <v>0.0</v>
      </c>
      <c r="M160" s="524"/>
    </row>
    <row r="161" ht="15.75" customHeight="1">
      <c r="A161" s="521">
        <v>544.0</v>
      </c>
      <c r="B161" s="507" t="s">
        <v>490</v>
      </c>
      <c r="C161" s="507" t="s">
        <v>53</v>
      </c>
      <c r="D161" s="522" t="str">
        <f t="shared" si="1"/>
        <v>544Sênior</v>
      </c>
      <c r="E161" s="523">
        <v>0.0</v>
      </c>
      <c r="F161" s="523">
        <v>0.0</v>
      </c>
      <c r="G161" s="524">
        <v>0.0</v>
      </c>
      <c r="H161" s="524">
        <v>0.0</v>
      </c>
      <c r="I161" s="524">
        <v>0.0</v>
      </c>
      <c r="J161" s="524">
        <v>0.0</v>
      </c>
      <c r="K161" s="524">
        <v>0.0</v>
      </c>
      <c r="L161" s="524">
        <v>0.0</v>
      </c>
      <c r="M161" s="524"/>
    </row>
    <row r="162" ht="15.75" customHeight="1">
      <c r="A162" s="521">
        <v>544.0</v>
      </c>
      <c r="B162" s="507" t="s">
        <v>490</v>
      </c>
      <c r="C162" s="507" t="s">
        <v>476</v>
      </c>
      <c r="D162" s="522" t="str">
        <f t="shared" si="1"/>
        <v>544Master</v>
      </c>
      <c r="E162" s="523">
        <v>0.0</v>
      </c>
      <c r="F162" s="523">
        <v>0.0</v>
      </c>
      <c r="G162" s="524">
        <v>0.0</v>
      </c>
      <c r="H162" s="524">
        <v>0.0</v>
      </c>
      <c r="I162" s="524">
        <v>0.0</v>
      </c>
      <c r="J162" s="524">
        <v>0.0</v>
      </c>
      <c r="K162" s="524">
        <v>0.0</v>
      </c>
      <c r="L162" s="524">
        <v>0.0</v>
      </c>
      <c r="M162" s="524"/>
    </row>
    <row r="163" ht="15.75" customHeight="1">
      <c r="A163" s="521">
        <v>544.0</v>
      </c>
      <c r="B163" s="507" t="s">
        <v>490</v>
      </c>
      <c r="C163" s="507" t="s">
        <v>264</v>
      </c>
      <c r="D163" s="522" t="str">
        <f t="shared" si="1"/>
        <v>544Especialista</v>
      </c>
      <c r="E163" s="523">
        <v>0.0</v>
      </c>
      <c r="F163" s="523">
        <v>0.0</v>
      </c>
      <c r="G163" s="524">
        <v>0.0</v>
      </c>
      <c r="H163" s="524">
        <v>0.0</v>
      </c>
      <c r="I163" s="524">
        <v>0.0</v>
      </c>
      <c r="J163" s="524">
        <v>0.0</v>
      </c>
      <c r="K163" s="524">
        <v>0.0</v>
      </c>
      <c r="L163" s="524">
        <v>0.0</v>
      </c>
      <c r="M163" s="524"/>
    </row>
    <row r="164" ht="15.75" customHeight="1">
      <c r="A164" s="521">
        <v>390.0</v>
      </c>
      <c r="B164" s="507" t="s">
        <v>491</v>
      </c>
      <c r="C164" s="507" t="s">
        <v>212</v>
      </c>
      <c r="D164" s="522" t="str">
        <f t="shared" si="1"/>
        <v>390Indiferente</v>
      </c>
      <c r="E164" s="523">
        <v>2.0</v>
      </c>
      <c r="F164" s="523">
        <v>2.0</v>
      </c>
      <c r="G164" s="524">
        <v>0.0</v>
      </c>
      <c r="H164" s="524">
        <v>0.0</v>
      </c>
      <c r="I164" s="524">
        <v>0.0</v>
      </c>
      <c r="J164" s="524">
        <v>0.0</v>
      </c>
      <c r="K164" s="524">
        <v>0.0</v>
      </c>
      <c r="L164" s="524">
        <v>0.0</v>
      </c>
      <c r="M164" s="524"/>
    </row>
    <row r="165" ht="15.75" customHeight="1">
      <c r="A165" s="521">
        <v>390.0</v>
      </c>
      <c r="B165" s="507" t="s">
        <v>491</v>
      </c>
      <c r="C165" s="507" t="s">
        <v>60</v>
      </c>
      <c r="D165" s="522" t="str">
        <f t="shared" si="1"/>
        <v>390Júnior</v>
      </c>
      <c r="E165" s="523">
        <v>0.0</v>
      </c>
      <c r="F165" s="523">
        <v>0.0</v>
      </c>
      <c r="G165" s="524">
        <v>0.0</v>
      </c>
      <c r="H165" s="524">
        <v>0.0</v>
      </c>
      <c r="I165" s="524">
        <v>0.0</v>
      </c>
      <c r="J165" s="524">
        <v>0.0</v>
      </c>
      <c r="K165" s="524">
        <v>0.0</v>
      </c>
      <c r="L165" s="524">
        <v>0.0</v>
      </c>
      <c r="M165" s="524"/>
    </row>
    <row r="166" ht="15.75" customHeight="1">
      <c r="A166" s="521">
        <v>390.0</v>
      </c>
      <c r="B166" s="507" t="s">
        <v>491</v>
      </c>
      <c r="C166" s="507" t="s">
        <v>41</v>
      </c>
      <c r="D166" s="522" t="str">
        <f t="shared" si="1"/>
        <v>390Pleno</v>
      </c>
      <c r="E166" s="523">
        <v>0.0</v>
      </c>
      <c r="F166" s="523">
        <v>0.0</v>
      </c>
      <c r="G166" s="524">
        <v>0.0</v>
      </c>
      <c r="H166" s="524">
        <v>0.0</v>
      </c>
      <c r="I166" s="524">
        <v>0.0</v>
      </c>
      <c r="J166" s="524">
        <v>0.0</v>
      </c>
      <c r="K166" s="524">
        <v>0.0</v>
      </c>
      <c r="L166" s="524">
        <v>0.0</v>
      </c>
      <c r="M166" s="524"/>
    </row>
    <row r="167" ht="15.75" customHeight="1">
      <c r="A167" s="521">
        <v>390.0</v>
      </c>
      <c r="B167" s="507" t="s">
        <v>491</v>
      </c>
      <c r="C167" s="507" t="s">
        <v>53</v>
      </c>
      <c r="D167" s="522" t="str">
        <f t="shared" si="1"/>
        <v>390Sênior</v>
      </c>
      <c r="E167" s="523">
        <v>0.0</v>
      </c>
      <c r="F167" s="523">
        <v>0.0</v>
      </c>
      <c r="G167" s="524">
        <v>0.0</v>
      </c>
      <c r="H167" s="524">
        <v>0.0</v>
      </c>
      <c r="I167" s="524">
        <v>0.0</v>
      </c>
      <c r="J167" s="524">
        <v>0.0</v>
      </c>
      <c r="K167" s="524">
        <v>0.0</v>
      </c>
      <c r="L167" s="524">
        <v>0.0</v>
      </c>
      <c r="M167" s="524"/>
    </row>
    <row r="168" ht="15.75" customHeight="1">
      <c r="A168" s="521">
        <v>390.0</v>
      </c>
      <c r="B168" s="507" t="s">
        <v>491</v>
      </c>
      <c r="C168" s="507" t="s">
        <v>476</v>
      </c>
      <c r="D168" s="522" t="str">
        <f t="shared" si="1"/>
        <v>390Master</v>
      </c>
      <c r="E168" s="523">
        <v>0.0</v>
      </c>
      <c r="F168" s="523">
        <v>0.0</v>
      </c>
      <c r="G168" s="524">
        <v>0.0</v>
      </c>
      <c r="H168" s="524">
        <v>0.0</v>
      </c>
      <c r="I168" s="524">
        <v>0.0</v>
      </c>
      <c r="J168" s="524">
        <v>0.0</v>
      </c>
      <c r="K168" s="524">
        <v>0.0</v>
      </c>
      <c r="L168" s="524">
        <v>0.0</v>
      </c>
      <c r="M168" s="524"/>
    </row>
    <row r="169" ht="15.75" customHeight="1">
      <c r="A169" s="521">
        <v>390.0</v>
      </c>
      <c r="B169" s="507" t="s">
        <v>491</v>
      </c>
      <c r="C169" s="507" t="s">
        <v>264</v>
      </c>
      <c r="D169" s="522" t="str">
        <f t="shared" si="1"/>
        <v>390Especialista</v>
      </c>
      <c r="E169" s="523">
        <v>0.0</v>
      </c>
      <c r="F169" s="523">
        <v>0.0</v>
      </c>
      <c r="G169" s="524">
        <v>0.0</v>
      </c>
      <c r="H169" s="524">
        <v>0.0</v>
      </c>
      <c r="I169" s="524">
        <v>0.0</v>
      </c>
      <c r="J169" s="524">
        <v>0.0</v>
      </c>
      <c r="K169" s="524">
        <v>0.0</v>
      </c>
      <c r="L169" s="524">
        <v>0.0</v>
      </c>
      <c r="M169" s="524"/>
    </row>
    <row r="170" ht="15.75" customHeight="1">
      <c r="A170" s="521">
        <v>1201.0</v>
      </c>
      <c r="B170" s="507" t="s">
        <v>236</v>
      </c>
      <c r="C170" s="507" t="s">
        <v>212</v>
      </c>
      <c r="D170" s="522" t="str">
        <f t="shared" si="1"/>
        <v>1201Indiferente</v>
      </c>
      <c r="E170" s="523">
        <v>3.0</v>
      </c>
      <c r="F170" s="523">
        <v>3.0</v>
      </c>
      <c r="G170" s="525">
        <v>2513.75</v>
      </c>
      <c r="H170" s="525">
        <v>2803.34</v>
      </c>
      <c r="I170" s="525">
        <v>3092.92</v>
      </c>
      <c r="J170" s="525">
        <v>3092.92</v>
      </c>
      <c r="K170" s="525">
        <v>3382.51</v>
      </c>
      <c r="L170" s="525">
        <v>3672.09</v>
      </c>
      <c r="M170" s="525"/>
    </row>
    <row r="171" ht="15.75" customHeight="1">
      <c r="A171" s="521">
        <v>1201.0</v>
      </c>
      <c r="B171" s="507" t="s">
        <v>236</v>
      </c>
      <c r="C171" s="507" t="s">
        <v>60</v>
      </c>
      <c r="D171" s="522" t="str">
        <f t="shared" si="1"/>
        <v>1201Júnior</v>
      </c>
      <c r="E171" s="523">
        <v>0.0</v>
      </c>
      <c r="F171" s="523">
        <v>0.0</v>
      </c>
      <c r="G171" s="524">
        <v>0.0</v>
      </c>
      <c r="H171" s="524">
        <v>0.0</v>
      </c>
      <c r="I171" s="524">
        <v>0.0</v>
      </c>
      <c r="J171" s="524">
        <v>0.0</v>
      </c>
      <c r="K171" s="524">
        <v>0.0</v>
      </c>
      <c r="L171" s="524">
        <v>0.0</v>
      </c>
      <c r="M171" s="524"/>
    </row>
    <row r="172" ht="15.75" customHeight="1">
      <c r="A172" s="521">
        <v>1201.0</v>
      </c>
      <c r="B172" s="507" t="s">
        <v>236</v>
      </c>
      <c r="C172" s="507" t="s">
        <v>41</v>
      </c>
      <c r="D172" s="522" t="str">
        <f t="shared" si="1"/>
        <v>1201Pleno</v>
      </c>
      <c r="E172" s="523">
        <v>0.0</v>
      </c>
      <c r="F172" s="523">
        <v>0.0</v>
      </c>
      <c r="G172" s="524">
        <v>0.0</v>
      </c>
      <c r="H172" s="524">
        <v>0.0</v>
      </c>
      <c r="I172" s="524">
        <v>0.0</v>
      </c>
      <c r="J172" s="524">
        <v>0.0</v>
      </c>
      <c r="K172" s="524">
        <v>0.0</v>
      </c>
      <c r="L172" s="524">
        <v>0.0</v>
      </c>
      <c r="M172" s="524"/>
    </row>
    <row r="173" ht="15.75" customHeight="1">
      <c r="A173" s="521">
        <v>1201.0</v>
      </c>
      <c r="B173" s="507" t="s">
        <v>236</v>
      </c>
      <c r="C173" s="507" t="s">
        <v>53</v>
      </c>
      <c r="D173" s="522" t="str">
        <f t="shared" si="1"/>
        <v>1201Sênior</v>
      </c>
      <c r="E173" s="523">
        <v>0.0</v>
      </c>
      <c r="F173" s="523">
        <v>0.0</v>
      </c>
      <c r="G173" s="524">
        <v>0.0</v>
      </c>
      <c r="H173" s="524">
        <v>0.0</v>
      </c>
      <c r="I173" s="524">
        <v>0.0</v>
      </c>
      <c r="J173" s="524">
        <v>0.0</v>
      </c>
      <c r="K173" s="524">
        <v>0.0</v>
      </c>
      <c r="L173" s="524">
        <v>0.0</v>
      </c>
      <c r="M173" s="524"/>
    </row>
    <row r="174" ht="15.75" customHeight="1">
      <c r="A174" s="521">
        <v>1201.0</v>
      </c>
      <c r="B174" s="507" t="s">
        <v>236</v>
      </c>
      <c r="C174" s="507" t="s">
        <v>476</v>
      </c>
      <c r="D174" s="522" t="str">
        <f t="shared" si="1"/>
        <v>1201Master</v>
      </c>
      <c r="E174" s="523">
        <v>0.0</v>
      </c>
      <c r="F174" s="523">
        <v>0.0</v>
      </c>
      <c r="G174" s="524">
        <v>0.0</v>
      </c>
      <c r="H174" s="524">
        <v>0.0</v>
      </c>
      <c r="I174" s="524">
        <v>0.0</v>
      </c>
      <c r="J174" s="524">
        <v>0.0</v>
      </c>
      <c r="K174" s="524">
        <v>0.0</v>
      </c>
      <c r="L174" s="524">
        <v>0.0</v>
      </c>
      <c r="M174" s="524"/>
    </row>
    <row r="175" ht="15.75" customHeight="1">
      <c r="A175" s="521">
        <v>1201.0</v>
      </c>
      <c r="B175" s="507" t="s">
        <v>236</v>
      </c>
      <c r="C175" s="507" t="s">
        <v>264</v>
      </c>
      <c r="D175" s="522" t="str">
        <f t="shared" si="1"/>
        <v>1201Especialista</v>
      </c>
      <c r="E175" s="523">
        <v>0.0</v>
      </c>
      <c r="F175" s="523">
        <v>0.0</v>
      </c>
      <c r="G175" s="524">
        <v>0.0</v>
      </c>
      <c r="H175" s="524">
        <v>0.0</v>
      </c>
      <c r="I175" s="524">
        <v>0.0</v>
      </c>
      <c r="J175" s="524">
        <v>0.0</v>
      </c>
      <c r="K175" s="524">
        <v>0.0</v>
      </c>
      <c r="L175" s="524">
        <v>0.0</v>
      </c>
      <c r="M175" s="524"/>
    </row>
    <row r="176" ht="15.75" customHeight="1">
      <c r="A176" s="521">
        <v>71.0</v>
      </c>
      <c r="B176" s="507" t="s">
        <v>244</v>
      </c>
      <c r="C176" s="507" t="s">
        <v>212</v>
      </c>
      <c r="D176" s="522" t="str">
        <f t="shared" si="1"/>
        <v>71Indiferente</v>
      </c>
      <c r="E176" s="523">
        <v>5.0</v>
      </c>
      <c r="F176" s="523">
        <v>6.0</v>
      </c>
      <c r="G176" s="524">
        <v>2347.95</v>
      </c>
      <c r="H176" s="524">
        <v>2720.21</v>
      </c>
      <c r="I176" s="524">
        <v>3016.74</v>
      </c>
      <c r="J176" s="524">
        <v>2882.27</v>
      </c>
      <c r="K176" s="524">
        <v>3152.81</v>
      </c>
      <c r="L176" s="524">
        <v>4078.78</v>
      </c>
      <c r="M176" s="524"/>
    </row>
    <row r="177" ht="15.75" customHeight="1">
      <c r="A177" s="521">
        <v>71.0</v>
      </c>
      <c r="B177" s="507" t="s">
        <v>244</v>
      </c>
      <c r="C177" s="507" t="s">
        <v>60</v>
      </c>
      <c r="D177" s="522" t="str">
        <f t="shared" si="1"/>
        <v>71Júnior</v>
      </c>
      <c r="E177" s="523">
        <v>0.0</v>
      </c>
      <c r="F177" s="523">
        <v>0.0</v>
      </c>
      <c r="G177" s="524">
        <v>0.0</v>
      </c>
      <c r="H177" s="524">
        <v>0.0</v>
      </c>
      <c r="I177" s="524">
        <v>0.0</v>
      </c>
      <c r="J177" s="524">
        <v>0.0</v>
      </c>
      <c r="K177" s="524">
        <v>0.0</v>
      </c>
      <c r="L177" s="524">
        <v>0.0</v>
      </c>
      <c r="M177" s="524"/>
    </row>
    <row r="178" ht="15.75" customHeight="1">
      <c r="A178" s="521">
        <v>71.0</v>
      </c>
      <c r="B178" s="507" t="s">
        <v>244</v>
      </c>
      <c r="C178" s="507" t="s">
        <v>41</v>
      </c>
      <c r="D178" s="522" t="str">
        <f t="shared" si="1"/>
        <v>71Pleno</v>
      </c>
      <c r="E178" s="523">
        <v>0.0</v>
      </c>
      <c r="F178" s="523">
        <v>0.0</v>
      </c>
      <c r="G178" s="524">
        <v>0.0</v>
      </c>
      <c r="H178" s="524">
        <v>0.0</v>
      </c>
      <c r="I178" s="524">
        <v>0.0</v>
      </c>
      <c r="J178" s="524">
        <v>0.0</v>
      </c>
      <c r="K178" s="524">
        <v>0.0</v>
      </c>
      <c r="L178" s="524">
        <v>0.0</v>
      </c>
      <c r="M178" s="524"/>
    </row>
    <row r="179" ht="15.75" customHeight="1">
      <c r="A179" s="521">
        <v>71.0</v>
      </c>
      <c r="B179" s="507" t="s">
        <v>244</v>
      </c>
      <c r="C179" s="507" t="s">
        <v>53</v>
      </c>
      <c r="D179" s="522" t="str">
        <f t="shared" si="1"/>
        <v>71Sênior</v>
      </c>
      <c r="E179" s="523">
        <v>0.0</v>
      </c>
      <c r="F179" s="523">
        <v>0.0</v>
      </c>
      <c r="G179" s="524">
        <v>0.0</v>
      </c>
      <c r="H179" s="524">
        <v>0.0</v>
      </c>
      <c r="I179" s="524">
        <v>0.0</v>
      </c>
      <c r="J179" s="524">
        <v>0.0</v>
      </c>
      <c r="K179" s="524">
        <v>0.0</v>
      </c>
      <c r="L179" s="524">
        <v>0.0</v>
      </c>
      <c r="M179" s="524"/>
    </row>
    <row r="180" ht="15.75" customHeight="1">
      <c r="A180" s="521">
        <v>71.0</v>
      </c>
      <c r="B180" s="507" t="s">
        <v>244</v>
      </c>
      <c r="C180" s="507" t="s">
        <v>476</v>
      </c>
      <c r="D180" s="522" t="str">
        <f t="shared" si="1"/>
        <v>71Master</v>
      </c>
      <c r="E180" s="523">
        <v>0.0</v>
      </c>
      <c r="F180" s="523">
        <v>0.0</v>
      </c>
      <c r="G180" s="524">
        <v>0.0</v>
      </c>
      <c r="H180" s="524">
        <v>0.0</v>
      </c>
      <c r="I180" s="524">
        <v>0.0</v>
      </c>
      <c r="J180" s="524">
        <v>0.0</v>
      </c>
      <c r="K180" s="524">
        <v>0.0</v>
      </c>
      <c r="L180" s="524">
        <v>0.0</v>
      </c>
      <c r="M180" s="524"/>
    </row>
    <row r="181" ht="15.75" customHeight="1">
      <c r="A181" s="521">
        <v>71.0</v>
      </c>
      <c r="B181" s="507" t="s">
        <v>244</v>
      </c>
      <c r="C181" s="507" t="s">
        <v>264</v>
      </c>
      <c r="D181" s="522" t="str">
        <f t="shared" si="1"/>
        <v>71Especialista</v>
      </c>
      <c r="E181" s="523">
        <v>0.0</v>
      </c>
      <c r="F181" s="523">
        <v>0.0</v>
      </c>
      <c r="G181" s="524">
        <v>0.0</v>
      </c>
      <c r="H181" s="524">
        <v>0.0</v>
      </c>
      <c r="I181" s="524">
        <v>0.0</v>
      </c>
      <c r="J181" s="524">
        <v>0.0</v>
      </c>
      <c r="K181" s="524">
        <v>0.0</v>
      </c>
      <c r="L181" s="524">
        <v>0.0</v>
      </c>
      <c r="M181" s="524"/>
    </row>
    <row r="182" ht="15.75" customHeight="1">
      <c r="A182" s="521">
        <v>341.0</v>
      </c>
      <c r="B182" s="507" t="s">
        <v>492</v>
      </c>
      <c r="C182" s="507" t="s">
        <v>212</v>
      </c>
      <c r="D182" s="522" t="str">
        <f t="shared" si="1"/>
        <v>341Indiferente</v>
      </c>
      <c r="E182" s="523">
        <v>3.0</v>
      </c>
      <c r="F182" s="523">
        <v>3.0</v>
      </c>
      <c r="G182" s="524">
        <v>2706.62</v>
      </c>
      <c r="H182" s="524">
        <v>2944.72</v>
      </c>
      <c r="I182" s="524">
        <v>3170.34</v>
      </c>
      <c r="J182" s="524">
        <v>3182.82</v>
      </c>
      <c r="K182" s="524">
        <v>3402.2</v>
      </c>
      <c r="L182" s="524">
        <v>3621.59</v>
      </c>
      <c r="M182" s="524"/>
    </row>
    <row r="183" ht="15.75" customHeight="1">
      <c r="A183" s="521">
        <v>341.0</v>
      </c>
      <c r="B183" s="507" t="s">
        <v>492</v>
      </c>
      <c r="C183" s="507" t="s">
        <v>60</v>
      </c>
      <c r="D183" s="522" t="str">
        <f t="shared" si="1"/>
        <v>341Júnior</v>
      </c>
      <c r="E183" s="523">
        <v>0.0</v>
      </c>
      <c r="F183" s="523">
        <v>0.0</v>
      </c>
      <c r="G183" s="524">
        <v>0.0</v>
      </c>
      <c r="H183" s="524">
        <v>0.0</v>
      </c>
      <c r="I183" s="524">
        <v>0.0</v>
      </c>
      <c r="J183" s="524">
        <v>0.0</v>
      </c>
      <c r="K183" s="524">
        <v>0.0</v>
      </c>
      <c r="L183" s="524">
        <v>0.0</v>
      </c>
      <c r="M183" s="524"/>
    </row>
    <row r="184" ht="15.75" customHeight="1">
      <c r="A184" s="521">
        <v>341.0</v>
      </c>
      <c r="B184" s="507" t="s">
        <v>492</v>
      </c>
      <c r="C184" s="507" t="s">
        <v>41</v>
      </c>
      <c r="D184" s="522" t="str">
        <f t="shared" si="1"/>
        <v>341Pleno</v>
      </c>
      <c r="E184" s="523">
        <v>0.0</v>
      </c>
      <c r="F184" s="523">
        <v>0.0</v>
      </c>
      <c r="G184" s="524">
        <v>0.0</v>
      </c>
      <c r="H184" s="524">
        <v>0.0</v>
      </c>
      <c r="I184" s="524">
        <v>0.0</v>
      </c>
      <c r="J184" s="524">
        <v>0.0</v>
      </c>
      <c r="K184" s="524">
        <v>0.0</v>
      </c>
      <c r="L184" s="524">
        <v>0.0</v>
      </c>
      <c r="M184" s="524"/>
    </row>
    <row r="185" ht="15.75" customHeight="1">
      <c r="A185" s="521">
        <v>341.0</v>
      </c>
      <c r="B185" s="507" t="s">
        <v>492</v>
      </c>
      <c r="C185" s="507" t="s">
        <v>53</v>
      </c>
      <c r="D185" s="522" t="str">
        <f t="shared" si="1"/>
        <v>341Sênior</v>
      </c>
      <c r="E185" s="523">
        <v>0.0</v>
      </c>
      <c r="F185" s="523">
        <v>0.0</v>
      </c>
      <c r="G185" s="524">
        <v>0.0</v>
      </c>
      <c r="H185" s="524">
        <v>0.0</v>
      </c>
      <c r="I185" s="524">
        <v>0.0</v>
      </c>
      <c r="J185" s="524">
        <v>0.0</v>
      </c>
      <c r="K185" s="524">
        <v>0.0</v>
      </c>
      <c r="L185" s="524">
        <v>0.0</v>
      </c>
      <c r="M185" s="524"/>
    </row>
    <row r="186" ht="15.75" customHeight="1">
      <c r="A186" s="521">
        <v>341.0</v>
      </c>
      <c r="B186" s="507" t="s">
        <v>492</v>
      </c>
      <c r="C186" s="507" t="s">
        <v>476</v>
      </c>
      <c r="D186" s="522" t="str">
        <f t="shared" si="1"/>
        <v>341Master</v>
      </c>
      <c r="E186" s="523">
        <v>0.0</v>
      </c>
      <c r="F186" s="523">
        <v>0.0</v>
      </c>
      <c r="G186" s="524">
        <v>0.0</v>
      </c>
      <c r="H186" s="524">
        <v>0.0</v>
      </c>
      <c r="I186" s="524">
        <v>0.0</v>
      </c>
      <c r="J186" s="524">
        <v>0.0</v>
      </c>
      <c r="K186" s="524">
        <v>0.0</v>
      </c>
      <c r="L186" s="524">
        <v>0.0</v>
      </c>
      <c r="M186" s="524"/>
    </row>
    <row r="187" ht="15.75" customHeight="1">
      <c r="A187" s="521">
        <v>341.0</v>
      </c>
      <c r="B187" s="507" t="s">
        <v>492</v>
      </c>
      <c r="C187" s="507" t="s">
        <v>264</v>
      </c>
      <c r="D187" s="522" t="str">
        <f t="shared" si="1"/>
        <v>341Especialista</v>
      </c>
      <c r="E187" s="523">
        <v>0.0</v>
      </c>
      <c r="F187" s="523">
        <v>0.0</v>
      </c>
      <c r="G187" s="524">
        <v>0.0</v>
      </c>
      <c r="H187" s="524">
        <v>0.0</v>
      </c>
      <c r="I187" s="524">
        <v>0.0</v>
      </c>
      <c r="J187" s="524">
        <v>0.0</v>
      </c>
      <c r="K187" s="524">
        <v>0.0</v>
      </c>
      <c r="L187" s="524">
        <v>0.0</v>
      </c>
      <c r="M187" s="524"/>
    </row>
    <row r="188" ht="15.75" customHeight="1">
      <c r="A188" s="521">
        <v>77.0</v>
      </c>
      <c r="B188" s="507" t="s">
        <v>246</v>
      </c>
      <c r="C188" s="507" t="s">
        <v>212</v>
      </c>
      <c r="D188" s="522" t="str">
        <f t="shared" si="1"/>
        <v>77Indiferente</v>
      </c>
      <c r="E188" s="523">
        <v>5.0</v>
      </c>
      <c r="F188" s="523">
        <v>6.0</v>
      </c>
      <c r="G188" s="524">
        <v>2254.33</v>
      </c>
      <c r="H188" s="524">
        <v>2619.08</v>
      </c>
      <c r="I188" s="524">
        <v>3097.88</v>
      </c>
      <c r="J188" s="524">
        <v>3080.23</v>
      </c>
      <c r="K188" s="524">
        <v>3491.33</v>
      </c>
      <c r="L188" s="524">
        <v>4078.78</v>
      </c>
      <c r="M188" s="524"/>
    </row>
    <row r="189" ht="15.75" customHeight="1">
      <c r="A189" s="521">
        <v>77.0</v>
      </c>
      <c r="B189" s="507" t="s">
        <v>246</v>
      </c>
      <c r="C189" s="507" t="s">
        <v>60</v>
      </c>
      <c r="D189" s="522" t="str">
        <f t="shared" si="1"/>
        <v>77Júnior</v>
      </c>
      <c r="E189" s="523">
        <v>0.0</v>
      </c>
      <c r="F189" s="523">
        <v>0.0</v>
      </c>
      <c r="G189" s="524">
        <v>0.0</v>
      </c>
      <c r="H189" s="524">
        <v>0.0</v>
      </c>
      <c r="I189" s="524">
        <v>0.0</v>
      </c>
      <c r="J189" s="524">
        <v>0.0</v>
      </c>
      <c r="K189" s="524">
        <v>0.0</v>
      </c>
      <c r="L189" s="524">
        <v>0.0</v>
      </c>
      <c r="M189" s="524"/>
    </row>
    <row r="190" ht="15.75" customHeight="1">
      <c r="A190" s="521">
        <v>77.0</v>
      </c>
      <c r="B190" s="507" t="s">
        <v>246</v>
      </c>
      <c r="C190" s="507" t="s">
        <v>41</v>
      </c>
      <c r="D190" s="522" t="str">
        <f t="shared" si="1"/>
        <v>77Pleno</v>
      </c>
      <c r="E190" s="523">
        <v>0.0</v>
      </c>
      <c r="F190" s="523">
        <v>0.0</v>
      </c>
      <c r="G190" s="524">
        <v>0.0</v>
      </c>
      <c r="H190" s="524">
        <v>0.0</v>
      </c>
      <c r="I190" s="524">
        <v>0.0</v>
      </c>
      <c r="J190" s="524">
        <v>0.0</v>
      </c>
      <c r="K190" s="524">
        <v>0.0</v>
      </c>
      <c r="L190" s="524">
        <v>0.0</v>
      </c>
      <c r="M190" s="524"/>
    </row>
    <row r="191" ht="15.75" customHeight="1">
      <c r="A191" s="521">
        <v>77.0</v>
      </c>
      <c r="B191" s="507" t="s">
        <v>246</v>
      </c>
      <c r="C191" s="507" t="s">
        <v>53</v>
      </c>
      <c r="D191" s="522" t="str">
        <f t="shared" si="1"/>
        <v>77Sênior</v>
      </c>
      <c r="E191" s="523">
        <v>0.0</v>
      </c>
      <c r="F191" s="523">
        <v>0.0</v>
      </c>
      <c r="G191" s="524">
        <v>0.0</v>
      </c>
      <c r="H191" s="524">
        <v>0.0</v>
      </c>
      <c r="I191" s="524">
        <v>0.0</v>
      </c>
      <c r="J191" s="524">
        <v>0.0</v>
      </c>
      <c r="K191" s="524">
        <v>0.0</v>
      </c>
      <c r="L191" s="524">
        <v>0.0</v>
      </c>
      <c r="M191" s="524"/>
    </row>
    <row r="192" ht="15.75" customHeight="1">
      <c r="A192" s="521">
        <v>77.0</v>
      </c>
      <c r="B192" s="507" t="s">
        <v>246</v>
      </c>
      <c r="C192" s="507" t="s">
        <v>476</v>
      </c>
      <c r="D192" s="522" t="str">
        <f t="shared" si="1"/>
        <v>77Master</v>
      </c>
      <c r="E192" s="523">
        <v>0.0</v>
      </c>
      <c r="F192" s="523">
        <v>0.0</v>
      </c>
      <c r="G192" s="524">
        <v>0.0</v>
      </c>
      <c r="H192" s="524">
        <v>0.0</v>
      </c>
      <c r="I192" s="524">
        <v>0.0</v>
      </c>
      <c r="J192" s="524">
        <v>0.0</v>
      </c>
      <c r="K192" s="524">
        <v>0.0</v>
      </c>
      <c r="L192" s="524">
        <v>0.0</v>
      </c>
      <c r="M192" s="524"/>
    </row>
    <row r="193" ht="15.75" customHeight="1">
      <c r="A193" s="521">
        <v>77.0</v>
      </c>
      <c r="B193" s="507" t="s">
        <v>246</v>
      </c>
      <c r="C193" s="507" t="s">
        <v>264</v>
      </c>
      <c r="D193" s="522" t="str">
        <f t="shared" si="1"/>
        <v>77Especialista</v>
      </c>
      <c r="E193" s="523">
        <v>0.0</v>
      </c>
      <c r="F193" s="523">
        <v>0.0</v>
      </c>
      <c r="G193" s="524">
        <v>0.0</v>
      </c>
      <c r="H193" s="524">
        <v>0.0</v>
      </c>
      <c r="I193" s="524">
        <v>0.0</v>
      </c>
      <c r="J193" s="524">
        <v>0.0</v>
      </c>
      <c r="K193" s="524">
        <v>0.0</v>
      </c>
      <c r="L193" s="524">
        <v>0.0</v>
      </c>
      <c r="M193" s="524"/>
    </row>
    <row r="194" ht="15.75" customHeight="1">
      <c r="A194" s="521">
        <v>442.0</v>
      </c>
      <c r="B194" s="507" t="s">
        <v>493</v>
      </c>
      <c r="C194" s="507" t="s">
        <v>212</v>
      </c>
      <c r="D194" s="522" t="str">
        <f t="shared" si="1"/>
        <v>442Indiferente</v>
      </c>
      <c r="E194" s="523">
        <v>1.0</v>
      </c>
      <c r="F194" s="523">
        <v>1.0</v>
      </c>
      <c r="G194" s="524">
        <v>0.0</v>
      </c>
      <c r="H194" s="524">
        <v>0.0</v>
      </c>
      <c r="I194" s="524">
        <v>0.0</v>
      </c>
      <c r="J194" s="524">
        <v>0.0</v>
      </c>
      <c r="K194" s="524">
        <v>0.0</v>
      </c>
      <c r="L194" s="524">
        <v>0.0</v>
      </c>
      <c r="M194" s="524"/>
    </row>
    <row r="195" ht="15.75" customHeight="1">
      <c r="A195" s="521">
        <v>442.0</v>
      </c>
      <c r="B195" s="507" t="s">
        <v>493</v>
      </c>
      <c r="C195" s="507" t="s">
        <v>60</v>
      </c>
      <c r="D195" s="522" t="str">
        <f t="shared" si="1"/>
        <v>442Júnior</v>
      </c>
      <c r="E195" s="523">
        <v>0.0</v>
      </c>
      <c r="F195" s="523">
        <v>0.0</v>
      </c>
      <c r="G195" s="524">
        <v>0.0</v>
      </c>
      <c r="H195" s="524">
        <v>0.0</v>
      </c>
      <c r="I195" s="524">
        <v>0.0</v>
      </c>
      <c r="J195" s="524">
        <v>0.0</v>
      </c>
      <c r="K195" s="524">
        <v>0.0</v>
      </c>
      <c r="L195" s="524">
        <v>0.0</v>
      </c>
      <c r="M195" s="524"/>
    </row>
    <row r="196" ht="15.75" customHeight="1">
      <c r="A196" s="521">
        <v>442.0</v>
      </c>
      <c r="B196" s="507" t="s">
        <v>493</v>
      </c>
      <c r="C196" s="507" t="s">
        <v>41</v>
      </c>
      <c r="D196" s="522" t="str">
        <f t="shared" si="1"/>
        <v>442Pleno</v>
      </c>
      <c r="E196" s="523">
        <v>0.0</v>
      </c>
      <c r="F196" s="523">
        <v>0.0</v>
      </c>
      <c r="G196" s="524">
        <v>0.0</v>
      </c>
      <c r="H196" s="524">
        <v>0.0</v>
      </c>
      <c r="I196" s="524">
        <v>0.0</v>
      </c>
      <c r="J196" s="524">
        <v>0.0</v>
      </c>
      <c r="K196" s="524">
        <v>0.0</v>
      </c>
      <c r="L196" s="524">
        <v>0.0</v>
      </c>
      <c r="M196" s="524"/>
    </row>
    <row r="197" ht="15.75" customHeight="1">
      <c r="A197" s="521">
        <v>442.0</v>
      </c>
      <c r="B197" s="507" t="s">
        <v>493</v>
      </c>
      <c r="C197" s="507" t="s">
        <v>53</v>
      </c>
      <c r="D197" s="522" t="str">
        <f t="shared" si="1"/>
        <v>442Sênior</v>
      </c>
      <c r="E197" s="523">
        <v>0.0</v>
      </c>
      <c r="F197" s="523">
        <v>0.0</v>
      </c>
      <c r="G197" s="524">
        <v>0.0</v>
      </c>
      <c r="H197" s="524">
        <v>0.0</v>
      </c>
      <c r="I197" s="524">
        <v>0.0</v>
      </c>
      <c r="J197" s="524">
        <v>0.0</v>
      </c>
      <c r="K197" s="524">
        <v>0.0</v>
      </c>
      <c r="L197" s="524">
        <v>0.0</v>
      </c>
      <c r="M197" s="524"/>
    </row>
    <row r="198" ht="15.75" customHeight="1">
      <c r="A198" s="521">
        <v>442.0</v>
      </c>
      <c r="B198" s="507" t="s">
        <v>493</v>
      </c>
      <c r="C198" s="507" t="s">
        <v>476</v>
      </c>
      <c r="D198" s="522" t="str">
        <f t="shared" si="1"/>
        <v>442Master</v>
      </c>
      <c r="E198" s="523">
        <v>0.0</v>
      </c>
      <c r="F198" s="523">
        <v>0.0</v>
      </c>
      <c r="G198" s="524">
        <v>0.0</v>
      </c>
      <c r="H198" s="524">
        <v>0.0</v>
      </c>
      <c r="I198" s="524">
        <v>0.0</v>
      </c>
      <c r="J198" s="524">
        <v>0.0</v>
      </c>
      <c r="K198" s="524">
        <v>0.0</v>
      </c>
      <c r="L198" s="524">
        <v>0.0</v>
      </c>
      <c r="M198" s="524"/>
    </row>
    <row r="199" ht="15.75" customHeight="1">
      <c r="A199" s="521">
        <v>442.0</v>
      </c>
      <c r="B199" s="507" t="s">
        <v>493</v>
      </c>
      <c r="C199" s="507" t="s">
        <v>264</v>
      </c>
      <c r="D199" s="522" t="str">
        <f t="shared" si="1"/>
        <v>442Especialista</v>
      </c>
      <c r="E199" s="523">
        <v>0.0</v>
      </c>
      <c r="F199" s="523">
        <v>0.0</v>
      </c>
      <c r="G199" s="524">
        <v>0.0</v>
      </c>
      <c r="H199" s="524">
        <v>0.0</v>
      </c>
      <c r="I199" s="524">
        <v>0.0</v>
      </c>
      <c r="J199" s="524">
        <v>0.0</v>
      </c>
      <c r="K199" s="524">
        <v>0.0</v>
      </c>
      <c r="L199" s="524">
        <v>0.0</v>
      </c>
      <c r="M199" s="524"/>
    </row>
    <row r="200" ht="15.75" customHeight="1">
      <c r="A200" s="521">
        <v>31.0</v>
      </c>
      <c r="B200" s="507" t="s">
        <v>248</v>
      </c>
      <c r="C200" s="507" t="s">
        <v>212</v>
      </c>
      <c r="D200" s="522" t="str">
        <f t="shared" si="1"/>
        <v>31Indiferente</v>
      </c>
      <c r="E200" s="521">
        <v>12.0</v>
      </c>
      <c r="F200" s="521">
        <v>30.0</v>
      </c>
      <c r="G200" s="525">
        <v>2010.58</v>
      </c>
      <c r="H200" s="525">
        <v>2066.4</v>
      </c>
      <c r="I200" s="525">
        <v>2589.89</v>
      </c>
      <c r="J200" s="525">
        <v>2413.7</v>
      </c>
      <c r="K200" s="525">
        <v>3121.21</v>
      </c>
      <c r="L200" s="525">
        <v>3521.6</v>
      </c>
      <c r="M200" s="524"/>
    </row>
    <row r="201" ht="15.75" customHeight="1">
      <c r="A201" s="521">
        <v>31.0</v>
      </c>
      <c r="B201" s="507" t="s">
        <v>248</v>
      </c>
      <c r="C201" s="507" t="s">
        <v>60</v>
      </c>
      <c r="D201" s="522" t="str">
        <f t="shared" si="1"/>
        <v>31Júnior</v>
      </c>
      <c r="E201" s="521">
        <v>4.0</v>
      </c>
      <c r="F201" s="521">
        <v>16.0</v>
      </c>
      <c r="G201" s="525">
        <v>2010.58</v>
      </c>
      <c r="H201" s="525">
        <v>2014.36</v>
      </c>
      <c r="I201" s="525">
        <v>2154.04</v>
      </c>
      <c r="J201" s="525">
        <v>2081.81</v>
      </c>
      <c r="K201" s="525">
        <v>2226.5</v>
      </c>
      <c r="L201" s="525">
        <v>2640.81</v>
      </c>
      <c r="M201" s="524"/>
    </row>
    <row r="202" ht="15.75" customHeight="1">
      <c r="A202" s="521">
        <v>31.0</v>
      </c>
      <c r="B202" s="507" t="s">
        <v>248</v>
      </c>
      <c r="C202" s="507" t="s">
        <v>41</v>
      </c>
      <c r="D202" s="522" t="str">
        <f t="shared" si="1"/>
        <v>31Pleno</v>
      </c>
      <c r="E202" s="521">
        <v>0.0</v>
      </c>
      <c r="F202" s="521">
        <v>0.0</v>
      </c>
      <c r="G202" s="525">
        <v>0.0</v>
      </c>
      <c r="H202" s="525">
        <v>0.0</v>
      </c>
      <c r="I202" s="525">
        <v>0.0</v>
      </c>
      <c r="J202" s="525">
        <v>0.0</v>
      </c>
      <c r="K202" s="525">
        <v>0.0</v>
      </c>
      <c r="L202" s="525">
        <v>0.0</v>
      </c>
      <c r="M202" s="524"/>
    </row>
    <row r="203" ht="15.75" customHeight="1">
      <c r="A203" s="521">
        <v>31.0</v>
      </c>
      <c r="B203" s="507" t="s">
        <v>248</v>
      </c>
      <c r="C203" s="507" t="s">
        <v>53</v>
      </c>
      <c r="D203" s="522" t="str">
        <f t="shared" si="1"/>
        <v>31Sênior</v>
      </c>
      <c r="E203" s="521">
        <v>2.0</v>
      </c>
      <c r="F203" s="521">
        <v>3.0</v>
      </c>
      <c r="G203" s="525">
        <v>3521.6</v>
      </c>
      <c r="H203" s="525">
        <v>4476.92</v>
      </c>
      <c r="I203" s="525">
        <v>4961.99</v>
      </c>
      <c r="J203" s="525">
        <v>5432.24</v>
      </c>
      <c r="K203" s="525">
        <v>5682.19</v>
      </c>
      <c r="L203" s="525">
        <v>5932.14</v>
      </c>
      <c r="M203" s="524"/>
    </row>
    <row r="204" ht="15.75" customHeight="1">
      <c r="A204" s="521">
        <v>31.0</v>
      </c>
      <c r="B204" s="507" t="s">
        <v>248</v>
      </c>
      <c r="C204" s="507" t="s">
        <v>476</v>
      </c>
      <c r="D204" s="522" t="str">
        <f t="shared" si="1"/>
        <v>31Master</v>
      </c>
      <c r="E204" s="521">
        <v>0.0</v>
      </c>
      <c r="F204" s="521">
        <v>0.0</v>
      </c>
      <c r="G204" s="525">
        <v>0.0</v>
      </c>
      <c r="H204" s="525">
        <v>0.0</v>
      </c>
      <c r="I204" s="525">
        <v>0.0</v>
      </c>
      <c r="J204" s="525">
        <v>0.0</v>
      </c>
      <c r="K204" s="525">
        <v>0.0</v>
      </c>
      <c r="L204" s="525">
        <v>0.0</v>
      </c>
      <c r="M204" s="524"/>
    </row>
    <row r="205" ht="15.75" customHeight="1">
      <c r="A205" s="521">
        <v>31.0</v>
      </c>
      <c r="B205" s="507" t="s">
        <v>248</v>
      </c>
      <c r="C205" s="507" t="s">
        <v>264</v>
      </c>
      <c r="D205" s="522" t="str">
        <f t="shared" si="1"/>
        <v>31Especialista</v>
      </c>
      <c r="E205" s="521">
        <v>0.0</v>
      </c>
      <c r="F205" s="521">
        <v>0.0</v>
      </c>
      <c r="G205" s="525">
        <v>0.0</v>
      </c>
      <c r="H205" s="525">
        <v>0.0</v>
      </c>
      <c r="I205" s="525">
        <v>0.0</v>
      </c>
      <c r="J205" s="525">
        <v>0.0</v>
      </c>
      <c r="K205" s="525">
        <v>0.0</v>
      </c>
      <c r="L205" s="525">
        <v>0.0</v>
      </c>
      <c r="M205" s="524"/>
    </row>
    <row r="206" ht="15.75" customHeight="1">
      <c r="A206" s="521">
        <v>79.0</v>
      </c>
      <c r="B206" s="507" t="s">
        <v>250</v>
      </c>
      <c r="C206" s="507" t="s">
        <v>212</v>
      </c>
      <c r="D206" s="522" t="str">
        <f t="shared" si="1"/>
        <v>79Indiferente</v>
      </c>
      <c r="E206" s="523">
        <v>5.0</v>
      </c>
      <c r="F206" s="523">
        <v>9.0</v>
      </c>
      <c r="G206" s="524">
        <v>2465.34</v>
      </c>
      <c r="H206" s="524">
        <v>2560.05</v>
      </c>
      <c r="I206" s="524">
        <v>2799.02</v>
      </c>
      <c r="J206" s="524">
        <v>2658.89</v>
      </c>
      <c r="K206" s="524">
        <v>2935.06</v>
      </c>
      <c r="L206" s="524">
        <v>3630.87</v>
      </c>
      <c r="M206" s="524"/>
    </row>
    <row r="207" ht="15.75" customHeight="1">
      <c r="A207" s="521">
        <v>79.0</v>
      </c>
      <c r="B207" s="507" t="s">
        <v>250</v>
      </c>
      <c r="C207" s="507" t="s">
        <v>60</v>
      </c>
      <c r="D207" s="522" t="str">
        <f t="shared" si="1"/>
        <v>79Júnior</v>
      </c>
      <c r="E207" s="523">
        <v>0.0</v>
      </c>
      <c r="F207" s="523">
        <v>0.0</v>
      </c>
      <c r="G207" s="524">
        <v>0.0</v>
      </c>
      <c r="H207" s="524">
        <v>0.0</v>
      </c>
      <c r="I207" s="524">
        <v>0.0</v>
      </c>
      <c r="J207" s="524">
        <v>0.0</v>
      </c>
      <c r="K207" s="524">
        <v>0.0</v>
      </c>
      <c r="L207" s="524">
        <v>0.0</v>
      </c>
      <c r="M207" s="524"/>
    </row>
    <row r="208" ht="15.75" customHeight="1">
      <c r="A208" s="521">
        <v>79.0</v>
      </c>
      <c r="B208" s="507" t="s">
        <v>250</v>
      </c>
      <c r="C208" s="507" t="s">
        <v>41</v>
      </c>
      <c r="D208" s="522" t="str">
        <f t="shared" si="1"/>
        <v>79Pleno</v>
      </c>
      <c r="E208" s="523">
        <v>0.0</v>
      </c>
      <c r="F208" s="523">
        <v>0.0</v>
      </c>
      <c r="G208" s="524">
        <v>0.0</v>
      </c>
      <c r="H208" s="524">
        <v>0.0</v>
      </c>
      <c r="I208" s="524">
        <v>0.0</v>
      </c>
      <c r="J208" s="524">
        <v>0.0</v>
      </c>
      <c r="K208" s="524">
        <v>0.0</v>
      </c>
      <c r="L208" s="524">
        <v>0.0</v>
      </c>
      <c r="M208" s="524"/>
    </row>
    <row r="209" ht="15.75" customHeight="1">
      <c r="A209" s="521">
        <v>79.0</v>
      </c>
      <c r="B209" s="507" t="s">
        <v>250</v>
      </c>
      <c r="C209" s="507" t="s">
        <v>53</v>
      </c>
      <c r="D209" s="522" t="str">
        <f t="shared" si="1"/>
        <v>79Sênior</v>
      </c>
      <c r="E209" s="523">
        <v>0.0</v>
      </c>
      <c r="F209" s="523">
        <v>0.0</v>
      </c>
      <c r="G209" s="524">
        <v>0.0</v>
      </c>
      <c r="H209" s="524">
        <v>0.0</v>
      </c>
      <c r="I209" s="524">
        <v>0.0</v>
      </c>
      <c r="J209" s="524">
        <v>0.0</v>
      </c>
      <c r="K209" s="524">
        <v>0.0</v>
      </c>
      <c r="L209" s="524">
        <v>0.0</v>
      </c>
      <c r="M209" s="524"/>
    </row>
    <row r="210" ht="15.75" customHeight="1">
      <c r="A210" s="521">
        <v>79.0</v>
      </c>
      <c r="B210" s="507" t="s">
        <v>250</v>
      </c>
      <c r="C210" s="507" t="s">
        <v>476</v>
      </c>
      <c r="D210" s="522" t="str">
        <f t="shared" si="1"/>
        <v>79Master</v>
      </c>
      <c r="E210" s="523">
        <v>0.0</v>
      </c>
      <c r="F210" s="523">
        <v>0.0</v>
      </c>
      <c r="G210" s="524">
        <v>0.0</v>
      </c>
      <c r="H210" s="524">
        <v>0.0</v>
      </c>
      <c r="I210" s="524">
        <v>0.0</v>
      </c>
      <c r="J210" s="524">
        <v>0.0</v>
      </c>
      <c r="K210" s="524">
        <v>0.0</v>
      </c>
      <c r="L210" s="524">
        <v>0.0</v>
      </c>
      <c r="M210" s="524"/>
    </row>
    <row r="211" ht="15.75" customHeight="1">
      <c r="A211" s="521">
        <v>79.0</v>
      </c>
      <c r="B211" s="507" t="s">
        <v>250</v>
      </c>
      <c r="C211" s="507" t="s">
        <v>264</v>
      </c>
      <c r="D211" s="522" t="str">
        <f t="shared" si="1"/>
        <v>79Especialista</v>
      </c>
      <c r="E211" s="523">
        <v>0.0</v>
      </c>
      <c r="F211" s="523">
        <v>0.0</v>
      </c>
      <c r="G211" s="524">
        <v>0.0</v>
      </c>
      <c r="H211" s="524">
        <v>0.0</v>
      </c>
      <c r="I211" s="524">
        <v>0.0</v>
      </c>
      <c r="J211" s="524">
        <v>0.0</v>
      </c>
      <c r="K211" s="524">
        <v>0.0</v>
      </c>
      <c r="L211" s="524">
        <v>0.0</v>
      </c>
      <c r="M211" s="524"/>
    </row>
    <row r="212" ht="15.75" customHeight="1">
      <c r="A212" s="521">
        <v>83.0</v>
      </c>
      <c r="B212" s="507" t="s">
        <v>252</v>
      </c>
      <c r="C212" s="507" t="s">
        <v>212</v>
      </c>
      <c r="D212" s="522" t="str">
        <f t="shared" si="1"/>
        <v>83Indiferente</v>
      </c>
      <c r="E212" s="521">
        <v>96.0</v>
      </c>
      <c r="F212" s="521">
        <v>243.0</v>
      </c>
      <c r="G212" s="525">
        <v>1771.74</v>
      </c>
      <c r="H212" s="525">
        <v>2128.74</v>
      </c>
      <c r="I212" s="525">
        <v>2292.87</v>
      </c>
      <c r="J212" s="525">
        <v>2309.71</v>
      </c>
      <c r="K212" s="525">
        <v>2375.14</v>
      </c>
      <c r="L212" s="525">
        <v>3073.32</v>
      </c>
      <c r="M212" s="524"/>
    </row>
    <row r="213" ht="15.75" customHeight="1">
      <c r="A213" s="521">
        <v>83.0</v>
      </c>
      <c r="B213" s="507" t="s">
        <v>252</v>
      </c>
      <c r="C213" s="507" t="s">
        <v>60</v>
      </c>
      <c r="D213" s="522" t="str">
        <f t="shared" si="1"/>
        <v>83Júnior</v>
      </c>
      <c r="E213" s="521">
        <v>17.0</v>
      </c>
      <c r="F213" s="521">
        <v>27.0</v>
      </c>
      <c r="G213" s="525">
        <v>1644.51</v>
      </c>
      <c r="H213" s="525">
        <v>1954.04</v>
      </c>
      <c r="I213" s="525">
        <v>2151.63</v>
      </c>
      <c r="J213" s="525">
        <v>2112.64</v>
      </c>
      <c r="K213" s="525">
        <v>2474.53</v>
      </c>
      <c r="L213" s="525">
        <v>2640.81</v>
      </c>
      <c r="M213" s="524"/>
    </row>
    <row r="214" ht="15.75" customHeight="1">
      <c r="A214" s="521">
        <v>83.0</v>
      </c>
      <c r="B214" s="507" t="s">
        <v>252</v>
      </c>
      <c r="C214" s="507" t="s">
        <v>41</v>
      </c>
      <c r="D214" s="522" t="str">
        <f t="shared" si="1"/>
        <v>83Pleno</v>
      </c>
      <c r="E214" s="521">
        <v>17.0</v>
      </c>
      <c r="F214" s="521">
        <v>24.0</v>
      </c>
      <c r="G214" s="525">
        <v>1853.4</v>
      </c>
      <c r="H214" s="525">
        <v>2163.88</v>
      </c>
      <c r="I214" s="525">
        <v>2560.99</v>
      </c>
      <c r="J214" s="525">
        <v>2491.08</v>
      </c>
      <c r="K214" s="525">
        <v>2985.96</v>
      </c>
      <c r="L214" s="525">
        <v>3527.33</v>
      </c>
      <c r="M214" s="524"/>
    </row>
    <row r="215" ht="15.75" customHeight="1">
      <c r="A215" s="521">
        <v>83.0</v>
      </c>
      <c r="B215" s="507" t="s">
        <v>252</v>
      </c>
      <c r="C215" s="507" t="s">
        <v>53</v>
      </c>
      <c r="D215" s="522" t="str">
        <f t="shared" si="1"/>
        <v>83Sênior</v>
      </c>
      <c r="E215" s="521">
        <v>3.0</v>
      </c>
      <c r="F215" s="521">
        <v>8.0</v>
      </c>
      <c r="G215" s="525">
        <v>2167.68</v>
      </c>
      <c r="H215" s="525">
        <v>2274.67</v>
      </c>
      <c r="I215" s="525">
        <v>2542.94</v>
      </c>
      <c r="J215" s="525">
        <v>2310.33</v>
      </c>
      <c r="K215" s="525">
        <v>2572.56</v>
      </c>
      <c r="L215" s="525">
        <v>3426.55</v>
      </c>
      <c r="M215" s="524"/>
    </row>
    <row r="216" ht="15.75" customHeight="1">
      <c r="A216" s="521">
        <v>83.0</v>
      </c>
      <c r="B216" s="507" t="s">
        <v>252</v>
      </c>
      <c r="C216" s="507" t="s">
        <v>476</v>
      </c>
      <c r="D216" s="522" t="str">
        <f t="shared" si="1"/>
        <v>83Master</v>
      </c>
      <c r="E216" s="521">
        <v>0.0</v>
      </c>
      <c r="F216" s="521">
        <v>0.0</v>
      </c>
      <c r="G216" s="525">
        <v>0.0</v>
      </c>
      <c r="H216" s="525">
        <v>0.0</v>
      </c>
      <c r="I216" s="525">
        <v>0.0</v>
      </c>
      <c r="J216" s="525">
        <v>0.0</v>
      </c>
      <c r="K216" s="525">
        <v>0.0</v>
      </c>
      <c r="L216" s="525">
        <v>0.0</v>
      </c>
      <c r="M216" s="524"/>
    </row>
    <row r="217" ht="15.75" customHeight="1">
      <c r="A217" s="521">
        <v>83.0</v>
      </c>
      <c r="B217" s="507" t="s">
        <v>252</v>
      </c>
      <c r="C217" s="507" t="s">
        <v>264</v>
      </c>
      <c r="D217" s="522" t="str">
        <f t="shared" si="1"/>
        <v>83Especialista</v>
      </c>
      <c r="E217" s="521">
        <v>1.0</v>
      </c>
      <c r="F217" s="521">
        <v>2.0</v>
      </c>
      <c r="G217" s="525">
        <v>2640.81</v>
      </c>
      <c r="H217" s="525">
        <v>2640.81</v>
      </c>
      <c r="I217" s="525">
        <v>2640.81</v>
      </c>
      <c r="J217" s="525">
        <v>2640.81</v>
      </c>
      <c r="K217" s="525">
        <v>2640.81</v>
      </c>
      <c r="L217" s="525">
        <v>2640.81</v>
      </c>
      <c r="M217" s="524"/>
    </row>
    <row r="218" ht="15.75" customHeight="1">
      <c r="A218" s="521">
        <v>318.0</v>
      </c>
      <c r="B218" s="507" t="s">
        <v>255</v>
      </c>
      <c r="C218" s="507" t="s">
        <v>212</v>
      </c>
      <c r="D218" s="522" t="str">
        <f t="shared" si="1"/>
        <v>318Indiferente</v>
      </c>
      <c r="E218" s="523">
        <v>6.0</v>
      </c>
      <c r="F218" s="523">
        <v>8.0</v>
      </c>
      <c r="G218" s="524">
        <v>1731.3</v>
      </c>
      <c r="H218" s="524">
        <v>1778.55</v>
      </c>
      <c r="I218" s="524">
        <v>2041.06</v>
      </c>
      <c r="J218" s="524">
        <v>2052.94</v>
      </c>
      <c r="K218" s="524">
        <v>2169.15</v>
      </c>
      <c r="L218" s="524">
        <v>2574.08</v>
      </c>
      <c r="M218" s="524"/>
    </row>
    <row r="219" ht="15.75" customHeight="1">
      <c r="A219" s="521">
        <v>318.0</v>
      </c>
      <c r="B219" s="507" t="s">
        <v>255</v>
      </c>
      <c r="C219" s="507" t="s">
        <v>60</v>
      </c>
      <c r="D219" s="522" t="str">
        <f t="shared" si="1"/>
        <v>318Júnior</v>
      </c>
      <c r="E219" s="523">
        <v>0.0</v>
      </c>
      <c r="F219" s="523">
        <v>0.0</v>
      </c>
      <c r="G219" s="524">
        <v>0.0</v>
      </c>
      <c r="H219" s="524">
        <v>0.0</v>
      </c>
      <c r="I219" s="524">
        <v>0.0</v>
      </c>
      <c r="J219" s="524">
        <v>0.0</v>
      </c>
      <c r="K219" s="524">
        <v>0.0</v>
      </c>
      <c r="L219" s="524">
        <v>0.0</v>
      </c>
      <c r="M219" s="524"/>
    </row>
    <row r="220" ht="15.75" customHeight="1">
      <c r="A220" s="521">
        <v>318.0</v>
      </c>
      <c r="B220" s="507" t="s">
        <v>255</v>
      </c>
      <c r="C220" s="507" t="s">
        <v>41</v>
      </c>
      <c r="D220" s="522" t="str">
        <f t="shared" si="1"/>
        <v>318Pleno</v>
      </c>
      <c r="E220" s="523">
        <v>0.0</v>
      </c>
      <c r="F220" s="523">
        <v>0.0</v>
      </c>
      <c r="G220" s="524">
        <v>0.0</v>
      </c>
      <c r="H220" s="524">
        <v>0.0</v>
      </c>
      <c r="I220" s="524">
        <v>0.0</v>
      </c>
      <c r="J220" s="524">
        <v>0.0</v>
      </c>
      <c r="K220" s="524">
        <v>0.0</v>
      </c>
      <c r="L220" s="524">
        <v>0.0</v>
      </c>
      <c r="M220" s="524"/>
    </row>
    <row r="221" ht="15.75" customHeight="1">
      <c r="A221" s="521">
        <v>318.0</v>
      </c>
      <c r="B221" s="507" t="s">
        <v>255</v>
      </c>
      <c r="C221" s="507" t="s">
        <v>53</v>
      </c>
      <c r="D221" s="522" t="str">
        <f t="shared" si="1"/>
        <v>318Sênior</v>
      </c>
      <c r="E221" s="523">
        <v>0.0</v>
      </c>
      <c r="F221" s="523">
        <v>0.0</v>
      </c>
      <c r="G221" s="524">
        <v>0.0</v>
      </c>
      <c r="H221" s="524">
        <v>0.0</v>
      </c>
      <c r="I221" s="524">
        <v>0.0</v>
      </c>
      <c r="J221" s="524">
        <v>0.0</v>
      </c>
      <c r="K221" s="524">
        <v>0.0</v>
      </c>
      <c r="L221" s="524">
        <v>0.0</v>
      </c>
      <c r="M221" s="524"/>
    </row>
    <row r="222" ht="15.75" customHeight="1">
      <c r="A222" s="521">
        <v>318.0</v>
      </c>
      <c r="B222" s="507" t="s">
        <v>255</v>
      </c>
      <c r="C222" s="507" t="s">
        <v>476</v>
      </c>
      <c r="D222" s="522" t="str">
        <f t="shared" si="1"/>
        <v>318Master</v>
      </c>
      <c r="E222" s="523">
        <v>0.0</v>
      </c>
      <c r="F222" s="523">
        <v>0.0</v>
      </c>
      <c r="G222" s="524">
        <v>0.0</v>
      </c>
      <c r="H222" s="524">
        <v>0.0</v>
      </c>
      <c r="I222" s="524">
        <v>0.0</v>
      </c>
      <c r="J222" s="524">
        <v>0.0</v>
      </c>
      <c r="K222" s="524">
        <v>0.0</v>
      </c>
      <c r="L222" s="524">
        <v>0.0</v>
      </c>
      <c r="M222" s="524"/>
    </row>
    <row r="223" ht="15.75" customHeight="1">
      <c r="A223" s="521">
        <v>318.0</v>
      </c>
      <c r="B223" s="507" t="s">
        <v>255</v>
      </c>
      <c r="C223" s="507" t="s">
        <v>264</v>
      </c>
      <c r="D223" s="522" t="str">
        <f t="shared" si="1"/>
        <v>318Especialista</v>
      </c>
      <c r="E223" s="523">
        <v>0.0</v>
      </c>
      <c r="F223" s="523">
        <v>0.0</v>
      </c>
      <c r="G223" s="524">
        <v>0.0</v>
      </c>
      <c r="H223" s="524">
        <v>0.0</v>
      </c>
      <c r="I223" s="524">
        <v>0.0</v>
      </c>
      <c r="J223" s="524">
        <v>0.0</v>
      </c>
      <c r="K223" s="524">
        <v>0.0</v>
      </c>
      <c r="L223" s="524">
        <v>0.0</v>
      </c>
      <c r="M223" s="524"/>
    </row>
    <row r="224" ht="15.75" customHeight="1">
      <c r="A224" s="521">
        <v>207.0</v>
      </c>
      <c r="B224" s="507" t="s">
        <v>257</v>
      </c>
      <c r="C224" s="507" t="s">
        <v>212</v>
      </c>
      <c r="D224" s="522" t="str">
        <f t="shared" si="1"/>
        <v>207Indiferente</v>
      </c>
      <c r="E224" s="523">
        <v>3.0</v>
      </c>
      <c r="F224" s="523">
        <v>3.0</v>
      </c>
      <c r="G224" s="524">
        <v>2574.08</v>
      </c>
      <c r="H224" s="524">
        <v>2644.47</v>
      </c>
      <c r="I224" s="524">
        <v>2819.08</v>
      </c>
      <c r="J224" s="524">
        <v>2714.85</v>
      </c>
      <c r="K224" s="524">
        <v>2941.58</v>
      </c>
      <c r="L224" s="524">
        <v>3168.31</v>
      </c>
      <c r="M224" s="524"/>
    </row>
    <row r="225" ht="15.75" customHeight="1">
      <c r="A225" s="521">
        <v>207.0</v>
      </c>
      <c r="B225" s="507" t="s">
        <v>257</v>
      </c>
      <c r="C225" s="507" t="s">
        <v>60</v>
      </c>
      <c r="D225" s="522" t="str">
        <f t="shared" si="1"/>
        <v>207Júnior</v>
      </c>
      <c r="E225" s="523">
        <v>0.0</v>
      </c>
      <c r="F225" s="523">
        <v>0.0</v>
      </c>
      <c r="G225" s="524">
        <v>0.0</v>
      </c>
      <c r="H225" s="524">
        <v>0.0</v>
      </c>
      <c r="I225" s="524">
        <v>0.0</v>
      </c>
      <c r="J225" s="524">
        <v>0.0</v>
      </c>
      <c r="K225" s="524">
        <v>0.0</v>
      </c>
      <c r="L225" s="524">
        <v>0.0</v>
      </c>
      <c r="M225" s="524"/>
    </row>
    <row r="226" ht="15.75" customHeight="1">
      <c r="A226" s="521">
        <v>207.0</v>
      </c>
      <c r="B226" s="507" t="s">
        <v>257</v>
      </c>
      <c r="C226" s="507" t="s">
        <v>41</v>
      </c>
      <c r="D226" s="522" t="str">
        <f t="shared" si="1"/>
        <v>207Pleno</v>
      </c>
      <c r="E226" s="523">
        <v>0.0</v>
      </c>
      <c r="F226" s="523">
        <v>0.0</v>
      </c>
      <c r="G226" s="524">
        <v>0.0</v>
      </c>
      <c r="H226" s="524">
        <v>0.0</v>
      </c>
      <c r="I226" s="524">
        <v>0.0</v>
      </c>
      <c r="J226" s="524">
        <v>0.0</v>
      </c>
      <c r="K226" s="524">
        <v>0.0</v>
      </c>
      <c r="L226" s="524">
        <v>0.0</v>
      </c>
      <c r="M226" s="524"/>
    </row>
    <row r="227" ht="15.75" customHeight="1">
      <c r="A227" s="521">
        <v>207.0</v>
      </c>
      <c r="B227" s="507" t="s">
        <v>257</v>
      </c>
      <c r="C227" s="507" t="s">
        <v>53</v>
      </c>
      <c r="D227" s="522" t="str">
        <f t="shared" si="1"/>
        <v>207Sênior</v>
      </c>
      <c r="E227" s="523">
        <v>0.0</v>
      </c>
      <c r="F227" s="523">
        <v>0.0</v>
      </c>
      <c r="G227" s="524">
        <v>0.0</v>
      </c>
      <c r="H227" s="524">
        <v>0.0</v>
      </c>
      <c r="I227" s="524">
        <v>0.0</v>
      </c>
      <c r="J227" s="524">
        <v>0.0</v>
      </c>
      <c r="K227" s="524">
        <v>0.0</v>
      </c>
      <c r="L227" s="524">
        <v>0.0</v>
      </c>
      <c r="M227" s="524"/>
    </row>
    <row r="228" ht="15.75" customHeight="1">
      <c r="A228" s="521">
        <v>207.0</v>
      </c>
      <c r="B228" s="507" t="s">
        <v>257</v>
      </c>
      <c r="C228" s="507" t="s">
        <v>476</v>
      </c>
      <c r="D228" s="522" t="str">
        <f t="shared" si="1"/>
        <v>207Master</v>
      </c>
      <c r="E228" s="523">
        <v>0.0</v>
      </c>
      <c r="F228" s="523">
        <v>0.0</v>
      </c>
      <c r="G228" s="524">
        <v>0.0</v>
      </c>
      <c r="H228" s="524">
        <v>0.0</v>
      </c>
      <c r="I228" s="524">
        <v>0.0</v>
      </c>
      <c r="J228" s="524">
        <v>0.0</v>
      </c>
      <c r="K228" s="524">
        <v>0.0</v>
      </c>
      <c r="L228" s="524">
        <v>0.0</v>
      </c>
      <c r="M228" s="524"/>
    </row>
    <row r="229" ht="15.75" customHeight="1">
      <c r="A229" s="521">
        <v>207.0</v>
      </c>
      <c r="B229" s="507" t="s">
        <v>257</v>
      </c>
      <c r="C229" s="507" t="s">
        <v>264</v>
      </c>
      <c r="D229" s="522" t="str">
        <f t="shared" si="1"/>
        <v>207Especialista</v>
      </c>
      <c r="E229" s="523">
        <v>0.0</v>
      </c>
      <c r="F229" s="523">
        <v>0.0</v>
      </c>
      <c r="G229" s="524">
        <v>0.0</v>
      </c>
      <c r="H229" s="524">
        <v>0.0</v>
      </c>
      <c r="I229" s="524">
        <v>0.0</v>
      </c>
      <c r="J229" s="524">
        <v>0.0</v>
      </c>
      <c r="K229" s="524">
        <v>0.0</v>
      </c>
      <c r="L229" s="524">
        <v>0.0</v>
      </c>
      <c r="M229" s="524"/>
    </row>
    <row r="230" ht="15.75" customHeight="1">
      <c r="A230" s="521">
        <v>91.0</v>
      </c>
      <c r="B230" s="507" t="s">
        <v>494</v>
      </c>
      <c r="C230" s="507" t="s">
        <v>212</v>
      </c>
      <c r="D230" s="522" t="str">
        <f t="shared" si="1"/>
        <v>91Indiferente</v>
      </c>
      <c r="E230" s="523">
        <v>5.0</v>
      </c>
      <c r="F230" s="523">
        <v>11.0</v>
      </c>
      <c r="G230" s="524">
        <v>1923.52</v>
      </c>
      <c r="H230" s="524">
        <v>2204.65</v>
      </c>
      <c r="I230" s="524">
        <v>2348.32</v>
      </c>
      <c r="J230" s="524">
        <v>2204.65</v>
      </c>
      <c r="K230" s="524">
        <v>2658.89</v>
      </c>
      <c r="L230" s="524">
        <v>2851.77</v>
      </c>
      <c r="M230" s="524"/>
    </row>
    <row r="231" ht="15.75" customHeight="1">
      <c r="A231" s="521">
        <v>91.0</v>
      </c>
      <c r="B231" s="507" t="s">
        <v>494</v>
      </c>
      <c r="C231" s="507" t="s">
        <v>60</v>
      </c>
      <c r="D231" s="522" t="str">
        <f t="shared" si="1"/>
        <v>91Júnior</v>
      </c>
      <c r="E231" s="523">
        <v>0.0</v>
      </c>
      <c r="F231" s="523">
        <v>0.0</v>
      </c>
      <c r="G231" s="524">
        <v>0.0</v>
      </c>
      <c r="H231" s="524">
        <v>0.0</v>
      </c>
      <c r="I231" s="524">
        <v>0.0</v>
      </c>
      <c r="J231" s="524">
        <v>0.0</v>
      </c>
      <c r="K231" s="524">
        <v>0.0</v>
      </c>
      <c r="L231" s="524">
        <v>0.0</v>
      </c>
      <c r="M231" s="524"/>
    </row>
    <row r="232" ht="15.75" customHeight="1">
      <c r="A232" s="521">
        <v>91.0</v>
      </c>
      <c r="B232" s="507" t="s">
        <v>494</v>
      </c>
      <c r="C232" s="507" t="s">
        <v>41</v>
      </c>
      <c r="D232" s="522" t="str">
        <f t="shared" si="1"/>
        <v>91Pleno</v>
      </c>
      <c r="E232" s="523">
        <v>0.0</v>
      </c>
      <c r="F232" s="523">
        <v>0.0</v>
      </c>
      <c r="G232" s="524">
        <v>0.0</v>
      </c>
      <c r="H232" s="524">
        <v>0.0</v>
      </c>
      <c r="I232" s="524">
        <v>0.0</v>
      </c>
      <c r="J232" s="524">
        <v>0.0</v>
      </c>
      <c r="K232" s="524">
        <v>0.0</v>
      </c>
      <c r="L232" s="524">
        <v>0.0</v>
      </c>
      <c r="M232" s="524"/>
    </row>
    <row r="233" ht="15.75" customHeight="1">
      <c r="A233" s="521">
        <v>91.0</v>
      </c>
      <c r="B233" s="507" t="s">
        <v>494</v>
      </c>
      <c r="C233" s="507" t="s">
        <v>53</v>
      </c>
      <c r="D233" s="522" t="str">
        <f t="shared" si="1"/>
        <v>91Sênior</v>
      </c>
      <c r="E233" s="523">
        <v>0.0</v>
      </c>
      <c r="F233" s="523">
        <v>0.0</v>
      </c>
      <c r="G233" s="524">
        <v>0.0</v>
      </c>
      <c r="H233" s="524">
        <v>0.0</v>
      </c>
      <c r="I233" s="524">
        <v>0.0</v>
      </c>
      <c r="J233" s="524">
        <v>0.0</v>
      </c>
      <c r="K233" s="524">
        <v>0.0</v>
      </c>
      <c r="L233" s="524">
        <v>0.0</v>
      </c>
      <c r="M233" s="524"/>
    </row>
    <row r="234" ht="15.75" customHeight="1">
      <c r="A234" s="521">
        <v>91.0</v>
      </c>
      <c r="B234" s="507" t="s">
        <v>494</v>
      </c>
      <c r="C234" s="507" t="s">
        <v>476</v>
      </c>
      <c r="D234" s="522" t="str">
        <f t="shared" si="1"/>
        <v>91Master</v>
      </c>
      <c r="E234" s="523">
        <v>0.0</v>
      </c>
      <c r="F234" s="523">
        <v>0.0</v>
      </c>
      <c r="G234" s="524">
        <v>0.0</v>
      </c>
      <c r="H234" s="524">
        <v>0.0</v>
      </c>
      <c r="I234" s="524">
        <v>0.0</v>
      </c>
      <c r="J234" s="524">
        <v>0.0</v>
      </c>
      <c r="K234" s="524">
        <v>0.0</v>
      </c>
      <c r="L234" s="524">
        <v>0.0</v>
      </c>
      <c r="M234" s="524"/>
    </row>
    <row r="235" ht="15.75" customHeight="1">
      <c r="A235" s="521">
        <v>91.0</v>
      </c>
      <c r="B235" s="507" t="s">
        <v>494</v>
      </c>
      <c r="C235" s="507" t="s">
        <v>264</v>
      </c>
      <c r="D235" s="522" t="str">
        <f t="shared" si="1"/>
        <v>91Especialista</v>
      </c>
      <c r="E235" s="523">
        <v>0.0</v>
      </c>
      <c r="F235" s="523">
        <v>0.0</v>
      </c>
      <c r="G235" s="524">
        <v>0.0</v>
      </c>
      <c r="H235" s="524">
        <v>0.0</v>
      </c>
      <c r="I235" s="524">
        <v>0.0</v>
      </c>
      <c r="J235" s="524">
        <v>0.0</v>
      </c>
      <c r="K235" s="524">
        <v>0.0</v>
      </c>
      <c r="L235" s="524">
        <v>0.0</v>
      </c>
      <c r="M235" s="524"/>
    </row>
    <row r="236" ht="15.75" customHeight="1">
      <c r="A236" s="521">
        <v>95.0</v>
      </c>
      <c r="B236" s="507" t="s">
        <v>261</v>
      </c>
      <c r="C236" s="507" t="s">
        <v>212</v>
      </c>
      <c r="D236" s="522" t="str">
        <f t="shared" si="1"/>
        <v>95Indiferente</v>
      </c>
      <c r="E236" s="521">
        <v>6.0</v>
      </c>
      <c r="F236" s="521">
        <v>6.0</v>
      </c>
      <c r="G236" s="525">
        <v>14652.03</v>
      </c>
      <c r="H236" s="525">
        <v>15472.01</v>
      </c>
      <c r="I236" s="525">
        <v>16594.35</v>
      </c>
      <c r="J236" s="525">
        <v>16581.68</v>
      </c>
      <c r="K236" s="525">
        <v>17497.31</v>
      </c>
      <c r="L236" s="525">
        <v>18846.04</v>
      </c>
      <c r="M236" s="524"/>
    </row>
    <row r="237" ht="15.75" customHeight="1">
      <c r="A237" s="521">
        <v>95.0</v>
      </c>
      <c r="B237" s="507" t="s">
        <v>261</v>
      </c>
      <c r="C237" s="507" t="s">
        <v>60</v>
      </c>
      <c r="D237" s="522" t="str">
        <f t="shared" si="1"/>
        <v>95Júnior</v>
      </c>
      <c r="E237" s="521">
        <v>0.0</v>
      </c>
      <c r="F237" s="521">
        <v>0.0</v>
      </c>
      <c r="G237" s="525">
        <v>0.0</v>
      </c>
      <c r="H237" s="525">
        <v>0.0</v>
      </c>
      <c r="I237" s="525">
        <v>0.0</v>
      </c>
      <c r="J237" s="525">
        <v>0.0</v>
      </c>
      <c r="K237" s="525">
        <v>0.0</v>
      </c>
      <c r="L237" s="525">
        <v>0.0</v>
      </c>
      <c r="M237" s="524"/>
    </row>
    <row r="238" ht="15.75" customHeight="1">
      <c r="A238" s="521">
        <v>95.0</v>
      </c>
      <c r="B238" s="507" t="s">
        <v>261</v>
      </c>
      <c r="C238" s="507" t="s">
        <v>41</v>
      </c>
      <c r="D238" s="522" t="str">
        <f t="shared" si="1"/>
        <v>95Pleno</v>
      </c>
      <c r="E238" s="521">
        <v>0.0</v>
      </c>
      <c r="F238" s="521">
        <v>0.0</v>
      </c>
      <c r="G238" s="525">
        <v>0.0</v>
      </c>
      <c r="H238" s="525">
        <v>0.0</v>
      </c>
      <c r="I238" s="525">
        <v>0.0</v>
      </c>
      <c r="J238" s="525">
        <v>0.0</v>
      </c>
      <c r="K238" s="525">
        <v>0.0</v>
      </c>
      <c r="L238" s="525">
        <v>0.0</v>
      </c>
      <c r="M238" s="524"/>
    </row>
    <row r="239" ht="15.75" customHeight="1">
      <c r="A239" s="521">
        <v>95.0</v>
      </c>
      <c r="B239" s="507" t="s">
        <v>261</v>
      </c>
      <c r="C239" s="507" t="s">
        <v>53</v>
      </c>
      <c r="D239" s="522" t="str">
        <f t="shared" si="1"/>
        <v>95Sênior</v>
      </c>
      <c r="E239" s="521">
        <v>2.0</v>
      </c>
      <c r="F239" s="521">
        <v>2.0</v>
      </c>
      <c r="G239" s="525">
        <v>18846.04</v>
      </c>
      <c r="H239" s="525">
        <v>22436.99</v>
      </c>
      <c r="I239" s="525">
        <v>26027.94</v>
      </c>
      <c r="J239" s="525">
        <v>26027.94</v>
      </c>
      <c r="K239" s="525">
        <v>29618.88</v>
      </c>
      <c r="L239" s="525">
        <v>33209.83</v>
      </c>
      <c r="M239" s="524"/>
    </row>
    <row r="240" ht="15.75" customHeight="1">
      <c r="A240" s="521">
        <v>95.0</v>
      </c>
      <c r="B240" s="507" t="s">
        <v>261</v>
      </c>
      <c r="C240" s="507" t="s">
        <v>476</v>
      </c>
      <c r="D240" s="522" t="str">
        <f t="shared" si="1"/>
        <v>95Master</v>
      </c>
      <c r="E240" s="521">
        <v>0.0</v>
      </c>
      <c r="F240" s="521">
        <v>0.0</v>
      </c>
      <c r="G240" s="525">
        <v>0.0</v>
      </c>
      <c r="H240" s="525">
        <v>0.0</v>
      </c>
      <c r="I240" s="525">
        <v>0.0</v>
      </c>
      <c r="J240" s="525">
        <v>0.0</v>
      </c>
      <c r="K240" s="525">
        <v>0.0</v>
      </c>
      <c r="L240" s="525">
        <v>0.0</v>
      </c>
      <c r="M240" s="524"/>
    </row>
    <row r="241" ht="15.75" customHeight="1">
      <c r="A241" s="521">
        <v>95.0</v>
      </c>
      <c r="B241" s="507" t="s">
        <v>261</v>
      </c>
      <c r="C241" s="507" t="s">
        <v>264</v>
      </c>
      <c r="D241" s="522" t="str">
        <f t="shared" si="1"/>
        <v>95Especialista</v>
      </c>
      <c r="E241" s="523">
        <v>0.0</v>
      </c>
      <c r="F241" s="523">
        <v>0.0</v>
      </c>
      <c r="G241" s="524">
        <v>0.0</v>
      </c>
      <c r="H241" s="524">
        <v>0.0</v>
      </c>
      <c r="I241" s="524">
        <v>0.0</v>
      </c>
      <c r="J241" s="524">
        <v>0.0</v>
      </c>
      <c r="K241" s="524">
        <v>0.0</v>
      </c>
      <c r="L241" s="524">
        <v>0.0</v>
      </c>
      <c r="M241" s="524"/>
    </row>
    <row r="242" ht="15.75" customHeight="1">
      <c r="A242" s="521">
        <v>1202.0</v>
      </c>
      <c r="B242" s="507" t="s">
        <v>495</v>
      </c>
      <c r="C242" s="507" t="s">
        <v>212</v>
      </c>
      <c r="D242" s="522" t="str">
        <f t="shared" si="1"/>
        <v>1202Indiferente</v>
      </c>
      <c r="E242" s="523">
        <v>0.0</v>
      </c>
      <c r="F242" s="523">
        <v>0.0</v>
      </c>
      <c r="G242" s="524">
        <v>0.0</v>
      </c>
      <c r="H242" s="524">
        <v>0.0</v>
      </c>
      <c r="I242" s="524">
        <v>0.0</v>
      </c>
      <c r="J242" s="524">
        <v>0.0</v>
      </c>
      <c r="K242" s="524">
        <v>0.0</v>
      </c>
      <c r="L242" s="524">
        <v>0.0</v>
      </c>
      <c r="M242" s="524"/>
    </row>
    <row r="243" ht="15.75" customHeight="1">
      <c r="A243" s="521">
        <v>1202.0</v>
      </c>
      <c r="B243" s="507" t="s">
        <v>495</v>
      </c>
      <c r="C243" s="507" t="s">
        <v>60</v>
      </c>
      <c r="D243" s="522" t="str">
        <f t="shared" si="1"/>
        <v>1202Júnior</v>
      </c>
      <c r="E243" s="523">
        <v>0.0</v>
      </c>
      <c r="F243" s="523">
        <v>0.0</v>
      </c>
      <c r="G243" s="524">
        <v>0.0</v>
      </c>
      <c r="H243" s="524">
        <v>0.0</v>
      </c>
      <c r="I243" s="524">
        <v>0.0</v>
      </c>
      <c r="J243" s="524">
        <v>0.0</v>
      </c>
      <c r="K243" s="524">
        <v>0.0</v>
      </c>
      <c r="L243" s="524">
        <v>0.0</v>
      </c>
      <c r="M243" s="524"/>
    </row>
    <row r="244" ht="15.75" customHeight="1">
      <c r="A244" s="521">
        <v>1202.0</v>
      </c>
      <c r="B244" s="507" t="s">
        <v>495</v>
      </c>
      <c r="C244" s="507" t="s">
        <v>41</v>
      </c>
      <c r="D244" s="522" t="str">
        <f t="shared" si="1"/>
        <v>1202Pleno</v>
      </c>
      <c r="E244" s="523">
        <v>0.0</v>
      </c>
      <c r="F244" s="523">
        <v>0.0</v>
      </c>
      <c r="G244" s="524">
        <v>0.0</v>
      </c>
      <c r="H244" s="524">
        <v>0.0</v>
      </c>
      <c r="I244" s="524">
        <v>0.0</v>
      </c>
      <c r="J244" s="524">
        <v>0.0</v>
      </c>
      <c r="K244" s="524">
        <v>0.0</v>
      </c>
      <c r="L244" s="524">
        <v>0.0</v>
      </c>
      <c r="M244" s="524"/>
    </row>
    <row r="245" ht="15.75" customHeight="1">
      <c r="A245" s="521">
        <v>1202.0</v>
      </c>
      <c r="B245" s="507" t="s">
        <v>495</v>
      </c>
      <c r="C245" s="507" t="s">
        <v>53</v>
      </c>
      <c r="D245" s="522" t="str">
        <f t="shared" si="1"/>
        <v>1202Sênior</v>
      </c>
      <c r="E245" s="523">
        <v>0.0</v>
      </c>
      <c r="F245" s="523">
        <v>0.0</v>
      </c>
      <c r="G245" s="524">
        <v>0.0</v>
      </c>
      <c r="H245" s="524">
        <v>0.0</v>
      </c>
      <c r="I245" s="524">
        <v>0.0</v>
      </c>
      <c r="J245" s="524">
        <v>0.0</v>
      </c>
      <c r="K245" s="524">
        <v>0.0</v>
      </c>
      <c r="L245" s="524">
        <v>0.0</v>
      </c>
      <c r="M245" s="524"/>
    </row>
    <row r="246" ht="15.75" customHeight="1">
      <c r="A246" s="521">
        <v>1202.0</v>
      </c>
      <c r="B246" s="507" t="s">
        <v>495</v>
      </c>
      <c r="C246" s="507" t="s">
        <v>476</v>
      </c>
      <c r="D246" s="522" t="str">
        <f t="shared" si="1"/>
        <v>1202Master</v>
      </c>
      <c r="E246" s="523">
        <v>0.0</v>
      </c>
      <c r="F246" s="523">
        <v>0.0</v>
      </c>
      <c r="G246" s="524">
        <v>0.0</v>
      </c>
      <c r="H246" s="524">
        <v>0.0</v>
      </c>
      <c r="I246" s="524">
        <v>0.0</v>
      </c>
      <c r="J246" s="524">
        <v>0.0</v>
      </c>
      <c r="K246" s="524">
        <v>0.0</v>
      </c>
      <c r="L246" s="524">
        <v>0.0</v>
      </c>
      <c r="M246" s="524"/>
    </row>
    <row r="247" ht="15.75" customHeight="1">
      <c r="A247" s="521">
        <v>1202.0</v>
      </c>
      <c r="B247" s="507" t="s">
        <v>495</v>
      </c>
      <c r="C247" s="507" t="s">
        <v>264</v>
      </c>
      <c r="D247" s="522" t="str">
        <f t="shared" si="1"/>
        <v>1202Especialista</v>
      </c>
      <c r="E247" s="523">
        <v>0.0</v>
      </c>
      <c r="F247" s="523">
        <v>0.0</v>
      </c>
      <c r="G247" s="524">
        <v>0.0</v>
      </c>
      <c r="H247" s="524">
        <v>0.0</v>
      </c>
      <c r="I247" s="524">
        <v>0.0</v>
      </c>
      <c r="J247" s="524">
        <v>0.0</v>
      </c>
      <c r="K247" s="524">
        <v>0.0</v>
      </c>
      <c r="L247" s="524">
        <v>0.0</v>
      </c>
      <c r="M247" s="524"/>
    </row>
    <row r="248" ht="15.75" customHeight="1">
      <c r="A248" s="521">
        <v>39.0</v>
      </c>
      <c r="B248" s="507" t="s">
        <v>496</v>
      </c>
      <c r="C248" s="507" t="s">
        <v>212</v>
      </c>
      <c r="D248" s="522" t="str">
        <f t="shared" si="1"/>
        <v>39Indiferente</v>
      </c>
      <c r="E248" s="523">
        <v>29.0</v>
      </c>
      <c r="F248" s="523">
        <v>37.0</v>
      </c>
      <c r="G248" s="524">
        <v>4582.91</v>
      </c>
      <c r="H248" s="524">
        <v>5542.95</v>
      </c>
      <c r="I248" s="524">
        <v>6583.89</v>
      </c>
      <c r="J248" s="524">
        <v>6114.08</v>
      </c>
      <c r="K248" s="524">
        <v>7703.7</v>
      </c>
      <c r="L248" s="524">
        <v>9070.29</v>
      </c>
      <c r="M248" s="524"/>
    </row>
    <row r="249" ht="15.75" customHeight="1">
      <c r="A249" s="521">
        <v>39.0</v>
      </c>
      <c r="B249" s="507" t="s">
        <v>496</v>
      </c>
      <c r="C249" s="507" t="s">
        <v>60</v>
      </c>
      <c r="D249" s="522" t="str">
        <f t="shared" si="1"/>
        <v>39Júnior</v>
      </c>
      <c r="E249" s="523">
        <v>5.0</v>
      </c>
      <c r="F249" s="523">
        <v>8.0</v>
      </c>
      <c r="G249" s="524">
        <v>4031.24</v>
      </c>
      <c r="H249" s="524">
        <v>4989.03</v>
      </c>
      <c r="I249" s="524">
        <v>5573.49</v>
      </c>
      <c r="J249" s="524">
        <v>5584.73</v>
      </c>
      <c r="K249" s="524">
        <v>6047.62</v>
      </c>
      <c r="L249" s="524">
        <v>7320.32</v>
      </c>
      <c r="M249" s="524"/>
    </row>
    <row r="250" ht="15.75" customHeight="1">
      <c r="A250" s="521">
        <v>39.0</v>
      </c>
      <c r="B250" s="507" t="s">
        <v>496</v>
      </c>
      <c r="C250" s="507" t="s">
        <v>41</v>
      </c>
      <c r="D250" s="522" t="str">
        <f t="shared" si="1"/>
        <v>39Pleno</v>
      </c>
      <c r="E250" s="523">
        <v>4.0</v>
      </c>
      <c r="F250" s="523">
        <v>6.0</v>
      </c>
      <c r="G250" s="524">
        <v>3950.65</v>
      </c>
      <c r="H250" s="524">
        <v>7199.09</v>
      </c>
      <c r="I250" s="524">
        <v>7984.95</v>
      </c>
      <c r="J250" s="524">
        <v>8568.97</v>
      </c>
      <c r="K250" s="524">
        <v>8851.21</v>
      </c>
      <c r="L250" s="524">
        <v>11133.34</v>
      </c>
      <c r="M250" s="524"/>
    </row>
    <row r="251" ht="15.75" customHeight="1">
      <c r="A251" s="521">
        <v>39.0</v>
      </c>
      <c r="B251" s="507" t="s">
        <v>496</v>
      </c>
      <c r="C251" s="507" t="s">
        <v>53</v>
      </c>
      <c r="D251" s="522" t="str">
        <f t="shared" si="1"/>
        <v>39Sênior</v>
      </c>
      <c r="E251" s="523">
        <v>3.0</v>
      </c>
      <c r="F251" s="523">
        <v>3.0</v>
      </c>
      <c r="G251" s="524">
        <v>5150.47</v>
      </c>
      <c r="H251" s="524">
        <v>5417.63</v>
      </c>
      <c r="I251" s="524">
        <v>5612.43</v>
      </c>
      <c r="J251" s="524">
        <v>5684.79</v>
      </c>
      <c r="K251" s="524">
        <v>5843.41</v>
      </c>
      <c r="L251" s="524">
        <v>6002.02</v>
      </c>
      <c r="M251" s="524"/>
    </row>
    <row r="252" ht="15.75" customHeight="1">
      <c r="A252" s="521">
        <v>39.0</v>
      </c>
      <c r="B252" s="507" t="s">
        <v>496</v>
      </c>
      <c r="C252" s="507" t="s">
        <v>476</v>
      </c>
      <c r="D252" s="522" t="str">
        <f t="shared" si="1"/>
        <v>39Master</v>
      </c>
      <c r="E252" s="523">
        <v>0.0</v>
      </c>
      <c r="F252" s="523">
        <v>0.0</v>
      </c>
      <c r="G252" s="524">
        <v>0.0</v>
      </c>
      <c r="H252" s="524">
        <v>0.0</v>
      </c>
      <c r="I252" s="524">
        <v>0.0</v>
      </c>
      <c r="J252" s="524">
        <v>0.0</v>
      </c>
      <c r="K252" s="524">
        <v>0.0</v>
      </c>
      <c r="L252" s="524">
        <v>0.0</v>
      </c>
      <c r="M252" s="524"/>
    </row>
    <row r="253" ht="15.75" customHeight="1">
      <c r="A253" s="521">
        <v>39.0</v>
      </c>
      <c r="B253" s="507" t="s">
        <v>496</v>
      </c>
      <c r="C253" s="507" t="s">
        <v>264</v>
      </c>
      <c r="D253" s="522" t="str">
        <f t="shared" si="1"/>
        <v>39Especialista</v>
      </c>
      <c r="E253" s="523">
        <v>0.0</v>
      </c>
      <c r="F253" s="523">
        <v>0.0</v>
      </c>
      <c r="G253" s="524">
        <v>0.0</v>
      </c>
      <c r="H253" s="524">
        <v>0.0</v>
      </c>
      <c r="I253" s="524">
        <v>0.0</v>
      </c>
      <c r="J253" s="524">
        <v>0.0</v>
      </c>
      <c r="K253" s="524">
        <v>0.0</v>
      </c>
      <c r="L253" s="524">
        <v>0.0</v>
      </c>
      <c r="M253" s="524"/>
    </row>
    <row r="254" ht="15.75" customHeight="1">
      <c r="A254" s="521">
        <v>41.0</v>
      </c>
      <c r="B254" s="507" t="s">
        <v>497</v>
      </c>
      <c r="C254" s="507" t="s">
        <v>212</v>
      </c>
      <c r="D254" s="522" t="str">
        <f t="shared" si="1"/>
        <v>41Indiferente</v>
      </c>
      <c r="E254" s="523">
        <v>0.0</v>
      </c>
      <c r="F254" s="523">
        <v>0.0</v>
      </c>
      <c r="G254" s="524">
        <v>0.0</v>
      </c>
      <c r="H254" s="524">
        <v>0.0</v>
      </c>
      <c r="I254" s="524">
        <v>0.0</v>
      </c>
      <c r="J254" s="524">
        <v>0.0</v>
      </c>
      <c r="K254" s="524">
        <v>0.0</v>
      </c>
      <c r="L254" s="524">
        <v>0.0</v>
      </c>
      <c r="M254" s="524"/>
    </row>
    <row r="255" ht="15.75" customHeight="1">
      <c r="A255" s="521">
        <v>41.0</v>
      </c>
      <c r="B255" s="507" t="s">
        <v>497</v>
      </c>
      <c r="C255" s="507" t="s">
        <v>60</v>
      </c>
      <c r="D255" s="522" t="str">
        <f t="shared" si="1"/>
        <v>41Júnior</v>
      </c>
      <c r="E255" s="523">
        <v>0.0</v>
      </c>
      <c r="F255" s="523">
        <v>0.0</v>
      </c>
      <c r="G255" s="524">
        <v>0.0</v>
      </c>
      <c r="H255" s="524">
        <v>0.0</v>
      </c>
      <c r="I255" s="524">
        <v>0.0</v>
      </c>
      <c r="J255" s="524">
        <v>0.0</v>
      </c>
      <c r="K255" s="524">
        <v>0.0</v>
      </c>
      <c r="L255" s="524">
        <v>0.0</v>
      </c>
      <c r="M255" s="524"/>
    </row>
    <row r="256" ht="15.75" customHeight="1">
      <c r="A256" s="521">
        <v>41.0</v>
      </c>
      <c r="B256" s="507" t="s">
        <v>497</v>
      </c>
      <c r="C256" s="507" t="s">
        <v>41</v>
      </c>
      <c r="D256" s="522" t="str">
        <f t="shared" si="1"/>
        <v>41Pleno</v>
      </c>
      <c r="E256" s="523">
        <v>0.0</v>
      </c>
      <c r="F256" s="523">
        <v>0.0</v>
      </c>
      <c r="G256" s="524">
        <v>0.0</v>
      </c>
      <c r="H256" s="524">
        <v>0.0</v>
      </c>
      <c r="I256" s="524">
        <v>0.0</v>
      </c>
      <c r="J256" s="524">
        <v>0.0</v>
      </c>
      <c r="K256" s="524">
        <v>0.0</v>
      </c>
      <c r="L256" s="524">
        <v>0.0</v>
      </c>
      <c r="M256" s="524"/>
    </row>
    <row r="257" ht="15.75" customHeight="1">
      <c r="A257" s="521">
        <v>41.0</v>
      </c>
      <c r="B257" s="507" t="s">
        <v>497</v>
      </c>
      <c r="C257" s="507" t="s">
        <v>53</v>
      </c>
      <c r="D257" s="522" t="str">
        <f t="shared" si="1"/>
        <v>41Sênior</v>
      </c>
      <c r="E257" s="523">
        <v>0.0</v>
      </c>
      <c r="F257" s="523">
        <v>0.0</v>
      </c>
      <c r="G257" s="524">
        <v>0.0</v>
      </c>
      <c r="H257" s="524">
        <v>0.0</v>
      </c>
      <c r="I257" s="524">
        <v>0.0</v>
      </c>
      <c r="J257" s="524">
        <v>0.0</v>
      </c>
      <c r="K257" s="524">
        <v>0.0</v>
      </c>
      <c r="L257" s="524">
        <v>0.0</v>
      </c>
      <c r="M257" s="524"/>
    </row>
    <row r="258" ht="15.75" customHeight="1">
      <c r="A258" s="521">
        <v>41.0</v>
      </c>
      <c r="B258" s="507" t="s">
        <v>497</v>
      </c>
      <c r="C258" s="507" t="s">
        <v>476</v>
      </c>
      <c r="D258" s="522" t="str">
        <f t="shared" si="1"/>
        <v>41Master</v>
      </c>
      <c r="E258" s="523">
        <v>0.0</v>
      </c>
      <c r="F258" s="523">
        <v>0.0</v>
      </c>
      <c r="G258" s="524">
        <v>0.0</v>
      </c>
      <c r="H258" s="524">
        <v>0.0</v>
      </c>
      <c r="I258" s="524">
        <v>0.0</v>
      </c>
      <c r="J258" s="524">
        <v>0.0</v>
      </c>
      <c r="K258" s="524">
        <v>0.0</v>
      </c>
      <c r="L258" s="524">
        <v>0.0</v>
      </c>
      <c r="M258" s="524"/>
    </row>
    <row r="259" ht="15.75" customHeight="1">
      <c r="A259" s="521">
        <v>41.0</v>
      </c>
      <c r="B259" s="507" t="s">
        <v>497</v>
      </c>
      <c r="C259" s="507" t="s">
        <v>264</v>
      </c>
      <c r="D259" s="522" t="str">
        <f t="shared" si="1"/>
        <v>41Especialista</v>
      </c>
      <c r="E259" s="523">
        <v>0.0</v>
      </c>
      <c r="F259" s="523">
        <v>0.0</v>
      </c>
      <c r="G259" s="524">
        <v>0.0</v>
      </c>
      <c r="H259" s="524">
        <v>0.0</v>
      </c>
      <c r="I259" s="524">
        <v>0.0</v>
      </c>
      <c r="J259" s="524">
        <v>0.0</v>
      </c>
      <c r="K259" s="524">
        <v>0.0</v>
      </c>
      <c r="L259" s="524">
        <v>0.0</v>
      </c>
      <c r="M259" s="524"/>
    </row>
    <row r="260" ht="15.75" customHeight="1">
      <c r="A260" s="521">
        <v>137.0</v>
      </c>
      <c r="B260" s="507" t="s">
        <v>274</v>
      </c>
      <c r="C260" s="507" t="s">
        <v>212</v>
      </c>
      <c r="D260" s="522" t="str">
        <f t="shared" si="1"/>
        <v>137Indiferente</v>
      </c>
      <c r="E260" s="523">
        <v>3.0</v>
      </c>
      <c r="F260" s="523">
        <v>3.0</v>
      </c>
      <c r="G260" s="524">
        <v>10055.02</v>
      </c>
      <c r="H260" s="524">
        <v>10557.77</v>
      </c>
      <c r="I260" s="524">
        <v>13345.69</v>
      </c>
      <c r="J260" s="524">
        <v>11060.52</v>
      </c>
      <c r="K260" s="524">
        <v>14991.02</v>
      </c>
      <c r="L260" s="524">
        <v>18921.53</v>
      </c>
      <c r="M260" s="524"/>
    </row>
    <row r="261" ht="15.75" customHeight="1">
      <c r="A261" s="521">
        <v>137.0</v>
      </c>
      <c r="B261" s="507" t="s">
        <v>274</v>
      </c>
      <c r="C261" s="507" t="s">
        <v>60</v>
      </c>
      <c r="D261" s="522" t="str">
        <f t="shared" si="1"/>
        <v>137Júnior</v>
      </c>
      <c r="E261" s="523">
        <v>0.0</v>
      </c>
      <c r="F261" s="523">
        <v>0.0</v>
      </c>
      <c r="G261" s="524">
        <v>0.0</v>
      </c>
      <c r="H261" s="524">
        <v>0.0</v>
      </c>
      <c r="I261" s="524">
        <v>0.0</v>
      </c>
      <c r="J261" s="524">
        <v>0.0</v>
      </c>
      <c r="K261" s="524">
        <v>0.0</v>
      </c>
      <c r="L261" s="524">
        <v>0.0</v>
      </c>
      <c r="M261" s="524"/>
    </row>
    <row r="262" ht="15.75" customHeight="1">
      <c r="A262" s="521">
        <v>137.0</v>
      </c>
      <c r="B262" s="507" t="s">
        <v>274</v>
      </c>
      <c r="C262" s="507" t="s">
        <v>41</v>
      </c>
      <c r="D262" s="522" t="str">
        <f t="shared" si="1"/>
        <v>137Pleno</v>
      </c>
      <c r="E262" s="523">
        <v>0.0</v>
      </c>
      <c r="F262" s="523">
        <v>0.0</v>
      </c>
      <c r="G262" s="524">
        <v>0.0</v>
      </c>
      <c r="H262" s="524">
        <v>0.0</v>
      </c>
      <c r="I262" s="524">
        <v>0.0</v>
      </c>
      <c r="J262" s="524">
        <v>0.0</v>
      </c>
      <c r="K262" s="524">
        <v>0.0</v>
      </c>
      <c r="L262" s="524">
        <v>0.0</v>
      </c>
      <c r="M262" s="524"/>
    </row>
    <row r="263" ht="15.75" customHeight="1">
      <c r="A263" s="521">
        <v>137.0</v>
      </c>
      <c r="B263" s="507" t="s">
        <v>274</v>
      </c>
      <c r="C263" s="507" t="s">
        <v>53</v>
      </c>
      <c r="D263" s="522" t="str">
        <f t="shared" si="1"/>
        <v>137Sênior</v>
      </c>
      <c r="E263" s="523">
        <v>0.0</v>
      </c>
      <c r="F263" s="523">
        <v>0.0</v>
      </c>
      <c r="G263" s="524">
        <v>0.0</v>
      </c>
      <c r="H263" s="524">
        <v>0.0</v>
      </c>
      <c r="I263" s="524">
        <v>0.0</v>
      </c>
      <c r="J263" s="524">
        <v>0.0</v>
      </c>
      <c r="K263" s="524">
        <v>0.0</v>
      </c>
      <c r="L263" s="524">
        <v>0.0</v>
      </c>
      <c r="M263" s="524"/>
    </row>
    <row r="264" ht="15.75" customHeight="1">
      <c r="A264" s="521">
        <v>137.0</v>
      </c>
      <c r="B264" s="507" t="s">
        <v>274</v>
      </c>
      <c r="C264" s="507" t="s">
        <v>476</v>
      </c>
      <c r="D264" s="522" t="str">
        <f t="shared" si="1"/>
        <v>137Master</v>
      </c>
      <c r="E264" s="523">
        <v>0.0</v>
      </c>
      <c r="F264" s="523">
        <v>0.0</v>
      </c>
      <c r="G264" s="524">
        <v>0.0</v>
      </c>
      <c r="H264" s="524">
        <v>0.0</v>
      </c>
      <c r="I264" s="524">
        <v>0.0</v>
      </c>
      <c r="J264" s="524">
        <v>0.0</v>
      </c>
      <c r="K264" s="524">
        <v>0.0</v>
      </c>
      <c r="L264" s="524">
        <v>0.0</v>
      </c>
      <c r="M264" s="524"/>
    </row>
    <row r="265" ht="15.75" customHeight="1">
      <c r="A265" s="521">
        <v>137.0</v>
      </c>
      <c r="B265" s="507" t="s">
        <v>274</v>
      </c>
      <c r="C265" s="507" t="s">
        <v>264</v>
      </c>
      <c r="D265" s="522" t="str">
        <f t="shared" si="1"/>
        <v>137Especialista</v>
      </c>
      <c r="E265" s="523">
        <v>0.0</v>
      </c>
      <c r="F265" s="523">
        <v>0.0</v>
      </c>
      <c r="G265" s="524">
        <v>0.0</v>
      </c>
      <c r="H265" s="524">
        <v>0.0</v>
      </c>
      <c r="I265" s="524">
        <v>0.0</v>
      </c>
      <c r="J265" s="524">
        <v>0.0</v>
      </c>
      <c r="K265" s="524">
        <v>0.0</v>
      </c>
      <c r="L265" s="524">
        <v>0.0</v>
      </c>
      <c r="M265" s="524"/>
    </row>
    <row r="266" ht="15.75" customHeight="1">
      <c r="A266" s="521">
        <v>123.0</v>
      </c>
      <c r="B266" s="507" t="s">
        <v>498</v>
      </c>
      <c r="C266" s="507" t="s">
        <v>212</v>
      </c>
      <c r="D266" s="522" t="str">
        <f t="shared" si="1"/>
        <v>123Indiferente</v>
      </c>
      <c r="E266" s="523">
        <v>0.0</v>
      </c>
      <c r="F266" s="523">
        <v>0.0</v>
      </c>
      <c r="G266" s="524">
        <v>0.0</v>
      </c>
      <c r="H266" s="524">
        <v>0.0</v>
      </c>
      <c r="I266" s="524">
        <v>0.0</v>
      </c>
      <c r="J266" s="524">
        <v>0.0</v>
      </c>
      <c r="K266" s="524">
        <v>0.0</v>
      </c>
      <c r="L266" s="524">
        <v>0.0</v>
      </c>
      <c r="M266" s="524"/>
    </row>
    <row r="267" ht="15.75" customHeight="1">
      <c r="A267" s="521">
        <v>123.0</v>
      </c>
      <c r="B267" s="507" t="s">
        <v>498</v>
      </c>
      <c r="C267" s="507" t="s">
        <v>60</v>
      </c>
      <c r="D267" s="522" t="str">
        <f t="shared" si="1"/>
        <v>123Júnior</v>
      </c>
      <c r="E267" s="523">
        <v>0.0</v>
      </c>
      <c r="F267" s="523">
        <v>0.0</v>
      </c>
      <c r="G267" s="524">
        <v>0.0</v>
      </c>
      <c r="H267" s="524">
        <v>0.0</v>
      </c>
      <c r="I267" s="524">
        <v>0.0</v>
      </c>
      <c r="J267" s="524">
        <v>0.0</v>
      </c>
      <c r="K267" s="524">
        <v>0.0</v>
      </c>
      <c r="L267" s="524">
        <v>0.0</v>
      </c>
      <c r="M267" s="524"/>
    </row>
    <row r="268" ht="15.75" customHeight="1">
      <c r="A268" s="521">
        <v>123.0</v>
      </c>
      <c r="B268" s="507" t="s">
        <v>498</v>
      </c>
      <c r="C268" s="507" t="s">
        <v>41</v>
      </c>
      <c r="D268" s="522" t="str">
        <f t="shared" si="1"/>
        <v>123Pleno</v>
      </c>
      <c r="E268" s="523">
        <v>0.0</v>
      </c>
      <c r="F268" s="523">
        <v>0.0</v>
      </c>
      <c r="G268" s="524">
        <v>0.0</v>
      </c>
      <c r="H268" s="524">
        <v>0.0</v>
      </c>
      <c r="I268" s="524">
        <v>0.0</v>
      </c>
      <c r="J268" s="524">
        <v>0.0</v>
      </c>
      <c r="K268" s="524">
        <v>0.0</v>
      </c>
      <c r="L268" s="524">
        <v>0.0</v>
      </c>
      <c r="M268" s="524"/>
    </row>
    <row r="269" ht="15.75" customHeight="1">
      <c r="A269" s="521">
        <v>123.0</v>
      </c>
      <c r="B269" s="507" t="s">
        <v>498</v>
      </c>
      <c r="C269" s="507" t="s">
        <v>53</v>
      </c>
      <c r="D269" s="522" t="str">
        <f t="shared" si="1"/>
        <v>123Sênior</v>
      </c>
      <c r="E269" s="523">
        <v>0.0</v>
      </c>
      <c r="F269" s="523">
        <v>0.0</v>
      </c>
      <c r="G269" s="524">
        <v>0.0</v>
      </c>
      <c r="H269" s="524">
        <v>0.0</v>
      </c>
      <c r="I269" s="524">
        <v>0.0</v>
      </c>
      <c r="J269" s="524">
        <v>0.0</v>
      </c>
      <c r="K269" s="524">
        <v>0.0</v>
      </c>
      <c r="L269" s="524">
        <v>0.0</v>
      </c>
      <c r="M269" s="524"/>
    </row>
    <row r="270" ht="15.75" customHeight="1">
      <c r="A270" s="521">
        <v>123.0</v>
      </c>
      <c r="B270" s="507" t="s">
        <v>498</v>
      </c>
      <c r="C270" s="507" t="s">
        <v>476</v>
      </c>
      <c r="D270" s="522" t="str">
        <f t="shared" si="1"/>
        <v>123Master</v>
      </c>
      <c r="E270" s="523">
        <v>0.0</v>
      </c>
      <c r="F270" s="523">
        <v>0.0</v>
      </c>
      <c r="G270" s="524">
        <v>0.0</v>
      </c>
      <c r="H270" s="524">
        <v>0.0</v>
      </c>
      <c r="I270" s="524">
        <v>0.0</v>
      </c>
      <c r="J270" s="524">
        <v>0.0</v>
      </c>
      <c r="K270" s="524">
        <v>0.0</v>
      </c>
      <c r="L270" s="524">
        <v>0.0</v>
      </c>
      <c r="M270" s="524"/>
    </row>
    <row r="271" ht="15.75" customHeight="1">
      <c r="A271" s="521">
        <v>123.0</v>
      </c>
      <c r="B271" s="507" t="s">
        <v>498</v>
      </c>
      <c r="C271" s="507" t="s">
        <v>264</v>
      </c>
      <c r="D271" s="522" t="str">
        <f t="shared" si="1"/>
        <v>123Especialista</v>
      </c>
      <c r="E271" s="523">
        <v>0.0</v>
      </c>
      <c r="F271" s="523">
        <v>0.0</v>
      </c>
      <c r="G271" s="524">
        <v>0.0</v>
      </c>
      <c r="H271" s="524">
        <v>0.0</v>
      </c>
      <c r="I271" s="524">
        <v>0.0</v>
      </c>
      <c r="J271" s="524">
        <v>0.0</v>
      </c>
      <c r="K271" s="524">
        <v>0.0</v>
      </c>
      <c r="L271" s="524">
        <v>0.0</v>
      </c>
      <c r="M271" s="524"/>
    </row>
    <row r="272" ht="15.75" customHeight="1">
      <c r="A272" s="521">
        <v>546.0</v>
      </c>
      <c r="B272" s="507" t="s">
        <v>499</v>
      </c>
      <c r="C272" s="507" t="s">
        <v>212</v>
      </c>
      <c r="D272" s="522" t="str">
        <f t="shared" si="1"/>
        <v>546Indiferente</v>
      </c>
      <c r="E272" s="523">
        <v>1.0</v>
      </c>
      <c r="F272" s="523">
        <v>1.0</v>
      </c>
      <c r="G272" s="524">
        <v>0.0</v>
      </c>
      <c r="H272" s="524">
        <v>0.0</v>
      </c>
      <c r="I272" s="524">
        <v>0.0</v>
      </c>
      <c r="J272" s="524">
        <v>0.0</v>
      </c>
      <c r="K272" s="524">
        <v>0.0</v>
      </c>
      <c r="L272" s="524">
        <v>0.0</v>
      </c>
      <c r="M272" s="524"/>
    </row>
    <row r="273" ht="15.75" customHeight="1">
      <c r="A273" s="521">
        <v>546.0</v>
      </c>
      <c r="B273" s="507" t="s">
        <v>499</v>
      </c>
      <c r="C273" s="507" t="s">
        <v>60</v>
      </c>
      <c r="D273" s="522" t="str">
        <f t="shared" si="1"/>
        <v>546Júnior</v>
      </c>
      <c r="E273" s="523">
        <v>0.0</v>
      </c>
      <c r="F273" s="523">
        <v>0.0</v>
      </c>
      <c r="G273" s="524">
        <v>0.0</v>
      </c>
      <c r="H273" s="524">
        <v>0.0</v>
      </c>
      <c r="I273" s="524">
        <v>0.0</v>
      </c>
      <c r="J273" s="524">
        <v>0.0</v>
      </c>
      <c r="K273" s="524">
        <v>0.0</v>
      </c>
      <c r="L273" s="524">
        <v>0.0</v>
      </c>
      <c r="M273" s="524"/>
    </row>
    <row r="274" ht="15.75" customHeight="1">
      <c r="A274" s="521">
        <v>546.0</v>
      </c>
      <c r="B274" s="507" t="s">
        <v>499</v>
      </c>
      <c r="C274" s="507" t="s">
        <v>41</v>
      </c>
      <c r="D274" s="522" t="str">
        <f t="shared" si="1"/>
        <v>546Pleno</v>
      </c>
      <c r="E274" s="523">
        <v>0.0</v>
      </c>
      <c r="F274" s="523">
        <v>0.0</v>
      </c>
      <c r="G274" s="524">
        <v>0.0</v>
      </c>
      <c r="H274" s="524">
        <v>0.0</v>
      </c>
      <c r="I274" s="524">
        <v>0.0</v>
      </c>
      <c r="J274" s="524">
        <v>0.0</v>
      </c>
      <c r="K274" s="524">
        <v>0.0</v>
      </c>
      <c r="L274" s="524">
        <v>0.0</v>
      </c>
      <c r="M274" s="524"/>
    </row>
    <row r="275" ht="15.75" customHeight="1">
      <c r="A275" s="521">
        <v>546.0</v>
      </c>
      <c r="B275" s="507" t="s">
        <v>499</v>
      </c>
      <c r="C275" s="507" t="s">
        <v>53</v>
      </c>
      <c r="D275" s="522" t="str">
        <f t="shared" si="1"/>
        <v>546Sênior</v>
      </c>
      <c r="E275" s="523">
        <v>0.0</v>
      </c>
      <c r="F275" s="523">
        <v>0.0</v>
      </c>
      <c r="G275" s="524">
        <v>0.0</v>
      </c>
      <c r="H275" s="524">
        <v>0.0</v>
      </c>
      <c r="I275" s="524">
        <v>0.0</v>
      </c>
      <c r="J275" s="524">
        <v>0.0</v>
      </c>
      <c r="K275" s="524">
        <v>0.0</v>
      </c>
      <c r="L275" s="524">
        <v>0.0</v>
      </c>
      <c r="M275" s="524"/>
    </row>
    <row r="276" ht="15.75" customHeight="1">
      <c r="A276" s="521">
        <v>546.0</v>
      </c>
      <c r="B276" s="507" t="s">
        <v>499</v>
      </c>
      <c r="C276" s="507" t="s">
        <v>476</v>
      </c>
      <c r="D276" s="522" t="str">
        <f t="shared" si="1"/>
        <v>546Master</v>
      </c>
      <c r="E276" s="523">
        <v>0.0</v>
      </c>
      <c r="F276" s="523">
        <v>0.0</v>
      </c>
      <c r="G276" s="524">
        <v>0.0</v>
      </c>
      <c r="H276" s="524">
        <v>0.0</v>
      </c>
      <c r="I276" s="524">
        <v>0.0</v>
      </c>
      <c r="J276" s="524">
        <v>0.0</v>
      </c>
      <c r="K276" s="524">
        <v>0.0</v>
      </c>
      <c r="L276" s="524">
        <v>0.0</v>
      </c>
      <c r="M276" s="524"/>
    </row>
    <row r="277" ht="15.75" customHeight="1">
      <c r="A277" s="521">
        <v>546.0</v>
      </c>
      <c r="B277" s="507" t="s">
        <v>499</v>
      </c>
      <c r="C277" s="507" t="s">
        <v>264</v>
      </c>
      <c r="D277" s="522" t="str">
        <f t="shared" si="1"/>
        <v>546Especialista</v>
      </c>
      <c r="E277" s="523">
        <v>0.0</v>
      </c>
      <c r="F277" s="523">
        <v>0.0</v>
      </c>
      <c r="G277" s="524">
        <v>0.0</v>
      </c>
      <c r="H277" s="524">
        <v>0.0</v>
      </c>
      <c r="I277" s="524">
        <v>0.0</v>
      </c>
      <c r="J277" s="524">
        <v>0.0</v>
      </c>
      <c r="K277" s="524">
        <v>0.0</v>
      </c>
      <c r="L277" s="524">
        <v>0.0</v>
      </c>
      <c r="M277" s="524"/>
    </row>
    <row r="278" ht="15.75" customHeight="1">
      <c r="A278" s="521">
        <v>1203.0</v>
      </c>
      <c r="B278" s="507" t="s">
        <v>268</v>
      </c>
      <c r="C278" s="507" t="s">
        <v>212</v>
      </c>
      <c r="D278" s="522" t="str">
        <f t="shared" si="1"/>
        <v>1203Indiferente</v>
      </c>
      <c r="E278" s="523">
        <v>3.0</v>
      </c>
      <c r="F278" s="523">
        <v>3.0</v>
      </c>
      <c r="G278" s="525">
        <v>8694.57</v>
      </c>
      <c r="H278" s="525">
        <v>8783.31</v>
      </c>
      <c r="I278" s="525">
        <v>8872.04</v>
      </c>
      <c r="J278" s="525">
        <v>8872.04</v>
      </c>
      <c r="K278" s="525">
        <v>8960.78</v>
      </c>
      <c r="L278" s="525">
        <v>9049.51</v>
      </c>
      <c r="M278" s="524"/>
    </row>
    <row r="279" ht="15.75" customHeight="1">
      <c r="A279" s="521">
        <v>1203.0</v>
      </c>
      <c r="B279" s="507" t="s">
        <v>268</v>
      </c>
      <c r="C279" s="507" t="s">
        <v>60</v>
      </c>
      <c r="D279" s="522" t="str">
        <f t="shared" si="1"/>
        <v>1203Júnior</v>
      </c>
      <c r="E279" s="523">
        <v>0.0</v>
      </c>
      <c r="F279" s="523">
        <v>0.0</v>
      </c>
      <c r="G279" s="524">
        <v>0.0</v>
      </c>
      <c r="H279" s="524">
        <v>0.0</v>
      </c>
      <c r="I279" s="524">
        <v>0.0</v>
      </c>
      <c r="J279" s="524">
        <v>0.0</v>
      </c>
      <c r="K279" s="524">
        <v>0.0</v>
      </c>
      <c r="L279" s="524">
        <v>0.0</v>
      </c>
      <c r="M279" s="524"/>
    </row>
    <row r="280" ht="15.75" customHeight="1">
      <c r="A280" s="521">
        <v>1203.0</v>
      </c>
      <c r="B280" s="507" t="s">
        <v>268</v>
      </c>
      <c r="C280" s="507" t="s">
        <v>41</v>
      </c>
      <c r="D280" s="522" t="str">
        <f t="shared" si="1"/>
        <v>1203Pleno</v>
      </c>
      <c r="E280" s="523">
        <v>0.0</v>
      </c>
      <c r="F280" s="523">
        <v>0.0</v>
      </c>
      <c r="G280" s="524">
        <v>0.0</v>
      </c>
      <c r="H280" s="524">
        <v>0.0</v>
      </c>
      <c r="I280" s="524">
        <v>0.0</v>
      </c>
      <c r="J280" s="524">
        <v>0.0</v>
      </c>
      <c r="K280" s="524">
        <v>0.0</v>
      </c>
      <c r="L280" s="524">
        <v>0.0</v>
      </c>
      <c r="M280" s="524"/>
    </row>
    <row r="281" ht="15.75" customHeight="1">
      <c r="A281" s="521">
        <v>1203.0</v>
      </c>
      <c r="B281" s="507" t="s">
        <v>268</v>
      </c>
      <c r="C281" s="507" t="s">
        <v>53</v>
      </c>
      <c r="D281" s="522" t="str">
        <f t="shared" si="1"/>
        <v>1203Sênior</v>
      </c>
      <c r="E281" s="523">
        <v>0.0</v>
      </c>
      <c r="F281" s="523">
        <v>0.0</v>
      </c>
      <c r="G281" s="524">
        <v>0.0</v>
      </c>
      <c r="H281" s="524">
        <v>0.0</v>
      </c>
      <c r="I281" s="524">
        <v>0.0</v>
      </c>
      <c r="J281" s="524">
        <v>0.0</v>
      </c>
      <c r="K281" s="524">
        <v>0.0</v>
      </c>
      <c r="L281" s="524">
        <v>0.0</v>
      </c>
      <c r="M281" s="524"/>
    </row>
    <row r="282" ht="15.75" customHeight="1">
      <c r="A282" s="521">
        <v>1203.0</v>
      </c>
      <c r="B282" s="507" t="s">
        <v>268</v>
      </c>
      <c r="C282" s="507" t="s">
        <v>476</v>
      </c>
      <c r="D282" s="522" t="str">
        <f t="shared" si="1"/>
        <v>1203Master</v>
      </c>
      <c r="E282" s="523">
        <v>0.0</v>
      </c>
      <c r="F282" s="523">
        <v>0.0</v>
      </c>
      <c r="G282" s="524">
        <v>0.0</v>
      </c>
      <c r="H282" s="524">
        <v>0.0</v>
      </c>
      <c r="I282" s="524">
        <v>0.0</v>
      </c>
      <c r="J282" s="524">
        <v>0.0</v>
      </c>
      <c r="K282" s="524">
        <v>0.0</v>
      </c>
      <c r="L282" s="524">
        <v>0.0</v>
      </c>
      <c r="M282" s="524"/>
    </row>
    <row r="283" ht="15.75" customHeight="1">
      <c r="A283" s="521">
        <v>1203.0</v>
      </c>
      <c r="B283" s="507" t="s">
        <v>268</v>
      </c>
      <c r="C283" s="507" t="s">
        <v>264</v>
      </c>
      <c r="D283" s="522" t="str">
        <f t="shared" si="1"/>
        <v>1203Especialista</v>
      </c>
      <c r="E283" s="523">
        <v>0.0</v>
      </c>
      <c r="F283" s="523">
        <v>0.0</v>
      </c>
      <c r="G283" s="524">
        <v>0.0</v>
      </c>
      <c r="H283" s="524">
        <v>0.0</v>
      </c>
      <c r="I283" s="524">
        <v>0.0</v>
      </c>
      <c r="J283" s="524">
        <v>0.0</v>
      </c>
      <c r="K283" s="524">
        <v>0.0</v>
      </c>
      <c r="L283" s="524">
        <v>0.0</v>
      </c>
      <c r="M283" s="524"/>
    </row>
    <row r="284" ht="15.75" customHeight="1">
      <c r="A284" s="521">
        <v>56.0</v>
      </c>
      <c r="B284" s="507" t="s">
        <v>270</v>
      </c>
      <c r="C284" s="507" t="s">
        <v>212</v>
      </c>
      <c r="D284" s="522" t="str">
        <f t="shared" si="1"/>
        <v>56Indiferente</v>
      </c>
      <c r="E284" s="521">
        <v>41.0</v>
      </c>
      <c r="F284" s="521">
        <v>50.0</v>
      </c>
      <c r="G284" s="525">
        <v>5322.81</v>
      </c>
      <c r="H284" s="525">
        <v>7141.59</v>
      </c>
      <c r="I284" s="525">
        <v>7927.07</v>
      </c>
      <c r="J284" s="525">
        <v>7958.59</v>
      </c>
      <c r="K284" s="525">
        <v>8825.19</v>
      </c>
      <c r="L284" s="525">
        <v>10531.61</v>
      </c>
      <c r="M284" s="524"/>
    </row>
    <row r="285" ht="15.75" customHeight="1">
      <c r="A285" s="521">
        <v>56.0</v>
      </c>
      <c r="B285" s="507" t="s">
        <v>270</v>
      </c>
      <c r="C285" s="507" t="s">
        <v>60</v>
      </c>
      <c r="D285" s="522" t="str">
        <f t="shared" si="1"/>
        <v>56Júnior</v>
      </c>
      <c r="E285" s="521">
        <v>5.0</v>
      </c>
      <c r="F285" s="521">
        <v>7.0</v>
      </c>
      <c r="G285" s="525">
        <v>4856.68</v>
      </c>
      <c r="H285" s="525">
        <v>5266.05</v>
      </c>
      <c r="I285" s="525">
        <v>6403.55</v>
      </c>
      <c r="J285" s="525">
        <v>6866.1</v>
      </c>
      <c r="K285" s="525">
        <v>7404.92</v>
      </c>
      <c r="L285" s="525">
        <v>7760.14</v>
      </c>
      <c r="M285" s="524"/>
    </row>
    <row r="286" ht="15.75" customHeight="1">
      <c r="A286" s="521">
        <v>56.0</v>
      </c>
      <c r="B286" s="507" t="s">
        <v>270</v>
      </c>
      <c r="C286" s="507" t="s">
        <v>41</v>
      </c>
      <c r="D286" s="522" t="str">
        <f t="shared" si="1"/>
        <v>56Pleno</v>
      </c>
      <c r="E286" s="521">
        <v>5.0</v>
      </c>
      <c r="F286" s="521">
        <v>6.0</v>
      </c>
      <c r="G286" s="525">
        <v>4242.19</v>
      </c>
      <c r="H286" s="525">
        <v>5011.52</v>
      </c>
      <c r="I286" s="525">
        <v>5806.6</v>
      </c>
      <c r="J286" s="525">
        <v>5237.36</v>
      </c>
      <c r="K286" s="525">
        <v>6961.84</v>
      </c>
      <c r="L286" s="525">
        <v>7649.78</v>
      </c>
      <c r="M286" s="524"/>
    </row>
    <row r="287" ht="15.75" customHeight="1">
      <c r="A287" s="521">
        <v>56.0</v>
      </c>
      <c r="B287" s="507" t="s">
        <v>270</v>
      </c>
      <c r="C287" s="507" t="s">
        <v>53</v>
      </c>
      <c r="D287" s="522" t="str">
        <f t="shared" si="1"/>
        <v>56Sênior</v>
      </c>
      <c r="E287" s="521">
        <v>4.0</v>
      </c>
      <c r="F287" s="521">
        <v>4.0</v>
      </c>
      <c r="G287" s="525">
        <v>8868.73</v>
      </c>
      <c r="H287" s="525">
        <v>9397.83</v>
      </c>
      <c r="I287" s="525">
        <v>10265.78</v>
      </c>
      <c r="J287" s="525">
        <v>9801.11</v>
      </c>
      <c r="K287" s="525">
        <v>10669.07</v>
      </c>
      <c r="L287" s="525">
        <v>12592.17</v>
      </c>
      <c r="M287" s="524"/>
    </row>
    <row r="288" ht="15.75" customHeight="1">
      <c r="A288" s="521">
        <v>56.0</v>
      </c>
      <c r="B288" s="507" t="s">
        <v>270</v>
      </c>
      <c r="C288" s="507" t="s">
        <v>476</v>
      </c>
      <c r="D288" s="522" t="str">
        <f t="shared" si="1"/>
        <v>56Master</v>
      </c>
      <c r="E288" s="521">
        <v>0.0</v>
      </c>
      <c r="F288" s="521">
        <v>0.0</v>
      </c>
      <c r="G288" s="525">
        <v>0.0</v>
      </c>
      <c r="H288" s="525">
        <v>0.0</v>
      </c>
      <c r="I288" s="525">
        <v>0.0</v>
      </c>
      <c r="J288" s="525">
        <v>0.0</v>
      </c>
      <c r="K288" s="525">
        <v>0.0</v>
      </c>
      <c r="L288" s="525">
        <v>0.0</v>
      </c>
      <c r="M288" s="524"/>
    </row>
    <row r="289" ht="15.75" customHeight="1">
      <c r="A289" s="521">
        <v>56.0</v>
      </c>
      <c r="B289" s="507" t="s">
        <v>270</v>
      </c>
      <c r="C289" s="507" t="s">
        <v>264</v>
      </c>
      <c r="D289" s="522" t="str">
        <f t="shared" si="1"/>
        <v>56Especialista</v>
      </c>
      <c r="E289" s="521">
        <v>1.0</v>
      </c>
      <c r="F289" s="521">
        <v>2.0</v>
      </c>
      <c r="G289" s="525">
        <v>13735.58</v>
      </c>
      <c r="H289" s="525">
        <v>13735.58</v>
      </c>
      <c r="I289" s="525">
        <v>13735.58</v>
      </c>
      <c r="J289" s="525">
        <v>13735.58</v>
      </c>
      <c r="K289" s="525">
        <v>13735.58</v>
      </c>
      <c r="L289" s="525">
        <v>13735.58</v>
      </c>
      <c r="M289" s="524"/>
    </row>
    <row r="290" ht="15.75" customHeight="1">
      <c r="A290" s="521">
        <v>209.0</v>
      </c>
      <c r="B290" s="507" t="s">
        <v>272</v>
      </c>
      <c r="C290" s="507" t="s">
        <v>212</v>
      </c>
      <c r="D290" s="522" t="str">
        <f t="shared" si="1"/>
        <v>209Indiferente</v>
      </c>
      <c r="E290" s="523">
        <v>3.0</v>
      </c>
      <c r="F290" s="523">
        <v>7.0</v>
      </c>
      <c r="G290" s="524">
        <v>5595.62</v>
      </c>
      <c r="H290" s="524">
        <v>10017.83</v>
      </c>
      <c r="I290" s="524">
        <v>16217.22</v>
      </c>
      <c r="J290" s="524">
        <v>16164.64</v>
      </c>
      <c r="K290" s="524">
        <v>23908.2</v>
      </c>
      <c r="L290" s="524">
        <v>23908.2</v>
      </c>
      <c r="M290" s="524"/>
    </row>
    <row r="291" ht="15.75" customHeight="1">
      <c r="A291" s="521">
        <v>209.0</v>
      </c>
      <c r="B291" s="507" t="s">
        <v>272</v>
      </c>
      <c r="C291" s="507" t="s">
        <v>60</v>
      </c>
      <c r="D291" s="522" t="str">
        <f t="shared" si="1"/>
        <v>209Júnior</v>
      </c>
      <c r="E291" s="523">
        <v>1.0</v>
      </c>
      <c r="F291" s="523">
        <v>1.0</v>
      </c>
      <c r="G291" s="524">
        <v>0.0</v>
      </c>
      <c r="H291" s="524">
        <v>0.0</v>
      </c>
      <c r="I291" s="524">
        <v>0.0</v>
      </c>
      <c r="J291" s="524">
        <v>0.0</v>
      </c>
      <c r="K291" s="524">
        <v>0.0</v>
      </c>
      <c r="L291" s="524">
        <v>0.0</v>
      </c>
      <c r="M291" s="524"/>
    </row>
    <row r="292" ht="15.75" customHeight="1">
      <c r="A292" s="521">
        <v>209.0</v>
      </c>
      <c r="B292" s="507" t="s">
        <v>272</v>
      </c>
      <c r="C292" s="507" t="s">
        <v>41</v>
      </c>
      <c r="D292" s="522" t="str">
        <f t="shared" si="1"/>
        <v>209Pleno</v>
      </c>
      <c r="E292" s="523">
        <v>1.0</v>
      </c>
      <c r="F292" s="523">
        <v>1.0</v>
      </c>
      <c r="G292" s="524">
        <v>0.0</v>
      </c>
      <c r="H292" s="524">
        <v>0.0</v>
      </c>
      <c r="I292" s="524">
        <v>0.0</v>
      </c>
      <c r="J292" s="524">
        <v>0.0</v>
      </c>
      <c r="K292" s="524">
        <v>0.0</v>
      </c>
      <c r="L292" s="524">
        <v>0.0</v>
      </c>
      <c r="M292" s="524"/>
    </row>
    <row r="293" ht="15.75" customHeight="1">
      <c r="A293" s="521">
        <v>209.0</v>
      </c>
      <c r="B293" s="507" t="s">
        <v>272</v>
      </c>
      <c r="C293" s="507" t="s">
        <v>53</v>
      </c>
      <c r="D293" s="522" t="str">
        <f t="shared" si="1"/>
        <v>209Sênior</v>
      </c>
      <c r="E293" s="523">
        <v>2.0</v>
      </c>
      <c r="F293" s="523">
        <v>4.0</v>
      </c>
      <c r="G293" s="524">
        <v>0.0</v>
      </c>
      <c r="H293" s="524">
        <v>0.0</v>
      </c>
      <c r="I293" s="524">
        <v>0.0</v>
      </c>
      <c r="J293" s="524">
        <v>0.0</v>
      </c>
      <c r="K293" s="524">
        <v>0.0</v>
      </c>
      <c r="L293" s="524">
        <v>0.0</v>
      </c>
      <c r="M293" s="524"/>
    </row>
    <row r="294" ht="15.75" customHeight="1">
      <c r="A294" s="521">
        <v>209.0</v>
      </c>
      <c r="B294" s="507" t="s">
        <v>272</v>
      </c>
      <c r="C294" s="507" t="s">
        <v>476</v>
      </c>
      <c r="D294" s="522" t="str">
        <f t="shared" si="1"/>
        <v>209Master</v>
      </c>
      <c r="E294" s="523">
        <v>0.0</v>
      </c>
      <c r="F294" s="523">
        <v>0.0</v>
      </c>
      <c r="G294" s="524">
        <v>0.0</v>
      </c>
      <c r="H294" s="524">
        <v>0.0</v>
      </c>
      <c r="I294" s="524">
        <v>0.0</v>
      </c>
      <c r="J294" s="524">
        <v>0.0</v>
      </c>
      <c r="K294" s="524">
        <v>0.0</v>
      </c>
      <c r="L294" s="524">
        <v>0.0</v>
      </c>
      <c r="M294" s="524"/>
    </row>
    <row r="295" ht="15.75" customHeight="1">
      <c r="A295" s="521">
        <v>209.0</v>
      </c>
      <c r="B295" s="507" t="s">
        <v>272</v>
      </c>
      <c r="C295" s="507" t="s">
        <v>264</v>
      </c>
      <c r="D295" s="522" t="str">
        <f t="shared" si="1"/>
        <v>209Especialista</v>
      </c>
      <c r="E295" s="523">
        <v>0.0</v>
      </c>
      <c r="F295" s="523">
        <v>0.0</v>
      </c>
      <c r="G295" s="524">
        <v>0.0</v>
      </c>
      <c r="H295" s="524">
        <v>0.0</v>
      </c>
      <c r="I295" s="524">
        <v>0.0</v>
      </c>
      <c r="J295" s="524">
        <v>0.0</v>
      </c>
      <c r="K295" s="524">
        <v>0.0</v>
      </c>
      <c r="L295" s="524">
        <v>0.0</v>
      </c>
      <c r="M295" s="524"/>
    </row>
    <row r="296" ht="15.75" customHeight="1">
      <c r="A296" s="521">
        <v>597.0</v>
      </c>
      <c r="B296" s="507" t="s">
        <v>500</v>
      </c>
      <c r="C296" s="507" t="s">
        <v>212</v>
      </c>
      <c r="D296" s="522" t="str">
        <f t="shared" si="1"/>
        <v>597Indiferente</v>
      </c>
      <c r="E296" s="523">
        <v>5.0</v>
      </c>
      <c r="F296" s="523">
        <v>5.0</v>
      </c>
      <c r="G296" s="524">
        <v>5530.26</v>
      </c>
      <c r="H296" s="524">
        <v>8227.92</v>
      </c>
      <c r="I296" s="524">
        <v>8310.71</v>
      </c>
      <c r="J296" s="524">
        <v>8647.01</v>
      </c>
      <c r="K296" s="524">
        <v>9070.29</v>
      </c>
      <c r="L296" s="524">
        <v>10078.1</v>
      </c>
      <c r="M296" s="524"/>
    </row>
    <row r="297" ht="15.75" customHeight="1">
      <c r="A297" s="521">
        <v>597.0</v>
      </c>
      <c r="B297" s="507" t="s">
        <v>500</v>
      </c>
      <c r="C297" s="507" t="s">
        <v>60</v>
      </c>
      <c r="D297" s="522" t="str">
        <f t="shared" si="1"/>
        <v>597Júnior</v>
      </c>
      <c r="E297" s="523">
        <v>0.0</v>
      </c>
      <c r="F297" s="523">
        <v>0.0</v>
      </c>
      <c r="G297" s="524">
        <v>0.0</v>
      </c>
      <c r="H297" s="524">
        <v>0.0</v>
      </c>
      <c r="I297" s="524">
        <v>0.0</v>
      </c>
      <c r="J297" s="524">
        <v>0.0</v>
      </c>
      <c r="K297" s="524">
        <v>0.0</v>
      </c>
      <c r="L297" s="524">
        <v>0.0</v>
      </c>
      <c r="M297" s="524"/>
    </row>
    <row r="298" ht="15.75" customHeight="1">
      <c r="A298" s="521">
        <v>597.0</v>
      </c>
      <c r="B298" s="507" t="s">
        <v>500</v>
      </c>
      <c r="C298" s="507" t="s">
        <v>41</v>
      </c>
      <c r="D298" s="522" t="str">
        <f t="shared" si="1"/>
        <v>597Pleno</v>
      </c>
      <c r="E298" s="523">
        <v>0.0</v>
      </c>
      <c r="F298" s="523">
        <v>0.0</v>
      </c>
      <c r="G298" s="524">
        <v>0.0</v>
      </c>
      <c r="H298" s="524">
        <v>0.0</v>
      </c>
      <c r="I298" s="524">
        <v>0.0</v>
      </c>
      <c r="J298" s="524">
        <v>0.0</v>
      </c>
      <c r="K298" s="524">
        <v>0.0</v>
      </c>
      <c r="L298" s="524">
        <v>0.0</v>
      </c>
      <c r="M298" s="524"/>
    </row>
    <row r="299" ht="15.75" customHeight="1">
      <c r="A299" s="521">
        <v>597.0</v>
      </c>
      <c r="B299" s="507" t="s">
        <v>500</v>
      </c>
      <c r="C299" s="507" t="s">
        <v>53</v>
      </c>
      <c r="D299" s="522" t="str">
        <f t="shared" si="1"/>
        <v>597Sênior</v>
      </c>
      <c r="E299" s="523">
        <v>0.0</v>
      </c>
      <c r="F299" s="523">
        <v>0.0</v>
      </c>
      <c r="G299" s="524">
        <v>0.0</v>
      </c>
      <c r="H299" s="524">
        <v>0.0</v>
      </c>
      <c r="I299" s="524">
        <v>0.0</v>
      </c>
      <c r="J299" s="524">
        <v>0.0</v>
      </c>
      <c r="K299" s="524">
        <v>0.0</v>
      </c>
      <c r="L299" s="524">
        <v>0.0</v>
      </c>
      <c r="M299" s="524"/>
    </row>
    <row r="300" ht="15.75" customHeight="1">
      <c r="A300" s="521">
        <v>597.0</v>
      </c>
      <c r="B300" s="507" t="s">
        <v>500</v>
      </c>
      <c r="C300" s="507" t="s">
        <v>476</v>
      </c>
      <c r="D300" s="522" t="str">
        <f t="shared" si="1"/>
        <v>597Master</v>
      </c>
      <c r="E300" s="523">
        <v>0.0</v>
      </c>
      <c r="F300" s="523">
        <v>0.0</v>
      </c>
      <c r="G300" s="524">
        <v>0.0</v>
      </c>
      <c r="H300" s="524">
        <v>0.0</v>
      </c>
      <c r="I300" s="524">
        <v>0.0</v>
      </c>
      <c r="J300" s="524">
        <v>0.0</v>
      </c>
      <c r="K300" s="524">
        <v>0.0</v>
      </c>
      <c r="L300" s="524">
        <v>0.0</v>
      </c>
      <c r="M300" s="524"/>
    </row>
    <row r="301" ht="15.75" customHeight="1">
      <c r="A301" s="521">
        <v>597.0</v>
      </c>
      <c r="B301" s="507" t="s">
        <v>500</v>
      </c>
      <c r="C301" s="507" t="s">
        <v>264</v>
      </c>
      <c r="D301" s="522" t="str">
        <f t="shared" si="1"/>
        <v>597Especialista</v>
      </c>
      <c r="E301" s="523">
        <v>0.0</v>
      </c>
      <c r="F301" s="523">
        <v>0.0</v>
      </c>
      <c r="G301" s="524">
        <v>0.0</v>
      </c>
      <c r="H301" s="524">
        <v>0.0</v>
      </c>
      <c r="I301" s="524">
        <v>0.0</v>
      </c>
      <c r="J301" s="524">
        <v>0.0</v>
      </c>
      <c r="K301" s="524">
        <v>0.0</v>
      </c>
      <c r="L301" s="524">
        <v>0.0</v>
      </c>
      <c r="M301" s="524"/>
    </row>
    <row r="302" ht="15.75" customHeight="1">
      <c r="A302" s="521">
        <v>305.0</v>
      </c>
      <c r="B302" s="507" t="s">
        <v>501</v>
      </c>
      <c r="C302" s="507" t="s">
        <v>212</v>
      </c>
      <c r="D302" s="522" t="str">
        <f t="shared" si="1"/>
        <v>305Indiferente</v>
      </c>
      <c r="E302" s="523">
        <v>0.0</v>
      </c>
      <c r="F302" s="523">
        <v>0.0</v>
      </c>
      <c r="G302" s="524">
        <v>0.0</v>
      </c>
      <c r="H302" s="524">
        <v>0.0</v>
      </c>
      <c r="I302" s="524">
        <v>0.0</v>
      </c>
      <c r="J302" s="524">
        <v>0.0</v>
      </c>
      <c r="K302" s="524">
        <v>0.0</v>
      </c>
      <c r="L302" s="524">
        <v>0.0</v>
      </c>
      <c r="M302" s="524"/>
    </row>
    <row r="303" ht="15.75" customHeight="1">
      <c r="A303" s="521">
        <v>305.0</v>
      </c>
      <c r="B303" s="507" t="s">
        <v>501</v>
      </c>
      <c r="C303" s="507" t="s">
        <v>60</v>
      </c>
      <c r="D303" s="522" t="str">
        <f t="shared" si="1"/>
        <v>305Júnior</v>
      </c>
      <c r="E303" s="523">
        <v>0.0</v>
      </c>
      <c r="F303" s="523">
        <v>0.0</v>
      </c>
      <c r="G303" s="524">
        <v>0.0</v>
      </c>
      <c r="H303" s="524">
        <v>0.0</v>
      </c>
      <c r="I303" s="524">
        <v>0.0</v>
      </c>
      <c r="J303" s="524">
        <v>0.0</v>
      </c>
      <c r="K303" s="524">
        <v>0.0</v>
      </c>
      <c r="L303" s="524">
        <v>0.0</v>
      </c>
      <c r="M303" s="524"/>
    </row>
    <row r="304" ht="15.75" customHeight="1">
      <c r="A304" s="521">
        <v>305.0</v>
      </c>
      <c r="B304" s="507" t="s">
        <v>501</v>
      </c>
      <c r="C304" s="507" t="s">
        <v>41</v>
      </c>
      <c r="D304" s="522" t="str">
        <f t="shared" si="1"/>
        <v>305Pleno</v>
      </c>
      <c r="E304" s="523">
        <v>0.0</v>
      </c>
      <c r="F304" s="523">
        <v>0.0</v>
      </c>
      <c r="G304" s="524">
        <v>0.0</v>
      </c>
      <c r="H304" s="524">
        <v>0.0</v>
      </c>
      <c r="I304" s="524">
        <v>0.0</v>
      </c>
      <c r="J304" s="524">
        <v>0.0</v>
      </c>
      <c r="K304" s="524">
        <v>0.0</v>
      </c>
      <c r="L304" s="524">
        <v>0.0</v>
      </c>
      <c r="M304" s="524"/>
    </row>
    <row r="305" ht="15.75" customHeight="1">
      <c r="A305" s="521">
        <v>305.0</v>
      </c>
      <c r="B305" s="507" t="s">
        <v>501</v>
      </c>
      <c r="C305" s="507" t="s">
        <v>53</v>
      </c>
      <c r="D305" s="522" t="str">
        <f t="shared" si="1"/>
        <v>305Sênior</v>
      </c>
      <c r="E305" s="523">
        <v>0.0</v>
      </c>
      <c r="F305" s="523">
        <v>0.0</v>
      </c>
      <c r="G305" s="524">
        <v>0.0</v>
      </c>
      <c r="H305" s="524">
        <v>0.0</v>
      </c>
      <c r="I305" s="524">
        <v>0.0</v>
      </c>
      <c r="J305" s="524">
        <v>0.0</v>
      </c>
      <c r="K305" s="524">
        <v>0.0</v>
      </c>
      <c r="L305" s="524">
        <v>0.0</v>
      </c>
      <c r="M305" s="524"/>
    </row>
    <row r="306" ht="15.75" customHeight="1">
      <c r="A306" s="521">
        <v>305.0</v>
      </c>
      <c r="B306" s="507" t="s">
        <v>501</v>
      </c>
      <c r="C306" s="507" t="s">
        <v>476</v>
      </c>
      <c r="D306" s="522" t="str">
        <f t="shared" si="1"/>
        <v>305Master</v>
      </c>
      <c r="E306" s="523">
        <v>0.0</v>
      </c>
      <c r="F306" s="523">
        <v>0.0</v>
      </c>
      <c r="G306" s="524">
        <v>0.0</v>
      </c>
      <c r="H306" s="524">
        <v>0.0</v>
      </c>
      <c r="I306" s="524">
        <v>0.0</v>
      </c>
      <c r="J306" s="524">
        <v>0.0</v>
      </c>
      <c r="K306" s="524">
        <v>0.0</v>
      </c>
      <c r="L306" s="524">
        <v>0.0</v>
      </c>
      <c r="M306" s="524"/>
    </row>
    <row r="307" ht="15.75" customHeight="1">
      <c r="A307" s="521">
        <v>305.0</v>
      </c>
      <c r="B307" s="507" t="s">
        <v>501</v>
      </c>
      <c r="C307" s="507" t="s">
        <v>264</v>
      </c>
      <c r="D307" s="522" t="str">
        <f t="shared" si="1"/>
        <v>305Especialista</v>
      </c>
      <c r="E307" s="523">
        <v>0.0</v>
      </c>
      <c r="F307" s="523">
        <v>0.0</v>
      </c>
      <c r="G307" s="524">
        <v>0.0</v>
      </c>
      <c r="H307" s="524">
        <v>0.0</v>
      </c>
      <c r="I307" s="524">
        <v>0.0</v>
      </c>
      <c r="J307" s="524">
        <v>0.0</v>
      </c>
      <c r="K307" s="524">
        <v>0.0</v>
      </c>
      <c r="L307" s="524">
        <v>0.0</v>
      </c>
      <c r="M307" s="524"/>
    </row>
    <row r="308" ht="15.75" customHeight="1">
      <c r="A308" s="521">
        <v>97.0</v>
      </c>
      <c r="B308" s="507" t="s">
        <v>502</v>
      </c>
      <c r="C308" s="507" t="s">
        <v>212</v>
      </c>
      <c r="D308" s="522" t="str">
        <f t="shared" si="1"/>
        <v>97Indiferente</v>
      </c>
      <c r="E308" s="523">
        <v>15.0</v>
      </c>
      <c r="F308" s="523">
        <v>30.0</v>
      </c>
      <c r="G308" s="524">
        <v>5950.04</v>
      </c>
      <c r="H308" s="524">
        <v>7329.28</v>
      </c>
      <c r="I308" s="524">
        <v>8870.78</v>
      </c>
      <c r="J308" s="524">
        <v>8251.46</v>
      </c>
      <c r="K308" s="524">
        <v>10280.68</v>
      </c>
      <c r="L308" s="524">
        <v>12731.82</v>
      </c>
      <c r="M308" s="524"/>
    </row>
    <row r="309" ht="15.75" customHeight="1">
      <c r="A309" s="521">
        <v>97.0</v>
      </c>
      <c r="B309" s="507" t="s">
        <v>502</v>
      </c>
      <c r="C309" s="507" t="s">
        <v>60</v>
      </c>
      <c r="D309" s="522" t="str">
        <f t="shared" si="1"/>
        <v>97Júnior</v>
      </c>
      <c r="E309" s="523">
        <v>0.0</v>
      </c>
      <c r="F309" s="523">
        <v>0.0</v>
      </c>
      <c r="G309" s="524">
        <v>0.0</v>
      </c>
      <c r="H309" s="524">
        <v>0.0</v>
      </c>
      <c r="I309" s="524">
        <v>0.0</v>
      </c>
      <c r="J309" s="524">
        <v>0.0</v>
      </c>
      <c r="K309" s="524">
        <v>0.0</v>
      </c>
      <c r="L309" s="524">
        <v>0.0</v>
      </c>
      <c r="M309" s="524"/>
    </row>
    <row r="310" ht="15.75" customHeight="1">
      <c r="A310" s="521">
        <v>97.0</v>
      </c>
      <c r="B310" s="507" t="s">
        <v>502</v>
      </c>
      <c r="C310" s="507" t="s">
        <v>41</v>
      </c>
      <c r="D310" s="522" t="str">
        <f t="shared" si="1"/>
        <v>97Pleno</v>
      </c>
      <c r="E310" s="523">
        <v>0.0</v>
      </c>
      <c r="F310" s="523">
        <v>0.0</v>
      </c>
      <c r="G310" s="524">
        <v>0.0</v>
      </c>
      <c r="H310" s="524">
        <v>0.0</v>
      </c>
      <c r="I310" s="524">
        <v>0.0</v>
      </c>
      <c r="J310" s="524">
        <v>0.0</v>
      </c>
      <c r="K310" s="524">
        <v>0.0</v>
      </c>
      <c r="L310" s="524">
        <v>0.0</v>
      </c>
      <c r="M310" s="524"/>
    </row>
    <row r="311" ht="15.75" customHeight="1">
      <c r="A311" s="521">
        <v>97.0</v>
      </c>
      <c r="B311" s="507" t="s">
        <v>502</v>
      </c>
      <c r="C311" s="507" t="s">
        <v>53</v>
      </c>
      <c r="D311" s="522" t="str">
        <f t="shared" si="1"/>
        <v>97Sênior</v>
      </c>
      <c r="E311" s="523">
        <v>0.0</v>
      </c>
      <c r="F311" s="523">
        <v>0.0</v>
      </c>
      <c r="G311" s="524">
        <v>0.0</v>
      </c>
      <c r="H311" s="524">
        <v>0.0</v>
      </c>
      <c r="I311" s="524">
        <v>0.0</v>
      </c>
      <c r="J311" s="524">
        <v>0.0</v>
      </c>
      <c r="K311" s="524">
        <v>0.0</v>
      </c>
      <c r="L311" s="524">
        <v>0.0</v>
      </c>
      <c r="M311" s="524"/>
    </row>
    <row r="312" ht="15.75" customHeight="1">
      <c r="A312" s="521">
        <v>97.0</v>
      </c>
      <c r="B312" s="507" t="s">
        <v>502</v>
      </c>
      <c r="C312" s="507" t="s">
        <v>476</v>
      </c>
      <c r="D312" s="522" t="str">
        <f t="shared" si="1"/>
        <v>97Master</v>
      </c>
      <c r="E312" s="523">
        <v>0.0</v>
      </c>
      <c r="F312" s="523">
        <v>0.0</v>
      </c>
      <c r="G312" s="524">
        <v>0.0</v>
      </c>
      <c r="H312" s="524">
        <v>0.0</v>
      </c>
      <c r="I312" s="524">
        <v>0.0</v>
      </c>
      <c r="J312" s="524">
        <v>0.0</v>
      </c>
      <c r="K312" s="524">
        <v>0.0</v>
      </c>
      <c r="L312" s="524">
        <v>0.0</v>
      </c>
      <c r="M312" s="524"/>
    </row>
    <row r="313" ht="15.75" customHeight="1">
      <c r="A313" s="521">
        <v>97.0</v>
      </c>
      <c r="B313" s="507" t="s">
        <v>502</v>
      </c>
      <c r="C313" s="507" t="s">
        <v>264</v>
      </c>
      <c r="D313" s="522" t="str">
        <f t="shared" si="1"/>
        <v>97Especialista</v>
      </c>
      <c r="E313" s="523">
        <v>0.0</v>
      </c>
      <c r="F313" s="523">
        <v>0.0</v>
      </c>
      <c r="G313" s="524">
        <v>0.0</v>
      </c>
      <c r="H313" s="524">
        <v>0.0</v>
      </c>
      <c r="I313" s="524">
        <v>0.0</v>
      </c>
      <c r="J313" s="524">
        <v>0.0</v>
      </c>
      <c r="K313" s="524">
        <v>0.0</v>
      </c>
      <c r="L313" s="524">
        <v>0.0</v>
      </c>
      <c r="M313" s="524"/>
    </row>
    <row r="314" ht="15.75" customHeight="1">
      <c r="A314" s="521">
        <v>121.0</v>
      </c>
      <c r="B314" s="507" t="s">
        <v>266</v>
      </c>
      <c r="C314" s="507" t="s">
        <v>212</v>
      </c>
      <c r="D314" s="522" t="str">
        <f t="shared" si="1"/>
        <v>121Indiferente</v>
      </c>
      <c r="E314" s="523">
        <v>3.0</v>
      </c>
      <c r="F314" s="523">
        <v>3.0</v>
      </c>
      <c r="G314" s="524">
        <v>7460.82</v>
      </c>
      <c r="H314" s="524">
        <v>10014.8</v>
      </c>
      <c r="I314" s="524">
        <v>11303.85</v>
      </c>
      <c r="J314" s="524">
        <v>12568.77</v>
      </c>
      <c r="K314" s="524">
        <v>13225.36</v>
      </c>
      <c r="L314" s="524">
        <v>13881.95</v>
      </c>
      <c r="M314" s="524"/>
    </row>
    <row r="315" ht="15.75" customHeight="1">
      <c r="A315" s="521">
        <v>121.0</v>
      </c>
      <c r="B315" s="507" t="s">
        <v>266</v>
      </c>
      <c r="C315" s="507" t="s">
        <v>60</v>
      </c>
      <c r="D315" s="522" t="str">
        <f t="shared" si="1"/>
        <v>121Júnior</v>
      </c>
      <c r="E315" s="523">
        <v>0.0</v>
      </c>
      <c r="F315" s="523">
        <v>0.0</v>
      </c>
      <c r="G315" s="524">
        <v>0.0</v>
      </c>
      <c r="H315" s="524">
        <v>0.0</v>
      </c>
      <c r="I315" s="524">
        <v>0.0</v>
      </c>
      <c r="J315" s="524">
        <v>0.0</v>
      </c>
      <c r="K315" s="524">
        <v>0.0</v>
      </c>
      <c r="L315" s="524">
        <v>0.0</v>
      </c>
      <c r="M315" s="524"/>
    </row>
    <row r="316" ht="15.75" customHeight="1">
      <c r="A316" s="521">
        <v>121.0</v>
      </c>
      <c r="B316" s="507" t="s">
        <v>266</v>
      </c>
      <c r="C316" s="507" t="s">
        <v>41</v>
      </c>
      <c r="D316" s="522" t="str">
        <f t="shared" si="1"/>
        <v>121Pleno</v>
      </c>
      <c r="E316" s="523">
        <v>0.0</v>
      </c>
      <c r="F316" s="523">
        <v>0.0</v>
      </c>
      <c r="G316" s="524">
        <v>0.0</v>
      </c>
      <c r="H316" s="524">
        <v>0.0</v>
      </c>
      <c r="I316" s="524">
        <v>0.0</v>
      </c>
      <c r="J316" s="524">
        <v>0.0</v>
      </c>
      <c r="K316" s="524">
        <v>0.0</v>
      </c>
      <c r="L316" s="524">
        <v>0.0</v>
      </c>
      <c r="M316" s="524"/>
    </row>
    <row r="317" ht="15.75" customHeight="1">
      <c r="A317" s="521">
        <v>121.0</v>
      </c>
      <c r="B317" s="507" t="s">
        <v>266</v>
      </c>
      <c r="C317" s="507" t="s">
        <v>53</v>
      </c>
      <c r="D317" s="522" t="str">
        <f t="shared" si="1"/>
        <v>121Sênior</v>
      </c>
      <c r="E317" s="523">
        <v>0.0</v>
      </c>
      <c r="F317" s="523">
        <v>0.0</v>
      </c>
      <c r="G317" s="524">
        <v>0.0</v>
      </c>
      <c r="H317" s="524">
        <v>0.0</v>
      </c>
      <c r="I317" s="524">
        <v>0.0</v>
      </c>
      <c r="J317" s="524">
        <v>0.0</v>
      </c>
      <c r="K317" s="524">
        <v>0.0</v>
      </c>
      <c r="L317" s="524">
        <v>0.0</v>
      </c>
      <c r="M317" s="524"/>
    </row>
    <row r="318" ht="15.75" customHeight="1">
      <c r="A318" s="521">
        <v>121.0</v>
      </c>
      <c r="B318" s="507" t="s">
        <v>266</v>
      </c>
      <c r="C318" s="507" t="s">
        <v>476</v>
      </c>
      <c r="D318" s="522" t="str">
        <f t="shared" si="1"/>
        <v>121Master</v>
      </c>
      <c r="E318" s="523">
        <v>0.0</v>
      </c>
      <c r="F318" s="523">
        <v>0.0</v>
      </c>
      <c r="G318" s="524">
        <v>0.0</v>
      </c>
      <c r="H318" s="524">
        <v>0.0</v>
      </c>
      <c r="I318" s="524">
        <v>0.0</v>
      </c>
      <c r="J318" s="524">
        <v>0.0</v>
      </c>
      <c r="K318" s="524">
        <v>0.0</v>
      </c>
      <c r="L318" s="524">
        <v>0.0</v>
      </c>
      <c r="M318" s="524"/>
    </row>
    <row r="319" ht="15.75" customHeight="1">
      <c r="A319" s="521">
        <v>121.0</v>
      </c>
      <c r="B319" s="507" t="s">
        <v>266</v>
      </c>
      <c r="C319" s="507" t="s">
        <v>264</v>
      </c>
      <c r="D319" s="522" t="str">
        <f t="shared" si="1"/>
        <v>121Especialista</v>
      </c>
      <c r="E319" s="523">
        <v>0.0</v>
      </c>
      <c r="F319" s="523">
        <v>0.0</v>
      </c>
      <c r="G319" s="524">
        <v>0.0</v>
      </c>
      <c r="H319" s="524">
        <v>0.0</v>
      </c>
      <c r="I319" s="524">
        <v>0.0</v>
      </c>
      <c r="J319" s="524">
        <v>0.0</v>
      </c>
      <c r="K319" s="524">
        <v>0.0</v>
      </c>
      <c r="L319" s="524">
        <v>0.0</v>
      </c>
      <c r="M319" s="524"/>
    </row>
    <row r="320" ht="15.75" customHeight="1">
      <c r="A320" s="521">
        <v>448.0</v>
      </c>
      <c r="B320" s="507" t="s">
        <v>503</v>
      </c>
      <c r="C320" s="507" t="s">
        <v>212</v>
      </c>
      <c r="D320" s="522" t="str">
        <f t="shared" si="1"/>
        <v>448Indiferente</v>
      </c>
      <c r="E320" s="523">
        <v>21.0</v>
      </c>
      <c r="F320" s="523">
        <v>24.0</v>
      </c>
      <c r="G320" s="524">
        <v>5630.63</v>
      </c>
      <c r="H320" s="524">
        <v>6252.96</v>
      </c>
      <c r="I320" s="524">
        <v>7474.04</v>
      </c>
      <c r="J320" s="524">
        <v>7324.49</v>
      </c>
      <c r="K320" s="524">
        <v>8152.86</v>
      </c>
      <c r="L320" s="524">
        <v>9756.67</v>
      </c>
      <c r="M320" s="524"/>
    </row>
    <row r="321" ht="15.75" customHeight="1">
      <c r="A321" s="521">
        <v>448.0</v>
      </c>
      <c r="B321" s="507" t="s">
        <v>503</v>
      </c>
      <c r="C321" s="507" t="s">
        <v>60</v>
      </c>
      <c r="D321" s="522" t="str">
        <f t="shared" si="1"/>
        <v>448Júnior</v>
      </c>
      <c r="E321" s="523">
        <v>3.0</v>
      </c>
      <c r="F321" s="523">
        <v>3.0</v>
      </c>
      <c r="G321" s="524">
        <v>4822.37</v>
      </c>
      <c r="H321" s="524">
        <v>4986.92</v>
      </c>
      <c r="I321" s="524">
        <v>5929.8</v>
      </c>
      <c r="J321" s="524">
        <v>5151.47</v>
      </c>
      <c r="K321" s="524">
        <v>6483.52</v>
      </c>
      <c r="L321" s="524">
        <v>7815.56</v>
      </c>
      <c r="M321" s="524"/>
    </row>
    <row r="322" ht="15.75" customHeight="1">
      <c r="A322" s="521">
        <v>448.0</v>
      </c>
      <c r="B322" s="507" t="s">
        <v>503</v>
      </c>
      <c r="C322" s="507" t="s">
        <v>41</v>
      </c>
      <c r="D322" s="522" t="str">
        <f t="shared" si="1"/>
        <v>448Pleno</v>
      </c>
      <c r="E322" s="523">
        <v>6.0</v>
      </c>
      <c r="F322" s="523">
        <v>7.0</v>
      </c>
      <c r="G322" s="524">
        <v>5786.84</v>
      </c>
      <c r="H322" s="524">
        <v>6614.51</v>
      </c>
      <c r="I322" s="524">
        <v>7045.8</v>
      </c>
      <c r="J322" s="524">
        <v>7185.68</v>
      </c>
      <c r="K322" s="524">
        <v>7525.57</v>
      </c>
      <c r="L322" s="524">
        <v>8067.92</v>
      </c>
      <c r="M322" s="524"/>
    </row>
    <row r="323" ht="15.75" customHeight="1">
      <c r="A323" s="521">
        <v>448.0</v>
      </c>
      <c r="B323" s="507" t="s">
        <v>503</v>
      </c>
      <c r="C323" s="507" t="s">
        <v>53</v>
      </c>
      <c r="D323" s="522" t="str">
        <f t="shared" si="1"/>
        <v>448Sênior</v>
      </c>
      <c r="E323" s="523">
        <v>1.0</v>
      </c>
      <c r="F323" s="523">
        <v>1.0</v>
      </c>
      <c r="G323" s="524">
        <v>7760.14</v>
      </c>
      <c r="H323" s="524">
        <v>7760.14</v>
      </c>
      <c r="I323" s="524">
        <v>7760.14</v>
      </c>
      <c r="J323" s="524">
        <v>7760.14</v>
      </c>
      <c r="K323" s="524">
        <v>7760.14</v>
      </c>
      <c r="L323" s="524">
        <v>7760.14</v>
      </c>
      <c r="M323" s="524"/>
    </row>
    <row r="324" ht="15.75" customHeight="1">
      <c r="A324" s="521">
        <v>448.0</v>
      </c>
      <c r="B324" s="507" t="s">
        <v>503</v>
      </c>
      <c r="C324" s="507" t="s">
        <v>476</v>
      </c>
      <c r="D324" s="522" t="str">
        <f t="shared" si="1"/>
        <v>448Master</v>
      </c>
      <c r="E324" s="523">
        <v>0.0</v>
      </c>
      <c r="F324" s="523">
        <v>0.0</v>
      </c>
      <c r="G324" s="524">
        <v>0.0</v>
      </c>
      <c r="H324" s="524">
        <v>0.0</v>
      </c>
      <c r="I324" s="524">
        <v>0.0</v>
      </c>
      <c r="J324" s="524">
        <v>0.0</v>
      </c>
      <c r="K324" s="524">
        <v>0.0</v>
      </c>
      <c r="L324" s="524">
        <v>0.0</v>
      </c>
      <c r="M324" s="524"/>
    </row>
    <row r="325" ht="15.75" customHeight="1">
      <c r="A325" s="521">
        <v>448.0</v>
      </c>
      <c r="B325" s="507" t="s">
        <v>503</v>
      </c>
      <c r="C325" s="507" t="s">
        <v>264</v>
      </c>
      <c r="D325" s="522" t="str">
        <f t="shared" si="1"/>
        <v>448Especialista</v>
      </c>
      <c r="E325" s="523">
        <v>0.0</v>
      </c>
      <c r="F325" s="523">
        <v>0.0</v>
      </c>
      <c r="G325" s="524">
        <v>0.0</v>
      </c>
      <c r="H325" s="524">
        <v>0.0</v>
      </c>
      <c r="I325" s="524">
        <v>0.0</v>
      </c>
      <c r="J325" s="524">
        <v>0.0</v>
      </c>
      <c r="K325" s="524">
        <v>0.0</v>
      </c>
      <c r="L325" s="524">
        <v>0.0</v>
      </c>
      <c r="M325" s="524"/>
    </row>
    <row r="326" ht="15.75" customHeight="1">
      <c r="A326" s="521">
        <v>76.0</v>
      </c>
      <c r="B326" s="507" t="s">
        <v>504</v>
      </c>
      <c r="C326" s="507" t="s">
        <v>212</v>
      </c>
      <c r="D326" s="522" t="str">
        <f t="shared" si="1"/>
        <v>76Indiferente</v>
      </c>
      <c r="E326" s="523">
        <v>19.0</v>
      </c>
      <c r="F326" s="523">
        <v>23.0</v>
      </c>
      <c r="G326" s="524">
        <v>7908.66</v>
      </c>
      <c r="H326" s="524">
        <v>9059.67</v>
      </c>
      <c r="I326" s="524">
        <v>10932.18</v>
      </c>
      <c r="J326" s="524">
        <v>11049.49</v>
      </c>
      <c r="K326" s="524">
        <v>12707.73</v>
      </c>
      <c r="L326" s="524">
        <v>14914.58</v>
      </c>
      <c r="M326" s="524"/>
    </row>
    <row r="327" ht="15.75" customHeight="1">
      <c r="A327" s="521">
        <v>76.0</v>
      </c>
      <c r="B327" s="507" t="s">
        <v>504</v>
      </c>
      <c r="C327" s="507" t="s">
        <v>60</v>
      </c>
      <c r="D327" s="522" t="str">
        <f t="shared" si="1"/>
        <v>76Júnior</v>
      </c>
      <c r="E327" s="523">
        <v>1.0</v>
      </c>
      <c r="F327" s="523">
        <v>1.0</v>
      </c>
      <c r="G327" s="524">
        <v>6055.11</v>
      </c>
      <c r="H327" s="524">
        <v>6055.11</v>
      </c>
      <c r="I327" s="524">
        <v>6055.11</v>
      </c>
      <c r="J327" s="524">
        <v>6055.11</v>
      </c>
      <c r="K327" s="524">
        <v>6055.11</v>
      </c>
      <c r="L327" s="524">
        <v>6055.11</v>
      </c>
      <c r="M327" s="524"/>
    </row>
    <row r="328" ht="15.75" customHeight="1">
      <c r="A328" s="521">
        <v>76.0</v>
      </c>
      <c r="B328" s="507" t="s">
        <v>504</v>
      </c>
      <c r="C328" s="507" t="s">
        <v>41</v>
      </c>
      <c r="D328" s="522" t="str">
        <f t="shared" si="1"/>
        <v>76Pleno</v>
      </c>
      <c r="E328" s="523">
        <v>1.0</v>
      </c>
      <c r="F328" s="523">
        <v>1.0</v>
      </c>
      <c r="G328" s="524">
        <v>9084.54</v>
      </c>
      <c r="H328" s="524">
        <v>9084.54</v>
      </c>
      <c r="I328" s="524">
        <v>9084.54</v>
      </c>
      <c r="J328" s="524">
        <v>9084.54</v>
      </c>
      <c r="K328" s="524">
        <v>9084.54</v>
      </c>
      <c r="L328" s="524">
        <v>9084.54</v>
      </c>
      <c r="M328" s="524"/>
    </row>
    <row r="329" ht="15.75" customHeight="1">
      <c r="A329" s="521">
        <v>76.0</v>
      </c>
      <c r="B329" s="507" t="s">
        <v>504</v>
      </c>
      <c r="C329" s="507" t="s">
        <v>53</v>
      </c>
      <c r="D329" s="522" t="str">
        <f t="shared" si="1"/>
        <v>76Sênior</v>
      </c>
      <c r="E329" s="523">
        <v>4.0</v>
      </c>
      <c r="F329" s="523">
        <v>4.0</v>
      </c>
      <c r="G329" s="524">
        <v>8179.1</v>
      </c>
      <c r="H329" s="524">
        <v>8820.88</v>
      </c>
      <c r="I329" s="524">
        <v>10333.08</v>
      </c>
      <c r="J329" s="524">
        <v>9662.34</v>
      </c>
      <c r="K329" s="524">
        <v>11174.54</v>
      </c>
      <c r="L329" s="524">
        <v>13828.52</v>
      </c>
      <c r="M329" s="524"/>
    </row>
    <row r="330" ht="15.75" customHeight="1">
      <c r="A330" s="521">
        <v>76.0</v>
      </c>
      <c r="B330" s="507" t="s">
        <v>504</v>
      </c>
      <c r="C330" s="507" t="s">
        <v>476</v>
      </c>
      <c r="D330" s="522" t="str">
        <f t="shared" si="1"/>
        <v>76Master</v>
      </c>
      <c r="E330" s="523">
        <v>0.0</v>
      </c>
      <c r="F330" s="523">
        <v>0.0</v>
      </c>
      <c r="G330" s="524">
        <v>0.0</v>
      </c>
      <c r="H330" s="524">
        <v>0.0</v>
      </c>
      <c r="I330" s="524">
        <v>0.0</v>
      </c>
      <c r="J330" s="524">
        <v>0.0</v>
      </c>
      <c r="K330" s="524">
        <v>0.0</v>
      </c>
      <c r="L330" s="524">
        <v>0.0</v>
      </c>
      <c r="M330" s="524"/>
    </row>
    <row r="331" ht="15.75" customHeight="1">
      <c r="A331" s="521">
        <v>76.0</v>
      </c>
      <c r="B331" s="507" t="s">
        <v>504</v>
      </c>
      <c r="C331" s="507" t="s">
        <v>264</v>
      </c>
      <c r="D331" s="522" t="str">
        <f t="shared" si="1"/>
        <v>76Especialista</v>
      </c>
      <c r="E331" s="523">
        <v>0.0</v>
      </c>
      <c r="F331" s="523">
        <v>0.0</v>
      </c>
      <c r="G331" s="524">
        <v>0.0</v>
      </c>
      <c r="H331" s="524">
        <v>0.0</v>
      </c>
      <c r="I331" s="524">
        <v>0.0</v>
      </c>
      <c r="J331" s="524">
        <v>0.0</v>
      </c>
      <c r="K331" s="524">
        <v>0.0</v>
      </c>
      <c r="L331" s="524">
        <v>0.0</v>
      </c>
      <c r="M331" s="524"/>
    </row>
    <row r="332" ht="15.75" customHeight="1">
      <c r="A332" s="521">
        <v>122.0</v>
      </c>
      <c r="B332" s="507" t="s">
        <v>276</v>
      </c>
      <c r="C332" s="507" t="s">
        <v>212</v>
      </c>
      <c r="D332" s="522" t="str">
        <f t="shared" si="1"/>
        <v>122Indiferente</v>
      </c>
      <c r="E332" s="521">
        <v>39.0</v>
      </c>
      <c r="F332" s="521">
        <v>39.0</v>
      </c>
      <c r="G332" s="525">
        <v>5281.61</v>
      </c>
      <c r="H332" s="525">
        <v>6325.01</v>
      </c>
      <c r="I332" s="525">
        <v>7452.59</v>
      </c>
      <c r="J332" s="525">
        <v>7558.57</v>
      </c>
      <c r="K332" s="525">
        <v>8691.7</v>
      </c>
      <c r="L332" s="525">
        <v>9982.25</v>
      </c>
      <c r="M332" s="524"/>
    </row>
    <row r="333" ht="15.75" customHeight="1">
      <c r="A333" s="521">
        <v>122.0</v>
      </c>
      <c r="B333" s="507" t="s">
        <v>276</v>
      </c>
      <c r="C333" s="507" t="s">
        <v>60</v>
      </c>
      <c r="D333" s="522" t="str">
        <f t="shared" si="1"/>
        <v>122Júnior</v>
      </c>
      <c r="E333" s="521">
        <v>4.0</v>
      </c>
      <c r="F333" s="521">
        <v>4.0</v>
      </c>
      <c r="G333" s="525">
        <v>4856.68</v>
      </c>
      <c r="H333" s="525">
        <v>6844.01</v>
      </c>
      <c r="I333" s="525">
        <v>7341.72</v>
      </c>
      <c r="J333" s="525">
        <v>7532.51</v>
      </c>
      <c r="K333" s="525">
        <v>8030.23</v>
      </c>
      <c r="L333" s="525">
        <v>9445.19</v>
      </c>
      <c r="M333" s="524"/>
    </row>
    <row r="334" ht="15.75" customHeight="1">
      <c r="A334" s="521">
        <v>122.0</v>
      </c>
      <c r="B334" s="507" t="s">
        <v>276</v>
      </c>
      <c r="C334" s="507" t="s">
        <v>41</v>
      </c>
      <c r="D334" s="522" t="str">
        <f t="shared" si="1"/>
        <v>122Pleno</v>
      </c>
      <c r="E334" s="521">
        <v>4.0</v>
      </c>
      <c r="F334" s="521">
        <v>4.0</v>
      </c>
      <c r="G334" s="525">
        <v>5498.6</v>
      </c>
      <c r="H334" s="525">
        <v>5531.87</v>
      </c>
      <c r="I334" s="525">
        <v>5657.39</v>
      </c>
      <c r="J334" s="525">
        <v>5554.95</v>
      </c>
      <c r="K334" s="525">
        <v>5680.47</v>
      </c>
      <c r="L334" s="525">
        <v>6021.04</v>
      </c>
      <c r="M334" s="524"/>
    </row>
    <row r="335" ht="15.75" customHeight="1">
      <c r="A335" s="521">
        <v>122.0</v>
      </c>
      <c r="B335" s="507" t="s">
        <v>276</v>
      </c>
      <c r="C335" s="507" t="s">
        <v>53</v>
      </c>
      <c r="D335" s="522" t="str">
        <f t="shared" si="1"/>
        <v>122Sênior</v>
      </c>
      <c r="E335" s="521">
        <v>5.0</v>
      </c>
      <c r="F335" s="521">
        <v>5.0</v>
      </c>
      <c r="G335" s="525">
        <v>4874.93</v>
      </c>
      <c r="H335" s="525">
        <v>5281.61</v>
      </c>
      <c r="I335" s="525">
        <v>6415.3</v>
      </c>
      <c r="J335" s="525">
        <v>6349.2</v>
      </c>
      <c r="K335" s="525">
        <v>6535.76</v>
      </c>
      <c r="L335" s="525">
        <v>9035.01</v>
      </c>
      <c r="M335" s="524"/>
    </row>
    <row r="336" ht="15.75" customHeight="1">
      <c r="A336" s="521">
        <v>122.0</v>
      </c>
      <c r="B336" s="507" t="s">
        <v>276</v>
      </c>
      <c r="C336" s="507" t="s">
        <v>476</v>
      </c>
      <c r="D336" s="522" t="str">
        <f t="shared" si="1"/>
        <v>122Master</v>
      </c>
      <c r="E336" s="521">
        <v>0.0</v>
      </c>
      <c r="F336" s="521">
        <v>0.0</v>
      </c>
      <c r="G336" s="525">
        <v>0.0</v>
      </c>
      <c r="H336" s="525">
        <v>0.0</v>
      </c>
      <c r="I336" s="525">
        <v>0.0</v>
      </c>
      <c r="J336" s="525">
        <v>0.0</v>
      </c>
      <c r="K336" s="525">
        <v>0.0</v>
      </c>
      <c r="L336" s="525">
        <v>0.0</v>
      </c>
      <c r="M336" s="524"/>
    </row>
    <row r="337" ht="15.75" customHeight="1">
      <c r="A337" s="521">
        <v>122.0</v>
      </c>
      <c r="B337" s="507" t="s">
        <v>276</v>
      </c>
      <c r="C337" s="507" t="s">
        <v>264</v>
      </c>
      <c r="D337" s="522" t="str">
        <f t="shared" si="1"/>
        <v>122Especialista</v>
      </c>
      <c r="E337" s="521">
        <v>1.0</v>
      </c>
      <c r="F337" s="521">
        <v>1.0</v>
      </c>
      <c r="G337" s="525">
        <v>12224.61</v>
      </c>
      <c r="H337" s="525">
        <v>12224.61</v>
      </c>
      <c r="I337" s="525">
        <v>12224.61</v>
      </c>
      <c r="J337" s="525">
        <v>12224.61</v>
      </c>
      <c r="K337" s="525">
        <v>12224.61</v>
      </c>
      <c r="L337" s="525">
        <v>12224.61</v>
      </c>
      <c r="M337" s="524"/>
    </row>
    <row r="338" ht="15.75" customHeight="1">
      <c r="A338" s="521">
        <v>99.0</v>
      </c>
      <c r="B338" s="507" t="s">
        <v>505</v>
      </c>
      <c r="C338" s="507" t="s">
        <v>212</v>
      </c>
      <c r="D338" s="522" t="str">
        <f t="shared" si="1"/>
        <v>99Indiferente</v>
      </c>
      <c r="E338" s="523">
        <v>8.0</v>
      </c>
      <c r="F338" s="523">
        <v>11.0</v>
      </c>
      <c r="G338" s="524">
        <v>8336.5</v>
      </c>
      <c r="H338" s="524">
        <v>19621.82</v>
      </c>
      <c r="I338" s="524">
        <v>20723.86</v>
      </c>
      <c r="J338" s="524">
        <v>22585.02</v>
      </c>
      <c r="K338" s="524">
        <v>22640.3</v>
      </c>
      <c r="L338" s="524">
        <v>29247.46</v>
      </c>
      <c r="M338" s="524"/>
    </row>
    <row r="339" ht="15.75" customHeight="1">
      <c r="A339" s="521">
        <v>99.0</v>
      </c>
      <c r="B339" s="507" t="s">
        <v>505</v>
      </c>
      <c r="C339" s="507" t="s">
        <v>60</v>
      </c>
      <c r="D339" s="522" t="str">
        <f t="shared" si="1"/>
        <v>99Júnior</v>
      </c>
      <c r="E339" s="523">
        <v>0.0</v>
      </c>
      <c r="F339" s="523">
        <v>0.0</v>
      </c>
      <c r="G339" s="524">
        <v>0.0</v>
      </c>
      <c r="H339" s="524">
        <v>0.0</v>
      </c>
      <c r="I339" s="524">
        <v>0.0</v>
      </c>
      <c r="J339" s="524">
        <v>0.0</v>
      </c>
      <c r="K339" s="524">
        <v>0.0</v>
      </c>
      <c r="L339" s="524">
        <v>0.0</v>
      </c>
      <c r="M339" s="524"/>
    </row>
    <row r="340" ht="15.75" customHeight="1">
      <c r="A340" s="521">
        <v>99.0</v>
      </c>
      <c r="B340" s="507" t="s">
        <v>505</v>
      </c>
      <c r="C340" s="507" t="s">
        <v>41</v>
      </c>
      <c r="D340" s="522" t="str">
        <f t="shared" si="1"/>
        <v>99Pleno</v>
      </c>
      <c r="E340" s="523">
        <v>1.0</v>
      </c>
      <c r="F340" s="523">
        <v>1.0</v>
      </c>
      <c r="G340" s="524">
        <v>4753.45</v>
      </c>
      <c r="H340" s="524">
        <v>4753.45</v>
      </c>
      <c r="I340" s="524">
        <v>4753.45</v>
      </c>
      <c r="J340" s="524">
        <v>4753.45</v>
      </c>
      <c r="K340" s="524">
        <v>4753.45</v>
      </c>
      <c r="L340" s="524">
        <v>4753.45</v>
      </c>
      <c r="M340" s="524"/>
    </row>
    <row r="341" ht="15.75" customHeight="1">
      <c r="A341" s="521">
        <v>99.0</v>
      </c>
      <c r="B341" s="507" t="s">
        <v>505</v>
      </c>
      <c r="C341" s="507" t="s">
        <v>53</v>
      </c>
      <c r="D341" s="522" t="str">
        <f t="shared" si="1"/>
        <v>99Sênior</v>
      </c>
      <c r="E341" s="523">
        <v>2.0</v>
      </c>
      <c r="F341" s="523">
        <v>2.0</v>
      </c>
      <c r="G341" s="524">
        <v>20738.71</v>
      </c>
      <c r="H341" s="524">
        <v>22865.9</v>
      </c>
      <c r="I341" s="524">
        <v>24993.08</v>
      </c>
      <c r="J341" s="524">
        <v>24993.08</v>
      </c>
      <c r="K341" s="524">
        <v>27120.27</v>
      </c>
      <c r="L341" s="524">
        <v>29247.46</v>
      </c>
      <c r="M341" s="524"/>
    </row>
    <row r="342" ht="15.75" customHeight="1">
      <c r="A342" s="521">
        <v>99.0</v>
      </c>
      <c r="B342" s="507" t="s">
        <v>505</v>
      </c>
      <c r="C342" s="507" t="s">
        <v>476</v>
      </c>
      <c r="D342" s="522" t="str">
        <f t="shared" si="1"/>
        <v>99Master</v>
      </c>
      <c r="E342" s="523">
        <v>0.0</v>
      </c>
      <c r="F342" s="523">
        <v>0.0</v>
      </c>
      <c r="G342" s="524">
        <v>0.0</v>
      </c>
      <c r="H342" s="524">
        <v>0.0</v>
      </c>
      <c r="I342" s="524">
        <v>0.0</v>
      </c>
      <c r="J342" s="524">
        <v>0.0</v>
      </c>
      <c r="K342" s="524">
        <v>0.0</v>
      </c>
      <c r="L342" s="524">
        <v>0.0</v>
      </c>
      <c r="M342" s="524"/>
    </row>
    <row r="343" ht="15.75" customHeight="1">
      <c r="A343" s="521">
        <v>99.0</v>
      </c>
      <c r="B343" s="507" t="s">
        <v>505</v>
      </c>
      <c r="C343" s="507" t="s">
        <v>264</v>
      </c>
      <c r="D343" s="522" t="str">
        <f t="shared" si="1"/>
        <v>99Especialista</v>
      </c>
      <c r="E343" s="523">
        <v>1.0</v>
      </c>
      <c r="F343" s="523">
        <v>1.0</v>
      </c>
      <c r="G343" s="524">
        <v>4753.45</v>
      </c>
      <c r="H343" s="524">
        <v>4753.45</v>
      </c>
      <c r="I343" s="524">
        <v>4753.45</v>
      </c>
      <c r="J343" s="524">
        <v>4753.45</v>
      </c>
      <c r="K343" s="524">
        <v>4753.45</v>
      </c>
      <c r="L343" s="524">
        <v>4753.45</v>
      </c>
      <c r="M343" s="524"/>
    </row>
    <row r="344" ht="15.75" customHeight="1">
      <c r="A344" s="521">
        <v>100.0</v>
      </c>
      <c r="B344" s="507" t="s">
        <v>506</v>
      </c>
      <c r="C344" s="507" t="s">
        <v>212</v>
      </c>
      <c r="D344" s="522" t="str">
        <f t="shared" si="1"/>
        <v>100Indiferente</v>
      </c>
      <c r="E344" s="523">
        <v>12.0</v>
      </c>
      <c r="F344" s="523">
        <v>15.0</v>
      </c>
      <c r="G344" s="524">
        <v>10563.22</v>
      </c>
      <c r="H344" s="524">
        <v>16080.4</v>
      </c>
      <c r="I344" s="524">
        <v>19007.62</v>
      </c>
      <c r="J344" s="524">
        <v>18407.98</v>
      </c>
      <c r="K344" s="524">
        <v>21743.53</v>
      </c>
      <c r="L344" s="524">
        <v>29931.95</v>
      </c>
      <c r="M344" s="524"/>
    </row>
    <row r="345" ht="15.75" customHeight="1">
      <c r="A345" s="521">
        <v>100.0</v>
      </c>
      <c r="B345" s="507" t="s">
        <v>506</v>
      </c>
      <c r="C345" s="507" t="s">
        <v>60</v>
      </c>
      <c r="D345" s="522" t="str">
        <f t="shared" si="1"/>
        <v>100Júnior</v>
      </c>
      <c r="E345" s="523">
        <v>0.0</v>
      </c>
      <c r="F345" s="523">
        <v>0.0</v>
      </c>
      <c r="G345" s="524">
        <v>0.0</v>
      </c>
      <c r="H345" s="524">
        <v>0.0</v>
      </c>
      <c r="I345" s="524">
        <v>0.0</v>
      </c>
      <c r="J345" s="524">
        <v>0.0</v>
      </c>
      <c r="K345" s="524">
        <v>0.0</v>
      </c>
      <c r="L345" s="524">
        <v>0.0</v>
      </c>
      <c r="M345" s="524"/>
    </row>
    <row r="346" ht="15.75" customHeight="1">
      <c r="A346" s="521">
        <v>100.0</v>
      </c>
      <c r="B346" s="507" t="s">
        <v>506</v>
      </c>
      <c r="C346" s="507" t="s">
        <v>41</v>
      </c>
      <c r="D346" s="522" t="str">
        <f t="shared" si="1"/>
        <v>100Pleno</v>
      </c>
      <c r="E346" s="523">
        <v>5.0</v>
      </c>
      <c r="F346" s="523">
        <v>5.0</v>
      </c>
      <c r="G346" s="524">
        <v>10563.22</v>
      </c>
      <c r="H346" s="524">
        <v>11361.8</v>
      </c>
      <c r="I346" s="524">
        <v>14037.05</v>
      </c>
      <c r="J346" s="524">
        <v>15467.73</v>
      </c>
      <c r="K346" s="524">
        <v>15749.77</v>
      </c>
      <c r="L346" s="524">
        <v>17042.71</v>
      </c>
      <c r="M346" s="524"/>
    </row>
    <row r="347" ht="15.75" customHeight="1">
      <c r="A347" s="521">
        <v>100.0</v>
      </c>
      <c r="B347" s="507" t="s">
        <v>506</v>
      </c>
      <c r="C347" s="507" t="s">
        <v>53</v>
      </c>
      <c r="D347" s="522" t="str">
        <f t="shared" si="1"/>
        <v>100Sênior</v>
      </c>
      <c r="E347" s="523">
        <v>1.0</v>
      </c>
      <c r="F347" s="523">
        <v>5.0</v>
      </c>
      <c r="G347" s="524">
        <v>16411.03</v>
      </c>
      <c r="H347" s="524">
        <v>19959.21</v>
      </c>
      <c r="I347" s="524">
        <v>23217.33</v>
      </c>
      <c r="J347" s="524">
        <v>22328.54</v>
      </c>
      <c r="K347" s="524">
        <v>23239.09</v>
      </c>
      <c r="L347" s="524">
        <v>34148.79</v>
      </c>
      <c r="M347" s="524"/>
    </row>
    <row r="348" ht="15.75" customHeight="1">
      <c r="A348" s="521">
        <v>100.0</v>
      </c>
      <c r="B348" s="507" t="s">
        <v>506</v>
      </c>
      <c r="C348" s="507" t="s">
        <v>476</v>
      </c>
      <c r="D348" s="522" t="str">
        <f t="shared" si="1"/>
        <v>100Master</v>
      </c>
      <c r="E348" s="523">
        <v>0.0</v>
      </c>
      <c r="F348" s="523">
        <v>0.0</v>
      </c>
      <c r="G348" s="524">
        <v>0.0</v>
      </c>
      <c r="H348" s="524">
        <v>0.0</v>
      </c>
      <c r="I348" s="524">
        <v>0.0</v>
      </c>
      <c r="J348" s="524">
        <v>0.0</v>
      </c>
      <c r="K348" s="524">
        <v>0.0</v>
      </c>
      <c r="L348" s="524">
        <v>0.0</v>
      </c>
      <c r="M348" s="524"/>
    </row>
    <row r="349" ht="15.75" customHeight="1">
      <c r="A349" s="521">
        <v>100.0</v>
      </c>
      <c r="B349" s="507" t="s">
        <v>506</v>
      </c>
      <c r="C349" s="507" t="s">
        <v>264</v>
      </c>
      <c r="D349" s="522" t="str">
        <f t="shared" si="1"/>
        <v>100Especialista</v>
      </c>
      <c r="E349" s="523">
        <v>1.0</v>
      </c>
      <c r="F349" s="523">
        <v>1.0</v>
      </c>
      <c r="G349" s="524">
        <v>35076.93</v>
      </c>
      <c r="H349" s="524">
        <v>35076.93</v>
      </c>
      <c r="I349" s="524">
        <v>35076.93</v>
      </c>
      <c r="J349" s="524">
        <v>35076.93</v>
      </c>
      <c r="K349" s="524">
        <v>35076.93</v>
      </c>
      <c r="L349" s="524">
        <v>35076.93</v>
      </c>
      <c r="M349" s="524"/>
    </row>
    <row r="350" ht="15.75" customHeight="1">
      <c r="A350" s="521">
        <v>547.0</v>
      </c>
      <c r="B350" s="507" t="s">
        <v>507</v>
      </c>
      <c r="C350" s="507" t="s">
        <v>212</v>
      </c>
      <c r="D350" s="522" t="str">
        <f t="shared" si="1"/>
        <v>547Indiferente</v>
      </c>
      <c r="E350" s="523">
        <v>0.0</v>
      </c>
      <c r="F350" s="523">
        <v>0.0</v>
      </c>
      <c r="G350" s="524">
        <v>0.0</v>
      </c>
      <c r="H350" s="524">
        <v>0.0</v>
      </c>
      <c r="I350" s="524">
        <v>0.0</v>
      </c>
      <c r="J350" s="524">
        <v>0.0</v>
      </c>
      <c r="K350" s="524">
        <v>0.0</v>
      </c>
      <c r="L350" s="524">
        <v>0.0</v>
      </c>
      <c r="M350" s="524"/>
    </row>
    <row r="351" ht="15.75" customHeight="1">
      <c r="A351" s="521">
        <v>547.0</v>
      </c>
      <c r="B351" s="507" t="s">
        <v>507</v>
      </c>
      <c r="C351" s="507" t="s">
        <v>60</v>
      </c>
      <c r="D351" s="522" t="str">
        <f t="shared" si="1"/>
        <v>547Júnior</v>
      </c>
      <c r="E351" s="523">
        <v>0.0</v>
      </c>
      <c r="F351" s="523">
        <v>0.0</v>
      </c>
      <c r="G351" s="524">
        <v>0.0</v>
      </c>
      <c r="H351" s="524">
        <v>0.0</v>
      </c>
      <c r="I351" s="524">
        <v>0.0</v>
      </c>
      <c r="J351" s="524">
        <v>0.0</v>
      </c>
      <c r="K351" s="524">
        <v>0.0</v>
      </c>
      <c r="L351" s="524">
        <v>0.0</v>
      </c>
      <c r="M351" s="524"/>
    </row>
    <row r="352" ht="15.75" customHeight="1">
      <c r="A352" s="521">
        <v>547.0</v>
      </c>
      <c r="B352" s="507" t="s">
        <v>507</v>
      </c>
      <c r="C352" s="507" t="s">
        <v>41</v>
      </c>
      <c r="D352" s="522" t="str">
        <f t="shared" si="1"/>
        <v>547Pleno</v>
      </c>
      <c r="E352" s="523">
        <v>0.0</v>
      </c>
      <c r="F352" s="523">
        <v>0.0</v>
      </c>
      <c r="G352" s="524">
        <v>0.0</v>
      </c>
      <c r="H352" s="524">
        <v>0.0</v>
      </c>
      <c r="I352" s="524">
        <v>0.0</v>
      </c>
      <c r="J352" s="524">
        <v>0.0</v>
      </c>
      <c r="K352" s="524">
        <v>0.0</v>
      </c>
      <c r="L352" s="524">
        <v>0.0</v>
      </c>
      <c r="M352" s="524"/>
    </row>
    <row r="353" ht="15.75" customHeight="1">
      <c r="A353" s="521">
        <v>547.0</v>
      </c>
      <c r="B353" s="507" t="s">
        <v>507</v>
      </c>
      <c r="C353" s="507" t="s">
        <v>53</v>
      </c>
      <c r="D353" s="522" t="str">
        <f t="shared" si="1"/>
        <v>547Sênior</v>
      </c>
      <c r="E353" s="523">
        <v>0.0</v>
      </c>
      <c r="F353" s="523">
        <v>0.0</v>
      </c>
      <c r="G353" s="524">
        <v>0.0</v>
      </c>
      <c r="H353" s="524">
        <v>0.0</v>
      </c>
      <c r="I353" s="524">
        <v>0.0</v>
      </c>
      <c r="J353" s="524">
        <v>0.0</v>
      </c>
      <c r="K353" s="524">
        <v>0.0</v>
      </c>
      <c r="L353" s="524">
        <v>0.0</v>
      </c>
      <c r="M353" s="524"/>
    </row>
    <row r="354" ht="15.75" customHeight="1">
      <c r="A354" s="521">
        <v>547.0</v>
      </c>
      <c r="B354" s="507" t="s">
        <v>507</v>
      </c>
      <c r="C354" s="507" t="s">
        <v>476</v>
      </c>
      <c r="D354" s="522" t="str">
        <f t="shared" si="1"/>
        <v>547Master</v>
      </c>
      <c r="E354" s="523">
        <v>0.0</v>
      </c>
      <c r="F354" s="523">
        <v>0.0</v>
      </c>
      <c r="G354" s="524">
        <v>0.0</v>
      </c>
      <c r="H354" s="524">
        <v>0.0</v>
      </c>
      <c r="I354" s="524">
        <v>0.0</v>
      </c>
      <c r="J354" s="524">
        <v>0.0</v>
      </c>
      <c r="K354" s="524">
        <v>0.0</v>
      </c>
      <c r="L354" s="524">
        <v>0.0</v>
      </c>
      <c r="M354" s="524"/>
    </row>
    <row r="355" ht="15.75" customHeight="1">
      <c r="A355" s="521">
        <v>547.0</v>
      </c>
      <c r="B355" s="507" t="s">
        <v>507</v>
      </c>
      <c r="C355" s="507" t="s">
        <v>264</v>
      </c>
      <c r="D355" s="522" t="str">
        <f t="shared" si="1"/>
        <v>547Especialista</v>
      </c>
      <c r="E355" s="523">
        <v>0.0</v>
      </c>
      <c r="F355" s="523">
        <v>0.0</v>
      </c>
      <c r="G355" s="524">
        <v>0.0</v>
      </c>
      <c r="H355" s="524">
        <v>0.0</v>
      </c>
      <c r="I355" s="524">
        <v>0.0</v>
      </c>
      <c r="J355" s="524">
        <v>0.0</v>
      </c>
      <c r="K355" s="524">
        <v>0.0</v>
      </c>
      <c r="L355" s="524">
        <v>0.0</v>
      </c>
      <c r="M355" s="524"/>
    </row>
    <row r="356" ht="15.75" customHeight="1">
      <c r="A356" s="521">
        <v>400.0</v>
      </c>
      <c r="B356" s="507" t="s">
        <v>508</v>
      </c>
      <c r="C356" s="507" t="s">
        <v>212</v>
      </c>
      <c r="D356" s="522" t="str">
        <f t="shared" si="1"/>
        <v>400Indiferente</v>
      </c>
      <c r="E356" s="523">
        <v>0.0</v>
      </c>
      <c r="F356" s="523">
        <v>0.0</v>
      </c>
      <c r="G356" s="524">
        <v>0.0</v>
      </c>
      <c r="H356" s="524">
        <v>0.0</v>
      </c>
      <c r="I356" s="524">
        <v>0.0</v>
      </c>
      <c r="J356" s="524">
        <v>0.0</v>
      </c>
      <c r="K356" s="524">
        <v>0.0</v>
      </c>
      <c r="L356" s="524">
        <v>0.0</v>
      </c>
      <c r="M356" s="524"/>
    </row>
    <row r="357" ht="15.75" customHeight="1">
      <c r="A357" s="521">
        <v>400.0</v>
      </c>
      <c r="B357" s="507" t="s">
        <v>508</v>
      </c>
      <c r="C357" s="507" t="s">
        <v>60</v>
      </c>
      <c r="D357" s="522" t="str">
        <f t="shared" si="1"/>
        <v>400Júnior</v>
      </c>
      <c r="E357" s="523">
        <v>0.0</v>
      </c>
      <c r="F357" s="523">
        <v>0.0</v>
      </c>
      <c r="G357" s="524">
        <v>0.0</v>
      </c>
      <c r="H357" s="524">
        <v>0.0</v>
      </c>
      <c r="I357" s="524">
        <v>0.0</v>
      </c>
      <c r="J357" s="524">
        <v>0.0</v>
      </c>
      <c r="K357" s="524">
        <v>0.0</v>
      </c>
      <c r="L357" s="524">
        <v>0.0</v>
      </c>
      <c r="M357" s="524"/>
    </row>
    <row r="358" ht="15.75" customHeight="1">
      <c r="A358" s="521">
        <v>400.0</v>
      </c>
      <c r="B358" s="507" t="s">
        <v>508</v>
      </c>
      <c r="C358" s="507" t="s">
        <v>41</v>
      </c>
      <c r="D358" s="522" t="str">
        <f t="shared" si="1"/>
        <v>400Pleno</v>
      </c>
      <c r="E358" s="523">
        <v>0.0</v>
      </c>
      <c r="F358" s="523">
        <v>0.0</v>
      </c>
      <c r="G358" s="524">
        <v>0.0</v>
      </c>
      <c r="H358" s="524">
        <v>0.0</v>
      </c>
      <c r="I358" s="524">
        <v>0.0</v>
      </c>
      <c r="J358" s="524">
        <v>0.0</v>
      </c>
      <c r="K358" s="524">
        <v>0.0</v>
      </c>
      <c r="L358" s="524">
        <v>0.0</v>
      </c>
      <c r="M358" s="524"/>
    </row>
    <row r="359" ht="15.75" customHeight="1">
      <c r="A359" s="521">
        <v>400.0</v>
      </c>
      <c r="B359" s="507" t="s">
        <v>508</v>
      </c>
      <c r="C359" s="507" t="s">
        <v>53</v>
      </c>
      <c r="D359" s="522" t="str">
        <f t="shared" si="1"/>
        <v>400Sênior</v>
      </c>
      <c r="E359" s="523">
        <v>0.0</v>
      </c>
      <c r="F359" s="523">
        <v>0.0</v>
      </c>
      <c r="G359" s="524">
        <v>0.0</v>
      </c>
      <c r="H359" s="524">
        <v>0.0</v>
      </c>
      <c r="I359" s="524">
        <v>0.0</v>
      </c>
      <c r="J359" s="524">
        <v>0.0</v>
      </c>
      <c r="K359" s="524">
        <v>0.0</v>
      </c>
      <c r="L359" s="524">
        <v>0.0</v>
      </c>
      <c r="M359" s="524"/>
    </row>
    <row r="360" ht="15.75" customHeight="1">
      <c r="A360" s="521">
        <v>400.0</v>
      </c>
      <c r="B360" s="507" t="s">
        <v>508</v>
      </c>
      <c r="C360" s="507" t="s">
        <v>476</v>
      </c>
      <c r="D360" s="522" t="str">
        <f t="shared" si="1"/>
        <v>400Master</v>
      </c>
      <c r="E360" s="523">
        <v>0.0</v>
      </c>
      <c r="F360" s="523">
        <v>0.0</v>
      </c>
      <c r="G360" s="524">
        <v>0.0</v>
      </c>
      <c r="H360" s="524">
        <v>0.0</v>
      </c>
      <c r="I360" s="524">
        <v>0.0</v>
      </c>
      <c r="J360" s="524">
        <v>0.0</v>
      </c>
      <c r="K360" s="524">
        <v>0.0</v>
      </c>
      <c r="L360" s="524">
        <v>0.0</v>
      </c>
      <c r="M360" s="524"/>
    </row>
    <row r="361" ht="15.75" customHeight="1">
      <c r="A361" s="521">
        <v>400.0</v>
      </c>
      <c r="B361" s="507" t="s">
        <v>508</v>
      </c>
      <c r="C361" s="507" t="s">
        <v>264</v>
      </c>
      <c r="D361" s="522" t="str">
        <f t="shared" si="1"/>
        <v>400Especialista</v>
      </c>
      <c r="E361" s="523">
        <v>0.0</v>
      </c>
      <c r="F361" s="523">
        <v>0.0</v>
      </c>
      <c r="G361" s="524">
        <v>0.0</v>
      </c>
      <c r="H361" s="524">
        <v>0.0</v>
      </c>
      <c r="I361" s="524">
        <v>0.0</v>
      </c>
      <c r="J361" s="524">
        <v>0.0</v>
      </c>
      <c r="K361" s="524">
        <v>0.0</v>
      </c>
      <c r="L361" s="524">
        <v>0.0</v>
      </c>
      <c r="M361" s="524"/>
    </row>
    <row r="362" ht="15.75" customHeight="1">
      <c r="A362" s="521">
        <v>212.0</v>
      </c>
      <c r="B362" s="507" t="s">
        <v>283</v>
      </c>
      <c r="C362" s="507" t="s">
        <v>212</v>
      </c>
      <c r="D362" s="522" t="str">
        <f t="shared" si="1"/>
        <v>212Indiferente</v>
      </c>
      <c r="E362" s="523">
        <v>5.0</v>
      </c>
      <c r="F362" s="523">
        <v>14.0</v>
      </c>
      <c r="G362" s="524">
        <v>10281.25</v>
      </c>
      <c r="H362" s="524">
        <v>12766.6</v>
      </c>
      <c r="I362" s="524">
        <v>14293.39</v>
      </c>
      <c r="J362" s="524">
        <v>15082.52</v>
      </c>
      <c r="K362" s="524">
        <v>16110.29</v>
      </c>
      <c r="L362" s="524">
        <v>16164.64</v>
      </c>
      <c r="M362" s="524"/>
    </row>
    <row r="363" ht="15.75" customHeight="1">
      <c r="A363" s="521">
        <v>212.0</v>
      </c>
      <c r="B363" s="507" t="s">
        <v>283</v>
      </c>
      <c r="C363" s="507" t="s">
        <v>60</v>
      </c>
      <c r="D363" s="522" t="str">
        <f t="shared" si="1"/>
        <v>212Júnior</v>
      </c>
      <c r="E363" s="523">
        <v>0.0</v>
      </c>
      <c r="F363" s="523">
        <v>0.0</v>
      </c>
      <c r="G363" s="524">
        <v>0.0</v>
      </c>
      <c r="H363" s="524">
        <v>0.0</v>
      </c>
      <c r="I363" s="524">
        <v>0.0</v>
      </c>
      <c r="J363" s="524">
        <v>0.0</v>
      </c>
      <c r="K363" s="524">
        <v>0.0</v>
      </c>
      <c r="L363" s="524">
        <v>0.0</v>
      </c>
      <c r="M363" s="524"/>
    </row>
    <row r="364" ht="15.75" customHeight="1">
      <c r="A364" s="521">
        <v>212.0</v>
      </c>
      <c r="B364" s="507" t="s">
        <v>283</v>
      </c>
      <c r="C364" s="507" t="s">
        <v>41</v>
      </c>
      <c r="D364" s="522" t="str">
        <f t="shared" si="1"/>
        <v>212Pleno</v>
      </c>
      <c r="E364" s="523">
        <v>0.0</v>
      </c>
      <c r="F364" s="523">
        <v>0.0</v>
      </c>
      <c r="G364" s="524">
        <v>0.0</v>
      </c>
      <c r="H364" s="524">
        <v>0.0</v>
      </c>
      <c r="I364" s="524">
        <v>0.0</v>
      </c>
      <c r="J364" s="524">
        <v>0.0</v>
      </c>
      <c r="K364" s="524">
        <v>0.0</v>
      </c>
      <c r="L364" s="524">
        <v>0.0</v>
      </c>
      <c r="M364" s="524"/>
    </row>
    <row r="365" ht="15.75" customHeight="1">
      <c r="A365" s="521">
        <v>212.0</v>
      </c>
      <c r="B365" s="507" t="s">
        <v>283</v>
      </c>
      <c r="C365" s="507" t="s">
        <v>53</v>
      </c>
      <c r="D365" s="522" t="str">
        <f t="shared" si="1"/>
        <v>212Sênior</v>
      </c>
      <c r="E365" s="523">
        <v>0.0</v>
      </c>
      <c r="F365" s="523">
        <v>0.0</v>
      </c>
      <c r="G365" s="524">
        <v>0.0</v>
      </c>
      <c r="H365" s="524">
        <v>0.0</v>
      </c>
      <c r="I365" s="524">
        <v>0.0</v>
      </c>
      <c r="J365" s="524">
        <v>0.0</v>
      </c>
      <c r="K365" s="524">
        <v>0.0</v>
      </c>
      <c r="L365" s="524">
        <v>0.0</v>
      </c>
      <c r="M365" s="524"/>
    </row>
    <row r="366" ht="15.75" customHeight="1">
      <c r="A366" s="521">
        <v>212.0</v>
      </c>
      <c r="B366" s="507" t="s">
        <v>283</v>
      </c>
      <c r="C366" s="507" t="s">
        <v>476</v>
      </c>
      <c r="D366" s="522" t="str">
        <f t="shared" si="1"/>
        <v>212Master</v>
      </c>
      <c r="E366" s="523">
        <v>0.0</v>
      </c>
      <c r="F366" s="523">
        <v>0.0</v>
      </c>
      <c r="G366" s="524">
        <v>0.0</v>
      </c>
      <c r="H366" s="524">
        <v>0.0</v>
      </c>
      <c r="I366" s="524">
        <v>0.0</v>
      </c>
      <c r="J366" s="524">
        <v>0.0</v>
      </c>
      <c r="K366" s="524">
        <v>0.0</v>
      </c>
      <c r="L366" s="524">
        <v>0.0</v>
      </c>
      <c r="M366" s="524"/>
    </row>
    <row r="367" ht="15.75" customHeight="1">
      <c r="A367" s="521">
        <v>212.0</v>
      </c>
      <c r="B367" s="507" t="s">
        <v>283</v>
      </c>
      <c r="C367" s="507" t="s">
        <v>264</v>
      </c>
      <c r="D367" s="522" t="str">
        <f t="shared" si="1"/>
        <v>212Especialista</v>
      </c>
      <c r="E367" s="523">
        <v>0.0</v>
      </c>
      <c r="F367" s="523">
        <v>0.0</v>
      </c>
      <c r="G367" s="524">
        <v>0.0</v>
      </c>
      <c r="H367" s="524">
        <v>0.0</v>
      </c>
      <c r="I367" s="524">
        <v>0.0</v>
      </c>
      <c r="J367" s="524">
        <v>0.0</v>
      </c>
      <c r="K367" s="524">
        <v>0.0</v>
      </c>
      <c r="L367" s="524">
        <v>0.0</v>
      </c>
      <c r="M367" s="524"/>
    </row>
    <row r="368" ht="15.75" customHeight="1">
      <c r="A368" s="521">
        <v>338.0</v>
      </c>
      <c r="B368" s="507" t="s">
        <v>286</v>
      </c>
      <c r="C368" s="507" t="s">
        <v>212</v>
      </c>
      <c r="D368" s="522" t="str">
        <f t="shared" si="1"/>
        <v>338Indiferente</v>
      </c>
      <c r="E368" s="523">
        <v>4.0</v>
      </c>
      <c r="F368" s="523">
        <v>4.0</v>
      </c>
      <c r="G368" s="524">
        <f>2285.84*(150/220)</f>
        <v>1558.527273</v>
      </c>
      <c r="H368" s="524">
        <f>2368.79*(150/220)</f>
        <v>1615.084091</v>
      </c>
      <c r="I368" s="524">
        <f>2571.57*(150/220)</f>
        <v>1753.343182</v>
      </c>
      <c r="J368" s="524">
        <f>2525.48*(150/220)</f>
        <v>1721.918182</v>
      </c>
      <c r="K368" s="524">
        <f>2728.26*(150/220)</f>
        <v>1860.177273</v>
      </c>
      <c r="L368" s="524">
        <f>2949.47*(150/220)</f>
        <v>2011.002273</v>
      </c>
      <c r="M368" s="524"/>
    </row>
    <row r="369" ht="15.75" customHeight="1">
      <c r="A369" s="521">
        <v>338.0</v>
      </c>
      <c r="B369" s="507" t="s">
        <v>286</v>
      </c>
      <c r="C369" s="507" t="s">
        <v>60</v>
      </c>
      <c r="D369" s="522" t="str">
        <f t="shared" si="1"/>
        <v>338Júnior</v>
      </c>
      <c r="E369" s="523">
        <v>0.0</v>
      </c>
      <c r="F369" s="523">
        <v>0.0</v>
      </c>
      <c r="G369" s="524">
        <v>0.0</v>
      </c>
      <c r="H369" s="524">
        <v>0.0</v>
      </c>
      <c r="I369" s="524">
        <v>0.0</v>
      </c>
      <c r="J369" s="524">
        <v>0.0</v>
      </c>
      <c r="K369" s="524">
        <v>0.0</v>
      </c>
      <c r="L369" s="524">
        <v>0.0</v>
      </c>
      <c r="M369" s="524"/>
    </row>
    <row r="370" ht="15.75" customHeight="1">
      <c r="A370" s="521">
        <v>338.0</v>
      </c>
      <c r="B370" s="507" t="s">
        <v>286</v>
      </c>
      <c r="C370" s="507" t="s">
        <v>41</v>
      </c>
      <c r="D370" s="522" t="str">
        <f t="shared" si="1"/>
        <v>338Pleno</v>
      </c>
      <c r="E370" s="523">
        <v>0.0</v>
      </c>
      <c r="F370" s="523">
        <v>0.0</v>
      </c>
      <c r="G370" s="524">
        <v>0.0</v>
      </c>
      <c r="H370" s="524">
        <v>0.0</v>
      </c>
      <c r="I370" s="524">
        <v>0.0</v>
      </c>
      <c r="J370" s="524">
        <v>0.0</v>
      </c>
      <c r="K370" s="524">
        <v>0.0</v>
      </c>
      <c r="L370" s="524">
        <v>0.0</v>
      </c>
      <c r="M370" s="524"/>
    </row>
    <row r="371" ht="15.75" customHeight="1">
      <c r="A371" s="521">
        <v>338.0</v>
      </c>
      <c r="B371" s="507" t="s">
        <v>286</v>
      </c>
      <c r="C371" s="507" t="s">
        <v>53</v>
      </c>
      <c r="D371" s="522" t="str">
        <f t="shared" si="1"/>
        <v>338Sênior</v>
      </c>
      <c r="E371" s="523">
        <v>0.0</v>
      </c>
      <c r="F371" s="523">
        <v>0.0</v>
      </c>
      <c r="G371" s="524">
        <v>0.0</v>
      </c>
      <c r="H371" s="524">
        <v>0.0</v>
      </c>
      <c r="I371" s="524">
        <v>0.0</v>
      </c>
      <c r="J371" s="524">
        <v>0.0</v>
      </c>
      <c r="K371" s="524">
        <v>0.0</v>
      </c>
      <c r="L371" s="524">
        <v>0.0</v>
      </c>
      <c r="M371" s="524"/>
    </row>
    <row r="372" ht="15.75" customHeight="1">
      <c r="A372" s="521">
        <v>338.0</v>
      </c>
      <c r="B372" s="507" t="s">
        <v>286</v>
      </c>
      <c r="C372" s="507" t="s">
        <v>476</v>
      </c>
      <c r="D372" s="522" t="str">
        <f t="shared" si="1"/>
        <v>338Master</v>
      </c>
      <c r="E372" s="523">
        <v>0.0</v>
      </c>
      <c r="F372" s="523">
        <v>0.0</v>
      </c>
      <c r="G372" s="524">
        <v>0.0</v>
      </c>
      <c r="H372" s="524">
        <v>0.0</v>
      </c>
      <c r="I372" s="524">
        <v>0.0</v>
      </c>
      <c r="J372" s="524">
        <v>0.0</v>
      </c>
      <c r="K372" s="524">
        <v>0.0</v>
      </c>
      <c r="L372" s="524">
        <v>0.0</v>
      </c>
      <c r="M372" s="524"/>
    </row>
    <row r="373" ht="15.75" customHeight="1">
      <c r="A373" s="521">
        <v>338.0</v>
      </c>
      <c r="B373" s="507" t="s">
        <v>286</v>
      </c>
      <c r="C373" s="507" t="s">
        <v>264</v>
      </c>
      <c r="D373" s="522" t="str">
        <f t="shared" si="1"/>
        <v>338Especialista</v>
      </c>
      <c r="E373" s="523">
        <v>0.0</v>
      </c>
      <c r="F373" s="523">
        <v>0.0</v>
      </c>
      <c r="G373" s="524">
        <v>0.0</v>
      </c>
      <c r="H373" s="524">
        <v>0.0</v>
      </c>
      <c r="I373" s="524">
        <v>0.0</v>
      </c>
      <c r="J373" s="524">
        <v>0.0</v>
      </c>
      <c r="K373" s="524">
        <v>0.0</v>
      </c>
      <c r="L373" s="524">
        <v>0.0</v>
      </c>
      <c r="M373" s="524"/>
    </row>
    <row r="374" ht="15.75" customHeight="1">
      <c r="A374" s="521">
        <v>1204.0</v>
      </c>
      <c r="B374" s="507" t="s">
        <v>289</v>
      </c>
      <c r="C374" s="507" t="s">
        <v>212</v>
      </c>
      <c r="D374" s="522" t="str">
        <f t="shared" si="1"/>
        <v>1204Indiferente</v>
      </c>
      <c r="E374" s="523">
        <v>1.0</v>
      </c>
      <c r="F374" s="523">
        <v>3.0</v>
      </c>
      <c r="G374" s="524">
        <v>0.0</v>
      </c>
      <c r="H374" s="524">
        <v>0.0</v>
      </c>
      <c r="I374" s="524">
        <v>0.0</v>
      </c>
      <c r="J374" s="524">
        <v>0.0</v>
      </c>
      <c r="K374" s="524">
        <v>0.0</v>
      </c>
      <c r="L374" s="524">
        <v>0.0</v>
      </c>
      <c r="M374" s="524"/>
    </row>
    <row r="375" ht="15.75" customHeight="1">
      <c r="A375" s="521">
        <v>1204.0</v>
      </c>
      <c r="B375" s="507" t="s">
        <v>289</v>
      </c>
      <c r="C375" s="507" t="s">
        <v>60</v>
      </c>
      <c r="D375" s="522" t="str">
        <f t="shared" si="1"/>
        <v>1204Júnior</v>
      </c>
      <c r="E375" s="523">
        <v>0.0</v>
      </c>
      <c r="F375" s="523">
        <v>0.0</v>
      </c>
      <c r="G375" s="524">
        <v>0.0</v>
      </c>
      <c r="H375" s="524">
        <v>0.0</v>
      </c>
      <c r="I375" s="524">
        <v>0.0</v>
      </c>
      <c r="J375" s="524">
        <v>0.0</v>
      </c>
      <c r="K375" s="524">
        <v>0.0</v>
      </c>
      <c r="L375" s="524">
        <v>0.0</v>
      </c>
      <c r="M375" s="524"/>
    </row>
    <row r="376" ht="15.75" customHeight="1">
      <c r="A376" s="521">
        <v>1204.0</v>
      </c>
      <c r="B376" s="507" t="s">
        <v>289</v>
      </c>
      <c r="C376" s="507" t="s">
        <v>41</v>
      </c>
      <c r="D376" s="522" t="str">
        <f t="shared" si="1"/>
        <v>1204Pleno</v>
      </c>
      <c r="E376" s="523">
        <v>0.0</v>
      </c>
      <c r="F376" s="523">
        <v>0.0</v>
      </c>
      <c r="G376" s="524">
        <v>0.0</v>
      </c>
      <c r="H376" s="524">
        <v>0.0</v>
      </c>
      <c r="I376" s="524">
        <v>0.0</v>
      </c>
      <c r="J376" s="524">
        <v>0.0</v>
      </c>
      <c r="K376" s="524">
        <v>0.0</v>
      </c>
      <c r="L376" s="524">
        <v>0.0</v>
      </c>
      <c r="M376" s="524"/>
    </row>
    <row r="377" ht="15.75" customHeight="1">
      <c r="A377" s="521">
        <v>1204.0</v>
      </c>
      <c r="B377" s="507" t="s">
        <v>289</v>
      </c>
      <c r="C377" s="507" t="s">
        <v>53</v>
      </c>
      <c r="D377" s="522" t="str">
        <f t="shared" si="1"/>
        <v>1204Sênior</v>
      </c>
      <c r="E377" s="523">
        <v>0.0</v>
      </c>
      <c r="F377" s="523">
        <v>0.0</v>
      </c>
      <c r="G377" s="524">
        <v>0.0</v>
      </c>
      <c r="H377" s="524">
        <v>0.0</v>
      </c>
      <c r="I377" s="524">
        <v>0.0</v>
      </c>
      <c r="J377" s="524">
        <v>0.0</v>
      </c>
      <c r="K377" s="524">
        <v>0.0</v>
      </c>
      <c r="L377" s="524">
        <v>0.0</v>
      </c>
      <c r="M377" s="524"/>
    </row>
    <row r="378" ht="15.75" customHeight="1">
      <c r="A378" s="521">
        <v>1204.0</v>
      </c>
      <c r="B378" s="507" t="s">
        <v>289</v>
      </c>
      <c r="C378" s="507" t="s">
        <v>476</v>
      </c>
      <c r="D378" s="522" t="str">
        <f t="shared" si="1"/>
        <v>1204Master</v>
      </c>
      <c r="E378" s="523">
        <v>0.0</v>
      </c>
      <c r="F378" s="523">
        <v>0.0</v>
      </c>
      <c r="G378" s="524">
        <v>0.0</v>
      </c>
      <c r="H378" s="524">
        <v>0.0</v>
      </c>
      <c r="I378" s="524">
        <v>0.0</v>
      </c>
      <c r="J378" s="524">
        <v>0.0</v>
      </c>
      <c r="K378" s="524">
        <v>0.0</v>
      </c>
      <c r="L378" s="524">
        <v>0.0</v>
      </c>
      <c r="M378" s="524"/>
    </row>
    <row r="379" ht="15.75" customHeight="1">
      <c r="A379" s="521">
        <v>1204.0</v>
      </c>
      <c r="B379" s="507" t="s">
        <v>289</v>
      </c>
      <c r="C379" s="507" t="s">
        <v>264</v>
      </c>
      <c r="D379" s="522" t="str">
        <f t="shared" si="1"/>
        <v>1204Especialista</v>
      </c>
      <c r="E379" s="523">
        <v>0.0</v>
      </c>
      <c r="F379" s="523">
        <v>0.0</v>
      </c>
      <c r="G379" s="524">
        <v>0.0</v>
      </c>
      <c r="H379" s="524">
        <v>0.0</v>
      </c>
      <c r="I379" s="524">
        <v>0.0</v>
      </c>
      <c r="J379" s="524">
        <v>0.0</v>
      </c>
      <c r="K379" s="524">
        <v>0.0</v>
      </c>
      <c r="L379" s="524">
        <v>0.0</v>
      </c>
      <c r="M379" s="524"/>
    </row>
    <row r="380" ht="15.75" customHeight="1">
      <c r="A380" s="521">
        <v>105.0</v>
      </c>
      <c r="B380" s="507" t="s">
        <v>509</v>
      </c>
      <c r="C380" s="507" t="s">
        <v>212</v>
      </c>
      <c r="D380" s="522" t="str">
        <f t="shared" si="1"/>
        <v>105Indiferente</v>
      </c>
      <c r="E380" s="523">
        <v>0.0</v>
      </c>
      <c r="F380" s="523">
        <v>0.0</v>
      </c>
      <c r="G380" s="524">
        <v>0.0</v>
      </c>
      <c r="H380" s="524">
        <v>0.0</v>
      </c>
      <c r="I380" s="524">
        <v>0.0</v>
      </c>
      <c r="J380" s="524">
        <v>0.0</v>
      </c>
      <c r="K380" s="524">
        <v>0.0</v>
      </c>
      <c r="L380" s="524">
        <v>0.0</v>
      </c>
      <c r="M380" s="524"/>
    </row>
    <row r="381" ht="15.75" customHeight="1">
      <c r="A381" s="521">
        <v>105.0</v>
      </c>
      <c r="B381" s="507" t="s">
        <v>509</v>
      </c>
      <c r="C381" s="507" t="s">
        <v>60</v>
      </c>
      <c r="D381" s="522" t="str">
        <f t="shared" si="1"/>
        <v>105Júnior</v>
      </c>
      <c r="E381" s="523">
        <v>0.0</v>
      </c>
      <c r="F381" s="523">
        <v>0.0</v>
      </c>
      <c r="G381" s="524">
        <v>0.0</v>
      </c>
      <c r="H381" s="524">
        <v>0.0</v>
      </c>
      <c r="I381" s="524">
        <v>0.0</v>
      </c>
      <c r="J381" s="524">
        <v>0.0</v>
      </c>
      <c r="K381" s="524">
        <v>0.0</v>
      </c>
      <c r="L381" s="524">
        <v>0.0</v>
      </c>
      <c r="M381" s="524"/>
    </row>
    <row r="382" ht="15.75" customHeight="1">
      <c r="A382" s="521">
        <v>105.0</v>
      </c>
      <c r="B382" s="507" t="s">
        <v>509</v>
      </c>
      <c r="C382" s="507" t="s">
        <v>41</v>
      </c>
      <c r="D382" s="522" t="str">
        <f t="shared" si="1"/>
        <v>105Pleno</v>
      </c>
      <c r="E382" s="523">
        <v>0.0</v>
      </c>
      <c r="F382" s="523">
        <v>0.0</v>
      </c>
      <c r="G382" s="524">
        <v>0.0</v>
      </c>
      <c r="H382" s="524">
        <v>0.0</v>
      </c>
      <c r="I382" s="524">
        <v>0.0</v>
      </c>
      <c r="J382" s="524">
        <v>0.0</v>
      </c>
      <c r="K382" s="524">
        <v>0.0</v>
      </c>
      <c r="L382" s="524">
        <v>0.0</v>
      </c>
      <c r="M382" s="524"/>
    </row>
    <row r="383" ht="15.75" customHeight="1">
      <c r="A383" s="521">
        <v>105.0</v>
      </c>
      <c r="B383" s="507" t="s">
        <v>509</v>
      </c>
      <c r="C383" s="507" t="s">
        <v>53</v>
      </c>
      <c r="D383" s="522" t="str">
        <f t="shared" si="1"/>
        <v>105Sênior</v>
      </c>
      <c r="E383" s="523">
        <v>0.0</v>
      </c>
      <c r="F383" s="523">
        <v>0.0</v>
      </c>
      <c r="G383" s="524">
        <v>0.0</v>
      </c>
      <c r="H383" s="524">
        <v>0.0</v>
      </c>
      <c r="I383" s="524">
        <v>0.0</v>
      </c>
      <c r="J383" s="524">
        <v>0.0</v>
      </c>
      <c r="K383" s="524">
        <v>0.0</v>
      </c>
      <c r="L383" s="524">
        <v>0.0</v>
      </c>
      <c r="M383" s="524"/>
    </row>
    <row r="384" ht="15.75" customHeight="1">
      <c r="A384" s="521">
        <v>105.0</v>
      </c>
      <c r="B384" s="507" t="s">
        <v>509</v>
      </c>
      <c r="C384" s="507" t="s">
        <v>476</v>
      </c>
      <c r="D384" s="522" t="str">
        <f t="shared" si="1"/>
        <v>105Master</v>
      </c>
      <c r="E384" s="523">
        <v>0.0</v>
      </c>
      <c r="F384" s="523">
        <v>0.0</v>
      </c>
      <c r="G384" s="524">
        <v>0.0</v>
      </c>
      <c r="H384" s="524">
        <v>0.0</v>
      </c>
      <c r="I384" s="524">
        <v>0.0</v>
      </c>
      <c r="J384" s="524">
        <v>0.0</v>
      </c>
      <c r="K384" s="524">
        <v>0.0</v>
      </c>
      <c r="L384" s="524">
        <v>0.0</v>
      </c>
      <c r="M384" s="524"/>
    </row>
    <row r="385" ht="15.75" customHeight="1">
      <c r="A385" s="521">
        <v>105.0</v>
      </c>
      <c r="B385" s="507" t="s">
        <v>509</v>
      </c>
      <c r="C385" s="507" t="s">
        <v>264</v>
      </c>
      <c r="D385" s="522" t="str">
        <f t="shared" si="1"/>
        <v>105Especialista</v>
      </c>
      <c r="E385" s="523">
        <v>0.0</v>
      </c>
      <c r="F385" s="523">
        <v>0.0</v>
      </c>
      <c r="G385" s="524">
        <v>0.0</v>
      </c>
      <c r="H385" s="524">
        <v>0.0</v>
      </c>
      <c r="I385" s="524">
        <v>0.0</v>
      </c>
      <c r="J385" s="524">
        <v>0.0</v>
      </c>
      <c r="K385" s="524">
        <v>0.0</v>
      </c>
      <c r="L385" s="524">
        <v>0.0</v>
      </c>
      <c r="M385" s="524"/>
    </row>
    <row r="386" ht="15.75" customHeight="1">
      <c r="A386" s="521">
        <v>106.0</v>
      </c>
      <c r="B386" s="507" t="s">
        <v>292</v>
      </c>
      <c r="C386" s="507" t="s">
        <v>212</v>
      </c>
      <c r="D386" s="522" t="str">
        <f t="shared" si="1"/>
        <v>106Indiferente</v>
      </c>
      <c r="E386" s="521">
        <v>38.0</v>
      </c>
      <c r="F386" s="521">
        <v>75.0</v>
      </c>
      <c r="G386" s="525">
        <v>5281.61</v>
      </c>
      <c r="H386" s="525">
        <v>6616.13</v>
      </c>
      <c r="I386" s="525">
        <v>9881.52</v>
      </c>
      <c r="J386" s="525">
        <v>10052.23</v>
      </c>
      <c r="K386" s="525">
        <v>12479.94</v>
      </c>
      <c r="L386" s="525">
        <v>15257.82</v>
      </c>
      <c r="M386" s="524"/>
    </row>
    <row r="387" ht="15.75" customHeight="1">
      <c r="A387" s="521">
        <v>106.0</v>
      </c>
      <c r="B387" s="507" t="s">
        <v>292</v>
      </c>
      <c r="C387" s="507" t="s">
        <v>60</v>
      </c>
      <c r="D387" s="522" t="str">
        <f t="shared" si="1"/>
        <v>106Júnior</v>
      </c>
      <c r="E387" s="521">
        <v>1.0</v>
      </c>
      <c r="F387" s="521">
        <v>1.0</v>
      </c>
      <c r="G387" s="525">
        <v>3425.58</v>
      </c>
      <c r="H387" s="525">
        <v>3425.58</v>
      </c>
      <c r="I387" s="525">
        <v>3425.58</v>
      </c>
      <c r="J387" s="525">
        <v>3425.58</v>
      </c>
      <c r="K387" s="525">
        <v>3425.58</v>
      </c>
      <c r="L387" s="525">
        <v>3425.58</v>
      </c>
      <c r="M387" s="524"/>
    </row>
    <row r="388" ht="15.75" customHeight="1">
      <c r="A388" s="521">
        <v>106.0</v>
      </c>
      <c r="B388" s="507" t="s">
        <v>292</v>
      </c>
      <c r="C388" s="507" t="s">
        <v>41</v>
      </c>
      <c r="D388" s="522" t="str">
        <f t="shared" si="1"/>
        <v>106Pleno</v>
      </c>
      <c r="E388" s="521">
        <v>4.0</v>
      </c>
      <c r="F388" s="521">
        <v>4.0</v>
      </c>
      <c r="G388" s="525">
        <v>3587.54</v>
      </c>
      <c r="H388" s="525">
        <v>3695.18</v>
      </c>
      <c r="I388" s="525">
        <v>4082.82</v>
      </c>
      <c r="J388" s="525">
        <v>3731.07</v>
      </c>
      <c r="K388" s="525">
        <v>4118.7</v>
      </c>
      <c r="L388" s="525">
        <v>5281.61</v>
      </c>
      <c r="M388" s="524"/>
    </row>
    <row r="389" ht="15.75" customHeight="1">
      <c r="A389" s="521">
        <v>106.0</v>
      </c>
      <c r="B389" s="507" t="s">
        <v>292</v>
      </c>
      <c r="C389" s="507" t="s">
        <v>53</v>
      </c>
      <c r="D389" s="522" t="str">
        <f t="shared" si="1"/>
        <v>106Sênior</v>
      </c>
      <c r="E389" s="521">
        <v>4.0</v>
      </c>
      <c r="F389" s="521">
        <v>4.0</v>
      </c>
      <c r="G389" s="525">
        <v>5595.06</v>
      </c>
      <c r="H389" s="525">
        <v>6152.22</v>
      </c>
      <c r="I389" s="525">
        <v>7763.88</v>
      </c>
      <c r="J389" s="525">
        <v>7704.11</v>
      </c>
      <c r="K389" s="525">
        <v>9315.77</v>
      </c>
      <c r="L389" s="525">
        <v>10052.23</v>
      </c>
      <c r="M389" s="524"/>
    </row>
    <row r="390" ht="15.75" customHeight="1">
      <c r="A390" s="521">
        <v>106.0</v>
      </c>
      <c r="B390" s="507" t="s">
        <v>292</v>
      </c>
      <c r="C390" s="507" t="s">
        <v>476</v>
      </c>
      <c r="D390" s="522" t="str">
        <f t="shared" si="1"/>
        <v>106Master</v>
      </c>
      <c r="E390" s="521">
        <v>1.0</v>
      </c>
      <c r="F390" s="521">
        <v>1.0</v>
      </c>
      <c r="G390" s="525">
        <v>14315.67</v>
      </c>
      <c r="H390" s="525">
        <v>14315.67</v>
      </c>
      <c r="I390" s="525">
        <v>14315.67</v>
      </c>
      <c r="J390" s="525">
        <v>14315.67</v>
      </c>
      <c r="K390" s="525">
        <v>14315.67</v>
      </c>
      <c r="L390" s="525">
        <v>14315.67</v>
      </c>
      <c r="M390" s="524"/>
    </row>
    <row r="391" ht="15.75" customHeight="1">
      <c r="A391" s="521">
        <v>106.0</v>
      </c>
      <c r="B391" s="507" t="s">
        <v>292</v>
      </c>
      <c r="C391" s="507" t="s">
        <v>264</v>
      </c>
      <c r="D391" s="522" t="str">
        <f t="shared" si="1"/>
        <v>106Especialista</v>
      </c>
      <c r="E391" s="521">
        <v>0.0</v>
      </c>
      <c r="F391" s="521">
        <v>0.0</v>
      </c>
      <c r="G391" s="525">
        <v>0.0</v>
      </c>
      <c r="H391" s="525">
        <v>0.0</v>
      </c>
      <c r="I391" s="525">
        <v>0.0</v>
      </c>
      <c r="J391" s="525">
        <v>0.0</v>
      </c>
      <c r="K391" s="525">
        <v>0.0</v>
      </c>
      <c r="L391" s="525">
        <v>0.0</v>
      </c>
      <c r="M391" s="524"/>
    </row>
    <row r="392" ht="15.75" customHeight="1">
      <c r="A392" s="521">
        <v>107.0</v>
      </c>
      <c r="B392" s="507" t="s">
        <v>294</v>
      </c>
      <c r="C392" s="507" t="s">
        <v>212</v>
      </c>
      <c r="D392" s="522" t="str">
        <f t="shared" si="1"/>
        <v>107Indiferente</v>
      </c>
      <c r="E392" s="523">
        <v>54.0</v>
      </c>
      <c r="F392" s="523">
        <v>91.0</v>
      </c>
      <c r="G392" s="524">
        <v>5570.67</v>
      </c>
      <c r="H392" s="524">
        <v>9778.91</v>
      </c>
      <c r="I392" s="524">
        <v>12281.04</v>
      </c>
      <c r="J392" s="524">
        <v>12107.57</v>
      </c>
      <c r="K392" s="524">
        <v>15321.87</v>
      </c>
      <c r="L392" s="524">
        <v>19289.48</v>
      </c>
      <c r="M392" s="524"/>
    </row>
    <row r="393" ht="15.75" customHeight="1">
      <c r="A393" s="521">
        <v>107.0</v>
      </c>
      <c r="B393" s="507" t="s">
        <v>294</v>
      </c>
      <c r="C393" s="507" t="s">
        <v>60</v>
      </c>
      <c r="D393" s="522" t="str">
        <f t="shared" si="1"/>
        <v>107Júnior</v>
      </c>
      <c r="E393" s="523">
        <v>4.0</v>
      </c>
      <c r="F393" s="523">
        <v>12.0</v>
      </c>
      <c r="G393" s="524">
        <v>4367.85</v>
      </c>
      <c r="H393" s="524">
        <v>4367.85</v>
      </c>
      <c r="I393" s="524">
        <v>7160.96</v>
      </c>
      <c r="J393" s="524">
        <v>5423.31</v>
      </c>
      <c r="K393" s="524">
        <v>10530.6</v>
      </c>
      <c r="L393" s="524">
        <v>13022.01</v>
      </c>
      <c r="M393" s="524"/>
    </row>
    <row r="394" ht="15.75" customHeight="1">
      <c r="A394" s="521">
        <v>107.0</v>
      </c>
      <c r="B394" s="507" t="s">
        <v>294</v>
      </c>
      <c r="C394" s="507" t="s">
        <v>41</v>
      </c>
      <c r="D394" s="522" t="str">
        <f t="shared" si="1"/>
        <v>107Pleno</v>
      </c>
      <c r="E394" s="523">
        <v>6.0</v>
      </c>
      <c r="F394" s="523">
        <v>10.0</v>
      </c>
      <c r="G394" s="524">
        <v>7540.03</v>
      </c>
      <c r="H394" s="524">
        <v>9742.46</v>
      </c>
      <c r="I394" s="524">
        <v>10294.07</v>
      </c>
      <c r="J394" s="524">
        <v>11017.54</v>
      </c>
      <c r="K394" s="524">
        <v>11017.54</v>
      </c>
      <c r="L394" s="524">
        <v>11574.7</v>
      </c>
      <c r="M394" s="524"/>
    </row>
    <row r="395" ht="15.75" customHeight="1">
      <c r="A395" s="521">
        <v>107.0</v>
      </c>
      <c r="B395" s="507" t="s">
        <v>294</v>
      </c>
      <c r="C395" s="507" t="s">
        <v>53</v>
      </c>
      <c r="D395" s="522" t="str">
        <f t="shared" si="1"/>
        <v>107Sênior</v>
      </c>
      <c r="E395" s="523">
        <v>4.0</v>
      </c>
      <c r="F395" s="523">
        <v>5.0</v>
      </c>
      <c r="G395" s="524">
        <v>11652.29</v>
      </c>
      <c r="H395" s="524">
        <v>12107.57</v>
      </c>
      <c r="I395" s="524">
        <v>14199.45</v>
      </c>
      <c r="J395" s="524">
        <v>14067.05</v>
      </c>
      <c r="K395" s="524">
        <v>15320.02</v>
      </c>
      <c r="L395" s="524">
        <v>17850.33</v>
      </c>
      <c r="M395" s="524"/>
    </row>
    <row r="396" ht="15.75" customHeight="1">
      <c r="A396" s="521">
        <v>107.0</v>
      </c>
      <c r="B396" s="507" t="s">
        <v>294</v>
      </c>
      <c r="C396" s="507" t="s">
        <v>476</v>
      </c>
      <c r="D396" s="522" t="str">
        <f t="shared" si="1"/>
        <v>107Master</v>
      </c>
      <c r="E396" s="523">
        <v>0.0</v>
      </c>
      <c r="F396" s="523">
        <v>0.0</v>
      </c>
      <c r="G396" s="524">
        <v>0.0</v>
      </c>
      <c r="H396" s="524">
        <v>0.0</v>
      </c>
      <c r="I396" s="524">
        <v>0.0</v>
      </c>
      <c r="J396" s="524">
        <v>0.0</v>
      </c>
      <c r="K396" s="524">
        <v>0.0</v>
      </c>
      <c r="L396" s="524">
        <v>0.0</v>
      </c>
      <c r="M396" s="524"/>
    </row>
    <row r="397" ht="15.75" customHeight="1">
      <c r="A397" s="521">
        <v>107.0</v>
      </c>
      <c r="B397" s="507" t="s">
        <v>294</v>
      </c>
      <c r="C397" s="507" t="s">
        <v>264</v>
      </c>
      <c r="D397" s="522" t="str">
        <f t="shared" si="1"/>
        <v>107Especialista</v>
      </c>
      <c r="E397" s="523">
        <v>0.0</v>
      </c>
      <c r="F397" s="523">
        <v>0.0</v>
      </c>
      <c r="G397" s="524">
        <v>0.0</v>
      </c>
      <c r="H397" s="524">
        <v>0.0</v>
      </c>
      <c r="I397" s="524">
        <v>0.0</v>
      </c>
      <c r="J397" s="524">
        <v>0.0</v>
      </c>
      <c r="K397" s="524">
        <v>0.0</v>
      </c>
      <c r="L397" s="524">
        <v>0.0</v>
      </c>
      <c r="M397" s="524"/>
    </row>
    <row r="398" ht="15.75" customHeight="1">
      <c r="A398" s="521">
        <v>109.0</v>
      </c>
      <c r="B398" s="507" t="s">
        <v>510</v>
      </c>
      <c r="C398" s="507" t="s">
        <v>212</v>
      </c>
      <c r="D398" s="522" t="str">
        <f t="shared" si="1"/>
        <v>109Indiferente</v>
      </c>
      <c r="E398" s="523">
        <v>15.0</v>
      </c>
      <c r="F398" s="523">
        <v>19.0</v>
      </c>
      <c r="G398" s="524">
        <v>7312.91</v>
      </c>
      <c r="H398" s="524">
        <v>9014.22</v>
      </c>
      <c r="I398" s="524">
        <v>12150.6</v>
      </c>
      <c r="J398" s="524">
        <v>10689.35</v>
      </c>
      <c r="K398" s="524">
        <v>14947.59</v>
      </c>
      <c r="L398" s="524">
        <v>18385.47</v>
      </c>
      <c r="M398" s="524"/>
    </row>
    <row r="399" ht="15.75" customHeight="1">
      <c r="A399" s="521">
        <v>109.0</v>
      </c>
      <c r="B399" s="507" t="s">
        <v>510</v>
      </c>
      <c r="C399" s="507" t="s">
        <v>60</v>
      </c>
      <c r="D399" s="522" t="str">
        <f t="shared" si="1"/>
        <v>109Júnior</v>
      </c>
      <c r="E399" s="523">
        <v>0.0</v>
      </c>
      <c r="F399" s="523">
        <v>0.0</v>
      </c>
      <c r="G399" s="524">
        <v>0.0</v>
      </c>
      <c r="H399" s="524">
        <v>0.0</v>
      </c>
      <c r="I399" s="524">
        <v>0.0</v>
      </c>
      <c r="J399" s="524">
        <v>0.0</v>
      </c>
      <c r="K399" s="524">
        <v>0.0</v>
      </c>
      <c r="L399" s="524">
        <v>0.0</v>
      </c>
      <c r="M399" s="524"/>
    </row>
    <row r="400" ht="15.75" customHeight="1">
      <c r="A400" s="521">
        <v>109.0</v>
      </c>
      <c r="B400" s="507" t="s">
        <v>510</v>
      </c>
      <c r="C400" s="507" t="s">
        <v>41</v>
      </c>
      <c r="D400" s="522" t="str">
        <f t="shared" si="1"/>
        <v>109Pleno</v>
      </c>
      <c r="E400" s="523">
        <v>0.0</v>
      </c>
      <c r="F400" s="523">
        <v>0.0</v>
      </c>
      <c r="G400" s="524">
        <v>0.0</v>
      </c>
      <c r="H400" s="524">
        <v>0.0</v>
      </c>
      <c r="I400" s="524">
        <v>0.0</v>
      </c>
      <c r="J400" s="524">
        <v>0.0</v>
      </c>
      <c r="K400" s="524">
        <v>0.0</v>
      </c>
      <c r="L400" s="524">
        <v>0.0</v>
      </c>
      <c r="M400" s="524"/>
    </row>
    <row r="401" ht="15.75" customHeight="1">
      <c r="A401" s="521">
        <v>109.0</v>
      </c>
      <c r="B401" s="507" t="s">
        <v>510</v>
      </c>
      <c r="C401" s="507" t="s">
        <v>53</v>
      </c>
      <c r="D401" s="522" t="str">
        <f t="shared" si="1"/>
        <v>109Sênior</v>
      </c>
      <c r="E401" s="523">
        <v>1.0</v>
      </c>
      <c r="F401" s="523">
        <v>1.0</v>
      </c>
      <c r="G401" s="524">
        <v>9904.08</v>
      </c>
      <c r="H401" s="524">
        <v>9904.08</v>
      </c>
      <c r="I401" s="524">
        <v>9904.08</v>
      </c>
      <c r="J401" s="524">
        <v>9904.08</v>
      </c>
      <c r="K401" s="524">
        <v>9904.08</v>
      </c>
      <c r="L401" s="524">
        <v>9904.08</v>
      </c>
      <c r="M401" s="524"/>
    </row>
    <row r="402" ht="15.75" customHeight="1">
      <c r="A402" s="521">
        <v>109.0</v>
      </c>
      <c r="B402" s="507" t="s">
        <v>510</v>
      </c>
      <c r="C402" s="507" t="s">
        <v>476</v>
      </c>
      <c r="D402" s="522" t="str">
        <f t="shared" si="1"/>
        <v>109Master</v>
      </c>
      <c r="E402" s="523">
        <v>0.0</v>
      </c>
      <c r="F402" s="523">
        <v>0.0</v>
      </c>
      <c r="G402" s="524">
        <v>0.0</v>
      </c>
      <c r="H402" s="524">
        <v>0.0</v>
      </c>
      <c r="I402" s="524">
        <v>0.0</v>
      </c>
      <c r="J402" s="524">
        <v>0.0</v>
      </c>
      <c r="K402" s="524">
        <v>0.0</v>
      </c>
      <c r="L402" s="524">
        <v>0.0</v>
      </c>
      <c r="M402" s="524"/>
    </row>
    <row r="403" ht="15.75" customHeight="1">
      <c r="A403" s="521">
        <v>109.0</v>
      </c>
      <c r="B403" s="507" t="s">
        <v>510</v>
      </c>
      <c r="C403" s="507" t="s">
        <v>264</v>
      </c>
      <c r="D403" s="522" t="str">
        <f t="shared" si="1"/>
        <v>109Especialista</v>
      </c>
      <c r="E403" s="523">
        <v>1.0</v>
      </c>
      <c r="F403" s="523">
        <v>1.0</v>
      </c>
      <c r="G403" s="524">
        <v>5809.77</v>
      </c>
      <c r="H403" s="524">
        <v>5809.77</v>
      </c>
      <c r="I403" s="524">
        <v>5809.77</v>
      </c>
      <c r="J403" s="524">
        <v>5809.77</v>
      </c>
      <c r="K403" s="524">
        <v>5809.77</v>
      </c>
      <c r="L403" s="524">
        <v>5809.77</v>
      </c>
      <c r="M403" s="524"/>
    </row>
    <row r="404" ht="15.75" customHeight="1">
      <c r="A404" s="521">
        <v>111.0</v>
      </c>
      <c r="B404" s="507" t="s">
        <v>511</v>
      </c>
      <c r="C404" s="507" t="s">
        <v>212</v>
      </c>
      <c r="D404" s="522" t="str">
        <f t="shared" si="1"/>
        <v>111Indiferente</v>
      </c>
      <c r="E404" s="523">
        <v>6.0</v>
      </c>
      <c r="F404" s="523">
        <v>6.0</v>
      </c>
      <c r="G404" s="524">
        <v>12194.5</v>
      </c>
      <c r="H404" s="524">
        <v>13818.55</v>
      </c>
      <c r="I404" s="524">
        <v>15531.13</v>
      </c>
      <c r="J404" s="524">
        <v>15327.77</v>
      </c>
      <c r="K404" s="524">
        <v>17377.81</v>
      </c>
      <c r="L404" s="524">
        <v>18960.09</v>
      </c>
      <c r="M404" s="524"/>
    </row>
    <row r="405" ht="15.75" customHeight="1">
      <c r="A405" s="521">
        <v>111.0</v>
      </c>
      <c r="B405" s="507" t="s">
        <v>511</v>
      </c>
      <c r="C405" s="507" t="s">
        <v>60</v>
      </c>
      <c r="D405" s="522" t="str">
        <f t="shared" si="1"/>
        <v>111Júnior</v>
      </c>
      <c r="E405" s="523">
        <v>0.0</v>
      </c>
      <c r="F405" s="523">
        <v>0.0</v>
      </c>
      <c r="G405" s="524">
        <v>0.0</v>
      </c>
      <c r="H405" s="524">
        <v>0.0</v>
      </c>
      <c r="I405" s="524">
        <v>0.0</v>
      </c>
      <c r="J405" s="524">
        <v>0.0</v>
      </c>
      <c r="K405" s="524">
        <v>0.0</v>
      </c>
      <c r="L405" s="524">
        <v>0.0</v>
      </c>
      <c r="M405" s="524"/>
    </row>
    <row r="406" ht="15.75" customHeight="1">
      <c r="A406" s="521">
        <v>111.0</v>
      </c>
      <c r="B406" s="507" t="s">
        <v>511</v>
      </c>
      <c r="C406" s="507" t="s">
        <v>41</v>
      </c>
      <c r="D406" s="522" t="str">
        <f t="shared" si="1"/>
        <v>111Pleno</v>
      </c>
      <c r="E406" s="523">
        <v>2.0</v>
      </c>
      <c r="F406" s="523">
        <v>2.0</v>
      </c>
      <c r="G406" s="524">
        <v>6664.21</v>
      </c>
      <c r="H406" s="524">
        <v>12070.97</v>
      </c>
      <c r="I406" s="524">
        <v>17477.72</v>
      </c>
      <c r="J406" s="524">
        <v>17477.72</v>
      </c>
      <c r="K406" s="524">
        <v>22884.48</v>
      </c>
      <c r="L406" s="524">
        <v>28291.24</v>
      </c>
      <c r="M406" s="524"/>
    </row>
    <row r="407" ht="15.75" customHeight="1">
      <c r="A407" s="521">
        <v>111.0</v>
      </c>
      <c r="B407" s="507" t="s">
        <v>511</v>
      </c>
      <c r="C407" s="507" t="s">
        <v>53</v>
      </c>
      <c r="D407" s="522" t="str">
        <f t="shared" si="1"/>
        <v>111Sênior</v>
      </c>
      <c r="E407" s="523">
        <v>1.0</v>
      </c>
      <c r="F407" s="523">
        <v>1.0</v>
      </c>
      <c r="G407" s="524">
        <v>14437.82</v>
      </c>
      <c r="H407" s="524">
        <v>14437.82</v>
      </c>
      <c r="I407" s="524">
        <v>14437.82</v>
      </c>
      <c r="J407" s="524">
        <v>14437.82</v>
      </c>
      <c r="K407" s="524">
        <v>14437.82</v>
      </c>
      <c r="L407" s="524">
        <v>14437.82</v>
      </c>
      <c r="M407" s="524"/>
    </row>
    <row r="408" ht="15.75" customHeight="1">
      <c r="A408" s="521">
        <v>111.0</v>
      </c>
      <c r="B408" s="507" t="s">
        <v>511</v>
      </c>
      <c r="C408" s="507" t="s">
        <v>476</v>
      </c>
      <c r="D408" s="522" t="str">
        <f t="shared" si="1"/>
        <v>111Master</v>
      </c>
      <c r="E408" s="523">
        <v>0.0</v>
      </c>
      <c r="F408" s="523">
        <v>0.0</v>
      </c>
      <c r="G408" s="524">
        <v>0.0</v>
      </c>
      <c r="H408" s="524">
        <v>0.0</v>
      </c>
      <c r="I408" s="524">
        <v>0.0</v>
      </c>
      <c r="J408" s="524">
        <v>0.0</v>
      </c>
      <c r="K408" s="524">
        <v>0.0</v>
      </c>
      <c r="L408" s="524">
        <v>0.0</v>
      </c>
      <c r="M408" s="524"/>
    </row>
    <row r="409" ht="15.75" customHeight="1">
      <c r="A409" s="521">
        <v>111.0</v>
      </c>
      <c r="B409" s="507" t="s">
        <v>511</v>
      </c>
      <c r="C409" s="507" t="s">
        <v>264</v>
      </c>
      <c r="D409" s="522" t="str">
        <f t="shared" si="1"/>
        <v>111Especialista</v>
      </c>
      <c r="E409" s="523">
        <v>0.0</v>
      </c>
      <c r="F409" s="523">
        <v>0.0</v>
      </c>
      <c r="G409" s="524">
        <v>0.0</v>
      </c>
      <c r="H409" s="524">
        <v>0.0</v>
      </c>
      <c r="I409" s="524">
        <v>0.0</v>
      </c>
      <c r="J409" s="524">
        <v>0.0</v>
      </c>
      <c r="K409" s="524">
        <v>0.0</v>
      </c>
      <c r="L409" s="524">
        <v>0.0</v>
      </c>
      <c r="M409" s="524"/>
    </row>
    <row r="410" ht="15.75" customHeight="1">
      <c r="A410" s="521">
        <v>213.0</v>
      </c>
      <c r="B410" s="507" t="s">
        <v>512</v>
      </c>
      <c r="C410" s="507" t="s">
        <v>212</v>
      </c>
      <c r="D410" s="522" t="str">
        <f t="shared" si="1"/>
        <v>213Indiferente</v>
      </c>
      <c r="E410" s="523">
        <v>2.0</v>
      </c>
      <c r="F410" s="523">
        <v>2.0</v>
      </c>
      <c r="G410" s="524">
        <v>0.0</v>
      </c>
      <c r="H410" s="524">
        <v>0.0</v>
      </c>
      <c r="I410" s="524">
        <v>0.0</v>
      </c>
      <c r="J410" s="524">
        <v>0.0</v>
      </c>
      <c r="K410" s="524">
        <v>0.0</v>
      </c>
      <c r="L410" s="524">
        <v>0.0</v>
      </c>
      <c r="M410" s="524"/>
    </row>
    <row r="411" ht="15.75" customHeight="1">
      <c r="A411" s="521">
        <v>213.0</v>
      </c>
      <c r="B411" s="507" t="s">
        <v>512</v>
      </c>
      <c r="C411" s="507" t="s">
        <v>60</v>
      </c>
      <c r="D411" s="522" t="str">
        <f t="shared" si="1"/>
        <v>213Júnior</v>
      </c>
      <c r="E411" s="523">
        <v>0.0</v>
      </c>
      <c r="F411" s="523">
        <v>0.0</v>
      </c>
      <c r="G411" s="524">
        <v>0.0</v>
      </c>
      <c r="H411" s="524">
        <v>0.0</v>
      </c>
      <c r="I411" s="524">
        <v>0.0</v>
      </c>
      <c r="J411" s="524">
        <v>0.0</v>
      </c>
      <c r="K411" s="524">
        <v>0.0</v>
      </c>
      <c r="L411" s="524">
        <v>0.0</v>
      </c>
      <c r="M411" s="524"/>
    </row>
    <row r="412" ht="15.75" customHeight="1">
      <c r="A412" s="521">
        <v>213.0</v>
      </c>
      <c r="B412" s="507" t="s">
        <v>512</v>
      </c>
      <c r="C412" s="507" t="s">
        <v>41</v>
      </c>
      <c r="D412" s="522" t="str">
        <f t="shared" si="1"/>
        <v>213Pleno</v>
      </c>
      <c r="E412" s="523">
        <v>0.0</v>
      </c>
      <c r="F412" s="523">
        <v>0.0</v>
      </c>
      <c r="G412" s="524">
        <v>0.0</v>
      </c>
      <c r="H412" s="524">
        <v>0.0</v>
      </c>
      <c r="I412" s="524">
        <v>0.0</v>
      </c>
      <c r="J412" s="524">
        <v>0.0</v>
      </c>
      <c r="K412" s="524">
        <v>0.0</v>
      </c>
      <c r="L412" s="524">
        <v>0.0</v>
      </c>
      <c r="M412" s="524"/>
    </row>
    <row r="413" ht="15.75" customHeight="1">
      <c r="A413" s="521">
        <v>213.0</v>
      </c>
      <c r="B413" s="507" t="s">
        <v>512</v>
      </c>
      <c r="C413" s="507" t="s">
        <v>53</v>
      </c>
      <c r="D413" s="522" t="str">
        <f t="shared" si="1"/>
        <v>213Sênior</v>
      </c>
      <c r="E413" s="523">
        <v>1.0</v>
      </c>
      <c r="F413" s="523">
        <v>1.0</v>
      </c>
      <c r="G413" s="524">
        <v>0.0</v>
      </c>
      <c r="H413" s="524">
        <v>0.0</v>
      </c>
      <c r="I413" s="524">
        <v>0.0</v>
      </c>
      <c r="J413" s="524">
        <v>0.0</v>
      </c>
      <c r="K413" s="524">
        <v>0.0</v>
      </c>
      <c r="L413" s="524">
        <v>0.0</v>
      </c>
      <c r="M413" s="524"/>
    </row>
    <row r="414" ht="15.75" customHeight="1">
      <c r="A414" s="521">
        <v>213.0</v>
      </c>
      <c r="B414" s="507" t="s">
        <v>512</v>
      </c>
      <c r="C414" s="507" t="s">
        <v>476</v>
      </c>
      <c r="D414" s="522" t="str">
        <f t="shared" si="1"/>
        <v>213Master</v>
      </c>
      <c r="E414" s="523">
        <v>0.0</v>
      </c>
      <c r="F414" s="523">
        <v>0.0</v>
      </c>
      <c r="G414" s="524">
        <v>0.0</v>
      </c>
      <c r="H414" s="524">
        <v>0.0</v>
      </c>
      <c r="I414" s="524">
        <v>0.0</v>
      </c>
      <c r="J414" s="524">
        <v>0.0</v>
      </c>
      <c r="K414" s="524">
        <v>0.0</v>
      </c>
      <c r="L414" s="524">
        <v>0.0</v>
      </c>
      <c r="M414" s="524"/>
    </row>
    <row r="415" ht="15.75" customHeight="1">
      <c r="A415" s="521">
        <v>213.0</v>
      </c>
      <c r="B415" s="507" t="s">
        <v>512</v>
      </c>
      <c r="C415" s="507" t="s">
        <v>264</v>
      </c>
      <c r="D415" s="522" t="str">
        <f t="shared" si="1"/>
        <v>213Especialista</v>
      </c>
      <c r="E415" s="523">
        <v>0.0</v>
      </c>
      <c r="F415" s="523">
        <v>0.0</v>
      </c>
      <c r="G415" s="524">
        <v>0.0</v>
      </c>
      <c r="H415" s="524">
        <v>0.0</v>
      </c>
      <c r="I415" s="524">
        <v>0.0</v>
      </c>
      <c r="J415" s="524">
        <v>0.0</v>
      </c>
      <c r="K415" s="524">
        <v>0.0</v>
      </c>
      <c r="L415" s="524">
        <v>0.0</v>
      </c>
      <c r="M415" s="524"/>
    </row>
    <row r="416" ht="15.75" customHeight="1">
      <c r="A416" s="521">
        <v>1205.0</v>
      </c>
      <c r="B416" s="507" t="s">
        <v>299</v>
      </c>
      <c r="C416" s="507" t="s">
        <v>212</v>
      </c>
      <c r="D416" s="522" t="str">
        <f t="shared" si="1"/>
        <v>1205Indiferente</v>
      </c>
      <c r="E416" s="523">
        <v>0.0</v>
      </c>
      <c r="F416" s="523">
        <v>0.0</v>
      </c>
      <c r="G416" s="524">
        <v>0.0</v>
      </c>
      <c r="H416" s="524">
        <v>0.0</v>
      </c>
      <c r="I416" s="524">
        <v>0.0</v>
      </c>
      <c r="J416" s="524">
        <v>0.0</v>
      </c>
      <c r="K416" s="524">
        <v>0.0</v>
      </c>
      <c r="L416" s="524">
        <v>0.0</v>
      </c>
      <c r="M416" s="524"/>
    </row>
    <row r="417" ht="15.75" customHeight="1">
      <c r="A417" s="521">
        <v>1205.0</v>
      </c>
      <c r="B417" s="507" t="s">
        <v>299</v>
      </c>
      <c r="C417" s="507" t="s">
        <v>60</v>
      </c>
      <c r="D417" s="522" t="str">
        <f t="shared" si="1"/>
        <v>1205Júnior</v>
      </c>
      <c r="E417" s="523">
        <v>0.0</v>
      </c>
      <c r="F417" s="523">
        <v>0.0</v>
      </c>
      <c r="G417" s="524">
        <v>0.0</v>
      </c>
      <c r="H417" s="524">
        <v>0.0</v>
      </c>
      <c r="I417" s="524">
        <v>0.0</v>
      </c>
      <c r="J417" s="524">
        <v>0.0</v>
      </c>
      <c r="K417" s="524">
        <v>0.0</v>
      </c>
      <c r="L417" s="524">
        <v>0.0</v>
      </c>
      <c r="M417" s="524"/>
    </row>
    <row r="418" ht="15.75" customHeight="1">
      <c r="A418" s="521">
        <v>1205.0</v>
      </c>
      <c r="B418" s="507" t="s">
        <v>299</v>
      </c>
      <c r="C418" s="507" t="s">
        <v>41</v>
      </c>
      <c r="D418" s="522" t="str">
        <f t="shared" si="1"/>
        <v>1205Pleno</v>
      </c>
      <c r="E418" s="523">
        <v>0.0</v>
      </c>
      <c r="F418" s="523">
        <v>0.0</v>
      </c>
      <c r="G418" s="524">
        <v>0.0</v>
      </c>
      <c r="H418" s="524">
        <v>0.0</v>
      </c>
      <c r="I418" s="524">
        <v>0.0</v>
      </c>
      <c r="J418" s="524">
        <v>0.0</v>
      </c>
      <c r="K418" s="524">
        <v>0.0</v>
      </c>
      <c r="L418" s="524">
        <v>0.0</v>
      </c>
      <c r="M418" s="524"/>
    </row>
    <row r="419" ht="15.75" customHeight="1">
      <c r="A419" s="521">
        <v>1205.0</v>
      </c>
      <c r="B419" s="507" t="s">
        <v>299</v>
      </c>
      <c r="C419" s="507" t="s">
        <v>53</v>
      </c>
      <c r="D419" s="522" t="str">
        <f t="shared" si="1"/>
        <v>1205Sênior</v>
      </c>
      <c r="E419" s="523">
        <v>0.0</v>
      </c>
      <c r="F419" s="523">
        <v>0.0</v>
      </c>
      <c r="G419" s="524">
        <v>0.0</v>
      </c>
      <c r="H419" s="524">
        <v>0.0</v>
      </c>
      <c r="I419" s="524">
        <v>0.0</v>
      </c>
      <c r="J419" s="524">
        <v>0.0</v>
      </c>
      <c r="K419" s="524">
        <v>0.0</v>
      </c>
      <c r="L419" s="524">
        <v>0.0</v>
      </c>
      <c r="M419" s="524"/>
    </row>
    <row r="420" ht="15.75" customHeight="1">
      <c r="A420" s="521">
        <v>1205.0</v>
      </c>
      <c r="B420" s="507" t="s">
        <v>299</v>
      </c>
      <c r="C420" s="507" t="s">
        <v>476</v>
      </c>
      <c r="D420" s="522" t="str">
        <f t="shared" si="1"/>
        <v>1205Master</v>
      </c>
      <c r="E420" s="523">
        <v>0.0</v>
      </c>
      <c r="F420" s="523">
        <v>0.0</v>
      </c>
      <c r="G420" s="524">
        <v>0.0</v>
      </c>
      <c r="H420" s="524">
        <v>0.0</v>
      </c>
      <c r="I420" s="524">
        <v>0.0</v>
      </c>
      <c r="J420" s="524">
        <v>0.0</v>
      </c>
      <c r="K420" s="524">
        <v>0.0</v>
      </c>
      <c r="L420" s="524">
        <v>0.0</v>
      </c>
      <c r="M420" s="524"/>
    </row>
    <row r="421" ht="15.75" customHeight="1">
      <c r="A421" s="521">
        <v>1205.0</v>
      </c>
      <c r="B421" s="507" t="s">
        <v>299</v>
      </c>
      <c r="C421" s="507" t="s">
        <v>264</v>
      </c>
      <c r="D421" s="522" t="str">
        <f t="shared" si="1"/>
        <v>1205Especialista</v>
      </c>
      <c r="E421" s="523">
        <v>0.0</v>
      </c>
      <c r="F421" s="523">
        <v>0.0</v>
      </c>
      <c r="G421" s="524">
        <v>0.0</v>
      </c>
      <c r="H421" s="524">
        <v>0.0</v>
      </c>
      <c r="I421" s="524">
        <v>0.0</v>
      </c>
      <c r="J421" s="524">
        <v>0.0</v>
      </c>
      <c r="K421" s="524">
        <v>0.0</v>
      </c>
      <c r="L421" s="524">
        <v>0.0</v>
      </c>
      <c r="M421" s="524"/>
    </row>
    <row r="422" ht="15.75" customHeight="1">
      <c r="A422" s="521">
        <v>548.0</v>
      </c>
      <c r="B422" s="507" t="s">
        <v>301</v>
      </c>
      <c r="C422" s="507" t="s">
        <v>212</v>
      </c>
      <c r="D422" s="522" t="str">
        <f t="shared" si="1"/>
        <v>548Indiferente</v>
      </c>
      <c r="E422" s="523">
        <v>2.0</v>
      </c>
      <c r="F422" s="523">
        <v>2.0</v>
      </c>
      <c r="G422" s="524">
        <v>0.0</v>
      </c>
      <c r="H422" s="524">
        <v>0.0</v>
      </c>
      <c r="I422" s="524">
        <v>0.0</v>
      </c>
      <c r="J422" s="524">
        <v>0.0</v>
      </c>
      <c r="K422" s="524">
        <v>0.0</v>
      </c>
      <c r="L422" s="524">
        <v>0.0</v>
      </c>
      <c r="M422" s="524"/>
    </row>
    <row r="423" ht="15.75" customHeight="1">
      <c r="A423" s="521">
        <v>548.0</v>
      </c>
      <c r="B423" s="507" t="s">
        <v>301</v>
      </c>
      <c r="C423" s="507" t="s">
        <v>60</v>
      </c>
      <c r="D423" s="522" t="str">
        <f t="shared" si="1"/>
        <v>548Júnior</v>
      </c>
      <c r="E423" s="523">
        <v>0.0</v>
      </c>
      <c r="F423" s="523">
        <v>0.0</v>
      </c>
      <c r="G423" s="524">
        <v>0.0</v>
      </c>
      <c r="H423" s="524">
        <v>0.0</v>
      </c>
      <c r="I423" s="524">
        <v>0.0</v>
      </c>
      <c r="J423" s="524">
        <v>0.0</v>
      </c>
      <c r="K423" s="524">
        <v>0.0</v>
      </c>
      <c r="L423" s="524">
        <v>0.0</v>
      </c>
      <c r="M423" s="524"/>
    </row>
    <row r="424" ht="15.75" customHeight="1">
      <c r="A424" s="521">
        <v>548.0</v>
      </c>
      <c r="B424" s="507" t="s">
        <v>301</v>
      </c>
      <c r="C424" s="507" t="s">
        <v>41</v>
      </c>
      <c r="D424" s="522" t="str">
        <f t="shared" si="1"/>
        <v>548Pleno</v>
      </c>
      <c r="E424" s="523">
        <v>0.0</v>
      </c>
      <c r="F424" s="523">
        <v>0.0</v>
      </c>
      <c r="G424" s="524">
        <v>0.0</v>
      </c>
      <c r="H424" s="524">
        <v>0.0</v>
      </c>
      <c r="I424" s="524">
        <v>0.0</v>
      </c>
      <c r="J424" s="524">
        <v>0.0</v>
      </c>
      <c r="K424" s="524">
        <v>0.0</v>
      </c>
      <c r="L424" s="524">
        <v>0.0</v>
      </c>
      <c r="M424" s="524"/>
    </row>
    <row r="425" ht="15.75" customHeight="1">
      <c r="A425" s="521">
        <v>548.0</v>
      </c>
      <c r="B425" s="507" t="s">
        <v>301</v>
      </c>
      <c r="C425" s="507" t="s">
        <v>53</v>
      </c>
      <c r="D425" s="522" t="str">
        <f t="shared" si="1"/>
        <v>548Sênior</v>
      </c>
      <c r="E425" s="523">
        <v>0.0</v>
      </c>
      <c r="F425" s="523">
        <v>0.0</v>
      </c>
      <c r="G425" s="524">
        <v>0.0</v>
      </c>
      <c r="H425" s="524">
        <v>0.0</v>
      </c>
      <c r="I425" s="524">
        <v>0.0</v>
      </c>
      <c r="J425" s="524">
        <v>0.0</v>
      </c>
      <c r="K425" s="524">
        <v>0.0</v>
      </c>
      <c r="L425" s="524">
        <v>0.0</v>
      </c>
      <c r="M425" s="524"/>
    </row>
    <row r="426" ht="15.75" customHeight="1">
      <c r="A426" s="521">
        <v>548.0</v>
      </c>
      <c r="B426" s="507" t="s">
        <v>301</v>
      </c>
      <c r="C426" s="507" t="s">
        <v>476</v>
      </c>
      <c r="D426" s="522" t="str">
        <f t="shared" si="1"/>
        <v>548Master</v>
      </c>
      <c r="E426" s="523">
        <v>0.0</v>
      </c>
      <c r="F426" s="523">
        <v>0.0</v>
      </c>
      <c r="G426" s="524">
        <v>0.0</v>
      </c>
      <c r="H426" s="524">
        <v>0.0</v>
      </c>
      <c r="I426" s="524">
        <v>0.0</v>
      </c>
      <c r="J426" s="524">
        <v>0.0</v>
      </c>
      <c r="K426" s="524">
        <v>0.0</v>
      </c>
      <c r="L426" s="524">
        <v>0.0</v>
      </c>
      <c r="M426" s="524"/>
    </row>
    <row r="427" ht="15.75" customHeight="1">
      <c r="A427" s="521">
        <v>548.0</v>
      </c>
      <c r="B427" s="507" t="s">
        <v>301</v>
      </c>
      <c r="C427" s="507" t="s">
        <v>264</v>
      </c>
      <c r="D427" s="522" t="str">
        <f t="shared" si="1"/>
        <v>548Especialista</v>
      </c>
      <c r="E427" s="523">
        <v>0.0</v>
      </c>
      <c r="F427" s="523">
        <v>0.0</v>
      </c>
      <c r="G427" s="524">
        <v>0.0</v>
      </c>
      <c r="H427" s="524">
        <v>0.0</v>
      </c>
      <c r="I427" s="524">
        <v>0.0</v>
      </c>
      <c r="J427" s="524">
        <v>0.0</v>
      </c>
      <c r="K427" s="524">
        <v>0.0</v>
      </c>
      <c r="L427" s="524">
        <v>0.0</v>
      </c>
      <c r="M427" s="524"/>
    </row>
    <row r="428" ht="15.75" customHeight="1">
      <c r="A428" s="521">
        <v>112.0</v>
      </c>
      <c r="B428" s="507" t="s">
        <v>513</v>
      </c>
      <c r="C428" s="507" t="s">
        <v>212</v>
      </c>
      <c r="D428" s="522" t="str">
        <f t="shared" si="1"/>
        <v>112Indiferente</v>
      </c>
      <c r="E428" s="523">
        <v>22.0</v>
      </c>
      <c r="F428" s="523">
        <v>22.0</v>
      </c>
      <c r="G428" s="524">
        <v>10507.24</v>
      </c>
      <c r="H428" s="524">
        <v>13112.02</v>
      </c>
      <c r="I428" s="524">
        <v>14473.47</v>
      </c>
      <c r="J428" s="524">
        <v>14649.38</v>
      </c>
      <c r="K428" s="524">
        <v>15888.31</v>
      </c>
      <c r="L428" s="524">
        <v>18568.89</v>
      </c>
      <c r="M428" s="524"/>
    </row>
    <row r="429" ht="15.75" customHeight="1">
      <c r="A429" s="521">
        <v>112.0</v>
      </c>
      <c r="B429" s="507" t="s">
        <v>513</v>
      </c>
      <c r="C429" s="507" t="s">
        <v>60</v>
      </c>
      <c r="D429" s="522" t="str">
        <f t="shared" si="1"/>
        <v>112Júnior</v>
      </c>
      <c r="E429" s="523">
        <v>1.0</v>
      </c>
      <c r="F429" s="523">
        <v>1.0</v>
      </c>
      <c r="G429" s="524">
        <v>7357.01</v>
      </c>
      <c r="H429" s="524">
        <v>7357.01</v>
      </c>
      <c r="I429" s="524">
        <v>7357.01</v>
      </c>
      <c r="J429" s="524">
        <v>7357.01</v>
      </c>
      <c r="K429" s="524">
        <v>7357.01</v>
      </c>
      <c r="L429" s="524">
        <v>7357.01</v>
      </c>
      <c r="M429" s="524"/>
    </row>
    <row r="430" ht="15.75" customHeight="1">
      <c r="A430" s="521">
        <v>112.0</v>
      </c>
      <c r="B430" s="507" t="s">
        <v>513</v>
      </c>
      <c r="C430" s="507" t="s">
        <v>41</v>
      </c>
      <c r="D430" s="522" t="str">
        <f t="shared" si="1"/>
        <v>112Pleno</v>
      </c>
      <c r="E430" s="523">
        <v>2.0</v>
      </c>
      <c r="F430" s="523">
        <v>2.0</v>
      </c>
      <c r="G430" s="524">
        <v>12093.72</v>
      </c>
      <c r="H430" s="524">
        <v>12511.67</v>
      </c>
      <c r="I430" s="524">
        <v>12929.63</v>
      </c>
      <c r="J430" s="524">
        <v>12929.63</v>
      </c>
      <c r="K430" s="524">
        <v>13347.59</v>
      </c>
      <c r="L430" s="524">
        <v>13765.54</v>
      </c>
      <c r="M430" s="524"/>
    </row>
    <row r="431" ht="15.75" customHeight="1">
      <c r="A431" s="521">
        <v>112.0</v>
      </c>
      <c r="B431" s="507" t="s">
        <v>513</v>
      </c>
      <c r="C431" s="507" t="s">
        <v>53</v>
      </c>
      <c r="D431" s="522" t="str">
        <f t="shared" si="1"/>
        <v>112Sênior</v>
      </c>
      <c r="E431" s="523">
        <v>4.0</v>
      </c>
      <c r="F431" s="523">
        <v>4.0</v>
      </c>
      <c r="G431" s="524">
        <v>5252.26</v>
      </c>
      <c r="H431" s="524">
        <v>9193.49</v>
      </c>
      <c r="I431" s="524">
        <v>10834.55</v>
      </c>
      <c r="J431" s="524">
        <v>11804.38</v>
      </c>
      <c r="K431" s="524">
        <v>13445.44</v>
      </c>
      <c r="L431" s="524">
        <v>14477.19</v>
      </c>
      <c r="M431" s="524"/>
    </row>
    <row r="432" ht="15.75" customHeight="1">
      <c r="A432" s="521">
        <v>112.0</v>
      </c>
      <c r="B432" s="507" t="s">
        <v>513</v>
      </c>
      <c r="C432" s="507" t="s">
        <v>476</v>
      </c>
      <c r="D432" s="522" t="str">
        <f t="shared" si="1"/>
        <v>112Master</v>
      </c>
      <c r="E432" s="523">
        <v>0.0</v>
      </c>
      <c r="F432" s="523">
        <v>0.0</v>
      </c>
      <c r="G432" s="524">
        <v>0.0</v>
      </c>
      <c r="H432" s="524">
        <v>0.0</v>
      </c>
      <c r="I432" s="524">
        <v>0.0</v>
      </c>
      <c r="J432" s="524">
        <v>0.0</v>
      </c>
      <c r="K432" s="524">
        <v>0.0</v>
      </c>
      <c r="L432" s="524">
        <v>0.0</v>
      </c>
      <c r="M432" s="524"/>
    </row>
    <row r="433" ht="15.75" customHeight="1">
      <c r="A433" s="521">
        <v>112.0</v>
      </c>
      <c r="B433" s="507" t="s">
        <v>513</v>
      </c>
      <c r="C433" s="507" t="s">
        <v>264</v>
      </c>
      <c r="D433" s="522" t="str">
        <f t="shared" si="1"/>
        <v>112Especialista</v>
      </c>
      <c r="E433" s="523">
        <v>0.0</v>
      </c>
      <c r="F433" s="523">
        <v>0.0</v>
      </c>
      <c r="G433" s="524">
        <v>0.0</v>
      </c>
      <c r="H433" s="524">
        <v>0.0</v>
      </c>
      <c r="I433" s="524">
        <v>0.0</v>
      </c>
      <c r="J433" s="524">
        <v>0.0</v>
      </c>
      <c r="K433" s="524">
        <v>0.0</v>
      </c>
      <c r="L433" s="524">
        <v>0.0</v>
      </c>
      <c r="M433" s="524"/>
    </row>
    <row r="434" ht="15.75" customHeight="1">
      <c r="A434" s="521">
        <v>451.0</v>
      </c>
      <c r="B434" s="507" t="s">
        <v>514</v>
      </c>
      <c r="C434" s="507" t="s">
        <v>212</v>
      </c>
      <c r="D434" s="522" t="str">
        <f t="shared" si="1"/>
        <v>451Indiferente</v>
      </c>
      <c r="E434" s="523">
        <v>9.0</v>
      </c>
      <c r="F434" s="523">
        <v>10.0</v>
      </c>
      <c r="G434" s="524">
        <v>10078.1</v>
      </c>
      <c r="H434" s="524">
        <v>12022.38</v>
      </c>
      <c r="I434" s="524">
        <v>15258.41</v>
      </c>
      <c r="J434" s="524">
        <v>13666.26</v>
      </c>
      <c r="K434" s="524">
        <v>15978.7</v>
      </c>
      <c r="L434" s="524">
        <v>27687.79</v>
      </c>
      <c r="M434" s="524"/>
    </row>
    <row r="435" ht="15.75" customHeight="1">
      <c r="A435" s="521">
        <v>451.0</v>
      </c>
      <c r="B435" s="507" t="s">
        <v>514</v>
      </c>
      <c r="C435" s="507" t="s">
        <v>60</v>
      </c>
      <c r="D435" s="522" t="str">
        <f t="shared" si="1"/>
        <v>451Júnior</v>
      </c>
      <c r="E435" s="523">
        <v>0.0</v>
      </c>
      <c r="F435" s="523">
        <v>0.0</v>
      </c>
      <c r="G435" s="524">
        <v>0.0</v>
      </c>
      <c r="H435" s="524">
        <v>0.0</v>
      </c>
      <c r="I435" s="524">
        <v>0.0</v>
      </c>
      <c r="J435" s="524">
        <v>0.0</v>
      </c>
      <c r="K435" s="524">
        <v>0.0</v>
      </c>
      <c r="L435" s="524">
        <v>0.0</v>
      </c>
      <c r="M435" s="524"/>
    </row>
    <row r="436" ht="15.75" customHeight="1">
      <c r="A436" s="521">
        <v>451.0</v>
      </c>
      <c r="B436" s="507" t="s">
        <v>514</v>
      </c>
      <c r="C436" s="507" t="s">
        <v>41</v>
      </c>
      <c r="D436" s="522" t="str">
        <f t="shared" si="1"/>
        <v>451Pleno</v>
      </c>
      <c r="E436" s="523">
        <v>0.0</v>
      </c>
      <c r="F436" s="523">
        <v>0.0</v>
      </c>
      <c r="G436" s="524">
        <v>0.0</v>
      </c>
      <c r="H436" s="524">
        <v>0.0</v>
      </c>
      <c r="I436" s="524">
        <v>0.0</v>
      </c>
      <c r="J436" s="524">
        <v>0.0</v>
      </c>
      <c r="K436" s="524">
        <v>0.0</v>
      </c>
      <c r="L436" s="524">
        <v>0.0</v>
      </c>
      <c r="M436" s="524"/>
    </row>
    <row r="437" ht="15.75" customHeight="1">
      <c r="A437" s="521">
        <v>451.0</v>
      </c>
      <c r="B437" s="507" t="s">
        <v>514</v>
      </c>
      <c r="C437" s="507" t="s">
        <v>53</v>
      </c>
      <c r="D437" s="522" t="str">
        <f t="shared" si="1"/>
        <v>451Sênior</v>
      </c>
      <c r="E437" s="523">
        <v>0.0</v>
      </c>
      <c r="F437" s="523">
        <v>0.0</v>
      </c>
      <c r="G437" s="524">
        <v>0.0</v>
      </c>
      <c r="H437" s="524">
        <v>0.0</v>
      </c>
      <c r="I437" s="524">
        <v>0.0</v>
      </c>
      <c r="J437" s="524">
        <v>0.0</v>
      </c>
      <c r="K437" s="524">
        <v>0.0</v>
      </c>
      <c r="L437" s="524">
        <v>0.0</v>
      </c>
      <c r="M437" s="524"/>
    </row>
    <row r="438" ht="15.75" customHeight="1">
      <c r="A438" s="521">
        <v>451.0</v>
      </c>
      <c r="B438" s="507" t="s">
        <v>514</v>
      </c>
      <c r="C438" s="507" t="s">
        <v>476</v>
      </c>
      <c r="D438" s="522" t="str">
        <f t="shared" si="1"/>
        <v>451Master</v>
      </c>
      <c r="E438" s="523">
        <v>0.0</v>
      </c>
      <c r="F438" s="523">
        <v>0.0</v>
      </c>
      <c r="G438" s="524">
        <v>0.0</v>
      </c>
      <c r="H438" s="524">
        <v>0.0</v>
      </c>
      <c r="I438" s="524">
        <v>0.0</v>
      </c>
      <c r="J438" s="524">
        <v>0.0</v>
      </c>
      <c r="K438" s="524">
        <v>0.0</v>
      </c>
      <c r="L438" s="524">
        <v>0.0</v>
      </c>
      <c r="M438" s="524"/>
    </row>
    <row r="439" ht="15.75" customHeight="1">
      <c r="A439" s="521">
        <v>451.0</v>
      </c>
      <c r="B439" s="507" t="s">
        <v>514</v>
      </c>
      <c r="C439" s="507" t="s">
        <v>264</v>
      </c>
      <c r="D439" s="522" t="str">
        <f t="shared" si="1"/>
        <v>451Especialista</v>
      </c>
      <c r="E439" s="523">
        <v>0.0</v>
      </c>
      <c r="F439" s="523">
        <v>0.0</v>
      </c>
      <c r="G439" s="524">
        <v>0.0</v>
      </c>
      <c r="H439" s="524">
        <v>0.0</v>
      </c>
      <c r="I439" s="524">
        <v>0.0</v>
      </c>
      <c r="J439" s="524">
        <v>0.0</v>
      </c>
      <c r="K439" s="524">
        <v>0.0</v>
      </c>
      <c r="L439" s="524">
        <v>0.0</v>
      </c>
      <c r="M439" s="524"/>
    </row>
    <row r="440" ht="15.75" customHeight="1">
      <c r="A440" s="521">
        <v>342.0</v>
      </c>
      <c r="B440" s="507" t="s">
        <v>515</v>
      </c>
      <c r="C440" s="507" t="s">
        <v>212</v>
      </c>
      <c r="D440" s="522" t="str">
        <f t="shared" si="1"/>
        <v>342Indiferente</v>
      </c>
      <c r="E440" s="523">
        <v>0.0</v>
      </c>
      <c r="F440" s="523">
        <v>0.0</v>
      </c>
      <c r="G440" s="524">
        <v>0.0</v>
      </c>
      <c r="H440" s="524">
        <v>0.0</v>
      </c>
      <c r="I440" s="524">
        <v>0.0</v>
      </c>
      <c r="J440" s="524">
        <v>0.0</v>
      </c>
      <c r="K440" s="524">
        <v>0.0</v>
      </c>
      <c r="L440" s="524">
        <v>0.0</v>
      </c>
      <c r="M440" s="524"/>
    </row>
    <row r="441" ht="15.75" customHeight="1">
      <c r="A441" s="521">
        <v>342.0</v>
      </c>
      <c r="B441" s="507" t="s">
        <v>515</v>
      </c>
      <c r="C441" s="507" t="s">
        <v>60</v>
      </c>
      <c r="D441" s="522" t="str">
        <f t="shared" si="1"/>
        <v>342Júnior</v>
      </c>
      <c r="E441" s="523">
        <v>0.0</v>
      </c>
      <c r="F441" s="523">
        <v>0.0</v>
      </c>
      <c r="G441" s="524">
        <v>0.0</v>
      </c>
      <c r="H441" s="524">
        <v>0.0</v>
      </c>
      <c r="I441" s="524">
        <v>0.0</v>
      </c>
      <c r="J441" s="524">
        <v>0.0</v>
      </c>
      <c r="K441" s="524">
        <v>0.0</v>
      </c>
      <c r="L441" s="524">
        <v>0.0</v>
      </c>
      <c r="M441" s="524"/>
    </row>
    <row r="442" ht="15.75" customHeight="1">
      <c r="A442" s="521">
        <v>342.0</v>
      </c>
      <c r="B442" s="507" t="s">
        <v>515</v>
      </c>
      <c r="C442" s="507" t="s">
        <v>41</v>
      </c>
      <c r="D442" s="522" t="str">
        <f t="shared" si="1"/>
        <v>342Pleno</v>
      </c>
      <c r="E442" s="523">
        <v>0.0</v>
      </c>
      <c r="F442" s="523">
        <v>0.0</v>
      </c>
      <c r="G442" s="524">
        <v>0.0</v>
      </c>
      <c r="H442" s="524">
        <v>0.0</v>
      </c>
      <c r="I442" s="524">
        <v>0.0</v>
      </c>
      <c r="J442" s="524">
        <v>0.0</v>
      </c>
      <c r="K442" s="524">
        <v>0.0</v>
      </c>
      <c r="L442" s="524">
        <v>0.0</v>
      </c>
      <c r="M442" s="524"/>
    </row>
    <row r="443" ht="15.75" customHeight="1">
      <c r="A443" s="521">
        <v>342.0</v>
      </c>
      <c r="B443" s="507" t="s">
        <v>515</v>
      </c>
      <c r="C443" s="507" t="s">
        <v>53</v>
      </c>
      <c r="D443" s="522" t="str">
        <f t="shared" si="1"/>
        <v>342Sênior</v>
      </c>
      <c r="E443" s="523">
        <v>0.0</v>
      </c>
      <c r="F443" s="523">
        <v>0.0</v>
      </c>
      <c r="G443" s="524">
        <v>0.0</v>
      </c>
      <c r="H443" s="524">
        <v>0.0</v>
      </c>
      <c r="I443" s="524">
        <v>0.0</v>
      </c>
      <c r="J443" s="524">
        <v>0.0</v>
      </c>
      <c r="K443" s="524">
        <v>0.0</v>
      </c>
      <c r="L443" s="524">
        <v>0.0</v>
      </c>
      <c r="M443" s="524"/>
    </row>
    <row r="444" ht="15.75" customHeight="1">
      <c r="A444" s="521">
        <v>342.0</v>
      </c>
      <c r="B444" s="507" t="s">
        <v>515</v>
      </c>
      <c r="C444" s="507" t="s">
        <v>476</v>
      </c>
      <c r="D444" s="522" t="str">
        <f t="shared" si="1"/>
        <v>342Master</v>
      </c>
      <c r="E444" s="523">
        <v>0.0</v>
      </c>
      <c r="F444" s="523">
        <v>0.0</v>
      </c>
      <c r="G444" s="524">
        <v>0.0</v>
      </c>
      <c r="H444" s="524">
        <v>0.0</v>
      </c>
      <c r="I444" s="524">
        <v>0.0</v>
      </c>
      <c r="J444" s="524">
        <v>0.0</v>
      </c>
      <c r="K444" s="524">
        <v>0.0</v>
      </c>
      <c r="L444" s="524">
        <v>0.0</v>
      </c>
      <c r="M444" s="524"/>
    </row>
    <row r="445" ht="15.75" customHeight="1">
      <c r="A445" s="521">
        <v>342.0</v>
      </c>
      <c r="B445" s="507" t="s">
        <v>515</v>
      </c>
      <c r="C445" s="507" t="s">
        <v>264</v>
      </c>
      <c r="D445" s="522" t="str">
        <f t="shared" si="1"/>
        <v>342Especialista</v>
      </c>
      <c r="E445" s="523">
        <v>0.0</v>
      </c>
      <c r="F445" s="523">
        <v>0.0</v>
      </c>
      <c r="G445" s="524">
        <v>0.0</v>
      </c>
      <c r="H445" s="524">
        <v>0.0</v>
      </c>
      <c r="I445" s="524">
        <v>0.0</v>
      </c>
      <c r="J445" s="524">
        <v>0.0</v>
      </c>
      <c r="K445" s="524">
        <v>0.0</v>
      </c>
      <c r="L445" s="524">
        <v>0.0</v>
      </c>
      <c r="M445" s="524"/>
    </row>
    <row r="446" ht="15.75" customHeight="1">
      <c r="A446" s="521">
        <v>407.0</v>
      </c>
      <c r="B446" s="507" t="s">
        <v>516</v>
      </c>
      <c r="C446" s="507" t="s">
        <v>212</v>
      </c>
      <c r="D446" s="522" t="str">
        <f t="shared" si="1"/>
        <v>407Indiferente</v>
      </c>
      <c r="E446" s="523">
        <v>1.0</v>
      </c>
      <c r="F446" s="523">
        <v>1.0</v>
      </c>
      <c r="G446" s="524">
        <v>0.0</v>
      </c>
      <c r="H446" s="524">
        <v>0.0</v>
      </c>
      <c r="I446" s="524">
        <v>0.0</v>
      </c>
      <c r="J446" s="524">
        <v>0.0</v>
      </c>
      <c r="K446" s="524">
        <v>0.0</v>
      </c>
      <c r="L446" s="524">
        <v>0.0</v>
      </c>
      <c r="M446" s="524"/>
    </row>
    <row r="447" ht="15.75" customHeight="1">
      <c r="A447" s="521">
        <v>407.0</v>
      </c>
      <c r="B447" s="507" t="s">
        <v>516</v>
      </c>
      <c r="C447" s="507" t="s">
        <v>60</v>
      </c>
      <c r="D447" s="522" t="str">
        <f t="shared" si="1"/>
        <v>407Júnior</v>
      </c>
      <c r="E447" s="523">
        <v>0.0</v>
      </c>
      <c r="F447" s="523">
        <v>0.0</v>
      </c>
      <c r="G447" s="524">
        <v>0.0</v>
      </c>
      <c r="H447" s="524">
        <v>0.0</v>
      </c>
      <c r="I447" s="524">
        <v>0.0</v>
      </c>
      <c r="J447" s="524">
        <v>0.0</v>
      </c>
      <c r="K447" s="524">
        <v>0.0</v>
      </c>
      <c r="L447" s="524">
        <v>0.0</v>
      </c>
      <c r="M447" s="524"/>
    </row>
    <row r="448" ht="15.75" customHeight="1">
      <c r="A448" s="521">
        <v>407.0</v>
      </c>
      <c r="B448" s="507" t="s">
        <v>516</v>
      </c>
      <c r="C448" s="507" t="s">
        <v>41</v>
      </c>
      <c r="D448" s="522" t="str">
        <f t="shared" si="1"/>
        <v>407Pleno</v>
      </c>
      <c r="E448" s="523">
        <v>0.0</v>
      </c>
      <c r="F448" s="523">
        <v>0.0</v>
      </c>
      <c r="G448" s="524">
        <v>0.0</v>
      </c>
      <c r="H448" s="524">
        <v>0.0</v>
      </c>
      <c r="I448" s="524">
        <v>0.0</v>
      </c>
      <c r="J448" s="524">
        <v>0.0</v>
      </c>
      <c r="K448" s="524">
        <v>0.0</v>
      </c>
      <c r="L448" s="524">
        <v>0.0</v>
      </c>
      <c r="M448" s="524"/>
    </row>
    <row r="449" ht="15.75" customHeight="1">
      <c r="A449" s="521">
        <v>407.0</v>
      </c>
      <c r="B449" s="507" t="s">
        <v>516</v>
      </c>
      <c r="C449" s="507" t="s">
        <v>53</v>
      </c>
      <c r="D449" s="522" t="str">
        <f t="shared" si="1"/>
        <v>407Sênior</v>
      </c>
      <c r="E449" s="523">
        <v>0.0</v>
      </c>
      <c r="F449" s="523">
        <v>0.0</v>
      </c>
      <c r="G449" s="524">
        <v>0.0</v>
      </c>
      <c r="H449" s="524">
        <v>0.0</v>
      </c>
      <c r="I449" s="524">
        <v>0.0</v>
      </c>
      <c r="J449" s="524">
        <v>0.0</v>
      </c>
      <c r="K449" s="524">
        <v>0.0</v>
      </c>
      <c r="L449" s="524">
        <v>0.0</v>
      </c>
      <c r="M449" s="524"/>
    </row>
    <row r="450" ht="15.75" customHeight="1">
      <c r="A450" s="521">
        <v>407.0</v>
      </c>
      <c r="B450" s="507" t="s">
        <v>516</v>
      </c>
      <c r="C450" s="507" t="s">
        <v>476</v>
      </c>
      <c r="D450" s="522" t="str">
        <f t="shared" si="1"/>
        <v>407Master</v>
      </c>
      <c r="E450" s="523">
        <v>0.0</v>
      </c>
      <c r="F450" s="523">
        <v>0.0</v>
      </c>
      <c r="G450" s="524">
        <v>0.0</v>
      </c>
      <c r="H450" s="524">
        <v>0.0</v>
      </c>
      <c r="I450" s="524">
        <v>0.0</v>
      </c>
      <c r="J450" s="524">
        <v>0.0</v>
      </c>
      <c r="K450" s="524">
        <v>0.0</v>
      </c>
      <c r="L450" s="524">
        <v>0.0</v>
      </c>
      <c r="M450" s="524"/>
    </row>
    <row r="451" ht="15.75" customHeight="1">
      <c r="A451" s="521">
        <v>407.0</v>
      </c>
      <c r="B451" s="507" t="s">
        <v>516</v>
      </c>
      <c r="C451" s="507" t="s">
        <v>264</v>
      </c>
      <c r="D451" s="522" t="str">
        <f t="shared" si="1"/>
        <v>407Especialista</v>
      </c>
      <c r="E451" s="523">
        <v>0.0</v>
      </c>
      <c r="F451" s="523">
        <v>0.0</v>
      </c>
      <c r="G451" s="524">
        <v>0.0</v>
      </c>
      <c r="H451" s="524">
        <v>0.0</v>
      </c>
      <c r="I451" s="524">
        <v>0.0</v>
      </c>
      <c r="J451" s="524">
        <v>0.0</v>
      </c>
      <c r="K451" s="524">
        <v>0.0</v>
      </c>
      <c r="L451" s="524">
        <v>0.0</v>
      </c>
      <c r="M451" s="524"/>
    </row>
    <row r="452" ht="15.75" customHeight="1">
      <c r="A452" s="521">
        <v>65.0</v>
      </c>
      <c r="B452" s="507" t="s">
        <v>517</v>
      </c>
      <c r="C452" s="507" t="s">
        <v>212</v>
      </c>
      <c r="D452" s="522" t="str">
        <f t="shared" si="1"/>
        <v>65Indiferente</v>
      </c>
      <c r="E452" s="523">
        <v>29.0</v>
      </c>
      <c r="F452" s="523">
        <v>82.0</v>
      </c>
      <c r="G452" s="524">
        <v>7013.49</v>
      </c>
      <c r="H452" s="524">
        <v>9982.36</v>
      </c>
      <c r="I452" s="524">
        <v>10965.54</v>
      </c>
      <c r="J452" s="524">
        <v>11280.25</v>
      </c>
      <c r="K452" s="524">
        <v>12093.72</v>
      </c>
      <c r="L452" s="524">
        <v>13846.3</v>
      </c>
      <c r="M452" s="524"/>
    </row>
    <row r="453" ht="15.75" customHeight="1">
      <c r="A453" s="521">
        <v>65.0</v>
      </c>
      <c r="B453" s="507" t="s">
        <v>517</v>
      </c>
      <c r="C453" s="507" t="s">
        <v>60</v>
      </c>
      <c r="D453" s="522" t="str">
        <f t="shared" si="1"/>
        <v>65Júnior</v>
      </c>
      <c r="E453" s="523">
        <v>0.0</v>
      </c>
      <c r="F453" s="523">
        <v>0.0</v>
      </c>
      <c r="G453" s="524">
        <v>0.0</v>
      </c>
      <c r="H453" s="524">
        <v>0.0</v>
      </c>
      <c r="I453" s="524">
        <v>0.0</v>
      </c>
      <c r="J453" s="524">
        <v>0.0</v>
      </c>
      <c r="K453" s="524">
        <v>0.0</v>
      </c>
      <c r="L453" s="524">
        <v>0.0</v>
      </c>
      <c r="M453" s="524"/>
    </row>
    <row r="454" ht="15.75" customHeight="1">
      <c r="A454" s="521">
        <v>65.0</v>
      </c>
      <c r="B454" s="507" t="s">
        <v>517</v>
      </c>
      <c r="C454" s="507" t="s">
        <v>41</v>
      </c>
      <c r="D454" s="522" t="str">
        <f t="shared" si="1"/>
        <v>65Pleno</v>
      </c>
      <c r="E454" s="523">
        <v>0.0</v>
      </c>
      <c r="F454" s="523">
        <v>0.0</v>
      </c>
      <c r="G454" s="524">
        <v>0.0</v>
      </c>
      <c r="H454" s="524">
        <v>0.0</v>
      </c>
      <c r="I454" s="524">
        <v>0.0</v>
      </c>
      <c r="J454" s="524">
        <v>0.0</v>
      </c>
      <c r="K454" s="524">
        <v>0.0</v>
      </c>
      <c r="L454" s="524">
        <v>0.0</v>
      </c>
      <c r="M454" s="524"/>
    </row>
    <row r="455" ht="15.75" customHeight="1">
      <c r="A455" s="521">
        <v>65.0</v>
      </c>
      <c r="B455" s="507" t="s">
        <v>517</v>
      </c>
      <c r="C455" s="507" t="s">
        <v>53</v>
      </c>
      <c r="D455" s="522" t="str">
        <f t="shared" si="1"/>
        <v>65Sênior</v>
      </c>
      <c r="E455" s="523">
        <v>0.0</v>
      </c>
      <c r="F455" s="523">
        <v>0.0</v>
      </c>
      <c r="G455" s="524">
        <v>0.0</v>
      </c>
      <c r="H455" s="524">
        <v>0.0</v>
      </c>
      <c r="I455" s="524">
        <v>0.0</v>
      </c>
      <c r="J455" s="524">
        <v>0.0</v>
      </c>
      <c r="K455" s="524">
        <v>0.0</v>
      </c>
      <c r="L455" s="524">
        <v>0.0</v>
      </c>
      <c r="M455" s="524"/>
    </row>
    <row r="456" ht="15.75" customHeight="1">
      <c r="A456" s="521">
        <v>65.0</v>
      </c>
      <c r="B456" s="507" t="s">
        <v>517</v>
      </c>
      <c r="C456" s="507" t="s">
        <v>476</v>
      </c>
      <c r="D456" s="522" t="str">
        <f t="shared" si="1"/>
        <v>65Master</v>
      </c>
      <c r="E456" s="523">
        <v>0.0</v>
      </c>
      <c r="F456" s="523">
        <v>0.0</v>
      </c>
      <c r="G456" s="524">
        <v>0.0</v>
      </c>
      <c r="H456" s="524">
        <v>0.0</v>
      </c>
      <c r="I456" s="524">
        <v>0.0</v>
      </c>
      <c r="J456" s="524">
        <v>0.0</v>
      </c>
      <c r="K456" s="524">
        <v>0.0</v>
      </c>
      <c r="L456" s="524">
        <v>0.0</v>
      </c>
      <c r="M456" s="524"/>
    </row>
    <row r="457" ht="15.75" customHeight="1">
      <c r="A457" s="521">
        <v>65.0</v>
      </c>
      <c r="B457" s="507" t="s">
        <v>517</v>
      </c>
      <c r="C457" s="507" t="s">
        <v>264</v>
      </c>
      <c r="D457" s="522" t="str">
        <f t="shared" si="1"/>
        <v>65Especialista</v>
      </c>
      <c r="E457" s="523">
        <v>0.0</v>
      </c>
      <c r="F457" s="523">
        <v>0.0</v>
      </c>
      <c r="G457" s="524">
        <v>0.0</v>
      </c>
      <c r="H457" s="524">
        <v>0.0</v>
      </c>
      <c r="I457" s="524">
        <v>0.0</v>
      </c>
      <c r="J457" s="524">
        <v>0.0</v>
      </c>
      <c r="K457" s="524">
        <v>0.0</v>
      </c>
      <c r="L457" s="524">
        <v>0.0</v>
      </c>
      <c r="M457" s="524"/>
    </row>
    <row r="458" ht="15.75" customHeight="1">
      <c r="A458" s="521">
        <v>113.0</v>
      </c>
      <c r="B458" s="507" t="s">
        <v>518</v>
      </c>
      <c r="C458" s="507" t="s">
        <v>212</v>
      </c>
      <c r="D458" s="522" t="str">
        <f t="shared" si="1"/>
        <v>113Indiferente</v>
      </c>
      <c r="E458" s="523">
        <v>32.0</v>
      </c>
      <c r="F458" s="523">
        <v>36.0</v>
      </c>
      <c r="G458" s="524">
        <v>9228.8</v>
      </c>
      <c r="H458" s="524">
        <v>11099.53</v>
      </c>
      <c r="I458" s="524">
        <v>12861.81</v>
      </c>
      <c r="J458" s="524">
        <v>13017.36</v>
      </c>
      <c r="K458" s="524">
        <v>14441.83</v>
      </c>
      <c r="L458" s="524">
        <v>17737.45</v>
      </c>
      <c r="M458" s="524"/>
    </row>
    <row r="459" ht="15.75" customHeight="1">
      <c r="A459" s="521">
        <v>113.0</v>
      </c>
      <c r="B459" s="507" t="s">
        <v>518</v>
      </c>
      <c r="C459" s="507" t="s">
        <v>60</v>
      </c>
      <c r="D459" s="522" t="str">
        <f t="shared" si="1"/>
        <v>113Júnior</v>
      </c>
      <c r="E459" s="523">
        <v>1.0</v>
      </c>
      <c r="F459" s="523">
        <v>1.0</v>
      </c>
      <c r="G459" s="524">
        <v>6123.64</v>
      </c>
      <c r="H459" s="524">
        <v>6123.64</v>
      </c>
      <c r="I459" s="524">
        <v>6123.64</v>
      </c>
      <c r="J459" s="524">
        <v>6123.64</v>
      </c>
      <c r="K459" s="524">
        <v>6123.64</v>
      </c>
      <c r="L459" s="524">
        <v>6123.64</v>
      </c>
      <c r="M459" s="524"/>
    </row>
    <row r="460" ht="15.75" customHeight="1">
      <c r="A460" s="521">
        <v>113.0</v>
      </c>
      <c r="B460" s="507" t="s">
        <v>518</v>
      </c>
      <c r="C460" s="507" t="s">
        <v>41</v>
      </c>
      <c r="D460" s="522" t="str">
        <f t="shared" si="1"/>
        <v>113Pleno</v>
      </c>
      <c r="E460" s="523">
        <v>3.0</v>
      </c>
      <c r="F460" s="523">
        <v>3.0</v>
      </c>
      <c r="G460" s="524">
        <v>6664.21</v>
      </c>
      <c r="H460" s="524">
        <v>8974.88</v>
      </c>
      <c r="I460" s="524">
        <v>10854.34</v>
      </c>
      <c r="J460" s="524">
        <v>11285.55</v>
      </c>
      <c r="K460" s="524">
        <v>12949.4</v>
      </c>
      <c r="L460" s="524">
        <v>14613.24</v>
      </c>
      <c r="M460" s="524"/>
    </row>
    <row r="461" ht="15.75" customHeight="1">
      <c r="A461" s="521">
        <v>113.0</v>
      </c>
      <c r="B461" s="507" t="s">
        <v>518</v>
      </c>
      <c r="C461" s="507" t="s">
        <v>53</v>
      </c>
      <c r="D461" s="522" t="str">
        <f t="shared" si="1"/>
        <v>113Sênior</v>
      </c>
      <c r="E461" s="523">
        <v>4.0</v>
      </c>
      <c r="F461" s="523">
        <v>4.0</v>
      </c>
      <c r="G461" s="524">
        <v>11257.23</v>
      </c>
      <c r="H461" s="524">
        <v>11884.6</v>
      </c>
      <c r="I461" s="524">
        <v>14295.38</v>
      </c>
      <c r="J461" s="524">
        <v>12950.36</v>
      </c>
      <c r="K461" s="524">
        <v>15361.14</v>
      </c>
      <c r="L461" s="524">
        <v>20023.57</v>
      </c>
      <c r="M461" s="524"/>
    </row>
    <row r="462" ht="15.75" customHeight="1">
      <c r="A462" s="521">
        <v>113.0</v>
      </c>
      <c r="B462" s="507" t="s">
        <v>518</v>
      </c>
      <c r="C462" s="507" t="s">
        <v>476</v>
      </c>
      <c r="D462" s="522" t="str">
        <f t="shared" si="1"/>
        <v>113Master</v>
      </c>
      <c r="E462" s="523">
        <v>0.0</v>
      </c>
      <c r="F462" s="523">
        <v>0.0</v>
      </c>
      <c r="G462" s="524">
        <v>0.0</v>
      </c>
      <c r="H462" s="524">
        <v>0.0</v>
      </c>
      <c r="I462" s="524">
        <v>0.0</v>
      </c>
      <c r="J462" s="524">
        <v>0.0</v>
      </c>
      <c r="K462" s="524">
        <v>0.0</v>
      </c>
      <c r="L462" s="524">
        <v>0.0</v>
      </c>
      <c r="M462" s="524"/>
    </row>
    <row r="463" ht="15.75" customHeight="1">
      <c r="A463" s="521">
        <v>113.0</v>
      </c>
      <c r="B463" s="507" t="s">
        <v>518</v>
      </c>
      <c r="C463" s="507" t="s">
        <v>264</v>
      </c>
      <c r="D463" s="522" t="str">
        <f t="shared" si="1"/>
        <v>113Especialista</v>
      </c>
      <c r="E463" s="523">
        <v>1.0</v>
      </c>
      <c r="F463" s="523">
        <v>1.0</v>
      </c>
      <c r="G463" s="524">
        <v>20789.92</v>
      </c>
      <c r="H463" s="524">
        <v>20789.92</v>
      </c>
      <c r="I463" s="524">
        <v>20789.92</v>
      </c>
      <c r="J463" s="524">
        <v>20789.92</v>
      </c>
      <c r="K463" s="524">
        <v>20789.92</v>
      </c>
      <c r="L463" s="524">
        <v>20789.92</v>
      </c>
      <c r="M463" s="524"/>
    </row>
    <row r="464" ht="15.75" customHeight="1">
      <c r="A464" s="521">
        <v>408.0</v>
      </c>
      <c r="B464" s="507" t="s">
        <v>303</v>
      </c>
      <c r="C464" s="507" t="s">
        <v>212</v>
      </c>
      <c r="D464" s="522" t="str">
        <f t="shared" si="1"/>
        <v>408Indiferente</v>
      </c>
      <c r="E464" s="521">
        <v>17.0</v>
      </c>
      <c r="F464" s="521">
        <v>18.0</v>
      </c>
      <c r="G464" s="525">
        <v>5772.56</v>
      </c>
      <c r="H464" s="525">
        <v>7608.96</v>
      </c>
      <c r="I464" s="525">
        <v>10973.95</v>
      </c>
      <c r="J464" s="525">
        <v>10996.97</v>
      </c>
      <c r="K464" s="525">
        <v>14004.27</v>
      </c>
      <c r="L464" s="525">
        <v>16628.86</v>
      </c>
      <c r="M464" s="524"/>
    </row>
    <row r="465" ht="15.75" customHeight="1">
      <c r="A465" s="521">
        <v>408.0</v>
      </c>
      <c r="B465" s="507" t="s">
        <v>303</v>
      </c>
      <c r="C465" s="507" t="s">
        <v>60</v>
      </c>
      <c r="D465" s="522" t="str">
        <f t="shared" si="1"/>
        <v>408Júnior</v>
      </c>
      <c r="E465" s="521">
        <v>0.0</v>
      </c>
      <c r="F465" s="521">
        <v>0.0</v>
      </c>
      <c r="G465" s="525">
        <v>0.0</v>
      </c>
      <c r="H465" s="525">
        <v>0.0</v>
      </c>
      <c r="I465" s="525">
        <v>0.0</v>
      </c>
      <c r="J465" s="525">
        <v>0.0</v>
      </c>
      <c r="K465" s="525">
        <v>0.0</v>
      </c>
      <c r="L465" s="525">
        <v>0.0</v>
      </c>
      <c r="M465" s="524"/>
    </row>
    <row r="466" ht="15.75" customHeight="1">
      <c r="A466" s="521">
        <v>408.0</v>
      </c>
      <c r="B466" s="507" t="s">
        <v>303</v>
      </c>
      <c r="C466" s="507" t="s">
        <v>41</v>
      </c>
      <c r="D466" s="522" t="str">
        <f t="shared" si="1"/>
        <v>408Pleno</v>
      </c>
      <c r="E466" s="521">
        <v>1.0</v>
      </c>
      <c r="F466" s="521">
        <v>1.0</v>
      </c>
      <c r="G466" s="525">
        <v>7558.57</v>
      </c>
      <c r="H466" s="525">
        <v>7558.57</v>
      </c>
      <c r="I466" s="525">
        <v>7558.57</v>
      </c>
      <c r="J466" s="525">
        <v>7558.57</v>
      </c>
      <c r="K466" s="525">
        <v>7558.57</v>
      </c>
      <c r="L466" s="525">
        <v>7558.57</v>
      </c>
      <c r="M466" s="524"/>
    </row>
    <row r="467" ht="15.75" customHeight="1">
      <c r="A467" s="521">
        <v>408.0</v>
      </c>
      <c r="B467" s="507" t="s">
        <v>303</v>
      </c>
      <c r="C467" s="507" t="s">
        <v>53</v>
      </c>
      <c r="D467" s="522" t="str">
        <f t="shared" si="1"/>
        <v>408Sênior</v>
      </c>
      <c r="E467" s="521">
        <v>0.0</v>
      </c>
      <c r="F467" s="521">
        <v>0.0</v>
      </c>
      <c r="G467" s="525">
        <v>0.0</v>
      </c>
      <c r="H467" s="525">
        <v>0.0</v>
      </c>
      <c r="I467" s="525">
        <v>0.0</v>
      </c>
      <c r="J467" s="525">
        <v>0.0</v>
      </c>
      <c r="K467" s="525">
        <v>0.0</v>
      </c>
      <c r="L467" s="525">
        <v>0.0</v>
      </c>
      <c r="M467" s="524"/>
    </row>
    <row r="468" ht="15.75" customHeight="1">
      <c r="A468" s="521">
        <v>408.0</v>
      </c>
      <c r="B468" s="507" t="s">
        <v>303</v>
      </c>
      <c r="C468" s="507" t="s">
        <v>476</v>
      </c>
      <c r="D468" s="522" t="str">
        <f t="shared" si="1"/>
        <v>408Master</v>
      </c>
      <c r="E468" s="521">
        <v>0.0</v>
      </c>
      <c r="F468" s="521">
        <v>0.0</v>
      </c>
      <c r="G468" s="525">
        <v>0.0</v>
      </c>
      <c r="H468" s="525">
        <v>0.0</v>
      </c>
      <c r="I468" s="525">
        <v>0.0</v>
      </c>
      <c r="J468" s="525">
        <v>0.0</v>
      </c>
      <c r="K468" s="525">
        <v>0.0</v>
      </c>
      <c r="L468" s="525">
        <v>0.0</v>
      </c>
      <c r="M468" s="524"/>
    </row>
    <row r="469" ht="15.75" customHeight="1">
      <c r="A469" s="521">
        <v>408.0</v>
      </c>
      <c r="B469" s="507" t="s">
        <v>303</v>
      </c>
      <c r="C469" s="507" t="s">
        <v>264</v>
      </c>
      <c r="D469" s="522" t="str">
        <f t="shared" si="1"/>
        <v>408Especialista</v>
      </c>
      <c r="E469" s="521">
        <v>0.0</v>
      </c>
      <c r="F469" s="521">
        <v>0.0</v>
      </c>
      <c r="G469" s="525">
        <v>0.0</v>
      </c>
      <c r="H469" s="525">
        <v>0.0</v>
      </c>
      <c r="I469" s="525">
        <v>0.0</v>
      </c>
      <c r="J469" s="525">
        <v>0.0</v>
      </c>
      <c r="K469" s="525">
        <v>0.0</v>
      </c>
      <c r="L469" s="525">
        <v>0.0</v>
      </c>
      <c r="M469" s="524"/>
    </row>
    <row r="470" ht="15.75" customHeight="1">
      <c r="A470" s="521">
        <v>63.0</v>
      </c>
      <c r="B470" s="507" t="s">
        <v>519</v>
      </c>
      <c r="C470" s="507" t="s">
        <v>212</v>
      </c>
      <c r="D470" s="522" t="str">
        <f t="shared" si="1"/>
        <v>63Indiferente</v>
      </c>
      <c r="E470" s="523">
        <v>1.0</v>
      </c>
      <c r="F470" s="523">
        <v>1.0</v>
      </c>
      <c r="G470" s="524">
        <v>0.0</v>
      </c>
      <c r="H470" s="524">
        <v>0.0</v>
      </c>
      <c r="I470" s="524">
        <v>0.0</v>
      </c>
      <c r="J470" s="524">
        <v>0.0</v>
      </c>
      <c r="K470" s="524">
        <v>0.0</v>
      </c>
      <c r="L470" s="524">
        <v>0.0</v>
      </c>
      <c r="M470" s="524"/>
    </row>
    <row r="471" ht="15.75" customHeight="1">
      <c r="A471" s="521">
        <v>63.0</v>
      </c>
      <c r="B471" s="507" t="s">
        <v>519</v>
      </c>
      <c r="C471" s="507" t="s">
        <v>60</v>
      </c>
      <c r="D471" s="522" t="str">
        <f t="shared" si="1"/>
        <v>63Júnior</v>
      </c>
      <c r="E471" s="523">
        <v>0.0</v>
      </c>
      <c r="F471" s="523">
        <v>0.0</v>
      </c>
      <c r="G471" s="524">
        <v>0.0</v>
      </c>
      <c r="H471" s="524">
        <v>0.0</v>
      </c>
      <c r="I471" s="524">
        <v>0.0</v>
      </c>
      <c r="J471" s="524">
        <v>0.0</v>
      </c>
      <c r="K471" s="524">
        <v>0.0</v>
      </c>
      <c r="L471" s="524">
        <v>0.0</v>
      </c>
      <c r="M471" s="524"/>
    </row>
    <row r="472" ht="15.75" customHeight="1">
      <c r="A472" s="521">
        <v>63.0</v>
      </c>
      <c r="B472" s="507" t="s">
        <v>519</v>
      </c>
      <c r="C472" s="507" t="s">
        <v>41</v>
      </c>
      <c r="D472" s="522" t="str">
        <f t="shared" si="1"/>
        <v>63Pleno</v>
      </c>
      <c r="E472" s="523">
        <v>0.0</v>
      </c>
      <c r="F472" s="523">
        <v>0.0</v>
      </c>
      <c r="G472" s="524">
        <v>0.0</v>
      </c>
      <c r="H472" s="524">
        <v>0.0</v>
      </c>
      <c r="I472" s="524">
        <v>0.0</v>
      </c>
      <c r="J472" s="524">
        <v>0.0</v>
      </c>
      <c r="K472" s="524">
        <v>0.0</v>
      </c>
      <c r="L472" s="524">
        <v>0.0</v>
      </c>
      <c r="M472" s="524"/>
    </row>
    <row r="473" ht="15.75" customHeight="1">
      <c r="A473" s="521">
        <v>63.0</v>
      </c>
      <c r="B473" s="507" t="s">
        <v>519</v>
      </c>
      <c r="C473" s="507" t="s">
        <v>53</v>
      </c>
      <c r="D473" s="522" t="str">
        <f t="shared" si="1"/>
        <v>63Sênior</v>
      </c>
      <c r="E473" s="523">
        <v>0.0</v>
      </c>
      <c r="F473" s="523">
        <v>0.0</v>
      </c>
      <c r="G473" s="524">
        <v>0.0</v>
      </c>
      <c r="H473" s="524">
        <v>0.0</v>
      </c>
      <c r="I473" s="524">
        <v>0.0</v>
      </c>
      <c r="J473" s="524">
        <v>0.0</v>
      </c>
      <c r="K473" s="524">
        <v>0.0</v>
      </c>
      <c r="L473" s="524">
        <v>0.0</v>
      </c>
      <c r="M473" s="524"/>
    </row>
    <row r="474" ht="15.75" customHeight="1">
      <c r="A474" s="521">
        <v>63.0</v>
      </c>
      <c r="B474" s="507" t="s">
        <v>519</v>
      </c>
      <c r="C474" s="507" t="s">
        <v>476</v>
      </c>
      <c r="D474" s="522" t="str">
        <f t="shared" si="1"/>
        <v>63Master</v>
      </c>
      <c r="E474" s="523">
        <v>0.0</v>
      </c>
      <c r="F474" s="523">
        <v>0.0</v>
      </c>
      <c r="G474" s="524">
        <v>0.0</v>
      </c>
      <c r="H474" s="524">
        <v>0.0</v>
      </c>
      <c r="I474" s="524">
        <v>0.0</v>
      </c>
      <c r="J474" s="524">
        <v>0.0</v>
      </c>
      <c r="K474" s="524">
        <v>0.0</v>
      </c>
      <c r="L474" s="524">
        <v>0.0</v>
      </c>
      <c r="M474" s="524"/>
    </row>
    <row r="475" ht="15.75" customHeight="1">
      <c r="A475" s="521">
        <v>63.0</v>
      </c>
      <c r="B475" s="507" t="s">
        <v>519</v>
      </c>
      <c r="C475" s="507" t="s">
        <v>264</v>
      </c>
      <c r="D475" s="522" t="str">
        <f t="shared" si="1"/>
        <v>63Especialista</v>
      </c>
      <c r="E475" s="523">
        <v>0.0</v>
      </c>
      <c r="F475" s="523">
        <v>0.0</v>
      </c>
      <c r="G475" s="524">
        <v>0.0</v>
      </c>
      <c r="H475" s="524">
        <v>0.0</v>
      </c>
      <c r="I475" s="524">
        <v>0.0</v>
      </c>
      <c r="J475" s="524">
        <v>0.0</v>
      </c>
      <c r="K475" s="524">
        <v>0.0</v>
      </c>
      <c r="L475" s="524">
        <v>0.0</v>
      </c>
      <c r="M475" s="524"/>
    </row>
    <row r="476" ht="15.75" customHeight="1">
      <c r="A476" s="521">
        <v>114.0</v>
      </c>
      <c r="B476" s="507" t="s">
        <v>520</v>
      </c>
      <c r="C476" s="507" t="s">
        <v>212</v>
      </c>
      <c r="D476" s="522" t="str">
        <f t="shared" si="1"/>
        <v>114Indiferente</v>
      </c>
      <c r="E476" s="523">
        <v>1.0</v>
      </c>
      <c r="F476" s="523">
        <v>1.0</v>
      </c>
      <c r="G476" s="524">
        <v>0.0</v>
      </c>
      <c r="H476" s="524">
        <v>0.0</v>
      </c>
      <c r="I476" s="524">
        <v>0.0</v>
      </c>
      <c r="J476" s="524">
        <v>0.0</v>
      </c>
      <c r="K476" s="524">
        <v>0.0</v>
      </c>
      <c r="L476" s="524">
        <v>0.0</v>
      </c>
      <c r="M476" s="524"/>
    </row>
    <row r="477" ht="15.75" customHeight="1">
      <c r="A477" s="521">
        <v>114.0</v>
      </c>
      <c r="B477" s="507" t="s">
        <v>520</v>
      </c>
      <c r="C477" s="507" t="s">
        <v>60</v>
      </c>
      <c r="D477" s="522" t="str">
        <f t="shared" si="1"/>
        <v>114Júnior</v>
      </c>
      <c r="E477" s="523">
        <v>0.0</v>
      </c>
      <c r="F477" s="523">
        <v>0.0</v>
      </c>
      <c r="G477" s="524">
        <v>0.0</v>
      </c>
      <c r="H477" s="524">
        <v>0.0</v>
      </c>
      <c r="I477" s="524">
        <v>0.0</v>
      </c>
      <c r="J477" s="524">
        <v>0.0</v>
      </c>
      <c r="K477" s="524">
        <v>0.0</v>
      </c>
      <c r="L477" s="524">
        <v>0.0</v>
      </c>
      <c r="M477" s="524"/>
    </row>
    <row r="478" ht="15.75" customHeight="1">
      <c r="A478" s="521">
        <v>114.0</v>
      </c>
      <c r="B478" s="507" t="s">
        <v>520</v>
      </c>
      <c r="C478" s="507" t="s">
        <v>41</v>
      </c>
      <c r="D478" s="522" t="str">
        <f t="shared" si="1"/>
        <v>114Pleno</v>
      </c>
      <c r="E478" s="523">
        <v>0.0</v>
      </c>
      <c r="F478" s="523">
        <v>0.0</v>
      </c>
      <c r="G478" s="524">
        <v>0.0</v>
      </c>
      <c r="H478" s="524">
        <v>0.0</v>
      </c>
      <c r="I478" s="524">
        <v>0.0</v>
      </c>
      <c r="J478" s="524">
        <v>0.0</v>
      </c>
      <c r="K478" s="524">
        <v>0.0</v>
      </c>
      <c r="L478" s="524">
        <v>0.0</v>
      </c>
      <c r="M478" s="524"/>
    </row>
    <row r="479" ht="15.75" customHeight="1">
      <c r="A479" s="521">
        <v>114.0</v>
      </c>
      <c r="B479" s="507" t="s">
        <v>520</v>
      </c>
      <c r="C479" s="507" t="s">
        <v>53</v>
      </c>
      <c r="D479" s="522" t="str">
        <f t="shared" si="1"/>
        <v>114Sênior</v>
      </c>
      <c r="E479" s="523">
        <v>0.0</v>
      </c>
      <c r="F479" s="523">
        <v>0.0</v>
      </c>
      <c r="G479" s="524">
        <v>0.0</v>
      </c>
      <c r="H479" s="524">
        <v>0.0</v>
      </c>
      <c r="I479" s="524">
        <v>0.0</v>
      </c>
      <c r="J479" s="524">
        <v>0.0</v>
      </c>
      <c r="K479" s="524">
        <v>0.0</v>
      </c>
      <c r="L479" s="524">
        <v>0.0</v>
      </c>
      <c r="M479" s="524"/>
    </row>
    <row r="480" ht="15.75" customHeight="1">
      <c r="A480" s="521">
        <v>114.0</v>
      </c>
      <c r="B480" s="507" t="s">
        <v>520</v>
      </c>
      <c r="C480" s="507" t="s">
        <v>476</v>
      </c>
      <c r="D480" s="522" t="str">
        <f t="shared" si="1"/>
        <v>114Master</v>
      </c>
      <c r="E480" s="523">
        <v>0.0</v>
      </c>
      <c r="F480" s="523">
        <v>0.0</v>
      </c>
      <c r="G480" s="524">
        <v>0.0</v>
      </c>
      <c r="H480" s="524">
        <v>0.0</v>
      </c>
      <c r="I480" s="524">
        <v>0.0</v>
      </c>
      <c r="J480" s="524">
        <v>0.0</v>
      </c>
      <c r="K480" s="524">
        <v>0.0</v>
      </c>
      <c r="L480" s="524">
        <v>0.0</v>
      </c>
      <c r="M480" s="524"/>
    </row>
    <row r="481" ht="15.75" customHeight="1">
      <c r="A481" s="521">
        <v>114.0</v>
      </c>
      <c r="B481" s="507" t="s">
        <v>520</v>
      </c>
      <c r="C481" s="507" t="s">
        <v>264</v>
      </c>
      <c r="D481" s="522" t="str">
        <f t="shared" si="1"/>
        <v>114Especialista</v>
      </c>
      <c r="E481" s="523">
        <v>0.0</v>
      </c>
      <c r="F481" s="523">
        <v>0.0</v>
      </c>
      <c r="G481" s="524">
        <v>0.0</v>
      </c>
      <c r="H481" s="524">
        <v>0.0</v>
      </c>
      <c r="I481" s="524">
        <v>0.0</v>
      </c>
      <c r="J481" s="524">
        <v>0.0</v>
      </c>
      <c r="K481" s="524">
        <v>0.0</v>
      </c>
      <c r="L481" s="524">
        <v>0.0</v>
      </c>
      <c r="M481" s="524"/>
    </row>
    <row r="482" ht="15.75" customHeight="1">
      <c r="A482" s="521">
        <v>473.0</v>
      </c>
      <c r="B482" s="507" t="s">
        <v>521</v>
      </c>
      <c r="C482" s="507" t="s">
        <v>212</v>
      </c>
      <c r="D482" s="522" t="str">
        <f t="shared" si="1"/>
        <v>473Indiferente</v>
      </c>
      <c r="E482" s="523">
        <v>1.0</v>
      </c>
      <c r="F482" s="523">
        <v>1.0</v>
      </c>
      <c r="G482" s="524">
        <v>0.0</v>
      </c>
      <c r="H482" s="524">
        <v>0.0</v>
      </c>
      <c r="I482" s="524">
        <v>0.0</v>
      </c>
      <c r="J482" s="524">
        <v>0.0</v>
      </c>
      <c r="K482" s="524">
        <v>0.0</v>
      </c>
      <c r="L482" s="524">
        <v>0.0</v>
      </c>
      <c r="M482" s="524"/>
    </row>
    <row r="483" ht="15.75" customHeight="1">
      <c r="A483" s="521">
        <v>473.0</v>
      </c>
      <c r="B483" s="507" t="s">
        <v>521</v>
      </c>
      <c r="C483" s="507" t="s">
        <v>60</v>
      </c>
      <c r="D483" s="522" t="str">
        <f t="shared" si="1"/>
        <v>473Júnior</v>
      </c>
      <c r="E483" s="523">
        <v>0.0</v>
      </c>
      <c r="F483" s="523">
        <v>0.0</v>
      </c>
      <c r="G483" s="524">
        <v>0.0</v>
      </c>
      <c r="H483" s="524">
        <v>0.0</v>
      </c>
      <c r="I483" s="524">
        <v>0.0</v>
      </c>
      <c r="J483" s="524">
        <v>0.0</v>
      </c>
      <c r="K483" s="524">
        <v>0.0</v>
      </c>
      <c r="L483" s="524">
        <v>0.0</v>
      </c>
      <c r="M483" s="524"/>
    </row>
    <row r="484" ht="15.75" customHeight="1">
      <c r="A484" s="521">
        <v>473.0</v>
      </c>
      <c r="B484" s="507" t="s">
        <v>521</v>
      </c>
      <c r="C484" s="507" t="s">
        <v>41</v>
      </c>
      <c r="D484" s="522" t="str">
        <f t="shared" si="1"/>
        <v>473Pleno</v>
      </c>
      <c r="E484" s="523">
        <v>0.0</v>
      </c>
      <c r="F484" s="523">
        <v>0.0</v>
      </c>
      <c r="G484" s="524">
        <v>0.0</v>
      </c>
      <c r="H484" s="524">
        <v>0.0</v>
      </c>
      <c r="I484" s="524">
        <v>0.0</v>
      </c>
      <c r="J484" s="524">
        <v>0.0</v>
      </c>
      <c r="K484" s="524">
        <v>0.0</v>
      </c>
      <c r="L484" s="524">
        <v>0.0</v>
      </c>
      <c r="M484" s="524"/>
    </row>
    <row r="485" ht="15.75" customHeight="1">
      <c r="A485" s="521">
        <v>473.0</v>
      </c>
      <c r="B485" s="507" t="s">
        <v>521</v>
      </c>
      <c r="C485" s="507" t="s">
        <v>53</v>
      </c>
      <c r="D485" s="522" t="str">
        <f t="shared" si="1"/>
        <v>473Sênior</v>
      </c>
      <c r="E485" s="523">
        <v>0.0</v>
      </c>
      <c r="F485" s="523">
        <v>0.0</v>
      </c>
      <c r="G485" s="524">
        <v>0.0</v>
      </c>
      <c r="H485" s="524">
        <v>0.0</v>
      </c>
      <c r="I485" s="524">
        <v>0.0</v>
      </c>
      <c r="J485" s="524">
        <v>0.0</v>
      </c>
      <c r="K485" s="524">
        <v>0.0</v>
      </c>
      <c r="L485" s="524">
        <v>0.0</v>
      </c>
      <c r="M485" s="524"/>
    </row>
    <row r="486" ht="15.75" customHeight="1">
      <c r="A486" s="521">
        <v>473.0</v>
      </c>
      <c r="B486" s="507" t="s">
        <v>521</v>
      </c>
      <c r="C486" s="507" t="s">
        <v>476</v>
      </c>
      <c r="D486" s="522" t="str">
        <f t="shared" si="1"/>
        <v>473Master</v>
      </c>
      <c r="E486" s="523">
        <v>0.0</v>
      </c>
      <c r="F486" s="523">
        <v>0.0</v>
      </c>
      <c r="G486" s="524">
        <v>0.0</v>
      </c>
      <c r="H486" s="524">
        <v>0.0</v>
      </c>
      <c r="I486" s="524">
        <v>0.0</v>
      </c>
      <c r="J486" s="524">
        <v>0.0</v>
      </c>
      <c r="K486" s="524">
        <v>0.0</v>
      </c>
      <c r="L486" s="524">
        <v>0.0</v>
      </c>
      <c r="M486" s="524"/>
    </row>
    <row r="487" ht="15.75" customHeight="1">
      <c r="A487" s="521">
        <v>473.0</v>
      </c>
      <c r="B487" s="507" t="s">
        <v>521</v>
      </c>
      <c r="C487" s="507" t="s">
        <v>264</v>
      </c>
      <c r="D487" s="522" t="str">
        <f t="shared" si="1"/>
        <v>473Especialista</v>
      </c>
      <c r="E487" s="523">
        <v>0.0</v>
      </c>
      <c r="F487" s="523">
        <v>0.0</v>
      </c>
      <c r="G487" s="524">
        <v>0.0</v>
      </c>
      <c r="H487" s="524">
        <v>0.0</v>
      </c>
      <c r="I487" s="524">
        <v>0.0</v>
      </c>
      <c r="J487" s="524">
        <v>0.0</v>
      </c>
      <c r="K487" s="524">
        <v>0.0</v>
      </c>
      <c r="L487" s="524">
        <v>0.0</v>
      </c>
      <c r="M487" s="524"/>
    </row>
    <row r="488" ht="15.75" customHeight="1">
      <c r="A488" s="521">
        <v>470.0</v>
      </c>
      <c r="B488" s="507" t="s">
        <v>280</v>
      </c>
      <c r="C488" s="507" t="s">
        <v>212</v>
      </c>
      <c r="D488" s="522" t="str">
        <f t="shared" si="1"/>
        <v>470Indiferente</v>
      </c>
      <c r="E488" s="523">
        <v>4.0</v>
      </c>
      <c r="F488" s="523">
        <v>17.0</v>
      </c>
      <c r="G488" s="524">
        <v>5530.26</v>
      </c>
      <c r="H488" s="524">
        <v>5530.26</v>
      </c>
      <c r="I488" s="524">
        <v>7689.13</v>
      </c>
      <c r="J488" s="524">
        <v>7460.82</v>
      </c>
      <c r="K488" s="524">
        <v>9785.54</v>
      </c>
      <c r="L488" s="524">
        <v>11138.95</v>
      </c>
      <c r="M488" s="524"/>
    </row>
    <row r="489" ht="15.75" customHeight="1">
      <c r="A489" s="521">
        <v>470.0</v>
      </c>
      <c r="B489" s="507" t="s">
        <v>280</v>
      </c>
      <c r="C489" s="507" t="s">
        <v>60</v>
      </c>
      <c r="D489" s="522" t="str">
        <f t="shared" si="1"/>
        <v>470Júnior</v>
      </c>
      <c r="E489" s="523">
        <v>0.0</v>
      </c>
      <c r="F489" s="523">
        <v>0.0</v>
      </c>
      <c r="G489" s="524">
        <v>0.0</v>
      </c>
      <c r="H489" s="524">
        <v>0.0</v>
      </c>
      <c r="I489" s="524">
        <v>0.0</v>
      </c>
      <c r="J489" s="524">
        <v>0.0</v>
      </c>
      <c r="K489" s="524">
        <v>0.0</v>
      </c>
      <c r="L489" s="524">
        <v>0.0</v>
      </c>
      <c r="M489" s="524"/>
    </row>
    <row r="490" ht="15.75" customHeight="1">
      <c r="A490" s="521">
        <v>470.0</v>
      </c>
      <c r="B490" s="507" t="s">
        <v>280</v>
      </c>
      <c r="C490" s="507" t="s">
        <v>41</v>
      </c>
      <c r="D490" s="522" t="str">
        <f t="shared" si="1"/>
        <v>470Pleno</v>
      </c>
      <c r="E490" s="523">
        <v>0.0</v>
      </c>
      <c r="F490" s="523">
        <v>0.0</v>
      </c>
      <c r="G490" s="524">
        <v>0.0</v>
      </c>
      <c r="H490" s="524">
        <v>0.0</v>
      </c>
      <c r="I490" s="524">
        <v>0.0</v>
      </c>
      <c r="J490" s="524">
        <v>0.0</v>
      </c>
      <c r="K490" s="524">
        <v>0.0</v>
      </c>
      <c r="L490" s="524">
        <v>0.0</v>
      </c>
      <c r="M490" s="524"/>
    </row>
    <row r="491" ht="15.75" customHeight="1">
      <c r="A491" s="521">
        <v>470.0</v>
      </c>
      <c r="B491" s="507" t="s">
        <v>280</v>
      </c>
      <c r="C491" s="507" t="s">
        <v>53</v>
      </c>
      <c r="D491" s="522" t="str">
        <f t="shared" si="1"/>
        <v>470Sênior</v>
      </c>
      <c r="E491" s="523">
        <v>0.0</v>
      </c>
      <c r="F491" s="523">
        <v>0.0</v>
      </c>
      <c r="G491" s="524">
        <v>0.0</v>
      </c>
      <c r="H491" s="524">
        <v>0.0</v>
      </c>
      <c r="I491" s="524">
        <v>0.0</v>
      </c>
      <c r="J491" s="524">
        <v>0.0</v>
      </c>
      <c r="K491" s="524">
        <v>0.0</v>
      </c>
      <c r="L491" s="524">
        <v>0.0</v>
      </c>
      <c r="M491" s="524"/>
    </row>
    <row r="492" ht="15.75" customHeight="1">
      <c r="A492" s="521">
        <v>470.0</v>
      </c>
      <c r="B492" s="507" t="s">
        <v>280</v>
      </c>
      <c r="C492" s="507" t="s">
        <v>476</v>
      </c>
      <c r="D492" s="522" t="str">
        <f t="shared" si="1"/>
        <v>470Master</v>
      </c>
      <c r="E492" s="523">
        <v>0.0</v>
      </c>
      <c r="F492" s="523">
        <v>0.0</v>
      </c>
      <c r="G492" s="524">
        <v>0.0</v>
      </c>
      <c r="H492" s="524">
        <v>0.0</v>
      </c>
      <c r="I492" s="524">
        <v>0.0</v>
      </c>
      <c r="J492" s="524">
        <v>0.0</v>
      </c>
      <c r="K492" s="524">
        <v>0.0</v>
      </c>
      <c r="L492" s="524">
        <v>0.0</v>
      </c>
      <c r="M492" s="524"/>
    </row>
    <row r="493" ht="15.75" customHeight="1">
      <c r="A493" s="521">
        <v>470.0</v>
      </c>
      <c r="B493" s="507" t="s">
        <v>280</v>
      </c>
      <c r="C493" s="507" t="s">
        <v>264</v>
      </c>
      <c r="D493" s="522" t="str">
        <f t="shared" si="1"/>
        <v>470Especialista</v>
      </c>
      <c r="E493" s="523">
        <v>0.0</v>
      </c>
      <c r="F493" s="523">
        <v>0.0</v>
      </c>
      <c r="G493" s="524">
        <v>0.0</v>
      </c>
      <c r="H493" s="524">
        <v>0.0</v>
      </c>
      <c r="I493" s="524">
        <v>0.0</v>
      </c>
      <c r="J493" s="524">
        <v>0.0</v>
      </c>
      <c r="K493" s="524">
        <v>0.0</v>
      </c>
      <c r="L493" s="524">
        <v>0.0</v>
      </c>
      <c r="M493" s="524"/>
    </row>
    <row r="494" ht="15.75" customHeight="1">
      <c r="A494" s="521">
        <v>587.0</v>
      </c>
      <c r="B494" s="507" t="s">
        <v>522</v>
      </c>
      <c r="C494" s="507" t="s">
        <v>212</v>
      </c>
      <c r="D494" s="522" t="str">
        <f t="shared" si="1"/>
        <v>587Indiferente</v>
      </c>
      <c r="E494" s="523">
        <v>5.0</v>
      </c>
      <c r="F494" s="523">
        <v>979.0</v>
      </c>
      <c r="G494" s="524">
        <v>2056.25</v>
      </c>
      <c r="H494" s="524">
        <v>2204.65</v>
      </c>
      <c r="I494" s="524">
        <v>2218.18</v>
      </c>
      <c r="J494" s="524">
        <v>2204.65</v>
      </c>
      <c r="K494" s="524">
        <v>2204.65</v>
      </c>
      <c r="L494" s="524">
        <v>3173.36</v>
      </c>
      <c r="M494" s="524"/>
    </row>
    <row r="495" ht="15.75" customHeight="1">
      <c r="A495" s="521">
        <v>587.0</v>
      </c>
      <c r="B495" s="507" t="s">
        <v>522</v>
      </c>
      <c r="C495" s="507" t="s">
        <v>60</v>
      </c>
      <c r="D495" s="522" t="str">
        <f t="shared" si="1"/>
        <v>587Júnior</v>
      </c>
      <c r="E495" s="523">
        <v>0.0</v>
      </c>
      <c r="F495" s="523">
        <v>0.0</v>
      </c>
      <c r="G495" s="524">
        <v>0.0</v>
      </c>
      <c r="H495" s="524">
        <v>0.0</v>
      </c>
      <c r="I495" s="524">
        <v>0.0</v>
      </c>
      <c r="J495" s="524">
        <v>0.0</v>
      </c>
      <c r="K495" s="524">
        <v>0.0</v>
      </c>
      <c r="L495" s="524">
        <v>0.0</v>
      </c>
      <c r="M495" s="524"/>
    </row>
    <row r="496" ht="15.75" customHeight="1">
      <c r="A496" s="521">
        <v>587.0</v>
      </c>
      <c r="B496" s="507" t="s">
        <v>522</v>
      </c>
      <c r="C496" s="507" t="s">
        <v>41</v>
      </c>
      <c r="D496" s="522" t="str">
        <f t="shared" si="1"/>
        <v>587Pleno</v>
      </c>
      <c r="E496" s="523">
        <v>0.0</v>
      </c>
      <c r="F496" s="523">
        <v>0.0</v>
      </c>
      <c r="G496" s="524">
        <v>0.0</v>
      </c>
      <c r="H496" s="524">
        <v>0.0</v>
      </c>
      <c r="I496" s="524">
        <v>0.0</v>
      </c>
      <c r="J496" s="524">
        <v>0.0</v>
      </c>
      <c r="K496" s="524">
        <v>0.0</v>
      </c>
      <c r="L496" s="524">
        <v>0.0</v>
      </c>
      <c r="M496" s="524"/>
    </row>
    <row r="497" ht="15.75" customHeight="1">
      <c r="A497" s="521">
        <v>587.0</v>
      </c>
      <c r="B497" s="507" t="s">
        <v>522</v>
      </c>
      <c r="C497" s="507" t="s">
        <v>53</v>
      </c>
      <c r="D497" s="522" t="str">
        <f t="shared" si="1"/>
        <v>587Sênior</v>
      </c>
      <c r="E497" s="523">
        <v>0.0</v>
      </c>
      <c r="F497" s="523">
        <v>0.0</v>
      </c>
      <c r="G497" s="524">
        <v>0.0</v>
      </c>
      <c r="H497" s="524">
        <v>0.0</v>
      </c>
      <c r="I497" s="524">
        <v>0.0</v>
      </c>
      <c r="J497" s="524">
        <v>0.0</v>
      </c>
      <c r="K497" s="524">
        <v>0.0</v>
      </c>
      <c r="L497" s="524">
        <v>0.0</v>
      </c>
      <c r="M497" s="524"/>
    </row>
    <row r="498" ht="15.75" customHeight="1">
      <c r="A498" s="521">
        <v>587.0</v>
      </c>
      <c r="B498" s="507" t="s">
        <v>522</v>
      </c>
      <c r="C498" s="507" t="s">
        <v>476</v>
      </c>
      <c r="D498" s="522" t="str">
        <f t="shared" si="1"/>
        <v>587Master</v>
      </c>
      <c r="E498" s="523">
        <v>0.0</v>
      </c>
      <c r="F498" s="523">
        <v>0.0</v>
      </c>
      <c r="G498" s="524">
        <v>0.0</v>
      </c>
      <c r="H498" s="524">
        <v>0.0</v>
      </c>
      <c r="I498" s="524">
        <v>0.0</v>
      </c>
      <c r="J498" s="524">
        <v>0.0</v>
      </c>
      <c r="K498" s="524">
        <v>0.0</v>
      </c>
      <c r="L498" s="524">
        <v>0.0</v>
      </c>
      <c r="M498" s="524"/>
    </row>
    <row r="499" ht="15.75" customHeight="1">
      <c r="A499" s="521">
        <v>587.0</v>
      </c>
      <c r="B499" s="507" t="s">
        <v>522</v>
      </c>
      <c r="C499" s="507" t="s">
        <v>264</v>
      </c>
      <c r="D499" s="522" t="str">
        <f t="shared" si="1"/>
        <v>587Especialista</v>
      </c>
      <c r="E499" s="523">
        <v>0.0</v>
      </c>
      <c r="F499" s="523">
        <v>0.0</v>
      </c>
      <c r="G499" s="524">
        <v>0.0</v>
      </c>
      <c r="H499" s="524">
        <v>0.0</v>
      </c>
      <c r="I499" s="524">
        <v>0.0</v>
      </c>
      <c r="J499" s="524">
        <v>0.0</v>
      </c>
      <c r="K499" s="524">
        <v>0.0</v>
      </c>
      <c r="L499" s="524">
        <v>0.0</v>
      </c>
      <c r="M499" s="524"/>
    </row>
    <row r="500" ht="15.75" customHeight="1">
      <c r="A500" s="521">
        <v>583.0</v>
      </c>
      <c r="B500" s="507" t="s">
        <v>307</v>
      </c>
      <c r="C500" s="507" t="s">
        <v>212</v>
      </c>
      <c r="D500" s="522" t="str">
        <f t="shared" si="1"/>
        <v>583Indiferente</v>
      </c>
      <c r="E500" s="523">
        <v>0.0</v>
      </c>
      <c r="F500" s="523">
        <v>0.0</v>
      </c>
      <c r="G500" s="524">
        <v>0.0</v>
      </c>
      <c r="H500" s="524">
        <v>0.0</v>
      </c>
      <c r="I500" s="524">
        <v>0.0</v>
      </c>
      <c r="J500" s="524">
        <v>0.0</v>
      </c>
      <c r="K500" s="524">
        <v>0.0</v>
      </c>
      <c r="L500" s="524">
        <v>0.0</v>
      </c>
      <c r="M500" s="524"/>
    </row>
    <row r="501" ht="15.75" customHeight="1">
      <c r="A501" s="521">
        <v>583.0</v>
      </c>
      <c r="B501" s="507" t="s">
        <v>307</v>
      </c>
      <c r="C501" s="507" t="s">
        <v>60</v>
      </c>
      <c r="D501" s="522" t="str">
        <f t="shared" si="1"/>
        <v>583Júnior</v>
      </c>
      <c r="E501" s="523">
        <v>0.0</v>
      </c>
      <c r="F501" s="523">
        <v>0.0</v>
      </c>
      <c r="G501" s="524">
        <v>0.0</v>
      </c>
      <c r="H501" s="524">
        <v>0.0</v>
      </c>
      <c r="I501" s="524">
        <v>0.0</v>
      </c>
      <c r="J501" s="524">
        <v>0.0</v>
      </c>
      <c r="K501" s="524">
        <v>0.0</v>
      </c>
      <c r="L501" s="524">
        <v>0.0</v>
      </c>
      <c r="M501" s="524"/>
    </row>
    <row r="502" ht="15.75" customHeight="1">
      <c r="A502" s="521">
        <v>583.0</v>
      </c>
      <c r="B502" s="507" t="s">
        <v>307</v>
      </c>
      <c r="C502" s="507" t="s">
        <v>41</v>
      </c>
      <c r="D502" s="522" t="str">
        <f t="shared" si="1"/>
        <v>583Pleno</v>
      </c>
      <c r="E502" s="523">
        <v>0.0</v>
      </c>
      <c r="F502" s="523">
        <v>0.0</v>
      </c>
      <c r="G502" s="524">
        <v>0.0</v>
      </c>
      <c r="H502" s="524">
        <v>0.0</v>
      </c>
      <c r="I502" s="524">
        <v>0.0</v>
      </c>
      <c r="J502" s="524">
        <v>0.0</v>
      </c>
      <c r="K502" s="524">
        <v>0.0</v>
      </c>
      <c r="L502" s="524">
        <v>0.0</v>
      </c>
      <c r="M502" s="524"/>
    </row>
    <row r="503" ht="15.75" customHeight="1">
      <c r="A503" s="521">
        <v>583.0</v>
      </c>
      <c r="B503" s="507" t="s">
        <v>307</v>
      </c>
      <c r="C503" s="507" t="s">
        <v>53</v>
      </c>
      <c r="D503" s="522" t="str">
        <f t="shared" si="1"/>
        <v>583Sênior</v>
      </c>
      <c r="E503" s="523">
        <v>0.0</v>
      </c>
      <c r="F503" s="523">
        <v>0.0</v>
      </c>
      <c r="G503" s="524">
        <v>0.0</v>
      </c>
      <c r="H503" s="524">
        <v>0.0</v>
      </c>
      <c r="I503" s="524">
        <v>0.0</v>
      </c>
      <c r="J503" s="524">
        <v>0.0</v>
      </c>
      <c r="K503" s="524">
        <v>0.0</v>
      </c>
      <c r="L503" s="524">
        <v>0.0</v>
      </c>
      <c r="M503" s="524"/>
    </row>
    <row r="504" ht="15.75" customHeight="1">
      <c r="A504" s="521">
        <v>583.0</v>
      </c>
      <c r="B504" s="507" t="s">
        <v>307</v>
      </c>
      <c r="C504" s="507" t="s">
        <v>476</v>
      </c>
      <c r="D504" s="522" t="str">
        <f t="shared" si="1"/>
        <v>583Master</v>
      </c>
      <c r="E504" s="523">
        <v>0.0</v>
      </c>
      <c r="F504" s="523">
        <v>0.0</v>
      </c>
      <c r="G504" s="524">
        <v>0.0</v>
      </c>
      <c r="H504" s="524">
        <v>0.0</v>
      </c>
      <c r="I504" s="524">
        <v>0.0</v>
      </c>
      <c r="J504" s="524">
        <v>0.0</v>
      </c>
      <c r="K504" s="524">
        <v>0.0</v>
      </c>
      <c r="L504" s="524">
        <v>0.0</v>
      </c>
      <c r="M504" s="524"/>
    </row>
    <row r="505" ht="15.75" customHeight="1">
      <c r="A505" s="521">
        <v>583.0</v>
      </c>
      <c r="B505" s="507" t="s">
        <v>307</v>
      </c>
      <c r="C505" s="507" t="s">
        <v>264</v>
      </c>
      <c r="D505" s="522" t="str">
        <f t="shared" si="1"/>
        <v>583Especialista</v>
      </c>
      <c r="E505" s="523">
        <v>0.0</v>
      </c>
      <c r="F505" s="523">
        <v>0.0</v>
      </c>
      <c r="G505" s="524">
        <v>0.0</v>
      </c>
      <c r="H505" s="524">
        <v>0.0</v>
      </c>
      <c r="I505" s="524">
        <v>0.0</v>
      </c>
      <c r="J505" s="524">
        <v>0.0</v>
      </c>
      <c r="K505" s="524">
        <v>0.0</v>
      </c>
      <c r="L505" s="524">
        <v>0.0</v>
      </c>
      <c r="M505" s="524"/>
    </row>
    <row r="506" ht="15.75" customHeight="1">
      <c r="A506" s="521">
        <v>588.0</v>
      </c>
      <c r="B506" s="507" t="s">
        <v>523</v>
      </c>
      <c r="C506" s="507" t="s">
        <v>212</v>
      </c>
      <c r="D506" s="522" t="str">
        <f t="shared" si="1"/>
        <v>588Indiferente</v>
      </c>
      <c r="E506" s="523">
        <v>3.0</v>
      </c>
      <c r="F506" s="523">
        <v>15.0</v>
      </c>
      <c r="G506" s="524">
        <v>4781.94</v>
      </c>
      <c r="H506" s="524">
        <v>6940.63</v>
      </c>
      <c r="I506" s="524">
        <v>7489.93</v>
      </c>
      <c r="J506" s="524">
        <v>7216.64</v>
      </c>
      <c r="K506" s="524">
        <v>7577.47</v>
      </c>
      <c r="L506" s="524">
        <v>11603.49</v>
      </c>
      <c r="M506" s="524"/>
    </row>
    <row r="507" ht="15.75" customHeight="1">
      <c r="A507" s="521">
        <v>588.0</v>
      </c>
      <c r="B507" s="507" t="s">
        <v>523</v>
      </c>
      <c r="C507" s="507" t="s">
        <v>60</v>
      </c>
      <c r="D507" s="522" t="str">
        <f t="shared" si="1"/>
        <v>588Júnior</v>
      </c>
      <c r="E507" s="523">
        <v>0.0</v>
      </c>
      <c r="F507" s="523">
        <v>0.0</v>
      </c>
      <c r="G507" s="524">
        <v>0.0</v>
      </c>
      <c r="H507" s="524">
        <v>0.0</v>
      </c>
      <c r="I507" s="524">
        <v>0.0</v>
      </c>
      <c r="J507" s="524">
        <v>0.0</v>
      </c>
      <c r="K507" s="524">
        <v>0.0</v>
      </c>
      <c r="L507" s="524">
        <v>0.0</v>
      </c>
      <c r="M507" s="524"/>
    </row>
    <row r="508" ht="15.75" customHeight="1">
      <c r="A508" s="521">
        <v>588.0</v>
      </c>
      <c r="B508" s="507" t="s">
        <v>523</v>
      </c>
      <c r="C508" s="507" t="s">
        <v>41</v>
      </c>
      <c r="D508" s="522" t="str">
        <f t="shared" si="1"/>
        <v>588Pleno</v>
      </c>
      <c r="E508" s="523">
        <v>0.0</v>
      </c>
      <c r="F508" s="523">
        <v>0.0</v>
      </c>
      <c r="G508" s="524">
        <v>0.0</v>
      </c>
      <c r="H508" s="524">
        <v>0.0</v>
      </c>
      <c r="I508" s="524">
        <v>0.0</v>
      </c>
      <c r="J508" s="524">
        <v>0.0</v>
      </c>
      <c r="K508" s="524">
        <v>0.0</v>
      </c>
      <c r="L508" s="524">
        <v>0.0</v>
      </c>
      <c r="M508" s="524"/>
    </row>
    <row r="509" ht="15.75" customHeight="1">
      <c r="A509" s="521">
        <v>588.0</v>
      </c>
      <c r="B509" s="507" t="s">
        <v>523</v>
      </c>
      <c r="C509" s="507" t="s">
        <v>53</v>
      </c>
      <c r="D509" s="522" t="str">
        <f t="shared" si="1"/>
        <v>588Sênior</v>
      </c>
      <c r="E509" s="523">
        <v>0.0</v>
      </c>
      <c r="F509" s="523">
        <v>0.0</v>
      </c>
      <c r="G509" s="524">
        <v>0.0</v>
      </c>
      <c r="H509" s="524">
        <v>0.0</v>
      </c>
      <c r="I509" s="524">
        <v>0.0</v>
      </c>
      <c r="J509" s="524">
        <v>0.0</v>
      </c>
      <c r="K509" s="524">
        <v>0.0</v>
      </c>
      <c r="L509" s="524">
        <v>0.0</v>
      </c>
      <c r="M509" s="524"/>
    </row>
    <row r="510" ht="15.75" customHeight="1">
      <c r="A510" s="521">
        <v>588.0</v>
      </c>
      <c r="B510" s="507" t="s">
        <v>523</v>
      </c>
      <c r="C510" s="507" t="s">
        <v>476</v>
      </c>
      <c r="D510" s="522" t="str">
        <f t="shared" si="1"/>
        <v>588Master</v>
      </c>
      <c r="E510" s="523">
        <v>0.0</v>
      </c>
      <c r="F510" s="523">
        <v>0.0</v>
      </c>
      <c r="G510" s="524">
        <v>0.0</v>
      </c>
      <c r="H510" s="524">
        <v>0.0</v>
      </c>
      <c r="I510" s="524">
        <v>0.0</v>
      </c>
      <c r="J510" s="524">
        <v>0.0</v>
      </c>
      <c r="K510" s="524">
        <v>0.0</v>
      </c>
      <c r="L510" s="524">
        <v>0.0</v>
      </c>
      <c r="M510" s="524"/>
    </row>
    <row r="511" ht="15.75" customHeight="1">
      <c r="A511" s="521">
        <v>588.0</v>
      </c>
      <c r="B511" s="507" t="s">
        <v>523</v>
      </c>
      <c r="C511" s="507" t="s">
        <v>264</v>
      </c>
      <c r="D511" s="522" t="str">
        <f t="shared" si="1"/>
        <v>588Especialista</v>
      </c>
      <c r="E511" s="523">
        <v>0.0</v>
      </c>
      <c r="F511" s="523">
        <v>0.0</v>
      </c>
      <c r="G511" s="524">
        <v>0.0</v>
      </c>
      <c r="H511" s="524">
        <v>0.0</v>
      </c>
      <c r="I511" s="524">
        <v>0.0</v>
      </c>
      <c r="J511" s="524">
        <v>0.0</v>
      </c>
      <c r="K511" s="524">
        <v>0.0</v>
      </c>
      <c r="L511" s="524">
        <v>0.0</v>
      </c>
      <c r="M511" s="524"/>
    </row>
    <row r="512" ht="15.75" customHeight="1">
      <c r="A512" s="521">
        <v>469.0</v>
      </c>
      <c r="B512" s="507" t="s">
        <v>309</v>
      </c>
      <c r="C512" s="507" t="s">
        <v>212</v>
      </c>
      <c r="D512" s="522" t="str">
        <f t="shared" si="1"/>
        <v>469Indiferente</v>
      </c>
      <c r="E512" s="521">
        <v>8.0</v>
      </c>
      <c r="F512" s="521">
        <v>12.0</v>
      </c>
      <c r="G512" s="525">
        <v>4254.14</v>
      </c>
      <c r="H512" s="525">
        <v>5291.84</v>
      </c>
      <c r="I512" s="525">
        <v>6690.95</v>
      </c>
      <c r="J512" s="525">
        <v>6196.82</v>
      </c>
      <c r="K512" s="525">
        <v>8126.61</v>
      </c>
      <c r="L512" s="525">
        <v>9844.29</v>
      </c>
      <c r="M512" s="524"/>
    </row>
    <row r="513" ht="15.75" customHeight="1">
      <c r="A513" s="521">
        <v>469.0</v>
      </c>
      <c r="B513" s="507" t="s">
        <v>309</v>
      </c>
      <c r="C513" s="507" t="s">
        <v>60</v>
      </c>
      <c r="D513" s="522" t="str">
        <f t="shared" si="1"/>
        <v>469Júnior</v>
      </c>
      <c r="E513" s="521">
        <v>0.0</v>
      </c>
      <c r="F513" s="521">
        <v>0.0</v>
      </c>
      <c r="G513" s="525">
        <v>0.0</v>
      </c>
      <c r="H513" s="525">
        <v>0.0</v>
      </c>
      <c r="I513" s="525">
        <v>0.0</v>
      </c>
      <c r="J513" s="525">
        <v>0.0</v>
      </c>
      <c r="K513" s="525">
        <v>0.0</v>
      </c>
      <c r="L513" s="525">
        <v>0.0</v>
      </c>
      <c r="M513" s="524"/>
    </row>
    <row r="514" ht="15.75" customHeight="1">
      <c r="A514" s="521">
        <v>469.0</v>
      </c>
      <c r="B514" s="507" t="s">
        <v>309</v>
      </c>
      <c r="C514" s="507" t="s">
        <v>41</v>
      </c>
      <c r="D514" s="522" t="str">
        <f t="shared" si="1"/>
        <v>469Pleno</v>
      </c>
      <c r="E514" s="521">
        <v>1.0</v>
      </c>
      <c r="F514" s="521">
        <v>2.0</v>
      </c>
      <c r="G514" s="525">
        <v>0.0</v>
      </c>
      <c r="H514" s="525">
        <v>0.0</v>
      </c>
      <c r="I514" s="525">
        <v>0.0</v>
      </c>
      <c r="J514" s="525">
        <v>0.0</v>
      </c>
      <c r="K514" s="525">
        <v>0.0</v>
      </c>
      <c r="L514" s="525">
        <v>0.0</v>
      </c>
      <c r="M514" s="524"/>
    </row>
    <row r="515" ht="15.75" customHeight="1">
      <c r="A515" s="521">
        <v>469.0</v>
      </c>
      <c r="B515" s="507" t="s">
        <v>309</v>
      </c>
      <c r="C515" s="507" t="s">
        <v>53</v>
      </c>
      <c r="D515" s="522" t="str">
        <f t="shared" si="1"/>
        <v>469Sênior</v>
      </c>
      <c r="E515" s="521">
        <v>1.0</v>
      </c>
      <c r="F515" s="521">
        <v>1.0</v>
      </c>
      <c r="G515" s="525">
        <v>0.0</v>
      </c>
      <c r="H515" s="525">
        <v>0.0</v>
      </c>
      <c r="I515" s="525">
        <v>0.0</v>
      </c>
      <c r="J515" s="525">
        <v>0.0</v>
      </c>
      <c r="K515" s="525">
        <v>0.0</v>
      </c>
      <c r="L515" s="525">
        <v>0.0</v>
      </c>
      <c r="M515" s="524"/>
    </row>
    <row r="516" ht="15.75" customHeight="1">
      <c r="A516" s="521">
        <v>469.0</v>
      </c>
      <c r="B516" s="507" t="s">
        <v>309</v>
      </c>
      <c r="C516" s="507" t="s">
        <v>476</v>
      </c>
      <c r="D516" s="522" t="str">
        <f t="shared" si="1"/>
        <v>469Master</v>
      </c>
      <c r="E516" s="521">
        <v>0.0</v>
      </c>
      <c r="F516" s="521">
        <v>0.0</v>
      </c>
      <c r="G516" s="525">
        <v>0.0</v>
      </c>
      <c r="H516" s="525">
        <v>0.0</v>
      </c>
      <c r="I516" s="525">
        <v>0.0</v>
      </c>
      <c r="J516" s="525">
        <v>0.0</v>
      </c>
      <c r="K516" s="525">
        <v>0.0</v>
      </c>
      <c r="L516" s="525">
        <v>0.0</v>
      </c>
      <c r="M516" s="524"/>
    </row>
    <row r="517" ht="15.75" customHeight="1">
      <c r="A517" s="521">
        <v>469.0</v>
      </c>
      <c r="B517" s="507" t="s">
        <v>309</v>
      </c>
      <c r="C517" s="507" t="s">
        <v>264</v>
      </c>
      <c r="D517" s="522" t="str">
        <f t="shared" si="1"/>
        <v>469Especialista</v>
      </c>
      <c r="E517" s="521">
        <v>0.0</v>
      </c>
      <c r="F517" s="521">
        <v>0.0</v>
      </c>
      <c r="G517" s="525">
        <v>0.0</v>
      </c>
      <c r="H517" s="525">
        <v>0.0</v>
      </c>
      <c r="I517" s="525">
        <v>0.0</v>
      </c>
      <c r="J517" s="525">
        <v>0.0</v>
      </c>
      <c r="K517" s="525">
        <v>0.0</v>
      </c>
      <c r="L517" s="525">
        <v>0.0</v>
      </c>
      <c r="M517" s="524"/>
    </row>
    <row r="518" ht="15.75" customHeight="1">
      <c r="A518" s="521">
        <v>269.0</v>
      </c>
      <c r="B518" s="507" t="s">
        <v>313</v>
      </c>
      <c r="C518" s="507" t="s">
        <v>212</v>
      </c>
      <c r="D518" s="522" t="str">
        <f t="shared" si="1"/>
        <v>269Indiferente</v>
      </c>
      <c r="E518" s="523">
        <v>3.0</v>
      </c>
      <c r="F518" s="523">
        <v>8.0</v>
      </c>
      <c r="G518" s="524">
        <v>3016.5</v>
      </c>
      <c r="H518" s="524">
        <v>3732.17</v>
      </c>
      <c r="I518" s="524">
        <v>4583.42</v>
      </c>
      <c r="J518" s="524">
        <v>4022.01</v>
      </c>
      <c r="K518" s="524">
        <v>4417.17</v>
      </c>
      <c r="L518" s="524">
        <v>9075.39</v>
      </c>
      <c r="M518" s="524"/>
    </row>
    <row r="519" ht="15.75" customHeight="1">
      <c r="A519" s="521">
        <v>269.0</v>
      </c>
      <c r="B519" s="507" t="s">
        <v>313</v>
      </c>
      <c r="C519" s="507" t="s">
        <v>60</v>
      </c>
      <c r="D519" s="522" t="str">
        <f t="shared" si="1"/>
        <v>269Júnior</v>
      </c>
      <c r="E519" s="523">
        <v>1.0</v>
      </c>
      <c r="F519" s="523">
        <v>2.0</v>
      </c>
      <c r="G519" s="524">
        <v>0.0</v>
      </c>
      <c r="H519" s="524">
        <v>0.0</v>
      </c>
      <c r="I519" s="524">
        <v>0.0</v>
      </c>
      <c r="J519" s="524">
        <v>0.0</v>
      </c>
      <c r="K519" s="524">
        <v>0.0</v>
      </c>
      <c r="L519" s="524">
        <v>0.0</v>
      </c>
      <c r="M519" s="524"/>
    </row>
    <row r="520" ht="15.75" customHeight="1">
      <c r="A520" s="521">
        <v>269.0</v>
      </c>
      <c r="B520" s="507" t="s">
        <v>313</v>
      </c>
      <c r="C520" s="507" t="s">
        <v>41</v>
      </c>
      <c r="D520" s="522" t="str">
        <f t="shared" si="1"/>
        <v>269Pleno</v>
      </c>
      <c r="E520" s="523">
        <v>1.0</v>
      </c>
      <c r="F520" s="523">
        <v>3.0</v>
      </c>
      <c r="G520" s="524">
        <v>0.0</v>
      </c>
      <c r="H520" s="524">
        <v>0.0</v>
      </c>
      <c r="I520" s="524">
        <v>0.0</v>
      </c>
      <c r="J520" s="524">
        <v>0.0</v>
      </c>
      <c r="K520" s="524">
        <v>0.0</v>
      </c>
      <c r="L520" s="524">
        <v>0.0</v>
      </c>
      <c r="M520" s="524"/>
    </row>
    <row r="521" ht="15.75" customHeight="1">
      <c r="A521" s="521">
        <v>269.0</v>
      </c>
      <c r="B521" s="507" t="s">
        <v>313</v>
      </c>
      <c r="C521" s="507" t="s">
        <v>53</v>
      </c>
      <c r="D521" s="522" t="str">
        <f t="shared" si="1"/>
        <v>269Sênior</v>
      </c>
      <c r="E521" s="523">
        <v>1.0</v>
      </c>
      <c r="F521" s="523">
        <v>1.0</v>
      </c>
      <c r="G521" s="524">
        <v>0.0</v>
      </c>
      <c r="H521" s="524">
        <v>0.0</v>
      </c>
      <c r="I521" s="524">
        <v>0.0</v>
      </c>
      <c r="J521" s="524">
        <v>0.0</v>
      </c>
      <c r="K521" s="524">
        <v>0.0</v>
      </c>
      <c r="L521" s="524">
        <v>0.0</v>
      </c>
      <c r="M521" s="524"/>
    </row>
    <row r="522" ht="15.75" customHeight="1">
      <c r="A522" s="521">
        <v>269.0</v>
      </c>
      <c r="B522" s="507" t="s">
        <v>313</v>
      </c>
      <c r="C522" s="507" t="s">
        <v>476</v>
      </c>
      <c r="D522" s="522" t="str">
        <f t="shared" si="1"/>
        <v>269Master</v>
      </c>
      <c r="E522" s="523">
        <v>0.0</v>
      </c>
      <c r="F522" s="523">
        <v>0.0</v>
      </c>
      <c r="G522" s="524">
        <v>0.0</v>
      </c>
      <c r="H522" s="524">
        <v>0.0</v>
      </c>
      <c r="I522" s="524">
        <v>0.0</v>
      </c>
      <c r="J522" s="524">
        <v>0.0</v>
      </c>
      <c r="K522" s="524">
        <v>0.0</v>
      </c>
      <c r="L522" s="524">
        <v>0.0</v>
      </c>
      <c r="M522" s="524"/>
    </row>
    <row r="523" ht="15.75" customHeight="1">
      <c r="A523" s="521">
        <v>269.0</v>
      </c>
      <c r="B523" s="507" t="s">
        <v>313</v>
      </c>
      <c r="C523" s="507" t="s">
        <v>264</v>
      </c>
      <c r="D523" s="522" t="str">
        <f t="shared" si="1"/>
        <v>269Especialista</v>
      </c>
      <c r="E523" s="523">
        <v>0.0</v>
      </c>
      <c r="F523" s="523">
        <v>0.0</v>
      </c>
      <c r="G523" s="524">
        <v>0.0</v>
      </c>
      <c r="H523" s="524">
        <v>0.0</v>
      </c>
      <c r="I523" s="524">
        <v>0.0</v>
      </c>
      <c r="J523" s="524">
        <v>0.0</v>
      </c>
      <c r="K523" s="524">
        <v>0.0</v>
      </c>
      <c r="L523" s="524">
        <v>0.0</v>
      </c>
      <c r="M523" s="524"/>
    </row>
    <row r="524" ht="15.75" customHeight="1">
      <c r="A524" s="521">
        <v>124.0</v>
      </c>
      <c r="B524" s="507" t="s">
        <v>524</v>
      </c>
      <c r="C524" s="507" t="s">
        <v>212</v>
      </c>
      <c r="D524" s="522" t="str">
        <f t="shared" si="1"/>
        <v>124Indiferente</v>
      </c>
      <c r="E524" s="523">
        <v>4.0</v>
      </c>
      <c r="F524" s="523">
        <v>5.0</v>
      </c>
      <c r="G524" s="524">
        <v>3726.87</v>
      </c>
      <c r="H524" s="524">
        <v>3726.87</v>
      </c>
      <c r="I524" s="524">
        <v>4541.3</v>
      </c>
      <c r="J524" s="524">
        <v>4470.46</v>
      </c>
      <c r="K524" s="524">
        <v>5352.58</v>
      </c>
      <c r="L524" s="524">
        <v>5429.71</v>
      </c>
      <c r="M524" s="524"/>
    </row>
    <row r="525" ht="15.75" customHeight="1">
      <c r="A525" s="521">
        <v>124.0</v>
      </c>
      <c r="B525" s="507" t="s">
        <v>524</v>
      </c>
      <c r="C525" s="507" t="s">
        <v>60</v>
      </c>
      <c r="D525" s="522" t="str">
        <f t="shared" si="1"/>
        <v>124Júnior</v>
      </c>
      <c r="E525" s="523">
        <v>1.0</v>
      </c>
      <c r="F525" s="523">
        <v>3.0</v>
      </c>
      <c r="G525" s="524">
        <v>0.0</v>
      </c>
      <c r="H525" s="524">
        <v>0.0</v>
      </c>
      <c r="I525" s="524">
        <v>0.0</v>
      </c>
      <c r="J525" s="524">
        <v>0.0</v>
      </c>
      <c r="K525" s="524">
        <v>0.0</v>
      </c>
      <c r="L525" s="524">
        <v>0.0</v>
      </c>
      <c r="M525" s="524"/>
    </row>
    <row r="526" ht="15.75" customHeight="1">
      <c r="A526" s="521">
        <v>124.0</v>
      </c>
      <c r="B526" s="507" t="s">
        <v>524</v>
      </c>
      <c r="C526" s="507" t="s">
        <v>41</v>
      </c>
      <c r="D526" s="522" t="str">
        <f t="shared" si="1"/>
        <v>124Pleno</v>
      </c>
      <c r="E526" s="523">
        <v>1.0</v>
      </c>
      <c r="F526" s="523">
        <v>2.0</v>
      </c>
      <c r="G526" s="524">
        <v>0.0</v>
      </c>
      <c r="H526" s="524">
        <v>0.0</v>
      </c>
      <c r="I526" s="524">
        <v>0.0</v>
      </c>
      <c r="J526" s="524">
        <v>0.0</v>
      </c>
      <c r="K526" s="524">
        <v>0.0</v>
      </c>
      <c r="L526" s="524">
        <v>0.0</v>
      </c>
      <c r="M526" s="524"/>
    </row>
    <row r="527" ht="15.75" customHeight="1">
      <c r="A527" s="521">
        <v>124.0</v>
      </c>
      <c r="B527" s="507" t="s">
        <v>524</v>
      </c>
      <c r="C527" s="507" t="s">
        <v>53</v>
      </c>
      <c r="D527" s="522" t="str">
        <f t="shared" si="1"/>
        <v>124Sênior</v>
      </c>
      <c r="E527" s="523">
        <v>0.0</v>
      </c>
      <c r="F527" s="523">
        <v>0.0</v>
      </c>
      <c r="G527" s="524">
        <v>0.0</v>
      </c>
      <c r="H527" s="524">
        <v>0.0</v>
      </c>
      <c r="I527" s="524">
        <v>0.0</v>
      </c>
      <c r="J527" s="524">
        <v>0.0</v>
      </c>
      <c r="K527" s="524">
        <v>0.0</v>
      </c>
      <c r="L527" s="524">
        <v>0.0</v>
      </c>
      <c r="M527" s="524"/>
    </row>
    <row r="528" ht="15.75" customHeight="1">
      <c r="A528" s="521">
        <v>124.0</v>
      </c>
      <c r="B528" s="507" t="s">
        <v>524</v>
      </c>
      <c r="C528" s="507" t="s">
        <v>476</v>
      </c>
      <c r="D528" s="522" t="str">
        <f t="shared" si="1"/>
        <v>124Master</v>
      </c>
      <c r="E528" s="523">
        <v>0.0</v>
      </c>
      <c r="F528" s="523">
        <v>0.0</v>
      </c>
      <c r="G528" s="524">
        <v>0.0</v>
      </c>
      <c r="H528" s="524">
        <v>0.0</v>
      </c>
      <c r="I528" s="524">
        <v>0.0</v>
      </c>
      <c r="J528" s="524">
        <v>0.0</v>
      </c>
      <c r="K528" s="524">
        <v>0.0</v>
      </c>
      <c r="L528" s="524">
        <v>0.0</v>
      </c>
      <c r="M528" s="524"/>
    </row>
    <row r="529" ht="15.75" customHeight="1">
      <c r="A529" s="521">
        <v>124.0</v>
      </c>
      <c r="B529" s="507" t="s">
        <v>524</v>
      </c>
      <c r="C529" s="507" t="s">
        <v>264</v>
      </c>
      <c r="D529" s="522" t="str">
        <f t="shared" si="1"/>
        <v>124Especialista</v>
      </c>
      <c r="E529" s="523">
        <v>0.0</v>
      </c>
      <c r="F529" s="523">
        <v>0.0</v>
      </c>
      <c r="G529" s="524">
        <v>0.0</v>
      </c>
      <c r="H529" s="524">
        <v>0.0</v>
      </c>
      <c r="I529" s="524">
        <v>0.0</v>
      </c>
      <c r="J529" s="524">
        <v>0.0</v>
      </c>
      <c r="K529" s="524">
        <v>0.0</v>
      </c>
      <c r="L529" s="524">
        <v>0.0</v>
      </c>
      <c r="M529" s="524"/>
    </row>
    <row r="530" ht="15.75" customHeight="1">
      <c r="A530" s="521">
        <v>435.0</v>
      </c>
      <c r="B530" s="507" t="s">
        <v>525</v>
      </c>
      <c r="C530" s="507" t="s">
        <v>212</v>
      </c>
      <c r="D530" s="522" t="str">
        <f t="shared" si="1"/>
        <v>435Indiferente</v>
      </c>
      <c r="E530" s="523">
        <v>32.0</v>
      </c>
      <c r="F530" s="523">
        <v>144.0</v>
      </c>
      <c r="G530" s="524">
        <v>4535.14</v>
      </c>
      <c r="H530" s="524">
        <v>5026.45</v>
      </c>
      <c r="I530" s="524">
        <v>6507.31</v>
      </c>
      <c r="J530" s="524">
        <v>6050.26</v>
      </c>
      <c r="K530" s="524">
        <v>8274.92</v>
      </c>
      <c r="L530" s="524">
        <v>9260.42</v>
      </c>
      <c r="M530" s="524"/>
    </row>
    <row r="531" ht="15.75" customHeight="1">
      <c r="A531" s="521">
        <v>1.0</v>
      </c>
      <c r="B531" s="507" t="s">
        <v>526</v>
      </c>
      <c r="C531" s="507" t="s">
        <v>212</v>
      </c>
      <c r="D531" s="522" t="str">
        <f t="shared" si="1"/>
        <v>1Indiferente</v>
      </c>
      <c r="E531" s="523">
        <v>126.0</v>
      </c>
      <c r="F531" s="523">
        <v>1594.0</v>
      </c>
      <c r="G531" s="524">
        <v>3908.23</v>
      </c>
      <c r="H531" s="524">
        <v>5443.56</v>
      </c>
      <c r="I531" s="524">
        <v>6967.52</v>
      </c>
      <c r="J531" s="524">
        <v>6687.35</v>
      </c>
      <c r="K531" s="524">
        <v>8977.07</v>
      </c>
      <c r="L531" s="524">
        <v>10783.26</v>
      </c>
      <c r="M531" s="524"/>
    </row>
    <row r="532" ht="15.75" customHeight="1">
      <c r="A532" s="521">
        <v>117.0</v>
      </c>
      <c r="B532" s="507" t="s">
        <v>527</v>
      </c>
      <c r="C532" s="507" t="s">
        <v>212</v>
      </c>
      <c r="D532" s="522" t="str">
        <f t="shared" si="1"/>
        <v>117Indiferente</v>
      </c>
      <c r="E532" s="523">
        <v>19.0</v>
      </c>
      <c r="F532" s="523">
        <v>52.0</v>
      </c>
      <c r="G532" s="524">
        <v>2017.58</v>
      </c>
      <c r="H532" s="524">
        <v>2259.04</v>
      </c>
      <c r="I532" s="524">
        <v>2394.56</v>
      </c>
      <c r="J532" s="524">
        <v>2462.29</v>
      </c>
      <c r="K532" s="524">
        <v>2462.29</v>
      </c>
      <c r="L532" s="524">
        <v>2939.22</v>
      </c>
      <c r="M532" s="524"/>
    </row>
    <row r="533" ht="15.75" customHeight="1">
      <c r="A533" s="521">
        <v>448.0</v>
      </c>
      <c r="B533" s="507" t="s">
        <v>503</v>
      </c>
      <c r="C533" s="507" t="s">
        <v>212</v>
      </c>
      <c r="D533" s="522" t="str">
        <f t="shared" si="1"/>
        <v>448Indiferente</v>
      </c>
      <c r="E533" s="523">
        <v>21.0</v>
      </c>
      <c r="F533" s="523">
        <v>24.0</v>
      </c>
      <c r="G533" s="524">
        <v>5630.63</v>
      </c>
      <c r="H533" s="524">
        <v>6252.96</v>
      </c>
      <c r="I533" s="524">
        <v>7474.04</v>
      </c>
      <c r="J533" s="524">
        <v>7324.49</v>
      </c>
      <c r="K533" s="524">
        <v>8152.86</v>
      </c>
      <c r="L533" s="524">
        <v>9756.67</v>
      </c>
      <c r="M533" s="524"/>
    </row>
    <row r="534" ht="15.75" customHeight="1">
      <c r="A534" s="521">
        <v>119.0</v>
      </c>
      <c r="B534" s="507" t="s">
        <v>528</v>
      </c>
      <c r="C534" s="507" t="s">
        <v>212</v>
      </c>
      <c r="D534" s="522" t="str">
        <f t="shared" si="1"/>
        <v>119Indiferente</v>
      </c>
      <c r="E534" s="523">
        <v>3.0</v>
      </c>
      <c r="F534" s="523">
        <v>3.0</v>
      </c>
      <c r="G534" s="524">
        <v>11723.57</v>
      </c>
      <c r="H534" s="524">
        <v>12727.88</v>
      </c>
      <c r="I534" s="524">
        <v>13104.74</v>
      </c>
      <c r="J534" s="524">
        <v>13732.19</v>
      </c>
      <c r="K534" s="524">
        <v>13795.33</v>
      </c>
      <c r="L534" s="524">
        <v>13858.46</v>
      </c>
      <c r="M534" s="524"/>
    </row>
    <row r="535" ht="15.75" customHeight="1">
      <c r="A535" s="521">
        <v>628.0</v>
      </c>
      <c r="B535" s="507" t="s">
        <v>529</v>
      </c>
      <c r="C535" s="507" t="s">
        <v>212</v>
      </c>
      <c r="D535" s="522" t="str">
        <f t="shared" si="1"/>
        <v>628Indiferente</v>
      </c>
      <c r="E535" s="523">
        <v>25.0</v>
      </c>
      <c r="F535" s="523">
        <v>42.0</v>
      </c>
      <c r="G535" s="524">
        <v>3632.98</v>
      </c>
      <c r="H535" s="524">
        <v>4056.68</v>
      </c>
      <c r="I535" s="524">
        <v>4876.94</v>
      </c>
      <c r="J535" s="524">
        <v>4944.33</v>
      </c>
      <c r="K535" s="524">
        <v>5469.59</v>
      </c>
      <c r="L535" s="524">
        <v>6088.18</v>
      </c>
      <c r="M535" s="524"/>
    </row>
    <row r="536" ht="15.75" customHeight="1">
      <c r="A536" s="521">
        <v>632.0</v>
      </c>
      <c r="B536" s="507" t="s">
        <v>530</v>
      </c>
      <c r="C536" s="507" t="s">
        <v>212</v>
      </c>
      <c r="D536" s="522" t="str">
        <f t="shared" si="1"/>
        <v>632Indiferente</v>
      </c>
      <c r="E536" s="523">
        <v>4.0</v>
      </c>
      <c r="F536" s="523">
        <v>5.0</v>
      </c>
      <c r="G536" s="524">
        <v>6503.78</v>
      </c>
      <c r="H536" s="524">
        <v>7054.67</v>
      </c>
      <c r="I536" s="524">
        <v>9856.94</v>
      </c>
      <c r="J536" s="524">
        <v>9993.91</v>
      </c>
      <c r="K536" s="524">
        <v>12147.71</v>
      </c>
      <c r="L536" s="524">
        <v>13584.62</v>
      </c>
      <c r="M536" s="524"/>
    </row>
    <row r="537" ht="15.75" customHeight="1">
      <c r="A537" s="521">
        <v>657.0</v>
      </c>
      <c r="B537" s="507" t="s">
        <v>531</v>
      </c>
      <c r="C537" s="507" t="s">
        <v>212</v>
      </c>
      <c r="D537" s="522" t="str">
        <f t="shared" si="1"/>
        <v>657Indiferente</v>
      </c>
      <c r="E537" s="523">
        <v>3.0</v>
      </c>
      <c r="F537" s="523">
        <v>4.0</v>
      </c>
      <c r="G537" s="524">
        <v>5281.61</v>
      </c>
      <c r="H537" s="524">
        <v>6549.2</v>
      </c>
      <c r="I537" s="524">
        <v>7870.62</v>
      </c>
      <c r="J537" s="524">
        <v>6971.73</v>
      </c>
      <c r="K537" s="524">
        <v>8293.15</v>
      </c>
      <c r="L537" s="524">
        <v>12257.43</v>
      </c>
      <c r="M537" s="524"/>
    </row>
    <row r="538" ht="15.75" customHeight="1">
      <c r="A538" s="521">
        <v>214.0</v>
      </c>
      <c r="B538" s="507" t="s">
        <v>532</v>
      </c>
      <c r="C538" s="507" t="s">
        <v>212</v>
      </c>
      <c r="D538" s="522" t="str">
        <f t="shared" si="1"/>
        <v>214Indiferente</v>
      </c>
      <c r="E538" s="523">
        <v>2.0</v>
      </c>
      <c r="F538" s="523">
        <v>2.0</v>
      </c>
      <c r="G538" s="524">
        <v>0.0</v>
      </c>
      <c r="H538" s="524">
        <v>0.0</v>
      </c>
      <c r="I538" s="524">
        <v>0.0</v>
      </c>
      <c r="J538" s="524">
        <v>0.0</v>
      </c>
      <c r="K538" s="524">
        <v>0.0</v>
      </c>
      <c r="L538" s="524">
        <v>0.0</v>
      </c>
      <c r="M538" s="524"/>
    </row>
    <row r="539" ht="15.75" customHeight="1">
      <c r="A539" s="521">
        <v>198.0</v>
      </c>
      <c r="B539" s="507" t="s">
        <v>533</v>
      </c>
      <c r="C539" s="507" t="s">
        <v>212</v>
      </c>
      <c r="D539" s="522" t="str">
        <f t="shared" si="1"/>
        <v>198Indiferente</v>
      </c>
      <c r="E539" s="523">
        <v>6.0</v>
      </c>
      <c r="F539" s="523">
        <v>6.0</v>
      </c>
      <c r="G539" s="524">
        <v>17162.22</v>
      </c>
      <c r="H539" s="524">
        <v>21372.32</v>
      </c>
      <c r="I539" s="524">
        <v>21777.74</v>
      </c>
      <c r="J539" s="524">
        <v>22092.79</v>
      </c>
      <c r="K539" s="524">
        <v>22171.81</v>
      </c>
      <c r="L539" s="524">
        <v>25988.31</v>
      </c>
      <c r="M539" s="524"/>
    </row>
    <row r="540" ht="15.75" customHeight="1">
      <c r="A540" s="521">
        <v>399.0</v>
      </c>
      <c r="B540" s="507" t="s">
        <v>534</v>
      </c>
      <c r="C540" s="507" t="s">
        <v>212</v>
      </c>
      <c r="D540" s="522" t="str">
        <f t="shared" si="1"/>
        <v>399Indiferente</v>
      </c>
      <c r="E540" s="523">
        <v>41.0</v>
      </c>
      <c r="F540" s="523">
        <v>110.0</v>
      </c>
      <c r="G540" s="524">
        <v>3800.88</v>
      </c>
      <c r="H540" s="524">
        <v>4434.36</v>
      </c>
      <c r="I540" s="524">
        <v>5128.65</v>
      </c>
      <c r="J540" s="524">
        <v>5145.63</v>
      </c>
      <c r="K540" s="524">
        <v>5656.53</v>
      </c>
      <c r="L540" s="524">
        <v>7112.72</v>
      </c>
      <c r="M540" s="524"/>
    </row>
    <row r="541" ht="15.75" customHeight="1">
      <c r="A541" s="521">
        <v>399.0</v>
      </c>
      <c r="B541" s="507" t="s">
        <v>534</v>
      </c>
      <c r="C541" s="507" t="s">
        <v>60</v>
      </c>
      <c r="D541" s="522" t="str">
        <f t="shared" si="1"/>
        <v>399Júnior</v>
      </c>
      <c r="E541" s="523">
        <v>26.0</v>
      </c>
      <c r="F541" s="523">
        <v>37.0</v>
      </c>
      <c r="G541" s="524">
        <v>2721.09</v>
      </c>
      <c r="H541" s="524">
        <v>3527.33</v>
      </c>
      <c r="I541" s="524">
        <v>3795.14</v>
      </c>
      <c r="J541" s="524">
        <v>3806.93</v>
      </c>
      <c r="K541" s="524">
        <v>4287.34</v>
      </c>
      <c r="L541" s="524">
        <v>4903.24</v>
      </c>
      <c r="M541" s="524"/>
    </row>
    <row r="542" ht="15.75" customHeight="1">
      <c r="A542" s="521">
        <v>399.0</v>
      </c>
      <c r="B542" s="507" t="s">
        <v>534</v>
      </c>
      <c r="C542" s="507" t="s">
        <v>41</v>
      </c>
      <c r="D542" s="522" t="str">
        <f t="shared" si="1"/>
        <v>399Pleno</v>
      </c>
      <c r="E542" s="523">
        <v>32.0</v>
      </c>
      <c r="F542" s="523">
        <v>78.0</v>
      </c>
      <c r="G542" s="524">
        <v>3800.88</v>
      </c>
      <c r="H542" s="524">
        <v>4784.67</v>
      </c>
      <c r="I542" s="524">
        <v>5378.95</v>
      </c>
      <c r="J542" s="524">
        <v>5472.07</v>
      </c>
      <c r="K542" s="524">
        <v>5792.83</v>
      </c>
      <c r="L542" s="524">
        <v>7251.29</v>
      </c>
      <c r="M542" s="524"/>
    </row>
    <row r="543" ht="15.75" customHeight="1">
      <c r="A543" s="521">
        <v>399.0</v>
      </c>
      <c r="B543" s="507" t="s">
        <v>534</v>
      </c>
      <c r="C543" s="507" t="s">
        <v>53</v>
      </c>
      <c r="D543" s="522" t="str">
        <f t="shared" si="1"/>
        <v>399Sênior</v>
      </c>
      <c r="E543" s="523">
        <v>11.0</v>
      </c>
      <c r="F543" s="523">
        <v>17.0</v>
      </c>
      <c r="G543" s="524">
        <v>5820.1</v>
      </c>
      <c r="H543" s="524">
        <v>6227.39</v>
      </c>
      <c r="I543" s="524">
        <v>7520.58</v>
      </c>
      <c r="J543" s="524">
        <v>7781.2</v>
      </c>
      <c r="K543" s="524">
        <v>8276.07</v>
      </c>
      <c r="L543" s="524">
        <v>9075.33</v>
      </c>
      <c r="M543" s="524"/>
    </row>
    <row r="544" ht="15.75" customHeight="1">
      <c r="A544" s="521">
        <v>399.0</v>
      </c>
      <c r="B544" s="507" t="s">
        <v>534</v>
      </c>
      <c r="C544" s="507" t="s">
        <v>476</v>
      </c>
      <c r="D544" s="522" t="str">
        <f t="shared" si="1"/>
        <v>399Master</v>
      </c>
      <c r="E544" s="523">
        <v>0.0</v>
      </c>
      <c r="F544" s="523">
        <v>0.0</v>
      </c>
      <c r="G544" s="524">
        <v>0.0</v>
      </c>
      <c r="H544" s="524">
        <v>0.0</v>
      </c>
      <c r="I544" s="524">
        <v>0.0</v>
      </c>
      <c r="J544" s="524">
        <v>0.0</v>
      </c>
      <c r="K544" s="524">
        <v>0.0</v>
      </c>
      <c r="L544" s="524">
        <v>0.0</v>
      </c>
      <c r="M544" s="524"/>
    </row>
    <row r="545" ht="15.75" customHeight="1">
      <c r="A545" s="521">
        <v>399.0</v>
      </c>
      <c r="B545" s="507" t="s">
        <v>534</v>
      </c>
      <c r="C545" s="507" t="s">
        <v>264</v>
      </c>
      <c r="D545" s="522" t="str">
        <f t="shared" si="1"/>
        <v>399Especialista</v>
      </c>
      <c r="E545" s="523">
        <v>3.0</v>
      </c>
      <c r="F545" s="523">
        <v>3.0</v>
      </c>
      <c r="G545" s="524">
        <v>7301.6</v>
      </c>
      <c r="H545" s="524">
        <v>7862.65</v>
      </c>
      <c r="I545" s="524">
        <v>9084.88</v>
      </c>
      <c r="J545" s="524">
        <v>8423.7</v>
      </c>
      <c r="K545" s="524">
        <v>9976.52</v>
      </c>
      <c r="L545" s="524">
        <v>11529.34</v>
      </c>
      <c r="M545" s="524"/>
    </row>
    <row r="546" ht="15.75" customHeight="1">
      <c r="A546" s="521">
        <v>142.0</v>
      </c>
      <c r="B546" s="507" t="s">
        <v>535</v>
      </c>
      <c r="C546" s="507" t="s">
        <v>212</v>
      </c>
      <c r="D546" s="522" t="str">
        <f t="shared" si="1"/>
        <v>142Indiferente</v>
      </c>
      <c r="E546" s="523">
        <v>17.0</v>
      </c>
      <c r="F546" s="523">
        <v>36.0</v>
      </c>
      <c r="G546" s="524">
        <v>2746.44</v>
      </c>
      <c r="H546" s="524">
        <v>2957.7</v>
      </c>
      <c r="I546" s="524">
        <v>3712.52</v>
      </c>
      <c r="J546" s="524">
        <v>3419.77</v>
      </c>
      <c r="K546" s="524">
        <v>4436.55</v>
      </c>
      <c r="L546" s="524">
        <v>5648.58</v>
      </c>
      <c r="M546" s="524"/>
    </row>
    <row r="547" ht="15.75" customHeight="1">
      <c r="A547" s="521">
        <v>142.0</v>
      </c>
      <c r="B547" s="507" t="s">
        <v>535</v>
      </c>
      <c r="C547" s="507" t="s">
        <v>60</v>
      </c>
      <c r="D547" s="522" t="str">
        <f t="shared" si="1"/>
        <v>142Júnior</v>
      </c>
      <c r="E547" s="523">
        <v>5.0</v>
      </c>
      <c r="F547" s="523">
        <v>6.0</v>
      </c>
      <c r="G547" s="524">
        <v>2112.64</v>
      </c>
      <c r="H547" s="524">
        <v>2463.87</v>
      </c>
      <c r="I547" s="524">
        <v>3027.35</v>
      </c>
      <c r="J547" s="524">
        <v>3111.04</v>
      </c>
      <c r="K547" s="524">
        <v>3590.65</v>
      </c>
      <c r="L547" s="524">
        <v>3830.73</v>
      </c>
      <c r="M547" s="524"/>
    </row>
    <row r="548" ht="15.75" customHeight="1">
      <c r="A548" s="521">
        <v>142.0</v>
      </c>
      <c r="B548" s="507" t="s">
        <v>535</v>
      </c>
      <c r="C548" s="507" t="s">
        <v>41</v>
      </c>
      <c r="D548" s="522" t="str">
        <f t="shared" si="1"/>
        <v>142Pleno</v>
      </c>
      <c r="E548" s="523">
        <v>11.0</v>
      </c>
      <c r="F548" s="523">
        <v>19.0</v>
      </c>
      <c r="G548" s="524">
        <v>2957.7</v>
      </c>
      <c r="H548" s="524">
        <v>2957.7</v>
      </c>
      <c r="I548" s="524">
        <v>3919.86</v>
      </c>
      <c r="J548" s="524">
        <v>4290.52</v>
      </c>
      <c r="K548" s="524">
        <v>4521.72</v>
      </c>
      <c r="L548" s="524">
        <v>4957.85</v>
      </c>
      <c r="M548" s="524"/>
    </row>
    <row r="549" ht="15.75" customHeight="1">
      <c r="A549" s="521">
        <v>142.0</v>
      </c>
      <c r="B549" s="507" t="s">
        <v>535</v>
      </c>
      <c r="C549" s="507" t="s">
        <v>53</v>
      </c>
      <c r="D549" s="522" t="str">
        <f t="shared" si="1"/>
        <v>142Sênior</v>
      </c>
      <c r="E549" s="523">
        <v>3.0</v>
      </c>
      <c r="F549" s="523">
        <v>4.0</v>
      </c>
      <c r="G549" s="524">
        <v>3327.42</v>
      </c>
      <c r="H549" s="524">
        <v>5068.29</v>
      </c>
      <c r="I549" s="524">
        <v>5567.17</v>
      </c>
      <c r="J549" s="524">
        <v>5912.73</v>
      </c>
      <c r="K549" s="524">
        <v>6411.61</v>
      </c>
      <c r="L549" s="524">
        <v>7115.81</v>
      </c>
      <c r="M549" s="524"/>
    </row>
    <row r="550" ht="15.75" customHeight="1">
      <c r="A550" s="521">
        <v>142.0</v>
      </c>
      <c r="B550" s="507" t="s">
        <v>535</v>
      </c>
      <c r="C550" s="507" t="s">
        <v>476</v>
      </c>
      <c r="D550" s="522" t="str">
        <f t="shared" si="1"/>
        <v>142Master</v>
      </c>
      <c r="E550" s="523">
        <v>0.0</v>
      </c>
      <c r="F550" s="523">
        <v>0.0</v>
      </c>
      <c r="G550" s="524">
        <v>0.0</v>
      </c>
      <c r="H550" s="524">
        <v>0.0</v>
      </c>
      <c r="I550" s="524">
        <v>0.0</v>
      </c>
      <c r="J550" s="524">
        <v>0.0</v>
      </c>
      <c r="K550" s="524">
        <v>0.0</v>
      </c>
      <c r="L550" s="524">
        <v>0.0</v>
      </c>
      <c r="M550" s="524"/>
    </row>
    <row r="551" ht="15.75" customHeight="1">
      <c r="A551" s="521">
        <v>142.0</v>
      </c>
      <c r="B551" s="507" t="s">
        <v>535</v>
      </c>
      <c r="C551" s="507" t="s">
        <v>264</v>
      </c>
      <c r="D551" s="522" t="str">
        <f t="shared" si="1"/>
        <v>142Especialista</v>
      </c>
      <c r="E551" s="523">
        <v>2.0</v>
      </c>
      <c r="F551" s="523">
        <v>2.0</v>
      </c>
      <c r="G551" s="524">
        <v>2746.44</v>
      </c>
      <c r="H551" s="524">
        <v>4103.79</v>
      </c>
      <c r="I551" s="524">
        <v>5461.14</v>
      </c>
      <c r="J551" s="524">
        <v>5461.14</v>
      </c>
      <c r="K551" s="524">
        <v>6818.5</v>
      </c>
      <c r="L551" s="524">
        <v>8175.85</v>
      </c>
      <c r="M551" s="524"/>
    </row>
    <row r="552" ht="15.75" customHeight="1">
      <c r="A552" s="521">
        <v>341.0</v>
      </c>
      <c r="B552" s="507" t="s">
        <v>492</v>
      </c>
      <c r="C552" s="507" t="s">
        <v>212</v>
      </c>
      <c r="D552" s="522" t="str">
        <f t="shared" si="1"/>
        <v>341Indiferente</v>
      </c>
      <c r="E552" s="523">
        <v>3.0</v>
      </c>
      <c r="F552" s="523">
        <v>3.0</v>
      </c>
      <c r="G552" s="524">
        <v>2706.62</v>
      </c>
      <c r="H552" s="524">
        <v>2944.72</v>
      </c>
      <c r="I552" s="524">
        <v>3170.34</v>
      </c>
      <c r="J552" s="524">
        <v>3182.82</v>
      </c>
      <c r="K552" s="524">
        <v>3402.2</v>
      </c>
      <c r="L552" s="524">
        <v>3621.59</v>
      </c>
      <c r="M552" s="524"/>
    </row>
    <row r="553" ht="15.75" customHeight="1">
      <c r="A553" s="521">
        <v>392.0</v>
      </c>
      <c r="B553" s="507" t="s">
        <v>536</v>
      </c>
      <c r="C553" s="507" t="s">
        <v>212</v>
      </c>
      <c r="D553" s="522" t="str">
        <f t="shared" si="1"/>
        <v>392Indiferente</v>
      </c>
      <c r="E553" s="523">
        <v>13.0</v>
      </c>
      <c r="F553" s="523">
        <v>50.0</v>
      </c>
      <c r="G553" s="524">
        <v>1964.43</v>
      </c>
      <c r="H553" s="524">
        <v>2447.25</v>
      </c>
      <c r="I553" s="524">
        <v>2526.88</v>
      </c>
      <c r="J553" s="524">
        <v>2535.17</v>
      </c>
      <c r="K553" s="524">
        <v>2659.39</v>
      </c>
      <c r="L553" s="524">
        <v>2939.22</v>
      </c>
      <c r="M553" s="524"/>
    </row>
    <row r="554" ht="15.75" customHeight="1">
      <c r="A554" s="521">
        <v>392.0</v>
      </c>
      <c r="B554" s="507" t="s">
        <v>536</v>
      </c>
      <c r="C554" s="507" t="s">
        <v>60</v>
      </c>
      <c r="D554" s="522" t="str">
        <f t="shared" si="1"/>
        <v>392Júnior</v>
      </c>
      <c r="E554" s="523">
        <v>3.0</v>
      </c>
      <c r="F554" s="523">
        <v>7.0</v>
      </c>
      <c r="G554" s="524">
        <v>1742.93</v>
      </c>
      <c r="H554" s="524">
        <v>2492.92</v>
      </c>
      <c r="I554" s="524">
        <v>2482.36</v>
      </c>
      <c r="J554" s="524">
        <v>2661.93</v>
      </c>
      <c r="K554" s="524">
        <v>2661.93</v>
      </c>
      <c r="L554" s="524">
        <v>2661.93</v>
      </c>
      <c r="M554" s="524"/>
    </row>
    <row r="555" ht="15.75" customHeight="1">
      <c r="A555" s="521">
        <v>392.0</v>
      </c>
      <c r="B555" s="507" t="s">
        <v>536</v>
      </c>
      <c r="C555" s="507" t="s">
        <v>41</v>
      </c>
      <c r="D555" s="522" t="str">
        <f t="shared" si="1"/>
        <v>392Pleno</v>
      </c>
      <c r="E555" s="523">
        <v>2.0</v>
      </c>
      <c r="F555" s="523">
        <v>4.0</v>
      </c>
      <c r="G555" s="524">
        <v>2535.17</v>
      </c>
      <c r="H555" s="524">
        <v>2713.43</v>
      </c>
      <c r="I555" s="524">
        <v>2713.43</v>
      </c>
      <c r="J555" s="524">
        <v>2772.85</v>
      </c>
      <c r="K555" s="524">
        <v>2772.85</v>
      </c>
      <c r="L555" s="524">
        <v>2772.85</v>
      </c>
      <c r="M555" s="524"/>
    </row>
    <row r="556" ht="15.75" customHeight="1">
      <c r="A556" s="521">
        <v>392.0</v>
      </c>
      <c r="B556" s="507" t="s">
        <v>536</v>
      </c>
      <c r="C556" s="507" t="s">
        <v>53</v>
      </c>
      <c r="D556" s="522" t="str">
        <f t="shared" si="1"/>
        <v>392Sênior</v>
      </c>
      <c r="E556" s="523">
        <v>2.0</v>
      </c>
      <c r="F556" s="523">
        <v>2.0</v>
      </c>
      <c r="G556" s="524">
        <v>2904.89</v>
      </c>
      <c r="H556" s="524">
        <v>2913.47</v>
      </c>
      <c r="I556" s="524">
        <v>2922.05</v>
      </c>
      <c r="J556" s="524">
        <v>2922.05</v>
      </c>
      <c r="K556" s="524">
        <v>2930.63</v>
      </c>
      <c r="L556" s="524">
        <v>2939.22</v>
      </c>
      <c r="M556" s="524"/>
    </row>
    <row r="557" ht="15.75" customHeight="1">
      <c r="A557" s="521">
        <v>392.0</v>
      </c>
      <c r="B557" s="507" t="s">
        <v>536</v>
      </c>
      <c r="C557" s="507" t="s">
        <v>476</v>
      </c>
      <c r="D557" s="522" t="str">
        <f t="shared" si="1"/>
        <v>392Master</v>
      </c>
      <c r="E557" s="523">
        <v>1.0</v>
      </c>
      <c r="F557" s="523">
        <v>2.0</v>
      </c>
      <c r="G557" s="524">
        <v>3105.59</v>
      </c>
      <c r="H557" s="524">
        <v>3105.59</v>
      </c>
      <c r="I557" s="524">
        <v>3105.59</v>
      </c>
      <c r="J557" s="524">
        <v>3105.59</v>
      </c>
      <c r="K557" s="524">
        <v>3105.59</v>
      </c>
      <c r="L557" s="524">
        <v>3105.59</v>
      </c>
      <c r="M557" s="524"/>
    </row>
    <row r="558" ht="15.75" customHeight="1">
      <c r="A558" s="521">
        <v>392.0</v>
      </c>
      <c r="B558" s="507" t="s">
        <v>536</v>
      </c>
      <c r="C558" s="507" t="s">
        <v>264</v>
      </c>
      <c r="D558" s="522" t="str">
        <f t="shared" si="1"/>
        <v>392Especialista</v>
      </c>
      <c r="E558" s="523">
        <v>0.0</v>
      </c>
      <c r="F558" s="523">
        <v>0.0</v>
      </c>
      <c r="G558" s="524">
        <v>0.0</v>
      </c>
      <c r="H558" s="524">
        <v>0.0</v>
      </c>
      <c r="I558" s="524">
        <v>0.0</v>
      </c>
      <c r="J558" s="524">
        <v>0.0</v>
      </c>
      <c r="K558" s="524">
        <v>0.0</v>
      </c>
      <c r="L558" s="524">
        <v>0.0</v>
      </c>
      <c r="M558" s="524"/>
    </row>
    <row r="559" ht="15.75" customHeight="1">
      <c r="A559" s="521">
        <v>530.0</v>
      </c>
      <c r="B559" s="507" t="s">
        <v>537</v>
      </c>
      <c r="C559" s="507" t="s">
        <v>212</v>
      </c>
      <c r="D559" s="522" t="str">
        <f t="shared" si="1"/>
        <v>530Indiferente</v>
      </c>
      <c r="E559" s="523">
        <v>5.0</v>
      </c>
      <c r="F559" s="523">
        <v>9.0</v>
      </c>
      <c r="G559" s="524">
        <v>3477.15</v>
      </c>
      <c r="H559" s="524">
        <v>4753.45</v>
      </c>
      <c r="I559" s="524">
        <v>5012.13</v>
      </c>
      <c r="J559" s="524">
        <v>5281.61</v>
      </c>
      <c r="K559" s="524">
        <v>5281.61</v>
      </c>
      <c r="L559" s="524">
        <v>6051.46</v>
      </c>
      <c r="M559" s="524"/>
    </row>
    <row r="560" ht="15.75" customHeight="1">
      <c r="A560" s="521">
        <v>530.0</v>
      </c>
      <c r="B560" s="507" t="s">
        <v>537</v>
      </c>
      <c r="C560" s="507" t="s">
        <v>60</v>
      </c>
      <c r="D560" s="522" t="str">
        <f t="shared" si="1"/>
        <v>530Júnior</v>
      </c>
      <c r="E560" s="523">
        <v>1.0</v>
      </c>
      <c r="F560" s="523">
        <v>1.0</v>
      </c>
      <c r="G560" s="524">
        <v>4299.23</v>
      </c>
      <c r="H560" s="524">
        <v>4299.23</v>
      </c>
      <c r="I560" s="524">
        <v>4299.23</v>
      </c>
      <c r="J560" s="524">
        <v>4299.23</v>
      </c>
      <c r="K560" s="524">
        <v>4299.23</v>
      </c>
      <c r="L560" s="524">
        <v>4299.23</v>
      </c>
      <c r="M560" s="524"/>
    </row>
    <row r="561" ht="15.75" customHeight="1">
      <c r="A561" s="521">
        <v>530.0</v>
      </c>
      <c r="B561" s="507" t="s">
        <v>537</v>
      </c>
      <c r="C561" s="507" t="s">
        <v>41</v>
      </c>
      <c r="D561" s="522" t="str">
        <f t="shared" si="1"/>
        <v>530Pleno</v>
      </c>
      <c r="E561" s="523">
        <v>3.0</v>
      </c>
      <c r="F561" s="523">
        <v>4.0</v>
      </c>
      <c r="G561" s="524">
        <v>4753.45</v>
      </c>
      <c r="H561" s="524">
        <v>4843.29</v>
      </c>
      <c r="I561" s="524">
        <v>5047.48</v>
      </c>
      <c r="J561" s="524">
        <v>5077.43</v>
      </c>
      <c r="K561" s="524">
        <v>5281.61</v>
      </c>
      <c r="L561" s="524">
        <v>5281.61</v>
      </c>
      <c r="M561" s="524"/>
    </row>
    <row r="562" ht="15.75" customHeight="1">
      <c r="A562" s="521">
        <v>530.0</v>
      </c>
      <c r="B562" s="507" t="s">
        <v>537</v>
      </c>
      <c r="C562" s="507" t="s">
        <v>53</v>
      </c>
      <c r="D562" s="522" t="str">
        <f t="shared" si="1"/>
        <v>530Sênior</v>
      </c>
      <c r="E562" s="523">
        <v>1.0</v>
      </c>
      <c r="F562" s="523">
        <v>1.0</v>
      </c>
      <c r="G562" s="524">
        <v>6051.46</v>
      </c>
      <c r="H562" s="524">
        <v>6051.46</v>
      </c>
      <c r="I562" s="524">
        <v>6051.46</v>
      </c>
      <c r="J562" s="524">
        <v>6051.46</v>
      </c>
      <c r="K562" s="524">
        <v>6051.46</v>
      </c>
      <c r="L562" s="524">
        <v>6051.46</v>
      </c>
      <c r="M562" s="524"/>
    </row>
    <row r="563" ht="15.75" customHeight="1">
      <c r="A563" s="521">
        <v>530.0</v>
      </c>
      <c r="B563" s="507" t="s">
        <v>537</v>
      </c>
      <c r="C563" s="507" t="s">
        <v>476</v>
      </c>
      <c r="D563" s="522" t="str">
        <f t="shared" si="1"/>
        <v>530Master</v>
      </c>
      <c r="E563" s="523">
        <v>1.0</v>
      </c>
      <c r="F563" s="523">
        <v>1.0</v>
      </c>
      <c r="G563" s="524">
        <v>12660.15</v>
      </c>
      <c r="H563" s="524">
        <v>12660.15</v>
      </c>
      <c r="I563" s="524">
        <v>12660.15</v>
      </c>
      <c r="J563" s="524">
        <v>12660.15</v>
      </c>
      <c r="K563" s="524">
        <v>12660.15</v>
      </c>
      <c r="L563" s="524">
        <v>12660.15</v>
      </c>
      <c r="M563" s="524"/>
    </row>
    <row r="564" ht="15.75" customHeight="1">
      <c r="A564" s="521">
        <v>530.0</v>
      </c>
      <c r="B564" s="507" t="s">
        <v>537</v>
      </c>
      <c r="C564" s="507" t="s">
        <v>264</v>
      </c>
      <c r="D564" s="522" t="str">
        <f t="shared" si="1"/>
        <v>530Especialista</v>
      </c>
      <c r="E564" s="523">
        <v>0.0</v>
      </c>
      <c r="F564" s="523">
        <v>0.0</v>
      </c>
      <c r="G564" s="524">
        <v>0.0</v>
      </c>
      <c r="H564" s="524">
        <v>0.0</v>
      </c>
      <c r="I564" s="524">
        <v>0.0</v>
      </c>
      <c r="J564" s="524">
        <v>0.0</v>
      </c>
      <c r="K564" s="524">
        <v>0.0</v>
      </c>
      <c r="L564" s="524">
        <v>0.0</v>
      </c>
      <c r="M564" s="524"/>
    </row>
    <row r="565" ht="15.75" customHeight="1">
      <c r="A565" s="521">
        <v>581.0</v>
      </c>
      <c r="B565" s="507" t="s">
        <v>538</v>
      </c>
      <c r="C565" s="507" t="s">
        <v>212</v>
      </c>
      <c r="D565" s="522" t="str">
        <f t="shared" si="1"/>
        <v>581Indiferente</v>
      </c>
      <c r="E565" s="523">
        <v>7.0</v>
      </c>
      <c r="F565" s="523">
        <v>7.0</v>
      </c>
      <c r="G565" s="524">
        <v>2513.81</v>
      </c>
      <c r="H565" s="524">
        <v>2612.24</v>
      </c>
      <c r="I565" s="524">
        <v>2839.97</v>
      </c>
      <c r="J565" s="524">
        <v>2771.48</v>
      </c>
      <c r="K565" s="524">
        <v>2914.04</v>
      </c>
      <c r="L565" s="524">
        <v>3541.91</v>
      </c>
      <c r="M565" s="524"/>
    </row>
    <row r="566" ht="15.75" customHeight="1">
      <c r="A566" s="521">
        <v>581.0</v>
      </c>
      <c r="B566" s="507" t="s">
        <v>538</v>
      </c>
      <c r="C566" s="507" t="s">
        <v>60</v>
      </c>
      <c r="D566" s="522" t="str">
        <f t="shared" si="1"/>
        <v>581Júnior</v>
      </c>
      <c r="E566" s="523">
        <v>0.0</v>
      </c>
      <c r="F566" s="523">
        <v>0.0</v>
      </c>
      <c r="G566" s="524">
        <v>0.0</v>
      </c>
      <c r="H566" s="524">
        <v>0.0</v>
      </c>
      <c r="I566" s="524">
        <v>0.0</v>
      </c>
      <c r="J566" s="524">
        <v>0.0</v>
      </c>
      <c r="K566" s="524">
        <v>0.0</v>
      </c>
      <c r="L566" s="524">
        <v>0.0</v>
      </c>
      <c r="M566" s="524"/>
    </row>
    <row r="567" ht="15.75" customHeight="1">
      <c r="A567" s="521">
        <v>581.0</v>
      </c>
      <c r="B567" s="507" t="s">
        <v>538</v>
      </c>
      <c r="C567" s="507" t="s">
        <v>41</v>
      </c>
      <c r="D567" s="522" t="str">
        <f t="shared" si="1"/>
        <v>581Pleno</v>
      </c>
      <c r="E567" s="523">
        <v>0.0</v>
      </c>
      <c r="F567" s="523">
        <v>0.0</v>
      </c>
      <c r="G567" s="524">
        <v>0.0</v>
      </c>
      <c r="H567" s="524">
        <v>0.0</v>
      </c>
      <c r="I567" s="524">
        <v>0.0</v>
      </c>
      <c r="J567" s="524">
        <v>0.0</v>
      </c>
      <c r="K567" s="524">
        <v>0.0</v>
      </c>
      <c r="L567" s="524">
        <v>0.0</v>
      </c>
      <c r="M567" s="524"/>
    </row>
    <row r="568" ht="15.75" customHeight="1">
      <c r="A568" s="521">
        <v>581.0</v>
      </c>
      <c r="B568" s="507" t="s">
        <v>538</v>
      </c>
      <c r="C568" s="507" t="s">
        <v>53</v>
      </c>
      <c r="D568" s="522" t="str">
        <f t="shared" si="1"/>
        <v>581Sênior</v>
      </c>
      <c r="E568" s="523">
        <v>1.0</v>
      </c>
      <c r="F568" s="523">
        <v>1.0</v>
      </c>
      <c r="G568" s="524">
        <v>3541.91</v>
      </c>
      <c r="H568" s="524">
        <v>3541.91</v>
      </c>
      <c r="I568" s="524">
        <v>3541.91</v>
      </c>
      <c r="J568" s="524">
        <v>3541.91</v>
      </c>
      <c r="K568" s="524">
        <v>3541.91</v>
      </c>
      <c r="L568" s="524">
        <v>3541.91</v>
      </c>
      <c r="M568" s="524"/>
    </row>
    <row r="569" ht="15.75" customHeight="1">
      <c r="A569" s="521">
        <v>581.0</v>
      </c>
      <c r="B569" s="507" t="s">
        <v>538</v>
      </c>
      <c r="C569" s="507" t="s">
        <v>476</v>
      </c>
      <c r="D569" s="522" t="str">
        <f t="shared" si="1"/>
        <v>581Master</v>
      </c>
      <c r="E569" s="523">
        <v>1.0</v>
      </c>
      <c r="F569" s="523">
        <v>2.0</v>
      </c>
      <c r="G569" s="524">
        <v>2885.9</v>
      </c>
      <c r="H569" s="524">
        <v>3383.31</v>
      </c>
      <c r="I569" s="524">
        <v>3880.71</v>
      </c>
      <c r="J569" s="524">
        <v>3880.71</v>
      </c>
      <c r="K569" s="524">
        <v>4378.11</v>
      </c>
      <c r="L569" s="524">
        <v>4875.51</v>
      </c>
      <c r="M569" s="524"/>
    </row>
    <row r="570" ht="15.75" customHeight="1">
      <c r="A570" s="521">
        <v>581.0</v>
      </c>
      <c r="B570" s="507" t="s">
        <v>538</v>
      </c>
      <c r="C570" s="507" t="s">
        <v>264</v>
      </c>
      <c r="D570" s="522" t="str">
        <f t="shared" si="1"/>
        <v>581Especialista</v>
      </c>
      <c r="E570" s="523">
        <v>0.0</v>
      </c>
      <c r="F570" s="523">
        <v>0.0</v>
      </c>
      <c r="G570" s="524">
        <v>0.0</v>
      </c>
      <c r="H570" s="524">
        <v>0.0</v>
      </c>
      <c r="I570" s="524">
        <v>0.0</v>
      </c>
      <c r="J570" s="524">
        <v>0.0</v>
      </c>
      <c r="K570" s="524">
        <v>0.0</v>
      </c>
      <c r="L570" s="524">
        <v>0.0</v>
      </c>
      <c r="M570" s="524"/>
    </row>
    <row r="571" ht="15.75" customHeight="1">
      <c r="A571" s="521">
        <v>167.0</v>
      </c>
      <c r="B571" s="507" t="s">
        <v>539</v>
      </c>
      <c r="C571" s="507" t="s">
        <v>212</v>
      </c>
      <c r="D571" s="522" t="str">
        <f t="shared" si="1"/>
        <v>167Indiferente</v>
      </c>
      <c r="E571" s="523">
        <v>10.0</v>
      </c>
      <c r="F571" s="523">
        <v>11.0</v>
      </c>
      <c r="G571" s="524">
        <v>5436.8</v>
      </c>
      <c r="H571" s="524">
        <v>6258.71</v>
      </c>
      <c r="I571" s="524">
        <v>8049.32</v>
      </c>
      <c r="J571" s="524">
        <v>8305.74</v>
      </c>
      <c r="K571" s="524">
        <v>9738.22</v>
      </c>
      <c r="L571" s="524">
        <v>11085.91</v>
      </c>
      <c r="M571" s="524"/>
    </row>
    <row r="572" ht="15.75" customHeight="1">
      <c r="A572" s="521">
        <v>370.0</v>
      </c>
      <c r="B572" s="507" t="s">
        <v>540</v>
      </c>
      <c r="C572" s="507" t="s">
        <v>212</v>
      </c>
      <c r="D572" s="522" t="str">
        <f t="shared" si="1"/>
        <v>370Indiferente</v>
      </c>
      <c r="E572" s="523">
        <v>25.0</v>
      </c>
      <c r="F572" s="523">
        <v>38.0</v>
      </c>
      <c r="G572" s="524">
        <v>3880.07</v>
      </c>
      <c r="H572" s="524">
        <v>4434.36</v>
      </c>
      <c r="I572" s="524">
        <v>5211.07</v>
      </c>
      <c r="J572" s="524">
        <v>5173.24</v>
      </c>
      <c r="K572" s="524">
        <v>5978.08</v>
      </c>
      <c r="L572" s="524">
        <v>6702.43</v>
      </c>
      <c r="M572" s="524"/>
    </row>
    <row r="573" ht="15.75" customHeight="1">
      <c r="A573" s="521">
        <v>370.0</v>
      </c>
      <c r="B573" s="507" t="s">
        <v>540</v>
      </c>
      <c r="C573" s="507" t="s">
        <v>60</v>
      </c>
      <c r="D573" s="522" t="str">
        <f t="shared" si="1"/>
        <v>370Júnior</v>
      </c>
      <c r="E573" s="523">
        <v>12.0</v>
      </c>
      <c r="F573" s="523">
        <v>15.0</v>
      </c>
      <c r="G573" s="524">
        <v>2782.56</v>
      </c>
      <c r="H573" s="524">
        <v>3322.82</v>
      </c>
      <c r="I573" s="524">
        <v>3874.68</v>
      </c>
      <c r="J573" s="524">
        <v>4035.08</v>
      </c>
      <c r="K573" s="524">
        <v>4360.67</v>
      </c>
      <c r="L573" s="524">
        <v>4811.28</v>
      </c>
      <c r="M573" s="524"/>
    </row>
    <row r="574" ht="15.75" customHeight="1">
      <c r="A574" s="521">
        <v>370.0</v>
      </c>
      <c r="B574" s="507" t="s">
        <v>540</v>
      </c>
      <c r="C574" s="507" t="s">
        <v>41</v>
      </c>
      <c r="D574" s="522" t="str">
        <f t="shared" si="1"/>
        <v>370Pleno</v>
      </c>
      <c r="E574" s="523">
        <v>13.0</v>
      </c>
      <c r="F574" s="523">
        <v>16.0</v>
      </c>
      <c r="G574" s="524">
        <v>4232.8</v>
      </c>
      <c r="H574" s="524">
        <v>4434.36</v>
      </c>
      <c r="I574" s="524">
        <v>4995.14</v>
      </c>
      <c r="J574" s="524">
        <v>5087.57</v>
      </c>
      <c r="K574" s="524">
        <v>5335.45</v>
      </c>
      <c r="L574" s="524">
        <v>6046.86</v>
      </c>
      <c r="M574" s="524"/>
    </row>
    <row r="575" ht="15.75" customHeight="1">
      <c r="A575" s="521">
        <v>370.0</v>
      </c>
      <c r="B575" s="507" t="s">
        <v>540</v>
      </c>
      <c r="C575" s="507" t="s">
        <v>53</v>
      </c>
      <c r="D575" s="522" t="str">
        <f t="shared" si="1"/>
        <v>370Sênior</v>
      </c>
      <c r="E575" s="523">
        <v>9.0</v>
      </c>
      <c r="F575" s="523">
        <v>13.0</v>
      </c>
      <c r="G575" s="524">
        <v>5820.1</v>
      </c>
      <c r="H575" s="524">
        <v>6046.86</v>
      </c>
      <c r="I575" s="524">
        <v>6690.2</v>
      </c>
      <c r="J575" s="524">
        <v>6418.74</v>
      </c>
      <c r="K575" s="524">
        <v>7324.46</v>
      </c>
      <c r="L575" s="524">
        <v>8010.69</v>
      </c>
      <c r="M575" s="524"/>
    </row>
    <row r="576" ht="15.75" customHeight="1">
      <c r="A576" s="521">
        <v>370.0</v>
      </c>
      <c r="B576" s="507" t="s">
        <v>540</v>
      </c>
      <c r="C576" s="507" t="s">
        <v>476</v>
      </c>
      <c r="D576" s="522" t="str">
        <f t="shared" si="1"/>
        <v>370Master</v>
      </c>
      <c r="E576" s="523">
        <v>0.0</v>
      </c>
      <c r="F576" s="523">
        <v>0.0</v>
      </c>
      <c r="G576" s="524">
        <v>0.0</v>
      </c>
      <c r="H576" s="524">
        <v>0.0</v>
      </c>
      <c r="I576" s="524">
        <v>0.0</v>
      </c>
      <c r="J576" s="524">
        <v>0.0</v>
      </c>
      <c r="K576" s="524">
        <v>0.0</v>
      </c>
      <c r="L576" s="524">
        <v>0.0</v>
      </c>
      <c r="M576" s="524"/>
    </row>
    <row r="577" ht="15.75" customHeight="1">
      <c r="A577" s="521">
        <v>370.0</v>
      </c>
      <c r="B577" s="507" t="s">
        <v>540</v>
      </c>
      <c r="C577" s="507" t="s">
        <v>264</v>
      </c>
      <c r="D577" s="522" t="str">
        <f t="shared" si="1"/>
        <v>370Especialista</v>
      </c>
      <c r="E577" s="523">
        <v>2.0</v>
      </c>
      <c r="F577" s="523">
        <v>2.0</v>
      </c>
      <c r="G577" s="524">
        <v>5653.81</v>
      </c>
      <c r="H577" s="524">
        <v>5903.25</v>
      </c>
      <c r="I577" s="524">
        <v>6152.68</v>
      </c>
      <c r="J577" s="524">
        <v>6152.68</v>
      </c>
      <c r="K577" s="524">
        <v>6402.11</v>
      </c>
      <c r="L577" s="524">
        <v>6651.54</v>
      </c>
      <c r="M577" s="524"/>
    </row>
    <row r="578" ht="15.75" customHeight="1">
      <c r="A578" s="521">
        <v>833.0</v>
      </c>
      <c r="B578" s="507" t="s">
        <v>541</v>
      </c>
      <c r="C578" s="507" t="s">
        <v>212</v>
      </c>
      <c r="D578" s="522" t="str">
        <f t="shared" si="1"/>
        <v>833Indiferente</v>
      </c>
      <c r="E578" s="523">
        <v>17.0</v>
      </c>
      <c r="F578" s="523">
        <v>27.0</v>
      </c>
      <c r="G578" s="524">
        <v>2938.77</v>
      </c>
      <c r="H578" s="524">
        <v>4054.03</v>
      </c>
      <c r="I578" s="524">
        <v>4632.74</v>
      </c>
      <c r="J578" s="524">
        <v>4766.43</v>
      </c>
      <c r="K578" s="524">
        <v>5280.65</v>
      </c>
      <c r="L578" s="524">
        <v>6429.83</v>
      </c>
      <c r="M578" s="524"/>
    </row>
    <row r="579" ht="15.75" customHeight="1">
      <c r="A579" s="521">
        <v>833.0</v>
      </c>
      <c r="B579" s="507" t="s">
        <v>541</v>
      </c>
      <c r="C579" s="507" t="s">
        <v>60</v>
      </c>
      <c r="D579" s="522" t="str">
        <f t="shared" si="1"/>
        <v>833Júnior</v>
      </c>
      <c r="E579" s="523">
        <v>7.0</v>
      </c>
      <c r="F579" s="523">
        <v>10.0</v>
      </c>
      <c r="G579" s="524">
        <v>2631.35</v>
      </c>
      <c r="H579" s="524">
        <v>3656.95</v>
      </c>
      <c r="I579" s="524">
        <v>3968.88</v>
      </c>
      <c r="J579" s="524">
        <v>4092.83</v>
      </c>
      <c r="K579" s="524">
        <v>4445.53</v>
      </c>
      <c r="L579" s="524">
        <v>4976.01</v>
      </c>
      <c r="M579" s="524"/>
    </row>
    <row r="580" ht="15.75" customHeight="1">
      <c r="A580" s="521">
        <v>381.0</v>
      </c>
      <c r="B580" s="507" t="s">
        <v>542</v>
      </c>
      <c r="C580" s="507" t="s">
        <v>212</v>
      </c>
      <c r="D580" s="522" t="str">
        <f t="shared" si="1"/>
        <v>381Indiferente</v>
      </c>
      <c r="E580" s="521">
        <v>28.0</v>
      </c>
      <c r="F580" s="521">
        <v>57.0</v>
      </c>
      <c r="G580" s="525">
        <v>3278.52</v>
      </c>
      <c r="H580" s="525">
        <v>3672.74</v>
      </c>
      <c r="I580" s="525">
        <v>4862.32</v>
      </c>
      <c r="J580" s="525">
        <v>4554.29</v>
      </c>
      <c r="K580" s="525">
        <v>5847.82</v>
      </c>
      <c r="L580" s="525">
        <v>7269.85</v>
      </c>
      <c r="M580" s="524"/>
    </row>
    <row r="581" ht="15.75" customHeight="1">
      <c r="A581" s="521">
        <v>381.0</v>
      </c>
      <c r="B581" s="507" t="s">
        <v>542</v>
      </c>
      <c r="C581" s="507" t="s">
        <v>60</v>
      </c>
      <c r="D581" s="522" t="str">
        <f t="shared" si="1"/>
        <v>381Júnior</v>
      </c>
      <c r="E581" s="521">
        <v>14.0</v>
      </c>
      <c r="F581" s="521">
        <v>24.0</v>
      </c>
      <c r="G581" s="525">
        <v>2625.9</v>
      </c>
      <c r="H581" s="525">
        <v>2960.44</v>
      </c>
      <c r="I581" s="525">
        <v>3658.21</v>
      </c>
      <c r="J581" s="525">
        <v>3531.46</v>
      </c>
      <c r="K581" s="525">
        <v>3907.46</v>
      </c>
      <c r="L581" s="525">
        <v>7245.98</v>
      </c>
      <c r="M581" s="524"/>
    </row>
    <row r="582" ht="15.75" customHeight="1">
      <c r="A582" s="521">
        <v>381.0</v>
      </c>
      <c r="B582" s="507" t="s">
        <v>542</v>
      </c>
      <c r="C582" s="507" t="s">
        <v>41</v>
      </c>
      <c r="D582" s="522" t="str">
        <f t="shared" si="1"/>
        <v>381Pleno</v>
      </c>
      <c r="E582" s="521">
        <v>7.0</v>
      </c>
      <c r="F582" s="521">
        <v>14.0</v>
      </c>
      <c r="G582" s="525">
        <v>4316.14</v>
      </c>
      <c r="H582" s="525">
        <v>4772.17</v>
      </c>
      <c r="I582" s="525">
        <v>5226.35</v>
      </c>
      <c r="J582" s="525">
        <v>5232.49</v>
      </c>
      <c r="K582" s="525">
        <v>5771.86</v>
      </c>
      <c r="L582" s="525">
        <v>6046.86</v>
      </c>
      <c r="M582" s="524"/>
    </row>
    <row r="583" ht="15.75" customHeight="1">
      <c r="A583" s="521">
        <v>381.0</v>
      </c>
      <c r="B583" s="507" t="s">
        <v>542</v>
      </c>
      <c r="C583" s="507" t="s">
        <v>53</v>
      </c>
      <c r="D583" s="522" t="str">
        <f t="shared" si="1"/>
        <v>381Sênior</v>
      </c>
      <c r="E583" s="521">
        <v>6.0</v>
      </c>
      <c r="F583" s="521">
        <v>10.0</v>
      </c>
      <c r="G583" s="525">
        <v>5482.03</v>
      </c>
      <c r="H583" s="525">
        <v>5997.71</v>
      </c>
      <c r="I583" s="525">
        <v>7061.44</v>
      </c>
      <c r="J583" s="525">
        <v>7403.22</v>
      </c>
      <c r="K583" s="525">
        <v>8053.52</v>
      </c>
      <c r="L583" s="525">
        <v>8249.13</v>
      </c>
      <c r="M583" s="524"/>
    </row>
    <row r="584" ht="15.75" customHeight="1">
      <c r="A584" s="521">
        <v>381.0</v>
      </c>
      <c r="B584" s="507" t="s">
        <v>542</v>
      </c>
      <c r="C584" s="507" t="s">
        <v>476</v>
      </c>
      <c r="D584" s="522" t="str">
        <f t="shared" si="1"/>
        <v>381Master</v>
      </c>
      <c r="E584" s="521">
        <v>0.0</v>
      </c>
      <c r="F584" s="521">
        <v>0.0</v>
      </c>
      <c r="G584" s="525">
        <v>0.0</v>
      </c>
      <c r="H584" s="525">
        <v>0.0</v>
      </c>
      <c r="I584" s="525">
        <v>0.0</v>
      </c>
      <c r="J584" s="525">
        <v>0.0</v>
      </c>
      <c r="K584" s="525">
        <v>0.0</v>
      </c>
      <c r="L584" s="525">
        <v>0.0</v>
      </c>
      <c r="M584" s="524"/>
    </row>
    <row r="585" ht="15.75" customHeight="1">
      <c r="A585" s="521">
        <v>381.0</v>
      </c>
      <c r="B585" s="507" t="s">
        <v>542</v>
      </c>
      <c r="C585" s="507" t="s">
        <v>264</v>
      </c>
      <c r="D585" s="522" t="str">
        <f t="shared" si="1"/>
        <v>381Especialista</v>
      </c>
      <c r="E585" s="523">
        <v>3.0</v>
      </c>
      <c r="F585" s="523">
        <v>3.0</v>
      </c>
      <c r="G585" s="525">
        <v>5847.82</v>
      </c>
      <c r="H585" s="525">
        <v>7585.06</v>
      </c>
      <c r="I585" s="525">
        <v>9322.3</v>
      </c>
      <c r="J585" s="525">
        <v>9322.3</v>
      </c>
      <c r="K585" s="525">
        <v>11059.55</v>
      </c>
      <c r="L585" s="525">
        <v>12796.79</v>
      </c>
      <c r="M585" s="524"/>
    </row>
    <row r="586" ht="15.75" customHeight="1">
      <c r="A586" s="521">
        <v>131.0</v>
      </c>
      <c r="B586" s="507" t="s">
        <v>543</v>
      </c>
      <c r="C586" s="507" t="s">
        <v>212</v>
      </c>
      <c r="D586" s="522" t="str">
        <f t="shared" si="1"/>
        <v>131Indiferente</v>
      </c>
      <c r="E586" s="523">
        <v>7.0</v>
      </c>
      <c r="F586" s="523">
        <v>7.0</v>
      </c>
      <c r="G586" s="524">
        <v>7415.36</v>
      </c>
      <c r="H586" s="524">
        <v>7629.94</v>
      </c>
      <c r="I586" s="524">
        <v>8356.84</v>
      </c>
      <c r="J586" s="524">
        <v>8062.48</v>
      </c>
      <c r="K586" s="524">
        <v>9092.97</v>
      </c>
      <c r="L586" s="524">
        <v>9574.19</v>
      </c>
      <c r="M586" s="524"/>
    </row>
    <row r="587" ht="15.75" customHeight="1">
      <c r="A587" s="521">
        <v>131.0</v>
      </c>
      <c r="B587" s="507" t="s">
        <v>543</v>
      </c>
      <c r="C587" s="507" t="s">
        <v>60</v>
      </c>
      <c r="D587" s="522" t="str">
        <f t="shared" si="1"/>
        <v>131Júnior</v>
      </c>
      <c r="E587" s="523">
        <v>0.0</v>
      </c>
      <c r="F587" s="523">
        <v>0.0</v>
      </c>
      <c r="G587" s="524">
        <v>0.0</v>
      </c>
      <c r="H587" s="524">
        <v>0.0</v>
      </c>
      <c r="I587" s="524">
        <v>0.0</v>
      </c>
      <c r="J587" s="524">
        <v>0.0</v>
      </c>
      <c r="K587" s="524">
        <v>0.0</v>
      </c>
      <c r="L587" s="524">
        <v>0.0</v>
      </c>
      <c r="M587" s="524"/>
    </row>
    <row r="588" ht="15.75" customHeight="1">
      <c r="A588" s="521">
        <v>131.0</v>
      </c>
      <c r="B588" s="507" t="s">
        <v>543</v>
      </c>
      <c r="C588" s="507" t="s">
        <v>41</v>
      </c>
      <c r="D588" s="522" t="str">
        <f t="shared" si="1"/>
        <v>131Pleno</v>
      </c>
      <c r="E588" s="523">
        <v>1.0</v>
      </c>
      <c r="F588" s="523">
        <v>1.0</v>
      </c>
      <c r="G588" s="524">
        <v>8984.63</v>
      </c>
      <c r="H588" s="524">
        <v>8984.63</v>
      </c>
      <c r="I588" s="524">
        <v>8984.63</v>
      </c>
      <c r="J588" s="524">
        <v>8984.63</v>
      </c>
      <c r="K588" s="524">
        <v>8984.63</v>
      </c>
      <c r="L588" s="524">
        <v>8984.63</v>
      </c>
      <c r="M588" s="524"/>
    </row>
    <row r="589" ht="15.75" customHeight="1">
      <c r="A589" s="521">
        <v>131.0</v>
      </c>
      <c r="B589" s="507" t="s">
        <v>543</v>
      </c>
      <c r="C589" s="507" t="s">
        <v>53</v>
      </c>
      <c r="D589" s="522" t="str">
        <f t="shared" si="1"/>
        <v>131Sênior</v>
      </c>
      <c r="E589" s="523">
        <v>1.0</v>
      </c>
      <c r="F589" s="523">
        <v>1.0</v>
      </c>
      <c r="G589" s="524">
        <v>9574.19</v>
      </c>
      <c r="H589" s="524">
        <v>9574.19</v>
      </c>
      <c r="I589" s="524">
        <v>9574.19</v>
      </c>
      <c r="J589" s="524">
        <v>9574.19</v>
      </c>
      <c r="K589" s="524">
        <v>9574.19</v>
      </c>
      <c r="L589" s="524">
        <v>9574.19</v>
      </c>
      <c r="M589" s="524"/>
    </row>
    <row r="590" ht="15.75" customHeight="1">
      <c r="A590" s="521">
        <v>131.0</v>
      </c>
      <c r="B590" s="507" t="s">
        <v>543</v>
      </c>
      <c r="C590" s="507" t="s">
        <v>476</v>
      </c>
      <c r="D590" s="522" t="str">
        <f t="shared" si="1"/>
        <v>131Master</v>
      </c>
      <c r="E590" s="523">
        <v>0.0</v>
      </c>
      <c r="F590" s="523">
        <v>0.0</v>
      </c>
      <c r="G590" s="524">
        <v>0.0</v>
      </c>
      <c r="H590" s="524">
        <v>0.0</v>
      </c>
      <c r="I590" s="524">
        <v>0.0</v>
      </c>
      <c r="J590" s="524">
        <v>0.0</v>
      </c>
      <c r="K590" s="524">
        <v>0.0</v>
      </c>
      <c r="L590" s="524">
        <v>0.0</v>
      </c>
      <c r="M590" s="524"/>
    </row>
    <row r="591" ht="15.75" customHeight="1">
      <c r="A591" s="521">
        <v>131.0</v>
      </c>
      <c r="B591" s="507" t="s">
        <v>543</v>
      </c>
      <c r="C591" s="507" t="s">
        <v>264</v>
      </c>
      <c r="D591" s="522" t="str">
        <f t="shared" si="1"/>
        <v>131Especialista</v>
      </c>
      <c r="E591" s="523">
        <v>0.0</v>
      </c>
      <c r="F591" s="523">
        <v>0.0</v>
      </c>
      <c r="G591" s="524">
        <v>0.0</v>
      </c>
      <c r="H591" s="524">
        <v>0.0</v>
      </c>
      <c r="I591" s="524">
        <v>0.0</v>
      </c>
      <c r="J591" s="524">
        <v>0.0</v>
      </c>
      <c r="K591" s="524">
        <v>0.0</v>
      </c>
      <c r="L591" s="524">
        <v>0.0</v>
      </c>
      <c r="M591" s="524"/>
    </row>
    <row r="592" ht="15.75" customHeight="1">
      <c r="A592" s="521">
        <v>28.0</v>
      </c>
      <c r="B592" s="507" t="s">
        <v>544</v>
      </c>
      <c r="C592" s="507" t="s">
        <v>212</v>
      </c>
      <c r="D592" s="522" t="str">
        <f t="shared" si="1"/>
        <v>28Indiferente</v>
      </c>
      <c r="E592" s="523">
        <v>62.0</v>
      </c>
      <c r="F592" s="523">
        <v>101.0</v>
      </c>
      <c r="G592" s="524">
        <v>3697.13</v>
      </c>
      <c r="H592" s="524">
        <v>4132.02</v>
      </c>
      <c r="I592" s="524">
        <v>4705.06</v>
      </c>
      <c r="J592" s="524">
        <v>4613.43</v>
      </c>
      <c r="K592" s="524">
        <v>5222.46</v>
      </c>
      <c r="L592" s="524">
        <v>5964.22</v>
      </c>
      <c r="M592" s="524"/>
    </row>
    <row r="593" ht="15.75" customHeight="1">
      <c r="A593" s="521">
        <v>28.0</v>
      </c>
      <c r="B593" s="507" t="s">
        <v>544</v>
      </c>
      <c r="C593" s="507" t="s">
        <v>60</v>
      </c>
      <c r="D593" s="522" t="str">
        <f t="shared" si="1"/>
        <v>28Júnior</v>
      </c>
      <c r="E593" s="523">
        <v>28.0</v>
      </c>
      <c r="F593" s="523">
        <v>38.0</v>
      </c>
      <c r="G593" s="524">
        <v>2937.16</v>
      </c>
      <c r="H593" s="524">
        <v>3423.76</v>
      </c>
      <c r="I593" s="524">
        <v>3960.34</v>
      </c>
      <c r="J593" s="524">
        <v>3880.07</v>
      </c>
      <c r="K593" s="524">
        <v>4282.82</v>
      </c>
      <c r="L593" s="524">
        <v>5050.1</v>
      </c>
      <c r="M593" s="524"/>
    </row>
    <row r="594" ht="15.75" customHeight="1">
      <c r="A594" s="521">
        <v>28.0</v>
      </c>
      <c r="B594" s="507" t="s">
        <v>544</v>
      </c>
      <c r="C594" s="507" t="s">
        <v>41</v>
      </c>
      <c r="D594" s="522" t="str">
        <f t="shared" si="1"/>
        <v>28Pleno</v>
      </c>
      <c r="E594" s="523">
        <v>27.0</v>
      </c>
      <c r="F594" s="523">
        <v>48.0</v>
      </c>
      <c r="G594" s="524">
        <v>3620.58</v>
      </c>
      <c r="H594" s="524">
        <v>4425.62</v>
      </c>
      <c r="I594" s="524">
        <v>4941.69</v>
      </c>
      <c r="J594" s="524">
        <v>4942.04</v>
      </c>
      <c r="K594" s="524">
        <v>5459.78</v>
      </c>
      <c r="L594" s="524">
        <v>6743.26</v>
      </c>
      <c r="M594" s="524"/>
    </row>
    <row r="595" ht="15.75" customHeight="1">
      <c r="A595" s="521">
        <v>28.0</v>
      </c>
      <c r="B595" s="507" t="s">
        <v>544</v>
      </c>
      <c r="C595" s="507" t="s">
        <v>53</v>
      </c>
      <c r="D595" s="522" t="str">
        <f t="shared" si="1"/>
        <v>28Sênior</v>
      </c>
      <c r="E595" s="523">
        <v>16.0</v>
      </c>
      <c r="F595" s="523">
        <v>17.0</v>
      </c>
      <c r="G595" s="524">
        <v>5039.05</v>
      </c>
      <c r="H595" s="524">
        <v>5542.95</v>
      </c>
      <c r="I595" s="524">
        <v>6110.13</v>
      </c>
      <c r="J595" s="524">
        <v>6292.69</v>
      </c>
      <c r="K595" s="524">
        <v>6637.25</v>
      </c>
      <c r="L595" s="524">
        <v>6927.35</v>
      </c>
      <c r="M595" s="524"/>
    </row>
    <row r="596" ht="15.75" customHeight="1">
      <c r="A596" s="521">
        <v>28.0</v>
      </c>
      <c r="B596" s="507" t="s">
        <v>544</v>
      </c>
      <c r="C596" s="507" t="s">
        <v>476</v>
      </c>
      <c r="D596" s="522" t="str">
        <f t="shared" si="1"/>
        <v>28Master</v>
      </c>
      <c r="E596" s="523">
        <v>1.0</v>
      </c>
      <c r="F596" s="523">
        <v>1.0</v>
      </c>
      <c r="G596" s="524">
        <v>5535.13</v>
      </c>
      <c r="H596" s="524">
        <v>5535.13</v>
      </c>
      <c r="I596" s="524">
        <v>5535.13</v>
      </c>
      <c r="J596" s="524">
        <v>5535.13</v>
      </c>
      <c r="K596" s="524">
        <v>5535.13</v>
      </c>
      <c r="L596" s="524">
        <v>5535.13</v>
      </c>
      <c r="M596" s="524"/>
    </row>
    <row r="597" ht="15.75" customHeight="1">
      <c r="A597" s="521">
        <v>28.0</v>
      </c>
      <c r="B597" s="507" t="s">
        <v>544</v>
      </c>
      <c r="C597" s="507" t="s">
        <v>264</v>
      </c>
      <c r="D597" s="522" t="str">
        <f t="shared" si="1"/>
        <v>28Especialista</v>
      </c>
      <c r="E597" s="523">
        <v>1.0</v>
      </c>
      <c r="F597" s="523">
        <v>1.0</v>
      </c>
      <c r="G597" s="524">
        <v>5281.61</v>
      </c>
      <c r="H597" s="524">
        <v>5281.61</v>
      </c>
      <c r="I597" s="524">
        <v>5281.61</v>
      </c>
      <c r="J597" s="524">
        <v>5281.61</v>
      </c>
      <c r="K597" s="524">
        <v>5281.61</v>
      </c>
      <c r="L597" s="524">
        <v>5281.61</v>
      </c>
      <c r="M597" s="524"/>
    </row>
    <row r="598" ht="15.75" customHeight="1">
      <c r="A598" s="521">
        <v>68.0</v>
      </c>
      <c r="B598" s="507" t="s">
        <v>545</v>
      </c>
      <c r="C598" s="507" t="s">
        <v>212</v>
      </c>
      <c r="D598" s="522" t="str">
        <f t="shared" si="1"/>
        <v>68Indiferente</v>
      </c>
      <c r="E598" s="523">
        <v>26.0</v>
      </c>
      <c r="F598" s="523">
        <v>40.0</v>
      </c>
      <c r="G598" s="524">
        <v>2222.22</v>
      </c>
      <c r="H598" s="524">
        <v>2776.2</v>
      </c>
      <c r="I598" s="524">
        <v>2886.99</v>
      </c>
      <c r="J598" s="524">
        <v>2939.0</v>
      </c>
      <c r="K598" s="524">
        <v>3149.42</v>
      </c>
      <c r="L598" s="524">
        <v>3466.4</v>
      </c>
      <c r="M598" s="524"/>
    </row>
    <row r="599" ht="15.75" customHeight="1">
      <c r="A599" s="521">
        <v>68.0</v>
      </c>
      <c r="B599" s="507" t="s">
        <v>545</v>
      </c>
      <c r="C599" s="507" t="s">
        <v>60</v>
      </c>
      <c r="D599" s="522" t="str">
        <f t="shared" si="1"/>
        <v>68Júnior</v>
      </c>
      <c r="E599" s="523">
        <v>7.0</v>
      </c>
      <c r="F599" s="523">
        <v>7.0</v>
      </c>
      <c r="G599" s="524">
        <v>2323.91</v>
      </c>
      <c r="H599" s="524">
        <v>2795.98</v>
      </c>
      <c r="I599" s="524">
        <v>2866.16</v>
      </c>
      <c r="J599" s="524">
        <v>2852.07</v>
      </c>
      <c r="K599" s="524">
        <v>2914.39</v>
      </c>
      <c r="L599" s="524">
        <v>3466.4</v>
      </c>
      <c r="M599" s="524"/>
    </row>
    <row r="600" ht="15.75" customHeight="1">
      <c r="A600" s="521">
        <v>68.0</v>
      </c>
      <c r="B600" s="507" t="s">
        <v>545</v>
      </c>
      <c r="C600" s="507" t="s">
        <v>41</v>
      </c>
      <c r="D600" s="522" t="str">
        <f t="shared" si="1"/>
        <v>68Pleno</v>
      </c>
      <c r="E600" s="523">
        <v>2.0</v>
      </c>
      <c r="F600" s="523">
        <v>2.0</v>
      </c>
      <c r="G600" s="524">
        <v>2959.82</v>
      </c>
      <c r="H600" s="524">
        <v>3032.46</v>
      </c>
      <c r="I600" s="524">
        <v>3105.1</v>
      </c>
      <c r="J600" s="524">
        <v>3105.1</v>
      </c>
      <c r="K600" s="524">
        <v>3177.74</v>
      </c>
      <c r="L600" s="524">
        <v>3250.39</v>
      </c>
      <c r="M600" s="524"/>
    </row>
    <row r="601" ht="15.75" customHeight="1">
      <c r="A601" s="521">
        <v>68.0</v>
      </c>
      <c r="B601" s="507" t="s">
        <v>545</v>
      </c>
      <c r="C601" s="507" t="s">
        <v>53</v>
      </c>
      <c r="D601" s="522" t="str">
        <f t="shared" si="1"/>
        <v>68Sênior</v>
      </c>
      <c r="E601" s="523">
        <v>3.0</v>
      </c>
      <c r="F601" s="523">
        <v>3.0</v>
      </c>
      <c r="G601" s="524">
        <v>2939.22</v>
      </c>
      <c r="H601" s="524">
        <v>3103.79</v>
      </c>
      <c r="I601" s="524">
        <v>3288.64</v>
      </c>
      <c r="J601" s="524">
        <v>3268.36</v>
      </c>
      <c r="K601" s="524">
        <v>3463.35</v>
      </c>
      <c r="L601" s="524">
        <v>3658.35</v>
      </c>
      <c r="M601" s="524"/>
    </row>
    <row r="602" ht="15.75" customHeight="1">
      <c r="A602" s="521">
        <v>68.0</v>
      </c>
      <c r="B602" s="507" t="s">
        <v>545</v>
      </c>
      <c r="C602" s="507" t="s">
        <v>476</v>
      </c>
      <c r="D602" s="522" t="str">
        <f t="shared" si="1"/>
        <v>68Master</v>
      </c>
      <c r="E602" s="523">
        <v>0.0</v>
      </c>
      <c r="F602" s="523">
        <v>0.0</v>
      </c>
      <c r="G602" s="524">
        <v>0.0</v>
      </c>
      <c r="H602" s="524">
        <v>0.0</v>
      </c>
      <c r="I602" s="524">
        <v>0.0</v>
      </c>
      <c r="J602" s="524">
        <v>0.0</v>
      </c>
      <c r="K602" s="524">
        <v>0.0</v>
      </c>
      <c r="L602" s="524">
        <v>0.0</v>
      </c>
      <c r="M602" s="524"/>
    </row>
    <row r="603" ht="15.75" customHeight="1">
      <c r="A603" s="521">
        <v>68.0</v>
      </c>
      <c r="B603" s="507" t="s">
        <v>545</v>
      </c>
      <c r="C603" s="507" t="s">
        <v>264</v>
      </c>
      <c r="D603" s="522" t="str">
        <f t="shared" si="1"/>
        <v>68Especialista</v>
      </c>
      <c r="E603" s="523">
        <v>0.0</v>
      </c>
      <c r="F603" s="523">
        <v>0.0</v>
      </c>
      <c r="G603" s="524">
        <v>0.0</v>
      </c>
      <c r="H603" s="524">
        <v>0.0</v>
      </c>
      <c r="I603" s="524">
        <v>0.0</v>
      </c>
      <c r="J603" s="524">
        <v>0.0</v>
      </c>
      <c r="K603" s="524">
        <v>0.0</v>
      </c>
      <c r="L603" s="524">
        <v>0.0</v>
      </c>
      <c r="M603" s="524"/>
    </row>
    <row r="604" ht="15.75" customHeight="1">
      <c r="A604" s="521">
        <v>125.0</v>
      </c>
      <c r="B604" s="507" t="s">
        <v>546</v>
      </c>
      <c r="C604" s="507" t="s">
        <v>212</v>
      </c>
      <c r="D604" s="522" t="str">
        <f t="shared" si="1"/>
        <v>125Indiferente</v>
      </c>
      <c r="E604" s="523">
        <v>8.0</v>
      </c>
      <c r="F604" s="523">
        <v>8.0</v>
      </c>
      <c r="G604" s="524">
        <v>28588.34</v>
      </c>
      <c r="H604" s="524">
        <v>31871.98</v>
      </c>
      <c r="I604" s="524">
        <v>34842.09</v>
      </c>
      <c r="J604" s="524">
        <v>34920.61</v>
      </c>
      <c r="K604" s="524">
        <v>36301.51</v>
      </c>
      <c r="L604" s="524">
        <v>44343.63</v>
      </c>
      <c r="M604" s="524"/>
    </row>
    <row r="605" ht="15.75" customHeight="1">
      <c r="A605" s="521">
        <v>276.0</v>
      </c>
      <c r="B605" s="507" t="s">
        <v>547</v>
      </c>
      <c r="C605" s="507" t="s">
        <v>212</v>
      </c>
      <c r="D605" s="522" t="str">
        <f t="shared" si="1"/>
        <v>276Indiferente</v>
      </c>
      <c r="E605" s="523">
        <v>12.0</v>
      </c>
      <c r="F605" s="523">
        <v>25.0</v>
      </c>
      <c r="G605" s="524">
        <v>3525.58</v>
      </c>
      <c r="H605" s="524">
        <v>4180.92</v>
      </c>
      <c r="I605" s="524">
        <v>4821.85</v>
      </c>
      <c r="J605" s="524">
        <v>4533.29</v>
      </c>
      <c r="K605" s="524">
        <v>5331.39</v>
      </c>
      <c r="L605" s="524">
        <v>6698.1</v>
      </c>
      <c r="M605" s="524"/>
    </row>
    <row r="606" ht="15.75" customHeight="1">
      <c r="A606" s="521">
        <v>456.0</v>
      </c>
      <c r="B606" s="507" t="s">
        <v>278</v>
      </c>
      <c r="C606" s="507" t="s">
        <v>212</v>
      </c>
      <c r="D606" s="522" t="str">
        <f t="shared" si="1"/>
        <v>456Indiferente</v>
      </c>
      <c r="E606" s="523">
        <v>8.0</v>
      </c>
      <c r="F606" s="523">
        <v>8.0</v>
      </c>
      <c r="G606" s="524">
        <v>18287.31</v>
      </c>
      <c r="H606" s="524">
        <v>24816.78</v>
      </c>
      <c r="I606" s="524">
        <v>32648.36</v>
      </c>
      <c r="J606" s="524">
        <v>29147.75</v>
      </c>
      <c r="K606" s="524">
        <v>37122.89</v>
      </c>
      <c r="L606" s="524">
        <v>55429.54</v>
      </c>
      <c r="M606" s="524"/>
    </row>
    <row r="607" ht="15.75" customHeight="1">
      <c r="A607" s="521">
        <v>456.0</v>
      </c>
      <c r="B607" s="507" t="s">
        <v>278</v>
      </c>
      <c r="C607" s="507" t="s">
        <v>60</v>
      </c>
      <c r="D607" s="522" t="str">
        <f t="shared" si="1"/>
        <v>456Júnior</v>
      </c>
      <c r="E607" s="523">
        <v>0.0</v>
      </c>
      <c r="F607" s="523">
        <v>0.0</v>
      </c>
      <c r="G607" s="524">
        <v>0.0</v>
      </c>
      <c r="H607" s="524">
        <v>0.0</v>
      </c>
      <c r="I607" s="524">
        <v>0.0</v>
      </c>
      <c r="J607" s="524">
        <v>0.0</v>
      </c>
      <c r="K607" s="524">
        <v>0.0</v>
      </c>
      <c r="L607" s="524">
        <v>0.0</v>
      </c>
      <c r="M607" s="524"/>
    </row>
    <row r="608" ht="15.75" customHeight="1">
      <c r="A608" s="521">
        <v>456.0</v>
      </c>
      <c r="B608" s="507" t="s">
        <v>278</v>
      </c>
      <c r="C608" s="507" t="s">
        <v>41</v>
      </c>
      <c r="D608" s="522" t="str">
        <f t="shared" si="1"/>
        <v>456Pleno</v>
      </c>
      <c r="E608" s="523">
        <v>1.0</v>
      </c>
      <c r="F608" s="523">
        <v>1.0</v>
      </c>
      <c r="G608" s="524">
        <v>11085.91</v>
      </c>
      <c r="H608" s="524">
        <v>11085.91</v>
      </c>
      <c r="I608" s="524">
        <v>11085.91</v>
      </c>
      <c r="J608" s="524">
        <v>11085.91</v>
      </c>
      <c r="K608" s="524">
        <v>11085.91</v>
      </c>
      <c r="L608" s="524">
        <v>11085.91</v>
      </c>
      <c r="M608" s="524"/>
    </row>
    <row r="609" ht="15.75" customHeight="1">
      <c r="A609" s="521">
        <v>456.0</v>
      </c>
      <c r="B609" s="507" t="s">
        <v>278</v>
      </c>
      <c r="C609" s="507" t="s">
        <v>53</v>
      </c>
      <c r="D609" s="522" t="str">
        <f t="shared" si="1"/>
        <v>456Sênior</v>
      </c>
      <c r="E609" s="523">
        <v>0.0</v>
      </c>
      <c r="F609" s="523">
        <v>0.0</v>
      </c>
      <c r="G609" s="524">
        <v>0.0</v>
      </c>
      <c r="H609" s="524">
        <v>0.0</v>
      </c>
      <c r="I609" s="524">
        <v>0.0</v>
      </c>
      <c r="J609" s="524">
        <v>0.0</v>
      </c>
      <c r="K609" s="524">
        <v>0.0</v>
      </c>
      <c r="L609" s="524">
        <v>0.0</v>
      </c>
      <c r="M609" s="524"/>
    </row>
    <row r="610" ht="15.75" customHeight="1">
      <c r="A610" s="521">
        <v>456.0</v>
      </c>
      <c r="B610" s="507" t="s">
        <v>278</v>
      </c>
      <c r="C610" s="507" t="s">
        <v>476</v>
      </c>
      <c r="D610" s="522" t="str">
        <f t="shared" si="1"/>
        <v>456Master</v>
      </c>
      <c r="E610" s="523">
        <v>0.0</v>
      </c>
      <c r="F610" s="523">
        <v>0.0</v>
      </c>
      <c r="G610" s="524">
        <v>0.0</v>
      </c>
      <c r="H610" s="524">
        <v>0.0</v>
      </c>
      <c r="I610" s="524">
        <v>0.0</v>
      </c>
      <c r="J610" s="524">
        <v>0.0</v>
      </c>
      <c r="K610" s="524">
        <v>0.0</v>
      </c>
      <c r="L610" s="524">
        <v>0.0</v>
      </c>
      <c r="M610" s="524"/>
    </row>
    <row r="611" ht="15.75" customHeight="1">
      <c r="A611" s="521">
        <v>456.0</v>
      </c>
      <c r="B611" s="507" t="s">
        <v>278</v>
      </c>
      <c r="C611" s="507" t="s">
        <v>264</v>
      </c>
      <c r="D611" s="522" t="str">
        <f t="shared" si="1"/>
        <v>456Especialista</v>
      </c>
      <c r="E611" s="523">
        <v>0.0</v>
      </c>
      <c r="F611" s="523">
        <v>0.0</v>
      </c>
      <c r="G611" s="524">
        <v>0.0</v>
      </c>
      <c r="H611" s="524">
        <v>0.0</v>
      </c>
      <c r="I611" s="524">
        <v>0.0</v>
      </c>
      <c r="J611" s="524">
        <v>0.0</v>
      </c>
      <c r="K611" s="524">
        <v>0.0</v>
      </c>
      <c r="L611" s="524">
        <v>0.0</v>
      </c>
      <c r="M611" s="524"/>
    </row>
    <row r="612" ht="15.75" customHeight="1">
      <c r="A612" s="521">
        <v>128.0</v>
      </c>
      <c r="B612" s="507" t="s">
        <v>548</v>
      </c>
      <c r="C612" s="507" t="s">
        <v>212</v>
      </c>
      <c r="D612" s="522" t="str">
        <f t="shared" si="1"/>
        <v>128Indiferente</v>
      </c>
      <c r="E612" s="523">
        <v>3.0</v>
      </c>
      <c r="F612" s="523">
        <v>3.0</v>
      </c>
      <c r="G612" s="524">
        <v>29083.62</v>
      </c>
      <c r="H612" s="524">
        <v>29519.87</v>
      </c>
      <c r="I612" s="524">
        <v>29956.13</v>
      </c>
      <c r="J612" s="524">
        <v>29956.13</v>
      </c>
      <c r="K612" s="524">
        <v>30392.38</v>
      </c>
      <c r="L612" s="524">
        <v>30828.64</v>
      </c>
      <c r="M612" s="524"/>
    </row>
    <row r="613" ht="15.75" customHeight="1">
      <c r="A613" s="521">
        <v>631.0</v>
      </c>
      <c r="B613" s="507" t="s">
        <v>549</v>
      </c>
      <c r="C613" s="507" t="s">
        <v>212</v>
      </c>
      <c r="D613" s="522" t="str">
        <f t="shared" si="1"/>
        <v>631Indiferente</v>
      </c>
      <c r="E613" s="523">
        <v>14.0</v>
      </c>
      <c r="F613" s="523">
        <v>17.0</v>
      </c>
      <c r="G613" s="524">
        <v>5084.46</v>
      </c>
      <c r="H613" s="524">
        <v>5302.96</v>
      </c>
      <c r="I613" s="524">
        <v>6310.78</v>
      </c>
      <c r="J613" s="524">
        <v>6337.93</v>
      </c>
      <c r="K613" s="524">
        <v>6975.92</v>
      </c>
      <c r="L613" s="524">
        <v>8904.9</v>
      </c>
      <c r="M613" s="524"/>
    </row>
    <row r="614" ht="15.75" customHeight="1">
      <c r="A614" s="521">
        <v>631.0</v>
      </c>
      <c r="B614" s="507" t="s">
        <v>549</v>
      </c>
      <c r="C614" s="507" t="s">
        <v>60</v>
      </c>
      <c r="D614" s="522" t="str">
        <f t="shared" si="1"/>
        <v>631Júnior</v>
      </c>
      <c r="E614" s="523">
        <v>2.0</v>
      </c>
      <c r="F614" s="523">
        <v>2.0</v>
      </c>
      <c r="G614" s="524">
        <v>5321.4</v>
      </c>
      <c r="H614" s="524">
        <v>6532.8</v>
      </c>
      <c r="I614" s="524">
        <v>7744.2</v>
      </c>
      <c r="J614" s="524">
        <v>7744.2</v>
      </c>
      <c r="K614" s="524">
        <v>8955.59</v>
      </c>
      <c r="L614" s="524">
        <v>10166.99</v>
      </c>
      <c r="M614" s="524"/>
    </row>
    <row r="615" ht="15.75" customHeight="1">
      <c r="A615" s="521">
        <v>631.0</v>
      </c>
      <c r="B615" s="507" t="s">
        <v>549</v>
      </c>
      <c r="C615" s="507" t="s">
        <v>41</v>
      </c>
      <c r="D615" s="522" t="str">
        <f t="shared" si="1"/>
        <v>631Pleno</v>
      </c>
      <c r="E615" s="523">
        <v>3.0</v>
      </c>
      <c r="F615" s="523">
        <v>3.0</v>
      </c>
      <c r="G615" s="524">
        <v>5193.94</v>
      </c>
      <c r="H615" s="524">
        <v>5237.77</v>
      </c>
      <c r="I615" s="524">
        <v>5330.34</v>
      </c>
      <c r="J615" s="524">
        <v>5281.61</v>
      </c>
      <c r="K615" s="524">
        <v>5398.54</v>
      </c>
      <c r="L615" s="524">
        <v>5515.46</v>
      </c>
      <c r="M615" s="524"/>
    </row>
    <row r="616" ht="15.75" customHeight="1">
      <c r="A616" s="521">
        <v>631.0</v>
      </c>
      <c r="B616" s="507" t="s">
        <v>549</v>
      </c>
      <c r="C616" s="507" t="s">
        <v>53</v>
      </c>
      <c r="D616" s="522" t="str">
        <f t="shared" si="1"/>
        <v>631Sênior</v>
      </c>
      <c r="E616" s="523">
        <v>0.0</v>
      </c>
      <c r="F616" s="523">
        <v>0.0</v>
      </c>
      <c r="G616" s="524">
        <v>0.0</v>
      </c>
      <c r="H616" s="524">
        <v>0.0</v>
      </c>
      <c r="I616" s="524">
        <v>0.0</v>
      </c>
      <c r="J616" s="524">
        <v>0.0</v>
      </c>
      <c r="K616" s="524">
        <v>0.0</v>
      </c>
      <c r="L616" s="524">
        <v>0.0</v>
      </c>
      <c r="M616" s="524"/>
    </row>
    <row r="617" ht="15.75" customHeight="1">
      <c r="A617" s="521">
        <v>631.0</v>
      </c>
      <c r="B617" s="507" t="s">
        <v>549</v>
      </c>
      <c r="C617" s="507" t="s">
        <v>476</v>
      </c>
      <c r="D617" s="522" t="str">
        <f t="shared" si="1"/>
        <v>631Master</v>
      </c>
      <c r="E617" s="523">
        <v>0.0</v>
      </c>
      <c r="F617" s="523">
        <v>0.0</v>
      </c>
      <c r="G617" s="524">
        <v>0.0</v>
      </c>
      <c r="H617" s="524">
        <v>0.0</v>
      </c>
      <c r="I617" s="524">
        <v>0.0</v>
      </c>
      <c r="J617" s="524">
        <v>0.0</v>
      </c>
      <c r="K617" s="524">
        <v>0.0</v>
      </c>
      <c r="L617" s="524">
        <v>0.0</v>
      </c>
      <c r="M617" s="524"/>
    </row>
    <row r="618" ht="15.75" customHeight="1">
      <c r="A618" s="521">
        <v>631.0</v>
      </c>
      <c r="B618" s="507" t="s">
        <v>549</v>
      </c>
      <c r="C618" s="507" t="s">
        <v>264</v>
      </c>
      <c r="D618" s="522" t="str">
        <f t="shared" si="1"/>
        <v>631Especialista</v>
      </c>
      <c r="E618" s="523">
        <v>1.0</v>
      </c>
      <c r="F618" s="523">
        <v>1.0</v>
      </c>
      <c r="G618" s="524">
        <v>6337.93</v>
      </c>
      <c r="H618" s="524">
        <v>6337.93</v>
      </c>
      <c r="I618" s="524">
        <v>6337.93</v>
      </c>
      <c r="J618" s="524">
        <v>6337.93</v>
      </c>
      <c r="K618" s="524">
        <v>6337.93</v>
      </c>
      <c r="L618" s="524">
        <v>6337.93</v>
      </c>
      <c r="M618" s="524"/>
    </row>
    <row r="619" ht="15.75" customHeight="1">
      <c r="A619" s="521">
        <v>9.0</v>
      </c>
      <c r="B619" s="507" t="s">
        <v>259</v>
      </c>
      <c r="C619" s="507" t="s">
        <v>212</v>
      </c>
      <c r="D619" s="522" t="str">
        <f t="shared" si="1"/>
        <v>9Indiferente</v>
      </c>
      <c r="E619" s="521">
        <v>20.0</v>
      </c>
      <c r="F619" s="521">
        <v>51.0</v>
      </c>
      <c r="G619" s="525">
        <v>4176.14</v>
      </c>
      <c r="H619" s="525">
        <v>5009.86</v>
      </c>
      <c r="I619" s="525">
        <v>6354.36</v>
      </c>
      <c r="J619" s="525">
        <v>6303.1</v>
      </c>
      <c r="K619" s="525">
        <v>7215.39</v>
      </c>
      <c r="L619" s="525">
        <v>10271.83</v>
      </c>
      <c r="M619" s="525"/>
    </row>
    <row r="620" ht="15.75" customHeight="1">
      <c r="A620" s="521">
        <v>9.0</v>
      </c>
      <c r="B620" s="507" t="s">
        <v>259</v>
      </c>
      <c r="C620" s="507" t="s">
        <v>60</v>
      </c>
      <c r="D620" s="522" t="str">
        <f t="shared" si="1"/>
        <v>9Júnior</v>
      </c>
      <c r="E620" s="521">
        <v>8.0</v>
      </c>
      <c r="F620" s="521">
        <v>13.0</v>
      </c>
      <c r="G620" s="525">
        <v>4176.14</v>
      </c>
      <c r="H620" s="525">
        <v>4281.11</v>
      </c>
      <c r="I620" s="525">
        <v>4860.41</v>
      </c>
      <c r="J620" s="525">
        <v>4656.08</v>
      </c>
      <c r="K620" s="525">
        <v>5064.75</v>
      </c>
      <c r="L620" s="525">
        <v>6398.4</v>
      </c>
      <c r="M620" s="525"/>
    </row>
    <row r="621" ht="15.75" customHeight="1">
      <c r="A621" s="521">
        <v>9.0</v>
      </c>
      <c r="B621" s="507" t="s">
        <v>259</v>
      </c>
      <c r="C621" s="507" t="s">
        <v>41</v>
      </c>
      <c r="D621" s="522" t="str">
        <f t="shared" si="1"/>
        <v>9Pleno</v>
      </c>
      <c r="E621" s="521">
        <v>11.0</v>
      </c>
      <c r="F621" s="521">
        <v>15.0</v>
      </c>
      <c r="G621" s="525">
        <v>5351.39</v>
      </c>
      <c r="H621" s="525">
        <v>5755.42</v>
      </c>
      <c r="I621" s="525">
        <v>6506.61</v>
      </c>
      <c r="J621" s="525">
        <v>6351.39</v>
      </c>
      <c r="K621" s="525">
        <v>7253.37</v>
      </c>
      <c r="L621" s="525">
        <v>7958.34</v>
      </c>
      <c r="M621" s="525"/>
    </row>
    <row r="622" ht="15.75" customHeight="1">
      <c r="A622" s="521">
        <v>9.0</v>
      </c>
      <c r="B622" s="507" t="s">
        <v>259</v>
      </c>
      <c r="C622" s="507" t="s">
        <v>53</v>
      </c>
      <c r="D622" s="522" t="str">
        <f t="shared" si="1"/>
        <v>9Sênior</v>
      </c>
      <c r="E622" s="521">
        <v>6.0</v>
      </c>
      <c r="F622" s="521">
        <v>9.0</v>
      </c>
      <c r="G622" s="525">
        <v>7931.9</v>
      </c>
      <c r="H622" s="525">
        <v>8680.39</v>
      </c>
      <c r="I622" s="525">
        <v>9923.82</v>
      </c>
      <c r="J622" s="525">
        <v>9338.04</v>
      </c>
      <c r="K622" s="525">
        <v>11299.02</v>
      </c>
      <c r="L622" s="525">
        <v>12428.92</v>
      </c>
      <c r="M622" s="525"/>
    </row>
    <row r="623" ht="15.75" customHeight="1">
      <c r="A623" s="521">
        <v>9.0</v>
      </c>
      <c r="B623" s="507" t="s">
        <v>259</v>
      </c>
      <c r="C623" s="507" t="s">
        <v>476</v>
      </c>
      <c r="D623" s="522" t="str">
        <f t="shared" si="1"/>
        <v>9Master</v>
      </c>
      <c r="E623" s="521">
        <v>1.0</v>
      </c>
      <c r="F623" s="521">
        <v>4.0</v>
      </c>
      <c r="G623" s="525">
        <v>13671.81</v>
      </c>
      <c r="H623" s="525">
        <v>14697.2</v>
      </c>
      <c r="I623" s="525">
        <v>15862.73</v>
      </c>
      <c r="J623" s="525">
        <v>15790.95</v>
      </c>
      <c r="K623" s="525">
        <v>16956.47</v>
      </c>
      <c r="L623" s="525">
        <v>18197.19</v>
      </c>
      <c r="M623" s="525"/>
    </row>
    <row r="624" ht="15.75" customHeight="1">
      <c r="A624" s="521">
        <v>9.0</v>
      </c>
      <c r="B624" s="507" t="s">
        <v>259</v>
      </c>
      <c r="C624" s="507" t="s">
        <v>264</v>
      </c>
      <c r="D624" s="522" t="str">
        <f t="shared" si="1"/>
        <v>9Especialista</v>
      </c>
      <c r="E624" s="521">
        <v>1.0</v>
      </c>
      <c r="F624" s="521">
        <v>3.0</v>
      </c>
      <c r="G624" s="525">
        <v>5845.3</v>
      </c>
      <c r="H624" s="525">
        <v>5942.93</v>
      </c>
      <c r="I624" s="525">
        <v>6370.26</v>
      </c>
      <c r="J624" s="525">
        <v>6040.56</v>
      </c>
      <c r="K624" s="525">
        <v>6632.75</v>
      </c>
      <c r="L624" s="525">
        <v>7224.94</v>
      </c>
      <c r="M624" s="525"/>
    </row>
    <row r="625" ht="15.75" customHeight="1">
      <c r="A625" s="521">
        <v>148.0</v>
      </c>
      <c r="B625" s="507" t="s">
        <v>550</v>
      </c>
      <c r="C625" s="507" t="s">
        <v>212</v>
      </c>
      <c r="D625" s="522" t="str">
        <f t="shared" si="1"/>
        <v>148Indiferente</v>
      </c>
      <c r="E625" s="521">
        <v>4.0</v>
      </c>
      <c r="F625" s="521">
        <v>5.0</v>
      </c>
      <c r="G625" s="525">
        <v>14078.59</v>
      </c>
      <c r="H625" s="525">
        <v>14965.98</v>
      </c>
      <c r="I625" s="525">
        <v>15950.31</v>
      </c>
      <c r="J625" s="525">
        <v>15358.27</v>
      </c>
      <c r="K625" s="525">
        <v>16706.83</v>
      </c>
      <c r="L625" s="525">
        <v>18641.9</v>
      </c>
      <c r="M625" s="525"/>
    </row>
    <row r="626" ht="15.75" customHeight="1">
      <c r="A626" s="521">
        <v>148.0</v>
      </c>
      <c r="B626" s="507" t="s">
        <v>550</v>
      </c>
      <c r="C626" s="507" t="s">
        <v>60</v>
      </c>
      <c r="D626" s="522" t="str">
        <f t="shared" si="1"/>
        <v>148Júnior</v>
      </c>
      <c r="E626" s="521">
        <v>0.0</v>
      </c>
      <c r="F626" s="521">
        <v>0.0</v>
      </c>
      <c r="G626" s="525">
        <v>0.0</v>
      </c>
      <c r="H626" s="525">
        <v>0.0</v>
      </c>
      <c r="I626" s="525">
        <v>0.0</v>
      </c>
      <c r="J626" s="525">
        <v>0.0</v>
      </c>
      <c r="K626" s="525">
        <v>0.0</v>
      </c>
      <c r="L626" s="525">
        <v>0.0</v>
      </c>
      <c r="M626" s="525"/>
    </row>
    <row r="627" ht="15.75" customHeight="1">
      <c r="A627" s="521">
        <v>148.0</v>
      </c>
      <c r="B627" s="507" t="s">
        <v>550</v>
      </c>
      <c r="C627" s="507" t="s">
        <v>41</v>
      </c>
      <c r="D627" s="522" t="str">
        <f t="shared" si="1"/>
        <v>148Pleno</v>
      </c>
      <c r="E627" s="521">
        <v>0.0</v>
      </c>
      <c r="F627" s="521">
        <v>0.0</v>
      </c>
      <c r="G627" s="525">
        <v>0.0</v>
      </c>
      <c r="H627" s="525">
        <v>0.0</v>
      </c>
      <c r="I627" s="525">
        <v>0.0</v>
      </c>
      <c r="J627" s="525">
        <v>0.0</v>
      </c>
      <c r="K627" s="525">
        <v>0.0</v>
      </c>
      <c r="L627" s="525">
        <v>0.0</v>
      </c>
      <c r="M627" s="525"/>
    </row>
    <row r="628" ht="15.75" customHeight="1">
      <c r="A628" s="521">
        <v>148.0</v>
      </c>
      <c r="B628" s="507" t="s">
        <v>550</v>
      </c>
      <c r="C628" s="507" t="s">
        <v>53</v>
      </c>
      <c r="D628" s="522" t="str">
        <f t="shared" si="1"/>
        <v>148Sênior</v>
      </c>
      <c r="E628" s="521">
        <v>0.0</v>
      </c>
      <c r="F628" s="521">
        <v>0.0</v>
      </c>
      <c r="G628" s="525">
        <v>0.0</v>
      </c>
      <c r="H628" s="525">
        <v>0.0</v>
      </c>
      <c r="I628" s="525">
        <v>0.0</v>
      </c>
      <c r="J628" s="525">
        <v>0.0</v>
      </c>
      <c r="K628" s="525">
        <v>0.0</v>
      </c>
      <c r="L628" s="525">
        <v>0.0</v>
      </c>
      <c r="M628" s="525"/>
    </row>
    <row r="629" ht="15.75" customHeight="1">
      <c r="A629" s="521">
        <v>148.0</v>
      </c>
      <c r="B629" s="507" t="s">
        <v>550</v>
      </c>
      <c r="C629" s="507" t="s">
        <v>476</v>
      </c>
      <c r="D629" s="522" t="str">
        <f t="shared" si="1"/>
        <v>148Master</v>
      </c>
      <c r="E629" s="521">
        <v>0.0</v>
      </c>
      <c r="F629" s="521">
        <v>0.0</v>
      </c>
      <c r="G629" s="525">
        <v>0.0</v>
      </c>
      <c r="H629" s="525">
        <v>0.0</v>
      </c>
      <c r="I629" s="525">
        <v>0.0</v>
      </c>
      <c r="J629" s="525">
        <v>0.0</v>
      </c>
      <c r="K629" s="525">
        <v>0.0</v>
      </c>
      <c r="L629" s="525">
        <v>0.0</v>
      </c>
      <c r="M629" s="525"/>
    </row>
    <row r="630" ht="15.75" customHeight="1">
      <c r="A630" s="521">
        <v>148.0</v>
      </c>
      <c r="B630" s="507" t="s">
        <v>550</v>
      </c>
      <c r="C630" s="507" t="s">
        <v>264</v>
      </c>
      <c r="D630" s="522" t="str">
        <f t="shared" si="1"/>
        <v>148Especialista</v>
      </c>
      <c r="E630" s="521">
        <v>0.0</v>
      </c>
      <c r="F630" s="521">
        <v>0.0</v>
      </c>
      <c r="G630" s="525">
        <v>0.0</v>
      </c>
      <c r="H630" s="525">
        <v>0.0</v>
      </c>
      <c r="I630" s="525">
        <v>0.0</v>
      </c>
      <c r="J630" s="525">
        <v>0.0</v>
      </c>
      <c r="K630" s="525">
        <v>0.0</v>
      </c>
      <c r="L630" s="525">
        <v>0.0</v>
      </c>
      <c r="M630" s="525"/>
    </row>
    <row r="631" ht="15.75" customHeight="1">
      <c r="A631" s="521">
        <v>993.0</v>
      </c>
      <c r="B631" s="507" t="s">
        <v>551</v>
      </c>
      <c r="C631" s="507" t="s">
        <v>212</v>
      </c>
      <c r="D631" s="522" t="str">
        <f t="shared" si="1"/>
        <v>993Indiferente</v>
      </c>
      <c r="E631" s="521">
        <v>5.0</v>
      </c>
      <c r="F631" s="521">
        <v>8.0</v>
      </c>
      <c r="G631" s="525">
        <v>2932.33</v>
      </c>
      <c r="H631" s="525">
        <v>4633.4</v>
      </c>
      <c r="I631" s="525">
        <v>6260.78</v>
      </c>
      <c r="J631" s="525">
        <v>7149.82</v>
      </c>
      <c r="K631" s="525">
        <v>7880.82</v>
      </c>
      <c r="L631" s="525">
        <v>8112.87</v>
      </c>
      <c r="M631" s="525"/>
    </row>
    <row r="632" ht="15.75" customHeight="1">
      <c r="A632" s="521">
        <v>993.0</v>
      </c>
      <c r="B632" s="507" t="s">
        <v>551</v>
      </c>
      <c r="C632" s="507" t="s">
        <v>60</v>
      </c>
      <c r="D632" s="522" t="str">
        <f t="shared" si="1"/>
        <v>993Júnior</v>
      </c>
      <c r="E632" s="521">
        <v>2.0</v>
      </c>
      <c r="F632" s="521">
        <v>3.0</v>
      </c>
      <c r="G632" s="525">
        <v>4854.28</v>
      </c>
      <c r="H632" s="525">
        <v>6328.87</v>
      </c>
      <c r="I632" s="525">
        <v>6820.41</v>
      </c>
      <c r="J632" s="525">
        <v>7803.47</v>
      </c>
      <c r="K632" s="525">
        <v>7803.47</v>
      </c>
      <c r="L632" s="525">
        <v>7803.47</v>
      </c>
      <c r="M632" s="525"/>
    </row>
    <row r="633" ht="15.75" customHeight="1">
      <c r="A633" s="521">
        <v>993.0</v>
      </c>
      <c r="B633" s="507" t="s">
        <v>551</v>
      </c>
      <c r="C633" s="507" t="s">
        <v>41</v>
      </c>
      <c r="D633" s="522" t="str">
        <f t="shared" si="1"/>
        <v>993Pleno</v>
      </c>
      <c r="E633" s="521">
        <v>2.0</v>
      </c>
      <c r="F633" s="521">
        <v>3.0</v>
      </c>
      <c r="G633" s="525">
        <v>2932.33</v>
      </c>
      <c r="H633" s="525">
        <v>5522.6</v>
      </c>
      <c r="I633" s="525">
        <v>6386.02</v>
      </c>
      <c r="J633" s="525">
        <v>8112.87</v>
      </c>
      <c r="K633" s="525">
        <v>8112.87</v>
      </c>
      <c r="L633" s="525">
        <v>8112.87</v>
      </c>
      <c r="M633" s="525"/>
    </row>
    <row r="634" ht="15.75" customHeight="1">
      <c r="A634" s="521">
        <v>993.0</v>
      </c>
      <c r="B634" s="507" t="s">
        <v>551</v>
      </c>
      <c r="C634" s="507" t="s">
        <v>53</v>
      </c>
      <c r="D634" s="522" t="str">
        <f t="shared" si="1"/>
        <v>993Sênior</v>
      </c>
      <c r="E634" s="521">
        <v>0.0</v>
      </c>
      <c r="F634" s="521">
        <v>0.0</v>
      </c>
      <c r="G634" s="525">
        <v>0.0</v>
      </c>
      <c r="H634" s="525">
        <v>0.0</v>
      </c>
      <c r="I634" s="525">
        <v>0.0</v>
      </c>
      <c r="J634" s="525">
        <v>0.0</v>
      </c>
      <c r="K634" s="525">
        <v>0.0</v>
      </c>
      <c r="L634" s="525">
        <v>0.0</v>
      </c>
      <c r="M634" s="525"/>
    </row>
    <row r="635" ht="15.75" customHeight="1">
      <c r="A635" s="521">
        <v>993.0</v>
      </c>
      <c r="B635" s="507" t="s">
        <v>551</v>
      </c>
      <c r="C635" s="507" t="s">
        <v>476</v>
      </c>
      <c r="D635" s="522" t="str">
        <f t="shared" si="1"/>
        <v>993Master</v>
      </c>
      <c r="E635" s="521">
        <v>0.0</v>
      </c>
      <c r="F635" s="521">
        <v>0.0</v>
      </c>
      <c r="G635" s="525">
        <v>0.0</v>
      </c>
      <c r="H635" s="525">
        <v>0.0</v>
      </c>
      <c r="I635" s="525">
        <v>0.0</v>
      </c>
      <c r="J635" s="525">
        <v>0.0</v>
      </c>
      <c r="K635" s="525">
        <v>0.0</v>
      </c>
      <c r="L635" s="525">
        <v>0.0</v>
      </c>
      <c r="M635" s="525"/>
    </row>
    <row r="636" ht="15.75" customHeight="1">
      <c r="A636" s="521">
        <v>993.0</v>
      </c>
      <c r="B636" s="507" t="s">
        <v>551</v>
      </c>
      <c r="C636" s="507" t="s">
        <v>264</v>
      </c>
      <c r="D636" s="522" t="str">
        <f t="shared" si="1"/>
        <v>993Especialista</v>
      </c>
      <c r="E636" s="521">
        <v>0.0</v>
      </c>
      <c r="F636" s="521">
        <v>0.0</v>
      </c>
      <c r="G636" s="525">
        <v>0.0</v>
      </c>
      <c r="H636" s="525">
        <v>0.0</v>
      </c>
      <c r="I636" s="525">
        <v>0.0</v>
      </c>
      <c r="J636" s="525">
        <v>0.0</v>
      </c>
      <c r="K636" s="525">
        <v>0.0</v>
      </c>
      <c r="L636" s="525">
        <v>0.0</v>
      </c>
      <c r="M636" s="525"/>
    </row>
    <row r="637" ht="15.75" customHeight="1">
      <c r="A637" s="521">
        <v>150.0</v>
      </c>
      <c r="B637" s="507" t="s">
        <v>240</v>
      </c>
      <c r="C637" s="507" t="s">
        <v>212</v>
      </c>
      <c r="D637" s="522" t="str">
        <f t="shared" si="1"/>
        <v>150Indiferente</v>
      </c>
      <c r="E637" s="521">
        <v>5.0</v>
      </c>
      <c r="F637" s="521">
        <v>5.0</v>
      </c>
      <c r="G637" s="525">
        <v>2148.56</v>
      </c>
      <c r="H637" s="525">
        <v>2640.81</v>
      </c>
      <c r="I637" s="525">
        <v>2821.08</v>
      </c>
      <c r="J637" s="525">
        <v>2766.4</v>
      </c>
      <c r="K637" s="525">
        <v>3222.24</v>
      </c>
      <c r="L637" s="525">
        <v>3327.42</v>
      </c>
    </row>
    <row r="638" ht="15.75" customHeight="1">
      <c r="A638" s="521">
        <v>150.0</v>
      </c>
      <c r="B638" s="507" t="s">
        <v>240</v>
      </c>
      <c r="C638" s="507" t="s">
        <v>60</v>
      </c>
      <c r="D638" s="522" t="str">
        <f t="shared" si="1"/>
        <v>150Júnior</v>
      </c>
      <c r="E638" s="523">
        <v>3.0</v>
      </c>
      <c r="F638" s="523">
        <v>3.0</v>
      </c>
      <c r="G638" s="525">
        <v>2148.56</v>
      </c>
      <c r="H638" s="525">
        <v>2271.62</v>
      </c>
      <c r="I638" s="525">
        <v>2394.68</v>
      </c>
      <c r="J638" s="525">
        <v>2394.68</v>
      </c>
      <c r="K638" s="525">
        <v>2517.74</v>
      </c>
      <c r="L638" s="525">
        <v>2640.81</v>
      </c>
    </row>
    <row r="639" ht="15.75" customHeight="1">
      <c r="A639" s="521">
        <v>150.0</v>
      </c>
      <c r="B639" s="507" t="s">
        <v>240</v>
      </c>
      <c r="C639" s="507" t="s">
        <v>41</v>
      </c>
      <c r="D639" s="522" t="str">
        <f t="shared" si="1"/>
        <v>150Pleno</v>
      </c>
      <c r="E639" s="523">
        <v>3.0</v>
      </c>
      <c r="F639" s="523">
        <v>3.0</v>
      </c>
      <c r="G639" s="525">
        <v>2766.4</v>
      </c>
      <c r="H639" s="525">
        <v>2906.66</v>
      </c>
      <c r="I639" s="525">
        <v>3046.91</v>
      </c>
      <c r="J639" s="525">
        <v>3046.91</v>
      </c>
      <c r="K639" s="525">
        <v>3187.16</v>
      </c>
      <c r="L639" s="525">
        <v>3327.42</v>
      </c>
    </row>
    <row r="640" ht="15.75" customHeight="1">
      <c r="A640" s="521">
        <v>150.0</v>
      </c>
      <c r="B640" s="507" t="s">
        <v>240</v>
      </c>
      <c r="C640" s="507" t="s">
        <v>53</v>
      </c>
      <c r="D640" s="522" t="str">
        <f t="shared" si="1"/>
        <v>150Sênior</v>
      </c>
      <c r="E640" s="521">
        <v>0.0</v>
      </c>
      <c r="F640" s="521">
        <v>0.0</v>
      </c>
      <c r="G640" s="525">
        <v>0.0</v>
      </c>
      <c r="H640" s="525">
        <v>0.0</v>
      </c>
      <c r="I640" s="525">
        <v>0.0</v>
      </c>
      <c r="J640" s="525">
        <v>0.0</v>
      </c>
      <c r="K640" s="525">
        <v>0.0</v>
      </c>
      <c r="L640" s="525">
        <v>0.0</v>
      </c>
    </row>
    <row r="641" ht="15.75" customHeight="1">
      <c r="A641" s="521">
        <v>150.0</v>
      </c>
      <c r="B641" s="507" t="s">
        <v>240</v>
      </c>
      <c r="C641" s="507" t="s">
        <v>476</v>
      </c>
      <c r="D641" s="522" t="str">
        <f t="shared" si="1"/>
        <v>150Master</v>
      </c>
      <c r="E641" s="521">
        <v>0.0</v>
      </c>
      <c r="F641" s="521">
        <v>0.0</v>
      </c>
      <c r="G641" s="525">
        <v>0.0</v>
      </c>
      <c r="H641" s="525">
        <v>0.0</v>
      </c>
      <c r="I641" s="525">
        <v>0.0</v>
      </c>
      <c r="J641" s="525">
        <v>0.0</v>
      </c>
      <c r="K641" s="525">
        <v>0.0</v>
      </c>
      <c r="L641" s="525">
        <v>0.0</v>
      </c>
    </row>
    <row r="642" ht="15.75" customHeight="1">
      <c r="A642" s="521">
        <v>150.0</v>
      </c>
      <c r="B642" s="507" t="s">
        <v>240</v>
      </c>
      <c r="C642" s="507" t="s">
        <v>264</v>
      </c>
      <c r="D642" s="522" t="str">
        <f t="shared" si="1"/>
        <v>150Especialista</v>
      </c>
      <c r="E642" s="521">
        <v>0.0</v>
      </c>
      <c r="F642" s="521">
        <v>0.0</v>
      </c>
      <c r="G642" s="525">
        <v>0.0</v>
      </c>
      <c r="H642" s="525">
        <v>0.0</v>
      </c>
      <c r="I642" s="525">
        <v>0.0</v>
      </c>
      <c r="J642" s="525">
        <v>0.0</v>
      </c>
      <c r="K642" s="525">
        <v>0.0</v>
      </c>
      <c r="L642" s="525">
        <v>0.0</v>
      </c>
    </row>
    <row r="643" ht="15.75" customHeight="1">
      <c r="A643" s="521">
        <v>479.0</v>
      </c>
      <c r="B643" s="507" t="s">
        <v>552</v>
      </c>
      <c r="C643" s="507" t="s">
        <v>212</v>
      </c>
      <c r="D643" s="522" t="str">
        <f t="shared" si="1"/>
        <v>479Indiferente</v>
      </c>
      <c r="E643" s="523">
        <v>3.0</v>
      </c>
      <c r="F643" s="523">
        <v>3.0</v>
      </c>
      <c r="G643" s="525">
        <v>9070.29</v>
      </c>
      <c r="H643" s="525">
        <v>10027.71</v>
      </c>
      <c r="I643" s="525">
        <v>10985.13</v>
      </c>
      <c r="J643" s="525">
        <v>10985.13</v>
      </c>
      <c r="K643" s="525">
        <v>11942.55</v>
      </c>
      <c r="L643" s="525">
        <v>12899.97</v>
      </c>
      <c r="M643" s="524"/>
    </row>
    <row r="644" ht="15.75" customHeight="1">
      <c r="A644" s="521">
        <v>479.0</v>
      </c>
      <c r="B644" s="507" t="s">
        <v>552</v>
      </c>
      <c r="C644" s="507" t="s">
        <v>60</v>
      </c>
      <c r="D644" s="522" t="str">
        <f t="shared" si="1"/>
        <v>479Júnior</v>
      </c>
      <c r="E644" s="521">
        <v>0.0</v>
      </c>
      <c r="F644" s="521">
        <v>0.0</v>
      </c>
      <c r="G644" s="525">
        <v>0.0</v>
      </c>
      <c r="H644" s="525">
        <v>0.0</v>
      </c>
      <c r="I644" s="525">
        <v>0.0</v>
      </c>
      <c r="J644" s="525">
        <v>0.0</v>
      </c>
      <c r="K644" s="525">
        <v>0.0</v>
      </c>
      <c r="L644" s="525">
        <v>0.0</v>
      </c>
      <c r="M644" s="524"/>
    </row>
    <row r="645" ht="15.75" customHeight="1">
      <c r="A645" s="521">
        <v>479.0</v>
      </c>
      <c r="B645" s="507" t="s">
        <v>552</v>
      </c>
      <c r="C645" s="507" t="s">
        <v>41</v>
      </c>
      <c r="D645" s="522" t="str">
        <f t="shared" si="1"/>
        <v>479Pleno</v>
      </c>
      <c r="E645" s="521">
        <v>0.0</v>
      </c>
      <c r="F645" s="521">
        <v>0.0</v>
      </c>
      <c r="G645" s="525">
        <v>0.0</v>
      </c>
      <c r="H645" s="525">
        <v>0.0</v>
      </c>
      <c r="I645" s="525">
        <v>0.0</v>
      </c>
      <c r="J645" s="525">
        <v>0.0</v>
      </c>
      <c r="K645" s="525">
        <v>0.0</v>
      </c>
      <c r="L645" s="525">
        <v>0.0</v>
      </c>
      <c r="M645" s="524"/>
    </row>
    <row r="646" ht="15.75" customHeight="1">
      <c r="A646" s="521">
        <v>479.0</v>
      </c>
      <c r="B646" s="507" t="s">
        <v>552</v>
      </c>
      <c r="C646" s="507" t="s">
        <v>53</v>
      </c>
      <c r="D646" s="522" t="str">
        <f t="shared" si="1"/>
        <v>479Sênior</v>
      </c>
      <c r="E646" s="521">
        <v>2.0</v>
      </c>
      <c r="F646" s="521">
        <v>2.0</v>
      </c>
      <c r="G646" s="525">
        <v>0.0</v>
      </c>
      <c r="H646" s="525">
        <v>0.0</v>
      </c>
      <c r="I646" s="525">
        <v>0.0</v>
      </c>
      <c r="J646" s="525">
        <v>0.0</v>
      </c>
      <c r="K646" s="525">
        <v>0.0</v>
      </c>
      <c r="L646" s="525">
        <v>0.0</v>
      </c>
      <c r="M646" s="524"/>
    </row>
    <row r="647" ht="15.75" customHeight="1">
      <c r="A647" s="521">
        <v>479.0</v>
      </c>
      <c r="B647" s="507" t="s">
        <v>552</v>
      </c>
      <c r="C647" s="507" t="s">
        <v>476</v>
      </c>
      <c r="D647" s="522" t="str">
        <f t="shared" si="1"/>
        <v>479Master</v>
      </c>
      <c r="E647" s="521">
        <v>0.0</v>
      </c>
      <c r="F647" s="521">
        <v>0.0</v>
      </c>
      <c r="G647" s="525">
        <v>0.0</v>
      </c>
      <c r="H647" s="525">
        <v>0.0</v>
      </c>
      <c r="I647" s="525">
        <v>0.0</v>
      </c>
      <c r="J647" s="525">
        <v>0.0</v>
      </c>
      <c r="K647" s="525">
        <v>0.0</v>
      </c>
      <c r="L647" s="525">
        <v>0.0</v>
      </c>
      <c r="M647" s="524"/>
    </row>
    <row r="648" ht="15.75" customHeight="1">
      <c r="A648" s="521">
        <v>479.0</v>
      </c>
      <c r="B648" s="507" t="s">
        <v>552</v>
      </c>
      <c r="C648" s="507" t="s">
        <v>264</v>
      </c>
      <c r="D648" s="522" t="str">
        <f t="shared" si="1"/>
        <v>479Especialista</v>
      </c>
      <c r="E648" s="521">
        <v>0.0</v>
      </c>
      <c r="F648" s="521">
        <v>0.0</v>
      </c>
      <c r="G648" s="525">
        <v>0.0</v>
      </c>
      <c r="H648" s="525">
        <v>0.0</v>
      </c>
      <c r="I648" s="525">
        <v>0.0</v>
      </c>
      <c r="J648" s="525">
        <v>0.0</v>
      </c>
      <c r="K648" s="525">
        <v>0.0</v>
      </c>
      <c r="L648" s="525">
        <v>0.0</v>
      </c>
      <c r="M648" s="524"/>
    </row>
    <row r="649" ht="15.75" customHeight="1">
      <c r="A649" s="521">
        <v>461.0</v>
      </c>
      <c r="B649" s="507" t="s">
        <v>553</v>
      </c>
      <c r="C649" s="507" t="s">
        <v>212</v>
      </c>
      <c r="D649" s="522" t="str">
        <f t="shared" si="1"/>
        <v>461Indiferente</v>
      </c>
      <c r="E649" s="521">
        <v>11.0</v>
      </c>
      <c r="F649" s="521">
        <v>12.0</v>
      </c>
      <c r="G649" s="525">
        <v>6889.13</v>
      </c>
      <c r="H649" s="525">
        <v>7970.36</v>
      </c>
      <c r="I649" s="525">
        <v>11156.65</v>
      </c>
      <c r="J649" s="525">
        <v>10710.91</v>
      </c>
      <c r="K649" s="525">
        <v>14469.98</v>
      </c>
      <c r="L649" s="525">
        <v>15668.5</v>
      </c>
      <c r="M649" s="524"/>
    </row>
    <row r="650" ht="15.75" customHeight="1">
      <c r="A650" s="521">
        <v>461.0</v>
      </c>
      <c r="B650" s="507" t="s">
        <v>553</v>
      </c>
      <c r="C650" s="507" t="s">
        <v>60</v>
      </c>
      <c r="D650" s="522" t="str">
        <f t="shared" si="1"/>
        <v>461Júnior</v>
      </c>
      <c r="E650" s="521">
        <v>0.0</v>
      </c>
      <c r="F650" s="521">
        <v>0.0</v>
      </c>
      <c r="G650" s="525">
        <v>0.0</v>
      </c>
      <c r="H650" s="525">
        <v>0.0</v>
      </c>
      <c r="I650" s="525">
        <v>0.0</v>
      </c>
      <c r="J650" s="525">
        <v>0.0</v>
      </c>
      <c r="K650" s="525">
        <v>0.0</v>
      </c>
      <c r="L650" s="525">
        <v>0.0</v>
      </c>
      <c r="M650" s="524"/>
    </row>
    <row r="651" ht="15.75" customHeight="1">
      <c r="A651" s="521">
        <v>461.0</v>
      </c>
      <c r="B651" s="507" t="s">
        <v>553</v>
      </c>
      <c r="C651" s="507" t="s">
        <v>41</v>
      </c>
      <c r="D651" s="522" t="str">
        <f t="shared" si="1"/>
        <v>461Pleno</v>
      </c>
      <c r="E651" s="521">
        <v>2.0</v>
      </c>
      <c r="F651" s="521">
        <v>2.0</v>
      </c>
      <c r="G651" s="525">
        <v>0.0</v>
      </c>
      <c r="H651" s="525">
        <v>0.0</v>
      </c>
      <c r="I651" s="525">
        <v>0.0</v>
      </c>
      <c r="J651" s="525">
        <v>0.0</v>
      </c>
      <c r="K651" s="525">
        <v>0.0</v>
      </c>
      <c r="L651" s="525">
        <v>0.0</v>
      </c>
      <c r="M651" s="524"/>
    </row>
    <row r="652" ht="15.75" customHeight="1">
      <c r="A652" s="521">
        <v>461.0</v>
      </c>
      <c r="B652" s="507" t="s">
        <v>553</v>
      </c>
      <c r="C652" s="507" t="s">
        <v>53</v>
      </c>
      <c r="D652" s="522" t="str">
        <f t="shared" si="1"/>
        <v>461Sênior</v>
      </c>
      <c r="E652" s="521">
        <v>0.0</v>
      </c>
      <c r="F652" s="521">
        <v>0.0</v>
      </c>
      <c r="G652" s="525">
        <v>0.0</v>
      </c>
      <c r="H652" s="525">
        <v>0.0</v>
      </c>
      <c r="I652" s="525">
        <v>0.0</v>
      </c>
      <c r="J652" s="525">
        <v>0.0</v>
      </c>
      <c r="K652" s="525">
        <v>0.0</v>
      </c>
      <c r="L652" s="525">
        <v>0.0</v>
      </c>
      <c r="M652" s="524"/>
    </row>
    <row r="653" ht="15.75" customHeight="1">
      <c r="A653" s="521">
        <v>461.0</v>
      </c>
      <c r="B653" s="507" t="s">
        <v>553</v>
      </c>
      <c r="C653" s="507" t="s">
        <v>476</v>
      </c>
      <c r="D653" s="522" t="str">
        <f t="shared" si="1"/>
        <v>461Master</v>
      </c>
      <c r="E653" s="521">
        <v>0.0</v>
      </c>
      <c r="F653" s="521">
        <v>0.0</v>
      </c>
      <c r="G653" s="525">
        <v>0.0</v>
      </c>
      <c r="H653" s="525">
        <v>0.0</v>
      </c>
      <c r="I653" s="525">
        <v>0.0</v>
      </c>
      <c r="J653" s="525">
        <v>0.0</v>
      </c>
      <c r="K653" s="525">
        <v>0.0</v>
      </c>
      <c r="L653" s="525">
        <v>0.0</v>
      </c>
      <c r="M653" s="524"/>
    </row>
    <row r="654" ht="15.75" customHeight="1">
      <c r="A654" s="521">
        <v>461.0</v>
      </c>
      <c r="B654" s="507" t="s">
        <v>553</v>
      </c>
      <c r="C654" s="507" t="s">
        <v>264</v>
      </c>
      <c r="D654" s="522" t="str">
        <f t="shared" si="1"/>
        <v>461Especialista</v>
      </c>
      <c r="E654" s="521">
        <v>0.0</v>
      </c>
      <c r="F654" s="521">
        <v>0.0</v>
      </c>
      <c r="G654" s="525">
        <v>0.0</v>
      </c>
      <c r="H654" s="525">
        <v>0.0</v>
      </c>
      <c r="I654" s="525">
        <v>0.0</v>
      </c>
      <c r="J654" s="525">
        <v>0.0</v>
      </c>
      <c r="K654" s="525">
        <v>0.0</v>
      </c>
      <c r="L654" s="525">
        <v>0.0</v>
      </c>
      <c r="M654" s="524"/>
    </row>
    <row r="655" ht="15.75" customHeight="1">
      <c r="A655" s="521">
        <v>311.0</v>
      </c>
      <c r="B655" s="507" t="s">
        <v>296</v>
      </c>
      <c r="C655" s="507" t="s">
        <v>212</v>
      </c>
      <c r="D655" s="522" t="str">
        <f t="shared" si="1"/>
        <v>311Indiferente</v>
      </c>
      <c r="E655" s="521">
        <v>25.0</v>
      </c>
      <c r="F655" s="521">
        <v>36.0</v>
      </c>
      <c r="G655" s="525">
        <v>7331.45</v>
      </c>
      <c r="H655" s="525">
        <v>10114.75</v>
      </c>
      <c r="I655" s="525">
        <v>12711.42</v>
      </c>
      <c r="J655" s="525">
        <v>12517.82</v>
      </c>
      <c r="K655" s="525">
        <v>14749.0</v>
      </c>
      <c r="L655" s="525">
        <v>19098.65</v>
      </c>
      <c r="M655" s="524"/>
    </row>
    <row r="656" ht="15.75" customHeight="1">
      <c r="A656" s="521">
        <v>311.0</v>
      </c>
      <c r="B656" s="507" t="s">
        <v>296</v>
      </c>
      <c r="C656" s="507" t="s">
        <v>60</v>
      </c>
      <c r="D656" s="522" t="str">
        <f t="shared" si="1"/>
        <v>311Júnior</v>
      </c>
      <c r="E656" s="521">
        <v>1.0</v>
      </c>
      <c r="F656" s="521">
        <v>1.0</v>
      </c>
      <c r="G656" s="525">
        <v>14663.63</v>
      </c>
      <c r="H656" s="525">
        <v>14663.63</v>
      </c>
      <c r="I656" s="525">
        <v>14663.63</v>
      </c>
      <c r="J656" s="525">
        <v>14663.63</v>
      </c>
      <c r="K656" s="525">
        <v>14663.63</v>
      </c>
      <c r="L656" s="525">
        <v>14663.63</v>
      </c>
      <c r="M656" s="524"/>
    </row>
    <row r="657" ht="15.75" customHeight="1">
      <c r="A657" s="521">
        <v>311.0</v>
      </c>
      <c r="B657" s="507" t="s">
        <v>296</v>
      </c>
      <c r="C657" s="507" t="s">
        <v>41</v>
      </c>
      <c r="D657" s="522" t="str">
        <f t="shared" si="1"/>
        <v>311Pleno</v>
      </c>
      <c r="E657" s="521">
        <v>1.0</v>
      </c>
      <c r="F657" s="521">
        <v>1.0</v>
      </c>
      <c r="G657" s="525">
        <v>6126.67</v>
      </c>
      <c r="H657" s="525">
        <v>6126.67</v>
      </c>
      <c r="I657" s="525">
        <v>6126.67</v>
      </c>
      <c r="J657" s="525">
        <v>6126.67</v>
      </c>
      <c r="K657" s="525">
        <v>6126.67</v>
      </c>
      <c r="L657" s="525">
        <v>6126.67</v>
      </c>
      <c r="M657" s="524"/>
    </row>
    <row r="658" ht="15.75" customHeight="1">
      <c r="A658" s="521">
        <v>311.0</v>
      </c>
      <c r="B658" s="507" t="s">
        <v>296</v>
      </c>
      <c r="C658" s="507" t="s">
        <v>53</v>
      </c>
      <c r="D658" s="522" t="str">
        <f t="shared" si="1"/>
        <v>311Sênior</v>
      </c>
      <c r="E658" s="521">
        <v>1.0</v>
      </c>
      <c r="F658" s="521">
        <v>3.0</v>
      </c>
      <c r="G658" s="525">
        <v>7331.45</v>
      </c>
      <c r="H658" s="525">
        <v>7966.39</v>
      </c>
      <c r="I658" s="525">
        <v>8178.04</v>
      </c>
      <c r="J658" s="525">
        <v>8601.33</v>
      </c>
      <c r="K658" s="525">
        <v>8601.33</v>
      </c>
      <c r="L658" s="525">
        <v>8601.33</v>
      </c>
      <c r="M658" s="524"/>
    </row>
    <row r="659" ht="15.75" customHeight="1">
      <c r="A659" s="521">
        <v>311.0</v>
      </c>
      <c r="B659" s="507" t="s">
        <v>296</v>
      </c>
      <c r="C659" s="507" t="s">
        <v>476</v>
      </c>
      <c r="D659" s="522" t="str">
        <f t="shared" si="1"/>
        <v>311Master</v>
      </c>
      <c r="E659" s="521">
        <v>0.0</v>
      </c>
      <c r="F659" s="521">
        <v>0.0</v>
      </c>
      <c r="G659" s="525">
        <v>0.0</v>
      </c>
      <c r="H659" s="525">
        <v>0.0</v>
      </c>
      <c r="I659" s="525">
        <v>0.0</v>
      </c>
      <c r="J659" s="525">
        <v>0.0</v>
      </c>
      <c r="K659" s="525">
        <v>0.0</v>
      </c>
      <c r="L659" s="525">
        <v>0.0</v>
      </c>
      <c r="M659" s="524"/>
    </row>
    <row r="660" ht="15.75" customHeight="1">
      <c r="A660" s="521">
        <v>311.0</v>
      </c>
      <c r="B660" s="507" t="s">
        <v>296</v>
      </c>
      <c r="C660" s="507" t="s">
        <v>264</v>
      </c>
      <c r="D660" s="522" t="str">
        <f t="shared" si="1"/>
        <v>311Especialista</v>
      </c>
      <c r="E660" s="521">
        <v>0.0</v>
      </c>
      <c r="F660" s="521">
        <v>0.0</v>
      </c>
      <c r="G660" s="525">
        <v>0.0</v>
      </c>
      <c r="H660" s="525">
        <v>0.0</v>
      </c>
      <c r="I660" s="525">
        <v>0.0</v>
      </c>
      <c r="J660" s="525">
        <v>0.0</v>
      </c>
      <c r="K660" s="525">
        <v>0.0</v>
      </c>
      <c r="L660" s="525">
        <v>0.0</v>
      </c>
      <c r="M660" s="524"/>
    </row>
    <row r="661" ht="15.75" customHeight="1">
      <c r="A661" s="521">
        <v>9.0</v>
      </c>
      <c r="B661" s="507" t="s">
        <v>259</v>
      </c>
      <c r="C661" s="245" t="s">
        <v>53</v>
      </c>
      <c r="D661" s="522" t="str">
        <f t="shared" si="1"/>
        <v>9Sênior</v>
      </c>
      <c r="E661" s="521">
        <v>4.0</v>
      </c>
      <c r="F661" s="521">
        <v>5.0</v>
      </c>
      <c r="G661" s="525">
        <v>8566.38</v>
      </c>
      <c r="H661" s="525">
        <v>9284.95</v>
      </c>
      <c r="I661" s="525">
        <v>11453.66</v>
      </c>
      <c r="J661" s="525">
        <v>10957.61</v>
      </c>
      <c r="K661" s="525">
        <v>10957.61</v>
      </c>
      <c r="L661" s="525">
        <v>17501.76</v>
      </c>
      <c r="M661" s="524"/>
    </row>
    <row r="662" ht="15.75" customHeight="1">
      <c r="A662" s="521"/>
      <c r="B662" s="507"/>
      <c r="C662" s="507"/>
      <c r="D662" s="522"/>
      <c r="E662" s="523"/>
      <c r="F662" s="523"/>
      <c r="G662" s="524"/>
      <c r="H662" s="524"/>
      <c r="I662" s="524"/>
      <c r="J662" s="524"/>
      <c r="K662" s="524"/>
      <c r="L662" s="524"/>
      <c r="M662" s="524"/>
    </row>
    <row r="663" ht="15.75" customHeight="1">
      <c r="A663" s="521"/>
      <c r="B663" s="507"/>
      <c r="C663" s="507"/>
      <c r="D663" s="522"/>
      <c r="E663" s="523"/>
      <c r="F663" s="523"/>
      <c r="G663" s="524"/>
      <c r="H663" s="524"/>
      <c r="I663" s="524"/>
      <c r="J663" s="524"/>
      <c r="K663" s="524"/>
      <c r="L663" s="524"/>
      <c r="M663" s="524"/>
    </row>
    <row r="664" ht="15.75" customHeight="1">
      <c r="A664" s="521"/>
      <c r="B664" s="507"/>
      <c r="C664" s="507"/>
      <c r="D664" s="522"/>
      <c r="E664" s="523"/>
      <c r="F664" s="523"/>
      <c r="G664" s="524"/>
      <c r="H664" s="524"/>
      <c r="I664" s="524"/>
      <c r="J664" s="524"/>
      <c r="K664" s="524"/>
      <c r="L664" s="524"/>
      <c r="M664" s="524"/>
    </row>
    <row r="665" ht="15.75" customHeight="1">
      <c r="A665" s="521"/>
      <c r="B665" s="507"/>
      <c r="C665" s="507"/>
      <c r="D665" s="522"/>
      <c r="E665" s="523"/>
      <c r="F665" s="523"/>
      <c r="G665" s="524"/>
      <c r="H665" s="524"/>
      <c r="I665" s="524"/>
      <c r="J665" s="524"/>
      <c r="K665" s="524"/>
      <c r="L665" s="524"/>
      <c r="M665" s="524"/>
    </row>
    <row r="666" ht="15.75" customHeight="1">
      <c r="A666" s="521"/>
      <c r="B666" s="507"/>
      <c r="C666" s="507"/>
      <c r="D666" s="522"/>
      <c r="E666" s="523"/>
      <c r="F666" s="523"/>
      <c r="G666" s="524"/>
      <c r="H666" s="524"/>
      <c r="I666" s="524"/>
      <c r="J666" s="524"/>
      <c r="K666" s="524"/>
      <c r="L666" s="524"/>
      <c r="M666" s="524"/>
    </row>
    <row r="667" ht="15.75" customHeight="1">
      <c r="A667" s="521"/>
      <c r="B667" s="507"/>
      <c r="C667" s="507"/>
      <c r="D667" s="522"/>
      <c r="E667" s="523"/>
      <c r="F667" s="523"/>
      <c r="G667" s="524"/>
      <c r="H667" s="524"/>
      <c r="I667" s="524"/>
      <c r="J667" s="524"/>
      <c r="K667" s="524"/>
      <c r="L667" s="524"/>
      <c r="M667" s="524"/>
    </row>
    <row r="668" ht="15.75" customHeight="1">
      <c r="A668" s="521"/>
      <c r="B668" s="507"/>
      <c r="C668" s="507"/>
      <c r="D668" s="522"/>
      <c r="E668" s="523"/>
      <c r="F668" s="523"/>
      <c r="G668" s="524"/>
      <c r="H668" s="524"/>
      <c r="I668" s="524"/>
      <c r="J668" s="524"/>
      <c r="K668" s="524"/>
      <c r="L668" s="524"/>
      <c r="M668" s="524"/>
    </row>
    <row r="669" ht="15.75" customHeight="1">
      <c r="A669" s="521"/>
      <c r="B669" s="507"/>
      <c r="C669" s="507"/>
      <c r="D669" s="522"/>
      <c r="E669" s="523"/>
      <c r="F669" s="523"/>
      <c r="G669" s="524"/>
      <c r="H669" s="524"/>
      <c r="I669" s="524"/>
      <c r="J669" s="524"/>
      <c r="K669" s="524"/>
      <c r="L669" s="524"/>
      <c r="M669" s="524"/>
    </row>
    <row r="670" ht="15.75" customHeight="1">
      <c r="A670" s="521"/>
      <c r="B670" s="507"/>
      <c r="C670" s="507"/>
      <c r="D670" s="522"/>
      <c r="E670" s="523"/>
      <c r="F670" s="523"/>
      <c r="G670" s="524"/>
      <c r="H670" s="524"/>
      <c r="I670" s="524"/>
      <c r="J670" s="524"/>
      <c r="K670" s="524"/>
      <c r="L670" s="524"/>
      <c r="M670" s="524"/>
    </row>
    <row r="671" ht="15.75" customHeight="1">
      <c r="A671" s="521"/>
      <c r="B671" s="507"/>
      <c r="C671" s="507"/>
      <c r="D671" s="522"/>
      <c r="E671" s="523"/>
      <c r="F671" s="523"/>
      <c r="G671" s="524"/>
      <c r="H671" s="524"/>
      <c r="I671" s="524"/>
      <c r="J671" s="524"/>
      <c r="K671" s="524"/>
      <c r="L671" s="524"/>
      <c r="M671" s="524"/>
    </row>
    <row r="672" ht="15.75" customHeight="1">
      <c r="A672" s="521"/>
      <c r="B672" s="507"/>
      <c r="C672" s="507"/>
      <c r="D672" s="522"/>
      <c r="E672" s="523"/>
      <c r="F672" s="523"/>
      <c r="G672" s="524"/>
      <c r="H672" s="524"/>
      <c r="I672" s="524"/>
      <c r="J672" s="524"/>
      <c r="K672" s="524"/>
      <c r="L672" s="524"/>
      <c r="M672" s="524"/>
    </row>
    <row r="673" ht="15.75" customHeight="1">
      <c r="A673" s="521"/>
      <c r="B673" s="507"/>
      <c r="C673" s="507"/>
      <c r="D673" s="522"/>
      <c r="E673" s="523"/>
      <c r="F673" s="523"/>
      <c r="G673" s="524"/>
      <c r="H673" s="524"/>
      <c r="I673" s="524"/>
      <c r="J673" s="524"/>
      <c r="K673" s="524"/>
      <c r="L673" s="524"/>
      <c r="M673" s="524"/>
    </row>
    <row r="674" ht="15.75" customHeight="1">
      <c r="A674" s="521"/>
      <c r="B674" s="507"/>
      <c r="C674" s="507"/>
      <c r="D674" s="522"/>
      <c r="E674" s="523"/>
      <c r="F674" s="523"/>
      <c r="G674" s="524"/>
      <c r="H674" s="524"/>
      <c r="I674" s="524"/>
      <c r="J674" s="524"/>
      <c r="K674" s="524"/>
      <c r="L674" s="524"/>
      <c r="M674" s="524"/>
    </row>
    <row r="675" ht="15.75" customHeight="1">
      <c r="A675" s="521"/>
      <c r="B675" s="507"/>
      <c r="C675" s="507"/>
      <c r="D675" s="522"/>
      <c r="E675" s="523"/>
      <c r="F675" s="523"/>
      <c r="G675" s="524"/>
      <c r="H675" s="524"/>
      <c r="I675" s="524"/>
      <c r="J675" s="524"/>
      <c r="K675" s="524"/>
      <c r="L675" s="524"/>
      <c r="M675" s="524"/>
    </row>
    <row r="676" ht="15.75" customHeight="1">
      <c r="A676" s="521"/>
      <c r="B676" s="507"/>
      <c r="C676" s="507"/>
      <c r="D676" s="522"/>
      <c r="E676" s="523"/>
      <c r="F676" s="523"/>
      <c r="G676" s="524"/>
      <c r="H676" s="524"/>
      <c r="I676" s="524"/>
      <c r="J676" s="524"/>
      <c r="K676" s="524"/>
      <c r="L676" s="524"/>
      <c r="M676" s="524"/>
    </row>
    <row r="677" ht="15.75" customHeight="1">
      <c r="A677" s="521"/>
      <c r="B677" s="507"/>
      <c r="C677" s="507"/>
      <c r="D677" s="522"/>
      <c r="E677" s="523"/>
      <c r="F677" s="523"/>
      <c r="G677" s="524"/>
      <c r="H677" s="524"/>
      <c r="I677" s="524"/>
      <c r="J677" s="524"/>
      <c r="K677" s="524"/>
      <c r="L677" s="524"/>
      <c r="M677" s="524"/>
    </row>
    <row r="678" ht="15.75" customHeight="1">
      <c r="A678" s="521"/>
      <c r="B678" s="507"/>
      <c r="C678" s="507"/>
      <c r="D678" s="522"/>
      <c r="E678" s="523"/>
      <c r="F678" s="523"/>
      <c r="G678" s="524"/>
      <c r="H678" s="524"/>
      <c r="I678" s="524"/>
      <c r="J678" s="524"/>
      <c r="K678" s="524"/>
      <c r="L678" s="524"/>
      <c r="M678" s="524"/>
    </row>
    <row r="679" ht="15.75" customHeight="1">
      <c r="A679" s="521"/>
      <c r="B679" s="507"/>
      <c r="C679" s="507"/>
      <c r="D679" s="522"/>
      <c r="E679" s="523"/>
      <c r="F679" s="523"/>
      <c r="G679" s="524"/>
      <c r="H679" s="524"/>
      <c r="I679" s="524"/>
      <c r="J679" s="524"/>
      <c r="K679" s="524"/>
      <c r="L679" s="524"/>
      <c r="M679" s="524"/>
    </row>
    <row r="680" ht="15.75" customHeight="1">
      <c r="A680" s="521"/>
      <c r="B680" s="507"/>
      <c r="C680" s="507"/>
      <c r="D680" s="522"/>
      <c r="E680" s="523"/>
      <c r="F680" s="523"/>
      <c r="G680" s="524"/>
      <c r="H680" s="524"/>
      <c r="I680" s="524"/>
      <c r="J680" s="524"/>
      <c r="K680" s="524"/>
      <c r="L680" s="524"/>
      <c r="M680" s="524"/>
    </row>
    <row r="681" ht="15.75" customHeight="1">
      <c r="A681" s="521"/>
      <c r="B681" s="507"/>
      <c r="C681" s="507"/>
      <c r="D681" s="522"/>
      <c r="E681" s="523"/>
      <c r="F681" s="523"/>
      <c r="G681" s="524"/>
      <c r="H681" s="524"/>
      <c r="I681" s="524"/>
      <c r="J681" s="524"/>
      <c r="K681" s="524"/>
      <c r="L681" s="524"/>
      <c r="M681" s="524"/>
    </row>
    <row r="682" ht="15.75" customHeight="1">
      <c r="A682" s="521"/>
      <c r="B682" s="507"/>
      <c r="C682" s="507"/>
      <c r="D682" s="522"/>
      <c r="E682" s="523"/>
      <c r="F682" s="523"/>
      <c r="G682" s="524"/>
      <c r="H682" s="524"/>
      <c r="I682" s="524"/>
      <c r="J682" s="524"/>
      <c r="K682" s="524"/>
      <c r="L682" s="524"/>
      <c r="M682" s="524"/>
    </row>
    <row r="683" ht="15.75" customHeight="1">
      <c r="A683" s="521"/>
      <c r="B683" s="507"/>
      <c r="C683" s="507"/>
      <c r="D683" s="522"/>
      <c r="E683" s="523"/>
      <c r="F683" s="523"/>
      <c r="G683" s="524"/>
      <c r="H683" s="524"/>
      <c r="I683" s="524"/>
      <c r="J683" s="524"/>
      <c r="K683" s="524"/>
      <c r="L683" s="524"/>
      <c r="M683" s="524"/>
    </row>
    <row r="684" ht="15.75" customHeight="1">
      <c r="A684" s="521"/>
      <c r="B684" s="507"/>
      <c r="C684" s="507"/>
      <c r="D684" s="522"/>
      <c r="E684" s="523"/>
      <c r="F684" s="523"/>
      <c r="G684" s="524"/>
      <c r="H684" s="524"/>
      <c r="I684" s="524"/>
      <c r="J684" s="524"/>
      <c r="K684" s="524"/>
      <c r="L684" s="524"/>
      <c r="M684" s="524"/>
    </row>
    <row r="685" ht="15.75" customHeight="1">
      <c r="A685" s="521"/>
      <c r="B685" s="507"/>
      <c r="C685" s="507"/>
      <c r="D685" s="522"/>
      <c r="E685" s="523"/>
      <c r="F685" s="523"/>
      <c r="G685" s="524"/>
      <c r="H685" s="524"/>
      <c r="I685" s="524"/>
      <c r="J685" s="524"/>
      <c r="K685" s="524"/>
      <c r="L685" s="524"/>
      <c r="M685" s="524"/>
    </row>
    <row r="686" ht="15.75" customHeight="1">
      <c r="A686" s="521"/>
      <c r="B686" s="507"/>
      <c r="C686" s="507"/>
      <c r="D686" s="522"/>
      <c r="E686" s="523"/>
      <c r="F686" s="523"/>
      <c r="G686" s="524"/>
      <c r="H686" s="524"/>
      <c r="I686" s="524"/>
      <c r="J686" s="524"/>
      <c r="K686" s="524"/>
      <c r="L686" s="524"/>
      <c r="M686" s="524"/>
    </row>
    <row r="687" ht="15.75" customHeight="1">
      <c r="A687" s="521"/>
      <c r="B687" s="507"/>
      <c r="C687" s="507"/>
      <c r="D687" s="522"/>
      <c r="E687" s="523"/>
      <c r="F687" s="523"/>
      <c r="G687" s="524"/>
      <c r="H687" s="524"/>
      <c r="I687" s="524"/>
      <c r="J687" s="524"/>
      <c r="K687" s="524"/>
      <c r="L687" s="524"/>
      <c r="M687" s="524"/>
    </row>
    <row r="688" ht="15.75" customHeight="1">
      <c r="A688" s="521"/>
      <c r="B688" s="507"/>
      <c r="C688" s="507"/>
      <c r="D688" s="522"/>
      <c r="E688" s="523"/>
      <c r="F688" s="523"/>
      <c r="G688" s="524"/>
      <c r="H688" s="524"/>
      <c r="I688" s="524"/>
      <c r="J688" s="524"/>
      <c r="K688" s="524"/>
      <c r="L688" s="524"/>
      <c r="M688" s="524"/>
    </row>
    <row r="689" ht="15.75" customHeight="1">
      <c r="A689" s="521"/>
      <c r="B689" s="507"/>
      <c r="C689" s="507"/>
      <c r="D689" s="522"/>
      <c r="E689" s="523"/>
      <c r="F689" s="523"/>
      <c r="G689" s="524"/>
      <c r="H689" s="524"/>
      <c r="I689" s="524"/>
      <c r="J689" s="524"/>
      <c r="K689" s="524"/>
      <c r="L689" s="524"/>
      <c r="M689" s="524"/>
    </row>
    <row r="690" ht="15.75" customHeight="1">
      <c r="A690" s="521"/>
      <c r="B690" s="507"/>
      <c r="C690" s="507"/>
      <c r="D690" s="522"/>
      <c r="E690" s="523"/>
      <c r="F690" s="523"/>
      <c r="G690" s="524"/>
      <c r="H690" s="524"/>
      <c r="I690" s="524"/>
      <c r="J690" s="524"/>
      <c r="K690" s="524"/>
      <c r="L690" s="524"/>
      <c r="M690" s="524"/>
    </row>
    <row r="691" ht="15.75" customHeight="1">
      <c r="A691" s="521"/>
      <c r="B691" s="507"/>
      <c r="C691" s="507"/>
      <c r="D691" s="522"/>
      <c r="E691" s="523"/>
      <c r="F691" s="523"/>
      <c r="G691" s="524"/>
      <c r="H691" s="524"/>
      <c r="I691" s="524"/>
      <c r="J691" s="524"/>
      <c r="K691" s="524"/>
      <c r="L691" s="524"/>
      <c r="M691" s="524"/>
    </row>
    <row r="692" ht="15.75" customHeight="1">
      <c r="A692" s="521"/>
      <c r="B692" s="507"/>
      <c r="C692" s="507"/>
      <c r="D692" s="522"/>
      <c r="E692" s="523"/>
      <c r="F692" s="523"/>
      <c r="G692" s="524"/>
      <c r="H692" s="524"/>
      <c r="I692" s="524"/>
      <c r="J692" s="524"/>
      <c r="K692" s="524"/>
      <c r="L692" s="524"/>
      <c r="M692" s="524"/>
    </row>
    <row r="693" ht="15.75" customHeight="1">
      <c r="A693" s="521"/>
      <c r="B693" s="507"/>
      <c r="C693" s="507"/>
      <c r="D693" s="522"/>
      <c r="E693" s="523"/>
      <c r="F693" s="523"/>
      <c r="G693" s="524"/>
      <c r="H693" s="524"/>
      <c r="I693" s="524"/>
      <c r="J693" s="524"/>
      <c r="K693" s="524"/>
      <c r="L693" s="524"/>
      <c r="M693" s="524"/>
    </row>
    <row r="694" ht="15.75" customHeight="1">
      <c r="A694" s="521"/>
      <c r="B694" s="507"/>
      <c r="C694" s="507"/>
      <c r="D694" s="522"/>
      <c r="E694" s="523"/>
      <c r="F694" s="523"/>
      <c r="G694" s="524"/>
      <c r="H694" s="524"/>
      <c r="I694" s="524"/>
      <c r="J694" s="524"/>
      <c r="K694" s="524"/>
      <c r="L694" s="524"/>
      <c r="M694" s="524"/>
    </row>
    <row r="695" ht="15.75" customHeight="1">
      <c r="A695" s="523"/>
      <c r="B695" s="509"/>
      <c r="C695" s="509"/>
      <c r="D695" s="522"/>
      <c r="E695" s="526"/>
      <c r="F695" s="526"/>
      <c r="G695" s="527"/>
      <c r="H695" s="527"/>
      <c r="I695" s="527"/>
      <c r="J695" s="527"/>
      <c r="K695" s="527"/>
      <c r="L695" s="527"/>
      <c r="M695" s="527"/>
    </row>
    <row r="696" ht="15.75" customHeight="1">
      <c r="A696" s="523"/>
      <c r="B696" s="509"/>
      <c r="C696" s="509"/>
      <c r="D696" s="522"/>
      <c r="E696" s="526"/>
      <c r="F696" s="526"/>
      <c r="G696" s="527"/>
      <c r="H696" s="527"/>
      <c r="I696" s="527"/>
      <c r="J696" s="527"/>
      <c r="K696" s="527"/>
      <c r="L696" s="527"/>
      <c r="M696" s="527"/>
    </row>
    <row r="697" ht="15.75" customHeight="1">
      <c r="A697" s="523"/>
      <c r="B697" s="509"/>
      <c r="C697" s="509"/>
      <c r="D697" s="522"/>
      <c r="E697" s="526"/>
      <c r="F697" s="526"/>
      <c r="G697" s="527"/>
      <c r="H697" s="527"/>
      <c r="I697" s="527"/>
      <c r="J697" s="527"/>
      <c r="K697" s="527"/>
      <c r="L697" s="527"/>
      <c r="M697" s="527"/>
    </row>
    <row r="698" ht="15.75" customHeight="1">
      <c r="A698" s="523"/>
      <c r="B698" s="509"/>
      <c r="C698" s="509"/>
      <c r="D698" s="522"/>
      <c r="E698" s="526"/>
      <c r="F698" s="526"/>
      <c r="G698" s="527"/>
      <c r="H698" s="527"/>
      <c r="I698" s="527"/>
      <c r="J698" s="527"/>
      <c r="K698" s="527"/>
      <c r="L698" s="527"/>
      <c r="M698" s="527"/>
    </row>
    <row r="699" ht="15.75" customHeight="1">
      <c r="A699" s="523"/>
      <c r="B699" s="509"/>
      <c r="C699" s="509"/>
      <c r="D699" s="522"/>
      <c r="E699" s="526"/>
      <c r="F699" s="526"/>
      <c r="G699" s="527"/>
      <c r="H699" s="527"/>
      <c r="I699" s="527"/>
      <c r="J699" s="527"/>
      <c r="K699" s="527"/>
      <c r="L699" s="527"/>
      <c r="M699" s="527"/>
    </row>
    <row r="700" ht="15.75" customHeight="1">
      <c r="A700" s="523"/>
      <c r="B700" s="509"/>
      <c r="C700" s="509"/>
      <c r="D700" s="522"/>
      <c r="E700" s="526"/>
      <c r="F700" s="526"/>
      <c r="G700" s="527"/>
      <c r="H700" s="527"/>
      <c r="I700" s="527"/>
      <c r="J700" s="527"/>
      <c r="K700" s="527"/>
      <c r="L700" s="527"/>
      <c r="M700" s="527"/>
    </row>
    <row r="701" ht="15.75" customHeight="1">
      <c r="A701" s="523"/>
      <c r="B701" s="509"/>
      <c r="C701" s="509"/>
      <c r="D701" s="522"/>
      <c r="E701" s="526"/>
      <c r="F701" s="526"/>
      <c r="G701" s="527"/>
      <c r="H701" s="527"/>
      <c r="I701" s="527"/>
      <c r="J701" s="527"/>
      <c r="K701" s="527"/>
      <c r="L701" s="527"/>
      <c r="M701" s="527"/>
    </row>
    <row r="702" ht="15.75" customHeight="1">
      <c r="A702" s="523"/>
      <c r="B702" s="509"/>
      <c r="C702" s="509"/>
      <c r="D702" s="522"/>
      <c r="E702" s="526"/>
      <c r="F702" s="526"/>
      <c r="G702" s="527"/>
      <c r="H702" s="527"/>
      <c r="I702" s="527"/>
      <c r="J702" s="527"/>
      <c r="K702" s="527"/>
      <c r="L702" s="527"/>
      <c r="M702" s="527"/>
    </row>
    <row r="703" ht="15.75" customHeight="1">
      <c r="A703" s="523"/>
      <c r="B703" s="509"/>
      <c r="C703" s="509"/>
      <c r="D703" s="522"/>
      <c r="E703" s="526"/>
      <c r="F703" s="526"/>
      <c r="G703" s="527"/>
      <c r="H703" s="527"/>
      <c r="I703" s="527"/>
      <c r="J703" s="527"/>
      <c r="K703" s="527"/>
      <c r="L703" s="527"/>
      <c r="M703" s="527"/>
    </row>
    <row r="704" ht="15.75" customHeight="1">
      <c r="A704" s="523"/>
      <c r="B704" s="509"/>
      <c r="C704" s="509"/>
      <c r="D704" s="522"/>
      <c r="E704" s="526"/>
      <c r="F704" s="526"/>
      <c r="G704" s="527"/>
      <c r="H704" s="527"/>
      <c r="I704" s="527"/>
      <c r="J704" s="527"/>
      <c r="K704" s="527"/>
      <c r="L704" s="527"/>
      <c r="M704" s="527"/>
    </row>
    <row r="705" ht="15.75" customHeight="1">
      <c r="A705" s="523"/>
      <c r="B705" s="509"/>
      <c r="C705" s="509"/>
      <c r="D705" s="522"/>
      <c r="E705" s="526"/>
      <c r="F705" s="526"/>
      <c r="G705" s="527"/>
      <c r="H705" s="527"/>
      <c r="I705" s="527"/>
      <c r="J705" s="527"/>
      <c r="K705" s="527"/>
      <c r="L705" s="527"/>
      <c r="M705" s="527"/>
    </row>
    <row r="706" ht="15.75" customHeight="1">
      <c r="A706" s="523"/>
      <c r="B706" s="509"/>
      <c r="C706" s="509"/>
      <c r="D706" s="522"/>
      <c r="E706" s="526"/>
      <c r="F706" s="526"/>
      <c r="G706" s="527"/>
      <c r="H706" s="527"/>
      <c r="I706" s="527"/>
      <c r="J706" s="527"/>
      <c r="K706" s="527"/>
      <c r="L706" s="527"/>
      <c r="M706" s="527"/>
    </row>
    <row r="707" ht="15.75" customHeight="1">
      <c r="A707" s="523"/>
      <c r="B707" s="509"/>
      <c r="C707" s="509"/>
      <c r="D707" s="522"/>
      <c r="E707" s="526"/>
      <c r="F707" s="526"/>
      <c r="G707" s="527"/>
      <c r="H707" s="527"/>
      <c r="I707" s="527"/>
      <c r="J707" s="527"/>
      <c r="K707" s="527"/>
      <c r="L707" s="527"/>
      <c r="M707" s="527"/>
    </row>
    <row r="708" ht="15.75" customHeight="1">
      <c r="A708" s="523"/>
      <c r="B708" s="509"/>
      <c r="C708" s="509"/>
      <c r="D708" s="522"/>
      <c r="E708" s="526"/>
      <c r="F708" s="526"/>
      <c r="G708" s="527"/>
      <c r="H708" s="527"/>
      <c r="I708" s="527"/>
      <c r="J708" s="527"/>
      <c r="K708" s="527"/>
      <c r="L708" s="527"/>
      <c r="M708" s="527"/>
    </row>
    <row r="709" ht="15.75" customHeight="1">
      <c r="A709" s="523"/>
      <c r="B709" s="509"/>
      <c r="C709" s="509"/>
      <c r="D709" s="522"/>
      <c r="E709" s="526"/>
      <c r="F709" s="526"/>
      <c r="G709" s="527"/>
      <c r="H709" s="527"/>
      <c r="I709" s="527"/>
      <c r="J709" s="527"/>
      <c r="K709" s="527"/>
      <c r="L709" s="527"/>
      <c r="M709" s="527"/>
    </row>
    <row r="710" ht="15.75" customHeight="1">
      <c r="A710" s="523"/>
      <c r="B710" s="509"/>
      <c r="C710" s="509"/>
      <c r="D710" s="522"/>
      <c r="E710" s="526"/>
      <c r="F710" s="526"/>
      <c r="G710" s="527"/>
      <c r="H710" s="527"/>
      <c r="I710" s="527"/>
      <c r="J710" s="527"/>
      <c r="K710" s="527"/>
      <c r="L710" s="527"/>
      <c r="M710" s="527"/>
    </row>
    <row r="711" ht="15.75" customHeight="1">
      <c r="A711" s="523"/>
      <c r="B711" s="509"/>
      <c r="C711" s="509"/>
      <c r="D711" s="522"/>
      <c r="E711" s="526"/>
      <c r="F711" s="526"/>
      <c r="G711" s="527"/>
      <c r="H711" s="527"/>
      <c r="I711" s="527"/>
      <c r="J711" s="527"/>
      <c r="K711" s="527"/>
      <c r="L711" s="527"/>
      <c r="M711" s="527"/>
    </row>
    <row r="712" ht="15.75" customHeight="1">
      <c r="A712" s="523"/>
      <c r="B712" s="509"/>
      <c r="C712" s="509"/>
      <c r="D712" s="522"/>
      <c r="E712" s="526"/>
      <c r="F712" s="526"/>
      <c r="G712" s="527"/>
      <c r="H712" s="527"/>
      <c r="I712" s="527"/>
      <c r="J712" s="527"/>
      <c r="K712" s="527"/>
      <c r="L712" s="527"/>
      <c r="M712" s="527"/>
    </row>
    <row r="713" ht="15.75" customHeight="1">
      <c r="A713" s="523"/>
      <c r="B713" s="509"/>
      <c r="C713" s="509"/>
      <c r="D713" s="522"/>
      <c r="E713" s="526"/>
      <c r="F713" s="526"/>
      <c r="G713" s="527"/>
      <c r="H713" s="527"/>
      <c r="I713" s="527"/>
      <c r="J713" s="527"/>
      <c r="K713" s="527"/>
      <c r="L713" s="527"/>
      <c r="M713" s="527"/>
    </row>
    <row r="714" ht="15.75" customHeight="1">
      <c r="A714" s="523"/>
      <c r="B714" s="509"/>
      <c r="C714" s="509"/>
      <c r="D714" s="522"/>
      <c r="E714" s="526"/>
      <c r="F714" s="526"/>
      <c r="G714" s="527"/>
      <c r="H714" s="527"/>
      <c r="I714" s="527"/>
      <c r="J714" s="527"/>
      <c r="K714" s="527"/>
      <c r="L714" s="527"/>
      <c r="M714" s="527"/>
    </row>
    <row r="715" ht="15.75" customHeight="1">
      <c r="A715" s="523"/>
      <c r="B715" s="509"/>
      <c r="C715" s="509"/>
      <c r="D715" s="522"/>
      <c r="E715" s="526"/>
      <c r="F715" s="526"/>
      <c r="G715" s="527"/>
      <c r="H715" s="527"/>
      <c r="I715" s="527"/>
      <c r="J715" s="527"/>
      <c r="K715" s="527"/>
      <c r="L715" s="527"/>
      <c r="M715" s="527"/>
    </row>
    <row r="716" ht="15.75" customHeight="1">
      <c r="A716" s="523"/>
      <c r="B716" s="509"/>
      <c r="C716" s="509"/>
      <c r="D716" s="522"/>
      <c r="E716" s="526"/>
      <c r="F716" s="526"/>
      <c r="G716" s="527"/>
      <c r="H716" s="527"/>
      <c r="I716" s="527"/>
      <c r="J716" s="527"/>
      <c r="K716" s="527"/>
      <c r="L716" s="527"/>
      <c r="M716" s="527"/>
    </row>
    <row r="717" ht="15.75" customHeight="1">
      <c r="A717" s="523"/>
      <c r="B717" s="509"/>
      <c r="C717" s="509"/>
      <c r="D717" s="522"/>
      <c r="E717" s="526"/>
      <c r="F717" s="526"/>
      <c r="G717" s="527"/>
      <c r="H717" s="527"/>
      <c r="I717" s="527"/>
      <c r="J717" s="527"/>
      <c r="K717" s="527"/>
      <c r="L717" s="527"/>
      <c r="M717" s="527"/>
    </row>
    <row r="718" ht="15.75" customHeight="1">
      <c r="A718" s="523"/>
      <c r="B718" s="509"/>
      <c r="C718" s="509"/>
      <c r="D718" s="522"/>
      <c r="E718" s="526"/>
      <c r="F718" s="526"/>
      <c r="G718" s="527"/>
      <c r="H718" s="527"/>
      <c r="I718" s="527"/>
      <c r="J718" s="527"/>
      <c r="K718" s="527"/>
      <c r="L718" s="527"/>
      <c r="M718" s="527"/>
    </row>
    <row r="719" ht="15.75" customHeight="1">
      <c r="A719" s="523"/>
      <c r="B719" s="509"/>
      <c r="C719" s="509"/>
      <c r="D719" s="522"/>
      <c r="E719" s="526"/>
      <c r="F719" s="526"/>
      <c r="G719" s="527"/>
      <c r="H719" s="527"/>
      <c r="I719" s="527"/>
      <c r="J719" s="527"/>
      <c r="K719" s="527"/>
      <c r="L719" s="527"/>
      <c r="M719" s="527"/>
    </row>
    <row r="720" ht="15.75" customHeight="1">
      <c r="A720" s="523"/>
      <c r="B720" s="509"/>
      <c r="C720" s="509"/>
      <c r="D720" s="522"/>
      <c r="E720" s="526"/>
      <c r="F720" s="526"/>
      <c r="G720" s="527"/>
      <c r="H720" s="527"/>
      <c r="I720" s="527"/>
      <c r="J720" s="527"/>
      <c r="K720" s="527"/>
      <c r="L720" s="527"/>
      <c r="M720" s="527"/>
    </row>
    <row r="721" ht="15.75" customHeight="1">
      <c r="A721" s="523"/>
      <c r="B721" s="509"/>
      <c r="C721" s="509"/>
      <c r="D721" s="522"/>
      <c r="E721" s="526"/>
      <c r="F721" s="526"/>
      <c r="G721" s="527"/>
      <c r="H721" s="527"/>
      <c r="I721" s="527"/>
      <c r="J721" s="527"/>
      <c r="K721" s="527"/>
      <c r="L721" s="527"/>
      <c r="M721" s="527"/>
    </row>
    <row r="722" ht="15.75" customHeight="1">
      <c r="A722" s="523"/>
      <c r="B722" s="509"/>
      <c r="C722" s="509"/>
      <c r="D722" s="522"/>
      <c r="E722" s="526"/>
      <c r="F722" s="526"/>
      <c r="G722" s="527"/>
      <c r="H722" s="527"/>
      <c r="I722" s="527"/>
      <c r="J722" s="527"/>
      <c r="K722" s="527"/>
      <c r="L722" s="527"/>
      <c r="M722" s="527"/>
    </row>
    <row r="723" ht="15.75" customHeight="1">
      <c r="A723" s="523"/>
      <c r="B723" s="509"/>
      <c r="C723" s="509"/>
      <c r="D723" s="522"/>
      <c r="E723" s="526"/>
      <c r="F723" s="526"/>
      <c r="G723" s="527"/>
      <c r="H723" s="527"/>
      <c r="I723" s="527"/>
      <c r="J723" s="527"/>
      <c r="K723" s="527"/>
      <c r="L723" s="527"/>
      <c r="M723" s="527"/>
    </row>
    <row r="724" ht="15.75" customHeight="1">
      <c r="A724" s="523"/>
      <c r="B724" s="509"/>
      <c r="C724" s="509"/>
      <c r="D724" s="522"/>
      <c r="E724" s="526"/>
      <c r="F724" s="526"/>
      <c r="G724" s="527"/>
      <c r="H724" s="527"/>
      <c r="I724" s="527"/>
      <c r="J724" s="527"/>
      <c r="K724" s="527"/>
      <c r="L724" s="527"/>
      <c r="M724" s="527"/>
    </row>
    <row r="725" ht="15.75" customHeight="1">
      <c r="A725" s="523"/>
      <c r="B725" s="509"/>
      <c r="C725" s="509"/>
      <c r="D725" s="522"/>
      <c r="E725" s="526"/>
      <c r="F725" s="526"/>
      <c r="G725" s="527"/>
      <c r="H725" s="527"/>
      <c r="I725" s="527"/>
      <c r="J725" s="527"/>
      <c r="K725" s="527"/>
      <c r="L725" s="527"/>
      <c r="M725" s="527"/>
    </row>
    <row r="726" ht="15.75" customHeight="1">
      <c r="A726" s="523"/>
      <c r="B726" s="509"/>
      <c r="C726" s="509"/>
      <c r="D726" s="522"/>
      <c r="E726" s="526"/>
      <c r="F726" s="526"/>
      <c r="G726" s="527"/>
      <c r="H726" s="527"/>
      <c r="I726" s="527"/>
      <c r="J726" s="527"/>
      <c r="K726" s="527"/>
      <c r="L726" s="527"/>
      <c r="M726" s="527"/>
    </row>
    <row r="727" ht="15.75" customHeight="1">
      <c r="A727" s="523"/>
      <c r="B727" s="509"/>
      <c r="C727" s="509"/>
      <c r="D727" s="522"/>
      <c r="E727" s="526"/>
      <c r="F727" s="526"/>
      <c r="G727" s="527"/>
      <c r="H727" s="527"/>
      <c r="I727" s="527"/>
      <c r="J727" s="527"/>
      <c r="K727" s="527"/>
      <c r="L727" s="527"/>
      <c r="M727" s="527"/>
    </row>
    <row r="728" ht="15.75" customHeight="1">
      <c r="A728" s="523"/>
      <c r="B728" s="509"/>
      <c r="C728" s="509"/>
      <c r="D728" s="522"/>
      <c r="E728" s="526"/>
      <c r="F728" s="526"/>
      <c r="G728" s="527"/>
      <c r="H728" s="527"/>
      <c r="I728" s="527"/>
      <c r="J728" s="527"/>
      <c r="K728" s="527"/>
      <c r="L728" s="527"/>
      <c r="M728" s="527"/>
    </row>
    <row r="729" ht="15.75" customHeight="1">
      <c r="A729" s="523"/>
      <c r="B729" s="509"/>
      <c r="C729" s="509"/>
      <c r="D729" s="522"/>
      <c r="E729" s="526"/>
      <c r="F729" s="526"/>
      <c r="G729" s="527"/>
      <c r="H729" s="527"/>
      <c r="I729" s="527"/>
      <c r="J729" s="527"/>
      <c r="K729" s="527"/>
      <c r="L729" s="527"/>
      <c r="M729" s="527"/>
    </row>
    <row r="730" ht="15.75" customHeight="1">
      <c r="A730" s="523"/>
      <c r="B730" s="509"/>
      <c r="C730" s="509"/>
      <c r="D730" s="522"/>
      <c r="E730" s="526"/>
      <c r="F730" s="526"/>
      <c r="G730" s="527"/>
      <c r="H730" s="527"/>
      <c r="I730" s="527"/>
      <c r="J730" s="527"/>
      <c r="K730" s="527"/>
      <c r="L730" s="527"/>
      <c r="M730" s="527"/>
    </row>
    <row r="731" ht="15.75" customHeight="1">
      <c r="A731" s="523"/>
      <c r="B731" s="509"/>
      <c r="C731" s="509"/>
      <c r="D731" s="522"/>
      <c r="E731" s="526"/>
      <c r="F731" s="526"/>
      <c r="G731" s="527"/>
      <c r="H731" s="527"/>
      <c r="I731" s="527"/>
      <c r="J731" s="527"/>
      <c r="K731" s="527"/>
      <c r="L731" s="527"/>
      <c r="M731" s="527"/>
    </row>
    <row r="732" ht="15.75" customHeight="1">
      <c r="A732" s="523"/>
      <c r="B732" s="509"/>
      <c r="C732" s="509"/>
      <c r="D732" s="522"/>
      <c r="E732" s="526"/>
      <c r="F732" s="526"/>
      <c r="G732" s="527"/>
      <c r="H732" s="527"/>
      <c r="I732" s="527"/>
      <c r="J732" s="527"/>
      <c r="K732" s="527"/>
      <c r="L732" s="527"/>
      <c r="M732" s="527"/>
    </row>
    <row r="733" ht="15.75" customHeight="1">
      <c r="A733" s="523"/>
      <c r="B733" s="509"/>
      <c r="C733" s="509"/>
      <c r="D733" s="522"/>
      <c r="E733" s="526"/>
      <c r="F733" s="526"/>
      <c r="G733" s="527"/>
      <c r="H733" s="527"/>
      <c r="I733" s="527"/>
      <c r="J733" s="527"/>
      <c r="K733" s="527"/>
      <c r="L733" s="527"/>
      <c r="M733" s="527"/>
    </row>
    <row r="734" ht="15.75" customHeight="1">
      <c r="A734" s="523"/>
      <c r="B734" s="509"/>
      <c r="C734" s="509"/>
      <c r="D734" s="522"/>
      <c r="E734" s="526"/>
      <c r="F734" s="526"/>
      <c r="G734" s="527"/>
      <c r="H734" s="527"/>
      <c r="I734" s="527"/>
      <c r="J734" s="527"/>
      <c r="K734" s="527"/>
      <c r="L734" s="527"/>
      <c r="M734" s="527"/>
    </row>
    <row r="735" ht="15.75" customHeight="1">
      <c r="A735" s="523"/>
      <c r="B735" s="509"/>
      <c r="C735" s="509"/>
      <c r="D735" s="522"/>
      <c r="E735" s="526"/>
      <c r="F735" s="526"/>
      <c r="G735" s="527"/>
      <c r="H735" s="527"/>
      <c r="I735" s="527"/>
      <c r="J735" s="527"/>
      <c r="K735" s="527"/>
      <c r="L735" s="527"/>
      <c r="M735" s="527"/>
    </row>
    <row r="736" ht="15.75" customHeight="1">
      <c r="A736" s="523"/>
      <c r="B736" s="509"/>
      <c r="C736" s="509"/>
      <c r="D736" s="522"/>
      <c r="E736" s="526"/>
      <c r="F736" s="526"/>
      <c r="G736" s="527"/>
      <c r="H736" s="527"/>
      <c r="I736" s="527"/>
      <c r="J736" s="527"/>
      <c r="K736" s="527"/>
      <c r="L736" s="527"/>
      <c r="M736" s="527"/>
    </row>
    <row r="737" ht="15.75" customHeight="1">
      <c r="A737" s="523"/>
      <c r="B737" s="509"/>
      <c r="C737" s="509"/>
      <c r="D737" s="522"/>
      <c r="E737" s="526"/>
      <c r="F737" s="526"/>
      <c r="G737" s="527"/>
      <c r="H737" s="527"/>
      <c r="I737" s="527"/>
      <c r="J737" s="527"/>
      <c r="K737" s="527"/>
      <c r="L737" s="527"/>
      <c r="M737" s="527"/>
    </row>
    <row r="738" ht="15.75" customHeight="1">
      <c r="A738" s="523"/>
      <c r="B738" s="509"/>
      <c r="C738" s="509"/>
      <c r="D738" s="522"/>
      <c r="E738" s="526"/>
      <c r="F738" s="526"/>
      <c r="G738" s="527"/>
      <c r="H738" s="527"/>
      <c r="I738" s="527"/>
      <c r="J738" s="527"/>
      <c r="K738" s="527"/>
      <c r="L738" s="527"/>
      <c r="M738" s="527"/>
    </row>
    <row r="739" ht="15.75" customHeight="1">
      <c r="A739" s="523"/>
      <c r="B739" s="509"/>
      <c r="C739" s="509"/>
      <c r="D739" s="522"/>
      <c r="E739" s="526"/>
      <c r="F739" s="526"/>
      <c r="G739" s="527"/>
      <c r="H739" s="527"/>
      <c r="I739" s="527"/>
      <c r="J739" s="527"/>
      <c r="K739" s="527"/>
      <c r="L739" s="527"/>
      <c r="M739" s="527"/>
    </row>
    <row r="740" ht="15.75" customHeight="1">
      <c r="A740" s="523"/>
      <c r="B740" s="509"/>
      <c r="C740" s="509"/>
      <c r="D740" s="522"/>
      <c r="E740" s="526"/>
      <c r="F740" s="526"/>
      <c r="G740" s="527"/>
      <c r="H740" s="527"/>
      <c r="I740" s="527"/>
      <c r="J740" s="527"/>
      <c r="K740" s="527"/>
      <c r="L740" s="527"/>
      <c r="M740" s="527"/>
    </row>
    <row r="741" ht="15.75" customHeight="1">
      <c r="A741" s="523"/>
      <c r="B741" s="509"/>
      <c r="C741" s="509"/>
      <c r="D741" s="522"/>
      <c r="E741" s="526"/>
      <c r="F741" s="526"/>
      <c r="G741" s="527"/>
      <c r="H741" s="527"/>
      <c r="I741" s="527"/>
      <c r="J741" s="527"/>
      <c r="K741" s="527"/>
      <c r="L741" s="527"/>
      <c r="M741" s="527"/>
    </row>
    <row r="742" ht="15.75" customHeight="1">
      <c r="A742" s="523"/>
      <c r="B742" s="509"/>
      <c r="C742" s="509"/>
      <c r="D742" s="522"/>
      <c r="E742" s="526"/>
      <c r="F742" s="526"/>
      <c r="G742" s="527"/>
      <c r="H742" s="527"/>
      <c r="I742" s="527"/>
      <c r="J742" s="527"/>
      <c r="K742" s="527"/>
      <c r="L742" s="527"/>
      <c r="M742" s="527"/>
    </row>
    <row r="743" ht="15.75" customHeight="1">
      <c r="A743" s="523"/>
      <c r="B743" s="509"/>
      <c r="C743" s="509"/>
      <c r="D743" s="522"/>
      <c r="E743" s="526"/>
      <c r="F743" s="526"/>
      <c r="G743" s="527"/>
      <c r="H743" s="527"/>
      <c r="I743" s="527"/>
      <c r="J743" s="527"/>
      <c r="K743" s="527"/>
      <c r="L743" s="527"/>
      <c r="M743" s="527"/>
    </row>
    <row r="744" ht="15.75" customHeight="1">
      <c r="A744" s="523"/>
      <c r="B744" s="509"/>
      <c r="C744" s="509"/>
      <c r="D744" s="522"/>
      <c r="E744" s="526"/>
      <c r="F744" s="526"/>
      <c r="G744" s="527"/>
      <c r="H744" s="527"/>
      <c r="I744" s="527"/>
      <c r="J744" s="527"/>
      <c r="K744" s="527"/>
      <c r="L744" s="527"/>
      <c r="M744" s="527"/>
    </row>
    <row r="745" ht="15.75" customHeight="1">
      <c r="A745" s="523"/>
      <c r="B745" s="509"/>
      <c r="C745" s="509"/>
      <c r="D745" s="522"/>
      <c r="E745" s="526"/>
      <c r="F745" s="526"/>
      <c r="G745" s="527"/>
      <c r="H745" s="527"/>
      <c r="I745" s="527"/>
      <c r="J745" s="527"/>
      <c r="K745" s="527"/>
      <c r="L745" s="527"/>
      <c r="M745" s="527"/>
    </row>
    <row r="746" ht="15.75" customHeight="1">
      <c r="A746" s="523"/>
      <c r="B746" s="509"/>
      <c r="C746" s="509"/>
      <c r="D746" s="522"/>
      <c r="E746" s="526"/>
      <c r="F746" s="526"/>
      <c r="G746" s="527"/>
      <c r="H746" s="527"/>
      <c r="I746" s="527"/>
      <c r="J746" s="527"/>
      <c r="K746" s="527"/>
      <c r="L746" s="527"/>
      <c r="M746" s="527"/>
    </row>
    <row r="747" ht="15.75" customHeight="1">
      <c r="A747" s="523"/>
      <c r="B747" s="509"/>
      <c r="C747" s="509"/>
      <c r="D747" s="522"/>
      <c r="E747" s="526"/>
      <c r="F747" s="526"/>
      <c r="G747" s="527"/>
      <c r="H747" s="527"/>
      <c r="I747" s="527"/>
      <c r="J747" s="527"/>
      <c r="K747" s="527"/>
      <c r="L747" s="527"/>
      <c r="M747" s="527"/>
    </row>
    <row r="748" ht="15.75" customHeight="1">
      <c r="A748" s="523"/>
      <c r="B748" s="509"/>
      <c r="C748" s="509"/>
      <c r="D748" s="522"/>
      <c r="E748" s="526"/>
      <c r="F748" s="526"/>
      <c r="G748" s="527"/>
      <c r="H748" s="527"/>
      <c r="I748" s="527"/>
      <c r="J748" s="527"/>
      <c r="K748" s="527"/>
      <c r="L748" s="527"/>
      <c r="M748" s="527"/>
    </row>
    <row r="749" ht="15.75" customHeight="1">
      <c r="A749" s="523"/>
      <c r="B749" s="509"/>
      <c r="C749" s="509"/>
      <c r="D749" s="522"/>
      <c r="E749" s="526"/>
      <c r="F749" s="526"/>
      <c r="G749" s="527"/>
      <c r="H749" s="527"/>
      <c r="I749" s="527"/>
      <c r="J749" s="527"/>
      <c r="K749" s="527"/>
      <c r="L749" s="527"/>
      <c r="M749" s="527"/>
    </row>
    <row r="750" ht="15.75" customHeight="1">
      <c r="A750" s="523"/>
      <c r="B750" s="509"/>
      <c r="C750" s="509"/>
      <c r="D750" s="522"/>
      <c r="E750" s="526"/>
      <c r="F750" s="526"/>
      <c r="G750" s="527"/>
      <c r="H750" s="527"/>
      <c r="I750" s="527"/>
      <c r="J750" s="527"/>
      <c r="K750" s="527"/>
      <c r="L750" s="527"/>
      <c r="M750" s="527"/>
    </row>
    <row r="751" ht="15.75" customHeight="1">
      <c r="A751" s="523"/>
      <c r="B751" s="509"/>
      <c r="C751" s="509"/>
      <c r="D751" s="522"/>
      <c r="E751" s="526"/>
      <c r="F751" s="526"/>
      <c r="G751" s="527"/>
      <c r="H751" s="527"/>
      <c r="I751" s="527"/>
      <c r="J751" s="527"/>
      <c r="K751" s="527"/>
      <c r="L751" s="527"/>
      <c r="M751" s="527"/>
    </row>
    <row r="752" ht="15.75" customHeight="1">
      <c r="A752" s="523"/>
      <c r="B752" s="509"/>
      <c r="C752" s="509"/>
      <c r="D752" s="522"/>
      <c r="E752" s="526"/>
      <c r="F752" s="526"/>
      <c r="G752" s="527"/>
      <c r="H752" s="527"/>
      <c r="I752" s="527"/>
      <c r="J752" s="527"/>
      <c r="K752" s="527"/>
      <c r="L752" s="527"/>
      <c r="M752" s="527"/>
    </row>
    <row r="753" ht="15.75" customHeight="1">
      <c r="A753" s="523"/>
      <c r="B753" s="509"/>
      <c r="C753" s="509"/>
      <c r="D753" s="522"/>
      <c r="E753" s="526"/>
      <c r="F753" s="526"/>
      <c r="G753" s="527"/>
      <c r="H753" s="527"/>
      <c r="I753" s="527"/>
      <c r="J753" s="527"/>
      <c r="K753" s="527"/>
      <c r="L753" s="527"/>
      <c r="M753" s="527"/>
    </row>
    <row r="754" ht="15.75" customHeight="1">
      <c r="A754" s="523"/>
      <c r="B754" s="509"/>
      <c r="C754" s="509"/>
      <c r="D754" s="522"/>
      <c r="E754" s="526"/>
      <c r="F754" s="526"/>
      <c r="G754" s="527"/>
      <c r="H754" s="527"/>
      <c r="I754" s="527"/>
      <c r="J754" s="527"/>
      <c r="K754" s="527"/>
      <c r="L754" s="527"/>
      <c r="M754" s="527"/>
    </row>
    <row r="755" ht="15.75" customHeight="1">
      <c r="A755" s="523"/>
      <c r="B755" s="509"/>
      <c r="C755" s="509"/>
      <c r="D755" s="522"/>
      <c r="E755" s="526"/>
      <c r="F755" s="526"/>
      <c r="G755" s="527"/>
      <c r="H755" s="527"/>
      <c r="I755" s="527"/>
      <c r="J755" s="527"/>
      <c r="K755" s="527"/>
      <c r="L755" s="527"/>
      <c r="M755" s="527"/>
    </row>
    <row r="756" ht="15.75" customHeight="1">
      <c r="A756" s="523"/>
      <c r="B756" s="509"/>
      <c r="C756" s="509"/>
      <c r="D756" s="522"/>
      <c r="E756" s="526"/>
      <c r="F756" s="526"/>
      <c r="G756" s="527"/>
      <c r="H756" s="527"/>
      <c r="I756" s="527"/>
      <c r="J756" s="527"/>
      <c r="K756" s="527"/>
      <c r="L756" s="527"/>
      <c r="M756" s="527"/>
    </row>
    <row r="757" ht="15.75" customHeight="1">
      <c r="A757" s="523"/>
      <c r="B757" s="509"/>
      <c r="C757" s="509"/>
      <c r="D757" s="522"/>
      <c r="E757" s="526"/>
      <c r="F757" s="526"/>
      <c r="G757" s="527"/>
      <c r="H757" s="527"/>
      <c r="I757" s="527"/>
      <c r="J757" s="527"/>
      <c r="K757" s="527"/>
      <c r="L757" s="527"/>
      <c r="M757" s="527"/>
    </row>
    <row r="758" ht="15.75" customHeight="1">
      <c r="A758" s="523"/>
      <c r="B758" s="509"/>
      <c r="C758" s="509"/>
      <c r="D758" s="522"/>
      <c r="E758" s="526"/>
      <c r="F758" s="526"/>
      <c r="G758" s="527"/>
      <c r="H758" s="527"/>
      <c r="I758" s="527"/>
      <c r="J758" s="527"/>
      <c r="K758" s="527"/>
      <c r="L758" s="527"/>
      <c r="M758" s="527"/>
    </row>
    <row r="759" ht="15.75" customHeight="1">
      <c r="A759" s="523"/>
      <c r="B759" s="509"/>
      <c r="C759" s="509"/>
      <c r="D759" s="522"/>
      <c r="E759" s="526"/>
      <c r="F759" s="526"/>
      <c r="G759" s="527"/>
      <c r="H759" s="527"/>
      <c r="I759" s="527"/>
      <c r="J759" s="527"/>
      <c r="K759" s="527"/>
      <c r="L759" s="527"/>
      <c r="M759" s="527"/>
    </row>
    <row r="760" ht="15.75" customHeight="1">
      <c r="A760" s="523"/>
      <c r="B760" s="509"/>
      <c r="C760" s="509"/>
      <c r="D760" s="522"/>
      <c r="E760" s="526"/>
      <c r="F760" s="526"/>
      <c r="G760" s="527"/>
      <c r="H760" s="527"/>
      <c r="I760" s="527"/>
      <c r="J760" s="527"/>
      <c r="K760" s="527"/>
      <c r="L760" s="527"/>
      <c r="M760" s="527"/>
    </row>
    <row r="761" ht="15.75" customHeight="1">
      <c r="A761" s="523"/>
      <c r="B761" s="509"/>
      <c r="C761" s="509"/>
      <c r="D761" s="522"/>
      <c r="E761" s="526"/>
      <c r="F761" s="526"/>
      <c r="G761" s="527"/>
      <c r="H761" s="527"/>
      <c r="I761" s="527"/>
      <c r="J761" s="527"/>
      <c r="K761" s="527"/>
      <c r="L761" s="527"/>
      <c r="M761" s="527"/>
    </row>
    <row r="762" ht="15.75" customHeight="1">
      <c r="A762" s="523"/>
      <c r="B762" s="509"/>
      <c r="C762" s="509"/>
      <c r="D762" s="522"/>
      <c r="E762" s="526"/>
      <c r="F762" s="526"/>
      <c r="G762" s="527"/>
      <c r="H762" s="527"/>
      <c r="I762" s="527"/>
      <c r="J762" s="527"/>
      <c r="K762" s="527"/>
      <c r="L762" s="527"/>
      <c r="M762" s="527"/>
    </row>
    <row r="763" ht="15.75" customHeight="1">
      <c r="A763" s="523"/>
      <c r="B763" s="509"/>
      <c r="C763" s="509"/>
      <c r="D763" s="522"/>
      <c r="E763" s="526"/>
      <c r="F763" s="526"/>
      <c r="G763" s="527"/>
      <c r="H763" s="527"/>
      <c r="I763" s="527"/>
      <c r="J763" s="527"/>
      <c r="K763" s="527"/>
      <c r="L763" s="527"/>
      <c r="M763" s="527"/>
    </row>
    <row r="764" ht="15.75" customHeight="1">
      <c r="A764" s="523"/>
      <c r="B764" s="509"/>
      <c r="C764" s="509"/>
      <c r="D764" s="522"/>
      <c r="E764" s="526"/>
      <c r="F764" s="526"/>
      <c r="G764" s="527"/>
      <c r="H764" s="527"/>
      <c r="I764" s="527"/>
      <c r="J764" s="527"/>
      <c r="K764" s="527"/>
      <c r="L764" s="527"/>
      <c r="M764" s="527"/>
    </row>
    <row r="765" ht="15.75" customHeight="1">
      <c r="A765" s="523"/>
      <c r="B765" s="509"/>
      <c r="C765" s="509"/>
      <c r="D765" s="522"/>
      <c r="E765" s="526"/>
      <c r="F765" s="526"/>
      <c r="G765" s="527"/>
      <c r="H765" s="527"/>
      <c r="I765" s="527"/>
      <c r="J765" s="527"/>
      <c r="K765" s="527"/>
      <c r="L765" s="527"/>
      <c r="M765" s="527"/>
    </row>
    <row r="766" ht="15.75" customHeight="1">
      <c r="A766" s="523"/>
      <c r="B766" s="509"/>
      <c r="C766" s="509"/>
      <c r="D766" s="522"/>
      <c r="E766" s="526"/>
      <c r="F766" s="526"/>
      <c r="G766" s="527"/>
      <c r="H766" s="527"/>
      <c r="I766" s="527"/>
      <c r="J766" s="527"/>
      <c r="K766" s="527"/>
      <c r="L766" s="527"/>
      <c r="M766" s="527"/>
    </row>
    <row r="767" ht="15.75" customHeight="1">
      <c r="A767" s="523"/>
      <c r="B767" s="509"/>
      <c r="C767" s="509"/>
      <c r="D767" s="522"/>
      <c r="E767" s="526"/>
      <c r="F767" s="526"/>
      <c r="G767" s="527"/>
      <c r="H767" s="527"/>
      <c r="I767" s="527"/>
      <c r="J767" s="527"/>
      <c r="K767" s="527"/>
      <c r="L767" s="527"/>
      <c r="M767" s="527"/>
    </row>
    <row r="768" ht="15.75" customHeight="1">
      <c r="A768" s="523"/>
      <c r="B768" s="509"/>
      <c r="C768" s="509"/>
      <c r="D768" s="522"/>
      <c r="E768" s="526"/>
      <c r="F768" s="526"/>
      <c r="G768" s="527"/>
      <c r="H768" s="527"/>
      <c r="I768" s="527"/>
      <c r="J768" s="527"/>
      <c r="K768" s="527"/>
      <c r="L768" s="527"/>
      <c r="M768" s="527"/>
    </row>
    <row r="769" ht="15.75" customHeight="1">
      <c r="A769" s="523"/>
      <c r="B769" s="509"/>
      <c r="C769" s="509"/>
      <c r="D769" s="522"/>
      <c r="E769" s="526"/>
      <c r="F769" s="526"/>
      <c r="G769" s="527"/>
      <c r="H769" s="527"/>
      <c r="I769" s="527"/>
      <c r="J769" s="527"/>
      <c r="K769" s="527"/>
      <c r="L769" s="527"/>
      <c r="M769" s="527"/>
    </row>
    <row r="770" ht="15.75" customHeight="1">
      <c r="A770" s="523"/>
      <c r="B770" s="509"/>
      <c r="C770" s="509"/>
      <c r="D770" s="522"/>
      <c r="E770" s="526"/>
      <c r="F770" s="526"/>
      <c r="G770" s="527"/>
      <c r="H770" s="527"/>
      <c r="I770" s="527"/>
      <c r="J770" s="527"/>
      <c r="K770" s="527"/>
      <c r="L770" s="527"/>
      <c r="M770" s="527"/>
    </row>
    <row r="771" ht="15.75" customHeight="1">
      <c r="A771" s="523"/>
      <c r="B771" s="509"/>
      <c r="C771" s="509"/>
      <c r="D771" s="522"/>
      <c r="E771" s="526"/>
      <c r="F771" s="526"/>
      <c r="G771" s="527"/>
      <c r="H771" s="527"/>
      <c r="I771" s="527"/>
      <c r="J771" s="527"/>
      <c r="K771" s="527"/>
      <c r="L771" s="527"/>
      <c r="M771" s="527"/>
    </row>
    <row r="772" ht="15.75" customHeight="1">
      <c r="A772" s="523"/>
      <c r="B772" s="509"/>
      <c r="C772" s="509"/>
      <c r="D772" s="522"/>
      <c r="E772" s="526"/>
      <c r="F772" s="526"/>
      <c r="G772" s="527"/>
      <c r="H772" s="527"/>
      <c r="I772" s="527"/>
      <c r="J772" s="527"/>
      <c r="K772" s="527"/>
      <c r="L772" s="527"/>
      <c r="M772" s="527"/>
    </row>
    <row r="773" ht="15.75" customHeight="1">
      <c r="A773" s="523"/>
      <c r="B773" s="509"/>
      <c r="C773" s="509"/>
      <c r="D773" s="522"/>
      <c r="E773" s="526"/>
      <c r="F773" s="526"/>
      <c r="G773" s="527"/>
      <c r="H773" s="527"/>
      <c r="I773" s="527"/>
      <c r="J773" s="527"/>
      <c r="K773" s="527"/>
      <c r="L773" s="527"/>
      <c r="M773" s="527"/>
    </row>
    <row r="774" ht="15.75" customHeight="1">
      <c r="A774" s="523"/>
      <c r="B774" s="509"/>
      <c r="C774" s="509"/>
      <c r="D774" s="522"/>
      <c r="E774" s="526"/>
      <c r="F774" s="526"/>
      <c r="G774" s="527"/>
      <c r="H774" s="527"/>
      <c r="I774" s="527"/>
      <c r="J774" s="527"/>
      <c r="K774" s="527"/>
      <c r="L774" s="527"/>
      <c r="M774" s="527"/>
    </row>
    <row r="775" ht="15.75" customHeight="1">
      <c r="A775" s="523"/>
      <c r="B775" s="509"/>
      <c r="C775" s="509"/>
      <c r="D775" s="522"/>
      <c r="E775" s="526"/>
      <c r="F775" s="526"/>
      <c r="G775" s="527"/>
      <c r="H775" s="527"/>
      <c r="I775" s="527"/>
      <c r="J775" s="527"/>
      <c r="K775" s="527"/>
      <c r="L775" s="527"/>
      <c r="M775" s="527"/>
    </row>
    <row r="776" ht="15.75" customHeight="1">
      <c r="A776" s="523"/>
      <c r="B776" s="509"/>
      <c r="C776" s="509"/>
      <c r="D776" s="522"/>
      <c r="E776" s="526"/>
      <c r="F776" s="526"/>
      <c r="G776" s="527"/>
      <c r="H776" s="527"/>
      <c r="I776" s="527"/>
      <c r="J776" s="527"/>
      <c r="K776" s="527"/>
      <c r="L776" s="527"/>
      <c r="M776" s="527"/>
    </row>
    <row r="777" ht="15.75" customHeight="1">
      <c r="A777" s="523"/>
      <c r="B777" s="509"/>
      <c r="C777" s="509"/>
      <c r="D777" s="522"/>
      <c r="E777" s="526"/>
      <c r="F777" s="526"/>
      <c r="G777" s="527"/>
      <c r="H777" s="527"/>
      <c r="I777" s="527"/>
      <c r="J777" s="527"/>
      <c r="K777" s="527"/>
      <c r="L777" s="527"/>
      <c r="M777" s="527"/>
    </row>
    <row r="778" ht="15.75" customHeight="1">
      <c r="A778" s="523"/>
      <c r="B778" s="509"/>
      <c r="C778" s="509"/>
      <c r="D778" s="522"/>
      <c r="E778" s="526"/>
      <c r="F778" s="526"/>
      <c r="G778" s="527"/>
      <c r="H778" s="527"/>
      <c r="I778" s="527"/>
      <c r="J778" s="527"/>
      <c r="K778" s="527"/>
      <c r="L778" s="527"/>
      <c r="M778" s="527"/>
    </row>
    <row r="779" ht="15.75" customHeight="1">
      <c r="A779" s="523"/>
      <c r="B779" s="509"/>
      <c r="C779" s="509"/>
      <c r="D779" s="522"/>
      <c r="E779" s="526"/>
      <c r="F779" s="526"/>
      <c r="G779" s="527"/>
      <c r="H779" s="527"/>
      <c r="I779" s="527"/>
      <c r="J779" s="527"/>
      <c r="K779" s="527"/>
      <c r="L779" s="527"/>
      <c r="M779" s="527"/>
    </row>
    <row r="780" ht="15.75" customHeight="1">
      <c r="A780" s="523"/>
      <c r="B780" s="509"/>
      <c r="C780" s="509"/>
      <c r="D780" s="522"/>
      <c r="E780" s="526"/>
      <c r="F780" s="526"/>
      <c r="G780" s="527"/>
      <c r="H780" s="527"/>
      <c r="I780" s="527"/>
      <c r="J780" s="527"/>
      <c r="K780" s="527"/>
      <c r="L780" s="527"/>
      <c r="M780" s="527"/>
    </row>
    <row r="781" ht="15.75" customHeight="1">
      <c r="A781" s="523"/>
      <c r="B781" s="509"/>
      <c r="C781" s="509"/>
      <c r="D781" s="522"/>
      <c r="E781" s="526"/>
      <c r="F781" s="526"/>
      <c r="G781" s="527"/>
      <c r="H781" s="527"/>
      <c r="I781" s="527"/>
      <c r="J781" s="527"/>
      <c r="K781" s="527"/>
      <c r="L781" s="527"/>
      <c r="M781" s="527"/>
    </row>
    <row r="782" ht="15.75" customHeight="1">
      <c r="A782" s="523"/>
      <c r="B782" s="509"/>
      <c r="C782" s="509"/>
      <c r="D782" s="522"/>
      <c r="E782" s="526"/>
      <c r="F782" s="526"/>
      <c r="G782" s="527"/>
      <c r="H782" s="527"/>
      <c r="I782" s="527"/>
      <c r="J782" s="527"/>
      <c r="K782" s="527"/>
      <c r="L782" s="527"/>
      <c r="M782" s="527"/>
    </row>
    <row r="783" ht="15.75" customHeight="1">
      <c r="A783" s="523"/>
      <c r="B783" s="509"/>
      <c r="C783" s="509"/>
      <c r="D783" s="522"/>
      <c r="E783" s="526"/>
      <c r="F783" s="526"/>
      <c r="G783" s="527"/>
      <c r="H783" s="527"/>
      <c r="I783" s="527"/>
      <c r="J783" s="527"/>
      <c r="K783" s="527"/>
      <c r="L783" s="527"/>
      <c r="M783" s="527"/>
    </row>
    <row r="784" ht="15.75" customHeight="1">
      <c r="A784" s="523"/>
      <c r="B784" s="509"/>
      <c r="C784" s="509"/>
      <c r="D784" s="522"/>
      <c r="E784" s="526"/>
      <c r="F784" s="526"/>
      <c r="G784" s="527"/>
      <c r="H784" s="527"/>
      <c r="I784" s="527"/>
      <c r="J784" s="527"/>
      <c r="K784" s="527"/>
      <c r="L784" s="527"/>
      <c r="M784" s="527"/>
    </row>
    <row r="785" ht="15.75" customHeight="1">
      <c r="A785" s="523"/>
      <c r="B785" s="509"/>
      <c r="C785" s="509"/>
      <c r="D785" s="522"/>
      <c r="E785" s="526"/>
      <c r="F785" s="526"/>
      <c r="G785" s="527"/>
      <c r="H785" s="527"/>
      <c r="I785" s="527"/>
      <c r="J785" s="527"/>
      <c r="K785" s="527"/>
      <c r="L785" s="527"/>
      <c r="M785" s="527"/>
    </row>
    <row r="786" ht="15.75" customHeight="1">
      <c r="A786" s="523"/>
      <c r="B786" s="509"/>
      <c r="C786" s="509"/>
      <c r="D786" s="522"/>
      <c r="E786" s="526"/>
      <c r="F786" s="526"/>
      <c r="G786" s="527"/>
      <c r="H786" s="527"/>
      <c r="I786" s="527"/>
      <c r="J786" s="527"/>
      <c r="K786" s="527"/>
      <c r="L786" s="527"/>
      <c r="M786" s="527"/>
    </row>
    <row r="787" ht="15.75" customHeight="1">
      <c r="A787" s="523"/>
      <c r="B787" s="509"/>
      <c r="C787" s="509"/>
      <c r="D787" s="522"/>
      <c r="E787" s="526"/>
      <c r="F787" s="526"/>
      <c r="G787" s="527"/>
      <c r="H787" s="527"/>
      <c r="I787" s="527"/>
      <c r="J787" s="527"/>
      <c r="K787" s="527"/>
      <c r="L787" s="527"/>
      <c r="M787" s="527"/>
    </row>
    <row r="788" ht="15.75" customHeight="1">
      <c r="A788" s="523"/>
      <c r="B788" s="509"/>
      <c r="C788" s="509"/>
      <c r="D788" s="522"/>
      <c r="E788" s="526"/>
      <c r="F788" s="526"/>
      <c r="G788" s="527"/>
      <c r="H788" s="527"/>
      <c r="I788" s="527"/>
      <c r="J788" s="527"/>
      <c r="K788" s="527"/>
      <c r="L788" s="527"/>
      <c r="M788" s="527"/>
    </row>
    <row r="789" ht="15.75" customHeight="1">
      <c r="A789" s="523"/>
      <c r="B789" s="509"/>
      <c r="C789" s="509"/>
      <c r="D789" s="522"/>
      <c r="E789" s="526"/>
      <c r="F789" s="526"/>
      <c r="G789" s="527"/>
      <c r="H789" s="527"/>
      <c r="I789" s="527"/>
      <c r="J789" s="527"/>
      <c r="K789" s="527"/>
      <c r="L789" s="527"/>
      <c r="M789" s="527"/>
    </row>
    <row r="790" ht="15.75" customHeight="1">
      <c r="A790" s="523"/>
      <c r="B790" s="509"/>
      <c r="C790" s="509"/>
      <c r="D790" s="522"/>
      <c r="E790" s="526"/>
      <c r="F790" s="526"/>
      <c r="G790" s="527"/>
      <c r="H790" s="527"/>
      <c r="I790" s="527"/>
      <c r="J790" s="527"/>
      <c r="K790" s="527"/>
      <c r="L790" s="527"/>
      <c r="M790" s="527"/>
    </row>
    <row r="791" ht="15.75" customHeight="1">
      <c r="A791" s="523"/>
      <c r="B791" s="509"/>
      <c r="C791" s="509"/>
      <c r="D791" s="522"/>
      <c r="E791" s="526"/>
      <c r="F791" s="526"/>
      <c r="G791" s="527"/>
      <c r="H791" s="527"/>
      <c r="I791" s="527"/>
      <c r="J791" s="527"/>
      <c r="K791" s="527"/>
      <c r="L791" s="527"/>
      <c r="M791" s="527"/>
    </row>
    <row r="792" ht="15.75" customHeight="1">
      <c r="A792" s="523"/>
      <c r="B792" s="509"/>
      <c r="C792" s="509"/>
      <c r="D792" s="522"/>
      <c r="E792" s="526"/>
      <c r="F792" s="526"/>
      <c r="G792" s="527"/>
      <c r="H792" s="527"/>
      <c r="I792" s="527"/>
      <c r="J792" s="527"/>
      <c r="K792" s="527"/>
      <c r="L792" s="527"/>
      <c r="M792" s="527"/>
    </row>
    <row r="793" ht="15.75" customHeight="1">
      <c r="A793" s="523"/>
      <c r="B793" s="509"/>
      <c r="C793" s="509"/>
      <c r="D793" s="522"/>
      <c r="E793" s="526"/>
      <c r="F793" s="526"/>
      <c r="G793" s="527"/>
      <c r="H793" s="527"/>
      <c r="I793" s="527"/>
      <c r="J793" s="527"/>
      <c r="K793" s="527"/>
      <c r="L793" s="527"/>
      <c r="M793" s="527"/>
    </row>
    <row r="794" ht="15.75" customHeight="1">
      <c r="A794" s="523"/>
      <c r="B794" s="509"/>
      <c r="C794" s="509"/>
      <c r="D794" s="522"/>
      <c r="E794" s="526"/>
      <c r="F794" s="526"/>
      <c r="G794" s="527"/>
      <c r="H794" s="527"/>
      <c r="I794" s="527"/>
      <c r="J794" s="527"/>
      <c r="K794" s="527"/>
      <c r="L794" s="527"/>
      <c r="M794" s="527"/>
    </row>
    <row r="795" ht="15.75" customHeight="1">
      <c r="A795" s="523"/>
      <c r="B795" s="509"/>
      <c r="C795" s="509"/>
      <c r="D795" s="522"/>
      <c r="E795" s="526"/>
      <c r="F795" s="526"/>
      <c r="G795" s="527"/>
      <c r="H795" s="527"/>
      <c r="I795" s="527"/>
      <c r="J795" s="527"/>
      <c r="K795" s="527"/>
      <c r="L795" s="527"/>
      <c r="M795" s="527"/>
    </row>
    <row r="796" ht="15.75" customHeight="1">
      <c r="A796" s="523"/>
      <c r="B796" s="509"/>
      <c r="C796" s="509"/>
      <c r="D796" s="522"/>
      <c r="E796" s="526"/>
      <c r="F796" s="526"/>
      <c r="G796" s="527"/>
      <c r="H796" s="527"/>
      <c r="I796" s="527"/>
      <c r="J796" s="527"/>
      <c r="K796" s="527"/>
      <c r="L796" s="527"/>
      <c r="M796" s="527"/>
    </row>
    <row r="797" ht="15.75" customHeight="1">
      <c r="A797" s="523"/>
      <c r="B797" s="509"/>
      <c r="C797" s="509"/>
      <c r="D797" s="522"/>
      <c r="E797" s="526"/>
      <c r="F797" s="526"/>
      <c r="G797" s="527"/>
      <c r="H797" s="527"/>
      <c r="I797" s="527"/>
      <c r="J797" s="527"/>
      <c r="K797" s="527"/>
      <c r="L797" s="527"/>
      <c r="M797" s="527"/>
    </row>
    <row r="798" ht="15.75" customHeight="1">
      <c r="A798" s="523"/>
      <c r="B798" s="509"/>
      <c r="C798" s="509"/>
      <c r="D798" s="522"/>
      <c r="E798" s="526"/>
      <c r="F798" s="526"/>
      <c r="G798" s="527"/>
      <c r="H798" s="527"/>
      <c r="I798" s="527"/>
      <c r="J798" s="527"/>
      <c r="K798" s="527"/>
      <c r="L798" s="527"/>
      <c r="M798" s="527"/>
    </row>
    <row r="799" ht="15.75" customHeight="1">
      <c r="A799" s="523"/>
      <c r="B799" s="509"/>
      <c r="C799" s="509"/>
      <c r="D799" s="522"/>
      <c r="E799" s="526"/>
      <c r="F799" s="526"/>
      <c r="G799" s="527"/>
      <c r="H799" s="527"/>
      <c r="I799" s="527"/>
      <c r="J799" s="527"/>
      <c r="K799" s="527"/>
      <c r="L799" s="527"/>
      <c r="M799" s="527"/>
    </row>
    <row r="800" ht="15.75" customHeight="1">
      <c r="A800" s="523"/>
      <c r="B800" s="509"/>
      <c r="C800" s="509"/>
      <c r="D800" s="522"/>
      <c r="E800" s="526"/>
      <c r="F800" s="526"/>
      <c r="G800" s="527"/>
      <c r="H800" s="527"/>
      <c r="I800" s="527"/>
      <c r="J800" s="527"/>
      <c r="K800" s="527"/>
      <c r="L800" s="527"/>
      <c r="M800" s="527"/>
    </row>
    <row r="801" ht="15.75" customHeight="1">
      <c r="A801" s="523"/>
      <c r="B801" s="509"/>
      <c r="C801" s="509"/>
      <c r="D801" s="522"/>
      <c r="E801" s="526"/>
      <c r="F801" s="526"/>
      <c r="G801" s="527"/>
      <c r="H801" s="527"/>
      <c r="I801" s="527"/>
      <c r="J801" s="527"/>
      <c r="K801" s="527"/>
      <c r="L801" s="527"/>
      <c r="M801" s="527"/>
    </row>
    <row r="802" ht="15.75" customHeight="1">
      <c r="A802" s="523"/>
      <c r="B802" s="509"/>
      <c r="C802" s="509"/>
      <c r="D802" s="522"/>
      <c r="E802" s="526"/>
      <c r="F802" s="526"/>
      <c r="G802" s="527"/>
      <c r="H802" s="527"/>
      <c r="I802" s="527"/>
      <c r="J802" s="527"/>
      <c r="K802" s="527"/>
      <c r="L802" s="527"/>
      <c r="M802" s="527"/>
    </row>
    <row r="803" ht="15.75" customHeight="1">
      <c r="A803" s="523"/>
      <c r="B803" s="509"/>
      <c r="C803" s="509"/>
      <c r="D803" s="522"/>
      <c r="E803" s="526"/>
      <c r="F803" s="526"/>
      <c r="G803" s="527"/>
      <c r="H803" s="527"/>
      <c r="I803" s="527"/>
      <c r="J803" s="527"/>
      <c r="K803" s="527"/>
      <c r="L803" s="527"/>
      <c r="M803" s="527"/>
    </row>
    <row r="804" ht="15.75" customHeight="1">
      <c r="A804" s="523"/>
      <c r="B804" s="509"/>
      <c r="C804" s="509"/>
      <c r="D804" s="522"/>
      <c r="E804" s="526"/>
      <c r="F804" s="526"/>
      <c r="G804" s="527"/>
      <c r="H804" s="527"/>
      <c r="I804" s="527"/>
      <c r="J804" s="527"/>
      <c r="K804" s="527"/>
      <c r="L804" s="527"/>
      <c r="M804" s="527"/>
    </row>
    <row r="805" ht="15.75" customHeight="1">
      <c r="A805" s="523"/>
      <c r="B805" s="509"/>
      <c r="C805" s="509"/>
      <c r="D805" s="522"/>
      <c r="E805" s="526"/>
      <c r="F805" s="526"/>
      <c r="G805" s="527"/>
      <c r="H805" s="527"/>
      <c r="I805" s="527"/>
      <c r="J805" s="527"/>
      <c r="K805" s="527"/>
      <c r="L805" s="527"/>
      <c r="M805" s="527"/>
    </row>
    <row r="806" ht="15.75" customHeight="1">
      <c r="A806" s="523"/>
      <c r="B806" s="509"/>
      <c r="C806" s="509"/>
      <c r="D806" s="522"/>
      <c r="E806" s="526"/>
      <c r="F806" s="526"/>
      <c r="G806" s="527"/>
      <c r="H806" s="527"/>
      <c r="I806" s="527"/>
      <c r="J806" s="527"/>
      <c r="K806" s="527"/>
      <c r="L806" s="527"/>
      <c r="M806" s="527"/>
    </row>
    <row r="807" ht="15.75" customHeight="1">
      <c r="A807" s="523"/>
      <c r="B807" s="509"/>
      <c r="C807" s="509"/>
      <c r="D807" s="522"/>
      <c r="E807" s="526"/>
      <c r="F807" s="526"/>
      <c r="G807" s="527"/>
      <c r="H807" s="527"/>
      <c r="I807" s="527"/>
      <c r="J807" s="527"/>
      <c r="K807" s="527"/>
      <c r="L807" s="527"/>
      <c r="M807" s="527"/>
    </row>
    <row r="808" ht="15.75" customHeight="1">
      <c r="A808" s="523"/>
      <c r="B808" s="509"/>
      <c r="C808" s="509"/>
      <c r="D808" s="522"/>
      <c r="E808" s="526"/>
      <c r="F808" s="526"/>
      <c r="G808" s="527"/>
      <c r="H808" s="527"/>
      <c r="I808" s="527"/>
      <c r="J808" s="527"/>
      <c r="K808" s="527"/>
      <c r="L808" s="527"/>
      <c r="M808" s="527"/>
    </row>
    <row r="809" ht="15.75" customHeight="1">
      <c r="A809" s="523"/>
      <c r="B809" s="509"/>
      <c r="C809" s="509"/>
      <c r="D809" s="522"/>
      <c r="E809" s="526"/>
      <c r="F809" s="526"/>
      <c r="G809" s="527"/>
      <c r="H809" s="527"/>
      <c r="I809" s="527"/>
      <c r="J809" s="527"/>
      <c r="K809" s="527"/>
      <c r="L809" s="527"/>
      <c r="M809" s="527"/>
    </row>
    <row r="810" ht="15.75" customHeight="1">
      <c r="A810" s="523"/>
      <c r="B810" s="509"/>
      <c r="C810" s="509"/>
      <c r="D810" s="522"/>
      <c r="E810" s="526"/>
      <c r="F810" s="526"/>
      <c r="G810" s="527"/>
      <c r="H810" s="527"/>
      <c r="I810" s="527"/>
      <c r="J810" s="527"/>
      <c r="K810" s="527"/>
      <c r="L810" s="527"/>
      <c r="M810" s="527"/>
    </row>
    <row r="811" ht="15.75" customHeight="1">
      <c r="A811" s="523"/>
      <c r="B811" s="509"/>
      <c r="C811" s="509"/>
      <c r="D811" s="522"/>
      <c r="E811" s="526"/>
      <c r="F811" s="526"/>
      <c r="G811" s="527"/>
      <c r="H811" s="527"/>
      <c r="I811" s="527"/>
      <c r="J811" s="527"/>
      <c r="K811" s="527"/>
      <c r="L811" s="527"/>
      <c r="M811" s="527"/>
    </row>
    <row r="812" ht="15.75" customHeight="1">
      <c r="A812" s="523"/>
      <c r="B812" s="509"/>
      <c r="C812" s="509"/>
      <c r="D812" s="522"/>
      <c r="E812" s="526"/>
      <c r="F812" s="526"/>
      <c r="G812" s="527"/>
      <c r="H812" s="527"/>
      <c r="I812" s="527"/>
      <c r="J812" s="527"/>
      <c r="K812" s="527"/>
      <c r="L812" s="527"/>
      <c r="M812" s="527"/>
    </row>
    <row r="813" ht="15.75" customHeight="1">
      <c r="A813" s="523"/>
      <c r="B813" s="509"/>
      <c r="C813" s="509"/>
      <c r="D813" s="522"/>
      <c r="E813" s="526"/>
      <c r="F813" s="526"/>
      <c r="G813" s="527"/>
      <c r="H813" s="527"/>
      <c r="I813" s="527"/>
      <c r="J813" s="527"/>
      <c r="K813" s="527"/>
      <c r="L813" s="527"/>
      <c r="M813" s="527"/>
    </row>
    <row r="814" ht="15.75" customHeight="1">
      <c r="A814" s="523"/>
      <c r="B814" s="509"/>
      <c r="C814" s="509"/>
      <c r="D814" s="522"/>
      <c r="E814" s="526"/>
      <c r="F814" s="526"/>
      <c r="G814" s="527"/>
      <c r="H814" s="527"/>
      <c r="I814" s="527"/>
      <c r="J814" s="527"/>
      <c r="K814" s="527"/>
      <c r="L814" s="527"/>
      <c r="M814" s="527"/>
    </row>
    <row r="815" ht="15.75" customHeight="1">
      <c r="A815" s="523"/>
      <c r="B815" s="509"/>
      <c r="C815" s="509"/>
      <c r="D815" s="522"/>
      <c r="E815" s="526"/>
      <c r="F815" s="526"/>
      <c r="G815" s="527"/>
      <c r="H815" s="527"/>
      <c r="I815" s="527"/>
      <c r="J815" s="527"/>
      <c r="K815" s="527"/>
      <c r="L815" s="527"/>
      <c r="M815" s="527"/>
    </row>
    <row r="816" ht="15.75" customHeight="1">
      <c r="A816" s="523"/>
      <c r="B816" s="509"/>
      <c r="C816" s="509"/>
      <c r="D816" s="522"/>
      <c r="E816" s="526"/>
      <c r="F816" s="526"/>
      <c r="G816" s="527"/>
      <c r="H816" s="527"/>
      <c r="I816" s="527"/>
      <c r="J816" s="527"/>
      <c r="K816" s="527"/>
      <c r="L816" s="527"/>
      <c r="M816" s="527"/>
    </row>
    <row r="817" ht="15.75" customHeight="1">
      <c r="A817" s="523"/>
      <c r="B817" s="509"/>
      <c r="C817" s="509"/>
      <c r="D817" s="522"/>
      <c r="E817" s="526"/>
      <c r="F817" s="526"/>
      <c r="G817" s="527"/>
      <c r="H817" s="527"/>
      <c r="I817" s="527"/>
      <c r="J817" s="527"/>
      <c r="K817" s="527"/>
      <c r="L817" s="527"/>
      <c r="M817" s="527"/>
    </row>
    <row r="818" ht="15.75" customHeight="1">
      <c r="A818" s="523"/>
      <c r="B818" s="509"/>
      <c r="C818" s="509"/>
      <c r="D818" s="522"/>
      <c r="E818" s="526"/>
      <c r="F818" s="526"/>
      <c r="G818" s="527"/>
      <c r="H818" s="527"/>
      <c r="I818" s="527"/>
      <c r="J818" s="527"/>
      <c r="K818" s="527"/>
      <c r="L818" s="527"/>
      <c r="M818" s="527"/>
    </row>
    <row r="819" ht="15.75" customHeight="1">
      <c r="A819" s="523"/>
      <c r="B819" s="509"/>
      <c r="C819" s="509"/>
      <c r="D819" s="522"/>
      <c r="E819" s="526"/>
      <c r="F819" s="526"/>
      <c r="G819" s="527"/>
      <c r="H819" s="527"/>
      <c r="I819" s="527"/>
      <c r="J819" s="527"/>
      <c r="K819" s="527"/>
      <c r="L819" s="527"/>
      <c r="M819" s="527"/>
    </row>
    <row r="820" ht="15.75" customHeight="1">
      <c r="A820" s="523"/>
      <c r="B820" s="509"/>
      <c r="C820" s="509"/>
      <c r="D820" s="522"/>
      <c r="E820" s="526"/>
      <c r="F820" s="526"/>
      <c r="G820" s="527"/>
      <c r="H820" s="527"/>
      <c r="I820" s="527"/>
      <c r="J820" s="527"/>
      <c r="K820" s="527"/>
      <c r="L820" s="527"/>
      <c r="M820" s="527"/>
    </row>
    <row r="821" ht="15.75" customHeight="1">
      <c r="A821" s="523"/>
      <c r="B821" s="509"/>
      <c r="C821" s="509"/>
      <c r="D821" s="522"/>
      <c r="E821" s="526"/>
      <c r="F821" s="526"/>
      <c r="G821" s="527"/>
      <c r="H821" s="527"/>
      <c r="I821" s="527"/>
      <c r="J821" s="527"/>
      <c r="K821" s="527"/>
      <c r="L821" s="527"/>
      <c r="M821" s="527"/>
    </row>
    <row r="822" ht="15.75" customHeight="1">
      <c r="A822" s="523"/>
      <c r="B822" s="509"/>
      <c r="C822" s="509"/>
      <c r="D822" s="522"/>
      <c r="E822" s="526"/>
      <c r="F822" s="526"/>
      <c r="G822" s="527"/>
      <c r="H822" s="527"/>
      <c r="I822" s="527"/>
      <c r="J822" s="527"/>
      <c r="K822" s="527"/>
      <c r="L822" s="527"/>
      <c r="M822" s="527"/>
    </row>
    <row r="823" ht="15.75" customHeight="1">
      <c r="A823" s="523"/>
      <c r="B823" s="509"/>
      <c r="C823" s="509"/>
      <c r="D823" s="522"/>
      <c r="E823" s="526"/>
      <c r="F823" s="526"/>
      <c r="G823" s="527"/>
      <c r="H823" s="527"/>
      <c r="I823" s="527"/>
      <c r="J823" s="527"/>
      <c r="K823" s="527"/>
      <c r="L823" s="527"/>
      <c r="M823" s="527"/>
    </row>
    <row r="824" ht="15.75" customHeight="1">
      <c r="A824" s="523"/>
      <c r="B824" s="509"/>
      <c r="C824" s="509"/>
      <c r="D824" s="522"/>
      <c r="E824" s="526"/>
      <c r="F824" s="526"/>
      <c r="G824" s="527"/>
      <c r="H824" s="527"/>
      <c r="I824" s="527"/>
      <c r="J824" s="527"/>
      <c r="K824" s="527"/>
      <c r="L824" s="527"/>
      <c r="M824" s="527"/>
    </row>
    <row r="825" ht="15.75" customHeight="1">
      <c r="A825" s="523"/>
      <c r="B825" s="509"/>
      <c r="C825" s="509"/>
      <c r="D825" s="522"/>
      <c r="E825" s="526"/>
      <c r="F825" s="526"/>
      <c r="G825" s="527"/>
      <c r="H825" s="527"/>
      <c r="I825" s="527"/>
      <c r="J825" s="527"/>
      <c r="K825" s="527"/>
      <c r="L825" s="527"/>
      <c r="M825" s="527"/>
    </row>
    <row r="826" ht="15.75" customHeight="1">
      <c r="A826" s="523"/>
      <c r="B826" s="509"/>
      <c r="C826" s="509"/>
      <c r="D826" s="522"/>
      <c r="E826" s="526"/>
      <c r="F826" s="526"/>
      <c r="G826" s="527"/>
      <c r="H826" s="527"/>
      <c r="I826" s="527"/>
      <c r="J826" s="527"/>
      <c r="K826" s="527"/>
      <c r="L826" s="527"/>
      <c r="M826" s="527"/>
    </row>
    <row r="827" ht="15.75" customHeight="1">
      <c r="A827" s="523"/>
      <c r="B827" s="509"/>
      <c r="C827" s="509"/>
      <c r="D827" s="522"/>
      <c r="E827" s="526"/>
      <c r="F827" s="526"/>
      <c r="G827" s="527"/>
      <c r="H827" s="527"/>
      <c r="I827" s="527"/>
      <c r="J827" s="527"/>
      <c r="K827" s="527"/>
      <c r="L827" s="527"/>
      <c r="M827" s="527"/>
    </row>
    <row r="828" ht="15.75" customHeight="1">
      <c r="A828" s="523"/>
      <c r="B828" s="509"/>
      <c r="C828" s="509"/>
      <c r="D828" s="522"/>
      <c r="E828" s="526"/>
      <c r="F828" s="526"/>
      <c r="G828" s="527"/>
      <c r="H828" s="527"/>
      <c r="I828" s="527"/>
      <c r="J828" s="527"/>
      <c r="K828" s="527"/>
      <c r="L828" s="527"/>
      <c r="M828" s="527"/>
    </row>
    <row r="829" ht="15.75" customHeight="1">
      <c r="A829" s="523"/>
      <c r="B829" s="509"/>
      <c r="C829" s="509"/>
      <c r="D829" s="522"/>
      <c r="E829" s="526"/>
      <c r="F829" s="526"/>
      <c r="G829" s="527"/>
      <c r="H829" s="527"/>
      <c r="I829" s="527"/>
      <c r="J829" s="527"/>
      <c r="K829" s="527"/>
      <c r="L829" s="527"/>
      <c r="M829" s="527"/>
    </row>
    <row r="830" ht="15.75" customHeight="1">
      <c r="A830" s="523"/>
      <c r="B830" s="509"/>
      <c r="C830" s="509"/>
      <c r="D830" s="522"/>
      <c r="E830" s="526"/>
      <c r="F830" s="526"/>
      <c r="G830" s="527"/>
      <c r="H830" s="527"/>
      <c r="I830" s="527"/>
      <c r="J830" s="527"/>
      <c r="K830" s="527"/>
      <c r="L830" s="527"/>
      <c r="M830" s="527"/>
    </row>
    <row r="831" ht="15.75" customHeight="1">
      <c r="A831" s="523"/>
      <c r="B831" s="509"/>
      <c r="C831" s="509"/>
      <c r="D831" s="522"/>
      <c r="E831" s="526"/>
      <c r="F831" s="526"/>
      <c r="G831" s="527"/>
      <c r="H831" s="527"/>
      <c r="I831" s="527"/>
      <c r="J831" s="527"/>
      <c r="K831" s="527"/>
      <c r="L831" s="527"/>
      <c r="M831" s="527"/>
    </row>
    <row r="832" ht="15.75" customHeight="1">
      <c r="A832" s="523"/>
      <c r="B832" s="509"/>
      <c r="C832" s="509"/>
      <c r="D832" s="522"/>
      <c r="E832" s="526"/>
      <c r="F832" s="526"/>
      <c r="G832" s="527"/>
      <c r="H832" s="527"/>
      <c r="I832" s="527"/>
      <c r="J832" s="527"/>
      <c r="K832" s="527"/>
      <c r="L832" s="527"/>
      <c r="M832" s="527"/>
    </row>
    <row r="833" ht="15.75" customHeight="1">
      <c r="A833" s="523"/>
      <c r="B833" s="509"/>
      <c r="C833" s="509"/>
      <c r="D833" s="522"/>
      <c r="E833" s="526"/>
      <c r="F833" s="526"/>
      <c r="G833" s="527"/>
      <c r="H833" s="527"/>
      <c r="I833" s="527"/>
      <c r="J833" s="527"/>
      <c r="K833" s="527"/>
      <c r="L833" s="527"/>
      <c r="M833" s="527"/>
    </row>
    <row r="834" ht="15.75" customHeight="1">
      <c r="A834" s="523"/>
      <c r="B834" s="509"/>
      <c r="C834" s="509"/>
      <c r="D834" s="522"/>
      <c r="E834" s="526"/>
      <c r="F834" s="526"/>
      <c r="G834" s="527"/>
      <c r="H834" s="527"/>
      <c r="I834" s="527"/>
      <c r="J834" s="527"/>
      <c r="K834" s="527"/>
      <c r="L834" s="527"/>
      <c r="M834" s="527"/>
    </row>
    <row r="835" ht="15.75" customHeight="1">
      <c r="A835" s="523"/>
      <c r="B835" s="509"/>
      <c r="C835" s="509"/>
      <c r="D835" s="522"/>
      <c r="E835" s="526"/>
      <c r="F835" s="526"/>
      <c r="G835" s="527"/>
      <c r="H835" s="527"/>
      <c r="I835" s="527"/>
      <c r="J835" s="527"/>
      <c r="K835" s="527"/>
      <c r="L835" s="527"/>
      <c r="M835" s="527"/>
    </row>
    <row r="836" ht="15.75" customHeight="1">
      <c r="A836" s="523"/>
      <c r="B836" s="509"/>
      <c r="C836" s="509"/>
      <c r="D836" s="522"/>
      <c r="E836" s="526"/>
      <c r="F836" s="526"/>
      <c r="G836" s="527"/>
      <c r="H836" s="527"/>
      <c r="I836" s="527"/>
      <c r="J836" s="527"/>
      <c r="K836" s="527"/>
      <c r="L836" s="527"/>
      <c r="M836" s="527"/>
    </row>
    <row r="837" ht="15.75" customHeight="1">
      <c r="A837" s="523"/>
      <c r="B837" s="509"/>
      <c r="C837" s="509"/>
      <c r="D837" s="522"/>
      <c r="E837" s="526"/>
      <c r="F837" s="526"/>
      <c r="G837" s="527"/>
      <c r="H837" s="527"/>
      <c r="I837" s="527"/>
      <c r="J837" s="527"/>
      <c r="K837" s="527"/>
      <c r="L837" s="527"/>
      <c r="M837" s="527"/>
    </row>
    <row r="838" ht="15.75" customHeight="1">
      <c r="A838" s="523"/>
      <c r="B838" s="509"/>
      <c r="C838" s="509"/>
      <c r="D838" s="522"/>
      <c r="E838" s="526"/>
      <c r="F838" s="526"/>
      <c r="G838" s="527"/>
      <c r="H838" s="527"/>
      <c r="I838" s="527"/>
      <c r="J838" s="527"/>
      <c r="K838" s="527"/>
      <c r="L838" s="527"/>
      <c r="M838" s="527"/>
    </row>
    <row r="839" ht="15.75" customHeight="1">
      <c r="A839" s="523"/>
      <c r="B839" s="509"/>
      <c r="C839" s="509"/>
      <c r="D839" s="522"/>
      <c r="E839" s="526"/>
      <c r="F839" s="526"/>
      <c r="G839" s="527"/>
      <c r="H839" s="527"/>
      <c r="I839" s="527"/>
      <c r="J839" s="527"/>
      <c r="K839" s="527"/>
      <c r="L839" s="527"/>
      <c r="M839" s="527"/>
    </row>
    <row r="840" ht="15.75" customHeight="1">
      <c r="A840" s="523"/>
      <c r="B840" s="509"/>
      <c r="C840" s="509"/>
      <c r="D840" s="522"/>
      <c r="E840" s="526"/>
      <c r="F840" s="526"/>
      <c r="G840" s="527"/>
      <c r="H840" s="527"/>
      <c r="I840" s="527"/>
      <c r="J840" s="527"/>
      <c r="K840" s="527"/>
      <c r="L840" s="527"/>
      <c r="M840" s="527"/>
    </row>
    <row r="841" ht="15.75" customHeight="1">
      <c r="A841" s="523"/>
      <c r="B841" s="509"/>
      <c r="C841" s="509"/>
      <c r="D841" s="522"/>
      <c r="E841" s="526"/>
      <c r="F841" s="526"/>
      <c r="G841" s="527"/>
      <c r="H841" s="527"/>
      <c r="I841" s="527"/>
      <c r="J841" s="527"/>
      <c r="K841" s="527"/>
      <c r="L841" s="527"/>
      <c r="M841" s="527"/>
    </row>
    <row r="842" ht="15.75" customHeight="1">
      <c r="A842" s="523"/>
      <c r="B842" s="509"/>
      <c r="C842" s="509"/>
      <c r="D842" s="522"/>
      <c r="E842" s="526"/>
      <c r="F842" s="526"/>
      <c r="G842" s="527"/>
      <c r="H842" s="527"/>
      <c r="I842" s="527"/>
      <c r="J842" s="527"/>
      <c r="K842" s="527"/>
      <c r="L842" s="527"/>
      <c r="M842" s="527"/>
    </row>
    <row r="843" ht="15.75" customHeight="1">
      <c r="A843" s="523"/>
      <c r="B843" s="509"/>
      <c r="C843" s="509"/>
      <c r="D843" s="522"/>
      <c r="E843" s="526"/>
      <c r="F843" s="526"/>
      <c r="G843" s="527"/>
      <c r="H843" s="527"/>
      <c r="I843" s="527"/>
      <c r="J843" s="527"/>
      <c r="K843" s="527"/>
      <c r="L843" s="527"/>
      <c r="M843" s="527"/>
    </row>
    <row r="844" ht="15.75" customHeight="1">
      <c r="A844" s="523"/>
      <c r="B844" s="509"/>
      <c r="C844" s="509"/>
      <c r="D844" s="522"/>
      <c r="E844" s="526"/>
      <c r="F844" s="526"/>
      <c r="G844" s="527"/>
      <c r="H844" s="527"/>
      <c r="I844" s="527"/>
      <c r="J844" s="527"/>
      <c r="K844" s="527"/>
      <c r="L844" s="527"/>
      <c r="M844" s="527"/>
    </row>
    <row r="845" ht="15.75" customHeight="1">
      <c r="A845" s="523"/>
      <c r="B845" s="509"/>
      <c r="C845" s="509"/>
      <c r="D845" s="522"/>
      <c r="E845" s="526"/>
      <c r="F845" s="526"/>
      <c r="G845" s="527"/>
      <c r="H845" s="527"/>
      <c r="I845" s="527"/>
      <c r="J845" s="527"/>
      <c r="K845" s="527"/>
      <c r="L845" s="527"/>
      <c r="M845" s="527"/>
    </row>
    <row r="846" ht="15.75" customHeight="1">
      <c r="A846" s="523"/>
      <c r="B846" s="509"/>
      <c r="C846" s="509"/>
      <c r="D846" s="522"/>
      <c r="E846" s="526"/>
      <c r="F846" s="526"/>
      <c r="G846" s="527"/>
      <c r="H846" s="527"/>
      <c r="I846" s="527"/>
      <c r="J846" s="527"/>
      <c r="K846" s="527"/>
      <c r="L846" s="527"/>
      <c r="M846" s="527"/>
    </row>
    <row r="847" ht="15.75" customHeight="1">
      <c r="A847" s="523"/>
      <c r="B847" s="509"/>
      <c r="C847" s="509"/>
      <c r="D847" s="522"/>
      <c r="E847" s="526"/>
      <c r="F847" s="526"/>
      <c r="G847" s="527"/>
      <c r="H847" s="527"/>
      <c r="I847" s="527"/>
      <c r="J847" s="527"/>
      <c r="K847" s="527"/>
      <c r="L847" s="527"/>
      <c r="M847" s="527"/>
    </row>
    <row r="848" ht="15.75" customHeight="1">
      <c r="A848" s="523"/>
      <c r="B848" s="509"/>
      <c r="C848" s="509"/>
      <c r="D848" s="522"/>
      <c r="E848" s="526"/>
      <c r="F848" s="526"/>
      <c r="G848" s="527"/>
      <c r="H848" s="527"/>
      <c r="I848" s="527"/>
      <c r="J848" s="527"/>
      <c r="K848" s="527"/>
      <c r="L848" s="527"/>
      <c r="M848" s="527"/>
    </row>
    <row r="849" ht="15.75" customHeight="1">
      <c r="A849" s="523"/>
      <c r="B849" s="509"/>
      <c r="C849" s="509"/>
      <c r="D849" s="522"/>
      <c r="E849" s="526"/>
      <c r="F849" s="526"/>
      <c r="G849" s="527"/>
      <c r="H849" s="527"/>
      <c r="I849" s="527"/>
      <c r="J849" s="527"/>
      <c r="K849" s="527"/>
      <c r="L849" s="527"/>
      <c r="M849" s="527"/>
    </row>
    <row r="850" ht="15.75" customHeight="1">
      <c r="A850" s="523"/>
      <c r="B850" s="509"/>
      <c r="C850" s="509"/>
      <c r="D850" s="522"/>
      <c r="E850" s="526"/>
      <c r="F850" s="526"/>
      <c r="G850" s="527"/>
      <c r="H850" s="527"/>
      <c r="I850" s="527"/>
      <c r="J850" s="527"/>
      <c r="K850" s="527"/>
      <c r="L850" s="527"/>
      <c r="M850" s="527"/>
    </row>
    <row r="851" ht="15.75" customHeight="1">
      <c r="A851" s="523"/>
      <c r="B851" s="509"/>
      <c r="C851" s="509"/>
      <c r="D851" s="522"/>
      <c r="E851" s="526"/>
      <c r="F851" s="526"/>
      <c r="G851" s="527"/>
      <c r="H851" s="527"/>
      <c r="I851" s="527"/>
      <c r="J851" s="527"/>
      <c r="K851" s="527"/>
      <c r="L851" s="527"/>
      <c r="M851" s="527"/>
    </row>
    <row r="852" ht="15.75" customHeight="1">
      <c r="A852" s="523"/>
      <c r="B852" s="509"/>
      <c r="C852" s="509"/>
      <c r="D852" s="522"/>
      <c r="E852" s="526"/>
      <c r="F852" s="526"/>
      <c r="G852" s="527"/>
      <c r="H852" s="527"/>
      <c r="I852" s="527"/>
      <c r="J852" s="527"/>
      <c r="K852" s="527"/>
      <c r="L852" s="527"/>
      <c r="M852" s="527"/>
    </row>
    <row r="853" ht="15.75" customHeight="1">
      <c r="A853" s="523"/>
      <c r="B853" s="509"/>
      <c r="C853" s="509"/>
      <c r="D853" s="522"/>
      <c r="E853" s="526"/>
      <c r="F853" s="526"/>
      <c r="G853" s="527"/>
      <c r="H853" s="527"/>
      <c r="I853" s="527"/>
      <c r="J853" s="527"/>
      <c r="K853" s="527"/>
      <c r="L853" s="527"/>
      <c r="M853" s="527"/>
    </row>
    <row r="854" ht="15.75" customHeight="1">
      <c r="A854" s="523"/>
      <c r="B854" s="509"/>
      <c r="C854" s="509"/>
      <c r="D854" s="522"/>
      <c r="E854" s="526"/>
      <c r="F854" s="526"/>
      <c r="G854" s="527"/>
      <c r="H854" s="527"/>
      <c r="I854" s="527"/>
      <c r="J854" s="527"/>
      <c r="K854" s="527"/>
      <c r="L854" s="527"/>
      <c r="M854" s="527"/>
    </row>
    <row r="855" ht="15.75" customHeight="1">
      <c r="A855" s="523"/>
      <c r="B855" s="509"/>
      <c r="C855" s="509"/>
      <c r="D855" s="522"/>
      <c r="E855" s="526"/>
      <c r="F855" s="526"/>
      <c r="G855" s="527"/>
      <c r="H855" s="527"/>
      <c r="I855" s="527"/>
      <c r="J855" s="527"/>
      <c r="K855" s="527"/>
      <c r="L855" s="527"/>
      <c r="M855" s="527"/>
    </row>
    <row r="856" ht="15.75" customHeight="1">
      <c r="A856" s="523"/>
      <c r="B856" s="509"/>
      <c r="C856" s="509"/>
      <c r="D856" s="522"/>
      <c r="E856" s="526"/>
      <c r="F856" s="526"/>
      <c r="G856" s="527"/>
      <c r="H856" s="527"/>
      <c r="I856" s="527"/>
      <c r="J856" s="527"/>
      <c r="K856" s="527"/>
      <c r="L856" s="527"/>
      <c r="M856" s="527"/>
    </row>
    <row r="857" ht="15.75" customHeight="1">
      <c r="A857" s="523"/>
      <c r="B857" s="509"/>
      <c r="C857" s="509"/>
      <c r="D857" s="522"/>
      <c r="E857" s="526"/>
      <c r="F857" s="526"/>
      <c r="G857" s="527"/>
      <c r="H857" s="527"/>
      <c r="I857" s="527"/>
      <c r="J857" s="527"/>
      <c r="K857" s="527"/>
      <c r="L857" s="527"/>
      <c r="M857" s="527"/>
    </row>
    <row r="858" ht="15.75" customHeight="1">
      <c r="A858" s="523"/>
      <c r="B858" s="509"/>
      <c r="C858" s="509"/>
      <c r="D858" s="522"/>
      <c r="E858" s="526"/>
      <c r="F858" s="526"/>
      <c r="G858" s="527"/>
      <c r="H858" s="527"/>
      <c r="I858" s="527"/>
      <c r="J858" s="527"/>
      <c r="K858" s="527"/>
      <c r="L858" s="527"/>
      <c r="M858" s="527"/>
    </row>
    <row r="859" ht="15.75" customHeight="1">
      <c r="A859" s="523"/>
      <c r="B859" s="509"/>
      <c r="C859" s="509"/>
      <c r="D859" s="522"/>
      <c r="E859" s="526"/>
      <c r="F859" s="526"/>
      <c r="G859" s="527"/>
      <c r="H859" s="527"/>
      <c r="I859" s="527"/>
      <c r="J859" s="527"/>
      <c r="K859" s="527"/>
      <c r="L859" s="527"/>
      <c r="M859" s="527"/>
    </row>
    <row r="860" ht="15.75" customHeight="1">
      <c r="A860" s="523"/>
      <c r="B860" s="509"/>
      <c r="C860" s="509"/>
      <c r="D860" s="522"/>
      <c r="E860" s="526"/>
      <c r="F860" s="526"/>
      <c r="G860" s="527"/>
      <c r="H860" s="527"/>
      <c r="I860" s="527"/>
      <c r="J860" s="527"/>
      <c r="K860" s="527"/>
      <c r="L860" s="527"/>
      <c r="M860" s="527"/>
    </row>
    <row r="861" ht="15.75" customHeight="1">
      <c r="A861" s="523"/>
      <c r="B861" s="509"/>
      <c r="C861" s="509"/>
      <c r="D861" s="522"/>
      <c r="E861" s="526"/>
      <c r="F861" s="526"/>
      <c r="G861" s="527"/>
      <c r="H861" s="527"/>
      <c r="I861" s="527"/>
      <c r="J861" s="527"/>
      <c r="K861" s="527"/>
      <c r="L861" s="527"/>
      <c r="M861" s="527"/>
    </row>
    <row r="862" ht="15.75" customHeight="1">
      <c r="A862" s="523"/>
      <c r="B862" s="509"/>
      <c r="C862" s="509"/>
      <c r="D862" s="522"/>
      <c r="E862" s="526"/>
      <c r="F862" s="526"/>
      <c r="G862" s="527"/>
      <c r="H862" s="527"/>
      <c r="I862" s="527"/>
      <c r="J862" s="527"/>
      <c r="K862" s="527"/>
      <c r="L862" s="527"/>
      <c r="M862" s="527"/>
    </row>
    <row r="863" ht="15.75" customHeight="1">
      <c r="A863" s="523"/>
      <c r="B863" s="509"/>
      <c r="C863" s="509"/>
      <c r="D863" s="522"/>
      <c r="E863" s="526"/>
      <c r="F863" s="526"/>
      <c r="G863" s="527"/>
      <c r="H863" s="527"/>
      <c r="I863" s="527"/>
      <c r="J863" s="527"/>
      <c r="K863" s="527"/>
      <c r="L863" s="527"/>
      <c r="M863" s="527"/>
    </row>
    <row r="864" ht="15.75" customHeight="1">
      <c r="A864" s="523"/>
      <c r="B864" s="509"/>
      <c r="C864" s="509"/>
      <c r="D864" s="522"/>
      <c r="E864" s="526"/>
      <c r="F864" s="526"/>
      <c r="G864" s="527"/>
      <c r="H864" s="527"/>
      <c r="I864" s="527"/>
      <c r="J864" s="527"/>
      <c r="K864" s="527"/>
      <c r="L864" s="527"/>
      <c r="M864" s="527"/>
    </row>
    <row r="865" ht="15.75" customHeight="1">
      <c r="A865" s="523"/>
      <c r="B865" s="509"/>
      <c r="C865" s="509"/>
      <c r="D865" s="522"/>
      <c r="E865" s="526"/>
      <c r="F865" s="526"/>
      <c r="G865" s="527"/>
      <c r="H865" s="527"/>
      <c r="I865" s="527"/>
      <c r="J865" s="527"/>
      <c r="K865" s="527"/>
      <c r="L865" s="527"/>
      <c r="M865" s="527"/>
    </row>
    <row r="866" ht="15.75" customHeight="1">
      <c r="A866" s="523"/>
      <c r="B866" s="509"/>
      <c r="C866" s="509"/>
      <c r="D866" s="522"/>
      <c r="E866" s="526"/>
      <c r="F866" s="526"/>
      <c r="G866" s="527"/>
      <c r="H866" s="527"/>
      <c r="I866" s="527"/>
      <c r="J866" s="527"/>
      <c r="K866" s="527"/>
      <c r="L866" s="527"/>
      <c r="M866" s="527"/>
    </row>
    <row r="867" ht="15.75" customHeight="1">
      <c r="A867" s="523"/>
      <c r="B867" s="509"/>
      <c r="C867" s="509"/>
      <c r="D867" s="522"/>
      <c r="E867" s="526"/>
      <c r="F867" s="526"/>
      <c r="G867" s="527"/>
      <c r="H867" s="527"/>
      <c r="I867" s="527"/>
      <c r="J867" s="527"/>
      <c r="K867" s="527"/>
      <c r="L867" s="527"/>
      <c r="M867" s="527"/>
    </row>
    <row r="868" ht="15.75" customHeight="1">
      <c r="A868" s="523"/>
      <c r="B868" s="509"/>
      <c r="C868" s="509"/>
      <c r="D868" s="522"/>
      <c r="E868" s="526"/>
      <c r="F868" s="526"/>
      <c r="G868" s="527"/>
      <c r="H868" s="527"/>
      <c r="I868" s="527"/>
      <c r="J868" s="527"/>
      <c r="K868" s="527"/>
      <c r="L868" s="527"/>
      <c r="M868" s="527"/>
    </row>
    <row r="869" ht="15.75" customHeight="1">
      <c r="A869" s="523"/>
      <c r="B869" s="509"/>
      <c r="C869" s="509"/>
      <c r="D869" s="522"/>
      <c r="E869" s="526"/>
      <c r="F869" s="526"/>
      <c r="G869" s="527"/>
      <c r="H869" s="527"/>
      <c r="I869" s="527"/>
      <c r="J869" s="527"/>
      <c r="K869" s="527"/>
      <c r="L869" s="527"/>
      <c r="M869" s="527"/>
    </row>
    <row r="870" ht="15.75" customHeight="1">
      <c r="A870" s="523"/>
      <c r="B870" s="509"/>
      <c r="C870" s="509"/>
      <c r="D870" s="522"/>
      <c r="E870" s="526"/>
      <c r="F870" s="526"/>
      <c r="G870" s="527"/>
      <c r="H870" s="527"/>
      <c r="I870" s="527"/>
      <c r="J870" s="527"/>
      <c r="K870" s="527"/>
      <c r="L870" s="527"/>
      <c r="M870" s="527"/>
    </row>
    <row r="871" ht="15.75" customHeight="1">
      <c r="A871" s="523"/>
      <c r="B871" s="509"/>
      <c r="C871" s="509"/>
      <c r="D871" s="522"/>
      <c r="E871" s="526"/>
      <c r="F871" s="526"/>
      <c r="G871" s="527"/>
      <c r="H871" s="527"/>
      <c r="I871" s="527"/>
      <c r="J871" s="527"/>
      <c r="K871" s="527"/>
      <c r="L871" s="527"/>
      <c r="M871" s="527"/>
    </row>
    <row r="872" ht="15.75" customHeight="1">
      <c r="A872" s="523"/>
      <c r="B872" s="509"/>
      <c r="C872" s="509"/>
      <c r="D872" s="522"/>
      <c r="E872" s="526"/>
      <c r="F872" s="526"/>
      <c r="G872" s="527"/>
      <c r="H872" s="527"/>
      <c r="I872" s="527"/>
      <c r="J872" s="527"/>
      <c r="K872" s="527"/>
      <c r="L872" s="527"/>
      <c r="M872" s="527"/>
    </row>
    <row r="873" ht="15.75" customHeight="1">
      <c r="A873" s="523"/>
      <c r="B873" s="509"/>
      <c r="C873" s="509"/>
      <c r="D873" s="522"/>
      <c r="E873" s="526"/>
      <c r="F873" s="526"/>
      <c r="G873" s="527"/>
      <c r="H873" s="527"/>
      <c r="I873" s="527"/>
      <c r="J873" s="527"/>
      <c r="K873" s="527"/>
      <c r="L873" s="527"/>
      <c r="M873" s="527"/>
    </row>
    <row r="874" ht="15.75" customHeight="1">
      <c r="A874" s="523"/>
      <c r="B874" s="509"/>
      <c r="C874" s="509"/>
      <c r="D874" s="522"/>
      <c r="E874" s="526"/>
      <c r="F874" s="526"/>
      <c r="G874" s="527"/>
      <c r="H874" s="527"/>
      <c r="I874" s="527"/>
      <c r="J874" s="527"/>
      <c r="K874" s="527"/>
      <c r="L874" s="527"/>
      <c r="M874" s="527"/>
    </row>
    <row r="875" ht="15.75" customHeight="1">
      <c r="A875" s="523"/>
      <c r="B875" s="509"/>
      <c r="C875" s="509"/>
      <c r="D875" s="522"/>
      <c r="E875" s="526"/>
      <c r="F875" s="526"/>
      <c r="G875" s="527"/>
      <c r="H875" s="527"/>
      <c r="I875" s="527"/>
      <c r="J875" s="527"/>
      <c r="K875" s="527"/>
      <c r="L875" s="527"/>
      <c r="M875" s="527"/>
    </row>
    <row r="876" ht="15.75" customHeight="1">
      <c r="A876" s="523"/>
      <c r="B876" s="509"/>
      <c r="C876" s="509"/>
      <c r="D876" s="522"/>
      <c r="E876" s="526"/>
      <c r="F876" s="526"/>
      <c r="G876" s="527"/>
      <c r="H876" s="527"/>
      <c r="I876" s="527"/>
      <c r="J876" s="527"/>
      <c r="K876" s="527"/>
      <c r="L876" s="527"/>
      <c r="M876" s="527"/>
    </row>
    <row r="877" ht="15.75" customHeight="1">
      <c r="A877" s="523"/>
      <c r="B877" s="509"/>
      <c r="C877" s="509"/>
      <c r="D877" s="522"/>
      <c r="E877" s="526"/>
      <c r="F877" s="526"/>
      <c r="G877" s="527"/>
      <c r="H877" s="527"/>
      <c r="I877" s="527"/>
      <c r="J877" s="527"/>
      <c r="K877" s="527"/>
      <c r="L877" s="527"/>
      <c r="M877" s="527"/>
    </row>
    <row r="878" ht="15.75" customHeight="1">
      <c r="A878" s="523"/>
      <c r="B878" s="509"/>
      <c r="C878" s="509"/>
      <c r="D878" s="522"/>
      <c r="E878" s="526"/>
      <c r="F878" s="526"/>
      <c r="G878" s="527"/>
      <c r="H878" s="527"/>
      <c r="I878" s="527"/>
      <c r="J878" s="527"/>
      <c r="K878" s="527"/>
      <c r="L878" s="527"/>
      <c r="M878" s="527"/>
    </row>
    <row r="879" ht="15.75" customHeight="1">
      <c r="A879" s="523"/>
      <c r="B879" s="509"/>
      <c r="C879" s="509"/>
      <c r="D879" s="522"/>
      <c r="E879" s="526"/>
      <c r="F879" s="526"/>
      <c r="G879" s="527"/>
      <c r="H879" s="527"/>
      <c r="I879" s="527"/>
      <c r="J879" s="527"/>
      <c r="K879" s="527"/>
      <c r="L879" s="527"/>
      <c r="M879" s="527"/>
    </row>
    <row r="880" ht="15.75" customHeight="1">
      <c r="A880" s="523"/>
      <c r="B880" s="509"/>
      <c r="C880" s="509"/>
      <c r="D880" s="522"/>
      <c r="E880" s="526"/>
      <c r="F880" s="526"/>
      <c r="G880" s="527"/>
      <c r="H880" s="527"/>
      <c r="I880" s="527"/>
      <c r="J880" s="527"/>
      <c r="K880" s="527"/>
      <c r="L880" s="527"/>
      <c r="M880" s="527"/>
    </row>
    <row r="881" ht="15.75" customHeight="1">
      <c r="A881" s="523"/>
      <c r="B881" s="509"/>
      <c r="C881" s="509"/>
      <c r="D881" s="522"/>
      <c r="E881" s="526"/>
      <c r="F881" s="526"/>
      <c r="G881" s="527"/>
      <c r="H881" s="527"/>
      <c r="I881" s="527"/>
      <c r="J881" s="527"/>
      <c r="K881" s="527"/>
      <c r="L881" s="527"/>
      <c r="M881" s="527"/>
    </row>
    <row r="882" ht="15.75" customHeight="1">
      <c r="A882" s="523"/>
      <c r="B882" s="509"/>
      <c r="C882" s="509"/>
      <c r="D882" s="522"/>
      <c r="E882" s="526"/>
      <c r="F882" s="526"/>
      <c r="G882" s="527"/>
      <c r="H882" s="527"/>
      <c r="I882" s="527"/>
      <c r="J882" s="527"/>
      <c r="K882" s="527"/>
      <c r="L882" s="527"/>
      <c r="M882" s="527"/>
    </row>
    <row r="883" ht="15.75" customHeight="1">
      <c r="A883" s="523"/>
      <c r="B883" s="509"/>
      <c r="C883" s="509"/>
      <c r="D883" s="522"/>
      <c r="E883" s="526"/>
      <c r="F883" s="526"/>
      <c r="G883" s="527"/>
      <c r="H883" s="527"/>
      <c r="I883" s="527"/>
      <c r="J883" s="527"/>
      <c r="K883" s="527"/>
      <c r="L883" s="527"/>
      <c r="M883" s="527"/>
    </row>
    <row r="884" ht="15.75" customHeight="1">
      <c r="A884" s="523"/>
      <c r="B884" s="509"/>
      <c r="C884" s="509"/>
      <c r="D884" s="522"/>
      <c r="E884" s="526"/>
      <c r="F884" s="526"/>
      <c r="G884" s="527"/>
      <c r="H884" s="527"/>
      <c r="I884" s="527"/>
      <c r="J884" s="527"/>
      <c r="K884" s="527"/>
      <c r="L884" s="527"/>
      <c r="M884" s="527"/>
    </row>
    <row r="885" ht="15.75" customHeight="1">
      <c r="A885" s="523"/>
      <c r="B885" s="509"/>
      <c r="C885" s="509"/>
      <c r="D885" s="522"/>
      <c r="E885" s="526"/>
      <c r="F885" s="526"/>
      <c r="G885" s="527"/>
      <c r="H885" s="527"/>
      <c r="I885" s="527"/>
      <c r="J885" s="527"/>
      <c r="K885" s="527"/>
      <c r="L885" s="527"/>
      <c r="M885" s="527"/>
    </row>
    <row r="886" ht="15.75" customHeight="1">
      <c r="A886" s="523"/>
      <c r="B886" s="509"/>
      <c r="C886" s="509"/>
      <c r="D886" s="522"/>
      <c r="E886" s="526"/>
      <c r="F886" s="526"/>
      <c r="G886" s="527"/>
      <c r="H886" s="527"/>
      <c r="I886" s="527"/>
      <c r="J886" s="527"/>
      <c r="K886" s="527"/>
      <c r="L886" s="527"/>
      <c r="M886" s="527"/>
    </row>
    <row r="887" ht="15.75" customHeight="1">
      <c r="A887" s="523"/>
      <c r="B887" s="509"/>
      <c r="C887" s="509"/>
      <c r="D887" s="522"/>
      <c r="E887" s="526"/>
      <c r="F887" s="526"/>
      <c r="G887" s="527"/>
      <c r="H887" s="527"/>
      <c r="I887" s="527"/>
      <c r="J887" s="527"/>
      <c r="K887" s="527"/>
      <c r="L887" s="527"/>
      <c r="M887" s="527"/>
    </row>
    <row r="888" ht="15.75" customHeight="1">
      <c r="A888" s="523"/>
      <c r="B888" s="509"/>
      <c r="C888" s="509"/>
      <c r="D888" s="522"/>
      <c r="E888" s="526"/>
      <c r="F888" s="526"/>
      <c r="G888" s="527"/>
      <c r="H888" s="527"/>
      <c r="I888" s="527"/>
      <c r="J888" s="527"/>
      <c r="K888" s="527"/>
      <c r="L888" s="527"/>
      <c r="M888" s="527"/>
    </row>
    <row r="889" ht="15.75" customHeight="1">
      <c r="A889" s="523"/>
      <c r="B889" s="509"/>
      <c r="C889" s="509"/>
      <c r="D889" s="522"/>
      <c r="E889" s="526"/>
      <c r="F889" s="526"/>
      <c r="G889" s="527"/>
      <c r="H889" s="527"/>
      <c r="I889" s="527"/>
      <c r="J889" s="527"/>
      <c r="K889" s="527"/>
      <c r="L889" s="527"/>
      <c r="M889" s="527"/>
    </row>
    <row r="890" ht="15.75" customHeight="1">
      <c r="A890" s="523"/>
      <c r="B890" s="509"/>
      <c r="C890" s="509"/>
      <c r="D890" s="522"/>
      <c r="E890" s="526"/>
      <c r="F890" s="526"/>
      <c r="G890" s="527"/>
      <c r="H890" s="527"/>
      <c r="I890" s="527"/>
      <c r="J890" s="527"/>
      <c r="K890" s="527"/>
      <c r="L890" s="527"/>
      <c r="M890" s="527"/>
    </row>
    <row r="891" ht="15.75" customHeight="1">
      <c r="A891" s="523"/>
      <c r="B891" s="509"/>
      <c r="C891" s="509"/>
      <c r="D891" s="522"/>
      <c r="E891" s="526"/>
      <c r="F891" s="526"/>
      <c r="G891" s="527"/>
      <c r="H891" s="527"/>
      <c r="I891" s="527"/>
      <c r="J891" s="527"/>
      <c r="K891" s="527"/>
      <c r="L891" s="527"/>
      <c r="M891" s="527"/>
    </row>
    <row r="892" ht="15.75" customHeight="1">
      <c r="A892" s="523"/>
      <c r="B892" s="509"/>
      <c r="C892" s="509"/>
      <c r="D892" s="522"/>
      <c r="E892" s="526"/>
      <c r="F892" s="526"/>
      <c r="G892" s="527"/>
      <c r="H892" s="527"/>
      <c r="I892" s="527"/>
      <c r="J892" s="527"/>
      <c r="K892" s="527"/>
      <c r="L892" s="527"/>
      <c r="M892" s="527"/>
    </row>
    <row r="893" ht="15.75" customHeight="1">
      <c r="A893" s="523"/>
      <c r="B893" s="509"/>
      <c r="C893" s="509"/>
      <c r="D893" s="522"/>
      <c r="E893" s="526"/>
      <c r="F893" s="526"/>
      <c r="G893" s="527"/>
      <c r="H893" s="527"/>
      <c r="I893" s="527"/>
      <c r="J893" s="527"/>
      <c r="K893" s="527"/>
      <c r="L893" s="527"/>
      <c r="M893" s="527"/>
    </row>
    <row r="894" ht="15.75" customHeight="1">
      <c r="A894" s="523"/>
      <c r="B894" s="509"/>
      <c r="C894" s="509"/>
      <c r="D894" s="522"/>
      <c r="E894" s="526"/>
      <c r="F894" s="526"/>
      <c r="G894" s="527"/>
      <c r="H894" s="527"/>
      <c r="I894" s="527"/>
      <c r="J894" s="527"/>
      <c r="K894" s="527"/>
      <c r="L894" s="527"/>
      <c r="M894" s="527"/>
    </row>
    <row r="895" ht="15.75" customHeight="1">
      <c r="A895" s="523"/>
      <c r="B895" s="509"/>
      <c r="C895" s="509"/>
      <c r="D895" s="522"/>
      <c r="E895" s="526"/>
      <c r="F895" s="526"/>
      <c r="G895" s="527"/>
      <c r="H895" s="527"/>
      <c r="I895" s="527"/>
      <c r="J895" s="527"/>
      <c r="K895" s="527"/>
      <c r="L895" s="527"/>
      <c r="M895" s="527"/>
    </row>
    <row r="896" ht="15.75" customHeight="1">
      <c r="A896" s="523"/>
      <c r="B896" s="509"/>
      <c r="C896" s="509"/>
      <c r="D896" s="522"/>
      <c r="E896" s="526"/>
      <c r="F896" s="526"/>
      <c r="G896" s="527"/>
      <c r="H896" s="527"/>
      <c r="I896" s="527"/>
      <c r="J896" s="527"/>
      <c r="K896" s="527"/>
      <c r="L896" s="527"/>
      <c r="M896" s="527"/>
    </row>
    <row r="897" ht="15.75" customHeight="1">
      <c r="A897" s="523"/>
      <c r="B897" s="509"/>
      <c r="C897" s="509"/>
      <c r="D897" s="522"/>
      <c r="E897" s="526"/>
      <c r="F897" s="526"/>
      <c r="G897" s="527"/>
      <c r="H897" s="527"/>
      <c r="I897" s="527"/>
      <c r="J897" s="527"/>
      <c r="K897" s="527"/>
      <c r="L897" s="527"/>
      <c r="M897" s="527"/>
    </row>
    <row r="898" ht="15.75" customHeight="1">
      <c r="A898" s="523"/>
      <c r="B898" s="509"/>
      <c r="C898" s="509"/>
      <c r="D898" s="522"/>
      <c r="E898" s="526"/>
      <c r="F898" s="526"/>
      <c r="G898" s="527"/>
      <c r="H898" s="527"/>
      <c r="I898" s="527"/>
      <c r="J898" s="527"/>
      <c r="K898" s="527"/>
      <c r="L898" s="527"/>
      <c r="M898" s="527"/>
    </row>
    <row r="899" ht="15.75" customHeight="1">
      <c r="A899" s="523"/>
      <c r="B899" s="509"/>
      <c r="C899" s="509"/>
      <c r="D899" s="522"/>
      <c r="E899" s="526"/>
      <c r="F899" s="526"/>
      <c r="G899" s="527"/>
      <c r="H899" s="527"/>
      <c r="I899" s="527"/>
      <c r="J899" s="527"/>
      <c r="K899" s="527"/>
      <c r="L899" s="527"/>
      <c r="M899" s="527"/>
    </row>
    <row r="900" ht="15.75" customHeight="1">
      <c r="A900" s="523"/>
      <c r="B900" s="509"/>
      <c r="C900" s="509"/>
      <c r="D900" s="522"/>
      <c r="E900" s="526"/>
      <c r="F900" s="526"/>
      <c r="G900" s="527"/>
      <c r="H900" s="527"/>
      <c r="I900" s="527"/>
      <c r="J900" s="527"/>
      <c r="K900" s="527"/>
      <c r="L900" s="527"/>
      <c r="M900" s="527"/>
    </row>
    <row r="901" ht="15.75" customHeight="1">
      <c r="A901" s="523"/>
      <c r="B901" s="509"/>
      <c r="C901" s="509"/>
      <c r="D901" s="522"/>
      <c r="E901" s="526"/>
      <c r="F901" s="526"/>
      <c r="G901" s="527"/>
      <c r="H901" s="527"/>
      <c r="I901" s="527"/>
      <c r="J901" s="527"/>
      <c r="K901" s="527"/>
      <c r="L901" s="527"/>
      <c r="M901" s="527"/>
    </row>
    <row r="902" ht="15.75" customHeight="1">
      <c r="A902" s="523"/>
      <c r="B902" s="509"/>
      <c r="C902" s="509"/>
      <c r="D902" s="522"/>
      <c r="E902" s="526"/>
      <c r="F902" s="526"/>
      <c r="G902" s="527"/>
      <c r="H902" s="527"/>
      <c r="I902" s="527"/>
      <c r="J902" s="527"/>
      <c r="K902" s="527"/>
      <c r="L902" s="527"/>
      <c r="M902" s="527"/>
    </row>
    <row r="903" ht="15.75" customHeight="1">
      <c r="A903" s="523"/>
      <c r="B903" s="509"/>
      <c r="C903" s="509"/>
      <c r="D903" s="522"/>
      <c r="E903" s="526"/>
      <c r="F903" s="526"/>
      <c r="G903" s="527"/>
      <c r="H903" s="527"/>
      <c r="I903" s="527"/>
      <c r="J903" s="527"/>
      <c r="K903" s="527"/>
      <c r="L903" s="527"/>
      <c r="M903" s="527"/>
    </row>
    <row r="904" ht="15.75" customHeight="1">
      <c r="A904" s="523"/>
      <c r="B904" s="509"/>
      <c r="C904" s="509"/>
      <c r="D904" s="522"/>
      <c r="E904" s="526"/>
      <c r="F904" s="526"/>
      <c r="G904" s="527"/>
      <c r="H904" s="527"/>
      <c r="I904" s="527"/>
      <c r="J904" s="527"/>
      <c r="K904" s="527"/>
      <c r="L904" s="527"/>
      <c r="M904" s="527"/>
    </row>
    <row r="905" ht="15.75" customHeight="1">
      <c r="A905" s="523"/>
      <c r="B905" s="509"/>
      <c r="C905" s="509"/>
      <c r="D905" s="522"/>
      <c r="E905" s="526"/>
      <c r="F905" s="526"/>
      <c r="G905" s="527"/>
      <c r="H905" s="527"/>
      <c r="I905" s="527"/>
      <c r="J905" s="527"/>
      <c r="K905" s="527"/>
      <c r="L905" s="527"/>
      <c r="M905" s="527"/>
    </row>
    <row r="906" ht="15.75" customHeight="1">
      <c r="A906" s="523"/>
      <c r="B906" s="509"/>
      <c r="C906" s="509"/>
      <c r="D906" s="522"/>
      <c r="E906" s="526"/>
      <c r="F906" s="526"/>
      <c r="G906" s="527"/>
      <c r="H906" s="527"/>
      <c r="I906" s="527"/>
      <c r="J906" s="527"/>
      <c r="K906" s="527"/>
      <c r="L906" s="527"/>
      <c r="M906" s="527"/>
    </row>
    <row r="907" ht="15.75" customHeight="1">
      <c r="A907" s="523"/>
      <c r="B907" s="509"/>
      <c r="C907" s="509"/>
      <c r="D907" s="522"/>
      <c r="E907" s="526"/>
      <c r="F907" s="526"/>
      <c r="G907" s="527"/>
      <c r="H907" s="527"/>
      <c r="I907" s="527"/>
      <c r="J907" s="527"/>
      <c r="K907" s="527"/>
      <c r="L907" s="527"/>
      <c r="M907" s="527"/>
    </row>
    <row r="908" ht="15.75" customHeight="1">
      <c r="A908" s="523"/>
      <c r="B908" s="509"/>
      <c r="C908" s="509"/>
      <c r="D908" s="522"/>
      <c r="E908" s="526"/>
      <c r="F908" s="526"/>
      <c r="G908" s="527"/>
      <c r="H908" s="527"/>
      <c r="I908" s="527"/>
      <c r="J908" s="527"/>
      <c r="K908" s="527"/>
      <c r="L908" s="527"/>
      <c r="M908" s="527"/>
    </row>
    <row r="909" ht="15.75" customHeight="1">
      <c r="A909" s="523"/>
      <c r="B909" s="509"/>
      <c r="C909" s="509"/>
      <c r="D909" s="522"/>
      <c r="E909" s="526"/>
      <c r="F909" s="526"/>
      <c r="G909" s="527"/>
      <c r="H909" s="527"/>
      <c r="I909" s="527"/>
      <c r="J909" s="527"/>
      <c r="K909" s="527"/>
      <c r="L909" s="527"/>
      <c r="M909" s="527"/>
    </row>
    <row r="910" ht="15.75" customHeight="1">
      <c r="A910" s="523"/>
      <c r="B910" s="509"/>
      <c r="C910" s="509"/>
      <c r="D910" s="522"/>
      <c r="E910" s="526"/>
      <c r="F910" s="526"/>
      <c r="G910" s="527"/>
      <c r="H910" s="527"/>
      <c r="I910" s="527"/>
      <c r="J910" s="527"/>
      <c r="K910" s="527"/>
      <c r="L910" s="527"/>
      <c r="M910" s="527"/>
    </row>
    <row r="911" ht="15.75" customHeight="1">
      <c r="A911" s="523"/>
      <c r="B911" s="509"/>
      <c r="C911" s="509"/>
      <c r="D911" s="522"/>
      <c r="E911" s="526"/>
      <c r="F911" s="526"/>
      <c r="G911" s="527"/>
      <c r="H911" s="527"/>
      <c r="I911" s="527"/>
      <c r="J911" s="527"/>
      <c r="K911" s="527"/>
      <c r="L911" s="527"/>
      <c r="M911" s="527"/>
    </row>
    <row r="912" ht="15.75" customHeight="1">
      <c r="A912" s="523"/>
      <c r="B912" s="509"/>
      <c r="C912" s="509"/>
      <c r="D912" s="522"/>
      <c r="E912" s="526"/>
      <c r="F912" s="526"/>
      <c r="G912" s="527"/>
      <c r="H912" s="527"/>
      <c r="I912" s="527"/>
      <c r="J912" s="527"/>
      <c r="K912" s="527"/>
      <c r="L912" s="527"/>
      <c r="M912" s="527"/>
    </row>
    <row r="913" ht="15.75" customHeight="1">
      <c r="A913" s="523"/>
      <c r="B913" s="509"/>
      <c r="C913" s="509"/>
      <c r="D913" s="522"/>
      <c r="E913" s="526"/>
      <c r="F913" s="526"/>
      <c r="G913" s="527"/>
      <c r="H913" s="527"/>
      <c r="I913" s="527"/>
      <c r="J913" s="527"/>
      <c r="K913" s="527"/>
      <c r="L913" s="527"/>
      <c r="M913" s="527"/>
    </row>
    <row r="914" ht="15.75" customHeight="1">
      <c r="A914" s="523"/>
      <c r="B914" s="509"/>
      <c r="C914" s="509"/>
      <c r="D914" s="522"/>
      <c r="E914" s="526"/>
      <c r="F914" s="526"/>
      <c r="G914" s="527"/>
      <c r="H914" s="527"/>
      <c r="I914" s="527"/>
      <c r="J914" s="527"/>
      <c r="K914" s="527"/>
      <c r="L914" s="527"/>
      <c r="M914" s="527"/>
    </row>
    <row r="915" ht="15.75" customHeight="1">
      <c r="A915" s="523"/>
      <c r="B915" s="509"/>
      <c r="C915" s="509"/>
      <c r="D915" s="522"/>
      <c r="E915" s="526"/>
      <c r="F915" s="526"/>
      <c r="G915" s="527"/>
      <c r="H915" s="527"/>
      <c r="I915" s="527"/>
      <c r="J915" s="527"/>
      <c r="K915" s="527"/>
      <c r="L915" s="527"/>
      <c r="M915" s="527"/>
    </row>
    <row r="916" ht="15.75" customHeight="1">
      <c r="A916" s="523"/>
      <c r="B916" s="509"/>
      <c r="C916" s="509"/>
      <c r="D916" s="522"/>
      <c r="E916" s="526"/>
      <c r="F916" s="526"/>
      <c r="G916" s="527"/>
      <c r="H916" s="527"/>
      <c r="I916" s="527"/>
      <c r="J916" s="527"/>
      <c r="K916" s="527"/>
      <c r="L916" s="527"/>
      <c r="M916" s="527"/>
    </row>
    <row r="917" ht="15.75" customHeight="1">
      <c r="A917" s="523"/>
      <c r="B917" s="509"/>
      <c r="C917" s="509"/>
      <c r="D917" s="522"/>
      <c r="E917" s="526"/>
      <c r="F917" s="526"/>
      <c r="G917" s="527"/>
      <c r="H917" s="527"/>
      <c r="I917" s="527"/>
      <c r="J917" s="527"/>
      <c r="K917" s="527"/>
      <c r="L917" s="527"/>
      <c r="M917" s="527"/>
    </row>
    <row r="918" ht="15.75" customHeight="1">
      <c r="A918" s="523"/>
      <c r="B918" s="509"/>
      <c r="C918" s="509"/>
      <c r="D918" s="522"/>
      <c r="E918" s="526"/>
      <c r="F918" s="526"/>
      <c r="G918" s="527"/>
      <c r="H918" s="527"/>
      <c r="I918" s="527"/>
      <c r="J918" s="527"/>
      <c r="K918" s="527"/>
      <c r="L918" s="527"/>
      <c r="M918" s="527"/>
    </row>
    <row r="919" ht="15.75" customHeight="1">
      <c r="A919" s="523"/>
      <c r="B919" s="509"/>
      <c r="C919" s="509"/>
      <c r="D919" s="522"/>
      <c r="E919" s="526"/>
      <c r="F919" s="526"/>
      <c r="G919" s="527"/>
      <c r="H919" s="527"/>
      <c r="I919" s="527"/>
      <c r="J919" s="527"/>
      <c r="K919" s="527"/>
      <c r="L919" s="527"/>
      <c r="M919" s="527"/>
    </row>
    <row r="920" ht="15.75" customHeight="1">
      <c r="A920" s="523"/>
      <c r="B920" s="509"/>
      <c r="C920" s="509"/>
      <c r="D920" s="522"/>
      <c r="E920" s="526"/>
      <c r="F920" s="526"/>
      <c r="G920" s="527"/>
      <c r="H920" s="527"/>
      <c r="I920" s="527"/>
      <c r="J920" s="527"/>
      <c r="K920" s="527"/>
      <c r="L920" s="527"/>
      <c r="M920" s="527"/>
    </row>
    <row r="921" ht="15.75" customHeight="1">
      <c r="A921" s="523"/>
      <c r="B921" s="509"/>
      <c r="C921" s="509"/>
      <c r="D921" s="522"/>
      <c r="E921" s="526"/>
      <c r="F921" s="526"/>
      <c r="G921" s="527"/>
      <c r="H921" s="527"/>
      <c r="I921" s="527"/>
      <c r="J921" s="527"/>
      <c r="K921" s="527"/>
      <c r="L921" s="527"/>
      <c r="M921" s="527"/>
    </row>
    <row r="922" ht="15.75" customHeight="1">
      <c r="A922" s="523"/>
      <c r="B922" s="509"/>
      <c r="C922" s="509"/>
      <c r="D922" s="522"/>
      <c r="E922" s="526"/>
      <c r="F922" s="526"/>
      <c r="G922" s="527"/>
      <c r="H922" s="527"/>
      <c r="I922" s="527"/>
      <c r="J922" s="527"/>
      <c r="K922" s="527"/>
      <c r="L922" s="527"/>
      <c r="M922" s="527"/>
    </row>
    <row r="923" ht="15.75" customHeight="1">
      <c r="A923" s="523"/>
      <c r="B923" s="509"/>
      <c r="C923" s="509"/>
      <c r="D923" s="522"/>
      <c r="E923" s="526"/>
      <c r="F923" s="526"/>
      <c r="G923" s="527"/>
      <c r="H923" s="527"/>
      <c r="I923" s="527"/>
      <c r="J923" s="527"/>
      <c r="K923" s="527"/>
      <c r="L923" s="527"/>
      <c r="M923" s="527"/>
    </row>
    <row r="924" ht="15.75" customHeight="1">
      <c r="A924" s="523"/>
      <c r="B924" s="509"/>
      <c r="C924" s="509"/>
      <c r="D924" s="522"/>
      <c r="E924" s="526"/>
      <c r="F924" s="526"/>
      <c r="G924" s="527"/>
      <c r="H924" s="527"/>
      <c r="I924" s="527"/>
      <c r="J924" s="527"/>
      <c r="K924" s="527"/>
      <c r="L924" s="527"/>
      <c r="M924" s="527"/>
    </row>
    <row r="925" ht="15.75" customHeight="1">
      <c r="A925" s="523"/>
      <c r="B925" s="509"/>
      <c r="C925" s="509"/>
      <c r="D925" s="522"/>
      <c r="E925" s="526"/>
      <c r="F925" s="526"/>
      <c r="G925" s="527"/>
      <c r="H925" s="527"/>
      <c r="I925" s="527"/>
      <c r="J925" s="527"/>
      <c r="K925" s="527"/>
      <c r="L925" s="527"/>
      <c r="M925" s="527"/>
    </row>
    <row r="926" ht="15.75" customHeight="1">
      <c r="A926" s="523"/>
      <c r="B926" s="509"/>
      <c r="C926" s="509"/>
      <c r="D926" s="522"/>
      <c r="E926" s="526"/>
      <c r="F926" s="526"/>
      <c r="G926" s="527"/>
      <c r="H926" s="527"/>
      <c r="I926" s="527"/>
      <c r="J926" s="527"/>
      <c r="K926" s="527"/>
      <c r="L926" s="527"/>
      <c r="M926" s="527"/>
    </row>
    <row r="927" ht="15.75" customHeight="1">
      <c r="A927" s="523"/>
      <c r="B927" s="509"/>
      <c r="C927" s="509"/>
      <c r="D927" s="522"/>
      <c r="E927" s="526"/>
      <c r="F927" s="526"/>
      <c r="G927" s="527"/>
      <c r="H927" s="527"/>
      <c r="I927" s="527"/>
      <c r="J927" s="527"/>
      <c r="K927" s="527"/>
      <c r="L927" s="527"/>
      <c r="M927" s="527"/>
    </row>
    <row r="928" ht="15.75" customHeight="1">
      <c r="A928" s="523"/>
      <c r="B928" s="509"/>
      <c r="C928" s="509"/>
      <c r="D928" s="522"/>
      <c r="E928" s="526"/>
      <c r="F928" s="526"/>
      <c r="G928" s="527"/>
      <c r="H928" s="527"/>
      <c r="I928" s="527"/>
      <c r="J928" s="527"/>
      <c r="K928" s="527"/>
      <c r="L928" s="527"/>
      <c r="M928" s="527"/>
    </row>
    <row r="929" ht="15.75" customHeight="1">
      <c r="A929" s="523"/>
      <c r="B929" s="509"/>
      <c r="C929" s="509"/>
      <c r="D929" s="522"/>
      <c r="E929" s="526"/>
      <c r="F929" s="526"/>
      <c r="G929" s="527"/>
      <c r="H929" s="527"/>
      <c r="I929" s="527"/>
      <c r="J929" s="527"/>
      <c r="K929" s="527"/>
      <c r="L929" s="527"/>
      <c r="M929" s="527"/>
    </row>
    <row r="930" ht="15.75" customHeight="1">
      <c r="A930" s="523"/>
      <c r="B930" s="509"/>
      <c r="C930" s="509"/>
      <c r="D930" s="522"/>
      <c r="E930" s="526"/>
      <c r="F930" s="526"/>
      <c r="G930" s="527"/>
      <c r="H930" s="527"/>
      <c r="I930" s="527"/>
      <c r="J930" s="527"/>
      <c r="K930" s="527"/>
      <c r="L930" s="527"/>
      <c r="M930" s="527"/>
    </row>
    <row r="931" ht="15.75" customHeight="1">
      <c r="A931" s="523"/>
      <c r="B931" s="509"/>
      <c r="C931" s="509"/>
      <c r="D931" s="522"/>
      <c r="E931" s="526"/>
      <c r="F931" s="526"/>
      <c r="G931" s="527"/>
      <c r="H931" s="527"/>
      <c r="I931" s="527"/>
      <c r="J931" s="527"/>
      <c r="K931" s="527"/>
      <c r="L931" s="527"/>
      <c r="M931" s="527"/>
    </row>
    <row r="932" ht="15.75" customHeight="1">
      <c r="A932" s="523"/>
      <c r="B932" s="509"/>
      <c r="C932" s="509"/>
      <c r="D932" s="522"/>
      <c r="E932" s="526"/>
      <c r="F932" s="526"/>
      <c r="G932" s="527"/>
      <c r="H932" s="527"/>
      <c r="I932" s="527"/>
      <c r="J932" s="527"/>
      <c r="K932" s="527"/>
      <c r="L932" s="527"/>
      <c r="M932" s="527"/>
    </row>
    <row r="933" ht="15.75" customHeight="1">
      <c r="A933" s="523"/>
      <c r="B933" s="509"/>
      <c r="C933" s="509"/>
      <c r="D933" s="522"/>
      <c r="E933" s="526"/>
      <c r="F933" s="526"/>
      <c r="G933" s="527"/>
      <c r="H933" s="527"/>
      <c r="I933" s="527"/>
      <c r="J933" s="527"/>
      <c r="K933" s="527"/>
      <c r="L933" s="527"/>
      <c r="M933" s="527"/>
    </row>
    <row r="934" ht="15.75" customHeight="1">
      <c r="A934" s="523"/>
      <c r="B934" s="509"/>
      <c r="C934" s="509"/>
      <c r="D934" s="522"/>
      <c r="E934" s="526"/>
      <c r="F934" s="526"/>
      <c r="G934" s="527"/>
      <c r="H934" s="527"/>
      <c r="I934" s="527"/>
      <c r="J934" s="527"/>
      <c r="K934" s="527"/>
      <c r="L934" s="527"/>
      <c r="M934" s="527"/>
    </row>
    <row r="935" ht="15.75" customHeight="1">
      <c r="A935" s="523"/>
      <c r="B935" s="509"/>
      <c r="C935" s="509"/>
      <c r="D935" s="522"/>
      <c r="E935" s="526"/>
      <c r="F935" s="526"/>
      <c r="G935" s="527"/>
      <c r="H935" s="527"/>
      <c r="I935" s="527"/>
      <c r="J935" s="527"/>
      <c r="K935" s="527"/>
      <c r="L935" s="527"/>
      <c r="M935" s="527"/>
    </row>
    <row r="936" ht="15.75" customHeight="1">
      <c r="A936" s="523"/>
      <c r="B936" s="509"/>
      <c r="C936" s="509"/>
      <c r="D936" s="522"/>
      <c r="E936" s="526"/>
      <c r="F936" s="526"/>
      <c r="G936" s="527"/>
      <c r="H936" s="527"/>
      <c r="I936" s="527"/>
      <c r="J936" s="527"/>
      <c r="K936" s="527"/>
      <c r="L936" s="527"/>
      <c r="M936" s="527"/>
    </row>
    <row r="937" ht="15.75" customHeight="1">
      <c r="A937" s="523"/>
      <c r="B937" s="509"/>
      <c r="C937" s="509"/>
      <c r="D937" s="522"/>
      <c r="E937" s="526"/>
      <c r="F937" s="526"/>
      <c r="G937" s="527"/>
      <c r="H937" s="527"/>
      <c r="I937" s="527"/>
      <c r="J937" s="527"/>
      <c r="K937" s="527"/>
      <c r="L937" s="527"/>
      <c r="M937" s="527"/>
    </row>
    <row r="938" ht="15.75" customHeight="1">
      <c r="A938" s="523"/>
      <c r="B938" s="509"/>
      <c r="C938" s="509"/>
      <c r="D938" s="522"/>
      <c r="E938" s="526"/>
      <c r="F938" s="526"/>
      <c r="G938" s="527"/>
      <c r="H938" s="527"/>
      <c r="I938" s="527"/>
      <c r="J938" s="527"/>
      <c r="K938" s="527"/>
      <c r="L938" s="527"/>
      <c r="M938" s="527"/>
    </row>
    <row r="939" ht="15.75" customHeight="1">
      <c r="A939" s="523"/>
      <c r="B939" s="509"/>
      <c r="C939" s="509"/>
      <c r="D939" s="522"/>
      <c r="E939" s="526"/>
      <c r="F939" s="526"/>
      <c r="G939" s="527"/>
      <c r="H939" s="527"/>
      <c r="I939" s="527"/>
      <c r="J939" s="527"/>
      <c r="K939" s="527"/>
      <c r="L939" s="527"/>
      <c r="M939" s="527"/>
    </row>
    <row r="940" ht="15.75" customHeight="1">
      <c r="A940" s="523"/>
      <c r="B940" s="509"/>
      <c r="C940" s="509"/>
      <c r="D940" s="522"/>
      <c r="E940" s="526"/>
      <c r="F940" s="526"/>
      <c r="G940" s="527"/>
      <c r="H940" s="527"/>
      <c r="I940" s="527"/>
      <c r="J940" s="527"/>
      <c r="K940" s="527"/>
      <c r="L940" s="527"/>
      <c r="M940" s="527"/>
    </row>
    <row r="941" ht="15.75" customHeight="1">
      <c r="A941" s="523"/>
      <c r="B941" s="509"/>
      <c r="C941" s="509"/>
      <c r="D941" s="522"/>
      <c r="E941" s="526"/>
      <c r="F941" s="526"/>
      <c r="G941" s="527"/>
      <c r="H941" s="527"/>
      <c r="I941" s="527"/>
      <c r="J941" s="527"/>
      <c r="K941" s="527"/>
      <c r="L941" s="527"/>
      <c r="M941" s="527"/>
    </row>
    <row r="942" ht="15.75" customHeight="1">
      <c r="A942" s="523"/>
      <c r="B942" s="509"/>
      <c r="C942" s="509"/>
      <c r="D942" s="522"/>
      <c r="E942" s="526"/>
      <c r="F942" s="526"/>
      <c r="G942" s="527"/>
      <c r="H942" s="527"/>
      <c r="I942" s="527"/>
      <c r="J942" s="527"/>
      <c r="K942" s="527"/>
      <c r="L942" s="527"/>
      <c r="M942" s="527"/>
    </row>
    <row r="943" ht="15.75" customHeight="1">
      <c r="A943" s="523"/>
      <c r="B943" s="509"/>
      <c r="C943" s="509"/>
      <c r="D943" s="522"/>
      <c r="E943" s="526"/>
      <c r="F943" s="526"/>
      <c r="G943" s="527"/>
      <c r="H943" s="527"/>
      <c r="I943" s="527"/>
      <c r="J943" s="527"/>
      <c r="K943" s="527"/>
      <c r="L943" s="527"/>
      <c r="M943" s="527"/>
    </row>
    <row r="944" ht="15.75" customHeight="1">
      <c r="A944" s="523"/>
      <c r="B944" s="509"/>
      <c r="C944" s="509"/>
      <c r="D944" s="522"/>
      <c r="E944" s="526"/>
      <c r="F944" s="526"/>
      <c r="G944" s="527"/>
      <c r="H944" s="527"/>
      <c r="I944" s="527"/>
      <c r="J944" s="527"/>
      <c r="K944" s="527"/>
      <c r="L944" s="527"/>
      <c r="M944" s="527"/>
    </row>
    <row r="945" ht="15.75" customHeight="1">
      <c r="A945" s="523"/>
      <c r="B945" s="509"/>
      <c r="C945" s="509"/>
      <c r="D945" s="522"/>
      <c r="E945" s="526"/>
      <c r="F945" s="526"/>
      <c r="G945" s="527"/>
      <c r="H945" s="527"/>
      <c r="I945" s="527"/>
      <c r="J945" s="527"/>
      <c r="K945" s="527"/>
      <c r="L945" s="527"/>
      <c r="M945" s="527"/>
    </row>
    <row r="946" ht="15.75" customHeight="1">
      <c r="A946" s="523"/>
      <c r="B946" s="509"/>
      <c r="C946" s="509"/>
      <c r="D946" s="522"/>
      <c r="E946" s="526"/>
      <c r="F946" s="526"/>
      <c r="G946" s="527"/>
      <c r="H946" s="527"/>
      <c r="I946" s="527"/>
      <c r="J946" s="527"/>
      <c r="K946" s="527"/>
      <c r="L946" s="527"/>
      <c r="M946" s="527"/>
    </row>
    <row r="947" ht="15.75" customHeight="1">
      <c r="A947" s="523"/>
      <c r="B947" s="509"/>
      <c r="C947" s="509"/>
      <c r="D947" s="522"/>
      <c r="E947" s="526"/>
      <c r="F947" s="526"/>
      <c r="G947" s="527"/>
      <c r="H947" s="527"/>
      <c r="I947" s="527"/>
      <c r="J947" s="527"/>
      <c r="K947" s="527"/>
      <c r="L947" s="527"/>
      <c r="M947" s="527"/>
    </row>
    <row r="948" ht="15.75" customHeight="1">
      <c r="A948" s="523"/>
      <c r="B948" s="509"/>
      <c r="C948" s="509"/>
      <c r="D948" s="522"/>
      <c r="E948" s="526"/>
      <c r="F948" s="526"/>
      <c r="G948" s="527"/>
      <c r="H948" s="527"/>
      <c r="I948" s="527"/>
      <c r="J948" s="527"/>
      <c r="K948" s="527"/>
      <c r="L948" s="527"/>
      <c r="M948" s="527"/>
    </row>
    <row r="949" ht="15.75" customHeight="1">
      <c r="A949" s="523"/>
      <c r="B949" s="509"/>
      <c r="C949" s="509"/>
      <c r="D949" s="522"/>
      <c r="E949" s="526"/>
      <c r="F949" s="526"/>
      <c r="G949" s="527"/>
      <c r="H949" s="527"/>
      <c r="I949" s="527"/>
      <c r="J949" s="527"/>
      <c r="K949" s="527"/>
      <c r="L949" s="527"/>
      <c r="M949" s="527"/>
    </row>
    <row r="950" ht="15.75" customHeight="1">
      <c r="A950" s="523"/>
      <c r="B950" s="509"/>
      <c r="C950" s="509"/>
      <c r="D950" s="522"/>
      <c r="E950" s="526"/>
      <c r="F950" s="526"/>
      <c r="G950" s="527"/>
      <c r="H950" s="527"/>
      <c r="I950" s="527"/>
      <c r="J950" s="527"/>
      <c r="K950" s="527"/>
      <c r="L950" s="527"/>
      <c r="M950" s="527"/>
    </row>
    <row r="951" ht="15.75" customHeight="1">
      <c r="A951" s="523"/>
      <c r="B951" s="509"/>
      <c r="C951" s="509"/>
      <c r="D951" s="522"/>
      <c r="E951" s="526"/>
      <c r="F951" s="526"/>
      <c r="G951" s="527"/>
      <c r="H951" s="527"/>
      <c r="I951" s="527"/>
      <c r="J951" s="527"/>
      <c r="K951" s="527"/>
      <c r="L951" s="527"/>
      <c r="M951" s="527"/>
    </row>
    <row r="952" ht="15.75" customHeight="1">
      <c r="A952" s="523"/>
      <c r="B952" s="509"/>
      <c r="C952" s="509"/>
      <c r="D952" s="522"/>
      <c r="E952" s="526"/>
      <c r="F952" s="526"/>
      <c r="G952" s="527"/>
      <c r="H952" s="527"/>
      <c r="I952" s="527"/>
      <c r="J952" s="527"/>
      <c r="K952" s="527"/>
      <c r="L952" s="527"/>
      <c r="M952" s="527"/>
    </row>
    <row r="953" ht="15.75" customHeight="1">
      <c r="A953" s="523"/>
      <c r="B953" s="509"/>
      <c r="C953" s="509"/>
      <c r="D953" s="522"/>
      <c r="E953" s="526"/>
      <c r="F953" s="526"/>
      <c r="G953" s="527"/>
      <c r="H953" s="527"/>
      <c r="I953" s="527"/>
      <c r="J953" s="527"/>
      <c r="K953" s="527"/>
      <c r="L953" s="527"/>
      <c r="M953" s="527"/>
    </row>
    <row r="954" ht="15.75" customHeight="1">
      <c r="A954" s="523"/>
      <c r="B954" s="509"/>
      <c r="C954" s="509"/>
      <c r="D954" s="522"/>
      <c r="E954" s="526"/>
      <c r="F954" s="526"/>
      <c r="G954" s="527"/>
      <c r="H954" s="527"/>
      <c r="I954" s="527"/>
      <c r="J954" s="527"/>
      <c r="K954" s="527"/>
      <c r="L954" s="527"/>
      <c r="M954" s="527"/>
    </row>
    <row r="955" ht="15.75" customHeight="1">
      <c r="A955" s="523"/>
      <c r="B955" s="509"/>
      <c r="C955" s="509"/>
      <c r="D955" s="522"/>
      <c r="E955" s="526"/>
      <c r="F955" s="526"/>
      <c r="G955" s="527"/>
      <c r="H955" s="527"/>
      <c r="I955" s="527"/>
      <c r="J955" s="527"/>
      <c r="K955" s="527"/>
      <c r="L955" s="527"/>
      <c r="M955" s="527"/>
    </row>
    <row r="956" ht="15.75" customHeight="1">
      <c r="A956" s="523"/>
      <c r="B956" s="509"/>
      <c r="C956" s="509"/>
      <c r="D956" s="522"/>
      <c r="E956" s="526"/>
      <c r="F956" s="526"/>
      <c r="G956" s="527"/>
      <c r="H956" s="527"/>
      <c r="I956" s="527"/>
      <c r="J956" s="527"/>
      <c r="K956" s="527"/>
      <c r="L956" s="527"/>
      <c r="M956" s="527"/>
    </row>
    <row r="957" ht="15.75" customHeight="1">
      <c r="A957" s="523"/>
      <c r="B957" s="509"/>
      <c r="C957" s="509"/>
      <c r="D957" s="522"/>
      <c r="E957" s="526"/>
      <c r="F957" s="526"/>
      <c r="G957" s="527"/>
      <c r="H957" s="527"/>
      <c r="I957" s="527"/>
      <c r="J957" s="527"/>
      <c r="K957" s="527"/>
      <c r="L957" s="527"/>
      <c r="M957" s="527"/>
    </row>
    <row r="958" ht="15.75" customHeight="1">
      <c r="A958" s="523"/>
      <c r="B958" s="509"/>
      <c r="C958" s="509"/>
      <c r="D958" s="522"/>
      <c r="E958" s="526"/>
      <c r="F958" s="526"/>
      <c r="G958" s="527"/>
      <c r="H958" s="527"/>
      <c r="I958" s="527"/>
      <c r="J958" s="527"/>
      <c r="K958" s="527"/>
      <c r="L958" s="527"/>
      <c r="M958" s="527"/>
    </row>
    <row r="959" ht="15.75" customHeight="1">
      <c r="A959" s="523"/>
      <c r="B959" s="509"/>
      <c r="C959" s="509"/>
      <c r="D959" s="522"/>
      <c r="E959" s="526"/>
      <c r="F959" s="526"/>
      <c r="G959" s="527"/>
      <c r="H959" s="527"/>
      <c r="I959" s="527"/>
      <c r="J959" s="527"/>
      <c r="K959" s="527"/>
      <c r="L959" s="527"/>
      <c r="M959" s="527"/>
    </row>
    <row r="960" ht="15.75" customHeight="1">
      <c r="A960" s="523"/>
      <c r="B960" s="509"/>
      <c r="C960" s="509"/>
      <c r="D960" s="522"/>
      <c r="E960" s="526"/>
      <c r="F960" s="526"/>
      <c r="G960" s="527"/>
      <c r="H960" s="527"/>
      <c r="I960" s="527"/>
      <c r="J960" s="527"/>
      <c r="K960" s="527"/>
      <c r="L960" s="527"/>
      <c r="M960" s="527"/>
    </row>
    <row r="961" ht="15.75" customHeight="1">
      <c r="A961" s="523"/>
      <c r="B961" s="509"/>
      <c r="C961" s="509"/>
      <c r="D961" s="522"/>
      <c r="E961" s="526"/>
      <c r="F961" s="526"/>
      <c r="G961" s="527"/>
      <c r="H961" s="527"/>
      <c r="I961" s="527"/>
      <c r="J961" s="527"/>
      <c r="K961" s="527"/>
      <c r="L961" s="527"/>
      <c r="M961" s="527"/>
    </row>
    <row r="962" ht="15.75" customHeight="1">
      <c r="A962" s="523"/>
      <c r="B962" s="509"/>
      <c r="C962" s="509"/>
      <c r="D962" s="522"/>
      <c r="E962" s="526"/>
      <c r="F962" s="526"/>
      <c r="G962" s="527"/>
      <c r="H962" s="527"/>
      <c r="I962" s="527"/>
      <c r="J962" s="527"/>
      <c r="K962" s="527"/>
      <c r="L962" s="527"/>
      <c r="M962" s="527"/>
    </row>
    <row r="963" ht="15.75" customHeight="1">
      <c r="A963" s="523"/>
      <c r="B963" s="509"/>
      <c r="C963" s="509"/>
      <c r="D963" s="522"/>
      <c r="E963" s="526"/>
      <c r="F963" s="526"/>
      <c r="G963" s="527"/>
      <c r="H963" s="527"/>
      <c r="I963" s="527"/>
      <c r="J963" s="527"/>
      <c r="K963" s="527"/>
      <c r="L963" s="527"/>
      <c r="M963" s="527"/>
    </row>
    <row r="964" ht="15.75" customHeight="1">
      <c r="A964" s="523"/>
      <c r="B964" s="509"/>
      <c r="C964" s="509"/>
      <c r="D964" s="522"/>
      <c r="E964" s="526"/>
      <c r="F964" s="526"/>
      <c r="G964" s="527"/>
      <c r="H964" s="527"/>
      <c r="I964" s="527"/>
      <c r="J964" s="527"/>
      <c r="K964" s="527"/>
      <c r="L964" s="527"/>
      <c r="M964" s="527"/>
    </row>
    <row r="965" ht="15.75" customHeight="1">
      <c r="A965" s="523"/>
      <c r="B965" s="509"/>
      <c r="C965" s="509"/>
      <c r="D965" s="522"/>
      <c r="E965" s="526"/>
      <c r="F965" s="526"/>
      <c r="G965" s="527"/>
      <c r="H965" s="527"/>
      <c r="I965" s="527"/>
      <c r="J965" s="527"/>
      <c r="K965" s="527"/>
      <c r="L965" s="527"/>
      <c r="M965" s="527"/>
    </row>
    <row r="966" ht="15.75" customHeight="1">
      <c r="A966" s="523"/>
      <c r="B966" s="509"/>
      <c r="C966" s="509"/>
      <c r="D966" s="522"/>
      <c r="E966" s="526"/>
      <c r="F966" s="526"/>
      <c r="G966" s="527"/>
      <c r="H966" s="527"/>
      <c r="I966" s="527"/>
      <c r="J966" s="527"/>
      <c r="K966" s="527"/>
      <c r="L966" s="527"/>
      <c r="M966" s="527"/>
    </row>
    <row r="967" ht="15.75" customHeight="1">
      <c r="A967" s="523"/>
      <c r="B967" s="509"/>
      <c r="C967" s="509"/>
      <c r="D967" s="522"/>
      <c r="E967" s="526"/>
      <c r="F967" s="526"/>
      <c r="G967" s="527"/>
      <c r="H967" s="527"/>
      <c r="I967" s="527"/>
      <c r="J967" s="527"/>
      <c r="K967" s="527"/>
      <c r="L967" s="527"/>
      <c r="M967" s="527"/>
    </row>
    <row r="968" ht="15.75" customHeight="1">
      <c r="A968" s="523"/>
      <c r="B968" s="509"/>
      <c r="C968" s="509"/>
      <c r="D968" s="522"/>
      <c r="E968" s="526"/>
      <c r="F968" s="526"/>
      <c r="G968" s="527"/>
      <c r="H968" s="527"/>
      <c r="I968" s="527"/>
      <c r="J968" s="527"/>
      <c r="K968" s="527"/>
      <c r="L968" s="527"/>
      <c r="M968" s="527"/>
    </row>
    <row r="969" ht="15.75" customHeight="1">
      <c r="A969" s="523"/>
      <c r="B969" s="509"/>
      <c r="C969" s="509"/>
      <c r="D969" s="522"/>
      <c r="E969" s="526"/>
      <c r="F969" s="526"/>
      <c r="G969" s="527"/>
      <c r="H969" s="527"/>
      <c r="I969" s="527"/>
      <c r="J969" s="527"/>
      <c r="K969" s="527"/>
      <c r="L969" s="527"/>
      <c r="M969" s="527"/>
    </row>
    <row r="970" ht="15.75" customHeight="1">
      <c r="A970" s="523"/>
      <c r="B970" s="509"/>
      <c r="C970" s="509"/>
      <c r="D970" s="522"/>
      <c r="E970" s="526"/>
      <c r="F970" s="526"/>
      <c r="G970" s="527"/>
      <c r="H970" s="527"/>
      <c r="I970" s="527"/>
      <c r="J970" s="527"/>
      <c r="K970" s="527"/>
      <c r="L970" s="527"/>
      <c r="M970" s="527"/>
    </row>
    <row r="971" ht="15.75" customHeight="1">
      <c r="A971" s="523"/>
      <c r="B971" s="509"/>
      <c r="C971" s="509"/>
      <c r="D971" s="522"/>
      <c r="E971" s="526"/>
      <c r="F971" s="526"/>
      <c r="G971" s="527"/>
      <c r="H971" s="527"/>
      <c r="I971" s="527"/>
      <c r="J971" s="527"/>
      <c r="K971" s="527"/>
      <c r="L971" s="527"/>
      <c r="M971" s="527"/>
    </row>
    <row r="972" ht="15.75" customHeight="1">
      <c r="A972" s="523"/>
      <c r="B972" s="509"/>
      <c r="C972" s="509"/>
      <c r="D972" s="522"/>
      <c r="E972" s="526"/>
      <c r="F972" s="526"/>
      <c r="G972" s="527"/>
      <c r="H972" s="527"/>
      <c r="I972" s="527"/>
      <c r="J972" s="527"/>
      <c r="K972" s="527"/>
      <c r="L972" s="527"/>
      <c r="M972" s="527"/>
    </row>
    <row r="973" ht="15.75" customHeight="1">
      <c r="A973" s="523"/>
      <c r="B973" s="509"/>
      <c r="C973" s="509"/>
      <c r="D973" s="522"/>
      <c r="E973" s="526"/>
      <c r="F973" s="526"/>
      <c r="G973" s="527"/>
      <c r="H973" s="527"/>
      <c r="I973" s="527"/>
      <c r="J973" s="527"/>
      <c r="K973" s="527"/>
      <c r="L973" s="527"/>
      <c r="M973" s="527"/>
    </row>
    <row r="974" ht="15.75" customHeight="1">
      <c r="A974" s="523"/>
      <c r="B974" s="509"/>
      <c r="C974" s="509"/>
      <c r="D974" s="522"/>
      <c r="E974" s="526"/>
      <c r="F974" s="526"/>
      <c r="G974" s="527"/>
      <c r="H974" s="527"/>
      <c r="I974" s="527"/>
      <c r="J974" s="527"/>
      <c r="K974" s="527"/>
      <c r="L974" s="527"/>
      <c r="M974" s="527"/>
    </row>
    <row r="975" ht="15.75" customHeight="1">
      <c r="A975" s="523"/>
      <c r="B975" s="509"/>
      <c r="C975" s="509"/>
      <c r="D975" s="522"/>
      <c r="E975" s="526"/>
      <c r="F975" s="526"/>
      <c r="G975" s="527"/>
      <c r="H975" s="527"/>
      <c r="I975" s="527"/>
      <c r="J975" s="527"/>
      <c r="K975" s="527"/>
      <c r="L975" s="527"/>
      <c r="M975" s="527"/>
    </row>
    <row r="976" ht="15.75" customHeight="1">
      <c r="A976" s="523"/>
      <c r="B976" s="509"/>
      <c r="C976" s="509"/>
      <c r="D976" s="522"/>
      <c r="E976" s="526"/>
      <c r="F976" s="526"/>
      <c r="G976" s="527"/>
      <c r="H976" s="527"/>
      <c r="I976" s="527"/>
      <c r="J976" s="527"/>
      <c r="K976" s="527"/>
      <c r="L976" s="527"/>
      <c r="M976" s="527"/>
    </row>
    <row r="977" ht="15.75" customHeight="1">
      <c r="A977" s="523"/>
      <c r="B977" s="509"/>
      <c r="C977" s="509"/>
      <c r="D977" s="522"/>
      <c r="E977" s="526"/>
      <c r="F977" s="526"/>
      <c r="G977" s="527"/>
      <c r="H977" s="527"/>
      <c r="I977" s="527"/>
      <c r="J977" s="527"/>
      <c r="K977" s="527"/>
      <c r="L977" s="527"/>
      <c r="M977" s="527"/>
    </row>
    <row r="978" ht="15.75" customHeight="1">
      <c r="A978" s="523"/>
      <c r="B978" s="509"/>
      <c r="C978" s="509"/>
      <c r="D978" s="522"/>
      <c r="E978" s="526"/>
      <c r="F978" s="526"/>
      <c r="G978" s="527"/>
      <c r="H978" s="527"/>
      <c r="I978" s="527"/>
      <c r="J978" s="527"/>
      <c r="K978" s="527"/>
      <c r="L978" s="527"/>
      <c r="M978" s="527"/>
    </row>
    <row r="979" ht="15.75" customHeight="1">
      <c r="A979" s="523"/>
      <c r="B979" s="509"/>
      <c r="C979" s="509"/>
      <c r="D979" s="522"/>
      <c r="E979" s="526"/>
      <c r="F979" s="526"/>
      <c r="G979" s="527"/>
      <c r="H979" s="527"/>
      <c r="I979" s="527"/>
      <c r="J979" s="527"/>
      <c r="K979" s="527"/>
      <c r="L979" s="527"/>
      <c r="M979" s="527"/>
    </row>
    <row r="980" ht="15.75" customHeight="1">
      <c r="A980" s="523"/>
      <c r="B980" s="509"/>
      <c r="C980" s="509"/>
      <c r="D980" s="522"/>
      <c r="E980" s="526"/>
      <c r="F980" s="526"/>
      <c r="G980" s="527"/>
      <c r="H980" s="527"/>
      <c r="I980" s="527"/>
      <c r="J980" s="527"/>
      <c r="K980" s="527"/>
      <c r="L980" s="527"/>
      <c r="M980" s="527"/>
    </row>
    <row r="981" ht="15.75" customHeight="1">
      <c r="A981" s="523"/>
      <c r="B981" s="509"/>
      <c r="C981" s="509"/>
      <c r="D981" s="522"/>
      <c r="E981" s="526"/>
      <c r="F981" s="526"/>
      <c r="G981" s="527"/>
      <c r="H981" s="527"/>
      <c r="I981" s="527"/>
      <c r="J981" s="527"/>
      <c r="K981" s="527"/>
      <c r="L981" s="527"/>
      <c r="M981" s="527"/>
    </row>
    <row r="982" ht="15.75" customHeight="1">
      <c r="A982" s="523"/>
      <c r="B982" s="509"/>
      <c r="C982" s="509"/>
      <c r="D982" s="522"/>
      <c r="E982" s="526"/>
      <c r="F982" s="526"/>
      <c r="G982" s="527"/>
      <c r="H982" s="527"/>
      <c r="I982" s="527"/>
      <c r="J982" s="527"/>
      <c r="K982" s="527"/>
      <c r="L982" s="527"/>
      <c r="M982" s="527"/>
    </row>
    <row r="983" ht="15.75" customHeight="1">
      <c r="A983" s="523"/>
      <c r="B983" s="509"/>
      <c r="C983" s="509"/>
      <c r="D983" s="522"/>
      <c r="E983" s="526"/>
      <c r="F983" s="526"/>
      <c r="G983" s="527"/>
      <c r="H983" s="527"/>
      <c r="I983" s="527"/>
      <c r="J983" s="527"/>
      <c r="K983" s="527"/>
      <c r="L983" s="527"/>
      <c r="M983" s="527"/>
    </row>
    <row r="984" ht="15.75" customHeight="1">
      <c r="A984" s="523"/>
      <c r="B984" s="509"/>
      <c r="C984" s="509"/>
      <c r="D984" s="522"/>
      <c r="E984" s="526"/>
      <c r="F984" s="526"/>
      <c r="G984" s="527"/>
      <c r="H984" s="527"/>
      <c r="I984" s="527"/>
      <c r="J984" s="527"/>
      <c r="K984" s="527"/>
      <c r="L984" s="527"/>
      <c r="M984" s="527"/>
    </row>
    <row r="985" ht="15.75" customHeight="1">
      <c r="A985" s="523"/>
      <c r="B985" s="509"/>
      <c r="C985" s="509"/>
      <c r="D985" s="522"/>
      <c r="E985" s="526"/>
      <c r="F985" s="526"/>
      <c r="G985" s="527"/>
      <c r="H985" s="527"/>
      <c r="I985" s="527"/>
      <c r="J985" s="527"/>
      <c r="K985" s="527"/>
      <c r="L985" s="527"/>
      <c r="M985" s="527"/>
    </row>
    <row r="986" ht="15.75" customHeight="1">
      <c r="A986" s="523"/>
      <c r="B986" s="509"/>
      <c r="C986" s="509"/>
      <c r="D986" s="522"/>
      <c r="E986" s="526"/>
      <c r="F986" s="526"/>
      <c r="G986" s="527"/>
      <c r="H986" s="527"/>
      <c r="I986" s="527"/>
      <c r="J986" s="527"/>
      <c r="K986" s="527"/>
      <c r="L986" s="527"/>
      <c r="M986" s="527"/>
    </row>
    <row r="987" ht="15.75" customHeight="1">
      <c r="A987" s="523"/>
      <c r="B987" s="509"/>
      <c r="C987" s="509"/>
      <c r="D987" s="522"/>
      <c r="E987" s="526"/>
      <c r="F987" s="526"/>
      <c r="G987" s="527"/>
      <c r="H987" s="527"/>
      <c r="I987" s="527"/>
      <c r="J987" s="527"/>
      <c r="K987" s="527"/>
      <c r="L987" s="527"/>
      <c r="M987" s="527"/>
    </row>
    <row r="988" ht="15.75" customHeight="1">
      <c r="A988" s="523"/>
      <c r="B988" s="509"/>
      <c r="C988" s="509"/>
      <c r="D988" s="522"/>
      <c r="E988" s="526"/>
      <c r="F988" s="526"/>
      <c r="G988" s="527"/>
      <c r="H988" s="527"/>
      <c r="I988" s="527"/>
      <c r="J988" s="527"/>
      <c r="K988" s="527"/>
      <c r="L988" s="527"/>
      <c r="M988" s="527"/>
    </row>
    <row r="989" ht="15.75" customHeight="1">
      <c r="A989" s="523"/>
      <c r="B989" s="509"/>
      <c r="C989" s="509"/>
      <c r="D989" s="522"/>
      <c r="E989" s="526"/>
      <c r="F989" s="526"/>
      <c r="G989" s="527"/>
      <c r="H989" s="527"/>
      <c r="I989" s="527"/>
      <c r="J989" s="527"/>
      <c r="K989" s="527"/>
      <c r="L989" s="527"/>
      <c r="M989" s="527"/>
    </row>
    <row r="990" ht="15.75" customHeight="1">
      <c r="A990" s="523"/>
      <c r="B990" s="509"/>
      <c r="C990" s="509"/>
      <c r="D990" s="522"/>
      <c r="E990" s="526"/>
      <c r="F990" s="526"/>
      <c r="G990" s="527"/>
      <c r="H990" s="527"/>
      <c r="I990" s="527"/>
      <c r="J990" s="527"/>
      <c r="K990" s="527"/>
      <c r="L990" s="527"/>
      <c r="M990" s="527"/>
    </row>
    <row r="991" ht="15.75" customHeight="1">
      <c r="A991" s="523"/>
      <c r="B991" s="509"/>
      <c r="C991" s="509"/>
      <c r="D991" s="522"/>
      <c r="E991" s="526"/>
      <c r="F991" s="526"/>
      <c r="G991" s="527"/>
      <c r="H991" s="527"/>
      <c r="I991" s="527"/>
      <c r="J991" s="527"/>
      <c r="K991" s="527"/>
      <c r="L991" s="527"/>
      <c r="M991" s="527"/>
    </row>
    <row r="992" ht="15.75" customHeight="1">
      <c r="A992" s="523"/>
      <c r="B992" s="509"/>
      <c r="C992" s="509"/>
      <c r="D992" s="522"/>
      <c r="E992" s="526"/>
      <c r="F992" s="526"/>
      <c r="G992" s="527"/>
      <c r="H992" s="527"/>
      <c r="I992" s="527"/>
      <c r="J992" s="527"/>
      <c r="K992" s="527"/>
      <c r="L992" s="527"/>
      <c r="M992" s="527"/>
    </row>
    <row r="993" ht="15.75" customHeight="1">
      <c r="A993" s="523"/>
      <c r="B993" s="509"/>
      <c r="C993" s="509"/>
      <c r="D993" s="522"/>
      <c r="E993" s="526"/>
      <c r="F993" s="526"/>
      <c r="G993" s="527"/>
      <c r="H993" s="527"/>
      <c r="I993" s="527"/>
      <c r="J993" s="527"/>
      <c r="K993" s="527"/>
      <c r="L993" s="527"/>
      <c r="M993" s="527"/>
    </row>
    <row r="994" ht="15.75" customHeight="1">
      <c r="A994" s="523"/>
      <c r="B994" s="509"/>
      <c r="C994" s="509"/>
      <c r="D994" s="522"/>
      <c r="E994" s="526"/>
      <c r="F994" s="526"/>
      <c r="G994" s="527"/>
      <c r="H994" s="527"/>
      <c r="I994" s="527"/>
      <c r="J994" s="527"/>
      <c r="K994" s="527"/>
      <c r="L994" s="527"/>
      <c r="M994" s="527"/>
    </row>
    <row r="995" ht="15.75" customHeight="1">
      <c r="A995" s="523"/>
      <c r="B995" s="509"/>
      <c r="C995" s="509"/>
      <c r="D995" s="522"/>
      <c r="E995" s="526"/>
      <c r="F995" s="526"/>
      <c r="G995" s="527"/>
      <c r="H995" s="527"/>
      <c r="I995" s="527"/>
      <c r="J995" s="527"/>
      <c r="K995" s="527"/>
      <c r="L995" s="527"/>
      <c r="M995" s="527"/>
    </row>
    <row r="996" ht="15.75" customHeight="1">
      <c r="A996" s="523"/>
      <c r="B996" s="509"/>
      <c r="C996" s="509"/>
      <c r="D996" s="522"/>
      <c r="E996" s="526"/>
      <c r="F996" s="526"/>
      <c r="G996" s="527"/>
      <c r="H996" s="527"/>
      <c r="I996" s="527"/>
      <c r="J996" s="527"/>
      <c r="K996" s="527"/>
      <c r="L996" s="527"/>
      <c r="M996" s="527"/>
    </row>
    <row r="997" ht="15.75" customHeight="1">
      <c r="A997" s="523"/>
      <c r="B997" s="509"/>
      <c r="C997" s="509"/>
      <c r="D997" s="522"/>
      <c r="E997" s="526"/>
      <c r="F997" s="526"/>
      <c r="G997" s="527"/>
      <c r="H997" s="527"/>
      <c r="I997" s="527"/>
      <c r="J997" s="527"/>
      <c r="K997" s="527"/>
      <c r="L997" s="527"/>
      <c r="M997" s="527"/>
    </row>
    <row r="998" ht="15.75" customHeight="1">
      <c r="A998" s="523"/>
      <c r="B998" s="509"/>
      <c r="C998" s="509"/>
      <c r="D998" s="522"/>
      <c r="E998" s="526"/>
      <c r="F998" s="526"/>
      <c r="G998" s="527"/>
      <c r="H998" s="527"/>
      <c r="I998" s="527"/>
      <c r="J998" s="527"/>
      <c r="K998" s="527"/>
      <c r="L998" s="527"/>
      <c r="M998" s="527"/>
    </row>
    <row r="999" ht="15.75" customHeight="1">
      <c r="A999" s="523"/>
      <c r="B999" s="509"/>
      <c r="C999" s="509"/>
      <c r="D999" s="522"/>
      <c r="E999" s="526"/>
      <c r="F999" s="526"/>
      <c r="G999" s="527"/>
      <c r="H999" s="527"/>
      <c r="I999" s="527"/>
      <c r="J999" s="527"/>
      <c r="K999" s="527"/>
      <c r="L999" s="527"/>
      <c r="M999" s="527"/>
    </row>
    <row r="1000" ht="15.75" customHeight="1">
      <c r="A1000" s="523"/>
      <c r="B1000" s="509"/>
      <c r="C1000" s="509"/>
      <c r="D1000" s="522"/>
      <c r="E1000" s="526"/>
      <c r="F1000" s="526"/>
      <c r="G1000" s="527"/>
      <c r="H1000" s="527"/>
      <c r="I1000" s="527"/>
      <c r="J1000" s="527"/>
      <c r="K1000" s="527"/>
      <c r="L1000" s="527"/>
      <c r="M1000" s="527"/>
    </row>
    <row r="1001" ht="15.75" customHeight="1">
      <c r="A1001" s="523"/>
      <c r="B1001" s="509"/>
      <c r="C1001" s="509"/>
      <c r="D1001" s="522"/>
      <c r="E1001" s="526"/>
      <c r="F1001" s="526"/>
      <c r="G1001" s="527"/>
      <c r="H1001" s="527"/>
      <c r="I1001" s="527"/>
      <c r="J1001" s="527"/>
      <c r="K1001" s="527"/>
      <c r="L1001" s="527"/>
      <c r="M1001" s="527"/>
    </row>
    <row r="1002" ht="15.75" customHeight="1">
      <c r="A1002" s="523"/>
      <c r="B1002" s="509"/>
      <c r="C1002" s="509"/>
      <c r="D1002" s="522"/>
      <c r="E1002" s="526"/>
      <c r="F1002" s="526"/>
      <c r="G1002" s="527"/>
      <c r="H1002" s="527"/>
      <c r="I1002" s="527"/>
      <c r="J1002" s="527"/>
      <c r="K1002" s="527"/>
      <c r="L1002" s="527"/>
      <c r="M1002" s="527"/>
    </row>
    <row r="1003" ht="15.75" customHeight="1">
      <c r="A1003" s="523"/>
      <c r="B1003" s="509"/>
      <c r="C1003" s="509"/>
      <c r="D1003" s="522"/>
      <c r="E1003" s="526"/>
      <c r="F1003" s="526"/>
      <c r="G1003" s="527"/>
      <c r="H1003" s="527"/>
      <c r="I1003" s="527"/>
      <c r="J1003" s="527"/>
      <c r="K1003" s="527"/>
      <c r="L1003" s="527"/>
      <c r="M1003" s="527"/>
    </row>
    <row r="1004" ht="15.75" customHeight="1">
      <c r="A1004" s="523"/>
      <c r="B1004" s="509"/>
      <c r="C1004" s="509"/>
      <c r="D1004" s="522"/>
      <c r="E1004" s="526"/>
      <c r="F1004" s="526"/>
      <c r="G1004" s="527"/>
      <c r="H1004" s="527"/>
      <c r="I1004" s="527"/>
      <c r="J1004" s="527"/>
      <c r="K1004" s="527"/>
      <c r="L1004" s="527"/>
      <c r="M1004" s="527"/>
    </row>
    <row r="1005" ht="15.75" customHeight="1">
      <c r="A1005" s="523"/>
      <c r="B1005" s="509"/>
      <c r="C1005" s="509"/>
      <c r="D1005" s="522"/>
      <c r="E1005" s="526"/>
      <c r="F1005" s="526"/>
      <c r="G1005" s="527"/>
      <c r="H1005" s="527"/>
      <c r="I1005" s="527"/>
      <c r="J1005" s="527"/>
      <c r="K1005" s="527"/>
      <c r="L1005" s="527"/>
      <c r="M1005" s="527"/>
    </row>
    <row r="1006" ht="15.75" customHeight="1">
      <c r="A1006" s="523"/>
      <c r="B1006" s="509"/>
      <c r="C1006" s="509"/>
      <c r="D1006" s="522"/>
      <c r="E1006" s="526"/>
      <c r="F1006" s="526"/>
      <c r="G1006" s="527"/>
      <c r="H1006" s="527"/>
      <c r="I1006" s="527"/>
      <c r="J1006" s="527"/>
      <c r="K1006" s="527"/>
      <c r="L1006" s="527"/>
      <c r="M1006" s="527"/>
    </row>
    <row r="1007" ht="15.75" customHeight="1">
      <c r="A1007" s="523"/>
      <c r="B1007" s="509"/>
      <c r="C1007" s="509"/>
      <c r="D1007" s="522"/>
      <c r="E1007" s="526"/>
      <c r="F1007" s="526"/>
      <c r="G1007" s="527"/>
      <c r="H1007" s="527"/>
      <c r="I1007" s="527"/>
      <c r="J1007" s="527"/>
      <c r="K1007" s="527"/>
      <c r="L1007" s="527"/>
      <c r="M1007" s="527"/>
    </row>
    <row r="1008" ht="15.75" customHeight="1">
      <c r="A1008" s="523"/>
      <c r="B1008" s="509"/>
      <c r="C1008" s="509"/>
      <c r="D1008" s="522"/>
      <c r="E1008" s="526"/>
      <c r="F1008" s="526"/>
      <c r="G1008" s="527"/>
      <c r="H1008" s="527"/>
      <c r="I1008" s="527"/>
      <c r="J1008" s="527"/>
      <c r="K1008" s="527"/>
      <c r="L1008" s="527"/>
      <c r="M1008" s="527"/>
    </row>
    <row r="1009" ht="15.75" customHeight="1">
      <c r="A1009" s="523"/>
      <c r="B1009" s="509"/>
      <c r="C1009" s="509"/>
      <c r="D1009" s="522"/>
      <c r="E1009" s="526"/>
      <c r="F1009" s="526"/>
      <c r="G1009" s="527"/>
      <c r="H1009" s="527"/>
      <c r="I1009" s="527"/>
      <c r="J1009" s="527"/>
      <c r="K1009" s="527"/>
      <c r="L1009" s="527"/>
      <c r="M1009" s="527"/>
    </row>
    <row r="1010" ht="15.75" customHeight="1">
      <c r="A1010" s="523"/>
      <c r="B1010" s="509"/>
      <c r="C1010" s="509"/>
      <c r="D1010" s="522"/>
      <c r="E1010" s="526"/>
      <c r="F1010" s="526"/>
      <c r="G1010" s="527"/>
      <c r="H1010" s="527"/>
      <c r="I1010" s="527"/>
      <c r="J1010" s="527"/>
      <c r="K1010" s="527"/>
      <c r="L1010" s="527"/>
      <c r="M1010" s="527"/>
    </row>
    <row r="1011" ht="15.75" customHeight="1">
      <c r="A1011" s="523"/>
      <c r="B1011" s="509"/>
      <c r="C1011" s="509"/>
      <c r="D1011" s="522"/>
      <c r="E1011" s="526"/>
      <c r="F1011" s="526"/>
      <c r="G1011" s="527"/>
      <c r="H1011" s="527"/>
      <c r="I1011" s="527"/>
      <c r="J1011" s="527"/>
      <c r="K1011" s="527"/>
      <c r="L1011" s="527"/>
      <c r="M1011" s="527"/>
    </row>
    <row r="1012" ht="15.75" customHeight="1">
      <c r="A1012" s="523"/>
      <c r="B1012" s="509"/>
      <c r="C1012" s="509"/>
      <c r="D1012" s="522"/>
      <c r="E1012" s="526"/>
      <c r="F1012" s="526"/>
      <c r="G1012" s="527"/>
      <c r="H1012" s="527"/>
      <c r="I1012" s="527"/>
      <c r="J1012" s="527"/>
      <c r="K1012" s="527"/>
      <c r="L1012" s="527"/>
      <c r="M1012" s="527"/>
    </row>
    <row r="1013" ht="15.75" customHeight="1">
      <c r="A1013" s="523"/>
      <c r="B1013" s="509"/>
      <c r="C1013" s="509"/>
      <c r="D1013" s="522"/>
      <c r="E1013" s="526"/>
      <c r="F1013" s="526"/>
      <c r="G1013" s="527"/>
      <c r="H1013" s="527"/>
      <c r="I1013" s="527"/>
      <c r="J1013" s="527"/>
      <c r="K1013" s="527"/>
      <c r="L1013" s="527"/>
      <c r="M1013" s="527"/>
    </row>
    <row r="1014" ht="15.75" customHeight="1">
      <c r="A1014" s="523"/>
      <c r="B1014" s="509"/>
      <c r="C1014" s="509"/>
      <c r="D1014" s="522"/>
      <c r="E1014" s="526"/>
      <c r="F1014" s="526"/>
      <c r="G1014" s="527"/>
      <c r="H1014" s="527"/>
      <c r="I1014" s="527"/>
      <c r="J1014" s="527"/>
      <c r="K1014" s="527"/>
      <c r="L1014" s="527"/>
      <c r="M1014" s="527"/>
    </row>
    <row r="1015" ht="15.75" customHeight="1">
      <c r="A1015" s="523"/>
      <c r="B1015" s="509"/>
      <c r="C1015" s="509"/>
      <c r="D1015" s="522"/>
      <c r="E1015" s="526"/>
      <c r="F1015" s="526"/>
      <c r="G1015" s="527"/>
      <c r="H1015" s="527"/>
      <c r="I1015" s="527"/>
      <c r="J1015" s="527"/>
      <c r="K1015" s="527"/>
      <c r="L1015" s="527"/>
      <c r="M1015" s="527"/>
    </row>
    <row r="1016" ht="15.75" customHeight="1">
      <c r="A1016" s="523"/>
      <c r="B1016" s="509"/>
      <c r="C1016" s="509"/>
      <c r="D1016" s="522"/>
      <c r="E1016" s="526"/>
      <c r="F1016" s="526"/>
      <c r="G1016" s="527"/>
      <c r="H1016" s="527"/>
      <c r="I1016" s="527"/>
      <c r="J1016" s="527"/>
      <c r="K1016" s="527"/>
      <c r="L1016" s="527"/>
      <c r="M1016" s="527"/>
    </row>
    <row r="1017" ht="15.75" customHeight="1">
      <c r="A1017" s="523"/>
      <c r="B1017" s="509"/>
      <c r="C1017" s="509"/>
      <c r="D1017" s="522"/>
      <c r="E1017" s="526"/>
      <c r="F1017" s="526"/>
      <c r="G1017" s="527"/>
      <c r="H1017" s="527"/>
      <c r="I1017" s="527"/>
      <c r="J1017" s="527"/>
      <c r="K1017" s="527"/>
      <c r="L1017" s="527"/>
      <c r="M1017" s="527"/>
    </row>
    <row r="1018" ht="15.75" customHeight="1">
      <c r="A1018" s="523"/>
      <c r="B1018" s="509"/>
      <c r="C1018" s="509"/>
      <c r="D1018" s="522"/>
      <c r="E1018" s="526"/>
      <c r="F1018" s="526"/>
      <c r="G1018" s="527"/>
      <c r="H1018" s="527"/>
      <c r="I1018" s="527"/>
      <c r="J1018" s="527"/>
      <c r="K1018" s="527"/>
      <c r="L1018" s="527"/>
      <c r="M1018" s="527"/>
    </row>
    <row r="1019" ht="15.75" customHeight="1">
      <c r="A1019" s="523"/>
      <c r="B1019" s="509"/>
      <c r="C1019" s="509"/>
      <c r="D1019" s="522"/>
      <c r="E1019" s="526"/>
      <c r="F1019" s="526"/>
      <c r="G1019" s="527"/>
      <c r="H1019" s="527"/>
      <c r="I1019" s="527"/>
      <c r="J1019" s="527"/>
      <c r="K1019" s="527"/>
      <c r="L1019" s="527"/>
      <c r="M1019" s="527"/>
    </row>
    <row r="1020" ht="15.75" customHeight="1">
      <c r="A1020" s="523"/>
      <c r="B1020" s="509"/>
      <c r="C1020" s="509"/>
      <c r="D1020" s="522"/>
      <c r="E1020" s="526"/>
      <c r="F1020" s="526"/>
      <c r="G1020" s="527"/>
      <c r="H1020" s="527"/>
      <c r="I1020" s="527"/>
      <c r="J1020" s="527"/>
      <c r="K1020" s="527"/>
      <c r="L1020" s="527"/>
      <c r="M1020" s="527"/>
    </row>
    <row r="1021" ht="15.75" customHeight="1">
      <c r="A1021" s="523"/>
      <c r="B1021" s="509"/>
      <c r="C1021" s="509"/>
      <c r="D1021" s="522"/>
      <c r="E1021" s="526"/>
      <c r="F1021" s="526"/>
      <c r="G1021" s="527"/>
      <c r="H1021" s="527"/>
      <c r="I1021" s="527"/>
      <c r="J1021" s="527"/>
      <c r="K1021" s="527"/>
      <c r="L1021" s="527"/>
      <c r="M1021" s="527"/>
    </row>
    <row r="1022" ht="15.75" customHeight="1">
      <c r="A1022" s="523"/>
      <c r="B1022" s="509"/>
      <c r="C1022" s="509"/>
      <c r="D1022" s="522"/>
      <c r="E1022" s="526"/>
      <c r="F1022" s="526"/>
      <c r="G1022" s="527"/>
      <c r="H1022" s="527"/>
      <c r="I1022" s="527"/>
      <c r="J1022" s="527"/>
      <c r="K1022" s="527"/>
      <c r="L1022" s="527"/>
      <c r="M1022" s="527"/>
    </row>
    <row r="1023" ht="15.75" customHeight="1">
      <c r="A1023" s="523"/>
      <c r="B1023" s="509"/>
      <c r="C1023" s="509"/>
      <c r="D1023" s="522"/>
      <c r="E1023" s="526"/>
      <c r="F1023" s="526"/>
      <c r="G1023" s="527"/>
      <c r="H1023" s="527"/>
      <c r="I1023" s="527"/>
      <c r="J1023" s="527"/>
      <c r="K1023" s="527"/>
      <c r="L1023" s="527"/>
      <c r="M1023" s="527"/>
    </row>
    <row r="1024" ht="15.75" customHeight="1">
      <c r="A1024" s="523"/>
      <c r="B1024" s="509"/>
      <c r="C1024" s="509"/>
      <c r="D1024" s="522"/>
      <c r="E1024" s="526"/>
      <c r="F1024" s="526"/>
      <c r="G1024" s="527"/>
      <c r="H1024" s="527"/>
      <c r="I1024" s="527"/>
      <c r="J1024" s="527"/>
      <c r="K1024" s="527"/>
      <c r="L1024" s="527"/>
      <c r="M1024" s="527"/>
    </row>
    <row r="1025" ht="15.75" customHeight="1">
      <c r="A1025" s="523"/>
      <c r="B1025" s="509"/>
      <c r="C1025" s="509"/>
      <c r="D1025" s="522"/>
      <c r="E1025" s="526"/>
      <c r="F1025" s="526"/>
      <c r="G1025" s="527"/>
      <c r="H1025" s="527"/>
      <c r="I1025" s="527"/>
      <c r="J1025" s="527"/>
      <c r="K1025" s="527"/>
      <c r="L1025" s="527"/>
      <c r="M1025" s="527"/>
    </row>
    <row r="1026" ht="15.75" customHeight="1">
      <c r="A1026" s="523"/>
      <c r="B1026" s="509"/>
      <c r="C1026" s="509"/>
      <c r="D1026" s="522"/>
      <c r="E1026" s="526"/>
      <c r="F1026" s="526"/>
      <c r="G1026" s="527"/>
      <c r="H1026" s="527"/>
      <c r="I1026" s="527"/>
      <c r="J1026" s="527"/>
      <c r="K1026" s="527"/>
      <c r="L1026" s="527"/>
      <c r="M1026" s="527"/>
    </row>
    <row r="1027" ht="15.75" customHeight="1">
      <c r="A1027" s="523"/>
      <c r="B1027" s="509"/>
      <c r="C1027" s="509"/>
      <c r="D1027" s="522"/>
      <c r="E1027" s="526"/>
      <c r="F1027" s="526"/>
      <c r="G1027" s="527"/>
      <c r="H1027" s="527"/>
      <c r="I1027" s="527"/>
      <c r="J1027" s="527"/>
      <c r="K1027" s="527"/>
      <c r="L1027" s="527"/>
      <c r="M1027" s="527"/>
    </row>
    <row r="1028" ht="15.75" customHeight="1">
      <c r="A1028" s="523"/>
      <c r="B1028" s="509"/>
      <c r="C1028" s="509"/>
      <c r="D1028" s="522"/>
      <c r="E1028" s="526"/>
      <c r="F1028" s="526"/>
      <c r="G1028" s="527"/>
      <c r="H1028" s="527"/>
      <c r="I1028" s="527"/>
      <c r="J1028" s="527"/>
      <c r="K1028" s="527"/>
      <c r="L1028" s="527"/>
      <c r="M1028" s="527"/>
    </row>
    <row r="1029" ht="15.75" customHeight="1">
      <c r="A1029" s="523"/>
      <c r="B1029" s="509"/>
      <c r="C1029" s="509"/>
      <c r="D1029" s="522"/>
      <c r="E1029" s="526"/>
      <c r="F1029" s="526"/>
      <c r="G1029" s="527"/>
      <c r="H1029" s="527"/>
      <c r="I1029" s="527"/>
      <c r="J1029" s="527"/>
      <c r="K1029" s="527"/>
      <c r="L1029" s="527"/>
      <c r="M1029" s="527"/>
    </row>
    <row r="1030" ht="15.75" customHeight="1">
      <c r="A1030" s="523"/>
      <c r="B1030" s="509"/>
      <c r="C1030" s="509"/>
      <c r="D1030" s="522"/>
      <c r="E1030" s="526"/>
      <c r="F1030" s="526"/>
      <c r="G1030" s="527"/>
      <c r="H1030" s="527"/>
      <c r="I1030" s="527"/>
      <c r="J1030" s="527"/>
      <c r="K1030" s="527"/>
      <c r="L1030" s="527"/>
      <c r="M1030" s="527"/>
    </row>
    <row r="1031" ht="15.75" customHeight="1">
      <c r="A1031" s="523"/>
      <c r="B1031" s="509"/>
      <c r="C1031" s="509"/>
      <c r="D1031" s="522"/>
      <c r="E1031" s="526"/>
      <c r="F1031" s="526"/>
      <c r="G1031" s="527"/>
      <c r="H1031" s="527"/>
      <c r="I1031" s="527"/>
      <c r="J1031" s="527"/>
      <c r="K1031" s="527"/>
      <c r="L1031" s="527"/>
      <c r="M1031" s="527"/>
    </row>
    <row r="1032" ht="15.75" customHeight="1">
      <c r="A1032" s="523"/>
      <c r="B1032" s="509"/>
      <c r="C1032" s="509"/>
      <c r="D1032" s="522"/>
      <c r="E1032" s="526"/>
      <c r="F1032" s="526"/>
      <c r="G1032" s="527"/>
      <c r="H1032" s="527"/>
      <c r="I1032" s="527"/>
      <c r="J1032" s="527"/>
      <c r="K1032" s="527"/>
      <c r="L1032" s="527"/>
      <c r="M1032" s="527"/>
    </row>
    <row r="1033" ht="15.75" customHeight="1">
      <c r="A1033" s="523"/>
      <c r="B1033" s="509"/>
      <c r="C1033" s="509"/>
      <c r="D1033" s="522"/>
      <c r="E1033" s="526"/>
      <c r="F1033" s="526"/>
      <c r="G1033" s="527"/>
      <c r="H1033" s="527"/>
      <c r="I1033" s="527"/>
      <c r="J1033" s="527"/>
      <c r="K1033" s="527"/>
      <c r="L1033" s="527"/>
      <c r="M1033" s="527"/>
    </row>
    <row r="1034" ht="15.75" customHeight="1">
      <c r="A1034" s="523"/>
      <c r="B1034" s="509"/>
      <c r="C1034" s="509"/>
      <c r="D1034" s="522"/>
      <c r="E1034" s="526"/>
      <c r="F1034" s="526"/>
      <c r="G1034" s="527"/>
      <c r="H1034" s="527"/>
      <c r="I1034" s="527"/>
      <c r="J1034" s="527"/>
      <c r="K1034" s="527"/>
      <c r="L1034" s="527"/>
      <c r="M1034" s="527"/>
    </row>
    <row r="1035" ht="15.75" customHeight="1">
      <c r="A1035" s="523"/>
      <c r="B1035" s="509"/>
      <c r="C1035" s="509"/>
      <c r="D1035" s="522"/>
      <c r="E1035" s="526"/>
      <c r="F1035" s="526"/>
      <c r="G1035" s="527"/>
      <c r="H1035" s="527"/>
      <c r="I1035" s="527"/>
      <c r="J1035" s="527"/>
      <c r="K1035" s="527"/>
      <c r="L1035" s="527"/>
      <c r="M1035" s="527"/>
    </row>
    <row r="1036" ht="15.75" customHeight="1">
      <c r="A1036" s="523"/>
      <c r="B1036" s="509"/>
      <c r="C1036" s="509"/>
      <c r="D1036" s="522"/>
      <c r="E1036" s="526"/>
      <c r="F1036" s="526"/>
      <c r="G1036" s="527"/>
      <c r="H1036" s="527"/>
      <c r="I1036" s="527"/>
      <c r="J1036" s="527"/>
      <c r="K1036" s="527"/>
      <c r="L1036" s="527"/>
      <c r="M1036" s="527"/>
    </row>
    <row r="1037" ht="15.75" customHeight="1">
      <c r="A1037" s="523"/>
      <c r="B1037" s="509"/>
      <c r="C1037" s="509"/>
      <c r="D1037" s="522"/>
      <c r="E1037" s="526"/>
      <c r="F1037" s="526"/>
      <c r="G1037" s="527"/>
      <c r="H1037" s="527"/>
      <c r="I1037" s="527"/>
      <c r="J1037" s="527"/>
      <c r="K1037" s="527"/>
      <c r="L1037" s="527"/>
      <c r="M1037" s="527"/>
    </row>
    <row r="1038" ht="15.75" customHeight="1">
      <c r="A1038" s="523"/>
      <c r="B1038" s="509"/>
      <c r="C1038" s="509"/>
      <c r="D1038" s="522"/>
      <c r="E1038" s="526"/>
      <c r="F1038" s="526"/>
      <c r="G1038" s="527"/>
      <c r="H1038" s="527"/>
      <c r="I1038" s="527"/>
      <c r="J1038" s="527"/>
      <c r="K1038" s="527"/>
      <c r="L1038" s="527"/>
      <c r="M1038" s="527"/>
    </row>
    <row r="1039" ht="15.75" customHeight="1">
      <c r="A1039" s="523"/>
      <c r="B1039" s="509"/>
      <c r="C1039" s="509"/>
      <c r="D1039" s="522"/>
      <c r="E1039" s="526"/>
      <c r="F1039" s="526"/>
      <c r="G1039" s="527"/>
      <c r="H1039" s="527"/>
      <c r="I1039" s="527"/>
      <c r="J1039" s="527"/>
      <c r="K1039" s="527"/>
      <c r="L1039" s="527"/>
      <c r="M1039" s="527"/>
    </row>
    <row r="1040" ht="15.75" customHeight="1">
      <c r="A1040" s="523"/>
      <c r="B1040" s="509"/>
      <c r="C1040" s="509"/>
      <c r="D1040" s="522"/>
      <c r="E1040" s="526"/>
      <c r="F1040" s="526"/>
      <c r="G1040" s="527"/>
      <c r="H1040" s="527"/>
      <c r="I1040" s="527"/>
      <c r="J1040" s="527"/>
      <c r="K1040" s="527"/>
      <c r="L1040" s="527"/>
      <c r="M1040" s="527"/>
    </row>
    <row r="1041" ht="15.75" customHeight="1">
      <c r="A1041" s="523"/>
      <c r="B1041" s="509"/>
      <c r="C1041" s="509"/>
      <c r="D1041" s="522"/>
      <c r="E1041" s="526"/>
      <c r="F1041" s="526"/>
      <c r="G1041" s="527"/>
      <c r="H1041" s="527"/>
      <c r="I1041" s="527"/>
      <c r="J1041" s="527"/>
      <c r="K1041" s="527"/>
      <c r="L1041" s="527"/>
      <c r="M1041" s="527"/>
    </row>
    <row r="1042" ht="15.75" customHeight="1">
      <c r="A1042" s="523"/>
      <c r="B1042" s="509"/>
      <c r="C1042" s="509"/>
      <c r="D1042" s="522"/>
      <c r="E1042" s="526"/>
      <c r="F1042" s="526"/>
      <c r="G1042" s="527"/>
      <c r="H1042" s="527"/>
      <c r="I1042" s="527"/>
      <c r="J1042" s="527"/>
      <c r="K1042" s="527"/>
      <c r="L1042" s="527"/>
      <c r="M1042" s="527"/>
    </row>
    <row r="1043" ht="15.75" customHeight="1">
      <c r="A1043" s="523"/>
      <c r="B1043" s="509"/>
      <c r="C1043" s="509"/>
      <c r="D1043" s="522"/>
      <c r="E1043" s="526"/>
      <c r="F1043" s="526"/>
      <c r="G1043" s="527"/>
      <c r="H1043" s="527"/>
      <c r="I1043" s="527"/>
      <c r="J1043" s="527"/>
      <c r="K1043" s="527"/>
      <c r="L1043" s="527"/>
      <c r="M1043" s="527"/>
    </row>
    <row r="1044" ht="15.75" customHeight="1">
      <c r="A1044" s="523"/>
      <c r="B1044" s="509"/>
      <c r="C1044" s="509"/>
      <c r="D1044" s="522"/>
      <c r="E1044" s="526"/>
      <c r="F1044" s="526"/>
      <c r="G1044" s="527"/>
      <c r="H1044" s="527"/>
      <c r="I1044" s="527"/>
      <c r="J1044" s="527"/>
      <c r="K1044" s="527"/>
      <c r="L1044" s="527"/>
      <c r="M1044" s="527"/>
    </row>
    <row r="1045" ht="15.75" customHeight="1">
      <c r="A1045" s="523"/>
      <c r="B1045" s="509"/>
      <c r="C1045" s="509"/>
      <c r="D1045" s="522"/>
      <c r="E1045" s="526"/>
      <c r="F1045" s="526"/>
      <c r="G1045" s="527"/>
      <c r="H1045" s="527"/>
      <c r="I1045" s="527"/>
      <c r="J1045" s="527"/>
      <c r="K1045" s="527"/>
      <c r="L1045" s="527"/>
      <c r="M1045" s="527"/>
    </row>
    <row r="1046" ht="15.75" customHeight="1">
      <c r="A1046" s="523"/>
      <c r="B1046" s="509"/>
      <c r="C1046" s="509"/>
      <c r="D1046" s="522"/>
      <c r="E1046" s="526"/>
      <c r="F1046" s="526"/>
      <c r="G1046" s="527"/>
      <c r="H1046" s="527"/>
      <c r="I1046" s="527"/>
      <c r="J1046" s="527"/>
      <c r="K1046" s="527"/>
      <c r="L1046" s="527"/>
      <c r="M1046" s="527"/>
    </row>
    <row r="1047" ht="15.75" customHeight="1">
      <c r="A1047" s="523"/>
      <c r="B1047" s="509"/>
      <c r="C1047" s="509"/>
      <c r="D1047" s="522"/>
      <c r="E1047" s="526"/>
      <c r="F1047" s="526"/>
      <c r="G1047" s="527"/>
      <c r="H1047" s="527"/>
      <c r="I1047" s="527"/>
      <c r="J1047" s="527"/>
      <c r="K1047" s="527"/>
      <c r="L1047" s="527"/>
      <c r="M1047" s="527"/>
    </row>
    <row r="1048" ht="15.75" customHeight="1">
      <c r="A1048" s="523"/>
      <c r="B1048" s="509"/>
      <c r="C1048" s="509"/>
      <c r="D1048" s="522"/>
      <c r="E1048" s="526"/>
      <c r="F1048" s="526"/>
      <c r="G1048" s="527"/>
      <c r="H1048" s="527"/>
      <c r="I1048" s="527"/>
      <c r="J1048" s="527"/>
      <c r="K1048" s="527"/>
      <c r="L1048" s="527"/>
      <c r="M1048" s="527"/>
    </row>
    <row r="1049" ht="15.75" customHeight="1">
      <c r="A1049" s="523"/>
      <c r="B1049" s="509"/>
      <c r="C1049" s="509"/>
      <c r="D1049" s="522"/>
      <c r="E1049" s="526"/>
      <c r="F1049" s="526"/>
      <c r="G1049" s="527"/>
      <c r="H1049" s="527"/>
      <c r="I1049" s="527"/>
      <c r="J1049" s="527"/>
      <c r="K1049" s="527"/>
      <c r="L1049" s="527"/>
      <c r="M1049" s="527"/>
    </row>
    <row r="1050" ht="15.75" customHeight="1">
      <c r="A1050" s="523"/>
      <c r="B1050" s="509"/>
      <c r="C1050" s="509"/>
      <c r="D1050" s="522"/>
      <c r="E1050" s="526"/>
      <c r="F1050" s="526"/>
      <c r="G1050" s="527"/>
      <c r="H1050" s="527"/>
      <c r="I1050" s="527"/>
      <c r="J1050" s="527"/>
      <c r="K1050" s="527"/>
      <c r="L1050" s="527"/>
      <c r="M1050" s="527"/>
    </row>
    <row r="1051" ht="15.75" customHeight="1">
      <c r="A1051" s="523"/>
      <c r="B1051" s="509"/>
      <c r="C1051" s="509"/>
      <c r="D1051" s="522"/>
      <c r="E1051" s="526"/>
      <c r="F1051" s="526"/>
      <c r="G1051" s="527"/>
      <c r="H1051" s="527"/>
      <c r="I1051" s="527"/>
      <c r="J1051" s="527"/>
      <c r="K1051" s="527"/>
      <c r="L1051" s="527"/>
      <c r="M1051" s="527"/>
    </row>
    <row r="1052" ht="15.75" customHeight="1">
      <c r="A1052" s="523"/>
      <c r="B1052" s="509"/>
      <c r="C1052" s="509"/>
      <c r="D1052" s="522"/>
      <c r="E1052" s="526"/>
      <c r="F1052" s="526"/>
      <c r="G1052" s="527"/>
      <c r="H1052" s="527"/>
      <c r="I1052" s="527"/>
      <c r="J1052" s="527"/>
      <c r="K1052" s="527"/>
      <c r="L1052" s="527"/>
      <c r="M1052" s="527"/>
    </row>
    <row r="1053" ht="15.75" customHeight="1">
      <c r="A1053" s="523"/>
      <c r="B1053" s="509"/>
      <c r="C1053" s="509"/>
      <c r="D1053" s="522"/>
      <c r="E1053" s="526"/>
      <c r="F1053" s="526"/>
      <c r="G1053" s="527"/>
      <c r="H1053" s="527"/>
      <c r="I1053" s="527"/>
      <c r="J1053" s="527"/>
      <c r="K1053" s="527"/>
      <c r="L1053" s="527"/>
      <c r="M1053" s="527"/>
    </row>
    <row r="1054" ht="15.75" customHeight="1">
      <c r="A1054" s="523"/>
      <c r="B1054" s="509"/>
      <c r="C1054" s="509"/>
      <c r="D1054" s="522"/>
      <c r="E1054" s="526"/>
      <c r="F1054" s="526"/>
      <c r="G1054" s="527"/>
      <c r="H1054" s="527"/>
      <c r="I1054" s="527"/>
      <c r="J1054" s="527"/>
      <c r="K1054" s="527"/>
      <c r="L1054" s="527"/>
      <c r="M1054" s="527"/>
    </row>
    <row r="1055" ht="15.75" customHeight="1">
      <c r="A1055" s="523"/>
      <c r="B1055" s="509"/>
      <c r="C1055" s="509"/>
      <c r="D1055" s="522"/>
      <c r="E1055" s="526"/>
      <c r="F1055" s="526"/>
      <c r="G1055" s="527"/>
      <c r="H1055" s="527"/>
      <c r="I1055" s="527"/>
      <c r="J1055" s="527"/>
      <c r="K1055" s="527"/>
      <c r="L1055" s="527"/>
      <c r="M1055" s="527"/>
    </row>
    <row r="1056" ht="15.75" customHeight="1">
      <c r="A1056" s="523"/>
      <c r="B1056" s="509"/>
      <c r="C1056" s="509"/>
      <c r="D1056" s="522"/>
      <c r="E1056" s="526"/>
      <c r="F1056" s="526"/>
      <c r="G1056" s="527"/>
      <c r="H1056" s="527"/>
      <c r="I1056" s="527"/>
      <c r="J1056" s="527"/>
      <c r="K1056" s="527"/>
      <c r="L1056" s="527"/>
      <c r="M1056" s="527"/>
    </row>
    <row r="1057" ht="15.75" customHeight="1">
      <c r="A1057" s="523"/>
      <c r="B1057" s="509"/>
      <c r="C1057" s="509"/>
      <c r="D1057" s="522"/>
      <c r="E1057" s="526"/>
      <c r="F1057" s="526"/>
      <c r="G1057" s="527"/>
      <c r="H1057" s="527"/>
      <c r="I1057" s="527"/>
      <c r="J1057" s="527"/>
      <c r="K1057" s="527"/>
      <c r="L1057" s="527"/>
      <c r="M1057" s="527"/>
    </row>
    <row r="1058" ht="15.75" customHeight="1">
      <c r="A1058" s="523"/>
      <c r="B1058" s="509"/>
      <c r="C1058" s="509"/>
      <c r="D1058" s="522"/>
      <c r="E1058" s="526"/>
      <c r="F1058" s="526"/>
      <c r="G1058" s="527"/>
      <c r="H1058" s="527"/>
      <c r="I1058" s="527"/>
      <c r="J1058" s="527"/>
      <c r="K1058" s="527"/>
      <c r="L1058" s="527"/>
      <c r="M1058" s="527"/>
    </row>
    <row r="1059" ht="15.75" customHeight="1">
      <c r="A1059" s="523"/>
      <c r="B1059" s="509"/>
      <c r="C1059" s="509"/>
      <c r="D1059" s="522"/>
      <c r="E1059" s="526"/>
      <c r="F1059" s="526"/>
      <c r="G1059" s="527"/>
      <c r="H1059" s="527"/>
      <c r="I1059" s="527"/>
      <c r="J1059" s="527"/>
      <c r="K1059" s="527"/>
      <c r="L1059" s="527"/>
      <c r="M1059" s="527"/>
    </row>
    <row r="1060" ht="15.75" customHeight="1">
      <c r="A1060" s="523"/>
      <c r="B1060" s="509"/>
      <c r="C1060" s="509"/>
      <c r="D1060" s="522"/>
      <c r="E1060" s="526"/>
      <c r="F1060" s="526"/>
      <c r="G1060" s="527"/>
      <c r="H1060" s="527"/>
      <c r="I1060" s="527"/>
      <c r="J1060" s="527"/>
      <c r="K1060" s="527"/>
      <c r="L1060" s="527"/>
      <c r="M1060" s="527"/>
    </row>
    <row r="1061" ht="15.75" customHeight="1">
      <c r="A1061" s="523"/>
      <c r="B1061" s="509"/>
      <c r="C1061" s="509"/>
      <c r="D1061" s="522"/>
      <c r="E1061" s="526"/>
      <c r="F1061" s="526"/>
      <c r="G1061" s="527"/>
      <c r="H1061" s="527"/>
      <c r="I1061" s="527"/>
      <c r="J1061" s="527"/>
      <c r="K1061" s="527"/>
      <c r="L1061" s="527"/>
      <c r="M1061" s="527"/>
    </row>
    <row r="1062" ht="15.75" customHeight="1">
      <c r="A1062" s="523"/>
      <c r="B1062" s="509"/>
      <c r="C1062" s="509"/>
      <c r="D1062" s="522"/>
      <c r="E1062" s="526"/>
      <c r="F1062" s="526"/>
      <c r="G1062" s="527"/>
      <c r="H1062" s="527"/>
      <c r="I1062" s="527"/>
      <c r="J1062" s="527"/>
      <c r="K1062" s="527"/>
      <c r="L1062" s="527"/>
      <c r="M1062" s="527"/>
    </row>
    <row r="1063" ht="15.75" customHeight="1">
      <c r="A1063" s="523"/>
      <c r="B1063" s="509"/>
      <c r="C1063" s="509"/>
      <c r="D1063" s="522"/>
      <c r="E1063" s="526"/>
      <c r="F1063" s="526"/>
      <c r="G1063" s="527"/>
      <c r="H1063" s="527"/>
      <c r="I1063" s="527"/>
      <c r="J1063" s="527"/>
      <c r="K1063" s="527"/>
      <c r="L1063" s="527"/>
      <c r="M1063" s="527"/>
    </row>
    <row r="1064" ht="15.75" customHeight="1">
      <c r="A1064" s="523"/>
      <c r="B1064" s="509"/>
      <c r="C1064" s="509"/>
      <c r="D1064" s="522"/>
      <c r="E1064" s="526"/>
      <c r="F1064" s="526"/>
      <c r="G1064" s="527"/>
      <c r="H1064" s="527"/>
      <c r="I1064" s="527"/>
      <c r="J1064" s="527"/>
      <c r="K1064" s="527"/>
      <c r="L1064" s="527"/>
      <c r="M1064" s="527"/>
    </row>
    <row r="1065" ht="15.75" customHeight="1">
      <c r="A1065" s="523"/>
      <c r="B1065" s="509"/>
      <c r="C1065" s="509"/>
      <c r="D1065" s="522"/>
      <c r="E1065" s="526"/>
      <c r="F1065" s="526"/>
      <c r="G1065" s="527"/>
      <c r="H1065" s="527"/>
      <c r="I1065" s="527"/>
      <c r="J1065" s="527"/>
      <c r="K1065" s="527"/>
      <c r="L1065" s="527"/>
      <c r="M1065" s="527"/>
    </row>
    <row r="1066" ht="15.75" customHeight="1">
      <c r="A1066" s="523"/>
      <c r="B1066" s="509"/>
      <c r="C1066" s="509"/>
      <c r="D1066" s="522"/>
      <c r="E1066" s="526"/>
      <c r="F1066" s="526"/>
      <c r="G1066" s="527"/>
      <c r="H1066" s="527"/>
      <c r="I1066" s="527"/>
      <c r="J1066" s="527"/>
      <c r="K1066" s="527"/>
      <c r="L1066" s="527"/>
      <c r="M1066" s="527"/>
    </row>
    <row r="1067" ht="15.75" customHeight="1">
      <c r="A1067" s="523"/>
      <c r="B1067" s="509"/>
      <c r="C1067" s="509"/>
      <c r="D1067" s="522"/>
      <c r="E1067" s="526"/>
      <c r="F1067" s="526"/>
      <c r="G1067" s="527"/>
      <c r="H1067" s="527"/>
      <c r="I1067" s="527"/>
      <c r="J1067" s="527"/>
      <c r="K1067" s="527"/>
      <c r="L1067" s="527"/>
      <c r="M1067" s="527"/>
    </row>
    <row r="1068" ht="15.75" customHeight="1">
      <c r="A1068" s="523"/>
      <c r="B1068" s="509"/>
      <c r="C1068" s="509"/>
      <c r="D1068" s="522"/>
      <c r="E1068" s="526"/>
      <c r="F1068" s="526"/>
      <c r="G1068" s="527"/>
      <c r="H1068" s="527"/>
      <c r="I1068" s="527"/>
      <c r="J1068" s="527"/>
      <c r="K1068" s="527"/>
      <c r="L1068" s="527"/>
      <c r="M1068" s="527"/>
    </row>
    <row r="1069" ht="15.75" customHeight="1">
      <c r="A1069" s="523"/>
      <c r="B1069" s="509"/>
      <c r="C1069" s="509"/>
      <c r="D1069" s="522"/>
      <c r="E1069" s="526"/>
      <c r="F1069" s="526"/>
      <c r="G1069" s="527"/>
      <c r="H1069" s="527"/>
      <c r="I1069" s="527"/>
      <c r="J1069" s="527"/>
      <c r="K1069" s="527"/>
      <c r="L1069" s="527"/>
      <c r="M1069" s="527"/>
    </row>
    <row r="1070" ht="15.75" customHeight="1">
      <c r="A1070" s="523"/>
      <c r="B1070" s="509"/>
      <c r="C1070" s="509"/>
      <c r="D1070" s="522"/>
      <c r="E1070" s="526"/>
      <c r="F1070" s="526"/>
      <c r="G1070" s="527"/>
      <c r="H1070" s="527"/>
      <c r="I1070" s="527"/>
      <c r="J1070" s="527"/>
      <c r="K1070" s="527"/>
      <c r="L1070" s="527"/>
      <c r="M1070" s="527"/>
    </row>
    <row r="1071" ht="15.75" customHeight="1">
      <c r="A1071" s="523"/>
      <c r="B1071" s="509"/>
      <c r="C1071" s="509"/>
      <c r="D1071" s="522"/>
      <c r="E1071" s="526"/>
      <c r="F1071" s="526"/>
      <c r="G1071" s="527"/>
      <c r="H1071" s="527"/>
      <c r="I1071" s="527"/>
      <c r="J1071" s="527"/>
      <c r="K1071" s="527"/>
      <c r="L1071" s="527"/>
      <c r="M1071" s="527"/>
    </row>
    <row r="1072" ht="15.75" customHeight="1">
      <c r="A1072" s="523"/>
      <c r="B1072" s="509"/>
      <c r="C1072" s="509"/>
      <c r="D1072" s="522"/>
      <c r="E1072" s="526"/>
      <c r="F1072" s="526"/>
      <c r="G1072" s="527"/>
      <c r="H1072" s="527"/>
      <c r="I1072" s="527"/>
      <c r="J1072" s="527"/>
      <c r="K1072" s="527"/>
      <c r="L1072" s="527"/>
      <c r="M1072" s="527"/>
    </row>
    <row r="1073" ht="15.75" customHeight="1">
      <c r="A1073" s="523"/>
      <c r="B1073" s="509"/>
      <c r="C1073" s="509"/>
      <c r="D1073" s="522"/>
      <c r="E1073" s="526"/>
      <c r="F1073" s="526"/>
      <c r="G1073" s="527"/>
      <c r="H1073" s="527"/>
      <c r="I1073" s="527"/>
      <c r="J1073" s="527"/>
      <c r="K1073" s="527"/>
      <c r="L1073" s="527"/>
      <c r="M1073" s="527"/>
    </row>
    <row r="1074" ht="15.75" customHeight="1">
      <c r="A1074" s="523"/>
      <c r="B1074" s="509"/>
      <c r="C1074" s="509"/>
      <c r="D1074" s="522"/>
      <c r="E1074" s="526"/>
      <c r="F1074" s="526"/>
      <c r="G1074" s="527"/>
      <c r="H1074" s="527"/>
      <c r="I1074" s="527"/>
      <c r="J1074" s="527"/>
      <c r="K1074" s="527"/>
      <c r="L1074" s="527"/>
      <c r="M1074" s="527"/>
    </row>
    <row r="1075" ht="15.75" customHeight="1">
      <c r="A1075" s="523"/>
      <c r="B1075" s="509"/>
      <c r="C1075" s="509"/>
      <c r="D1075" s="522"/>
      <c r="E1075" s="526"/>
      <c r="F1075" s="526"/>
      <c r="G1075" s="527"/>
      <c r="H1075" s="527"/>
      <c r="I1075" s="527"/>
      <c r="J1075" s="527"/>
      <c r="K1075" s="527"/>
      <c r="L1075" s="527"/>
      <c r="M1075" s="527"/>
    </row>
    <row r="1076" ht="15.75" customHeight="1">
      <c r="A1076" s="523"/>
      <c r="B1076" s="509"/>
      <c r="C1076" s="509"/>
      <c r="D1076" s="522"/>
      <c r="E1076" s="526"/>
      <c r="F1076" s="526"/>
      <c r="G1076" s="527"/>
      <c r="H1076" s="527"/>
      <c r="I1076" s="527"/>
      <c r="J1076" s="527"/>
      <c r="K1076" s="527"/>
      <c r="L1076" s="527"/>
      <c r="M1076" s="527"/>
    </row>
    <row r="1077" ht="15.75" customHeight="1">
      <c r="A1077" s="523"/>
      <c r="B1077" s="509"/>
      <c r="C1077" s="509"/>
      <c r="D1077" s="522"/>
      <c r="E1077" s="526"/>
      <c r="F1077" s="526"/>
      <c r="G1077" s="527"/>
      <c r="H1077" s="527"/>
      <c r="I1077" s="527"/>
      <c r="J1077" s="527"/>
      <c r="K1077" s="527"/>
      <c r="L1077" s="527"/>
      <c r="M1077" s="527"/>
    </row>
    <row r="1078" ht="15.75" customHeight="1">
      <c r="A1078" s="523"/>
      <c r="B1078" s="509"/>
      <c r="C1078" s="509"/>
      <c r="D1078" s="522"/>
      <c r="E1078" s="526"/>
      <c r="F1078" s="526"/>
      <c r="G1078" s="527"/>
      <c r="H1078" s="527"/>
      <c r="I1078" s="527"/>
      <c r="J1078" s="527"/>
      <c r="K1078" s="527"/>
      <c r="L1078" s="527"/>
      <c r="M1078" s="527"/>
    </row>
    <row r="1079" ht="15.75" customHeight="1">
      <c r="A1079" s="523"/>
      <c r="B1079" s="509"/>
      <c r="C1079" s="509"/>
      <c r="D1079" s="522"/>
      <c r="E1079" s="526"/>
      <c r="F1079" s="526"/>
      <c r="G1079" s="527"/>
      <c r="H1079" s="527"/>
      <c r="I1079" s="527"/>
      <c r="J1079" s="527"/>
      <c r="K1079" s="527"/>
      <c r="L1079" s="527"/>
      <c r="M1079" s="527"/>
    </row>
    <row r="1080" ht="15.75" customHeight="1">
      <c r="A1080" s="523"/>
      <c r="B1080" s="509"/>
      <c r="C1080" s="509"/>
      <c r="D1080" s="522"/>
      <c r="E1080" s="526"/>
      <c r="F1080" s="526"/>
      <c r="G1080" s="527"/>
      <c r="H1080" s="527"/>
      <c r="I1080" s="527"/>
      <c r="J1080" s="527"/>
      <c r="K1080" s="527"/>
      <c r="L1080" s="527"/>
      <c r="M1080" s="527"/>
    </row>
    <row r="1081" ht="15.75" customHeight="1">
      <c r="A1081" s="523"/>
      <c r="B1081" s="509"/>
      <c r="C1081" s="509"/>
      <c r="D1081" s="522"/>
      <c r="E1081" s="526"/>
      <c r="F1081" s="526"/>
      <c r="G1081" s="527"/>
      <c r="H1081" s="527"/>
      <c r="I1081" s="527"/>
      <c r="J1081" s="527"/>
      <c r="K1081" s="527"/>
      <c r="L1081" s="527"/>
      <c r="M1081" s="527"/>
    </row>
    <row r="1082" ht="15.75" customHeight="1">
      <c r="A1082" s="523"/>
      <c r="B1082" s="509"/>
      <c r="C1082" s="509"/>
      <c r="D1082" s="522"/>
      <c r="E1082" s="526"/>
      <c r="F1082" s="526"/>
      <c r="G1082" s="527"/>
      <c r="H1082" s="527"/>
      <c r="I1082" s="527"/>
      <c r="J1082" s="527"/>
      <c r="K1082" s="527"/>
      <c r="L1082" s="527"/>
      <c r="M1082" s="527"/>
    </row>
    <row r="1083" ht="15.75" customHeight="1">
      <c r="A1083" s="523"/>
      <c r="B1083" s="509"/>
      <c r="C1083" s="509"/>
      <c r="D1083" s="522"/>
      <c r="E1083" s="526"/>
      <c r="F1083" s="526"/>
      <c r="G1083" s="527"/>
      <c r="H1083" s="527"/>
      <c r="I1083" s="527"/>
      <c r="J1083" s="527"/>
      <c r="K1083" s="527"/>
      <c r="L1083" s="527"/>
      <c r="M1083" s="527"/>
    </row>
    <row r="1084" ht="15.75" customHeight="1">
      <c r="A1084" s="523"/>
      <c r="B1084" s="509"/>
      <c r="C1084" s="509"/>
      <c r="D1084" s="522"/>
      <c r="E1084" s="526"/>
      <c r="F1084" s="526"/>
      <c r="G1084" s="527"/>
      <c r="H1084" s="527"/>
      <c r="I1084" s="527"/>
      <c r="J1084" s="527"/>
      <c r="K1084" s="527"/>
      <c r="L1084" s="527"/>
      <c r="M1084" s="527"/>
    </row>
    <row r="1085" ht="15.75" customHeight="1">
      <c r="A1085" s="523"/>
      <c r="B1085" s="509"/>
      <c r="C1085" s="509"/>
      <c r="D1085" s="522"/>
      <c r="E1085" s="526"/>
      <c r="F1085" s="526"/>
      <c r="G1085" s="527"/>
      <c r="H1085" s="527"/>
      <c r="I1085" s="527"/>
      <c r="J1085" s="527"/>
      <c r="K1085" s="527"/>
      <c r="L1085" s="527"/>
      <c r="M1085" s="527"/>
    </row>
    <row r="1086" ht="15.75" customHeight="1">
      <c r="A1086" s="523"/>
      <c r="B1086" s="509"/>
      <c r="C1086" s="509"/>
      <c r="D1086" s="522"/>
      <c r="E1086" s="526"/>
      <c r="F1086" s="526"/>
      <c r="G1086" s="527"/>
      <c r="H1086" s="527"/>
      <c r="I1086" s="527"/>
      <c r="J1086" s="527"/>
      <c r="K1086" s="527"/>
      <c r="L1086" s="527"/>
      <c r="M1086" s="527"/>
    </row>
    <row r="1087" ht="15.75" customHeight="1">
      <c r="A1087" s="523"/>
      <c r="B1087" s="509"/>
      <c r="C1087" s="509"/>
      <c r="D1087" s="522"/>
      <c r="E1087" s="526"/>
      <c r="F1087" s="526"/>
      <c r="G1087" s="527"/>
      <c r="H1087" s="527"/>
      <c r="I1087" s="527"/>
      <c r="J1087" s="527"/>
      <c r="K1087" s="527"/>
      <c r="L1087" s="527"/>
      <c r="M1087" s="527"/>
    </row>
    <row r="1088" ht="15.75" customHeight="1">
      <c r="A1088" s="523"/>
      <c r="B1088" s="509"/>
      <c r="C1088" s="509"/>
      <c r="D1088" s="522"/>
      <c r="E1088" s="526"/>
      <c r="F1088" s="526"/>
      <c r="G1088" s="527"/>
      <c r="H1088" s="527"/>
      <c r="I1088" s="527"/>
      <c r="J1088" s="527"/>
      <c r="K1088" s="527"/>
      <c r="L1088" s="527"/>
      <c r="M1088" s="527"/>
    </row>
    <row r="1089" ht="15.75" customHeight="1">
      <c r="A1089" s="523"/>
      <c r="B1089" s="509"/>
      <c r="C1089" s="509"/>
      <c r="D1089" s="522"/>
      <c r="E1089" s="526"/>
      <c r="F1089" s="526"/>
      <c r="G1089" s="527"/>
      <c r="H1089" s="527"/>
      <c r="I1089" s="527"/>
      <c r="J1089" s="527"/>
      <c r="K1089" s="527"/>
      <c r="L1089" s="527"/>
      <c r="M1089" s="527"/>
    </row>
    <row r="1090" ht="15.75" customHeight="1">
      <c r="A1090" s="523"/>
      <c r="B1090" s="509"/>
      <c r="C1090" s="509"/>
      <c r="D1090" s="522"/>
      <c r="E1090" s="526"/>
      <c r="F1090" s="526"/>
      <c r="G1090" s="527"/>
      <c r="H1090" s="527"/>
      <c r="I1090" s="527"/>
      <c r="J1090" s="527"/>
      <c r="K1090" s="527"/>
      <c r="L1090" s="527"/>
      <c r="M1090" s="527"/>
    </row>
    <row r="1091" ht="15.75" customHeight="1">
      <c r="A1091" s="523"/>
      <c r="B1091" s="509"/>
      <c r="C1091" s="509"/>
      <c r="D1091" s="522"/>
      <c r="E1091" s="526"/>
      <c r="F1091" s="526"/>
      <c r="G1091" s="527"/>
      <c r="H1091" s="527"/>
      <c r="I1091" s="527"/>
      <c r="J1091" s="527"/>
      <c r="K1091" s="527"/>
      <c r="L1091" s="527"/>
      <c r="M1091" s="527"/>
    </row>
    <row r="1092" ht="15.75" customHeight="1">
      <c r="A1092" s="523"/>
      <c r="B1092" s="509"/>
      <c r="C1092" s="509"/>
      <c r="D1092" s="522"/>
      <c r="E1092" s="526"/>
      <c r="F1092" s="526"/>
      <c r="G1092" s="527"/>
      <c r="H1092" s="527"/>
      <c r="I1092" s="527"/>
      <c r="J1092" s="527"/>
      <c r="K1092" s="527"/>
      <c r="L1092" s="527"/>
      <c r="M1092" s="527"/>
    </row>
    <row r="1093" ht="15.75" customHeight="1">
      <c r="A1093" s="523"/>
      <c r="B1093" s="509"/>
      <c r="C1093" s="509"/>
      <c r="D1093" s="522"/>
      <c r="E1093" s="526"/>
      <c r="F1093" s="526"/>
      <c r="G1093" s="527"/>
      <c r="H1093" s="527"/>
      <c r="I1093" s="527"/>
      <c r="J1093" s="527"/>
      <c r="K1093" s="527"/>
      <c r="L1093" s="527"/>
      <c r="M1093" s="527"/>
    </row>
    <row r="1094" ht="15.75" customHeight="1">
      <c r="A1094" s="523"/>
      <c r="B1094" s="509"/>
      <c r="C1094" s="509"/>
      <c r="D1094" s="522"/>
      <c r="E1094" s="526"/>
      <c r="F1094" s="526"/>
      <c r="G1094" s="527"/>
      <c r="H1094" s="527"/>
      <c r="I1094" s="527"/>
      <c r="J1094" s="527"/>
      <c r="K1094" s="527"/>
      <c r="L1094" s="527"/>
      <c r="M1094" s="527"/>
    </row>
    <row r="1095" ht="15.75" customHeight="1">
      <c r="A1095" s="523"/>
      <c r="B1095" s="509"/>
      <c r="C1095" s="509"/>
      <c r="D1095" s="522"/>
      <c r="E1095" s="526"/>
      <c r="F1095" s="526"/>
      <c r="G1095" s="527"/>
      <c r="H1095" s="527"/>
      <c r="I1095" s="527"/>
      <c r="J1095" s="527"/>
      <c r="K1095" s="527"/>
      <c r="L1095" s="527"/>
      <c r="M1095" s="527"/>
    </row>
    <row r="1096" ht="15.75" customHeight="1">
      <c r="A1096" s="523"/>
      <c r="B1096" s="509"/>
      <c r="C1096" s="509"/>
      <c r="D1096" s="522"/>
      <c r="E1096" s="526"/>
      <c r="F1096" s="526"/>
      <c r="G1096" s="527"/>
      <c r="H1096" s="527"/>
      <c r="I1096" s="527"/>
      <c r="J1096" s="527"/>
      <c r="K1096" s="527"/>
      <c r="L1096" s="527"/>
      <c r="M1096" s="527"/>
    </row>
    <row r="1097" ht="15.75" customHeight="1">
      <c r="A1097" s="523"/>
      <c r="B1097" s="509"/>
      <c r="C1097" s="509"/>
      <c r="D1097" s="522"/>
      <c r="E1097" s="526"/>
      <c r="F1097" s="526"/>
      <c r="G1097" s="527"/>
      <c r="H1097" s="527"/>
      <c r="I1097" s="527"/>
      <c r="J1097" s="527"/>
      <c r="K1097" s="527"/>
      <c r="L1097" s="527"/>
      <c r="M1097" s="527"/>
    </row>
    <row r="1098" ht="15.75" customHeight="1">
      <c r="A1098" s="523"/>
      <c r="B1098" s="509"/>
      <c r="C1098" s="509"/>
      <c r="D1098" s="522"/>
      <c r="E1098" s="526"/>
      <c r="F1098" s="526"/>
      <c r="G1098" s="527"/>
      <c r="H1098" s="527"/>
      <c r="I1098" s="527"/>
      <c r="J1098" s="527"/>
      <c r="K1098" s="527"/>
      <c r="L1098" s="527"/>
      <c r="M1098" s="527"/>
    </row>
    <row r="1099" ht="15.75" customHeight="1">
      <c r="A1099" s="523"/>
      <c r="B1099" s="509"/>
      <c r="C1099" s="509"/>
      <c r="D1099" s="522"/>
      <c r="E1099" s="526"/>
      <c r="F1099" s="526"/>
      <c r="G1099" s="527"/>
      <c r="H1099" s="527"/>
      <c r="I1099" s="527"/>
      <c r="J1099" s="527"/>
      <c r="K1099" s="527"/>
      <c r="L1099" s="527"/>
      <c r="M1099" s="527"/>
    </row>
    <row r="1100" ht="15.75" customHeight="1">
      <c r="A1100" s="523"/>
      <c r="B1100" s="509"/>
      <c r="C1100" s="509"/>
      <c r="D1100" s="522"/>
      <c r="E1100" s="526"/>
      <c r="F1100" s="526"/>
      <c r="G1100" s="527"/>
      <c r="H1100" s="527"/>
      <c r="I1100" s="527"/>
      <c r="J1100" s="527"/>
      <c r="K1100" s="527"/>
      <c r="L1100" s="527"/>
      <c r="M1100" s="527"/>
    </row>
    <row r="1101" ht="15.75" customHeight="1">
      <c r="A1101" s="523"/>
      <c r="B1101" s="509"/>
      <c r="C1101" s="509"/>
      <c r="D1101" s="522"/>
      <c r="E1101" s="526"/>
      <c r="F1101" s="526"/>
      <c r="G1101" s="527"/>
      <c r="H1101" s="527"/>
      <c r="I1101" s="527"/>
      <c r="J1101" s="527"/>
      <c r="K1101" s="527"/>
      <c r="L1101" s="527"/>
      <c r="M1101" s="527"/>
    </row>
    <row r="1102" ht="15.75" customHeight="1">
      <c r="A1102" s="523"/>
      <c r="B1102" s="509"/>
      <c r="C1102" s="509"/>
      <c r="D1102" s="522"/>
      <c r="E1102" s="526"/>
      <c r="F1102" s="526"/>
      <c r="G1102" s="527"/>
      <c r="H1102" s="527"/>
      <c r="I1102" s="527"/>
      <c r="J1102" s="527"/>
      <c r="K1102" s="527"/>
      <c r="L1102" s="527"/>
      <c r="M1102" s="527"/>
    </row>
    <row r="1103" ht="15.75" customHeight="1">
      <c r="A1103" s="523"/>
      <c r="B1103" s="509"/>
      <c r="C1103" s="509"/>
      <c r="D1103" s="522"/>
      <c r="E1103" s="526"/>
      <c r="F1103" s="526"/>
      <c r="G1103" s="527"/>
      <c r="H1103" s="527"/>
      <c r="I1103" s="527"/>
      <c r="J1103" s="527"/>
      <c r="K1103" s="527"/>
      <c r="L1103" s="527"/>
      <c r="M1103" s="527"/>
    </row>
    <row r="1104" ht="15.75" customHeight="1">
      <c r="A1104" s="523"/>
      <c r="B1104" s="509"/>
      <c r="C1104" s="509"/>
      <c r="D1104" s="522"/>
      <c r="E1104" s="526"/>
      <c r="F1104" s="526"/>
      <c r="G1104" s="527"/>
      <c r="H1104" s="527"/>
      <c r="I1104" s="527"/>
      <c r="J1104" s="527"/>
      <c r="K1104" s="527"/>
      <c r="L1104" s="527"/>
      <c r="M1104" s="527"/>
    </row>
    <row r="1105" ht="15.75" customHeight="1">
      <c r="A1105" s="523"/>
      <c r="B1105" s="509"/>
      <c r="C1105" s="509"/>
      <c r="D1105" s="522"/>
      <c r="E1105" s="526"/>
      <c r="F1105" s="526"/>
      <c r="G1105" s="527"/>
      <c r="H1105" s="527"/>
      <c r="I1105" s="527"/>
      <c r="J1105" s="527"/>
      <c r="K1105" s="527"/>
      <c r="L1105" s="527"/>
      <c r="M1105" s="527"/>
    </row>
    <row r="1106" ht="15.75" customHeight="1">
      <c r="A1106" s="523"/>
      <c r="B1106" s="509"/>
      <c r="C1106" s="509"/>
      <c r="D1106" s="522"/>
      <c r="E1106" s="526"/>
      <c r="F1106" s="526"/>
      <c r="G1106" s="527"/>
      <c r="H1106" s="527"/>
      <c r="I1106" s="527"/>
      <c r="J1106" s="527"/>
      <c r="K1106" s="527"/>
      <c r="L1106" s="527"/>
      <c r="M1106" s="527"/>
    </row>
    <row r="1107" ht="15.75" customHeight="1">
      <c r="A1107" s="523"/>
      <c r="B1107" s="509"/>
      <c r="C1107" s="509"/>
      <c r="D1107" s="522"/>
      <c r="E1107" s="526"/>
      <c r="F1107" s="526"/>
      <c r="G1107" s="527"/>
      <c r="H1107" s="527"/>
      <c r="I1107" s="527"/>
      <c r="J1107" s="527"/>
      <c r="K1107" s="527"/>
      <c r="L1107" s="527"/>
      <c r="M1107" s="527"/>
    </row>
    <row r="1108" ht="15.75" customHeight="1">
      <c r="A1108" s="523"/>
      <c r="B1108" s="509"/>
      <c r="C1108" s="509"/>
      <c r="D1108" s="522"/>
      <c r="E1108" s="526"/>
      <c r="F1108" s="526"/>
      <c r="G1108" s="527"/>
      <c r="H1108" s="527"/>
      <c r="I1108" s="527"/>
      <c r="J1108" s="527"/>
      <c r="K1108" s="527"/>
      <c r="L1108" s="527"/>
      <c r="M1108" s="527"/>
    </row>
    <row r="1109" ht="15.75" customHeight="1">
      <c r="A1109" s="523"/>
      <c r="B1109" s="509"/>
      <c r="C1109" s="509"/>
      <c r="D1109" s="522"/>
      <c r="E1109" s="526"/>
      <c r="F1109" s="526"/>
      <c r="G1109" s="527"/>
      <c r="H1109" s="527"/>
      <c r="I1109" s="527"/>
      <c r="J1109" s="527"/>
      <c r="K1109" s="527"/>
      <c r="L1109" s="527"/>
      <c r="M1109" s="527"/>
    </row>
    <row r="1110" ht="15.75" customHeight="1">
      <c r="A1110" s="523"/>
      <c r="B1110" s="509"/>
      <c r="C1110" s="509"/>
      <c r="D1110" s="522"/>
      <c r="E1110" s="526"/>
      <c r="F1110" s="526"/>
      <c r="G1110" s="527"/>
      <c r="H1110" s="527"/>
      <c r="I1110" s="527"/>
      <c r="J1110" s="527"/>
      <c r="K1110" s="527"/>
      <c r="L1110" s="527"/>
      <c r="M1110" s="527"/>
    </row>
    <row r="1111" ht="15.75" customHeight="1">
      <c r="A1111" s="523"/>
      <c r="B1111" s="509"/>
      <c r="C1111" s="509"/>
      <c r="D1111" s="522"/>
      <c r="E1111" s="526"/>
      <c r="F1111" s="526"/>
      <c r="G1111" s="527"/>
      <c r="H1111" s="527"/>
      <c r="I1111" s="527"/>
      <c r="J1111" s="527"/>
      <c r="K1111" s="527"/>
      <c r="L1111" s="527"/>
      <c r="M1111" s="527"/>
    </row>
    <row r="1112" ht="15.75" customHeight="1">
      <c r="A1112" s="523"/>
      <c r="B1112" s="509"/>
      <c r="C1112" s="509"/>
      <c r="D1112" s="522"/>
      <c r="E1112" s="526"/>
      <c r="F1112" s="526"/>
      <c r="G1112" s="527"/>
      <c r="H1112" s="527"/>
      <c r="I1112" s="527"/>
      <c r="J1112" s="527"/>
      <c r="K1112" s="527"/>
      <c r="L1112" s="527"/>
      <c r="M1112" s="527"/>
    </row>
    <row r="1113" ht="15.75" customHeight="1">
      <c r="A1113" s="523"/>
      <c r="B1113" s="509"/>
      <c r="C1113" s="509"/>
      <c r="D1113" s="522"/>
      <c r="E1113" s="526"/>
      <c r="F1113" s="526"/>
      <c r="G1113" s="527"/>
      <c r="H1113" s="527"/>
      <c r="I1113" s="527"/>
      <c r="J1113" s="527"/>
      <c r="K1113" s="527"/>
      <c r="L1113" s="527"/>
      <c r="M1113" s="527"/>
    </row>
    <row r="1114" ht="15.75" customHeight="1">
      <c r="A1114" s="523"/>
      <c r="B1114" s="509"/>
      <c r="C1114" s="509"/>
      <c r="D1114" s="522"/>
      <c r="E1114" s="526"/>
      <c r="F1114" s="526"/>
      <c r="G1114" s="527"/>
      <c r="H1114" s="527"/>
      <c r="I1114" s="527"/>
      <c r="J1114" s="527"/>
      <c r="K1114" s="527"/>
      <c r="L1114" s="527"/>
      <c r="M1114" s="527"/>
    </row>
    <row r="1115" ht="15.75" customHeight="1">
      <c r="A1115" s="523"/>
      <c r="B1115" s="509"/>
      <c r="C1115" s="509"/>
      <c r="D1115" s="522"/>
      <c r="E1115" s="526"/>
      <c r="F1115" s="526"/>
      <c r="G1115" s="527"/>
      <c r="H1115" s="527"/>
      <c r="I1115" s="527"/>
      <c r="J1115" s="527"/>
      <c r="K1115" s="527"/>
      <c r="L1115" s="527"/>
      <c r="M1115" s="527"/>
    </row>
    <row r="1116" ht="15.75" customHeight="1">
      <c r="A1116" s="523"/>
      <c r="B1116" s="509"/>
      <c r="C1116" s="509"/>
      <c r="D1116" s="522"/>
      <c r="E1116" s="526"/>
      <c r="F1116" s="526"/>
      <c r="G1116" s="527"/>
      <c r="H1116" s="527"/>
      <c r="I1116" s="527"/>
      <c r="J1116" s="527"/>
      <c r="K1116" s="527"/>
      <c r="L1116" s="527"/>
      <c r="M1116" s="527"/>
    </row>
    <row r="1117" ht="15.75" customHeight="1">
      <c r="A1117" s="523"/>
      <c r="B1117" s="509"/>
      <c r="C1117" s="509"/>
      <c r="D1117" s="522"/>
      <c r="E1117" s="526"/>
      <c r="F1117" s="526"/>
      <c r="G1117" s="527"/>
      <c r="H1117" s="527"/>
      <c r="I1117" s="527"/>
      <c r="J1117" s="527"/>
      <c r="K1117" s="527"/>
      <c r="L1117" s="527"/>
      <c r="M1117" s="527"/>
    </row>
    <row r="1118" ht="15.75" customHeight="1">
      <c r="A1118" s="523"/>
      <c r="B1118" s="509"/>
      <c r="C1118" s="509"/>
      <c r="D1118" s="522"/>
      <c r="E1118" s="526"/>
      <c r="F1118" s="526"/>
      <c r="G1118" s="527"/>
      <c r="H1118" s="527"/>
      <c r="I1118" s="527"/>
      <c r="J1118" s="527"/>
      <c r="K1118" s="527"/>
      <c r="L1118" s="527"/>
      <c r="M1118" s="527"/>
    </row>
    <row r="1119" ht="15.75" customHeight="1">
      <c r="A1119" s="523"/>
      <c r="B1119" s="509"/>
      <c r="C1119" s="509"/>
      <c r="D1119" s="522"/>
      <c r="E1119" s="526"/>
      <c r="F1119" s="526"/>
      <c r="G1119" s="527"/>
      <c r="H1119" s="527"/>
      <c r="I1119" s="527"/>
      <c r="J1119" s="527"/>
      <c r="K1119" s="527"/>
      <c r="L1119" s="527"/>
      <c r="M1119" s="527"/>
    </row>
    <row r="1120" ht="15.75" customHeight="1">
      <c r="A1120" s="523"/>
      <c r="B1120" s="509"/>
      <c r="C1120" s="509"/>
      <c r="D1120" s="522"/>
      <c r="E1120" s="526"/>
      <c r="F1120" s="526"/>
      <c r="G1120" s="527"/>
      <c r="H1120" s="527"/>
      <c r="I1120" s="527"/>
      <c r="J1120" s="527"/>
      <c r="K1120" s="527"/>
      <c r="L1120" s="527"/>
      <c r="M1120" s="527"/>
    </row>
    <row r="1121" ht="15.75" customHeight="1">
      <c r="A1121" s="523"/>
      <c r="B1121" s="509"/>
      <c r="C1121" s="509"/>
      <c r="D1121" s="522"/>
      <c r="E1121" s="526"/>
      <c r="F1121" s="526"/>
      <c r="G1121" s="527"/>
      <c r="H1121" s="527"/>
      <c r="I1121" s="527"/>
      <c r="J1121" s="527"/>
      <c r="K1121" s="527"/>
      <c r="L1121" s="527"/>
      <c r="M1121" s="527"/>
    </row>
    <row r="1122" ht="15.75" customHeight="1">
      <c r="A1122" s="523"/>
      <c r="B1122" s="509"/>
      <c r="C1122" s="509"/>
      <c r="D1122" s="522"/>
      <c r="E1122" s="526"/>
      <c r="F1122" s="526"/>
      <c r="G1122" s="527"/>
      <c r="H1122" s="527"/>
      <c r="I1122" s="527"/>
      <c r="J1122" s="527"/>
      <c r="K1122" s="527"/>
      <c r="L1122" s="527"/>
      <c r="M1122" s="527"/>
    </row>
    <row r="1123" ht="15.75" customHeight="1">
      <c r="A1123" s="523"/>
      <c r="B1123" s="509"/>
      <c r="C1123" s="509"/>
      <c r="D1123" s="522"/>
      <c r="E1123" s="526"/>
      <c r="F1123" s="526"/>
      <c r="G1123" s="527"/>
      <c r="H1123" s="527"/>
      <c r="I1123" s="527"/>
      <c r="J1123" s="527"/>
      <c r="K1123" s="527"/>
      <c r="L1123" s="527"/>
      <c r="M1123" s="527"/>
    </row>
    <row r="1124" ht="15.75" customHeight="1">
      <c r="A1124" s="523"/>
      <c r="B1124" s="509"/>
      <c r="C1124" s="509"/>
      <c r="D1124" s="522"/>
      <c r="E1124" s="526"/>
      <c r="F1124" s="526"/>
      <c r="G1124" s="527"/>
      <c r="H1124" s="527"/>
      <c r="I1124" s="527"/>
      <c r="J1124" s="527"/>
      <c r="K1124" s="527"/>
      <c r="L1124" s="527"/>
      <c r="M1124" s="527"/>
    </row>
    <row r="1125" ht="15.75" customHeight="1">
      <c r="A1125" s="523"/>
      <c r="B1125" s="509"/>
      <c r="C1125" s="509"/>
      <c r="D1125" s="522"/>
      <c r="E1125" s="526"/>
      <c r="F1125" s="526"/>
      <c r="G1125" s="527"/>
      <c r="H1125" s="527"/>
      <c r="I1125" s="527"/>
      <c r="J1125" s="527"/>
      <c r="K1125" s="527"/>
      <c r="L1125" s="527"/>
      <c r="M1125" s="527"/>
    </row>
    <row r="1126" ht="15.75" customHeight="1">
      <c r="A1126" s="523"/>
      <c r="B1126" s="509"/>
      <c r="C1126" s="509"/>
      <c r="D1126" s="522"/>
      <c r="E1126" s="526"/>
      <c r="F1126" s="526"/>
      <c r="G1126" s="527"/>
      <c r="H1126" s="527"/>
      <c r="I1126" s="527"/>
      <c r="J1126" s="527"/>
      <c r="K1126" s="527"/>
      <c r="L1126" s="527"/>
      <c r="M1126" s="527"/>
    </row>
    <row r="1127" ht="15.75" customHeight="1">
      <c r="A1127" s="523"/>
      <c r="B1127" s="509"/>
      <c r="C1127" s="509"/>
      <c r="D1127" s="522"/>
      <c r="E1127" s="526"/>
      <c r="F1127" s="526"/>
      <c r="G1127" s="527"/>
      <c r="H1127" s="527"/>
      <c r="I1127" s="527"/>
      <c r="J1127" s="527"/>
      <c r="K1127" s="527"/>
      <c r="L1127" s="527"/>
      <c r="M1127" s="527"/>
    </row>
    <row r="1128" ht="15.75" customHeight="1">
      <c r="A1128" s="523"/>
      <c r="B1128" s="509"/>
      <c r="C1128" s="509"/>
      <c r="D1128" s="522"/>
      <c r="E1128" s="526"/>
      <c r="F1128" s="526"/>
      <c r="G1128" s="527"/>
      <c r="H1128" s="527"/>
      <c r="I1128" s="527"/>
      <c r="J1128" s="527"/>
      <c r="K1128" s="527"/>
      <c r="L1128" s="527"/>
      <c r="M1128" s="527"/>
    </row>
    <row r="1129" ht="15.75" customHeight="1">
      <c r="A1129" s="523"/>
      <c r="B1129" s="509"/>
      <c r="C1129" s="509"/>
      <c r="D1129" s="522"/>
      <c r="E1129" s="526"/>
      <c r="F1129" s="526"/>
      <c r="G1129" s="527"/>
      <c r="H1129" s="527"/>
      <c r="I1129" s="527"/>
      <c r="J1129" s="527"/>
      <c r="K1129" s="527"/>
      <c r="L1129" s="527"/>
      <c r="M1129" s="527"/>
    </row>
    <row r="1130" ht="15.75" customHeight="1">
      <c r="A1130" s="523"/>
      <c r="B1130" s="509"/>
      <c r="C1130" s="509"/>
      <c r="D1130" s="522"/>
      <c r="E1130" s="526"/>
      <c r="F1130" s="526"/>
      <c r="G1130" s="527"/>
      <c r="H1130" s="527"/>
      <c r="I1130" s="527"/>
      <c r="J1130" s="527"/>
      <c r="K1130" s="527"/>
      <c r="L1130" s="527"/>
      <c r="M1130" s="527"/>
    </row>
    <row r="1131" ht="15.75" customHeight="1">
      <c r="A1131" s="523"/>
      <c r="B1131" s="509"/>
      <c r="C1131" s="509"/>
      <c r="D1131" s="522"/>
      <c r="E1131" s="526"/>
      <c r="F1131" s="526"/>
      <c r="G1131" s="527"/>
      <c r="H1131" s="527"/>
      <c r="I1131" s="527"/>
      <c r="J1131" s="527"/>
      <c r="K1131" s="527"/>
      <c r="L1131" s="527"/>
      <c r="M1131" s="527"/>
    </row>
    <row r="1132" ht="15.75" customHeight="1">
      <c r="A1132" s="523"/>
      <c r="B1132" s="509"/>
      <c r="C1132" s="509"/>
      <c r="D1132" s="522"/>
      <c r="E1132" s="526"/>
      <c r="F1132" s="526"/>
      <c r="G1132" s="527"/>
      <c r="H1132" s="527"/>
      <c r="I1132" s="527"/>
      <c r="J1132" s="527"/>
      <c r="K1132" s="527"/>
      <c r="L1132" s="527"/>
      <c r="M1132" s="527"/>
    </row>
    <row r="1133" ht="15.75" customHeight="1">
      <c r="A1133" s="523"/>
      <c r="B1133" s="509"/>
      <c r="C1133" s="509"/>
      <c r="D1133" s="522"/>
      <c r="E1133" s="526"/>
      <c r="F1133" s="526"/>
      <c r="G1133" s="527"/>
      <c r="H1133" s="527"/>
      <c r="I1133" s="527"/>
      <c r="J1133" s="527"/>
      <c r="K1133" s="527"/>
      <c r="L1133" s="527"/>
      <c r="M1133" s="527"/>
    </row>
    <row r="1134" ht="15.75" customHeight="1">
      <c r="A1134" s="523"/>
      <c r="B1134" s="509"/>
      <c r="C1134" s="509"/>
      <c r="D1134" s="522"/>
      <c r="E1134" s="526"/>
      <c r="F1134" s="526"/>
      <c r="G1134" s="527"/>
      <c r="H1134" s="527"/>
      <c r="I1134" s="527"/>
      <c r="J1134" s="527"/>
      <c r="K1134" s="527"/>
      <c r="L1134" s="527"/>
      <c r="M1134" s="527"/>
    </row>
    <row r="1135" ht="15.75" customHeight="1">
      <c r="A1135" s="523"/>
      <c r="B1135" s="509"/>
      <c r="C1135" s="509"/>
      <c r="D1135" s="522"/>
      <c r="E1135" s="526"/>
      <c r="F1135" s="526"/>
      <c r="G1135" s="527"/>
      <c r="H1135" s="527"/>
      <c r="I1135" s="527"/>
      <c r="J1135" s="527"/>
      <c r="K1135" s="527"/>
      <c r="L1135" s="527"/>
      <c r="M1135" s="527"/>
    </row>
    <row r="1136" ht="15.75" customHeight="1">
      <c r="A1136" s="523"/>
      <c r="B1136" s="509"/>
      <c r="C1136" s="509"/>
      <c r="D1136" s="522"/>
      <c r="E1136" s="526"/>
      <c r="F1136" s="526"/>
      <c r="G1136" s="527"/>
      <c r="H1136" s="527"/>
      <c r="I1136" s="527"/>
      <c r="J1136" s="527"/>
      <c r="K1136" s="527"/>
      <c r="L1136" s="527"/>
      <c r="M1136" s="527"/>
    </row>
    <row r="1137" ht="15.75" customHeight="1">
      <c r="A1137" s="523"/>
      <c r="B1137" s="509"/>
      <c r="C1137" s="509"/>
      <c r="D1137" s="522"/>
      <c r="E1137" s="526"/>
      <c r="F1137" s="526"/>
      <c r="G1137" s="527"/>
      <c r="H1137" s="527"/>
      <c r="I1137" s="527"/>
      <c r="J1137" s="527"/>
      <c r="K1137" s="527"/>
      <c r="L1137" s="527"/>
      <c r="M1137" s="527"/>
    </row>
    <row r="1138" ht="15.75" customHeight="1">
      <c r="A1138" s="523"/>
      <c r="B1138" s="509"/>
      <c r="C1138" s="509"/>
      <c r="D1138" s="522"/>
      <c r="E1138" s="526"/>
      <c r="F1138" s="526"/>
      <c r="G1138" s="527"/>
      <c r="H1138" s="527"/>
      <c r="I1138" s="527"/>
      <c r="J1138" s="527"/>
      <c r="K1138" s="527"/>
      <c r="L1138" s="527"/>
      <c r="M1138" s="527"/>
    </row>
    <row r="1139" ht="15.75" customHeight="1">
      <c r="A1139" s="523"/>
      <c r="B1139" s="509"/>
      <c r="C1139" s="509"/>
      <c r="D1139" s="522"/>
      <c r="E1139" s="526"/>
      <c r="F1139" s="526"/>
      <c r="G1139" s="527"/>
      <c r="H1139" s="527"/>
      <c r="I1139" s="527"/>
      <c r="J1139" s="527"/>
      <c r="K1139" s="527"/>
      <c r="L1139" s="527"/>
      <c r="M1139" s="527"/>
    </row>
    <row r="1140" ht="15.75" customHeight="1">
      <c r="A1140" s="523"/>
      <c r="B1140" s="509"/>
      <c r="C1140" s="509"/>
      <c r="D1140" s="522"/>
      <c r="E1140" s="526"/>
      <c r="F1140" s="526"/>
      <c r="G1140" s="527"/>
      <c r="H1140" s="527"/>
      <c r="I1140" s="527"/>
      <c r="J1140" s="527"/>
      <c r="K1140" s="527"/>
      <c r="L1140" s="527"/>
      <c r="M1140" s="527"/>
    </row>
    <row r="1141" ht="15.75" customHeight="1">
      <c r="A1141" s="523"/>
      <c r="B1141" s="509"/>
      <c r="C1141" s="509"/>
      <c r="D1141" s="522"/>
      <c r="E1141" s="526"/>
      <c r="F1141" s="526"/>
      <c r="G1141" s="527"/>
      <c r="H1141" s="527"/>
      <c r="I1141" s="527"/>
      <c r="J1141" s="527"/>
      <c r="K1141" s="527"/>
      <c r="L1141" s="527"/>
      <c r="M1141" s="527"/>
    </row>
    <row r="1142" ht="15.75" customHeight="1">
      <c r="A1142" s="523"/>
      <c r="B1142" s="509"/>
      <c r="C1142" s="509"/>
      <c r="D1142" s="522"/>
      <c r="E1142" s="526"/>
      <c r="F1142" s="526"/>
      <c r="G1142" s="527"/>
      <c r="H1142" s="527"/>
      <c r="I1142" s="527"/>
      <c r="J1142" s="527"/>
      <c r="K1142" s="527"/>
      <c r="L1142" s="527"/>
      <c r="M1142" s="527"/>
    </row>
    <row r="1143" ht="15.75" customHeight="1">
      <c r="A1143" s="523"/>
      <c r="B1143" s="509"/>
      <c r="C1143" s="509"/>
      <c r="D1143" s="522"/>
      <c r="E1143" s="526"/>
      <c r="F1143" s="526"/>
      <c r="G1143" s="527"/>
      <c r="H1143" s="527"/>
      <c r="I1143" s="527"/>
      <c r="J1143" s="527"/>
      <c r="K1143" s="527"/>
      <c r="L1143" s="527"/>
      <c r="M1143" s="527"/>
    </row>
    <row r="1144" ht="15.75" customHeight="1">
      <c r="A1144" s="523"/>
      <c r="B1144" s="509"/>
      <c r="C1144" s="509"/>
      <c r="D1144" s="522"/>
      <c r="E1144" s="526"/>
      <c r="F1144" s="526"/>
      <c r="G1144" s="527"/>
      <c r="H1144" s="527"/>
      <c r="I1144" s="527"/>
      <c r="J1144" s="527"/>
      <c r="K1144" s="527"/>
      <c r="L1144" s="527"/>
      <c r="M1144" s="527"/>
    </row>
    <row r="1145" ht="15.75" customHeight="1">
      <c r="A1145" s="523"/>
      <c r="B1145" s="509"/>
      <c r="C1145" s="509"/>
      <c r="D1145" s="522"/>
      <c r="E1145" s="526"/>
      <c r="F1145" s="526"/>
      <c r="G1145" s="527"/>
      <c r="H1145" s="527"/>
      <c r="I1145" s="527"/>
      <c r="J1145" s="527"/>
      <c r="K1145" s="527"/>
      <c r="L1145" s="527"/>
      <c r="M1145" s="527"/>
    </row>
    <row r="1146" ht="15.75" customHeight="1">
      <c r="A1146" s="523"/>
      <c r="B1146" s="509"/>
      <c r="C1146" s="509"/>
      <c r="D1146" s="522"/>
      <c r="E1146" s="526"/>
      <c r="F1146" s="526"/>
      <c r="G1146" s="527"/>
      <c r="H1146" s="527"/>
      <c r="I1146" s="527"/>
      <c r="J1146" s="527"/>
      <c r="K1146" s="527"/>
      <c r="L1146" s="527"/>
      <c r="M1146" s="527"/>
    </row>
    <row r="1147" ht="15.75" customHeight="1">
      <c r="A1147" s="523"/>
      <c r="B1147" s="509"/>
      <c r="C1147" s="509"/>
      <c r="D1147" s="522"/>
      <c r="E1147" s="526"/>
      <c r="F1147" s="526"/>
      <c r="G1147" s="527"/>
      <c r="H1147" s="527"/>
      <c r="I1147" s="527"/>
      <c r="J1147" s="527"/>
      <c r="K1147" s="527"/>
      <c r="L1147" s="527"/>
      <c r="M1147" s="527"/>
    </row>
    <row r="1148" ht="15.75" customHeight="1">
      <c r="A1148" s="523"/>
      <c r="B1148" s="509"/>
      <c r="C1148" s="509"/>
      <c r="D1148" s="522"/>
      <c r="E1148" s="526"/>
      <c r="F1148" s="526"/>
      <c r="G1148" s="527"/>
      <c r="H1148" s="527"/>
      <c r="I1148" s="527"/>
      <c r="J1148" s="527"/>
      <c r="K1148" s="527"/>
      <c r="L1148" s="527"/>
      <c r="M1148" s="527"/>
    </row>
    <row r="1149" ht="15.75" customHeight="1">
      <c r="A1149" s="523"/>
      <c r="B1149" s="509"/>
      <c r="C1149" s="509"/>
      <c r="D1149" s="522"/>
      <c r="E1149" s="526"/>
      <c r="F1149" s="526"/>
      <c r="G1149" s="527"/>
      <c r="H1149" s="527"/>
      <c r="I1149" s="527"/>
      <c r="J1149" s="527"/>
      <c r="K1149" s="527"/>
      <c r="L1149" s="527"/>
      <c r="M1149" s="527"/>
    </row>
    <row r="1150" ht="15.75" customHeight="1">
      <c r="A1150" s="523"/>
      <c r="B1150" s="509"/>
      <c r="C1150" s="509"/>
      <c r="D1150" s="522"/>
      <c r="E1150" s="526"/>
      <c r="F1150" s="526"/>
      <c r="G1150" s="527"/>
      <c r="H1150" s="527"/>
      <c r="I1150" s="527"/>
      <c r="J1150" s="527"/>
      <c r="K1150" s="527"/>
      <c r="L1150" s="527"/>
      <c r="M1150" s="527"/>
    </row>
    <row r="1151" ht="15.75" customHeight="1">
      <c r="A1151" s="523"/>
      <c r="B1151" s="509"/>
      <c r="C1151" s="509"/>
      <c r="D1151" s="522"/>
      <c r="E1151" s="526"/>
      <c r="F1151" s="526"/>
      <c r="G1151" s="527"/>
      <c r="H1151" s="527"/>
      <c r="I1151" s="527"/>
      <c r="J1151" s="527"/>
      <c r="K1151" s="527"/>
      <c r="L1151" s="527"/>
      <c r="M1151" s="527"/>
    </row>
    <row r="1152" ht="15.75" customHeight="1">
      <c r="A1152" s="523"/>
      <c r="B1152" s="509"/>
      <c r="C1152" s="509"/>
      <c r="D1152" s="522"/>
      <c r="E1152" s="526"/>
      <c r="F1152" s="526"/>
      <c r="G1152" s="527"/>
      <c r="H1152" s="527"/>
      <c r="I1152" s="527"/>
      <c r="J1152" s="527"/>
      <c r="K1152" s="527"/>
      <c r="L1152" s="527"/>
      <c r="M1152" s="527"/>
    </row>
    <row r="1153" ht="15.75" customHeight="1">
      <c r="A1153" s="523"/>
      <c r="B1153" s="509"/>
      <c r="C1153" s="509"/>
      <c r="D1153" s="522"/>
      <c r="E1153" s="526"/>
      <c r="F1153" s="526"/>
      <c r="G1153" s="527"/>
      <c r="H1153" s="527"/>
      <c r="I1153" s="527"/>
      <c r="J1153" s="527"/>
      <c r="K1153" s="527"/>
      <c r="L1153" s="527"/>
      <c r="M1153" s="527"/>
    </row>
    <row r="1154" ht="15.75" customHeight="1">
      <c r="A1154" s="523"/>
      <c r="B1154" s="509"/>
      <c r="C1154" s="509"/>
      <c r="D1154" s="522"/>
      <c r="E1154" s="526"/>
      <c r="F1154" s="526"/>
      <c r="G1154" s="527"/>
      <c r="H1154" s="527"/>
      <c r="I1154" s="527"/>
      <c r="J1154" s="527"/>
      <c r="K1154" s="527"/>
      <c r="L1154" s="527"/>
      <c r="M1154" s="527"/>
    </row>
    <row r="1155" ht="15.75" customHeight="1">
      <c r="A1155" s="523"/>
      <c r="B1155" s="509"/>
      <c r="C1155" s="509"/>
      <c r="D1155" s="522"/>
      <c r="E1155" s="526"/>
      <c r="F1155" s="526"/>
      <c r="G1155" s="527"/>
      <c r="H1155" s="527"/>
      <c r="I1155" s="527"/>
      <c r="J1155" s="527"/>
      <c r="K1155" s="527"/>
      <c r="L1155" s="527"/>
      <c r="M1155" s="527"/>
    </row>
    <row r="1156" ht="15.75" customHeight="1">
      <c r="A1156" s="523"/>
      <c r="B1156" s="509"/>
      <c r="C1156" s="509"/>
      <c r="D1156" s="522"/>
      <c r="E1156" s="526"/>
      <c r="F1156" s="526"/>
      <c r="G1156" s="527"/>
      <c r="H1156" s="527"/>
      <c r="I1156" s="527"/>
      <c r="J1156" s="527"/>
      <c r="K1156" s="527"/>
      <c r="L1156" s="527"/>
      <c r="M1156" s="527"/>
    </row>
    <row r="1157" ht="15.75" customHeight="1">
      <c r="A1157" s="523"/>
      <c r="B1157" s="509"/>
      <c r="C1157" s="509"/>
      <c r="D1157" s="522"/>
      <c r="E1157" s="526"/>
      <c r="F1157" s="526"/>
      <c r="G1157" s="527"/>
      <c r="H1157" s="527"/>
      <c r="I1157" s="527"/>
      <c r="J1157" s="527"/>
      <c r="K1157" s="527"/>
      <c r="L1157" s="527"/>
      <c r="M1157" s="527"/>
    </row>
    <row r="1158" ht="15.75" customHeight="1">
      <c r="A1158" s="523"/>
      <c r="B1158" s="509"/>
      <c r="C1158" s="509"/>
      <c r="D1158" s="522"/>
      <c r="E1158" s="526"/>
      <c r="F1158" s="526"/>
      <c r="G1158" s="527"/>
      <c r="H1158" s="527"/>
      <c r="I1158" s="527"/>
      <c r="J1158" s="527"/>
      <c r="K1158" s="527"/>
      <c r="L1158" s="527"/>
      <c r="M1158" s="527"/>
    </row>
    <row r="1159" ht="15.75" customHeight="1">
      <c r="A1159" s="523"/>
      <c r="B1159" s="509"/>
      <c r="C1159" s="509"/>
      <c r="D1159" s="522"/>
      <c r="E1159" s="526"/>
      <c r="F1159" s="526"/>
      <c r="G1159" s="527"/>
      <c r="H1159" s="527"/>
      <c r="I1159" s="527"/>
      <c r="J1159" s="527"/>
      <c r="K1159" s="527"/>
      <c r="L1159" s="527"/>
      <c r="M1159" s="527"/>
    </row>
    <row r="1160" ht="15.75" customHeight="1">
      <c r="A1160" s="523"/>
      <c r="B1160" s="509"/>
      <c r="C1160" s="509"/>
      <c r="D1160" s="522"/>
      <c r="E1160" s="526"/>
      <c r="F1160" s="526"/>
      <c r="G1160" s="527"/>
      <c r="H1160" s="527"/>
      <c r="I1160" s="527"/>
      <c r="J1160" s="527"/>
      <c r="K1160" s="527"/>
      <c r="L1160" s="527"/>
      <c r="M1160" s="527"/>
    </row>
    <row r="1161" ht="15.75" customHeight="1">
      <c r="A1161" s="523"/>
      <c r="B1161" s="509"/>
      <c r="C1161" s="509"/>
      <c r="D1161" s="522"/>
      <c r="E1161" s="526"/>
      <c r="F1161" s="526"/>
      <c r="G1161" s="527"/>
      <c r="H1161" s="527"/>
      <c r="I1161" s="527"/>
      <c r="J1161" s="527"/>
      <c r="K1161" s="527"/>
      <c r="L1161" s="527"/>
      <c r="M1161" s="527"/>
    </row>
    <row r="1162" ht="15.75" customHeight="1">
      <c r="A1162" s="523"/>
      <c r="B1162" s="509"/>
      <c r="C1162" s="509"/>
      <c r="D1162" s="522"/>
      <c r="E1162" s="526"/>
      <c r="F1162" s="526"/>
      <c r="G1162" s="527"/>
      <c r="H1162" s="527"/>
      <c r="I1162" s="527"/>
      <c r="J1162" s="527"/>
      <c r="K1162" s="527"/>
      <c r="L1162" s="527"/>
      <c r="M1162" s="527"/>
    </row>
    <row r="1163" ht="15.75" customHeight="1">
      <c r="A1163" s="523"/>
      <c r="B1163" s="509"/>
      <c r="C1163" s="509"/>
      <c r="D1163" s="522"/>
      <c r="E1163" s="526"/>
      <c r="F1163" s="526"/>
      <c r="G1163" s="527"/>
      <c r="H1163" s="527"/>
      <c r="I1163" s="527"/>
      <c r="J1163" s="527"/>
      <c r="K1163" s="527"/>
      <c r="L1163" s="527"/>
      <c r="M1163" s="527"/>
    </row>
    <row r="1164" ht="15.75" customHeight="1">
      <c r="A1164" s="523"/>
      <c r="B1164" s="509"/>
      <c r="C1164" s="509"/>
      <c r="D1164" s="522"/>
      <c r="E1164" s="526"/>
      <c r="F1164" s="526"/>
      <c r="G1164" s="527"/>
      <c r="H1164" s="527"/>
      <c r="I1164" s="527"/>
      <c r="J1164" s="527"/>
      <c r="K1164" s="527"/>
      <c r="L1164" s="527"/>
      <c r="M1164" s="527"/>
    </row>
    <row r="1165" ht="15.75" customHeight="1">
      <c r="A1165" s="523"/>
      <c r="B1165" s="509"/>
      <c r="C1165" s="509"/>
      <c r="D1165" s="522"/>
      <c r="E1165" s="526"/>
      <c r="F1165" s="526"/>
      <c r="G1165" s="527"/>
      <c r="H1165" s="527"/>
      <c r="I1165" s="527"/>
      <c r="J1165" s="527"/>
      <c r="K1165" s="527"/>
      <c r="L1165" s="527"/>
      <c r="M1165" s="527"/>
    </row>
    <row r="1166" ht="15.75" customHeight="1">
      <c r="A1166" s="523"/>
      <c r="B1166" s="509"/>
      <c r="C1166" s="509"/>
      <c r="D1166" s="522"/>
      <c r="E1166" s="526"/>
      <c r="F1166" s="526"/>
      <c r="G1166" s="527"/>
      <c r="H1166" s="527"/>
      <c r="I1166" s="527"/>
      <c r="J1166" s="527"/>
      <c r="K1166" s="527"/>
      <c r="L1166" s="527"/>
      <c r="M1166" s="527"/>
    </row>
    <row r="1167" ht="15.75" customHeight="1">
      <c r="A1167" s="523"/>
      <c r="B1167" s="509"/>
      <c r="C1167" s="509"/>
      <c r="D1167" s="522"/>
      <c r="E1167" s="526"/>
      <c r="F1167" s="526"/>
      <c r="G1167" s="527"/>
      <c r="H1167" s="527"/>
      <c r="I1167" s="527"/>
      <c r="J1167" s="527"/>
      <c r="K1167" s="527"/>
      <c r="L1167" s="527"/>
      <c r="M1167" s="527"/>
    </row>
    <row r="1168" ht="15.75" customHeight="1">
      <c r="A1168" s="523"/>
      <c r="B1168" s="509"/>
      <c r="C1168" s="509"/>
      <c r="D1168" s="522"/>
      <c r="E1168" s="526"/>
      <c r="F1168" s="526"/>
      <c r="G1168" s="527"/>
      <c r="H1168" s="527"/>
      <c r="I1168" s="527"/>
      <c r="J1168" s="527"/>
      <c r="K1168" s="527"/>
      <c r="L1168" s="527"/>
      <c r="M1168" s="527"/>
    </row>
    <row r="1169" ht="15.75" customHeight="1">
      <c r="A1169" s="523"/>
      <c r="B1169" s="509"/>
      <c r="C1169" s="509"/>
      <c r="D1169" s="522"/>
      <c r="E1169" s="526"/>
      <c r="F1169" s="526"/>
      <c r="G1169" s="527"/>
      <c r="H1169" s="527"/>
      <c r="I1169" s="527"/>
      <c r="J1169" s="527"/>
      <c r="K1169" s="527"/>
      <c r="L1169" s="527"/>
      <c r="M1169" s="527"/>
    </row>
    <row r="1170" ht="15.75" customHeight="1">
      <c r="A1170" s="523"/>
      <c r="B1170" s="509"/>
      <c r="C1170" s="509"/>
      <c r="D1170" s="522"/>
      <c r="E1170" s="526"/>
      <c r="F1170" s="526"/>
      <c r="G1170" s="527"/>
      <c r="H1170" s="527"/>
      <c r="I1170" s="527"/>
      <c r="J1170" s="527"/>
      <c r="K1170" s="527"/>
      <c r="L1170" s="527"/>
      <c r="M1170" s="527"/>
    </row>
    <row r="1171" ht="15.75" customHeight="1">
      <c r="A1171" s="523"/>
      <c r="B1171" s="509"/>
      <c r="C1171" s="509"/>
      <c r="D1171" s="522"/>
      <c r="E1171" s="526"/>
      <c r="F1171" s="526"/>
      <c r="G1171" s="527"/>
      <c r="H1171" s="527"/>
      <c r="I1171" s="527"/>
      <c r="J1171" s="527"/>
      <c r="K1171" s="527"/>
      <c r="L1171" s="527"/>
      <c r="M1171" s="527"/>
    </row>
    <row r="1172" ht="15.75" customHeight="1">
      <c r="A1172" s="523"/>
      <c r="B1172" s="509"/>
      <c r="C1172" s="509"/>
      <c r="D1172" s="522"/>
      <c r="E1172" s="526"/>
      <c r="F1172" s="526"/>
      <c r="G1172" s="527"/>
      <c r="H1172" s="527"/>
      <c r="I1172" s="527"/>
      <c r="J1172" s="527"/>
      <c r="K1172" s="527"/>
      <c r="L1172" s="527"/>
      <c r="M1172" s="527"/>
    </row>
    <row r="1173" ht="15.75" customHeight="1">
      <c r="A1173" s="523"/>
      <c r="B1173" s="509"/>
      <c r="C1173" s="509"/>
      <c r="D1173" s="522"/>
      <c r="E1173" s="526"/>
      <c r="F1173" s="526"/>
      <c r="G1173" s="527"/>
      <c r="H1173" s="527"/>
      <c r="I1173" s="527"/>
      <c r="J1173" s="527"/>
      <c r="K1173" s="527"/>
      <c r="L1173" s="527"/>
      <c r="M1173" s="527"/>
    </row>
    <row r="1174" ht="15.75" customHeight="1">
      <c r="A1174" s="523"/>
      <c r="B1174" s="509"/>
      <c r="C1174" s="509"/>
      <c r="D1174" s="522"/>
      <c r="E1174" s="526"/>
      <c r="F1174" s="526"/>
      <c r="G1174" s="527"/>
      <c r="H1174" s="527"/>
      <c r="I1174" s="527"/>
      <c r="J1174" s="527"/>
      <c r="K1174" s="527"/>
      <c r="L1174" s="527"/>
      <c r="M1174" s="527"/>
    </row>
    <row r="1175" ht="15.75" customHeight="1">
      <c r="A1175" s="523"/>
      <c r="B1175" s="509"/>
      <c r="C1175" s="509"/>
      <c r="D1175" s="522"/>
      <c r="E1175" s="526"/>
      <c r="F1175" s="526"/>
      <c r="G1175" s="527"/>
      <c r="H1175" s="527"/>
      <c r="I1175" s="527"/>
      <c r="J1175" s="527"/>
      <c r="K1175" s="527"/>
      <c r="L1175" s="527"/>
      <c r="M1175" s="527"/>
    </row>
    <row r="1176" ht="15.75" customHeight="1">
      <c r="A1176" s="523"/>
      <c r="B1176" s="509"/>
      <c r="C1176" s="509"/>
      <c r="D1176" s="522"/>
      <c r="E1176" s="526"/>
      <c r="F1176" s="526"/>
      <c r="G1176" s="527"/>
      <c r="H1176" s="527"/>
      <c r="I1176" s="527"/>
      <c r="J1176" s="527"/>
      <c r="K1176" s="527"/>
      <c r="L1176" s="527"/>
      <c r="M1176" s="527"/>
    </row>
    <row r="1177" ht="15.75" customHeight="1">
      <c r="A1177" s="523"/>
      <c r="B1177" s="509"/>
      <c r="C1177" s="509"/>
      <c r="D1177" s="522"/>
      <c r="E1177" s="526"/>
      <c r="F1177" s="526"/>
      <c r="G1177" s="527"/>
      <c r="H1177" s="527"/>
      <c r="I1177" s="527"/>
      <c r="J1177" s="527"/>
      <c r="K1177" s="527"/>
      <c r="L1177" s="527"/>
      <c r="M1177" s="527"/>
    </row>
    <row r="1178" ht="15.75" customHeight="1">
      <c r="A1178" s="523"/>
      <c r="B1178" s="509"/>
      <c r="C1178" s="509"/>
      <c r="D1178" s="522"/>
      <c r="E1178" s="526"/>
      <c r="F1178" s="526"/>
      <c r="G1178" s="527"/>
      <c r="H1178" s="527"/>
      <c r="I1178" s="527"/>
      <c r="J1178" s="527"/>
      <c r="K1178" s="527"/>
      <c r="L1178" s="527"/>
      <c r="M1178" s="527"/>
    </row>
    <row r="1179" ht="15.75" customHeight="1">
      <c r="A1179" s="523"/>
      <c r="B1179" s="509"/>
      <c r="C1179" s="509"/>
      <c r="D1179" s="522"/>
      <c r="E1179" s="526"/>
      <c r="F1179" s="526"/>
      <c r="G1179" s="527"/>
      <c r="H1179" s="527"/>
      <c r="I1179" s="527"/>
      <c r="J1179" s="527"/>
      <c r="K1179" s="527"/>
      <c r="L1179" s="527"/>
      <c r="M1179" s="527"/>
    </row>
    <row r="1180" ht="15.75" customHeight="1">
      <c r="A1180" s="523"/>
      <c r="B1180" s="509"/>
      <c r="C1180" s="509"/>
      <c r="D1180" s="522"/>
      <c r="E1180" s="526"/>
      <c r="F1180" s="526"/>
      <c r="G1180" s="527"/>
      <c r="H1180" s="527"/>
      <c r="I1180" s="527"/>
      <c r="J1180" s="527"/>
      <c r="K1180" s="527"/>
      <c r="L1180" s="527"/>
      <c r="M1180" s="527"/>
    </row>
    <row r="1181" ht="15.75" customHeight="1">
      <c r="A1181" s="523"/>
      <c r="B1181" s="509"/>
      <c r="C1181" s="509"/>
      <c r="D1181" s="522"/>
      <c r="E1181" s="526"/>
      <c r="F1181" s="526"/>
      <c r="G1181" s="527"/>
      <c r="H1181" s="527"/>
      <c r="I1181" s="527"/>
      <c r="J1181" s="527"/>
      <c r="K1181" s="527"/>
      <c r="L1181" s="527"/>
      <c r="M1181" s="527"/>
    </row>
    <row r="1182" ht="15.75" customHeight="1">
      <c r="A1182" s="523"/>
      <c r="B1182" s="509"/>
      <c r="C1182" s="509"/>
      <c r="D1182" s="522"/>
      <c r="E1182" s="526"/>
      <c r="F1182" s="526"/>
      <c r="G1182" s="527"/>
      <c r="H1182" s="527"/>
      <c r="I1182" s="527"/>
      <c r="J1182" s="527"/>
      <c r="K1182" s="527"/>
      <c r="L1182" s="527"/>
      <c r="M1182" s="527"/>
    </row>
    <row r="1183" ht="15.75" customHeight="1">
      <c r="A1183" s="523"/>
      <c r="B1183" s="509"/>
      <c r="C1183" s="509"/>
      <c r="D1183" s="522"/>
      <c r="E1183" s="526"/>
      <c r="F1183" s="526"/>
      <c r="G1183" s="527"/>
      <c r="H1183" s="527"/>
      <c r="I1183" s="527"/>
      <c r="J1183" s="527"/>
      <c r="K1183" s="527"/>
      <c r="L1183" s="527"/>
      <c r="M1183" s="527"/>
    </row>
    <row r="1184" ht="15.75" customHeight="1">
      <c r="A1184" s="523"/>
      <c r="B1184" s="509"/>
      <c r="C1184" s="509"/>
      <c r="D1184" s="522"/>
      <c r="E1184" s="526"/>
      <c r="F1184" s="526"/>
      <c r="G1184" s="527"/>
      <c r="H1184" s="527"/>
      <c r="I1184" s="527"/>
      <c r="J1184" s="527"/>
      <c r="K1184" s="527"/>
      <c r="L1184" s="527"/>
      <c r="M1184" s="527"/>
    </row>
    <row r="1185" ht="15.75" customHeight="1">
      <c r="A1185" s="523"/>
      <c r="B1185" s="509"/>
      <c r="C1185" s="509"/>
      <c r="D1185" s="522"/>
      <c r="E1185" s="526"/>
      <c r="F1185" s="526"/>
      <c r="G1185" s="527"/>
      <c r="H1185" s="527"/>
      <c r="I1185" s="527"/>
      <c r="J1185" s="527"/>
      <c r="K1185" s="527"/>
      <c r="L1185" s="527"/>
      <c r="M1185" s="527"/>
    </row>
    <row r="1186" ht="15.75" customHeight="1">
      <c r="A1186" s="523"/>
      <c r="B1186" s="509"/>
      <c r="C1186" s="509"/>
      <c r="D1186" s="522"/>
      <c r="E1186" s="526"/>
      <c r="F1186" s="526"/>
      <c r="G1186" s="527"/>
      <c r="H1186" s="527"/>
      <c r="I1186" s="527"/>
      <c r="J1186" s="527"/>
      <c r="K1186" s="527"/>
      <c r="L1186" s="527"/>
      <c r="M1186" s="527"/>
    </row>
    <row r="1187" ht="15.75" customHeight="1">
      <c r="A1187" s="523"/>
      <c r="B1187" s="509"/>
      <c r="C1187" s="509"/>
      <c r="D1187" s="522"/>
      <c r="E1187" s="526"/>
      <c r="F1187" s="526"/>
      <c r="G1187" s="527"/>
      <c r="H1187" s="527"/>
      <c r="I1187" s="527"/>
      <c r="J1187" s="527"/>
      <c r="K1187" s="527"/>
      <c r="L1187" s="527"/>
      <c r="M1187" s="527"/>
    </row>
    <row r="1188" ht="15.75" customHeight="1">
      <c r="A1188" s="523"/>
      <c r="B1188" s="509"/>
      <c r="C1188" s="509"/>
      <c r="D1188" s="522"/>
      <c r="E1188" s="526"/>
      <c r="F1188" s="526"/>
      <c r="G1188" s="527"/>
      <c r="H1188" s="527"/>
      <c r="I1188" s="527"/>
      <c r="J1188" s="527"/>
      <c r="K1188" s="527"/>
      <c r="L1188" s="527"/>
      <c r="M1188" s="527"/>
    </row>
    <row r="1189" ht="15.75" customHeight="1">
      <c r="A1189" s="523"/>
      <c r="B1189" s="509"/>
      <c r="C1189" s="509"/>
      <c r="D1189" s="522"/>
      <c r="E1189" s="526"/>
      <c r="F1189" s="526"/>
      <c r="G1189" s="527"/>
      <c r="H1189" s="527"/>
      <c r="I1189" s="527"/>
      <c r="J1189" s="527"/>
      <c r="K1189" s="527"/>
      <c r="L1189" s="527"/>
      <c r="M1189" s="527"/>
    </row>
    <row r="1190" ht="15.75" customHeight="1">
      <c r="A1190" s="523"/>
      <c r="B1190" s="509"/>
      <c r="C1190" s="509"/>
      <c r="D1190" s="522"/>
      <c r="E1190" s="526"/>
      <c r="F1190" s="526"/>
      <c r="G1190" s="527"/>
      <c r="H1190" s="527"/>
      <c r="I1190" s="527"/>
      <c r="J1190" s="527"/>
      <c r="K1190" s="527"/>
      <c r="L1190" s="527"/>
      <c r="M1190" s="527"/>
    </row>
    <row r="1191" ht="15.75" customHeight="1">
      <c r="A1191" s="523"/>
      <c r="B1191" s="509"/>
      <c r="C1191" s="509"/>
      <c r="D1191" s="522"/>
      <c r="E1191" s="526"/>
      <c r="F1191" s="526"/>
      <c r="G1191" s="527"/>
      <c r="H1191" s="527"/>
      <c r="I1191" s="527"/>
      <c r="J1191" s="527"/>
      <c r="K1191" s="527"/>
      <c r="L1191" s="527"/>
      <c r="M1191" s="527"/>
    </row>
    <row r="1192" ht="15.75" customHeight="1">
      <c r="A1192" s="523"/>
      <c r="B1192" s="509"/>
      <c r="C1192" s="509"/>
      <c r="D1192" s="522"/>
      <c r="E1192" s="526"/>
      <c r="F1192" s="526"/>
      <c r="G1192" s="527"/>
      <c r="H1192" s="527"/>
      <c r="I1192" s="527"/>
      <c r="J1192" s="527"/>
      <c r="K1192" s="527"/>
      <c r="L1192" s="527"/>
      <c r="M1192" s="527"/>
    </row>
    <row r="1193" ht="15.75" customHeight="1">
      <c r="A1193" s="523"/>
      <c r="B1193" s="509"/>
      <c r="C1193" s="509"/>
      <c r="D1193" s="522"/>
      <c r="E1193" s="526"/>
      <c r="F1193" s="526"/>
      <c r="G1193" s="527"/>
      <c r="H1193" s="527"/>
      <c r="I1193" s="527"/>
      <c r="J1193" s="527"/>
      <c r="K1193" s="527"/>
      <c r="L1193" s="527"/>
      <c r="M1193" s="527"/>
    </row>
    <row r="1194" ht="15.75" customHeight="1">
      <c r="A1194" s="523"/>
      <c r="B1194" s="509"/>
      <c r="C1194" s="509"/>
      <c r="D1194" s="522"/>
      <c r="E1194" s="526"/>
      <c r="F1194" s="526"/>
      <c r="G1194" s="527"/>
      <c r="H1194" s="527"/>
      <c r="I1194" s="527"/>
      <c r="J1194" s="527"/>
      <c r="K1194" s="527"/>
      <c r="L1194" s="527"/>
      <c r="M1194" s="527"/>
    </row>
    <row r="1195" ht="15.75" customHeight="1">
      <c r="A1195" s="523"/>
      <c r="B1195" s="509"/>
      <c r="C1195" s="509"/>
      <c r="D1195" s="522"/>
      <c r="E1195" s="526"/>
      <c r="F1195" s="526"/>
      <c r="G1195" s="527"/>
      <c r="H1195" s="527"/>
      <c r="I1195" s="527"/>
      <c r="J1195" s="527"/>
      <c r="K1195" s="527"/>
      <c r="L1195" s="527"/>
      <c r="M1195" s="527"/>
    </row>
    <row r="1196" ht="15.75" customHeight="1">
      <c r="A1196" s="523"/>
      <c r="B1196" s="509"/>
      <c r="C1196" s="509"/>
      <c r="D1196" s="522"/>
      <c r="E1196" s="526"/>
      <c r="F1196" s="526"/>
      <c r="G1196" s="527"/>
      <c r="H1196" s="527"/>
      <c r="I1196" s="527"/>
      <c r="J1196" s="527"/>
      <c r="K1196" s="527"/>
      <c r="L1196" s="527"/>
      <c r="M1196" s="527"/>
    </row>
    <row r="1197" ht="15.75" customHeight="1">
      <c r="A1197" s="523"/>
      <c r="B1197" s="509"/>
      <c r="C1197" s="509"/>
      <c r="D1197" s="522"/>
      <c r="E1197" s="526"/>
      <c r="F1197" s="526"/>
      <c r="G1197" s="527"/>
      <c r="H1197" s="527"/>
      <c r="I1197" s="527"/>
      <c r="J1197" s="527"/>
      <c r="K1197" s="527"/>
      <c r="L1197" s="527"/>
      <c r="M1197" s="527"/>
    </row>
    <row r="1198" ht="15.75" customHeight="1">
      <c r="A1198" s="523"/>
      <c r="B1198" s="509"/>
      <c r="C1198" s="509"/>
      <c r="D1198" s="522"/>
      <c r="E1198" s="526"/>
      <c r="F1198" s="526"/>
      <c r="G1198" s="527"/>
      <c r="H1198" s="527"/>
      <c r="I1198" s="527"/>
      <c r="J1198" s="527"/>
      <c r="K1198" s="527"/>
      <c r="L1198" s="527"/>
      <c r="M1198" s="527"/>
    </row>
    <row r="1199" ht="15.75" customHeight="1">
      <c r="A1199" s="523"/>
      <c r="B1199" s="509"/>
      <c r="C1199" s="509"/>
      <c r="D1199" s="522"/>
      <c r="E1199" s="526"/>
      <c r="F1199" s="526"/>
      <c r="G1199" s="527"/>
      <c r="H1199" s="527"/>
      <c r="I1199" s="527"/>
      <c r="J1199" s="527"/>
      <c r="K1199" s="527"/>
      <c r="L1199" s="527"/>
      <c r="M1199" s="527"/>
    </row>
    <row r="1200" ht="15.75" customHeight="1">
      <c r="A1200" s="523"/>
      <c r="B1200" s="509"/>
      <c r="C1200" s="509"/>
      <c r="D1200" s="522"/>
      <c r="E1200" s="526"/>
      <c r="F1200" s="526"/>
      <c r="G1200" s="527"/>
      <c r="H1200" s="527"/>
      <c r="I1200" s="527"/>
      <c r="J1200" s="527"/>
      <c r="K1200" s="527"/>
      <c r="L1200" s="527"/>
      <c r="M1200" s="527"/>
    </row>
    <row r="1201" ht="15.75" customHeight="1">
      <c r="A1201" s="523"/>
      <c r="B1201" s="509"/>
      <c r="C1201" s="509"/>
      <c r="D1201" s="522"/>
      <c r="E1201" s="526"/>
      <c r="F1201" s="526"/>
      <c r="G1201" s="527"/>
      <c r="H1201" s="527"/>
      <c r="I1201" s="527"/>
      <c r="J1201" s="527"/>
      <c r="K1201" s="527"/>
      <c r="L1201" s="527"/>
      <c r="M1201" s="527"/>
    </row>
    <row r="1202" ht="15.75" customHeight="1">
      <c r="A1202" s="523"/>
      <c r="B1202" s="509"/>
      <c r="C1202" s="509"/>
      <c r="D1202" s="522"/>
      <c r="E1202" s="526"/>
      <c r="F1202" s="526"/>
      <c r="G1202" s="527"/>
      <c r="H1202" s="527"/>
      <c r="I1202" s="527"/>
      <c r="J1202" s="527"/>
      <c r="K1202" s="527"/>
      <c r="L1202" s="527"/>
      <c r="M1202" s="527"/>
    </row>
    <row r="1203" ht="15.75" customHeight="1">
      <c r="A1203" s="523"/>
      <c r="B1203" s="509"/>
      <c r="C1203" s="509"/>
      <c r="D1203" s="522"/>
      <c r="E1203" s="526"/>
      <c r="F1203" s="526"/>
      <c r="G1203" s="527"/>
      <c r="H1203" s="527"/>
      <c r="I1203" s="527"/>
      <c r="J1203" s="527"/>
      <c r="K1203" s="527"/>
      <c r="L1203" s="527"/>
      <c r="M1203" s="527"/>
    </row>
    <row r="1204" ht="15.75" customHeight="1">
      <c r="A1204" s="523"/>
      <c r="B1204" s="509"/>
      <c r="C1204" s="509"/>
      <c r="D1204" s="522"/>
      <c r="E1204" s="526"/>
      <c r="F1204" s="526"/>
      <c r="G1204" s="527"/>
      <c r="H1204" s="527"/>
      <c r="I1204" s="527"/>
      <c r="J1204" s="527"/>
      <c r="K1204" s="527"/>
      <c r="L1204" s="527"/>
      <c r="M1204" s="527"/>
    </row>
    <row r="1205" ht="15.75" customHeight="1">
      <c r="A1205" s="523"/>
      <c r="B1205" s="509"/>
      <c r="C1205" s="509"/>
      <c r="D1205" s="522"/>
      <c r="E1205" s="526"/>
      <c r="F1205" s="526"/>
      <c r="G1205" s="527"/>
      <c r="H1205" s="527"/>
      <c r="I1205" s="527"/>
      <c r="J1205" s="527"/>
      <c r="K1205" s="527"/>
      <c r="L1205" s="527"/>
      <c r="M1205" s="527"/>
    </row>
    <row r="1206" ht="15.75" customHeight="1">
      <c r="A1206" s="523"/>
      <c r="B1206" s="509"/>
      <c r="C1206" s="509"/>
      <c r="D1206" s="522"/>
      <c r="E1206" s="526"/>
      <c r="F1206" s="526"/>
      <c r="G1206" s="527"/>
      <c r="H1206" s="527"/>
      <c r="I1206" s="527"/>
      <c r="J1206" s="527"/>
      <c r="K1206" s="527"/>
      <c r="L1206" s="527"/>
      <c r="M1206" s="527"/>
    </row>
    <row r="1207" ht="15.75" customHeight="1">
      <c r="A1207" s="523"/>
      <c r="B1207" s="509"/>
      <c r="C1207" s="509"/>
      <c r="D1207" s="522"/>
      <c r="E1207" s="526"/>
      <c r="F1207" s="526"/>
      <c r="G1207" s="527"/>
      <c r="H1207" s="527"/>
      <c r="I1207" s="527"/>
      <c r="J1207" s="527"/>
      <c r="K1207" s="527"/>
      <c r="L1207" s="527"/>
      <c r="M1207" s="527"/>
    </row>
    <row r="1208" ht="15.75" customHeight="1">
      <c r="A1208" s="523"/>
      <c r="B1208" s="509"/>
      <c r="C1208" s="509"/>
      <c r="D1208" s="522"/>
      <c r="E1208" s="526"/>
      <c r="F1208" s="526"/>
      <c r="G1208" s="527"/>
      <c r="H1208" s="527"/>
      <c r="I1208" s="527"/>
      <c r="J1208" s="527"/>
      <c r="K1208" s="527"/>
      <c r="L1208" s="527"/>
      <c r="M1208" s="527"/>
    </row>
    <row r="1209" ht="15.75" customHeight="1">
      <c r="A1209" s="523"/>
      <c r="B1209" s="509"/>
      <c r="C1209" s="509"/>
      <c r="D1209" s="522"/>
      <c r="E1209" s="526"/>
      <c r="F1209" s="526"/>
      <c r="G1209" s="527"/>
      <c r="H1209" s="527"/>
      <c r="I1209" s="527"/>
      <c r="J1209" s="527"/>
      <c r="K1209" s="527"/>
      <c r="L1209" s="527"/>
      <c r="M1209" s="527"/>
    </row>
    <row r="1210" ht="15.75" customHeight="1">
      <c r="A1210" s="523"/>
      <c r="B1210" s="509"/>
      <c r="C1210" s="509"/>
      <c r="D1210" s="522"/>
      <c r="E1210" s="526"/>
      <c r="F1210" s="526"/>
      <c r="G1210" s="527"/>
      <c r="H1210" s="527"/>
      <c r="I1210" s="527"/>
      <c r="J1210" s="527"/>
      <c r="K1210" s="527"/>
      <c r="L1210" s="527"/>
      <c r="M1210" s="527"/>
    </row>
    <row r="1211" ht="15.75" customHeight="1">
      <c r="A1211" s="523"/>
      <c r="B1211" s="509"/>
      <c r="C1211" s="509"/>
      <c r="D1211" s="522"/>
      <c r="E1211" s="526"/>
      <c r="F1211" s="526"/>
      <c r="G1211" s="527"/>
      <c r="H1211" s="527"/>
      <c r="I1211" s="527"/>
      <c r="J1211" s="527"/>
      <c r="K1211" s="527"/>
      <c r="L1211" s="527"/>
      <c r="M1211" s="527"/>
    </row>
    <row r="1212" ht="15.75" customHeight="1">
      <c r="A1212" s="523"/>
      <c r="B1212" s="509"/>
      <c r="C1212" s="509"/>
      <c r="D1212" s="522"/>
      <c r="E1212" s="526"/>
      <c r="F1212" s="526"/>
      <c r="G1212" s="527"/>
      <c r="H1212" s="527"/>
      <c r="I1212" s="527"/>
      <c r="J1212" s="527"/>
      <c r="K1212" s="527"/>
      <c r="L1212" s="527"/>
      <c r="M1212" s="527"/>
    </row>
    <row r="1213" ht="15.75" customHeight="1">
      <c r="A1213" s="523"/>
      <c r="B1213" s="509"/>
      <c r="C1213" s="509"/>
      <c r="D1213" s="522"/>
      <c r="E1213" s="526"/>
      <c r="F1213" s="526"/>
      <c r="G1213" s="527"/>
      <c r="H1213" s="527"/>
      <c r="I1213" s="527"/>
      <c r="J1213" s="527"/>
      <c r="K1213" s="527"/>
      <c r="L1213" s="527"/>
      <c r="M1213" s="527"/>
    </row>
    <row r="1214" ht="15.75" customHeight="1">
      <c r="A1214" s="523"/>
      <c r="B1214" s="509"/>
      <c r="C1214" s="509"/>
      <c r="D1214" s="522"/>
      <c r="E1214" s="526"/>
      <c r="F1214" s="526"/>
      <c r="G1214" s="527"/>
      <c r="H1214" s="527"/>
      <c r="I1214" s="527"/>
      <c r="J1214" s="527"/>
      <c r="K1214" s="527"/>
      <c r="L1214" s="527"/>
      <c r="M1214" s="527"/>
    </row>
    <row r="1215" ht="15.75" customHeight="1">
      <c r="A1215" s="523"/>
      <c r="B1215" s="509"/>
      <c r="C1215" s="509"/>
      <c r="D1215" s="522"/>
      <c r="E1215" s="526"/>
      <c r="F1215" s="526"/>
      <c r="G1215" s="527"/>
      <c r="H1215" s="527"/>
      <c r="I1215" s="527"/>
      <c r="J1215" s="527"/>
      <c r="K1215" s="527"/>
      <c r="L1215" s="527"/>
      <c r="M1215" s="527"/>
    </row>
    <row r="1216" ht="15.75" customHeight="1">
      <c r="A1216" s="523"/>
      <c r="B1216" s="509"/>
      <c r="C1216" s="509"/>
      <c r="D1216" s="522"/>
      <c r="E1216" s="526"/>
      <c r="F1216" s="526"/>
      <c r="G1216" s="527"/>
      <c r="H1216" s="527"/>
      <c r="I1216" s="527"/>
      <c r="J1216" s="527"/>
      <c r="K1216" s="527"/>
      <c r="L1216" s="527"/>
      <c r="M1216" s="527"/>
    </row>
    <row r="1217" ht="15.75" customHeight="1">
      <c r="A1217" s="523"/>
      <c r="B1217" s="509"/>
      <c r="C1217" s="509"/>
      <c r="D1217" s="522"/>
      <c r="E1217" s="526"/>
      <c r="F1217" s="526"/>
      <c r="G1217" s="527"/>
      <c r="H1217" s="527"/>
      <c r="I1217" s="527"/>
      <c r="J1217" s="527"/>
      <c r="K1217" s="527"/>
      <c r="L1217" s="527"/>
      <c r="M1217" s="527"/>
    </row>
    <row r="1218" ht="15.75" customHeight="1">
      <c r="A1218" s="523"/>
      <c r="B1218" s="509"/>
      <c r="C1218" s="509"/>
      <c r="D1218" s="522"/>
      <c r="E1218" s="526"/>
      <c r="F1218" s="526"/>
      <c r="G1218" s="527"/>
      <c r="H1218" s="527"/>
      <c r="I1218" s="527"/>
      <c r="J1218" s="527"/>
      <c r="K1218" s="527"/>
      <c r="L1218" s="527"/>
      <c r="M1218" s="527"/>
    </row>
    <row r="1219" ht="15.75" customHeight="1">
      <c r="A1219" s="523"/>
      <c r="B1219" s="509"/>
      <c r="C1219" s="509"/>
      <c r="D1219" s="522"/>
      <c r="E1219" s="526"/>
      <c r="F1219" s="526"/>
      <c r="G1219" s="527"/>
      <c r="H1219" s="527"/>
      <c r="I1219" s="527"/>
      <c r="J1219" s="527"/>
      <c r="K1219" s="527"/>
      <c r="L1219" s="527"/>
      <c r="M1219" s="527"/>
    </row>
    <row r="1220" ht="15.75" customHeight="1">
      <c r="A1220" s="523"/>
      <c r="B1220" s="509"/>
      <c r="C1220" s="509"/>
      <c r="D1220" s="522"/>
      <c r="E1220" s="526"/>
      <c r="F1220" s="526"/>
      <c r="G1220" s="527"/>
      <c r="H1220" s="527"/>
      <c r="I1220" s="527"/>
      <c r="J1220" s="527"/>
      <c r="K1220" s="527"/>
      <c r="L1220" s="527"/>
      <c r="M1220" s="527"/>
    </row>
    <row r="1221" ht="15.75" customHeight="1">
      <c r="A1221" s="523"/>
      <c r="B1221" s="509"/>
      <c r="C1221" s="509"/>
      <c r="D1221" s="522"/>
      <c r="E1221" s="526"/>
      <c r="F1221" s="526"/>
      <c r="G1221" s="527"/>
      <c r="H1221" s="527"/>
      <c r="I1221" s="527"/>
      <c r="J1221" s="527"/>
      <c r="K1221" s="527"/>
      <c r="L1221" s="527"/>
      <c r="M1221" s="527"/>
    </row>
    <row r="1222" ht="15.75" customHeight="1">
      <c r="A1222" s="523"/>
      <c r="B1222" s="509"/>
      <c r="C1222" s="509"/>
      <c r="D1222" s="522"/>
      <c r="E1222" s="526"/>
      <c r="F1222" s="526"/>
      <c r="G1222" s="527"/>
      <c r="H1222" s="527"/>
      <c r="I1222" s="527"/>
      <c r="J1222" s="527"/>
      <c r="K1222" s="527"/>
      <c r="L1222" s="527"/>
      <c r="M1222" s="527"/>
    </row>
    <row r="1223" ht="15.75" customHeight="1">
      <c r="A1223" s="523"/>
      <c r="B1223" s="509"/>
      <c r="C1223" s="509"/>
      <c r="D1223" s="522"/>
      <c r="E1223" s="526"/>
      <c r="F1223" s="526"/>
      <c r="G1223" s="527"/>
      <c r="H1223" s="527"/>
      <c r="I1223" s="527"/>
      <c r="J1223" s="527"/>
      <c r="K1223" s="527"/>
      <c r="L1223" s="527"/>
      <c r="M1223" s="527"/>
    </row>
    <row r="1224" ht="15.75" customHeight="1">
      <c r="A1224" s="523"/>
      <c r="B1224" s="509"/>
      <c r="C1224" s="509"/>
      <c r="D1224" s="522"/>
      <c r="E1224" s="526"/>
      <c r="F1224" s="526"/>
      <c r="G1224" s="527"/>
      <c r="H1224" s="527"/>
      <c r="I1224" s="527"/>
      <c r="J1224" s="527"/>
      <c r="K1224" s="527"/>
      <c r="L1224" s="527"/>
      <c r="M1224" s="527"/>
    </row>
    <row r="1225" ht="15.75" customHeight="1">
      <c r="A1225" s="523"/>
      <c r="B1225" s="509"/>
      <c r="C1225" s="509"/>
      <c r="D1225" s="522"/>
      <c r="E1225" s="526"/>
      <c r="F1225" s="526"/>
      <c r="G1225" s="527"/>
      <c r="H1225" s="527"/>
      <c r="I1225" s="527"/>
      <c r="J1225" s="527"/>
      <c r="K1225" s="527"/>
      <c r="L1225" s="527"/>
      <c r="M1225" s="527"/>
    </row>
    <row r="1226" ht="15.75" customHeight="1">
      <c r="A1226" s="523"/>
      <c r="B1226" s="509"/>
      <c r="C1226" s="509"/>
      <c r="D1226" s="522"/>
      <c r="E1226" s="526"/>
      <c r="F1226" s="526"/>
      <c r="G1226" s="527"/>
      <c r="H1226" s="527"/>
      <c r="I1226" s="527"/>
      <c r="J1226" s="527"/>
      <c r="K1226" s="527"/>
      <c r="L1226" s="527"/>
      <c r="M1226" s="527"/>
    </row>
    <row r="1227" ht="15.75" customHeight="1">
      <c r="A1227" s="523"/>
      <c r="B1227" s="509"/>
      <c r="C1227" s="509"/>
      <c r="D1227" s="522"/>
      <c r="E1227" s="526"/>
      <c r="F1227" s="526"/>
      <c r="G1227" s="527"/>
      <c r="H1227" s="527"/>
      <c r="I1227" s="527"/>
      <c r="J1227" s="527"/>
      <c r="K1227" s="527"/>
      <c r="L1227" s="527"/>
      <c r="M1227" s="527"/>
    </row>
    <row r="1228" ht="15.75" customHeight="1">
      <c r="A1228" s="523"/>
      <c r="B1228" s="509"/>
      <c r="C1228" s="509"/>
      <c r="D1228" s="522"/>
      <c r="E1228" s="526"/>
      <c r="F1228" s="526"/>
      <c r="G1228" s="527"/>
      <c r="H1228" s="527"/>
      <c r="I1228" s="527"/>
      <c r="J1228" s="527"/>
      <c r="K1228" s="527"/>
      <c r="L1228" s="527"/>
      <c r="M1228" s="527"/>
    </row>
    <row r="1229" ht="15.75" customHeight="1">
      <c r="A1229" s="523"/>
      <c r="B1229" s="509"/>
      <c r="C1229" s="509"/>
      <c r="D1229" s="522"/>
      <c r="E1229" s="526"/>
      <c r="F1229" s="526"/>
      <c r="G1229" s="527"/>
      <c r="H1229" s="527"/>
      <c r="I1229" s="527"/>
      <c r="J1229" s="527"/>
      <c r="K1229" s="527"/>
      <c r="L1229" s="527"/>
      <c r="M1229" s="527"/>
    </row>
    <row r="1230" ht="15.75" customHeight="1">
      <c r="A1230" s="523"/>
      <c r="B1230" s="509"/>
      <c r="C1230" s="509"/>
      <c r="D1230" s="522"/>
      <c r="E1230" s="526"/>
      <c r="F1230" s="526"/>
      <c r="G1230" s="527"/>
      <c r="H1230" s="527"/>
      <c r="I1230" s="527"/>
      <c r="J1230" s="527"/>
      <c r="K1230" s="527"/>
      <c r="L1230" s="527"/>
      <c r="M1230" s="527"/>
    </row>
    <row r="1231" ht="15.75" customHeight="1">
      <c r="A1231" s="523"/>
      <c r="B1231" s="509"/>
      <c r="C1231" s="509"/>
      <c r="D1231" s="522"/>
      <c r="E1231" s="526"/>
      <c r="F1231" s="526"/>
      <c r="G1231" s="527"/>
      <c r="H1231" s="527"/>
      <c r="I1231" s="527"/>
      <c r="J1231" s="527"/>
      <c r="K1231" s="527"/>
      <c r="L1231" s="527"/>
      <c r="M1231" s="527"/>
    </row>
    <row r="1232" ht="15.75" customHeight="1">
      <c r="A1232" s="523"/>
      <c r="B1232" s="509"/>
      <c r="C1232" s="509"/>
      <c r="D1232" s="522"/>
      <c r="E1232" s="526"/>
      <c r="F1232" s="526"/>
      <c r="G1232" s="527"/>
      <c r="H1232" s="527"/>
      <c r="I1232" s="527"/>
      <c r="J1232" s="527"/>
      <c r="K1232" s="527"/>
      <c r="L1232" s="527"/>
      <c r="M1232" s="527"/>
    </row>
    <row r="1233" ht="15.75" customHeight="1">
      <c r="A1233" s="523"/>
      <c r="B1233" s="509"/>
      <c r="C1233" s="509"/>
      <c r="D1233" s="522"/>
      <c r="E1233" s="526"/>
      <c r="F1233" s="526"/>
      <c r="G1233" s="527"/>
      <c r="H1233" s="527"/>
      <c r="I1233" s="527"/>
      <c r="J1233" s="527"/>
      <c r="K1233" s="527"/>
      <c r="L1233" s="527"/>
      <c r="M1233" s="527"/>
    </row>
    <row r="1234" ht="15.75" customHeight="1">
      <c r="A1234" s="523"/>
      <c r="B1234" s="509"/>
      <c r="C1234" s="509"/>
      <c r="D1234" s="522"/>
      <c r="E1234" s="526"/>
      <c r="F1234" s="526"/>
      <c r="G1234" s="527"/>
      <c r="H1234" s="527"/>
      <c r="I1234" s="527"/>
      <c r="J1234" s="527"/>
      <c r="K1234" s="527"/>
      <c r="L1234" s="527"/>
      <c r="M1234" s="527"/>
    </row>
    <row r="1235" ht="15.75" customHeight="1">
      <c r="A1235" s="523"/>
      <c r="B1235" s="509"/>
      <c r="C1235" s="509"/>
      <c r="D1235" s="522"/>
      <c r="E1235" s="526"/>
      <c r="F1235" s="526"/>
      <c r="G1235" s="527"/>
      <c r="H1235" s="527"/>
      <c r="I1235" s="527"/>
      <c r="J1235" s="527"/>
      <c r="K1235" s="527"/>
      <c r="L1235" s="527"/>
      <c r="M1235" s="527"/>
    </row>
    <row r="1236" ht="15.75" customHeight="1">
      <c r="A1236" s="523"/>
      <c r="B1236" s="509"/>
      <c r="C1236" s="509"/>
      <c r="D1236" s="522"/>
      <c r="E1236" s="526"/>
      <c r="F1236" s="526"/>
      <c r="G1236" s="527"/>
      <c r="H1236" s="527"/>
      <c r="I1236" s="527"/>
      <c r="J1236" s="527"/>
      <c r="K1236" s="527"/>
      <c r="L1236" s="527"/>
      <c r="M1236" s="527"/>
    </row>
    <row r="1237" ht="15.75" customHeight="1">
      <c r="A1237" s="523"/>
      <c r="B1237" s="509"/>
      <c r="C1237" s="509"/>
      <c r="D1237" s="522"/>
      <c r="E1237" s="526"/>
      <c r="F1237" s="526"/>
      <c r="G1237" s="527"/>
      <c r="H1237" s="527"/>
      <c r="I1237" s="527"/>
      <c r="J1237" s="527"/>
      <c r="K1237" s="527"/>
      <c r="L1237" s="527"/>
      <c r="M1237" s="527"/>
    </row>
    <row r="1238" ht="15.75" customHeight="1">
      <c r="A1238" s="523"/>
      <c r="B1238" s="509"/>
      <c r="C1238" s="509"/>
      <c r="D1238" s="522"/>
      <c r="E1238" s="526"/>
      <c r="F1238" s="526"/>
      <c r="G1238" s="527"/>
      <c r="H1238" s="527"/>
      <c r="I1238" s="527"/>
      <c r="J1238" s="527"/>
      <c r="K1238" s="527"/>
      <c r="L1238" s="527"/>
      <c r="M1238" s="527"/>
    </row>
    <row r="1239" ht="15.75" customHeight="1">
      <c r="A1239" s="523"/>
      <c r="B1239" s="509"/>
      <c r="C1239" s="509"/>
      <c r="D1239" s="522"/>
      <c r="E1239" s="526"/>
      <c r="F1239" s="526"/>
      <c r="G1239" s="527"/>
      <c r="H1239" s="527"/>
      <c r="I1239" s="527"/>
      <c r="J1239" s="527"/>
      <c r="K1239" s="527"/>
      <c r="L1239" s="527"/>
      <c r="M1239" s="527"/>
    </row>
    <row r="1240" ht="15.75" customHeight="1">
      <c r="A1240" s="523"/>
      <c r="B1240" s="509"/>
      <c r="C1240" s="509"/>
      <c r="D1240" s="522"/>
      <c r="E1240" s="526"/>
      <c r="F1240" s="526"/>
      <c r="G1240" s="527"/>
      <c r="H1240" s="527"/>
      <c r="I1240" s="527"/>
      <c r="J1240" s="527"/>
      <c r="K1240" s="527"/>
      <c r="L1240" s="527"/>
      <c r="M1240" s="527"/>
    </row>
    <row r="1241" ht="15.75" customHeight="1">
      <c r="A1241" s="523"/>
      <c r="B1241" s="509"/>
      <c r="C1241" s="509"/>
      <c r="D1241" s="522"/>
      <c r="E1241" s="526"/>
      <c r="F1241" s="526"/>
      <c r="G1241" s="527"/>
      <c r="H1241" s="527"/>
      <c r="I1241" s="527"/>
      <c r="J1241" s="527"/>
      <c r="K1241" s="527"/>
      <c r="L1241" s="527"/>
      <c r="M1241" s="527"/>
    </row>
    <row r="1242" ht="15.75" customHeight="1">
      <c r="A1242" s="523"/>
      <c r="B1242" s="509"/>
      <c r="C1242" s="509"/>
      <c r="D1242" s="522"/>
      <c r="E1242" s="526"/>
      <c r="F1242" s="526"/>
      <c r="G1242" s="527"/>
      <c r="H1242" s="527"/>
      <c r="I1242" s="527"/>
      <c r="J1242" s="527"/>
      <c r="K1242" s="527"/>
      <c r="L1242" s="527"/>
      <c r="M1242" s="527"/>
    </row>
    <row r="1243" ht="15.75" customHeight="1">
      <c r="A1243" s="523"/>
      <c r="B1243" s="509"/>
      <c r="C1243" s="509"/>
      <c r="D1243" s="522"/>
      <c r="E1243" s="526"/>
      <c r="F1243" s="526"/>
      <c r="G1243" s="527"/>
      <c r="H1243" s="527"/>
      <c r="I1243" s="527"/>
      <c r="J1243" s="527"/>
      <c r="K1243" s="527"/>
      <c r="L1243" s="527"/>
      <c r="M1243" s="527"/>
    </row>
    <row r="1244" ht="15.75" customHeight="1">
      <c r="A1244" s="523"/>
      <c r="B1244" s="509"/>
      <c r="C1244" s="509"/>
      <c r="D1244" s="522"/>
      <c r="E1244" s="526"/>
      <c r="F1244" s="526"/>
      <c r="G1244" s="527"/>
      <c r="H1244" s="527"/>
      <c r="I1244" s="527"/>
      <c r="J1244" s="527"/>
      <c r="K1244" s="527"/>
      <c r="L1244" s="527"/>
      <c r="M1244" s="527"/>
    </row>
    <row r="1245" ht="15.75" customHeight="1">
      <c r="A1245" s="523"/>
      <c r="B1245" s="509"/>
      <c r="C1245" s="509"/>
      <c r="D1245" s="522"/>
      <c r="E1245" s="526"/>
      <c r="F1245" s="526"/>
      <c r="G1245" s="527"/>
      <c r="H1245" s="527"/>
      <c r="I1245" s="527"/>
      <c r="J1245" s="527"/>
      <c r="K1245" s="527"/>
      <c r="L1245" s="527"/>
      <c r="M1245" s="527"/>
    </row>
    <row r="1246" ht="15.75" customHeight="1">
      <c r="A1246" s="523"/>
      <c r="B1246" s="509"/>
      <c r="C1246" s="509"/>
      <c r="D1246" s="522"/>
      <c r="E1246" s="526"/>
      <c r="F1246" s="526"/>
      <c r="G1246" s="527"/>
      <c r="H1246" s="527"/>
      <c r="I1246" s="527"/>
      <c r="J1246" s="527"/>
      <c r="K1246" s="527"/>
      <c r="L1246" s="527"/>
      <c r="M1246" s="527"/>
    </row>
    <row r="1247" ht="15.75" customHeight="1">
      <c r="A1247" s="523"/>
      <c r="B1247" s="509"/>
      <c r="C1247" s="509"/>
      <c r="D1247" s="522"/>
      <c r="E1247" s="526"/>
      <c r="F1247" s="526"/>
      <c r="G1247" s="527"/>
      <c r="H1247" s="527"/>
      <c r="I1247" s="527"/>
      <c r="J1247" s="527"/>
      <c r="K1247" s="527"/>
      <c r="L1247" s="527"/>
      <c r="M1247" s="527"/>
    </row>
    <row r="1248" ht="15.75" customHeight="1">
      <c r="A1248" s="523"/>
      <c r="B1248" s="509"/>
      <c r="C1248" s="509"/>
      <c r="D1248" s="522"/>
      <c r="E1248" s="526"/>
      <c r="F1248" s="526"/>
      <c r="G1248" s="527"/>
      <c r="H1248" s="527"/>
      <c r="I1248" s="527"/>
      <c r="J1248" s="527"/>
      <c r="K1248" s="527"/>
      <c r="L1248" s="527"/>
      <c r="M1248" s="527"/>
    </row>
    <row r="1249" ht="15.75" customHeight="1">
      <c r="A1249" s="523"/>
      <c r="B1249" s="509"/>
      <c r="C1249" s="509"/>
      <c r="D1249" s="522"/>
      <c r="E1249" s="526"/>
      <c r="F1249" s="526"/>
      <c r="G1249" s="527"/>
      <c r="H1249" s="527"/>
      <c r="I1249" s="527"/>
      <c r="J1249" s="527"/>
      <c r="K1249" s="527"/>
      <c r="L1249" s="527"/>
      <c r="M1249" s="527"/>
    </row>
    <row r="1250" ht="15.75" customHeight="1">
      <c r="A1250" s="523"/>
      <c r="B1250" s="509"/>
      <c r="C1250" s="509"/>
      <c r="D1250" s="522"/>
      <c r="E1250" s="526"/>
      <c r="F1250" s="526"/>
      <c r="G1250" s="527"/>
      <c r="H1250" s="527"/>
      <c r="I1250" s="527"/>
      <c r="J1250" s="527"/>
      <c r="K1250" s="527"/>
      <c r="L1250" s="527"/>
      <c r="M1250" s="527"/>
    </row>
    <row r="1251" ht="15.75" customHeight="1">
      <c r="A1251" s="523"/>
      <c r="B1251" s="509"/>
      <c r="C1251" s="509"/>
      <c r="D1251" s="522"/>
      <c r="E1251" s="526"/>
      <c r="F1251" s="526"/>
      <c r="G1251" s="527"/>
      <c r="H1251" s="527"/>
      <c r="I1251" s="527"/>
      <c r="J1251" s="527"/>
      <c r="K1251" s="527"/>
      <c r="L1251" s="527"/>
      <c r="M1251" s="527"/>
    </row>
    <row r="1252" ht="15.75" customHeight="1">
      <c r="A1252" s="523"/>
      <c r="B1252" s="509"/>
      <c r="C1252" s="509"/>
      <c r="D1252" s="522"/>
      <c r="E1252" s="526"/>
      <c r="F1252" s="526"/>
      <c r="G1252" s="527"/>
      <c r="H1252" s="527"/>
      <c r="I1252" s="527"/>
      <c r="J1252" s="527"/>
      <c r="K1252" s="527"/>
      <c r="L1252" s="527"/>
      <c r="M1252" s="527"/>
    </row>
    <row r="1253" ht="15.75" customHeight="1">
      <c r="A1253" s="523"/>
      <c r="B1253" s="509"/>
      <c r="C1253" s="509"/>
      <c r="D1253" s="522"/>
      <c r="E1253" s="526"/>
      <c r="F1253" s="526"/>
      <c r="G1253" s="527"/>
      <c r="H1253" s="527"/>
      <c r="I1253" s="527"/>
      <c r="J1253" s="527"/>
      <c r="K1253" s="527"/>
      <c r="L1253" s="527"/>
      <c r="M1253" s="527"/>
    </row>
    <row r="1254" ht="15.75" customHeight="1">
      <c r="A1254" s="523"/>
      <c r="B1254" s="509"/>
      <c r="C1254" s="509"/>
      <c r="D1254" s="522"/>
      <c r="E1254" s="526"/>
      <c r="F1254" s="526"/>
      <c r="G1254" s="527"/>
      <c r="H1254" s="527"/>
      <c r="I1254" s="527"/>
      <c r="J1254" s="527"/>
      <c r="K1254" s="527"/>
      <c r="L1254" s="527"/>
      <c r="M1254" s="527"/>
    </row>
    <row r="1255" ht="15.75" customHeight="1">
      <c r="A1255" s="523"/>
      <c r="B1255" s="509"/>
      <c r="C1255" s="509"/>
      <c r="D1255" s="522"/>
      <c r="E1255" s="526"/>
      <c r="F1255" s="526"/>
      <c r="G1255" s="527"/>
      <c r="H1255" s="527"/>
      <c r="I1255" s="527"/>
      <c r="J1255" s="527"/>
      <c r="K1255" s="527"/>
      <c r="L1255" s="527"/>
      <c r="M1255" s="527"/>
    </row>
    <row r="1256" ht="15.75" customHeight="1">
      <c r="A1256" s="523"/>
      <c r="B1256" s="509"/>
      <c r="C1256" s="509"/>
      <c r="D1256" s="522"/>
      <c r="E1256" s="526"/>
      <c r="F1256" s="526"/>
      <c r="G1256" s="527"/>
      <c r="H1256" s="527"/>
      <c r="I1256" s="527"/>
      <c r="J1256" s="527"/>
      <c r="K1256" s="527"/>
      <c r="L1256" s="527"/>
      <c r="M1256" s="527"/>
    </row>
    <row r="1257" ht="15.75" customHeight="1">
      <c r="A1257" s="523"/>
      <c r="B1257" s="509"/>
      <c r="C1257" s="509"/>
      <c r="D1257" s="522"/>
      <c r="E1257" s="526"/>
      <c r="F1257" s="526"/>
      <c r="G1257" s="527"/>
      <c r="H1257" s="527"/>
      <c r="I1257" s="527"/>
      <c r="J1257" s="527"/>
      <c r="K1257" s="527"/>
      <c r="L1257" s="527"/>
      <c r="M1257" s="527"/>
    </row>
    <row r="1258" ht="15.75" customHeight="1">
      <c r="A1258" s="523"/>
      <c r="B1258" s="509"/>
      <c r="C1258" s="509"/>
      <c r="D1258" s="522"/>
      <c r="E1258" s="526"/>
      <c r="F1258" s="526"/>
      <c r="G1258" s="527"/>
      <c r="H1258" s="527"/>
      <c r="I1258" s="527"/>
      <c r="J1258" s="527"/>
      <c r="K1258" s="527"/>
      <c r="L1258" s="527"/>
      <c r="M1258" s="527"/>
    </row>
    <row r="1259" ht="15.75" customHeight="1">
      <c r="A1259" s="523"/>
      <c r="B1259" s="509"/>
      <c r="C1259" s="509"/>
      <c r="D1259" s="522"/>
      <c r="E1259" s="526"/>
      <c r="F1259" s="526"/>
      <c r="G1259" s="527"/>
      <c r="H1259" s="527"/>
      <c r="I1259" s="527"/>
      <c r="J1259" s="527"/>
      <c r="K1259" s="527"/>
      <c r="L1259" s="527"/>
      <c r="M1259" s="527"/>
    </row>
    <row r="1260" ht="15.75" customHeight="1">
      <c r="A1260" s="523"/>
      <c r="B1260" s="509"/>
      <c r="C1260" s="509"/>
      <c r="D1260" s="522"/>
      <c r="E1260" s="526"/>
      <c r="F1260" s="526"/>
      <c r="G1260" s="527"/>
      <c r="H1260" s="527"/>
      <c r="I1260" s="527"/>
      <c r="J1260" s="527"/>
      <c r="K1260" s="527"/>
      <c r="L1260" s="527"/>
      <c r="M1260" s="527"/>
    </row>
    <row r="1261" ht="15.75" customHeight="1">
      <c r="A1261" s="523"/>
      <c r="B1261" s="509"/>
      <c r="C1261" s="509"/>
      <c r="D1261" s="522"/>
      <c r="E1261" s="526"/>
      <c r="F1261" s="526"/>
      <c r="G1261" s="527"/>
      <c r="H1261" s="527"/>
      <c r="I1261" s="527"/>
      <c r="J1261" s="527"/>
      <c r="K1261" s="527"/>
      <c r="L1261" s="527"/>
      <c r="M1261" s="527"/>
    </row>
    <row r="1262" ht="15.75" customHeight="1">
      <c r="A1262" s="523"/>
      <c r="B1262" s="509"/>
      <c r="C1262" s="509"/>
      <c r="D1262" s="522"/>
      <c r="E1262" s="526"/>
      <c r="F1262" s="526"/>
      <c r="G1262" s="527"/>
      <c r="H1262" s="527"/>
      <c r="I1262" s="527"/>
      <c r="J1262" s="527"/>
      <c r="K1262" s="527"/>
      <c r="L1262" s="527"/>
      <c r="M1262" s="527"/>
    </row>
    <row r="1263" ht="15.75" customHeight="1">
      <c r="A1263" s="523"/>
      <c r="B1263" s="509"/>
      <c r="C1263" s="509"/>
      <c r="D1263" s="522"/>
      <c r="E1263" s="526"/>
      <c r="F1263" s="526"/>
      <c r="G1263" s="527"/>
      <c r="H1263" s="527"/>
      <c r="I1263" s="527"/>
      <c r="J1263" s="527"/>
      <c r="K1263" s="527"/>
      <c r="L1263" s="527"/>
      <c r="M1263" s="527"/>
    </row>
    <row r="1264" ht="15.75" customHeight="1">
      <c r="A1264" s="523"/>
      <c r="B1264" s="509"/>
      <c r="C1264" s="509"/>
      <c r="D1264" s="522"/>
      <c r="E1264" s="526"/>
      <c r="F1264" s="526"/>
      <c r="G1264" s="527"/>
      <c r="H1264" s="527"/>
      <c r="I1264" s="527"/>
      <c r="J1264" s="527"/>
      <c r="K1264" s="527"/>
      <c r="L1264" s="527"/>
      <c r="M1264" s="527"/>
    </row>
    <row r="1265" ht="15.75" customHeight="1">
      <c r="A1265" s="523"/>
      <c r="B1265" s="509"/>
      <c r="C1265" s="509"/>
      <c r="D1265" s="522"/>
      <c r="E1265" s="526"/>
      <c r="F1265" s="526"/>
      <c r="G1265" s="527"/>
      <c r="H1265" s="527"/>
      <c r="I1265" s="527"/>
      <c r="J1265" s="527"/>
      <c r="K1265" s="527"/>
      <c r="L1265" s="527"/>
      <c r="M1265" s="527"/>
    </row>
    <row r="1266" ht="15.75" customHeight="1">
      <c r="A1266" s="523"/>
      <c r="B1266" s="509"/>
      <c r="C1266" s="509"/>
      <c r="D1266" s="522"/>
      <c r="E1266" s="526"/>
      <c r="F1266" s="526"/>
      <c r="G1266" s="527"/>
      <c r="H1266" s="527"/>
      <c r="I1266" s="527"/>
      <c r="J1266" s="527"/>
      <c r="K1266" s="527"/>
      <c r="L1266" s="527"/>
      <c r="M1266" s="527"/>
    </row>
    <row r="1267" ht="15.75" customHeight="1">
      <c r="A1267" s="523"/>
      <c r="B1267" s="509"/>
      <c r="C1267" s="509"/>
      <c r="D1267" s="522"/>
      <c r="E1267" s="526"/>
      <c r="F1267" s="526"/>
      <c r="G1267" s="527"/>
      <c r="H1267" s="527"/>
      <c r="I1267" s="527"/>
      <c r="J1267" s="527"/>
      <c r="K1267" s="527"/>
      <c r="L1267" s="527"/>
      <c r="M1267" s="527"/>
    </row>
    <row r="1268" ht="15.75" customHeight="1">
      <c r="A1268" s="523"/>
      <c r="B1268" s="509"/>
      <c r="C1268" s="509"/>
      <c r="D1268" s="522"/>
      <c r="E1268" s="526"/>
      <c r="F1268" s="526"/>
      <c r="G1268" s="527"/>
      <c r="H1268" s="527"/>
      <c r="I1268" s="527"/>
      <c r="J1268" s="527"/>
      <c r="K1268" s="527"/>
      <c r="L1268" s="527"/>
      <c r="M1268" s="527"/>
    </row>
    <row r="1269" ht="15.75" customHeight="1">
      <c r="A1269" s="523"/>
      <c r="B1269" s="509"/>
      <c r="C1269" s="509"/>
      <c r="D1269" s="522"/>
      <c r="E1269" s="526"/>
      <c r="F1269" s="526"/>
      <c r="G1269" s="527"/>
      <c r="H1269" s="527"/>
      <c r="I1269" s="527"/>
      <c r="J1269" s="527"/>
      <c r="K1269" s="527"/>
      <c r="L1269" s="527"/>
      <c r="M1269" s="527"/>
    </row>
    <row r="1270" ht="15.75" customHeight="1">
      <c r="A1270" s="523"/>
      <c r="B1270" s="509"/>
      <c r="C1270" s="509"/>
      <c r="D1270" s="522"/>
      <c r="E1270" s="526"/>
      <c r="F1270" s="526"/>
      <c r="G1270" s="527"/>
      <c r="H1270" s="527"/>
      <c r="I1270" s="527"/>
      <c r="J1270" s="527"/>
      <c r="K1270" s="527"/>
      <c r="L1270" s="527"/>
      <c r="M1270" s="527"/>
    </row>
    <row r="1271" ht="15.75" customHeight="1">
      <c r="A1271" s="523"/>
      <c r="B1271" s="509"/>
      <c r="C1271" s="509"/>
      <c r="D1271" s="522"/>
      <c r="E1271" s="526"/>
      <c r="F1271" s="526"/>
      <c r="G1271" s="527"/>
      <c r="H1271" s="527"/>
      <c r="I1271" s="527"/>
      <c r="J1271" s="527"/>
      <c r="K1271" s="527"/>
      <c r="L1271" s="527"/>
      <c r="M1271" s="527"/>
    </row>
    <row r="1272" ht="15.75" customHeight="1">
      <c r="A1272" s="523"/>
      <c r="B1272" s="509"/>
      <c r="C1272" s="509"/>
      <c r="D1272" s="522"/>
      <c r="E1272" s="526"/>
      <c r="F1272" s="526"/>
      <c r="G1272" s="527"/>
      <c r="H1272" s="527"/>
      <c r="I1272" s="527"/>
      <c r="J1272" s="527"/>
      <c r="K1272" s="527"/>
      <c r="L1272" s="527"/>
      <c r="M1272" s="527"/>
    </row>
    <row r="1273" ht="15.75" customHeight="1">
      <c r="A1273" s="523"/>
      <c r="B1273" s="509"/>
      <c r="C1273" s="509"/>
      <c r="D1273" s="522"/>
      <c r="E1273" s="526"/>
      <c r="F1273" s="526"/>
      <c r="G1273" s="527"/>
      <c r="H1273" s="527"/>
      <c r="I1273" s="527"/>
      <c r="J1273" s="527"/>
      <c r="K1273" s="527"/>
      <c r="L1273" s="527"/>
      <c r="M1273" s="527"/>
    </row>
    <row r="1274" ht="15.75" customHeight="1">
      <c r="A1274" s="523"/>
      <c r="B1274" s="509"/>
      <c r="C1274" s="509"/>
      <c r="D1274" s="522"/>
      <c r="E1274" s="526"/>
      <c r="F1274" s="526"/>
      <c r="G1274" s="527"/>
      <c r="H1274" s="527"/>
      <c r="I1274" s="527"/>
      <c r="J1274" s="527"/>
      <c r="K1274" s="527"/>
      <c r="L1274" s="527"/>
      <c r="M1274" s="527"/>
    </row>
    <row r="1275" ht="15.75" customHeight="1">
      <c r="A1275" s="523"/>
      <c r="B1275" s="509"/>
      <c r="C1275" s="509"/>
      <c r="D1275" s="522"/>
      <c r="E1275" s="526"/>
      <c r="F1275" s="526"/>
      <c r="G1275" s="527"/>
      <c r="H1275" s="527"/>
      <c r="I1275" s="527"/>
      <c r="J1275" s="527"/>
      <c r="K1275" s="527"/>
      <c r="L1275" s="527"/>
      <c r="M1275" s="527"/>
    </row>
    <row r="1276" ht="15.75" customHeight="1">
      <c r="A1276" s="523"/>
      <c r="B1276" s="509"/>
      <c r="C1276" s="509"/>
      <c r="D1276" s="522"/>
      <c r="E1276" s="526"/>
      <c r="F1276" s="526"/>
      <c r="G1276" s="527"/>
      <c r="H1276" s="527"/>
      <c r="I1276" s="527"/>
      <c r="J1276" s="527"/>
      <c r="K1276" s="527"/>
      <c r="L1276" s="527"/>
      <c r="M1276" s="527"/>
    </row>
    <row r="1277" ht="15.75" customHeight="1">
      <c r="A1277" s="523"/>
      <c r="B1277" s="509"/>
      <c r="C1277" s="509"/>
      <c r="D1277" s="522"/>
      <c r="E1277" s="526"/>
      <c r="F1277" s="526"/>
      <c r="G1277" s="527"/>
      <c r="H1277" s="527"/>
      <c r="I1277" s="527"/>
      <c r="J1277" s="527"/>
      <c r="K1277" s="527"/>
      <c r="L1277" s="527"/>
      <c r="M1277" s="527"/>
    </row>
    <row r="1278" ht="15.75" customHeight="1">
      <c r="A1278" s="523"/>
      <c r="B1278" s="509"/>
      <c r="C1278" s="509"/>
      <c r="D1278" s="522"/>
      <c r="E1278" s="526"/>
      <c r="F1278" s="526"/>
      <c r="G1278" s="527"/>
      <c r="H1278" s="527"/>
      <c r="I1278" s="527"/>
      <c r="J1278" s="527"/>
      <c r="K1278" s="527"/>
      <c r="L1278" s="527"/>
      <c r="M1278" s="527"/>
    </row>
    <row r="1279" ht="15.75" customHeight="1">
      <c r="A1279" s="523"/>
      <c r="B1279" s="509"/>
      <c r="C1279" s="509"/>
      <c r="D1279" s="522"/>
      <c r="E1279" s="526"/>
      <c r="F1279" s="526"/>
      <c r="G1279" s="527"/>
      <c r="H1279" s="527"/>
      <c r="I1279" s="527"/>
      <c r="J1279" s="527"/>
      <c r="K1279" s="527"/>
      <c r="L1279" s="527"/>
      <c r="M1279" s="527"/>
    </row>
    <row r="1280" ht="15.75" customHeight="1">
      <c r="A1280" s="523"/>
      <c r="B1280" s="509"/>
      <c r="C1280" s="509"/>
      <c r="D1280" s="522"/>
      <c r="E1280" s="526"/>
      <c r="F1280" s="526"/>
      <c r="G1280" s="527"/>
      <c r="H1280" s="527"/>
      <c r="I1280" s="527"/>
      <c r="J1280" s="527"/>
      <c r="K1280" s="527"/>
      <c r="L1280" s="527"/>
      <c r="M1280" s="527"/>
    </row>
    <row r="1281" ht="15.75" customHeight="1">
      <c r="A1281" s="523"/>
      <c r="B1281" s="509"/>
      <c r="C1281" s="509"/>
      <c r="D1281" s="522"/>
      <c r="E1281" s="526"/>
      <c r="F1281" s="526"/>
      <c r="G1281" s="527"/>
      <c r="H1281" s="527"/>
      <c r="I1281" s="527"/>
      <c r="J1281" s="527"/>
      <c r="K1281" s="527"/>
      <c r="L1281" s="527"/>
      <c r="M1281" s="527"/>
    </row>
    <row r="1282" ht="15.75" customHeight="1">
      <c r="A1282" s="523"/>
      <c r="B1282" s="509"/>
      <c r="C1282" s="509"/>
      <c r="D1282" s="522"/>
      <c r="E1282" s="526"/>
      <c r="F1282" s="526"/>
      <c r="G1282" s="527"/>
      <c r="H1282" s="527"/>
      <c r="I1282" s="527"/>
      <c r="J1282" s="527"/>
      <c r="K1282" s="527"/>
      <c r="L1282" s="527"/>
      <c r="M1282" s="527"/>
    </row>
    <row r="1283" ht="15.75" customHeight="1">
      <c r="A1283" s="523"/>
      <c r="B1283" s="509"/>
      <c r="C1283" s="509"/>
      <c r="D1283" s="522"/>
      <c r="E1283" s="526"/>
      <c r="F1283" s="526"/>
      <c r="G1283" s="527"/>
      <c r="H1283" s="527"/>
      <c r="I1283" s="527"/>
      <c r="J1283" s="527"/>
      <c r="K1283" s="527"/>
      <c r="L1283" s="527"/>
      <c r="M1283" s="527"/>
    </row>
    <row r="1284" ht="15.75" customHeight="1">
      <c r="A1284" s="523"/>
      <c r="B1284" s="509"/>
      <c r="C1284" s="509"/>
      <c r="D1284" s="522"/>
      <c r="E1284" s="526"/>
      <c r="F1284" s="526"/>
      <c r="G1284" s="527"/>
      <c r="H1284" s="527"/>
      <c r="I1284" s="527"/>
      <c r="J1284" s="527"/>
      <c r="K1284" s="527"/>
      <c r="L1284" s="527"/>
      <c r="M1284" s="527"/>
    </row>
    <row r="1285" ht="15.75" customHeight="1">
      <c r="A1285" s="523"/>
      <c r="B1285" s="509"/>
      <c r="C1285" s="509"/>
      <c r="D1285" s="522"/>
      <c r="E1285" s="526"/>
      <c r="F1285" s="526"/>
      <c r="G1285" s="527"/>
      <c r="H1285" s="527"/>
      <c r="I1285" s="527"/>
      <c r="J1285" s="527"/>
      <c r="K1285" s="527"/>
      <c r="L1285" s="527"/>
      <c r="M1285" s="527"/>
    </row>
    <row r="1286" ht="15.75" customHeight="1">
      <c r="A1286" s="523"/>
      <c r="B1286" s="509"/>
      <c r="C1286" s="509"/>
      <c r="D1286" s="522"/>
      <c r="E1286" s="526"/>
      <c r="F1286" s="526"/>
      <c r="G1286" s="527"/>
      <c r="H1286" s="527"/>
      <c r="I1286" s="527"/>
      <c r="J1286" s="527"/>
      <c r="K1286" s="527"/>
      <c r="L1286" s="527"/>
      <c r="M1286" s="527"/>
    </row>
    <row r="1287" ht="15.75" customHeight="1">
      <c r="A1287" s="523"/>
      <c r="B1287" s="509"/>
      <c r="C1287" s="509"/>
      <c r="D1287" s="522"/>
      <c r="E1287" s="526"/>
      <c r="F1287" s="526"/>
      <c r="G1287" s="527"/>
      <c r="H1287" s="527"/>
      <c r="I1287" s="527"/>
      <c r="J1287" s="527"/>
      <c r="K1287" s="527"/>
      <c r="L1287" s="527"/>
      <c r="M1287" s="527"/>
    </row>
    <row r="1288" ht="15.75" customHeight="1">
      <c r="A1288" s="523"/>
      <c r="B1288" s="509"/>
      <c r="C1288" s="509"/>
      <c r="D1288" s="522"/>
      <c r="E1288" s="526"/>
      <c r="F1288" s="526"/>
      <c r="G1288" s="527"/>
      <c r="H1288" s="527"/>
      <c r="I1288" s="527"/>
      <c r="J1288" s="527"/>
      <c r="K1288" s="527"/>
      <c r="L1288" s="527"/>
      <c r="M1288" s="527"/>
    </row>
    <row r="1289" ht="15.75" customHeight="1">
      <c r="A1289" s="523"/>
      <c r="B1289" s="509"/>
      <c r="C1289" s="509"/>
      <c r="D1289" s="522"/>
      <c r="E1289" s="526"/>
      <c r="F1289" s="526"/>
      <c r="G1289" s="527"/>
      <c r="H1289" s="527"/>
      <c r="I1289" s="527"/>
      <c r="J1289" s="527"/>
      <c r="K1289" s="527"/>
      <c r="L1289" s="527"/>
      <c r="M1289" s="527"/>
    </row>
    <row r="1290" ht="15.75" customHeight="1">
      <c r="A1290" s="523"/>
      <c r="B1290" s="509"/>
      <c r="C1290" s="509"/>
      <c r="D1290" s="522"/>
      <c r="E1290" s="526"/>
      <c r="F1290" s="526"/>
      <c r="G1290" s="527"/>
      <c r="H1290" s="527"/>
      <c r="I1290" s="527"/>
      <c r="J1290" s="527"/>
      <c r="K1290" s="527"/>
      <c r="L1290" s="527"/>
      <c r="M1290" s="527"/>
    </row>
    <row r="1291" ht="15.75" customHeight="1">
      <c r="A1291" s="523"/>
      <c r="B1291" s="509"/>
      <c r="C1291" s="509"/>
      <c r="D1291" s="522"/>
      <c r="E1291" s="526"/>
      <c r="F1291" s="526"/>
      <c r="G1291" s="527"/>
      <c r="H1291" s="527"/>
      <c r="I1291" s="527"/>
      <c r="J1291" s="527"/>
      <c r="K1291" s="527"/>
      <c r="L1291" s="527"/>
      <c r="M1291" s="527"/>
    </row>
    <row r="1292" ht="15.75" customHeight="1">
      <c r="A1292" s="523"/>
      <c r="B1292" s="509"/>
      <c r="C1292" s="509"/>
      <c r="D1292" s="522"/>
      <c r="E1292" s="526"/>
      <c r="F1292" s="526"/>
      <c r="G1292" s="527"/>
      <c r="H1292" s="527"/>
      <c r="I1292" s="527"/>
      <c r="J1292" s="527"/>
      <c r="K1292" s="527"/>
      <c r="L1292" s="527"/>
      <c r="M1292" s="527"/>
    </row>
    <row r="1293" ht="15.75" customHeight="1">
      <c r="A1293" s="523"/>
      <c r="B1293" s="509"/>
      <c r="C1293" s="509"/>
      <c r="D1293" s="522"/>
      <c r="E1293" s="526"/>
      <c r="F1293" s="526"/>
      <c r="G1293" s="527"/>
      <c r="H1293" s="527"/>
      <c r="I1293" s="527"/>
      <c r="J1293" s="527"/>
      <c r="K1293" s="527"/>
      <c r="L1293" s="527"/>
      <c r="M1293" s="527"/>
    </row>
    <row r="1294" ht="15.75" customHeight="1">
      <c r="A1294" s="523"/>
      <c r="B1294" s="509"/>
      <c r="C1294" s="509"/>
      <c r="D1294" s="522"/>
      <c r="E1294" s="526"/>
      <c r="F1294" s="526"/>
      <c r="G1294" s="527"/>
      <c r="H1294" s="527"/>
      <c r="I1294" s="527"/>
      <c r="J1294" s="527"/>
      <c r="K1294" s="527"/>
      <c r="L1294" s="527"/>
      <c r="M1294" s="527"/>
    </row>
    <row r="1295" ht="15.75" customHeight="1">
      <c r="A1295" s="523"/>
      <c r="B1295" s="509"/>
      <c r="C1295" s="509"/>
      <c r="D1295" s="522"/>
      <c r="E1295" s="526"/>
      <c r="F1295" s="526"/>
      <c r="G1295" s="527"/>
      <c r="H1295" s="527"/>
      <c r="I1295" s="527"/>
      <c r="J1295" s="527"/>
      <c r="K1295" s="527"/>
      <c r="L1295" s="527"/>
      <c r="M1295" s="527"/>
    </row>
    <row r="1296" ht="15.75" customHeight="1">
      <c r="A1296" s="523"/>
      <c r="B1296" s="509"/>
      <c r="C1296" s="509"/>
      <c r="D1296" s="522"/>
      <c r="E1296" s="526"/>
      <c r="F1296" s="526"/>
      <c r="G1296" s="527"/>
      <c r="H1296" s="527"/>
      <c r="I1296" s="527"/>
      <c r="J1296" s="527"/>
      <c r="K1296" s="527"/>
      <c r="L1296" s="527"/>
      <c r="M1296" s="527"/>
    </row>
    <row r="1297" ht="15.75" customHeight="1">
      <c r="A1297" s="523"/>
      <c r="B1297" s="509"/>
      <c r="C1297" s="509"/>
      <c r="D1297" s="522"/>
      <c r="E1297" s="526"/>
      <c r="F1297" s="526"/>
      <c r="G1297" s="527"/>
      <c r="H1297" s="527"/>
      <c r="I1297" s="527"/>
      <c r="J1297" s="527"/>
      <c r="K1297" s="527"/>
      <c r="L1297" s="527"/>
      <c r="M1297" s="527"/>
    </row>
    <row r="1298" ht="15.75" customHeight="1">
      <c r="A1298" s="523"/>
      <c r="B1298" s="509"/>
      <c r="C1298" s="509"/>
      <c r="D1298" s="522"/>
      <c r="E1298" s="526"/>
      <c r="F1298" s="526"/>
      <c r="G1298" s="527"/>
      <c r="H1298" s="527"/>
      <c r="I1298" s="527"/>
      <c r="J1298" s="527"/>
      <c r="K1298" s="527"/>
      <c r="L1298" s="527"/>
      <c r="M1298" s="527"/>
    </row>
    <row r="1299" ht="15.75" customHeight="1">
      <c r="A1299" s="523"/>
      <c r="B1299" s="509"/>
      <c r="C1299" s="509"/>
      <c r="D1299" s="522"/>
      <c r="E1299" s="526"/>
      <c r="F1299" s="526"/>
      <c r="G1299" s="527"/>
      <c r="H1299" s="527"/>
      <c r="I1299" s="527"/>
      <c r="J1299" s="527"/>
      <c r="K1299" s="527"/>
      <c r="L1299" s="527"/>
      <c r="M1299" s="527"/>
    </row>
    <row r="1300" ht="15.75" customHeight="1">
      <c r="A1300" s="523"/>
      <c r="B1300" s="509"/>
      <c r="C1300" s="509"/>
      <c r="D1300" s="522"/>
      <c r="E1300" s="526"/>
      <c r="F1300" s="526"/>
      <c r="G1300" s="527"/>
      <c r="H1300" s="527"/>
      <c r="I1300" s="527"/>
      <c r="J1300" s="527"/>
      <c r="K1300" s="527"/>
      <c r="L1300" s="527"/>
      <c r="M1300" s="527"/>
    </row>
    <row r="1301" ht="15.75" customHeight="1">
      <c r="A1301" s="523"/>
      <c r="B1301" s="509"/>
      <c r="C1301" s="509"/>
      <c r="D1301" s="522"/>
      <c r="E1301" s="526"/>
      <c r="F1301" s="526"/>
      <c r="G1301" s="527"/>
      <c r="H1301" s="527"/>
      <c r="I1301" s="527"/>
      <c r="J1301" s="527"/>
      <c r="K1301" s="527"/>
      <c r="L1301" s="527"/>
      <c r="M1301" s="527"/>
    </row>
    <row r="1302" ht="15.75" customHeight="1">
      <c r="A1302" s="523"/>
      <c r="B1302" s="509"/>
      <c r="C1302" s="509"/>
      <c r="D1302" s="522"/>
      <c r="E1302" s="526"/>
      <c r="F1302" s="526"/>
      <c r="G1302" s="527"/>
      <c r="H1302" s="527"/>
      <c r="I1302" s="527"/>
      <c r="J1302" s="527"/>
      <c r="K1302" s="527"/>
      <c r="L1302" s="527"/>
      <c r="M1302" s="527"/>
    </row>
    <row r="1303" ht="15.75" customHeight="1">
      <c r="A1303" s="523"/>
      <c r="B1303" s="509"/>
      <c r="C1303" s="509"/>
      <c r="D1303" s="522"/>
      <c r="E1303" s="526"/>
      <c r="F1303" s="526"/>
      <c r="G1303" s="527"/>
      <c r="H1303" s="527"/>
      <c r="I1303" s="527"/>
      <c r="J1303" s="527"/>
      <c r="K1303" s="527"/>
      <c r="L1303" s="527"/>
      <c r="M1303" s="527"/>
    </row>
    <row r="1304" ht="15.75" customHeight="1">
      <c r="A1304" s="523"/>
      <c r="B1304" s="509"/>
      <c r="C1304" s="509"/>
      <c r="D1304" s="522"/>
      <c r="E1304" s="526"/>
      <c r="F1304" s="526"/>
      <c r="G1304" s="527"/>
      <c r="H1304" s="527"/>
      <c r="I1304" s="527"/>
      <c r="J1304" s="527"/>
      <c r="K1304" s="527"/>
      <c r="L1304" s="527"/>
      <c r="M1304" s="527"/>
    </row>
    <row r="1305" ht="15.75" customHeight="1">
      <c r="A1305" s="523"/>
      <c r="B1305" s="509"/>
      <c r="C1305" s="509"/>
      <c r="D1305" s="522"/>
      <c r="E1305" s="526"/>
      <c r="F1305" s="526"/>
      <c r="G1305" s="527"/>
      <c r="H1305" s="527"/>
      <c r="I1305" s="527"/>
      <c r="J1305" s="527"/>
      <c r="K1305" s="527"/>
      <c r="L1305" s="527"/>
      <c r="M1305" s="527"/>
    </row>
    <row r="1306" ht="15.75" customHeight="1">
      <c r="A1306" s="523"/>
      <c r="B1306" s="509"/>
      <c r="C1306" s="509"/>
      <c r="D1306" s="522"/>
      <c r="E1306" s="526"/>
      <c r="F1306" s="526"/>
      <c r="G1306" s="527"/>
      <c r="H1306" s="527"/>
      <c r="I1306" s="527"/>
      <c r="J1306" s="527"/>
      <c r="K1306" s="527"/>
      <c r="L1306" s="527"/>
      <c r="M1306" s="527"/>
    </row>
    <row r="1307" ht="15.75" customHeight="1">
      <c r="A1307" s="523"/>
      <c r="B1307" s="509"/>
      <c r="C1307" s="509"/>
      <c r="D1307" s="522"/>
      <c r="E1307" s="526"/>
      <c r="F1307" s="526"/>
      <c r="G1307" s="527"/>
      <c r="H1307" s="527"/>
      <c r="I1307" s="527"/>
      <c r="J1307" s="527"/>
      <c r="K1307" s="527"/>
      <c r="L1307" s="527"/>
      <c r="M1307" s="527"/>
    </row>
    <row r="1308" ht="15.75" customHeight="1">
      <c r="A1308" s="523"/>
      <c r="B1308" s="509"/>
      <c r="C1308" s="509"/>
      <c r="D1308" s="522"/>
      <c r="E1308" s="526"/>
      <c r="F1308" s="526"/>
      <c r="G1308" s="527"/>
      <c r="H1308" s="527"/>
      <c r="I1308" s="527"/>
      <c r="J1308" s="527"/>
      <c r="K1308" s="527"/>
      <c r="L1308" s="527"/>
      <c r="M1308" s="527"/>
    </row>
    <row r="1309" ht="15.75" customHeight="1">
      <c r="A1309" s="523"/>
      <c r="B1309" s="509"/>
      <c r="C1309" s="509"/>
      <c r="D1309" s="522"/>
      <c r="E1309" s="526"/>
      <c r="F1309" s="526"/>
      <c r="G1309" s="527"/>
      <c r="H1309" s="527"/>
      <c r="I1309" s="527"/>
      <c r="J1309" s="527"/>
      <c r="K1309" s="527"/>
      <c r="L1309" s="527"/>
      <c r="M1309" s="527"/>
    </row>
    <row r="1310" ht="15.75" customHeight="1">
      <c r="A1310" s="523"/>
      <c r="B1310" s="509"/>
      <c r="C1310" s="509"/>
      <c r="D1310" s="522"/>
      <c r="E1310" s="526"/>
      <c r="F1310" s="526"/>
      <c r="G1310" s="527"/>
      <c r="H1310" s="527"/>
      <c r="I1310" s="527"/>
      <c r="J1310" s="527"/>
      <c r="K1310" s="527"/>
      <c r="L1310" s="527"/>
      <c r="M1310" s="527"/>
    </row>
    <row r="1311" ht="15.75" customHeight="1">
      <c r="A1311" s="523"/>
      <c r="B1311" s="509"/>
      <c r="C1311" s="509"/>
      <c r="D1311" s="522"/>
      <c r="E1311" s="526"/>
      <c r="F1311" s="526"/>
      <c r="G1311" s="527"/>
      <c r="H1311" s="527"/>
      <c r="I1311" s="527"/>
      <c r="J1311" s="527"/>
      <c r="K1311" s="527"/>
      <c r="L1311" s="527"/>
      <c r="M1311" s="527"/>
    </row>
    <row r="1312" ht="15.75" customHeight="1">
      <c r="A1312" s="523"/>
      <c r="B1312" s="509"/>
      <c r="C1312" s="509"/>
      <c r="D1312" s="522"/>
      <c r="E1312" s="526"/>
      <c r="F1312" s="526"/>
      <c r="G1312" s="527"/>
      <c r="H1312" s="527"/>
      <c r="I1312" s="527"/>
      <c r="J1312" s="527"/>
      <c r="K1312" s="527"/>
      <c r="L1312" s="527"/>
      <c r="M1312" s="527"/>
    </row>
    <row r="1313" ht="15.75" customHeight="1">
      <c r="A1313" s="523"/>
      <c r="B1313" s="509"/>
      <c r="C1313" s="509"/>
      <c r="D1313" s="522"/>
      <c r="E1313" s="526"/>
      <c r="F1313" s="526"/>
      <c r="G1313" s="527"/>
      <c r="H1313" s="527"/>
      <c r="I1313" s="527"/>
      <c r="J1313" s="527"/>
      <c r="K1313" s="527"/>
      <c r="L1313" s="527"/>
      <c r="M1313" s="527"/>
    </row>
    <row r="1314" ht="15.75" customHeight="1">
      <c r="A1314" s="523"/>
      <c r="B1314" s="509"/>
      <c r="C1314" s="509"/>
      <c r="D1314" s="522"/>
      <c r="E1314" s="526"/>
      <c r="F1314" s="526"/>
      <c r="G1314" s="527"/>
      <c r="H1314" s="527"/>
      <c r="I1314" s="527"/>
      <c r="J1314" s="527"/>
      <c r="K1314" s="527"/>
      <c r="L1314" s="527"/>
      <c r="M1314" s="527"/>
    </row>
    <row r="1315" ht="15.75" customHeight="1">
      <c r="A1315" s="523"/>
      <c r="B1315" s="509"/>
      <c r="C1315" s="509"/>
      <c r="D1315" s="522"/>
      <c r="E1315" s="526"/>
      <c r="F1315" s="526"/>
      <c r="G1315" s="527"/>
      <c r="H1315" s="527"/>
      <c r="I1315" s="527"/>
      <c r="J1315" s="527"/>
      <c r="K1315" s="527"/>
      <c r="L1315" s="527"/>
      <c r="M1315" s="527"/>
    </row>
    <row r="1316" ht="15.75" customHeight="1">
      <c r="A1316" s="523"/>
      <c r="B1316" s="509"/>
      <c r="C1316" s="509"/>
      <c r="D1316" s="522"/>
      <c r="E1316" s="526"/>
      <c r="F1316" s="526"/>
      <c r="G1316" s="527"/>
      <c r="H1316" s="527"/>
      <c r="I1316" s="527"/>
      <c r="J1316" s="527"/>
      <c r="K1316" s="527"/>
      <c r="L1316" s="527"/>
      <c r="M1316" s="527"/>
    </row>
    <row r="1317" ht="15.75" customHeight="1">
      <c r="A1317" s="523"/>
      <c r="B1317" s="509"/>
      <c r="C1317" s="509"/>
      <c r="D1317" s="522"/>
      <c r="E1317" s="526"/>
      <c r="F1317" s="526"/>
      <c r="G1317" s="527"/>
      <c r="H1317" s="527"/>
      <c r="I1317" s="527"/>
      <c r="J1317" s="527"/>
      <c r="K1317" s="527"/>
      <c r="L1317" s="527"/>
      <c r="M1317" s="527"/>
    </row>
    <row r="1318" ht="15.75" customHeight="1">
      <c r="A1318" s="523"/>
      <c r="B1318" s="509"/>
      <c r="C1318" s="509"/>
      <c r="D1318" s="522"/>
      <c r="E1318" s="526"/>
      <c r="F1318" s="526"/>
      <c r="G1318" s="527"/>
      <c r="H1318" s="527"/>
      <c r="I1318" s="527"/>
      <c r="J1318" s="527"/>
      <c r="K1318" s="527"/>
      <c r="L1318" s="527"/>
      <c r="M1318" s="527"/>
    </row>
    <row r="1319" ht="15.75" customHeight="1">
      <c r="A1319" s="523"/>
      <c r="B1319" s="509"/>
      <c r="C1319" s="509"/>
      <c r="D1319" s="522"/>
      <c r="E1319" s="526"/>
      <c r="F1319" s="526"/>
      <c r="G1319" s="527"/>
      <c r="H1319" s="527"/>
      <c r="I1319" s="527"/>
      <c r="J1319" s="527"/>
      <c r="K1319" s="527"/>
      <c r="L1319" s="527"/>
      <c r="M1319" s="527"/>
    </row>
    <row r="1320" ht="15.75" customHeight="1">
      <c r="A1320" s="523"/>
      <c r="B1320" s="509"/>
      <c r="C1320" s="509"/>
      <c r="D1320" s="522"/>
      <c r="E1320" s="526"/>
      <c r="F1320" s="526"/>
      <c r="G1320" s="527"/>
      <c r="H1320" s="527"/>
      <c r="I1320" s="527"/>
      <c r="J1320" s="527"/>
      <c r="K1320" s="527"/>
      <c r="L1320" s="527"/>
      <c r="M1320" s="527"/>
    </row>
    <row r="1321" ht="15.75" customHeight="1">
      <c r="A1321" s="523"/>
      <c r="B1321" s="509"/>
      <c r="C1321" s="509"/>
      <c r="D1321" s="522"/>
      <c r="E1321" s="526"/>
      <c r="F1321" s="526"/>
      <c r="G1321" s="527"/>
      <c r="H1321" s="527"/>
      <c r="I1321" s="527"/>
      <c r="J1321" s="527"/>
      <c r="K1321" s="527"/>
      <c r="L1321" s="527"/>
      <c r="M1321" s="527"/>
    </row>
    <row r="1322" ht="15.75" customHeight="1">
      <c r="A1322" s="523"/>
      <c r="B1322" s="509"/>
      <c r="C1322" s="509"/>
      <c r="D1322" s="522"/>
      <c r="E1322" s="526"/>
      <c r="F1322" s="526"/>
      <c r="G1322" s="527"/>
      <c r="H1322" s="527"/>
      <c r="I1322" s="527"/>
      <c r="J1322" s="527"/>
      <c r="K1322" s="527"/>
      <c r="L1322" s="527"/>
      <c r="M1322" s="527"/>
    </row>
    <row r="1323" ht="15.75" customHeight="1">
      <c r="A1323" s="523"/>
      <c r="B1323" s="509"/>
      <c r="C1323" s="509"/>
      <c r="D1323" s="522"/>
      <c r="E1323" s="526"/>
      <c r="F1323" s="526"/>
      <c r="G1323" s="527"/>
      <c r="H1323" s="527"/>
      <c r="I1323" s="527"/>
      <c r="J1323" s="527"/>
      <c r="K1323" s="527"/>
      <c r="L1323" s="527"/>
      <c r="M1323" s="527"/>
    </row>
    <row r="1324" ht="15.75" customHeight="1">
      <c r="A1324" s="523"/>
      <c r="B1324" s="509"/>
      <c r="C1324" s="509"/>
      <c r="D1324" s="522"/>
      <c r="E1324" s="526"/>
      <c r="F1324" s="526"/>
      <c r="G1324" s="527"/>
      <c r="H1324" s="527"/>
      <c r="I1324" s="527"/>
      <c r="J1324" s="527"/>
      <c r="K1324" s="527"/>
      <c r="L1324" s="527"/>
      <c r="M1324" s="527"/>
    </row>
    <row r="1325" ht="15.75" customHeight="1">
      <c r="A1325" s="523"/>
      <c r="B1325" s="509"/>
      <c r="C1325" s="509"/>
      <c r="D1325" s="522"/>
      <c r="E1325" s="526"/>
      <c r="F1325" s="526"/>
      <c r="G1325" s="527"/>
      <c r="H1325" s="527"/>
      <c r="I1325" s="527"/>
      <c r="J1325" s="527"/>
      <c r="K1325" s="527"/>
      <c r="L1325" s="527"/>
      <c r="M1325" s="527"/>
    </row>
    <row r="1326" ht="15.75" customHeight="1">
      <c r="A1326" s="523"/>
      <c r="B1326" s="509"/>
      <c r="C1326" s="509"/>
      <c r="D1326" s="522"/>
      <c r="E1326" s="526"/>
      <c r="F1326" s="526"/>
      <c r="G1326" s="527"/>
      <c r="H1326" s="527"/>
      <c r="I1326" s="527"/>
      <c r="J1326" s="527"/>
      <c r="K1326" s="527"/>
      <c r="L1326" s="527"/>
      <c r="M1326" s="527"/>
    </row>
    <row r="1327" ht="15.75" customHeight="1">
      <c r="A1327" s="523"/>
      <c r="B1327" s="509"/>
      <c r="C1327" s="509"/>
      <c r="D1327" s="522"/>
      <c r="E1327" s="526"/>
      <c r="F1327" s="526"/>
      <c r="G1327" s="527"/>
      <c r="H1327" s="527"/>
      <c r="I1327" s="527"/>
      <c r="J1327" s="527"/>
      <c r="K1327" s="527"/>
      <c r="L1327" s="527"/>
      <c r="M1327" s="527"/>
    </row>
    <row r="1328" ht="15.75" customHeight="1">
      <c r="A1328" s="523"/>
      <c r="B1328" s="509"/>
      <c r="C1328" s="509"/>
      <c r="D1328" s="522"/>
      <c r="E1328" s="526"/>
      <c r="F1328" s="526"/>
      <c r="G1328" s="527"/>
      <c r="H1328" s="527"/>
      <c r="I1328" s="527"/>
      <c r="J1328" s="527"/>
      <c r="K1328" s="527"/>
      <c r="L1328" s="527"/>
      <c r="M1328" s="527"/>
    </row>
    <row r="1329" ht="15.75" customHeight="1">
      <c r="A1329" s="523"/>
      <c r="B1329" s="509"/>
      <c r="C1329" s="509"/>
      <c r="D1329" s="522"/>
      <c r="E1329" s="526"/>
      <c r="F1329" s="526"/>
      <c r="G1329" s="527"/>
      <c r="H1329" s="527"/>
      <c r="I1329" s="527"/>
      <c r="J1329" s="527"/>
      <c r="K1329" s="527"/>
      <c r="L1329" s="527"/>
      <c r="M1329" s="527"/>
    </row>
    <row r="1330" ht="15.75" customHeight="1">
      <c r="A1330" s="523"/>
      <c r="B1330" s="509"/>
      <c r="C1330" s="509"/>
      <c r="D1330" s="522"/>
      <c r="E1330" s="526"/>
      <c r="F1330" s="526"/>
      <c r="G1330" s="527"/>
      <c r="H1330" s="527"/>
      <c r="I1330" s="527"/>
      <c r="J1330" s="527"/>
      <c r="K1330" s="527"/>
      <c r="L1330" s="527"/>
      <c r="M1330" s="527"/>
    </row>
    <row r="1331" ht="15.75" customHeight="1">
      <c r="A1331" s="523"/>
      <c r="B1331" s="509"/>
      <c r="C1331" s="509"/>
      <c r="D1331" s="522"/>
      <c r="E1331" s="526"/>
      <c r="F1331" s="526"/>
      <c r="G1331" s="527"/>
      <c r="H1331" s="527"/>
      <c r="I1331" s="527"/>
      <c r="J1331" s="527"/>
      <c r="K1331" s="527"/>
      <c r="L1331" s="527"/>
      <c r="M1331" s="527"/>
    </row>
    <row r="1332" ht="15.75" customHeight="1">
      <c r="A1332" s="523"/>
      <c r="B1332" s="509"/>
      <c r="C1332" s="509"/>
      <c r="D1332" s="522"/>
      <c r="E1332" s="526"/>
      <c r="F1332" s="526"/>
      <c r="G1332" s="527"/>
      <c r="H1332" s="527"/>
      <c r="I1332" s="527"/>
      <c r="J1332" s="527"/>
      <c r="K1332" s="527"/>
      <c r="L1332" s="527"/>
      <c r="M1332" s="527"/>
    </row>
    <row r="1333" ht="15.75" customHeight="1">
      <c r="A1333" s="523"/>
      <c r="B1333" s="509"/>
      <c r="C1333" s="509"/>
      <c r="D1333" s="522"/>
      <c r="E1333" s="526"/>
      <c r="F1333" s="526"/>
      <c r="G1333" s="527"/>
      <c r="H1333" s="527"/>
      <c r="I1333" s="527"/>
      <c r="J1333" s="527"/>
      <c r="K1333" s="527"/>
      <c r="L1333" s="527"/>
      <c r="M1333" s="527"/>
    </row>
    <row r="1334" ht="15.75" customHeight="1">
      <c r="A1334" s="523"/>
      <c r="B1334" s="509"/>
      <c r="C1334" s="509"/>
      <c r="D1334" s="522"/>
      <c r="E1334" s="526"/>
      <c r="F1334" s="526"/>
      <c r="G1334" s="527"/>
      <c r="H1334" s="527"/>
      <c r="I1334" s="527"/>
      <c r="J1334" s="527"/>
      <c r="K1334" s="527"/>
      <c r="L1334" s="527"/>
      <c r="M1334" s="527"/>
    </row>
    <row r="1335" ht="15.75" customHeight="1">
      <c r="A1335" s="523"/>
      <c r="B1335" s="509"/>
      <c r="C1335" s="509"/>
      <c r="D1335" s="522"/>
      <c r="E1335" s="526"/>
      <c r="F1335" s="526"/>
      <c r="G1335" s="527"/>
      <c r="H1335" s="527"/>
      <c r="I1335" s="527"/>
      <c r="J1335" s="527"/>
      <c r="K1335" s="527"/>
      <c r="L1335" s="527"/>
      <c r="M1335" s="527"/>
    </row>
    <row r="1336" ht="15.75" customHeight="1">
      <c r="A1336" s="523"/>
      <c r="B1336" s="509"/>
      <c r="C1336" s="509"/>
      <c r="D1336" s="522"/>
      <c r="E1336" s="526"/>
      <c r="F1336" s="526"/>
      <c r="G1336" s="527"/>
      <c r="H1336" s="527"/>
      <c r="I1336" s="527"/>
      <c r="J1336" s="527"/>
      <c r="K1336" s="527"/>
      <c r="L1336" s="527"/>
      <c r="M1336" s="527"/>
    </row>
    <row r="1337" ht="15.75" customHeight="1">
      <c r="A1337" s="523"/>
      <c r="B1337" s="509"/>
      <c r="C1337" s="509"/>
      <c r="D1337" s="522"/>
      <c r="E1337" s="526"/>
      <c r="F1337" s="526"/>
      <c r="G1337" s="527"/>
      <c r="H1337" s="527"/>
      <c r="I1337" s="527"/>
      <c r="J1337" s="527"/>
      <c r="K1337" s="527"/>
      <c r="L1337" s="527"/>
      <c r="M1337" s="527"/>
    </row>
    <row r="1338" ht="15.75" customHeight="1">
      <c r="A1338" s="523"/>
      <c r="B1338" s="509"/>
      <c r="C1338" s="509"/>
      <c r="D1338" s="522"/>
      <c r="E1338" s="526"/>
      <c r="F1338" s="526"/>
      <c r="G1338" s="527"/>
      <c r="H1338" s="527"/>
      <c r="I1338" s="527"/>
      <c r="J1338" s="527"/>
      <c r="K1338" s="527"/>
      <c r="L1338" s="527"/>
      <c r="M1338" s="527"/>
    </row>
    <row r="1339" ht="15.75" customHeight="1">
      <c r="A1339" s="523"/>
      <c r="B1339" s="509"/>
      <c r="C1339" s="509"/>
      <c r="D1339" s="522"/>
      <c r="E1339" s="526"/>
      <c r="F1339" s="526"/>
      <c r="G1339" s="527"/>
      <c r="H1339" s="527"/>
      <c r="I1339" s="527"/>
      <c r="J1339" s="527"/>
      <c r="K1339" s="527"/>
      <c r="L1339" s="527"/>
      <c r="M1339" s="527"/>
    </row>
    <row r="1340" ht="15.75" customHeight="1">
      <c r="A1340" s="523"/>
      <c r="B1340" s="509"/>
      <c r="C1340" s="509"/>
      <c r="D1340" s="522"/>
      <c r="E1340" s="526"/>
      <c r="F1340" s="526"/>
      <c r="G1340" s="527"/>
      <c r="H1340" s="527"/>
      <c r="I1340" s="527"/>
      <c r="J1340" s="527"/>
      <c r="K1340" s="527"/>
      <c r="L1340" s="527"/>
      <c r="M1340" s="527"/>
    </row>
    <row r="1341" ht="15.75" customHeight="1">
      <c r="A1341" s="523"/>
      <c r="B1341" s="509"/>
      <c r="C1341" s="509"/>
      <c r="D1341" s="522"/>
      <c r="E1341" s="526"/>
      <c r="F1341" s="526"/>
      <c r="G1341" s="527"/>
      <c r="H1341" s="527"/>
      <c r="I1341" s="527"/>
      <c r="J1341" s="527"/>
      <c r="K1341" s="527"/>
      <c r="L1341" s="527"/>
      <c r="M1341" s="527"/>
    </row>
    <row r="1342" ht="15.75" customHeight="1">
      <c r="A1342" s="523"/>
      <c r="B1342" s="509"/>
      <c r="C1342" s="509"/>
      <c r="D1342" s="522"/>
      <c r="E1342" s="526"/>
      <c r="F1342" s="526"/>
      <c r="G1342" s="527"/>
      <c r="H1342" s="527"/>
      <c r="I1342" s="527"/>
      <c r="J1342" s="527"/>
      <c r="K1342" s="527"/>
      <c r="L1342" s="527"/>
      <c r="M1342" s="527"/>
    </row>
    <row r="1343" ht="15.75" customHeight="1">
      <c r="A1343" s="523"/>
      <c r="B1343" s="509"/>
      <c r="C1343" s="509"/>
      <c r="D1343" s="522"/>
      <c r="E1343" s="526"/>
      <c r="F1343" s="526"/>
      <c r="G1343" s="527"/>
      <c r="H1343" s="527"/>
      <c r="I1343" s="527"/>
      <c r="J1343" s="527"/>
      <c r="K1343" s="527"/>
      <c r="L1343" s="527"/>
      <c r="M1343" s="527"/>
    </row>
    <row r="1344" ht="15.75" customHeight="1">
      <c r="A1344" s="523"/>
      <c r="B1344" s="509"/>
      <c r="C1344" s="509"/>
      <c r="D1344" s="522"/>
      <c r="E1344" s="526"/>
      <c r="F1344" s="526"/>
      <c r="G1344" s="527"/>
      <c r="H1344" s="527"/>
      <c r="I1344" s="527"/>
      <c r="J1344" s="527"/>
      <c r="K1344" s="527"/>
      <c r="L1344" s="527"/>
      <c r="M1344" s="527"/>
    </row>
    <row r="1345" ht="15.75" customHeight="1">
      <c r="A1345" s="523"/>
      <c r="B1345" s="509"/>
      <c r="C1345" s="509"/>
      <c r="D1345" s="522"/>
      <c r="E1345" s="526"/>
      <c r="F1345" s="526"/>
      <c r="G1345" s="527"/>
      <c r="H1345" s="527"/>
      <c r="I1345" s="527"/>
      <c r="J1345" s="527"/>
      <c r="K1345" s="527"/>
      <c r="L1345" s="527"/>
      <c r="M1345" s="527"/>
    </row>
    <row r="1346" ht="15.75" customHeight="1">
      <c r="A1346" s="523"/>
      <c r="B1346" s="509"/>
      <c r="C1346" s="509"/>
      <c r="D1346" s="522"/>
      <c r="E1346" s="526"/>
      <c r="F1346" s="526"/>
      <c r="G1346" s="527"/>
      <c r="H1346" s="527"/>
      <c r="I1346" s="527"/>
      <c r="J1346" s="527"/>
      <c r="K1346" s="527"/>
      <c r="L1346" s="527"/>
      <c r="M1346" s="527"/>
    </row>
    <row r="1347" ht="15.75" customHeight="1">
      <c r="A1347" s="523"/>
      <c r="B1347" s="509"/>
      <c r="C1347" s="509"/>
      <c r="D1347" s="522"/>
      <c r="E1347" s="526"/>
      <c r="F1347" s="526"/>
      <c r="G1347" s="527"/>
      <c r="H1347" s="527"/>
      <c r="I1347" s="527"/>
      <c r="J1347" s="527"/>
      <c r="K1347" s="527"/>
      <c r="L1347" s="527"/>
      <c r="M1347" s="527"/>
    </row>
    <row r="1348" ht="15.75" customHeight="1">
      <c r="A1348" s="523"/>
      <c r="B1348" s="509"/>
      <c r="C1348" s="509"/>
      <c r="D1348" s="522"/>
      <c r="E1348" s="526"/>
      <c r="F1348" s="526"/>
      <c r="G1348" s="527"/>
      <c r="H1348" s="527"/>
      <c r="I1348" s="527"/>
      <c r="J1348" s="527"/>
      <c r="K1348" s="527"/>
      <c r="L1348" s="527"/>
      <c r="M1348" s="527"/>
    </row>
    <row r="1349" ht="15.75" customHeight="1">
      <c r="A1349" s="523"/>
      <c r="B1349" s="509"/>
      <c r="C1349" s="509"/>
      <c r="D1349" s="522"/>
      <c r="E1349" s="526"/>
      <c r="F1349" s="526"/>
      <c r="G1349" s="527"/>
      <c r="H1349" s="527"/>
      <c r="I1349" s="527"/>
      <c r="J1349" s="527"/>
      <c r="K1349" s="527"/>
      <c r="L1349" s="527"/>
      <c r="M1349" s="527"/>
    </row>
    <row r="1350" ht="15.75" customHeight="1">
      <c r="A1350" s="523"/>
      <c r="B1350" s="509"/>
      <c r="C1350" s="509"/>
      <c r="D1350" s="522"/>
      <c r="E1350" s="526"/>
      <c r="F1350" s="526"/>
      <c r="G1350" s="527"/>
      <c r="H1350" s="527"/>
      <c r="I1350" s="527"/>
      <c r="J1350" s="527"/>
      <c r="K1350" s="527"/>
      <c r="L1350" s="527"/>
      <c r="M1350" s="527"/>
    </row>
    <row r="1351" ht="15.75" customHeight="1">
      <c r="A1351" s="523"/>
      <c r="B1351" s="509"/>
      <c r="C1351" s="509"/>
      <c r="D1351" s="522"/>
      <c r="E1351" s="526"/>
      <c r="F1351" s="526"/>
      <c r="G1351" s="527"/>
      <c r="H1351" s="527"/>
      <c r="I1351" s="527"/>
      <c r="J1351" s="527"/>
      <c r="K1351" s="527"/>
      <c r="L1351" s="527"/>
      <c r="M1351" s="527"/>
    </row>
    <row r="1352" ht="15.75" customHeight="1">
      <c r="A1352" s="523"/>
      <c r="B1352" s="509"/>
      <c r="C1352" s="509"/>
      <c r="D1352" s="522"/>
      <c r="E1352" s="526"/>
      <c r="F1352" s="526"/>
      <c r="G1352" s="527"/>
      <c r="H1352" s="527"/>
      <c r="I1352" s="527"/>
      <c r="J1352" s="527"/>
      <c r="K1352" s="527"/>
      <c r="L1352" s="527"/>
      <c r="M1352" s="527"/>
    </row>
    <row r="1353" ht="15.75" customHeight="1">
      <c r="A1353" s="523"/>
      <c r="B1353" s="509"/>
      <c r="C1353" s="509"/>
      <c r="D1353" s="522"/>
      <c r="E1353" s="526"/>
      <c r="F1353" s="526"/>
      <c r="G1353" s="527"/>
      <c r="H1353" s="527"/>
      <c r="I1353" s="527"/>
      <c r="J1353" s="527"/>
      <c r="K1353" s="527"/>
      <c r="L1353" s="527"/>
      <c r="M1353" s="527"/>
    </row>
    <row r="1354" ht="15.75" customHeight="1">
      <c r="A1354" s="523"/>
      <c r="B1354" s="509"/>
      <c r="C1354" s="509"/>
      <c r="D1354" s="522"/>
      <c r="E1354" s="526"/>
      <c r="F1354" s="526"/>
      <c r="G1354" s="527"/>
      <c r="H1354" s="527"/>
      <c r="I1354" s="527"/>
      <c r="J1354" s="527"/>
      <c r="K1354" s="527"/>
      <c r="L1354" s="527"/>
      <c r="M1354" s="527"/>
    </row>
    <row r="1355" ht="15.75" customHeight="1">
      <c r="A1355" s="523"/>
      <c r="B1355" s="509"/>
      <c r="C1355" s="509"/>
      <c r="D1355" s="522"/>
      <c r="E1355" s="526"/>
      <c r="F1355" s="526"/>
      <c r="G1355" s="527"/>
      <c r="H1355" s="527"/>
      <c r="I1355" s="527"/>
      <c r="J1355" s="527"/>
      <c r="K1355" s="527"/>
      <c r="L1355" s="527"/>
      <c r="M1355" s="527"/>
    </row>
    <row r="1356" ht="15.75" customHeight="1">
      <c r="A1356" s="523"/>
      <c r="B1356" s="509"/>
      <c r="C1356" s="509"/>
      <c r="D1356" s="522"/>
      <c r="E1356" s="526"/>
      <c r="F1356" s="526"/>
      <c r="G1356" s="527"/>
      <c r="H1356" s="527"/>
      <c r="I1356" s="527"/>
      <c r="J1356" s="527"/>
      <c r="K1356" s="527"/>
      <c r="L1356" s="527"/>
      <c r="M1356" s="527"/>
    </row>
    <row r="1357" ht="15.75" customHeight="1">
      <c r="A1357" s="523"/>
      <c r="B1357" s="509"/>
      <c r="C1357" s="509"/>
      <c r="D1357" s="522"/>
      <c r="E1357" s="526"/>
      <c r="F1357" s="526"/>
      <c r="G1357" s="527"/>
      <c r="H1357" s="527"/>
      <c r="I1357" s="527"/>
      <c r="J1357" s="527"/>
      <c r="K1357" s="527"/>
      <c r="L1357" s="527"/>
      <c r="M1357" s="527"/>
    </row>
    <row r="1358" ht="15.75" customHeight="1">
      <c r="A1358" s="523"/>
      <c r="B1358" s="509"/>
      <c r="C1358" s="509"/>
      <c r="D1358" s="522"/>
      <c r="E1358" s="526"/>
      <c r="F1358" s="526"/>
      <c r="G1358" s="527"/>
      <c r="H1358" s="527"/>
      <c r="I1358" s="527"/>
      <c r="J1358" s="527"/>
      <c r="K1358" s="527"/>
      <c r="L1358" s="527"/>
      <c r="M1358" s="527"/>
    </row>
    <row r="1359" ht="15.75" customHeight="1">
      <c r="A1359" s="523"/>
      <c r="B1359" s="509"/>
      <c r="C1359" s="509"/>
      <c r="D1359" s="522"/>
      <c r="E1359" s="526"/>
      <c r="F1359" s="526"/>
      <c r="G1359" s="527"/>
      <c r="H1359" s="527"/>
      <c r="I1359" s="527"/>
      <c r="J1359" s="527"/>
      <c r="K1359" s="527"/>
      <c r="L1359" s="527"/>
      <c r="M1359" s="527"/>
    </row>
    <row r="1360" ht="15.75" customHeight="1">
      <c r="A1360" s="523"/>
      <c r="B1360" s="509"/>
      <c r="C1360" s="509"/>
      <c r="D1360" s="522"/>
      <c r="E1360" s="526"/>
      <c r="F1360" s="526"/>
      <c r="G1360" s="527"/>
      <c r="H1360" s="527"/>
      <c r="I1360" s="527"/>
      <c r="J1360" s="527"/>
      <c r="K1360" s="527"/>
      <c r="L1360" s="527"/>
      <c r="M1360" s="527"/>
    </row>
    <row r="1361" ht="15.75" customHeight="1">
      <c r="A1361" s="523"/>
      <c r="B1361" s="509"/>
      <c r="C1361" s="509"/>
      <c r="D1361" s="522"/>
      <c r="E1361" s="526"/>
      <c r="F1361" s="526"/>
      <c r="G1361" s="527"/>
      <c r="H1361" s="527"/>
      <c r="I1361" s="527"/>
      <c r="J1361" s="527"/>
      <c r="K1361" s="527"/>
      <c r="L1361" s="527"/>
      <c r="M1361" s="527"/>
    </row>
    <row r="1362" ht="15.75" customHeight="1">
      <c r="A1362" s="523"/>
      <c r="B1362" s="509"/>
      <c r="C1362" s="509"/>
      <c r="D1362" s="522"/>
      <c r="E1362" s="526"/>
      <c r="F1362" s="526"/>
      <c r="G1362" s="527"/>
      <c r="H1362" s="527"/>
      <c r="I1362" s="527"/>
      <c r="J1362" s="527"/>
      <c r="K1362" s="527"/>
      <c r="L1362" s="527"/>
      <c r="M1362" s="527"/>
    </row>
    <row r="1363" ht="15.75" customHeight="1">
      <c r="A1363" s="523"/>
      <c r="B1363" s="509"/>
      <c r="C1363" s="509"/>
      <c r="D1363" s="522"/>
      <c r="E1363" s="526"/>
      <c r="F1363" s="526"/>
      <c r="G1363" s="527"/>
      <c r="H1363" s="527"/>
      <c r="I1363" s="527"/>
      <c r="J1363" s="527"/>
      <c r="K1363" s="527"/>
      <c r="L1363" s="527"/>
      <c r="M1363" s="527"/>
    </row>
    <row r="1364" ht="15.75" customHeight="1">
      <c r="A1364" s="523"/>
      <c r="B1364" s="509"/>
      <c r="C1364" s="509"/>
      <c r="D1364" s="522"/>
      <c r="E1364" s="526"/>
      <c r="F1364" s="526"/>
      <c r="G1364" s="527"/>
      <c r="H1364" s="527"/>
      <c r="I1364" s="527"/>
      <c r="J1364" s="527"/>
      <c r="K1364" s="527"/>
      <c r="L1364" s="527"/>
      <c r="M1364" s="527"/>
    </row>
    <row r="1365" ht="15.75" customHeight="1">
      <c r="A1365" s="523"/>
      <c r="B1365" s="509"/>
      <c r="C1365" s="509"/>
      <c r="D1365" s="522"/>
      <c r="E1365" s="526"/>
      <c r="F1365" s="526"/>
      <c r="G1365" s="527"/>
      <c r="H1365" s="527"/>
      <c r="I1365" s="527"/>
      <c r="J1365" s="527"/>
      <c r="K1365" s="527"/>
      <c r="L1365" s="527"/>
      <c r="M1365" s="527"/>
    </row>
    <row r="1366" ht="15.75" customHeight="1">
      <c r="A1366" s="523"/>
      <c r="B1366" s="509"/>
      <c r="C1366" s="509"/>
      <c r="D1366" s="522"/>
      <c r="E1366" s="526"/>
      <c r="F1366" s="526"/>
      <c r="G1366" s="527"/>
      <c r="H1366" s="527"/>
      <c r="I1366" s="527"/>
      <c r="J1366" s="527"/>
      <c r="K1366" s="527"/>
      <c r="L1366" s="527"/>
      <c r="M1366" s="527"/>
    </row>
    <row r="1367" ht="15.75" customHeight="1">
      <c r="A1367" s="523"/>
      <c r="B1367" s="509"/>
      <c r="C1367" s="509"/>
      <c r="D1367" s="522"/>
      <c r="E1367" s="526"/>
      <c r="F1367" s="526"/>
      <c r="G1367" s="527"/>
      <c r="H1367" s="527"/>
      <c r="I1367" s="527"/>
      <c r="J1367" s="527"/>
      <c r="K1367" s="527"/>
      <c r="L1367" s="527"/>
      <c r="M1367" s="527"/>
    </row>
    <row r="1368" ht="15.75" customHeight="1">
      <c r="A1368" s="523"/>
      <c r="B1368" s="509"/>
      <c r="C1368" s="509"/>
      <c r="D1368" s="522"/>
      <c r="E1368" s="526"/>
      <c r="F1368" s="526"/>
      <c r="G1368" s="527"/>
      <c r="H1368" s="527"/>
      <c r="I1368" s="527"/>
      <c r="J1368" s="527"/>
      <c r="K1368" s="527"/>
      <c r="L1368" s="527"/>
      <c r="M1368" s="527"/>
    </row>
    <row r="1369" ht="15.75" customHeight="1">
      <c r="A1369" s="523"/>
      <c r="B1369" s="509"/>
      <c r="C1369" s="509"/>
      <c r="D1369" s="522"/>
      <c r="E1369" s="526"/>
      <c r="F1369" s="526"/>
      <c r="G1369" s="527"/>
      <c r="H1369" s="527"/>
      <c r="I1369" s="527"/>
      <c r="J1369" s="527"/>
      <c r="K1369" s="527"/>
      <c r="L1369" s="527"/>
      <c r="M1369" s="527"/>
    </row>
    <row r="1370" ht="15.75" customHeight="1">
      <c r="A1370" s="523"/>
      <c r="B1370" s="509"/>
      <c r="C1370" s="509"/>
      <c r="D1370" s="522"/>
      <c r="E1370" s="526"/>
      <c r="F1370" s="526"/>
      <c r="G1370" s="527"/>
      <c r="H1370" s="527"/>
      <c r="I1370" s="527"/>
      <c r="J1370" s="527"/>
      <c r="K1370" s="527"/>
      <c r="L1370" s="527"/>
      <c r="M1370" s="527"/>
    </row>
    <row r="1371" ht="15.75" customHeight="1">
      <c r="A1371" s="523"/>
      <c r="B1371" s="509"/>
      <c r="C1371" s="509"/>
      <c r="D1371" s="522"/>
      <c r="E1371" s="526"/>
      <c r="F1371" s="526"/>
      <c r="G1371" s="527"/>
      <c r="H1371" s="527"/>
      <c r="I1371" s="527"/>
      <c r="J1371" s="527"/>
      <c r="K1371" s="527"/>
      <c r="L1371" s="527"/>
      <c r="M1371" s="527"/>
    </row>
    <row r="1372" ht="15.75" customHeight="1">
      <c r="A1372" s="523"/>
      <c r="B1372" s="509"/>
      <c r="C1372" s="509"/>
      <c r="D1372" s="522"/>
      <c r="E1372" s="526"/>
      <c r="F1372" s="526"/>
      <c r="G1372" s="527"/>
      <c r="H1372" s="527"/>
      <c r="I1372" s="527"/>
      <c r="J1372" s="527"/>
      <c r="K1372" s="527"/>
      <c r="L1372" s="527"/>
      <c r="M1372" s="527"/>
    </row>
    <row r="1373" ht="15.75" customHeight="1">
      <c r="A1373" s="523"/>
      <c r="B1373" s="509"/>
      <c r="C1373" s="509"/>
      <c r="D1373" s="522"/>
      <c r="E1373" s="526"/>
      <c r="F1373" s="526"/>
      <c r="G1373" s="527"/>
      <c r="H1373" s="527"/>
      <c r="I1373" s="527"/>
      <c r="J1373" s="527"/>
      <c r="K1373" s="527"/>
      <c r="L1373" s="527"/>
      <c r="M1373" s="527"/>
    </row>
    <row r="1374" ht="15.75" customHeight="1">
      <c r="A1374" s="523"/>
      <c r="B1374" s="509"/>
      <c r="C1374" s="509"/>
      <c r="D1374" s="522"/>
      <c r="E1374" s="526"/>
      <c r="F1374" s="526"/>
      <c r="G1374" s="527"/>
      <c r="H1374" s="527"/>
      <c r="I1374" s="527"/>
      <c r="J1374" s="527"/>
      <c r="K1374" s="527"/>
      <c r="L1374" s="527"/>
      <c r="M1374" s="527"/>
    </row>
    <row r="1375" ht="15.75" customHeight="1">
      <c r="A1375" s="523"/>
      <c r="B1375" s="509"/>
      <c r="C1375" s="509"/>
      <c r="D1375" s="522"/>
      <c r="E1375" s="526"/>
      <c r="F1375" s="526"/>
      <c r="G1375" s="527"/>
      <c r="H1375" s="527"/>
      <c r="I1375" s="527"/>
      <c r="J1375" s="527"/>
      <c r="K1375" s="527"/>
      <c r="L1375" s="527"/>
      <c r="M1375" s="527"/>
    </row>
    <row r="1376" ht="15.75" customHeight="1">
      <c r="A1376" s="523"/>
      <c r="B1376" s="509"/>
      <c r="C1376" s="509"/>
      <c r="D1376" s="522"/>
      <c r="E1376" s="526"/>
      <c r="F1376" s="526"/>
      <c r="G1376" s="527"/>
      <c r="H1376" s="527"/>
      <c r="I1376" s="527"/>
      <c r="J1376" s="527"/>
      <c r="K1376" s="527"/>
      <c r="L1376" s="527"/>
      <c r="M1376" s="527"/>
    </row>
    <row r="1377" ht="15.75" customHeight="1">
      <c r="A1377" s="523"/>
      <c r="B1377" s="509"/>
      <c r="C1377" s="509"/>
      <c r="D1377" s="522"/>
      <c r="E1377" s="526"/>
      <c r="F1377" s="526"/>
      <c r="G1377" s="527"/>
      <c r="H1377" s="527"/>
      <c r="I1377" s="527"/>
      <c r="J1377" s="527"/>
      <c r="K1377" s="527"/>
      <c r="L1377" s="527"/>
      <c r="M1377" s="527"/>
    </row>
    <row r="1378" ht="15.75" customHeight="1">
      <c r="A1378" s="523"/>
      <c r="B1378" s="509"/>
      <c r="C1378" s="509"/>
      <c r="D1378" s="522"/>
      <c r="E1378" s="526"/>
      <c r="F1378" s="526"/>
      <c r="G1378" s="527"/>
      <c r="H1378" s="527"/>
      <c r="I1378" s="527"/>
      <c r="J1378" s="527"/>
      <c r="K1378" s="527"/>
      <c r="L1378" s="527"/>
      <c r="M1378" s="527"/>
    </row>
    <row r="1379" ht="15.75" customHeight="1">
      <c r="A1379" s="523"/>
      <c r="B1379" s="509"/>
      <c r="C1379" s="509"/>
      <c r="D1379" s="522"/>
      <c r="E1379" s="526"/>
      <c r="F1379" s="526"/>
      <c r="G1379" s="527"/>
      <c r="H1379" s="527"/>
      <c r="I1379" s="527"/>
      <c r="J1379" s="527"/>
      <c r="K1379" s="527"/>
      <c r="L1379" s="527"/>
      <c r="M1379" s="527"/>
    </row>
    <row r="1380" ht="15.75" customHeight="1">
      <c r="A1380" s="523"/>
      <c r="B1380" s="509"/>
      <c r="C1380" s="509"/>
      <c r="D1380" s="522"/>
      <c r="E1380" s="526"/>
      <c r="F1380" s="526"/>
      <c r="G1380" s="527"/>
      <c r="H1380" s="527"/>
      <c r="I1380" s="527"/>
      <c r="J1380" s="527"/>
      <c r="K1380" s="527"/>
      <c r="L1380" s="527"/>
      <c r="M1380" s="527"/>
    </row>
    <row r="1381" ht="15.75" customHeight="1">
      <c r="A1381" s="523"/>
      <c r="B1381" s="509"/>
      <c r="C1381" s="509"/>
      <c r="D1381" s="522"/>
      <c r="E1381" s="526"/>
      <c r="F1381" s="526"/>
      <c r="G1381" s="527"/>
      <c r="H1381" s="527"/>
      <c r="I1381" s="527"/>
      <c r="J1381" s="527"/>
      <c r="K1381" s="527"/>
      <c r="L1381" s="527"/>
      <c r="M1381" s="527"/>
    </row>
    <row r="1382" ht="15.75" customHeight="1">
      <c r="A1382" s="523"/>
      <c r="B1382" s="509"/>
      <c r="C1382" s="509"/>
      <c r="D1382" s="522"/>
      <c r="E1382" s="526"/>
      <c r="F1382" s="526"/>
      <c r="G1382" s="527"/>
      <c r="H1382" s="527"/>
      <c r="I1382" s="527"/>
      <c r="J1382" s="527"/>
      <c r="K1382" s="527"/>
      <c r="L1382" s="527"/>
      <c r="M1382" s="527"/>
    </row>
    <row r="1383" ht="15.75" customHeight="1">
      <c r="A1383" s="523"/>
      <c r="B1383" s="509"/>
      <c r="C1383" s="509"/>
      <c r="D1383" s="522"/>
      <c r="E1383" s="526"/>
      <c r="F1383" s="526"/>
      <c r="G1383" s="527"/>
      <c r="H1383" s="527"/>
      <c r="I1383" s="527"/>
      <c r="J1383" s="527"/>
      <c r="K1383" s="527"/>
      <c r="L1383" s="527"/>
      <c r="M1383" s="527"/>
    </row>
    <row r="1384" ht="15.75" customHeight="1">
      <c r="A1384" s="523"/>
      <c r="B1384" s="509"/>
      <c r="C1384" s="509"/>
      <c r="D1384" s="522"/>
      <c r="E1384" s="526"/>
      <c r="F1384" s="526"/>
      <c r="G1384" s="527"/>
      <c r="H1384" s="527"/>
      <c r="I1384" s="527"/>
      <c r="J1384" s="527"/>
      <c r="K1384" s="527"/>
      <c r="L1384" s="527"/>
      <c r="M1384" s="527"/>
    </row>
    <row r="1385" ht="15.75" customHeight="1">
      <c r="A1385" s="523"/>
      <c r="B1385" s="509"/>
      <c r="C1385" s="509"/>
      <c r="D1385" s="522"/>
      <c r="E1385" s="526"/>
      <c r="F1385" s="526"/>
      <c r="G1385" s="527"/>
      <c r="H1385" s="527"/>
      <c r="I1385" s="527"/>
      <c r="J1385" s="527"/>
      <c r="K1385" s="527"/>
      <c r="L1385" s="527"/>
      <c r="M1385" s="527"/>
    </row>
    <row r="1386" ht="15.75" customHeight="1">
      <c r="A1386" s="523"/>
      <c r="B1386" s="509"/>
      <c r="C1386" s="509"/>
      <c r="D1386" s="522"/>
      <c r="E1386" s="526"/>
      <c r="F1386" s="526"/>
      <c r="G1386" s="527"/>
      <c r="H1386" s="527"/>
      <c r="I1386" s="527"/>
      <c r="J1386" s="527"/>
      <c r="K1386" s="527"/>
      <c r="L1386" s="527"/>
      <c r="M1386" s="527"/>
    </row>
    <row r="1387" ht="15.75" customHeight="1">
      <c r="A1387" s="523"/>
      <c r="B1387" s="509"/>
      <c r="C1387" s="509"/>
      <c r="D1387" s="522"/>
      <c r="E1387" s="526"/>
      <c r="F1387" s="526"/>
      <c r="G1387" s="527"/>
      <c r="H1387" s="527"/>
      <c r="I1387" s="527"/>
      <c r="J1387" s="527"/>
      <c r="K1387" s="527"/>
      <c r="L1387" s="527"/>
      <c r="M1387" s="527"/>
    </row>
    <row r="1388" ht="15.75" customHeight="1">
      <c r="A1388" s="523"/>
      <c r="B1388" s="509"/>
      <c r="C1388" s="509"/>
      <c r="D1388" s="522"/>
      <c r="E1388" s="526"/>
      <c r="F1388" s="526"/>
      <c r="G1388" s="527"/>
      <c r="H1388" s="527"/>
      <c r="I1388" s="527"/>
      <c r="J1388" s="527"/>
      <c r="K1388" s="527"/>
      <c r="L1388" s="527"/>
      <c r="M1388" s="527"/>
    </row>
    <row r="1389" ht="15.75" customHeight="1">
      <c r="A1389" s="523"/>
      <c r="B1389" s="509"/>
      <c r="C1389" s="509"/>
      <c r="D1389" s="522"/>
      <c r="E1389" s="526"/>
      <c r="F1389" s="526"/>
      <c r="G1389" s="527"/>
      <c r="H1389" s="527"/>
      <c r="I1389" s="527"/>
      <c r="J1389" s="527"/>
      <c r="K1389" s="527"/>
      <c r="L1389" s="527"/>
      <c r="M1389" s="527"/>
    </row>
    <row r="1390" ht="15.75" customHeight="1">
      <c r="A1390" s="523"/>
      <c r="B1390" s="509"/>
      <c r="C1390" s="509"/>
      <c r="D1390" s="522"/>
      <c r="E1390" s="526"/>
      <c r="F1390" s="526"/>
      <c r="G1390" s="527"/>
      <c r="H1390" s="527"/>
      <c r="I1390" s="527"/>
      <c r="J1390" s="527"/>
      <c r="K1390" s="527"/>
      <c r="L1390" s="527"/>
      <c r="M1390" s="527"/>
    </row>
    <row r="1391" ht="15.75" customHeight="1">
      <c r="A1391" s="523"/>
      <c r="B1391" s="509"/>
      <c r="C1391" s="509"/>
      <c r="D1391" s="522"/>
      <c r="E1391" s="526"/>
      <c r="F1391" s="526"/>
      <c r="G1391" s="527"/>
      <c r="H1391" s="527"/>
      <c r="I1391" s="527"/>
      <c r="J1391" s="527"/>
      <c r="K1391" s="527"/>
      <c r="L1391" s="527"/>
      <c r="M1391" s="527"/>
    </row>
    <row r="1392" ht="15.75" customHeight="1">
      <c r="A1392" s="523"/>
      <c r="B1392" s="509"/>
      <c r="C1392" s="509"/>
      <c r="D1392" s="522"/>
      <c r="E1392" s="526"/>
      <c r="F1392" s="526"/>
      <c r="G1392" s="527"/>
      <c r="H1392" s="527"/>
      <c r="I1392" s="527"/>
      <c r="J1392" s="527"/>
      <c r="K1392" s="527"/>
      <c r="L1392" s="527"/>
      <c r="M1392" s="527"/>
    </row>
    <row r="1393" ht="15.75" customHeight="1">
      <c r="A1393" s="523"/>
      <c r="B1393" s="509"/>
      <c r="C1393" s="509"/>
      <c r="D1393" s="522"/>
      <c r="E1393" s="526"/>
      <c r="F1393" s="526"/>
      <c r="G1393" s="527"/>
      <c r="H1393" s="527"/>
      <c r="I1393" s="527"/>
      <c r="J1393" s="527"/>
      <c r="K1393" s="527"/>
      <c r="L1393" s="527"/>
      <c r="M1393" s="527"/>
    </row>
    <row r="1394" ht="15.75" customHeight="1">
      <c r="A1394" s="523"/>
      <c r="B1394" s="509"/>
      <c r="C1394" s="509"/>
      <c r="D1394" s="522"/>
      <c r="E1394" s="526"/>
      <c r="F1394" s="526"/>
      <c r="G1394" s="527"/>
      <c r="H1394" s="527"/>
      <c r="I1394" s="527"/>
      <c r="J1394" s="527"/>
      <c r="K1394" s="527"/>
      <c r="L1394" s="527"/>
      <c r="M1394" s="527"/>
    </row>
    <row r="1395" ht="15.75" customHeight="1">
      <c r="A1395" s="523"/>
      <c r="B1395" s="509"/>
      <c r="C1395" s="509"/>
      <c r="D1395" s="522"/>
      <c r="E1395" s="526"/>
      <c r="F1395" s="526"/>
      <c r="G1395" s="527"/>
      <c r="H1395" s="527"/>
      <c r="I1395" s="527"/>
      <c r="J1395" s="527"/>
      <c r="K1395" s="527"/>
      <c r="L1395" s="527"/>
      <c r="M1395" s="527"/>
    </row>
    <row r="1396" ht="15.75" customHeight="1">
      <c r="A1396" s="523"/>
      <c r="B1396" s="509"/>
      <c r="C1396" s="509"/>
      <c r="D1396" s="522"/>
      <c r="E1396" s="526"/>
      <c r="F1396" s="526"/>
      <c r="G1396" s="527"/>
      <c r="H1396" s="527"/>
      <c r="I1396" s="527"/>
      <c r="J1396" s="527"/>
      <c r="K1396" s="527"/>
      <c r="L1396" s="527"/>
      <c r="M1396" s="527"/>
    </row>
    <row r="1397" ht="15.75" customHeight="1">
      <c r="A1397" s="523"/>
      <c r="B1397" s="509"/>
      <c r="C1397" s="509"/>
      <c r="D1397" s="522"/>
      <c r="E1397" s="526"/>
      <c r="F1397" s="526"/>
      <c r="G1397" s="527"/>
      <c r="H1397" s="527"/>
      <c r="I1397" s="527"/>
      <c r="J1397" s="527"/>
      <c r="K1397" s="527"/>
      <c r="L1397" s="527"/>
      <c r="M1397" s="527"/>
    </row>
    <row r="1398" ht="15.75" customHeight="1">
      <c r="A1398" s="523"/>
      <c r="B1398" s="509"/>
      <c r="C1398" s="509"/>
      <c r="D1398" s="522"/>
      <c r="E1398" s="526"/>
      <c r="F1398" s="526"/>
      <c r="G1398" s="527"/>
      <c r="H1398" s="527"/>
      <c r="I1398" s="527"/>
      <c r="J1398" s="527"/>
      <c r="K1398" s="527"/>
      <c r="L1398" s="527"/>
      <c r="M1398" s="527"/>
    </row>
    <row r="1399" ht="15.75" customHeight="1">
      <c r="A1399" s="523"/>
      <c r="B1399" s="509"/>
      <c r="C1399" s="509"/>
      <c r="D1399" s="522"/>
      <c r="E1399" s="526"/>
      <c r="F1399" s="526"/>
      <c r="G1399" s="527"/>
      <c r="H1399" s="527"/>
      <c r="I1399" s="527"/>
      <c r="J1399" s="527"/>
      <c r="K1399" s="527"/>
      <c r="L1399" s="527"/>
      <c r="M1399" s="527"/>
    </row>
    <row r="1400" ht="15.75" customHeight="1">
      <c r="A1400" s="523"/>
      <c r="B1400" s="509"/>
      <c r="C1400" s="509"/>
      <c r="D1400" s="522"/>
      <c r="E1400" s="526"/>
      <c r="F1400" s="526"/>
      <c r="G1400" s="527"/>
      <c r="H1400" s="527"/>
      <c r="I1400" s="527"/>
      <c r="J1400" s="527"/>
      <c r="K1400" s="527"/>
      <c r="L1400" s="527"/>
      <c r="M1400" s="527"/>
    </row>
    <row r="1401" ht="15.75" customHeight="1">
      <c r="A1401" s="523"/>
      <c r="B1401" s="509"/>
      <c r="C1401" s="509"/>
      <c r="D1401" s="522"/>
      <c r="E1401" s="526"/>
      <c r="F1401" s="526"/>
      <c r="G1401" s="527"/>
      <c r="H1401" s="527"/>
      <c r="I1401" s="527"/>
      <c r="J1401" s="527"/>
      <c r="K1401" s="527"/>
      <c r="L1401" s="527"/>
      <c r="M1401" s="527"/>
    </row>
    <row r="1402" ht="15.75" customHeight="1">
      <c r="A1402" s="523"/>
      <c r="B1402" s="509"/>
      <c r="C1402" s="509"/>
      <c r="D1402" s="522"/>
      <c r="E1402" s="526"/>
      <c r="F1402" s="526"/>
      <c r="G1402" s="527"/>
      <c r="H1402" s="527"/>
      <c r="I1402" s="527"/>
      <c r="J1402" s="527"/>
      <c r="K1402" s="527"/>
      <c r="L1402" s="527"/>
      <c r="M1402" s="527"/>
    </row>
    <row r="1403" ht="15.75" customHeight="1">
      <c r="A1403" s="523"/>
      <c r="B1403" s="509"/>
      <c r="C1403" s="509"/>
      <c r="D1403" s="522"/>
      <c r="E1403" s="526"/>
      <c r="F1403" s="526"/>
      <c r="G1403" s="527"/>
      <c r="H1403" s="527"/>
      <c r="I1403" s="527"/>
      <c r="J1403" s="527"/>
      <c r="K1403" s="527"/>
      <c r="L1403" s="527"/>
      <c r="M1403" s="527"/>
    </row>
    <row r="1404" ht="15.75" customHeight="1">
      <c r="A1404" s="523"/>
      <c r="B1404" s="509"/>
      <c r="C1404" s="509"/>
      <c r="D1404" s="522"/>
      <c r="E1404" s="526"/>
      <c r="F1404" s="526"/>
      <c r="G1404" s="527"/>
      <c r="H1404" s="527"/>
      <c r="I1404" s="527"/>
      <c r="J1404" s="527"/>
      <c r="K1404" s="527"/>
      <c r="L1404" s="527"/>
      <c r="M1404" s="527"/>
    </row>
    <row r="1405" ht="15.75" customHeight="1">
      <c r="A1405" s="523"/>
      <c r="B1405" s="509"/>
      <c r="C1405" s="509"/>
      <c r="D1405" s="522"/>
      <c r="E1405" s="526"/>
      <c r="F1405" s="526"/>
      <c r="G1405" s="527"/>
      <c r="H1405" s="527"/>
      <c r="I1405" s="527"/>
      <c r="J1405" s="527"/>
      <c r="K1405" s="527"/>
      <c r="L1405" s="527"/>
      <c r="M1405" s="527"/>
    </row>
    <row r="1406" ht="15.75" customHeight="1">
      <c r="A1406" s="523"/>
      <c r="B1406" s="509"/>
      <c r="C1406" s="509"/>
      <c r="D1406" s="522"/>
      <c r="E1406" s="526"/>
      <c r="F1406" s="526"/>
      <c r="G1406" s="527"/>
      <c r="H1406" s="527"/>
      <c r="I1406" s="527"/>
      <c r="J1406" s="527"/>
      <c r="K1406" s="527"/>
      <c r="L1406" s="527"/>
      <c r="M1406" s="527"/>
    </row>
    <row r="1407" ht="15.75" customHeight="1">
      <c r="A1407" s="523"/>
      <c r="B1407" s="509"/>
      <c r="C1407" s="509"/>
      <c r="D1407" s="522"/>
      <c r="E1407" s="526"/>
      <c r="F1407" s="526"/>
      <c r="G1407" s="527"/>
      <c r="H1407" s="527"/>
      <c r="I1407" s="527"/>
      <c r="J1407" s="527"/>
      <c r="K1407" s="527"/>
      <c r="L1407" s="527"/>
      <c r="M1407" s="527"/>
    </row>
    <row r="1408" ht="15.75" customHeight="1">
      <c r="A1408" s="523"/>
      <c r="B1408" s="509"/>
      <c r="C1408" s="509"/>
      <c r="D1408" s="522"/>
      <c r="E1408" s="526"/>
      <c r="F1408" s="526"/>
      <c r="G1408" s="527"/>
      <c r="H1408" s="527"/>
      <c r="I1408" s="527"/>
      <c r="J1408" s="527"/>
      <c r="K1408" s="527"/>
      <c r="L1408" s="527"/>
      <c r="M1408" s="527"/>
    </row>
    <row r="1409" ht="15.75" customHeight="1">
      <c r="A1409" s="523"/>
      <c r="B1409" s="509"/>
      <c r="C1409" s="509"/>
      <c r="D1409" s="522"/>
      <c r="E1409" s="526"/>
      <c r="F1409" s="526"/>
      <c r="G1409" s="527"/>
      <c r="H1409" s="527"/>
      <c r="I1409" s="527"/>
      <c r="J1409" s="527"/>
      <c r="K1409" s="527"/>
      <c r="L1409" s="527"/>
      <c r="M1409" s="527"/>
    </row>
    <row r="1410" ht="15.75" customHeight="1">
      <c r="A1410" s="523"/>
      <c r="B1410" s="509"/>
      <c r="C1410" s="509"/>
      <c r="D1410" s="522"/>
      <c r="E1410" s="526"/>
      <c r="F1410" s="526"/>
      <c r="G1410" s="527"/>
      <c r="H1410" s="527"/>
      <c r="I1410" s="527"/>
      <c r="J1410" s="527"/>
      <c r="K1410" s="527"/>
      <c r="L1410" s="527"/>
      <c r="M1410" s="527"/>
    </row>
    <row r="1411" ht="15.75" customHeight="1">
      <c r="A1411" s="523"/>
      <c r="B1411" s="509"/>
      <c r="C1411" s="509"/>
      <c r="D1411" s="522"/>
      <c r="E1411" s="526"/>
      <c r="F1411" s="526"/>
      <c r="G1411" s="527"/>
      <c r="H1411" s="527"/>
      <c r="I1411" s="527"/>
      <c r="J1411" s="527"/>
      <c r="K1411" s="527"/>
      <c r="L1411" s="527"/>
      <c r="M1411" s="527"/>
    </row>
    <row r="1412" ht="15.75" customHeight="1">
      <c r="A1412" s="523"/>
      <c r="B1412" s="509"/>
      <c r="C1412" s="509"/>
      <c r="D1412" s="522"/>
      <c r="E1412" s="526"/>
      <c r="F1412" s="526"/>
      <c r="G1412" s="527"/>
      <c r="H1412" s="527"/>
      <c r="I1412" s="527"/>
      <c r="J1412" s="527"/>
      <c r="K1412" s="527"/>
      <c r="L1412" s="527"/>
      <c r="M1412" s="527"/>
    </row>
    <row r="1413" ht="15.75" customHeight="1">
      <c r="A1413" s="523"/>
      <c r="B1413" s="509"/>
      <c r="C1413" s="509"/>
      <c r="D1413" s="522"/>
      <c r="E1413" s="526"/>
      <c r="F1413" s="526"/>
      <c r="G1413" s="527"/>
      <c r="H1413" s="527"/>
      <c r="I1413" s="527"/>
      <c r="J1413" s="527"/>
      <c r="K1413" s="527"/>
      <c r="L1413" s="527"/>
      <c r="M1413" s="527"/>
    </row>
    <row r="1414" ht="15.75" customHeight="1">
      <c r="A1414" s="523"/>
      <c r="B1414" s="509"/>
      <c r="C1414" s="509"/>
      <c r="D1414" s="522"/>
      <c r="E1414" s="526"/>
      <c r="F1414" s="526"/>
      <c r="G1414" s="527"/>
      <c r="H1414" s="527"/>
      <c r="I1414" s="527"/>
      <c r="J1414" s="527"/>
      <c r="K1414" s="527"/>
      <c r="L1414" s="527"/>
      <c r="M1414" s="527"/>
    </row>
    <row r="1415" ht="15.75" customHeight="1">
      <c r="A1415" s="523"/>
      <c r="B1415" s="509"/>
      <c r="C1415" s="509"/>
      <c r="D1415" s="522"/>
      <c r="E1415" s="526"/>
      <c r="F1415" s="526"/>
      <c r="G1415" s="527"/>
      <c r="H1415" s="527"/>
      <c r="I1415" s="527"/>
      <c r="J1415" s="527"/>
      <c r="K1415" s="527"/>
      <c r="L1415" s="527"/>
      <c r="M1415" s="527"/>
    </row>
    <row r="1416" ht="15.75" customHeight="1">
      <c r="A1416" s="523"/>
      <c r="B1416" s="509"/>
      <c r="C1416" s="509"/>
      <c r="D1416" s="522"/>
      <c r="E1416" s="526"/>
      <c r="F1416" s="526"/>
      <c r="G1416" s="527"/>
      <c r="H1416" s="527"/>
      <c r="I1416" s="527"/>
      <c r="J1416" s="527"/>
      <c r="K1416" s="527"/>
      <c r="L1416" s="527"/>
      <c r="M1416" s="527"/>
    </row>
    <row r="1417" ht="15.75" customHeight="1">
      <c r="A1417" s="523"/>
      <c r="B1417" s="509"/>
      <c r="C1417" s="509"/>
      <c r="D1417" s="522"/>
      <c r="E1417" s="526"/>
      <c r="F1417" s="526"/>
      <c r="G1417" s="527"/>
      <c r="H1417" s="527"/>
      <c r="I1417" s="527"/>
      <c r="J1417" s="527"/>
      <c r="K1417" s="527"/>
      <c r="L1417" s="527"/>
      <c r="M1417" s="527"/>
    </row>
    <row r="1418" ht="15.75" customHeight="1">
      <c r="A1418" s="523"/>
      <c r="B1418" s="509"/>
      <c r="C1418" s="509"/>
      <c r="D1418" s="522"/>
      <c r="E1418" s="526"/>
      <c r="F1418" s="526"/>
      <c r="G1418" s="527"/>
      <c r="H1418" s="527"/>
      <c r="I1418" s="527"/>
      <c r="J1418" s="527"/>
      <c r="K1418" s="527"/>
      <c r="L1418" s="527"/>
      <c r="M1418" s="527"/>
    </row>
    <row r="1419" ht="15.75" customHeight="1">
      <c r="A1419" s="523"/>
      <c r="B1419" s="509"/>
      <c r="C1419" s="509"/>
      <c r="D1419" s="522"/>
      <c r="E1419" s="526"/>
      <c r="F1419" s="526"/>
      <c r="G1419" s="527"/>
      <c r="H1419" s="527"/>
      <c r="I1419" s="527"/>
      <c r="J1419" s="527"/>
      <c r="K1419" s="527"/>
      <c r="L1419" s="527"/>
      <c r="M1419" s="527"/>
    </row>
    <row r="1420" ht="15.75" customHeight="1">
      <c r="A1420" s="523"/>
      <c r="B1420" s="509"/>
      <c r="C1420" s="509"/>
      <c r="D1420" s="522"/>
      <c r="E1420" s="526"/>
      <c r="F1420" s="526"/>
      <c r="G1420" s="527"/>
      <c r="H1420" s="527"/>
      <c r="I1420" s="527"/>
      <c r="J1420" s="527"/>
      <c r="K1420" s="527"/>
      <c r="L1420" s="527"/>
      <c r="M1420" s="527"/>
    </row>
    <row r="1421" ht="15.75" customHeight="1">
      <c r="A1421" s="523"/>
      <c r="B1421" s="509"/>
      <c r="C1421" s="509"/>
      <c r="D1421" s="522"/>
      <c r="E1421" s="526"/>
      <c r="F1421" s="526"/>
      <c r="G1421" s="527"/>
      <c r="H1421" s="527"/>
      <c r="I1421" s="527"/>
      <c r="J1421" s="527"/>
      <c r="K1421" s="527"/>
      <c r="L1421" s="527"/>
      <c r="M1421" s="527"/>
    </row>
    <row r="1422" ht="15.75" customHeight="1">
      <c r="A1422" s="523"/>
      <c r="B1422" s="509"/>
      <c r="C1422" s="509"/>
      <c r="D1422" s="522"/>
      <c r="E1422" s="526"/>
      <c r="F1422" s="526"/>
      <c r="G1422" s="527"/>
      <c r="H1422" s="527"/>
      <c r="I1422" s="527"/>
      <c r="J1422" s="527"/>
      <c r="K1422" s="527"/>
      <c r="L1422" s="527"/>
      <c r="M1422" s="527"/>
    </row>
    <row r="1423" ht="15.75" customHeight="1">
      <c r="A1423" s="523"/>
      <c r="B1423" s="509"/>
      <c r="C1423" s="509"/>
      <c r="D1423" s="522"/>
      <c r="E1423" s="526"/>
      <c r="F1423" s="526"/>
      <c r="G1423" s="527"/>
      <c r="H1423" s="527"/>
      <c r="I1423" s="527"/>
      <c r="J1423" s="527"/>
      <c r="K1423" s="527"/>
      <c r="L1423" s="527"/>
      <c r="M1423" s="527"/>
    </row>
    <row r="1424" ht="15.75" customHeight="1">
      <c r="A1424" s="523"/>
      <c r="B1424" s="509"/>
      <c r="C1424" s="509"/>
      <c r="D1424" s="522"/>
      <c r="E1424" s="526"/>
      <c r="F1424" s="526"/>
      <c r="G1424" s="527"/>
      <c r="H1424" s="527"/>
      <c r="I1424" s="527"/>
      <c r="J1424" s="527"/>
      <c r="K1424" s="527"/>
      <c r="L1424" s="527"/>
      <c r="M1424" s="527"/>
    </row>
    <row r="1425" ht="15.75" customHeight="1">
      <c r="A1425" s="523"/>
      <c r="B1425" s="509"/>
      <c r="C1425" s="509"/>
      <c r="D1425" s="522"/>
      <c r="E1425" s="526"/>
      <c r="F1425" s="526"/>
      <c r="G1425" s="527"/>
      <c r="H1425" s="527"/>
      <c r="I1425" s="527"/>
      <c r="J1425" s="527"/>
      <c r="K1425" s="527"/>
      <c r="L1425" s="527"/>
      <c r="M1425" s="527"/>
    </row>
    <row r="1426" ht="15.75" customHeight="1">
      <c r="A1426" s="523"/>
      <c r="B1426" s="509"/>
      <c r="C1426" s="509"/>
      <c r="D1426" s="522"/>
      <c r="E1426" s="526"/>
      <c r="F1426" s="526"/>
      <c r="G1426" s="527"/>
      <c r="H1426" s="527"/>
      <c r="I1426" s="527"/>
      <c r="J1426" s="527"/>
      <c r="K1426" s="527"/>
      <c r="L1426" s="527"/>
      <c r="M1426" s="527"/>
    </row>
    <row r="1427" ht="15.75" customHeight="1">
      <c r="A1427" s="523"/>
      <c r="B1427" s="509"/>
      <c r="C1427" s="509"/>
      <c r="D1427" s="522"/>
      <c r="E1427" s="526"/>
      <c r="F1427" s="526"/>
      <c r="G1427" s="527"/>
      <c r="H1427" s="527"/>
      <c r="I1427" s="527"/>
      <c r="J1427" s="527"/>
      <c r="K1427" s="527"/>
      <c r="L1427" s="527"/>
      <c r="M1427" s="527"/>
    </row>
    <row r="1428" ht="15.75" customHeight="1">
      <c r="A1428" s="523"/>
      <c r="B1428" s="509"/>
      <c r="C1428" s="509"/>
      <c r="D1428" s="522"/>
      <c r="E1428" s="526"/>
      <c r="F1428" s="526"/>
      <c r="G1428" s="527"/>
      <c r="H1428" s="527"/>
      <c r="I1428" s="527"/>
      <c r="J1428" s="527"/>
      <c r="K1428" s="527"/>
      <c r="L1428" s="527"/>
      <c r="M1428" s="527"/>
    </row>
    <row r="1429" ht="15.75" customHeight="1">
      <c r="A1429" s="523"/>
      <c r="B1429" s="509"/>
      <c r="C1429" s="509"/>
      <c r="D1429" s="522"/>
      <c r="E1429" s="526"/>
      <c r="F1429" s="526"/>
      <c r="G1429" s="527"/>
      <c r="H1429" s="527"/>
      <c r="I1429" s="527"/>
      <c r="J1429" s="527"/>
      <c r="K1429" s="527"/>
      <c r="L1429" s="527"/>
      <c r="M1429" s="527"/>
    </row>
    <row r="1430" ht="15.75" customHeight="1">
      <c r="A1430" s="523"/>
      <c r="B1430" s="509"/>
      <c r="C1430" s="509"/>
      <c r="D1430" s="522"/>
      <c r="E1430" s="526"/>
      <c r="F1430" s="526"/>
      <c r="G1430" s="527"/>
      <c r="H1430" s="527"/>
      <c r="I1430" s="527"/>
      <c r="J1430" s="527"/>
      <c r="K1430" s="527"/>
      <c r="L1430" s="527"/>
      <c r="M1430" s="527"/>
    </row>
    <row r="1431" ht="15.75" customHeight="1">
      <c r="A1431" s="523"/>
      <c r="B1431" s="509"/>
      <c r="C1431" s="509"/>
      <c r="D1431" s="522"/>
      <c r="E1431" s="526"/>
      <c r="F1431" s="526"/>
      <c r="G1431" s="527"/>
      <c r="H1431" s="527"/>
      <c r="I1431" s="527"/>
      <c r="J1431" s="527"/>
      <c r="K1431" s="527"/>
      <c r="L1431" s="527"/>
      <c r="M1431" s="527"/>
    </row>
    <row r="1432" ht="15.75" customHeight="1">
      <c r="A1432" s="523"/>
      <c r="B1432" s="509"/>
      <c r="C1432" s="509"/>
      <c r="D1432" s="522"/>
      <c r="E1432" s="526"/>
      <c r="F1432" s="526"/>
      <c r="G1432" s="527"/>
      <c r="H1432" s="527"/>
      <c r="I1432" s="527"/>
      <c r="J1432" s="527"/>
      <c r="K1432" s="527"/>
      <c r="L1432" s="527"/>
      <c r="M1432" s="527"/>
    </row>
    <row r="1433" ht="15.75" customHeight="1">
      <c r="A1433" s="523"/>
      <c r="B1433" s="509"/>
      <c r="C1433" s="509"/>
      <c r="D1433" s="522"/>
      <c r="E1433" s="526"/>
      <c r="F1433" s="526"/>
      <c r="G1433" s="527"/>
      <c r="H1433" s="527"/>
      <c r="I1433" s="527"/>
      <c r="J1433" s="527"/>
      <c r="K1433" s="527"/>
      <c r="L1433" s="527"/>
      <c r="M1433" s="527"/>
    </row>
    <row r="1434" ht="15.75" customHeight="1">
      <c r="A1434" s="523"/>
      <c r="B1434" s="509"/>
      <c r="C1434" s="509"/>
      <c r="D1434" s="522"/>
      <c r="E1434" s="526"/>
      <c r="F1434" s="526"/>
      <c r="G1434" s="527"/>
      <c r="H1434" s="527"/>
      <c r="I1434" s="527"/>
      <c r="J1434" s="527"/>
      <c r="K1434" s="527"/>
      <c r="L1434" s="527"/>
      <c r="M1434" s="527"/>
    </row>
    <row r="1435" ht="15.75" customHeight="1">
      <c r="A1435" s="523"/>
      <c r="B1435" s="509"/>
      <c r="C1435" s="509"/>
      <c r="D1435" s="522"/>
      <c r="E1435" s="526"/>
      <c r="F1435" s="526"/>
      <c r="G1435" s="527"/>
      <c r="H1435" s="527"/>
      <c r="I1435" s="527"/>
      <c r="J1435" s="527"/>
      <c r="K1435" s="527"/>
      <c r="L1435" s="527"/>
      <c r="M1435" s="527"/>
    </row>
    <row r="1436" ht="15.75" customHeight="1">
      <c r="A1436" s="523"/>
      <c r="B1436" s="509"/>
      <c r="C1436" s="509"/>
      <c r="D1436" s="522"/>
      <c r="E1436" s="526"/>
      <c r="F1436" s="526"/>
      <c r="G1436" s="527"/>
      <c r="H1436" s="527"/>
      <c r="I1436" s="527"/>
      <c r="J1436" s="527"/>
      <c r="K1436" s="527"/>
      <c r="L1436" s="527"/>
      <c r="M1436" s="527"/>
    </row>
    <row r="1437" ht="15.75" customHeight="1">
      <c r="A1437" s="523"/>
      <c r="B1437" s="509"/>
      <c r="C1437" s="509"/>
      <c r="D1437" s="522"/>
      <c r="E1437" s="526"/>
      <c r="F1437" s="526"/>
      <c r="G1437" s="527"/>
      <c r="H1437" s="527"/>
      <c r="I1437" s="527"/>
      <c r="J1437" s="527"/>
      <c r="K1437" s="527"/>
      <c r="L1437" s="527"/>
      <c r="M1437" s="527"/>
    </row>
    <row r="1438" ht="15.75" customHeight="1">
      <c r="A1438" s="523"/>
      <c r="B1438" s="509"/>
      <c r="C1438" s="509"/>
      <c r="D1438" s="522"/>
      <c r="E1438" s="526"/>
      <c r="F1438" s="526"/>
      <c r="G1438" s="527"/>
      <c r="H1438" s="527"/>
      <c r="I1438" s="527"/>
      <c r="J1438" s="527"/>
      <c r="K1438" s="527"/>
      <c r="L1438" s="527"/>
      <c r="M1438" s="527"/>
    </row>
    <row r="1439" ht="15.75" customHeight="1">
      <c r="A1439" s="523"/>
      <c r="B1439" s="509"/>
      <c r="C1439" s="509"/>
      <c r="D1439" s="522"/>
      <c r="E1439" s="526"/>
      <c r="F1439" s="526"/>
      <c r="G1439" s="527"/>
      <c r="H1439" s="527"/>
      <c r="I1439" s="527"/>
      <c r="J1439" s="527"/>
      <c r="K1439" s="527"/>
      <c r="L1439" s="527"/>
      <c r="M1439" s="527"/>
    </row>
    <row r="1440" ht="15.75" customHeight="1">
      <c r="A1440" s="523"/>
      <c r="B1440" s="509"/>
      <c r="C1440" s="509"/>
      <c r="D1440" s="522"/>
      <c r="E1440" s="526"/>
      <c r="F1440" s="526"/>
      <c r="G1440" s="527"/>
      <c r="H1440" s="527"/>
      <c r="I1440" s="527"/>
      <c r="J1440" s="527"/>
      <c r="K1440" s="527"/>
      <c r="L1440" s="527"/>
      <c r="M1440" s="527"/>
    </row>
    <row r="1441" ht="15.75" customHeight="1">
      <c r="A1441" s="523"/>
      <c r="B1441" s="509"/>
      <c r="C1441" s="509"/>
      <c r="D1441" s="522"/>
      <c r="E1441" s="526"/>
      <c r="F1441" s="526"/>
      <c r="G1441" s="527"/>
      <c r="H1441" s="527"/>
      <c r="I1441" s="527"/>
      <c r="J1441" s="527"/>
      <c r="K1441" s="527"/>
      <c r="L1441" s="527"/>
      <c r="M1441" s="527"/>
    </row>
    <row r="1442" ht="15.75" customHeight="1">
      <c r="A1442" s="523"/>
      <c r="B1442" s="509"/>
      <c r="C1442" s="509"/>
      <c r="D1442" s="522"/>
      <c r="E1442" s="526"/>
      <c r="F1442" s="526"/>
      <c r="G1442" s="527"/>
      <c r="H1442" s="527"/>
      <c r="I1442" s="527"/>
      <c r="J1442" s="527"/>
      <c r="K1442" s="527"/>
      <c r="L1442" s="527"/>
      <c r="M1442" s="527"/>
    </row>
    <row r="1443" ht="15.75" customHeight="1">
      <c r="A1443" s="523"/>
      <c r="B1443" s="509"/>
      <c r="C1443" s="509"/>
      <c r="D1443" s="522"/>
      <c r="E1443" s="526"/>
      <c r="F1443" s="526"/>
      <c r="G1443" s="527"/>
      <c r="H1443" s="527"/>
      <c r="I1443" s="527"/>
      <c r="J1443" s="527"/>
      <c r="K1443" s="527"/>
      <c r="L1443" s="527"/>
      <c r="M1443" s="527"/>
    </row>
    <row r="1444" ht="15.75" customHeight="1">
      <c r="A1444" s="523"/>
      <c r="B1444" s="509"/>
      <c r="C1444" s="509"/>
      <c r="D1444" s="522"/>
      <c r="E1444" s="526"/>
      <c r="F1444" s="526"/>
      <c r="G1444" s="527"/>
      <c r="H1444" s="527"/>
      <c r="I1444" s="527"/>
      <c r="J1444" s="527"/>
      <c r="K1444" s="527"/>
      <c r="L1444" s="527"/>
      <c r="M1444" s="527"/>
    </row>
    <row r="1445" ht="15.75" customHeight="1">
      <c r="A1445" s="523"/>
      <c r="B1445" s="509"/>
      <c r="C1445" s="509"/>
      <c r="D1445" s="522"/>
      <c r="E1445" s="526"/>
      <c r="F1445" s="526"/>
      <c r="G1445" s="527"/>
      <c r="H1445" s="527"/>
      <c r="I1445" s="527"/>
      <c r="J1445" s="527"/>
      <c r="K1445" s="527"/>
      <c r="L1445" s="527"/>
      <c r="M1445" s="527"/>
    </row>
    <row r="1446" ht="15.75" customHeight="1">
      <c r="A1446" s="523"/>
      <c r="B1446" s="509"/>
      <c r="C1446" s="509"/>
      <c r="D1446" s="522"/>
      <c r="E1446" s="526"/>
      <c r="F1446" s="526"/>
      <c r="G1446" s="527"/>
      <c r="H1446" s="527"/>
      <c r="I1446" s="527"/>
      <c r="J1446" s="527"/>
      <c r="K1446" s="527"/>
      <c r="L1446" s="527"/>
      <c r="M1446" s="527"/>
    </row>
    <row r="1447" ht="15.75" customHeight="1">
      <c r="A1447" s="523"/>
      <c r="B1447" s="509"/>
      <c r="C1447" s="509"/>
      <c r="D1447" s="522"/>
      <c r="E1447" s="526"/>
      <c r="F1447" s="526"/>
      <c r="G1447" s="527"/>
      <c r="H1447" s="527"/>
      <c r="I1447" s="527"/>
      <c r="J1447" s="527"/>
      <c r="K1447" s="527"/>
      <c r="L1447" s="527"/>
      <c r="M1447" s="527"/>
    </row>
    <row r="1448" ht="15.75" customHeight="1">
      <c r="A1448" s="523"/>
      <c r="B1448" s="509"/>
      <c r="C1448" s="509"/>
      <c r="D1448" s="522"/>
      <c r="E1448" s="526"/>
      <c r="F1448" s="526"/>
      <c r="G1448" s="527"/>
      <c r="H1448" s="527"/>
      <c r="I1448" s="527"/>
      <c r="J1448" s="527"/>
      <c r="K1448" s="527"/>
      <c r="L1448" s="527"/>
      <c r="M1448" s="527"/>
    </row>
    <row r="1449" ht="15.75" customHeight="1">
      <c r="A1449" s="523"/>
      <c r="B1449" s="509"/>
      <c r="C1449" s="509"/>
      <c r="D1449" s="522"/>
      <c r="E1449" s="526"/>
      <c r="F1449" s="526"/>
      <c r="G1449" s="527"/>
      <c r="H1449" s="527"/>
      <c r="I1449" s="527"/>
      <c r="J1449" s="527"/>
      <c r="K1449" s="527"/>
      <c r="L1449" s="527"/>
      <c r="M1449" s="527"/>
    </row>
    <row r="1450" ht="15.75" customHeight="1">
      <c r="A1450" s="523"/>
      <c r="B1450" s="509"/>
      <c r="C1450" s="509"/>
      <c r="D1450" s="522"/>
      <c r="E1450" s="526"/>
      <c r="F1450" s="526"/>
      <c r="G1450" s="527"/>
      <c r="H1450" s="527"/>
      <c r="I1450" s="527"/>
      <c r="J1450" s="527"/>
      <c r="K1450" s="527"/>
      <c r="L1450" s="527"/>
      <c r="M1450" s="527"/>
    </row>
    <row r="1451" ht="15.75" customHeight="1">
      <c r="A1451" s="523"/>
      <c r="B1451" s="509"/>
      <c r="C1451" s="509"/>
      <c r="D1451" s="522"/>
      <c r="E1451" s="526"/>
      <c r="F1451" s="526"/>
      <c r="G1451" s="527"/>
      <c r="H1451" s="527"/>
      <c r="I1451" s="527"/>
      <c r="J1451" s="527"/>
      <c r="K1451" s="527"/>
      <c r="L1451" s="527"/>
      <c r="M1451" s="527"/>
    </row>
    <row r="1452" ht="15.75" customHeight="1">
      <c r="A1452" s="523"/>
      <c r="B1452" s="509"/>
      <c r="C1452" s="509"/>
      <c r="D1452" s="522"/>
      <c r="E1452" s="526"/>
      <c r="F1452" s="526"/>
      <c r="G1452" s="527"/>
      <c r="H1452" s="527"/>
      <c r="I1452" s="527"/>
      <c r="J1452" s="527"/>
      <c r="K1452" s="527"/>
      <c r="L1452" s="527"/>
      <c r="M1452" s="527"/>
    </row>
    <row r="1453" ht="15.75" customHeight="1">
      <c r="A1453" s="523"/>
      <c r="B1453" s="509"/>
      <c r="C1453" s="509"/>
      <c r="D1453" s="522"/>
      <c r="E1453" s="526"/>
      <c r="F1453" s="526"/>
      <c r="G1453" s="527"/>
      <c r="H1453" s="527"/>
      <c r="I1453" s="527"/>
      <c r="J1453" s="527"/>
      <c r="K1453" s="527"/>
      <c r="L1453" s="527"/>
      <c r="M1453" s="527"/>
    </row>
    <row r="1454" ht="15.75" customHeight="1">
      <c r="A1454" s="523"/>
      <c r="B1454" s="509"/>
      <c r="C1454" s="509"/>
      <c r="D1454" s="522"/>
      <c r="E1454" s="526"/>
      <c r="F1454" s="526"/>
      <c r="G1454" s="527"/>
      <c r="H1454" s="527"/>
      <c r="I1454" s="527"/>
      <c r="J1454" s="527"/>
      <c r="K1454" s="527"/>
      <c r="L1454" s="527"/>
      <c r="M1454" s="527"/>
    </row>
    <row r="1455" ht="15.75" customHeight="1">
      <c r="A1455" s="523"/>
      <c r="B1455" s="509"/>
      <c r="C1455" s="509"/>
      <c r="D1455" s="522"/>
      <c r="E1455" s="526"/>
      <c r="F1455" s="526"/>
      <c r="G1455" s="527"/>
      <c r="H1455" s="527"/>
      <c r="I1455" s="527"/>
      <c r="J1455" s="527"/>
      <c r="K1455" s="527"/>
      <c r="L1455" s="527"/>
      <c r="M1455" s="527"/>
    </row>
    <row r="1456" ht="15.75" customHeight="1">
      <c r="A1456" s="523"/>
      <c r="B1456" s="509"/>
      <c r="C1456" s="509"/>
      <c r="D1456" s="522"/>
      <c r="E1456" s="526"/>
      <c r="F1456" s="526"/>
      <c r="G1456" s="527"/>
      <c r="H1456" s="527"/>
      <c r="I1456" s="527"/>
      <c r="J1456" s="527"/>
      <c r="K1456" s="527"/>
      <c r="L1456" s="527"/>
      <c r="M1456" s="527"/>
    </row>
    <row r="1457" ht="15.75" customHeight="1">
      <c r="A1457" s="523"/>
      <c r="B1457" s="509"/>
      <c r="C1457" s="509"/>
      <c r="D1457" s="522"/>
      <c r="E1457" s="526"/>
      <c r="F1457" s="526"/>
      <c r="G1457" s="527"/>
      <c r="H1457" s="527"/>
      <c r="I1457" s="527"/>
      <c r="J1457" s="527"/>
      <c r="K1457" s="527"/>
      <c r="L1457" s="527"/>
      <c r="M1457" s="527"/>
    </row>
    <row r="1458" ht="15.75" customHeight="1">
      <c r="A1458" s="523"/>
      <c r="B1458" s="509"/>
      <c r="C1458" s="509"/>
      <c r="D1458" s="522"/>
      <c r="E1458" s="526"/>
      <c r="F1458" s="526"/>
      <c r="G1458" s="527"/>
      <c r="H1458" s="527"/>
      <c r="I1458" s="527"/>
      <c r="J1458" s="527"/>
      <c r="K1458" s="527"/>
      <c r="L1458" s="527"/>
      <c r="M1458" s="527"/>
    </row>
    <row r="1459" ht="15.75" customHeight="1">
      <c r="A1459" s="523"/>
      <c r="B1459" s="509"/>
      <c r="C1459" s="509"/>
      <c r="D1459" s="522"/>
      <c r="E1459" s="526"/>
      <c r="F1459" s="526"/>
      <c r="G1459" s="527"/>
      <c r="H1459" s="527"/>
      <c r="I1459" s="527"/>
      <c r="J1459" s="527"/>
      <c r="K1459" s="527"/>
      <c r="L1459" s="527"/>
      <c r="M1459" s="527"/>
    </row>
    <row r="1460" ht="15.75" customHeight="1">
      <c r="A1460" s="523"/>
      <c r="B1460" s="509"/>
      <c r="C1460" s="509"/>
      <c r="D1460" s="522"/>
      <c r="E1460" s="526"/>
      <c r="F1460" s="526"/>
      <c r="G1460" s="527"/>
      <c r="H1460" s="527"/>
      <c r="I1460" s="527"/>
      <c r="J1460" s="527"/>
      <c r="K1460" s="527"/>
      <c r="L1460" s="527"/>
      <c r="M1460" s="527"/>
    </row>
    <row r="1461" ht="15.75" customHeight="1">
      <c r="A1461" s="523"/>
      <c r="B1461" s="509"/>
      <c r="C1461" s="509"/>
      <c r="D1461" s="522"/>
      <c r="E1461" s="526"/>
      <c r="F1461" s="526"/>
      <c r="G1461" s="527"/>
      <c r="H1461" s="527"/>
      <c r="I1461" s="527"/>
      <c r="J1461" s="527"/>
      <c r="K1461" s="527"/>
      <c r="L1461" s="527"/>
      <c r="M1461" s="527"/>
    </row>
    <row r="1462" ht="15.75" customHeight="1">
      <c r="A1462" s="523"/>
      <c r="B1462" s="509"/>
      <c r="C1462" s="509"/>
      <c r="D1462" s="522"/>
      <c r="E1462" s="526"/>
      <c r="F1462" s="526"/>
      <c r="G1462" s="527"/>
      <c r="H1462" s="527"/>
      <c r="I1462" s="527"/>
      <c r="J1462" s="527"/>
      <c r="K1462" s="527"/>
      <c r="L1462" s="527"/>
      <c r="M1462" s="527"/>
    </row>
    <row r="1463" ht="15.75" customHeight="1">
      <c r="A1463" s="523"/>
      <c r="B1463" s="509"/>
      <c r="C1463" s="509"/>
      <c r="D1463" s="522"/>
      <c r="E1463" s="526"/>
      <c r="F1463" s="526"/>
      <c r="G1463" s="527"/>
      <c r="H1463" s="527"/>
      <c r="I1463" s="527"/>
      <c r="J1463" s="527"/>
      <c r="K1463" s="527"/>
      <c r="L1463" s="527"/>
      <c r="M1463" s="527"/>
    </row>
    <row r="1464" ht="15.75" customHeight="1">
      <c r="A1464" s="523"/>
      <c r="B1464" s="509"/>
      <c r="C1464" s="509"/>
      <c r="D1464" s="522"/>
      <c r="E1464" s="526"/>
      <c r="F1464" s="526"/>
      <c r="G1464" s="527"/>
      <c r="H1464" s="527"/>
      <c r="I1464" s="527"/>
      <c r="J1464" s="527"/>
      <c r="K1464" s="527"/>
      <c r="L1464" s="527"/>
      <c r="M1464" s="527"/>
    </row>
    <row r="1465" ht="15.75" customHeight="1">
      <c r="A1465" s="523"/>
      <c r="B1465" s="509"/>
      <c r="C1465" s="509"/>
      <c r="D1465" s="522"/>
      <c r="E1465" s="526"/>
      <c r="F1465" s="526"/>
      <c r="G1465" s="527"/>
      <c r="H1465" s="527"/>
      <c r="I1465" s="527"/>
      <c r="J1465" s="527"/>
      <c r="K1465" s="527"/>
      <c r="L1465" s="527"/>
      <c r="M1465" s="527"/>
    </row>
    <row r="1466" ht="15.75" customHeight="1">
      <c r="A1466" s="523"/>
      <c r="B1466" s="509"/>
      <c r="C1466" s="509"/>
      <c r="D1466" s="522"/>
      <c r="E1466" s="526"/>
      <c r="F1466" s="526"/>
      <c r="G1466" s="527"/>
      <c r="H1466" s="527"/>
      <c r="I1466" s="527"/>
      <c r="J1466" s="527"/>
      <c r="K1466" s="527"/>
      <c r="L1466" s="527"/>
      <c r="M1466" s="527"/>
    </row>
    <row r="1467" ht="15.75" customHeight="1">
      <c r="A1467" s="523"/>
      <c r="B1467" s="509"/>
      <c r="C1467" s="509"/>
      <c r="D1467" s="522"/>
      <c r="E1467" s="526"/>
      <c r="F1467" s="526"/>
      <c r="G1467" s="527"/>
      <c r="H1467" s="527"/>
      <c r="I1467" s="527"/>
      <c r="J1467" s="527"/>
      <c r="K1467" s="527"/>
      <c r="L1467" s="527"/>
      <c r="M1467" s="527"/>
    </row>
    <row r="1468" ht="15.75" customHeight="1">
      <c r="A1468" s="523"/>
      <c r="B1468" s="509"/>
      <c r="C1468" s="509"/>
      <c r="D1468" s="522"/>
      <c r="E1468" s="526"/>
      <c r="F1468" s="526"/>
      <c r="G1468" s="527"/>
      <c r="H1468" s="527"/>
      <c r="I1468" s="527"/>
      <c r="J1468" s="527"/>
      <c r="K1468" s="527"/>
      <c r="L1468" s="527"/>
      <c r="M1468" s="527"/>
    </row>
    <row r="1469" ht="15.75" customHeight="1">
      <c r="A1469" s="523"/>
      <c r="B1469" s="509"/>
      <c r="C1469" s="509"/>
      <c r="D1469" s="522"/>
      <c r="E1469" s="526"/>
      <c r="F1469" s="526"/>
      <c r="G1469" s="527"/>
      <c r="H1469" s="527"/>
      <c r="I1469" s="527"/>
      <c r="J1469" s="527"/>
      <c r="K1469" s="527"/>
      <c r="L1469" s="527"/>
      <c r="M1469" s="527"/>
    </row>
    <row r="1470" ht="15.75" customHeight="1">
      <c r="A1470" s="523"/>
      <c r="B1470" s="509"/>
      <c r="C1470" s="509"/>
      <c r="D1470" s="522"/>
      <c r="E1470" s="526"/>
      <c r="F1470" s="526"/>
      <c r="G1470" s="527"/>
      <c r="H1470" s="527"/>
      <c r="I1470" s="527"/>
      <c r="J1470" s="527"/>
      <c r="K1470" s="527"/>
      <c r="L1470" s="527"/>
      <c r="M1470" s="527"/>
    </row>
    <row r="1471" ht="15.75" customHeight="1">
      <c r="A1471" s="523"/>
      <c r="B1471" s="509"/>
      <c r="C1471" s="509"/>
      <c r="D1471" s="522"/>
      <c r="E1471" s="526"/>
      <c r="F1471" s="526"/>
      <c r="G1471" s="527"/>
      <c r="H1471" s="527"/>
      <c r="I1471" s="527"/>
      <c r="J1471" s="527"/>
      <c r="K1471" s="527"/>
      <c r="L1471" s="527"/>
      <c r="M1471" s="527"/>
    </row>
    <row r="1472" ht="15.75" customHeight="1">
      <c r="A1472" s="523"/>
      <c r="B1472" s="509"/>
      <c r="C1472" s="509"/>
      <c r="D1472" s="522"/>
      <c r="E1472" s="526"/>
      <c r="F1472" s="526"/>
      <c r="G1472" s="527"/>
      <c r="H1472" s="527"/>
      <c r="I1472" s="527"/>
      <c r="J1472" s="527"/>
      <c r="K1472" s="527"/>
      <c r="L1472" s="527"/>
      <c r="M1472" s="527"/>
    </row>
    <row r="1473" ht="15.75" customHeight="1">
      <c r="A1473" s="523"/>
      <c r="B1473" s="509"/>
      <c r="C1473" s="509"/>
      <c r="D1473" s="522"/>
      <c r="E1473" s="526"/>
      <c r="F1473" s="526"/>
      <c r="G1473" s="527"/>
      <c r="H1473" s="527"/>
      <c r="I1473" s="527"/>
      <c r="J1473" s="527"/>
      <c r="K1473" s="527"/>
      <c r="L1473" s="527"/>
      <c r="M1473" s="527"/>
    </row>
    <row r="1474" ht="15.75" customHeight="1">
      <c r="A1474" s="523"/>
      <c r="B1474" s="509"/>
      <c r="C1474" s="509"/>
      <c r="D1474" s="522"/>
      <c r="E1474" s="526"/>
      <c r="F1474" s="526"/>
      <c r="G1474" s="527"/>
      <c r="H1474" s="527"/>
      <c r="I1474" s="527"/>
      <c r="J1474" s="527"/>
      <c r="K1474" s="527"/>
      <c r="L1474" s="527"/>
      <c r="M1474" s="527"/>
    </row>
    <row r="1475" ht="15.75" customHeight="1">
      <c r="A1475" s="523"/>
      <c r="B1475" s="509"/>
      <c r="C1475" s="509"/>
      <c r="D1475" s="522"/>
      <c r="E1475" s="526"/>
      <c r="F1475" s="526"/>
      <c r="G1475" s="527"/>
      <c r="H1475" s="527"/>
      <c r="I1475" s="527"/>
      <c r="J1475" s="527"/>
      <c r="K1475" s="527"/>
      <c r="L1475" s="527"/>
      <c r="M1475" s="527"/>
    </row>
    <row r="1476" ht="15.75" customHeight="1">
      <c r="A1476" s="523"/>
      <c r="B1476" s="509"/>
      <c r="C1476" s="509"/>
      <c r="D1476" s="522"/>
      <c r="E1476" s="526"/>
      <c r="F1476" s="526"/>
      <c r="G1476" s="527"/>
      <c r="H1476" s="527"/>
      <c r="I1476" s="527"/>
      <c r="J1476" s="527"/>
      <c r="K1476" s="527"/>
      <c r="L1476" s="527"/>
      <c r="M1476" s="527"/>
    </row>
    <row r="1477" ht="15.75" customHeight="1">
      <c r="A1477" s="523"/>
      <c r="B1477" s="509"/>
      <c r="C1477" s="509"/>
      <c r="D1477" s="522"/>
      <c r="E1477" s="526"/>
      <c r="F1477" s="526"/>
      <c r="G1477" s="527"/>
      <c r="H1477" s="527"/>
      <c r="I1477" s="527"/>
      <c r="J1477" s="527"/>
      <c r="K1477" s="527"/>
      <c r="L1477" s="527"/>
      <c r="M1477" s="527"/>
    </row>
    <row r="1478" ht="15.75" customHeight="1">
      <c r="A1478" s="523"/>
      <c r="B1478" s="509"/>
      <c r="C1478" s="509"/>
      <c r="D1478" s="522"/>
      <c r="E1478" s="526"/>
      <c r="F1478" s="526"/>
      <c r="G1478" s="527"/>
      <c r="H1478" s="527"/>
      <c r="I1478" s="527"/>
      <c r="J1478" s="527"/>
      <c r="K1478" s="527"/>
      <c r="L1478" s="527"/>
      <c r="M1478" s="527"/>
    </row>
    <row r="1479" ht="15.75" customHeight="1">
      <c r="A1479" s="523"/>
      <c r="B1479" s="509"/>
      <c r="C1479" s="509"/>
      <c r="D1479" s="522"/>
      <c r="E1479" s="526"/>
      <c r="F1479" s="526"/>
      <c r="G1479" s="527"/>
      <c r="H1479" s="527"/>
      <c r="I1479" s="527"/>
      <c r="J1479" s="527"/>
      <c r="K1479" s="527"/>
      <c r="L1479" s="527"/>
      <c r="M1479" s="527"/>
    </row>
    <row r="1480" ht="15.75" customHeight="1">
      <c r="A1480" s="523"/>
      <c r="B1480" s="509"/>
      <c r="C1480" s="509"/>
      <c r="D1480" s="522"/>
      <c r="E1480" s="526"/>
      <c r="F1480" s="526"/>
      <c r="G1480" s="527"/>
      <c r="H1480" s="527"/>
      <c r="I1480" s="527"/>
      <c r="J1480" s="527"/>
      <c r="K1480" s="527"/>
      <c r="L1480" s="527"/>
      <c r="M1480" s="527"/>
    </row>
    <row r="1481" ht="15.75" customHeight="1">
      <c r="A1481" s="523"/>
      <c r="B1481" s="509"/>
      <c r="C1481" s="509"/>
      <c r="D1481" s="522"/>
      <c r="E1481" s="526"/>
      <c r="F1481" s="526"/>
      <c r="G1481" s="527"/>
      <c r="H1481" s="527"/>
      <c r="I1481" s="527"/>
      <c r="J1481" s="527"/>
      <c r="K1481" s="527"/>
      <c r="L1481" s="527"/>
      <c r="M1481" s="527"/>
    </row>
    <row r="1482" ht="15.75" customHeight="1">
      <c r="A1482" s="523"/>
      <c r="B1482" s="509"/>
      <c r="C1482" s="509"/>
      <c r="D1482" s="522"/>
      <c r="E1482" s="526"/>
      <c r="F1482" s="526"/>
      <c r="G1482" s="527"/>
      <c r="H1482" s="527"/>
      <c r="I1482" s="527"/>
      <c r="J1482" s="527"/>
      <c r="K1482" s="527"/>
      <c r="L1482" s="527"/>
      <c r="M1482" s="527"/>
    </row>
    <row r="1483" ht="15.75" customHeight="1">
      <c r="A1483" s="523"/>
      <c r="B1483" s="509"/>
      <c r="C1483" s="509"/>
      <c r="D1483" s="522"/>
      <c r="E1483" s="526"/>
      <c r="F1483" s="526"/>
      <c r="G1483" s="527"/>
      <c r="H1483" s="527"/>
      <c r="I1483" s="527"/>
      <c r="J1483" s="527"/>
      <c r="K1483" s="527"/>
      <c r="L1483" s="527"/>
      <c r="M1483" s="527"/>
    </row>
    <row r="1484" ht="15.75" customHeight="1">
      <c r="A1484" s="523"/>
      <c r="B1484" s="509"/>
      <c r="C1484" s="509"/>
      <c r="D1484" s="522"/>
      <c r="E1484" s="526"/>
      <c r="F1484" s="526"/>
      <c r="G1484" s="527"/>
      <c r="H1484" s="527"/>
      <c r="I1484" s="527"/>
      <c r="J1484" s="527"/>
      <c r="K1484" s="527"/>
      <c r="L1484" s="527"/>
      <c r="M1484" s="527"/>
    </row>
    <row r="1485" ht="15.75" customHeight="1">
      <c r="A1485" s="523"/>
      <c r="B1485" s="509"/>
      <c r="C1485" s="509"/>
      <c r="D1485" s="522"/>
      <c r="E1485" s="526"/>
      <c r="F1485" s="526"/>
      <c r="G1485" s="527"/>
      <c r="H1485" s="527"/>
      <c r="I1485" s="527"/>
      <c r="J1485" s="527"/>
      <c r="K1485" s="527"/>
      <c r="L1485" s="527"/>
      <c r="M1485" s="527"/>
    </row>
    <row r="1486" ht="15.75" customHeight="1">
      <c r="A1486" s="523"/>
      <c r="B1486" s="509"/>
      <c r="C1486" s="509"/>
      <c r="D1486" s="522"/>
      <c r="E1486" s="526"/>
      <c r="F1486" s="526"/>
      <c r="G1486" s="527"/>
      <c r="H1486" s="527"/>
      <c r="I1486" s="527"/>
      <c r="J1486" s="527"/>
      <c r="K1486" s="527"/>
      <c r="L1486" s="527"/>
      <c r="M1486" s="527"/>
    </row>
    <row r="1487" ht="15.75" customHeight="1">
      <c r="A1487" s="523"/>
      <c r="B1487" s="509"/>
      <c r="C1487" s="509"/>
      <c r="D1487" s="522"/>
      <c r="E1487" s="526"/>
      <c r="F1487" s="526"/>
      <c r="G1487" s="527"/>
      <c r="H1487" s="527"/>
      <c r="I1487" s="527"/>
      <c r="J1487" s="527"/>
      <c r="K1487" s="527"/>
      <c r="L1487" s="527"/>
      <c r="M1487" s="527"/>
    </row>
    <row r="1488" ht="15.75" customHeight="1">
      <c r="A1488" s="523"/>
      <c r="B1488" s="509"/>
      <c r="C1488" s="509"/>
      <c r="D1488" s="522"/>
      <c r="E1488" s="526"/>
      <c r="F1488" s="526"/>
      <c r="G1488" s="527"/>
      <c r="H1488" s="527"/>
      <c r="I1488" s="527"/>
      <c r="J1488" s="527"/>
      <c r="K1488" s="527"/>
      <c r="L1488" s="527"/>
      <c r="M1488" s="527"/>
    </row>
    <row r="1489" ht="15.75" customHeight="1">
      <c r="A1489" s="523"/>
      <c r="B1489" s="509"/>
      <c r="C1489" s="509"/>
      <c r="D1489" s="522"/>
      <c r="E1489" s="526"/>
      <c r="F1489" s="526"/>
      <c r="G1489" s="527"/>
      <c r="H1489" s="527"/>
      <c r="I1489" s="527"/>
      <c r="J1489" s="527"/>
      <c r="K1489" s="527"/>
      <c r="L1489" s="527"/>
      <c r="M1489" s="527"/>
    </row>
    <row r="1490" ht="15.75" customHeight="1">
      <c r="A1490" s="523"/>
      <c r="B1490" s="509"/>
      <c r="C1490" s="509"/>
      <c r="D1490" s="522"/>
      <c r="E1490" s="526"/>
      <c r="F1490" s="526"/>
      <c r="G1490" s="527"/>
      <c r="H1490" s="527"/>
      <c r="I1490" s="527"/>
      <c r="J1490" s="527"/>
      <c r="K1490" s="527"/>
      <c r="L1490" s="527"/>
      <c r="M1490" s="527"/>
    </row>
    <row r="1491" ht="15.75" customHeight="1">
      <c r="A1491" s="523"/>
      <c r="B1491" s="509"/>
      <c r="C1491" s="509"/>
      <c r="D1491" s="522"/>
      <c r="E1491" s="526"/>
      <c r="F1491" s="526"/>
      <c r="G1491" s="527"/>
      <c r="H1491" s="527"/>
      <c r="I1491" s="527"/>
      <c r="J1491" s="527"/>
      <c r="K1491" s="527"/>
      <c r="L1491" s="527"/>
      <c r="M1491" s="527"/>
    </row>
    <row r="1492" ht="15.75" customHeight="1">
      <c r="A1492" s="523"/>
      <c r="B1492" s="509"/>
      <c r="C1492" s="509"/>
      <c r="D1492" s="522"/>
      <c r="E1492" s="526"/>
      <c r="F1492" s="526"/>
      <c r="G1492" s="527"/>
      <c r="H1492" s="527"/>
      <c r="I1492" s="527"/>
      <c r="J1492" s="527"/>
      <c r="K1492" s="527"/>
      <c r="L1492" s="527"/>
      <c r="M1492" s="527"/>
    </row>
    <row r="1493" ht="15.75" customHeight="1">
      <c r="A1493" s="523"/>
      <c r="B1493" s="509"/>
      <c r="C1493" s="509"/>
      <c r="D1493" s="522"/>
      <c r="E1493" s="526"/>
      <c r="F1493" s="526"/>
      <c r="G1493" s="527"/>
      <c r="H1493" s="527"/>
      <c r="I1493" s="527"/>
      <c r="J1493" s="527"/>
      <c r="K1493" s="527"/>
      <c r="L1493" s="527"/>
      <c r="M1493" s="527"/>
    </row>
    <row r="1494" ht="15.75" customHeight="1">
      <c r="A1494" s="523"/>
      <c r="B1494" s="509"/>
      <c r="C1494" s="509"/>
      <c r="D1494" s="522"/>
      <c r="E1494" s="526"/>
      <c r="F1494" s="526"/>
      <c r="G1494" s="527"/>
      <c r="H1494" s="527"/>
      <c r="I1494" s="527"/>
      <c r="J1494" s="527"/>
      <c r="K1494" s="527"/>
      <c r="L1494" s="527"/>
      <c r="M1494" s="527"/>
    </row>
    <row r="1495" ht="15.75" customHeight="1">
      <c r="A1495" s="523"/>
      <c r="B1495" s="509"/>
      <c r="C1495" s="509"/>
      <c r="D1495" s="522"/>
      <c r="E1495" s="526"/>
      <c r="F1495" s="526"/>
      <c r="G1495" s="527"/>
      <c r="H1495" s="527"/>
      <c r="I1495" s="527"/>
      <c r="J1495" s="527"/>
      <c r="K1495" s="527"/>
      <c r="L1495" s="527"/>
      <c r="M1495" s="527"/>
    </row>
    <row r="1496" ht="15.75" customHeight="1">
      <c r="A1496" s="523"/>
      <c r="B1496" s="509"/>
      <c r="C1496" s="509"/>
      <c r="D1496" s="522"/>
      <c r="E1496" s="526"/>
      <c r="F1496" s="526"/>
      <c r="G1496" s="527"/>
      <c r="H1496" s="527"/>
      <c r="I1496" s="527"/>
      <c r="J1496" s="527"/>
      <c r="K1496" s="527"/>
      <c r="L1496" s="527"/>
      <c r="M1496" s="527"/>
    </row>
    <row r="1497" ht="15.75" customHeight="1">
      <c r="A1497" s="523"/>
      <c r="B1497" s="509"/>
      <c r="C1497" s="509"/>
      <c r="D1497" s="522"/>
      <c r="E1497" s="526"/>
      <c r="F1497" s="526"/>
      <c r="G1497" s="527"/>
      <c r="H1497" s="527"/>
      <c r="I1497" s="527"/>
      <c r="J1497" s="527"/>
      <c r="K1497" s="527"/>
      <c r="L1497" s="527"/>
      <c r="M1497" s="527"/>
    </row>
    <row r="1498" ht="15.75" customHeight="1">
      <c r="A1498" s="523"/>
      <c r="B1498" s="509"/>
      <c r="C1498" s="509"/>
      <c r="D1498" s="522"/>
      <c r="E1498" s="526"/>
      <c r="F1498" s="526"/>
      <c r="G1498" s="527"/>
      <c r="H1498" s="527"/>
      <c r="I1498" s="527"/>
      <c r="J1498" s="527"/>
      <c r="K1498" s="527"/>
      <c r="L1498" s="527"/>
      <c r="M1498" s="527"/>
    </row>
    <row r="1499" ht="15.75" customHeight="1">
      <c r="A1499" s="523"/>
      <c r="B1499" s="509"/>
      <c r="C1499" s="509"/>
      <c r="D1499" s="522"/>
      <c r="E1499" s="526"/>
      <c r="F1499" s="526"/>
      <c r="G1499" s="527"/>
      <c r="H1499" s="527"/>
      <c r="I1499" s="527"/>
      <c r="J1499" s="527"/>
      <c r="K1499" s="527"/>
      <c r="L1499" s="527"/>
      <c r="M1499" s="527"/>
    </row>
    <row r="1500" ht="15.75" customHeight="1">
      <c r="A1500" s="523"/>
      <c r="B1500" s="509"/>
      <c r="C1500" s="509"/>
      <c r="D1500" s="522"/>
      <c r="E1500" s="526"/>
      <c r="F1500" s="526"/>
      <c r="G1500" s="527"/>
      <c r="H1500" s="527"/>
      <c r="I1500" s="527"/>
      <c r="J1500" s="527"/>
      <c r="K1500" s="527"/>
      <c r="L1500" s="527"/>
      <c r="M1500" s="527"/>
    </row>
    <row r="1501" ht="15.75" customHeight="1">
      <c r="A1501" s="523"/>
      <c r="B1501" s="509"/>
      <c r="C1501" s="509"/>
      <c r="D1501" s="522"/>
      <c r="E1501" s="526"/>
      <c r="F1501" s="526"/>
      <c r="G1501" s="527"/>
      <c r="H1501" s="527"/>
      <c r="I1501" s="527"/>
      <c r="J1501" s="527"/>
      <c r="K1501" s="527"/>
      <c r="L1501" s="527"/>
      <c r="M1501" s="527"/>
    </row>
    <row r="1502" ht="15.75" customHeight="1">
      <c r="A1502" s="523"/>
      <c r="B1502" s="509"/>
      <c r="C1502" s="509"/>
      <c r="D1502" s="522"/>
      <c r="E1502" s="526"/>
      <c r="F1502" s="526"/>
      <c r="G1502" s="527"/>
      <c r="H1502" s="527"/>
      <c r="I1502" s="527"/>
      <c r="J1502" s="527"/>
      <c r="K1502" s="527"/>
      <c r="L1502" s="527"/>
      <c r="M1502" s="527"/>
    </row>
    <row r="1503" ht="15.75" customHeight="1">
      <c r="A1503" s="523"/>
      <c r="B1503" s="509"/>
      <c r="C1503" s="509"/>
      <c r="D1503" s="522"/>
      <c r="E1503" s="526"/>
      <c r="F1503" s="526"/>
      <c r="G1503" s="527"/>
      <c r="H1503" s="527"/>
      <c r="I1503" s="527"/>
      <c r="J1503" s="527"/>
      <c r="K1503" s="527"/>
      <c r="L1503" s="527"/>
      <c r="M1503" s="527"/>
    </row>
    <row r="1504" ht="15.75" customHeight="1">
      <c r="A1504" s="523"/>
      <c r="B1504" s="509"/>
      <c r="C1504" s="509"/>
      <c r="D1504" s="522"/>
      <c r="E1504" s="526"/>
      <c r="F1504" s="526"/>
      <c r="G1504" s="527"/>
      <c r="H1504" s="527"/>
      <c r="I1504" s="527"/>
      <c r="J1504" s="527"/>
      <c r="K1504" s="527"/>
      <c r="L1504" s="527"/>
      <c r="M1504" s="527"/>
    </row>
    <row r="1505" ht="15.75" customHeight="1">
      <c r="A1505" s="523"/>
      <c r="B1505" s="509"/>
      <c r="C1505" s="509"/>
      <c r="D1505" s="522"/>
      <c r="E1505" s="526"/>
      <c r="F1505" s="526"/>
      <c r="G1505" s="527"/>
      <c r="H1505" s="527"/>
      <c r="I1505" s="527"/>
      <c r="J1505" s="527"/>
      <c r="K1505" s="527"/>
      <c r="L1505" s="527"/>
      <c r="M1505" s="527"/>
    </row>
    <row r="1506" ht="15.75" customHeight="1">
      <c r="A1506" s="523"/>
      <c r="B1506" s="509"/>
      <c r="C1506" s="509"/>
      <c r="D1506" s="522"/>
      <c r="E1506" s="526"/>
      <c r="F1506" s="526"/>
      <c r="G1506" s="527"/>
      <c r="H1506" s="527"/>
      <c r="I1506" s="527"/>
      <c r="J1506" s="527"/>
      <c r="K1506" s="527"/>
      <c r="L1506" s="527"/>
      <c r="M1506" s="527"/>
    </row>
    <row r="1507" ht="15.75" customHeight="1">
      <c r="A1507" s="523"/>
      <c r="B1507" s="509"/>
      <c r="C1507" s="509"/>
      <c r="D1507" s="522"/>
      <c r="E1507" s="526"/>
      <c r="F1507" s="526"/>
      <c r="G1507" s="527"/>
      <c r="H1507" s="527"/>
      <c r="I1507" s="527"/>
      <c r="J1507" s="527"/>
      <c r="K1507" s="527"/>
      <c r="L1507" s="527"/>
      <c r="M1507" s="527"/>
    </row>
    <row r="1508" ht="15.75" customHeight="1">
      <c r="A1508" s="523"/>
      <c r="B1508" s="509"/>
      <c r="C1508" s="509"/>
      <c r="D1508" s="522"/>
      <c r="E1508" s="526"/>
      <c r="F1508" s="526"/>
      <c r="G1508" s="527"/>
      <c r="H1508" s="527"/>
      <c r="I1508" s="527"/>
      <c r="J1508" s="527"/>
      <c r="K1508" s="527"/>
      <c r="L1508" s="527"/>
      <c r="M1508" s="527"/>
    </row>
    <row r="1509" ht="15.75" customHeight="1">
      <c r="A1509" s="523"/>
      <c r="B1509" s="509"/>
      <c r="C1509" s="509"/>
      <c r="D1509" s="522"/>
      <c r="E1509" s="526"/>
      <c r="F1509" s="526"/>
      <c r="G1509" s="527"/>
      <c r="H1509" s="527"/>
      <c r="I1509" s="527"/>
      <c r="J1509" s="527"/>
      <c r="K1509" s="527"/>
      <c r="L1509" s="527"/>
      <c r="M1509" s="527"/>
    </row>
    <row r="1510" ht="15.75" customHeight="1">
      <c r="A1510" s="523"/>
      <c r="B1510" s="509"/>
      <c r="C1510" s="509"/>
      <c r="D1510" s="522"/>
      <c r="E1510" s="526"/>
      <c r="F1510" s="526"/>
      <c r="G1510" s="527"/>
      <c r="H1510" s="527"/>
      <c r="I1510" s="527"/>
      <c r="J1510" s="527"/>
      <c r="K1510" s="527"/>
      <c r="L1510" s="527"/>
      <c r="M1510" s="527"/>
    </row>
    <row r="1511" ht="15.75" customHeight="1">
      <c r="A1511" s="523"/>
      <c r="B1511" s="509"/>
      <c r="C1511" s="509"/>
      <c r="D1511" s="522"/>
      <c r="E1511" s="526"/>
      <c r="F1511" s="526"/>
      <c r="G1511" s="527"/>
      <c r="H1511" s="527"/>
      <c r="I1511" s="527"/>
      <c r="J1511" s="527"/>
      <c r="K1511" s="527"/>
      <c r="L1511" s="527"/>
      <c r="M1511" s="527"/>
    </row>
    <row r="1512" ht="15.75" customHeight="1">
      <c r="A1512" s="523"/>
      <c r="B1512" s="509"/>
      <c r="C1512" s="509"/>
      <c r="D1512" s="522"/>
      <c r="E1512" s="526"/>
      <c r="F1512" s="526"/>
      <c r="G1512" s="527"/>
      <c r="H1512" s="527"/>
      <c r="I1512" s="527"/>
      <c r="J1512" s="527"/>
      <c r="K1512" s="527"/>
      <c r="L1512" s="527"/>
      <c r="M1512" s="527"/>
    </row>
    <row r="1513" ht="15.75" customHeight="1">
      <c r="A1513" s="523"/>
      <c r="B1513" s="509"/>
      <c r="C1513" s="509"/>
      <c r="D1513" s="522"/>
      <c r="E1513" s="526"/>
      <c r="F1513" s="526"/>
      <c r="G1513" s="527"/>
      <c r="H1513" s="527"/>
      <c r="I1513" s="527"/>
      <c r="J1513" s="527"/>
      <c r="K1513" s="527"/>
      <c r="L1513" s="527"/>
      <c r="M1513" s="527"/>
    </row>
    <row r="1514" ht="15.75" customHeight="1">
      <c r="A1514" s="523"/>
      <c r="B1514" s="509"/>
      <c r="C1514" s="509"/>
      <c r="D1514" s="522"/>
      <c r="E1514" s="526"/>
      <c r="F1514" s="526"/>
      <c r="G1514" s="527"/>
      <c r="H1514" s="527"/>
      <c r="I1514" s="527"/>
      <c r="J1514" s="527"/>
      <c r="K1514" s="527"/>
      <c r="L1514" s="527"/>
      <c r="M1514" s="527"/>
    </row>
    <row r="1515" ht="15.75" customHeight="1">
      <c r="A1515" s="523"/>
      <c r="B1515" s="509"/>
      <c r="C1515" s="509"/>
      <c r="D1515" s="522"/>
      <c r="E1515" s="526"/>
      <c r="F1515" s="526"/>
      <c r="G1515" s="527"/>
      <c r="H1515" s="527"/>
      <c r="I1515" s="527"/>
      <c r="J1515" s="527"/>
      <c r="K1515" s="527"/>
      <c r="L1515" s="527"/>
      <c r="M1515" s="527"/>
    </row>
    <row r="1516" ht="15.75" customHeight="1">
      <c r="A1516" s="523"/>
      <c r="B1516" s="509"/>
      <c r="C1516" s="509"/>
      <c r="D1516" s="522"/>
      <c r="E1516" s="526"/>
      <c r="F1516" s="526"/>
      <c r="G1516" s="527"/>
      <c r="H1516" s="527"/>
      <c r="I1516" s="527"/>
      <c r="J1516" s="527"/>
      <c r="K1516" s="527"/>
      <c r="L1516" s="527"/>
      <c r="M1516" s="527"/>
    </row>
    <row r="1517" ht="15.75" customHeight="1">
      <c r="A1517" s="523"/>
      <c r="B1517" s="509"/>
      <c r="C1517" s="509"/>
      <c r="D1517" s="522"/>
      <c r="E1517" s="526"/>
      <c r="F1517" s="526"/>
      <c r="G1517" s="527"/>
      <c r="H1517" s="527"/>
      <c r="I1517" s="527"/>
      <c r="J1517" s="527"/>
      <c r="K1517" s="527"/>
      <c r="L1517" s="527"/>
      <c r="M1517" s="527"/>
    </row>
    <row r="1518" ht="15.75" customHeight="1">
      <c r="A1518" s="523"/>
      <c r="B1518" s="509"/>
      <c r="C1518" s="509"/>
      <c r="D1518" s="522"/>
      <c r="E1518" s="526"/>
      <c r="F1518" s="526"/>
      <c r="G1518" s="527"/>
      <c r="H1518" s="527"/>
      <c r="I1518" s="527"/>
      <c r="J1518" s="527"/>
      <c r="K1518" s="527"/>
      <c r="L1518" s="527"/>
      <c r="M1518" s="527"/>
    </row>
    <row r="1519" ht="15.75" customHeight="1">
      <c r="A1519" s="523"/>
      <c r="B1519" s="509"/>
      <c r="C1519" s="509"/>
      <c r="D1519" s="522"/>
      <c r="E1519" s="526"/>
      <c r="F1519" s="526"/>
      <c r="G1519" s="527"/>
      <c r="H1519" s="527"/>
      <c r="I1519" s="527"/>
      <c r="J1519" s="527"/>
      <c r="K1519" s="527"/>
      <c r="L1519" s="527"/>
      <c r="M1519" s="527"/>
    </row>
    <row r="1520" ht="15.75" customHeight="1">
      <c r="A1520" s="523"/>
      <c r="B1520" s="509"/>
      <c r="C1520" s="509"/>
      <c r="D1520" s="522"/>
      <c r="E1520" s="526"/>
      <c r="F1520" s="526"/>
      <c r="G1520" s="527"/>
      <c r="H1520" s="527"/>
      <c r="I1520" s="527"/>
      <c r="J1520" s="527"/>
      <c r="K1520" s="527"/>
      <c r="L1520" s="527"/>
      <c r="M1520" s="527"/>
    </row>
    <row r="1521" ht="15.75" customHeight="1">
      <c r="A1521" s="523"/>
      <c r="B1521" s="509"/>
      <c r="C1521" s="509"/>
      <c r="D1521" s="522"/>
      <c r="E1521" s="526"/>
      <c r="F1521" s="526"/>
      <c r="G1521" s="527"/>
      <c r="H1521" s="527"/>
      <c r="I1521" s="527"/>
      <c r="J1521" s="527"/>
      <c r="K1521" s="527"/>
      <c r="L1521" s="527"/>
      <c r="M1521" s="527"/>
    </row>
    <row r="1522" ht="15.75" customHeight="1">
      <c r="A1522" s="523"/>
      <c r="B1522" s="509"/>
      <c r="C1522" s="509"/>
      <c r="D1522" s="522"/>
      <c r="E1522" s="526"/>
      <c r="F1522" s="526"/>
      <c r="G1522" s="527"/>
      <c r="H1522" s="527"/>
      <c r="I1522" s="527"/>
      <c r="J1522" s="527"/>
      <c r="K1522" s="527"/>
      <c r="L1522" s="527"/>
      <c r="M1522" s="527"/>
    </row>
    <row r="1523" ht="15.75" customHeight="1">
      <c r="A1523" s="523"/>
      <c r="B1523" s="509"/>
      <c r="C1523" s="509"/>
      <c r="D1523" s="522"/>
      <c r="E1523" s="526"/>
      <c r="F1523" s="526"/>
      <c r="G1523" s="527"/>
      <c r="H1523" s="527"/>
      <c r="I1523" s="527"/>
      <c r="J1523" s="527"/>
      <c r="K1523" s="527"/>
      <c r="L1523" s="527"/>
      <c r="M1523" s="527"/>
    </row>
    <row r="1524" ht="15.75" customHeight="1">
      <c r="A1524" s="523"/>
      <c r="B1524" s="509"/>
      <c r="C1524" s="509"/>
      <c r="D1524" s="522"/>
      <c r="E1524" s="526"/>
      <c r="F1524" s="526"/>
      <c r="G1524" s="527"/>
      <c r="H1524" s="527"/>
      <c r="I1524" s="527"/>
      <c r="J1524" s="527"/>
      <c r="K1524" s="527"/>
      <c r="L1524" s="527"/>
      <c r="M1524" s="527"/>
    </row>
    <row r="1525" ht="15.75" customHeight="1">
      <c r="A1525" s="523"/>
      <c r="B1525" s="509"/>
      <c r="C1525" s="509"/>
      <c r="D1525" s="522"/>
      <c r="E1525" s="526"/>
      <c r="F1525" s="526"/>
      <c r="G1525" s="527"/>
      <c r="H1525" s="527"/>
      <c r="I1525" s="527"/>
      <c r="J1525" s="527"/>
      <c r="K1525" s="527"/>
      <c r="L1525" s="527"/>
      <c r="M1525" s="527"/>
    </row>
    <row r="1526" ht="15.75" customHeight="1">
      <c r="A1526" s="523"/>
      <c r="B1526" s="509"/>
      <c r="C1526" s="509"/>
      <c r="D1526" s="522"/>
      <c r="E1526" s="526"/>
      <c r="F1526" s="526"/>
      <c r="G1526" s="527"/>
      <c r="H1526" s="527"/>
      <c r="I1526" s="527"/>
      <c r="J1526" s="527"/>
      <c r="K1526" s="527"/>
      <c r="L1526" s="527"/>
      <c r="M1526" s="527"/>
    </row>
    <row r="1527" ht="15.75" customHeight="1">
      <c r="A1527" s="523"/>
      <c r="B1527" s="509"/>
      <c r="C1527" s="509"/>
      <c r="D1527" s="522"/>
      <c r="E1527" s="526"/>
      <c r="F1527" s="526"/>
      <c r="G1527" s="527"/>
      <c r="H1527" s="527"/>
      <c r="I1527" s="527"/>
      <c r="J1527" s="527"/>
      <c r="K1527" s="527"/>
      <c r="L1527" s="527"/>
      <c r="M1527" s="527"/>
    </row>
    <row r="1528" ht="15.75" customHeight="1">
      <c r="A1528" s="523"/>
      <c r="B1528" s="509"/>
      <c r="C1528" s="509"/>
      <c r="D1528" s="522"/>
      <c r="E1528" s="526"/>
      <c r="F1528" s="526"/>
      <c r="G1528" s="527"/>
      <c r="H1528" s="527"/>
      <c r="I1528" s="527"/>
      <c r="J1528" s="527"/>
      <c r="K1528" s="527"/>
      <c r="L1528" s="527"/>
      <c r="M1528" s="527"/>
    </row>
    <row r="1529" ht="15.75" customHeight="1">
      <c r="A1529" s="523"/>
      <c r="B1529" s="509"/>
      <c r="C1529" s="509"/>
      <c r="D1529" s="522"/>
      <c r="E1529" s="526"/>
      <c r="F1529" s="526"/>
      <c r="G1529" s="527"/>
      <c r="H1529" s="527"/>
      <c r="I1529" s="527"/>
      <c r="J1529" s="527"/>
      <c r="K1529" s="527"/>
      <c r="L1529" s="527"/>
      <c r="M1529" s="527"/>
    </row>
    <row r="1530" ht="15.75" customHeight="1">
      <c r="A1530" s="523"/>
      <c r="B1530" s="509"/>
      <c r="C1530" s="509"/>
      <c r="D1530" s="522"/>
      <c r="E1530" s="526"/>
      <c r="F1530" s="526"/>
      <c r="G1530" s="527"/>
      <c r="H1530" s="527"/>
      <c r="I1530" s="527"/>
      <c r="J1530" s="527"/>
      <c r="K1530" s="527"/>
      <c r="L1530" s="527"/>
      <c r="M1530" s="527"/>
    </row>
    <row r="1531" ht="15.75" customHeight="1">
      <c r="A1531" s="523"/>
      <c r="B1531" s="509"/>
      <c r="C1531" s="509"/>
      <c r="D1531" s="522"/>
      <c r="E1531" s="526"/>
      <c r="F1531" s="526"/>
      <c r="G1531" s="527"/>
      <c r="H1531" s="527"/>
      <c r="I1531" s="527"/>
      <c r="J1531" s="527"/>
      <c r="K1531" s="527"/>
      <c r="L1531" s="527"/>
      <c r="M1531" s="527"/>
    </row>
    <row r="1532" ht="15.75" customHeight="1">
      <c r="A1532" s="523"/>
      <c r="B1532" s="509"/>
      <c r="C1532" s="509"/>
      <c r="D1532" s="522"/>
      <c r="E1532" s="526"/>
      <c r="F1532" s="526"/>
      <c r="G1532" s="527"/>
      <c r="H1532" s="527"/>
      <c r="I1532" s="527"/>
      <c r="J1532" s="527"/>
      <c r="K1532" s="527"/>
      <c r="L1532" s="527"/>
      <c r="M1532" s="527"/>
    </row>
    <row r="1533" ht="15.75" customHeight="1">
      <c r="A1533" s="523"/>
      <c r="B1533" s="509"/>
      <c r="C1533" s="509"/>
      <c r="D1533" s="522"/>
      <c r="E1533" s="526"/>
      <c r="F1533" s="526"/>
      <c r="G1533" s="527"/>
      <c r="H1533" s="527"/>
      <c r="I1533" s="527"/>
      <c r="J1533" s="527"/>
      <c r="K1533" s="527"/>
      <c r="L1533" s="527"/>
      <c r="M1533" s="527"/>
    </row>
    <row r="1534" ht="15.75" customHeight="1">
      <c r="A1534" s="523"/>
      <c r="B1534" s="509"/>
      <c r="C1534" s="509"/>
      <c r="D1534" s="522"/>
      <c r="E1534" s="526"/>
      <c r="F1534" s="526"/>
      <c r="G1534" s="527"/>
      <c r="H1534" s="527"/>
      <c r="I1534" s="527"/>
      <c r="J1534" s="527"/>
      <c r="K1534" s="527"/>
      <c r="L1534" s="527"/>
      <c r="M1534" s="527"/>
    </row>
    <row r="1535" ht="15.75" customHeight="1">
      <c r="A1535" s="523"/>
      <c r="B1535" s="509"/>
      <c r="C1535" s="509"/>
      <c r="D1535" s="522"/>
      <c r="E1535" s="526"/>
      <c r="F1535" s="526"/>
      <c r="G1535" s="527"/>
      <c r="H1535" s="527"/>
      <c r="I1535" s="527"/>
      <c r="J1535" s="527"/>
      <c r="K1535" s="527"/>
      <c r="L1535" s="527"/>
      <c r="M1535" s="527"/>
    </row>
    <row r="1536" ht="15.75" customHeight="1">
      <c r="A1536" s="523"/>
      <c r="B1536" s="509"/>
      <c r="C1536" s="509"/>
      <c r="D1536" s="522"/>
      <c r="E1536" s="526"/>
      <c r="F1536" s="526"/>
      <c r="G1536" s="527"/>
      <c r="H1536" s="527"/>
      <c r="I1536" s="527"/>
      <c r="J1536" s="527"/>
      <c r="K1536" s="527"/>
      <c r="L1536" s="527"/>
      <c r="M1536" s="527"/>
    </row>
    <row r="1537" ht="15.75" customHeight="1">
      <c r="A1537" s="523"/>
      <c r="B1537" s="509"/>
      <c r="C1537" s="509"/>
      <c r="D1537" s="522"/>
      <c r="E1537" s="526"/>
      <c r="F1537" s="526"/>
      <c r="G1537" s="527"/>
      <c r="H1537" s="527"/>
      <c r="I1537" s="527"/>
      <c r="J1537" s="527"/>
      <c r="K1537" s="527"/>
      <c r="L1537" s="527"/>
      <c r="M1537" s="527"/>
    </row>
    <row r="1538" ht="15.75" customHeight="1">
      <c r="A1538" s="523"/>
      <c r="B1538" s="509"/>
      <c r="C1538" s="509"/>
      <c r="D1538" s="522"/>
      <c r="E1538" s="526"/>
      <c r="F1538" s="526"/>
      <c r="G1538" s="527"/>
      <c r="H1538" s="527"/>
      <c r="I1538" s="527"/>
      <c r="J1538" s="527"/>
      <c r="K1538" s="527"/>
      <c r="L1538" s="527"/>
      <c r="M1538" s="527"/>
    </row>
    <row r="1539" ht="15.75" customHeight="1">
      <c r="A1539" s="523"/>
      <c r="B1539" s="509"/>
      <c r="C1539" s="509"/>
      <c r="D1539" s="522"/>
      <c r="E1539" s="526"/>
      <c r="F1539" s="526"/>
      <c r="G1539" s="527"/>
      <c r="H1539" s="527"/>
      <c r="I1539" s="527"/>
      <c r="J1539" s="527"/>
      <c r="K1539" s="527"/>
      <c r="L1539" s="527"/>
      <c r="M1539" s="527"/>
    </row>
    <row r="1540" ht="15.75" customHeight="1">
      <c r="A1540" s="523"/>
      <c r="B1540" s="509"/>
      <c r="C1540" s="509"/>
      <c r="D1540" s="522"/>
      <c r="E1540" s="526"/>
      <c r="F1540" s="526"/>
      <c r="G1540" s="527"/>
      <c r="H1540" s="527"/>
      <c r="I1540" s="527"/>
      <c r="J1540" s="527"/>
      <c r="K1540" s="527"/>
      <c r="L1540" s="527"/>
      <c r="M1540" s="527"/>
    </row>
    <row r="1541" ht="15.75" customHeight="1">
      <c r="A1541" s="523"/>
      <c r="B1541" s="509"/>
      <c r="C1541" s="509"/>
      <c r="D1541" s="522"/>
      <c r="E1541" s="526"/>
      <c r="F1541" s="526"/>
      <c r="G1541" s="527"/>
      <c r="H1541" s="527"/>
      <c r="I1541" s="527"/>
      <c r="J1541" s="527"/>
      <c r="K1541" s="527"/>
      <c r="L1541" s="527"/>
      <c r="M1541" s="527"/>
    </row>
    <row r="1542" ht="15.75" customHeight="1">
      <c r="A1542" s="523"/>
      <c r="B1542" s="509"/>
      <c r="C1542" s="509"/>
      <c r="D1542" s="522"/>
      <c r="E1542" s="526"/>
      <c r="F1542" s="526"/>
      <c r="G1542" s="527"/>
      <c r="H1542" s="527"/>
      <c r="I1542" s="527"/>
      <c r="J1542" s="527"/>
      <c r="K1542" s="527"/>
      <c r="L1542" s="527"/>
      <c r="M1542" s="527"/>
    </row>
    <row r="1543" ht="15.75" customHeight="1">
      <c r="A1543" s="523"/>
      <c r="B1543" s="509"/>
      <c r="C1543" s="509"/>
      <c r="D1543" s="522"/>
      <c r="E1543" s="526"/>
      <c r="F1543" s="526"/>
      <c r="G1543" s="527"/>
      <c r="H1543" s="527"/>
      <c r="I1543" s="527"/>
      <c r="J1543" s="527"/>
      <c r="K1543" s="527"/>
      <c r="L1543" s="527"/>
      <c r="M1543" s="527"/>
    </row>
    <row r="1544" ht="15.75" customHeight="1">
      <c r="A1544" s="523"/>
      <c r="B1544" s="509"/>
      <c r="C1544" s="509"/>
      <c r="D1544" s="522"/>
      <c r="E1544" s="526"/>
      <c r="F1544" s="526"/>
      <c r="G1544" s="527"/>
      <c r="H1544" s="527"/>
      <c r="I1544" s="527"/>
      <c r="J1544" s="527"/>
      <c r="K1544" s="527"/>
      <c r="L1544" s="527"/>
      <c r="M1544" s="527"/>
    </row>
    <row r="1545" ht="15.75" customHeight="1">
      <c r="A1545" s="523"/>
      <c r="B1545" s="509"/>
      <c r="C1545" s="509"/>
      <c r="D1545" s="522"/>
      <c r="E1545" s="526"/>
      <c r="F1545" s="526"/>
      <c r="G1545" s="527"/>
      <c r="H1545" s="527"/>
      <c r="I1545" s="527"/>
      <c r="J1545" s="527"/>
      <c r="K1545" s="527"/>
      <c r="L1545" s="527"/>
      <c r="M1545" s="527"/>
    </row>
    <row r="1546" ht="15.75" customHeight="1">
      <c r="A1546" s="523"/>
      <c r="B1546" s="509"/>
      <c r="C1546" s="509"/>
      <c r="D1546" s="522"/>
      <c r="E1546" s="526"/>
      <c r="F1546" s="526"/>
      <c r="G1546" s="527"/>
      <c r="H1546" s="527"/>
      <c r="I1546" s="527"/>
      <c r="J1546" s="527"/>
      <c r="K1546" s="527"/>
      <c r="L1546" s="527"/>
      <c r="M1546" s="527"/>
    </row>
    <row r="1547" ht="15.75" customHeight="1">
      <c r="A1547" s="523"/>
      <c r="B1547" s="509"/>
      <c r="C1547" s="509"/>
      <c r="D1547" s="522"/>
      <c r="E1547" s="526"/>
      <c r="F1547" s="526"/>
      <c r="G1547" s="527"/>
      <c r="H1547" s="527"/>
      <c r="I1547" s="527"/>
      <c r="J1547" s="527"/>
      <c r="K1547" s="527"/>
      <c r="L1547" s="527"/>
      <c r="M1547" s="527"/>
    </row>
    <row r="1548" ht="15.75" customHeight="1">
      <c r="A1548" s="523"/>
      <c r="B1548" s="509"/>
      <c r="C1548" s="509"/>
      <c r="D1548" s="522"/>
      <c r="E1548" s="526"/>
      <c r="F1548" s="526"/>
      <c r="G1548" s="527"/>
      <c r="H1548" s="527"/>
      <c r="I1548" s="527"/>
      <c r="J1548" s="527"/>
      <c r="K1548" s="527"/>
      <c r="L1548" s="527"/>
      <c r="M1548" s="527"/>
    </row>
    <row r="1549" ht="15.75" customHeight="1">
      <c r="A1549" s="523"/>
      <c r="B1549" s="509"/>
      <c r="C1549" s="509"/>
      <c r="D1549" s="522"/>
      <c r="E1549" s="526"/>
      <c r="F1549" s="526"/>
      <c r="G1549" s="527"/>
      <c r="H1549" s="527"/>
      <c r="I1549" s="527"/>
      <c r="J1549" s="527"/>
      <c r="K1549" s="527"/>
      <c r="L1549" s="527"/>
      <c r="M1549" s="527"/>
    </row>
    <row r="1550" ht="15.75" customHeight="1">
      <c r="A1550" s="523"/>
      <c r="B1550" s="509"/>
      <c r="C1550" s="509"/>
      <c r="D1550" s="522"/>
      <c r="E1550" s="526"/>
      <c r="F1550" s="526"/>
      <c r="G1550" s="527"/>
      <c r="H1550" s="527"/>
      <c r="I1550" s="527"/>
      <c r="J1550" s="527"/>
      <c r="K1550" s="527"/>
      <c r="L1550" s="527"/>
      <c r="M1550" s="527"/>
    </row>
    <row r="1551" ht="15.75" customHeight="1">
      <c r="A1551" s="523"/>
      <c r="B1551" s="509"/>
      <c r="C1551" s="509"/>
      <c r="D1551" s="522"/>
      <c r="E1551" s="526"/>
      <c r="F1551" s="526"/>
      <c r="G1551" s="527"/>
      <c r="H1551" s="527"/>
      <c r="I1551" s="527"/>
      <c r="J1551" s="527"/>
      <c r="K1551" s="527"/>
      <c r="L1551" s="527"/>
      <c r="M1551" s="527"/>
    </row>
    <row r="1552" ht="15.75" customHeight="1">
      <c r="A1552" s="523"/>
      <c r="B1552" s="509"/>
      <c r="C1552" s="509"/>
      <c r="D1552" s="522"/>
      <c r="E1552" s="526"/>
      <c r="F1552" s="526"/>
      <c r="G1552" s="527"/>
      <c r="H1552" s="527"/>
      <c r="I1552" s="527"/>
      <c r="J1552" s="527"/>
      <c r="K1552" s="527"/>
      <c r="L1552" s="527"/>
      <c r="M1552" s="527"/>
    </row>
    <row r="1553" ht="15.75" customHeight="1">
      <c r="A1553" s="523"/>
      <c r="B1553" s="509"/>
      <c r="C1553" s="509"/>
      <c r="D1553" s="522"/>
      <c r="E1553" s="526"/>
      <c r="F1553" s="526"/>
      <c r="G1553" s="527"/>
      <c r="H1553" s="527"/>
      <c r="I1553" s="527"/>
      <c r="J1553" s="527"/>
      <c r="K1553" s="527"/>
      <c r="L1553" s="527"/>
      <c r="M1553" s="527"/>
    </row>
    <row r="1554" ht="15.75" customHeight="1">
      <c r="A1554" s="523"/>
      <c r="B1554" s="509"/>
      <c r="C1554" s="509"/>
      <c r="D1554" s="522"/>
      <c r="E1554" s="526"/>
      <c r="F1554" s="526"/>
      <c r="G1554" s="527"/>
      <c r="H1554" s="527"/>
      <c r="I1554" s="527"/>
      <c r="J1554" s="527"/>
      <c r="K1554" s="527"/>
      <c r="L1554" s="527"/>
      <c r="M1554" s="527"/>
    </row>
    <row r="1555" ht="15.75" customHeight="1">
      <c r="A1555" s="523"/>
      <c r="B1555" s="509"/>
      <c r="C1555" s="509"/>
      <c r="D1555" s="522"/>
      <c r="E1555" s="526"/>
      <c r="F1555" s="526"/>
      <c r="G1555" s="527"/>
      <c r="H1555" s="527"/>
      <c r="I1555" s="527"/>
      <c r="J1555" s="527"/>
      <c r="K1555" s="527"/>
      <c r="L1555" s="527"/>
      <c r="M1555" s="527"/>
    </row>
    <row r="1556" ht="15.75" customHeight="1">
      <c r="A1556" s="523"/>
      <c r="B1556" s="509"/>
      <c r="C1556" s="509"/>
      <c r="D1556" s="522"/>
      <c r="E1556" s="526"/>
      <c r="F1556" s="526"/>
      <c r="G1556" s="527"/>
      <c r="H1556" s="527"/>
      <c r="I1556" s="527"/>
      <c r="J1556" s="527"/>
      <c r="K1556" s="527"/>
      <c r="L1556" s="527"/>
      <c r="M1556" s="527"/>
    </row>
    <row r="1557" ht="15.75" customHeight="1">
      <c r="A1557" s="523"/>
      <c r="B1557" s="509"/>
      <c r="C1557" s="509"/>
      <c r="D1557" s="522"/>
      <c r="E1557" s="526"/>
      <c r="F1557" s="526"/>
      <c r="G1557" s="527"/>
      <c r="H1557" s="527"/>
      <c r="I1557" s="527"/>
      <c r="J1557" s="527"/>
      <c r="K1557" s="527"/>
      <c r="L1557" s="527"/>
      <c r="M1557" s="527"/>
    </row>
    <row r="1558" ht="15.75" customHeight="1">
      <c r="A1558" s="523"/>
      <c r="B1558" s="509"/>
      <c r="C1558" s="509"/>
      <c r="D1558" s="522"/>
      <c r="E1558" s="526"/>
      <c r="F1558" s="526"/>
      <c r="G1558" s="527"/>
      <c r="H1558" s="527"/>
      <c r="I1558" s="527"/>
      <c r="J1558" s="527"/>
      <c r="K1558" s="527"/>
      <c r="L1558" s="527"/>
      <c r="M1558" s="527"/>
    </row>
    <row r="1559" ht="15.75" customHeight="1">
      <c r="A1559" s="523"/>
      <c r="B1559" s="509"/>
      <c r="C1559" s="509"/>
      <c r="D1559" s="522"/>
      <c r="E1559" s="526"/>
      <c r="F1559" s="526"/>
      <c r="G1559" s="527"/>
      <c r="H1559" s="527"/>
      <c r="I1559" s="527"/>
      <c r="J1559" s="527"/>
      <c r="K1559" s="527"/>
      <c r="L1559" s="527"/>
      <c r="M1559" s="527"/>
    </row>
    <row r="1560" ht="15.75" customHeight="1">
      <c r="A1560" s="523"/>
      <c r="B1560" s="509"/>
      <c r="C1560" s="509"/>
      <c r="D1560" s="522"/>
      <c r="E1560" s="526"/>
      <c r="F1560" s="526"/>
      <c r="G1560" s="527"/>
      <c r="H1560" s="527"/>
      <c r="I1560" s="527"/>
      <c r="J1560" s="527"/>
      <c r="K1560" s="527"/>
      <c r="L1560" s="527"/>
      <c r="M1560" s="527"/>
    </row>
    <row r="1561" ht="15.75" customHeight="1">
      <c r="A1561" s="523"/>
      <c r="B1561" s="509"/>
      <c r="C1561" s="509"/>
      <c r="D1561" s="522"/>
      <c r="E1561" s="526"/>
      <c r="F1561" s="526"/>
      <c r="G1561" s="527"/>
      <c r="H1561" s="527"/>
      <c r="I1561" s="527"/>
      <c r="J1561" s="527"/>
      <c r="K1561" s="527"/>
      <c r="L1561" s="527"/>
      <c r="M1561" s="527"/>
    </row>
    <row r="1562" ht="15.75" customHeight="1">
      <c r="A1562" s="523"/>
      <c r="B1562" s="509"/>
      <c r="C1562" s="509"/>
      <c r="D1562" s="522"/>
      <c r="E1562" s="526"/>
      <c r="F1562" s="526"/>
      <c r="G1562" s="527"/>
      <c r="H1562" s="527"/>
      <c r="I1562" s="527"/>
      <c r="J1562" s="527"/>
      <c r="K1562" s="527"/>
      <c r="L1562" s="527"/>
      <c r="M1562" s="527"/>
    </row>
    <row r="1563" ht="15.75" customHeight="1">
      <c r="A1563" s="523"/>
      <c r="B1563" s="509"/>
      <c r="C1563" s="509"/>
      <c r="D1563" s="522"/>
      <c r="E1563" s="526"/>
      <c r="F1563" s="526"/>
      <c r="G1563" s="527"/>
      <c r="H1563" s="527"/>
      <c r="I1563" s="527"/>
      <c r="J1563" s="527"/>
      <c r="K1563" s="527"/>
      <c r="L1563" s="527"/>
      <c r="M1563" s="527"/>
    </row>
    <row r="1564" ht="15.75" customHeight="1">
      <c r="A1564" s="523"/>
      <c r="B1564" s="509"/>
      <c r="C1564" s="509"/>
      <c r="D1564" s="522"/>
      <c r="E1564" s="526"/>
      <c r="F1564" s="526"/>
      <c r="G1564" s="527"/>
      <c r="H1564" s="527"/>
      <c r="I1564" s="527"/>
      <c r="J1564" s="527"/>
      <c r="K1564" s="527"/>
      <c r="L1564" s="527"/>
      <c r="M1564" s="527"/>
    </row>
    <row r="1565" ht="15.75" customHeight="1">
      <c r="A1565" s="523"/>
      <c r="B1565" s="509"/>
      <c r="C1565" s="509"/>
      <c r="D1565" s="522"/>
      <c r="E1565" s="526"/>
      <c r="F1565" s="526"/>
      <c r="G1565" s="527"/>
      <c r="H1565" s="527"/>
      <c r="I1565" s="527"/>
      <c r="J1565" s="527"/>
      <c r="K1565" s="527"/>
      <c r="L1565" s="527"/>
      <c r="M1565" s="527"/>
    </row>
    <row r="1566" ht="15.75" customHeight="1">
      <c r="A1566" s="523"/>
      <c r="B1566" s="509"/>
      <c r="C1566" s="509"/>
      <c r="D1566" s="522"/>
      <c r="E1566" s="526"/>
      <c r="F1566" s="526"/>
      <c r="G1566" s="527"/>
      <c r="H1566" s="527"/>
      <c r="I1566" s="527"/>
      <c r="J1566" s="527"/>
      <c r="K1566" s="527"/>
      <c r="L1566" s="527"/>
      <c r="M1566" s="527"/>
    </row>
    <row r="1567" ht="15.75" customHeight="1">
      <c r="A1567" s="523"/>
      <c r="B1567" s="509"/>
      <c r="C1567" s="509"/>
      <c r="D1567" s="522"/>
      <c r="E1567" s="526"/>
      <c r="F1567" s="526"/>
      <c r="G1567" s="527"/>
      <c r="H1567" s="527"/>
      <c r="I1567" s="527"/>
      <c r="J1567" s="527"/>
      <c r="K1567" s="527"/>
      <c r="L1567" s="527"/>
      <c r="M1567" s="527"/>
    </row>
    <row r="1568" ht="15.75" customHeight="1">
      <c r="A1568" s="523"/>
      <c r="B1568" s="509"/>
      <c r="C1568" s="509"/>
      <c r="D1568" s="522"/>
      <c r="E1568" s="526"/>
      <c r="F1568" s="526"/>
      <c r="G1568" s="527"/>
      <c r="H1568" s="527"/>
      <c r="I1568" s="527"/>
      <c r="J1568" s="527"/>
      <c r="K1568" s="527"/>
      <c r="L1568" s="527"/>
      <c r="M1568" s="527"/>
    </row>
    <row r="1569" ht="15.75" customHeight="1">
      <c r="A1569" s="523"/>
      <c r="B1569" s="509"/>
      <c r="C1569" s="509"/>
      <c r="D1569" s="522"/>
      <c r="E1569" s="526"/>
      <c r="F1569" s="526"/>
      <c r="G1569" s="527"/>
      <c r="H1569" s="527"/>
      <c r="I1569" s="527"/>
      <c r="J1569" s="527"/>
      <c r="K1569" s="527"/>
      <c r="L1569" s="527"/>
      <c r="M1569" s="527"/>
    </row>
    <row r="1570" ht="15.75" customHeight="1">
      <c r="A1570" s="523"/>
      <c r="B1570" s="509"/>
      <c r="C1570" s="509"/>
      <c r="D1570" s="522"/>
      <c r="E1570" s="526"/>
      <c r="F1570" s="526"/>
      <c r="G1570" s="527"/>
      <c r="H1570" s="527"/>
      <c r="I1570" s="527"/>
      <c r="J1570" s="527"/>
      <c r="K1570" s="527"/>
      <c r="L1570" s="527"/>
      <c r="M1570" s="527"/>
    </row>
    <row r="1571" ht="15.75" customHeight="1">
      <c r="A1571" s="523"/>
      <c r="B1571" s="509"/>
      <c r="C1571" s="509"/>
      <c r="D1571" s="522"/>
      <c r="E1571" s="526"/>
      <c r="F1571" s="526"/>
      <c r="G1571" s="527"/>
      <c r="H1571" s="527"/>
      <c r="I1571" s="527"/>
      <c r="J1571" s="527"/>
      <c r="K1571" s="527"/>
      <c r="L1571" s="527"/>
      <c r="M1571" s="527"/>
    </row>
    <row r="1572" ht="15.75" customHeight="1">
      <c r="A1572" s="523"/>
      <c r="B1572" s="509"/>
      <c r="C1572" s="509"/>
      <c r="D1572" s="522"/>
      <c r="E1572" s="526"/>
      <c r="F1572" s="526"/>
      <c r="G1572" s="527"/>
      <c r="H1572" s="527"/>
      <c r="I1572" s="527"/>
      <c r="J1572" s="527"/>
      <c r="K1572" s="527"/>
      <c r="L1572" s="527"/>
      <c r="M1572" s="527"/>
    </row>
    <row r="1573" ht="15.75" customHeight="1">
      <c r="A1573" s="523"/>
      <c r="B1573" s="509"/>
      <c r="C1573" s="509"/>
      <c r="D1573" s="522"/>
      <c r="E1573" s="526"/>
      <c r="F1573" s="526"/>
      <c r="G1573" s="527"/>
      <c r="H1573" s="527"/>
      <c r="I1573" s="527"/>
      <c r="J1573" s="527"/>
      <c r="K1573" s="527"/>
      <c r="L1573" s="527"/>
      <c r="M1573" s="527"/>
    </row>
    <row r="1574" ht="15.75" customHeight="1">
      <c r="A1574" s="523"/>
      <c r="B1574" s="509"/>
      <c r="C1574" s="509"/>
      <c r="D1574" s="522"/>
      <c r="E1574" s="526"/>
      <c r="F1574" s="526"/>
      <c r="G1574" s="527"/>
      <c r="H1574" s="527"/>
      <c r="I1574" s="527"/>
      <c r="J1574" s="527"/>
      <c r="K1574" s="527"/>
      <c r="L1574" s="527"/>
      <c r="M1574" s="527"/>
    </row>
    <row r="1575" ht="15.75" customHeight="1">
      <c r="A1575" s="523"/>
      <c r="B1575" s="509"/>
      <c r="C1575" s="509"/>
      <c r="D1575" s="522"/>
      <c r="E1575" s="526"/>
      <c r="F1575" s="526"/>
      <c r="G1575" s="527"/>
      <c r="H1575" s="527"/>
      <c r="I1575" s="527"/>
      <c r="J1575" s="527"/>
      <c r="K1575" s="527"/>
      <c r="L1575" s="527"/>
      <c r="M1575" s="527"/>
    </row>
    <row r="1576" ht="15.75" customHeight="1">
      <c r="A1576" s="523"/>
      <c r="B1576" s="509"/>
      <c r="C1576" s="509"/>
      <c r="D1576" s="522"/>
      <c r="E1576" s="526"/>
      <c r="F1576" s="526"/>
      <c r="G1576" s="527"/>
      <c r="H1576" s="527"/>
      <c r="I1576" s="527"/>
      <c r="J1576" s="527"/>
      <c r="K1576" s="527"/>
      <c r="L1576" s="527"/>
      <c r="M1576" s="527"/>
    </row>
    <row r="1577" ht="15.75" customHeight="1">
      <c r="A1577" s="523"/>
      <c r="B1577" s="509"/>
      <c r="C1577" s="509"/>
      <c r="D1577" s="522"/>
      <c r="E1577" s="526"/>
      <c r="F1577" s="526"/>
      <c r="G1577" s="527"/>
      <c r="H1577" s="527"/>
      <c r="I1577" s="527"/>
      <c r="J1577" s="527"/>
      <c r="K1577" s="527"/>
      <c r="L1577" s="527"/>
      <c r="M1577" s="527"/>
    </row>
    <row r="1578" ht="15.75" customHeight="1">
      <c r="A1578" s="523"/>
      <c r="B1578" s="509"/>
      <c r="C1578" s="509"/>
      <c r="D1578" s="522"/>
      <c r="E1578" s="526"/>
      <c r="F1578" s="526"/>
      <c r="G1578" s="527"/>
      <c r="H1578" s="527"/>
      <c r="I1578" s="527"/>
      <c r="J1578" s="527"/>
      <c r="K1578" s="527"/>
      <c r="L1578" s="527"/>
      <c r="M1578" s="527"/>
    </row>
    <row r="1579" ht="15.75" customHeight="1">
      <c r="A1579" s="523"/>
      <c r="B1579" s="509"/>
      <c r="C1579" s="509"/>
      <c r="D1579" s="522"/>
      <c r="E1579" s="526"/>
      <c r="F1579" s="526"/>
      <c r="G1579" s="527"/>
      <c r="H1579" s="527"/>
      <c r="I1579" s="527"/>
      <c r="J1579" s="527"/>
      <c r="K1579" s="527"/>
      <c r="L1579" s="527"/>
      <c r="M1579" s="527"/>
    </row>
    <row r="1580" ht="15.75" customHeight="1">
      <c r="A1580" s="523"/>
      <c r="B1580" s="509"/>
      <c r="C1580" s="509"/>
      <c r="D1580" s="522"/>
      <c r="E1580" s="526"/>
      <c r="F1580" s="526"/>
      <c r="G1580" s="527"/>
      <c r="H1580" s="527"/>
      <c r="I1580" s="527"/>
      <c r="J1580" s="527"/>
      <c r="K1580" s="527"/>
      <c r="L1580" s="527"/>
      <c r="M1580" s="527"/>
    </row>
    <row r="1581" ht="15.75" customHeight="1">
      <c r="A1581" s="523"/>
      <c r="B1581" s="509"/>
      <c r="C1581" s="509"/>
      <c r="D1581" s="522"/>
      <c r="E1581" s="526"/>
      <c r="F1581" s="526"/>
      <c r="G1581" s="527"/>
      <c r="H1581" s="527"/>
      <c r="I1581" s="527"/>
      <c r="J1581" s="527"/>
      <c r="K1581" s="527"/>
      <c r="L1581" s="527"/>
      <c r="M1581" s="527"/>
    </row>
    <row r="1582" ht="15.75" customHeight="1">
      <c r="A1582" s="523"/>
      <c r="B1582" s="509"/>
      <c r="C1582" s="509"/>
      <c r="D1582" s="522"/>
      <c r="E1582" s="526"/>
      <c r="F1582" s="526"/>
      <c r="G1582" s="527"/>
      <c r="H1582" s="527"/>
      <c r="I1582" s="527"/>
      <c r="J1582" s="527"/>
      <c r="K1582" s="527"/>
      <c r="L1582" s="527"/>
      <c r="M1582" s="527"/>
    </row>
    <row r="1583" ht="15.75" customHeight="1">
      <c r="A1583" s="523"/>
      <c r="B1583" s="509"/>
      <c r="C1583" s="509"/>
      <c r="D1583" s="522"/>
      <c r="E1583" s="526"/>
      <c r="F1583" s="526"/>
      <c r="G1583" s="527"/>
      <c r="H1583" s="527"/>
      <c r="I1583" s="527"/>
      <c r="J1583" s="527"/>
      <c r="K1583" s="527"/>
      <c r="L1583" s="527"/>
      <c r="M1583" s="527"/>
    </row>
    <row r="1584" ht="15.75" customHeight="1">
      <c r="A1584" s="523"/>
      <c r="B1584" s="509"/>
      <c r="C1584" s="509"/>
      <c r="D1584" s="522"/>
      <c r="E1584" s="526"/>
      <c r="F1584" s="526"/>
      <c r="G1584" s="527"/>
      <c r="H1584" s="527"/>
      <c r="I1584" s="527"/>
      <c r="J1584" s="527"/>
      <c r="K1584" s="527"/>
      <c r="L1584" s="527"/>
      <c r="M1584" s="527"/>
    </row>
    <row r="1585" ht="15.75" customHeight="1">
      <c r="A1585" s="523"/>
      <c r="B1585" s="509"/>
      <c r="C1585" s="509"/>
      <c r="D1585" s="522"/>
      <c r="E1585" s="526"/>
      <c r="F1585" s="526"/>
      <c r="G1585" s="527"/>
      <c r="H1585" s="527"/>
      <c r="I1585" s="527"/>
      <c r="J1585" s="527"/>
      <c r="K1585" s="527"/>
      <c r="L1585" s="527"/>
      <c r="M1585" s="527"/>
    </row>
    <row r="1586" ht="15.75" customHeight="1">
      <c r="A1586" s="523"/>
      <c r="B1586" s="509"/>
      <c r="C1586" s="509"/>
      <c r="D1586" s="522"/>
      <c r="E1586" s="526"/>
      <c r="F1586" s="526"/>
      <c r="G1586" s="527"/>
      <c r="H1586" s="527"/>
      <c r="I1586" s="527"/>
      <c r="J1586" s="527"/>
      <c r="K1586" s="527"/>
      <c r="L1586" s="527"/>
      <c r="M1586" s="527"/>
    </row>
    <row r="1587" ht="15.75" customHeight="1">
      <c r="A1587" s="523"/>
      <c r="B1587" s="509"/>
      <c r="C1587" s="509"/>
      <c r="D1587" s="522"/>
      <c r="E1587" s="526"/>
      <c r="F1587" s="526"/>
      <c r="G1587" s="527"/>
      <c r="H1587" s="527"/>
      <c r="I1587" s="527"/>
      <c r="J1587" s="527"/>
      <c r="K1587" s="527"/>
      <c r="L1587" s="527"/>
      <c r="M1587" s="527"/>
    </row>
    <row r="1588" ht="15.75" customHeight="1">
      <c r="A1588" s="523"/>
      <c r="B1588" s="509"/>
      <c r="C1588" s="509"/>
      <c r="D1588" s="522"/>
      <c r="E1588" s="526"/>
      <c r="F1588" s="526"/>
      <c r="G1588" s="527"/>
      <c r="H1588" s="527"/>
      <c r="I1588" s="527"/>
      <c r="J1588" s="527"/>
      <c r="K1588" s="527"/>
      <c r="L1588" s="527"/>
      <c r="M1588" s="527"/>
    </row>
    <row r="1589" ht="15.75" customHeight="1">
      <c r="A1589" s="523"/>
      <c r="B1589" s="509"/>
      <c r="C1589" s="509"/>
      <c r="D1589" s="522"/>
      <c r="E1589" s="526"/>
      <c r="F1589" s="526"/>
      <c r="G1589" s="527"/>
      <c r="H1589" s="527"/>
      <c r="I1589" s="527"/>
      <c r="J1589" s="527"/>
      <c r="K1589" s="527"/>
      <c r="L1589" s="527"/>
      <c r="M1589" s="527"/>
    </row>
    <row r="1590" ht="15.75" customHeight="1">
      <c r="A1590" s="523"/>
      <c r="B1590" s="509"/>
      <c r="C1590" s="509"/>
      <c r="D1590" s="522"/>
      <c r="E1590" s="526"/>
      <c r="F1590" s="526"/>
      <c r="G1590" s="527"/>
      <c r="H1590" s="527"/>
      <c r="I1590" s="527"/>
      <c r="J1590" s="527"/>
      <c r="K1590" s="527"/>
      <c r="L1590" s="527"/>
      <c r="M1590" s="527"/>
    </row>
    <row r="1591" ht="15.75" customHeight="1">
      <c r="A1591" s="523"/>
      <c r="B1591" s="509"/>
      <c r="C1591" s="509"/>
      <c r="D1591" s="522"/>
      <c r="E1591" s="526"/>
      <c r="F1591" s="526"/>
      <c r="G1591" s="527"/>
      <c r="H1591" s="527"/>
      <c r="I1591" s="527"/>
      <c r="J1591" s="527"/>
      <c r="K1591" s="527"/>
      <c r="L1591" s="527"/>
      <c r="M1591" s="527"/>
    </row>
    <row r="1592" ht="15.75" customHeight="1">
      <c r="A1592" s="523"/>
      <c r="B1592" s="509"/>
      <c r="C1592" s="509"/>
      <c r="D1592" s="522"/>
      <c r="E1592" s="526"/>
      <c r="F1592" s="526"/>
      <c r="G1592" s="527"/>
      <c r="H1592" s="527"/>
      <c r="I1592" s="527"/>
      <c r="J1592" s="527"/>
      <c r="K1592" s="527"/>
      <c r="L1592" s="527"/>
      <c r="M1592" s="527"/>
    </row>
    <row r="1593" ht="15.75" customHeight="1">
      <c r="A1593" s="523"/>
      <c r="B1593" s="509"/>
      <c r="C1593" s="509"/>
      <c r="D1593" s="522"/>
      <c r="E1593" s="526"/>
      <c r="F1593" s="526"/>
      <c r="G1593" s="527"/>
      <c r="H1593" s="527"/>
      <c r="I1593" s="527"/>
      <c r="J1593" s="527"/>
      <c r="K1593" s="527"/>
      <c r="L1593" s="527"/>
      <c r="M1593" s="527"/>
    </row>
    <row r="1594" ht="15.75" customHeight="1">
      <c r="A1594" s="523"/>
      <c r="B1594" s="509"/>
      <c r="C1594" s="509"/>
      <c r="D1594" s="522"/>
      <c r="E1594" s="526"/>
      <c r="F1594" s="526"/>
      <c r="G1594" s="527"/>
      <c r="H1594" s="527"/>
      <c r="I1594" s="527"/>
      <c r="J1594" s="527"/>
      <c r="K1594" s="527"/>
      <c r="L1594" s="527"/>
      <c r="M1594" s="527"/>
    </row>
    <row r="1595" ht="15.75" customHeight="1">
      <c r="A1595" s="523"/>
      <c r="B1595" s="509"/>
      <c r="C1595" s="509"/>
      <c r="D1595" s="522"/>
      <c r="E1595" s="526"/>
      <c r="F1595" s="526"/>
      <c r="G1595" s="527"/>
      <c r="H1595" s="527"/>
      <c r="I1595" s="527"/>
      <c r="J1595" s="527"/>
      <c r="K1595" s="527"/>
      <c r="L1595" s="527"/>
      <c r="M1595" s="527"/>
    </row>
    <row r="1596" ht="15.75" customHeight="1">
      <c r="A1596" s="523"/>
      <c r="B1596" s="509"/>
      <c r="C1596" s="509"/>
      <c r="D1596" s="522"/>
      <c r="E1596" s="526"/>
      <c r="F1596" s="526"/>
      <c r="G1596" s="527"/>
      <c r="H1596" s="527"/>
      <c r="I1596" s="527"/>
      <c r="J1596" s="527"/>
      <c r="K1596" s="527"/>
      <c r="L1596" s="527"/>
      <c r="M1596" s="527"/>
    </row>
    <row r="1597" ht="15.75" customHeight="1">
      <c r="A1597" s="523"/>
      <c r="B1597" s="509"/>
      <c r="C1597" s="509"/>
      <c r="D1597" s="522"/>
      <c r="E1597" s="526"/>
      <c r="F1597" s="526"/>
      <c r="G1597" s="527"/>
      <c r="H1597" s="527"/>
      <c r="I1597" s="527"/>
      <c r="J1597" s="527"/>
      <c r="K1597" s="527"/>
      <c r="L1597" s="527"/>
      <c r="M1597" s="527"/>
    </row>
    <row r="1598" ht="15.75" customHeight="1">
      <c r="A1598" s="523"/>
      <c r="B1598" s="509"/>
      <c r="C1598" s="509"/>
      <c r="D1598" s="522"/>
      <c r="E1598" s="526"/>
      <c r="F1598" s="526"/>
      <c r="G1598" s="527"/>
      <c r="H1598" s="527"/>
      <c r="I1598" s="527"/>
      <c r="J1598" s="527"/>
      <c r="K1598" s="527"/>
      <c r="L1598" s="527"/>
      <c r="M1598" s="527"/>
    </row>
    <row r="1599" ht="15.75" customHeight="1">
      <c r="A1599" s="523"/>
      <c r="B1599" s="509"/>
      <c r="C1599" s="509"/>
      <c r="D1599" s="522"/>
      <c r="E1599" s="526"/>
      <c r="F1599" s="526"/>
      <c r="G1599" s="527"/>
      <c r="H1599" s="527"/>
      <c r="I1599" s="527"/>
      <c r="J1599" s="527"/>
      <c r="K1599" s="527"/>
      <c r="L1599" s="527"/>
      <c r="M1599" s="527"/>
    </row>
    <row r="1600" ht="15.75" customHeight="1">
      <c r="A1600" s="523"/>
      <c r="B1600" s="509"/>
      <c r="C1600" s="509"/>
      <c r="D1600" s="522"/>
      <c r="E1600" s="526"/>
      <c r="F1600" s="526"/>
      <c r="G1600" s="527"/>
      <c r="H1600" s="527"/>
      <c r="I1600" s="527"/>
      <c r="J1600" s="527"/>
      <c r="K1600" s="527"/>
      <c r="L1600" s="527"/>
      <c r="M1600" s="527"/>
    </row>
    <row r="1601" ht="15.75" customHeight="1">
      <c r="A1601" s="523"/>
      <c r="B1601" s="509"/>
      <c r="C1601" s="509"/>
      <c r="D1601" s="522"/>
      <c r="E1601" s="526"/>
      <c r="F1601" s="526"/>
      <c r="G1601" s="527"/>
      <c r="H1601" s="527"/>
      <c r="I1601" s="527"/>
      <c r="J1601" s="527"/>
      <c r="K1601" s="527"/>
      <c r="L1601" s="527"/>
      <c r="M1601" s="527"/>
    </row>
    <row r="1602" ht="15.75" customHeight="1">
      <c r="A1602" s="523"/>
      <c r="B1602" s="509"/>
      <c r="C1602" s="509"/>
      <c r="D1602" s="522"/>
      <c r="E1602" s="526"/>
      <c r="F1602" s="526"/>
      <c r="G1602" s="527"/>
      <c r="H1602" s="527"/>
      <c r="I1602" s="527"/>
      <c r="J1602" s="527"/>
      <c r="K1602" s="527"/>
      <c r="L1602" s="527"/>
      <c r="M1602" s="527"/>
    </row>
    <row r="1603" ht="15.75" customHeight="1">
      <c r="A1603" s="523"/>
      <c r="B1603" s="509"/>
      <c r="C1603" s="509"/>
      <c r="D1603" s="522"/>
      <c r="E1603" s="526"/>
      <c r="F1603" s="526"/>
      <c r="G1603" s="527"/>
      <c r="H1603" s="527"/>
      <c r="I1603" s="527"/>
      <c r="J1603" s="527"/>
      <c r="K1603" s="527"/>
      <c r="L1603" s="527"/>
      <c r="M1603" s="527"/>
    </row>
    <row r="1604" ht="15.75" customHeight="1">
      <c r="A1604" s="523"/>
      <c r="B1604" s="509"/>
      <c r="C1604" s="509"/>
      <c r="D1604" s="522"/>
      <c r="E1604" s="526"/>
      <c r="F1604" s="526"/>
      <c r="G1604" s="527"/>
      <c r="H1604" s="527"/>
      <c r="I1604" s="527"/>
      <c r="J1604" s="527"/>
      <c r="K1604" s="527"/>
      <c r="L1604" s="527"/>
      <c r="M1604" s="527"/>
    </row>
    <row r="1605" ht="15.75" customHeight="1">
      <c r="A1605" s="523"/>
      <c r="B1605" s="509"/>
      <c r="C1605" s="509"/>
      <c r="D1605" s="522"/>
      <c r="E1605" s="526"/>
      <c r="F1605" s="526"/>
      <c r="G1605" s="527"/>
      <c r="H1605" s="527"/>
      <c r="I1605" s="527"/>
      <c r="J1605" s="527"/>
      <c r="K1605" s="527"/>
      <c r="L1605" s="527"/>
      <c r="M1605" s="527"/>
    </row>
    <row r="1606" ht="15.75" customHeight="1">
      <c r="A1606" s="523"/>
      <c r="B1606" s="509"/>
      <c r="C1606" s="509"/>
      <c r="D1606" s="522"/>
      <c r="E1606" s="526"/>
      <c r="F1606" s="526"/>
      <c r="G1606" s="527"/>
      <c r="H1606" s="527"/>
      <c r="I1606" s="527"/>
      <c r="J1606" s="527"/>
      <c r="K1606" s="527"/>
      <c r="L1606" s="527"/>
      <c r="M1606" s="527"/>
    </row>
    <row r="1607" ht="15.75" customHeight="1">
      <c r="A1607" s="523"/>
      <c r="B1607" s="509"/>
      <c r="C1607" s="509"/>
      <c r="D1607" s="522"/>
      <c r="E1607" s="526"/>
      <c r="F1607" s="526"/>
      <c r="G1607" s="527"/>
      <c r="H1607" s="527"/>
      <c r="I1607" s="527"/>
      <c r="J1607" s="527"/>
      <c r="K1607" s="527"/>
      <c r="L1607" s="527"/>
      <c r="M1607" s="527"/>
    </row>
    <row r="1608" ht="15.75" customHeight="1">
      <c r="A1608" s="523"/>
      <c r="B1608" s="509"/>
      <c r="C1608" s="509"/>
      <c r="D1608" s="522"/>
      <c r="E1608" s="526"/>
      <c r="F1608" s="526"/>
      <c r="G1608" s="527"/>
      <c r="H1608" s="527"/>
      <c r="I1608" s="527"/>
      <c r="J1608" s="527"/>
      <c r="K1608" s="527"/>
      <c r="L1608" s="527"/>
      <c r="M1608" s="527"/>
    </row>
    <row r="1609" ht="15.75" customHeight="1">
      <c r="A1609" s="523"/>
      <c r="B1609" s="509"/>
      <c r="C1609" s="509"/>
      <c r="D1609" s="522"/>
      <c r="E1609" s="526"/>
      <c r="F1609" s="526"/>
      <c r="G1609" s="527"/>
      <c r="H1609" s="527"/>
      <c r="I1609" s="527"/>
      <c r="J1609" s="527"/>
      <c r="K1609" s="527"/>
      <c r="L1609" s="527"/>
      <c r="M1609" s="527"/>
    </row>
    <row r="1610" ht="15.75" customHeight="1">
      <c r="A1610" s="523"/>
      <c r="B1610" s="509"/>
      <c r="C1610" s="509"/>
      <c r="D1610" s="522"/>
      <c r="E1610" s="526"/>
      <c r="F1610" s="526"/>
      <c r="G1610" s="527"/>
      <c r="H1610" s="527"/>
      <c r="I1610" s="527"/>
      <c r="J1610" s="527"/>
      <c r="K1610" s="527"/>
      <c r="L1610" s="527"/>
      <c r="M1610" s="527"/>
    </row>
    <row r="1611" ht="15.75" customHeight="1">
      <c r="A1611" s="523"/>
      <c r="B1611" s="509"/>
      <c r="C1611" s="509"/>
      <c r="D1611" s="522"/>
      <c r="E1611" s="526"/>
      <c r="F1611" s="526"/>
      <c r="G1611" s="527"/>
      <c r="H1611" s="527"/>
      <c r="I1611" s="527"/>
      <c r="J1611" s="527"/>
      <c r="K1611" s="527"/>
      <c r="L1611" s="527"/>
      <c r="M1611" s="527"/>
    </row>
    <row r="1612" ht="15.75" customHeight="1">
      <c r="A1612" s="523"/>
      <c r="B1612" s="509"/>
      <c r="C1612" s="509"/>
      <c r="D1612" s="522"/>
      <c r="E1612" s="526"/>
      <c r="F1612" s="526"/>
      <c r="G1612" s="527"/>
      <c r="H1612" s="527"/>
      <c r="I1612" s="527"/>
      <c r="J1612" s="527"/>
      <c r="K1612" s="527"/>
      <c r="L1612" s="527"/>
      <c r="M1612" s="527"/>
    </row>
    <row r="1613" ht="15.75" customHeight="1">
      <c r="A1613" s="523"/>
      <c r="B1613" s="509"/>
      <c r="C1613" s="509"/>
      <c r="D1613" s="522"/>
      <c r="E1613" s="526"/>
      <c r="F1613" s="526"/>
      <c r="G1613" s="527"/>
      <c r="H1613" s="527"/>
      <c r="I1613" s="527"/>
      <c r="J1613" s="527"/>
      <c r="K1613" s="527"/>
      <c r="L1613" s="527"/>
      <c r="M1613" s="527"/>
    </row>
    <row r="1614" ht="15.75" customHeight="1">
      <c r="A1614" s="523"/>
      <c r="B1614" s="509"/>
      <c r="C1614" s="509"/>
      <c r="D1614" s="522"/>
      <c r="E1614" s="526"/>
      <c r="F1614" s="526"/>
      <c r="G1614" s="527"/>
      <c r="H1614" s="527"/>
      <c r="I1614" s="527"/>
      <c r="J1614" s="527"/>
      <c r="K1614" s="527"/>
      <c r="L1614" s="527"/>
      <c r="M1614" s="527"/>
    </row>
    <row r="1615" ht="15.75" customHeight="1">
      <c r="A1615" s="523"/>
      <c r="B1615" s="509"/>
      <c r="C1615" s="509"/>
      <c r="D1615" s="522"/>
      <c r="E1615" s="526"/>
      <c r="F1615" s="526"/>
      <c r="G1615" s="527"/>
      <c r="H1615" s="527"/>
      <c r="I1615" s="527"/>
      <c r="J1615" s="527"/>
      <c r="K1615" s="527"/>
      <c r="L1615" s="527"/>
      <c r="M1615" s="527"/>
    </row>
    <row r="1616" ht="15.75" customHeight="1">
      <c r="A1616" s="523"/>
      <c r="B1616" s="509"/>
      <c r="C1616" s="509"/>
      <c r="D1616" s="522"/>
      <c r="E1616" s="526"/>
      <c r="F1616" s="526"/>
      <c r="G1616" s="527"/>
      <c r="H1616" s="527"/>
      <c r="I1616" s="527"/>
      <c r="J1616" s="527"/>
      <c r="K1616" s="527"/>
      <c r="L1616" s="527"/>
      <c r="M1616" s="527"/>
    </row>
    <row r="1617" ht="15.75" customHeight="1">
      <c r="A1617" s="523"/>
      <c r="B1617" s="509"/>
      <c r="C1617" s="509"/>
      <c r="D1617" s="522"/>
      <c r="E1617" s="526"/>
      <c r="F1617" s="526"/>
      <c r="G1617" s="527"/>
      <c r="H1617" s="527"/>
      <c r="I1617" s="527"/>
      <c r="J1617" s="527"/>
      <c r="K1617" s="527"/>
      <c r="L1617" s="527"/>
      <c r="M1617" s="527"/>
    </row>
    <row r="1618" ht="15.75" customHeight="1">
      <c r="A1618" s="523"/>
      <c r="B1618" s="509"/>
      <c r="C1618" s="509"/>
      <c r="D1618" s="522"/>
      <c r="E1618" s="526"/>
      <c r="F1618" s="526"/>
      <c r="G1618" s="527"/>
      <c r="H1618" s="527"/>
      <c r="I1618" s="527"/>
      <c r="J1618" s="527"/>
      <c r="K1618" s="527"/>
      <c r="L1618" s="527"/>
      <c r="M1618" s="527"/>
    </row>
    <row r="1619" ht="15.75" customHeight="1">
      <c r="A1619" s="523"/>
      <c r="B1619" s="509"/>
      <c r="C1619" s="509"/>
      <c r="D1619" s="522"/>
      <c r="E1619" s="526"/>
      <c r="F1619" s="526"/>
      <c r="G1619" s="527"/>
      <c r="H1619" s="527"/>
      <c r="I1619" s="527"/>
      <c r="J1619" s="527"/>
      <c r="K1619" s="527"/>
      <c r="L1619" s="527"/>
      <c r="M1619" s="527"/>
    </row>
    <row r="1620" ht="15.75" customHeight="1">
      <c r="A1620" s="523"/>
      <c r="B1620" s="509"/>
      <c r="C1620" s="509"/>
      <c r="D1620" s="522"/>
      <c r="E1620" s="526"/>
      <c r="F1620" s="526"/>
      <c r="G1620" s="527"/>
      <c r="H1620" s="527"/>
      <c r="I1620" s="527"/>
      <c r="J1620" s="527"/>
      <c r="K1620" s="527"/>
      <c r="L1620" s="527"/>
      <c r="M1620" s="527"/>
    </row>
    <row r="1621" ht="15.75" customHeight="1">
      <c r="A1621" s="523"/>
      <c r="B1621" s="509"/>
      <c r="C1621" s="509"/>
      <c r="D1621" s="522"/>
      <c r="E1621" s="526"/>
      <c r="F1621" s="526"/>
      <c r="G1621" s="527"/>
      <c r="H1621" s="527"/>
      <c r="I1621" s="527"/>
      <c r="J1621" s="527"/>
      <c r="K1621" s="527"/>
      <c r="L1621" s="527"/>
      <c r="M1621" s="527"/>
    </row>
    <row r="1622" ht="15.75" customHeight="1">
      <c r="A1622" s="523"/>
      <c r="B1622" s="509"/>
      <c r="C1622" s="509"/>
      <c r="D1622" s="522"/>
      <c r="E1622" s="526"/>
      <c r="F1622" s="526"/>
      <c r="G1622" s="527"/>
      <c r="H1622" s="527"/>
      <c r="I1622" s="527"/>
      <c r="J1622" s="527"/>
      <c r="K1622" s="527"/>
      <c r="L1622" s="527"/>
      <c r="M1622" s="527"/>
    </row>
    <row r="1623" ht="15.75" customHeight="1">
      <c r="A1623" s="523"/>
      <c r="B1623" s="509"/>
      <c r="C1623" s="509"/>
      <c r="D1623" s="522"/>
      <c r="E1623" s="526"/>
      <c r="F1623" s="526"/>
      <c r="G1623" s="527"/>
      <c r="H1623" s="527"/>
      <c r="I1623" s="527"/>
      <c r="J1623" s="527"/>
      <c r="K1623" s="527"/>
      <c r="L1623" s="527"/>
      <c r="M1623" s="527"/>
    </row>
    <row r="1624" ht="15.75" customHeight="1">
      <c r="A1624" s="523"/>
      <c r="B1624" s="509"/>
      <c r="C1624" s="509"/>
      <c r="D1624" s="522"/>
      <c r="E1624" s="526"/>
      <c r="F1624" s="526"/>
      <c r="G1624" s="527"/>
      <c r="H1624" s="527"/>
      <c r="I1624" s="527"/>
      <c r="J1624" s="527"/>
      <c r="K1624" s="527"/>
      <c r="L1624" s="527"/>
      <c r="M1624" s="527"/>
    </row>
    <row r="1625" ht="15.75" customHeight="1">
      <c r="A1625" s="523"/>
      <c r="B1625" s="509"/>
      <c r="C1625" s="509"/>
      <c r="D1625" s="522"/>
      <c r="E1625" s="526"/>
      <c r="F1625" s="526"/>
      <c r="G1625" s="527"/>
      <c r="H1625" s="527"/>
      <c r="I1625" s="527"/>
      <c r="J1625" s="527"/>
      <c r="K1625" s="527"/>
      <c r="L1625" s="527"/>
      <c r="M1625" s="527"/>
    </row>
    <row r="1626" ht="15.75" customHeight="1">
      <c r="A1626" s="523"/>
      <c r="B1626" s="509"/>
      <c r="C1626" s="509"/>
      <c r="D1626" s="522"/>
      <c r="E1626" s="526"/>
      <c r="F1626" s="526"/>
      <c r="G1626" s="527"/>
      <c r="H1626" s="527"/>
      <c r="I1626" s="527"/>
      <c r="J1626" s="527"/>
      <c r="K1626" s="527"/>
      <c r="L1626" s="527"/>
      <c r="M1626" s="527"/>
    </row>
    <row r="1627" ht="15.75" customHeight="1">
      <c r="A1627" s="523"/>
      <c r="B1627" s="509"/>
      <c r="C1627" s="509"/>
      <c r="D1627" s="522"/>
      <c r="E1627" s="526"/>
      <c r="F1627" s="526"/>
      <c r="G1627" s="527"/>
      <c r="H1627" s="527"/>
      <c r="I1627" s="527"/>
      <c r="J1627" s="527"/>
      <c r="K1627" s="527"/>
      <c r="L1627" s="527"/>
      <c r="M1627" s="527"/>
    </row>
    <row r="1628" ht="15.75" customHeight="1">
      <c r="A1628" s="523"/>
      <c r="B1628" s="509"/>
      <c r="C1628" s="509"/>
      <c r="D1628" s="522"/>
      <c r="E1628" s="526"/>
      <c r="F1628" s="526"/>
      <c r="G1628" s="527"/>
      <c r="H1628" s="527"/>
      <c r="I1628" s="527"/>
      <c r="J1628" s="527"/>
      <c r="K1628" s="527"/>
      <c r="L1628" s="527"/>
      <c r="M1628" s="527"/>
    </row>
    <row r="1629" ht="15.75" customHeight="1">
      <c r="A1629" s="523"/>
      <c r="B1629" s="509"/>
      <c r="C1629" s="509"/>
      <c r="D1629" s="522"/>
      <c r="E1629" s="526"/>
      <c r="F1629" s="526"/>
      <c r="G1629" s="527"/>
      <c r="H1629" s="527"/>
      <c r="I1629" s="527"/>
      <c r="J1629" s="527"/>
      <c r="K1629" s="527"/>
      <c r="L1629" s="527"/>
      <c r="M1629" s="527"/>
    </row>
    <row r="1630" ht="15.75" customHeight="1">
      <c r="A1630" s="523"/>
      <c r="B1630" s="509"/>
      <c r="C1630" s="509"/>
      <c r="D1630" s="522"/>
      <c r="E1630" s="526"/>
      <c r="F1630" s="526"/>
      <c r="G1630" s="527"/>
      <c r="H1630" s="527"/>
      <c r="I1630" s="527"/>
      <c r="J1630" s="527"/>
      <c r="K1630" s="527"/>
      <c r="L1630" s="527"/>
      <c r="M1630" s="527"/>
    </row>
    <row r="1631" ht="15.75" customHeight="1">
      <c r="A1631" s="523"/>
      <c r="B1631" s="509"/>
      <c r="C1631" s="509"/>
      <c r="D1631" s="522"/>
      <c r="E1631" s="526"/>
      <c r="F1631" s="526"/>
      <c r="G1631" s="527"/>
      <c r="H1631" s="527"/>
      <c r="I1631" s="527"/>
      <c r="J1631" s="527"/>
      <c r="K1631" s="527"/>
      <c r="L1631" s="527"/>
      <c r="M1631" s="527"/>
    </row>
    <row r="1632" ht="15.75" customHeight="1">
      <c r="A1632" s="523"/>
      <c r="B1632" s="509"/>
      <c r="C1632" s="509"/>
      <c r="D1632" s="522"/>
      <c r="E1632" s="526"/>
      <c r="F1632" s="526"/>
      <c r="G1632" s="527"/>
      <c r="H1632" s="527"/>
      <c r="I1632" s="527"/>
      <c r="J1632" s="527"/>
      <c r="K1632" s="527"/>
      <c r="L1632" s="527"/>
      <c r="M1632" s="527"/>
    </row>
    <row r="1633" ht="15.75" customHeight="1">
      <c r="A1633" s="523"/>
      <c r="B1633" s="509"/>
      <c r="C1633" s="509"/>
      <c r="D1633" s="522"/>
      <c r="E1633" s="526"/>
      <c r="F1633" s="526"/>
      <c r="G1633" s="527"/>
      <c r="H1633" s="527"/>
      <c r="I1633" s="527"/>
      <c r="J1633" s="527"/>
      <c r="K1633" s="527"/>
      <c r="L1633" s="527"/>
      <c r="M1633" s="527"/>
    </row>
    <row r="1634" ht="15.75" customHeight="1">
      <c r="A1634" s="523"/>
      <c r="B1634" s="509"/>
      <c r="C1634" s="509"/>
      <c r="D1634" s="522"/>
      <c r="E1634" s="526"/>
      <c r="F1634" s="526"/>
      <c r="G1634" s="527"/>
      <c r="H1634" s="527"/>
      <c r="I1634" s="527"/>
      <c r="J1634" s="527"/>
      <c r="K1634" s="527"/>
      <c r="L1634" s="527"/>
      <c r="M1634" s="527"/>
    </row>
    <row r="1635" ht="15.75" customHeight="1">
      <c r="A1635" s="523"/>
      <c r="B1635" s="509"/>
      <c r="C1635" s="509"/>
      <c r="D1635" s="522"/>
      <c r="E1635" s="526"/>
      <c r="F1635" s="526"/>
      <c r="G1635" s="527"/>
      <c r="H1635" s="527"/>
      <c r="I1635" s="527"/>
      <c r="J1635" s="527"/>
      <c r="K1635" s="527"/>
      <c r="L1635" s="527"/>
      <c r="M1635" s="527"/>
    </row>
    <row r="1636" ht="15.75" customHeight="1">
      <c r="A1636" s="523"/>
      <c r="B1636" s="509"/>
      <c r="C1636" s="509"/>
      <c r="D1636" s="522"/>
      <c r="E1636" s="526"/>
      <c r="F1636" s="526"/>
      <c r="G1636" s="527"/>
      <c r="H1636" s="527"/>
      <c r="I1636" s="527"/>
      <c r="J1636" s="527"/>
      <c r="K1636" s="527"/>
      <c r="L1636" s="527"/>
      <c r="M1636" s="527"/>
    </row>
    <row r="1637" ht="15.75" customHeight="1">
      <c r="A1637" s="523"/>
      <c r="B1637" s="509"/>
      <c r="C1637" s="509"/>
      <c r="D1637" s="522"/>
      <c r="E1637" s="526"/>
      <c r="F1637" s="526"/>
      <c r="G1637" s="527"/>
      <c r="H1637" s="527"/>
      <c r="I1637" s="527"/>
      <c r="J1637" s="527"/>
      <c r="K1637" s="527"/>
      <c r="L1637" s="527"/>
      <c r="M1637" s="527"/>
    </row>
    <row r="1638" ht="15.75" customHeight="1">
      <c r="A1638" s="523"/>
      <c r="B1638" s="509"/>
      <c r="C1638" s="509"/>
      <c r="D1638" s="522"/>
      <c r="E1638" s="526"/>
      <c r="F1638" s="526"/>
      <c r="G1638" s="527"/>
      <c r="H1638" s="527"/>
      <c r="I1638" s="527"/>
      <c r="J1638" s="527"/>
      <c r="K1638" s="527"/>
      <c r="L1638" s="527"/>
      <c r="M1638" s="527"/>
    </row>
    <row r="1639" ht="15.75" customHeight="1">
      <c r="A1639" s="523"/>
      <c r="B1639" s="509"/>
      <c r="C1639" s="509"/>
      <c r="D1639" s="522"/>
      <c r="E1639" s="526"/>
      <c r="F1639" s="526"/>
      <c r="G1639" s="527"/>
      <c r="H1639" s="527"/>
      <c r="I1639" s="527"/>
      <c r="J1639" s="527"/>
      <c r="K1639" s="527"/>
      <c r="L1639" s="527"/>
      <c r="M1639" s="527"/>
    </row>
    <row r="1640" ht="15.75" customHeight="1">
      <c r="A1640" s="523"/>
      <c r="B1640" s="509"/>
      <c r="C1640" s="509"/>
      <c r="D1640" s="522"/>
      <c r="E1640" s="526"/>
      <c r="F1640" s="526"/>
      <c r="G1640" s="527"/>
      <c r="H1640" s="527"/>
      <c r="I1640" s="527"/>
      <c r="J1640" s="527"/>
      <c r="K1640" s="527"/>
      <c r="L1640" s="527"/>
      <c r="M1640" s="527"/>
    </row>
    <row r="1641" ht="15.75" customHeight="1">
      <c r="A1641" s="523"/>
      <c r="B1641" s="509"/>
      <c r="C1641" s="509"/>
      <c r="D1641" s="522"/>
      <c r="E1641" s="526"/>
      <c r="F1641" s="526"/>
      <c r="G1641" s="527"/>
      <c r="H1641" s="527"/>
      <c r="I1641" s="527"/>
      <c r="J1641" s="527"/>
      <c r="K1641" s="527"/>
      <c r="L1641" s="527"/>
      <c r="M1641" s="527"/>
    </row>
    <row r="1642" ht="15.75" customHeight="1">
      <c r="A1642" s="523"/>
      <c r="B1642" s="509"/>
      <c r="C1642" s="509"/>
      <c r="D1642" s="522"/>
      <c r="E1642" s="526"/>
      <c r="F1642" s="526"/>
      <c r="G1642" s="527"/>
      <c r="H1642" s="527"/>
      <c r="I1642" s="527"/>
      <c r="J1642" s="527"/>
      <c r="K1642" s="527"/>
      <c r="L1642" s="527"/>
      <c r="M1642" s="527"/>
    </row>
    <row r="1643" ht="15.75" customHeight="1">
      <c r="A1643" s="523"/>
      <c r="B1643" s="509"/>
      <c r="C1643" s="509"/>
      <c r="D1643" s="522"/>
      <c r="E1643" s="526"/>
      <c r="F1643" s="526"/>
      <c r="G1643" s="527"/>
      <c r="H1643" s="527"/>
      <c r="I1643" s="527"/>
      <c r="J1643" s="527"/>
      <c r="K1643" s="527"/>
      <c r="L1643" s="527"/>
      <c r="M1643" s="527"/>
    </row>
    <row r="1644" ht="15.75" customHeight="1">
      <c r="A1644" s="523"/>
      <c r="B1644" s="509"/>
      <c r="C1644" s="509"/>
      <c r="D1644" s="522"/>
      <c r="E1644" s="526"/>
      <c r="F1644" s="526"/>
      <c r="G1644" s="527"/>
      <c r="H1644" s="527"/>
      <c r="I1644" s="527"/>
      <c r="J1644" s="527"/>
      <c r="K1644" s="527"/>
      <c r="L1644" s="527"/>
      <c r="M1644" s="527"/>
    </row>
    <row r="1645" ht="15.75" customHeight="1">
      <c r="A1645" s="523"/>
      <c r="B1645" s="509"/>
      <c r="C1645" s="509"/>
      <c r="D1645" s="522"/>
      <c r="E1645" s="526"/>
      <c r="F1645" s="526"/>
      <c r="G1645" s="527"/>
      <c r="H1645" s="527"/>
      <c r="I1645" s="527"/>
      <c r="J1645" s="527"/>
      <c r="K1645" s="527"/>
      <c r="L1645" s="527"/>
      <c r="M1645" s="527"/>
    </row>
    <row r="1646" ht="15.75" customHeight="1">
      <c r="A1646" s="523"/>
      <c r="B1646" s="509"/>
      <c r="C1646" s="509"/>
      <c r="D1646" s="522"/>
      <c r="E1646" s="526"/>
      <c r="F1646" s="526"/>
      <c r="G1646" s="527"/>
      <c r="H1646" s="527"/>
      <c r="I1646" s="527"/>
      <c r="J1646" s="527"/>
      <c r="K1646" s="527"/>
      <c r="L1646" s="527"/>
      <c r="M1646" s="527"/>
    </row>
    <row r="1647" ht="15.75" customHeight="1">
      <c r="A1647" s="523"/>
      <c r="B1647" s="509"/>
      <c r="C1647" s="509"/>
      <c r="D1647" s="522"/>
      <c r="E1647" s="526"/>
      <c r="F1647" s="526"/>
      <c r="G1647" s="527"/>
      <c r="H1647" s="527"/>
      <c r="I1647" s="527"/>
      <c r="J1647" s="527"/>
      <c r="K1647" s="527"/>
      <c r="L1647" s="527"/>
      <c r="M1647" s="527"/>
    </row>
    <row r="1648" ht="15.75" customHeight="1">
      <c r="A1648" s="523"/>
      <c r="B1648" s="509"/>
      <c r="C1648" s="509"/>
      <c r="D1648" s="522"/>
      <c r="E1648" s="526"/>
      <c r="F1648" s="526"/>
      <c r="G1648" s="527"/>
      <c r="H1648" s="527"/>
      <c r="I1648" s="527"/>
      <c r="J1648" s="527"/>
      <c r="K1648" s="527"/>
      <c r="L1648" s="527"/>
      <c r="M1648" s="527"/>
    </row>
    <row r="1649" ht="15.75" customHeight="1">
      <c r="A1649" s="523"/>
      <c r="B1649" s="509"/>
      <c r="C1649" s="509"/>
      <c r="D1649" s="522"/>
      <c r="E1649" s="526"/>
      <c r="F1649" s="526"/>
      <c r="G1649" s="527"/>
      <c r="H1649" s="527"/>
      <c r="I1649" s="527"/>
      <c r="J1649" s="527"/>
      <c r="K1649" s="527"/>
      <c r="L1649" s="527"/>
      <c r="M1649" s="527"/>
    </row>
    <row r="1650" ht="15.75" customHeight="1">
      <c r="A1650" s="523"/>
      <c r="B1650" s="509"/>
      <c r="C1650" s="509"/>
      <c r="D1650" s="522"/>
      <c r="E1650" s="526"/>
      <c r="F1650" s="526"/>
      <c r="G1650" s="527"/>
      <c r="H1650" s="527"/>
      <c r="I1650" s="527"/>
      <c r="J1650" s="527"/>
      <c r="K1650" s="527"/>
      <c r="L1650" s="527"/>
      <c r="M1650" s="527"/>
    </row>
    <row r="1651" ht="15.75" customHeight="1">
      <c r="A1651" s="523"/>
      <c r="B1651" s="509"/>
      <c r="C1651" s="509"/>
      <c r="D1651" s="522"/>
      <c r="E1651" s="526"/>
      <c r="F1651" s="526"/>
      <c r="G1651" s="527"/>
      <c r="H1651" s="527"/>
      <c r="I1651" s="527"/>
      <c r="J1651" s="527"/>
      <c r="K1651" s="527"/>
      <c r="L1651" s="527"/>
      <c r="M1651" s="527"/>
    </row>
    <row r="1652" ht="15.75" customHeight="1">
      <c r="A1652" s="523"/>
      <c r="B1652" s="509"/>
      <c r="C1652" s="509"/>
      <c r="D1652" s="522"/>
      <c r="E1652" s="526"/>
      <c r="F1652" s="526"/>
      <c r="G1652" s="527"/>
      <c r="H1652" s="527"/>
      <c r="I1652" s="527"/>
      <c r="J1652" s="527"/>
      <c r="K1652" s="527"/>
      <c r="L1652" s="527"/>
      <c r="M1652" s="527"/>
    </row>
    <row r="1653" ht="15.75" customHeight="1">
      <c r="A1653" s="523"/>
      <c r="B1653" s="509"/>
      <c r="C1653" s="509"/>
      <c r="D1653" s="522"/>
      <c r="E1653" s="526"/>
      <c r="F1653" s="526"/>
      <c r="G1653" s="527"/>
      <c r="H1653" s="527"/>
      <c r="I1653" s="527"/>
      <c r="J1653" s="527"/>
      <c r="K1653" s="527"/>
      <c r="L1653" s="527"/>
      <c r="M1653" s="527"/>
    </row>
    <row r="1654" ht="15.75" customHeight="1">
      <c r="A1654" s="523"/>
      <c r="B1654" s="509"/>
      <c r="C1654" s="509"/>
      <c r="D1654" s="522"/>
      <c r="E1654" s="526"/>
      <c r="F1654" s="526"/>
      <c r="G1654" s="527"/>
      <c r="H1654" s="527"/>
      <c r="I1654" s="527"/>
      <c r="J1654" s="527"/>
      <c r="K1654" s="527"/>
      <c r="L1654" s="527"/>
      <c r="M1654" s="527"/>
    </row>
    <row r="1655" ht="15.75" customHeight="1">
      <c r="A1655" s="523"/>
      <c r="B1655" s="509"/>
      <c r="C1655" s="509"/>
      <c r="D1655" s="522"/>
      <c r="E1655" s="526"/>
      <c r="F1655" s="526"/>
      <c r="G1655" s="527"/>
      <c r="H1655" s="527"/>
      <c r="I1655" s="527"/>
      <c r="J1655" s="527"/>
      <c r="K1655" s="527"/>
      <c r="L1655" s="527"/>
      <c r="M1655" s="527"/>
    </row>
    <row r="1656" ht="15.75" customHeight="1">
      <c r="A1656" s="523"/>
      <c r="B1656" s="509"/>
      <c r="C1656" s="509"/>
      <c r="D1656" s="522"/>
      <c r="E1656" s="526"/>
      <c r="F1656" s="526"/>
      <c r="G1656" s="527"/>
      <c r="H1656" s="527"/>
      <c r="I1656" s="527"/>
      <c r="J1656" s="527"/>
      <c r="K1656" s="527"/>
      <c r="L1656" s="527"/>
      <c r="M1656" s="527"/>
    </row>
    <row r="1657" ht="15.75" customHeight="1">
      <c r="A1657" s="523"/>
      <c r="B1657" s="509"/>
      <c r="C1657" s="509"/>
      <c r="D1657" s="522"/>
      <c r="E1657" s="526"/>
      <c r="F1657" s="526"/>
      <c r="G1657" s="527"/>
      <c r="H1657" s="527"/>
      <c r="I1657" s="527"/>
      <c r="J1657" s="527"/>
      <c r="K1657" s="527"/>
      <c r="L1657" s="527"/>
      <c r="M1657" s="527"/>
    </row>
    <row r="1658" ht="15.75" customHeight="1">
      <c r="A1658" s="523"/>
      <c r="B1658" s="509"/>
      <c r="C1658" s="509"/>
      <c r="D1658" s="522"/>
      <c r="E1658" s="526"/>
      <c r="F1658" s="526"/>
      <c r="G1658" s="527"/>
      <c r="H1658" s="527"/>
      <c r="I1658" s="527"/>
      <c r="J1658" s="527"/>
      <c r="K1658" s="527"/>
      <c r="L1658" s="527"/>
      <c r="M1658" s="527"/>
    </row>
    <row r="1659" ht="15.75" customHeight="1">
      <c r="A1659" s="523"/>
      <c r="B1659" s="509"/>
      <c r="C1659" s="509"/>
      <c r="D1659" s="522"/>
      <c r="E1659" s="526"/>
      <c r="F1659" s="526"/>
      <c r="G1659" s="527"/>
      <c r="H1659" s="527"/>
      <c r="I1659" s="527"/>
      <c r="J1659" s="527"/>
      <c r="K1659" s="527"/>
      <c r="L1659" s="527"/>
      <c r="M1659" s="527"/>
    </row>
    <row r="1660" ht="15.75" customHeight="1">
      <c r="A1660" s="523"/>
      <c r="B1660" s="509"/>
      <c r="C1660" s="509"/>
      <c r="D1660" s="522"/>
      <c r="E1660" s="526"/>
      <c r="F1660" s="526"/>
      <c r="G1660" s="527"/>
      <c r="H1660" s="527"/>
      <c r="I1660" s="527"/>
      <c r="J1660" s="527"/>
      <c r="K1660" s="527"/>
      <c r="L1660" s="527"/>
      <c r="M1660" s="527"/>
    </row>
    <row r="1661" ht="15.75" customHeight="1">
      <c r="A1661" s="523"/>
      <c r="B1661" s="509"/>
      <c r="C1661" s="509"/>
      <c r="D1661" s="522"/>
      <c r="E1661" s="526"/>
      <c r="F1661" s="526"/>
      <c r="G1661" s="527"/>
      <c r="H1661" s="527"/>
      <c r="I1661" s="527"/>
      <c r="J1661" s="527"/>
      <c r="K1661" s="527"/>
      <c r="L1661" s="527"/>
      <c r="M1661" s="527"/>
    </row>
    <row r="1662" ht="15.75" customHeight="1">
      <c r="A1662" s="523"/>
      <c r="B1662" s="509"/>
      <c r="C1662" s="509"/>
      <c r="D1662" s="522"/>
      <c r="E1662" s="526"/>
      <c r="F1662" s="526"/>
      <c r="G1662" s="527"/>
      <c r="H1662" s="527"/>
      <c r="I1662" s="527"/>
      <c r="J1662" s="527"/>
      <c r="K1662" s="527"/>
      <c r="L1662" s="527"/>
      <c r="M1662" s="527"/>
    </row>
    <row r="1663" ht="15.75" customHeight="1">
      <c r="A1663" s="523"/>
      <c r="B1663" s="509"/>
      <c r="C1663" s="509"/>
      <c r="D1663" s="522"/>
      <c r="E1663" s="526"/>
      <c r="F1663" s="526"/>
      <c r="G1663" s="527"/>
      <c r="H1663" s="527"/>
      <c r="I1663" s="527"/>
      <c r="J1663" s="527"/>
      <c r="K1663" s="527"/>
      <c r="L1663" s="527"/>
      <c r="M1663" s="527"/>
    </row>
    <row r="1664" ht="15.75" customHeight="1">
      <c r="A1664" s="523"/>
      <c r="B1664" s="509"/>
      <c r="C1664" s="509"/>
      <c r="D1664" s="522"/>
      <c r="E1664" s="526"/>
      <c r="F1664" s="526"/>
      <c r="G1664" s="527"/>
      <c r="H1664" s="527"/>
      <c r="I1664" s="527"/>
      <c r="J1664" s="527"/>
      <c r="K1664" s="527"/>
      <c r="L1664" s="527"/>
      <c r="M1664" s="527"/>
    </row>
    <row r="1665" ht="15.75" customHeight="1">
      <c r="A1665" s="523"/>
      <c r="B1665" s="509"/>
      <c r="C1665" s="509"/>
      <c r="D1665" s="522"/>
      <c r="E1665" s="526"/>
      <c r="F1665" s="526"/>
      <c r="G1665" s="527"/>
      <c r="H1665" s="527"/>
      <c r="I1665" s="527"/>
      <c r="J1665" s="527"/>
      <c r="K1665" s="527"/>
      <c r="L1665" s="527"/>
      <c r="M1665" s="527"/>
    </row>
    <row r="1666" ht="15.75" customHeight="1">
      <c r="A1666" s="523"/>
      <c r="B1666" s="509"/>
      <c r="C1666" s="509"/>
      <c r="D1666" s="522"/>
      <c r="E1666" s="526"/>
      <c r="F1666" s="526"/>
      <c r="G1666" s="527"/>
      <c r="H1666" s="527"/>
      <c r="I1666" s="527"/>
      <c r="J1666" s="527"/>
      <c r="K1666" s="527"/>
      <c r="L1666" s="527"/>
      <c r="M1666" s="527"/>
    </row>
    <row r="1667" ht="15.75" customHeight="1">
      <c r="A1667" s="523"/>
      <c r="B1667" s="509"/>
      <c r="C1667" s="509"/>
      <c r="D1667" s="522"/>
      <c r="E1667" s="526"/>
      <c r="F1667" s="526"/>
      <c r="G1667" s="527"/>
      <c r="H1667" s="527"/>
      <c r="I1667" s="527"/>
      <c r="J1667" s="527"/>
      <c r="K1667" s="527"/>
      <c r="L1667" s="527"/>
      <c r="M1667" s="527"/>
    </row>
    <row r="1668" ht="15.75" customHeight="1">
      <c r="A1668" s="523"/>
      <c r="B1668" s="509"/>
      <c r="C1668" s="509"/>
      <c r="D1668" s="522"/>
      <c r="E1668" s="526"/>
      <c r="F1668" s="526"/>
      <c r="G1668" s="527"/>
      <c r="H1668" s="527"/>
      <c r="I1668" s="527"/>
      <c r="J1668" s="527"/>
      <c r="K1668" s="527"/>
      <c r="L1668" s="527"/>
      <c r="M1668" s="527"/>
    </row>
    <row r="1669" ht="15.75" customHeight="1">
      <c r="A1669" s="523"/>
      <c r="B1669" s="509"/>
      <c r="C1669" s="509"/>
      <c r="D1669" s="522"/>
      <c r="E1669" s="526"/>
      <c r="F1669" s="526"/>
      <c r="G1669" s="527"/>
      <c r="H1669" s="527"/>
      <c r="I1669" s="527"/>
      <c r="J1669" s="527"/>
      <c r="K1669" s="527"/>
      <c r="L1669" s="527"/>
      <c r="M1669" s="527"/>
    </row>
    <row r="1670" ht="15.75" customHeight="1">
      <c r="A1670" s="523"/>
      <c r="B1670" s="509"/>
      <c r="C1670" s="509"/>
      <c r="D1670" s="522"/>
      <c r="E1670" s="526"/>
      <c r="F1670" s="526"/>
      <c r="G1670" s="527"/>
      <c r="H1670" s="527"/>
      <c r="I1670" s="527"/>
      <c r="J1670" s="527"/>
      <c r="K1670" s="527"/>
      <c r="L1670" s="527"/>
      <c r="M1670" s="527"/>
    </row>
    <row r="1671" ht="15.75" customHeight="1">
      <c r="A1671" s="523"/>
      <c r="B1671" s="509"/>
      <c r="C1671" s="509"/>
      <c r="D1671" s="522"/>
      <c r="E1671" s="526"/>
      <c r="F1671" s="526"/>
      <c r="G1671" s="527"/>
      <c r="H1671" s="527"/>
      <c r="I1671" s="527"/>
      <c r="J1671" s="527"/>
      <c r="K1671" s="527"/>
      <c r="L1671" s="527"/>
      <c r="M1671" s="527"/>
    </row>
    <row r="1672" ht="15.75" customHeight="1">
      <c r="A1672" s="523"/>
      <c r="B1672" s="509"/>
      <c r="C1672" s="509"/>
      <c r="D1672" s="522"/>
      <c r="E1672" s="526"/>
      <c r="F1672" s="526"/>
      <c r="G1672" s="527"/>
      <c r="H1672" s="527"/>
      <c r="I1672" s="527"/>
      <c r="J1672" s="527"/>
      <c r="K1672" s="527"/>
      <c r="L1672" s="527"/>
      <c r="M1672" s="527"/>
    </row>
    <row r="1673" ht="15.75" customHeight="1">
      <c r="A1673" s="523"/>
      <c r="B1673" s="509"/>
      <c r="C1673" s="509"/>
      <c r="D1673" s="522"/>
      <c r="E1673" s="526"/>
      <c r="F1673" s="526"/>
      <c r="G1673" s="527"/>
      <c r="H1673" s="527"/>
      <c r="I1673" s="527"/>
      <c r="J1673" s="527"/>
      <c r="K1673" s="527"/>
      <c r="L1673" s="527"/>
      <c r="M1673" s="527"/>
    </row>
    <row r="1674" ht="15.75" customHeight="1">
      <c r="A1674" s="523"/>
      <c r="B1674" s="509"/>
      <c r="C1674" s="509"/>
      <c r="D1674" s="522"/>
      <c r="E1674" s="526"/>
      <c r="F1674" s="526"/>
      <c r="G1674" s="527"/>
      <c r="H1674" s="527"/>
      <c r="I1674" s="527"/>
      <c r="J1674" s="527"/>
      <c r="K1674" s="527"/>
      <c r="L1674" s="527"/>
      <c r="M1674" s="527"/>
    </row>
    <row r="1675" ht="15.75" customHeight="1">
      <c r="A1675" s="523"/>
      <c r="B1675" s="509"/>
      <c r="C1675" s="509"/>
      <c r="D1675" s="522"/>
      <c r="E1675" s="526"/>
      <c r="F1675" s="526"/>
      <c r="G1675" s="527"/>
      <c r="H1675" s="527"/>
      <c r="I1675" s="527"/>
      <c r="J1675" s="527"/>
      <c r="K1675" s="527"/>
      <c r="L1675" s="527"/>
      <c r="M1675" s="527"/>
    </row>
    <row r="1676" ht="15.75" customHeight="1">
      <c r="A1676" s="523"/>
      <c r="B1676" s="509"/>
      <c r="C1676" s="509"/>
      <c r="D1676" s="522"/>
      <c r="E1676" s="526"/>
      <c r="F1676" s="526"/>
      <c r="G1676" s="527"/>
      <c r="H1676" s="527"/>
      <c r="I1676" s="527"/>
      <c r="J1676" s="527"/>
      <c r="K1676" s="527"/>
      <c r="L1676" s="527"/>
      <c r="M1676" s="527"/>
    </row>
    <row r="1677" ht="15.75" customHeight="1">
      <c r="A1677" s="523"/>
      <c r="B1677" s="509"/>
      <c r="C1677" s="509"/>
      <c r="D1677" s="522"/>
      <c r="E1677" s="526"/>
      <c r="F1677" s="526"/>
      <c r="G1677" s="527"/>
      <c r="H1677" s="527"/>
      <c r="I1677" s="527"/>
      <c r="J1677" s="527"/>
      <c r="K1677" s="527"/>
      <c r="L1677" s="527"/>
      <c r="M1677" s="527"/>
    </row>
    <row r="1678" ht="15.75" customHeight="1">
      <c r="A1678" s="523"/>
      <c r="B1678" s="509"/>
      <c r="C1678" s="509"/>
      <c r="D1678" s="522"/>
      <c r="E1678" s="526"/>
      <c r="F1678" s="526"/>
      <c r="G1678" s="527"/>
      <c r="H1678" s="527"/>
      <c r="I1678" s="527"/>
      <c r="J1678" s="527"/>
      <c r="K1678" s="527"/>
      <c r="L1678" s="527"/>
      <c r="M1678" s="527"/>
    </row>
    <row r="1679" ht="15.75" customHeight="1">
      <c r="A1679" s="523"/>
      <c r="B1679" s="509"/>
      <c r="C1679" s="509"/>
      <c r="D1679" s="522"/>
      <c r="E1679" s="526"/>
      <c r="F1679" s="526"/>
      <c r="G1679" s="527"/>
      <c r="H1679" s="527"/>
      <c r="I1679" s="527"/>
      <c r="J1679" s="527"/>
      <c r="K1679" s="527"/>
      <c r="L1679" s="527"/>
      <c r="M1679" s="527"/>
    </row>
    <row r="1680" ht="15.75" customHeight="1">
      <c r="A1680" s="523"/>
      <c r="B1680" s="509"/>
      <c r="C1680" s="509"/>
      <c r="D1680" s="522"/>
      <c r="E1680" s="526"/>
      <c r="F1680" s="526"/>
      <c r="G1680" s="527"/>
      <c r="H1680" s="527"/>
      <c r="I1680" s="527"/>
      <c r="J1680" s="527"/>
      <c r="K1680" s="527"/>
      <c r="L1680" s="527"/>
      <c r="M1680" s="527"/>
    </row>
    <row r="1681" ht="15.75" customHeight="1">
      <c r="A1681" s="523"/>
      <c r="B1681" s="509"/>
      <c r="C1681" s="509"/>
      <c r="D1681" s="522"/>
      <c r="E1681" s="526"/>
      <c r="F1681" s="526"/>
      <c r="G1681" s="527"/>
      <c r="H1681" s="527"/>
      <c r="I1681" s="527"/>
      <c r="J1681" s="527"/>
      <c r="K1681" s="527"/>
      <c r="L1681" s="527"/>
      <c r="M1681" s="527"/>
    </row>
    <row r="1682" ht="15.75" customHeight="1">
      <c r="A1682" s="523"/>
      <c r="B1682" s="509"/>
      <c r="C1682" s="509"/>
      <c r="D1682" s="522"/>
      <c r="E1682" s="526"/>
      <c r="F1682" s="526"/>
      <c r="G1682" s="527"/>
      <c r="H1682" s="527"/>
      <c r="I1682" s="527"/>
      <c r="J1682" s="527"/>
      <c r="K1682" s="527"/>
      <c r="L1682" s="527"/>
      <c r="M1682" s="527"/>
    </row>
    <row r="1683" ht="15.75" customHeight="1">
      <c r="A1683" s="523"/>
      <c r="B1683" s="509"/>
      <c r="C1683" s="509"/>
      <c r="D1683" s="522"/>
      <c r="E1683" s="526"/>
      <c r="F1683" s="526"/>
      <c r="G1683" s="527"/>
      <c r="H1683" s="527"/>
      <c r="I1683" s="527"/>
      <c r="J1683" s="527"/>
      <c r="K1683" s="527"/>
      <c r="L1683" s="527"/>
      <c r="M1683" s="527"/>
    </row>
    <row r="1684" ht="15.75" customHeight="1">
      <c r="A1684" s="523"/>
      <c r="B1684" s="509"/>
      <c r="C1684" s="509"/>
      <c r="D1684" s="522"/>
      <c r="E1684" s="526"/>
      <c r="F1684" s="526"/>
      <c r="G1684" s="527"/>
      <c r="H1684" s="527"/>
      <c r="I1684" s="527"/>
      <c r="J1684" s="527"/>
      <c r="K1684" s="527"/>
      <c r="L1684" s="527"/>
      <c r="M1684" s="527"/>
    </row>
    <row r="1685" ht="15.75" customHeight="1">
      <c r="A1685" s="523"/>
      <c r="B1685" s="509"/>
      <c r="C1685" s="509"/>
      <c r="D1685" s="522"/>
      <c r="E1685" s="526"/>
      <c r="F1685" s="526"/>
      <c r="G1685" s="527"/>
      <c r="H1685" s="527"/>
      <c r="I1685" s="527"/>
      <c r="J1685" s="527"/>
      <c r="K1685" s="527"/>
      <c r="L1685" s="527"/>
      <c r="M1685" s="527"/>
    </row>
    <row r="1686" ht="15.75" customHeight="1">
      <c r="A1686" s="523"/>
      <c r="B1686" s="509"/>
      <c r="C1686" s="509"/>
      <c r="D1686" s="522"/>
      <c r="E1686" s="526"/>
      <c r="F1686" s="526"/>
      <c r="G1686" s="527"/>
      <c r="H1686" s="527"/>
      <c r="I1686" s="527"/>
      <c r="J1686" s="527"/>
      <c r="K1686" s="527"/>
      <c r="L1686" s="527"/>
      <c r="M1686" s="527"/>
    </row>
    <row r="1687" ht="15.75" customHeight="1">
      <c r="A1687" s="523"/>
      <c r="B1687" s="509"/>
      <c r="C1687" s="509"/>
      <c r="D1687" s="522"/>
      <c r="E1687" s="526"/>
      <c r="F1687" s="526"/>
      <c r="G1687" s="527"/>
      <c r="H1687" s="527"/>
      <c r="I1687" s="527"/>
      <c r="J1687" s="527"/>
      <c r="K1687" s="527"/>
      <c r="L1687" s="527"/>
      <c r="M1687" s="527"/>
    </row>
    <row r="1688" ht="15.75" customHeight="1">
      <c r="A1688" s="523"/>
      <c r="B1688" s="509"/>
      <c r="C1688" s="509"/>
      <c r="D1688" s="522"/>
      <c r="E1688" s="526"/>
      <c r="F1688" s="526"/>
      <c r="G1688" s="527"/>
      <c r="H1688" s="527"/>
      <c r="I1688" s="527"/>
      <c r="J1688" s="527"/>
      <c r="K1688" s="527"/>
      <c r="L1688" s="527"/>
      <c r="M1688" s="527"/>
    </row>
    <row r="1689" ht="15.75" customHeight="1">
      <c r="A1689" s="523"/>
      <c r="B1689" s="509"/>
      <c r="C1689" s="509"/>
      <c r="D1689" s="522"/>
      <c r="E1689" s="526"/>
      <c r="F1689" s="526"/>
      <c r="G1689" s="527"/>
      <c r="H1689" s="527"/>
      <c r="I1689" s="527"/>
      <c r="J1689" s="527"/>
      <c r="K1689" s="527"/>
      <c r="L1689" s="527"/>
      <c r="M1689" s="527"/>
    </row>
    <row r="1690" ht="15.75" customHeight="1">
      <c r="A1690" s="523"/>
      <c r="B1690" s="509"/>
      <c r="C1690" s="509"/>
      <c r="D1690" s="522"/>
      <c r="E1690" s="526"/>
      <c r="F1690" s="526"/>
      <c r="G1690" s="527"/>
      <c r="H1690" s="527"/>
      <c r="I1690" s="527"/>
      <c r="J1690" s="527"/>
      <c r="K1690" s="527"/>
      <c r="L1690" s="527"/>
      <c r="M1690" s="527"/>
    </row>
    <row r="1691" ht="15.75" customHeight="1">
      <c r="A1691" s="523"/>
      <c r="B1691" s="509"/>
      <c r="C1691" s="509"/>
      <c r="D1691" s="522"/>
      <c r="E1691" s="526"/>
      <c r="F1691" s="526"/>
      <c r="G1691" s="527"/>
      <c r="H1691" s="527"/>
      <c r="I1691" s="527"/>
      <c r="J1691" s="527"/>
      <c r="K1691" s="527"/>
      <c r="L1691" s="527"/>
      <c r="M1691" s="527"/>
    </row>
    <row r="1692" ht="15.75" customHeight="1">
      <c r="A1692" s="523"/>
      <c r="B1692" s="509"/>
      <c r="C1692" s="509"/>
      <c r="D1692" s="522"/>
      <c r="E1692" s="526"/>
      <c r="F1692" s="526"/>
      <c r="G1692" s="527"/>
      <c r="H1692" s="527"/>
      <c r="I1692" s="527"/>
      <c r="J1692" s="527"/>
      <c r="K1692" s="527"/>
      <c r="L1692" s="527"/>
      <c r="M1692" s="527"/>
    </row>
    <row r="1693" ht="15.75" customHeight="1">
      <c r="A1693" s="523"/>
      <c r="B1693" s="509"/>
      <c r="C1693" s="509"/>
      <c r="D1693" s="522"/>
      <c r="E1693" s="526"/>
      <c r="F1693" s="526"/>
      <c r="G1693" s="527"/>
      <c r="H1693" s="527"/>
      <c r="I1693" s="527"/>
      <c r="J1693" s="527"/>
      <c r="K1693" s="527"/>
      <c r="L1693" s="527"/>
      <c r="M1693" s="527"/>
    </row>
    <row r="1694" ht="15.75" customHeight="1">
      <c r="A1694" s="523"/>
      <c r="B1694" s="509"/>
      <c r="C1694" s="509"/>
      <c r="D1694" s="522"/>
      <c r="E1694" s="526"/>
      <c r="F1694" s="526"/>
      <c r="G1694" s="527"/>
      <c r="H1694" s="527"/>
      <c r="I1694" s="527"/>
      <c r="J1694" s="527"/>
      <c r="K1694" s="527"/>
      <c r="L1694" s="527"/>
      <c r="M1694" s="527"/>
    </row>
    <row r="1695" ht="15.75" customHeight="1">
      <c r="A1695" s="523"/>
      <c r="B1695" s="509"/>
      <c r="C1695" s="509"/>
      <c r="D1695" s="522"/>
      <c r="E1695" s="526"/>
      <c r="F1695" s="526"/>
      <c r="G1695" s="527"/>
      <c r="H1695" s="527"/>
      <c r="I1695" s="527"/>
      <c r="J1695" s="527"/>
      <c r="K1695" s="527"/>
      <c r="L1695" s="527"/>
      <c r="M1695" s="527"/>
    </row>
    <row r="1696" ht="15.75" customHeight="1">
      <c r="A1696" s="523"/>
      <c r="B1696" s="509"/>
      <c r="C1696" s="509"/>
      <c r="D1696" s="522"/>
      <c r="E1696" s="526"/>
      <c r="F1696" s="526"/>
      <c r="G1696" s="527"/>
      <c r="H1696" s="527"/>
      <c r="I1696" s="527"/>
      <c r="J1696" s="527"/>
      <c r="K1696" s="527"/>
      <c r="L1696" s="527"/>
      <c r="M1696" s="527"/>
    </row>
    <row r="1697" ht="15.75" customHeight="1">
      <c r="A1697" s="523"/>
      <c r="B1697" s="509"/>
      <c r="C1697" s="509"/>
      <c r="D1697" s="522"/>
      <c r="E1697" s="526"/>
      <c r="F1697" s="526"/>
      <c r="G1697" s="527"/>
      <c r="H1697" s="527"/>
      <c r="I1697" s="527"/>
      <c r="J1697" s="527"/>
      <c r="K1697" s="527"/>
      <c r="L1697" s="527"/>
      <c r="M1697" s="527"/>
    </row>
    <row r="1698" ht="15.75" customHeight="1">
      <c r="A1698" s="523"/>
      <c r="B1698" s="509"/>
      <c r="C1698" s="509"/>
      <c r="D1698" s="522"/>
      <c r="E1698" s="526"/>
      <c r="F1698" s="526"/>
      <c r="G1698" s="527"/>
      <c r="H1698" s="527"/>
      <c r="I1698" s="527"/>
      <c r="J1698" s="527"/>
      <c r="K1698" s="527"/>
      <c r="L1698" s="527"/>
      <c r="M1698" s="527"/>
    </row>
    <row r="1699" ht="15.75" customHeight="1">
      <c r="A1699" s="523"/>
      <c r="B1699" s="509"/>
      <c r="C1699" s="509"/>
      <c r="D1699" s="522"/>
      <c r="E1699" s="526"/>
      <c r="F1699" s="526"/>
      <c r="G1699" s="527"/>
      <c r="H1699" s="527"/>
      <c r="I1699" s="527"/>
      <c r="J1699" s="527"/>
      <c r="K1699" s="527"/>
      <c r="L1699" s="527"/>
      <c r="M1699" s="527"/>
    </row>
    <row r="1700" ht="15.75" customHeight="1">
      <c r="A1700" s="523"/>
      <c r="B1700" s="509"/>
      <c r="C1700" s="509"/>
      <c r="D1700" s="522"/>
      <c r="E1700" s="526"/>
      <c r="F1700" s="526"/>
      <c r="G1700" s="527"/>
      <c r="H1700" s="527"/>
      <c r="I1700" s="527"/>
      <c r="J1700" s="527"/>
      <c r="K1700" s="527"/>
      <c r="L1700" s="527"/>
      <c r="M1700" s="527"/>
    </row>
    <row r="1701" ht="15.75" customHeight="1">
      <c r="A1701" s="523"/>
      <c r="B1701" s="509"/>
      <c r="C1701" s="509"/>
      <c r="D1701" s="522"/>
      <c r="E1701" s="526"/>
      <c r="F1701" s="526"/>
      <c r="G1701" s="527"/>
      <c r="H1701" s="527"/>
      <c r="I1701" s="527"/>
      <c r="J1701" s="527"/>
      <c r="K1701" s="527"/>
      <c r="L1701" s="527"/>
      <c r="M1701" s="527"/>
    </row>
    <row r="1702" ht="15.75" customHeight="1">
      <c r="A1702" s="523"/>
      <c r="B1702" s="509"/>
      <c r="C1702" s="509"/>
      <c r="D1702" s="522"/>
      <c r="E1702" s="526"/>
      <c r="F1702" s="526"/>
      <c r="G1702" s="527"/>
      <c r="H1702" s="527"/>
      <c r="I1702" s="527"/>
      <c r="J1702" s="527"/>
      <c r="K1702" s="527"/>
      <c r="L1702" s="527"/>
      <c r="M1702" s="527"/>
    </row>
    <row r="1703" ht="15.75" customHeight="1">
      <c r="A1703" s="523"/>
      <c r="B1703" s="509"/>
      <c r="C1703" s="509"/>
      <c r="D1703" s="522"/>
      <c r="E1703" s="526"/>
      <c r="F1703" s="526"/>
      <c r="G1703" s="527"/>
      <c r="H1703" s="527"/>
      <c r="I1703" s="527"/>
      <c r="J1703" s="527"/>
      <c r="K1703" s="527"/>
      <c r="L1703" s="527"/>
      <c r="M1703" s="527"/>
    </row>
    <row r="1704" ht="15.75" customHeight="1">
      <c r="A1704" s="523"/>
      <c r="B1704" s="509"/>
      <c r="C1704" s="509"/>
      <c r="D1704" s="522"/>
      <c r="E1704" s="526"/>
      <c r="F1704" s="526"/>
      <c r="G1704" s="527"/>
      <c r="H1704" s="527"/>
      <c r="I1704" s="527"/>
      <c r="J1704" s="527"/>
      <c r="K1704" s="527"/>
      <c r="L1704" s="527"/>
      <c r="M1704" s="527"/>
    </row>
    <row r="1705" ht="15.75" customHeight="1">
      <c r="A1705" s="523"/>
      <c r="B1705" s="509"/>
      <c r="C1705" s="509"/>
      <c r="D1705" s="522"/>
      <c r="E1705" s="526"/>
      <c r="F1705" s="526"/>
      <c r="G1705" s="527"/>
      <c r="H1705" s="527"/>
      <c r="I1705" s="527"/>
      <c r="J1705" s="527"/>
      <c r="K1705" s="527"/>
      <c r="L1705" s="527"/>
      <c r="M1705" s="527"/>
    </row>
    <row r="1706" ht="15.75" customHeight="1">
      <c r="A1706" s="523"/>
      <c r="B1706" s="509"/>
      <c r="C1706" s="509"/>
      <c r="D1706" s="522"/>
      <c r="E1706" s="526"/>
      <c r="F1706" s="526"/>
      <c r="G1706" s="527"/>
      <c r="H1706" s="527"/>
      <c r="I1706" s="527"/>
      <c r="J1706" s="527"/>
      <c r="K1706" s="527"/>
      <c r="L1706" s="527"/>
      <c r="M1706" s="527"/>
    </row>
    <row r="1707" ht="15.75" customHeight="1">
      <c r="A1707" s="523"/>
      <c r="B1707" s="509"/>
      <c r="C1707" s="509"/>
      <c r="D1707" s="522"/>
      <c r="E1707" s="526"/>
      <c r="F1707" s="526"/>
      <c r="G1707" s="527"/>
      <c r="H1707" s="527"/>
      <c r="I1707" s="527"/>
      <c r="J1707" s="527"/>
      <c r="K1707" s="527"/>
      <c r="L1707" s="527"/>
      <c r="M1707" s="527"/>
    </row>
    <row r="1708" ht="15.75" customHeight="1">
      <c r="A1708" s="523"/>
      <c r="B1708" s="509"/>
      <c r="C1708" s="509"/>
      <c r="D1708" s="522"/>
      <c r="E1708" s="526"/>
      <c r="F1708" s="526"/>
      <c r="G1708" s="527"/>
      <c r="H1708" s="527"/>
      <c r="I1708" s="527"/>
      <c r="J1708" s="527"/>
      <c r="K1708" s="527"/>
      <c r="L1708" s="527"/>
      <c r="M1708" s="527"/>
    </row>
    <row r="1709" ht="15.75" customHeight="1">
      <c r="A1709" s="523"/>
      <c r="B1709" s="509"/>
      <c r="C1709" s="509"/>
      <c r="D1709" s="522"/>
      <c r="E1709" s="526"/>
      <c r="F1709" s="526"/>
      <c r="G1709" s="527"/>
      <c r="H1709" s="527"/>
      <c r="I1709" s="527"/>
      <c r="J1709" s="527"/>
      <c r="K1709" s="527"/>
      <c r="L1709" s="527"/>
      <c r="M1709" s="527"/>
    </row>
    <row r="1710" ht="15.75" customHeight="1">
      <c r="A1710" s="523"/>
      <c r="B1710" s="509"/>
      <c r="C1710" s="509"/>
      <c r="D1710" s="522"/>
      <c r="E1710" s="526"/>
      <c r="F1710" s="526"/>
      <c r="G1710" s="527"/>
      <c r="H1710" s="527"/>
      <c r="I1710" s="527"/>
      <c r="J1710" s="527"/>
      <c r="K1710" s="527"/>
      <c r="L1710" s="527"/>
      <c r="M1710" s="527"/>
    </row>
    <row r="1711" ht="15.75" customHeight="1">
      <c r="A1711" s="523"/>
      <c r="B1711" s="509"/>
      <c r="C1711" s="509"/>
      <c r="D1711" s="522"/>
      <c r="E1711" s="526"/>
      <c r="F1711" s="526"/>
      <c r="G1711" s="527"/>
      <c r="H1711" s="527"/>
      <c r="I1711" s="527"/>
      <c r="J1711" s="527"/>
      <c r="K1711" s="527"/>
      <c r="L1711" s="527"/>
      <c r="M1711" s="527"/>
    </row>
    <row r="1712" ht="15.75" customHeight="1">
      <c r="A1712" s="523"/>
      <c r="B1712" s="509"/>
      <c r="C1712" s="509"/>
      <c r="D1712" s="522"/>
      <c r="E1712" s="526"/>
      <c r="F1712" s="526"/>
      <c r="G1712" s="527"/>
      <c r="H1712" s="527"/>
      <c r="I1712" s="527"/>
      <c r="J1712" s="527"/>
      <c r="K1712" s="527"/>
      <c r="L1712" s="527"/>
      <c r="M1712" s="527"/>
    </row>
    <row r="1713" ht="15.75" customHeight="1">
      <c r="A1713" s="523"/>
      <c r="B1713" s="509"/>
      <c r="C1713" s="509"/>
      <c r="D1713" s="522"/>
      <c r="E1713" s="526"/>
      <c r="F1713" s="526"/>
      <c r="G1713" s="527"/>
      <c r="H1713" s="527"/>
      <c r="I1713" s="527"/>
      <c r="J1713" s="527"/>
      <c r="K1713" s="527"/>
      <c r="L1713" s="527"/>
      <c r="M1713" s="527"/>
    </row>
    <row r="1714" ht="15.75" customHeight="1">
      <c r="A1714" s="523"/>
      <c r="B1714" s="509"/>
      <c r="C1714" s="509"/>
      <c r="D1714" s="522"/>
      <c r="E1714" s="526"/>
      <c r="F1714" s="526"/>
      <c r="G1714" s="527"/>
      <c r="H1714" s="527"/>
      <c r="I1714" s="527"/>
      <c r="J1714" s="527"/>
      <c r="K1714" s="527"/>
      <c r="L1714" s="527"/>
      <c r="M1714" s="527"/>
    </row>
    <row r="1715" ht="15.75" customHeight="1">
      <c r="A1715" s="523"/>
      <c r="B1715" s="509"/>
      <c r="C1715" s="509"/>
      <c r="D1715" s="522"/>
      <c r="E1715" s="526"/>
      <c r="F1715" s="526"/>
      <c r="G1715" s="527"/>
      <c r="H1715" s="527"/>
      <c r="I1715" s="527"/>
      <c r="J1715" s="527"/>
      <c r="K1715" s="527"/>
      <c r="L1715" s="527"/>
      <c r="M1715" s="527"/>
    </row>
    <row r="1716" ht="15.75" customHeight="1">
      <c r="A1716" s="523"/>
      <c r="B1716" s="509"/>
      <c r="C1716" s="509"/>
      <c r="D1716" s="522"/>
      <c r="E1716" s="526"/>
      <c r="F1716" s="526"/>
      <c r="G1716" s="527"/>
      <c r="H1716" s="527"/>
      <c r="I1716" s="527"/>
      <c r="J1716" s="527"/>
      <c r="K1716" s="527"/>
      <c r="L1716" s="527"/>
      <c r="M1716" s="527"/>
    </row>
    <row r="1717" ht="15.75" customHeight="1">
      <c r="A1717" s="523"/>
      <c r="B1717" s="509"/>
      <c r="C1717" s="509"/>
      <c r="D1717" s="522"/>
      <c r="E1717" s="526"/>
      <c r="F1717" s="526"/>
      <c r="G1717" s="527"/>
      <c r="H1717" s="527"/>
      <c r="I1717" s="527"/>
      <c r="J1717" s="527"/>
      <c r="K1717" s="527"/>
      <c r="L1717" s="527"/>
      <c r="M1717" s="527"/>
    </row>
    <row r="1718" ht="15.75" customHeight="1">
      <c r="A1718" s="523"/>
      <c r="B1718" s="509"/>
      <c r="C1718" s="509"/>
      <c r="D1718" s="522"/>
      <c r="E1718" s="526"/>
      <c r="F1718" s="526"/>
      <c r="G1718" s="527"/>
      <c r="H1718" s="527"/>
      <c r="I1718" s="527"/>
      <c r="J1718" s="527"/>
      <c r="K1718" s="527"/>
      <c r="L1718" s="527"/>
      <c r="M1718" s="527"/>
    </row>
    <row r="1719" ht="15.75" customHeight="1">
      <c r="A1719" s="523"/>
      <c r="B1719" s="509"/>
      <c r="C1719" s="509"/>
      <c r="D1719" s="522"/>
      <c r="E1719" s="526"/>
      <c r="F1719" s="526"/>
      <c r="G1719" s="527"/>
      <c r="H1719" s="527"/>
      <c r="I1719" s="527"/>
      <c r="J1719" s="527"/>
      <c r="K1719" s="527"/>
      <c r="L1719" s="527"/>
      <c r="M1719" s="527"/>
    </row>
    <row r="1720" ht="15.75" customHeight="1">
      <c r="A1720" s="523"/>
      <c r="B1720" s="509"/>
      <c r="C1720" s="509"/>
      <c r="D1720" s="522"/>
      <c r="E1720" s="526"/>
      <c r="F1720" s="526"/>
      <c r="G1720" s="527"/>
      <c r="H1720" s="527"/>
      <c r="I1720" s="527"/>
      <c r="J1720" s="527"/>
      <c r="K1720" s="527"/>
      <c r="L1720" s="527"/>
      <c r="M1720" s="527"/>
    </row>
    <row r="1721" ht="15.75" customHeight="1">
      <c r="A1721" s="523"/>
      <c r="B1721" s="509"/>
      <c r="C1721" s="509"/>
      <c r="D1721" s="522"/>
      <c r="E1721" s="526"/>
      <c r="F1721" s="526"/>
      <c r="G1721" s="527"/>
      <c r="H1721" s="527"/>
      <c r="I1721" s="527"/>
      <c r="J1721" s="527"/>
      <c r="K1721" s="527"/>
      <c r="L1721" s="527"/>
      <c r="M1721" s="527"/>
    </row>
    <row r="1722" ht="15.75" customHeight="1">
      <c r="A1722" s="523"/>
      <c r="B1722" s="509"/>
      <c r="C1722" s="509"/>
      <c r="D1722" s="522"/>
      <c r="E1722" s="526"/>
      <c r="F1722" s="526"/>
      <c r="G1722" s="527"/>
      <c r="H1722" s="527"/>
      <c r="I1722" s="527"/>
      <c r="J1722" s="527"/>
      <c r="K1722" s="527"/>
      <c r="L1722" s="527"/>
      <c r="M1722" s="527"/>
    </row>
    <row r="1723" ht="15.75" customHeight="1">
      <c r="A1723" s="523"/>
      <c r="B1723" s="509"/>
      <c r="C1723" s="509"/>
      <c r="D1723" s="522"/>
      <c r="E1723" s="526"/>
      <c r="F1723" s="526"/>
      <c r="G1723" s="527"/>
      <c r="H1723" s="527"/>
      <c r="I1723" s="527"/>
      <c r="J1723" s="527"/>
      <c r="K1723" s="527"/>
      <c r="L1723" s="527"/>
      <c r="M1723" s="527"/>
    </row>
    <row r="1724" ht="15.75" customHeight="1">
      <c r="A1724" s="523"/>
      <c r="B1724" s="509"/>
      <c r="C1724" s="509"/>
      <c r="D1724" s="522"/>
      <c r="E1724" s="526"/>
      <c r="F1724" s="526"/>
      <c r="G1724" s="527"/>
      <c r="H1724" s="527"/>
      <c r="I1724" s="527"/>
      <c r="J1724" s="527"/>
      <c r="K1724" s="527"/>
      <c r="L1724" s="527"/>
      <c r="M1724" s="527"/>
    </row>
    <row r="1725" ht="15.75" customHeight="1">
      <c r="A1725" s="523"/>
      <c r="B1725" s="509"/>
      <c r="C1725" s="509"/>
      <c r="D1725" s="522"/>
      <c r="E1725" s="526"/>
      <c r="F1725" s="526"/>
      <c r="G1725" s="527"/>
      <c r="H1725" s="527"/>
      <c r="I1725" s="527"/>
      <c r="J1725" s="527"/>
      <c r="K1725" s="527"/>
      <c r="L1725" s="527"/>
      <c r="M1725" s="527"/>
    </row>
    <row r="1726" ht="15.75" customHeight="1">
      <c r="A1726" s="523"/>
      <c r="B1726" s="509"/>
      <c r="C1726" s="509"/>
      <c r="D1726" s="522"/>
      <c r="E1726" s="526"/>
      <c r="F1726" s="526"/>
      <c r="G1726" s="527"/>
      <c r="H1726" s="527"/>
      <c r="I1726" s="527"/>
      <c r="J1726" s="527"/>
      <c r="K1726" s="527"/>
      <c r="L1726" s="527"/>
      <c r="M1726" s="527"/>
    </row>
    <row r="1727" ht="15.75" customHeight="1">
      <c r="A1727" s="523"/>
      <c r="B1727" s="509"/>
      <c r="C1727" s="509"/>
      <c r="D1727" s="522"/>
      <c r="E1727" s="526"/>
      <c r="F1727" s="526"/>
      <c r="G1727" s="527"/>
      <c r="H1727" s="527"/>
      <c r="I1727" s="527"/>
      <c r="J1727" s="527"/>
      <c r="K1727" s="527"/>
      <c r="L1727" s="527"/>
      <c r="M1727" s="527"/>
    </row>
    <row r="1728" ht="15.75" customHeight="1">
      <c r="A1728" s="523"/>
      <c r="B1728" s="509"/>
      <c r="C1728" s="509"/>
      <c r="D1728" s="522"/>
      <c r="E1728" s="526"/>
      <c r="F1728" s="526"/>
      <c r="G1728" s="527"/>
      <c r="H1728" s="527"/>
      <c r="I1728" s="527"/>
      <c r="J1728" s="527"/>
      <c r="K1728" s="527"/>
      <c r="L1728" s="527"/>
      <c r="M1728" s="527"/>
    </row>
    <row r="1729" ht="15.75" customHeight="1">
      <c r="A1729" s="523"/>
      <c r="B1729" s="509"/>
      <c r="C1729" s="509"/>
      <c r="D1729" s="522"/>
      <c r="E1729" s="526"/>
      <c r="F1729" s="526"/>
      <c r="G1729" s="527"/>
      <c r="H1729" s="527"/>
      <c r="I1729" s="527"/>
      <c r="J1729" s="527"/>
      <c r="K1729" s="527"/>
      <c r="L1729" s="527"/>
      <c r="M1729" s="527"/>
    </row>
    <row r="1730" ht="15.75" customHeight="1">
      <c r="A1730" s="523"/>
      <c r="B1730" s="509"/>
      <c r="C1730" s="509"/>
      <c r="D1730" s="522"/>
      <c r="E1730" s="526"/>
      <c r="F1730" s="526"/>
      <c r="G1730" s="527"/>
      <c r="H1730" s="527"/>
      <c r="I1730" s="527"/>
      <c r="J1730" s="527"/>
      <c r="K1730" s="527"/>
      <c r="L1730" s="527"/>
      <c r="M1730" s="527"/>
    </row>
    <row r="1731" ht="15.75" customHeight="1">
      <c r="A1731" s="523"/>
      <c r="B1731" s="509"/>
      <c r="C1731" s="509"/>
      <c r="D1731" s="522"/>
      <c r="E1731" s="526"/>
      <c r="F1731" s="526"/>
      <c r="G1731" s="527"/>
      <c r="H1731" s="527"/>
      <c r="I1731" s="527"/>
      <c r="J1731" s="527"/>
      <c r="K1731" s="527"/>
      <c r="L1731" s="527"/>
      <c r="M1731" s="527"/>
    </row>
    <row r="1732" ht="15.75" customHeight="1">
      <c r="A1732" s="523"/>
      <c r="B1732" s="509"/>
      <c r="C1732" s="509"/>
      <c r="D1732" s="522"/>
      <c r="E1732" s="526"/>
      <c r="F1732" s="526"/>
      <c r="G1732" s="527"/>
      <c r="H1732" s="527"/>
      <c r="I1732" s="527"/>
      <c r="J1732" s="527"/>
      <c r="K1732" s="527"/>
      <c r="L1732" s="527"/>
      <c r="M1732" s="527"/>
    </row>
    <row r="1733" ht="15.75" customHeight="1">
      <c r="A1733" s="523"/>
      <c r="B1733" s="509"/>
      <c r="C1733" s="509"/>
      <c r="D1733" s="522"/>
      <c r="E1733" s="526"/>
      <c r="F1733" s="526"/>
      <c r="G1733" s="527"/>
      <c r="H1733" s="527"/>
      <c r="I1733" s="527"/>
      <c r="J1733" s="527"/>
      <c r="K1733" s="527"/>
      <c r="L1733" s="527"/>
      <c r="M1733" s="527"/>
    </row>
    <row r="1734" ht="15.75" customHeight="1">
      <c r="A1734" s="523"/>
      <c r="B1734" s="509"/>
      <c r="C1734" s="509"/>
      <c r="D1734" s="522"/>
      <c r="E1734" s="526"/>
      <c r="F1734" s="526"/>
      <c r="G1734" s="527"/>
      <c r="H1734" s="527"/>
      <c r="I1734" s="527"/>
      <c r="J1734" s="527"/>
      <c r="K1734" s="527"/>
      <c r="L1734" s="527"/>
      <c r="M1734" s="527"/>
    </row>
    <row r="1735" ht="15.75" customHeight="1">
      <c r="A1735" s="523"/>
      <c r="B1735" s="509"/>
      <c r="C1735" s="509"/>
      <c r="D1735" s="522"/>
      <c r="E1735" s="526"/>
      <c r="F1735" s="526"/>
      <c r="G1735" s="527"/>
      <c r="H1735" s="527"/>
      <c r="I1735" s="527"/>
      <c r="J1735" s="527"/>
      <c r="K1735" s="527"/>
      <c r="L1735" s="527"/>
      <c r="M1735" s="527"/>
    </row>
    <row r="1736" ht="15.75" customHeight="1">
      <c r="A1736" s="523"/>
      <c r="B1736" s="509"/>
      <c r="C1736" s="509"/>
      <c r="D1736" s="522"/>
      <c r="E1736" s="526"/>
      <c r="F1736" s="526"/>
      <c r="G1736" s="527"/>
      <c r="H1736" s="527"/>
      <c r="I1736" s="527"/>
      <c r="J1736" s="527"/>
      <c r="K1736" s="527"/>
      <c r="L1736" s="527"/>
      <c r="M1736" s="527"/>
    </row>
    <row r="1737" ht="15.75" customHeight="1">
      <c r="A1737" s="523"/>
      <c r="B1737" s="509"/>
      <c r="C1737" s="509"/>
      <c r="D1737" s="522"/>
      <c r="E1737" s="526"/>
      <c r="F1737" s="526"/>
      <c r="G1737" s="527"/>
      <c r="H1737" s="527"/>
      <c r="I1737" s="527"/>
      <c r="J1737" s="527"/>
      <c r="K1737" s="527"/>
      <c r="L1737" s="527"/>
      <c r="M1737" s="527"/>
    </row>
    <row r="1738" ht="15.75" customHeight="1">
      <c r="A1738" s="523"/>
      <c r="B1738" s="509"/>
      <c r="C1738" s="509"/>
      <c r="D1738" s="522"/>
      <c r="E1738" s="526"/>
      <c r="F1738" s="526"/>
      <c r="G1738" s="527"/>
      <c r="H1738" s="527"/>
      <c r="I1738" s="527"/>
      <c r="J1738" s="527"/>
      <c r="K1738" s="527"/>
      <c r="L1738" s="527"/>
      <c r="M1738" s="527"/>
    </row>
    <row r="1739" ht="15.75" customHeight="1">
      <c r="A1739" s="523"/>
      <c r="B1739" s="509"/>
      <c r="C1739" s="509"/>
      <c r="D1739" s="522"/>
      <c r="E1739" s="526"/>
      <c r="F1739" s="526"/>
      <c r="G1739" s="527"/>
      <c r="H1739" s="527"/>
      <c r="I1739" s="527"/>
      <c r="J1739" s="527"/>
      <c r="K1739" s="527"/>
      <c r="L1739" s="527"/>
      <c r="M1739" s="527"/>
    </row>
    <row r="1740" ht="15.75" customHeight="1">
      <c r="A1740" s="523"/>
      <c r="B1740" s="509"/>
      <c r="C1740" s="509"/>
      <c r="D1740" s="522"/>
      <c r="E1740" s="526"/>
      <c r="F1740" s="526"/>
      <c r="G1740" s="527"/>
      <c r="H1740" s="527"/>
      <c r="I1740" s="527"/>
      <c r="J1740" s="527"/>
      <c r="K1740" s="527"/>
      <c r="L1740" s="527"/>
      <c r="M1740" s="527"/>
    </row>
    <row r="1741" ht="15.75" customHeight="1">
      <c r="A1741" s="523"/>
      <c r="B1741" s="509"/>
      <c r="C1741" s="509"/>
      <c r="D1741" s="522"/>
      <c r="E1741" s="526"/>
      <c r="F1741" s="526"/>
      <c r="G1741" s="527"/>
      <c r="H1741" s="527"/>
      <c r="I1741" s="527"/>
      <c r="J1741" s="527"/>
      <c r="K1741" s="527"/>
      <c r="L1741" s="527"/>
      <c r="M1741" s="527"/>
    </row>
    <row r="1742" ht="15.75" customHeight="1">
      <c r="A1742" s="523"/>
      <c r="B1742" s="509"/>
      <c r="C1742" s="509"/>
      <c r="D1742" s="522"/>
      <c r="E1742" s="526"/>
      <c r="F1742" s="526"/>
      <c r="G1742" s="527"/>
      <c r="H1742" s="527"/>
      <c r="I1742" s="527"/>
      <c r="J1742" s="527"/>
      <c r="K1742" s="527"/>
      <c r="L1742" s="527"/>
      <c r="M1742" s="527"/>
    </row>
    <row r="1743" ht="15.75" customHeight="1">
      <c r="A1743" s="523"/>
      <c r="B1743" s="509"/>
      <c r="C1743" s="509"/>
      <c r="D1743" s="522"/>
      <c r="E1743" s="526"/>
      <c r="F1743" s="526"/>
      <c r="G1743" s="527"/>
      <c r="H1743" s="527"/>
      <c r="I1743" s="527"/>
      <c r="J1743" s="527"/>
      <c r="K1743" s="527"/>
      <c r="L1743" s="527"/>
      <c r="M1743" s="527"/>
    </row>
    <row r="1744" ht="15.75" customHeight="1">
      <c r="A1744" s="523"/>
      <c r="B1744" s="509"/>
      <c r="C1744" s="509"/>
      <c r="D1744" s="522"/>
      <c r="E1744" s="526"/>
      <c r="F1744" s="526"/>
      <c r="G1744" s="527"/>
      <c r="H1744" s="527"/>
      <c r="I1744" s="527"/>
      <c r="J1744" s="527"/>
      <c r="K1744" s="527"/>
      <c r="L1744" s="527"/>
      <c r="M1744" s="527"/>
    </row>
    <row r="1745" ht="15.75" customHeight="1">
      <c r="A1745" s="523"/>
      <c r="B1745" s="509"/>
      <c r="C1745" s="509"/>
      <c r="D1745" s="522"/>
      <c r="E1745" s="526"/>
      <c r="F1745" s="526"/>
      <c r="G1745" s="527"/>
      <c r="H1745" s="527"/>
      <c r="I1745" s="527"/>
      <c r="J1745" s="527"/>
      <c r="K1745" s="527"/>
      <c r="L1745" s="527"/>
      <c r="M1745" s="527"/>
    </row>
    <row r="1746" ht="15.75" customHeight="1">
      <c r="A1746" s="523"/>
      <c r="B1746" s="509"/>
      <c r="C1746" s="509"/>
      <c r="D1746" s="522"/>
      <c r="E1746" s="526"/>
      <c r="F1746" s="526"/>
      <c r="G1746" s="527"/>
      <c r="H1746" s="527"/>
      <c r="I1746" s="527"/>
      <c r="J1746" s="527"/>
      <c r="K1746" s="527"/>
      <c r="L1746" s="527"/>
      <c r="M1746" s="527"/>
    </row>
    <row r="1747" ht="15.75" customHeight="1">
      <c r="A1747" s="523"/>
      <c r="B1747" s="509"/>
      <c r="C1747" s="509"/>
      <c r="D1747" s="522"/>
      <c r="E1747" s="526"/>
      <c r="F1747" s="526"/>
      <c r="G1747" s="527"/>
      <c r="H1747" s="527"/>
      <c r="I1747" s="527"/>
      <c r="J1747" s="527"/>
      <c r="K1747" s="527"/>
      <c r="L1747" s="527"/>
      <c r="M1747" s="527"/>
    </row>
    <row r="1748" ht="15.75" customHeight="1">
      <c r="A1748" s="523"/>
      <c r="B1748" s="509"/>
      <c r="C1748" s="509"/>
      <c r="D1748" s="522"/>
      <c r="E1748" s="526"/>
      <c r="F1748" s="526"/>
      <c r="G1748" s="527"/>
      <c r="H1748" s="527"/>
      <c r="I1748" s="527"/>
      <c r="J1748" s="527"/>
      <c r="K1748" s="527"/>
      <c r="L1748" s="527"/>
      <c r="M1748" s="527"/>
    </row>
    <row r="1749" ht="15.75" customHeight="1">
      <c r="A1749" s="523"/>
      <c r="B1749" s="509"/>
      <c r="C1749" s="509"/>
      <c r="D1749" s="522"/>
      <c r="E1749" s="526"/>
      <c r="F1749" s="526"/>
      <c r="G1749" s="527"/>
      <c r="H1749" s="527"/>
      <c r="I1749" s="527"/>
      <c r="J1749" s="527"/>
      <c r="K1749" s="527"/>
      <c r="L1749" s="527"/>
      <c r="M1749" s="527"/>
    </row>
    <row r="1750" ht="15.75" customHeight="1">
      <c r="A1750" s="523"/>
      <c r="B1750" s="509"/>
      <c r="C1750" s="509"/>
      <c r="D1750" s="522"/>
      <c r="E1750" s="526"/>
      <c r="F1750" s="526"/>
      <c r="G1750" s="527"/>
      <c r="H1750" s="527"/>
      <c r="I1750" s="527"/>
      <c r="J1750" s="527"/>
      <c r="K1750" s="527"/>
      <c r="L1750" s="527"/>
      <c r="M1750" s="527"/>
    </row>
    <row r="1751" ht="15.75" customHeight="1">
      <c r="A1751" s="523"/>
      <c r="B1751" s="509"/>
      <c r="C1751" s="509"/>
      <c r="D1751" s="522"/>
      <c r="E1751" s="526"/>
      <c r="F1751" s="526"/>
      <c r="G1751" s="527"/>
      <c r="H1751" s="527"/>
      <c r="I1751" s="527"/>
      <c r="J1751" s="527"/>
      <c r="K1751" s="527"/>
      <c r="L1751" s="527"/>
      <c r="M1751" s="527"/>
    </row>
    <row r="1752" ht="15.75" customHeight="1">
      <c r="A1752" s="523"/>
      <c r="B1752" s="509"/>
      <c r="C1752" s="509"/>
      <c r="D1752" s="522"/>
      <c r="E1752" s="526"/>
      <c r="F1752" s="526"/>
      <c r="G1752" s="527"/>
      <c r="H1752" s="527"/>
      <c r="I1752" s="527"/>
      <c r="J1752" s="527"/>
      <c r="K1752" s="527"/>
      <c r="L1752" s="527"/>
      <c r="M1752" s="527"/>
    </row>
    <row r="1753" ht="15.75" customHeight="1">
      <c r="A1753" s="523"/>
      <c r="B1753" s="509"/>
      <c r="C1753" s="509"/>
      <c r="D1753" s="522"/>
      <c r="E1753" s="526"/>
      <c r="F1753" s="526"/>
      <c r="G1753" s="527"/>
      <c r="H1753" s="527"/>
      <c r="I1753" s="527"/>
      <c r="J1753" s="527"/>
      <c r="K1753" s="527"/>
      <c r="L1753" s="527"/>
      <c r="M1753" s="527"/>
    </row>
    <row r="1754" ht="15.75" customHeight="1">
      <c r="A1754" s="523"/>
      <c r="B1754" s="509"/>
      <c r="C1754" s="509"/>
      <c r="D1754" s="522"/>
      <c r="E1754" s="526"/>
      <c r="F1754" s="526"/>
      <c r="G1754" s="527"/>
      <c r="H1754" s="527"/>
      <c r="I1754" s="527"/>
      <c r="J1754" s="527"/>
      <c r="K1754" s="527"/>
      <c r="L1754" s="527"/>
      <c r="M1754" s="527"/>
    </row>
    <row r="1755" ht="15.75" customHeight="1">
      <c r="A1755" s="523"/>
      <c r="B1755" s="509"/>
      <c r="C1755" s="509"/>
      <c r="D1755" s="522"/>
      <c r="E1755" s="526"/>
      <c r="F1755" s="526"/>
      <c r="G1755" s="527"/>
      <c r="H1755" s="527"/>
      <c r="I1755" s="527"/>
      <c r="J1755" s="527"/>
      <c r="K1755" s="527"/>
      <c r="L1755" s="527"/>
      <c r="M1755" s="527"/>
    </row>
    <row r="1756" ht="15.75" customHeight="1">
      <c r="A1756" s="523"/>
      <c r="B1756" s="509"/>
      <c r="C1756" s="509"/>
      <c r="D1756" s="522"/>
      <c r="E1756" s="526"/>
      <c r="F1756" s="526"/>
      <c r="G1756" s="527"/>
      <c r="H1756" s="527"/>
      <c r="I1756" s="527"/>
      <c r="J1756" s="527"/>
      <c r="K1756" s="527"/>
      <c r="L1756" s="527"/>
      <c r="M1756" s="527"/>
    </row>
    <row r="1757" ht="15.75" customHeight="1">
      <c r="A1757" s="523"/>
      <c r="B1757" s="509"/>
      <c r="C1757" s="509"/>
      <c r="D1757" s="522"/>
      <c r="E1757" s="526"/>
      <c r="F1757" s="526"/>
      <c r="G1757" s="527"/>
      <c r="H1757" s="527"/>
      <c r="I1757" s="527"/>
      <c r="J1757" s="527"/>
      <c r="K1757" s="527"/>
      <c r="L1757" s="527"/>
      <c r="M1757" s="527"/>
    </row>
    <row r="1758" ht="15.75" customHeight="1">
      <c r="A1758" s="523"/>
      <c r="B1758" s="509"/>
      <c r="C1758" s="509"/>
      <c r="D1758" s="522"/>
      <c r="E1758" s="526"/>
      <c r="F1758" s="526"/>
      <c r="G1758" s="527"/>
      <c r="H1758" s="527"/>
      <c r="I1758" s="527"/>
      <c r="J1758" s="527"/>
      <c r="K1758" s="527"/>
      <c r="L1758" s="527"/>
      <c r="M1758" s="527"/>
    </row>
    <row r="1759" ht="15.75" customHeight="1">
      <c r="A1759" s="523"/>
      <c r="B1759" s="509"/>
      <c r="C1759" s="509"/>
      <c r="D1759" s="522"/>
      <c r="E1759" s="526"/>
      <c r="F1759" s="526"/>
      <c r="G1759" s="527"/>
      <c r="H1759" s="527"/>
      <c r="I1759" s="527"/>
      <c r="J1759" s="527"/>
      <c r="K1759" s="527"/>
      <c r="L1759" s="527"/>
      <c r="M1759" s="527"/>
    </row>
    <row r="1760" ht="15.75" customHeight="1">
      <c r="A1760" s="523"/>
      <c r="B1760" s="509"/>
      <c r="C1760" s="509"/>
      <c r="D1760" s="522"/>
      <c r="E1760" s="526"/>
      <c r="F1760" s="526"/>
      <c r="G1760" s="527"/>
      <c r="H1760" s="527"/>
      <c r="I1760" s="527"/>
      <c r="J1760" s="527"/>
      <c r="K1760" s="527"/>
      <c r="L1760" s="527"/>
      <c r="M1760" s="527"/>
    </row>
    <row r="1761" ht="15.75" customHeight="1">
      <c r="A1761" s="523"/>
      <c r="B1761" s="509"/>
      <c r="C1761" s="509"/>
      <c r="D1761" s="522"/>
      <c r="E1761" s="526"/>
      <c r="F1761" s="526"/>
      <c r="G1761" s="527"/>
      <c r="H1761" s="527"/>
      <c r="I1761" s="527"/>
      <c r="J1761" s="527"/>
      <c r="K1761" s="527"/>
      <c r="L1761" s="527"/>
      <c r="M1761" s="527"/>
    </row>
    <row r="1762" ht="15.75" customHeight="1">
      <c r="A1762" s="523"/>
      <c r="B1762" s="509"/>
      <c r="C1762" s="509"/>
      <c r="D1762" s="522"/>
      <c r="E1762" s="526"/>
      <c r="F1762" s="526"/>
      <c r="G1762" s="527"/>
      <c r="H1762" s="527"/>
      <c r="I1762" s="527"/>
      <c r="J1762" s="527"/>
      <c r="K1762" s="527"/>
      <c r="L1762" s="527"/>
      <c r="M1762" s="527"/>
    </row>
    <row r="1763" ht="15.75" customHeight="1">
      <c r="A1763" s="523"/>
      <c r="B1763" s="509"/>
      <c r="C1763" s="509"/>
      <c r="D1763" s="522"/>
      <c r="E1763" s="526"/>
      <c r="F1763" s="526"/>
      <c r="G1763" s="527"/>
      <c r="H1763" s="527"/>
      <c r="I1763" s="527"/>
      <c r="J1763" s="527"/>
      <c r="K1763" s="527"/>
      <c r="L1763" s="527"/>
      <c r="M1763" s="527"/>
    </row>
    <row r="1764" ht="15.75" customHeight="1">
      <c r="A1764" s="523"/>
      <c r="B1764" s="509"/>
      <c r="C1764" s="509"/>
      <c r="D1764" s="522"/>
      <c r="E1764" s="526"/>
      <c r="F1764" s="526"/>
      <c r="G1764" s="527"/>
      <c r="H1764" s="527"/>
      <c r="I1764" s="527"/>
      <c r="J1764" s="527"/>
      <c r="K1764" s="527"/>
      <c r="L1764" s="527"/>
      <c r="M1764" s="527"/>
    </row>
    <row r="1765" ht="15.75" customHeight="1">
      <c r="A1765" s="523"/>
      <c r="B1765" s="509"/>
      <c r="C1765" s="509"/>
      <c r="D1765" s="522"/>
      <c r="E1765" s="526"/>
      <c r="F1765" s="526"/>
      <c r="G1765" s="527"/>
      <c r="H1765" s="527"/>
      <c r="I1765" s="527"/>
      <c r="J1765" s="527"/>
      <c r="K1765" s="527"/>
      <c r="L1765" s="527"/>
      <c r="M1765" s="527"/>
    </row>
    <row r="1766" ht="15.75" customHeight="1">
      <c r="A1766" s="523"/>
      <c r="B1766" s="509"/>
      <c r="C1766" s="509"/>
      <c r="D1766" s="522"/>
      <c r="E1766" s="526"/>
      <c r="F1766" s="526"/>
      <c r="G1766" s="527"/>
      <c r="H1766" s="527"/>
      <c r="I1766" s="527"/>
      <c r="J1766" s="527"/>
      <c r="K1766" s="527"/>
      <c r="L1766" s="527"/>
      <c r="M1766" s="527"/>
    </row>
    <row r="1767" ht="15.75" customHeight="1">
      <c r="A1767" s="523"/>
      <c r="B1767" s="509"/>
      <c r="C1767" s="509"/>
      <c r="D1767" s="522"/>
      <c r="E1767" s="526"/>
      <c r="F1767" s="526"/>
      <c r="G1767" s="527"/>
      <c r="H1767" s="527"/>
      <c r="I1767" s="527"/>
      <c r="J1767" s="527"/>
      <c r="K1767" s="527"/>
      <c r="L1767" s="527"/>
      <c r="M1767" s="527"/>
    </row>
    <row r="1768" ht="15.75" customHeight="1">
      <c r="A1768" s="523"/>
      <c r="B1768" s="509"/>
      <c r="C1768" s="509"/>
      <c r="D1768" s="522"/>
      <c r="E1768" s="526"/>
      <c r="F1768" s="526"/>
      <c r="G1768" s="527"/>
      <c r="H1768" s="527"/>
      <c r="I1768" s="527"/>
      <c r="J1768" s="527"/>
      <c r="K1768" s="527"/>
      <c r="L1768" s="527"/>
      <c r="M1768" s="527"/>
    </row>
    <row r="1769" ht="15.75" customHeight="1">
      <c r="A1769" s="523"/>
      <c r="B1769" s="509"/>
      <c r="C1769" s="509"/>
      <c r="D1769" s="522"/>
      <c r="E1769" s="526"/>
      <c r="F1769" s="526"/>
      <c r="G1769" s="527"/>
      <c r="H1769" s="527"/>
      <c r="I1769" s="527"/>
      <c r="J1769" s="527"/>
      <c r="K1769" s="527"/>
      <c r="L1769" s="527"/>
      <c r="M1769" s="527"/>
    </row>
    <row r="1770" ht="15.75" customHeight="1">
      <c r="A1770" s="523"/>
      <c r="B1770" s="509"/>
      <c r="C1770" s="509"/>
      <c r="D1770" s="522"/>
      <c r="E1770" s="526"/>
      <c r="F1770" s="526"/>
      <c r="G1770" s="527"/>
      <c r="H1770" s="527"/>
      <c r="I1770" s="527"/>
      <c r="J1770" s="527"/>
      <c r="K1770" s="527"/>
      <c r="L1770" s="527"/>
      <c r="M1770" s="527"/>
    </row>
    <row r="1771" ht="15.75" customHeight="1">
      <c r="A1771" s="523"/>
      <c r="B1771" s="509"/>
      <c r="C1771" s="509"/>
      <c r="D1771" s="522"/>
      <c r="E1771" s="526"/>
      <c r="F1771" s="526"/>
      <c r="G1771" s="527"/>
      <c r="H1771" s="527"/>
      <c r="I1771" s="527"/>
      <c r="J1771" s="527"/>
      <c r="K1771" s="527"/>
      <c r="L1771" s="527"/>
      <c r="M1771" s="527"/>
    </row>
    <row r="1772" ht="15.75" customHeight="1">
      <c r="A1772" s="523"/>
      <c r="B1772" s="509"/>
      <c r="C1772" s="509"/>
      <c r="D1772" s="522"/>
      <c r="E1772" s="526"/>
      <c r="F1772" s="526"/>
      <c r="G1772" s="527"/>
      <c r="H1772" s="527"/>
      <c r="I1772" s="527"/>
      <c r="J1772" s="527"/>
      <c r="K1772" s="527"/>
      <c r="L1772" s="527"/>
      <c r="M1772" s="527"/>
    </row>
    <row r="1773" ht="15.75" customHeight="1">
      <c r="A1773" s="523"/>
      <c r="B1773" s="509"/>
      <c r="C1773" s="509"/>
      <c r="D1773" s="522"/>
      <c r="E1773" s="526"/>
      <c r="F1773" s="526"/>
      <c r="G1773" s="527"/>
      <c r="H1773" s="527"/>
      <c r="I1773" s="527"/>
      <c r="J1773" s="527"/>
      <c r="K1773" s="527"/>
      <c r="L1773" s="527"/>
      <c r="M1773" s="527"/>
    </row>
    <row r="1774" ht="15.75" customHeight="1">
      <c r="A1774" s="523"/>
      <c r="B1774" s="509"/>
      <c r="C1774" s="509"/>
      <c r="D1774" s="522"/>
      <c r="E1774" s="526"/>
      <c r="F1774" s="526"/>
      <c r="G1774" s="527"/>
      <c r="H1774" s="527"/>
      <c r="I1774" s="527"/>
      <c r="J1774" s="527"/>
      <c r="K1774" s="527"/>
      <c r="L1774" s="527"/>
      <c r="M1774" s="527"/>
    </row>
    <row r="1775" ht="15.75" customHeight="1">
      <c r="A1775" s="523"/>
      <c r="B1775" s="509"/>
      <c r="C1775" s="509"/>
      <c r="D1775" s="522"/>
      <c r="E1775" s="526"/>
      <c r="F1775" s="526"/>
      <c r="G1775" s="527"/>
      <c r="H1775" s="527"/>
      <c r="I1775" s="527"/>
      <c r="J1775" s="527"/>
      <c r="K1775" s="527"/>
      <c r="L1775" s="527"/>
      <c r="M1775" s="527"/>
    </row>
    <row r="1776" ht="15.75" customHeight="1">
      <c r="A1776" s="523"/>
      <c r="B1776" s="509"/>
      <c r="C1776" s="509"/>
      <c r="D1776" s="522"/>
      <c r="E1776" s="526"/>
      <c r="F1776" s="526"/>
      <c r="G1776" s="527"/>
      <c r="H1776" s="527"/>
      <c r="I1776" s="527"/>
      <c r="J1776" s="527"/>
      <c r="K1776" s="527"/>
      <c r="L1776" s="527"/>
      <c r="M1776" s="527"/>
    </row>
    <row r="1777" ht="15.75" customHeight="1">
      <c r="A1777" s="523"/>
      <c r="B1777" s="509"/>
      <c r="C1777" s="509"/>
      <c r="D1777" s="522"/>
      <c r="E1777" s="526"/>
      <c r="F1777" s="526"/>
      <c r="G1777" s="527"/>
      <c r="H1777" s="527"/>
      <c r="I1777" s="527"/>
      <c r="J1777" s="527"/>
      <c r="K1777" s="527"/>
      <c r="L1777" s="527"/>
      <c r="M1777" s="527"/>
    </row>
    <row r="1778" ht="15.75" customHeight="1">
      <c r="A1778" s="523"/>
      <c r="B1778" s="509"/>
      <c r="C1778" s="509"/>
      <c r="D1778" s="522"/>
      <c r="E1778" s="526"/>
      <c r="F1778" s="526"/>
      <c r="G1778" s="527"/>
      <c r="H1778" s="527"/>
      <c r="I1778" s="527"/>
      <c r="J1778" s="527"/>
      <c r="K1778" s="527"/>
      <c r="L1778" s="527"/>
      <c r="M1778" s="527"/>
    </row>
    <row r="1779" ht="15.75" customHeight="1">
      <c r="A1779" s="523"/>
      <c r="B1779" s="509"/>
      <c r="C1779" s="509"/>
      <c r="D1779" s="522"/>
      <c r="E1779" s="526"/>
      <c r="F1779" s="526"/>
      <c r="G1779" s="527"/>
      <c r="H1779" s="527"/>
      <c r="I1779" s="527"/>
      <c r="J1779" s="527"/>
      <c r="K1779" s="527"/>
      <c r="L1779" s="527"/>
      <c r="M1779" s="527"/>
    </row>
    <row r="1780" ht="15.75" customHeight="1">
      <c r="A1780" s="523"/>
      <c r="B1780" s="509"/>
      <c r="C1780" s="509"/>
      <c r="D1780" s="522"/>
      <c r="E1780" s="526"/>
      <c r="F1780" s="526"/>
      <c r="G1780" s="527"/>
      <c r="H1780" s="527"/>
      <c r="I1780" s="527"/>
      <c r="J1780" s="527"/>
      <c r="K1780" s="527"/>
      <c r="L1780" s="527"/>
      <c r="M1780" s="527"/>
    </row>
    <row r="1781" ht="15.75" customHeight="1">
      <c r="A1781" s="523"/>
      <c r="B1781" s="509"/>
      <c r="C1781" s="509"/>
      <c r="D1781" s="522"/>
      <c r="E1781" s="526"/>
      <c r="F1781" s="526"/>
      <c r="G1781" s="527"/>
      <c r="H1781" s="527"/>
      <c r="I1781" s="527"/>
      <c r="J1781" s="527"/>
      <c r="K1781" s="527"/>
      <c r="L1781" s="527"/>
      <c r="M1781" s="527"/>
    </row>
    <row r="1782" ht="15.75" customHeight="1">
      <c r="A1782" s="523"/>
      <c r="B1782" s="509"/>
      <c r="C1782" s="509"/>
      <c r="D1782" s="522"/>
      <c r="E1782" s="526"/>
      <c r="F1782" s="526"/>
      <c r="G1782" s="527"/>
      <c r="H1782" s="527"/>
      <c r="I1782" s="527"/>
      <c r="J1782" s="527"/>
      <c r="K1782" s="527"/>
      <c r="L1782" s="527"/>
      <c r="M1782" s="527"/>
    </row>
    <row r="1783" ht="15.75" customHeight="1">
      <c r="A1783" s="523"/>
      <c r="B1783" s="509"/>
      <c r="C1783" s="509"/>
      <c r="D1783" s="522"/>
      <c r="E1783" s="526"/>
      <c r="F1783" s="526"/>
      <c r="G1783" s="527"/>
      <c r="H1783" s="527"/>
      <c r="I1783" s="527"/>
      <c r="J1783" s="527"/>
      <c r="K1783" s="527"/>
      <c r="L1783" s="527"/>
      <c r="M1783" s="527"/>
    </row>
    <row r="1784" ht="15.75" customHeight="1">
      <c r="A1784" s="523"/>
      <c r="B1784" s="509"/>
      <c r="C1784" s="509"/>
      <c r="D1784" s="522"/>
      <c r="E1784" s="526"/>
      <c r="F1784" s="526"/>
      <c r="G1784" s="527"/>
      <c r="H1784" s="527"/>
      <c r="I1784" s="527"/>
      <c r="J1784" s="527"/>
      <c r="K1784" s="527"/>
      <c r="L1784" s="527"/>
      <c r="M1784" s="527"/>
    </row>
    <row r="1785" ht="15.75" customHeight="1">
      <c r="A1785" s="523"/>
      <c r="B1785" s="509"/>
      <c r="C1785" s="509"/>
      <c r="D1785" s="522"/>
      <c r="E1785" s="526"/>
      <c r="F1785" s="526"/>
      <c r="G1785" s="527"/>
      <c r="H1785" s="527"/>
      <c r="I1785" s="527"/>
      <c r="J1785" s="527"/>
      <c r="K1785" s="527"/>
      <c r="L1785" s="527"/>
      <c r="M1785" s="527"/>
    </row>
    <row r="1786" ht="15.75" customHeight="1">
      <c r="A1786" s="523"/>
      <c r="B1786" s="509"/>
      <c r="C1786" s="509"/>
      <c r="D1786" s="522"/>
      <c r="E1786" s="526"/>
      <c r="F1786" s="526"/>
      <c r="G1786" s="527"/>
      <c r="H1786" s="527"/>
      <c r="I1786" s="527"/>
      <c r="J1786" s="527"/>
      <c r="K1786" s="527"/>
      <c r="L1786" s="527"/>
      <c r="M1786" s="527"/>
    </row>
    <row r="1787" ht="15.75" customHeight="1">
      <c r="A1787" s="523"/>
      <c r="B1787" s="509"/>
      <c r="C1787" s="509"/>
      <c r="D1787" s="522"/>
      <c r="E1787" s="526"/>
      <c r="F1787" s="526"/>
      <c r="G1787" s="527"/>
      <c r="H1787" s="527"/>
      <c r="I1787" s="527"/>
      <c r="J1787" s="527"/>
      <c r="K1787" s="527"/>
      <c r="L1787" s="527"/>
      <c r="M1787" s="527"/>
    </row>
    <row r="1788" ht="15.75" customHeight="1">
      <c r="A1788" s="523"/>
      <c r="B1788" s="509"/>
      <c r="C1788" s="509"/>
      <c r="D1788" s="522"/>
      <c r="E1788" s="526"/>
      <c r="F1788" s="526"/>
      <c r="G1788" s="527"/>
      <c r="H1788" s="527"/>
      <c r="I1788" s="527"/>
      <c r="J1788" s="527"/>
      <c r="K1788" s="527"/>
      <c r="L1788" s="527"/>
      <c r="M1788" s="527"/>
    </row>
    <row r="1789" ht="15.75" customHeight="1">
      <c r="A1789" s="523"/>
      <c r="B1789" s="509"/>
      <c r="C1789" s="509"/>
      <c r="D1789" s="522"/>
      <c r="E1789" s="526"/>
      <c r="F1789" s="526"/>
      <c r="G1789" s="527"/>
      <c r="H1789" s="527"/>
      <c r="I1789" s="527"/>
      <c r="J1789" s="527"/>
      <c r="K1789" s="527"/>
      <c r="L1789" s="527"/>
      <c r="M1789" s="527"/>
    </row>
    <row r="1790" ht="15.75" customHeight="1">
      <c r="A1790" s="523"/>
      <c r="B1790" s="509"/>
      <c r="C1790" s="509"/>
      <c r="D1790" s="522"/>
      <c r="E1790" s="526"/>
      <c r="F1790" s="526"/>
      <c r="G1790" s="527"/>
      <c r="H1790" s="527"/>
      <c r="I1790" s="527"/>
      <c r="J1790" s="527"/>
      <c r="K1790" s="527"/>
      <c r="L1790" s="527"/>
      <c r="M1790" s="527"/>
    </row>
    <row r="1791" ht="15.75" customHeight="1">
      <c r="A1791" s="523"/>
      <c r="B1791" s="509"/>
      <c r="C1791" s="509"/>
      <c r="D1791" s="522"/>
      <c r="E1791" s="526"/>
      <c r="F1791" s="526"/>
      <c r="G1791" s="527"/>
      <c r="H1791" s="527"/>
      <c r="I1791" s="527"/>
      <c r="J1791" s="527"/>
      <c r="K1791" s="527"/>
      <c r="L1791" s="527"/>
      <c r="M1791" s="527"/>
    </row>
    <row r="1792" ht="15.75" customHeight="1">
      <c r="A1792" s="523"/>
      <c r="B1792" s="509"/>
      <c r="C1792" s="509"/>
      <c r="D1792" s="522"/>
      <c r="E1792" s="526"/>
      <c r="F1792" s="526"/>
      <c r="G1792" s="527"/>
      <c r="H1792" s="527"/>
      <c r="I1792" s="527"/>
      <c r="J1792" s="527"/>
      <c r="K1792" s="527"/>
      <c r="L1792" s="527"/>
      <c r="M1792" s="527"/>
    </row>
    <row r="1793" ht="15.75" customHeight="1">
      <c r="A1793" s="523"/>
      <c r="B1793" s="509"/>
      <c r="C1793" s="509"/>
      <c r="D1793" s="522"/>
      <c r="E1793" s="526"/>
      <c r="F1793" s="526"/>
      <c r="G1793" s="527"/>
      <c r="H1793" s="527"/>
      <c r="I1793" s="527"/>
      <c r="J1793" s="527"/>
      <c r="K1793" s="527"/>
      <c r="L1793" s="527"/>
      <c r="M1793" s="527"/>
    </row>
    <row r="1794" ht="15.75" customHeight="1">
      <c r="A1794" s="523"/>
      <c r="B1794" s="509"/>
      <c r="C1794" s="509"/>
      <c r="D1794" s="522"/>
      <c r="E1794" s="526"/>
      <c r="F1794" s="526"/>
      <c r="G1794" s="527"/>
      <c r="H1794" s="527"/>
      <c r="I1794" s="527"/>
      <c r="J1794" s="527"/>
      <c r="K1794" s="527"/>
      <c r="L1794" s="527"/>
      <c r="M1794" s="527"/>
    </row>
    <row r="1795" ht="15.75" customHeight="1">
      <c r="A1795" s="523"/>
      <c r="B1795" s="509"/>
      <c r="C1795" s="509"/>
      <c r="D1795" s="522"/>
      <c r="E1795" s="526"/>
      <c r="F1795" s="526"/>
      <c r="G1795" s="527"/>
      <c r="H1795" s="527"/>
      <c r="I1795" s="527"/>
      <c r="J1795" s="527"/>
      <c r="K1795" s="527"/>
      <c r="L1795" s="527"/>
      <c r="M1795" s="527"/>
    </row>
    <row r="1796" ht="15.75" customHeight="1">
      <c r="A1796" s="523"/>
      <c r="B1796" s="509"/>
      <c r="C1796" s="509"/>
      <c r="D1796" s="522"/>
      <c r="E1796" s="526"/>
      <c r="F1796" s="526"/>
      <c r="G1796" s="527"/>
      <c r="H1796" s="527"/>
      <c r="I1796" s="527"/>
      <c r="J1796" s="527"/>
      <c r="K1796" s="527"/>
      <c r="L1796" s="527"/>
      <c r="M1796" s="527"/>
    </row>
    <row r="1797" ht="15.75" customHeight="1">
      <c r="A1797" s="523"/>
      <c r="B1797" s="509"/>
      <c r="C1797" s="509"/>
      <c r="D1797" s="522"/>
      <c r="E1797" s="526"/>
      <c r="F1797" s="526"/>
      <c r="G1797" s="527"/>
      <c r="H1797" s="527"/>
      <c r="I1797" s="527"/>
      <c r="J1797" s="527"/>
      <c r="K1797" s="527"/>
      <c r="L1797" s="527"/>
      <c r="M1797" s="527"/>
    </row>
    <row r="1798" ht="15.75" customHeight="1">
      <c r="A1798" s="523"/>
      <c r="B1798" s="509"/>
      <c r="C1798" s="509"/>
      <c r="D1798" s="522"/>
      <c r="E1798" s="526"/>
      <c r="F1798" s="526"/>
      <c r="G1798" s="527"/>
      <c r="H1798" s="527"/>
      <c r="I1798" s="527"/>
      <c r="J1798" s="527"/>
      <c r="K1798" s="527"/>
      <c r="L1798" s="527"/>
      <c r="M1798" s="527"/>
    </row>
    <row r="1799" ht="15.75" customHeight="1">
      <c r="A1799" s="523"/>
      <c r="B1799" s="509"/>
      <c r="C1799" s="509"/>
      <c r="D1799" s="522"/>
      <c r="E1799" s="526"/>
      <c r="F1799" s="526"/>
      <c r="G1799" s="527"/>
      <c r="H1799" s="527"/>
      <c r="I1799" s="527"/>
      <c r="J1799" s="527"/>
      <c r="K1799" s="527"/>
      <c r="L1799" s="527"/>
      <c r="M1799" s="527"/>
    </row>
    <row r="1800" ht="15.75" customHeight="1">
      <c r="A1800" s="523"/>
      <c r="B1800" s="509"/>
      <c r="C1800" s="509"/>
      <c r="D1800" s="522"/>
      <c r="E1800" s="526"/>
      <c r="F1800" s="526"/>
      <c r="G1800" s="527"/>
      <c r="H1800" s="527"/>
      <c r="I1800" s="527"/>
      <c r="J1800" s="527"/>
      <c r="K1800" s="527"/>
      <c r="L1800" s="527"/>
      <c r="M1800" s="527"/>
    </row>
    <row r="1801" ht="15.75" customHeight="1">
      <c r="A1801" s="523"/>
      <c r="B1801" s="509"/>
      <c r="C1801" s="509"/>
      <c r="D1801" s="522"/>
      <c r="E1801" s="526"/>
      <c r="F1801" s="526"/>
      <c r="G1801" s="527"/>
      <c r="H1801" s="527"/>
      <c r="I1801" s="527"/>
      <c r="J1801" s="527"/>
      <c r="K1801" s="527"/>
      <c r="L1801" s="527"/>
      <c r="M1801" s="527"/>
    </row>
    <row r="1802" ht="15.75" customHeight="1">
      <c r="A1802" s="523"/>
      <c r="B1802" s="509"/>
      <c r="C1802" s="509"/>
      <c r="D1802" s="522"/>
      <c r="E1802" s="526"/>
      <c r="F1802" s="526"/>
      <c r="G1802" s="527"/>
      <c r="H1802" s="527"/>
      <c r="I1802" s="527"/>
      <c r="J1802" s="527"/>
      <c r="K1802" s="527"/>
      <c r="L1802" s="527"/>
      <c r="M1802" s="527"/>
    </row>
    <row r="1803" ht="15.75" customHeight="1">
      <c r="A1803" s="523"/>
      <c r="B1803" s="509"/>
      <c r="C1803" s="509"/>
      <c r="D1803" s="522"/>
      <c r="E1803" s="526"/>
      <c r="F1803" s="526"/>
      <c r="G1803" s="527"/>
      <c r="H1803" s="527"/>
      <c r="I1803" s="527"/>
      <c r="J1803" s="527"/>
      <c r="K1803" s="527"/>
      <c r="L1803" s="527"/>
      <c r="M1803" s="527"/>
    </row>
    <row r="1804" ht="15.75" customHeight="1">
      <c r="A1804" s="523"/>
      <c r="B1804" s="509"/>
      <c r="C1804" s="509"/>
      <c r="D1804" s="522"/>
      <c r="E1804" s="526"/>
      <c r="F1804" s="526"/>
      <c r="G1804" s="527"/>
      <c r="H1804" s="527"/>
      <c r="I1804" s="527"/>
      <c r="J1804" s="527"/>
      <c r="K1804" s="527"/>
      <c r="L1804" s="527"/>
      <c r="M1804" s="527"/>
    </row>
    <row r="1805" ht="15.75" customHeight="1">
      <c r="A1805" s="523"/>
      <c r="B1805" s="509"/>
      <c r="C1805" s="509"/>
      <c r="D1805" s="522"/>
      <c r="E1805" s="526"/>
      <c r="F1805" s="526"/>
      <c r="G1805" s="527"/>
      <c r="H1805" s="527"/>
      <c r="I1805" s="527"/>
      <c r="J1805" s="527"/>
      <c r="K1805" s="527"/>
      <c r="L1805" s="527"/>
      <c r="M1805" s="527"/>
    </row>
    <row r="1806" ht="15.75" customHeight="1">
      <c r="A1806" s="523"/>
      <c r="B1806" s="509"/>
      <c r="C1806" s="509"/>
      <c r="D1806" s="522"/>
      <c r="E1806" s="526"/>
      <c r="F1806" s="526"/>
      <c r="G1806" s="527"/>
      <c r="H1806" s="527"/>
      <c r="I1806" s="527"/>
      <c r="J1806" s="527"/>
      <c r="K1806" s="527"/>
      <c r="L1806" s="527"/>
      <c r="M1806" s="527"/>
    </row>
    <row r="1807" ht="15.75" customHeight="1">
      <c r="A1807" s="523"/>
      <c r="B1807" s="509"/>
      <c r="C1807" s="509"/>
      <c r="D1807" s="522"/>
      <c r="E1807" s="526"/>
      <c r="F1807" s="526"/>
      <c r="G1807" s="527"/>
      <c r="H1807" s="527"/>
      <c r="I1807" s="527"/>
      <c r="J1807" s="527"/>
      <c r="K1807" s="527"/>
      <c r="L1807" s="527"/>
      <c r="M1807" s="527"/>
    </row>
    <row r="1808" ht="15.75" customHeight="1">
      <c r="A1808" s="523"/>
      <c r="B1808" s="509"/>
      <c r="C1808" s="509"/>
      <c r="D1808" s="522"/>
      <c r="E1808" s="526"/>
      <c r="F1808" s="526"/>
      <c r="G1808" s="527"/>
      <c r="H1808" s="527"/>
      <c r="I1808" s="527"/>
      <c r="J1808" s="527"/>
      <c r="K1808" s="527"/>
      <c r="L1808" s="527"/>
      <c r="M1808" s="527"/>
    </row>
    <row r="1809" ht="15.75" customHeight="1">
      <c r="A1809" s="523"/>
      <c r="B1809" s="509"/>
      <c r="C1809" s="509"/>
      <c r="D1809" s="522"/>
      <c r="E1809" s="526"/>
      <c r="F1809" s="526"/>
      <c r="G1809" s="527"/>
      <c r="H1809" s="527"/>
      <c r="I1809" s="527"/>
      <c r="J1809" s="527"/>
      <c r="K1809" s="527"/>
      <c r="L1809" s="527"/>
      <c r="M1809" s="527"/>
    </row>
    <row r="1810" ht="15.75" customHeight="1">
      <c r="A1810" s="523"/>
      <c r="B1810" s="509"/>
      <c r="C1810" s="509"/>
      <c r="D1810" s="522"/>
      <c r="E1810" s="526"/>
      <c r="F1810" s="526"/>
      <c r="G1810" s="527"/>
      <c r="H1810" s="527"/>
      <c r="I1810" s="527"/>
      <c r="J1810" s="527"/>
      <c r="K1810" s="527"/>
      <c r="L1810" s="527"/>
      <c r="M1810" s="527"/>
    </row>
    <row r="1811" ht="15.75" customHeight="1">
      <c r="A1811" s="523"/>
      <c r="B1811" s="509"/>
      <c r="C1811" s="509"/>
      <c r="D1811" s="522"/>
      <c r="E1811" s="526"/>
      <c r="F1811" s="526"/>
      <c r="G1811" s="527"/>
      <c r="H1811" s="527"/>
      <c r="I1811" s="527"/>
      <c r="J1811" s="527"/>
      <c r="K1811" s="527"/>
      <c r="L1811" s="527"/>
      <c r="M1811" s="527"/>
    </row>
    <row r="1812" ht="15.75" customHeight="1">
      <c r="A1812" s="523"/>
      <c r="B1812" s="509"/>
      <c r="C1812" s="509"/>
      <c r="D1812" s="522"/>
      <c r="E1812" s="526"/>
      <c r="F1812" s="526"/>
      <c r="G1812" s="527"/>
      <c r="H1812" s="527"/>
      <c r="I1812" s="527"/>
      <c r="J1812" s="527"/>
      <c r="K1812" s="527"/>
      <c r="L1812" s="527"/>
      <c r="M1812" s="527"/>
    </row>
    <row r="1813" ht="15.75" customHeight="1">
      <c r="A1813" s="523"/>
      <c r="B1813" s="509"/>
      <c r="C1813" s="509"/>
      <c r="D1813" s="522"/>
      <c r="E1813" s="526"/>
      <c r="F1813" s="526"/>
      <c r="G1813" s="527"/>
      <c r="H1813" s="527"/>
      <c r="I1813" s="527"/>
      <c r="J1813" s="527"/>
      <c r="K1813" s="527"/>
      <c r="L1813" s="527"/>
      <c r="M1813" s="527"/>
    </row>
    <row r="1814" ht="15.75" customHeight="1">
      <c r="A1814" s="523"/>
      <c r="B1814" s="509"/>
      <c r="C1814" s="509"/>
      <c r="D1814" s="522"/>
      <c r="E1814" s="526"/>
      <c r="F1814" s="526"/>
      <c r="G1814" s="527"/>
      <c r="H1814" s="527"/>
      <c r="I1814" s="527"/>
      <c r="J1814" s="527"/>
      <c r="K1814" s="527"/>
      <c r="L1814" s="527"/>
      <c r="M1814" s="527"/>
    </row>
    <row r="1815" ht="15.75" customHeight="1">
      <c r="A1815" s="523"/>
      <c r="B1815" s="509"/>
      <c r="C1815" s="509"/>
      <c r="D1815" s="522"/>
      <c r="E1815" s="526"/>
      <c r="F1815" s="526"/>
      <c r="G1815" s="527"/>
      <c r="H1815" s="527"/>
      <c r="I1815" s="527"/>
      <c r="J1815" s="527"/>
      <c r="K1815" s="527"/>
      <c r="L1815" s="527"/>
      <c r="M1815" s="527"/>
    </row>
    <row r="1816" ht="15.75" customHeight="1">
      <c r="A1816" s="523"/>
      <c r="B1816" s="509"/>
      <c r="C1816" s="509"/>
      <c r="D1816" s="522"/>
      <c r="E1816" s="526"/>
      <c r="F1816" s="526"/>
      <c r="G1816" s="527"/>
      <c r="H1816" s="527"/>
      <c r="I1816" s="527"/>
      <c r="J1816" s="527"/>
      <c r="K1816" s="527"/>
      <c r="L1816" s="527"/>
      <c r="M1816" s="527"/>
    </row>
    <row r="1817" ht="15.75" customHeight="1">
      <c r="A1817" s="523"/>
      <c r="B1817" s="509"/>
      <c r="C1817" s="509"/>
      <c r="D1817" s="522"/>
      <c r="E1817" s="526"/>
      <c r="F1817" s="526"/>
      <c r="G1817" s="527"/>
      <c r="H1817" s="527"/>
      <c r="I1817" s="527"/>
      <c r="J1817" s="527"/>
      <c r="K1817" s="527"/>
      <c r="L1817" s="527"/>
      <c r="M1817" s="527"/>
    </row>
    <row r="1818" ht="15.75" customHeight="1">
      <c r="A1818" s="523"/>
      <c r="B1818" s="509"/>
      <c r="C1818" s="509"/>
      <c r="D1818" s="522"/>
      <c r="E1818" s="526"/>
      <c r="F1818" s="526"/>
      <c r="G1818" s="527"/>
      <c r="H1818" s="527"/>
      <c r="I1818" s="527"/>
      <c r="J1818" s="527"/>
      <c r="K1818" s="527"/>
      <c r="L1818" s="527"/>
      <c r="M1818" s="527"/>
    </row>
    <row r="1819" ht="15.75" customHeight="1">
      <c r="A1819" s="523"/>
      <c r="B1819" s="509"/>
      <c r="C1819" s="509"/>
      <c r="D1819" s="522"/>
      <c r="E1819" s="526"/>
      <c r="F1819" s="526"/>
      <c r="G1819" s="527"/>
      <c r="H1819" s="527"/>
      <c r="I1819" s="527"/>
      <c r="J1819" s="527"/>
      <c r="K1819" s="527"/>
      <c r="L1819" s="527"/>
      <c r="M1819" s="527"/>
    </row>
    <row r="1820" ht="15.75" customHeight="1">
      <c r="A1820" s="523"/>
      <c r="B1820" s="509"/>
      <c r="C1820" s="509"/>
      <c r="D1820" s="522"/>
      <c r="E1820" s="526"/>
      <c r="F1820" s="526"/>
      <c r="G1820" s="527"/>
      <c r="H1820" s="527"/>
      <c r="I1820" s="527"/>
      <c r="J1820" s="527"/>
      <c r="K1820" s="527"/>
      <c r="L1820" s="527"/>
      <c r="M1820" s="527"/>
    </row>
    <row r="1821" ht="15.75" customHeight="1">
      <c r="A1821" s="523"/>
      <c r="B1821" s="509"/>
      <c r="C1821" s="509"/>
      <c r="D1821" s="522"/>
      <c r="E1821" s="526"/>
      <c r="F1821" s="526"/>
      <c r="G1821" s="527"/>
      <c r="H1821" s="527"/>
      <c r="I1821" s="527"/>
      <c r="J1821" s="527"/>
      <c r="K1821" s="527"/>
      <c r="L1821" s="527"/>
      <c r="M1821" s="527"/>
    </row>
    <row r="1822" ht="15.75" customHeight="1">
      <c r="A1822" s="523"/>
      <c r="B1822" s="509"/>
      <c r="C1822" s="509"/>
      <c r="D1822" s="522"/>
      <c r="E1822" s="526"/>
      <c r="F1822" s="526"/>
      <c r="G1822" s="527"/>
      <c r="H1822" s="527"/>
      <c r="I1822" s="527"/>
      <c r="J1822" s="527"/>
      <c r="K1822" s="527"/>
      <c r="L1822" s="527"/>
      <c r="M1822" s="527"/>
    </row>
    <row r="1823" ht="15.75" customHeight="1">
      <c r="A1823" s="523"/>
      <c r="B1823" s="509"/>
      <c r="C1823" s="509"/>
      <c r="D1823" s="522"/>
      <c r="E1823" s="526"/>
      <c r="F1823" s="526"/>
      <c r="G1823" s="527"/>
      <c r="H1823" s="527"/>
      <c r="I1823" s="527"/>
      <c r="J1823" s="527"/>
      <c r="K1823" s="527"/>
      <c r="L1823" s="527"/>
      <c r="M1823" s="527"/>
    </row>
    <row r="1824" ht="15.75" customHeight="1">
      <c r="A1824" s="523"/>
      <c r="B1824" s="509"/>
      <c r="C1824" s="509"/>
      <c r="D1824" s="522"/>
      <c r="E1824" s="526"/>
      <c r="F1824" s="526"/>
      <c r="G1824" s="527"/>
      <c r="H1824" s="527"/>
      <c r="I1824" s="527"/>
      <c r="J1824" s="527"/>
      <c r="K1824" s="527"/>
      <c r="L1824" s="527"/>
      <c r="M1824" s="527"/>
    </row>
    <row r="1825" ht="15.75" customHeight="1">
      <c r="A1825" s="523"/>
      <c r="B1825" s="509"/>
      <c r="C1825" s="509"/>
      <c r="D1825" s="522"/>
      <c r="E1825" s="526"/>
      <c r="F1825" s="526"/>
      <c r="G1825" s="527"/>
      <c r="H1825" s="527"/>
      <c r="I1825" s="527"/>
      <c r="J1825" s="527"/>
      <c r="K1825" s="527"/>
      <c r="L1825" s="527"/>
      <c r="M1825" s="527"/>
    </row>
    <row r="1826" ht="15.75" customHeight="1">
      <c r="A1826" s="523"/>
      <c r="B1826" s="509"/>
      <c r="C1826" s="509"/>
      <c r="D1826" s="522"/>
      <c r="E1826" s="526"/>
      <c r="F1826" s="526"/>
      <c r="G1826" s="527"/>
      <c r="H1826" s="527"/>
      <c r="I1826" s="527"/>
      <c r="J1826" s="527"/>
      <c r="K1826" s="527"/>
      <c r="L1826" s="527"/>
      <c r="M1826" s="527"/>
    </row>
    <row r="1827" ht="15.75" customHeight="1">
      <c r="A1827" s="523"/>
      <c r="B1827" s="509"/>
      <c r="C1827" s="509"/>
      <c r="D1827" s="522"/>
      <c r="E1827" s="526"/>
      <c r="F1827" s="526"/>
      <c r="G1827" s="527"/>
      <c r="H1827" s="527"/>
      <c r="I1827" s="527"/>
      <c r="J1827" s="527"/>
      <c r="K1827" s="527"/>
      <c r="L1827" s="527"/>
      <c r="M1827" s="527"/>
    </row>
    <row r="1828" ht="15.75" customHeight="1">
      <c r="A1828" s="523"/>
      <c r="B1828" s="509"/>
      <c r="C1828" s="509"/>
      <c r="D1828" s="522"/>
      <c r="E1828" s="526"/>
      <c r="F1828" s="526"/>
      <c r="G1828" s="527"/>
      <c r="H1828" s="527"/>
      <c r="I1828" s="527"/>
      <c r="J1828" s="527"/>
      <c r="K1828" s="527"/>
      <c r="L1828" s="527"/>
      <c r="M1828" s="527"/>
    </row>
    <row r="1829" ht="15.75" customHeight="1">
      <c r="A1829" s="523"/>
      <c r="B1829" s="509"/>
      <c r="C1829" s="509"/>
      <c r="D1829" s="522"/>
      <c r="E1829" s="526"/>
      <c r="F1829" s="526"/>
      <c r="G1829" s="527"/>
      <c r="H1829" s="527"/>
      <c r="I1829" s="527"/>
      <c r="J1829" s="527"/>
      <c r="K1829" s="527"/>
      <c r="L1829" s="527"/>
      <c r="M1829" s="527"/>
    </row>
    <row r="1830" ht="15.75" customHeight="1">
      <c r="A1830" s="523"/>
      <c r="B1830" s="509"/>
      <c r="C1830" s="509"/>
      <c r="D1830" s="522"/>
      <c r="E1830" s="526"/>
      <c r="F1830" s="526"/>
      <c r="G1830" s="527"/>
      <c r="H1830" s="527"/>
      <c r="I1830" s="527"/>
      <c r="J1830" s="527"/>
      <c r="K1830" s="527"/>
      <c r="L1830" s="527"/>
      <c r="M1830" s="527"/>
    </row>
    <row r="1831" ht="15.75" customHeight="1">
      <c r="A1831" s="523"/>
      <c r="B1831" s="509"/>
      <c r="C1831" s="509"/>
      <c r="D1831" s="522"/>
      <c r="E1831" s="526"/>
      <c r="F1831" s="526"/>
      <c r="G1831" s="527"/>
      <c r="H1831" s="527"/>
      <c r="I1831" s="527"/>
      <c r="J1831" s="527"/>
      <c r="K1831" s="528"/>
      <c r="L1831" s="527"/>
      <c r="M1831" s="527"/>
    </row>
    <row r="1832" ht="15.75" customHeight="1">
      <c r="A1832" s="523"/>
      <c r="B1832" s="509"/>
      <c r="C1832" s="509"/>
      <c r="D1832" s="522"/>
      <c r="E1832" s="526"/>
      <c r="F1832" s="526"/>
      <c r="G1832" s="527"/>
      <c r="H1832" s="527"/>
      <c r="I1832" s="527"/>
      <c r="J1832" s="527"/>
      <c r="K1832" s="527"/>
      <c r="L1832" s="528"/>
      <c r="M1832" s="528"/>
    </row>
    <row r="1833" ht="15.75" customHeight="1">
      <c r="A1833" s="523"/>
      <c r="B1833" s="509"/>
      <c r="C1833" s="509"/>
      <c r="D1833" s="522"/>
      <c r="E1833" s="526"/>
      <c r="F1833" s="526"/>
      <c r="G1833" s="527"/>
      <c r="H1833" s="527"/>
      <c r="I1833" s="527"/>
      <c r="J1833" s="527"/>
      <c r="K1833" s="527"/>
      <c r="L1833" s="528"/>
      <c r="M1833" s="528"/>
    </row>
    <row r="1834" ht="15.75" customHeight="1">
      <c r="A1834" s="523"/>
      <c r="B1834" s="509"/>
      <c r="C1834" s="509"/>
      <c r="D1834" s="522"/>
      <c r="E1834" s="526"/>
      <c r="F1834" s="526"/>
      <c r="G1834" s="527"/>
      <c r="H1834" s="527"/>
      <c r="I1834" s="527"/>
      <c r="J1834" s="527"/>
      <c r="K1834" s="527"/>
      <c r="L1834" s="528"/>
      <c r="M1834" s="528"/>
    </row>
    <row r="1835" ht="15.75" customHeight="1">
      <c r="A1835" s="523"/>
      <c r="B1835" s="509"/>
      <c r="C1835" s="509"/>
      <c r="D1835" s="522"/>
      <c r="E1835" s="526"/>
      <c r="F1835" s="526"/>
      <c r="G1835" s="527"/>
      <c r="H1835" s="527"/>
      <c r="I1835" s="527"/>
      <c r="J1835" s="527"/>
      <c r="K1835" s="527"/>
      <c r="L1835" s="528"/>
      <c r="M1835" s="528"/>
    </row>
    <row r="1836" ht="15.75" customHeight="1">
      <c r="A1836" s="523"/>
      <c r="B1836" s="509"/>
      <c r="C1836" s="509"/>
      <c r="D1836" s="522"/>
      <c r="E1836" s="526"/>
      <c r="F1836" s="526"/>
      <c r="G1836" s="527"/>
      <c r="H1836" s="527"/>
      <c r="I1836" s="527"/>
      <c r="J1836" s="527"/>
      <c r="K1836" s="527"/>
      <c r="L1836" s="527"/>
      <c r="M1836" s="527"/>
    </row>
    <row r="1837" ht="15.75" customHeight="1">
      <c r="A1837" s="523"/>
      <c r="B1837" s="509"/>
      <c r="C1837" s="509"/>
      <c r="D1837" s="522"/>
      <c r="E1837" s="526"/>
      <c r="F1837" s="526"/>
      <c r="G1837" s="527"/>
      <c r="H1837" s="527"/>
      <c r="I1837" s="527"/>
      <c r="J1837" s="527"/>
      <c r="K1837" s="527"/>
      <c r="L1837" s="527"/>
      <c r="M1837" s="527"/>
    </row>
    <row r="1838" ht="15.75" customHeight="1">
      <c r="A1838" s="523"/>
      <c r="B1838" s="509"/>
      <c r="C1838" s="509"/>
      <c r="D1838" s="522"/>
      <c r="E1838" s="526"/>
      <c r="F1838" s="526"/>
      <c r="G1838" s="527"/>
      <c r="H1838" s="527"/>
      <c r="I1838" s="527"/>
      <c r="J1838" s="527"/>
      <c r="K1838" s="527"/>
      <c r="L1838" s="527"/>
      <c r="M1838" s="527"/>
    </row>
    <row r="1839" ht="15.75" customHeight="1">
      <c r="A1839" s="523"/>
      <c r="B1839" s="509"/>
      <c r="C1839" s="509"/>
      <c r="D1839" s="522"/>
      <c r="E1839" s="526"/>
      <c r="F1839" s="526"/>
      <c r="G1839" s="527"/>
      <c r="H1839" s="527"/>
      <c r="I1839" s="527"/>
      <c r="J1839" s="527"/>
      <c r="K1839" s="527"/>
      <c r="L1839" s="527"/>
      <c r="M1839" s="527"/>
    </row>
    <row r="1840" ht="15.75" customHeight="1">
      <c r="A1840" s="523"/>
      <c r="B1840" s="509"/>
      <c r="C1840" s="509"/>
      <c r="D1840" s="522"/>
      <c r="E1840" s="526"/>
      <c r="F1840" s="526"/>
      <c r="G1840" s="527"/>
      <c r="H1840" s="527"/>
      <c r="I1840" s="527"/>
      <c r="J1840" s="527"/>
      <c r="K1840" s="527"/>
      <c r="L1840" s="527"/>
      <c r="M1840" s="527"/>
    </row>
    <row r="1841" ht="15.75" customHeight="1">
      <c r="A1841" s="523"/>
      <c r="B1841" s="509"/>
      <c r="C1841" s="509"/>
      <c r="D1841" s="522"/>
      <c r="E1841" s="526"/>
      <c r="F1841" s="526"/>
      <c r="G1841" s="527"/>
      <c r="H1841" s="527"/>
      <c r="I1841" s="527"/>
      <c r="J1841" s="527"/>
      <c r="K1841" s="527"/>
      <c r="L1841" s="527"/>
      <c r="M1841" s="527"/>
    </row>
    <row r="1842" ht="15.75" customHeight="1">
      <c r="A1842" s="523"/>
      <c r="B1842" s="509"/>
      <c r="C1842" s="509"/>
      <c r="D1842" s="522"/>
      <c r="E1842" s="526"/>
      <c r="F1842" s="526"/>
      <c r="G1842" s="527"/>
      <c r="H1842" s="527"/>
      <c r="I1842" s="527"/>
      <c r="J1842" s="527"/>
      <c r="K1842" s="527"/>
      <c r="L1842" s="527"/>
      <c r="M1842" s="527"/>
    </row>
    <row r="1843" ht="15.75" customHeight="1">
      <c r="A1843" s="523"/>
      <c r="B1843" s="509"/>
      <c r="C1843" s="509"/>
      <c r="D1843" s="522"/>
      <c r="E1843" s="526"/>
      <c r="F1843" s="526"/>
      <c r="G1843" s="527"/>
      <c r="H1843" s="527"/>
      <c r="I1843" s="527"/>
      <c r="J1843" s="527"/>
      <c r="K1843" s="527"/>
      <c r="L1843" s="527"/>
      <c r="M1843" s="527"/>
    </row>
    <row r="1844" ht="15.75" customHeight="1">
      <c r="A1844" s="523"/>
      <c r="B1844" s="509"/>
      <c r="C1844" s="509"/>
      <c r="D1844" s="522"/>
      <c r="E1844" s="526"/>
      <c r="F1844" s="526"/>
      <c r="G1844" s="527"/>
      <c r="H1844" s="527"/>
      <c r="I1844" s="527"/>
      <c r="J1844" s="527"/>
      <c r="K1844" s="527"/>
      <c r="L1844" s="527"/>
      <c r="M1844" s="527"/>
    </row>
    <row r="1845" ht="15.75" customHeight="1">
      <c r="A1845" s="523"/>
      <c r="B1845" s="509"/>
      <c r="C1845" s="509"/>
      <c r="D1845" s="522"/>
      <c r="E1845" s="526"/>
      <c r="F1845" s="526"/>
      <c r="G1845" s="527"/>
      <c r="H1845" s="527"/>
      <c r="I1845" s="527"/>
      <c r="J1845" s="527"/>
      <c r="K1845" s="527"/>
      <c r="L1845" s="527"/>
      <c r="M1845" s="527"/>
    </row>
    <row r="1846" ht="15.75" customHeight="1">
      <c r="A1846" s="523"/>
      <c r="B1846" s="509"/>
      <c r="C1846" s="509"/>
      <c r="D1846" s="522"/>
      <c r="E1846" s="526"/>
      <c r="F1846" s="526"/>
      <c r="G1846" s="527"/>
      <c r="H1846" s="527"/>
      <c r="I1846" s="527"/>
      <c r="J1846" s="527"/>
      <c r="K1846" s="527"/>
      <c r="L1846" s="527"/>
      <c r="M1846" s="527"/>
    </row>
    <row r="1847" ht="15.75" customHeight="1">
      <c r="A1847" s="523"/>
      <c r="B1847" s="509"/>
      <c r="C1847" s="509"/>
      <c r="D1847" s="522"/>
      <c r="E1847" s="526"/>
      <c r="F1847" s="526"/>
      <c r="G1847" s="527"/>
      <c r="H1847" s="527"/>
      <c r="I1847" s="527"/>
      <c r="J1847" s="527"/>
      <c r="K1847" s="527"/>
      <c r="L1847" s="527"/>
      <c r="M1847" s="527"/>
    </row>
    <row r="1848" ht="15.75" customHeight="1">
      <c r="A1848" s="521"/>
      <c r="B1848" s="507"/>
      <c r="C1848" s="509"/>
      <c r="D1848" s="522"/>
      <c r="E1848" s="529"/>
      <c r="F1848" s="529"/>
      <c r="G1848" s="530"/>
      <c r="H1848" s="530"/>
      <c r="I1848" s="530"/>
      <c r="J1848" s="530"/>
      <c r="K1848" s="530"/>
      <c r="L1848" s="530"/>
      <c r="M1848" s="530"/>
    </row>
    <row r="1849" ht="15.75" customHeight="1">
      <c r="A1849" s="521"/>
      <c r="B1849" s="507"/>
      <c r="C1849" s="507"/>
      <c r="D1849" s="522"/>
      <c r="E1849" s="526"/>
      <c r="F1849" s="526"/>
      <c r="G1849" s="527"/>
      <c r="H1849" s="527"/>
      <c r="I1849" s="527"/>
      <c r="J1849" s="527"/>
      <c r="K1849" s="527"/>
      <c r="L1849" s="527"/>
      <c r="M1849" s="527"/>
    </row>
    <row r="1850" ht="15.75" customHeight="1">
      <c r="A1850" s="523"/>
      <c r="B1850" s="509"/>
      <c r="C1850" s="509"/>
      <c r="D1850" s="522"/>
      <c r="E1850" s="526"/>
      <c r="F1850" s="526"/>
      <c r="G1850" s="527"/>
      <c r="H1850" s="527"/>
      <c r="I1850" s="527"/>
      <c r="J1850" s="527"/>
      <c r="K1850" s="527"/>
      <c r="L1850" s="527"/>
      <c r="M1850" s="527"/>
    </row>
    <row r="1851" ht="15.75" customHeight="1">
      <c r="A1851" s="523"/>
      <c r="B1851" s="509"/>
      <c r="C1851" s="509"/>
      <c r="D1851" s="522"/>
      <c r="E1851" s="526"/>
      <c r="F1851" s="526"/>
      <c r="G1851" s="527"/>
      <c r="H1851" s="527"/>
      <c r="I1851" s="527"/>
      <c r="J1851" s="527"/>
      <c r="K1851" s="527"/>
      <c r="L1851" s="527"/>
      <c r="M1851" s="527"/>
    </row>
    <row r="1852" ht="15.75" customHeight="1">
      <c r="A1852" s="523"/>
      <c r="B1852" s="509"/>
      <c r="C1852" s="509"/>
      <c r="D1852" s="522"/>
      <c r="E1852" s="526"/>
      <c r="F1852" s="526"/>
      <c r="G1852" s="527"/>
      <c r="H1852" s="527"/>
      <c r="I1852" s="527"/>
      <c r="J1852" s="527"/>
      <c r="K1852" s="527"/>
      <c r="L1852" s="527"/>
      <c r="M1852" s="527"/>
    </row>
    <row r="1853" ht="15.75" customHeight="1">
      <c r="A1853" s="523"/>
      <c r="B1853" s="509"/>
      <c r="C1853" s="509"/>
      <c r="D1853" s="522"/>
      <c r="E1853" s="526"/>
      <c r="F1853" s="526"/>
      <c r="G1853" s="527"/>
      <c r="H1853" s="527"/>
      <c r="I1853" s="527"/>
      <c r="J1853" s="527"/>
      <c r="K1853" s="527"/>
      <c r="L1853" s="527"/>
      <c r="M1853" s="527"/>
    </row>
    <row r="1854" ht="15.75" customHeight="1">
      <c r="A1854" s="523"/>
      <c r="B1854" s="509"/>
      <c r="C1854" s="509"/>
      <c r="D1854" s="522"/>
      <c r="E1854" s="526"/>
      <c r="F1854" s="526"/>
      <c r="G1854" s="527"/>
      <c r="H1854" s="527"/>
      <c r="I1854" s="527"/>
      <c r="J1854" s="527"/>
      <c r="K1854" s="527"/>
      <c r="L1854" s="527"/>
      <c r="M1854" s="527"/>
    </row>
    <row r="1855" ht="15.75" customHeight="1">
      <c r="A1855" s="523"/>
      <c r="B1855" s="509"/>
      <c r="C1855" s="509"/>
      <c r="D1855" s="522"/>
      <c r="E1855" s="526"/>
      <c r="F1855" s="526"/>
      <c r="G1855" s="527"/>
      <c r="H1855" s="527"/>
      <c r="I1855" s="527"/>
      <c r="J1855" s="527"/>
      <c r="K1855" s="527"/>
      <c r="L1855" s="527"/>
      <c r="M1855" s="527"/>
    </row>
    <row r="1856" ht="15.75" customHeight="1">
      <c r="A1856" s="523"/>
      <c r="B1856" s="509"/>
      <c r="C1856" s="509"/>
      <c r="D1856" s="522"/>
      <c r="E1856" s="526"/>
      <c r="F1856" s="526"/>
      <c r="G1856" s="527"/>
      <c r="H1856" s="527"/>
      <c r="I1856" s="527"/>
      <c r="J1856" s="527"/>
      <c r="K1856" s="527"/>
      <c r="L1856" s="527"/>
      <c r="M1856" s="527"/>
    </row>
    <row r="1857" ht="15.75" customHeight="1">
      <c r="A1857" s="523"/>
      <c r="B1857" s="509"/>
      <c r="C1857" s="509"/>
      <c r="D1857" s="522"/>
      <c r="E1857" s="526"/>
      <c r="F1857" s="526"/>
      <c r="G1857" s="527"/>
      <c r="H1857" s="527"/>
      <c r="I1857" s="527"/>
      <c r="J1857" s="527"/>
      <c r="K1857" s="527"/>
      <c r="L1857" s="527"/>
      <c r="M1857" s="527"/>
    </row>
    <row r="1858" ht="15.75" customHeight="1">
      <c r="A1858" s="523"/>
      <c r="B1858" s="509"/>
      <c r="C1858" s="509"/>
      <c r="D1858" s="522"/>
      <c r="E1858" s="526"/>
      <c r="F1858" s="526"/>
      <c r="G1858" s="527"/>
      <c r="H1858" s="527"/>
      <c r="I1858" s="527"/>
      <c r="J1858" s="527"/>
      <c r="K1858" s="527"/>
      <c r="L1858" s="527"/>
      <c r="M1858" s="527"/>
    </row>
    <row r="1859" ht="15.75" customHeight="1">
      <c r="A1859" s="523"/>
      <c r="B1859" s="509"/>
      <c r="C1859" s="509"/>
      <c r="D1859" s="522"/>
      <c r="E1859" s="526"/>
      <c r="F1859" s="526"/>
      <c r="G1859" s="527"/>
      <c r="H1859" s="527"/>
      <c r="I1859" s="527"/>
      <c r="J1859" s="527"/>
      <c r="K1859" s="527"/>
      <c r="L1859" s="527"/>
      <c r="M1859" s="527"/>
    </row>
    <row r="1860" ht="15.75" customHeight="1">
      <c r="A1860" s="523"/>
      <c r="B1860" s="509"/>
      <c r="C1860" s="509"/>
      <c r="D1860" s="522"/>
      <c r="E1860" s="526"/>
      <c r="F1860" s="526"/>
      <c r="G1860" s="527"/>
      <c r="H1860" s="527"/>
      <c r="I1860" s="527"/>
      <c r="J1860" s="527"/>
      <c r="K1860" s="527"/>
      <c r="L1860" s="527"/>
      <c r="M1860" s="527"/>
    </row>
    <row r="1861" ht="15.75" customHeight="1">
      <c r="A1861" s="523"/>
      <c r="B1861" s="509"/>
      <c r="C1861" s="509"/>
      <c r="D1861" s="522"/>
      <c r="E1861" s="526"/>
      <c r="F1861" s="526"/>
      <c r="G1861" s="527"/>
      <c r="H1861" s="527"/>
      <c r="I1861" s="527"/>
      <c r="J1861" s="527"/>
      <c r="K1861" s="527"/>
      <c r="L1861" s="527"/>
      <c r="M1861" s="527"/>
    </row>
    <row r="1862" ht="15.75" customHeight="1">
      <c r="A1862" s="523"/>
      <c r="B1862" s="509"/>
      <c r="C1862" s="509"/>
      <c r="D1862" s="522"/>
      <c r="E1862" s="526"/>
      <c r="F1862" s="526"/>
      <c r="G1862" s="527"/>
      <c r="H1862" s="527"/>
      <c r="I1862" s="527"/>
      <c r="J1862" s="527"/>
      <c r="K1862" s="527"/>
      <c r="L1862" s="527"/>
      <c r="M1862" s="527"/>
    </row>
    <row r="1863" ht="15.75" customHeight="1">
      <c r="A1863" s="523"/>
      <c r="B1863" s="509"/>
      <c r="C1863" s="509"/>
      <c r="D1863" s="522"/>
      <c r="E1863" s="526"/>
      <c r="F1863" s="526"/>
      <c r="G1863" s="527"/>
      <c r="H1863" s="527"/>
      <c r="I1863" s="527"/>
      <c r="J1863" s="527"/>
      <c r="K1863" s="527"/>
      <c r="L1863" s="527"/>
      <c r="M1863" s="527"/>
    </row>
    <row r="1864" ht="15.75" customHeight="1">
      <c r="A1864" s="523"/>
      <c r="B1864" s="509"/>
      <c r="C1864" s="509"/>
      <c r="D1864" s="522"/>
      <c r="E1864" s="526"/>
      <c r="F1864" s="526"/>
      <c r="G1864" s="527"/>
      <c r="H1864" s="527"/>
      <c r="I1864" s="527"/>
      <c r="J1864" s="527"/>
      <c r="K1864" s="527"/>
      <c r="L1864" s="527"/>
      <c r="M1864" s="527"/>
    </row>
    <row r="1865" ht="15.75" customHeight="1">
      <c r="A1865" s="523"/>
      <c r="B1865" s="509"/>
      <c r="C1865" s="509"/>
      <c r="D1865" s="522"/>
      <c r="E1865" s="526"/>
      <c r="F1865" s="526"/>
      <c r="G1865" s="527"/>
      <c r="H1865" s="527"/>
      <c r="I1865" s="527"/>
      <c r="J1865" s="527"/>
      <c r="K1865" s="527"/>
      <c r="L1865" s="527"/>
      <c r="M1865" s="527"/>
    </row>
    <row r="1866" ht="15.75" customHeight="1">
      <c r="A1866" s="523"/>
      <c r="B1866" s="509"/>
      <c r="C1866" s="509"/>
      <c r="D1866" s="522"/>
      <c r="E1866" s="526"/>
      <c r="F1866" s="526"/>
      <c r="G1866" s="527"/>
      <c r="H1866" s="527"/>
      <c r="I1866" s="527"/>
      <c r="J1866" s="527"/>
      <c r="K1866" s="527"/>
      <c r="L1866" s="527"/>
      <c r="M1866" s="527"/>
    </row>
    <row r="1867" ht="15.75" customHeight="1">
      <c r="A1867" s="523"/>
      <c r="B1867" s="509"/>
      <c r="C1867" s="509"/>
      <c r="D1867" s="522"/>
      <c r="E1867" s="526"/>
      <c r="F1867" s="526"/>
      <c r="G1867" s="527"/>
      <c r="H1867" s="527"/>
      <c r="I1867" s="527"/>
      <c r="J1867" s="527"/>
      <c r="K1867" s="527"/>
      <c r="L1867" s="527"/>
      <c r="M1867" s="527"/>
    </row>
    <row r="1868" ht="15.75" customHeight="1">
      <c r="A1868" s="523"/>
      <c r="B1868" s="509"/>
      <c r="C1868" s="509"/>
      <c r="D1868" s="522"/>
      <c r="E1868" s="526"/>
      <c r="F1868" s="526"/>
      <c r="G1868" s="527"/>
      <c r="H1868" s="527"/>
      <c r="I1868" s="527"/>
      <c r="J1868" s="527"/>
      <c r="K1868" s="527"/>
      <c r="L1868" s="527"/>
      <c r="M1868" s="527"/>
    </row>
    <row r="1869" ht="15.75" customHeight="1">
      <c r="A1869" s="523"/>
      <c r="B1869" s="509"/>
      <c r="C1869" s="509"/>
      <c r="D1869" s="522"/>
      <c r="E1869" s="526"/>
      <c r="F1869" s="526"/>
      <c r="G1869" s="527"/>
      <c r="H1869" s="527"/>
      <c r="I1869" s="527"/>
      <c r="J1869" s="527"/>
      <c r="K1869" s="527"/>
      <c r="L1869" s="527"/>
      <c r="M1869" s="527"/>
    </row>
  </sheetData>
  <autoFilter ref="$A$1:$L$1869"/>
  <printOptions/>
  <pageMargins bottom="0.787401575" footer="0.0" header="0.0" left="0.511811024" right="0.511811024" top="0.787401575"/>
  <pageSetup orientation="landscape"/>
  <drawing r:id="rId1"/>
</worksheet>
</file>