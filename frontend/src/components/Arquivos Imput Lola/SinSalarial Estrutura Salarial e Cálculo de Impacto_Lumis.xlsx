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Salarial" sheetId="1" r:id="rId5"/>
    <sheet state="visible" name="Tabela Salarial_CLT" sheetId="2" r:id="rId6"/>
    <sheet state="visible" name="Tabela Salarial_PJ" sheetId="3" r:id="rId7"/>
    <sheet state="visible" name="Previsão Custo Enquadramento" sheetId="4" r:id="rId8"/>
    <sheet state="visible" name="Remuneração por Área" sheetId="5" r:id="rId9"/>
    <sheet state="visible" name="Remuneração Total Áreas" sheetId="6" r:id="rId10"/>
    <sheet state="visible" name="Estudo Comparativo Sal Fixo" sheetId="7" r:id="rId11"/>
    <sheet state="visible" name="Cargos da Estrutura_Cálculo" sheetId="8" r:id="rId12"/>
    <sheet state="visible" name="Cargos por Grade" sheetId="9" r:id="rId13"/>
  </sheets>
  <definedNames>
    <definedName hidden="1" localSheetId="0" name="_xlnm._FilterDatabase">'Estrutura Salarial'!$B$6:$O$79</definedName>
    <definedName hidden="1" localSheetId="3" name="_xlnm._FilterDatabase">'Previsão Custo Enquadramento'!$A$1:$Q$57</definedName>
    <definedName hidden="1" localSheetId="4" name="_xlnm._FilterDatabase">'Remuneração por Área'!$A$1:$S$61</definedName>
    <definedName hidden="1" localSheetId="7" name="_xlnm._FilterDatabase">'Cargos da Estrutura_Cálculo'!$B$2:$D$131</definedName>
    <definedName hidden="1" localSheetId="8" name="_xlnm._FilterDatabase">'Cargos por Grade'!$B$2:$D$68</definedName>
  </definedNames>
  <calcPr/>
</workbook>
</file>

<file path=xl/sharedStrings.xml><?xml version="1.0" encoding="utf-8"?>
<sst xmlns="http://schemas.openxmlformats.org/spreadsheetml/2006/main" count="1003" uniqueCount="279">
  <si>
    <t xml:space="preserve">                Estrutura Salarial Lumis</t>
  </si>
  <si>
    <t>Desempenho Inicial</t>
  </si>
  <si>
    <t>Ideal</t>
  </si>
  <si>
    <t>Alto Desempenho</t>
  </si>
  <si>
    <t>Cargo</t>
  </si>
  <si>
    <t>Área</t>
  </si>
  <si>
    <t>Média Lumis CLT</t>
  </si>
  <si>
    <t>Referência
Pesquisa CLT</t>
  </si>
  <si>
    <t>Grade</t>
  </si>
  <si>
    <t>Auxiliar Administrativo</t>
  </si>
  <si>
    <t>Administrativo</t>
  </si>
  <si>
    <t>Auxiliar Atendimento</t>
  </si>
  <si>
    <t>Recepção</t>
  </si>
  <si>
    <t>Assistente Administrativo</t>
  </si>
  <si>
    <t>Assistente Atendimento</t>
  </si>
  <si>
    <t>R$ 2.517,88</t>
  </si>
  <si>
    <t>Assistente Compras</t>
  </si>
  <si>
    <t>Suprimentos</t>
  </si>
  <si>
    <t>R$ 2.667,83</t>
  </si>
  <si>
    <t>Assistente Financeiro</t>
  </si>
  <si>
    <t>Financeiro</t>
  </si>
  <si>
    <t>R$ 2.665,28</t>
  </si>
  <si>
    <t>Assistente Financeiro Contas a Pagar</t>
  </si>
  <si>
    <t>Assistente Marketing</t>
  </si>
  <si>
    <t>Marketing</t>
  </si>
  <si>
    <t>Assistente TI</t>
  </si>
  <si>
    <t>Tecnologia da Informação</t>
  </si>
  <si>
    <t>Auxiliar Engenharia</t>
  </si>
  <si>
    <t>Urbanismo</t>
  </si>
  <si>
    <t>Almoxarife</t>
  </si>
  <si>
    <t>Edificação</t>
  </si>
  <si>
    <t>Assistente Adm Legalização</t>
  </si>
  <si>
    <t xml:space="preserve">Legalização </t>
  </si>
  <si>
    <t>Assistente Controladoria</t>
  </si>
  <si>
    <t>Controladoria</t>
  </si>
  <si>
    <t>Assistente Recursos Humanos</t>
  </si>
  <si>
    <t>DHO</t>
  </si>
  <si>
    <t>Analista Financeiro Captação Recursos Jr</t>
  </si>
  <si>
    <t>Analista Financeiro Comercial Jr</t>
  </si>
  <si>
    <t>Analista Financeiro Jr</t>
  </si>
  <si>
    <t>Analista Manutenção Jr</t>
  </si>
  <si>
    <t>Analista Marketing Jr</t>
  </si>
  <si>
    <t>Analista Pós-Vendas Jr</t>
  </si>
  <si>
    <t>Pós Vendas</t>
  </si>
  <si>
    <t>Assistente Engenharia</t>
  </si>
  <si>
    <t>Analista Compras Jr</t>
  </si>
  <si>
    <t xml:space="preserve">Suprimentos </t>
  </si>
  <si>
    <t>Analista Criação</t>
  </si>
  <si>
    <t>Analista Financeiro Captação Recursos Pl</t>
  </si>
  <si>
    <t>Analista Financeiro Comercial Pl</t>
  </si>
  <si>
    <t>Analista Financeiro Pl</t>
  </si>
  <si>
    <t>Analista Manutenção Pl</t>
  </si>
  <si>
    <t>Analista Marketing Pl</t>
  </si>
  <si>
    <t>Analista Pós-Vendas Pl</t>
  </si>
  <si>
    <t>Analista Compras Pl</t>
  </si>
  <si>
    <t>Analista Engenharia</t>
  </si>
  <si>
    <t>R$ 5.281,61</t>
  </si>
  <si>
    <t>Analista Financeiro Captação Recursos Sr</t>
  </si>
  <si>
    <t>Analista Financeiro Comercial Sr</t>
  </si>
  <si>
    <t>Analista Financeiro Sr</t>
  </si>
  <si>
    <t>Analista Inovação</t>
  </si>
  <si>
    <t>Inovação</t>
  </si>
  <si>
    <t>Analista Manutenção Sr</t>
  </si>
  <si>
    <t>Analista Marketing Sr</t>
  </si>
  <si>
    <t>Analista Pós-Vendas Sr</t>
  </si>
  <si>
    <t>Analista Recursos Humanos</t>
  </si>
  <si>
    <t>R$ 5.346,46</t>
  </si>
  <si>
    <t>Analista Urbanismo Jr</t>
  </si>
  <si>
    <t>Tecnólogo Construção Edifícios</t>
  </si>
  <si>
    <t>Analista Compras Sr</t>
  </si>
  <si>
    <t>Analista Urbanismo Pl</t>
  </si>
  <si>
    <t>Supervisor Financeiro</t>
  </si>
  <si>
    <t>Supervisor Pós-Vendas</t>
  </si>
  <si>
    <t>R$ 7.324,49</t>
  </si>
  <si>
    <t>Técnico Analista Custos</t>
  </si>
  <si>
    <t>Analista Urbanismo Sr</t>
  </si>
  <si>
    <t>Controller Jurídico</t>
  </si>
  <si>
    <t>Coordenador Legalização</t>
  </si>
  <si>
    <t>Coordenador Marketing</t>
  </si>
  <si>
    <t>Encarregado Obras / Manutenção</t>
  </si>
  <si>
    <t>Engenheiro Jr</t>
  </si>
  <si>
    <t>Engenheiro Urbanismo Jr</t>
  </si>
  <si>
    <t>Supervisor Novos Negócios</t>
  </si>
  <si>
    <t>Novos Negócios</t>
  </si>
  <si>
    <t>-</t>
  </si>
  <si>
    <t>Controller Técnico</t>
  </si>
  <si>
    <t>Encarregado Loteamento</t>
  </si>
  <si>
    <t>Engenheiro Pl</t>
  </si>
  <si>
    <t>Engenheiro Urbanismo Pl</t>
  </si>
  <si>
    <t>Gerente House</t>
  </si>
  <si>
    <t>Comercial</t>
  </si>
  <si>
    <t>Gerente Imobiliárias Externas</t>
  </si>
  <si>
    <t>Gerente Parcerias</t>
  </si>
  <si>
    <t>Gerente Parcerias Externas</t>
  </si>
  <si>
    <t>Coordenador DHO</t>
  </si>
  <si>
    <t>Coordenador Financeiro</t>
  </si>
  <si>
    <t>Coordenador Suprimentos</t>
  </si>
  <si>
    <t>Engenheiro Sr</t>
  </si>
  <si>
    <t>Engenheiro Urbanismo Sr</t>
  </si>
  <si>
    <t>Gerente Comercial</t>
  </si>
  <si>
    <t>Mestre de Obras</t>
  </si>
  <si>
    <t>Controller Geral</t>
  </si>
  <si>
    <t>Gerente Administrativo</t>
  </si>
  <si>
    <t>Gerente Edificações</t>
  </si>
  <si>
    <t>Diretor</t>
  </si>
  <si>
    <t>Gerente Urbanismo</t>
  </si>
  <si>
    <t>Analista Arquitetura</t>
  </si>
  <si>
    <t>Incorporação</t>
  </si>
  <si>
    <t>Gerente Incorporação</t>
  </si>
  <si>
    <r>
      <rPr>
        <rFont val="Arial"/>
        <b val="0"/>
        <color theme="1"/>
        <sz val="22.0"/>
      </rPr>
      <t>Tabela Salarial - CLT</t>
    </r>
    <r>
      <rPr>
        <rFont val="Arial"/>
        <b val="0"/>
        <color theme="1"/>
        <sz val="11.0"/>
      </rPr>
      <t xml:space="preserve">
Amplitude Horizontal (no mesmo Nível): 50%</t>
    </r>
  </si>
  <si>
    <t>Grades</t>
  </si>
  <si>
    <t>S</t>
  </si>
  <si>
    <r>
      <rPr>
        <rFont val="Arial"/>
        <b val="0"/>
        <color theme="1"/>
        <sz val="22.0"/>
      </rPr>
      <t>Tabela Salarial PJ</t>
    </r>
    <r>
      <rPr>
        <rFont val="Arial"/>
        <b val="0"/>
        <color theme="1"/>
        <sz val="11.0"/>
      </rPr>
      <t xml:space="preserve">
Amplitude Horizontal (no mesmo Nível): 50%</t>
    </r>
  </si>
  <si>
    <t>Nível Operacional / Nível de Liderança</t>
  </si>
  <si>
    <t>Mult</t>
  </si>
  <si>
    <t>Operacional</t>
  </si>
  <si>
    <t>Operacional/Coordenador</t>
  </si>
  <si>
    <t>Operacional/Gerente/Coordenador</t>
  </si>
  <si>
    <t>Coordenador/Gerente</t>
  </si>
  <si>
    <t>Gerentes</t>
  </si>
  <si>
    <t>Gerentes/Diretor</t>
  </si>
  <si>
    <t>Cod do funcionário</t>
  </si>
  <si>
    <t>Cargo Atual</t>
  </si>
  <si>
    <t>Cargo Estrutura Salarial</t>
  </si>
  <si>
    <t>Nível Organizacional</t>
  </si>
  <si>
    <t>Tipo de Contratação</t>
  </si>
  <si>
    <t>Carga Horária</t>
  </si>
  <si>
    <t>Salário</t>
  </si>
  <si>
    <t>Grade Tabela</t>
  </si>
  <si>
    <t>Tabela - Inicial Faixa</t>
  </si>
  <si>
    <t>Dif Tabela</t>
  </si>
  <si>
    <t>Dif Enquadramento Tabela</t>
  </si>
  <si>
    <t>Posicionamento na Tabela</t>
  </si>
  <si>
    <t>Tabela - 100%</t>
  </si>
  <si>
    <t>Dif 100%</t>
  </si>
  <si>
    <t>Todos 100%</t>
  </si>
  <si>
    <t>Atual - Máximo</t>
  </si>
  <si>
    <t>ALMOXARIFE</t>
  </si>
  <si>
    <t>CLT</t>
  </si>
  <si>
    <t>ANALISTA DE COMPRAS</t>
  </si>
  <si>
    <t>ANALISTA DE CRIAÇAO</t>
  </si>
  <si>
    <t>PJ1</t>
  </si>
  <si>
    <t>ANALISTA DE INOVAÇÃO</t>
  </si>
  <si>
    <t>Tático</t>
  </si>
  <si>
    <t>PJ</t>
  </si>
  <si>
    <t>ANALISTA DE MANUTENÇÃO II</t>
  </si>
  <si>
    <t>ANALISTA DE MARKETING l</t>
  </si>
  <si>
    <t>ANALISTA DE PÓS VENDAS II</t>
  </si>
  <si>
    <t>ANALISTA DE URBANISMO</t>
  </si>
  <si>
    <t>ANALISTA FINANCEIRO COMERCIAL III</t>
  </si>
  <si>
    <t>ANALISTA FINANCEIRO DE CAPTAÇÃO DE RECURSOS III</t>
  </si>
  <si>
    <t>ANALISTA FINANCEIRO I</t>
  </si>
  <si>
    <t>ASSISTENTE ADM DE LEGALIZAÇÃO III</t>
  </si>
  <si>
    <t>Legalização</t>
  </si>
  <si>
    <t>ASSISTENTE ADMINISTRATIVO lll</t>
  </si>
  <si>
    <t>ASSISTENTE DE CONTROLADORIA III</t>
  </si>
  <si>
    <t>ASSISTENTE DE ENGENHARIA lll</t>
  </si>
  <si>
    <t>ASSISTENTE DE MARKETING</t>
  </si>
  <si>
    <t>ASSISTENTE DE RECURSOS HUMANOS</t>
  </si>
  <si>
    <t>ASSISTENTE DE TI</t>
  </si>
  <si>
    <t>ASSISTENTE FINANCEIRO CONTAS A PAGAR</t>
  </si>
  <si>
    <t>ASSISTENTE FINANCEIRO CONTAS A PAGAR III</t>
  </si>
  <si>
    <t>AUXILIAR ADMINISTRATIVO</t>
  </si>
  <si>
    <t>AUXILIAR ADMINISTRATIVO III</t>
  </si>
  <si>
    <t>AUXILIAR DE ATENDIMENTO II</t>
  </si>
  <si>
    <t>AUXILIAR DE ENGENHARIA</t>
  </si>
  <si>
    <t>PJ2</t>
  </si>
  <si>
    <t>CONTROLER JURÍDICO</t>
  </si>
  <si>
    <t>PJ3</t>
  </si>
  <si>
    <t>CONTROLLER GERAL</t>
  </si>
  <si>
    <t>PJ4</t>
  </si>
  <si>
    <t>CONTROLLER TÉCNICO</t>
  </si>
  <si>
    <t>COORDENADOR DE DHO</t>
  </si>
  <si>
    <t>COORDENADOR DE LEGAIZAÇÃO ll</t>
  </si>
  <si>
    <t>COORDENADOR DE MARKETING II</t>
  </si>
  <si>
    <t>COORDENADOR DE OBRAS</t>
  </si>
  <si>
    <t>PJ5</t>
  </si>
  <si>
    <t>COORDENADOR DE SUPRIMENTOS</t>
  </si>
  <si>
    <t>PJ6</t>
  </si>
  <si>
    <t>COORDENADOR FINANCEIRO</t>
  </si>
  <si>
    <t>PJ7</t>
  </si>
  <si>
    <t>DIRETOR</t>
  </si>
  <si>
    <t>Estratégico</t>
  </si>
  <si>
    <t>ENCARREGADO DE OBRAS</t>
  </si>
  <si>
    <t>ENCARREGADO OBRAS/MANUTENCAO</t>
  </si>
  <si>
    <t>PJ8</t>
  </si>
  <si>
    <t>ENGENHEIRO JUNIOR DE URBANISMO</t>
  </si>
  <si>
    <t>PJ9</t>
  </si>
  <si>
    <t>ENGENHEIRO SÊNIOR</t>
  </si>
  <si>
    <t>PJ10</t>
  </si>
  <si>
    <t>GERENTE ADMINISTRATIVA</t>
  </si>
  <si>
    <t>PJ11</t>
  </si>
  <si>
    <t>GERENTE COMERCIAL</t>
  </si>
  <si>
    <t>PJ12</t>
  </si>
  <si>
    <t>GERENTE DE EDIFICAÇÕES</t>
  </si>
  <si>
    <t>PJ13</t>
  </si>
  <si>
    <t>GERENTE DE HOUSE</t>
  </si>
  <si>
    <t>PJ14</t>
  </si>
  <si>
    <t>GERENTE DE IMOBILIÁRIAS EXTERNAS</t>
  </si>
  <si>
    <t>PJ15</t>
  </si>
  <si>
    <t>PJ16</t>
  </si>
  <si>
    <t>GERENTE DE INCORPORAÇÃO</t>
  </si>
  <si>
    <t>PJ17</t>
  </si>
  <si>
    <t>GERENTE DE PARCERIAS</t>
  </si>
  <si>
    <t>PJ18</t>
  </si>
  <si>
    <t>PJ19</t>
  </si>
  <si>
    <t>GERENTE DE PARCERIAS EXTERNAS</t>
  </si>
  <si>
    <t>PJ20</t>
  </si>
  <si>
    <t>GERENTE DE URBANISMO</t>
  </si>
  <si>
    <t>PJ21</t>
  </si>
  <si>
    <t>SUPERVISOR DE NOVOS NEGÓCIOS</t>
  </si>
  <si>
    <t>SUPERVISOR(A) FINANCEIRO I</t>
  </si>
  <si>
    <t>PJ22</t>
  </si>
  <si>
    <t>TECNICO ANALISTA DE CUSTOS</t>
  </si>
  <si>
    <t>TECNOLOGO EM CONSTRUÇÃO DE EDIFICIOS</t>
  </si>
  <si>
    <t>Cod</t>
  </si>
  <si>
    <t>Nome</t>
  </si>
  <si>
    <t>Áreas</t>
  </si>
  <si>
    <t>Enquadramento 80%</t>
  </si>
  <si>
    <t>Enquadramento 100%</t>
  </si>
  <si>
    <t>Salário + Enquadramento 80%</t>
  </si>
  <si>
    <t>Salário + Enquadramento 100%</t>
  </si>
  <si>
    <t>Cargos Empresa</t>
  </si>
  <si>
    <t>Comissão</t>
  </si>
  <si>
    <t>Prêmios e Bônus</t>
  </si>
  <si>
    <t>Salário + Variável</t>
  </si>
  <si>
    <t>Faixa 80%</t>
  </si>
  <si>
    <t>Faixa 100%</t>
  </si>
  <si>
    <t>Dif Enquadamento 80%</t>
  </si>
  <si>
    <t>Dif Enquadamento 100%</t>
  </si>
  <si>
    <t>Salário Enquadramento 80%  + Variável</t>
  </si>
  <si>
    <t>Salário Enquadramento 100%  + Variável</t>
  </si>
  <si>
    <t>E01</t>
  </si>
  <si>
    <t>ESTAGIARIO (A)</t>
  </si>
  <si>
    <t>Estágio</t>
  </si>
  <si>
    <t>E03</t>
  </si>
  <si>
    <t>ESTAGIÁRIO(A) ADM</t>
  </si>
  <si>
    <t>E04</t>
  </si>
  <si>
    <t>ESTAGIARIO(A) ENG. CIVIL</t>
  </si>
  <si>
    <t>ESTAGIÁRIO(A) RH/DP</t>
  </si>
  <si>
    <t>Fixo Atual</t>
  </si>
  <si>
    <t>Fixo + Enquadramento para 80%</t>
  </si>
  <si>
    <t>Enquadrado para 100%</t>
  </si>
  <si>
    <t>Fixo + Variável Atual</t>
  </si>
  <si>
    <t>Fixo + Vatiável + Enquadramento para 80%</t>
  </si>
  <si>
    <t xml:space="preserve">  Impacto Financeiro Área:</t>
  </si>
  <si>
    <t>Todas</t>
  </si>
  <si>
    <t>Necessário para Mín.</t>
  </si>
  <si>
    <t>Movimento Todos para 100% da Tabela</t>
  </si>
  <si>
    <t>Estratégico: Heads;
Tático: Assessores e Economista Chefe;
Operacional: Demais Cargos;</t>
  </si>
  <si>
    <t>Excedente acima Max.</t>
  </si>
  <si>
    <t>Ranking</t>
  </si>
  <si>
    <t>Áreas com maior impacto:</t>
  </si>
  <si>
    <r>
      <rPr>
        <rFont val="Calibri"/>
        <color rgb="FFFF0000"/>
        <sz val="9.0"/>
      </rPr>
      <t xml:space="preserve">• </t>
    </r>
    <r>
      <rPr>
        <rFont val="Calibri"/>
        <color theme="1"/>
        <sz val="9.0"/>
      </rPr>
      <t xml:space="preserve">Comercial;
</t>
    </r>
    <r>
      <rPr>
        <rFont val="Calibri"/>
        <color rgb="FFFF0000"/>
        <sz val="9.0"/>
      </rPr>
      <t>•</t>
    </r>
    <r>
      <rPr>
        <rFont val="Calibri"/>
        <color theme="1"/>
        <sz val="9.0"/>
      </rPr>
      <t xml:space="preserve"> Urbanismo;
</t>
    </r>
    <r>
      <rPr>
        <rFont val="Calibri"/>
        <color rgb="FFFF0000"/>
        <sz val="9.0"/>
      </rPr>
      <t>•</t>
    </r>
    <r>
      <rPr>
        <rFont val="Calibri"/>
        <color theme="1"/>
        <sz val="9.0"/>
      </rPr>
      <t xml:space="preserve"> Edificação;
</t>
    </r>
    <r>
      <rPr>
        <rFont val="Calibri"/>
        <color rgb="FFFF0000"/>
        <sz val="9.0"/>
      </rPr>
      <t>•</t>
    </r>
    <r>
      <rPr>
        <rFont val="Calibri"/>
        <color theme="1"/>
        <sz val="9.0"/>
      </rPr>
      <t xml:space="preserve"> DHO. </t>
    </r>
  </si>
  <si>
    <t>Áreas com menor impacto(zero):</t>
  </si>
  <si>
    <r>
      <rPr>
        <rFont val="Calibri"/>
        <color rgb="FF9BBB59"/>
        <sz val="9.0"/>
      </rPr>
      <t xml:space="preserve">• </t>
    </r>
    <r>
      <rPr>
        <rFont val="Calibri"/>
        <color rgb="FF000000"/>
        <sz val="9.0"/>
      </rPr>
      <t>Marketing;</t>
    </r>
    <r>
      <rPr>
        <rFont val="Calibri"/>
        <color rgb="FF9BBB59"/>
        <sz val="9.0"/>
      </rPr>
      <t xml:space="preserve">
•</t>
    </r>
    <r>
      <rPr>
        <rFont val="Calibri"/>
        <color rgb="FF000000"/>
        <sz val="9.0"/>
      </rPr>
      <t xml:space="preserve"> Tecnologia da Informação;</t>
    </r>
    <r>
      <rPr>
        <rFont val="Calibri"/>
        <color rgb="FF9BBB59"/>
        <sz val="9.0"/>
      </rPr>
      <t xml:space="preserve">
•</t>
    </r>
    <r>
      <rPr>
        <rFont val="Calibri"/>
        <color rgb="FF000000"/>
        <sz val="9.0"/>
      </rPr>
      <t xml:space="preserve"> Legalização;
</t>
    </r>
    <r>
      <rPr>
        <rFont val="Calibri"/>
        <color rgb="FF9BBB59"/>
        <sz val="9.0"/>
      </rPr>
      <t>•</t>
    </r>
    <r>
      <rPr>
        <rFont val="Calibri"/>
        <color rgb="FF000000"/>
        <sz val="9.0"/>
      </rPr>
      <t xml:space="preserve"> Inovação;
</t>
    </r>
    <r>
      <rPr>
        <rFont val="Calibri"/>
        <color rgb="FF9BBB59"/>
        <sz val="9.0"/>
      </rPr>
      <t>•</t>
    </r>
    <r>
      <rPr>
        <rFont val="Calibri"/>
        <color rgb="FF000000"/>
        <sz val="9.0"/>
      </rPr>
      <t xml:space="preserve"> Novos Negórcios;
</t>
    </r>
    <r>
      <rPr>
        <rFont val="Calibri"/>
        <color rgb="FF9BBB59"/>
        <sz val="9.0"/>
      </rPr>
      <t>•</t>
    </r>
    <r>
      <rPr>
        <rFont val="Calibri"/>
        <color rgb="FF000000"/>
        <sz val="9.0"/>
      </rPr>
      <t xml:space="preserve"> Incorporação.
</t>
    </r>
  </si>
  <si>
    <t>Lista de cargos da estrutura</t>
  </si>
  <si>
    <t>Nº de Colaboradores</t>
  </si>
  <si>
    <t>Dados de Ocupação de Cargos</t>
  </si>
  <si>
    <t>Nº Total de Cargos</t>
  </si>
  <si>
    <t>Cargos com ocupantes</t>
  </si>
  <si>
    <t>Cargos sem ocupantes</t>
  </si>
  <si>
    <t>Abaixo do Mínimo</t>
  </si>
  <si>
    <t>Entre Mínimo e 100%</t>
  </si>
  <si>
    <t>Entre 100% e Máximo</t>
  </si>
  <si>
    <t>Acima do Máximo</t>
  </si>
  <si>
    <t>Todos</t>
  </si>
  <si>
    <t>Abaixo da Estrutura Salarial</t>
  </si>
  <si>
    <t>Dentro da Estrutura Salarial</t>
  </si>
  <si>
    <t>Acima da Estrutura Salarial</t>
  </si>
  <si>
    <t>Total</t>
  </si>
  <si>
    <t>Número de Profissionais</t>
  </si>
  <si>
    <t>Enquadrar</t>
  </si>
  <si>
    <t>Dentro da Estrutura</t>
  </si>
  <si>
    <t>Coordenador Obras</t>
  </si>
  <si>
    <t>Red Flag</t>
  </si>
  <si>
    <t>Valor de Enquadramento</t>
  </si>
  <si>
    <t>Área de atenção</t>
  </si>
  <si>
    <t>Valor para 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</si>
</sst>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_([$R$ -416]* #,##0.00_);_([$R$ -416]* \(#,##0.00\);_([$R$ -416]* &quot;-&quot;??_);_(@_)"/>
    <numFmt numFmtId="166" formatCode="[$R$]#,##0.00"/>
  </numFmts>
  <fonts count="33">
    <font>
      <sz val="11.0"/>
      <color theme="1"/>
      <name val="Calibri"/>
      <scheme val="minor"/>
    </font>
    <font>
      <color theme="1"/>
      <name val="Calibri"/>
      <scheme val="minor"/>
    </font>
    <font>
      <b/>
      <sz val="17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rgb="FF000000"/>
      <name val="Calibri"/>
      <scheme val="minor"/>
    </font>
    <font>
      <b/>
      <sz val="14.0"/>
      <color theme="1"/>
      <name val="Calibri"/>
    </font>
    <font>
      <b/>
      <sz val="11.0"/>
      <color rgb="FFFFFFFF"/>
      <name val="Calibri"/>
    </font>
    <font/>
    <font>
      <sz val="10.0"/>
      <color theme="1"/>
      <name val="Calibri"/>
    </font>
    <font>
      <sz val="13.0"/>
      <color theme="1"/>
      <name val="Calibri"/>
    </font>
    <font>
      <sz val="11.0"/>
      <color rgb="FF1D1C1D"/>
      <name val="Slack-Lato"/>
    </font>
    <font>
      <sz val="11.0"/>
      <color rgb="FF000000"/>
      <name val="Calibri"/>
    </font>
    <font>
      <color rgb="FFFFFFFF"/>
      <name val="Calibri"/>
      <scheme val="minor"/>
    </font>
    <font>
      <color theme="1"/>
      <name val="Calibri"/>
    </font>
    <font>
      <sz val="9.0"/>
      <color theme="1"/>
      <name val="Calibri"/>
    </font>
    <font>
      <b/>
      <sz val="12.0"/>
      <color theme="0"/>
      <name val="Calibri"/>
    </font>
    <font>
      <b/>
      <sz val="18.0"/>
      <color rgb="FF021CCA"/>
      <name val="Calibri"/>
    </font>
    <font>
      <b/>
      <sz val="8.0"/>
      <color rgb="FF002060"/>
      <name val="Calibri"/>
    </font>
    <font>
      <sz val="9.0"/>
      <color rgb="FF666666"/>
      <name val="Calibri"/>
      <scheme val="minor"/>
    </font>
    <font>
      <b/>
      <sz val="10.0"/>
      <color rgb="FF000000"/>
      <name val="Calibri"/>
      <scheme val="minor"/>
    </font>
    <font>
      <sz val="9.0"/>
      <color theme="1"/>
      <name val="Calibri"/>
      <scheme val="minor"/>
    </font>
    <font>
      <b/>
      <sz val="18.0"/>
      <color rgb="FFFF0000"/>
      <name val="Calibri"/>
    </font>
    <font>
      <sz val="9.0"/>
      <color rgb="FFFF0000"/>
      <name val="Calibri"/>
    </font>
    <font>
      <b/>
      <sz val="10.0"/>
      <color rgb="FFFF0000"/>
      <name val="Calibri"/>
      <scheme val="minor"/>
    </font>
    <font>
      <b/>
      <sz val="9.0"/>
      <color rgb="FF021CCA"/>
      <name val="Calibri"/>
    </font>
    <font>
      <sz val="9.0"/>
      <color rgb="FF9BBB59"/>
      <name val="Calibri"/>
      <scheme val="minor"/>
    </font>
    <font>
      <sz val="8.0"/>
      <color rgb="FF666666"/>
      <name val="Calibri"/>
      <scheme val="minor"/>
    </font>
    <font>
      <sz val="11.0"/>
      <color rgb="FFFFFFFF"/>
      <name val="Calibri"/>
    </font>
    <font>
      <sz val="12.0"/>
      <color theme="1"/>
      <name val="Calibri"/>
    </font>
    <font>
      <u/>
      <color theme="1"/>
      <name val="Calibri"/>
      <scheme val="minor"/>
    </font>
    <font>
      <color rgb="FFFFFFFF"/>
      <name val="Calibri"/>
    </font>
    <font>
      <sz val="10.0"/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4412"/>
        <bgColor rgb="FFD84412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E5B8B7"/>
        <bgColor rgb="FFE5B8B7"/>
      </patternFill>
    </fill>
    <fill>
      <patternFill patternType="solid">
        <fgColor rgb="FFF7DABB"/>
        <bgColor rgb="FFF7DABB"/>
      </patternFill>
    </fill>
    <fill>
      <patternFill patternType="solid">
        <fgColor rgb="FFECA860"/>
        <bgColor rgb="FFECA86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70AD47"/>
        <bgColor rgb="FF70AD47"/>
      </patternFill>
    </fill>
    <fill>
      <patternFill patternType="solid">
        <fgColor rgb="FF0B5394"/>
        <bgColor rgb="FF0B5394"/>
      </patternFill>
    </fill>
    <fill>
      <patternFill patternType="solid">
        <fgColor rgb="FFED7D31"/>
        <bgColor rgb="FFED7D31"/>
      </patternFill>
    </fill>
  </fills>
  <borders count="74">
    <border/>
    <border>
      <left/>
      <right/>
      <top/>
      <bottom/>
    </border>
    <border>
      <left style="medium">
        <color rgb="FF000000"/>
      </left>
      <right style="thin">
        <color rgb="FFA5340E"/>
      </right>
      <top style="medium">
        <color rgb="FF000000"/>
      </top>
      <bottom style="thin">
        <color rgb="FFA5340E"/>
      </bottom>
    </border>
    <border>
      <left style="thin">
        <color rgb="FFA5340E"/>
      </left>
      <right style="thin">
        <color rgb="FFA5340E"/>
      </right>
      <top style="medium">
        <color rgb="FF000000"/>
      </top>
      <bottom style="thin">
        <color rgb="FFA5340E"/>
      </bottom>
    </border>
    <border>
      <left style="thin">
        <color rgb="FFA5340E"/>
      </left>
      <top style="medium">
        <color rgb="FF000000"/>
      </top>
      <bottom style="thin">
        <color rgb="FFA5340E"/>
      </bottom>
    </border>
    <border>
      <top style="medium">
        <color rgb="FF000000"/>
      </top>
      <bottom style="thin">
        <color rgb="FFA5340E"/>
      </bottom>
    </border>
    <border>
      <right style="thin">
        <color rgb="FFA5340E"/>
      </right>
      <top style="medium">
        <color rgb="FF000000"/>
      </top>
      <bottom style="thin">
        <color rgb="FFA5340E"/>
      </bottom>
    </border>
    <border>
      <right style="medium">
        <color rgb="FF000000"/>
      </right>
      <top style="medium">
        <color rgb="FF000000"/>
      </top>
      <bottom style="thin">
        <color rgb="FFA5340E"/>
      </bottom>
    </border>
    <border>
      <left style="medium">
        <color rgb="FF000000"/>
      </left>
      <right style="thin">
        <color rgb="FFA5340E"/>
      </right>
      <top style="thin">
        <color rgb="FFA5340E"/>
      </top>
      <bottom style="thin">
        <color rgb="FFA5340E"/>
      </bottom>
    </border>
    <border>
      <left style="thin">
        <color rgb="FFA5340E"/>
      </left>
      <right style="thin">
        <color rgb="FFA5340E"/>
      </right>
      <top style="thin">
        <color rgb="FFA5340E"/>
      </top>
      <bottom style="thin">
        <color rgb="FFA5340E"/>
      </bottom>
    </border>
    <border>
      <left style="thin">
        <color rgb="FFA5340E"/>
      </left>
      <right style="medium">
        <color rgb="FF000000"/>
      </right>
      <top style="thin">
        <color rgb="FFA5340E"/>
      </top>
      <bottom style="thin">
        <color rgb="FFA5340E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AEABAB"/>
      </left>
      <right style="thin">
        <color rgb="FFAEABAB"/>
      </right>
      <top style="thin">
        <color rgb="FFCCCCCC"/>
      </top>
      <bottom style="thin">
        <color rgb="FFCCCCCC"/>
      </bottom>
    </border>
    <border>
      <left/>
      <right/>
      <top/>
    </border>
    <border>
      <lef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A5340E"/>
      </right>
      <top style="thin">
        <color rgb="FFA5340E"/>
      </top>
    </border>
    <border>
      <left style="thin">
        <color rgb="FFA5340E"/>
      </left>
      <top style="thin">
        <color rgb="FFA5340E"/>
      </top>
      <bottom style="thin">
        <color rgb="FFA5340E"/>
      </bottom>
    </border>
    <border>
      <top style="thin">
        <color rgb="FFA5340E"/>
      </top>
      <bottom style="thin">
        <color rgb="FFA5340E"/>
      </bottom>
    </border>
    <border>
      <right style="medium">
        <color rgb="FF000000"/>
      </right>
      <top style="thin">
        <color rgb="FFA5340E"/>
      </top>
      <bottom style="thin">
        <color rgb="FFA5340E"/>
      </bottom>
    </border>
    <border>
      <left style="medium">
        <color rgb="FF000000"/>
      </left>
      <right style="thin">
        <color rgb="FFA5340E"/>
      </right>
      <bottom style="thin">
        <color rgb="FFA5340E"/>
      </bottom>
    </border>
    <border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A5340E"/>
      </right>
      <top style="medium">
        <color rgb="FF000000"/>
      </top>
    </border>
    <border>
      <left style="thin">
        <color rgb="FFA5340E"/>
      </left>
      <right style="thin">
        <color rgb="FFA5340E"/>
      </right>
      <top style="medium">
        <color rgb="FF000000"/>
      </top>
    </border>
    <border>
      <left style="thin">
        <color rgb="FFA5340E"/>
      </left>
      <right style="medium">
        <color rgb="FF000000"/>
      </right>
      <top style="medium">
        <color rgb="FF000000"/>
      </top>
    </border>
    <border>
      <left style="thin">
        <color rgb="FFA5340E"/>
      </left>
      <right style="thin">
        <color rgb="FFA5340E"/>
      </right>
      <bottom style="thin">
        <color rgb="FFA5340E"/>
      </bottom>
    </border>
    <border>
      <left style="thin">
        <color rgb="FFA5340E"/>
      </left>
      <right style="medium">
        <color rgb="FF000000"/>
      </right>
      <bottom style="thin">
        <color rgb="FFA5340E"/>
      </bottom>
    </border>
    <border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FFFFFF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bottom style="thin">
        <color rgb="FFFFFFFF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bottom style="thin">
        <color rgb="FFD9D9D9"/>
      </bottom>
    </border>
    <border>
      <top style="thin">
        <color rgb="FFD9D9D9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1" fillId="2" fontId="3" numFmtId="0" xfId="0" applyAlignment="1" applyBorder="1" applyFill="1" applyFont="1">
      <alignment vertical="center"/>
    </xf>
    <xf borderId="1" fillId="2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49" xfId="0" applyAlignment="1" applyFont="1" applyNumberFormat="1">
      <alignment vertical="center"/>
    </xf>
    <xf borderId="0" fillId="0" fontId="5" numFmtId="0" xfId="0" applyAlignment="1" applyFont="1">
      <alignment horizontal="center" shrinkToFit="0" vertical="center" wrapText="0"/>
    </xf>
    <xf borderId="2" fillId="3" fontId="3" numFmtId="49" xfId="0" applyAlignment="1" applyBorder="1" applyFill="1" applyFont="1" applyNumberFormat="1">
      <alignment vertical="center"/>
    </xf>
    <xf borderId="3" fillId="3" fontId="3" numFmtId="0" xfId="0" applyAlignment="1" applyBorder="1" applyFont="1">
      <alignment vertical="center"/>
    </xf>
    <xf borderId="4" fillId="3" fontId="7" numFmtId="0" xfId="0" applyAlignment="1" applyBorder="1" applyFont="1">
      <alignment horizontal="center" vertical="center"/>
    </xf>
    <xf borderId="5" fillId="0" fontId="8" numFmtId="0" xfId="0" applyBorder="1" applyFont="1"/>
    <xf borderId="6" fillId="0" fontId="8" numFmtId="0" xfId="0" applyBorder="1" applyFont="1"/>
    <xf borderId="3" fillId="3" fontId="7" numFmtId="0" xfId="0" applyAlignment="1" applyBorder="1" applyFont="1">
      <alignment horizontal="center" vertical="center"/>
    </xf>
    <xf borderId="7" fillId="0" fontId="8" numFmtId="0" xfId="0" applyBorder="1" applyFont="1"/>
    <xf borderId="8" fillId="3" fontId="7" numFmtId="49" xfId="0" applyAlignment="1" applyBorder="1" applyFont="1" applyNumberFormat="1">
      <alignment horizontal="center" vertical="center"/>
    </xf>
    <xf borderId="9" fillId="3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vertical="center"/>
    </xf>
    <xf borderId="9" fillId="3" fontId="7" numFmtId="9" xfId="0" applyAlignment="1" applyBorder="1" applyFont="1" applyNumberFormat="1">
      <alignment horizontal="center" vertical="center"/>
    </xf>
    <xf borderId="10" fillId="3" fontId="7" numFmtId="9" xfId="0" applyAlignment="1" applyBorder="1" applyFont="1" applyNumberFormat="1">
      <alignment horizontal="center" vertical="center"/>
    </xf>
    <xf borderId="11" fillId="0" fontId="3" numFmtId="49" xfId="0" applyAlignment="1" applyBorder="1" applyFont="1" applyNumberFormat="1">
      <alignment vertical="bottom"/>
    </xf>
    <xf borderId="12" fillId="0" fontId="3" numFmtId="1" xfId="0" applyAlignment="1" applyBorder="1" applyFont="1" applyNumberFormat="1">
      <alignment shrinkToFit="0" vertical="bottom" wrapText="0"/>
    </xf>
    <xf borderId="12" fillId="0" fontId="3" numFmtId="164" xfId="0" applyAlignment="1" applyBorder="1" applyFont="1" applyNumberFormat="1">
      <alignment vertical="bottom"/>
    </xf>
    <xf borderId="13" fillId="0" fontId="3" numFmtId="164" xfId="0" applyAlignment="1" applyBorder="1" applyFont="1" applyNumberFormat="1">
      <alignment horizontal="center"/>
    </xf>
    <xf borderId="12" fillId="4" fontId="3" numFmtId="3" xfId="0" applyAlignment="1" applyBorder="1" applyFill="1" applyFont="1" applyNumberFormat="1">
      <alignment horizontal="center" readingOrder="0"/>
    </xf>
    <xf borderId="12" fillId="0" fontId="3" numFmtId="4" xfId="0" applyAlignment="1" applyBorder="1" applyFont="1" applyNumberFormat="1">
      <alignment horizontal="center"/>
    </xf>
    <xf borderId="12" fillId="5" fontId="4" numFmtId="4" xfId="0" applyAlignment="1" applyBorder="1" applyFill="1" applyFont="1" applyNumberFormat="1">
      <alignment horizontal="center"/>
    </xf>
    <xf borderId="14" fillId="0" fontId="3" numFmtId="4" xfId="0" applyAlignment="1" applyBorder="1" applyFont="1" applyNumberFormat="1">
      <alignment horizontal="center"/>
    </xf>
    <xf borderId="13" fillId="0" fontId="3" numFmtId="164" xfId="0" applyAlignment="1" applyBorder="1" applyFont="1" applyNumberFormat="1">
      <alignment horizontal="center" readingOrder="0"/>
    </xf>
    <xf borderId="13" fillId="4" fontId="3" numFmtId="3" xfId="0" applyAlignment="1" applyBorder="1" applyFont="1" applyNumberFormat="1">
      <alignment horizontal="center" readingOrder="0"/>
    </xf>
    <xf borderId="13" fillId="0" fontId="3" numFmtId="3" xfId="0" applyAlignment="1" applyBorder="1" applyFont="1" applyNumberFormat="1">
      <alignment horizontal="center" readingOrder="0"/>
    </xf>
    <xf borderId="11" fillId="6" fontId="3" numFmtId="49" xfId="0" applyAlignment="1" applyBorder="1" applyFill="1" applyFont="1" applyNumberFormat="1">
      <alignment readingOrder="0" vertical="bottom"/>
    </xf>
    <xf borderId="12" fillId="0" fontId="3" numFmtId="1" xfId="0" applyAlignment="1" applyBorder="1" applyFont="1" applyNumberFormat="1">
      <alignment readingOrder="0" shrinkToFit="0" vertical="bottom" wrapText="0"/>
    </xf>
    <xf borderId="13" fillId="7" fontId="3" numFmtId="3" xfId="0" applyAlignment="1" applyBorder="1" applyFill="1" applyFont="1" applyNumberFormat="1">
      <alignment horizontal="center" readingOrder="0"/>
    </xf>
    <xf borderId="11" fillId="0" fontId="3" numFmtId="49" xfId="0" applyAlignment="1" applyBorder="1" applyFont="1" applyNumberFormat="1">
      <alignment readingOrder="0" vertical="bottom"/>
    </xf>
    <xf borderId="15" fillId="0" fontId="3" numFmtId="164" xfId="0" applyAlignment="1" applyBorder="1" applyFont="1" applyNumberFormat="1">
      <alignment vertical="bottom"/>
    </xf>
    <xf borderId="12" fillId="0" fontId="9" numFmtId="164" xfId="0" applyAlignment="1" applyBorder="1" applyFont="1" applyNumberFormat="1">
      <alignment horizontal="right" vertical="center"/>
    </xf>
    <xf borderId="12" fillId="0" fontId="3" numFmtId="164" xfId="0" applyAlignment="1" applyBorder="1" applyFont="1" applyNumberFormat="1">
      <alignment readingOrder="0" vertical="bottom"/>
    </xf>
    <xf borderId="11" fillId="0" fontId="3" numFmtId="1" xfId="0" applyAlignment="1" applyBorder="1" applyFont="1" applyNumberFormat="1">
      <alignment readingOrder="0" vertical="bottom"/>
    </xf>
    <xf borderId="12" fillId="8" fontId="3" numFmtId="4" xfId="0" applyAlignment="1" applyBorder="1" applyFill="1" applyFont="1" applyNumberFormat="1">
      <alignment horizontal="center"/>
    </xf>
    <xf borderId="12" fillId="4" fontId="3" numFmtId="4" xfId="0" applyAlignment="1" applyBorder="1" applyFont="1" applyNumberFormat="1">
      <alignment horizontal="center"/>
    </xf>
    <xf borderId="16" fillId="2" fontId="3" numFmtId="0" xfId="0" applyAlignment="1" applyBorder="1" applyFont="1">
      <alignment horizontal="center" vertical="center"/>
    </xf>
    <xf borderId="16" fillId="2" fontId="10" numFmtId="0" xfId="0" applyAlignment="1" applyBorder="1" applyFont="1">
      <alignment vertical="center"/>
    </xf>
    <xf borderId="16" fillId="2" fontId="10" numFmtId="9" xfId="0" applyAlignment="1" applyBorder="1" applyFont="1" applyNumberFormat="1">
      <alignment vertical="center"/>
    </xf>
    <xf borderId="16" fillId="2" fontId="10" numFmtId="9" xfId="0" applyAlignment="1" applyBorder="1" applyFont="1" applyNumberFormat="1">
      <alignment readingOrder="0" vertical="center"/>
    </xf>
    <xf borderId="17" fillId="2" fontId="3" numFmtId="0" xfId="0" applyAlignment="1" applyBorder="1" applyFont="1">
      <alignment vertical="center"/>
    </xf>
    <xf borderId="18" fillId="0" fontId="6" numFmtId="0" xfId="0" applyAlignment="1" applyBorder="1" applyFont="1">
      <alignment horizontal="center" readingOrder="0" shrinkToFit="0" vertical="center" wrapText="1"/>
    </xf>
    <xf borderId="19" fillId="0" fontId="8" numFmtId="0" xfId="0" applyBorder="1" applyFont="1"/>
    <xf borderId="20" fillId="0" fontId="8" numFmtId="0" xfId="0" applyBorder="1" applyFont="1"/>
    <xf borderId="0" fillId="0" fontId="4" numFmtId="0" xfId="0" applyAlignment="1" applyFont="1">
      <alignment horizontal="center" readingOrder="0" vertical="center"/>
    </xf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24" fillId="3" fontId="7" numFmtId="0" xfId="0" applyAlignment="1" applyBorder="1" applyFont="1">
      <alignment horizontal="center" vertical="center"/>
    </xf>
    <xf borderId="25" fillId="3" fontId="3" numFmtId="0" xfId="0" applyAlignment="1" applyBorder="1" applyFont="1">
      <alignment vertical="center"/>
    </xf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2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left" readingOrder="0"/>
    </xf>
    <xf borderId="17" fillId="2" fontId="3" numFmtId="0" xfId="0" applyAlignment="1" applyBorder="1" applyFont="1">
      <alignment readingOrder="0" vertical="center"/>
    </xf>
    <xf borderId="30" fillId="0" fontId="4" numFmtId="0" xfId="0" applyAlignment="1" applyBorder="1" applyFont="1">
      <alignment horizontal="center" readingOrder="0" vertical="center"/>
    </xf>
    <xf borderId="31" fillId="0" fontId="3" numFmtId="4" xfId="0" applyAlignment="1" applyBorder="1" applyFont="1" applyNumberFormat="1">
      <alignment horizontal="center"/>
    </xf>
    <xf borderId="32" fillId="9" fontId="4" numFmtId="4" xfId="0" applyAlignment="1" applyBorder="1" applyFill="1" applyFont="1" applyNumberFormat="1">
      <alignment horizontal="center" readingOrder="0"/>
    </xf>
    <xf borderId="33" fillId="0" fontId="3" numFmtId="4" xfId="0" applyAlignment="1" applyBorder="1" applyFont="1" applyNumberFormat="1">
      <alignment horizontal="center"/>
    </xf>
    <xf borderId="34" fillId="0" fontId="3" numFmtId="4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 readingOrder="0" vertical="center"/>
    </xf>
    <xf borderId="29" fillId="2" fontId="12" numFmtId="10" xfId="0" applyAlignment="1" applyBorder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horizontal="center" vertical="center"/>
    </xf>
    <xf borderId="35" fillId="0" fontId="4" numFmtId="0" xfId="0" applyAlignment="1" applyBorder="1" applyFont="1">
      <alignment horizontal="center" readingOrder="0" vertical="center"/>
    </xf>
    <xf borderId="12" fillId="9" fontId="4" numFmtId="4" xfId="0" applyAlignment="1" applyBorder="1" applyFont="1" applyNumberFormat="1">
      <alignment horizontal="center" readingOrder="0"/>
    </xf>
    <xf borderId="36" fillId="9" fontId="4" numFmtId="4" xfId="0" applyAlignment="1" applyBorder="1" applyFont="1" applyNumberFormat="1">
      <alignment horizontal="center" readingOrder="0"/>
    </xf>
    <xf borderId="37" fillId="0" fontId="4" numFmtId="0" xfId="0" applyAlignment="1" applyBorder="1" applyFont="1">
      <alignment horizontal="center" readingOrder="0" vertical="center"/>
    </xf>
    <xf borderId="38" fillId="0" fontId="3" numFmtId="4" xfId="0" applyAlignment="1" applyBorder="1" applyFont="1" applyNumberFormat="1">
      <alignment horizontal="center"/>
    </xf>
    <xf borderId="38" fillId="9" fontId="4" numFmtId="4" xfId="0" applyAlignment="1" applyBorder="1" applyFont="1" applyNumberFormat="1">
      <alignment horizontal="center" readingOrder="0"/>
    </xf>
    <xf borderId="39" fillId="0" fontId="3" numFmtId="4" xfId="0" applyAlignment="1" applyBorder="1" applyFont="1" applyNumberFormat="1">
      <alignment horizontal="center"/>
    </xf>
    <xf borderId="16" fillId="2" fontId="3" numFmtId="0" xfId="0" applyAlignment="1" applyBorder="1" applyFont="1">
      <alignment vertical="center"/>
    </xf>
    <xf borderId="16" fillId="2" fontId="3" numFmtId="9" xfId="0" applyAlignment="1" applyBorder="1" applyFont="1" applyNumberFormat="1">
      <alignment vertical="center"/>
    </xf>
    <xf borderId="16" fillId="2" fontId="3" numFmtId="9" xfId="0" applyAlignment="1" applyBorder="1" applyFont="1" applyNumberFormat="1">
      <alignment readingOrder="0" vertical="center"/>
    </xf>
    <xf borderId="40" fillId="3" fontId="7" numFmtId="9" xfId="0" applyAlignment="1" applyBorder="1" applyFont="1" applyNumberFormat="1">
      <alignment horizontal="center" shrinkToFit="0" vertical="center" wrapText="1"/>
    </xf>
    <xf borderId="41" fillId="3" fontId="7" numFmtId="9" xfId="0" applyAlignment="1" applyBorder="1" applyFont="1" applyNumberFormat="1">
      <alignment horizontal="center" vertical="center"/>
    </xf>
    <xf borderId="42" fillId="3" fontId="7" numFmtId="9" xfId="0" applyAlignment="1" applyBorder="1" applyFont="1" applyNumberFormat="1">
      <alignment horizontal="center" vertical="center"/>
    </xf>
    <xf borderId="43" fillId="0" fontId="8" numFmtId="0" xfId="0" applyBorder="1" applyFont="1"/>
    <xf borderId="44" fillId="0" fontId="8" numFmtId="0" xfId="0" applyBorder="1" applyFont="1"/>
    <xf borderId="30" fillId="0" fontId="4" numFmtId="0" xfId="0" applyAlignment="1" applyBorder="1" applyFont="1">
      <alignment horizontal="center" vertical="center"/>
    </xf>
    <xf borderId="11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readingOrder="0" vertical="center"/>
    </xf>
    <xf borderId="14" fillId="0" fontId="4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11" fillId="0" fontId="4" numFmtId="0" xfId="0" applyAlignment="1" applyBorder="1" applyFont="1">
      <alignment horizontal="center" vertical="center"/>
    </xf>
    <xf borderId="29" fillId="2" fontId="3" numFmtId="10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right" readingOrder="0"/>
    </xf>
    <xf borderId="12" fillId="0" fontId="1" numFmtId="0" xfId="0" applyAlignment="1" applyBorder="1" applyFont="1">
      <alignment vertical="center"/>
    </xf>
    <xf borderId="35" fillId="0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center" vertical="center"/>
    </xf>
    <xf borderId="37" fillId="0" fontId="1" numFmtId="0" xfId="0" applyAlignment="1" applyBorder="1" applyFont="1">
      <alignment readingOrder="0" vertical="center"/>
    </xf>
    <xf borderId="38" fillId="0" fontId="1" numFmtId="0" xfId="0" applyAlignment="1" applyBorder="1" applyFont="1">
      <alignment readingOrder="0" vertical="center"/>
    </xf>
    <xf borderId="39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/>
    </xf>
    <xf borderId="0" fillId="0" fontId="4" numFmtId="4" xfId="0" applyAlignment="1" applyFont="1" applyNumberFormat="1">
      <alignment horizontal="center" readingOrder="0"/>
    </xf>
    <xf borderId="0" fillId="10" fontId="3" numFmtId="0" xfId="0" applyAlignment="1" applyFill="1" applyFont="1">
      <alignment horizontal="center" readingOrder="0" vertical="bottom"/>
    </xf>
    <xf borderId="0" fillId="10" fontId="3" numFmtId="49" xfId="0" applyAlignment="1" applyFont="1" applyNumberFormat="1">
      <alignment horizontal="center" vertical="bottom"/>
    </xf>
    <xf borderId="0" fillId="10" fontId="3" numFmtId="0" xfId="0" applyAlignment="1" applyFont="1">
      <alignment horizontal="center" vertical="bottom"/>
    </xf>
    <xf borderId="0" fillId="10" fontId="3" numFmtId="4" xfId="0" applyAlignment="1" applyFont="1" applyNumberFormat="1">
      <alignment horizontal="center" vertical="bottom"/>
    </xf>
    <xf borderId="0" fillId="11" fontId="3" numFmtId="0" xfId="0" applyAlignment="1" applyFill="1" applyFont="1">
      <alignment horizontal="center" vertical="bottom"/>
    </xf>
    <xf borderId="0" fillId="12" fontId="3" numFmtId="0" xfId="0" applyAlignment="1" applyFill="1" applyFont="1">
      <alignment readingOrder="0"/>
    </xf>
    <xf borderId="0" fillId="12" fontId="3" numFmtId="0" xfId="0" applyFont="1"/>
    <xf borderId="0" fillId="13" fontId="3" numFmtId="0" xfId="0" applyFill="1" applyFont="1"/>
    <xf borderId="0" fillId="0" fontId="9" numFmtId="1" xfId="0" applyAlignment="1" applyFont="1" applyNumberFormat="1">
      <alignment horizontal="left" readingOrder="0" vertical="bottom"/>
    </xf>
    <xf borderId="0" fillId="0" fontId="1" numFmtId="49" xfId="0" applyAlignment="1" applyFont="1" applyNumberFormat="1">
      <alignment readingOrder="0"/>
    </xf>
    <xf borderId="0" fillId="0" fontId="9" numFmtId="1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4" xfId="0" applyAlignment="1" applyFont="1" applyNumberFormat="1">
      <alignment horizontal="right" vertical="bottom"/>
    </xf>
    <xf borderId="0" fillId="0" fontId="9" numFmtId="3" xfId="0" applyFont="1" applyNumberFormat="1"/>
    <xf borderId="0" fillId="2" fontId="9" numFmtId="4" xfId="0" applyFont="1" applyNumberFormat="1"/>
    <xf borderId="0" fillId="0" fontId="9" numFmtId="10" xfId="0" applyFont="1" applyNumberFormat="1"/>
    <xf borderId="0" fillId="0" fontId="9" numFmtId="2" xfId="0" applyFont="1" applyNumberFormat="1"/>
    <xf borderId="0" fillId="0" fontId="9" numFmtId="4" xfId="0" applyFont="1" applyNumberFormat="1"/>
    <xf borderId="0" fillId="7" fontId="9" numFmtId="4" xfId="0" applyAlignment="1" applyFont="1" applyNumberFormat="1">
      <alignment horizontal="right" vertical="bottom"/>
    </xf>
    <xf borderId="0" fillId="0" fontId="9" numFmtId="49" xfId="0" applyAlignment="1" applyFont="1" applyNumberFormat="1">
      <alignment readingOrder="0"/>
    </xf>
    <xf borderId="0" fillId="0" fontId="9" numFmtId="1" xfId="0" applyAlignment="1" applyFont="1" applyNumberFormat="1">
      <alignment readingOrder="0" vertical="center"/>
    </xf>
    <xf borderId="0" fillId="10" fontId="4" numFmtId="0" xfId="0" applyAlignment="1" applyFont="1">
      <alignment horizontal="left" readingOrder="0" vertical="center"/>
    </xf>
    <xf borderId="0" fillId="10" fontId="4" numFmtId="49" xfId="0" applyAlignment="1" applyFont="1" applyNumberFormat="1">
      <alignment horizontal="center" vertical="center"/>
    </xf>
    <xf borderId="0" fillId="10" fontId="4" numFmtId="0" xfId="0" applyAlignment="1" applyFont="1">
      <alignment horizontal="center" vertical="center"/>
    </xf>
    <xf borderId="0" fillId="10" fontId="4" numFmtId="0" xfId="0" applyAlignment="1" applyFont="1">
      <alignment horizontal="center" readingOrder="0" vertical="center"/>
    </xf>
    <xf quotePrefix="1" borderId="0" fillId="11" fontId="4" numFmtId="0" xfId="0" applyAlignment="1" applyFon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0" fillId="11" fontId="4" numFmtId="0" xfId="0" applyAlignment="1" applyFont="1">
      <alignment horizontal="center" vertical="center"/>
    </xf>
    <xf borderId="0" fillId="0" fontId="9" numFmtId="3" xfId="0" applyAlignment="1" applyFont="1" applyNumberFormat="1">
      <alignment horizontal="left"/>
    </xf>
    <xf borderId="0" fillId="0" fontId="9" numFmtId="165" xfId="0" applyFont="1" applyNumberFormat="1"/>
    <xf borderId="0" fillId="0" fontId="9" numFmtId="165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14" fontId="3" numFmtId="0" xfId="0" applyAlignment="1" applyFill="1" applyFont="1">
      <alignment vertical="bottom"/>
    </xf>
    <xf borderId="0" fillId="0" fontId="1" numFmtId="1" xfId="0" applyFont="1" applyNumberFormat="1"/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1" xfId="0" applyAlignment="1" applyFont="1" applyNumberFormat="1">
      <alignment shrinkToFit="0" wrapText="0"/>
    </xf>
    <xf borderId="0" fillId="4" fontId="3" numFmtId="0" xfId="0" applyAlignment="1" applyFont="1">
      <alignment vertical="bottom"/>
    </xf>
    <xf borderId="0" fillId="0" fontId="1" numFmtId="165" xfId="0" applyFont="1" applyNumberFormat="1"/>
    <xf borderId="0" fillId="0" fontId="1" numFmtId="165" xfId="0" applyAlignment="1" applyFont="1" applyNumberFormat="1">
      <alignment shrinkToFit="0" wrapText="0"/>
    </xf>
    <xf borderId="0" fillId="15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1" xfId="0" applyAlignment="1" applyFont="1" applyNumberFormat="1">
      <alignment shrinkToFit="0" wrapText="0"/>
    </xf>
    <xf borderId="45" fillId="0" fontId="14" numFmtId="0" xfId="0" applyBorder="1" applyFont="1"/>
    <xf borderId="46" fillId="0" fontId="14" numFmtId="0" xfId="0" applyAlignment="1" applyBorder="1" applyFont="1">
      <alignment readingOrder="0" shrinkToFit="0" textRotation="0" vertical="center" wrapText="0"/>
    </xf>
    <xf borderId="0" fillId="0" fontId="15" numFmtId="0" xfId="0" applyAlignment="1" applyFont="1">
      <alignment readingOrder="0" shrinkToFit="0" vertical="center" wrapText="1"/>
    </xf>
    <xf borderId="47" fillId="0" fontId="14" numFmtId="0" xfId="0" applyBorder="1" applyFont="1"/>
    <xf borderId="46" fillId="0" fontId="14" numFmtId="0" xfId="0" applyAlignment="1" applyBorder="1" applyFont="1">
      <alignment vertical="center"/>
    </xf>
    <xf borderId="48" fillId="0" fontId="14" numFmtId="0" xfId="0" applyAlignment="1" applyBorder="1" applyFont="1">
      <alignment vertical="center"/>
    </xf>
    <xf borderId="49" fillId="0" fontId="14" numFmtId="0" xfId="0" applyAlignment="1" applyBorder="1" applyFont="1">
      <alignment vertical="center"/>
    </xf>
    <xf borderId="50" fillId="16" fontId="16" numFmtId="166" xfId="0" applyAlignment="1" applyBorder="1" applyFill="1" applyFont="1" applyNumberFormat="1">
      <alignment horizontal="right" vertical="center"/>
    </xf>
    <xf borderId="51" fillId="16" fontId="16" numFmtId="10" xfId="0" applyAlignment="1" applyBorder="1" applyFont="1" applyNumberFormat="1">
      <alignment vertical="center"/>
    </xf>
    <xf borderId="0" fillId="0" fontId="14" numFmtId="10" xfId="0" applyFont="1" applyNumberFormat="1"/>
    <xf borderId="0" fillId="0" fontId="17" numFmtId="10" xfId="0" applyAlignment="1" applyFont="1" applyNumberFormat="1">
      <alignment horizontal="center" vertical="top"/>
    </xf>
    <xf borderId="0" fillId="0" fontId="18" numFmtId="0" xfId="0" applyAlignment="1" applyFont="1">
      <alignment horizontal="center" readingOrder="0" shrinkToFit="0" vertical="top" wrapText="1"/>
    </xf>
    <xf borderId="50" fillId="17" fontId="16" numFmtId="166" xfId="0" applyAlignment="1" applyBorder="1" applyFill="1" applyFont="1" applyNumberFormat="1">
      <alignment horizontal="right" vertical="center"/>
    </xf>
    <xf borderId="51" fillId="17" fontId="16" numFmtId="10" xfId="0" applyAlignment="1" applyBorder="1" applyFont="1" applyNumberFormat="1">
      <alignment vertical="center"/>
    </xf>
    <xf borderId="0" fillId="0" fontId="19" numFmtId="0" xfId="0" applyAlignment="1" applyFont="1">
      <alignment horizontal="right"/>
    </xf>
    <xf borderId="0" fillId="0" fontId="1" numFmtId="10" xfId="0" applyFont="1" applyNumberFormat="1"/>
    <xf borderId="0" fillId="0" fontId="18" numFmtId="0" xfId="0" applyAlignment="1" applyFont="1">
      <alignment shrinkToFit="0" wrapText="1"/>
    </xf>
    <xf borderId="50" fillId="18" fontId="16" numFmtId="166" xfId="0" applyAlignment="1" applyBorder="1" applyFill="1" applyFont="1" applyNumberFormat="1">
      <alignment horizontal="right" vertical="center"/>
    </xf>
    <xf borderId="51" fillId="18" fontId="16" numFmtId="10" xfId="0" applyAlignment="1" applyBorder="1" applyFont="1" applyNumberFormat="1">
      <alignment vertical="center"/>
    </xf>
    <xf borderId="48" fillId="0" fontId="1" numFmtId="0" xfId="0" applyAlignment="1" applyBorder="1" applyFont="1">
      <alignment horizontal="center" readingOrder="0" vertical="center"/>
    </xf>
    <xf borderId="52" fillId="0" fontId="8" numFmtId="0" xfId="0" applyBorder="1" applyFont="1"/>
    <xf borderId="46" fillId="0" fontId="14" numFmtId="0" xfId="0" applyBorder="1" applyFont="1"/>
    <xf borderId="46" fillId="0" fontId="8" numFmtId="0" xfId="0" applyBorder="1" applyFont="1"/>
    <xf borderId="46" fillId="0" fontId="20" numFmtId="0" xfId="0" applyAlignment="1" applyBorder="1" applyFont="1">
      <alignment horizontal="left" readingOrder="0"/>
    </xf>
    <xf borderId="46" fillId="0" fontId="21" numFmtId="0" xfId="0" applyAlignment="1" applyBorder="1" applyFont="1">
      <alignment horizontal="left" readingOrder="0" shrinkToFit="0" vertical="top" wrapText="1"/>
    </xf>
    <xf borderId="0" fillId="0" fontId="22" numFmtId="10" xfId="0" applyAlignment="1" applyFont="1" applyNumberFormat="1">
      <alignment horizontal="center"/>
    </xf>
    <xf borderId="0" fillId="0" fontId="17" numFmtId="10" xfId="0" applyAlignment="1" applyFont="1" applyNumberFormat="1">
      <alignment horizontal="center" vertical="bottom"/>
    </xf>
    <xf borderId="0" fillId="0" fontId="23" numFmtId="10" xfId="0" applyAlignment="1" applyFont="1" applyNumberFormat="1">
      <alignment horizontal="center" vertical="top"/>
    </xf>
    <xf borderId="0" fillId="0" fontId="24" numFmtId="0" xfId="0" applyAlignment="1" applyFont="1">
      <alignment horizontal="right" shrinkToFit="0" wrapText="1"/>
    </xf>
    <xf borderId="0" fillId="0" fontId="21" numFmtId="0" xfId="0" applyAlignment="1" applyFont="1">
      <alignment horizontal="left" readingOrder="0" vertical="top"/>
    </xf>
    <xf borderId="0" fillId="0" fontId="25" numFmtId="0" xfId="0" applyAlignment="1" applyFont="1">
      <alignment horizontal="center" shrinkToFit="0" vertical="top" wrapText="1"/>
    </xf>
    <xf borderId="46" fillId="0" fontId="26" numFmtId="0" xfId="0" applyAlignment="1" applyBorder="1" applyFont="1">
      <alignment horizontal="left" readingOrder="0" shrinkToFit="0" vertical="top" wrapText="1"/>
    </xf>
    <xf borderId="0" fillId="0" fontId="27" numFmtId="0" xfId="0" applyAlignment="1" applyFont="1">
      <alignment horizontal="right" shrinkToFit="0" vertical="top" wrapText="1"/>
    </xf>
    <xf borderId="50" fillId="0" fontId="8" numFmtId="0" xfId="0" applyBorder="1" applyFont="1"/>
    <xf borderId="45" fillId="0" fontId="8" numFmtId="0" xfId="0" applyBorder="1" applyFont="1"/>
    <xf borderId="50" fillId="0" fontId="14" numFmtId="0" xfId="0" applyBorder="1" applyFont="1"/>
    <xf borderId="53" fillId="0" fontId="14" numFmtId="0" xfId="0" applyBorder="1" applyFont="1"/>
    <xf borderId="54" fillId="3" fontId="7" numFmtId="0" xfId="0" applyAlignment="1" applyBorder="1" applyFont="1">
      <alignment vertical="bottom"/>
    </xf>
    <xf borderId="55" fillId="0" fontId="8" numFmtId="0" xfId="0" applyBorder="1" applyFont="1"/>
    <xf borderId="56" fillId="0" fontId="8" numFmtId="0" xfId="0" applyBorder="1" applyFont="1"/>
    <xf borderId="57" fillId="3" fontId="7" numFmtId="0" xfId="0" applyAlignment="1" applyBorder="1" applyFont="1">
      <alignment horizontal="center" vertical="bottom"/>
    </xf>
    <xf borderId="57" fillId="3" fontId="7" numFmtId="0" xfId="0" applyAlignment="1" applyBorder="1" applyFont="1">
      <alignment horizontal="center" vertical="bottom"/>
    </xf>
    <xf borderId="0" fillId="3" fontId="28" numFmtId="0" xfId="0" applyAlignment="1" applyFont="1">
      <alignment horizontal="center" shrinkToFit="0" textRotation="90" wrapText="1"/>
    </xf>
    <xf borderId="58" fillId="3" fontId="7" numFmtId="0" xfId="0" applyAlignment="1" applyBorder="1" applyFont="1">
      <alignment horizontal="center" vertical="center"/>
    </xf>
    <xf borderId="59" fillId="0" fontId="29" numFmtId="0" xfId="0" applyAlignment="1" applyBorder="1" applyFont="1">
      <alignment horizontal="center" vertical="center"/>
    </xf>
    <xf borderId="0" fillId="0" fontId="30" numFmtId="0" xfId="0" applyAlignment="1" applyFont="1">
      <alignment readingOrder="0"/>
    </xf>
    <xf borderId="60" fillId="0" fontId="14" numFmtId="49" xfId="0" applyAlignment="1" applyBorder="1" applyFont="1" applyNumberFormat="1">
      <alignment horizontal="left" vertical="center"/>
    </xf>
    <xf borderId="60" fillId="0" fontId="14" numFmtId="1" xfId="0" applyAlignment="1" applyBorder="1" applyFont="1" applyNumberFormat="1">
      <alignment horizontal="left" vertical="center"/>
    </xf>
    <xf borderId="60" fillId="0" fontId="14" numFmtId="0" xfId="0" applyBorder="1" applyFont="1"/>
    <xf borderId="61" fillId="0" fontId="8" numFmtId="0" xfId="0" applyBorder="1" applyFont="1"/>
    <xf borderId="62" fillId="0" fontId="8" numFmtId="0" xfId="0" applyBorder="1" applyFont="1"/>
    <xf borderId="59" fillId="0" fontId="29" numFmtId="3" xfId="0" applyAlignment="1" applyBorder="1" applyFont="1" applyNumberFormat="1">
      <alignment horizontal="center" vertical="center"/>
    </xf>
    <xf borderId="60" fillId="0" fontId="14" numFmtId="49" xfId="0" applyAlignment="1" applyBorder="1" applyFont="1" applyNumberFormat="1">
      <alignment horizontal="left" readingOrder="0" vertical="center"/>
    </xf>
    <xf borderId="63" fillId="3" fontId="28" numFmtId="0" xfId="0" applyAlignment="1" applyBorder="1" applyFont="1">
      <alignment vertical="bottom"/>
    </xf>
    <xf borderId="64" fillId="0" fontId="3" numFmtId="10" xfId="0" applyAlignment="1" applyBorder="1" applyFont="1" applyNumberFormat="1">
      <alignment horizontal="right" vertical="bottom"/>
    </xf>
    <xf borderId="62" fillId="0" fontId="3" numFmtId="10" xfId="0" applyAlignment="1" applyBorder="1" applyFont="1" applyNumberFormat="1">
      <alignment horizontal="right" vertical="bottom"/>
    </xf>
    <xf borderId="65" fillId="0" fontId="3" numFmtId="10" xfId="0" applyAlignment="1" applyBorder="1" applyFont="1" applyNumberFormat="1">
      <alignment horizontal="right" vertical="bottom"/>
    </xf>
    <xf borderId="66" fillId="0" fontId="3" numFmtId="10" xfId="0" applyAlignment="1" applyBorder="1" applyFont="1" applyNumberFormat="1">
      <alignment horizontal="right" vertical="bottom"/>
    </xf>
    <xf borderId="60" fillId="0" fontId="3" numFmtId="10" xfId="0" applyAlignment="1" applyBorder="1" applyFont="1" applyNumberFormat="1">
      <alignment horizontal="right" vertical="bottom"/>
    </xf>
    <xf borderId="67" fillId="0" fontId="3" numFmtId="10" xfId="0" applyAlignment="1" applyBorder="1" applyFont="1" applyNumberFormat="1">
      <alignment horizontal="right" vertical="bottom"/>
    </xf>
    <xf borderId="68" fillId="0" fontId="3" numFmtId="10" xfId="0" applyAlignment="1" applyBorder="1" applyFont="1" applyNumberFormat="1">
      <alignment horizontal="right" vertical="bottom"/>
    </xf>
    <xf borderId="59" fillId="0" fontId="3" numFmtId="10" xfId="0" applyAlignment="1" applyBorder="1" applyFont="1" applyNumberFormat="1">
      <alignment horizontal="right" vertical="bottom"/>
    </xf>
    <xf borderId="69" fillId="0" fontId="3" numFmtId="10" xfId="0" applyAlignment="1" applyBorder="1" applyFont="1" applyNumberFormat="1">
      <alignment horizontal="right" vertical="bottom"/>
    </xf>
    <xf borderId="63" fillId="3" fontId="28" numFmtId="0" xfId="0" applyAlignment="1" applyBorder="1" applyFont="1">
      <alignment vertical="bottom"/>
    </xf>
    <xf borderId="60" fillId="0" fontId="14" numFmtId="1" xfId="0" applyAlignment="1" applyBorder="1" applyFont="1" applyNumberFormat="1">
      <alignment horizontal="left" readingOrder="0" vertical="center"/>
    </xf>
    <xf borderId="63" fillId="3" fontId="28" numFmtId="0" xfId="0" applyAlignment="1" applyBorder="1" applyFont="1">
      <alignment vertical="bottom"/>
    </xf>
    <xf borderId="70" fillId="0" fontId="3" numFmtId="0" xfId="0" applyAlignment="1" applyBorder="1" applyFont="1">
      <alignment horizontal="right" vertical="bottom"/>
    </xf>
    <xf borderId="0" fillId="3" fontId="28" numFmtId="0" xfId="0" applyAlignment="1" applyFont="1">
      <alignment shrinkToFit="0" vertical="bottom" wrapText="1"/>
    </xf>
    <xf borderId="71" fillId="0" fontId="3" numFmtId="0" xfId="0" applyAlignment="1" applyBorder="1" applyFont="1">
      <alignment horizontal="right" vertical="bottom"/>
    </xf>
    <xf borderId="57" fillId="3" fontId="28" numFmtId="0" xfId="0" applyAlignment="1" applyBorder="1" applyFont="1">
      <alignment vertical="bottom"/>
    </xf>
    <xf borderId="57" fillId="3" fontId="28" numFmtId="0" xfId="0" applyAlignment="1" applyBorder="1" applyFont="1">
      <alignment shrinkToFit="0" vertical="bottom" wrapText="1"/>
    </xf>
    <xf borderId="0" fillId="0" fontId="14" numFmtId="0" xfId="0" applyAlignment="1" applyFont="1">
      <alignment horizontal="center" readingOrder="0"/>
    </xf>
    <xf borderId="60" fillId="0" fontId="14" numFmtId="0" xfId="0" applyAlignment="1" applyBorder="1" applyFont="1">
      <alignment horizontal="left" readingOrder="0" shrinkToFit="0" vertical="center" wrapText="0"/>
    </xf>
    <xf borderId="60" fillId="0" fontId="1" numFmtId="2" xfId="0" applyBorder="1" applyFont="1" applyNumberFormat="1"/>
    <xf borderId="72" fillId="0" fontId="8" numFmtId="0" xfId="0" applyBorder="1" applyFont="1"/>
    <xf borderId="73" fillId="0" fontId="3" numFmtId="0" xfId="0" applyAlignment="1" applyBorder="1" applyFont="1">
      <alignment horizontal="right" vertical="bottom"/>
    </xf>
    <xf borderId="70" fillId="0" fontId="8" numFmtId="0" xfId="0" applyBorder="1" applyFont="1"/>
    <xf borderId="71" fillId="0" fontId="3" numFmtId="2" xfId="0" applyAlignment="1" applyBorder="1" applyFont="1" applyNumberFormat="1">
      <alignment horizontal="right" vertical="bottom"/>
    </xf>
    <xf borderId="60" fillId="0" fontId="14" numFmtId="1" xfId="0" applyAlignment="1" applyBorder="1" applyFont="1" applyNumberFormat="1">
      <alignment horizontal="left" readingOrder="0" shrinkToFit="0" vertical="center" wrapText="0"/>
    </xf>
    <xf borderId="0" fillId="0" fontId="31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0" fillId="0" fontId="32" numFmtId="2" xfId="0" applyFont="1" applyNumberFormat="1"/>
    <xf borderId="0" fillId="0" fontId="1" numFmtId="2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14" numFmtId="0" xfId="0" applyFont="1"/>
    <xf borderId="0" fillId="4" fontId="3" numFmtId="0" xfId="0" applyAlignment="1" applyFont="1">
      <alignment readingOrder="0" vertical="bottom"/>
    </xf>
    <xf borderId="2" fillId="3" fontId="7" numFmtId="49" xfId="0" applyAlignment="1" applyBorder="1" applyFont="1" applyNumberFormat="1">
      <alignment horizontal="center" vertical="center"/>
    </xf>
    <xf borderId="3" fillId="3" fontId="7" numFmtId="0" xfId="0" applyAlignment="1" applyBorder="1" applyFont="1">
      <alignment horizontal="center" vertical="center"/>
    </xf>
    <xf borderId="42" fillId="3" fontId="7" numFmtId="0" xfId="0" applyAlignment="1" applyBorder="1" applyFont="1">
      <alignment horizontal="center" readingOrder="0" vertical="center"/>
    </xf>
    <xf borderId="14" fillId="0" fontId="1" numFmtId="3" xfId="0" applyAlignment="1" applyBorder="1" applyFont="1" applyNumberFormat="1">
      <alignment horizontal="center"/>
    </xf>
    <xf borderId="11" fillId="0" fontId="3" numFmtId="1" xfId="0" applyAlignment="1" applyBorder="1" applyFont="1" applyNumberFormat="1">
      <alignment vertical="bottom"/>
    </xf>
  </cellXfs>
  <cellStyles count="1">
    <cellStyle xfId="0" name="Normal" builtinId="0"/>
  </cellStyles>
  <dxfs count="5"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Remuneração Total Áreas-style">
      <tableStyleElement dxfId="2" type="headerRow"/>
      <tableStyleElement dxfId="3" type="firstRowStripe"/>
      <tableStyleElement dxfId="4" type="secondRowStripe"/>
    </tableStyle>
    <tableStyle count="3" pivot="0" name="Remuneração Total Áreas-style 2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Previsão Custo Enquadramento por Área: Fixo </a:t>
            </a:r>
          </a:p>
        </c:rich>
      </c:tx>
      <c:overlay val="0"/>
    </c:title>
    <c:plotArea>
      <c:layout>
        <c:manualLayout>
          <c:xMode val="edge"/>
          <c:yMode val="edge"/>
          <c:x val="0.14191176470588235"/>
          <c:y val="0.075"/>
          <c:w val="0.6470588235294118"/>
          <c:h val="0.8589622641509435"/>
        </c:manualLayout>
      </c:layout>
      <c:barChart>
        <c:barDir val="col"/>
        <c:grouping val="stacked"/>
        <c:ser>
          <c:idx val="0"/>
          <c:order val="0"/>
          <c:tx>
            <c:strRef>
              <c:f>'Remuneração Total Áreas'!$C$3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3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Áreas'!$C$4:$C$6</c:f>
              <c:numCache/>
            </c:numRef>
          </c:val>
        </c:ser>
        <c:ser>
          <c:idx val="1"/>
          <c:order val="1"/>
          <c:tx>
            <c:strRef>
              <c:f>'Remuneração Total Áreas'!$D$3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3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Áreas'!$D$4:$D$6</c:f>
              <c:numCache/>
            </c:numRef>
          </c:val>
        </c:ser>
        <c:ser>
          <c:idx val="2"/>
          <c:order val="2"/>
          <c:tx>
            <c:strRef>
              <c:f>'Remuneração Total Áreas'!$E$3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Áreas'!$E$4:$E$6</c:f>
              <c:numCache/>
            </c:numRef>
          </c:val>
        </c:ser>
        <c:ser>
          <c:idx val="3"/>
          <c:order val="3"/>
          <c:tx>
            <c:strRef>
              <c:f>'Remuneração Total Áreas'!$F$3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Áreas'!$F$4:$F$6</c:f>
              <c:numCache/>
            </c:numRef>
          </c:val>
        </c:ser>
        <c:ser>
          <c:idx val="4"/>
          <c:order val="4"/>
          <c:tx>
            <c:strRef>
              <c:f>'Remuneração Total Áreas'!$G$3</c:f>
            </c:strRef>
          </c:tx>
          <c:spPr>
            <a:solidFill>
              <a:srgbClr val="BC73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1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Áreas'!$G$4:$G$6</c:f>
              <c:numCache/>
            </c:numRef>
          </c:val>
        </c:ser>
        <c:ser>
          <c:idx val="5"/>
          <c:order val="5"/>
          <c:tx>
            <c:strRef>
              <c:f>'Remuneração Total Áreas'!$H$3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1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Áreas'!$H$4:$H$6</c:f>
              <c:numCache/>
            </c:numRef>
          </c:val>
        </c:ser>
        <c:ser>
          <c:idx val="6"/>
          <c:order val="6"/>
          <c:tx>
            <c:strRef>
              <c:f>'Remuneração Total Áreas'!$I$3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Áreas'!$I$4:$I$6</c:f>
              <c:numCache/>
            </c:numRef>
          </c:val>
        </c:ser>
        <c:ser>
          <c:idx val="7"/>
          <c:order val="7"/>
          <c:tx>
            <c:strRef>
              <c:f>'Remuneração Total Áreas'!$J$3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Áreas'!$B$4:$B$6</c:f>
            </c:strRef>
          </c:cat>
          <c:val>
            <c:numRef>
              <c:f>'Remuneração Total Áreas'!$J$4:$J$6</c:f>
              <c:numCache/>
            </c:numRef>
          </c:val>
        </c:ser>
        <c:ser>
          <c:idx val="8"/>
          <c:order val="8"/>
          <c:tx>
            <c:strRef>
              <c:f>'Remuneração Total Áreas'!$K$3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Áreas'!$B$4:$B$6</c:f>
            </c:strRef>
          </c:cat>
          <c:val>
            <c:numRef>
              <c:f>'Remuneração Total Áreas'!$K$4:$K$6</c:f>
              <c:numCache/>
            </c:numRef>
          </c:val>
        </c:ser>
        <c:ser>
          <c:idx val="9"/>
          <c:order val="9"/>
          <c:tx>
            <c:strRef>
              <c:f>'Remuneração Total Áreas'!$L$3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'Remuneração Total Áreas'!$B$4:$B$6</c:f>
            </c:strRef>
          </c:cat>
          <c:val>
            <c:numRef>
              <c:f>'Remuneração Total Áreas'!$L$4:$L$6</c:f>
              <c:numCache/>
            </c:numRef>
          </c:val>
        </c:ser>
        <c:ser>
          <c:idx val="10"/>
          <c:order val="10"/>
          <c:tx>
            <c:strRef>
              <c:f>'Remuneração Total Áreas'!$M$3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Áreas'!$B$4:$B$6</c:f>
            </c:strRef>
          </c:cat>
          <c:val>
            <c:numRef>
              <c:f>'Remuneração Total Áreas'!$M$4:$M$6</c:f>
              <c:numCache/>
            </c:numRef>
          </c:val>
        </c:ser>
        <c:ser>
          <c:idx val="11"/>
          <c:order val="11"/>
          <c:tx>
            <c:strRef>
              <c:f>'Remuneração Total Áreas'!$N$3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Áreas'!$B$4:$B$6</c:f>
            </c:strRef>
          </c:cat>
          <c:val>
            <c:numRef>
              <c:f>'Remuneração Total Áreas'!$N$4:$N$6</c:f>
              <c:numCache/>
            </c:numRef>
          </c:val>
        </c:ser>
        <c:ser>
          <c:idx val="12"/>
          <c:order val="12"/>
          <c:tx>
            <c:strRef>
              <c:f>'Remuneração Total Áreas'!$O$3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Áreas'!$B$4:$B$6</c:f>
            </c:strRef>
          </c:cat>
          <c:val>
            <c:numRef>
              <c:f>'Remuneração Total Áreas'!$O$4:$O$6</c:f>
              <c:numCache/>
            </c:numRef>
          </c:val>
        </c:ser>
        <c:ser>
          <c:idx val="13"/>
          <c:order val="13"/>
          <c:tx>
            <c:strRef>
              <c:f>'Remuneração Total Áreas'!$P$3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Áreas'!$B$4:$B$6</c:f>
            </c:strRef>
          </c:cat>
          <c:val>
            <c:numRef>
              <c:f>'Remuneração Total Áreas'!$P$4:$P$6</c:f>
              <c:numCache/>
            </c:numRef>
          </c:val>
        </c:ser>
        <c:ser>
          <c:idx val="14"/>
          <c:order val="14"/>
          <c:tx>
            <c:strRef>
              <c:f>'Remuneração Total Áreas'!$Q$3</c:f>
            </c:strRef>
          </c:tx>
          <c:spPr>
            <a:solidFill>
              <a:srgbClr val="EAD1D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Áreas'!$B$4:$B$6</c:f>
            </c:strRef>
          </c:cat>
          <c:val>
            <c:numRef>
              <c:f>'Remuneração Total Áreas'!$Q$4:$Q$6</c:f>
              <c:numCache/>
            </c:numRef>
          </c:val>
        </c:ser>
        <c:ser>
          <c:idx val="15"/>
          <c:order val="15"/>
          <c:tx>
            <c:v>TI</c:v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'Remuneração Total Áreas'!$B$4:$B$6</c:f>
            </c:strRef>
          </c:cat>
          <c:val>
            <c:numRef>
              <c:f>'Remuneração Total Áreas'!$R$4:$R$6</c:f>
              <c:numCache/>
            </c:numRef>
          </c:val>
        </c:ser>
        <c:overlap val="100"/>
        <c:axId val="1067726461"/>
        <c:axId val="1092809681"/>
      </c:barChart>
      <c:catAx>
        <c:axId val="1067726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809681"/>
      </c:catAx>
      <c:valAx>
        <c:axId val="1092809681"/>
        <c:scaling>
          <c:orientation val="minMax"/>
          <c:max val="6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726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Atual</a:t>
            </a:r>
          </a:p>
        </c:rich>
      </c:tx>
      <c:overlay val="0"/>
    </c:title>
    <c:plotArea>
      <c:layout>
        <c:manualLayout>
          <c:xMode val="edge"/>
          <c:yMode val="edge"/>
          <c:x val="0.15583333333333338"/>
          <c:y val="0.15595238095238095"/>
          <c:w val="0.6116666666666668"/>
          <c:h val="0.7780098831985623"/>
        </c:manualLayout>
      </c:layout>
      <c:barChart>
        <c:barDir val="col"/>
        <c:grouping val="stacked"/>
        <c:ser>
          <c:idx val="0"/>
          <c:order val="0"/>
          <c:tx>
            <c:strRef>
              <c:f>'Remuneração Total Áreas'!$C$3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3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Áreas'!$C$4:$C$12</c:f>
              <c:numCache/>
            </c:numRef>
          </c:val>
        </c:ser>
        <c:ser>
          <c:idx val="1"/>
          <c:order val="1"/>
          <c:tx>
            <c:strRef>
              <c:f>'Remuneração Total Áreas'!$D$3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3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Áreas'!$D$4:$D$12</c:f>
              <c:numCache/>
            </c:numRef>
          </c:val>
        </c:ser>
        <c:ser>
          <c:idx val="2"/>
          <c:order val="2"/>
          <c:tx>
            <c:strRef>
              <c:f>'Remuneração Total Áreas'!$E$3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Áreas'!$E$4:$E$12</c:f>
              <c:numCache/>
            </c:numRef>
          </c:val>
        </c:ser>
        <c:ser>
          <c:idx val="3"/>
          <c:order val="3"/>
          <c:tx>
            <c:strRef>
              <c:f>'Remuneração Total Áreas'!$F$3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Áreas'!$F$4:$F$12</c:f>
              <c:numCache/>
            </c:numRef>
          </c:val>
        </c:ser>
        <c:ser>
          <c:idx val="4"/>
          <c:order val="4"/>
          <c:tx>
            <c:strRef>
              <c:f>'Remuneração Total Áreas'!$G$3</c:f>
            </c:strRef>
          </c:tx>
          <c:spPr>
            <a:solidFill>
              <a:srgbClr val="BC73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1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Áreas'!$G$4:$G$12</c:f>
              <c:numCache/>
            </c:numRef>
          </c:val>
        </c:ser>
        <c:ser>
          <c:idx val="5"/>
          <c:order val="5"/>
          <c:tx>
            <c:strRef>
              <c:f>'Remuneração Total Áreas'!$H$3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1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Áreas'!$H$4:$H$12</c:f>
              <c:numCache/>
            </c:numRef>
          </c:val>
        </c:ser>
        <c:ser>
          <c:idx val="6"/>
          <c:order val="6"/>
          <c:tx>
            <c:strRef>
              <c:f>'Remuneração Total Áreas'!$I$3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Áreas'!$I$4:$I$12</c:f>
              <c:numCache/>
            </c:numRef>
          </c:val>
        </c:ser>
        <c:ser>
          <c:idx val="7"/>
          <c:order val="7"/>
          <c:tx>
            <c:strRef>
              <c:f>'Remuneração Total Áreas'!$J$3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Áreas'!$B$4:$B$12</c:f>
            </c:strRef>
          </c:cat>
          <c:val>
            <c:numRef>
              <c:f>'Remuneração Total Áreas'!$J$4:$J$12</c:f>
              <c:numCache/>
            </c:numRef>
          </c:val>
        </c:ser>
        <c:ser>
          <c:idx val="8"/>
          <c:order val="8"/>
          <c:tx>
            <c:strRef>
              <c:f>'Remuneração Total Áreas'!$K$3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Áreas'!$B$4:$B$12</c:f>
            </c:strRef>
          </c:cat>
          <c:val>
            <c:numRef>
              <c:f>'Remuneração Total Áreas'!$K$4:$K$12</c:f>
              <c:numCache/>
            </c:numRef>
          </c:val>
        </c:ser>
        <c:ser>
          <c:idx val="9"/>
          <c:order val="9"/>
          <c:tx>
            <c:strRef>
              <c:f>'Remuneração Total Áreas'!$L$3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'Remuneração Total Áreas'!$B$4:$B$12</c:f>
            </c:strRef>
          </c:cat>
          <c:val>
            <c:numRef>
              <c:f>'Remuneração Total Áreas'!$L$4:$L$12</c:f>
              <c:numCache/>
            </c:numRef>
          </c:val>
        </c:ser>
        <c:ser>
          <c:idx val="10"/>
          <c:order val="10"/>
          <c:tx>
            <c:strRef>
              <c:f>'Remuneração Total Áreas'!$M$3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Áreas'!$B$4:$B$12</c:f>
            </c:strRef>
          </c:cat>
          <c:val>
            <c:numRef>
              <c:f>'Remuneração Total Áreas'!$M$4:$M$12</c:f>
              <c:numCache/>
            </c:numRef>
          </c:val>
        </c:ser>
        <c:ser>
          <c:idx val="11"/>
          <c:order val="11"/>
          <c:tx>
            <c:strRef>
              <c:f>'Remuneração Total Áreas'!$N$3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Áreas'!$B$4:$B$12</c:f>
            </c:strRef>
          </c:cat>
          <c:val>
            <c:numRef>
              <c:f>'Remuneração Total Áreas'!$N$4:$N$12</c:f>
              <c:numCache/>
            </c:numRef>
          </c:val>
        </c:ser>
        <c:ser>
          <c:idx val="12"/>
          <c:order val="12"/>
          <c:tx>
            <c:strRef>
              <c:f>'Remuneração Total Áreas'!$O$3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Áreas'!$B$4:$B$12</c:f>
            </c:strRef>
          </c:cat>
          <c:val>
            <c:numRef>
              <c:f>'Remuneração Total Áreas'!$O$4:$O$12</c:f>
              <c:numCache/>
            </c:numRef>
          </c:val>
        </c:ser>
        <c:ser>
          <c:idx val="13"/>
          <c:order val="13"/>
          <c:tx>
            <c:strRef>
              <c:f>'Remuneração Total Áreas'!$P$3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Áreas'!$B$4:$B$12</c:f>
            </c:strRef>
          </c:cat>
          <c:val>
            <c:numRef>
              <c:f>'Remuneração Total Áreas'!$P$4:$P$12</c:f>
              <c:numCache/>
            </c:numRef>
          </c:val>
        </c:ser>
        <c:ser>
          <c:idx val="14"/>
          <c:order val="14"/>
          <c:tx>
            <c:v>TI</c:v>
          </c:tx>
          <c:spPr>
            <a:solidFill>
              <a:srgbClr val="EAD1D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Áreas'!$B$4:$B$12</c:f>
            </c:strRef>
          </c:cat>
          <c:val>
            <c:numRef>
              <c:f>'Remuneração Total Áreas'!$Q$4:$Q$12</c:f>
              <c:numCache/>
            </c:numRef>
          </c:val>
        </c:ser>
        <c:ser>
          <c:idx val="15"/>
          <c:order val="15"/>
          <c:tx>
            <c:strRef>
              <c:f>'Remuneração Total Áreas'!$R$3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'Remuneração Total Áreas'!$B$4:$B$12</c:f>
            </c:strRef>
          </c:cat>
          <c:val>
            <c:numRef>
              <c:f>'Remuneração Total Áreas'!$R$4:$R$12</c:f>
              <c:numCache/>
            </c:numRef>
          </c:val>
        </c:ser>
        <c:overlap val="100"/>
        <c:axId val="367018401"/>
        <c:axId val="1439006789"/>
      </c:barChart>
      <c:catAx>
        <c:axId val="367018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006789"/>
      </c:catAx>
      <c:valAx>
        <c:axId val="1439006789"/>
        <c:scaling>
          <c:orientation val="minMax"/>
          <c:max val="7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018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Previsão Custo Enquadramento por Área: Fixo + Variável</a:t>
            </a:r>
          </a:p>
        </c:rich>
      </c:tx>
      <c:overlay val="0"/>
    </c:title>
    <c:plotArea>
      <c:layout>
        <c:manualLayout>
          <c:xMode val="edge"/>
          <c:yMode val="edge"/>
          <c:x val="0.14191176470588235"/>
          <c:y val="0.075"/>
          <c:w val="0.6470588235294118"/>
          <c:h val="0.8589622641509435"/>
        </c:manualLayout>
      </c:layout>
      <c:barChart>
        <c:barDir val="col"/>
        <c:grouping val="stacked"/>
        <c:ser>
          <c:idx val="0"/>
          <c:order val="0"/>
          <c:tx>
            <c:strRef>
              <c:f>'Remuneração Total Áreas'!$C$8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3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Áreas'!$C$9:$C$11</c:f>
              <c:numCache/>
            </c:numRef>
          </c:val>
        </c:ser>
        <c:ser>
          <c:idx val="1"/>
          <c:order val="1"/>
          <c:tx>
            <c:strRef>
              <c:f>'Remuneração Total Áreas'!$D$8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3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Áreas'!$D$9:$D$11</c:f>
              <c:numCache/>
            </c:numRef>
          </c:val>
        </c:ser>
        <c:ser>
          <c:idx val="2"/>
          <c:order val="2"/>
          <c:tx>
            <c:strRef>
              <c:f>'Remuneração Total Áreas'!$E$8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Áreas'!$E$9:$E$11</c:f>
              <c:numCache/>
            </c:numRef>
          </c:val>
        </c:ser>
        <c:ser>
          <c:idx val="3"/>
          <c:order val="3"/>
          <c:tx>
            <c:strRef>
              <c:f>'Remuneração Total Áreas'!$F$8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Áreas'!$F$9:$F$11</c:f>
              <c:numCache/>
            </c:numRef>
          </c:val>
        </c:ser>
        <c:ser>
          <c:idx val="4"/>
          <c:order val="4"/>
          <c:tx>
            <c:strRef>
              <c:f>'Remuneração Total Áreas'!$G$8</c:f>
            </c:strRef>
          </c:tx>
          <c:spPr>
            <a:solidFill>
              <a:srgbClr val="BC73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1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Áreas'!$G$9:$G$11</c:f>
              <c:numCache/>
            </c:numRef>
          </c:val>
        </c:ser>
        <c:ser>
          <c:idx val="5"/>
          <c:order val="5"/>
          <c:tx>
            <c:strRef>
              <c:f>'Remuneração Total Áreas'!$H$8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1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Áreas'!$H$9:$H$11</c:f>
              <c:numCache/>
            </c:numRef>
          </c:val>
        </c:ser>
        <c:ser>
          <c:idx val="6"/>
          <c:order val="6"/>
          <c:tx>
            <c:strRef>
              <c:f>'Remuneração Total Áreas'!$I$8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Áreas'!$I$9:$I$11</c:f>
              <c:numCache/>
            </c:numRef>
          </c:val>
        </c:ser>
        <c:ser>
          <c:idx val="7"/>
          <c:order val="7"/>
          <c:tx>
            <c:strRef>
              <c:f>'Remuneração Total Áreas'!$J$8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'Remuneração Total Áreas'!$B$9:$B$11</c:f>
            </c:strRef>
          </c:cat>
          <c:val>
            <c:numRef>
              <c:f>'Remuneração Total Áreas'!$J$9:$J$11</c:f>
              <c:numCache/>
            </c:numRef>
          </c:val>
        </c:ser>
        <c:ser>
          <c:idx val="8"/>
          <c:order val="8"/>
          <c:tx>
            <c:strRef>
              <c:f>'Remuneração Total Áreas'!$K$8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Áreas'!$K$9:$K$11</c:f>
              <c:numCache/>
            </c:numRef>
          </c:val>
        </c:ser>
        <c:ser>
          <c:idx val="9"/>
          <c:order val="9"/>
          <c:tx>
            <c:strRef>
              <c:f>'Remuneração Total Áreas'!$L$8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'Remuneração Total Áreas'!$B$9:$B$11</c:f>
            </c:strRef>
          </c:cat>
          <c:val>
            <c:numRef>
              <c:f>'Remuneração Total Áreas'!$L$9:$L$11</c:f>
              <c:numCache/>
            </c:numRef>
          </c:val>
        </c:ser>
        <c:ser>
          <c:idx val="10"/>
          <c:order val="10"/>
          <c:tx>
            <c:strRef>
              <c:f>'Remuneração Total Áreas'!$M$8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Áreas'!$M$9:$M$11</c:f>
              <c:numCache/>
            </c:numRef>
          </c:val>
        </c:ser>
        <c:ser>
          <c:idx val="11"/>
          <c:order val="11"/>
          <c:tx>
            <c:strRef>
              <c:f>'Remuneração Total Áreas'!$N$8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Áreas'!$N$9:$N$11</c:f>
              <c:numCache/>
            </c:numRef>
          </c:val>
        </c:ser>
        <c:ser>
          <c:idx val="12"/>
          <c:order val="12"/>
          <c:tx>
            <c:strRef>
              <c:f>'Remuneração Total Áreas'!$O$8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Áreas'!$O$9:$O$11</c:f>
              <c:numCache/>
            </c:numRef>
          </c:val>
        </c:ser>
        <c:ser>
          <c:idx val="13"/>
          <c:order val="13"/>
          <c:tx>
            <c:strRef>
              <c:f>'Remuneração Total Áreas'!$P$8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Áreas'!$P$9:$P$11</c:f>
              <c:numCache/>
            </c:numRef>
          </c:val>
        </c:ser>
        <c:ser>
          <c:idx val="14"/>
          <c:order val="14"/>
          <c:tx>
            <c:strRef>
              <c:f>'Remuneração Total Áreas'!$Q$8</c:f>
            </c:strRef>
          </c:tx>
          <c:spPr>
            <a:solidFill>
              <a:srgbClr val="EAD1D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Áreas'!$Q$9:$Q$11</c:f>
              <c:numCache/>
            </c:numRef>
          </c:val>
        </c:ser>
        <c:ser>
          <c:idx val="15"/>
          <c:order val="15"/>
          <c:tx>
            <c:v>TI</c:v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'Remuneração Total Áreas'!$B$9:$B$11</c:f>
            </c:strRef>
          </c:cat>
          <c:val>
            <c:numRef>
              <c:f>'Remuneração Total Áreas'!$R$9:$R$11</c:f>
              <c:numCache/>
            </c:numRef>
          </c:val>
        </c:ser>
        <c:overlap val="100"/>
        <c:axId val="1129006666"/>
        <c:axId val="1361991280"/>
      </c:barChart>
      <c:catAx>
        <c:axId val="1129006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991280"/>
      </c:catAx>
      <c:valAx>
        <c:axId val="1361991280"/>
        <c:scaling>
          <c:orientation val="minMax"/>
          <c:max val="6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00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Posicionamentos em relação à Estrutura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'Cargos da Estrutura_Cálculo'!$G$10</c:f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Estrutura_Cálculo'!$G$11:$G$14</c:f>
              <c:numCache/>
            </c:numRef>
          </c:val>
        </c:ser>
        <c:ser>
          <c:idx val="1"/>
          <c:order val="1"/>
          <c:tx>
            <c:strRef>
              <c:f>'Cargos da Estrutura_Cálculo'!$H$10</c:f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Estrutura_Cálculo'!$H$11:$H$14</c:f>
              <c:numCache/>
            </c:numRef>
          </c:val>
        </c:ser>
        <c:ser>
          <c:idx val="2"/>
          <c:order val="2"/>
          <c:tx>
            <c:strRef>
              <c:f>'Cargos da Estrutura_Cálculo'!$I$10</c:f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Estrutura_Cálculo'!$I$11:$I$14</c:f>
              <c:numCache/>
            </c:numRef>
          </c:val>
        </c:ser>
        <c:ser>
          <c:idx val="3"/>
          <c:order val="3"/>
          <c:tx>
            <c:strRef>
              <c:f>'Cargos da Estrutura_Cálculo'!$J$10</c:f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Estrutura_Cálculo'!$J$11:$J$14</c:f>
              <c:numCache/>
            </c:numRef>
          </c:val>
        </c:ser>
        <c:overlap val="100"/>
        <c:axId val="164514589"/>
        <c:axId val="1332334888"/>
      </c:barChart>
      <c:catAx>
        <c:axId val="16451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2334888"/>
      </c:catAx>
      <c:valAx>
        <c:axId val="133233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5145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Movimento Proposto: Enquadramento para os 80%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'Cargos da Estrutura_Cálculo'!$G$23</c:f>
            </c:strRef>
          </c:tx>
          <c:dPt>
            <c:idx val="0"/>
            <c:spPr>
              <a:solidFill>
                <a:srgbClr val="021CCA"/>
              </a:solidFill>
            </c:spPr>
          </c:dPt>
          <c:dPt>
            <c:idx val="1"/>
            <c:spPr>
              <a:solidFill>
                <a:srgbClr val="F3F3F3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'Cargos da Estrutura_Cálculo'!$F$24:$F$26</c:f>
            </c:strRef>
          </c:cat>
          <c:val>
            <c:numRef>
              <c:f>'Cargos da Estrutura_Cálculo'!$G$24:$G$26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Cargos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21CCA"/>
              </a:solidFill>
            </c:spPr>
          </c:dPt>
          <c:dPt>
            <c:idx val="1"/>
            <c:explosion val="0"/>
            <c:spPr>
              <a:solidFill>
                <a:srgbClr val="F3F3F3"/>
              </a:solidFill>
            </c:spPr>
          </c:dPt>
          <c:dPt>
            <c:idx val="2"/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'Cargos da Estrutura_Cálculo'!$G$5:$G$8</c:f>
            </c:strRef>
          </c:cat>
          <c:val>
            <c:numRef>
              <c:f>'Cargos da Estrutura_Cálculo'!$H$5:$H$8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Red Flags                                     </a:t>
            </a:r>
          </a:p>
        </c:rich>
      </c:tx>
      <c:overlay val="0"/>
    </c:title>
    <c:plotArea>
      <c:layout>
        <c:manualLayout>
          <c:xMode val="edge"/>
          <c:yMode val="edge"/>
          <c:x val="0.03305322128851544"/>
          <c:y val="0.1426553672316385"/>
          <c:w val="0.6210084033613446"/>
          <c:h val="0.807344632768361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3F3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'Cargos da Estrutura_Cálculo'!$F$31:$F$32</c:f>
            </c:strRef>
          </c:cat>
          <c:val>
            <c:numRef>
              <c:f>'Cargos da Estrutura_Cálculo'!$G$31:$G$32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161925</xdr:rowOff>
    </xdr:from>
    <xdr:ext cx="189547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171450</xdr:rowOff>
    </xdr:from>
    <xdr:ext cx="189547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171450</xdr:rowOff>
    </xdr:from>
    <xdr:ext cx="1895475" cy="4857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12</xdr:row>
      <xdr:rowOff>28575</xdr:rowOff>
    </xdr:from>
    <xdr:ext cx="6477000" cy="4000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102</xdr:row>
      <xdr:rowOff>47625</xdr:rowOff>
    </xdr:from>
    <xdr:ext cx="6477000" cy="40005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400050</xdr:colOff>
      <xdr:row>12</xdr:row>
      <xdr:rowOff>28575</xdr:rowOff>
    </xdr:from>
    <xdr:ext cx="6477000" cy="40005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95250</xdr:rowOff>
    </xdr:from>
    <xdr:ext cx="5343525" cy="2200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11</xdr:row>
      <xdr:rowOff>0</xdr:rowOff>
    </xdr:from>
    <xdr:ext cx="3467100" cy="2247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0</xdr:row>
      <xdr:rowOff>95250</xdr:rowOff>
    </xdr:from>
    <xdr:ext cx="3400425" cy="22002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95250</xdr:colOff>
      <xdr:row>11</xdr:row>
      <xdr:rowOff>0</xdr:rowOff>
    </xdr:from>
    <xdr:ext cx="3400425" cy="22479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66675</xdr:colOff>
      <xdr:row>15</xdr:row>
      <xdr:rowOff>123825</xdr:rowOff>
    </xdr:from>
    <xdr:ext cx="3067050" cy="7905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R6" displayName="Table_1" name="Table_1" id="1">
  <tableColumns count="17">
    <tableColumn name="Área" id="1"/>
    <tableColumn name="Edificação" id="2"/>
    <tableColumn name="Comercial" id="3"/>
    <tableColumn name="Urbanismo" id="4"/>
    <tableColumn name="Diretor" id="5"/>
    <tableColumn name="Financeiro" id="6"/>
    <tableColumn name="Administrativo" id="7"/>
    <tableColumn name="Controladoria" id="8"/>
    <tableColumn name="Marketing" id="9"/>
    <tableColumn name="Suprimentos" id="10"/>
    <tableColumn name="Incorporação" id="11"/>
    <tableColumn name="Legalização" id="12"/>
    <tableColumn name="Novos Negócios" id="13"/>
    <tableColumn name="DHO" id="14"/>
    <tableColumn name="Inovação" id="15"/>
    <tableColumn name="Pós Vendas" id="16"/>
    <tableColumn name="Tecnologia da Informação" id="17"/>
  </tableColumns>
  <tableStyleInfo name="Remuneração Total Áreas-style" showColumnStripes="0" showFirstColumn="1" showLastColumn="1" showRowStripes="1"/>
</table>
</file>

<file path=xl/tables/table2.xml><?xml version="1.0" encoding="utf-8"?>
<table xmlns="http://schemas.openxmlformats.org/spreadsheetml/2006/main" ref="B8:R11" displayName="Table_2" name="Table_2" id="2">
  <tableColumns count="17">
    <tableColumn name="Área" id="1"/>
    <tableColumn name="Edificação" id="2"/>
    <tableColumn name="Comercial" id="3"/>
    <tableColumn name="Urbanismo" id="4"/>
    <tableColumn name="Diretor" id="5"/>
    <tableColumn name="Financeiro" id="6"/>
    <tableColumn name="Administrativo" id="7"/>
    <tableColumn name="Controladoria" id="8"/>
    <tableColumn name="Marketing" id="9"/>
    <tableColumn name="Suprimentos" id="10"/>
    <tableColumn name="Incorporação" id="11"/>
    <tableColumn name="Legalização" id="12"/>
    <tableColumn name="Novos Negócios" id="13"/>
    <tableColumn name="DHO" id="14"/>
    <tableColumn name="Inovação" id="15"/>
    <tableColumn name="Pós Vendas" id="16"/>
    <tableColumn name="Tecnologia da Informação" id="17"/>
  </tableColumns>
  <tableStyleInfo name="Remuneração Total Áre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43"/>
    <col customWidth="1" min="2" max="2" width="32.29"/>
    <col customWidth="1" min="3" max="3" width="27.43"/>
    <col customWidth="1" min="4" max="4" width="15.14"/>
    <col customWidth="1" min="5" max="5" width="15.0"/>
    <col customWidth="1" min="6" max="6" width="9.29"/>
    <col customWidth="1" min="7" max="9" width="10.43"/>
    <col customWidth="1" min="10" max="10" width="11.43"/>
    <col customWidth="1" min="11" max="15" width="10.43"/>
    <col customWidth="1" min="16" max="16" width="6.29"/>
    <col customWidth="1" min="17" max="17" width="5.43"/>
    <col customWidth="1" min="18" max="19" width="3.43"/>
    <col customWidth="1" min="20" max="20" width="8.57"/>
  </cols>
  <sheetData>
    <row r="1">
      <c r="A1" s="1"/>
      <c r="B1" s="2"/>
      <c r="C1" s="3"/>
      <c r="D1" s="2"/>
      <c r="E1" s="2"/>
      <c r="F1" s="2"/>
      <c r="G1" s="2"/>
      <c r="H1" s="2"/>
      <c r="I1" s="4"/>
      <c r="J1" s="5"/>
      <c r="K1" s="4"/>
      <c r="L1" s="4"/>
      <c r="M1" s="4"/>
      <c r="N1" s="4"/>
      <c r="O1" s="4"/>
      <c r="P1" s="6"/>
      <c r="Q1" s="6"/>
      <c r="R1" s="6"/>
      <c r="S1" s="6"/>
      <c r="T1" s="6"/>
    </row>
    <row r="2" ht="16.5" customHeight="1">
      <c r="A2" s="1"/>
      <c r="B2" s="2"/>
      <c r="C2" s="2" t="s">
        <v>0</v>
      </c>
      <c r="D2" s="2"/>
      <c r="E2" s="2"/>
      <c r="F2" s="2"/>
      <c r="G2" s="2"/>
      <c r="H2" s="2"/>
      <c r="I2" s="7"/>
      <c r="J2" s="7"/>
      <c r="K2" s="7"/>
      <c r="L2" s="7"/>
      <c r="M2" s="7"/>
      <c r="N2" s="7"/>
      <c r="O2" s="7"/>
      <c r="P2" s="6"/>
      <c r="Q2" s="6"/>
      <c r="R2" s="6"/>
      <c r="S2" s="6"/>
      <c r="T2" s="6"/>
    </row>
    <row r="3" ht="24.75" customHeight="1">
      <c r="A3" s="1"/>
      <c r="B3" s="2"/>
      <c r="C3" s="2"/>
      <c r="D3" s="2"/>
      <c r="E3" s="2"/>
      <c r="F3" s="2"/>
      <c r="G3" s="2"/>
      <c r="H3" s="2"/>
      <c r="I3" s="7"/>
      <c r="J3" s="7"/>
      <c r="K3" s="7"/>
      <c r="L3" s="7"/>
      <c r="M3" s="7"/>
      <c r="N3" s="7"/>
      <c r="O3" s="7"/>
      <c r="P3" s="6"/>
      <c r="Q3" s="6"/>
      <c r="R3" s="6"/>
      <c r="S3" s="6"/>
      <c r="T3" s="6"/>
    </row>
    <row r="4" ht="4.5" customHeight="1">
      <c r="A4" s="1"/>
      <c r="B4" s="8"/>
      <c r="C4" s="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6"/>
      <c r="Q4" s="6"/>
      <c r="R4" s="6"/>
      <c r="S4" s="6"/>
      <c r="T4" s="6"/>
    </row>
    <row r="5" ht="22.5" customHeight="1">
      <c r="A5" s="1"/>
      <c r="B5" s="10"/>
      <c r="C5" s="11"/>
      <c r="D5" s="11"/>
      <c r="E5" s="11"/>
      <c r="F5" s="11"/>
      <c r="G5" s="12" t="s">
        <v>1</v>
      </c>
      <c r="H5" s="13"/>
      <c r="I5" s="13"/>
      <c r="J5" s="14"/>
      <c r="K5" s="15" t="s">
        <v>2</v>
      </c>
      <c r="L5" s="12" t="s">
        <v>3</v>
      </c>
      <c r="M5" s="13"/>
      <c r="N5" s="13"/>
      <c r="O5" s="16"/>
      <c r="P5" s="6"/>
      <c r="Q5" s="6"/>
      <c r="R5" s="6"/>
      <c r="S5" s="6"/>
      <c r="T5" s="6"/>
    </row>
    <row r="6">
      <c r="A6" s="1"/>
      <c r="B6" s="17" t="s">
        <v>4</v>
      </c>
      <c r="C6" s="18" t="s">
        <v>5</v>
      </c>
      <c r="D6" s="19" t="s">
        <v>6</v>
      </c>
      <c r="E6" s="20" t="s">
        <v>7</v>
      </c>
      <c r="F6" s="21" t="s">
        <v>8</v>
      </c>
      <c r="G6" s="22">
        <v>0.8</v>
      </c>
      <c r="H6" s="22">
        <v>0.85</v>
      </c>
      <c r="I6" s="22">
        <v>0.9</v>
      </c>
      <c r="J6" s="22">
        <v>0.95</v>
      </c>
      <c r="K6" s="22">
        <v>1.0</v>
      </c>
      <c r="L6" s="22">
        <v>1.05</v>
      </c>
      <c r="M6" s="22">
        <v>1.1</v>
      </c>
      <c r="N6" s="22">
        <v>1.15</v>
      </c>
      <c r="O6" s="23">
        <v>1.2</v>
      </c>
      <c r="P6" s="6"/>
      <c r="Q6" s="6"/>
      <c r="R6" s="6"/>
      <c r="S6" s="6"/>
      <c r="T6" s="6"/>
    </row>
    <row r="7" ht="18.75" customHeight="1">
      <c r="A7" s="1"/>
      <c r="B7" s="24" t="s">
        <v>9</v>
      </c>
      <c r="C7" s="25" t="s">
        <v>10</v>
      </c>
      <c r="D7" s="26">
        <v>2254.0</v>
      </c>
      <c r="E7" s="27">
        <v>2309.71</v>
      </c>
      <c r="F7" s="28">
        <v>10.0</v>
      </c>
      <c r="G7" s="29">
        <f t="shared" ref="G7:G82" si="1">IFERROR((K7*$G$6)," ")</f>
        <v>1867.2</v>
      </c>
      <c r="H7" s="29">
        <f t="shared" ref="H7:H82" si="2">IFERROR((K7*$H$6)," ")</f>
        <v>1983.9</v>
      </c>
      <c r="I7" s="29">
        <f t="shared" ref="I7:I82" si="3">IFERROR((K7*$I$6)," ")</f>
        <v>2100.6</v>
      </c>
      <c r="J7" s="29">
        <f t="shared" ref="J7:J82" si="4">IFERROR((K7*$J$6)," ")</f>
        <v>2217.3</v>
      </c>
      <c r="K7" s="30">
        <f>VLOOKUP(F7,'Tabela Salarial_CLT'!$B:$G,6,0)</f>
        <v>2334</v>
      </c>
      <c r="L7" s="29">
        <f t="shared" ref="L7:L82" si="5">IFERROR((K7*$L$6)," ")</f>
        <v>2450.7</v>
      </c>
      <c r="M7" s="29">
        <f t="shared" ref="M7:M82" si="6">IFERROR((K7*$M$6)," ")</f>
        <v>2567.4</v>
      </c>
      <c r="N7" s="29">
        <f t="shared" ref="N7:N82" si="7">IFERROR((K7*$N$6)," ")</f>
        <v>2684.1</v>
      </c>
      <c r="O7" s="31">
        <f t="shared" ref="O7:O82" si="8">IFERROR((K7*$O$6)," ")</f>
        <v>2800.8</v>
      </c>
      <c r="P7" s="6"/>
      <c r="Q7" s="6"/>
      <c r="R7" s="6"/>
      <c r="S7" s="6"/>
      <c r="T7" s="6"/>
    </row>
    <row r="8" ht="18.75" customHeight="1">
      <c r="A8" s="1"/>
      <c r="B8" s="24" t="s">
        <v>11</v>
      </c>
      <c r="C8" s="25" t="s">
        <v>12</v>
      </c>
      <c r="D8" s="26">
        <v>2560.0</v>
      </c>
      <c r="E8" s="32">
        <v>2052.94</v>
      </c>
      <c r="F8" s="33">
        <v>10.0</v>
      </c>
      <c r="G8" s="29">
        <f t="shared" si="1"/>
        <v>1867.2</v>
      </c>
      <c r="H8" s="29">
        <f t="shared" si="2"/>
        <v>1983.9</v>
      </c>
      <c r="I8" s="29">
        <f t="shared" si="3"/>
        <v>2100.6</v>
      </c>
      <c r="J8" s="29">
        <f t="shared" si="4"/>
        <v>2217.3</v>
      </c>
      <c r="K8" s="30">
        <f>VLOOKUP(F8,'Tabela Salarial_CLT'!$B:$G,6,0)</f>
        <v>2334</v>
      </c>
      <c r="L8" s="29">
        <f t="shared" si="5"/>
        <v>2450.7</v>
      </c>
      <c r="M8" s="29">
        <f t="shared" si="6"/>
        <v>2567.4</v>
      </c>
      <c r="N8" s="29">
        <f t="shared" si="7"/>
        <v>2684.1</v>
      </c>
      <c r="O8" s="31">
        <f t="shared" si="8"/>
        <v>2800.8</v>
      </c>
      <c r="P8" s="6"/>
      <c r="Q8" s="6"/>
      <c r="R8" s="6"/>
      <c r="S8" s="6"/>
      <c r="T8" s="6"/>
    </row>
    <row r="9" ht="18.75" customHeight="1">
      <c r="A9" s="1"/>
      <c r="B9" s="24" t="s">
        <v>13</v>
      </c>
      <c r="C9" s="25" t="s">
        <v>10</v>
      </c>
      <c r="D9" s="26">
        <v>3439.7</v>
      </c>
      <c r="E9" s="27">
        <v>2640.74</v>
      </c>
      <c r="F9" s="34">
        <v>11.0</v>
      </c>
      <c r="G9" s="29">
        <f t="shared" si="1"/>
        <v>2191.112</v>
      </c>
      <c r="H9" s="29">
        <f t="shared" si="2"/>
        <v>2328.0565</v>
      </c>
      <c r="I9" s="29">
        <f t="shared" si="3"/>
        <v>2465.001</v>
      </c>
      <c r="J9" s="29">
        <f t="shared" si="4"/>
        <v>2601.9455</v>
      </c>
      <c r="K9" s="30">
        <f>VLOOKUP(F9,'Tabela Salarial_CLT'!$B:$G,6,0)</f>
        <v>2738.89</v>
      </c>
      <c r="L9" s="29">
        <f t="shared" si="5"/>
        <v>2875.8345</v>
      </c>
      <c r="M9" s="29">
        <f t="shared" si="6"/>
        <v>3012.779</v>
      </c>
      <c r="N9" s="29">
        <f t="shared" si="7"/>
        <v>3149.7235</v>
      </c>
      <c r="O9" s="31">
        <f t="shared" si="8"/>
        <v>3286.668</v>
      </c>
      <c r="P9" s="6"/>
      <c r="Q9" s="6"/>
      <c r="R9" s="6"/>
      <c r="S9" s="6"/>
      <c r="T9" s="6"/>
    </row>
    <row r="10" ht="18.75" customHeight="1">
      <c r="A10" s="1"/>
      <c r="B10" s="35" t="s">
        <v>14</v>
      </c>
      <c r="C10" s="36" t="s">
        <v>12</v>
      </c>
      <c r="D10" s="26"/>
      <c r="E10" s="32" t="s">
        <v>15</v>
      </c>
      <c r="F10" s="33">
        <v>11.0</v>
      </c>
      <c r="G10" s="29">
        <f t="shared" si="1"/>
        <v>2191.112</v>
      </c>
      <c r="H10" s="29">
        <f t="shared" si="2"/>
        <v>2328.0565</v>
      </c>
      <c r="I10" s="29">
        <f t="shared" si="3"/>
        <v>2465.001</v>
      </c>
      <c r="J10" s="29">
        <f t="shared" si="4"/>
        <v>2601.9455</v>
      </c>
      <c r="K10" s="30">
        <f>VLOOKUP(F10,'Tabela Salarial_CLT'!$B:$G,6,0)</f>
        <v>2738.89</v>
      </c>
      <c r="L10" s="29">
        <f t="shared" si="5"/>
        <v>2875.8345</v>
      </c>
      <c r="M10" s="29">
        <f t="shared" si="6"/>
        <v>3012.779</v>
      </c>
      <c r="N10" s="29">
        <f t="shared" si="7"/>
        <v>3149.7235</v>
      </c>
      <c r="O10" s="31">
        <f t="shared" si="8"/>
        <v>3286.668</v>
      </c>
      <c r="P10" s="6"/>
      <c r="Q10" s="6"/>
      <c r="R10" s="6"/>
      <c r="S10" s="6"/>
      <c r="T10" s="6"/>
    </row>
    <row r="11" ht="18.75" customHeight="1">
      <c r="A11" s="1"/>
      <c r="B11" s="35" t="s">
        <v>16</v>
      </c>
      <c r="C11" s="36" t="s">
        <v>17</v>
      </c>
      <c r="D11" s="26"/>
      <c r="E11" s="32" t="s">
        <v>18</v>
      </c>
      <c r="F11" s="33">
        <v>11.0</v>
      </c>
      <c r="G11" s="29">
        <f t="shared" si="1"/>
        <v>2191.112</v>
      </c>
      <c r="H11" s="29">
        <f t="shared" si="2"/>
        <v>2328.0565</v>
      </c>
      <c r="I11" s="29">
        <f t="shared" si="3"/>
        <v>2465.001</v>
      </c>
      <c r="J11" s="29">
        <f t="shared" si="4"/>
        <v>2601.9455</v>
      </c>
      <c r="K11" s="30">
        <f>VLOOKUP(F11,'Tabela Salarial_CLT'!$B:$G,6,0)</f>
        <v>2738.89</v>
      </c>
      <c r="L11" s="29">
        <f t="shared" si="5"/>
        <v>2875.8345</v>
      </c>
      <c r="M11" s="29">
        <f t="shared" si="6"/>
        <v>3012.779</v>
      </c>
      <c r="N11" s="29">
        <f t="shared" si="7"/>
        <v>3149.7235</v>
      </c>
      <c r="O11" s="31">
        <f t="shared" si="8"/>
        <v>3286.668</v>
      </c>
      <c r="P11" s="6"/>
      <c r="Q11" s="6"/>
      <c r="R11" s="6"/>
      <c r="S11" s="6"/>
      <c r="T11" s="6"/>
    </row>
    <row r="12" ht="18.75" customHeight="1">
      <c r="A12" s="1"/>
      <c r="B12" s="35" t="s">
        <v>19</v>
      </c>
      <c r="C12" s="36" t="s">
        <v>20</v>
      </c>
      <c r="D12" s="26"/>
      <c r="E12" s="32" t="s">
        <v>21</v>
      </c>
      <c r="F12" s="34">
        <v>11.0</v>
      </c>
      <c r="G12" s="29">
        <f t="shared" si="1"/>
        <v>2191.112</v>
      </c>
      <c r="H12" s="29">
        <f t="shared" si="2"/>
        <v>2328.0565</v>
      </c>
      <c r="I12" s="29">
        <f t="shared" si="3"/>
        <v>2465.001</v>
      </c>
      <c r="J12" s="29">
        <f t="shared" si="4"/>
        <v>2601.9455</v>
      </c>
      <c r="K12" s="30">
        <f>VLOOKUP(F12,'Tabela Salarial_CLT'!$B:$G,6,0)</f>
        <v>2738.89</v>
      </c>
      <c r="L12" s="29">
        <f t="shared" si="5"/>
        <v>2875.8345</v>
      </c>
      <c r="M12" s="29">
        <f t="shared" si="6"/>
        <v>3012.779</v>
      </c>
      <c r="N12" s="29">
        <f t="shared" si="7"/>
        <v>3149.7235</v>
      </c>
      <c r="O12" s="31">
        <f t="shared" si="8"/>
        <v>3286.668</v>
      </c>
      <c r="P12" s="6"/>
      <c r="Q12" s="6"/>
      <c r="R12" s="6"/>
      <c r="S12" s="6"/>
      <c r="T12" s="6"/>
    </row>
    <row r="13" ht="18.75" customHeight="1">
      <c r="A13" s="1"/>
      <c r="B13" s="24" t="s">
        <v>22</v>
      </c>
      <c r="C13" s="25" t="s">
        <v>20</v>
      </c>
      <c r="D13" s="26">
        <v>3163.3333333333335</v>
      </c>
      <c r="E13" s="32">
        <v>2665.28</v>
      </c>
      <c r="F13" s="34">
        <v>11.0</v>
      </c>
      <c r="G13" s="29">
        <f t="shared" si="1"/>
        <v>2191.112</v>
      </c>
      <c r="H13" s="29">
        <f t="shared" si="2"/>
        <v>2328.0565</v>
      </c>
      <c r="I13" s="29">
        <f t="shared" si="3"/>
        <v>2465.001</v>
      </c>
      <c r="J13" s="29">
        <f t="shared" si="4"/>
        <v>2601.9455</v>
      </c>
      <c r="K13" s="30">
        <f>VLOOKUP(F13,'Tabela Salarial_CLT'!$B:$G,6,0)</f>
        <v>2738.89</v>
      </c>
      <c r="L13" s="29">
        <f t="shared" si="5"/>
        <v>2875.8345</v>
      </c>
      <c r="M13" s="29">
        <f t="shared" si="6"/>
        <v>3012.779</v>
      </c>
      <c r="N13" s="29">
        <f t="shared" si="7"/>
        <v>3149.7235</v>
      </c>
      <c r="O13" s="31">
        <f t="shared" si="8"/>
        <v>3286.668</v>
      </c>
      <c r="P13" s="6"/>
      <c r="Q13" s="6"/>
      <c r="R13" s="6"/>
      <c r="S13" s="6"/>
      <c r="T13" s="6"/>
    </row>
    <row r="14" ht="18.75" customHeight="1">
      <c r="A14" s="1"/>
      <c r="B14" s="24" t="s">
        <v>23</v>
      </c>
      <c r="C14" s="25" t="s">
        <v>24</v>
      </c>
      <c r="D14" s="26">
        <v>2919.0</v>
      </c>
      <c r="E14" s="32">
        <v>2889.19</v>
      </c>
      <c r="F14" s="34">
        <v>11.0</v>
      </c>
      <c r="G14" s="29">
        <f t="shared" si="1"/>
        <v>2191.112</v>
      </c>
      <c r="H14" s="29">
        <f t="shared" si="2"/>
        <v>2328.0565</v>
      </c>
      <c r="I14" s="29">
        <f t="shared" si="3"/>
        <v>2465.001</v>
      </c>
      <c r="J14" s="29">
        <f t="shared" si="4"/>
        <v>2601.9455</v>
      </c>
      <c r="K14" s="30">
        <f>VLOOKUP(F14,'Tabela Salarial_CLT'!$B:$G,6,0)</f>
        <v>2738.89</v>
      </c>
      <c r="L14" s="29">
        <f t="shared" si="5"/>
        <v>2875.8345</v>
      </c>
      <c r="M14" s="29">
        <f t="shared" si="6"/>
        <v>3012.779</v>
      </c>
      <c r="N14" s="29">
        <f t="shared" si="7"/>
        <v>3149.7235</v>
      </c>
      <c r="O14" s="31">
        <f t="shared" si="8"/>
        <v>3286.668</v>
      </c>
      <c r="P14" s="6"/>
      <c r="Q14" s="6"/>
      <c r="R14" s="6"/>
      <c r="S14" s="6"/>
      <c r="T14" s="6"/>
    </row>
    <row r="15" ht="18.75" customHeight="1">
      <c r="A15" s="1"/>
      <c r="B15" s="24" t="s">
        <v>25</v>
      </c>
      <c r="C15" s="25" t="s">
        <v>26</v>
      </c>
      <c r="D15" s="26">
        <v>2919.0</v>
      </c>
      <c r="E15" s="32">
        <v>2413.7</v>
      </c>
      <c r="F15" s="34">
        <v>11.0</v>
      </c>
      <c r="G15" s="29">
        <f t="shared" si="1"/>
        <v>2191.112</v>
      </c>
      <c r="H15" s="29">
        <f t="shared" si="2"/>
        <v>2328.0565</v>
      </c>
      <c r="I15" s="29">
        <f t="shared" si="3"/>
        <v>2465.001</v>
      </c>
      <c r="J15" s="29">
        <f t="shared" si="4"/>
        <v>2601.9455</v>
      </c>
      <c r="K15" s="30">
        <f>VLOOKUP(F15,'Tabela Salarial_CLT'!$B:$G,6,0)</f>
        <v>2738.89</v>
      </c>
      <c r="L15" s="29">
        <f t="shared" si="5"/>
        <v>2875.8345</v>
      </c>
      <c r="M15" s="29">
        <f t="shared" si="6"/>
        <v>3012.779</v>
      </c>
      <c r="N15" s="29">
        <f t="shared" si="7"/>
        <v>3149.7235</v>
      </c>
      <c r="O15" s="31">
        <f t="shared" si="8"/>
        <v>3286.668</v>
      </c>
      <c r="P15" s="6"/>
      <c r="Q15" s="6"/>
      <c r="R15" s="6"/>
      <c r="S15" s="6"/>
      <c r="T15" s="6"/>
    </row>
    <row r="16" ht="18.75" customHeight="1">
      <c r="A16" s="1"/>
      <c r="B16" s="24" t="s">
        <v>27</v>
      </c>
      <c r="C16" s="25" t="s">
        <v>28</v>
      </c>
      <c r="D16" s="26">
        <v>2560.0</v>
      </c>
      <c r="E16" s="32">
        <v>2721.37</v>
      </c>
      <c r="F16" s="37">
        <v>11.0</v>
      </c>
      <c r="G16" s="29">
        <f t="shared" si="1"/>
        <v>2191.112</v>
      </c>
      <c r="H16" s="29">
        <f t="shared" si="2"/>
        <v>2328.0565</v>
      </c>
      <c r="I16" s="29">
        <f t="shared" si="3"/>
        <v>2465.001</v>
      </c>
      <c r="J16" s="29">
        <f t="shared" si="4"/>
        <v>2601.9455</v>
      </c>
      <c r="K16" s="30">
        <f>VLOOKUP(F16,'Tabela Salarial_CLT'!$B:$G,6,0)</f>
        <v>2738.89</v>
      </c>
      <c r="L16" s="29">
        <f t="shared" si="5"/>
        <v>2875.8345</v>
      </c>
      <c r="M16" s="29">
        <f t="shared" si="6"/>
        <v>3012.779</v>
      </c>
      <c r="N16" s="29">
        <f t="shared" si="7"/>
        <v>3149.7235</v>
      </c>
      <c r="O16" s="31">
        <f t="shared" si="8"/>
        <v>3286.668</v>
      </c>
      <c r="P16" s="6"/>
      <c r="Q16" s="6"/>
      <c r="R16" s="6"/>
      <c r="S16" s="6"/>
      <c r="T16" s="6"/>
    </row>
    <row r="17" ht="18.75" customHeight="1">
      <c r="A17" s="1"/>
      <c r="B17" s="24" t="s">
        <v>29</v>
      </c>
      <c r="C17" s="25" t="s">
        <v>30</v>
      </c>
      <c r="D17" s="26">
        <v>3683.0</v>
      </c>
      <c r="E17" s="32">
        <v>3096.32</v>
      </c>
      <c r="F17" s="34">
        <v>12.0</v>
      </c>
      <c r="G17" s="29">
        <f t="shared" si="1"/>
        <v>2593.856</v>
      </c>
      <c r="H17" s="29">
        <f t="shared" si="2"/>
        <v>2755.972</v>
      </c>
      <c r="I17" s="29">
        <f t="shared" si="3"/>
        <v>2918.088</v>
      </c>
      <c r="J17" s="29">
        <f t="shared" si="4"/>
        <v>3080.204</v>
      </c>
      <c r="K17" s="30">
        <f>VLOOKUP(F17,'Tabela Salarial_CLT'!$B:$G,6,0)</f>
        <v>3242.32</v>
      </c>
      <c r="L17" s="29">
        <f t="shared" si="5"/>
        <v>3404.436</v>
      </c>
      <c r="M17" s="29">
        <f t="shared" si="6"/>
        <v>3566.552</v>
      </c>
      <c r="N17" s="29">
        <f t="shared" si="7"/>
        <v>3728.668</v>
      </c>
      <c r="O17" s="31">
        <f t="shared" si="8"/>
        <v>3890.784</v>
      </c>
      <c r="P17" s="6"/>
      <c r="Q17" s="6"/>
      <c r="R17" s="6"/>
      <c r="S17" s="6"/>
      <c r="T17" s="6"/>
    </row>
    <row r="18" ht="18.75" customHeight="1">
      <c r="A18" s="1"/>
      <c r="B18" s="38" t="s">
        <v>31</v>
      </c>
      <c r="C18" s="25" t="s">
        <v>32</v>
      </c>
      <c r="D18" s="39">
        <v>3652.0</v>
      </c>
      <c r="E18" s="32">
        <v>3092.92</v>
      </c>
      <c r="F18" s="34">
        <v>12.0</v>
      </c>
      <c r="G18" s="29">
        <f t="shared" si="1"/>
        <v>2593.856</v>
      </c>
      <c r="H18" s="29">
        <f t="shared" si="2"/>
        <v>2755.972</v>
      </c>
      <c r="I18" s="29">
        <f t="shared" si="3"/>
        <v>2918.088</v>
      </c>
      <c r="J18" s="29">
        <f t="shared" si="4"/>
        <v>3080.204</v>
      </c>
      <c r="K18" s="30">
        <f>VLOOKUP(F18,'Tabela Salarial_CLT'!$B:$G,6,0)</f>
        <v>3242.32</v>
      </c>
      <c r="L18" s="29">
        <f t="shared" si="5"/>
        <v>3404.436</v>
      </c>
      <c r="M18" s="29">
        <f t="shared" si="6"/>
        <v>3566.552</v>
      </c>
      <c r="N18" s="29">
        <f t="shared" si="7"/>
        <v>3728.668</v>
      </c>
      <c r="O18" s="31">
        <f t="shared" si="8"/>
        <v>3890.784</v>
      </c>
      <c r="P18" s="6"/>
      <c r="Q18" s="6"/>
      <c r="R18" s="6"/>
      <c r="S18" s="6"/>
      <c r="T18" s="6"/>
    </row>
    <row r="19" ht="18.75" customHeight="1">
      <c r="A19" s="1"/>
      <c r="B19" s="24" t="s">
        <v>33</v>
      </c>
      <c r="C19" s="25" t="s">
        <v>34</v>
      </c>
      <c r="D19" s="40">
        <v>3652.0</v>
      </c>
      <c r="E19" s="32">
        <v>2766.4</v>
      </c>
      <c r="F19" s="34">
        <v>12.0</v>
      </c>
      <c r="G19" s="29">
        <f t="shared" si="1"/>
        <v>2593.856</v>
      </c>
      <c r="H19" s="29">
        <f t="shared" si="2"/>
        <v>2755.972</v>
      </c>
      <c r="I19" s="29">
        <f t="shared" si="3"/>
        <v>2918.088</v>
      </c>
      <c r="J19" s="29">
        <f t="shared" si="4"/>
        <v>3080.204</v>
      </c>
      <c r="K19" s="30">
        <f>VLOOKUP(F19,'Tabela Salarial_CLT'!$B:$G,6,0)</f>
        <v>3242.32</v>
      </c>
      <c r="L19" s="29">
        <f t="shared" si="5"/>
        <v>3404.436</v>
      </c>
      <c r="M19" s="29">
        <f t="shared" si="6"/>
        <v>3566.552</v>
      </c>
      <c r="N19" s="29">
        <f t="shared" si="7"/>
        <v>3728.668</v>
      </c>
      <c r="O19" s="31">
        <f t="shared" si="8"/>
        <v>3890.784</v>
      </c>
      <c r="P19" s="6"/>
      <c r="Q19" s="6"/>
      <c r="R19" s="6"/>
      <c r="S19" s="6"/>
      <c r="T19" s="6"/>
    </row>
    <row r="20" ht="18.75" customHeight="1">
      <c r="A20" s="1"/>
      <c r="B20" s="24" t="s">
        <v>35</v>
      </c>
      <c r="C20" s="25" t="s">
        <v>36</v>
      </c>
      <c r="D20" s="26">
        <v>2919.0</v>
      </c>
      <c r="E20" s="32">
        <v>3087.62</v>
      </c>
      <c r="F20" s="34">
        <v>12.0</v>
      </c>
      <c r="G20" s="29">
        <f t="shared" si="1"/>
        <v>2593.856</v>
      </c>
      <c r="H20" s="29">
        <f t="shared" si="2"/>
        <v>2755.972</v>
      </c>
      <c r="I20" s="29">
        <f t="shared" si="3"/>
        <v>2918.088</v>
      </c>
      <c r="J20" s="29">
        <f t="shared" si="4"/>
        <v>3080.204</v>
      </c>
      <c r="K20" s="30">
        <f>VLOOKUP(F20,'Tabela Salarial_CLT'!$B:$G,6,0)</f>
        <v>3242.32</v>
      </c>
      <c r="L20" s="29">
        <f t="shared" si="5"/>
        <v>3404.436</v>
      </c>
      <c r="M20" s="29">
        <f t="shared" si="6"/>
        <v>3566.552</v>
      </c>
      <c r="N20" s="29">
        <f t="shared" si="7"/>
        <v>3728.668</v>
      </c>
      <c r="O20" s="31">
        <f t="shared" si="8"/>
        <v>3890.784</v>
      </c>
      <c r="P20" s="6"/>
      <c r="Q20" s="6"/>
      <c r="R20" s="6"/>
      <c r="S20" s="6"/>
      <c r="T20" s="6"/>
    </row>
    <row r="21" ht="18.75" customHeight="1">
      <c r="A21" s="1"/>
      <c r="B21" s="38" t="s">
        <v>37</v>
      </c>
      <c r="C21" s="25" t="s">
        <v>20</v>
      </c>
      <c r="D21" s="26"/>
      <c r="E21" s="32">
        <v>3493.97</v>
      </c>
      <c r="F21" s="34">
        <v>13.0</v>
      </c>
      <c r="G21" s="29">
        <f t="shared" si="1"/>
        <v>3105.144</v>
      </c>
      <c r="H21" s="29">
        <f t="shared" si="2"/>
        <v>3299.2155</v>
      </c>
      <c r="I21" s="29">
        <f t="shared" si="3"/>
        <v>3493.287</v>
      </c>
      <c r="J21" s="29">
        <f t="shared" si="4"/>
        <v>3687.3585</v>
      </c>
      <c r="K21" s="30">
        <f>VLOOKUP(F21,'Tabela Salarial_CLT'!$B:$G,6,0)</f>
        <v>3881.43</v>
      </c>
      <c r="L21" s="29">
        <f t="shared" si="5"/>
        <v>4075.5015</v>
      </c>
      <c r="M21" s="29">
        <f t="shared" si="6"/>
        <v>4269.573</v>
      </c>
      <c r="N21" s="29">
        <f t="shared" si="7"/>
        <v>4463.6445</v>
      </c>
      <c r="O21" s="31">
        <f t="shared" si="8"/>
        <v>4657.716</v>
      </c>
      <c r="P21" s="6"/>
      <c r="Q21" s="6"/>
      <c r="R21" s="6"/>
      <c r="S21" s="6"/>
      <c r="T21" s="6"/>
    </row>
    <row r="22" ht="18.75" customHeight="1">
      <c r="A22" s="1"/>
      <c r="B22" s="38" t="s">
        <v>38</v>
      </c>
      <c r="C22" s="25" t="s">
        <v>20</v>
      </c>
      <c r="D22" s="26"/>
      <c r="E22" s="32">
        <v>3493.97</v>
      </c>
      <c r="F22" s="34">
        <v>13.0</v>
      </c>
      <c r="G22" s="29">
        <f t="shared" si="1"/>
        <v>3105.144</v>
      </c>
      <c r="H22" s="29">
        <f t="shared" si="2"/>
        <v>3299.2155</v>
      </c>
      <c r="I22" s="29">
        <f t="shared" si="3"/>
        <v>3493.287</v>
      </c>
      <c r="J22" s="29">
        <f t="shared" si="4"/>
        <v>3687.3585</v>
      </c>
      <c r="K22" s="30">
        <f>VLOOKUP(F22,'Tabela Salarial_CLT'!$B:$G,6,0)</f>
        <v>3881.43</v>
      </c>
      <c r="L22" s="29">
        <f t="shared" si="5"/>
        <v>4075.5015</v>
      </c>
      <c r="M22" s="29">
        <f t="shared" si="6"/>
        <v>4269.573</v>
      </c>
      <c r="N22" s="29">
        <f t="shared" si="7"/>
        <v>4463.6445</v>
      </c>
      <c r="O22" s="31">
        <f t="shared" si="8"/>
        <v>4657.716</v>
      </c>
      <c r="P22" s="6"/>
      <c r="Q22" s="6"/>
      <c r="R22" s="6"/>
      <c r="S22" s="6"/>
      <c r="T22" s="6"/>
    </row>
    <row r="23" ht="18.75" customHeight="1">
      <c r="A23" s="1"/>
      <c r="B23" s="24" t="s">
        <v>39</v>
      </c>
      <c r="C23" s="25" t="s">
        <v>20</v>
      </c>
      <c r="D23" s="26">
        <v>3993.0</v>
      </c>
      <c r="E23" s="32">
        <v>3493.97</v>
      </c>
      <c r="F23" s="34">
        <v>13.0</v>
      </c>
      <c r="G23" s="29">
        <f t="shared" si="1"/>
        <v>3105.144</v>
      </c>
      <c r="H23" s="29">
        <f t="shared" si="2"/>
        <v>3299.2155</v>
      </c>
      <c r="I23" s="29">
        <f t="shared" si="3"/>
        <v>3493.287</v>
      </c>
      <c r="J23" s="29">
        <f t="shared" si="4"/>
        <v>3687.3585</v>
      </c>
      <c r="K23" s="30">
        <f>VLOOKUP(F23,'Tabela Salarial_CLT'!$B:$G,6,0)</f>
        <v>3881.43</v>
      </c>
      <c r="L23" s="29">
        <f t="shared" si="5"/>
        <v>4075.5015</v>
      </c>
      <c r="M23" s="29">
        <f t="shared" si="6"/>
        <v>4269.573</v>
      </c>
      <c r="N23" s="29">
        <f t="shared" si="7"/>
        <v>4463.6445</v>
      </c>
      <c r="O23" s="31">
        <f t="shared" si="8"/>
        <v>4657.716</v>
      </c>
      <c r="P23" s="6"/>
      <c r="Q23" s="6"/>
      <c r="R23" s="6"/>
      <c r="S23" s="6"/>
      <c r="T23" s="6"/>
    </row>
    <row r="24" ht="18.75" customHeight="1">
      <c r="A24" s="1"/>
      <c r="B24" s="38" t="s">
        <v>40</v>
      </c>
      <c r="C24" s="25" t="s">
        <v>30</v>
      </c>
      <c r="D24" s="26"/>
      <c r="E24" s="32"/>
      <c r="F24" s="34">
        <v>13.0</v>
      </c>
      <c r="G24" s="29">
        <f t="shared" si="1"/>
        <v>3105.144</v>
      </c>
      <c r="H24" s="29">
        <f t="shared" si="2"/>
        <v>3299.2155</v>
      </c>
      <c r="I24" s="29">
        <f t="shared" si="3"/>
        <v>3493.287</v>
      </c>
      <c r="J24" s="29">
        <f t="shared" si="4"/>
        <v>3687.3585</v>
      </c>
      <c r="K24" s="30">
        <f>VLOOKUP(F24,'Tabela Salarial_CLT'!$B:$G,6,0)</f>
        <v>3881.43</v>
      </c>
      <c r="L24" s="29">
        <f t="shared" si="5"/>
        <v>4075.5015</v>
      </c>
      <c r="M24" s="29">
        <f t="shared" si="6"/>
        <v>4269.573</v>
      </c>
      <c r="N24" s="29">
        <f t="shared" si="7"/>
        <v>4463.6445</v>
      </c>
      <c r="O24" s="31">
        <f t="shared" si="8"/>
        <v>4657.716</v>
      </c>
      <c r="P24" s="6"/>
      <c r="Q24" s="6"/>
      <c r="R24" s="6"/>
      <c r="S24" s="6"/>
      <c r="T24" s="6"/>
    </row>
    <row r="25" ht="18.75" customHeight="1">
      <c r="A25" s="1"/>
      <c r="B25" s="24" t="s">
        <v>41</v>
      </c>
      <c r="C25" s="25" t="s">
        <v>24</v>
      </c>
      <c r="D25" s="26">
        <v>4025.88</v>
      </c>
      <c r="E25" s="32">
        <v>3297.81</v>
      </c>
      <c r="F25" s="34">
        <v>13.0</v>
      </c>
      <c r="G25" s="29">
        <f t="shared" si="1"/>
        <v>3105.144</v>
      </c>
      <c r="H25" s="29">
        <f t="shared" si="2"/>
        <v>3299.2155</v>
      </c>
      <c r="I25" s="29">
        <f t="shared" si="3"/>
        <v>3493.287</v>
      </c>
      <c r="J25" s="29">
        <f t="shared" si="4"/>
        <v>3687.3585</v>
      </c>
      <c r="K25" s="30">
        <f>VLOOKUP(F25,'Tabela Salarial_CLT'!$B:$G,6,0)</f>
        <v>3881.43</v>
      </c>
      <c r="L25" s="29">
        <f t="shared" si="5"/>
        <v>4075.5015</v>
      </c>
      <c r="M25" s="29">
        <f t="shared" si="6"/>
        <v>4269.573</v>
      </c>
      <c r="N25" s="29">
        <f t="shared" si="7"/>
        <v>4463.6445</v>
      </c>
      <c r="O25" s="31">
        <f t="shared" si="8"/>
        <v>4657.716</v>
      </c>
      <c r="P25" s="6"/>
      <c r="Q25" s="6"/>
      <c r="R25" s="6"/>
      <c r="S25" s="6"/>
      <c r="T25" s="6"/>
    </row>
    <row r="26" ht="18.75" customHeight="1">
      <c r="A26" s="1"/>
      <c r="B26" s="38" t="s">
        <v>42</v>
      </c>
      <c r="C26" s="25" t="s">
        <v>43</v>
      </c>
      <c r="D26" s="26"/>
      <c r="E26" s="32"/>
      <c r="F26" s="34">
        <v>13.0</v>
      </c>
      <c r="G26" s="29">
        <f t="shared" si="1"/>
        <v>3105.144</v>
      </c>
      <c r="H26" s="29">
        <f t="shared" si="2"/>
        <v>3299.2155</v>
      </c>
      <c r="I26" s="29">
        <f t="shared" si="3"/>
        <v>3493.287</v>
      </c>
      <c r="J26" s="29">
        <f t="shared" si="4"/>
        <v>3687.3585</v>
      </c>
      <c r="K26" s="30">
        <f>VLOOKUP(F26,'Tabela Salarial_CLT'!$B:$G,6,0)</f>
        <v>3881.43</v>
      </c>
      <c r="L26" s="29">
        <f t="shared" si="5"/>
        <v>4075.5015</v>
      </c>
      <c r="M26" s="29">
        <f t="shared" si="6"/>
        <v>4269.573</v>
      </c>
      <c r="N26" s="29">
        <f t="shared" si="7"/>
        <v>4463.6445</v>
      </c>
      <c r="O26" s="31">
        <f t="shared" si="8"/>
        <v>4657.716</v>
      </c>
      <c r="P26" s="6"/>
      <c r="Q26" s="6"/>
      <c r="R26" s="6"/>
      <c r="S26" s="6"/>
      <c r="T26" s="6"/>
    </row>
    <row r="27" ht="18.75" customHeight="1">
      <c r="A27" s="1"/>
      <c r="B27" s="24" t="s">
        <v>44</v>
      </c>
      <c r="C27" s="25" t="s">
        <v>30</v>
      </c>
      <c r="D27" s="26">
        <v>3652.0</v>
      </c>
      <c r="E27" s="32">
        <v>3954.91</v>
      </c>
      <c r="F27" s="34">
        <v>13.0</v>
      </c>
      <c r="G27" s="29">
        <f t="shared" si="1"/>
        <v>3105.144</v>
      </c>
      <c r="H27" s="29">
        <f t="shared" si="2"/>
        <v>3299.2155</v>
      </c>
      <c r="I27" s="29">
        <f t="shared" si="3"/>
        <v>3493.287</v>
      </c>
      <c r="J27" s="29">
        <f t="shared" si="4"/>
        <v>3687.3585</v>
      </c>
      <c r="K27" s="30">
        <f>VLOOKUP(F27,'Tabela Salarial_CLT'!$B:$G,6,0)</f>
        <v>3881.43</v>
      </c>
      <c r="L27" s="29">
        <f t="shared" si="5"/>
        <v>4075.5015</v>
      </c>
      <c r="M27" s="29">
        <f t="shared" si="6"/>
        <v>4269.573</v>
      </c>
      <c r="N27" s="29">
        <f t="shared" si="7"/>
        <v>4463.6445</v>
      </c>
      <c r="O27" s="31">
        <f t="shared" si="8"/>
        <v>4657.716</v>
      </c>
      <c r="P27" s="6"/>
      <c r="Q27" s="6"/>
      <c r="R27" s="6"/>
      <c r="S27" s="6"/>
      <c r="T27" s="6"/>
    </row>
    <row r="28" ht="18.75" customHeight="1">
      <c r="A28" s="1"/>
      <c r="B28" s="38" t="s">
        <v>45</v>
      </c>
      <c r="C28" s="25" t="s">
        <v>46</v>
      </c>
      <c r="D28" s="26"/>
      <c r="E28" s="32">
        <v>3492.43</v>
      </c>
      <c r="F28" s="34">
        <v>14.0</v>
      </c>
      <c r="G28" s="29">
        <f t="shared" si="1"/>
        <v>3754.688</v>
      </c>
      <c r="H28" s="29">
        <f t="shared" si="2"/>
        <v>3989.356</v>
      </c>
      <c r="I28" s="29">
        <f t="shared" si="3"/>
        <v>4224.024</v>
      </c>
      <c r="J28" s="29">
        <f t="shared" si="4"/>
        <v>4458.692</v>
      </c>
      <c r="K28" s="30">
        <f>VLOOKUP(F28,'Tabela Salarial_CLT'!$B:$G,6,0)</f>
        <v>4693.36</v>
      </c>
      <c r="L28" s="29">
        <f t="shared" si="5"/>
        <v>4928.028</v>
      </c>
      <c r="M28" s="29">
        <f t="shared" si="6"/>
        <v>5162.696</v>
      </c>
      <c r="N28" s="29">
        <f t="shared" si="7"/>
        <v>5397.364</v>
      </c>
      <c r="O28" s="31">
        <f t="shared" si="8"/>
        <v>5632.032</v>
      </c>
      <c r="P28" s="6"/>
      <c r="Q28" s="6"/>
      <c r="R28" s="6"/>
      <c r="S28" s="6"/>
      <c r="T28" s="6"/>
    </row>
    <row r="29" ht="18.75" customHeight="1">
      <c r="A29" s="1"/>
      <c r="B29" s="24" t="s">
        <v>47</v>
      </c>
      <c r="C29" s="25" t="s">
        <v>24</v>
      </c>
      <c r="D29" s="26">
        <v>5429.0</v>
      </c>
      <c r="E29" s="32">
        <v>4325.72</v>
      </c>
      <c r="F29" s="34">
        <v>14.0</v>
      </c>
      <c r="G29" s="29">
        <f t="shared" si="1"/>
        <v>3754.688</v>
      </c>
      <c r="H29" s="29">
        <f t="shared" si="2"/>
        <v>3989.356</v>
      </c>
      <c r="I29" s="29">
        <f t="shared" si="3"/>
        <v>4224.024</v>
      </c>
      <c r="J29" s="29">
        <f t="shared" si="4"/>
        <v>4458.692</v>
      </c>
      <c r="K29" s="30">
        <f>VLOOKUP(F29,'Tabela Salarial_CLT'!$B:$G,6,0)</f>
        <v>4693.36</v>
      </c>
      <c r="L29" s="29">
        <f t="shared" si="5"/>
        <v>4928.028</v>
      </c>
      <c r="M29" s="29">
        <f t="shared" si="6"/>
        <v>5162.696</v>
      </c>
      <c r="N29" s="29">
        <f t="shared" si="7"/>
        <v>5397.364</v>
      </c>
      <c r="O29" s="31">
        <f t="shared" si="8"/>
        <v>5632.032</v>
      </c>
      <c r="P29" s="6"/>
      <c r="Q29" s="6"/>
      <c r="R29" s="6"/>
      <c r="S29" s="6"/>
      <c r="T29" s="6"/>
    </row>
    <row r="30" ht="18.75" customHeight="1">
      <c r="A30" s="1"/>
      <c r="B30" s="38" t="s">
        <v>48</v>
      </c>
      <c r="C30" s="25" t="s">
        <v>20</v>
      </c>
      <c r="D30" s="26"/>
      <c r="E30" s="32">
        <v>4714.28</v>
      </c>
      <c r="F30" s="34">
        <v>14.0</v>
      </c>
      <c r="G30" s="29">
        <f t="shared" si="1"/>
        <v>3754.688</v>
      </c>
      <c r="H30" s="29">
        <f t="shared" si="2"/>
        <v>3989.356</v>
      </c>
      <c r="I30" s="29">
        <f t="shared" si="3"/>
        <v>4224.024</v>
      </c>
      <c r="J30" s="29">
        <f t="shared" si="4"/>
        <v>4458.692</v>
      </c>
      <c r="K30" s="30">
        <f>VLOOKUP(F30,'Tabela Salarial_CLT'!$B:$G,6,0)</f>
        <v>4693.36</v>
      </c>
      <c r="L30" s="29">
        <f t="shared" si="5"/>
        <v>4928.028</v>
      </c>
      <c r="M30" s="29">
        <f t="shared" si="6"/>
        <v>5162.696</v>
      </c>
      <c r="N30" s="29">
        <f t="shared" si="7"/>
        <v>5397.364</v>
      </c>
      <c r="O30" s="31">
        <f t="shared" si="8"/>
        <v>5632.032</v>
      </c>
      <c r="P30" s="6"/>
      <c r="Q30" s="6"/>
      <c r="R30" s="6"/>
      <c r="S30" s="6"/>
      <c r="T30" s="6"/>
    </row>
    <row r="31" ht="18.75" customHeight="1">
      <c r="A31" s="1"/>
      <c r="B31" s="38" t="s">
        <v>49</v>
      </c>
      <c r="C31" s="25" t="s">
        <v>20</v>
      </c>
      <c r="D31" s="26"/>
      <c r="E31" s="32">
        <v>4714.28</v>
      </c>
      <c r="F31" s="34">
        <v>14.0</v>
      </c>
      <c r="G31" s="29">
        <f t="shared" si="1"/>
        <v>3754.688</v>
      </c>
      <c r="H31" s="29">
        <f t="shared" si="2"/>
        <v>3989.356</v>
      </c>
      <c r="I31" s="29">
        <f t="shared" si="3"/>
        <v>4224.024</v>
      </c>
      <c r="J31" s="29">
        <f t="shared" si="4"/>
        <v>4458.692</v>
      </c>
      <c r="K31" s="30">
        <f>VLOOKUP(F31,'Tabela Salarial_CLT'!$B:$G,6,0)</f>
        <v>4693.36</v>
      </c>
      <c r="L31" s="29">
        <f t="shared" si="5"/>
        <v>4928.028</v>
      </c>
      <c r="M31" s="29">
        <f t="shared" si="6"/>
        <v>5162.696</v>
      </c>
      <c r="N31" s="29">
        <f t="shared" si="7"/>
        <v>5397.364</v>
      </c>
      <c r="O31" s="31">
        <f t="shared" si="8"/>
        <v>5632.032</v>
      </c>
      <c r="P31" s="6"/>
      <c r="Q31" s="6"/>
      <c r="R31" s="6"/>
      <c r="S31" s="6"/>
      <c r="T31" s="6"/>
    </row>
    <row r="32" ht="18.75" customHeight="1">
      <c r="A32" s="1"/>
      <c r="B32" s="38" t="s">
        <v>50</v>
      </c>
      <c r="C32" s="25" t="s">
        <v>20</v>
      </c>
      <c r="D32" s="26"/>
      <c r="E32" s="32">
        <v>4714.28</v>
      </c>
      <c r="F32" s="34">
        <v>14.0</v>
      </c>
      <c r="G32" s="29">
        <f t="shared" si="1"/>
        <v>3754.688</v>
      </c>
      <c r="H32" s="29">
        <f t="shared" si="2"/>
        <v>3989.356</v>
      </c>
      <c r="I32" s="29">
        <f t="shared" si="3"/>
        <v>4224.024</v>
      </c>
      <c r="J32" s="29">
        <f t="shared" si="4"/>
        <v>4458.692</v>
      </c>
      <c r="K32" s="30">
        <f>VLOOKUP(F32,'Tabela Salarial_CLT'!$B:$G,6,0)</f>
        <v>4693.36</v>
      </c>
      <c r="L32" s="29">
        <f t="shared" si="5"/>
        <v>4928.028</v>
      </c>
      <c r="M32" s="29">
        <f t="shared" si="6"/>
        <v>5162.696</v>
      </c>
      <c r="N32" s="29">
        <f t="shared" si="7"/>
        <v>5397.364</v>
      </c>
      <c r="O32" s="31">
        <f t="shared" si="8"/>
        <v>5632.032</v>
      </c>
      <c r="P32" s="6"/>
      <c r="Q32" s="6"/>
      <c r="R32" s="6"/>
      <c r="S32" s="6"/>
      <c r="T32" s="6"/>
    </row>
    <row r="33" ht="18.75" customHeight="1">
      <c r="A33" s="1"/>
      <c r="B33" s="24" t="s">
        <v>51</v>
      </c>
      <c r="C33" s="25" t="s">
        <v>30</v>
      </c>
      <c r="D33" s="26">
        <v>4550.0</v>
      </c>
      <c r="E33" s="32">
        <v>6232.3</v>
      </c>
      <c r="F33" s="34">
        <v>14.0</v>
      </c>
      <c r="G33" s="29">
        <f t="shared" si="1"/>
        <v>3754.688</v>
      </c>
      <c r="H33" s="29">
        <f t="shared" si="2"/>
        <v>3989.356</v>
      </c>
      <c r="I33" s="29">
        <f t="shared" si="3"/>
        <v>4224.024</v>
      </c>
      <c r="J33" s="29">
        <f t="shared" si="4"/>
        <v>4458.692</v>
      </c>
      <c r="K33" s="30">
        <f>VLOOKUP(F33,'Tabela Salarial_CLT'!$B:$G,6,0)</f>
        <v>4693.36</v>
      </c>
      <c r="L33" s="29">
        <f t="shared" si="5"/>
        <v>4928.028</v>
      </c>
      <c r="M33" s="29">
        <f t="shared" si="6"/>
        <v>5162.696</v>
      </c>
      <c r="N33" s="29">
        <f t="shared" si="7"/>
        <v>5397.364</v>
      </c>
      <c r="O33" s="31">
        <f t="shared" si="8"/>
        <v>5632.032</v>
      </c>
      <c r="P33" s="6"/>
      <c r="Q33" s="6"/>
      <c r="R33" s="6"/>
      <c r="S33" s="6"/>
      <c r="T33" s="6"/>
    </row>
    <row r="34" ht="18.75" customHeight="1">
      <c r="A34" s="1"/>
      <c r="B34" s="38" t="s">
        <v>52</v>
      </c>
      <c r="C34" s="25" t="s">
        <v>24</v>
      </c>
      <c r="D34" s="26"/>
      <c r="E34" s="32">
        <v>4910.03</v>
      </c>
      <c r="F34" s="34">
        <v>14.0</v>
      </c>
      <c r="G34" s="29">
        <f t="shared" si="1"/>
        <v>3754.688</v>
      </c>
      <c r="H34" s="29">
        <f t="shared" si="2"/>
        <v>3989.356</v>
      </c>
      <c r="I34" s="29">
        <f t="shared" si="3"/>
        <v>4224.024</v>
      </c>
      <c r="J34" s="29">
        <f t="shared" si="4"/>
        <v>4458.692</v>
      </c>
      <c r="K34" s="30">
        <f>VLOOKUP(F34,'Tabela Salarial_CLT'!$B:$G,6,0)</f>
        <v>4693.36</v>
      </c>
      <c r="L34" s="29">
        <f t="shared" si="5"/>
        <v>4928.028</v>
      </c>
      <c r="M34" s="29">
        <f t="shared" si="6"/>
        <v>5162.696</v>
      </c>
      <c r="N34" s="29">
        <f t="shared" si="7"/>
        <v>5397.364</v>
      </c>
      <c r="O34" s="31">
        <f t="shared" si="8"/>
        <v>5632.032</v>
      </c>
      <c r="P34" s="6"/>
      <c r="Q34" s="6"/>
      <c r="R34" s="6"/>
      <c r="S34" s="6"/>
      <c r="T34" s="6"/>
    </row>
    <row r="35" ht="18.75" customHeight="1">
      <c r="A35" s="1"/>
      <c r="B35" s="38" t="s">
        <v>53</v>
      </c>
      <c r="C35" s="25" t="s">
        <v>43</v>
      </c>
      <c r="D35" s="41">
        <v>4550.0</v>
      </c>
      <c r="E35" s="32">
        <v>3830.08</v>
      </c>
      <c r="F35" s="34">
        <v>14.0</v>
      </c>
      <c r="G35" s="29">
        <f t="shared" si="1"/>
        <v>3754.688</v>
      </c>
      <c r="H35" s="29">
        <f t="shared" si="2"/>
        <v>3989.356</v>
      </c>
      <c r="I35" s="29">
        <f t="shared" si="3"/>
        <v>4224.024</v>
      </c>
      <c r="J35" s="29">
        <f t="shared" si="4"/>
        <v>4458.692</v>
      </c>
      <c r="K35" s="30">
        <f>VLOOKUP(F35,'Tabela Salarial_CLT'!$B:$G,6,0)</f>
        <v>4693.36</v>
      </c>
      <c r="L35" s="29">
        <f t="shared" si="5"/>
        <v>4928.028</v>
      </c>
      <c r="M35" s="29">
        <f t="shared" si="6"/>
        <v>5162.696</v>
      </c>
      <c r="N35" s="29">
        <f t="shared" si="7"/>
        <v>5397.364</v>
      </c>
      <c r="O35" s="31">
        <f t="shared" si="8"/>
        <v>5632.032</v>
      </c>
      <c r="P35" s="6"/>
      <c r="Q35" s="6"/>
      <c r="R35" s="6"/>
      <c r="S35" s="6"/>
      <c r="T35" s="6"/>
    </row>
    <row r="36" ht="18.75" customHeight="1">
      <c r="A36" s="1"/>
      <c r="B36" s="38" t="s">
        <v>54</v>
      </c>
      <c r="C36" s="25" t="s">
        <v>46</v>
      </c>
      <c r="D36" s="26">
        <v>3780.0</v>
      </c>
      <c r="E36" s="32">
        <v>5288.53</v>
      </c>
      <c r="F36" s="34">
        <v>15.0</v>
      </c>
      <c r="G36" s="29">
        <f t="shared" si="1"/>
        <v>4572.2</v>
      </c>
      <c r="H36" s="29">
        <f t="shared" si="2"/>
        <v>4857.9625</v>
      </c>
      <c r="I36" s="29">
        <f t="shared" si="3"/>
        <v>5143.725</v>
      </c>
      <c r="J36" s="29">
        <f t="shared" si="4"/>
        <v>5429.4875</v>
      </c>
      <c r="K36" s="30">
        <f>VLOOKUP(F36,'Tabela Salarial_CLT'!$B:$G,6,0)</f>
        <v>5715.25</v>
      </c>
      <c r="L36" s="29">
        <f t="shared" si="5"/>
        <v>6001.0125</v>
      </c>
      <c r="M36" s="29">
        <f t="shared" si="6"/>
        <v>6286.775</v>
      </c>
      <c r="N36" s="29">
        <f t="shared" si="7"/>
        <v>6572.5375</v>
      </c>
      <c r="O36" s="31">
        <f t="shared" si="8"/>
        <v>6858.3</v>
      </c>
      <c r="P36" s="6"/>
      <c r="Q36" s="6"/>
      <c r="R36" s="6"/>
      <c r="S36" s="6"/>
      <c r="T36" s="6"/>
    </row>
    <row r="37" ht="18.75" customHeight="1">
      <c r="A37" s="1"/>
      <c r="B37" s="35" t="s">
        <v>55</v>
      </c>
      <c r="C37" s="36" t="s">
        <v>30</v>
      </c>
      <c r="D37" s="26"/>
      <c r="E37" s="32" t="s">
        <v>56</v>
      </c>
      <c r="F37" s="34">
        <v>15.0</v>
      </c>
      <c r="G37" s="29">
        <f t="shared" si="1"/>
        <v>4572.2</v>
      </c>
      <c r="H37" s="29">
        <f t="shared" si="2"/>
        <v>4857.9625</v>
      </c>
      <c r="I37" s="29">
        <f t="shared" si="3"/>
        <v>5143.725</v>
      </c>
      <c r="J37" s="29">
        <f t="shared" si="4"/>
        <v>5429.4875</v>
      </c>
      <c r="K37" s="30">
        <f>VLOOKUP(F37,'Tabela Salarial_CLT'!$B:$G,6,0)</f>
        <v>5715.25</v>
      </c>
      <c r="L37" s="29">
        <f t="shared" si="5"/>
        <v>6001.0125</v>
      </c>
      <c r="M37" s="29">
        <f t="shared" si="6"/>
        <v>6286.775</v>
      </c>
      <c r="N37" s="29">
        <f t="shared" si="7"/>
        <v>6572.5375</v>
      </c>
      <c r="O37" s="31">
        <f t="shared" si="8"/>
        <v>6858.3</v>
      </c>
      <c r="P37" s="6"/>
      <c r="Q37" s="6"/>
      <c r="R37" s="6"/>
      <c r="S37" s="6"/>
      <c r="T37" s="6"/>
    </row>
    <row r="38" ht="18.75" customHeight="1">
      <c r="A38" s="1"/>
      <c r="B38" s="24" t="s">
        <v>57</v>
      </c>
      <c r="C38" s="25" t="s">
        <v>20</v>
      </c>
      <c r="D38" s="26">
        <v>5213.0</v>
      </c>
      <c r="E38" s="32">
        <v>5910.71</v>
      </c>
      <c r="F38" s="34">
        <v>15.0</v>
      </c>
      <c r="G38" s="29">
        <f t="shared" si="1"/>
        <v>4572.2</v>
      </c>
      <c r="H38" s="29">
        <f t="shared" si="2"/>
        <v>4857.9625</v>
      </c>
      <c r="I38" s="29">
        <f t="shared" si="3"/>
        <v>5143.725</v>
      </c>
      <c r="J38" s="29">
        <f t="shared" si="4"/>
        <v>5429.4875</v>
      </c>
      <c r="K38" s="30">
        <f>VLOOKUP(F38,'Tabela Salarial_CLT'!$B:$G,6,0)</f>
        <v>5715.25</v>
      </c>
      <c r="L38" s="29">
        <f t="shared" si="5"/>
        <v>6001.0125</v>
      </c>
      <c r="M38" s="29">
        <f t="shared" si="6"/>
        <v>6286.775</v>
      </c>
      <c r="N38" s="29">
        <f t="shared" si="7"/>
        <v>6572.5375</v>
      </c>
      <c r="O38" s="31">
        <f t="shared" si="8"/>
        <v>6858.3</v>
      </c>
      <c r="P38" s="6"/>
      <c r="Q38" s="6"/>
      <c r="R38" s="6"/>
      <c r="S38" s="6"/>
      <c r="T38" s="6"/>
    </row>
    <row r="39" ht="18.75" customHeight="1">
      <c r="A39" s="1"/>
      <c r="B39" s="24" t="s">
        <v>58</v>
      </c>
      <c r="C39" s="25" t="s">
        <v>20</v>
      </c>
      <c r="D39" s="26">
        <v>5213.0</v>
      </c>
      <c r="E39" s="32">
        <v>5910.71</v>
      </c>
      <c r="F39" s="34">
        <v>15.0</v>
      </c>
      <c r="G39" s="29">
        <f t="shared" si="1"/>
        <v>4572.2</v>
      </c>
      <c r="H39" s="29">
        <f t="shared" si="2"/>
        <v>4857.9625</v>
      </c>
      <c r="I39" s="29">
        <f t="shared" si="3"/>
        <v>5143.725</v>
      </c>
      <c r="J39" s="29">
        <f t="shared" si="4"/>
        <v>5429.4875</v>
      </c>
      <c r="K39" s="30">
        <f>VLOOKUP(F39,'Tabela Salarial_CLT'!$B:$G,6,0)</f>
        <v>5715.25</v>
      </c>
      <c r="L39" s="29">
        <f t="shared" si="5"/>
        <v>6001.0125</v>
      </c>
      <c r="M39" s="29">
        <f t="shared" si="6"/>
        <v>6286.775</v>
      </c>
      <c r="N39" s="29">
        <f t="shared" si="7"/>
        <v>6572.5375</v>
      </c>
      <c r="O39" s="31">
        <f t="shared" si="8"/>
        <v>6858.3</v>
      </c>
      <c r="P39" s="6"/>
      <c r="Q39" s="6"/>
      <c r="R39" s="6"/>
      <c r="S39" s="6"/>
      <c r="T39" s="6"/>
    </row>
    <row r="40" ht="18.75" customHeight="1">
      <c r="A40" s="1"/>
      <c r="B40" s="38" t="s">
        <v>59</v>
      </c>
      <c r="C40" s="25" t="s">
        <v>20</v>
      </c>
      <c r="D40" s="26"/>
      <c r="E40" s="32">
        <v>5910.71</v>
      </c>
      <c r="F40" s="34">
        <v>15.0</v>
      </c>
      <c r="G40" s="29">
        <f t="shared" si="1"/>
        <v>4572.2</v>
      </c>
      <c r="H40" s="29">
        <f t="shared" si="2"/>
        <v>4857.9625</v>
      </c>
      <c r="I40" s="29">
        <f t="shared" si="3"/>
        <v>5143.725</v>
      </c>
      <c r="J40" s="29">
        <f t="shared" si="4"/>
        <v>5429.4875</v>
      </c>
      <c r="K40" s="30">
        <f>VLOOKUP(F40,'Tabela Salarial_CLT'!$B:$G,6,0)</f>
        <v>5715.25</v>
      </c>
      <c r="L40" s="29">
        <f t="shared" si="5"/>
        <v>6001.0125</v>
      </c>
      <c r="M40" s="29">
        <f t="shared" si="6"/>
        <v>6286.775</v>
      </c>
      <c r="N40" s="29">
        <f t="shared" si="7"/>
        <v>6572.5375</v>
      </c>
      <c r="O40" s="31">
        <f t="shared" si="8"/>
        <v>6858.3</v>
      </c>
      <c r="P40" s="6"/>
      <c r="Q40" s="6"/>
      <c r="R40" s="6"/>
      <c r="S40" s="6"/>
      <c r="T40" s="6"/>
    </row>
    <row r="41" ht="18.75" customHeight="1">
      <c r="A41" s="1"/>
      <c r="B41" s="24" t="s">
        <v>60</v>
      </c>
      <c r="C41" s="25" t="s">
        <v>61</v>
      </c>
      <c r="D41" s="26">
        <v>7299.2700729927</v>
      </c>
      <c r="E41" s="32">
        <v>6872.05</v>
      </c>
      <c r="F41" s="34">
        <v>15.0</v>
      </c>
      <c r="G41" s="29">
        <f t="shared" si="1"/>
        <v>4572.2</v>
      </c>
      <c r="H41" s="29">
        <f t="shared" si="2"/>
        <v>4857.9625</v>
      </c>
      <c r="I41" s="29">
        <f t="shared" si="3"/>
        <v>5143.725</v>
      </c>
      <c r="J41" s="29">
        <f t="shared" si="4"/>
        <v>5429.4875</v>
      </c>
      <c r="K41" s="30">
        <f>VLOOKUP(F41,'Tabela Salarial_CLT'!$B:$G,6,0)</f>
        <v>5715.25</v>
      </c>
      <c r="L41" s="29">
        <f t="shared" si="5"/>
        <v>6001.0125</v>
      </c>
      <c r="M41" s="29">
        <f t="shared" si="6"/>
        <v>6286.775</v>
      </c>
      <c r="N41" s="29">
        <f t="shared" si="7"/>
        <v>6572.5375</v>
      </c>
      <c r="O41" s="31">
        <f t="shared" si="8"/>
        <v>6858.3</v>
      </c>
      <c r="P41" s="6"/>
      <c r="Q41" s="6"/>
      <c r="R41" s="6"/>
      <c r="S41" s="6"/>
      <c r="T41" s="6"/>
    </row>
    <row r="42" ht="18.75" customHeight="1">
      <c r="A42" s="1"/>
      <c r="B42" s="38" t="s">
        <v>62</v>
      </c>
      <c r="C42" s="25" t="s">
        <v>30</v>
      </c>
      <c r="D42" s="26"/>
      <c r="E42" s="32"/>
      <c r="F42" s="34">
        <v>15.0</v>
      </c>
      <c r="G42" s="29">
        <f t="shared" si="1"/>
        <v>4572.2</v>
      </c>
      <c r="H42" s="29">
        <f t="shared" si="2"/>
        <v>4857.9625</v>
      </c>
      <c r="I42" s="29">
        <f t="shared" si="3"/>
        <v>5143.725</v>
      </c>
      <c r="J42" s="29">
        <f t="shared" si="4"/>
        <v>5429.4875</v>
      </c>
      <c r="K42" s="30">
        <f>VLOOKUP(F42,'Tabela Salarial_CLT'!$B:$G,6,0)</f>
        <v>5715.25</v>
      </c>
      <c r="L42" s="29">
        <f t="shared" si="5"/>
        <v>6001.0125</v>
      </c>
      <c r="M42" s="29">
        <f t="shared" si="6"/>
        <v>6286.775</v>
      </c>
      <c r="N42" s="29">
        <f t="shared" si="7"/>
        <v>6572.5375</v>
      </c>
      <c r="O42" s="31">
        <f t="shared" si="8"/>
        <v>6858.3</v>
      </c>
      <c r="P42" s="6"/>
      <c r="Q42" s="6"/>
      <c r="R42" s="6"/>
      <c r="S42" s="6"/>
      <c r="T42" s="6"/>
    </row>
    <row r="43" ht="18.75" customHeight="1">
      <c r="A43" s="1"/>
      <c r="B43" s="38" t="s">
        <v>63</v>
      </c>
      <c r="C43" s="25" t="s">
        <v>24</v>
      </c>
      <c r="D43" s="26"/>
      <c r="E43" s="32"/>
      <c r="F43" s="34">
        <v>15.0</v>
      </c>
      <c r="G43" s="29">
        <f t="shared" si="1"/>
        <v>4572.2</v>
      </c>
      <c r="H43" s="29">
        <f t="shared" si="2"/>
        <v>4857.9625</v>
      </c>
      <c r="I43" s="29">
        <f t="shared" si="3"/>
        <v>5143.725</v>
      </c>
      <c r="J43" s="29">
        <f t="shared" si="4"/>
        <v>5429.4875</v>
      </c>
      <c r="K43" s="30">
        <f>VLOOKUP(F43,'Tabela Salarial_CLT'!$B:$G,6,0)</f>
        <v>5715.25</v>
      </c>
      <c r="L43" s="29">
        <f t="shared" si="5"/>
        <v>6001.0125</v>
      </c>
      <c r="M43" s="29">
        <f t="shared" si="6"/>
        <v>6286.775</v>
      </c>
      <c r="N43" s="29">
        <f t="shared" si="7"/>
        <v>6572.5375</v>
      </c>
      <c r="O43" s="31">
        <f t="shared" si="8"/>
        <v>6858.3</v>
      </c>
      <c r="P43" s="6"/>
      <c r="Q43" s="6"/>
      <c r="R43" s="6"/>
      <c r="S43" s="6"/>
      <c r="T43" s="6"/>
    </row>
    <row r="44" ht="18.75" customHeight="1">
      <c r="A44" s="1"/>
      <c r="B44" s="38" t="s">
        <v>64</v>
      </c>
      <c r="C44" s="25" t="s">
        <v>43</v>
      </c>
      <c r="D44" s="26"/>
      <c r="E44" s="32"/>
      <c r="F44" s="34">
        <v>15.0</v>
      </c>
      <c r="G44" s="29">
        <f t="shared" si="1"/>
        <v>4572.2</v>
      </c>
      <c r="H44" s="29">
        <f t="shared" si="2"/>
        <v>4857.9625</v>
      </c>
      <c r="I44" s="29">
        <f t="shared" si="3"/>
        <v>5143.725</v>
      </c>
      <c r="J44" s="29">
        <f t="shared" si="4"/>
        <v>5429.4875</v>
      </c>
      <c r="K44" s="30">
        <f>VLOOKUP(F44,'Tabela Salarial_CLT'!$B:$G,6,0)</f>
        <v>5715.25</v>
      </c>
      <c r="L44" s="29">
        <f t="shared" si="5"/>
        <v>6001.0125</v>
      </c>
      <c r="M44" s="29">
        <f t="shared" si="6"/>
        <v>6286.775</v>
      </c>
      <c r="N44" s="29">
        <f t="shared" si="7"/>
        <v>6572.5375</v>
      </c>
      <c r="O44" s="31">
        <f t="shared" si="8"/>
        <v>6858.3</v>
      </c>
      <c r="P44" s="6"/>
      <c r="Q44" s="6"/>
      <c r="R44" s="6"/>
      <c r="S44" s="6"/>
      <c r="T44" s="6"/>
    </row>
    <row r="45" ht="18.75" customHeight="1">
      <c r="A45" s="1"/>
      <c r="B45" s="35" t="s">
        <v>65</v>
      </c>
      <c r="C45" s="36" t="s">
        <v>36</v>
      </c>
      <c r="D45" s="26"/>
      <c r="E45" s="32" t="s">
        <v>66</v>
      </c>
      <c r="F45" s="34">
        <v>15.0</v>
      </c>
      <c r="G45" s="29">
        <f t="shared" si="1"/>
        <v>4572.2</v>
      </c>
      <c r="H45" s="29">
        <f t="shared" si="2"/>
        <v>4857.9625</v>
      </c>
      <c r="I45" s="29">
        <f t="shared" si="3"/>
        <v>5143.725</v>
      </c>
      <c r="J45" s="29">
        <f t="shared" si="4"/>
        <v>5429.4875</v>
      </c>
      <c r="K45" s="30">
        <f>VLOOKUP(F45,'Tabela Salarial_CLT'!$B:$G,6,0)</f>
        <v>5715.25</v>
      </c>
      <c r="L45" s="29">
        <f t="shared" si="5"/>
        <v>6001.0125</v>
      </c>
      <c r="M45" s="29">
        <f t="shared" si="6"/>
        <v>6286.775</v>
      </c>
      <c r="N45" s="29">
        <f t="shared" si="7"/>
        <v>6572.5375</v>
      </c>
      <c r="O45" s="31">
        <f t="shared" si="8"/>
        <v>6858.3</v>
      </c>
      <c r="P45" s="6"/>
      <c r="Q45" s="6"/>
      <c r="R45" s="6"/>
      <c r="S45" s="6"/>
      <c r="T45" s="6"/>
    </row>
    <row r="46" ht="18.75" customHeight="1">
      <c r="A46" s="1"/>
      <c r="B46" s="38" t="s">
        <v>67</v>
      </c>
      <c r="C46" s="25" t="s">
        <v>28</v>
      </c>
      <c r="D46" s="26"/>
      <c r="E46" s="32"/>
      <c r="F46" s="34">
        <v>15.0</v>
      </c>
      <c r="G46" s="29">
        <f t="shared" si="1"/>
        <v>4572.2</v>
      </c>
      <c r="H46" s="29">
        <f t="shared" si="2"/>
        <v>4857.9625</v>
      </c>
      <c r="I46" s="29">
        <f t="shared" si="3"/>
        <v>5143.725</v>
      </c>
      <c r="J46" s="29">
        <f t="shared" si="4"/>
        <v>5429.4875</v>
      </c>
      <c r="K46" s="30">
        <f>VLOOKUP(F46,'Tabela Salarial_CLT'!$B:$G,6,0)</f>
        <v>5715.25</v>
      </c>
      <c r="L46" s="29">
        <f t="shared" si="5"/>
        <v>6001.0125</v>
      </c>
      <c r="M46" s="29">
        <f t="shared" si="6"/>
        <v>6286.775</v>
      </c>
      <c r="N46" s="29">
        <f t="shared" si="7"/>
        <v>6572.5375</v>
      </c>
      <c r="O46" s="31">
        <f t="shared" si="8"/>
        <v>6858.3</v>
      </c>
      <c r="P46" s="6"/>
      <c r="Q46" s="6"/>
      <c r="R46" s="6"/>
      <c r="S46" s="6"/>
      <c r="T46" s="6"/>
    </row>
    <row r="47" ht="18.75" customHeight="1">
      <c r="A47" s="1"/>
      <c r="B47" s="24" t="s">
        <v>68</v>
      </c>
      <c r="C47" s="25" t="s">
        <v>30</v>
      </c>
      <c r="D47" s="26">
        <v>8585.0</v>
      </c>
      <c r="E47" s="32">
        <v>4031.66</v>
      </c>
      <c r="F47" s="34">
        <v>15.0</v>
      </c>
      <c r="G47" s="29">
        <f t="shared" si="1"/>
        <v>4572.2</v>
      </c>
      <c r="H47" s="29">
        <f t="shared" si="2"/>
        <v>4857.9625</v>
      </c>
      <c r="I47" s="29">
        <f t="shared" si="3"/>
        <v>5143.725</v>
      </c>
      <c r="J47" s="29">
        <f t="shared" si="4"/>
        <v>5429.4875</v>
      </c>
      <c r="K47" s="30">
        <f>VLOOKUP(F47,'Tabela Salarial_CLT'!$B:$G,6,0)</f>
        <v>5715.25</v>
      </c>
      <c r="L47" s="29">
        <f t="shared" si="5"/>
        <v>6001.0125</v>
      </c>
      <c r="M47" s="29">
        <f t="shared" si="6"/>
        <v>6286.775</v>
      </c>
      <c r="N47" s="29">
        <f t="shared" si="7"/>
        <v>6572.5375</v>
      </c>
      <c r="O47" s="31">
        <f t="shared" si="8"/>
        <v>6858.3</v>
      </c>
      <c r="P47" s="6"/>
      <c r="Q47" s="6"/>
      <c r="R47" s="6"/>
      <c r="S47" s="6"/>
      <c r="T47" s="6"/>
    </row>
    <row r="48" ht="18.75" customHeight="1">
      <c r="A48" s="1"/>
      <c r="B48" s="38" t="s">
        <v>69</v>
      </c>
      <c r="C48" s="25" t="s">
        <v>46</v>
      </c>
      <c r="D48" s="26"/>
      <c r="E48" s="32"/>
      <c r="F48" s="34">
        <v>16.0</v>
      </c>
      <c r="G48" s="29">
        <f t="shared" si="1"/>
        <v>5587.392</v>
      </c>
      <c r="H48" s="29">
        <f t="shared" si="2"/>
        <v>5936.604</v>
      </c>
      <c r="I48" s="29">
        <f t="shared" si="3"/>
        <v>6285.816</v>
      </c>
      <c r="J48" s="29">
        <f t="shared" si="4"/>
        <v>6635.028</v>
      </c>
      <c r="K48" s="30">
        <f>VLOOKUP(F48,'Tabela Salarial_CLT'!$B:$G,6,0)</f>
        <v>6984.24</v>
      </c>
      <c r="L48" s="29">
        <f t="shared" si="5"/>
        <v>7333.452</v>
      </c>
      <c r="M48" s="29">
        <f t="shared" si="6"/>
        <v>7682.664</v>
      </c>
      <c r="N48" s="29">
        <f t="shared" si="7"/>
        <v>8031.876</v>
      </c>
      <c r="O48" s="31">
        <f t="shared" si="8"/>
        <v>8381.088</v>
      </c>
      <c r="P48" s="6"/>
      <c r="Q48" s="6"/>
      <c r="R48" s="6"/>
      <c r="S48" s="6"/>
      <c r="T48" s="6"/>
    </row>
    <row r="49" ht="18.75" customHeight="1">
      <c r="A49" s="1"/>
      <c r="B49" s="38" t="s">
        <v>70</v>
      </c>
      <c r="C49" s="25" t="s">
        <v>28</v>
      </c>
      <c r="D49" s="26">
        <v>5830.0</v>
      </c>
      <c r="E49" s="32">
        <v>7867.3</v>
      </c>
      <c r="F49" s="34">
        <v>16.0</v>
      </c>
      <c r="G49" s="29">
        <f t="shared" si="1"/>
        <v>5587.392</v>
      </c>
      <c r="H49" s="29">
        <f t="shared" si="2"/>
        <v>5936.604</v>
      </c>
      <c r="I49" s="29">
        <f t="shared" si="3"/>
        <v>6285.816</v>
      </c>
      <c r="J49" s="29">
        <f t="shared" si="4"/>
        <v>6635.028</v>
      </c>
      <c r="K49" s="30">
        <f>VLOOKUP(F49,'Tabela Salarial_CLT'!$B:$G,6,0)</f>
        <v>6984.24</v>
      </c>
      <c r="L49" s="29">
        <f t="shared" si="5"/>
        <v>7333.452</v>
      </c>
      <c r="M49" s="29">
        <f t="shared" si="6"/>
        <v>7682.664</v>
      </c>
      <c r="N49" s="29">
        <f t="shared" si="7"/>
        <v>8031.876</v>
      </c>
      <c r="O49" s="31">
        <f t="shared" si="8"/>
        <v>8381.088</v>
      </c>
      <c r="P49" s="6"/>
      <c r="Q49" s="6"/>
      <c r="R49" s="6"/>
      <c r="S49" s="6"/>
      <c r="T49" s="6"/>
    </row>
    <row r="50" ht="18.75" customHeight="1">
      <c r="A50" s="1"/>
      <c r="B50" s="38" t="s">
        <v>71</v>
      </c>
      <c r="C50" s="25" t="s">
        <v>20</v>
      </c>
      <c r="D50" s="26">
        <v>5955.08</v>
      </c>
      <c r="E50" s="32">
        <v>6196.82</v>
      </c>
      <c r="F50" s="34">
        <v>16.0</v>
      </c>
      <c r="G50" s="29">
        <f t="shared" si="1"/>
        <v>5587.392</v>
      </c>
      <c r="H50" s="29">
        <f t="shared" si="2"/>
        <v>5936.604</v>
      </c>
      <c r="I50" s="29">
        <f t="shared" si="3"/>
        <v>6285.816</v>
      </c>
      <c r="J50" s="29">
        <f t="shared" si="4"/>
        <v>6635.028</v>
      </c>
      <c r="K50" s="30">
        <f>VLOOKUP(F50,'Tabela Salarial_CLT'!$B:$G,6,0)</f>
        <v>6984.24</v>
      </c>
      <c r="L50" s="29">
        <f t="shared" si="5"/>
        <v>7333.452</v>
      </c>
      <c r="M50" s="29">
        <f t="shared" si="6"/>
        <v>7682.664</v>
      </c>
      <c r="N50" s="29">
        <f t="shared" si="7"/>
        <v>8031.876</v>
      </c>
      <c r="O50" s="31">
        <f t="shared" si="8"/>
        <v>8381.088</v>
      </c>
      <c r="P50" s="6"/>
      <c r="Q50" s="6"/>
      <c r="R50" s="6"/>
      <c r="S50" s="6"/>
      <c r="T50" s="6"/>
    </row>
    <row r="51" ht="18.75" customHeight="1">
      <c r="A51" s="1"/>
      <c r="B51" s="35" t="s">
        <v>72</v>
      </c>
      <c r="C51" s="36" t="s">
        <v>43</v>
      </c>
      <c r="D51" s="26"/>
      <c r="E51" s="32" t="s">
        <v>73</v>
      </c>
      <c r="F51" s="34">
        <v>16.0</v>
      </c>
      <c r="G51" s="29">
        <f t="shared" si="1"/>
        <v>5587.392</v>
      </c>
      <c r="H51" s="29">
        <f t="shared" si="2"/>
        <v>5936.604</v>
      </c>
      <c r="I51" s="29">
        <f t="shared" si="3"/>
        <v>6285.816</v>
      </c>
      <c r="J51" s="29">
        <f t="shared" si="4"/>
        <v>6635.028</v>
      </c>
      <c r="K51" s="30">
        <f>VLOOKUP(F51,'Tabela Salarial_CLT'!$B:$G,6,0)</f>
        <v>6984.24</v>
      </c>
      <c r="L51" s="29">
        <f t="shared" si="5"/>
        <v>7333.452</v>
      </c>
      <c r="M51" s="29">
        <f t="shared" si="6"/>
        <v>7682.664</v>
      </c>
      <c r="N51" s="29">
        <f t="shared" si="7"/>
        <v>8031.876</v>
      </c>
      <c r="O51" s="31">
        <f t="shared" si="8"/>
        <v>8381.088</v>
      </c>
      <c r="P51" s="6"/>
      <c r="Q51" s="6"/>
      <c r="R51" s="6"/>
      <c r="S51" s="6"/>
      <c r="T51" s="6"/>
    </row>
    <row r="52" ht="18.75" customHeight="1">
      <c r="A52" s="1"/>
      <c r="B52" s="24" t="s">
        <v>74</v>
      </c>
      <c r="C52" s="25" t="s">
        <v>30</v>
      </c>
      <c r="D52" s="26">
        <v>7000.0</v>
      </c>
      <c r="E52" s="32">
        <v>7338.33</v>
      </c>
      <c r="F52" s="34">
        <v>16.0</v>
      </c>
      <c r="G52" s="29">
        <f t="shared" si="1"/>
        <v>5587.392</v>
      </c>
      <c r="H52" s="29">
        <f t="shared" si="2"/>
        <v>5936.604</v>
      </c>
      <c r="I52" s="29">
        <f t="shared" si="3"/>
        <v>6285.816</v>
      </c>
      <c r="J52" s="29">
        <f t="shared" si="4"/>
        <v>6635.028</v>
      </c>
      <c r="K52" s="30">
        <f>VLOOKUP(F52,'Tabela Salarial_CLT'!$B:$G,6,0)</f>
        <v>6984.24</v>
      </c>
      <c r="L52" s="29">
        <f t="shared" si="5"/>
        <v>7333.452</v>
      </c>
      <c r="M52" s="29">
        <f t="shared" si="6"/>
        <v>7682.664</v>
      </c>
      <c r="N52" s="29">
        <f t="shared" si="7"/>
        <v>8031.876</v>
      </c>
      <c r="O52" s="31">
        <f t="shared" si="8"/>
        <v>8381.088</v>
      </c>
      <c r="P52" s="6"/>
      <c r="Q52" s="6"/>
      <c r="R52" s="6"/>
      <c r="S52" s="6"/>
      <c r="T52" s="6"/>
    </row>
    <row r="53" ht="18.75" customHeight="1">
      <c r="A53" s="1"/>
      <c r="B53" s="38" t="s">
        <v>75</v>
      </c>
      <c r="C53" s="25" t="s">
        <v>28</v>
      </c>
      <c r="D53" s="26"/>
      <c r="E53" s="32"/>
      <c r="F53" s="34">
        <v>17.0</v>
      </c>
      <c r="G53" s="29">
        <f t="shared" si="1"/>
        <v>6829.976</v>
      </c>
      <c r="H53" s="29">
        <f t="shared" si="2"/>
        <v>7256.8495</v>
      </c>
      <c r="I53" s="29">
        <f t="shared" si="3"/>
        <v>7683.723</v>
      </c>
      <c r="J53" s="29">
        <f t="shared" si="4"/>
        <v>8110.5965</v>
      </c>
      <c r="K53" s="30">
        <f>VLOOKUP(F53,'Tabela Salarial_CLT'!$B:$G,6,0)</f>
        <v>8537.47</v>
      </c>
      <c r="L53" s="29">
        <f t="shared" si="5"/>
        <v>8964.3435</v>
      </c>
      <c r="M53" s="29">
        <f t="shared" si="6"/>
        <v>9391.217</v>
      </c>
      <c r="N53" s="29">
        <f t="shared" si="7"/>
        <v>9818.0905</v>
      </c>
      <c r="O53" s="31">
        <f t="shared" si="8"/>
        <v>10244.964</v>
      </c>
      <c r="P53" s="6"/>
      <c r="Q53" s="6"/>
      <c r="R53" s="6"/>
      <c r="S53" s="6"/>
      <c r="T53" s="6"/>
    </row>
    <row r="54" ht="18.75" customHeight="1">
      <c r="A54" s="1"/>
      <c r="B54" s="24" t="s">
        <v>76</v>
      </c>
      <c r="C54" s="25" t="s">
        <v>10</v>
      </c>
      <c r="D54" s="26">
        <v>8276.642335766423</v>
      </c>
      <c r="E54" s="27">
        <v>10957.61</v>
      </c>
      <c r="F54" s="34">
        <v>17.0</v>
      </c>
      <c r="G54" s="29">
        <f t="shared" si="1"/>
        <v>6829.976</v>
      </c>
      <c r="H54" s="29">
        <f t="shared" si="2"/>
        <v>7256.8495</v>
      </c>
      <c r="I54" s="29">
        <f t="shared" si="3"/>
        <v>7683.723</v>
      </c>
      <c r="J54" s="29">
        <f t="shared" si="4"/>
        <v>8110.5965</v>
      </c>
      <c r="K54" s="30">
        <f>VLOOKUP(F54,'Tabela Salarial_CLT'!$B:$G,6,0)</f>
        <v>8537.47</v>
      </c>
      <c r="L54" s="29">
        <f t="shared" si="5"/>
        <v>8964.3435</v>
      </c>
      <c r="M54" s="29">
        <f t="shared" si="6"/>
        <v>9391.217</v>
      </c>
      <c r="N54" s="29">
        <f t="shared" si="7"/>
        <v>9818.0905</v>
      </c>
      <c r="O54" s="31">
        <f t="shared" si="8"/>
        <v>10244.964</v>
      </c>
      <c r="P54" s="6"/>
      <c r="Q54" s="6"/>
      <c r="R54" s="6"/>
      <c r="S54" s="6"/>
      <c r="T54" s="6"/>
    </row>
    <row r="55" ht="18.75" customHeight="1">
      <c r="A55" s="1"/>
      <c r="B55" s="38" t="s">
        <v>77</v>
      </c>
      <c r="C55" s="25" t="s">
        <v>32</v>
      </c>
      <c r="D55" s="26">
        <v>8647.0</v>
      </c>
      <c r="E55" s="32">
        <v>8872.04</v>
      </c>
      <c r="F55" s="34">
        <v>17.0</v>
      </c>
      <c r="G55" s="29">
        <f t="shared" si="1"/>
        <v>6829.976</v>
      </c>
      <c r="H55" s="29">
        <f t="shared" si="2"/>
        <v>7256.8495</v>
      </c>
      <c r="I55" s="29">
        <f t="shared" si="3"/>
        <v>7683.723</v>
      </c>
      <c r="J55" s="29">
        <f t="shared" si="4"/>
        <v>8110.5965</v>
      </c>
      <c r="K55" s="30">
        <f>VLOOKUP(F55,'Tabela Salarial_CLT'!$B:$G,6,0)</f>
        <v>8537.47</v>
      </c>
      <c r="L55" s="29">
        <f t="shared" si="5"/>
        <v>8964.3435</v>
      </c>
      <c r="M55" s="29">
        <f t="shared" si="6"/>
        <v>9391.217</v>
      </c>
      <c r="N55" s="29">
        <f t="shared" si="7"/>
        <v>9818.0905</v>
      </c>
      <c r="O55" s="31">
        <f t="shared" si="8"/>
        <v>10244.964</v>
      </c>
      <c r="P55" s="6"/>
      <c r="Q55" s="6"/>
      <c r="R55" s="6"/>
      <c r="S55" s="6"/>
      <c r="T55" s="6"/>
    </row>
    <row r="56" ht="18.75" customHeight="1">
      <c r="A56" s="1"/>
      <c r="B56" s="24" t="s">
        <v>78</v>
      </c>
      <c r="C56" s="25" t="s">
        <v>24</v>
      </c>
      <c r="D56" s="26">
        <v>8647.0</v>
      </c>
      <c r="E56" s="32">
        <v>7958.59</v>
      </c>
      <c r="F56" s="34">
        <v>17.0</v>
      </c>
      <c r="G56" s="29">
        <f t="shared" si="1"/>
        <v>6829.976</v>
      </c>
      <c r="H56" s="29">
        <f t="shared" si="2"/>
        <v>7256.8495</v>
      </c>
      <c r="I56" s="29">
        <f t="shared" si="3"/>
        <v>7683.723</v>
      </c>
      <c r="J56" s="29">
        <f t="shared" si="4"/>
        <v>8110.5965</v>
      </c>
      <c r="K56" s="30">
        <f>VLOOKUP(F56,'Tabela Salarial_CLT'!$B:$G,6,0)</f>
        <v>8537.47</v>
      </c>
      <c r="L56" s="29">
        <f t="shared" si="5"/>
        <v>8964.3435</v>
      </c>
      <c r="M56" s="29">
        <f t="shared" si="6"/>
        <v>9391.217</v>
      </c>
      <c r="N56" s="29">
        <f t="shared" si="7"/>
        <v>9818.0905</v>
      </c>
      <c r="O56" s="31">
        <f t="shared" si="8"/>
        <v>10244.964</v>
      </c>
      <c r="P56" s="6"/>
      <c r="Q56" s="6"/>
      <c r="R56" s="6"/>
      <c r="S56" s="6"/>
      <c r="T56" s="6"/>
    </row>
    <row r="57" ht="18.75" customHeight="1">
      <c r="A57" s="1"/>
      <c r="B57" s="42" t="s">
        <v>79</v>
      </c>
      <c r="C57" s="25" t="s">
        <v>30</v>
      </c>
      <c r="D57" s="26">
        <v>8714.0</v>
      </c>
      <c r="E57" s="32">
        <v>7478.73</v>
      </c>
      <c r="F57" s="34">
        <v>17.0</v>
      </c>
      <c r="G57" s="29">
        <f t="shared" si="1"/>
        <v>6829.976</v>
      </c>
      <c r="H57" s="29">
        <f t="shared" si="2"/>
        <v>7256.8495</v>
      </c>
      <c r="I57" s="29">
        <f t="shared" si="3"/>
        <v>7683.723</v>
      </c>
      <c r="J57" s="29">
        <f t="shared" si="4"/>
        <v>8110.5965</v>
      </c>
      <c r="K57" s="30">
        <f>VLOOKUP(F57,'Tabela Salarial_CLT'!$B:$G,6,0)</f>
        <v>8537.47</v>
      </c>
      <c r="L57" s="29">
        <f t="shared" si="5"/>
        <v>8964.3435</v>
      </c>
      <c r="M57" s="29">
        <f t="shared" si="6"/>
        <v>9391.217</v>
      </c>
      <c r="N57" s="29">
        <f t="shared" si="7"/>
        <v>9818.0905</v>
      </c>
      <c r="O57" s="31">
        <f t="shared" si="8"/>
        <v>10244.964</v>
      </c>
      <c r="P57" s="6"/>
      <c r="Q57" s="6"/>
      <c r="R57" s="6"/>
      <c r="S57" s="6"/>
      <c r="T57" s="6"/>
    </row>
    <row r="58" ht="18.75" customHeight="1">
      <c r="A58" s="1"/>
      <c r="B58" s="42" t="s">
        <v>80</v>
      </c>
      <c r="C58" s="25" t="s">
        <v>30</v>
      </c>
      <c r="D58" s="26"/>
      <c r="E58" s="32"/>
      <c r="F58" s="34">
        <v>17.0</v>
      </c>
      <c r="G58" s="43">
        <f t="shared" si="1"/>
        <v>6829.976</v>
      </c>
      <c r="H58" s="43">
        <f t="shared" si="2"/>
        <v>7256.8495</v>
      </c>
      <c r="I58" s="44">
        <f t="shared" si="3"/>
        <v>7683.723</v>
      </c>
      <c r="J58" s="29">
        <f t="shared" si="4"/>
        <v>8110.5965</v>
      </c>
      <c r="K58" s="30">
        <f>VLOOKUP(F58,'Tabela Salarial_CLT'!$B:$G,6,0)</f>
        <v>8537.47</v>
      </c>
      <c r="L58" s="29">
        <f t="shared" si="5"/>
        <v>8964.3435</v>
      </c>
      <c r="M58" s="29">
        <f t="shared" si="6"/>
        <v>9391.217</v>
      </c>
      <c r="N58" s="29">
        <f t="shared" si="7"/>
        <v>9818.0905</v>
      </c>
      <c r="O58" s="31">
        <f t="shared" si="8"/>
        <v>10244.964</v>
      </c>
      <c r="P58" s="6"/>
      <c r="Q58" s="6"/>
      <c r="R58" s="6"/>
      <c r="S58" s="6"/>
      <c r="T58" s="6"/>
    </row>
    <row r="59" ht="18.75" customHeight="1">
      <c r="A59" s="1"/>
      <c r="B59" s="38" t="s">
        <v>81</v>
      </c>
      <c r="C59" s="25" t="s">
        <v>28</v>
      </c>
      <c r="D59" s="26">
        <v>5630.872483221477</v>
      </c>
      <c r="E59" s="32"/>
      <c r="F59" s="34">
        <v>17.0</v>
      </c>
      <c r="G59" s="43">
        <f t="shared" si="1"/>
        <v>6829.976</v>
      </c>
      <c r="H59" s="43">
        <f t="shared" si="2"/>
        <v>7256.8495</v>
      </c>
      <c r="I59" s="29">
        <f t="shared" si="3"/>
        <v>7683.723</v>
      </c>
      <c r="J59" s="29">
        <f t="shared" si="4"/>
        <v>8110.5965</v>
      </c>
      <c r="K59" s="30">
        <f>VLOOKUP(F59,'Tabela Salarial_CLT'!$B:$G,6,0)</f>
        <v>8537.47</v>
      </c>
      <c r="L59" s="29">
        <f t="shared" si="5"/>
        <v>8964.3435</v>
      </c>
      <c r="M59" s="29">
        <f t="shared" si="6"/>
        <v>9391.217</v>
      </c>
      <c r="N59" s="29">
        <f t="shared" si="7"/>
        <v>9818.0905</v>
      </c>
      <c r="O59" s="31">
        <f t="shared" si="8"/>
        <v>10244.964</v>
      </c>
      <c r="P59" s="6"/>
      <c r="Q59" s="6"/>
      <c r="R59" s="6"/>
      <c r="S59" s="6"/>
      <c r="T59" s="6"/>
    </row>
    <row r="60" ht="18.75" customHeight="1">
      <c r="A60" s="1"/>
      <c r="B60" s="24" t="s">
        <v>82</v>
      </c>
      <c r="C60" s="25" t="s">
        <v>83</v>
      </c>
      <c r="D60" s="26">
        <v>8759.12408759124</v>
      </c>
      <c r="E60" s="32" t="s">
        <v>84</v>
      </c>
      <c r="F60" s="34">
        <v>17.0</v>
      </c>
      <c r="G60" s="29">
        <f t="shared" si="1"/>
        <v>6829.976</v>
      </c>
      <c r="H60" s="29">
        <f t="shared" si="2"/>
        <v>7256.8495</v>
      </c>
      <c r="I60" s="29">
        <f t="shared" si="3"/>
        <v>7683.723</v>
      </c>
      <c r="J60" s="29">
        <f t="shared" si="4"/>
        <v>8110.5965</v>
      </c>
      <c r="K60" s="30">
        <f>VLOOKUP(F60,'Tabela Salarial_CLT'!$B:$G,6,0)</f>
        <v>8537.47</v>
      </c>
      <c r="L60" s="29">
        <f t="shared" si="5"/>
        <v>8964.3435</v>
      </c>
      <c r="M60" s="29">
        <f t="shared" si="6"/>
        <v>9391.217</v>
      </c>
      <c r="N60" s="29">
        <f t="shared" si="7"/>
        <v>9818.0905</v>
      </c>
      <c r="O60" s="31">
        <f t="shared" si="8"/>
        <v>10244.964</v>
      </c>
      <c r="P60" s="6"/>
      <c r="Q60" s="6"/>
      <c r="R60" s="6"/>
      <c r="S60" s="6"/>
      <c r="T60" s="6"/>
    </row>
    <row r="61" ht="18.75" customHeight="1">
      <c r="A61" s="1"/>
      <c r="B61" s="24" t="s">
        <v>85</v>
      </c>
      <c r="C61" s="25" t="s">
        <v>34</v>
      </c>
      <c r="D61" s="26">
        <v>9243.503649635037</v>
      </c>
      <c r="E61" s="32">
        <v>13758.75</v>
      </c>
      <c r="F61" s="34">
        <v>18.0</v>
      </c>
      <c r="G61" s="29">
        <f t="shared" si="1"/>
        <v>8329.664</v>
      </c>
      <c r="H61" s="29">
        <f t="shared" si="2"/>
        <v>8850.268</v>
      </c>
      <c r="I61" s="29">
        <f t="shared" si="3"/>
        <v>9370.872</v>
      </c>
      <c r="J61" s="29">
        <f t="shared" si="4"/>
        <v>9891.476</v>
      </c>
      <c r="K61" s="30">
        <f>VLOOKUP(F61,'Tabela Salarial_CLT'!$B:$G,6,0)</f>
        <v>10412.08</v>
      </c>
      <c r="L61" s="29">
        <f t="shared" si="5"/>
        <v>10932.684</v>
      </c>
      <c r="M61" s="29">
        <f t="shared" si="6"/>
        <v>11453.288</v>
      </c>
      <c r="N61" s="29">
        <f t="shared" si="7"/>
        <v>11973.892</v>
      </c>
      <c r="O61" s="31">
        <f t="shared" si="8"/>
        <v>12494.496</v>
      </c>
      <c r="P61" s="6"/>
      <c r="Q61" s="6"/>
      <c r="R61" s="6"/>
      <c r="S61" s="6"/>
      <c r="T61" s="6"/>
    </row>
    <row r="62" ht="18.75" customHeight="1">
      <c r="A62" s="1"/>
      <c r="B62" s="38" t="s">
        <v>86</v>
      </c>
      <c r="C62" s="25" t="s">
        <v>28</v>
      </c>
      <c r="D62" s="26">
        <v>10000.5</v>
      </c>
      <c r="E62" s="32">
        <v>7478.73</v>
      </c>
      <c r="F62" s="37">
        <v>18.0</v>
      </c>
      <c r="G62" s="29">
        <f t="shared" si="1"/>
        <v>8329.664</v>
      </c>
      <c r="H62" s="29">
        <f t="shared" si="2"/>
        <v>8850.268</v>
      </c>
      <c r="I62" s="29">
        <f t="shared" si="3"/>
        <v>9370.872</v>
      </c>
      <c r="J62" s="29">
        <f t="shared" si="4"/>
        <v>9891.476</v>
      </c>
      <c r="K62" s="30">
        <f>VLOOKUP(F62,'Tabela Salarial_CLT'!$B:$G,6,0)</f>
        <v>10412.08</v>
      </c>
      <c r="L62" s="29">
        <f t="shared" si="5"/>
        <v>10932.684</v>
      </c>
      <c r="M62" s="29">
        <f t="shared" si="6"/>
        <v>11453.288</v>
      </c>
      <c r="N62" s="29">
        <f t="shared" si="7"/>
        <v>11973.892</v>
      </c>
      <c r="O62" s="31">
        <f t="shared" si="8"/>
        <v>12494.496</v>
      </c>
      <c r="P62" s="6"/>
      <c r="Q62" s="6"/>
      <c r="R62" s="6"/>
      <c r="S62" s="6"/>
      <c r="T62" s="6"/>
    </row>
    <row r="63" ht="18.75" customHeight="1">
      <c r="A63" s="1"/>
      <c r="B63" s="42" t="s">
        <v>87</v>
      </c>
      <c r="C63" s="25" t="s">
        <v>30</v>
      </c>
      <c r="D63" s="41"/>
      <c r="E63" s="32">
        <v>15118.5</v>
      </c>
      <c r="F63" s="34">
        <v>18.0</v>
      </c>
      <c r="G63" s="29">
        <f t="shared" si="1"/>
        <v>8329.664</v>
      </c>
      <c r="H63" s="29">
        <f t="shared" si="2"/>
        <v>8850.268</v>
      </c>
      <c r="I63" s="29">
        <f t="shared" si="3"/>
        <v>9370.872</v>
      </c>
      <c r="J63" s="29">
        <f t="shared" si="4"/>
        <v>9891.476</v>
      </c>
      <c r="K63" s="30">
        <f>VLOOKUP(F63,'Tabela Salarial_CLT'!$B:$G,6,0)</f>
        <v>10412.08</v>
      </c>
      <c r="L63" s="29">
        <f t="shared" si="5"/>
        <v>10932.684</v>
      </c>
      <c r="M63" s="29">
        <f t="shared" si="6"/>
        <v>11453.288</v>
      </c>
      <c r="N63" s="29">
        <f t="shared" si="7"/>
        <v>11973.892</v>
      </c>
      <c r="O63" s="31">
        <f t="shared" si="8"/>
        <v>12494.496</v>
      </c>
      <c r="P63" s="6"/>
      <c r="Q63" s="6"/>
      <c r="R63" s="6"/>
      <c r="S63" s="6"/>
      <c r="T63" s="6"/>
    </row>
    <row r="64" ht="18.75" customHeight="1">
      <c r="A64" s="1"/>
      <c r="B64" s="38" t="s">
        <v>88</v>
      </c>
      <c r="C64" s="25" t="s">
        <v>28</v>
      </c>
      <c r="D64" s="26"/>
      <c r="E64" s="32">
        <v>15118.5</v>
      </c>
      <c r="F64" s="34">
        <v>18.0</v>
      </c>
      <c r="G64" s="29">
        <f t="shared" si="1"/>
        <v>8329.664</v>
      </c>
      <c r="H64" s="29">
        <f t="shared" si="2"/>
        <v>8850.268</v>
      </c>
      <c r="I64" s="29">
        <f t="shared" si="3"/>
        <v>9370.872</v>
      </c>
      <c r="J64" s="29">
        <f t="shared" si="4"/>
        <v>9891.476</v>
      </c>
      <c r="K64" s="30">
        <f>VLOOKUP(F64,'Tabela Salarial_CLT'!$B:$G,6,0)</f>
        <v>10412.08</v>
      </c>
      <c r="L64" s="29">
        <f t="shared" si="5"/>
        <v>10932.684</v>
      </c>
      <c r="M64" s="29">
        <f t="shared" si="6"/>
        <v>11453.288</v>
      </c>
      <c r="N64" s="29">
        <f t="shared" si="7"/>
        <v>11973.892</v>
      </c>
      <c r="O64" s="31">
        <f t="shared" si="8"/>
        <v>12494.496</v>
      </c>
      <c r="P64" s="6"/>
      <c r="Q64" s="6"/>
      <c r="R64" s="6"/>
      <c r="S64" s="6"/>
      <c r="T64" s="6"/>
    </row>
    <row r="65" ht="18.75" customHeight="1">
      <c r="A65" s="1"/>
      <c r="B65" s="24" t="s">
        <v>89</v>
      </c>
      <c r="C65" s="25" t="s">
        <v>90</v>
      </c>
      <c r="D65" s="26">
        <v>3882.5757575757575</v>
      </c>
      <c r="E65" s="32">
        <v>12107.57</v>
      </c>
      <c r="F65" s="34">
        <v>18.0</v>
      </c>
      <c r="G65" s="29">
        <f t="shared" si="1"/>
        <v>8329.664</v>
      </c>
      <c r="H65" s="29">
        <f t="shared" si="2"/>
        <v>8850.268</v>
      </c>
      <c r="I65" s="29">
        <f t="shared" si="3"/>
        <v>9370.872</v>
      </c>
      <c r="J65" s="29">
        <f t="shared" si="4"/>
        <v>9891.476</v>
      </c>
      <c r="K65" s="30">
        <f>VLOOKUP(F65,'Tabela Salarial_CLT'!$B:$G,6,0)</f>
        <v>10412.08</v>
      </c>
      <c r="L65" s="29">
        <f t="shared" si="5"/>
        <v>10932.684</v>
      </c>
      <c r="M65" s="29">
        <f t="shared" si="6"/>
        <v>11453.288</v>
      </c>
      <c r="N65" s="29">
        <f t="shared" si="7"/>
        <v>11973.892</v>
      </c>
      <c r="O65" s="31">
        <f t="shared" si="8"/>
        <v>12494.496</v>
      </c>
      <c r="P65" s="6"/>
      <c r="Q65" s="6"/>
      <c r="R65" s="6"/>
      <c r="S65" s="6"/>
      <c r="T65" s="6"/>
    </row>
    <row r="66" ht="18.75" customHeight="1">
      <c r="A66" s="1"/>
      <c r="B66" s="24" t="s">
        <v>91</v>
      </c>
      <c r="C66" s="25" t="s">
        <v>90</v>
      </c>
      <c r="D66" s="26">
        <v>4189.772727272727</v>
      </c>
      <c r="E66" s="32"/>
      <c r="F66" s="34">
        <v>18.0</v>
      </c>
      <c r="G66" s="29">
        <f t="shared" si="1"/>
        <v>8329.664</v>
      </c>
      <c r="H66" s="29">
        <f t="shared" si="2"/>
        <v>8850.268</v>
      </c>
      <c r="I66" s="29">
        <f t="shared" si="3"/>
        <v>9370.872</v>
      </c>
      <c r="J66" s="29">
        <f t="shared" si="4"/>
        <v>9891.476</v>
      </c>
      <c r="K66" s="30">
        <f>VLOOKUP(F66,'Tabela Salarial_CLT'!$B:$G,6,0)</f>
        <v>10412.08</v>
      </c>
      <c r="L66" s="29">
        <f t="shared" si="5"/>
        <v>10932.684</v>
      </c>
      <c r="M66" s="29">
        <f t="shared" si="6"/>
        <v>11453.288</v>
      </c>
      <c r="N66" s="29">
        <f t="shared" si="7"/>
        <v>11973.892</v>
      </c>
      <c r="O66" s="31">
        <f t="shared" si="8"/>
        <v>12494.496</v>
      </c>
      <c r="P66" s="6"/>
      <c r="Q66" s="6"/>
      <c r="R66" s="6"/>
      <c r="S66" s="6"/>
      <c r="T66" s="6"/>
    </row>
    <row r="67" ht="18.75" customHeight="1">
      <c r="A67" s="1"/>
      <c r="B67" s="24" t="s">
        <v>92</v>
      </c>
      <c r="C67" s="25" t="s">
        <v>90</v>
      </c>
      <c r="D67" s="26">
        <v>4049.242424242424</v>
      </c>
      <c r="E67" s="32">
        <v>10996.97</v>
      </c>
      <c r="F67" s="34">
        <v>18.0</v>
      </c>
      <c r="G67" s="29">
        <f t="shared" si="1"/>
        <v>8329.664</v>
      </c>
      <c r="H67" s="29">
        <f t="shared" si="2"/>
        <v>8850.268</v>
      </c>
      <c r="I67" s="29">
        <f t="shared" si="3"/>
        <v>9370.872</v>
      </c>
      <c r="J67" s="29">
        <f t="shared" si="4"/>
        <v>9891.476</v>
      </c>
      <c r="K67" s="30">
        <f>VLOOKUP(F67,'Tabela Salarial_CLT'!$B:$G,6,0)</f>
        <v>10412.08</v>
      </c>
      <c r="L67" s="29">
        <f t="shared" si="5"/>
        <v>10932.684</v>
      </c>
      <c r="M67" s="29">
        <f t="shared" si="6"/>
        <v>11453.288</v>
      </c>
      <c r="N67" s="29">
        <f t="shared" si="7"/>
        <v>11973.892</v>
      </c>
      <c r="O67" s="31">
        <f t="shared" si="8"/>
        <v>12494.496</v>
      </c>
      <c r="P67" s="6"/>
      <c r="Q67" s="6"/>
      <c r="R67" s="6"/>
      <c r="S67" s="6"/>
      <c r="T67" s="6"/>
    </row>
    <row r="68" ht="18.75" customHeight="1">
      <c r="A68" s="1"/>
      <c r="B68" s="24" t="s">
        <v>93</v>
      </c>
      <c r="C68" s="25" t="s">
        <v>90</v>
      </c>
      <c r="D68" s="26">
        <v>3787.8787878787875</v>
      </c>
      <c r="E68" s="32">
        <v>10996.97</v>
      </c>
      <c r="F68" s="34">
        <v>18.0</v>
      </c>
      <c r="G68" s="29">
        <f t="shared" si="1"/>
        <v>8329.664</v>
      </c>
      <c r="H68" s="29">
        <f t="shared" si="2"/>
        <v>8850.268</v>
      </c>
      <c r="I68" s="29">
        <f t="shared" si="3"/>
        <v>9370.872</v>
      </c>
      <c r="J68" s="29">
        <f t="shared" si="4"/>
        <v>9891.476</v>
      </c>
      <c r="K68" s="30">
        <f>VLOOKUP(F68,'Tabela Salarial_CLT'!$B:$G,6,0)</f>
        <v>10412.08</v>
      </c>
      <c r="L68" s="29">
        <f t="shared" si="5"/>
        <v>10932.684</v>
      </c>
      <c r="M68" s="29">
        <f t="shared" si="6"/>
        <v>11453.288</v>
      </c>
      <c r="N68" s="29">
        <f t="shared" si="7"/>
        <v>11973.892</v>
      </c>
      <c r="O68" s="31">
        <f t="shared" si="8"/>
        <v>12494.496</v>
      </c>
      <c r="P68" s="6"/>
      <c r="Q68" s="6"/>
      <c r="R68" s="6"/>
      <c r="S68" s="6"/>
      <c r="T68" s="6"/>
    </row>
    <row r="69" ht="18.75" customHeight="1">
      <c r="A69" s="1"/>
      <c r="B69" s="24" t="s">
        <v>94</v>
      </c>
      <c r="C69" s="25" t="s">
        <v>36</v>
      </c>
      <c r="D69" s="26">
        <v>7420.0</v>
      </c>
      <c r="E69" s="32">
        <v>7778.54</v>
      </c>
      <c r="F69" s="34">
        <v>19.0</v>
      </c>
      <c r="G69" s="29">
        <f t="shared" si="1"/>
        <v>10116.168</v>
      </c>
      <c r="H69" s="29">
        <f t="shared" si="2"/>
        <v>10748.4285</v>
      </c>
      <c r="I69" s="29">
        <f t="shared" si="3"/>
        <v>11380.689</v>
      </c>
      <c r="J69" s="29">
        <f t="shared" si="4"/>
        <v>12012.9495</v>
      </c>
      <c r="K69" s="30">
        <f>VLOOKUP(F69,'Tabela Salarial_CLT'!$B:$G,6,0)</f>
        <v>12645.21</v>
      </c>
      <c r="L69" s="29">
        <f t="shared" si="5"/>
        <v>13277.4705</v>
      </c>
      <c r="M69" s="29">
        <f t="shared" si="6"/>
        <v>13909.731</v>
      </c>
      <c r="N69" s="29">
        <f t="shared" si="7"/>
        <v>14541.9915</v>
      </c>
      <c r="O69" s="31">
        <f t="shared" si="8"/>
        <v>15174.252</v>
      </c>
      <c r="P69" s="6"/>
      <c r="Q69" s="6"/>
      <c r="R69" s="6"/>
      <c r="S69" s="6"/>
      <c r="T69" s="6"/>
    </row>
    <row r="70" ht="18.75" customHeight="1">
      <c r="A70" s="1"/>
      <c r="B70" s="24" t="s">
        <v>95</v>
      </c>
      <c r="C70" s="25" t="s">
        <v>20</v>
      </c>
      <c r="D70" s="26">
        <v>7947.019867549669</v>
      </c>
      <c r="E70" s="32">
        <v>8009.8</v>
      </c>
      <c r="F70" s="34">
        <v>19.0</v>
      </c>
      <c r="G70" s="29">
        <f t="shared" si="1"/>
        <v>10116.168</v>
      </c>
      <c r="H70" s="29">
        <f t="shared" si="2"/>
        <v>10748.4285</v>
      </c>
      <c r="I70" s="29">
        <f t="shared" si="3"/>
        <v>11380.689</v>
      </c>
      <c r="J70" s="29">
        <f t="shared" si="4"/>
        <v>12012.9495</v>
      </c>
      <c r="K70" s="30">
        <f>VLOOKUP(F70,'Tabela Salarial_CLT'!$B:$G,6,0)</f>
        <v>12645.21</v>
      </c>
      <c r="L70" s="29">
        <f t="shared" si="5"/>
        <v>13277.4705</v>
      </c>
      <c r="M70" s="29">
        <f t="shared" si="6"/>
        <v>13909.731</v>
      </c>
      <c r="N70" s="29">
        <f t="shared" si="7"/>
        <v>14541.9915</v>
      </c>
      <c r="O70" s="31">
        <f t="shared" si="8"/>
        <v>15174.252</v>
      </c>
      <c r="P70" s="6"/>
      <c r="Q70" s="6"/>
      <c r="R70" s="6"/>
      <c r="S70" s="6"/>
      <c r="T70" s="6"/>
    </row>
    <row r="71" ht="18.75" customHeight="1">
      <c r="A71" s="1"/>
      <c r="B71" s="24" t="s">
        <v>96</v>
      </c>
      <c r="C71" s="25" t="s">
        <v>46</v>
      </c>
      <c r="D71" s="26">
        <v>10596.026490066226</v>
      </c>
      <c r="E71" s="32">
        <v>11847.83</v>
      </c>
      <c r="F71" s="34">
        <v>19.0</v>
      </c>
      <c r="G71" s="29">
        <f t="shared" si="1"/>
        <v>10116.168</v>
      </c>
      <c r="H71" s="29">
        <f t="shared" si="2"/>
        <v>10748.4285</v>
      </c>
      <c r="I71" s="29">
        <f t="shared" si="3"/>
        <v>11380.689</v>
      </c>
      <c r="J71" s="29">
        <f t="shared" si="4"/>
        <v>12012.9495</v>
      </c>
      <c r="K71" s="30">
        <f>VLOOKUP(F71,'Tabela Salarial_CLT'!$B:$G,6,0)</f>
        <v>12645.21</v>
      </c>
      <c r="L71" s="29">
        <f t="shared" si="5"/>
        <v>13277.4705</v>
      </c>
      <c r="M71" s="29">
        <f t="shared" si="6"/>
        <v>13909.731</v>
      </c>
      <c r="N71" s="29">
        <f t="shared" si="7"/>
        <v>14541.9915</v>
      </c>
      <c r="O71" s="31">
        <f t="shared" si="8"/>
        <v>15174.252</v>
      </c>
      <c r="P71" s="6"/>
      <c r="Q71" s="6"/>
      <c r="R71" s="6"/>
      <c r="S71" s="6"/>
      <c r="T71" s="6"/>
    </row>
    <row r="72" ht="18.75" customHeight="1">
      <c r="A72" s="1"/>
      <c r="B72" s="42" t="s">
        <v>97</v>
      </c>
      <c r="C72" s="25" t="s">
        <v>30</v>
      </c>
      <c r="D72" s="41">
        <v>14393.9393939394</v>
      </c>
      <c r="E72" s="32"/>
      <c r="F72" s="34">
        <v>19.0</v>
      </c>
      <c r="G72" s="29">
        <f t="shared" si="1"/>
        <v>10116.168</v>
      </c>
      <c r="H72" s="29">
        <f t="shared" si="2"/>
        <v>10748.4285</v>
      </c>
      <c r="I72" s="29">
        <f t="shared" si="3"/>
        <v>11380.689</v>
      </c>
      <c r="J72" s="29">
        <f t="shared" si="4"/>
        <v>12012.9495</v>
      </c>
      <c r="K72" s="30">
        <f>VLOOKUP(F72,'Tabela Salarial_CLT'!$B:$G,6,0)</f>
        <v>12645.21</v>
      </c>
      <c r="L72" s="29">
        <f t="shared" si="5"/>
        <v>13277.4705</v>
      </c>
      <c r="M72" s="29">
        <f t="shared" si="6"/>
        <v>13909.731</v>
      </c>
      <c r="N72" s="29">
        <f t="shared" si="7"/>
        <v>14541.9915</v>
      </c>
      <c r="O72" s="31">
        <f t="shared" si="8"/>
        <v>15174.252</v>
      </c>
      <c r="P72" s="6"/>
      <c r="Q72" s="6"/>
      <c r="R72" s="6"/>
      <c r="S72" s="6"/>
      <c r="T72" s="6"/>
    </row>
    <row r="73" ht="18.75" customHeight="1">
      <c r="A73" s="1"/>
      <c r="B73" s="38" t="s">
        <v>98</v>
      </c>
      <c r="C73" s="25" t="s">
        <v>28</v>
      </c>
      <c r="D73" s="26"/>
      <c r="E73" s="32"/>
      <c r="F73" s="34">
        <v>19.0</v>
      </c>
      <c r="G73" s="29">
        <f t="shared" si="1"/>
        <v>10116.168</v>
      </c>
      <c r="H73" s="29">
        <f t="shared" si="2"/>
        <v>10748.4285</v>
      </c>
      <c r="I73" s="29">
        <f t="shared" si="3"/>
        <v>11380.689</v>
      </c>
      <c r="J73" s="29">
        <f t="shared" si="4"/>
        <v>12012.9495</v>
      </c>
      <c r="K73" s="30">
        <f>VLOOKUP(F73,'Tabela Salarial_CLT'!$B:$G,6,0)</f>
        <v>12645.21</v>
      </c>
      <c r="L73" s="29">
        <f t="shared" si="5"/>
        <v>13277.4705</v>
      </c>
      <c r="M73" s="29">
        <f t="shared" si="6"/>
        <v>13909.731</v>
      </c>
      <c r="N73" s="29">
        <f t="shared" si="7"/>
        <v>14541.9915</v>
      </c>
      <c r="O73" s="31">
        <f t="shared" si="8"/>
        <v>15174.252</v>
      </c>
      <c r="P73" s="6"/>
      <c r="Q73" s="6"/>
      <c r="R73" s="6"/>
      <c r="S73" s="6"/>
      <c r="T73" s="6"/>
    </row>
    <row r="74" ht="18.75" customHeight="1">
      <c r="A74" s="1"/>
      <c r="B74" s="24" t="s">
        <v>99</v>
      </c>
      <c r="C74" s="25" t="s">
        <v>90</v>
      </c>
      <c r="D74" s="26">
        <v>12090.90909090909</v>
      </c>
      <c r="E74" s="27">
        <v>12107.57</v>
      </c>
      <c r="F74" s="37">
        <v>19.0</v>
      </c>
      <c r="G74" s="29">
        <f t="shared" si="1"/>
        <v>10116.168</v>
      </c>
      <c r="H74" s="29">
        <f t="shared" si="2"/>
        <v>10748.4285</v>
      </c>
      <c r="I74" s="29">
        <f t="shared" si="3"/>
        <v>11380.689</v>
      </c>
      <c r="J74" s="29">
        <f t="shared" si="4"/>
        <v>12012.9495</v>
      </c>
      <c r="K74" s="30">
        <f>VLOOKUP(F74,'Tabela Salarial_CLT'!$B:$G,6,0)</f>
        <v>12645.21</v>
      </c>
      <c r="L74" s="29">
        <f t="shared" si="5"/>
        <v>13277.4705</v>
      </c>
      <c r="M74" s="29">
        <f t="shared" si="6"/>
        <v>13909.731</v>
      </c>
      <c r="N74" s="29">
        <f t="shared" si="7"/>
        <v>14541.9915</v>
      </c>
      <c r="O74" s="31">
        <f t="shared" si="8"/>
        <v>15174.252</v>
      </c>
      <c r="P74" s="6"/>
      <c r="Q74" s="6"/>
      <c r="R74" s="6"/>
      <c r="S74" s="6"/>
      <c r="T74" s="6"/>
    </row>
    <row r="75" ht="18.75" customHeight="1">
      <c r="A75" s="1"/>
      <c r="B75" s="38" t="s">
        <v>100</v>
      </c>
      <c r="C75" s="25" t="s">
        <v>30</v>
      </c>
      <c r="D75" s="26">
        <v>8714.0</v>
      </c>
      <c r="E75" s="32">
        <v>11847.83</v>
      </c>
      <c r="F75" s="37">
        <v>19.0</v>
      </c>
      <c r="G75" s="29">
        <f t="shared" si="1"/>
        <v>10116.168</v>
      </c>
      <c r="H75" s="29">
        <f t="shared" si="2"/>
        <v>10748.4285</v>
      </c>
      <c r="I75" s="29">
        <f t="shared" si="3"/>
        <v>11380.689</v>
      </c>
      <c r="J75" s="29">
        <f t="shared" si="4"/>
        <v>12012.9495</v>
      </c>
      <c r="K75" s="30">
        <f>VLOOKUP(F75,'Tabela Salarial_CLT'!$B:$G,6,0)</f>
        <v>12645.21</v>
      </c>
      <c r="L75" s="29">
        <f t="shared" si="5"/>
        <v>13277.4705</v>
      </c>
      <c r="M75" s="29">
        <f t="shared" si="6"/>
        <v>13909.731</v>
      </c>
      <c r="N75" s="29">
        <f t="shared" si="7"/>
        <v>14541.9915</v>
      </c>
      <c r="O75" s="31">
        <f t="shared" si="8"/>
        <v>15174.252</v>
      </c>
      <c r="P75" s="6"/>
      <c r="Q75" s="6"/>
      <c r="R75" s="6"/>
      <c r="S75" s="6"/>
      <c r="T75" s="6"/>
    </row>
    <row r="76" ht="18.75" customHeight="1">
      <c r="A76" s="1"/>
      <c r="B76" s="24" t="s">
        <v>101</v>
      </c>
      <c r="C76" s="25" t="s">
        <v>34</v>
      </c>
      <c r="D76" s="26">
        <v>11678.83211678832</v>
      </c>
      <c r="E76" s="32">
        <v>16581.68</v>
      </c>
      <c r="F76" s="34">
        <v>20.0</v>
      </c>
      <c r="G76" s="29">
        <f t="shared" si="1"/>
        <v>12219.2</v>
      </c>
      <c r="H76" s="29">
        <f t="shared" si="2"/>
        <v>12982.9</v>
      </c>
      <c r="I76" s="29">
        <f t="shared" si="3"/>
        <v>13746.6</v>
      </c>
      <c r="J76" s="29">
        <f t="shared" si="4"/>
        <v>14510.3</v>
      </c>
      <c r="K76" s="30">
        <f>VLOOKUP(F76,'Tabela Salarial_CLT'!$B:$G,6,0)</f>
        <v>15274</v>
      </c>
      <c r="L76" s="29">
        <f t="shared" si="5"/>
        <v>16037.7</v>
      </c>
      <c r="M76" s="29">
        <f t="shared" si="6"/>
        <v>16801.4</v>
      </c>
      <c r="N76" s="29">
        <f t="shared" si="7"/>
        <v>17565.1</v>
      </c>
      <c r="O76" s="31">
        <f t="shared" si="8"/>
        <v>18328.8</v>
      </c>
      <c r="P76" s="6"/>
      <c r="Q76" s="6"/>
      <c r="R76" s="6"/>
      <c r="S76" s="6"/>
      <c r="T76" s="6"/>
    </row>
    <row r="77" ht="18.75" customHeight="1">
      <c r="A77" s="1"/>
      <c r="B77" s="38" t="s">
        <v>102</v>
      </c>
      <c r="C77" s="25" t="s">
        <v>10</v>
      </c>
      <c r="D77" s="26">
        <v>12242.424242424242</v>
      </c>
      <c r="E77" s="27">
        <v>13996.93</v>
      </c>
      <c r="F77" s="34">
        <v>21.0</v>
      </c>
      <c r="G77" s="29">
        <f t="shared" si="1"/>
        <v>14668.472</v>
      </c>
      <c r="H77" s="29">
        <f t="shared" si="2"/>
        <v>15585.2515</v>
      </c>
      <c r="I77" s="29">
        <f t="shared" si="3"/>
        <v>16502.031</v>
      </c>
      <c r="J77" s="29">
        <f t="shared" si="4"/>
        <v>17418.8105</v>
      </c>
      <c r="K77" s="30">
        <f>VLOOKUP(F77,'Tabela Salarial_CLT'!$B:$G,6,0)</f>
        <v>18335.59</v>
      </c>
      <c r="L77" s="29">
        <f t="shared" si="5"/>
        <v>19252.3695</v>
      </c>
      <c r="M77" s="29">
        <f t="shared" si="6"/>
        <v>20169.149</v>
      </c>
      <c r="N77" s="29">
        <f t="shared" si="7"/>
        <v>21085.9285</v>
      </c>
      <c r="O77" s="31">
        <f t="shared" si="8"/>
        <v>22002.708</v>
      </c>
      <c r="P77" s="6"/>
      <c r="Q77" s="6"/>
      <c r="R77" s="6"/>
      <c r="S77" s="6"/>
      <c r="T77" s="6"/>
    </row>
    <row r="78" ht="18.75" customHeight="1">
      <c r="A78" s="1"/>
      <c r="B78" s="24" t="s">
        <v>103</v>
      </c>
      <c r="C78" s="25" t="s">
        <v>30</v>
      </c>
      <c r="D78" s="26">
        <v>30106.060606060604</v>
      </c>
      <c r="E78" s="32">
        <v>19054.35</v>
      </c>
      <c r="F78" s="37">
        <v>23.0</v>
      </c>
      <c r="G78" s="29">
        <f t="shared" si="1"/>
        <v>20724.584</v>
      </c>
      <c r="H78" s="29">
        <f t="shared" si="2"/>
        <v>22019.8705</v>
      </c>
      <c r="I78" s="29">
        <f t="shared" si="3"/>
        <v>23315.157</v>
      </c>
      <c r="J78" s="29">
        <f t="shared" si="4"/>
        <v>24610.4435</v>
      </c>
      <c r="K78" s="30">
        <f>VLOOKUP(F78,'Tabela Salarial_CLT'!$B:$G,6,0)</f>
        <v>25905.73</v>
      </c>
      <c r="L78" s="29">
        <f t="shared" si="5"/>
        <v>27201.0165</v>
      </c>
      <c r="M78" s="29">
        <f t="shared" si="6"/>
        <v>28496.303</v>
      </c>
      <c r="N78" s="29">
        <f t="shared" si="7"/>
        <v>29791.5895</v>
      </c>
      <c r="O78" s="31">
        <f t="shared" si="8"/>
        <v>31086.876</v>
      </c>
      <c r="P78" s="6"/>
      <c r="Q78" s="6"/>
      <c r="R78" s="6"/>
      <c r="S78" s="6"/>
      <c r="T78" s="6"/>
    </row>
    <row r="79" ht="18.75" customHeight="1">
      <c r="A79" s="1"/>
      <c r="B79" s="24" t="s">
        <v>104</v>
      </c>
      <c r="C79" s="25" t="s">
        <v>90</v>
      </c>
      <c r="D79" s="26">
        <v>55769.230769230766</v>
      </c>
      <c r="E79" s="27">
        <v>29147.75</v>
      </c>
      <c r="F79" s="34">
        <v>28.0</v>
      </c>
      <c r="G79" s="29">
        <f t="shared" si="1"/>
        <v>44003.904</v>
      </c>
      <c r="H79" s="29">
        <f t="shared" si="2"/>
        <v>46754.148</v>
      </c>
      <c r="I79" s="29">
        <f t="shared" si="3"/>
        <v>49504.392</v>
      </c>
      <c r="J79" s="29">
        <f t="shared" si="4"/>
        <v>52254.636</v>
      </c>
      <c r="K79" s="30">
        <f>VLOOKUP(F79,'Tabela Salarial_CLT'!$B:$G,6,0)</f>
        <v>55004.88</v>
      </c>
      <c r="L79" s="29">
        <f t="shared" si="5"/>
        <v>57755.124</v>
      </c>
      <c r="M79" s="29">
        <f t="shared" si="6"/>
        <v>60505.368</v>
      </c>
      <c r="N79" s="29">
        <f t="shared" si="7"/>
        <v>63255.612</v>
      </c>
      <c r="O79" s="31">
        <f t="shared" si="8"/>
        <v>66005.856</v>
      </c>
      <c r="P79" s="6"/>
      <c r="Q79" s="6"/>
      <c r="R79" s="6"/>
      <c r="S79" s="6"/>
      <c r="T79" s="6"/>
    </row>
    <row r="80" ht="18.75" customHeight="1">
      <c r="A80" s="1"/>
      <c r="B80" s="24" t="s">
        <v>105</v>
      </c>
      <c r="C80" s="25" t="s">
        <v>28</v>
      </c>
      <c r="D80" s="26">
        <v>28030.30303030303</v>
      </c>
      <c r="E80" s="32">
        <v>20040.08</v>
      </c>
      <c r="F80" s="37">
        <v>23.0</v>
      </c>
      <c r="G80" s="29">
        <f t="shared" si="1"/>
        <v>20724.584</v>
      </c>
      <c r="H80" s="29">
        <f t="shared" si="2"/>
        <v>22019.8705</v>
      </c>
      <c r="I80" s="29">
        <f t="shared" si="3"/>
        <v>23315.157</v>
      </c>
      <c r="J80" s="29">
        <f t="shared" si="4"/>
        <v>24610.4435</v>
      </c>
      <c r="K80" s="30">
        <f>VLOOKUP(F80,'Tabela Salarial_CLT'!$B:$G,6,0)</f>
        <v>25905.73</v>
      </c>
      <c r="L80" s="29">
        <f t="shared" si="5"/>
        <v>27201.0165</v>
      </c>
      <c r="M80" s="29">
        <f t="shared" si="6"/>
        <v>28496.303</v>
      </c>
      <c r="N80" s="29">
        <f t="shared" si="7"/>
        <v>29791.5895</v>
      </c>
      <c r="O80" s="31">
        <f t="shared" si="8"/>
        <v>31086.876</v>
      </c>
      <c r="P80" s="6"/>
      <c r="Q80" s="6"/>
      <c r="R80" s="6"/>
      <c r="S80" s="6"/>
      <c r="T80" s="6"/>
    </row>
    <row r="81" ht="18.75" customHeight="1">
      <c r="A81" s="1"/>
      <c r="B81" s="38" t="s">
        <v>106</v>
      </c>
      <c r="C81" s="25" t="s">
        <v>107</v>
      </c>
      <c r="D81" s="26">
        <f>6000/1.49</f>
        <v>4026.845638</v>
      </c>
      <c r="E81" s="32"/>
      <c r="F81" s="37">
        <v>14.0</v>
      </c>
      <c r="G81" s="29">
        <f t="shared" si="1"/>
        <v>3754.688</v>
      </c>
      <c r="H81" s="29">
        <f t="shared" si="2"/>
        <v>3989.356</v>
      </c>
      <c r="I81" s="29">
        <f t="shared" si="3"/>
        <v>4224.024</v>
      </c>
      <c r="J81" s="29">
        <f t="shared" si="4"/>
        <v>4458.692</v>
      </c>
      <c r="K81" s="30">
        <f>VLOOKUP(F81,'Tabela Salarial_CLT'!$B:$G,6,0)</f>
        <v>4693.36</v>
      </c>
      <c r="L81" s="29">
        <f t="shared" si="5"/>
        <v>4928.028</v>
      </c>
      <c r="M81" s="29">
        <f t="shared" si="6"/>
        <v>5162.696</v>
      </c>
      <c r="N81" s="29">
        <f t="shared" si="7"/>
        <v>5397.364</v>
      </c>
      <c r="O81" s="31">
        <f t="shared" si="8"/>
        <v>5632.032</v>
      </c>
      <c r="P81" s="6"/>
      <c r="Q81" s="6"/>
      <c r="R81" s="6"/>
      <c r="S81" s="6"/>
      <c r="T81" s="6"/>
    </row>
    <row r="82" ht="18.75" customHeight="1">
      <c r="A82" s="1"/>
      <c r="B82" s="24" t="s">
        <v>108</v>
      </c>
      <c r="C82" s="25" t="s">
        <v>107</v>
      </c>
      <c r="D82" s="26">
        <v>14045.454545454544</v>
      </c>
      <c r="E82" s="32">
        <v>18908.46</v>
      </c>
      <c r="F82" s="37">
        <v>20.0</v>
      </c>
      <c r="G82" s="29">
        <f t="shared" si="1"/>
        <v>12219.2</v>
      </c>
      <c r="H82" s="29">
        <f t="shared" si="2"/>
        <v>12982.9</v>
      </c>
      <c r="I82" s="29">
        <f t="shared" si="3"/>
        <v>13746.6</v>
      </c>
      <c r="J82" s="29">
        <f t="shared" si="4"/>
        <v>14510.3</v>
      </c>
      <c r="K82" s="30">
        <f>VLOOKUP(F82,'Tabela Salarial_CLT'!$B:$G,6,0)</f>
        <v>15274</v>
      </c>
      <c r="L82" s="29">
        <f t="shared" si="5"/>
        <v>16037.7</v>
      </c>
      <c r="M82" s="29">
        <f t="shared" si="6"/>
        <v>16801.4</v>
      </c>
      <c r="N82" s="29">
        <f t="shared" si="7"/>
        <v>17565.1</v>
      </c>
      <c r="O82" s="31">
        <f t="shared" si="8"/>
        <v>18328.8</v>
      </c>
      <c r="P82" s="6"/>
      <c r="Q82" s="6"/>
      <c r="R82" s="6"/>
      <c r="S82" s="6"/>
      <c r="T82" s="6"/>
    </row>
  </sheetData>
  <autoFilter ref="$B$6:$O$79">
    <sortState ref="B6:O79">
      <sortCondition ref="F6:F79"/>
      <sortCondition ref="B6:B79"/>
      <sortCondition ref="C6:C79"/>
    </sortState>
  </autoFilter>
  <mergeCells count="2">
    <mergeCell ref="G5:J5"/>
    <mergeCell ref="L5:O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11" width="17.0"/>
    <col customWidth="1" min="12" max="12" width="9.57"/>
    <col customWidth="1" min="13" max="13" width="11.29"/>
    <col customWidth="1" min="14" max="24" width="17.29"/>
  </cols>
  <sheetData>
    <row r="1" ht="45.0" customHeight="1">
      <c r="A1" s="4"/>
      <c r="B1" s="45"/>
      <c r="C1" s="46"/>
      <c r="D1" s="46"/>
      <c r="E1" s="47"/>
      <c r="F1" s="48"/>
      <c r="G1" s="47"/>
      <c r="H1" s="46"/>
      <c r="I1" s="46"/>
      <c r="J1" s="46"/>
      <c r="K1" s="46"/>
      <c r="L1" s="45"/>
      <c r="M1" s="45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.75" customHeight="1">
      <c r="A2" s="49"/>
      <c r="B2" s="50" t="s">
        <v>109</v>
      </c>
      <c r="C2" s="51"/>
      <c r="D2" s="51"/>
      <c r="E2" s="51"/>
      <c r="F2" s="51"/>
      <c r="G2" s="51"/>
      <c r="H2" s="51"/>
      <c r="I2" s="51"/>
      <c r="J2" s="51"/>
      <c r="K2" s="52"/>
      <c r="L2" s="53"/>
      <c r="M2" s="53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.75" customHeight="1">
      <c r="A3" s="49"/>
      <c r="B3" s="54"/>
      <c r="C3" s="55"/>
      <c r="D3" s="55"/>
      <c r="E3" s="55"/>
      <c r="F3" s="55"/>
      <c r="G3" s="55"/>
      <c r="H3" s="55"/>
      <c r="I3" s="55"/>
      <c r="J3" s="55"/>
      <c r="K3" s="56"/>
      <c r="L3" s="57"/>
      <c r="M3" s="58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0.25" customHeight="1">
      <c r="A4" s="49"/>
      <c r="B4" s="59" t="s">
        <v>110</v>
      </c>
      <c r="C4" s="60"/>
      <c r="D4" s="61"/>
      <c r="E4" s="61"/>
      <c r="F4" s="61"/>
      <c r="G4" s="61"/>
      <c r="H4" s="61"/>
      <c r="I4" s="61"/>
      <c r="J4" s="61"/>
      <c r="K4" s="62"/>
      <c r="L4" s="57"/>
      <c r="M4" s="58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45.0" customHeight="1">
      <c r="A5" s="49"/>
      <c r="B5" s="63"/>
      <c r="C5" s="22">
        <v>0.8</v>
      </c>
      <c r="D5" s="22">
        <v>0.85</v>
      </c>
      <c r="E5" s="22">
        <v>0.9</v>
      </c>
      <c r="F5" s="22">
        <v>0.95</v>
      </c>
      <c r="G5" s="22">
        <v>1.0</v>
      </c>
      <c r="H5" s="22">
        <v>1.05</v>
      </c>
      <c r="I5" s="22">
        <v>1.1</v>
      </c>
      <c r="J5" s="22">
        <v>1.15</v>
      </c>
      <c r="K5" s="23">
        <v>1.2</v>
      </c>
      <c r="L5" s="64"/>
      <c r="M5" s="65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8.75" customHeight="1">
      <c r="A6" s="66"/>
      <c r="B6" s="67">
        <v>10.0</v>
      </c>
      <c r="C6" s="68">
        <f t="shared" ref="C6:C24" si="1">ROUND(G6*$C$5,2)</f>
        <v>1867.2</v>
      </c>
      <c r="D6" s="68">
        <f t="shared" ref="D6:D24" si="2">G6*$D$5</f>
        <v>1983.9</v>
      </c>
      <c r="E6" s="68">
        <f t="shared" ref="E6:E24" si="3">G6*$E$5</f>
        <v>2100.6</v>
      </c>
      <c r="F6" s="68">
        <f t="shared" ref="F6:F24" si="4">G6*$F$5</f>
        <v>2217.3</v>
      </c>
      <c r="G6" s="69">
        <v>2334.0</v>
      </c>
      <c r="H6" s="68">
        <f t="shared" ref="H6:H24" si="5">G6*$H$5</f>
        <v>2450.7</v>
      </c>
      <c r="I6" s="70">
        <f t="shared" ref="I6:I24" si="6">G6*$I$5</f>
        <v>2567.4</v>
      </c>
      <c r="J6" s="70">
        <f t="shared" ref="J6:J24" si="7">G6*$J$5</f>
        <v>2684.1</v>
      </c>
      <c r="K6" s="71">
        <f t="shared" ref="K6:K24" si="8">G6*$K$5</f>
        <v>2800.8</v>
      </c>
      <c r="L6" s="64"/>
      <c r="M6" s="65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8.75" customHeight="1">
      <c r="A7" s="66"/>
      <c r="B7" s="72">
        <v>11.0</v>
      </c>
      <c r="C7" s="68">
        <f t="shared" si="1"/>
        <v>2191.11</v>
      </c>
      <c r="D7" s="68">
        <f t="shared" si="2"/>
        <v>2328.0565</v>
      </c>
      <c r="E7" s="68">
        <f t="shared" si="3"/>
        <v>2465.001</v>
      </c>
      <c r="F7" s="68">
        <f t="shared" si="4"/>
        <v>2601.9455</v>
      </c>
      <c r="G7" s="69">
        <v>2738.89</v>
      </c>
      <c r="H7" s="68">
        <f t="shared" si="5"/>
        <v>2875.8345</v>
      </c>
      <c r="I7" s="70">
        <f t="shared" si="6"/>
        <v>3012.779</v>
      </c>
      <c r="J7" s="70">
        <f t="shared" si="7"/>
        <v>3149.7235</v>
      </c>
      <c r="K7" s="71">
        <f t="shared" si="8"/>
        <v>3286.668</v>
      </c>
      <c r="L7" s="64"/>
      <c r="M7" s="65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8.75" customHeight="1">
      <c r="A8" s="66"/>
      <c r="B8" s="72">
        <v>12.0</v>
      </c>
      <c r="C8" s="68">
        <f t="shared" si="1"/>
        <v>2593.86</v>
      </c>
      <c r="D8" s="68">
        <f t="shared" si="2"/>
        <v>2755.972</v>
      </c>
      <c r="E8" s="68">
        <f t="shared" si="3"/>
        <v>2918.088</v>
      </c>
      <c r="F8" s="68">
        <f t="shared" si="4"/>
        <v>3080.204</v>
      </c>
      <c r="G8" s="69">
        <v>3242.32</v>
      </c>
      <c r="H8" s="68">
        <f t="shared" si="5"/>
        <v>3404.436</v>
      </c>
      <c r="I8" s="70">
        <f t="shared" si="6"/>
        <v>3566.552</v>
      </c>
      <c r="J8" s="70">
        <f t="shared" si="7"/>
        <v>3728.668</v>
      </c>
      <c r="K8" s="71">
        <f t="shared" si="8"/>
        <v>3890.784</v>
      </c>
      <c r="L8" s="64"/>
      <c r="M8" s="65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8.75" customHeight="1">
      <c r="A9" s="66"/>
      <c r="B9" s="72">
        <v>13.0</v>
      </c>
      <c r="C9" s="68">
        <f t="shared" si="1"/>
        <v>3105.14</v>
      </c>
      <c r="D9" s="68">
        <f t="shared" si="2"/>
        <v>3299.2155</v>
      </c>
      <c r="E9" s="68">
        <f t="shared" si="3"/>
        <v>3493.287</v>
      </c>
      <c r="F9" s="68">
        <f t="shared" si="4"/>
        <v>3687.3585</v>
      </c>
      <c r="G9" s="69">
        <v>3881.43</v>
      </c>
      <c r="H9" s="68">
        <f t="shared" si="5"/>
        <v>4075.5015</v>
      </c>
      <c r="I9" s="70">
        <f t="shared" si="6"/>
        <v>4269.573</v>
      </c>
      <c r="J9" s="70">
        <f t="shared" si="7"/>
        <v>4463.6445</v>
      </c>
      <c r="K9" s="71">
        <f t="shared" si="8"/>
        <v>4657.716</v>
      </c>
      <c r="L9" s="73"/>
      <c r="M9" s="65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66"/>
      <c r="B10" s="72">
        <v>14.0</v>
      </c>
      <c r="C10" s="68">
        <f t="shared" si="1"/>
        <v>3754.69</v>
      </c>
      <c r="D10" s="68">
        <f t="shared" si="2"/>
        <v>3989.356</v>
      </c>
      <c r="E10" s="68">
        <f t="shared" si="3"/>
        <v>4224.024</v>
      </c>
      <c r="F10" s="68">
        <f t="shared" si="4"/>
        <v>4458.692</v>
      </c>
      <c r="G10" s="69">
        <v>4693.36</v>
      </c>
      <c r="H10" s="68">
        <f t="shared" si="5"/>
        <v>4928.028</v>
      </c>
      <c r="I10" s="70">
        <f t="shared" si="6"/>
        <v>5162.696</v>
      </c>
      <c r="J10" s="70">
        <f t="shared" si="7"/>
        <v>5397.364</v>
      </c>
      <c r="K10" s="71">
        <f t="shared" si="8"/>
        <v>5632.032</v>
      </c>
      <c r="L10" s="64"/>
      <c r="M10" s="6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8.75" customHeight="1">
      <c r="A11" s="66"/>
      <c r="B11" s="72">
        <v>15.0</v>
      </c>
      <c r="C11" s="68">
        <f t="shared" si="1"/>
        <v>4572.2</v>
      </c>
      <c r="D11" s="68">
        <f t="shared" si="2"/>
        <v>4857.9625</v>
      </c>
      <c r="E11" s="68">
        <f t="shared" si="3"/>
        <v>5143.725</v>
      </c>
      <c r="F11" s="68">
        <f t="shared" si="4"/>
        <v>5429.4875</v>
      </c>
      <c r="G11" s="69">
        <v>5715.25</v>
      </c>
      <c r="H11" s="68">
        <f t="shared" si="5"/>
        <v>6001.0125</v>
      </c>
      <c r="I11" s="70">
        <f t="shared" si="6"/>
        <v>6286.775</v>
      </c>
      <c r="J11" s="70">
        <f t="shared" si="7"/>
        <v>6572.5375</v>
      </c>
      <c r="K11" s="71">
        <f t="shared" si="8"/>
        <v>6858.3</v>
      </c>
      <c r="L11" s="64"/>
      <c r="M11" s="6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8.75" customHeight="1">
      <c r="A12" s="66"/>
      <c r="B12" s="72">
        <v>16.0</v>
      </c>
      <c r="C12" s="68">
        <f t="shared" si="1"/>
        <v>5587.39</v>
      </c>
      <c r="D12" s="68">
        <f t="shared" si="2"/>
        <v>5936.604</v>
      </c>
      <c r="E12" s="68">
        <f t="shared" si="3"/>
        <v>6285.816</v>
      </c>
      <c r="F12" s="68">
        <f t="shared" si="4"/>
        <v>6635.028</v>
      </c>
      <c r="G12" s="69">
        <v>6984.24</v>
      </c>
      <c r="H12" s="68">
        <f t="shared" si="5"/>
        <v>7333.452</v>
      </c>
      <c r="I12" s="70">
        <f t="shared" si="6"/>
        <v>7682.664</v>
      </c>
      <c r="J12" s="70">
        <f t="shared" si="7"/>
        <v>8031.876</v>
      </c>
      <c r="K12" s="71">
        <f t="shared" si="8"/>
        <v>8381.088</v>
      </c>
      <c r="L12" s="64"/>
      <c r="M12" s="6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8.75" customHeight="1">
      <c r="A13" s="66"/>
      <c r="B13" s="72">
        <v>17.0</v>
      </c>
      <c r="C13" s="68">
        <f t="shared" si="1"/>
        <v>6829.98</v>
      </c>
      <c r="D13" s="68">
        <f t="shared" si="2"/>
        <v>7256.8495</v>
      </c>
      <c r="E13" s="68">
        <f t="shared" si="3"/>
        <v>7683.723</v>
      </c>
      <c r="F13" s="68">
        <f t="shared" si="4"/>
        <v>8110.5965</v>
      </c>
      <c r="G13" s="69">
        <v>8537.47</v>
      </c>
      <c r="H13" s="68">
        <f t="shared" si="5"/>
        <v>8964.3435</v>
      </c>
      <c r="I13" s="70">
        <f t="shared" si="6"/>
        <v>9391.217</v>
      </c>
      <c r="J13" s="70">
        <f t="shared" si="7"/>
        <v>9818.0905</v>
      </c>
      <c r="K13" s="71">
        <f t="shared" si="8"/>
        <v>10244.964</v>
      </c>
      <c r="L13" s="64"/>
      <c r="M13" s="65"/>
      <c r="N13" s="74" t="s">
        <v>111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8.75" customHeight="1">
      <c r="A14" s="75"/>
      <c r="B14" s="72">
        <v>18.0</v>
      </c>
      <c r="C14" s="68">
        <f t="shared" si="1"/>
        <v>8329.66</v>
      </c>
      <c r="D14" s="68">
        <f t="shared" si="2"/>
        <v>8850.268</v>
      </c>
      <c r="E14" s="68">
        <f t="shared" si="3"/>
        <v>9370.872</v>
      </c>
      <c r="F14" s="68">
        <f t="shared" si="4"/>
        <v>9891.476</v>
      </c>
      <c r="G14" s="69">
        <v>10412.08</v>
      </c>
      <c r="H14" s="68">
        <f t="shared" si="5"/>
        <v>10932.684</v>
      </c>
      <c r="I14" s="70">
        <f t="shared" si="6"/>
        <v>11453.288</v>
      </c>
      <c r="J14" s="70">
        <f t="shared" si="7"/>
        <v>11973.892</v>
      </c>
      <c r="K14" s="71">
        <f t="shared" si="8"/>
        <v>12494.496</v>
      </c>
      <c r="L14" s="76"/>
      <c r="M14" s="6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8.75" customHeight="1">
      <c r="A15" s="75"/>
      <c r="B15" s="72">
        <v>19.0</v>
      </c>
      <c r="C15" s="68">
        <f t="shared" si="1"/>
        <v>10116.17</v>
      </c>
      <c r="D15" s="68">
        <f t="shared" si="2"/>
        <v>10748.4285</v>
      </c>
      <c r="E15" s="68">
        <f t="shared" si="3"/>
        <v>11380.689</v>
      </c>
      <c r="F15" s="68">
        <f t="shared" si="4"/>
        <v>12012.9495</v>
      </c>
      <c r="G15" s="69">
        <v>12645.21</v>
      </c>
      <c r="H15" s="68">
        <f t="shared" si="5"/>
        <v>13277.4705</v>
      </c>
      <c r="I15" s="70">
        <f t="shared" si="6"/>
        <v>13909.731</v>
      </c>
      <c r="J15" s="70">
        <f t="shared" si="7"/>
        <v>14541.9915</v>
      </c>
      <c r="K15" s="71">
        <f t="shared" si="8"/>
        <v>15174.252</v>
      </c>
      <c r="L15" s="76"/>
      <c r="M15" s="6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8.75" customHeight="1">
      <c r="A16" s="75"/>
      <c r="B16" s="72">
        <v>20.0</v>
      </c>
      <c r="C16" s="68">
        <f t="shared" si="1"/>
        <v>12219.2</v>
      </c>
      <c r="D16" s="68">
        <f t="shared" si="2"/>
        <v>12982.9</v>
      </c>
      <c r="E16" s="68">
        <f t="shared" si="3"/>
        <v>13746.6</v>
      </c>
      <c r="F16" s="68">
        <f t="shared" si="4"/>
        <v>14510.3</v>
      </c>
      <c r="G16" s="69">
        <v>15274.0</v>
      </c>
      <c r="H16" s="68">
        <f t="shared" si="5"/>
        <v>16037.7</v>
      </c>
      <c r="I16" s="70">
        <f t="shared" si="6"/>
        <v>16801.4</v>
      </c>
      <c r="J16" s="70">
        <f t="shared" si="7"/>
        <v>17565.1</v>
      </c>
      <c r="K16" s="71">
        <f t="shared" si="8"/>
        <v>18328.8</v>
      </c>
      <c r="L16" s="76"/>
      <c r="M16" s="6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8.75" customHeight="1">
      <c r="A17" s="75"/>
      <c r="B17" s="72">
        <v>21.0</v>
      </c>
      <c r="C17" s="68">
        <f t="shared" si="1"/>
        <v>14668.47</v>
      </c>
      <c r="D17" s="68">
        <f t="shared" si="2"/>
        <v>15585.2515</v>
      </c>
      <c r="E17" s="68">
        <f t="shared" si="3"/>
        <v>16502.031</v>
      </c>
      <c r="F17" s="68">
        <f t="shared" si="4"/>
        <v>17418.8105</v>
      </c>
      <c r="G17" s="69">
        <v>18335.59</v>
      </c>
      <c r="H17" s="68">
        <f t="shared" si="5"/>
        <v>19252.3695</v>
      </c>
      <c r="I17" s="70">
        <f t="shared" si="6"/>
        <v>20169.149</v>
      </c>
      <c r="J17" s="70">
        <f t="shared" si="7"/>
        <v>21085.9285</v>
      </c>
      <c r="K17" s="71">
        <f t="shared" si="8"/>
        <v>22002.708</v>
      </c>
      <c r="L17" s="76"/>
      <c r="M17" s="6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8.75" customHeight="1">
      <c r="A18" s="75"/>
      <c r="B18" s="72">
        <v>22.0</v>
      </c>
      <c r="C18" s="68">
        <f t="shared" si="1"/>
        <v>17493.7</v>
      </c>
      <c r="D18" s="68">
        <f t="shared" si="2"/>
        <v>18587.052</v>
      </c>
      <c r="E18" s="68">
        <f t="shared" si="3"/>
        <v>19680.408</v>
      </c>
      <c r="F18" s="68">
        <f t="shared" si="4"/>
        <v>20773.764</v>
      </c>
      <c r="G18" s="69">
        <v>21867.12</v>
      </c>
      <c r="H18" s="68">
        <f t="shared" si="5"/>
        <v>22960.476</v>
      </c>
      <c r="I18" s="70">
        <f t="shared" si="6"/>
        <v>24053.832</v>
      </c>
      <c r="J18" s="70">
        <f t="shared" si="7"/>
        <v>25147.188</v>
      </c>
      <c r="K18" s="71">
        <f t="shared" si="8"/>
        <v>26240.544</v>
      </c>
      <c r="L18" s="76"/>
      <c r="M18" s="6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8.75" customHeight="1">
      <c r="A19" s="75"/>
      <c r="B19" s="77">
        <v>23.0</v>
      </c>
      <c r="C19" s="29">
        <f t="shared" si="1"/>
        <v>20724.58</v>
      </c>
      <c r="D19" s="29">
        <f t="shared" si="2"/>
        <v>22019.8705</v>
      </c>
      <c r="E19" s="29">
        <f t="shared" si="3"/>
        <v>23315.157</v>
      </c>
      <c r="F19" s="29">
        <f t="shared" si="4"/>
        <v>24610.4435</v>
      </c>
      <c r="G19" s="78">
        <v>25905.73</v>
      </c>
      <c r="H19" s="29">
        <f t="shared" si="5"/>
        <v>27201.0165</v>
      </c>
      <c r="I19" s="29">
        <f t="shared" si="6"/>
        <v>28496.303</v>
      </c>
      <c r="J19" s="29">
        <f t="shared" si="7"/>
        <v>29791.5895</v>
      </c>
      <c r="K19" s="31">
        <f t="shared" si="8"/>
        <v>31086.876</v>
      </c>
      <c r="L19" s="76"/>
      <c r="M19" s="6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8.75" customHeight="1">
      <c r="A20" s="75"/>
      <c r="B20" s="77">
        <v>24.0</v>
      </c>
      <c r="C20" s="29">
        <f t="shared" si="1"/>
        <v>24390.85</v>
      </c>
      <c r="D20" s="29">
        <f t="shared" si="2"/>
        <v>25915.276</v>
      </c>
      <c r="E20" s="29">
        <f t="shared" si="3"/>
        <v>27439.704</v>
      </c>
      <c r="F20" s="29">
        <f t="shared" si="4"/>
        <v>28964.132</v>
      </c>
      <c r="G20" s="79">
        <v>30488.56</v>
      </c>
      <c r="H20" s="29">
        <f t="shared" si="5"/>
        <v>32012.988</v>
      </c>
      <c r="I20" s="29">
        <f t="shared" si="6"/>
        <v>33537.416</v>
      </c>
      <c r="J20" s="29">
        <f t="shared" si="7"/>
        <v>35061.844</v>
      </c>
      <c r="K20" s="31">
        <f t="shared" si="8"/>
        <v>36586.272</v>
      </c>
      <c r="L20" s="76"/>
      <c r="M20" s="6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8.75" customHeight="1">
      <c r="A21" s="75"/>
      <c r="B21" s="77">
        <v>25.0</v>
      </c>
      <c r="C21" s="29">
        <f t="shared" si="1"/>
        <v>28522.2</v>
      </c>
      <c r="D21" s="29">
        <f t="shared" si="2"/>
        <v>30304.8375</v>
      </c>
      <c r="E21" s="29">
        <f t="shared" si="3"/>
        <v>32087.475</v>
      </c>
      <c r="F21" s="29">
        <f t="shared" si="4"/>
        <v>33870.1125</v>
      </c>
      <c r="G21" s="79">
        <v>35652.75</v>
      </c>
      <c r="H21" s="29">
        <f t="shared" si="5"/>
        <v>37435.3875</v>
      </c>
      <c r="I21" s="29">
        <f t="shared" si="6"/>
        <v>39218.025</v>
      </c>
      <c r="J21" s="29">
        <f t="shared" si="7"/>
        <v>41000.6625</v>
      </c>
      <c r="K21" s="31">
        <f t="shared" si="8"/>
        <v>42783.3</v>
      </c>
      <c r="L21" s="76"/>
      <c r="M21" s="6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8.75" customHeight="1">
      <c r="A22" s="75"/>
      <c r="B22" s="77">
        <v>26.0</v>
      </c>
      <c r="C22" s="29">
        <f t="shared" si="1"/>
        <v>33148.35</v>
      </c>
      <c r="D22" s="29">
        <f t="shared" si="2"/>
        <v>35220.124</v>
      </c>
      <c r="E22" s="29">
        <f t="shared" si="3"/>
        <v>37291.896</v>
      </c>
      <c r="F22" s="29">
        <f t="shared" si="4"/>
        <v>39363.668</v>
      </c>
      <c r="G22" s="79">
        <v>41435.44</v>
      </c>
      <c r="H22" s="29">
        <f t="shared" si="5"/>
        <v>43507.212</v>
      </c>
      <c r="I22" s="29">
        <f t="shared" si="6"/>
        <v>45578.984</v>
      </c>
      <c r="J22" s="29">
        <f t="shared" si="7"/>
        <v>47650.756</v>
      </c>
      <c r="K22" s="31">
        <f t="shared" si="8"/>
        <v>49722.528</v>
      </c>
      <c r="L22" s="76"/>
      <c r="M22" s="6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8.75" customHeight="1">
      <c r="A23" s="75"/>
      <c r="B23" s="77">
        <v>27.0</v>
      </c>
      <c r="C23" s="29">
        <f t="shared" si="1"/>
        <v>38299.02</v>
      </c>
      <c r="D23" s="29">
        <f t="shared" si="2"/>
        <v>40692.7045</v>
      </c>
      <c r="E23" s="29">
        <f t="shared" si="3"/>
        <v>43086.393</v>
      </c>
      <c r="F23" s="29">
        <f t="shared" si="4"/>
        <v>45480.0815</v>
      </c>
      <c r="G23" s="79">
        <v>47873.77</v>
      </c>
      <c r="H23" s="29">
        <f t="shared" si="5"/>
        <v>50267.4585</v>
      </c>
      <c r="I23" s="29">
        <f t="shared" si="6"/>
        <v>52661.147</v>
      </c>
      <c r="J23" s="29">
        <f t="shared" si="7"/>
        <v>55054.8355</v>
      </c>
      <c r="K23" s="31">
        <f t="shared" si="8"/>
        <v>57448.524</v>
      </c>
      <c r="L23" s="76"/>
      <c r="M23" s="6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8.75" customHeight="1">
      <c r="A24" s="75"/>
      <c r="B24" s="80">
        <v>28.0</v>
      </c>
      <c r="C24" s="81">
        <f t="shared" si="1"/>
        <v>44003.9</v>
      </c>
      <c r="D24" s="81">
        <f t="shared" si="2"/>
        <v>46754.148</v>
      </c>
      <c r="E24" s="81">
        <f t="shared" si="3"/>
        <v>49504.392</v>
      </c>
      <c r="F24" s="81">
        <f t="shared" si="4"/>
        <v>52254.636</v>
      </c>
      <c r="G24" s="82">
        <v>55004.88</v>
      </c>
      <c r="H24" s="81">
        <f t="shared" si="5"/>
        <v>57755.124</v>
      </c>
      <c r="I24" s="81">
        <f t="shared" si="6"/>
        <v>60505.368</v>
      </c>
      <c r="J24" s="81">
        <f t="shared" si="7"/>
        <v>63255.612</v>
      </c>
      <c r="K24" s="83">
        <f t="shared" si="8"/>
        <v>66005.856</v>
      </c>
      <c r="L24" s="76"/>
      <c r="M24" s="6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</sheetData>
  <mergeCells count="3">
    <mergeCell ref="B2:K3"/>
    <mergeCell ref="B4:B5"/>
    <mergeCell ref="C4:K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11" width="17.29"/>
    <col customWidth="1" min="12" max="12" width="9.57"/>
    <col customWidth="1" min="13" max="13" width="37.29"/>
    <col customWidth="1" min="14" max="14" width="6.86"/>
    <col customWidth="1" min="15" max="15" width="9.86"/>
    <col customWidth="1" min="16" max="23" width="17.29"/>
  </cols>
  <sheetData>
    <row r="1" ht="45.0" customHeight="1">
      <c r="A1" s="4"/>
      <c r="B1" s="45"/>
      <c r="C1" s="84"/>
      <c r="D1" s="84"/>
      <c r="E1" s="85"/>
      <c r="F1" s="86"/>
      <c r="G1" s="85"/>
      <c r="H1" s="84"/>
      <c r="I1" s="84"/>
      <c r="J1" s="84"/>
      <c r="K1" s="84"/>
      <c r="L1" s="45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30.75" customHeight="1">
      <c r="A2" s="49"/>
      <c r="B2" s="50" t="s">
        <v>112</v>
      </c>
      <c r="C2" s="51"/>
      <c r="D2" s="51"/>
      <c r="E2" s="51"/>
      <c r="F2" s="51"/>
      <c r="G2" s="51"/>
      <c r="H2" s="51"/>
      <c r="I2" s="51"/>
      <c r="J2" s="51"/>
      <c r="K2" s="52"/>
      <c r="L2" s="53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30.75" customHeight="1">
      <c r="A3" s="49"/>
      <c r="B3" s="54"/>
      <c r="C3" s="55"/>
      <c r="D3" s="55"/>
      <c r="E3" s="55"/>
      <c r="F3" s="55"/>
      <c r="G3" s="55"/>
      <c r="H3" s="55"/>
      <c r="I3" s="55"/>
      <c r="J3" s="55"/>
      <c r="K3" s="56"/>
      <c r="L3" s="57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20.25" customHeight="1">
      <c r="A4" s="49"/>
      <c r="B4" s="59" t="s">
        <v>110</v>
      </c>
      <c r="C4" s="60"/>
      <c r="D4" s="61"/>
      <c r="E4" s="61"/>
      <c r="F4" s="61"/>
      <c r="G4" s="61"/>
      <c r="H4" s="61"/>
      <c r="I4" s="61"/>
      <c r="J4" s="61"/>
      <c r="K4" s="62"/>
      <c r="L4" s="57"/>
      <c r="M4" s="87" t="s">
        <v>113</v>
      </c>
      <c r="N4" s="88" t="s">
        <v>114</v>
      </c>
      <c r="O4" s="89" t="s">
        <v>110</v>
      </c>
      <c r="P4" s="1"/>
      <c r="Q4" s="1"/>
      <c r="R4" s="1"/>
      <c r="S4" s="1"/>
      <c r="T4" s="1"/>
      <c r="U4" s="1"/>
      <c r="V4" s="1"/>
      <c r="W4" s="1"/>
    </row>
    <row r="5" ht="45.0" customHeight="1">
      <c r="A5" s="49"/>
      <c r="B5" s="63"/>
      <c r="C5" s="22">
        <v>0.8</v>
      </c>
      <c r="D5" s="22">
        <v>0.85</v>
      </c>
      <c r="E5" s="22">
        <v>0.9</v>
      </c>
      <c r="F5" s="22">
        <v>0.95</v>
      </c>
      <c r="G5" s="22">
        <v>1.0</v>
      </c>
      <c r="H5" s="22">
        <v>1.05</v>
      </c>
      <c r="I5" s="22">
        <v>1.1</v>
      </c>
      <c r="J5" s="22">
        <v>1.15</v>
      </c>
      <c r="K5" s="23">
        <v>1.2</v>
      </c>
      <c r="L5" s="64"/>
      <c r="M5" s="63"/>
      <c r="N5" s="90"/>
      <c r="O5" s="91"/>
      <c r="P5" s="1"/>
      <c r="Q5" s="1"/>
      <c r="R5" s="1"/>
      <c r="S5" s="1"/>
      <c r="T5" s="1"/>
      <c r="U5" s="1"/>
      <c r="V5" s="1"/>
      <c r="W5" s="1"/>
    </row>
    <row r="6" ht="18.75" customHeight="1">
      <c r="A6" s="66"/>
      <c r="B6" s="92">
        <v>10.0</v>
      </c>
      <c r="C6" s="68">
        <f t="shared" ref="C6:C24" si="1">ROUND(G6*$C$5,2)</f>
        <v>2782.13</v>
      </c>
      <c r="D6" s="68">
        <f t="shared" ref="D6:D24" si="2">G6*$D$5</f>
        <v>2956.011</v>
      </c>
      <c r="E6" s="68">
        <f t="shared" ref="E6:E24" si="3">G6*$E$5</f>
        <v>3129.894</v>
      </c>
      <c r="F6" s="68">
        <f t="shared" ref="F6:F24" si="4">G6*$F$5</f>
        <v>3303.777</v>
      </c>
      <c r="G6" s="69">
        <f>'Tabela Salarial_CLT'!G6*N6</f>
        <v>3477.66</v>
      </c>
      <c r="H6" s="68">
        <f t="shared" ref="H6:H24" si="5">G6*$H$5</f>
        <v>3651.543</v>
      </c>
      <c r="I6" s="70">
        <f t="shared" ref="I6:I24" si="6">G6*$I$5</f>
        <v>3825.426</v>
      </c>
      <c r="J6" s="70">
        <f t="shared" ref="J6:J24" si="7">G6*$J$5</f>
        <v>3999.309</v>
      </c>
      <c r="K6" s="71">
        <f t="shared" ref="K6:K24" si="8">G6*$K$5</f>
        <v>4173.192</v>
      </c>
      <c r="L6" s="64"/>
      <c r="M6" s="93" t="s">
        <v>115</v>
      </c>
      <c r="N6" s="94">
        <v>1.49</v>
      </c>
      <c r="O6" s="95">
        <v>10.0</v>
      </c>
      <c r="P6" s="96">
        <f t="shared" ref="P6:P24" si="9">N6</f>
        <v>1.49</v>
      </c>
      <c r="Q6" s="74"/>
      <c r="R6" s="1"/>
      <c r="S6" s="1"/>
      <c r="T6" s="1"/>
      <c r="U6" s="1"/>
      <c r="V6" s="1"/>
      <c r="W6" s="1"/>
    </row>
    <row r="7" ht="18.75" customHeight="1">
      <c r="A7" s="66"/>
      <c r="B7" s="97">
        <v>11.0</v>
      </c>
      <c r="C7" s="68">
        <f t="shared" si="1"/>
        <v>3264.76</v>
      </c>
      <c r="D7" s="68">
        <f t="shared" si="2"/>
        <v>3468.804185</v>
      </c>
      <c r="E7" s="68">
        <f t="shared" si="3"/>
        <v>3672.85149</v>
      </c>
      <c r="F7" s="68">
        <f t="shared" si="4"/>
        <v>3876.898795</v>
      </c>
      <c r="G7" s="69">
        <f>'Tabela Salarial_CLT'!G7*N7</f>
        <v>4080.9461</v>
      </c>
      <c r="H7" s="68">
        <f t="shared" si="5"/>
        <v>4284.993405</v>
      </c>
      <c r="I7" s="70">
        <f t="shared" si="6"/>
        <v>4489.04071</v>
      </c>
      <c r="J7" s="70">
        <f t="shared" si="7"/>
        <v>4693.088015</v>
      </c>
      <c r="K7" s="71">
        <f t="shared" si="8"/>
        <v>4897.13532</v>
      </c>
      <c r="L7" s="98"/>
      <c r="M7" s="93" t="s">
        <v>115</v>
      </c>
      <c r="N7" s="94">
        <v>1.49</v>
      </c>
      <c r="O7" s="95">
        <v>11.0</v>
      </c>
      <c r="P7" s="96">
        <f t="shared" si="9"/>
        <v>1.49</v>
      </c>
      <c r="Q7" s="1"/>
      <c r="R7" s="1"/>
      <c r="S7" s="1"/>
      <c r="T7" s="1"/>
      <c r="U7" s="1"/>
      <c r="V7" s="1"/>
      <c r="W7" s="1"/>
    </row>
    <row r="8" ht="18.75" customHeight="1">
      <c r="A8" s="66"/>
      <c r="B8" s="97">
        <v>12.0</v>
      </c>
      <c r="C8" s="68">
        <f t="shared" si="1"/>
        <v>3864.85</v>
      </c>
      <c r="D8" s="68">
        <f t="shared" si="2"/>
        <v>4106.39828</v>
      </c>
      <c r="E8" s="68">
        <f t="shared" si="3"/>
        <v>4347.95112</v>
      </c>
      <c r="F8" s="68">
        <f t="shared" si="4"/>
        <v>4589.50396</v>
      </c>
      <c r="G8" s="69">
        <f>'Tabela Salarial_CLT'!G8*N8</f>
        <v>4831.0568</v>
      </c>
      <c r="H8" s="68">
        <f t="shared" si="5"/>
        <v>5072.60964</v>
      </c>
      <c r="I8" s="70">
        <f t="shared" si="6"/>
        <v>5314.16248</v>
      </c>
      <c r="J8" s="70">
        <f t="shared" si="7"/>
        <v>5555.71532</v>
      </c>
      <c r="K8" s="71">
        <f t="shared" si="8"/>
        <v>5797.26816</v>
      </c>
      <c r="L8" s="64"/>
      <c r="M8" s="93" t="s">
        <v>115</v>
      </c>
      <c r="N8" s="94">
        <v>1.49</v>
      </c>
      <c r="O8" s="95">
        <v>12.0</v>
      </c>
      <c r="P8" s="96">
        <f t="shared" si="9"/>
        <v>1.49</v>
      </c>
      <c r="Q8" s="1"/>
      <c r="R8" s="1"/>
      <c r="S8" s="1"/>
      <c r="T8" s="1"/>
      <c r="U8" s="1"/>
      <c r="V8" s="1"/>
      <c r="W8" s="1"/>
    </row>
    <row r="9" ht="18.75" customHeight="1">
      <c r="A9" s="66"/>
      <c r="B9" s="97">
        <v>13.0</v>
      </c>
      <c r="C9" s="68">
        <f t="shared" si="1"/>
        <v>4626.66</v>
      </c>
      <c r="D9" s="68">
        <f t="shared" si="2"/>
        <v>4915.831095</v>
      </c>
      <c r="E9" s="68">
        <f t="shared" si="3"/>
        <v>5204.99763</v>
      </c>
      <c r="F9" s="68">
        <f t="shared" si="4"/>
        <v>5494.164165</v>
      </c>
      <c r="G9" s="69">
        <f>'Tabela Salarial_CLT'!G9*N9</f>
        <v>5783.3307</v>
      </c>
      <c r="H9" s="68">
        <f t="shared" si="5"/>
        <v>6072.497235</v>
      </c>
      <c r="I9" s="70">
        <f t="shared" si="6"/>
        <v>6361.66377</v>
      </c>
      <c r="J9" s="70">
        <f t="shared" si="7"/>
        <v>6650.830305</v>
      </c>
      <c r="K9" s="71">
        <f t="shared" si="8"/>
        <v>6939.99684</v>
      </c>
      <c r="L9" s="64"/>
      <c r="M9" s="93" t="s">
        <v>115</v>
      </c>
      <c r="N9" s="94">
        <v>1.49</v>
      </c>
      <c r="O9" s="95">
        <v>13.0</v>
      </c>
      <c r="P9" s="96">
        <f t="shared" si="9"/>
        <v>1.49</v>
      </c>
      <c r="Q9" s="1"/>
      <c r="R9" s="1"/>
      <c r="S9" s="1"/>
      <c r="T9" s="1"/>
      <c r="U9" s="1"/>
      <c r="V9" s="1"/>
      <c r="W9" s="1"/>
    </row>
    <row r="10" ht="18.75" customHeight="1">
      <c r="A10" s="66"/>
      <c r="B10" s="97">
        <v>14.0</v>
      </c>
      <c r="C10" s="68">
        <f t="shared" si="1"/>
        <v>5594.49</v>
      </c>
      <c r="D10" s="68">
        <f t="shared" si="2"/>
        <v>5944.14044</v>
      </c>
      <c r="E10" s="68">
        <f t="shared" si="3"/>
        <v>6293.79576</v>
      </c>
      <c r="F10" s="68">
        <f t="shared" si="4"/>
        <v>6643.45108</v>
      </c>
      <c r="G10" s="69">
        <f>'Tabela Salarial_CLT'!G10*N10</f>
        <v>6993.1064</v>
      </c>
      <c r="H10" s="68">
        <f t="shared" si="5"/>
        <v>7342.76172</v>
      </c>
      <c r="I10" s="70">
        <f t="shared" si="6"/>
        <v>7692.41704</v>
      </c>
      <c r="J10" s="70">
        <f t="shared" si="7"/>
        <v>8042.07236</v>
      </c>
      <c r="K10" s="71">
        <f t="shared" si="8"/>
        <v>8391.72768</v>
      </c>
      <c r="L10" s="73"/>
      <c r="M10" s="93" t="s">
        <v>115</v>
      </c>
      <c r="N10" s="94">
        <v>1.49</v>
      </c>
      <c r="O10" s="95">
        <v>14.0</v>
      </c>
      <c r="P10" s="96">
        <f t="shared" si="9"/>
        <v>1.49</v>
      </c>
      <c r="Q10" s="1"/>
      <c r="R10" s="1"/>
      <c r="S10" s="1"/>
      <c r="T10" s="1"/>
      <c r="U10" s="1"/>
      <c r="V10" s="1"/>
      <c r="W10" s="1"/>
    </row>
    <row r="11" ht="18.75" customHeight="1">
      <c r="A11" s="66"/>
      <c r="B11" s="97">
        <v>15.0</v>
      </c>
      <c r="C11" s="68">
        <f t="shared" si="1"/>
        <v>6812.58</v>
      </c>
      <c r="D11" s="68">
        <f t="shared" si="2"/>
        <v>7238.364125</v>
      </c>
      <c r="E11" s="68">
        <f t="shared" si="3"/>
        <v>7664.15025</v>
      </c>
      <c r="F11" s="68">
        <f t="shared" si="4"/>
        <v>8089.936375</v>
      </c>
      <c r="G11" s="69">
        <f>'Tabela Salarial_CLT'!G11*N11</f>
        <v>8515.7225</v>
      </c>
      <c r="H11" s="68">
        <f t="shared" si="5"/>
        <v>8941.508625</v>
      </c>
      <c r="I11" s="70">
        <f t="shared" si="6"/>
        <v>9367.29475</v>
      </c>
      <c r="J11" s="70">
        <f t="shared" si="7"/>
        <v>9793.080875</v>
      </c>
      <c r="K11" s="71">
        <f t="shared" si="8"/>
        <v>10218.867</v>
      </c>
      <c r="L11" s="64"/>
      <c r="M11" s="93" t="s">
        <v>115</v>
      </c>
      <c r="N11" s="94">
        <v>1.49</v>
      </c>
      <c r="O11" s="95">
        <v>15.0</v>
      </c>
      <c r="P11" s="96">
        <f t="shared" si="9"/>
        <v>1.49</v>
      </c>
      <c r="Q11" s="1"/>
      <c r="R11" s="1"/>
      <c r="S11" s="1"/>
      <c r="T11" s="1"/>
      <c r="U11" s="1"/>
      <c r="V11" s="1"/>
      <c r="W11" s="1"/>
    </row>
    <row r="12" ht="18.75" customHeight="1">
      <c r="A12" s="66"/>
      <c r="B12" s="97">
        <v>16.0</v>
      </c>
      <c r="C12" s="68">
        <f t="shared" si="1"/>
        <v>8325.21</v>
      </c>
      <c r="D12" s="68">
        <f t="shared" si="2"/>
        <v>8845.53996</v>
      </c>
      <c r="E12" s="68">
        <f t="shared" si="3"/>
        <v>9365.86584</v>
      </c>
      <c r="F12" s="68">
        <f t="shared" si="4"/>
        <v>9886.19172</v>
      </c>
      <c r="G12" s="69">
        <f>'Tabela Salarial_CLT'!G12*N12</f>
        <v>10406.5176</v>
      </c>
      <c r="H12" s="68">
        <f t="shared" si="5"/>
        <v>10926.84348</v>
      </c>
      <c r="I12" s="70">
        <f t="shared" si="6"/>
        <v>11447.16936</v>
      </c>
      <c r="J12" s="70">
        <f t="shared" si="7"/>
        <v>11967.49524</v>
      </c>
      <c r="K12" s="71">
        <f t="shared" si="8"/>
        <v>12487.82112</v>
      </c>
      <c r="L12" s="64"/>
      <c r="M12" s="93" t="s">
        <v>115</v>
      </c>
      <c r="N12" s="94">
        <v>1.49</v>
      </c>
      <c r="O12" s="95">
        <v>16.0</v>
      </c>
      <c r="P12" s="96">
        <f t="shared" si="9"/>
        <v>1.49</v>
      </c>
      <c r="Q12" s="1"/>
      <c r="R12" s="1"/>
      <c r="S12" s="1"/>
      <c r="T12" s="1"/>
      <c r="U12" s="1"/>
      <c r="V12" s="1"/>
      <c r="W12" s="1"/>
    </row>
    <row r="13" ht="18.75" customHeight="1">
      <c r="A13" s="66"/>
      <c r="B13" s="97">
        <v>17.0</v>
      </c>
      <c r="C13" s="68">
        <f t="shared" si="1"/>
        <v>10244.96</v>
      </c>
      <c r="D13" s="68">
        <f t="shared" si="2"/>
        <v>10885.27425</v>
      </c>
      <c r="E13" s="68">
        <f t="shared" si="3"/>
        <v>11525.5845</v>
      </c>
      <c r="F13" s="68">
        <f t="shared" si="4"/>
        <v>12165.89475</v>
      </c>
      <c r="G13" s="69">
        <f>'Tabela Salarial_CLT'!G13*N13</f>
        <v>12806.205</v>
      </c>
      <c r="H13" s="68">
        <f t="shared" si="5"/>
        <v>13446.51525</v>
      </c>
      <c r="I13" s="70">
        <f t="shared" si="6"/>
        <v>14086.8255</v>
      </c>
      <c r="J13" s="70">
        <f t="shared" si="7"/>
        <v>14727.13575</v>
      </c>
      <c r="K13" s="71">
        <f t="shared" si="8"/>
        <v>15367.446</v>
      </c>
      <c r="L13" s="64"/>
      <c r="M13" s="93" t="s">
        <v>116</v>
      </c>
      <c r="N13" s="94">
        <v>1.5</v>
      </c>
      <c r="O13" s="95">
        <v>17.0</v>
      </c>
      <c r="P13" s="96">
        <f t="shared" si="9"/>
        <v>1.5</v>
      </c>
      <c r="Q13" s="1"/>
      <c r="R13" s="1"/>
      <c r="S13" s="1"/>
      <c r="T13" s="1"/>
      <c r="U13" s="1"/>
      <c r="V13" s="1"/>
      <c r="W13" s="1"/>
    </row>
    <row r="14" ht="18.75" customHeight="1">
      <c r="A14" s="66"/>
      <c r="B14" s="97">
        <v>18.0</v>
      </c>
      <c r="C14" s="68">
        <f t="shared" si="1"/>
        <v>12105.78</v>
      </c>
      <c r="D14" s="68">
        <f t="shared" si="2"/>
        <v>12862.38949</v>
      </c>
      <c r="E14" s="68">
        <f t="shared" si="3"/>
        <v>13619.00064</v>
      </c>
      <c r="F14" s="68">
        <f t="shared" si="4"/>
        <v>14375.61178</v>
      </c>
      <c r="G14" s="69">
        <f>'Tabela Salarial_CLT'!G14*N14</f>
        <v>15132.22293</v>
      </c>
      <c r="H14" s="68">
        <f t="shared" si="5"/>
        <v>15888.83408</v>
      </c>
      <c r="I14" s="70">
        <f t="shared" si="6"/>
        <v>16645.44522</v>
      </c>
      <c r="J14" s="70">
        <f t="shared" si="7"/>
        <v>17402.05637</v>
      </c>
      <c r="K14" s="71">
        <f t="shared" si="8"/>
        <v>18158.66752</v>
      </c>
      <c r="L14" s="64"/>
      <c r="M14" s="99" t="s">
        <v>117</v>
      </c>
      <c r="N14" s="100">
        <v>1.453333333</v>
      </c>
      <c r="O14" s="95">
        <v>18.0</v>
      </c>
      <c r="P14" s="96">
        <f t="shared" si="9"/>
        <v>1.453333333</v>
      </c>
      <c r="Q14" s="1"/>
      <c r="R14" s="1"/>
      <c r="S14" s="1"/>
      <c r="T14" s="1"/>
      <c r="U14" s="1"/>
      <c r="V14" s="1"/>
      <c r="W14" s="1"/>
    </row>
    <row r="15" ht="18.75" customHeight="1">
      <c r="A15" s="75"/>
      <c r="B15" s="97">
        <v>19.0</v>
      </c>
      <c r="C15" s="68">
        <f t="shared" si="1"/>
        <v>14314.38</v>
      </c>
      <c r="D15" s="68">
        <f t="shared" si="2"/>
        <v>15209.02633</v>
      </c>
      <c r="E15" s="68">
        <f t="shared" si="3"/>
        <v>16103.67494</v>
      </c>
      <c r="F15" s="68">
        <f t="shared" si="4"/>
        <v>16998.32354</v>
      </c>
      <c r="G15" s="69">
        <f>'Tabela Salarial_CLT'!G15*N15</f>
        <v>17892.97215</v>
      </c>
      <c r="H15" s="68">
        <f t="shared" si="5"/>
        <v>18787.62076</v>
      </c>
      <c r="I15" s="70">
        <f t="shared" si="6"/>
        <v>19682.26937</v>
      </c>
      <c r="J15" s="70">
        <f t="shared" si="7"/>
        <v>20576.91797</v>
      </c>
      <c r="K15" s="71">
        <f t="shared" si="8"/>
        <v>21471.56658</v>
      </c>
      <c r="L15" s="76"/>
      <c r="M15" s="93" t="s">
        <v>118</v>
      </c>
      <c r="N15" s="101">
        <v>1.415</v>
      </c>
      <c r="O15" s="95">
        <v>19.0</v>
      </c>
      <c r="P15" s="96">
        <f t="shared" si="9"/>
        <v>1.415</v>
      </c>
      <c r="Q15" s="1"/>
      <c r="R15" s="1"/>
      <c r="S15" s="1"/>
      <c r="T15" s="1"/>
      <c r="U15" s="1"/>
      <c r="V15" s="1"/>
      <c r="W15" s="1"/>
    </row>
    <row r="16" ht="18.75" customHeight="1">
      <c r="A16" s="75"/>
      <c r="B16" s="97">
        <v>20.0</v>
      </c>
      <c r="C16" s="68">
        <f t="shared" si="1"/>
        <v>17290.17</v>
      </c>
      <c r="D16" s="68">
        <f t="shared" si="2"/>
        <v>18370.8035</v>
      </c>
      <c r="E16" s="68">
        <f t="shared" si="3"/>
        <v>19451.439</v>
      </c>
      <c r="F16" s="68">
        <f t="shared" si="4"/>
        <v>20532.0745</v>
      </c>
      <c r="G16" s="69">
        <f>'Tabela Salarial_CLT'!G16*N16</f>
        <v>21612.71</v>
      </c>
      <c r="H16" s="68">
        <f t="shared" si="5"/>
        <v>22693.3455</v>
      </c>
      <c r="I16" s="70">
        <f t="shared" si="6"/>
        <v>23773.981</v>
      </c>
      <c r="J16" s="70">
        <f t="shared" si="7"/>
        <v>24854.6165</v>
      </c>
      <c r="K16" s="71">
        <f t="shared" si="8"/>
        <v>25935.252</v>
      </c>
      <c r="L16" s="76"/>
      <c r="M16" s="93" t="s">
        <v>118</v>
      </c>
      <c r="N16" s="101">
        <v>1.415</v>
      </c>
      <c r="O16" s="95">
        <v>20.0</v>
      </c>
      <c r="P16" s="96">
        <f t="shared" si="9"/>
        <v>1.415</v>
      </c>
      <c r="Q16" s="1"/>
      <c r="R16" s="1"/>
      <c r="S16" s="1"/>
      <c r="T16" s="1"/>
      <c r="U16" s="1"/>
      <c r="V16" s="1"/>
      <c r="W16" s="1"/>
    </row>
    <row r="17" ht="18.75" customHeight="1">
      <c r="A17" s="75"/>
      <c r="B17" s="97">
        <v>21.0</v>
      </c>
      <c r="C17" s="68">
        <f t="shared" si="1"/>
        <v>20755.89</v>
      </c>
      <c r="D17" s="68">
        <f t="shared" si="2"/>
        <v>22053.13087</v>
      </c>
      <c r="E17" s="68">
        <f t="shared" si="3"/>
        <v>23350.37387</v>
      </c>
      <c r="F17" s="68">
        <f t="shared" si="4"/>
        <v>24647.61686</v>
      </c>
      <c r="G17" s="69">
        <f>'Tabela Salarial_CLT'!G17*N17</f>
        <v>25944.85985</v>
      </c>
      <c r="H17" s="68">
        <f t="shared" si="5"/>
        <v>27242.10284</v>
      </c>
      <c r="I17" s="70">
        <f t="shared" si="6"/>
        <v>28539.34584</v>
      </c>
      <c r="J17" s="70">
        <f t="shared" si="7"/>
        <v>29836.58883</v>
      </c>
      <c r="K17" s="71">
        <f t="shared" si="8"/>
        <v>31133.83182</v>
      </c>
      <c r="L17" s="76"/>
      <c r="M17" s="93" t="s">
        <v>118</v>
      </c>
      <c r="N17" s="101">
        <v>1.415</v>
      </c>
      <c r="O17" s="95">
        <v>21.0</v>
      </c>
      <c r="P17" s="96">
        <f t="shared" si="9"/>
        <v>1.415</v>
      </c>
      <c r="Q17" s="74"/>
      <c r="R17" s="1"/>
      <c r="S17" s="1"/>
      <c r="T17" s="1"/>
      <c r="U17" s="1"/>
      <c r="V17" s="1"/>
      <c r="W17" s="1"/>
    </row>
    <row r="18" ht="18.75" customHeight="1">
      <c r="A18" s="75"/>
      <c r="B18" s="97">
        <v>22.0</v>
      </c>
      <c r="C18" s="68">
        <f t="shared" si="1"/>
        <v>23091.68</v>
      </c>
      <c r="D18" s="68">
        <f t="shared" si="2"/>
        <v>24534.90864</v>
      </c>
      <c r="E18" s="68">
        <f t="shared" si="3"/>
        <v>25978.13856</v>
      </c>
      <c r="F18" s="68">
        <f t="shared" si="4"/>
        <v>27421.36848</v>
      </c>
      <c r="G18" s="69">
        <f>'Tabela Salarial_CLT'!G18*N18</f>
        <v>28864.5984</v>
      </c>
      <c r="H18" s="68">
        <f t="shared" si="5"/>
        <v>30307.82832</v>
      </c>
      <c r="I18" s="70">
        <f t="shared" si="6"/>
        <v>31751.05824</v>
      </c>
      <c r="J18" s="70">
        <f t="shared" si="7"/>
        <v>33194.28816</v>
      </c>
      <c r="K18" s="71">
        <f t="shared" si="8"/>
        <v>34637.51808</v>
      </c>
      <c r="L18" s="76"/>
      <c r="M18" s="93" t="s">
        <v>119</v>
      </c>
      <c r="N18" s="94">
        <v>1.32</v>
      </c>
      <c r="O18" s="95">
        <v>22.0</v>
      </c>
      <c r="P18" s="96">
        <f t="shared" si="9"/>
        <v>1.32</v>
      </c>
      <c r="Q18" s="1"/>
      <c r="R18" s="1"/>
      <c r="S18" s="1"/>
      <c r="T18" s="1"/>
      <c r="U18" s="1"/>
      <c r="V18" s="1"/>
      <c r="W18" s="1"/>
    </row>
    <row r="19" ht="18.75" customHeight="1">
      <c r="A19" s="75"/>
      <c r="B19" s="97">
        <v>23.0</v>
      </c>
      <c r="C19" s="68">
        <f t="shared" si="1"/>
        <v>27356.45</v>
      </c>
      <c r="D19" s="68">
        <f t="shared" si="2"/>
        <v>29066.22906</v>
      </c>
      <c r="E19" s="68">
        <f t="shared" si="3"/>
        <v>30776.00724</v>
      </c>
      <c r="F19" s="68">
        <f t="shared" si="4"/>
        <v>32485.78542</v>
      </c>
      <c r="G19" s="69">
        <f>'Tabela Salarial_CLT'!G19*N19</f>
        <v>34195.5636</v>
      </c>
      <c r="H19" s="68">
        <f t="shared" si="5"/>
        <v>35905.34178</v>
      </c>
      <c r="I19" s="70">
        <f t="shared" si="6"/>
        <v>37615.11996</v>
      </c>
      <c r="J19" s="70">
        <f t="shared" si="7"/>
        <v>39324.89814</v>
      </c>
      <c r="K19" s="71">
        <f t="shared" si="8"/>
        <v>41034.67632</v>
      </c>
      <c r="L19" s="76"/>
      <c r="M19" s="93" t="s">
        <v>119</v>
      </c>
      <c r="N19" s="94">
        <v>1.32</v>
      </c>
      <c r="O19" s="95">
        <v>23.0</v>
      </c>
      <c r="P19" s="96">
        <f t="shared" si="9"/>
        <v>1.32</v>
      </c>
      <c r="Q19" s="1"/>
      <c r="R19" s="1"/>
      <c r="S19" s="1"/>
      <c r="T19" s="1"/>
      <c r="U19" s="1"/>
      <c r="V19" s="1"/>
      <c r="W19" s="1"/>
    </row>
    <row r="20" ht="18.75" customHeight="1">
      <c r="A20" s="75"/>
      <c r="B20" s="102">
        <v>24.0</v>
      </c>
      <c r="C20" s="29">
        <f t="shared" si="1"/>
        <v>32195.92</v>
      </c>
      <c r="D20" s="29">
        <f t="shared" si="2"/>
        <v>34208.16432</v>
      </c>
      <c r="E20" s="29">
        <f t="shared" si="3"/>
        <v>36220.40928</v>
      </c>
      <c r="F20" s="29">
        <f t="shared" si="4"/>
        <v>38232.65424</v>
      </c>
      <c r="G20" s="69">
        <f>'Tabela Salarial_CLT'!G20*N20</f>
        <v>40244.8992</v>
      </c>
      <c r="H20" s="29">
        <f t="shared" si="5"/>
        <v>42257.14416</v>
      </c>
      <c r="I20" s="29">
        <f t="shared" si="6"/>
        <v>44269.38912</v>
      </c>
      <c r="J20" s="29">
        <f t="shared" si="7"/>
        <v>46281.63408</v>
      </c>
      <c r="K20" s="31">
        <f t="shared" si="8"/>
        <v>48293.87904</v>
      </c>
      <c r="L20" s="76"/>
      <c r="M20" s="93" t="s">
        <v>119</v>
      </c>
      <c r="N20" s="94">
        <v>1.32</v>
      </c>
      <c r="O20" s="95">
        <v>24.0</v>
      </c>
      <c r="P20" s="96">
        <f t="shared" si="9"/>
        <v>1.32</v>
      </c>
      <c r="Q20" s="1"/>
      <c r="R20" s="1"/>
      <c r="S20" s="1"/>
      <c r="T20" s="1"/>
      <c r="U20" s="1"/>
      <c r="V20" s="1"/>
      <c r="W20" s="1"/>
    </row>
    <row r="21" ht="18.75" customHeight="1">
      <c r="A21" s="75"/>
      <c r="B21" s="97">
        <v>25.0</v>
      </c>
      <c r="C21" s="29">
        <f t="shared" si="1"/>
        <v>33656.2</v>
      </c>
      <c r="D21" s="29">
        <f t="shared" si="2"/>
        <v>35759.70825</v>
      </c>
      <c r="E21" s="29">
        <f t="shared" si="3"/>
        <v>37863.2205</v>
      </c>
      <c r="F21" s="29">
        <f t="shared" si="4"/>
        <v>39966.73275</v>
      </c>
      <c r="G21" s="69">
        <f>'Tabela Salarial_CLT'!G21*N21</f>
        <v>42070.245</v>
      </c>
      <c r="H21" s="29">
        <f t="shared" si="5"/>
        <v>44173.75725</v>
      </c>
      <c r="I21" s="29">
        <f t="shared" si="6"/>
        <v>46277.2695</v>
      </c>
      <c r="J21" s="29">
        <f t="shared" si="7"/>
        <v>48380.78175</v>
      </c>
      <c r="K21" s="31">
        <f t="shared" si="8"/>
        <v>50484.294</v>
      </c>
      <c r="L21" s="76"/>
      <c r="M21" s="93" t="s">
        <v>120</v>
      </c>
      <c r="N21" s="94">
        <v>1.18</v>
      </c>
      <c r="O21" s="95">
        <v>25.0</v>
      </c>
      <c r="P21" s="96">
        <f t="shared" si="9"/>
        <v>1.18</v>
      </c>
      <c r="Q21" s="1"/>
      <c r="R21" s="1"/>
      <c r="S21" s="1"/>
      <c r="T21" s="1"/>
      <c r="U21" s="1"/>
      <c r="V21" s="1"/>
      <c r="W21" s="1"/>
    </row>
    <row r="22" ht="18.75" customHeight="1">
      <c r="A22" s="75"/>
      <c r="B22" s="97">
        <v>26.0</v>
      </c>
      <c r="C22" s="29">
        <f t="shared" si="1"/>
        <v>34474.29</v>
      </c>
      <c r="D22" s="29">
        <f t="shared" si="2"/>
        <v>36628.92896</v>
      </c>
      <c r="E22" s="29">
        <f t="shared" si="3"/>
        <v>38783.57184</v>
      </c>
      <c r="F22" s="29">
        <f t="shared" si="4"/>
        <v>40938.21472</v>
      </c>
      <c r="G22" s="69">
        <f>'Tabela Salarial_CLT'!G22*N22</f>
        <v>43092.8576</v>
      </c>
      <c r="H22" s="29">
        <f t="shared" si="5"/>
        <v>45247.50048</v>
      </c>
      <c r="I22" s="29">
        <f t="shared" si="6"/>
        <v>47402.14336</v>
      </c>
      <c r="J22" s="29">
        <f t="shared" si="7"/>
        <v>49556.78624</v>
      </c>
      <c r="K22" s="31">
        <f t="shared" si="8"/>
        <v>51711.42912</v>
      </c>
      <c r="L22" s="76"/>
      <c r="M22" s="93" t="s">
        <v>104</v>
      </c>
      <c r="N22" s="94">
        <v>1.04</v>
      </c>
      <c r="O22" s="95">
        <v>26.0</v>
      </c>
      <c r="P22" s="96">
        <f t="shared" si="9"/>
        <v>1.04</v>
      </c>
      <c r="Q22" s="1"/>
      <c r="R22" s="1"/>
      <c r="S22" s="1"/>
      <c r="T22" s="1"/>
      <c r="U22" s="1"/>
      <c r="V22" s="1"/>
      <c r="W22" s="1"/>
    </row>
    <row r="23" ht="18.75" customHeight="1">
      <c r="A23" s="75"/>
      <c r="B23" s="97">
        <v>27.0</v>
      </c>
      <c r="C23" s="29">
        <f t="shared" si="1"/>
        <v>39830.98</v>
      </c>
      <c r="D23" s="29">
        <f t="shared" si="2"/>
        <v>42320.41268</v>
      </c>
      <c r="E23" s="29">
        <f t="shared" si="3"/>
        <v>44809.84872</v>
      </c>
      <c r="F23" s="29">
        <f t="shared" si="4"/>
        <v>47299.28476</v>
      </c>
      <c r="G23" s="69">
        <f>'Tabela Salarial_CLT'!G23*N23</f>
        <v>49788.7208</v>
      </c>
      <c r="H23" s="29">
        <f t="shared" si="5"/>
        <v>52278.15684</v>
      </c>
      <c r="I23" s="29">
        <f t="shared" si="6"/>
        <v>54767.59288</v>
      </c>
      <c r="J23" s="29">
        <f t="shared" si="7"/>
        <v>57257.02892</v>
      </c>
      <c r="K23" s="31">
        <f t="shared" si="8"/>
        <v>59746.46496</v>
      </c>
      <c r="L23" s="76"/>
      <c r="M23" s="93" t="s">
        <v>104</v>
      </c>
      <c r="N23" s="94">
        <v>1.04</v>
      </c>
      <c r="O23" s="95">
        <v>27.0</v>
      </c>
      <c r="P23" s="96">
        <f t="shared" si="9"/>
        <v>1.04</v>
      </c>
      <c r="Q23" s="1"/>
      <c r="R23" s="1"/>
      <c r="S23" s="1"/>
      <c r="T23" s="1"/>
      <c r="U23" s="1"/>
      <c r="V23" s="1"/>
      <c r="W23" s="1"/>
    </row>
    <row r="24" ht="18.75" customHeight="1">
      <c r="A24" s="75"/>
      <c r="B24" s="103">
        <v>28.0</v>
      </c>
      <c r="C24" s="81">
        <f t="shared" si="1"/>
        <v>45764.06</v>
      </c>
      <c r="D24" s="81">
        <f t="shared" si="2"/>
        <v>48624.31392</v>
      </c>
      <c r="E24" s="81">
        <f t="shared" si="3"/>
        <v>51484.56768</v>
      </c>
      <c r="F24" s="81">
        <f t="shared" si="4"/>
        <v>54344.82144</v>
      </c>
      <c r="G24" s="69">
        <f>'Tabela Salarial_CLT'!G24*N24</f>
        <v>57205.0752</v>
      </c>
      <c r="H24" s="81">
        <f t="shared" si="5"/>
        <v>60065.32896</v>
      </c>
      <c r="I24" s="81">
        <f t="shared" si="6"/>
        <v>62925.58272</v>
      </c>
      <c r="J24" s="81">
        <f t="shared" si="7"/>
        <v>65785.83648</v>
      </c>
      <c r="K24" s="83">
        <f t="shared" si="8"/>
        <v>68646.09024</v>
      </c>
      <c r="L24" s="76"/>
      <c r="M24" s="104" t="s">
        <v>104</v>
      </c>
      <c r="N24" s="105">
        <v>1.04</v>
      </c>
      <c r="O24" s="106">
        <v>28.0</v>
      </c>
      <c r="P24" s="96">
        <f t="shared" si="9"/>
        <v>1.04</v>
      </c>
      <c r="Q24" s="1"/>
      <c r="R24" s="1"/>
      <c r="S24" s="1"/>
      <c r="T24" s="1"/>
      <c r="U24" s="1"/>
      <c r="V24" s="1"/>
      <c r="W24" s="1"/>
    </row>
    <row r="25" ht="18.75" customHeight="1">
      <c r="A25" s="75"/>
      <c r="B25" s="107"/>
      <c r="C25" s="108"/>
      <c r="D25" s="108"/>
      <c r="E25" s="108"/>
      <c r="F25" s="108"/>
      <c r="G25" s="109"/>
      <c r="H25" s="108"/>
      <c r="I25" s="108"/>
      <c r="J25" s="108"/>
      <c r="K25" s="108"/>
      <c r="L25" s="7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</sheetData>
  <mergeCells count="6">
    <mergeCell ref="B2:K3"/>
    <mergeCell ref="B4:B5"/>
    <mergeCell ref="C4:K4"/>
    <mergeCell ref="M4:M5"/>
    <mergeCell ref="N4:N5"/>
    <mergeCell ref="O4:O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14"/>
    <col customWidth="1" min="2" max="2" width="44.0"/>
    <col customWidth="1" min="3" max="3" width="31.43"/>
    <col customWidth="1" min="4" max="4" width="34.14"/>
    <col customWidth="1" min="5" max="5" width="21.71"/>
    <col customWidth="1" min="6" max="6" width="21.43"/>
    <col customWidth="1" min="7" max="7" width="15.86"/>
    <col customWidth="1" min="9" max="9" width="15.29"/>
    <col customWidth="1" min="10" max="10" width="21.29"/>
    <col customWidth="1" min="11" max="11" width="12.57"/>
    <col customWidth="1" min="12" max="12" width="27.0"/>
    <col customWidth="1" min="13" max="13" width="26.71"/>
    <col hidden="1" min="14" max="17" width="14.43"/>
  </cols>
  <sheetData>
    <row r="1">
      <c r="A1" s="110" t="s">
        <v>121</v>
      </c>
      <c r="B1" s="111" t="s">
        <v>122</v>
      </c>
      <c r="C1" s="112" t="s">
        <v>123</v>
      </c>
      <c r="D1" s="110" t="s">
        <v>5</v>
      </c>
      <c r="E1" s="112" t="s">
        <v>124</v>
      </c>
      <c r="F1" s="110" t="s">
        <v>125</v>
      </c>
      <c r="G1" s="110" t="s">
        <v>126</v>
      </c>
      <c r="H1" s="113" t="s">
        <v>127</v>
      </c>
      <c r="I1" s="114" t="s">
        <v>128</v>
      </c>
      <c r="J1" s="114" t="s">
        <v>129</v>
      </c>
      <c r="K1" s="114" t="s">
        <v>130</v>
      </c>
      <c r="L1" s="114" t="s">
        <v>131</v>
      </c>
      <c r="M1" s="114" t="s">
        <v>132</v>
      </c>
      <c r="N1" s="115" t="s">
        <v>133</v>
      </c>
      <c r="O1" s="115" t="s">
        <v>134</v>
      </c>
      <c r="P1" s="116" t="s">
        <v>135</v>
      </c>
      <c r="Q1" s="117" t="s">
        <v>136</v>
      </c>
    </row>
    <row r="2" ht="12.75" customHeight="1">
      <c r="A2" s="118">
        <v>1362.0</v>
      </c>
      <c r="B2" s="119" t="s">
        <v>137</v>
      </c>
      <c r="C2" s="120" t="s">
        <v>29</v>
      </c>
      <c r="D2" s="120" t="s">
        <v>30</v>
      </c>
      <c r="E2" s="120" t="s">
        <v>115</v>
      </c>
      <c r="F2" s="121" t="s">
        <v>138</v>
      </c>
      <c r="G2" s="122">
        <v>220.0</v>
      </c>
      <c r="H2" s="123">
        <v>3683.0</v>
      </c>
      <c r="I2" s="124">
        <f>VLOOKUP(C2,'Estrutura Salarial'!B:F,5,0)</f>
        <v>12</v>
      </c>
      <c r="J2" s="125">
        <f>IF(F2="CLT",IFERROR(VLOOKUP(I2,'Tabela Salarial_CLT'!B:C,2,0),""),IFERROR(VLOOKUP(I2,'Tabela Salarial_PJ'!B:C,2,0),""))</f>
        <v>2593.86</v>
      </c>
      <c r="K2" s="125">
        <f t="shared" ref="K2:K57" si="1">J2-H2</f>
        <v>-1089.14</v>
      </c>
      <c r="L2" s="125">
        <f t="shared" ref="L2:L57" si="2">IF(K2&lt;0,0,IF(K2&gt;0,K2,IF(K2=0,0,"")))</f>
        <v>0</v>
      </c>
      <c r="M2" s="126">
        <f>IF(F2="CLT",H2/(VLOOKUP(I2,'Tabela Salarial_CLT'!B:G,6,0)),H2/(VLOOKUP(I2,'Tabela Salarial_PJ'!B:G,6,0)))</f>
        <v>1.135915024</v>
      </c>
      <c r="N2" s="127">
        <f>IF(F2="CLT",IFERROR(VLOOKUP(I2,'Tabela Salarial_CLT'!B:G,6,0),""),IFERROR(VLOOKUP(I2,'Tabela Salarial_PJ'!B:G,6,0),""))</f>
        <v>3242.32</v>
      </c>
      <c r="O2" s="128">
        <f t="shared" ref="O2:O57" si="3">IF(F2="CLT",N2-H2,-(H2)+N2)</f>
        <v>-440.68</v>
      </c>
      <c r="P2" s="128">
        <f t="shared" ref="P2:P57" si="4">IF(O2&lt;0,0,if(O2&gt;0,O2,if(O2=0,0,"")))</f>
        <v>0</v>
      </c>
      <c r="Q2" s="128">
        <f>IF(F2="CLT",(VLOOKUP(I2,'Tabela Salarial_CLT'!B:K,10,0))-H2,(VLOOKUP(I2,'Tabela Salarial_PJ'!B:K,10,0))-H2)</f>
        <v>207.784</v>
      </c>
    </row>
    <row r="3" ht="12.75" customHeight="1">
      <c r="A3" s="118">
        <v>1957.0</v>
      </c>
      <c r="B3" s="119" t="s">
        <v>137</v>
      </c>
      <c r="C3" s="120" t="s">
        <v>29</v>
      </c>
      <c r="D3" s="120" t="s">
        <v>30</v>
      </c>
      <c r="E3" s="120" t="s">
        <v>115</v>
      </c>
      <c r="F3" s="121" t="s">
        <v>138</v>
      </c>
      <c r="G3" s="122">
        <v>220.0</v>
      </c>
      <c r="H3" s="123">
        <v>3683.0</v>
      </c>
      <c r="I3" s="124">
        <f>VLOOKUP(C3,'Estrutura Salarial'!B:F,5,0)</f>
        <v>12</v>
      </c>
      <c r="J3" s="125">
        <f>IF(F3="CLT",IFERROR(VLOOKUP(I3,'Tabela Salarial_CLT'!B:C,2,0),""),IFERROR(VLOOKUP(I3,'Tabela Salarial_PJ'!B:C,2,0),""))</f>
        <v>2593.86</v>
      </c>
      <c r="K3" s="125">
        <f t="shared" si="1"/>
        <v>-1089.14</v>
      </c>
      <c r="L3" s="125">
        <f t="shared" si="2"/>
        <v>0</v>
      </c>
      <c r="M3" s="126">
        <f>IF(F3="CLT",H3/(VLOOKUP(I3,'Tabela Salarial_CLT'!B:G,6,0)),H3/(VLOOKUP(I3,'Tabela Salarial_PJ'!B:G,6,0)))</f>
        <v>1.135915024</v>
      </c>
      <c r="N3" s="127">
        <f>IF(F3="CLT",IFERROR(VLOOKUP(I3,'Tabela Salarial_CLT'!B:G,6,0),""),IFERROR(VLOOKUP(I3,'Tabela Salarial_PJ'!B:G,6,0),""))</f>
        <v>3242.32</v>
      </c>
      <c r="O3" s="128">
        <f t="shared" si="3"/>
        <v>-440.68</v>
      </c>
      <c r="P3" s="128">
        <f t="shared" si="4"/>
        <v>0</v>
      </c>
      <c r="Q3" s="128">
        <f>IF(F3="CLT",(VLOOKUP(I3,'Tabela Salarial_CLT'!B:K,10,0))-H3,(VLOOKUP(I3,'Tabela Salarial_PJ'!B:K,10,0))-H3)</f>
        <v>207.784</v>
      </c>
    </row>
    <row r="4" ht="12.75" customHeight="1">
      <c r="A4" s="118">
        <v>1964.0</v>
      </c>
      <c r="B4" s="119" t="s">
        <v>139</v>
      </c>
      <c r="C4" s="120" t="s">
        <v>45</v>
      </c>
      <c r="D4" s="120" t="s">
        <v>17</v>
      </c>
      <c r="E4" s="120" t="s">
        <v>115</v>
      </c>
      <c r="F4" s="121" t="s">
        <v>138</v>
      </c>
      <c r="G4" s="122">
        <v>220.0</v>
      </c>
      <c r="H4" s="123">
        <v>3780.0</v>
      </c>
      <c r="I4" s="124">
        <f>VLOOKUP(C4,'Estrutura Salarial'!B:F,5,0)</f>
        <v>14</v>
      </c>
      <c r="J4" s="125">
        <f>IF(F4="CLT",IFERROR(VLOOKUP(I4,'Tabela Salarial_CLT'!B:C,2,0),""),IFERROR(VLOOKUP(I4,'Tabela Salarial_PJ'!B:C,2,0),""))</f>
        <v>3754.69</v>
      </c>
      <c r="K4" s="125">
        <f t="shared" si="1"/>
        <v>-25.31</v>
      </c>
      <c r="L4" s="125">
        <f t="shared" si="2"/>
        <v>0</v>
      </c>
      <c r="M4" s="126">
        <f>IF(F4="CLT",H4/(VLOOKUP(I4,'Tabela Salarial_CLT'!B:G,6,0)),H4/(VLOOKUP(I4,'Tabela Salarial_PJ'!B:G,6,0)))</f>
        <v>0.8053931512</v>
      </c>
      <c r="N4" s="127">
        <f>IF(F4="CLT",IFERROR(VLOOKUP(I4,'Tabela Salarial_CLT'!B:G,6,0),""),IFERROR(VLOOKUP(I4,'Tabela Salarial_PJ'!B:G,6,0),""))</f>
        <v>4693.36</v>
      </c>
      <c r="O4" s="128">
        <f t="shared" si="3"/>
        <v>913.36</v>
      </c>
      <c r="P4" s="128">
        <f t="shared" si="4"/>
        <v>913.36</v>
      </c>
      <c r="Q4" s="128">
        <f>IF(F4="CLT",(VLOOKUP(I4,'Tabela Salarial_CLT'!B:K,10,0))-H4,(VLOOKUP(I4,'Tabela Salarial_PJ'!B:K,10,0))-H4)</f>
        <v>1852.032</v>
      </c>
    </row>
    <row r="5" ht="12.75" customHeight="1">
      <c r="A5" s="118">
        <v>1910.0</v>
      </c>
      <c r="B5" s="119" t="s">
        <v>140</v>
      </c>
      <c r="C5" s="120" t="s">
        <v>47</v>
      </c>
      <c r="D5" s="120" t="s">
        <v>24</v>
      </c>
      <c r="E5" s="120" t="s">
        <v>115</v>
      </c>
      <c r="F5" s="121" t="s">
        <v>138</v>
      </c>
      <c r="G5" s="122">
        <v>220.0</v>
      </c>
      <c r="H5" s="123">
        <v>5429.0</v>
      </c>
      <c r="I5" s="124">
        <f>VLOOKUP(C5,'Estrutura Salarial'!B:F,5,0)</f>
        <v>14</v>
      </c>
      <c r="J5" s="125">
        <f>IF(F5="CLT",IFERROR(VLOOKUP(I5,'Tabela Salarial_CLT'!B:C,2,0),""),IFERROR(VLOOKUP(I5,'Tabela Salarial_PJ'!B:C,2,0),""))</f>
        <v>3754.69</v>
      </c>
      <c r="K5" s="125">
        <f t="shared" si="1"/>
        <v>-1674.31</v>
      </c>
      <c r="L5" s="125">
        <f t="shared" si="2"/>
        <v>0</v>
      </c>
      <c r="M5" s="126">
        <f>IF(F5="CLT",H5/(VLOOKUP(I5,'Tabela Salarial_CLT'!B:G,6,0)),H5/(VLOOKUP(I5,'Tabela Salarial_PJ'!B:G,6,0)))</f>
        <v>1.156740587</v>
      </c>
      <c r="N5" s="127">
        <f>IF(F5="CLT",IFERROR(VLOOKUP(I5,'Tabela Salarial_CLT'!B:G,6,0),""),IFERROR(VLOOKUP(I5,'Tabela Salarial_PJ'!B:G,6,0),""))</f>
        <v>4693.36</v>
      </c>
      <c r="O5" s="128">
        <f t="shared" si="3"/>
        <v>-735.64</v>
      </c>
      <c r="P5" s="128">
        <f t="shared" si="4"/>
        <v>0</v>
      </c>
      <c r="Q5" s="128">
        <f>IF(F5="CLT",(VLOOKUP(I5,'Tabela Salarial_CLT'!B:K,10,0))-H5,(VLOOKUP(I5,'Tabela Salarial_PJ'!B:K,10,0))-H5)</f>
        <v>203.032</v>
      </c>
    </row>
    <row r="6" ht="12.75" customHeight="1">
      <c r="A6" s="118" t="s">
        <v>141</v>
      </c>
      <c r="B6" s="119" t="s">
        <v>142</v>
      </c>
      <c r="C6" s="120" t="s">
        <v>60</v>
      </c>
      <c r="D6" s="120" t="s">
        <v>61</v>
      </c>
      <c r="E6" s="120" t="s">
        <v>143</v>
      </c>
      <c r="F6" s="121" t="s">
        <v>144</v>
      </c>
      <c r="G6" s="122">
        <v>220.0</v>
      </c>
      <c r="H6" s="129">
        <v>10000.0</v>
      </c>
      <c r="I6" s="124">
        <f>VLOOKUP(C6,'Estrutura Salarial'!B:F,5,0)</f>
        <v>15</v>
      </c>
      <c r="J6" s="125">
        <f>IF(F6="CLT",IFERROR(VLOOKUP(I6,'Tabela Salarial_CLT'!B:C,2,0),""),IFERROR(VLOOKUP(I6,'Tabela Salarial_PJ'!B:C,2,0),""))</f>
        <v>6812.58</v>
      </c>
      <c r="K6" s="125">
        <f t="shared" si="1"/>
        <v>-3187.42</v>
      </c>
      <c r="L6" s="125">
        <f t="shared" si="2"/>
        <v>0</v>
      </c>
      <c r="M6" s="126">
        <f>IF(F6="CLT",H6/(VLOOKUP(I6,'Tabela Salarial_CLT'!B:G,6,0)),H6/(VLOOKUP(I6,'Tabela Salarial_PJ'!B:G,6,0)))</f>
        <v>1.174298481</v>
      </c>
      <c r="N6" s="127">
        <f>IF(F6="CLT",IFERROR(VLOOKUP(I6,'Tabela Salarial_CLT'!B:G,6,0),""),IFERROR(VLOOKUP(I6,'Tabela Salarial_PJ'!B:G,6,0),""))</f>
        <v>8515.7225</v>
      </c>
      <c r="O6" s="128">
        <f t="shared" si="3"/>
        <v>-1484.2775</v>
      </c>
      <c r="P6" s="128">
        <f t="shared" si="4"/>
        <v>0</v>
      </c>
      <c r="Q6" s="128">
        <f>IF(F6="CLT",(VLOOKUP(I6,'Tabela Salarial_CLT'!B:K,10,0))-H6,(VLOOKUP(I6,'Tabela Salarial_PJ'!B:K,10,0))-H6)</f>
        <v>218.867</v>
      </c>
    </row>
    <row r="7" ht="12.75" customHeight="1">
      <c r="A7" s="118">
        <v>1373.0</v>
      </c>
      <c r="B7" s="119" t="s">
        <v>145</v>
      </c>
      <c r="C7" s="120" t="s">
        <v>51</v>
      </c>
      <c r="D7" s="120" t="s">
        <v>30</v>
      </c>
      <c r="E7" s="120" t="s">
        <v>115</v>
      </c>
      <c r="F7" s="121" t="s">
        <v>138</v>
      </c>
      <c r="G7" s="122">
        <v>220.0</v>
      </c>
      <c r="H7" s="123">
        <v>4550.0</v>
      </c>
      <c r="I7" s="124">
        <f>VLOOKUP(C7,'Estrutura Salarial'!B:F,5,0)</f>
        <v>14</v>
      </c>
      <c r="J7" s="125">
        <f>IF(F7="CLT",IFERROR(VLOOKUP(I7,'Tabela Salarial_CLT'!B:C,2,0),""),IFERROR(VLOOKUP(I7,'Tabela Salarial_PJ'!B:C,2,0),""))</f>
        <v>3754.69</v>
      </c>
      <c r="K7" s="125">
        <f t="shared" si="1"/>
        <v>-795.31</v>
      </c>
      <c r="L7" s="125">
        <f t="shared" si="2"/>
        <v>0</v>
      </c>
      <c r="M7" s="126">
        <f>IF(F7="CLT",H7/(VLOOKUP(I7,'Tabela Salarial_CLT'!B:G,6,0)),H7/(VLOOKUP(I7,'Tabela Salarial_PJ'!B:G,6,0)))</f>
        <v>0.969454719</v>
      </c>
      <c r="N7" s="127">
        <f>IF(F7="CLT",IFERROR(VLOOKUP(I7,'Tabela Salarial_CLT'!B:G,6,0),""),IFERROR(VLOOKUP(I7,'Tabela Salarial_PJ'!B:G,6,0),""))</f>
        <v>4693.36</v>
      </c>
      <c r="O7" s="128">
        <f t="shared" si="3"/>
        <v>143.36</v>
      </c>
      <c r="P7" s="128">
        <f t="shared" si="4"/>
        <v>143.36</v>
      </c>
      <c r="Q7" s="128">
        <f>IF(F7="CLT",(VLOOKUP(I7,'Tabela Salarial_CLT'!B:K,10,0))-H7,(VLOOKUP(I7,'Tabela Salarial_PJ'!B:K,10,0))-H7)</f>
        <v>1082.032</v>
      </c>
    </row>
    <row r="8" ht="12.75" customHeight="1">
      <c r="A8" s="118">
        <v>139.0</v>
      </c>
      <c r="B8" s="119" t="s">
        <v>146</v>
      </c>
      <c r="C8" s="120" t="s">
        <v>41</v>
      </c>
      <c r="D8" s="120" t="s">
        <v>24</v>
      </c>
      <c r="E8" s="120" t="s">
        <v>115</v>
      </c>
      <c r="F8" s="121" t="s">
        <v>138</v>
      </c>
      <c r="G8" s="122">
        <v>220.0</v>
      </c>
      <c r="H8" s="123">
        <v>4025.88</v>
      </c>
      <c r="I8" s="124">
        <f>VLOOKUP(C8,'Estrutura Salarial'!B:F,5,0)</f>
        <v>13</v>
      </c>
      <c r="J8" s="125">
        <f>IF(F8="CLT",IFERROR(VLOOKUP(I8,'Tabela Salarial_CLT'!B:C,2,0),""),IFERROR(VLOOKUP(I8,'Tabela Salarial_PJ'!B:C,2,0),""))</f>
        <v>3105.14</v>
      </c>
      <c r="K8" s="125">
        <f t="shared" si="1"/>
        <v>-920.74</v>
      </c>
      <c r="L8" s="125">
        <f t="shared" si="2"/>
        <v>0</v>
      </c>
      <c r="M8" s="126">
        <f>IF(F8="CLT",H8/(VLOOKUP(I8,'Tabela Salarial_CLT'!B:G,6,0)),H8/(VLOOKUP(I8,'Tabela Salarial_PJ'!B:G,6,0)))</f>
        <v>1.037215665</v>
      </c>
      <c r="N8" s="127">
        <f>IF(F8="CLT",IFERROR(VLOOKUP(I8,'Tabela Salarial_CLT'!B:G,6,0),""),IFERROR(VLOOKUP(I8,'Tabela Salarial_PJ'!B:G,6,0),""))</f>
        <v>3881.43</v>
      </c>
      <c r="O8" s="128">
        <f t="shared" si="3"/>
        <v>-144.45</v>
      </c>
      <c r="P8" s="128">
        <f t="shared" si="4"/>
        <v>0</v>
      </c>
      <c r="Q8" s="128">
        <f>IF(F8="CLT",(VLOOKUP(I8,'Tabela Salarial_CLT'!B:K,10,0))-H8,(VLOOKUP(I8,'Tabela Salarial_PJ'!B:K,10,0))-H8)</f>
        <v>631.836</v>
      </c>
    </row>
    <row r="9" ht="12.75" customHeight="1">
      <c r="A9" s="118">
        <v>1962.0</v>
      </c>
      <c r="B9" s="119" t="s">
        <v>147</v>
      </c>
      <c r="C9" s="120" t="s">
        <v>53</v>
      </c>
      <c r="D9" s="120" t="s">
        <v>43</v>
      </c>
      <c r="E9" s="120" t="s">
        <v>115</v>
      </c>
      <c r="F9" s="121" t="s">
        <v>138</v>
      </c>
      <c r="G9" s="122">
        <v>220.0</v>
      </c>
      <c r="H9" s="123">
        <v>4550.0</v>
      </c>
      <c r="I9" s="124">
        <f>VLOOKUP(C9,'Estrutura Salarial'!B:F,5,0)</f>
        <v>14</v>
      </c>
      <c r="J9" s="125">
        <f>IF(F9="CLT",IFERROR(VLOOKUP(I9,'Tabela Salarial_CLT'!B:C,2,0),""),IFERROR(VLOOKUP(I9,'Tabela Salarial_PJ'!B:C,2,0),""))</f>
        <v>3754.69</v>
      </c>
      <c r="K9" s="125">
        <f t="shared" si="1"/>
        <v>-795.31</v>
      </c>
      <c r="L9" s="125">
        <f t="shared" si="2"/>
        <v>0</v>
      </c>
      <c r="M9" s="126">
        <f>IF(F9="CLT",H9/(VLOOKUP(I9,'Tabela Salarial_CLT'!B:G,6,0)),H9/(VLOOKUP(I9,'Tabela Salarial_PJ'!B:G,6,0)))</f>
        <v>0.969454719</v>
      </c>
      <c r="N9" s="127">
        <f>IF(F9="CLT",IFERROR(VLOOKUP(I9,'Tabela Salarial_CLT'!B:G,6,0),""),IFERROR(VLOOKUP(I9,'Tabela Salarial_PJ'!B:G,6,0),""))</f>
        <v>4693.36</v>
      </c>
      <c r="O9" s="128">
        <f t="shared" si="3"/>
        <v>143.36</v>
      </c>
      <c r="P9" s="128">
        <f t="shared" si="4"/>
        <v>143.36</v>
      </c>
      <c r="Q9" s="128">
        <f>IF(F9="CLT",(VLOOKUP(I9,'Tabela Salarial_CLT'!B:K,10,0))-H9,(VLOOKUP(I9,'Tabela Salarial_PJ'!B:K,10,0))-H9)</f>
        <v>1082.032</v>
      </c>
    </row>
    <row r="10" ht="12.75" customHeight="1">
      <c r="A10" s="118">
        <v>187.0</v>
      </c>
      <c r="B10" s="119" t="s">
        <v>148</v>
      </c>
      <c r="C10" s="120" t="s">
        <v>70</v>
      </c>
      <c r="D10" s="120" t="s">
        <v>28</v>
      </c>
      <c r="E10" s="120" t="s">
        <v>115</v>
      </c>
      <c r="F10" s="121" t="s">
        <v>138</v>
      </c>
      <c r="G10" s="122">
        <v>220.0</v>
      </c>
      <c r="H10" s="123">
        <v>5830.0</v>
      </c>
      <c r="I10" s="124">
        <f>VLOOKUP(C10,'Estrutura Salarial'!B:F,5,0)</f>
        <v>16</v>
      </c>
      <c r="J10" s="125">
        <f>IF(F10="CLT",IFERROR(VLOOKUP(I10,'Tabela Salarial_CLT'!B:C,2,0),""),IFERROR(VLOOKUP(I10,'Tabela Salarial_PJ'!B:C,2,0),""))</f>
        <v>5587.39</v>
      </c>
      <c r="K10" s="125">
        <f t="shared" si="1"/>
        <v>-242.61</v>
      </c>
      <c r="L10" s="125">
        <f t="shared" si="2"/>
        <v>0</v>
      </c>
      <c r="M10" s="126">
        <f>IF(F10="CLT",H10/(VLOOKUP(I10,'Tabela Salarial_CLT'!B:G,6,0)),H10/(VLOOKUP(I10,'Tabela Salarial_PJ'!B:G,6,0)))</f>
        <v>0.8347364924</v>
      </c>
      <c r="N10" s="127">
        <f>IF(F10="CLT",IFERROR(VLOOKUP(I10,'Tabela Salarial_CLT'!B:G,6,0),""),IFERROR(VLOOKUP(I10,'Tabela Salarial_PJ'!B:G,6,0),""))</f>
        <v>6984.24</v>
      </c>
      <c r="O10" s="128">
        <f t="shared" si="3"/>
        <v>1154.24</v>
      </c>
      <c r="P10" s="128">
        <f t="shared" si="4"/>
        <v>1154.24</v>
      </c>
      <c r="Q10" s="128">
        <f>IF(F10="CLT",(VLOOKUP(I10,'Tabela Salarial_CLT'!B:K,10,0))-H10,(VLOOKUP(I10,'Tabela Salarial_PJ'!B:K,10,0))-H10)</f>
        <v>2551.088</v>
      </c>
    </row>
    <row r="11" ht="12.75" customHeight="1">
      <c r="A11" s="118">
        <v>1868.0</v>
      </c>
      <c r="B11" s="119" t="s">
        <v>149</v>
      </c>
      <c r="C11" s="120" t="s">
        <v>58</v>
      </c>
      <c r="D11" s="120" t="s">
        <v>20</v>
      </c>
      <c r="E11" s="120" t="s">
        <v>115</v>
      </c>
      <c r="F11" s="121" t="s">
        <v>138</v>
      </c>
      <c r="G11" s="122">
        <v>220.0</v>
      </c>
      <c r="H11" s="123">
        <v>5213.0</v>
      </c>
      <c r="I11" s="124">
        <f>VLOOKUP(C11,'Estrutura Salarial'!B:F,5,0)</f>
        <v>15</v>
      </c>
      <c r="J11" s="125">
        <f>IF(F11="CLT",IFERROR(VLOOKUP(I11,'Tabela Salarial_CLT'!B:C,2,0),""),IFERROR(VLOOKUP(I11,'Tabela Salarial_PJ'!B:C,2,0),""))</f>
        <v>4572.2</v>
      </c>
      <c r="K11" s="125">
        <f t="shared" si="1"/>
        <v>-640.8</v>
      </c>
      <c r="L11" s="125">
        <f t="shared" si="2"/>
        <v>0</v>
      </c>
      <c r="M11" s="126">
        <f>IF(F11="CLT",H11/(VLOOKUP(I11,'Tabela Salarial_CLT'!B:G,6,0)),H11/(VLOOKUP(I11,'Tabela Salarial_PJ'!B:G,6,0)))</f>
        <v>0.9121210796</v>
      </c>
      <c r="N11" s="127">
        <f>IF(F11="CLT",IFERROR(VLOOKUP(I11,'Tabela Salarial_CLT'!B:G,6,0),""),IFERROR(VLOOKUP(I11,'Tabela Salarial_PJ'!B:G,6,0),""))</f>
        <v>5715.25</v>
      </c>
      <c r="O11" s="128">
        <f t="shared" si="3"/>
        <v>502.25</v>
      </c>
      <c r="P11" s="128">
        <f t="shared" si="4"/>
        <v>502.25</v>
      </c>
      <c r="Q11" s="128">
        <f>IF(F11="CLT",(VLOOKUP(I11,'Tabela Salarial_CLT'!B:K,10,0))-H11,(VLOOKUP(I11,'Tabela Salarial_PJ'!B:K,10,0))-H11)</f>
        <v>1645.3</v>
      </c>
    </row>
    <row r="12" ht="12.75" customHeight="1">
      <c r="A12" s="118">
        <v>176.0</v>
      </c>
      <c r="B12" s="119" t="s">
        <v>150</v>
      </c>
      <c r="C12" s="120" t="s">
        <v>57</v>
      </c>
      <c r="D12" s="120" t="s">
        <v>20</v>
      </c>
      <c r="E12" s="120" t="s">
        <v>115</v>
      </c>
      <c r="F12" s="121" t="s">
        <v>138</v>
      </c>
      <c r="G12" s="122">
        <v>220.0</v>
      </c>
      <c r="H12" s="123">
        <v>5213.0</v>
      </c>
      <c r="I12" s="124">
        <f>VLOOKUP(C12,'Estrutura Salarial'!B:F,5,0)</f>
        <v>15</v>
      </c>
      <c r="J12" s="125">
        <f>IF(F12="CLT",IFERROR(VLOOKUP(I12,'Tabela Salarial_CLT'!B:C,2,0),""),IFERROR(VLOOKUP(I12,'Tabela Salarial_PJ'!B:C,2,0),""))</f>
        <v>4572.2</v>
      </c>
      <c r="K12" s="125">
        <f t="shared" si="1"/>
        <v>-640.8</v>
      </c>
      <c r="L12" s="125">
        <f t="shared" si="2"/>
        <v>0</v>
      </c>
      <c r="M12" s="126">
        <f>IF(F12="CLT",H12/(VLOOKUP(I12,'Tabela Salarial_CLT'!B:G,6,0)),H12/(VLOOKUP(I12,'Tabela Salarial_PJ'!B:G,6,0)))</f>
        <v>0.9121210796</v>
      </c>
      <c r="N12" s="127">
        <f>IF(F12="CLT",IFERROR(VLOOKUP(I12,'Tabela Salarial_CLT'!B:G,6,0),""),IFERROR(VLOOKUP(I12,'Tabela Salarial_PJ'!B:G,6,0),""))</f>
        <v>5715.25</v>
      </c>
      <c r="O12" s="128">
        <f t="shared" si="3"/>
        <v>502.25</v>
      </c>
      <c r="P12" s="128">
        <f t="shared" si="4"/>
        <v>502.25</v>
      </c>
      <c r="Q12" s="128">
        <f>IF(F12="CLT",(VLOOKUP(I12,'Tabela Salarial_CLT'!B:K,10,0))-H12,(VLOOKUP(I12,'Tabela Salarial_PJ'!B:K,10,0))-H12)</f>
        <v>1645.3</v>
      </c>
    </row>
    <row r="13" ht="12.75" customHeight="1">
      <c r="A13" s="118">
        <v>1927.0</v>
      </c>
      <c r="B13" s="119" t="s">
        <v>151</v>
      </c>
      <c r="C13" s="120" t="s">
        <v>39</v>
      </c>
      <c r="D13" s="120" t="s">
        <v>20</v>
      </c>
      <c r="E13" s="120" t="s">
        <v>115</v>
      </c>
      <c r="F13" s="121" t="s">
        <v>138</v>
      </c>
      <c r="G13" s="122">
        <v>220.0</v>
      </c>
      <c r="H13" s="123">
        <v>3993.0</v>
      </c>
      <c r="I13" s="124">
        <f>VLOOKUP(C13,'Estrutura Salarial'!B:F,5,0)</f>
        <v>13</v>
      </c>
      <c r="J13" s="125">
        <f>IF(F13="CLT",IFERROR(VLOOKUP(I13,'Tabela Salarial_CLT'!B:C,2,0),""),IFERROR(VLOOKUP(I13,'Tabela Salarial_PJ'!B:C,2,0),""))</f>
        <v>3105.14</v>
      </c>
      <c r="K13" s="125">
        <f t="shared" si="1"/>
        <v>-887.86</v>
      </c>
      <c r="L13" s="125">
        <f t="shared" si="2"/>
        <v>0</v>
      </c>
      <c r="M13" s="126">
        <f>IF(F13="CLT",H13/(VLOOKUP(I13,'Tabela Salarial_CLT'!B:G,6,0)),H13/(VLOOKUP(I13,'Tabela Salarial_PJ'!B:G,6,0)))</f>
        <v>1.028744561</v>
      </c>
      <c r="N13" s="127">
        <f>IF(F13="CLT",IFERROR(VLOOKUP(I13,'Tabela Salarial_CLT'!B:G,6,0),""),IFERROR(VLOOKUP(I13,'Tabela Salarial_PJ'!B:G,6,0),""))</f>
        <v>3881.43</v>
      </c>
      <c r="O13" s="128">
        <f t="shared" si="3"/>
        <v>-111.57</v>
      </c>
      <c r="P13" s="128">
        <f t="shared" si="4"/>
        <v>0</v>
      </c>
      <c r="Q13" s="128">
        <f>IF(F13="CLT",(VLOOKUP(I13,'Tabela Salarial_CLT'!B:K,10,0))-H13,(VLOOKUP(I13,'Tabela Salarial_PJ'!B:K,10,0))-H13)</f>
        <v>664.716</v>
      </c>
    </row>
    <row r="14" ht="12.75" customHeight="1">
      <c r="A14" s="118">
        <v>164.0</v>
      </c>
      <c r="B14" s="119" t="s">
        <v>152</v>
      </c>
      <c r="C14" s="120" t="s">
        <v>31</v>
      </c>
      <c r="D14" s="120" t="s">
        <v>153</v>
      </c>
      <c r="E14" s="120" t="s">
        <v>115</v>
      </c>
      <c r="F14" s="121" t="s">
        <v>138</v>
      </c>
      <c r="G14" s="122">
        <v>220.0</v>
      </c>
      <c r="H14" s="123">
        <v>3652.0</v>
      </c>
      <c r="I14" s="124">
        <f>VLOOKUP(C14,'Estrutura Salarial'!B:F,5,0)</f>
        <v>12</v>
      </c>
      <c r="J14" s="125">
        <f>IF(F14="CLT",IFERROR(VLOOKUP(I14,'Tabela Salarial_CLT'!B:C,2,0),""),IFERROR(VLOOKUP(I14,'Tabela Salarial_PJ'!B:C,2,0),""))</f>
        <v>2593.86</v>
      </c>
      <c r="K14" s="125">
        <f t="shared" si="1"/>
        <v>-1058.14</v>
      </c>
      <c r="L14" s="125">
        <f t="shared" si="2"/>
        <v>0</v>
      </c>
      <c r="M14" s="126">
        <f>IF(F14="CLT",H14/(VLOOKUP(I14,'Tabela Salarial_CLT'!B:G,6,0)),H14/(VLOOKUP(I14,'Tabela Salarial_PJ'!B:G,6,0)))</f>
        <v>1.126353969</v>
      </c>
      <c r="N14" s="127">
        <f>IF(F14="CLT",IFERROR(VLOOKUP(I14,'Tabela Salarial_CLT'!B:G,6,0),""),IFERROR(VLOOKUP(I14,'Tabela Salarial_PJ'!B:G,6,0),""))</f>
        <v>3242.32</v>
      </c>
      <c r="O14" s="128">
        <f t="shared" si="3"/>
        <v>-409.68</v>
      </c>
      <c r="P14" s="128">
        <f t="shared" si="4"/>
        <v>0</v>
      </c>
      <c r="Q14" s="128">
        <f>IF(F14="CLT",(VLOOKUP(I14,'Tabela Salarial_CLT'!B:K,10,0))-H14,(VLOOKUP(I14,'Tabela Salarial_PJ'!B:K,10,0))-H14)</f>
        <v>238.784</v>
      </c>
    </row>
    <row r="15" ht="12.75" customHeight="1">
      <c r="A15" s="118">
        <v>1892.0</v>
      </c>
      <c r="B15" s="119" t="s">
        <v>154</v>
      </c>
      <c r="C15" s="120" t="s">
        <v>13</v>
      </c>
      <c r="D15" s="120" t="s">
        <v>10</v>
      </c>
      <c r="E15" s="120" t="s">
        <v>115</v>
      </c>
      <c r="F15" s="121" t="s">
        <v>138</v>
      </c>
      <c r="G15" s="122">
        <v>220.0</v>
      </c>
      <c r="H15" s="123">
        <v>3439.7</v>
      </c>
      <c r="I15" s="124">
        <f>VLOOKUP(C15,'Estrutura Salarial'!B:F,5,0)</f>
        <v>11</v>
      </c>
      <c r="J15" s="125">
        <f>IF(F15="CLT",IFERROR(VLOOKUP(I15,'Tabela Salarial_CLT'!B:C,2,0),""),IFERROR(VLOOKUP(I15,'Tabela Salarial_PJ'!B:C,2,0),""))</f>
        <v>2191.11</v>
      </c>
      <c r="K15" s="125">
        <f t="shared" si="1"/>
        <v>-1248.59</v>
      </c>
      <c r="L15" s="125">
        <f t="shared" si="2"/>
        <v>0</v>
      </c>
      <c r="M15" s="126">
        <f>IF(F15="CLT",H15/(VLOOKUP(I15,'Tabela Salarial_CLT'!B:G,6,0)),H15/(VLOOKUP(I15,'Tabela Salarial_PJ'!B:G,6,0)))</f>
        <v>1.25587373</v>
      </c>
      <c r="N15" s="127">
        <f>IF(F15="CLT",IFERROR(VLOOKUP(I15,'Tabela Salarial_CLT'!B:G,6,0),""),IFERROR(VLOOKUP(I15,'Tabela Salarial_PJ'!B:G,6,0),""))</f>
        <v>2738.89</v>
      </c>
      <c r="O15" s="128">
        <f t="shared" si="3"/>
        <v>-700.81</v>
      </c>
      <c r="P15" s="128">
        <f t="shared" si="4"/>
        <v>0</v>
      </c>
      <c r="Q15" s="128">
        <f>IF(F15="CLT",(VLOOKUP(I15,'Tabela Salarial_CLT'!B:K,10,0))-H15,(VLOOKUP(I15,'Tabela Salarial_PJ'!B:K,10,0))-H15)</f>
        <v>-153.032</v>
      </c>
    </row>
    <row r="16" ht="12.75" customHeight="1">
      <c r="A16" s="118">
        <v>1940.0</v>
      </c>
      <c r="B16" s="119" t="s">
        <v>155</v>
      </c>
      <c r="C16" s="120" t="s">
        <v>33</v>
      </c>
      <c r="D16" s="120" t="s">
        <v>34</v>
      </c>
      <c r="E16" s="120" t="s">
        <v>115</v>
      </c>
      <c r="F16" s="121" t="s">
        <v>138</v>
      </c>
      <c r="G16" s="122">
        <v>220.0</v>
      </c>
      <c r="H16" s="123">
        <v>3652.0</v>
      </c>
      <c r="I16" s="124">
        <f>VLOOKUP(C16,'Estrutura Salarial'!B:F,5,0)</f>
        <v>12</v>
      </c>
      <c r="J16" s="125">
        <f>IF(F16="CLT",IFERROR(VLOOKUP(I16,'Tabela Salarial_CLT'!B:C,2,0),""),IFERROR(VLOOKUP(I16,'Tabela Salarial_PJ'!B:C,2,0),""))</f>
        <v>2593.86</v>
      </c>
      <c r="K16" s="125">
        <f t="shared" si="1"/>
        <v>-1058.14</v>
      </c>
      <c r="L16" s="125">
        <f t="shared" si="2"/>
        <v>0</v>
      </c>
      <c r="M16" s="126">
        <f>IF(F16="CLT",H16/(VLOOKUP(I16,'Tabela Salarial_CLT'!B:G,6,0)),H16/(VLOOKUP(I16,'Tabela Salarial_PJ'!B:G,6,0)))</f>
        <v>1.126353969</v>
      </c>
      <c r="N16" s="127">
        <f>IF(F16="CLT",IFERROR(VLOOKUP(I16,'Tabela Salarial_CLT'!B:G,6,0),""),IFERROR(VLOOKUP(I16,'Tabela Salarial_PJ'!B:G,6,0),""))</f>
        <v>3242.32</v>
      </c>
      <c r="O16" s="128">
        <f t="shared" si="3"/>
        <v>-409.68</v>
      </c>
      <c r="P16" s="128">
        <f t="shared" si="4"/>
        <v>0</v>
      </c>
      <c r="Q16" s="128">
        <f>IF(F16="CLT",(VLOOKUP(I16,'Tabela Salarial_CLT'!B:K,10,0))-H16,(VLOOKUP(I16,'Tabela Salarial_PJ'!B:K,10,0))-H16)</f>
        <v>238.784</v>
      </c>
    </row>
    <row r="17" ht="12.75" customHeight="1">
      <c r="A17" s="118">
        <v>1963.0</v>
      </c>
      <c r="B17" s="119" t="s">
        <v>156</v>
      </c>
      <c r="C17" s="120" t="s">
        <v>44</v>
      </c>
      <c r="D17" s="120" t="s">
        <v>30</v>
      </c>
      <c r="E17" s="120" t="s">
        <v>115</v>
      </c>
      <c r="F17" s="121" t="s">
        <v>138</v>
      </c>
      <c r="G17" s="122">
        <v>220.0</v>
      </c>
      <c r="H17" s="123">
        <v>3652.0</v>
      </c>
      <c r="I17" s="124">
        <f>VLOOKUP(C17,'Estrutura Salarial'!B:F,5,0)</f>
        <v>13</v>
      </c>
      <c r="J17" s="125">
        <f>IF(F17="CLT",IFERROR(VLOOKUP(I17,'Tabela Salarial_CLT'!B:C,2,0),""),IFERROR(VLOOKUP(I17,'Tabela Salarial_PJ'!B:C,2,0),""))</f>
        <v>3105.14</v>
      </c>
      <c r="K17" s="125">
        <f t="shared" si="1"/>
        <v>-546.86</v>
      </c>
      <c r="L17" s="125">
        <f t="shared" si="2"/>
        <v>0</v>
      </c>
      <c r="M17" s="126">
        <f>IF(F17="CLT",H17/(VLOOKUP(I17,'Tabela Salarial_CLT'!B:G,6,0)),H17/(VLOOKUP(I17,'Tabela Salarial_PJ'!B:G,6,0)))</f>
        <v>0.940890342</v>
      </c>
      <c r="N17" s="127">
        <f>IF(F17="CLT",IFERROR(VLOOKUP(I17,'Tabela Salarial_CLT'!B:G,6,0),""),IFERROR(VLOOKUP(I17,'Tabela Salarial_PJ'!B:G,6,0),""))</f>
        <v>3881.43</v>
      </c>
      <c r="O17" s="128">
        <f t="shared" si="3"/>
        <v>229.43</v>
      </c>
      <c r="P17" s="128">
        <f t="shared" si="4"/>
        <v>229.43</v>
      </c>
      <c r="Q17" s="128">
        <f>IF(F17="CLT",(VLOOKUP(I17,'Tabela Salarial_CLT'!B:K,10,0))-H17,(VLOOKUP(I17,'Tabela Salarial_PJ'!B:K,10,0))-H17)</f>
        <v>1005.716</v>
      </c>
    </row>
    <row r="18" ht="12.75" customHeight="1">
      <c r="A18" s="118">
        <v>190.0</v>
      </c>
      <c r="B18" s="119" t="s">
        <v>157</v>
      </c>
      <c r="C18" s="120" t="s">
        <v>23</v>
      </c>
      <c r="D18" s="120" t="s">
        <v>24</v>
      </c>
      <c r="E18" s="120" t="s">
        <v>115</v>
      </c>
      <c r="F18" s="121" t="s">
        <v>138</v>
      </c>
      <c r="G18" s="122">
        <v>220.0</v>
      </c>
      <c r="H18" s="123">
        <v>2919.0</v>
      </c>
      <c r="I18" s="124">
        <f>VLOOKUP(C18,'Estrutura Salarial'!B:F,5,0)</f>
        <v>11</v>
      </c>
      <c r="J18" s="125">
        <f>IF(F18="CLT",IFERROR(VLOOKUP(I18,'Tabela Salarial_CLT'!B:C,2,0),""),IFERROR(VLOOKUP(I18,'Tabela Salarial_PJ'!B:C,2,0),""))</f>
        <v>2191.11</v>
      </c>
      <c r="K18" s="125">
        <f t="shared" si="1"/>
        <v>-727.89</v>
      </c>
      <c r="L18" s="125">
        <f t="shared" si="2"/>
        <v>0</v>
      </c>
      <c r="M18" s="126">
        <f>IF(F18="CLT",H18/(VLOOKUP(I18,'Tabela Salarial_CLT'!B:G,6,0)),H18/(VLOOKUP(I18,'Tabela Salarial_PJ'!B:G,6,0)))</f>
        <v>1.065760217</v>
      </c>
      <c r="N18" s="127">
        <f>IF(F18="CLT",IFERROR(VLOOKUP(I18,'Tabela Salarial_CLT'!B:G,6,0),""),IFERROR(VLOOKUP(I18,'Tabela Salarial_PJ'!B:G,6,0),""))</f>
        <v>2738.89</v>
      </c>
      <c r="O18" s="128">
        <f t="shared" si="3"/>
        <v>-180.11</v>
      </c>
      <c r="P18" s="128">
        <f t="shared" si="4"/>
        <v>0</v>
      </c>
      <c r="Q18" s="128">
        <f>IF(F18="CLT",(VLOOKUP(I18,'Tabela Salarial_CLT'!B:K,10,0))-H18,(VLOOKUP(I18,'Tabela Salarial_PJ'!B:K,10,0))-H18)</f>
        <v>367.668</v>
      </c>
    </row>
    <row r="19" ht="12.75" customHeight="1">
      <c r="A19" s="118">
        <v>189.0</v>
      </c>
      <c r="B19" s="119" t="s">
        <v>158</v>
      </c>
      <c r="C19" s="120" t="s">
        <v>35</v>
      </c>
      <c r="D19" s="120" t="s">
        <v>36</v>
      </c>
      <c r="E19" s="120" t="s">
        <v>115</v>
      </c>
      <c r="F19" s="121" t="s">
        <v>138</v>
      </c>
      <c r="G19" s="122">
        <v>220.0</v>
      </c>
      <c r="H19" s="123">
        <v>2919.0</v>
      </c>
      <c r="I19" s="124">
        <f>VLOOKUP(C19,'Estrutura Salarial'!B:F,5,0)</f>
        <v>12</v>
      </c>
      <c r="J19" s="125">
        <f>IF(F19="CLT",IFERROR(VLOOKUP(I19,'Tabela Salarial_CLT'!B:C,2,0),""),IFERROR(VLOOKUP(I19,'Tabela Salarial_PJ'!B:C,2,0),""))</f>
        <v>2593.86</v>
      </c>
      <c r="K19" s="125">
        <f t="shared" si="1"/>
        <v>-325.14</v>
      </c>
      <c r="L19" s="125">
        <f t="shared" si="2"/>
        <v>0</v>
      </c>
      <c r="M19" s="126">
        <f>IF(F19="CLT",H19/(VLOOKUP(I19,'Tabela Salarial_CLT'!B:G,6,0)),H19/(VLOOKUP(I19,'Tabela Salarial_PJ'!B:G,6,0)))</f>
        <v>0.9002812801</v>
      </c>
      <c r="N19" s="127">
        <f>IF(F19="CLT",IFERROR(VLOOKUP(I19,'Tabela Salarial_CLT'!B:G,6,0),""),IFERROR(VLOOKUP(I19,'Tabela Salarial_PJ'!B:G,6,0),""))</f>
        <v>3242.32</v>
      </c>
      <c r="O19" s="128">
        <f t="shared" si="3"/>
        <v>323.32</v>
      </c>
      <c r="P19" s="128">
        <f t="shared" si="4"/>
        <v>323.32</v>
      </c>
      <c r="Q19" s="128">
        <f>IF(F19="CLT",(VLOOKUP(I19,'Tabela Salarial_CLT'!B:K,10,0))-H19,(VLOOKUP(I19,'Tabela Salarial_PJ'!B:K,10,0))-H19)</f>
        <v>971.784</v>
      </c>
    </row>
    <row r="20" ht="12.75" customHeight="1">
      <c r="A20" s="118">
        <v>1656.0</v>
      </c>
      <c r="B20" s="119" t="s">
        <v>159</v>
      </c>
      <c r="C20" s="120" t="s">
        <v>25</v>
      </c>
      <c r="D20" s="120" t="s">
        <v>26</v>
      </c>
      <c r="E20" s="120" t="s">
        <v>115</v>
      </c>
      <c r="F20" s="121" t="s">
        <v>138</v>
      </c>
      <c r="G20" s="122">
        <v>220.0</v>
      </c>
      <c r="H20" s="123">
        <v>2919.0</v>
      </c>
      <c r="I20" s="124">
        <f>VLOOKUP(C20,'Estrutura Salarial'!B:F,5,0)</f>
        <v>11</v>
      </c>
      <c r="J20" s="125">
        <f>IF(F20="CLT",IFERROR(VLOOKUP(I20,'Tabela Salarial_CLT'!B:C,2,0),""),IFERROR(VLOOKUP(I20,'Tabela Salarial_PJ'!B:C,2,0),""))</f>
        <v>2191.11</v>
      </c>
      <c r="K20" s="125">
        <f t="shared" si="1"/>
        <v>-727.89</v>
      </c>
      <c r="L20" s="125">
        <f t="shared" si="2"/>
        <v>0</v>
      </c>
      <c r="M20" s="126">
        <f>IF(F20="CLT",H20/(VLOOKUP(I20,'Tabela Salarial_CLT'!B:G,6,0)),H20/(VLOOKUP(I20,'Tabela Salarial_PJ'!B:G,6,0)))</f>
        <v>1.065760217</v>
      </c>
      <c r="N20" s="127">
        <f>IF(F20="CLT",IFERROR(VLOOKUP(I20,'Tabela Salarial_CLT'!B:G,6,0),""),IFERROR(VLOOKUP(I20,'Tabela Salarial_PJ'!B:G,6,0),""))</f>
        <v>2738.89</v>
      </c>
      <c r="O20" s="128">
        <f t="shared" si="3"/>
        <v>-180.11</v>
      </c>
      <c r="P20" s="128">
        <f t="shared" si="4"/>
        <v>0</v>
      </c>
      <c r="Q20" s="128">
        <f>IF(F20="CLT",(VLOOKUP(I20,'Tabela Salarial_CLT'!B:K,10,0))-H20,(VLOOKUP(I20,'Tabela Salarial_PJ'!B:K,10,0))-H20)</f>
        <v>367.668</v>
      </c>
    </row>
    <row r="21" ht="12.75" customHeight="1">
      <c r="A21" s="118">
        <v>192.0</v>
      </c>
      <c r="B21" s="119" t="s">
        <v>160</v>
      </c>
      <c r="C21" s="120" t="s">
        <v>22</v>
      </c>
      <c r="D21" s="120" t="s">
        <v>20</v>
      </c>
      <c r="E21" s="120" t="s">
        <v>115</v>
      </c>
      <c r="F21" s="121" t="s">
        <v>138</v>
      </c>
      <c r="G21" s="122">
        <v>220.0</v>
      </c>
      <c r="H21" s="123">
        <v>2919.0</v>
      </c>
      <c r="I21" s="124">
        <f>VLOOKUP(C21,'Estrutura Salarial'!B:F,5,0)</f>
        <v>11</v>
      </c>
      <c r="J21" s="125">
        <f>IF(F21="CLT",IFERROR(VLOOKUP(I21,'Tabela Salarial_CLT'!B:C,2,0),""),IFERROR(VLOOKUP(I21,'Tabela Salarial_PJ'!B:C,2,0),""))</f>
        <v>2191.11</v>
      </c>
      <c r="K21" s="125">
        <f t="shared" si="1"/>
        <v>-727.89</v>
      </c>
      <c r="L21" s="125">
        <f t="shared" si="2"/>
        <v>0</v>
      </c>
      <c r="M21" s="126">
        <f>IF(F21="CLT",H21/(VLOOKUP(I21,'Tabela Salarial_CLT'!B:G,6,0)),H21/(VLOOKUP(I21,'Tabela Salarial_PJ'!B:G,6,0)))</f>
        <v>1.065760217</v>
      </c>
      <c r="N21" s="127">
        <f>IF(F21="CLT",IFERROR(VLOOKUP(I21,'Tabela Salarial_CLT'!B:G,6,0),""),IFERROR(VLOOKUP(I21,'Tabela Salarial_PJ'!B:G,6,0),""))</f>
        <v>2738.89</v>
      </c>
      <c r="O21" s="128">
        <f t="shared" si="3"/>
        <v>-180.11</v>
      </c>
      <c r="P21" s="128">
        <f t="shared" si="4"/>
        <v>0</v>
      </c>
      <c r="Q21" s="128">
        <f>IF(F21="CLT",(VLOOKUP(I21,'Tabela Salarial_CLT'!B:K,10,0))-H21,(VLOOKUP(I21,'Tabela Salarial_PJ'!B:K,10,0))-H21)</f>
        <v>367.668</v>
      </c>
    </row>
    <row r="22" ht="12.75" customHeight="1">
      <c r="A22" s="118">
        <v>193.0</v>
      </c>
      <c r="B22" s="119" t="s">
        <v>160</v>
      </c>
      <c r="C22" s="120" t="s">
        <v>22</v>
      </c>
      <c r="D22" s="120" t="s">
        <v>20</v>
      </c>
      <c r="E22" s="120" t="s">
        <v>115</v>
      </c>
      <c r="F22" s="121" t="s">
        <v>138</v>
      </c>
      <c r="G22" s="122">
        <v>220.0</v>
      </c>
      <c r="H22" s="123">
        <v>2919.0</v>
      </c>
      <c r="I22" s="124">
        <f>VLOOKUP(C22,'Estrutura Salarial'!B:F,5,0)</f>
        <v>11</v>
      </c>
      <c r="J22" s="125">
        <f>IF(F22="CLT",IFERROR(VLOOKUP(I22,'Tabela Salarial_CLT'!B:C,2,0),""),IFERROR(VLOOKUP(I22,'Tabela Salarial_PJ'!B:C,2,0),""))</f>
        <v>2191.11</v>
      </c>
      <c r="K22" s="125">
        <f t="shared" si="1"/>
        <v>-727.89</v>
      </c>
      <c r="L22" s="125">
        <f t="shared" si="2"/>
        <v>0</v>
      </c>
      <c r="M22" s="126">
        <f>IF(F22="CLT",H22/(VLOOKUP(I22,'Tabela Salarial_CLT'!B:G,6,0)),H22/(VLOOKUP(I22,'Tabela Salarial_PJ'!B:G,6,0)))</f>
        <v>1.065760217</v>
      </c>
      <c r="N22" s="127">
        <f>IF(F22="CLT",IFERROR(VLOOKUP(I22,'Tabela Salarial_CLT'!B:G,6,0),""),IFERROR(VLOOKUP(I22,'Tabela Salarial_PJ'!B:G,6,0),""))</f>
        <v>2738.89</v>
      </c>
      <c r="O22" s="128">
        <f t="shared" si="3"/>
        <v>-180.11</v>
      </c>
      <c r="P22" s="128">
        <f t="shared" si="4"/>
        <v>0</v>
      </c>
      <c r="Q22" s="128">
        <f>IF(F22="CLT",(VLOOKUP(I22,'Tabela Salarial_CLT'!B:K,10,0))-H22,(VLOOKUP(I22,'Tabela Salarial_PJ'!B:K,10,0))-H22)</f>
        <v>367.668</v>
      </c>
    </row>
    <row r="23" ht="12.75" customHeight="1">
      <c r="A23" s="118">
        <v>1941.0</v>
      </c>
      <c r="B23" s="119" t="s">
        <v>161</v>
      </c>
      <c r="C23" s="120" t="s">
        <v>22</v>
      </c>
      <c r="D23" s="120" t="s">
        <v>20</v>
      </c>
      <c r="E23" s="120" t="s">
        <v>115</v>
      </c>
      <c r="F23" s="121" t="s">
        <v>138</v>
      </c>
      <c r="G23" s="122">
        <v>220.0</v>
      </c>
      <c r="H23" s="123">
        <v>3652.0</v>
      </c>
      <c r="I23" s="124">
        <f>VLOOKUP(C23,'Estrutura Salarial'!B:F,5,0)</f>
        <v>11</v>
      </c>
      <c r="J23" s="125">
        <f>IF(F23="CLT",IFERROR(VLOOKUP(I23,'Tabela Salarial_CLT'!B:C,2,0),""),IFERROR(VLOOKUP(I23,'Tabela Salarial_PJ'!B:C,2,0),""))</f>
        <v>2191.11</v>
      </c>
      <c r="K23" s="125">
        <f t="shared" si="1"/>
        <v>-1460.89</v>
      </c>
      <c r="L23" s="125">
        <f t="shared" si="2"/>
        <v>0</v>
      </c>
      <c r="M23" s="126">
        <f>IF(F23="CLT",H23/(VLOOKUP(I23,'Tabela Salarial_CLT'!B:G,6,0)),H23/(VLOOKUP(I23,'Tabela Salarial_PJ'!B:G,6,0)))</f>
        <v>1.333386883</v>
      </c>
      <c r="N23" s="127">
        <f>IF(F23="CLT",IFERROR(VLOOKUP(I23,'Tabela Salarial_CLT'!B:G,6,0),""),IFERROR(VLOOKUP(I23,'Tabela Salarial_PJ'!B:G,6,0),""))</f>
        <v>2738.89</v>
      </c>
      <c r="O23" s="128">
        <f t="shared" si="3"/>
        <v>-913.11</v>
      </c>
      <c r="P23" s="128">
        <f t="shared" si="4"/>
        <v>0</v>
      </c>
      <c r="Q23" s="128">
        <f>IF(F23="CLT",(VLOOKUP(I23,'Tabela Salarial_CLT'!B:K,10,0))-H23,(VLOOKUP(I23,'Tabela Salarial_PJ'!B:K,10,0))-H23)</f>
        <v>-365.332</v>
      </c>
    </row>
    <row r="24" ht="12.75" customHeight="1">
      <c r="A24" s="118">
        <v>1961.0</v>
      </c>
      <c r="B24" s="119" t="s">
        <v>162</v>
      </c>
      <c r="C24" s="120" t="s">
        <v>9</v>
      </c>
      <c r="D24" s="120" t="s">
        <v>10</v>
      </c>
      <c r="E24" s="120" t="s">
        <v>115</v>
      </c>
      <c r="F24" s="121" t="s">
        <v>138</v>
      </c>
      <c r="G24" s="122">
        <v>220.0</v>
      </c>
      <c r="H24" s="123">
        <v>2254.0</v>
      </c>
      <c r="I24" s="124">
        <f>VLOOKUP(C24,'Estrutura Salarial'!B:F,5,0)</f>
        <v>10</v>
      </c>
      <c r="J24" s="125">
        <f>IF(F24="CLT",IFERROR(VLOOKUP(I24,'Tabela Salarial_CLT'!B:C,2,0),""),IFERROR(VLOOKUP(I24,'Tabela Salarial_PJ'!B:C,2,0),""))</f>
        <v>1867.2</v>
      </c>
      <c r="K24" s="125">
        <f t="shared" si="1"/>
        <v>-386.8</v>
      </c>
      <c r="L24" s="125">
        <f t="shared" si="2"/>
        <v>0</v>
      </c>
      <c r="M24" s="126">
        <f>IF(F24="CLT",H24/(VLOOKUP(I24,'Tabela Salarial_CLT'!B:G,6,0)),H24/(VLOOKUP(I24,'Tabela Salarial_PJ'!B:G,6,0)))</f>
        <v>0.9657240788</v>
      </c>
      <c r="N24" s="127">
        <f>IF(F24="CLT",IFERROR(VLOOKUP(I24,'Tabela Salarial_CLT'!B:G,6,0),""),IFERROR(VLOOKUP(I24,'Tabela Salarial_PJ'!B:G,6,0),""))</f>
        <v>2334</v>
      </c>
      <c r="O24" s="128">
        <f t="shared" si="3"/>
        <v>80</v>
      </c>
      <c r="P24" s="128">
        <f t="shared" si="4"/>
        <v>80</v>
      </c>
      <c r="Q24" s="128">
        <f>IF(F24="CLT",(VLOOKUP(I24,'Tabela Salarial_CLT'!B:K,10,0))-H24,(VLOOKUP(I24,'Tabela Salarial_PJ'!B:K,10,0))-H24)</f>
        <v>546.8</v>
      </c>
    </row>
    <row r="25" ht="12.75" customHeight="1">
      <c r="A25" s="118">
        <v>184.0</v>
      </c>
      <c r="B25" s="119" t="s">
        <v>163</v>
      </c>
      <c r="C25" s="120" t="s">
        <v>9</v>
      </c>
      <c r="D25" s="120" t="s">
        <v>10</v>
      </c>
      <c r="E25" s="120" t="s">
        <v>115</v>
      </c>
      <c r="F25" s="121" t="s">
        <v>138</v>
      </c>
      <c r="G25" s="122">
        <v>220.0</v>
      </c>
      <c r="H25" s="123">
        <v>2739.04</v>
      </c>
      <c r="I25" s="124">
        <f>VLOOKUP(C25,'Estrutura Salarial'!B:F,5,0)</f>
        <v>10</v>
      </c>
      <c r="J25" s="125">
        <f>IF(F25="CLT",IFERROR(VLOOKUP(I25,'Tabela Salarial_CLT'!B:C,2,0),""),IFERROR(VLOOKUP(I25,'Tabela Salarial_PJ'!B:C,2,0),""))</f>
        <v>1867.2</v>
      </c>
      <c r="K25" s="125">
        <f t="shared" si="1"/>
        <v>-871.84</v>
      </c>
      <c r="L25" s="125">
        <f t="shared" si="2"/>
        <v>0</v>
      </c>
      <c r="M25" s="126">
        <f>IF(F25="CLT",H25/(VLOOKUP(I25,'Tabela Salarial_CLT'!B:G,6,0)),H25/(VLOOKUP(I25,'Tabela Salarial_PJ'!B:G,6,0)))</f>
        <v>1.173538989</v>
      </c>
      <c r="N25" s="127">
        <f>IF(F25="CLT",IFERROR(VLOOKUP(I25,'Tabela Salarial_CLT'!B:G,6,0),""),IFERROR(VLOOKUP(I25,'Tabela Salarial_PJ'!B:G,6,0),""))</f>
        <v>2334</v>
      </c>
      <c r="O25" s="128">
        <f t="shared" si="3"/>
        <v>-405.04</v>
      </c>
      <c r="P25" s="128">
        <f t="shared" si="4"/>
        <v>0</v>
      </c>
      <c r="Q25" s="128">
        <f>IF(F25="CLT",(VLOOKUP(I25,'Tabela Salarial_CLT'!B:K,10,0))-H25,(VLOOKUP(I25,'Tabela Salarial_PJ'!B:K,10,0))-H25)</f>
        <v>61.76</v>
      </c>
    </row>
    <row r="26" ht="12.75" customHeight="1">
      <c r="A26" s="118">
        <v>1951.0</v>
      </c>
      <c r="B26" s="119" t="s">
        <v>164</v>
      </c>
      <c r="C26" s="120" t="s">
        <v>11</v>
      </c>
      <c r="D26" s="120" t="s">
        <v>12</v>
      </c>
      <c r="E26" s="120" t="s">
        <v>115</v>
      </c>
      <c r="F26" s="121" t="s">
        <v>138</v>
      </c>
      <c r="G26" s="122">
        <v>220.0</v>
      </c>
      <c r="H26" s="123">
        <v>2560.0</v>
      </c>
      <c r="I26" s="124">
        <f>VLOOKUP(C26,'Estrutura Salarial'!B:F,5,0)</f>
        <v>10</v>
      </c>
      <c r="J26" s="125">
        <f>IF(F26="CLT",IFERROR(VLOOKUP(I26,'Tabela Salarial_CLT'!B:C,2,0),""),IFERROR(VLOOKUP(I26,'Tabela Salarial_PJ'!B:C,2,0),""))</f>
        <v>1867.2</v>
      </c>
      <c r="K26" s="125">
        <f t="shared" si="1"/>
        <v>-692.8</v>
      </c>
      <c r="L26" s="125">
        <f t="shared" si="2"/>
        <v>0</v>
      </c>
      <c r="M26" s="126">
        <f>IF(F26="CLT",H26/(VLOOKUP(I26,'Tabela Salarial_CLT'!B:G,6,0)),H26/(VLOOKUP(I26,'Tabela Salarial_PJ'!B:G,6,0)))</f>
        <v>1.096829477</v>
      </c>
      <c r="N26" s="127">
        <f>IF(F26="CLT",IFERROR(VLOOKUP(I26,'Tabela Salarial_CLT'!B:G,6,0),""),IFERROR(VLOOKUP(I26,'Tabela Salarial_PJ'!B:G,6,0),""))</f>
        <v>2334</v>
      </c>
      <c r="O26" s="128">
        <f t="shared" si="3"/>
        <v>-226</v>
      </c>
      <c r="P26" s="128">
        <f t="shared" si="4"/>
        <v>0</v>
      </c>
      <c r="Q26" s="128">
        <f>IF(F26="CLT",(VLOOKUP(I26,'Tabela Salarial_CLT'!B:K,10,0))-H26,(VLOOKUP(I26,'Tabela Salarial_PJ'!B:K,10,0))-H26)</f>
        <v>240.8</v>
      </c>
    </row>
    <row r="27" ht="12.75" customHeight="1">
      <c r="A27" s="118">
        <v>191.0</v>
      </c>
      <c r="B27" s="119" t="s">
        <v>165</v>
      </c>
      <c r="C27" s="120" t="s">
        <v>27</v>
      </c>
      <c r="D27" s="120" t="s">
        <v>28</v>
      </c>
      <c r="E27" s="120" t="s">
        <v>115</v>
      </c>
      <c r="F27" s="121" t="s">
        <v>138</v>
      </c>
      <c r="G27" s="122">
        <v>220.0</v>
      </c>
      <c r="H27" s="123">
        <v>2560.0</v>
      </c>
      <c r="I27" s="124">
        <f>VLOOKUP(C27,'Estrutura Salarial'!B:F,5,0)</f>
        <v>11</v>
      </c>
      <c r="J27" s="125">
        <f>IF(F27="CLT",IFERROR(VLOOKUP(I27,'Tabela Salarial_CLT'!B:C,2,0),""),IFERROR(VLOOKUP(I27,'Tabela Salarial_PJ'!B:C,2,0),""))</f>
        <v>2191.11</v>
      </c>
      <c r="K27" s="125">
        <f t="shared" si="1"/>
        <v>-368.89</v>
      </c>
      <c r="L27" s="125">
        <f t="shared" si="2"/>
        <v>0</v>
      </c>
      <c r="M27" s="126">
        <f>IF(F27="CLT",H27/(VLOOKUP(I27,'Tabela Salarial_CLT'!B:G,6,0)),H27/(VLOOKUP(I27,'Tabela Salarial_PJ'!B:G,6,0)))</f>
        <v>0.9346852192</v>
      </c>
      <c r="N27" s="127">
        <f>IF(F27="CLT",IFERROR(VLOOKUP(I27,'Tabela Salarial_CLT'!B:G,6,0),""),IFERROR(VLOOKUP(I27,'Tabela Salarial_PJ'!B:G,6,0),""))</f>
        <v>2738.89</v>
      </c>
      <c r="O27" s="128">
        <f t="shared" si="3"/>
        <v>178.89</v>
      </c>
      <c r="P27" s="128">
        <f t="shared" si="4"/>
        <v>178.89</v>
      </c>
      <c r="Q27" s="128">
        <f>IF(F27="CLT",(VLOOKUP(I27,'Tabela Salarial_CLT'!B:K,10,0))-H27,(VLOOKUP(I27,'Tabela Salarial_PJ'!B:K,10,0))-H27)</f>
        <v>726.668</v>
      </c>
    </row>
    <row r="28" ht="12.75" customHeight="1">
      <c r="A28" s="118" t="s">
        <v>166</v>
      </c>
      <c r="B28" s="119" t="s">
        <v>167</v>
      </c>
      <c r="C28" s="120" t="s">
        <v>76</v>
      </c>
      <c r="D28" s="120" t="s">
        <v>10</v>
      </c>
      <c r="E28" s="120" t="s">
        <v>143</v>
      </c>
      <c r="F28" s="121" t="s">
        <v>144</v>
      </c>
      <c r="G28" s="122">
        <v>220.0</v>
      </c>
      <c r="H28" s="129">
        <v>11339.0</v>
      </c>
      <c r="I28" s="124">
        <f>VLOOKUP(C28,'Estrutura Salarial'!B:F,5,0)</f>
        <v>17</v>
      </c>
      <c r="J28" s="125">
        <f>IF(F28="CLT",IFERROR(VLOOKUP(I28,'Tabela Salarial_CLT'!B:C,2,0),""),IFERROR(VLOOKUP(I28,'Tabela Salarial_PJ'!B:C,2,0),""))</f>
        <v>10244.96</v>
      </c>
      <c r="K28" s="125">
        <f t="shared" si="1"/>
        <v>-1094.04</v>
      </c>
      <c r="L28" s="125">
        <f t="shared" si="2"/>
        <v>0</v>
      </c>
      <c r="M28" s="126">
        <f>IF(F28="CLT",H28/(VLOOKUP(I28,'Tabela Salarial_CLT'!B:G,6,0)),H28/(VLOOKUP(I28,'Tabela Salarial_PJ'!B:G,6,0)))</f>
        <v>0.8854301489</v>
      </c>
      <c r="N28" s="127">
        <f>IF(F28="CLT",IFERROR(VLOOKUP(I28,'Tabela Salarial_CLT'!B:G,6,0),""),IFERROR(VLOOKUP(I28,'Tabela Salarial_PJ'!B:G,6,0),""))</f>
        <v>12806.205</v>
      </c>
      <c r="O28" s="128">
        <f t="shared" si="3"/>
        <v>1467.205</v>
      </c>
      <c r="P28" s="128">
        <f t="shared" si="4"/>
        <v>1467.205</v>
      </c>
      <c r="Q28" s="128">
        <f>IF(F28="CLT",(VLOOKUP(I28,'Tabela Salarial_CLT'!B:K,10,0))-H28,(VLOOKUP(I28,'Tabela Salarial_PJ'!B:K,10,0))-H28)</f>
        <v>4028.446</v>
      </c>
    </row>
    <row r="29" ht="12.75" customHeight="1">
      <c r="A29" s="118" t="s">
        <v>168</v>
      </c>
      <c r="B29" s="119" t="s">
        <v>169</v>
      </c>
      <c r="C29" s="130" t="s">
        <v>101</v>
      </c>
      <c r="D29" s="122" t="s">
        <v>34</v>
      </c>
      <c r="E29" s="120" t="s">
        <v>143</v>
      </c>
      <c r="F29" s="121" t="s">
        <v>144</v>
      </c>
      <c r="G29" s="122">
        <v>220.0</v>
      </c>
      <c r="H29" s="129">
        <v>16000.0</v>
      </c>
      <c r="I29" s="124">
        <f>VLOOKUP(C29,'Estrutura Salarial'!B:F,5,0)</f>
        <v>20</v>
      </c>
      <c r="J29" s="125">
        <f>IF(F29="CLT",IFERROR(VLOOKUP(I29,'Tabela Salarial_CLT'!B:C,2,0),""),IFERROR(VLOOKUP(I29,'Tabela Salarial_PJ'!B:C,2,0),""))</f>
        <v>17290.17</v>
      </c>
      <c r="K29" s="125">
        <f t="shared" si="1"/>
        <v>1290.17</v>
      </c>
      <c r="L29" s="125">
        <f t="shared" si="2"/>
        <v>1290.17</v>
      </c>
      <c r="M29" s="126">
        <f>IF(F29="CLT",H29/(VLOOKUP(I29,'Tabela Salarial_CLT'!B:G,6,0)),H29/(VLOOKUP(I29,'Tabela Salarial_PJ'!B:G,6,0)))</f>
        <v>0.740305126</v>
      </c>
      <c r="N29" s="127">
        <f>IF(F29="CLT",IFERROR(VLOOKUP(I29,'Tabela Salarial_CLT'!B:G,6,0),""),IFERROR(VLOOKUP(I29,'Tabela Salarial_PJ'!B:G,6,0),""))</f>
        <v>21612.71</v>
      </c>
      <c r="O29" s="128">
        <f t="shared" si="3"/>
        <v>5612.71</v>
      </c>
      <c r="P29" s="128">
        <f t="shared" si="4"/>
        <v>5612.71</v>
      </c>
      <c r="Q29" s="128">
        <f>IF(F29="CLT",(VLOOKUP(I29,'Tabela Salarial_CLT'!B:K,10,0))-H29,(VLOOKUP(I29,'Tabela Salarial_PJ'!B:K,10,0))-H29)</f>
        <v>9935.252</v>
      </c>
    </row>
    <row r="30" ht="12.75" customHeight="1">
      <c r="A30" s="118" t="s">
        <v>170</v>
      </c>
      <c r="B30" s="119" t="s">
        <v>171</v>
      </c>
      <c r="C30" s="120" t="s">
        <v>85</v>
      </c>
      <c r="D30" s="120" t="s">
        <v>34</v>
      </c>
      <c r="E30" s="120" t="s">
        <v>143</v>
      </c>
      <c r="F30" s="121" t="s">
        <v>144</v>
      </c>
      <c r="G30" s="122">
        <v>220.0</v>
      </c>
      <c r="H30" s="129">
        <v>12663.6</v>
      </c>
      <c r="I30" s="124">
        <f>VLOOKUP(C30,'Estrutura Salarial'!B:F,5,0)</f>
        <v>18</v>
      </c>
      <c r="J30" s="125">
        <f>IF(F30="CLT",IFERROR(VLOOKUP(I30,'Tabela Salarial_CLT'!B:C,2,0),""),IFERROR(VLOOKUP(I30,'Tabela Salarial_PJ'!B:C,2,0),""))</f>
        <v>12105.78</v>
      </c>
      <c r="K30" s="125">
        <f t="shared" si="1"/>
        <v>-557.82</v>
      </c>
      <c r="L30" s="125">
        <f t="shared" si="2"/>
        <v>0</v>
      </c>
      <c r="M30" s="126">
        <f>IF(F30="CLT",H30/(VLOOKUP(I30,'Tabela Salarial_CLT'!B:G,6,0)),H30/(VLOOKUP(I30,'Tabela Salarial_PJ'!B:G,6,0)))</f>
        <v>0.8368631667</v>
      </c>
      <c r="N30" s="127">
        <f>IF(F30="CLT",IFERROR(VLOOKUP(I30,'Tabela Salarial_CLT'!B:G,6,0),""),IFERROR(VLOOKUP(I30,'Tabela Salarial_PJ'!B:G,6,0),""))</f>
        <v>15132.22293</v>
      </c>
      <c r="O30" s="128">
        <f t="shared" si="3"/>
        <v>2468.62293</v>
      </c>
      <c r="P30" s="128">
        <f t="shared" si="4"/>
        <v>2468.62293</v>
      </c>
      <c r="Q30" s="128">
        <f>IF(F30="CLT",(VLOOKUP(I30,'Tabela Salarial_CLT'!B:K,10,0))-H30,(VLOOKUP(I30,'Tabela Salarial_PJ'!B:K,10,0))-H30)</f>
        <v>5495.067516</v>
      </c>
    </row>
    <row r="31" ht="12.75" customHeight="1">
      <c r="A31" s="118">
        <v>1959.0</v>
      </c>
      <c r="B31" s="119" t="s">
        <v>172</v>
      </c>
      <c r="C31" s="120" t="s">
        <v>94</v>
      </c>
      <c r="D31" s="120" t="s">
        <v>36</v>
      </c>
      <c r="E31" s="120" t="s">
        <v>143</v>
      </c>
      <c r="F31" s="121" t="s">
        <v>138</v>
      </c>
      <c r="G31" s="122">
        <v>220.0</v>
      </c>
      <c r="H31" s="123">
        <v>7420.0</v>
      </c>
      <c r="I31" s="124">
        <f>VLOOKUP(C31,'Estrutura Salarial'!B:F,5,0)</f>
        <v>19</v>
      </c>
      <c r="J31" s="125">
        <f>IF(F31="CLT",IFERROR(VLOOKUP(I31,'Tabela Salarial_CLT'!B:C,2,0),""),IFERROR(VLOOKUP(I31,'Tabela Salarial_PJ'!B:C,2,0),""))</f>
        <v>10116.17</v>
      </c>
      <c r="K31" s="125">
        <f t="shared" si="1"/>
        <v>2696.17</v>
      </c>
      <c r="L31" s="125">
        <f t="shared" si="2"/>
        <v>2696.17</v>
      </c>
      <c r="M31" s="126">
        <f>IF(F31="CLT",H31/(VLOOKUP(I31,'Tabela Salarial_CLT'!B:G,6,0)),H31/(VLOOKUP(I31,'Tabela Salarial_PJ'!B:G,6,0)))</f>
        <v>0.586783454</v>
      </c>
      <c r="N31" s="127">
        <f>IF(F31="CLT",IFERROR(VLOOKUP(I31,'Tabela Salarial_CLT'!B:G,6,0),""),IFERROR(VLOOKUP(I31,'Tabela Salarial_PJ'!B:G,6,0),""))</f>
        <v>12645.21</v>
      </c>
      <c r="O31" s="128">
        <f t="shared" si="3"/>
        <v>5225.21</v>
      </c>
      <c r="P31" s="128">
        <f t="shared" si="4"/>
        <v>5225.21</v>
      </c>
      <c r="Q31" s="128">
        <f>IF(F31="CLT",(VLOOKUP(I31,'Tabela Salarial_CLT'!B:K,10,0))-H31,(VLOOKUP(I31,'Tabela Salarial_PJ'!B:K,10,0))-H31)</f>
        <v>7754.252</v>
      </c>
    </row>
    <row r="32" ht="12.75" customHeight="1">
      <c r="A32" s="118">
        <v>151.0</v>
      </c>
      <c r="B32" s="119" t="s">
        <v>173</v>
      </c>
      <c r="C32" s="120" t="s">
        <v>77</v>
      </c>
      <c r="D32" s="120" t="s">
        <v>153</v>
      </c>
      <c r="E32" s="120" t="s">
        <v>143</v>
      </c>
      <c r="F32" s="121" t="s">
        <v>138</v>
      </c>
      <c r="G32" s="122">
        <v>220.0</v>
      </c>
      <c r="H32" s="123">
        <v>8647.0</v>
      </c>
      <c r="I32" s="124">
        <f>VLOOKUP(C32,'Estrutura Salarial'!B:F,5,0)</f>
        <v>17</v>
      </c>
      <c r="J32" s="125">
        <f>IF(F32="CLT",IFERROR(VLOOKUP(I32,'Tabela Salarial_CLT'!B:C,2,0),""),IFERROR(VLOOKUP(I32,'Tabela Salarial_PJ'!B:C,2,0),""))</f>
        <v>6829.98</v>
      </c>
      <c r="K32" s="125">
        <f t="shared" si="1"/>
        <v>-1817.02</v>
      </c>
      <c r="L32" s="125">
        <f t="shared" si="2"/>
        <v>0</v>
      </c>
      <c r="M32" s="126">
        <f>IF(F32="CLT",H32/(VLOOKUP(I32,'Tabela Salarial_CLT'!B:G,6,0)),H32/(VLOOKUP(I32,'Tabela Salarial_PJ'!B:G,6,0)))</f>
        <v>1.012829328</v>
      </c>
      <c r="N32" s="127">
        <f>IF(F32="CLT",IFERROR(VLOOKUP(I32,'Tabela Salarial_CLT'!B:G,6,0),""),IFERROR(VLOOKUP(I32,'Tabela Salarial_PJ'!B:G,6,0),""))</f>
        <v>8537.47</v>
      </c>
      <c r="O32" s="128">
        <f t="shared" si="3"/>
        <v>-109.53</v>
      </c>
      <c r="P32" s="128">
        <f t="shared" si="4"/>
        <v>0</v>
      </c>
      <c r="Q32" s="128">
        <f>IF(F32="CLT",(VLOOKUP(I32,'Tabela Salarial_CLT'!B:K,10,0))-H32,(VLOOKUP(I32,'Tabela Salarial_PJ'!B:K,10,0))-H32)</f>
        <v>1597.964</v>
      </c>
    </row>
    <row r="33" ht="12.75" customHeight="1">
      <c r="A33" s="118">
        <v>1911.0</v>
      </c>
      <c r="B33" s="119" t="s">
        <v>174</v>
      </c>
      <c r="C33" s="120" t="s">
        <v>78</v>
      </c>
      <c r="D33" s="120" t="s">
        <v>24</v>
      </c>
      <c r="E33" s="120" t="s">
        <v>143</v>
      </c>
      <c r="F33" s="121" t="s">
        <v>138</v>
      </c>
      <c r="G33" s="122">
        <v>220.0</v>
      </c>
      <c r="H33" s="123">
        <v>8647.0</v>
      </c>
      <c r="I33" s="124">
        <f>VLOOKUP(C33,'Estrutura Salarial'!B:F,5,0)</f>
        <v>17</v>
      </c>
      <c r="J33" s="125">
        <f>IF(F33="CLT",IFERROR(VLOOKUP(I33,'Tabela Salarial_CLT'!B:C,2,0),""),IFERROR(VLOOKUP(I33,'Tabela Salarial_PJ'!B:C,2,0),""))</f>
        <v>6829.98</v>
      </c>
      <c r="K33" s="125">
        <f t="shared" si="1"/>
        <v>-1817.02</v>
      </c>
      <c r="L33" s="125">
        <f t="shared" si="2"/>
        <v>0</v>
      </c>
      <c r="M33" s="126">
        <f>IF(F33="CLT",H33/(VLOOKUP(I33,'Tabela Salarial_CLT'!B:G,6,0)),H33/(VLOOKUP(I33,'Tabela Salarial_PJ'!B:G,6,0)))</f>
        <v>1.012829328</v>
      </c>
      <c r="N33" s="127">
        <f>IF(F33="CLT",IFERROR(VLOOKUP(I33,'Tabela Salarial_CLT'!B:G,6,0),""),IFERROR(VLOOKUP(I33,'Tabela Salarial_PJ'!B:G,6,0),""))</f>
        <v>8537.47</v>
      </c>
      <c r="O33" s="128">
        <f t="shared" si="3"/>
        <v>-109.53</v>
      </c>
      <c r="P33" s="128">
        <f t="shared" si="4"/>
        <v>0</v>
      </c>
      <c r="Q33" s="128">
        <f>IF(F33="CLT",(VLOOKUP(I33,'Tabela Salarial_CLT'!B:K,10,0))-H33,(VLOOKUP(I33,'Tabela Salarial_PJ'!B:K,10,0))-H33)</f>
        <v>1597.964</v>
      </c>
    </row>
    <row r="34" ht="12.75" customHeight="1">
      <c r="A34" s="118">
        <v>1452.0</v>
      </c>
      <c r="B34" s="119" t="s">
        <v>175</v>
      </c>
      <c r="C34" s="130" t="s">
        <v>100</v>
      </c>
      <c r="D34" s="120" t="s">
        <v>30</v>
      </c>
      <c r="E34" s="120" t="s">
        <v>115</v>
      </c>
      <c r="F34" s="121" t="s">
        <v>138</v>
      </c>
      <c r="G34" s="122">
        <v>220.0</v>
      </c>
      <c r="H34" s="123">
        <v>8714.0</v>
      </c>
      <c r="I34" s="124">
        <f>VLOOKUP(C34,'Estrutura Salarial'!B:F,5,0)</f>
        <v>19</v>
      </c>
      <c r="J34" s="125">
        <f>IF(F34="CLT",IFERROR(VLOOKUP(I34,'Tabela Salarial_CLT'!B:C,2,0),""),IFERROR(VLOOKUP(I34,'Tabela Salarial_PJ'!B:C,2,0),""))</f>
        <v>10116.17</v>
      </c>
      <c r="K34" s="125">
        <f t="shared" si="1"/>
        <v>1402.17</v>
      </c>
      <c r="L34" s="125">
        <f t="shared" si="2"/>
        <v>1402.17</v>
      </c>
      <c r="M34" s="126">
        <f>IF(F34="CLT",H34/(VLOOKUP(I34,'Tabela Salarial_CLT'!B:G,6,0)),H34/(VLOOKUP(I34,'Tabela Salarial_PJ'!B:G,6,0)))</f>
        <v>0.6891146924</v>
      </c>
      <c r="N34" s="127">
        <f>IF(F34="CLT",IFERROR(VLOOKUP(I34,'Tabela Salarial_CLT'!B:G,6,0),""),IFERROR(VLOOKUP(I34,'Tabela Salarial_PJ'!B:G,6,0),""))</f>
        <v>12645.21</v>
      </c>
      <c r="O34" s="128">
        <f t="shared" si="3"/>
        <v>3931.21</v>
      </c>
      <c r="P34" s="128">
        <f t="shared" si="4"/>
        <v>3931.21</v>
      </c>
      <c r="Q34" s="128">
        <f>IF(F34="CLT",(VLOOKUP(I34,'Tabela Salarial_CLT'!B:K,10,0))-H34,(VLOOKUP(I34,'Tabela Salarial_PJ'!B:K,10,0))-H34)</f>
        <v>6460.252</v>
      </c>
    </row>
    <row r="35" ht="12.75" customHeight="1">
      <c r="A35" s="118" t="s">
        <v>176</v>
      </c>
      <c r="B35" s="119" t="s">
        <v>177</v>
      </c>
      <c r="C35" s="120" t="s">
        <v>96</v>
      </c>
      <c r="D35" s="120" t="s">
        <v>17</v>
      </c>
      <c r="E35" s="120" t="s">
        <v>143</v>
      </c>
      <c r="F35" s="121" t="s">
        <v>144</v>
      </c>
      <c r="G35" s="122">
        <v>220.0</v>
      </c>
      <c r="H35" s="129">
        <v>16000.0</v>
      </c>
      <c r="I35" s="124">
        <f>VLOOKUP(C35,'Estrutura Salarial'!B:F,5,0)</f>
        <v>19</v>
      </c>
      <c r="J35" s="125">
        <f>IF(F35="CLT",IFERROR(VLOOKUP(I35,'Tabela Salarial_CLT'!B:C,2,0),""),IFERROR(VLOOKUP(I35,'Tabela Salarial_PJ'!B:C,2,0),""))</f>
        <v>14314.38</v>
      </c>
      <c r="K35" s="125">
        <f t="shared" si="1"/>
        <v>-1685.62</v>
      </c>
      <c r="L35" s="125">
        <f t="shared" si="2"/>
        <v>0</v>
      </c>
      <c r="M35" s="126">
        <f>IF(F35="CLT",H35/(VLOOKUP(I35,'Tabela Salarial_CLT'!B:G,6,0)),H35/(VLOOKUP(I35,'Tabela Salarial_PJ'!B:G,6,0)))</f>
        <v>0.8942058293</v>
      </c>
      <c r="N35" s="127">
        <f>IF(F35="CLT",IFERROR(VLOOKUP(I35,'Tabela Salarial_CLT'!B:G,6,0),""),IFERROR(VLOOKUP(I35,'Tabela Salarial_PJ'!B:G,6,0),""))</f>
        <v>17892.97215</v>
      </c>
      <c r="O35" s="128">
        <f t="shared" si="3"/>
        <v>1892.97215</v>
      </c>
      <c r="P35" s="128">
        <f t="shared" si="4"/>
        <v>1892.97215</v>
      </c>
      <c r="Q35" s="128">
        <f>IF(F35="CLT",(VLOOKUP(I35,'Tabela Salarial_CLT'!B:K,10,0))-H35,(VLOOKUP(I35,'Tabela Salarial_PJ'!B:K,10,0))-H35)</f>
        <v>5471.56658</v>
      </c>
    </row>
    <row r="36" ht="12.75" customHeight="1">
      <c r="A36" s="118" t="s">
        <v>178</v>
      </c>
      <c r="B36" s="119" t="s">
        <v>179</v>
      </c>
      <c r="C36" s="130" t="s">
        <v>95</v>
      </c>
      <c r="D36" s="122" t="s">
        <v>20</v>
      </c>
      <c r="E36" s="120" t="s">
        <v>143</v>
      </c>
      <c r="F36" s="121" t="s">
        <v>144</v>
      </c>
      <c r="G36" s="122">
        <v>220.0</v>
      </c>
      <c r="H36" s="129">
        <v>12000.0</v>
      </c>
      <c r="I36" s="124">
        <f>VLOOKUP(C36,'Estrutura Salarial'!B:F,5,0)</f>
        <v>19</v>
      </c>
      <c r="J36" s="125">
        <f>IF(F36="CLT",IFERROR(VLOOKUP(I36,'Tabela Salarial_CLT'!B:C,2,0),""),IFERROR(VLOOKUP(I36,'Tabela Salarial_PJ'!B:C,2,0),""))</f>
        <v>14314.38</v>
      </c>
      <c r="K36" s="125">
        <f t="shared" si="1"/>
        <v>2314.38</v>
      </c>
      <c r="L36" s="125">
        <f t="shared" si="2"/>
        <v>2314.38</v>
      </c>
      <c r="M36" s="126">
        <f>IF(F36="CLT",H36/(VLOOKUP(I36,'Tabela Salarial_CLT'!B:G,6,0)),H36/(VLOOKUP(I36,'Tabela Salarial_PJ'!B:G,6,0)))</f>
        <v>0.670654372</v>
      </c>
      <c r="N36" s="127">
        <f>IF(F36="CLT",IFERROR(VLOOKUP(I36,'Tabela Salarial_CLT'!B:G,6,0),""),IFERROR(VLOOKUP(I36,'Tabela Salarial_PJ'!B:G,6,0),""))</f>
        <v>17892.97215</v>
      </c>
      <c r="O36" s="128">
        <f t="shared" si="3"/>
        <v>5892.97215</v>
      </c>
      <c r="P36" s="128">
        <f t="shared" si="4"/>
        <v>5892.97215</v>
      </c>
      <c r="Q36" s="128">
        <f>IF(F36="CLT",(VLOOKUP(I36,'Tabela Salarial_CLT'!B:K,10,0))-H36,(VLOOKUP(I36,'Tabela Salarial_PJ'!B:K,10,0))-H36)</f>
        <v>9471.56658</v>
      </c>
    </row>
    <row r="37" ht="12.75" customHeight="1">
      <c r="A37" s="118" t="s">
        <v>180</v>
      </c>
      <c r="B37" s="119" t="s">
        <v>181</v>
      </c>
      <c r="C37" s="120" t="s">
        <v>104</v>
      </c>
      <c r="D37" s="120" t="s">
        <v>90</v>
      </c>
      <c r="E37" s="120" t="s">
        <v>182</v>
      </c>
      <c r="F37" s="121" t="s">
        <v>144</v>
      </c>
      <c r="G37" s="122">
        <v>220.0</v>
      </c>
      <c r="H37" s="129">
        <v>58000.0</v>
      </c>
      <c r="I37" s="124">
        <f>VLOOKUP(C37,'Estrutura Salarial'!B:F,5,0)</f>
        <v>28</v>
      </c>
      <c r="J37" s="125">
        <f>IF(F37="CLT",IFERROR(VLOOKUP(I37,'Tabela Salarial_CLT'!B:C,2,0),""),IFERROR(VLOOKUP(I37,'Tabela Salarial_PJ'!B:C,2,0),""))</f>
        <v>45764.06</v>
      </c>
      <c r="K37" s="125">
        <f t="shared" si="1"/>
        <v>-12235.94</v>
      </c>
      <c r="L37" s="125">
        <f t="shared" si="2"/>
        <v>0</v>
      </c>
      <c r="M37" s="126">
        <f>IF(F37="CLT",H37/(VLOOKUP(I37,'Tabela Salarial_CLT'!B:G,6,0)),H37/(VLOOKUP(I37,'Tabela Salarial_PJ'!B:G,6,0)))</f>
        <v>1.013896054</v>
      </c>
      <c r="N37" s="127">
        <f>IF(F37="CLT",IFERROR(VLOOKUP(I37,'Tabela Salarial_CLT'!B:G,6,0),""),IFERROR(VLOOKUP(I37,'Tabela Salarial_PJ'!B:G,6,0),""))</f>
        <v>57205.0752</v>
      </c>
      <c r="O37" s="128">
        <f t="shared" si="3"/>
        <v>-794.9248</v>
      </c>
      <c r="P37" s="128">
        <f t="shared" si="4"/>
        <v>0</v>
      </c>
      <c r="Q37" s="128">
        <f>IF(F37="CLT",(VLOOKUP(I37,'Tabela Salarial_CLT'!B:K,10,0))-H37,(VLOOKUP(I37,'Tabela Salarial_PJ'!B:K,10,0))-H37)</f>
        <v>10646.09024</v>
      </c>
    </row>
    <row r="38" ht="12.75" customHeight="1">
      <c r="A38" s="118">
        <v>132.0</v>
      </c>
      <c r="B38" s="119" t="s">
        <v>183</v>
      </c>
      <c r="C38" s="120" t="s">
        <v>86</v>
      </c>
      <c r="D38" s="120" t="s">
        <v>28</v>
      </c>
      <c r="E38" s="120" t="s">
        <v>115</v>
      </c>
      <c r="F38" s="121" t="s">
        <v>138</v>
      </c>
      <c r="G38" s="122">
        <v>220.0</v>
      </c>
      <c r="H38" s="123">
        <v>8461.0</v>
      </c>
      <c r="I38" s="124">
        <f>VLOOKUP(C38,'Estrutura Salarial'!B:F,5,0)</f>
        <v>18</v>
      </c>
      <c r="J38" s="125">
        <f>IF(F38="CLT",IFERROR(VLOOKUP(I38,'Tabela Salarial_CLT'!B:C,2,0),""),IFERROR(VLOOKUP(I38,'Tabela Salarial_PJ'!B:C,2,0),""))</f>
        <v>8329.66</v>
      </c>
      <c r="K38" s="125">
        <f t="shared" si="1"/>
        <v>-131.34</v>
      </c>
      <c r="L38" s="125">
        <f t="shared" si="2"/>
        <v>0</v>
      </c>
      <c r="M38" s="126">
        <f>IF(F38="CLT",H38/(VLOOKUP(I38,'Tabela Salarial_CLT'!B:G,6,0)),H38/(VLOOKUP(I38,'Tabela Salarial_PJ'!B:G,6,0)))</f>
        <v>0.8126138101</v>
      </c>
      <c r="N38" s="127">
        <f>IF(F38="CLT",IFERROR(VLOOKUP(I38,'Tabela Salarial_CLT'!B:G,6,0),""),IFERROR(VLOOKUP(I38,'Tabela Salarial_PJ'!B:G,6,0),""))</f>
        <v>10412.08</v>
      </c>
      <c r="O38" s="128">
        <f t="shared" si="3"/>
        <v>1951.08</v>
      </c>
      <c r="P38" s="128">
        <f t="shared" si="4"/>
        <v>1951.08</v>
      </c>
      <c r="Q38" s="128">
        <f>IF(F38="CLT",(VLOOKUP(I38,'Tabela Salarial_CLT'!B:K,10,0))-H38,(VLOOKUP(I38,'Tabela Salarial_PJ'!B:K,10,0))-H38)</f>
        <v>4033.496</v>
      </c>
    </row>
    <row r="39" ht="12.75" customHeight="1">
      <c r="A39" s="118">
        <v>182.0</v>
      </c>
      <c r="B39" s="119" t="s">
        <v>183</v>
      </c>
      <c r="C39" s="120" t="s">
        <v>86</v>
      </c>
      <c r="D39" s="120" t="s">
        <v>28</v>
      </c>
      <c r="E39" s="120" t="s">
        <v>115</v>
      </c>
      <c r="F39" s="121" t="s">
        <v>138</v>
      </c>
      <c r="G39" s="122">
        <v>220.0</v>
      </c>
      <c r="H39" s="123">
        <v>11540.0</v>
      </c>
      <c r="I39" s="124">
        <f>VLOOKUP(C39,'Estrutura Salarial'!B:F,5,0)</f>
        <v>18</v>
      </c>
      <c r="J39" s="125">
        <f>IF(F39="CLT",IFERROR(VLOOKUP(I39,'Tabela Salarial_CLT'!B:C,2,0),""),IFERROR(VLOOKUP(I39,'Tabela Salarial_PJ'!B:C,2,0),""))</f>
        <v>8329.66</v>
      </c>
      <c r="K39" s="125">
        <f t="shared" si="1"/>
        <v>-3210.34</v>
      </c>
      <c r="L39" s="125">
        <f t="shared" si="2"/>
        <v>0</v>
      </c>
      <c r="M39" s="126">
        <f>IF(F39="CLT",H39/(VLOOKUP(I39,'Tabela Salarial_CLT'!B:G,6,0)),H39/(VLOOKUP(I39,'Tabela Salarial_PJ'!B:G,6,0)))</f>
        <v>1.108328019</v>
      </c>
      <c r="N39" s="127">
        <f>IF(F39="CLT",IFERROR(VLOOKUP(I39,'Tabela Salarial_CLT'!B:G,6,0),""),IFERROR(VLOOKUP(I39,'Tabela Salarial_PJ'!B:G,6,0),""))</f>
        <v>10412.08</v>
      </c>
      <c r="O39" s="128">
        <f t="shared" si="3"/>
        <v>-1127.92</v>
      </c>
      <c r="P39" s="128">
        <f t="shared" si="4"/>
        <v>0</v>
      </c>
      <c r="Q39" s="128">
        <f>IF(F39="CLT",(VLOOKUP(I39,'Tabela Salarial_CLT'!B:K,10,0))-H39,(VLOOKUP(I39,'Tabela Salarial_PJ'!B:K,10,0))-H39)</f>
        <v>954.496</v>
      </c>
    </row>
    <row r="40" ht="12.75" customHeight="1">
      <c r="A40" s="118">
        <v>1351.0</v>
      </c>
      <c r="B40" s="119" t="s">
        <v>184</v>
      </c>
      <c r="C40" s="120" t="s">
        <v>79</v>
      </c>
      <c r="D40" s="120" t="s">
        <v>30</v>
      </c>
      <c r="E40" s="120" t="s">
        <v>115</v>
      </c>
      <c r="F40" s="121" t="s">
        <v>138</v>
      </c>
      <c r="G40" s="122">
        <v>220.0</v>
      </c>
      <c r="H40" s="123">
        <v>8714.0</v>
      </c>
      <c r="I40" s="124">
        <f>VLOOKUP(C40,'Estrutura Salarial'!B:F,5,0)</f>
        <v>17</v>
      </c>
      <c r="J40" s="125">
        <f>IF(F40="CLT",IFERROR(VLOOKUP(I40,'Tabela Salarial_CLT'!B:C,2,0),""),IFERROR(VLOOKUP(I40,'Tabela Salarial_PJ'!B:C,2,0),""))</f>
        <v>6829.98</v>
      </c>
      <c r="K40" s="125">
        <f t="shared" si="1"/>
        <v>-1884.02</v>
      </c>
      <c r="L40" s="125">
        <f t="shared" si="2"/>
        <v>0</v>
      </c>
      <c r="M40" s="126">
        <f>IF(F40="CLT",H40/(VLOOKUP(I40,'Tabela Salarial_CLT'!B:G,6,0)),H40/(VLOOKUP(I40,'Tabela Salarial_PJ'!B:G,6,0)))</f>
        <v>1.020677086</v>
      </c>
      <c r="N40" s="127">
        <f>IF(F40="CLT",IFERROR(VLOOKUP(I40,'Tabela Salarial_CLT'!B:G,6,0),""),IFERROR(VLOOKUP(I40,'Tabela Salarial_PJ'!B:G,6,0),""))</f>
        <v>8537.47</v>
      </c>
      <c r="O40" s="128">
        <f t="shared" si="3"/>
        <v>-176.53</v>
      </c>
      <c r="P40" s="128">
        <f t="shared" si="4"/>
        <v>0</v>
      </c>
      <c r="Q40" s="128">
        <f>IF(F40="CLT",(VLOOKUP(I40,'Tabela Salarial_CLT'!B:K,10,0))-H40,(VLOOKUP(I40,'Tabela Salarial_PJ'!B:K,10,0))-H40)</f>
        <v>1530.964</v>
      </c>
    </row>
    <row r="41" ht="12.75" customHeight="1">
      <c r="A41" s="118" t="s">
        <v>185</v>
      </c>
      <c r="B41" s="119" t="s">
        <v>186</v>
      </c>
      <c r="C41" s="120" t="s">
        <v>81</v>
      </c>
      <c r="D41" s="120" t="s">
        <v>28</v>
      </c>
      <c r="E41" s="120" t="s">
        <v>115</v>
      </c>
      <c r="F41" s="121" t="s">
        <v>144</v>
      </c>
      <c r="G41" s="122">
        <v>220.0</v>
      </c>
      <c r="H41" s="129">
        <v>8390.0</v>
      </c>
      <c r="I41" s="124">
        <f>VLOOKUP(C41,'Estrutura Salarial'!B:F,5,0)</f>
        <v>17</v>
      </c>
      <c r="J41" s="125">
        <f>IF(F41="CLT",IFERROR(VLOOKUP(I41,'Tabela Salarial_CLT'!B:C,2,0),""),IFERROR(VLOOKUP(I41,'Tabela Salarial_PJ'!B:C,2,0),""))</f>
        <v>10244.96</v>
      </c>
      <c r="K41" s="125">
        <f t="shared" si="1"/>
        <v>1854.96</v>
      </c>
      <c r="L41" s="125">
        <f t="shared" si="2"/>
        <v>1854.96</v>
      </c>
      <c r="M41" s="126">
        <f>IF(F41="CLT",H41/(VLOOKUP(I41,'Tabela Salarial_CLT'!B:G,6,0)),H41/(VLOOKUP(I41,'Tabela Salarial_PJ'!B:G,6,0)))</f>
        <v>0.6551511552</v>
      </c>
      <c r="N41" s="127">
        <f>IF(F41="CLT",IFERROR(VLOOKUP(I41,'Tabela Salarial_CLT'!B:G,6,0),""),IFERROR(VLOOKUP(I41,'Tabela Salarial_PJ'!B:G,6,0),""))</f>
        <v>12806.205</v>
      </c>
      <c r="O41" s="128">
        <f t="shared" si="3"/>
        <v>4416.205</v>
      </c>
      <c r="P41" s="128">
        <f t="shared" si="4"/>
        <v>4416.205</v>
      </c>
      <c r="Q41" s="128">
        <f>IF(F41="CLT",(VLOOKUP(I41,'Tabela Salarial_CLT'!B:K,10,0))-H41,(VLOOKUP(I41,'Tabela Salarial_PJ'!B:K,10,0))-H41)</f>
        <v>6977.446</v>
      </c>
    </row>
    <row r="42" ht="12.75" customHeight="1">
      <c r="A42" s="118" t="s">
        <v>187</v>
      </c>
      <c r="B42" s="119" t="s">
        <v>188</v>
      </c>
      <c r="C42" s="120" t="s">
        <v>97</v>
      </c>
      <c r="D42" s="120" t="s">
        <v>30</v>
      </c>
      <c r="E42" s="120" t="s">
        <v>143</v>
      </c>
      <c r="F42" s="121" t="s">
        <v>144</v>
      </c>
      <c r="G42" s="122">
        <v>220.0</v>
      </c>
      <c r="H42" s="129">
        <v>19000.0</v>
      </c>
      <c r="I42" s="124">
        <f>VLOOKUP(C42,'Estrutura Salarial'!B:F,5,0)</f>
        <v>19</v>
      </c>
      <c r="J42" s="125">
        <f>IF(F42="CLT",IFERROR(VLOOKUP(I42,'Tabela Salarial_CLT'!B:C,2,0),""),IFERROR(VLOOKUP(I42,'Tabela Salarial_PJ'!B:C,2,0),""))</f>
        <v>14314.38</v>
      </c>
      <c r="K42" s="125">
        <f t="shared" si="1"/>
        <v>-4685.62</v>
      </c>
      <c r="L42" s="125">
        <f t="shared" si="2"/>
        <v>0</v>
      </c>
      <c r="M42" s="126">
        <f>IF(F42="CLT",H42/(VLOOKUP(I42,'Tabela Salarial_CLT'!B:G,6,0)),H42/(VLOOKUP(I42,'Tabela Salarial_PJ'!B:G,6,0)))</f>
        <v>1.061869422</v>
      </c>
      <c r="N42" s="127">
        <f>IF(F42="CLT",IFERROR(VLOOKUP(I42,'Tabela Salarial_CLT'!B:G,6,0),""),IFERROR(VLOOKUP(I42,'Tabela Salarial_PJ'!B:G,6,0),""))</f>
        <v>17892.97215</v>
      </c>
      <c r="O42" s="128">
        <f t="shared" si="3"/>
        <v>-1107.02785</v>
      </c>
      <c r="P42" s="128">
        <f t="shared" si="4"/>
        <v>0</v>
      </c>
      <c r="Q42" s="128">
        <f>IF(F42="CLT",(VLOOKUP(I42,'Tabela Salarial_CLT'!B:K,10,0))-H42,(VLOOKUP(I42,'Tabela Salarial_PJ'!B:K,10,0))-H42)</f>
        <v>2471.56658</v>
      </c>
    </row>
    <row r="43" ht="12.75" customHeight="1">
      <c r="A43" s="118" t="s">
        <v>189</v>
      </c>
      <c r="B43" s="119" t="s">
        <v>190</v>
      </c>
      <c r="C43" s="130" t="s">
        <v>102</v>
      </c>
      <c r="D43" s="120" t="s">
        <v>10</v>
      </c>
      <c r="E43" s="120" t="s">
        <v>143</v>
      </c>
      <c r="F43" s="121" t="s">
        <v>144</v>
      </c>
      <c r="G43" s="122">
        <v>220.0</v>
      </c>
      <c r="H43" s="129">
        <v>16160.0</v>
      </c>
      <c r="I43" s="124">
        <f>VLOOKUP(C43,'Estrutura Salarial'!B:F,5,0)</f>
        <v>21</v>
      </c>
      <c r="J43" s="125">
        <f>IF(F43="CLT",IFERROR(VLOOKUP(I43,'Tabela Salarial_CLT'!B:C,2,0),""),IFERROR(VLOOKUP(I43,'Tabela Salarial_PJ'!B:C,2,0),""))</f>
        <v>20755.89</v>
      </c>
      <c r="K43" s="125">
        <f t="shared" si="1"/>
        <v>4595.89</v>
      </c>
      <c r="L43" s="125">
        <f t="shared" si="2"/>
        <v>4595.89</v>
      </c>
      <c r="M43" s="126">
        <f>IF(F43="CLT",H43/(VLOOKUP(I43,'Tabela Salarial_CLT'!B:G,6,0)),H43/(VLOOKUP(I43,'Tabela Salarial_PJ'!B:G,6,0)))</f>
        <v>0.6228594062</v>
      </c>
      <c r="N43" s="127">
        <f>IF(F43="CLT",IFERROR(VLOOKUP(I43,'Tabela Salarial_CLT'!B:G,6,0),""),IFERROR(VLOOKUP(I43,'Tabela Salarial_PJ'!B:G,6,0),""))</f>
        <v>25944.85985</v>
      </c>
      <c r="O43" s="128">
        <f t="shared" si="3"/>
        <v>9784.85985</v>
      </c>
      <c r="P43" s="128">
        <f t="shared" si="4"/>
        <v>9784.85985</v>
      </c>
      <c r="Q43" s="128">
        <f>IF(F43="CLT",(VLOOKUP(I43,'Tabela Salarial_CLT'!B:K,10,0))-H43,(VLOOKUP(I43,'Tabela Salarial_PJ'!B:K,10,0))-H43)</f>
        <v>14973.83182</v>
      </c>
    </row>
    <row r="44" ht="12.75" customHeight="1">
      <c r="A44" s="118" t="s">
        <v>191</v>
      </c>
      <c r="B44" s="119" t="s">
        <v>192</v>
      </c>
      <c r="C44" s="120" t="s">
        <v>99</v>
      </c>
      <c r="D44" s="120" t="s">
        <v>90</v>
      </c>
      <c r="E44" s="120" t="s">
        <v>143</v>
      </c>
      <c r="F44" s="121" t="s">
        <v>144</v>
      </c>
      <c r="G44" s="122">
        <v>220.0</v>
      </c>
      <c r="H44" s="129">
        <v>15960.0</v>
      </c>
      <c r="I44" s="124">
        <f>VLOOKUP(C44,'Estrutura Salarial'!B:F,5,0)</f>
        <v>19</v>
      </c>
      <c r="J44" s="125">
        <f>IF(F44="CLT",IFERROR(VLOOKUP(I44,'Tabela Salarial_CLT'!B:C,2,0),""),IFERROR(VLOOKUP(I44,'Tabela Salarial_PJ'!B:C,2,0),""))</f>
        <v>14314.38</v>
      </c>
      <c r="K44" s="125">
        <f t="shared" si="1"/>
        <v>-1645.62</v>
      </c>
      <c r="L44" s="125">
        <f t="shared" si="2"/>
        <v>0</v>
      </c>
      <c r="M44" s="126">
        <f>IF(F44="CLT",H44/(VLOOKUP(I44,'Tabela Salarial_CLT'!B:G,6,0)),H44/(VLOOKUP(I44,'Tabela Salarial_PJ'!B:G,6,0)))</f>
        <v>0.8919703147</v>
      </c>
      <c r="N44" s="127">
        <f>IF(F44="CLT",IFERROR(VLOOKUP(I44,'Tabela Salarial_CLT'!B:G,6,0),""),IFERROR(VLOOKUP(I44,'Tabela Salarial_PJ'!B:G,6,0),""))</f>
        <v>17892.97215</v>
      </c>
      <c r="O44" s="128">
        <f t="shared" si="3"/>
        <v>1932.97215</v>
      </c>
      <c r="P44" s="128">
        <f t="shared" si="4"/>
        <v>1932.97215</v>
      </c>
      <c r="Q44" s="128">
        <f>IF(F44="CLT",(VLOOKUP(I44,'Tabela Salarial_CLT'!B:K,10,0))-H44,(VLOOKUP(I44,'Tabela Salarial_PJ'!B:K,10,0))-H44)</f>
        <v>5511.56658</v>
      </c>
    </row>
    <row r="45" ht="12.75" customHeight="1">
      <c r="A45" s="118" t="s">
        <v>193</v>
      </c>
      <c r="B45" s="119" t="s">
        <v>194</v>
      </c>
      <c r="C45" s="120" t="s">
        <v>103</v>
      </c>
      <c r="D45" s="120" t="s">
        <v>30</v>
      </c>
      <c r="E45" s="120" t="s">
        <v>143</v>
      </c>
      <c r="F45" s="121" t="s">
        <v>144</v>
      </c>
      <c r="G45" s="122">
        <v>220.0</v>
      </c>
      <c r="H45" s="129">
        <v>39740.0</v>
      </c>
      <c r="I45" s="124">
        <f>VLOOKUP(C45,'Estrutura Salarial'!B:F,5,0)</f>
        <v>23</v>
      </c>
      <c r="J45" s="125">
        <f>IF(F45="CLT",IFERROR(VLOOKUP(I45,'Tabela Salarial_CLT'!B:C,2,0),""),IFERROR(VLOOKUP(I45,'Tabela Salarial_PJ'!B:C,2,0),""))</f>
        <v>27356.45</v>
      </c>
      <c r="K45" s="125">
        <f t="shared" si="1"/>
        <v>-12383.55</v>
      </c>
      <c r="L45" s="125">
        <f t="shared" si="2"/>
        <v>0</v>
      </c>
      <c r="M45" s="126">
        <f>IF(F45="CLT",H45/(VLOOKUP(I45,'Tabela Salarial_CLT'!B:G,6,0)),H45/(VLOOKUP(I45,'Tabela Salarial_PJ'!B:G,6,0)))</f>
        <v>1.162139056</v>
      </c>
      <c r="N45" s="127">
        <f>IF(F45="CLT",IFERROR(VLOOKUP(I45,'Tabela Salarial_CLT'!B:G,6,0),""),IFERROR(VLOOKUP(I45,'Tabela Salarial_PJ'!B:G,6,0),""))</f>
        <v>34195.5636</v>
      </c>
      <c r="O45" s="128">
        <f t="shared" si="3"/>
        <v>-5544.4364</v>
      </c>
      <c r="P45" s="128">
        <f t="shared" si="4"/>
        <v>0</v>
      </c>
      <c r="Q45" s="128">
        <f>IF(F45="CLT",(VLOOKUP(I45,'Tabela Salarial_CLT'!B:K,10,0))-H45,(VLOOKUP(I45,'Tabela Salarial_PJ'!B:K,10,0))-H45)</f>
        <v>1294.67632</v>
      </c>
    </row>
    <row r="46" ht="12.75" customHeight="1">
      <c r="A46" s="118" t="s">
        <v>195</v>
      </c>
      <c r="B46" s="119" t="s">
        <v>196</v>
      </c>
      <c r="C46" s="120" t="s">
        <v>89</v>
      </c>
      <c r="D46" s="120" t="s">
        <v>90</v>
      </c>
      <c r="E46" s="120" t="s">
        <v>143</v>
      </c>
      <c r="F46" s="121" t="s">
        <v>144</v>
      </c>
      <c r="G46" s="122">
        <v>220.0</v>
      </c>
      <c r="H46" s="129">
        <v>5125.0</v>
      </c>
      <c r="I46" s="124">
        <f>VLOOKUP(C46,'Estrutura Salarial'!B:F,5,0)</f>
        <v>18</v>
      </c>
      <c r="J46" s="125">
        <f>IF(F46="CLT",IFERROR(VLOOKUP(I46,'Tabela Salarial_CLT'!B:C,2,0),""),IFERROR(VLOOKUP(I46,'Tabela Salarial_PJ'!B:C,2,0),""))</f>
        <v>12105.78</v>
      </c>
      <c r="K46" s="125">
        <f t="shared" si="1"/>
        <v>6980.78</v>
      </c>
      <c r="L46" s="125">
        <f t="shared" si="2"/>
        <v>6980.78</v>
      </c>
      <c r="M46" s="126">
        <f>IF(F46="CLT",H46/(VLOOKUP(I46,'Tabela Salarial_CLT'!B:G,6,0)),H46/(VLOOKUP(I46,'Tabela Salarial_PJ'!B:G,6,0)))</f>
        <v>0.3386812383</v>
      </c>
      <c r="N46" s="127">
        <f>IF(F46="CLT",IFERROR(VLOOKUP(I46,'Tabela Salarial_CLT'!B:G,6,0),""),IFERROR(VLOOKUP(I46,'Tabela Salarial_PJ'!B:G,6,0),""))</f>
        <v>15132.22293</v>
      </c>
      <c r="O46" s="128">
        <f t="shared" si="3"/>
        <v>10007.22293</v>
      </c>
      <c r="P46" s="128">
        <f t="shared" si="4"/>
        <v>10007.22293</v>
      </c>
      <c r="Q46" s="128">
        <f>IF(F46="CLT",(VLOOKUP(I46,'Tabela Salarial_CLT'!B:K,10,0))-H46,(VLOOKUP(I46,'Tabela Salarial_PJ'!B:K,10,0))-H46)</f>
        <v>13033.66752</v>
      </c>
    </row>
    <row r="47" ht="12.75" customHeight="1">
      <c r="A47" s="118" t="s">
        <v>197</v>
      </c>
      <c r="B47" s="119" t="s">
        <v>198</v>
      </c>
      <c r="C47" s="120" t="s">
        <v>91</v>
      </c>
      <c r="D47" s="120" t="s">
        <v>90</v>
      </c>
      <c r="E47" s="120" t="s">
        <v>143</v>
      </c>
      <c r="F47" s="121" t="s">
        <v>144</v>
      </c>
      <c r="G47" s="122">
        <v>220.0</v>
      </c>
      <c r="H47" s="129">
        <v>5266.0</v>
      </c>
      <c r="I47" s="124">
        <f>VLOOKUP(C47,'Estrutura Salarial'!B:F,5,0)</f>
        <v>18</v>
      </c>
      <c r="J47" s="125">
        <f>IF(F47="CLT",IFERROR(VLOOKUP(I47,'Tabela Salarial_CLT'!B:C,2,0),""),IFERROR(VLOOKUP(I47,'Tabela Salarial_PJ'!B:C,2,0),""))</f>
        <v>12105.78</v>
      </c>
      <c r="K47" s="125">
        <f t="shared" si="1"/>
        <v>6839.78</v>
      </c>
      <c r="L47" s="125">
        <f t="shared" si="2"/>
        <v>6839.78</v>
      </c>
      <c r="M47" s="126">
        <f>IF(F47="CLT",H47/(VLOOKUP(I47,'Tabela Salarial_CLT'!B:G,6,0)),H47/(VLOOKUP(I47,'Tabela Salarial_PJ'!B:G,6,0)))</f>
        <v>0.3479991026</v>
      </c>
      <c r="N47" s="127">
        <f>IF(F47="CLT",IFERROR(VLOOKUP(I47,'Tabela Salarial_CLT'!B:G,6,0),""),IFERROR(VLOOKUP(I47,'Tabela Salarial_PJ'!B:G,6,0),""))</f>
        <v>15132.22293</v>
      </c>
      <c r="O47" s="128">
        <f t="shared" si="3"/>
        <v>9866.22293</v>
      </c>
      <c r="P47" s="128">
        <f t="shared" si="4"/>
        <v>9866.22293</v>
      </c>
      <c r="Q47" s="128">
        <f>IF(F47="CLT",(VLOOKUP(I47,'Tabela Salarial_CLT'!B:K,10,0))-H47,(VLOOKUP(I47,'Tabela Salarial_PJ'!B:K,10,0))-H47)</f>
        <v>12892.66752</v>
      </c>
    </row>
    <row r="48" ht="12.75" customHeight="1">
      <c r="A48" s="118" t="s">
        <v>199</v>
      </c>
      <c r="B48" s="119" t="s">
        <v>198</v>
      </c>
      <c r="C48" s="120" t="s">
        <v>91</v>
      </c>
      <c r="D48" s="120" t="s">
        <v>90</v>
      </c>
      <c r="E48" s="120" t="s">
        <v>143</v>
      </c>
      <c r="F48" s="121" t="s">
        <v>144</v>
      </c>
      <c r="G48" s="122">
        <v>220.0</v>
      </c>
      <c r="H48" s="129">
        <v>5795.0</v>
      </c>
      <c r="I48" s="124">
        <f>VLOOKUP(C48,'Estrutura Salarial'!B:F,5,0)</f>
        <v>18</v>
      </c>
      <c r="J48" s="125">
        <f>IF(F48="CLT",IFERROR(VLOOKUP(I48,'Tabela Salarial_CLT'!B:C,2,0),""),IFERROR(VLOOKUP(I48,'Tabela Salarial_PJ'!B:C,2,0),""))</f>
        <v>12105.78</v>
      </c>
      <c r="K48" s="125">
        <f t="shared" si="1"/>
        <v>6310.78</v>
      </c>
      <c r="L48" s="125">
        <f t="shared" si="2"/>
        <v>6310.78</v>
      </c>
      <c r="M48" s="126">
        <f>IF(F48="CLT",H48/(VLOOKUP(I48,'Tabela Salarial_CLT'!B:G,6,0)),H48/(VLOOKUP(I48,'Tabela Salarial_PJ'!B:G,6,0)))</f>
        <v>0.3829576148</v>
      </c>
      <c r="N48" s="127">
        <f>IF(F48="CLT",IFERROR(VLOOKUP(I48,'Tabela Salarial_CLT'!B:G,6,0),""),IFERROR(VLOOKUP(I48,'Tabela Salarial_PJ'!B:G,6,0),""))</f>
        <v>15132.22293</v>
      </c>
      <c r="O48" s="128">
        <f t="shared" si="3"/>
        <v>9337.22293</v>
      </c>
      <c r="P48" s="128">
        <f t="shared" si="4"/>
        <v>9337.22293</v>
      </c>
      <c r="Q48" s="128">
        <f>IF(F48="CLT",(VLOOKUP(I48,'Tabela Salarial_CLT'!B:K,10,0))-H48,(VLOOKUP(I48,'Tabela Salarial_PJ'!B:K,10,0))-H48)</f>
        <v>12363.66752</v>
      </c>
    </row>
    <row r="49" ht="12.75" customHeight="1">
      <c r="A49" s="118" t="s">
        <v>200</v>
      </c>
      <c r="B49" s="119" t="s">
        <v>201</v>
      </c>
      <c r="C49" s="120" t="s">
        <v>108</v>
      </c>
      <c r="D49" s="120" t="s">
        <v>107</v>
      </c>
      <c r="E49" s="120" t="s">
        <v>143</v>
      </c>
      <c r="F49" s="121" t="s">
        <v>144</v>
      </c>
      <c r="G49" s="122">
        <v>220.0</v>
      </c>
      <c r="H49" s="129">
        <v>18540.0</v>
      </c>
      <c r="I49" s="124">
        <f>VLOOKUP(C49,'Estrutura Salarial'!B:F,5,0)</f>
        <v>20</v>
      </c>
      <c r="J49" s="125">
        <f>IF(F49="CLT",IFERROR(VLOOKUP(I49,'Tabela Salarial_CLT'!B:C,2,0),""),IFERROR(VLOOKUP(I49,'Tabela Salarial_PJ'!B:C,2,0),""))</f>
        <v>17290.17</v>
      </c>
      <c r="K49" s="125">
        <f t="shared" si="1"/>
        <v>-1249.83</v>
      </c>
      <c r="L49" s="125">
        <f t="shared" si="2"/>
        <v>0</v>
      </c>
      <c r="M49" s="126">
        <f>IF(F49="CLT",H49/(VLOOKUP(I49,'Tabela Salarial_CLT'!B:G,6,0)),H49/(VLOOKUP(I49,'Tabela Salarial_PJ'!B:G,6,0)))</f>
        <v>0.8578285648</v>
      </c>
      <c r="N49" s="127">
        <f>IF(F49="CLT",IFERROR(VLOOKUP(I49,'Tabela Salarial_CLT'!B:G,6,0),""),IFERROR(VLOOKUP(I49,'Tabela Salarial_PJ'!B:G,6,0),""))</f>
        <v>21612.71</v>
      </c>
      <c r="O49" s="128">
        <f t="shared" si="3"/>
        <v>3072.71</v>
      </c>
      <c r="P49" s="128">
        <f t="shared" si="4"/>
        <v>3072.71</v>
      </c>
      <c r="Q49" s="128">
        <f>IF(F49="CLT",(VLOOKUP(I49,'Tabela Salarial_CLT'!B:K,10,0))-H49,(VLOOKUP(I49,'Tabela Salarial_PJ'!B:K,10,0))-H49)</f>
        <v>7395.252</v>
      </c>
    </row>
    <row r="50" ht="12.75" customHeight="1">
      <c r="A50" s="118" t="s">
        <v>202</v>
      </c>
      <c r="B50" s="119" t="s">
        <v>203</v>
      </c>
      <c r="C50" s="120" t="s">
        <v>92</v>
      </c>
      <c r="D50" s="120" t="s">
        <v>90</v>
      </c>
      <c r="E50" s="120" t="s">
        <v>143</v>
      </c>
      <c r="F50" s="121" t="s">
        <v>144</v>
      </c>
      <c r="G50" s="122">
        <v>220.0</v>
      </c>
      <c r="H50" s="129">
        <v>5640.0</v>
      </c>
      <c r="I50" s="124">
        <f>VLOOKUP(C50,'Estrutura Salarial'!B:F,5,0)</f>
        <v>18</v>
      </c>
      <c r="J50" s="125">
        <f>IF(F50="CLT",IFERROR(VLOOKUP(I50,'Tabela Salarial_CLT'!B:C,2,0),""),IFERROR(VLOOKUP(I50,'Tabela Salarial_PJ'!B:C,2,0),""))</f>
        <v>12105.78</v>
      </c>
      <c r="K50" s="125">
        <f t="shared" si="1"/>
        <v>6465.78</v>
      </c>
      <c r="L50" s="125">
        <f t="shared" si="2"/>
        <v>6465.78</v>
      </c>
      <c r="M50" s="126">
        <f>IF(F50="CLT",H50/(VLOOKUP(I50,'Tabela Salarial_CLT'!B:G,6,0)),H50/(VLOOKUP(I50,'Tabela Salarial_PJ'!B:G,6,0)))</f>
        <v>0.3727145725</v>
      </c>
      <c r="N50" s="127">
        <f>IF(F50="CLT",IFERROR(VLOOKUP(I50,'Tabela Salarial_CLT'!B:G,6,0),""),IFERROR(VLOOKUP(I50,'Tabela Salarial_PJ'!B:G,6,0),""))</f>
        <v>15132.22293</v>
      </c>
      <c r="O50" s="128">
        <f t="shared" si="3"/>
        <v>9492.22293</v>
      </c>
      <c r="P50" s="128">
        <f t="shared" si="4"/>
        <v>9492.22293</v>
      </c>
      <c r="Q50" s="128">
        <f>IF(F50="CLT",(VLOOKUP(I50,'Tabela Salarial_CLT'!B:K,10,0))-H50,(VLOOKUP(I50,'Tabela Salarial_PJ'!B:K,10,0))-H50)</f>
        <v>12518.66752</v>
      </c>
    </row>
    <row r="51" ht="12.75" customHeight="1">
      <c r="A51" s="118" t="s">
        <v>204</v>
      </c>
      <c r="B51" s="119" t="s">
        <v>203</v>
      </c>
      <c r="C51" s="130" t="s">
        <v>92</v>
      </c>
      <c r="D51" s="122" t="s">
        <v>90</v>
      </c>
      <c r="E51" s="120" t="s">
        <v>143</v>
      </c>
      <c r="F51" s="121" t="s">
        <v>144</v>
      </c>
      <c r="G51" s="122">
        <v>220.0</v>
      </c>
      <c r="H51" s="129">
        <v>5050.0</v>
      </c>
      <c r="I51" s="124">
        <f>VLOOKUP(C51,'Estrutura Salarial'!B:F,5,0)</f>
        <v>18</v>
      </c>
      <c r="J51" s="125">
        <f>IF(F51="CLT",IFERROR(VLOOKUP(I51,'Tabela Salarial_CLT'!B:C,2,0),""),IFERROR(VLOOKUP(I51,'Tabela Salarial_PJ'!B:C,2,0),""))</f>
        <v>12105.78</v>
      </c>
      <c r="K51" s="125">
        <f t="shared" si="1"/>
        <v>7055.78</v>
      </c>
      <c r="L51" s="125">
        <f t="shared" si="2"/>
        <v>7055.78</v>
      </c>
      <c r="M51" s="126">
        <f>IF(F51="CLT",H51/(VLOOKUP(I51,'Tabela Salarial_CLT'!B:G,6,0)),H51/(VLOOKUP(I51,'Tabela Salarial_PJ'!B:G,6,0)))</f>
        <v>0.3337249275</v>
      </c>
      <c r="N51" s="127">
        <f>IF(F51="CLT",IFERROR(VLOOKUP(I51,'Tabela Salarial_CLT'!B:G,6,0),""),IFERROR(VLOOKUP(I51,'Tabela Salarial_PJ'!B:G,6,0),""))</f>
        <v>15132.22293</v>
      </c>
      <c r="O51" s="128">
        <f t="shared" si="3"/>
        <v>10082.22293</v>
      </c>
      <c r="P51" s="128">
        <f t="shared" si="4"/>
        <v>10082.22293</v>
      </c>
      <c r="Q51" s="128">
        <f>IF(F51="CLT",(VLOOKUP(I51,'Tabela Salarial_CLT'!B:K,10,0))-H51,(VLOOKUP(I51,'Tabela Salarial_PJ'!B:K,10,0))-H51)</f>
        <v>13108.66752</v>
      </c>
    </row>
    <row r="52" ht="12.75" customHeight="1">
      <c r="A52" s="118" t="s">
        <v>205</v>
      </c>
      <c r="B52" s="119" t="s">
        <v>206</v>
      </c>
      <c r="C52" s="120" t="s">
        <v>93</v>
      </c>
      <c r="D52" s="120" t="s">
        <v>90</v>
      </c>
      <c r="E52" s="120" t="s">
        <v>143</v>
      </c>
      <c r="F52" s="121" t="s">
        <v>144</v>
      </c>
      <c r="G52" s="122">
        <v>220.0</v>
      </c>
      <c r="H52" s="129">
        <v>5000.0</v>
      </c>
      <c r="I52" s="124">
        <f>VLOOKUP(C52,'Estrutura Salarial'!B:F,5,0)</f>
        <v>18</v>
      </c>
      <c r="J52" s="125">
        <f>IF(F52="CLT",IFERROR(VLOOKUP(I52,'Tabela Salarial_CLT'!B:C,2,0),""),IFERROR(VLOOKUP(I52,'Tabela Salarial_PJ'!B:C,2,0),""))</f>
        <v>12105.78</v>
      </c>
      <c r="K52" s="125">
        <f t="shared" si="1"/>
        <v>7105.78</v>
      </c>
      <c r="L52" s="125">
        <f t="shared" si="2"/>
        <v>7105.78</v>
      </c>
      <c r="M52" s="126">
        <f>IF(F52="CLT",H52/(VLOOKUP(I52,'Tabela Salarial_CLT'!B:G,6,0)),H52/(VLOOKUP(I52,'Tabela Salarial_PJ'!B:G,6,0)))</f>
        <v>0.3304207203</v>
      </c>
      <c r="N52" s="127">
        <f>IF(F52="CLT",IFERROR(VLOOKUP(I52,'Tabela Salarial_CLT'!B:G,6,0),""),IFERROR(VLOOKUP(I52,'Tabela Salarial_PJ'!B:G,6,0),""))</f>
        <v>15132.22293</v>
      </c>
      <c r="O52" s="128">
        <f t="shared" si="3"/>
        <v>10132.22293</v>
      </c>
      <c r="P52" s="128">
        <f t="shared" si="4"/>
        <v>10132.22293</v>
      </c>
      <c r="Q52" s="128">
        <f>IF(F52="CLT",(VLOOKUP(I52,'Tabela Salarial_CLT'!B:K,10,0))-H52,(VLOOKUP(I52,'Tabela Salarial_PJ'!B:K,10,0))-H52)</f>
        <v>13158.66752</v>
      </c>
    </row>
    <row r="53" ht="12.75" customHeight="1">
      <c r="A53" s="118" t="s">
        <v>207</v>
      </c>
      <c r="B53" s="119" t="s">
        <v>208</v>
      </c>
      <c r="C53" s="120" t="s">
        <v>105</v>
      </c>
      <c r="D53" s="120" t="s">
        <v>28</v>
      </c>
      <c r="E53" s="120" t="s">
        <v>143</v>
      </c>
      <c r="F53" s="121" t="s">
        <v>144</v>
      </c>
      <c r="G53" s="122">
        <v>220.0</v>
      </c>
      <c r="H53" s="129">
        <v>37000.0</v>
      </c>
      <c r="I53" s="124">
        <f>VLOOKUP(C53,'Estrutura Salarial'!B:F,5,0)</f>
        <v>23</v>
      </c>
      <c r="J53" s="125">
        <f>IF(F53="CLT",IFERROR(VLOOKUP(I53,'Tabela Salarial_CLT'!B:C,2,0),""),IFERROR(VLOOKUP(I53,'Tabela Salarial_PJ'!B:C,2,0),""))</f>
        <v>27356.45</v>
      </c>
      <c r="K53" s="125">
        <f t="shared" si="1"/>
        <v>-9643.55</v>
      </c>
      <c r="L53" s="125">
        <f t="shared" si="2"/>
        <v>0</v>
      </c>
      <c r="M53" s="126">
        <f>IF(F53="CLT",H53/(VLOOKUP(I53,'Tabela Salarial_CLT'!B:G,6,0)),H53/(VLOOKUP(I53,'Tabela Salarial_PJ'!B:G,6,0)))</f>
        <v>1.082011703</v>
      </c>
      <c r="N53" s="127">
        <f>IF(F53="CLT",IFERROR(VLOOKUP(I53,'Tabela Salarial_CLT'!B:G,6,0),""),IFERROR(VLOOKUP(I53,'Tabela Salarial_PJ'!B:G,6,0),""))</f>
        <v>34195.5636</v>
      </c>
      <c r="O53" s="128">
        <f t="shared" si="3"/>
        <v>-2804.4364</v>
      </c>
      <c r="P53" s="128">
        <f t="shared" si="4"/>
        <v>0</v>
      </c>
      <c r="Q53" s="128">
        <f>IF(F53="CLT",(VLOOKUP(I53,'Tabela Salarial_CLT'!B:K,10,0))-H53,(VLOOKUP(I53,'Tabela Salarial_PJ'!B:K,10,0))-H53)</f>
        <v>4034.67632</v>
      </c>
    </row>
    <row r="54" ht="12.75" customHeight="1">
      <c r="A54" s="118" t="s">
        <v>209</v>
      </c>
      <c r="B54" s="119" t="s">
        <v>210</v>
      </c>
      <c r="C54" s="131" t="s">
        <v>82</v>
      </c>
      <c r="D54" s="122" t="s">
        <v>83</v>
      </c>
      <c r="E54" s="120" t="s">
        <v>143</v>
      </c>
      <c r="F54" s="121" t="s">
        <v>144</v>
      </c>
      <c r="G54" s="122">
        <v>220.0</v>
      </c>
      <c r="H54" s="129">
        <v>12000.0</v>
      </c>
      <c r="I54" s="124">
        <f>VLOOKUP(C54,'Estrutura Salarial'!B:F,5,0)</f>
        <v>17</v>
      </c>
      <c r="J54" s="125">
        <f>IF(F54="CLT",IFERROR(VLOOKUP(I54,'Tabela Salarial_CLT'!B:C,2,0),""),IFERROR(VLOOKUP(I54,'Tabela Salarial_PJ'!B:C,2,0),""))</f>
        <v>10244.96</v>
      </c>
      <c r="K54" s="125">
        <f t="shared" si="1"/>
        <v>-1755.04</v>
      </c>
      <c r="L54" s="125">
        <f t="shared" si="2"/>
        <v>0</v>
      </c>
      <c r="M54" s="126">
        <f>IF(F54="CLT",H54/(VLOOKUP(I54,'Tabela Salarial_CLT'!B:G,6,0)),H54/(VLOOKUP(I54,'Tabela Salarial_PJ'!B:G,6,0)))</f>
        <v>0.9370457524</v>
      </c>
      <c r="N54" s="127">
        <f>IF(F54="CLT",IFERROR(VLOOKUP(I54,'Tabela Salarial_CLT'!B:G,6,0),""),IFERROR(VLOOKUP(I54,'Tabela Salarial_PJ'!B:G,6,0),""))</f>
        <v>12806.205</v>
      </c>
      <c r="O54" s="128">
        <f t="shared" si="3"/>
        <v>806.205</v>
      </c>
      <c r="P54" s="128">
        <f t="shared" si="4"/>
        <v>806.205</v>
      </c>
      <c r="Q54" s="128">
        <f>IF(F54="CLT",(VLOOKUP(I54,'Tabela Salarial_CLT'!B:K,10,0))-H54,(VLOOKUP(I54,'Tabela Salarial_PJ'!B:K,10,0))-H54)</f>
        <v>3367.446</v>
      </c>
    </row>
    <row r="55" ht="12.75" customHeight="1">
      <c r="A55" s="118">
        <v>186.0</v>
      </c>
      <c r="B55" s="119" t="s">
        <v>211</v>
      </c>
      <c r="C55" s="120" t="s">
        <v>71</v>
      </c>
      <c r="D55" s="122" t="s">
        <v>20</v>
      </c>
      <c r="E55" s="120" t="s">
        <v>115</v>
      </c>
      <c r="F55" s="121" t="s">
        <v>138</v>
      </c>
      <c r="G55" s="122">
        <v>220.0</v>
      </c>
      <c r="H55" s="123">
        <v>5955.08</v>
      </c>
      <c r="I55" s="124">
        <f>VLOOKUP(C55,'Estrutura Salarial'!B:F,5,0)</f>
        <v>16</v>
      </c>
      <c r="J55" s="125">
        <f>IF(F55="CLT",IFERROR(VLOOKUP(I55,'Tabela Salarial_CLT'!B:C,2,0),""),IFERROR(VLOOKUP(I55,'Tabela Salarial_PJ'!B:C,2,0),""))</f>
        <v>5587.39</v>
      </c>
      <c r="K55" s="125">
        <f t="shared" si="1"/>
        <v>-367.69</v>
      </c>
      <c r="L55" s="125">
        <f t="shared" si="2"/>
        <v>0</v>
      </c>
      <c r="M55" s="126">
        <f>IF(F55="CLT",H55/(VLOOKUP(I55,'Tabela Salarial_CLT'!B:G,6,0)),H55/(VLOOKUP(I55,'Tabela Salarial_PJ'!B:G,6,0)))</f>
        <v>0.8526453845</v>
      </c>
      <c r="N55" s="127">
        <f>IF(F55="CLT",IFERROR(VLOOKUP(I55,'Tabela Salarial_CLT'!B:G,6,0),""),IFERROR(VLOOKUP(I55,'Tabela Salarial_PJ'!B:G,6,0),""))</f>
        <v>6984.24</v>
      </c>
      <c r="O55" s="128">
        <f t="shared" si="3"/>
        <v>1029.16</v>
      </c>
      <c r="P55" s="128">
        <f t="shared" si="4"/>
        <v>1029.16</v>
      </c>
      <c r="Q55" s="128">
        <f>IF(F55="CLT",(VLOOKUP(I55,'Tabela Salarial_CLT'!B:K,10,0))-H55,(VLOOKUP(I55,'Tabela Salarial_PJ'!B:K,10,0))-H55)</f>
        <v>2426.008</v>
      </c>
    </row>
    <row r="56" ht="12.75" customHeight="1">
      <c r="A56" s="118" t="s">
        <v>212</v>
      </c>
      <c r="B56" s="119" t="s">
        <v>213</v>
      </c>
      <c r="C56" s="120" t="s">
        <v>74</v>
      </c>
      <c r="D56" s="122" t="s">
        <v>30</v>
      </c>
      <c r="E56" s="120" t="s">
        <v>115</v>
      </c>
      <c r="F56" s="121" t="s">
        <v>144</v>
      </c>
      <c r="G56" s="122">
        <v>220.0</v>
      </c>
      <c r="H56" s="129">
        <v>10430.0</v>
      </c>
      <c r="I56" s="124">
        <f>VLOOKUP(C56,'Estrutura Salarial'!B:F,5,0)</f>
        <v>16</v>
      </c>
      <c r="J56" s="125">
        <f>IF(F56="CLT",IFERROR(VLOOKUP(I56,'Tabela Salarial_CLT'!B:C,2,0),""),IFERROR(VLOOKUP(I56,'Tabela Salarial_PJ'!B:C,2,0),""))</f>
        <v>8325.21</v>
      </c>
      <c r="K56" s="125">
        <f t="shared" si="1"/>
        <v>-2104.79</v>
      </c>
      <c r="L56" s="125">
        <f t="shared" si="2"/>
        <v>0</v>
      </c>
      <c r="M56" s="126">
        <f>IF(F56="CLT",H56/(VLOOKUP(I56,'Tabela Salarial_CLT'!B:G,6,0)),H56/(VLOOKUP(I56,'Tabela Salarial_PJ'!B:G,6,0)))</f>
        <v>1.002256509</v>
      </c>
      <c r="N56" s="127">
        <f>IF(F56="CLT",IFERROR(VLOOKUP(I56,'Tabela Salarial_CLT'!B:G,6,0),""),IFERROR(VLOOKUP(I56,'Tabela Salarial_PJ'!B:G,6,0),""))</f>
        <v>10406.5176</v>
      </c>
      <c r="O56" s="128">
        <f t="shared" si="3"/>
        <v>-23.4824</v>
      </c>
      <c r="P56" s="128">
        <f t="shared" si="4"/>
        <v>0</v>
      </c>
      <c r="Q56" s="128">
        <f>IF(F56="CLT",(VLOOKUP(I56,'Tabela Salarial_CLT'!B:K,10,0))-H56,(VLOOKUP(I56,'Tabela Salarial_PJ'!B:K,10,0))-H56)</f>
        <v>2057.82112</v>
      </c>
    </row>
    <row r="57" ht="12.75" customHeight="1">
      <c r="A57" s="118">
        <v>1871.0</v>
      </c>
      <c r="B57" s="119" t="s">
        <v>214</v>
      </c>
      <c r="C57" s="120" t="s">
        <v>68</v>
      </c>
      <c r="D57" s="120" t="s">
        <v>30</v>
      </c>
      <c r="E57" s="120" t="s">
        <v>115</v>
      </c>
      <c r="F57" s="128" t="s">
        <v>138</v>
      </c>
      <c r="G57" s="122">
        <v>220.0</v>
      </c>
      <c r="H57" s="123">
        <v>8585.0</v>
      </c>
      <c r="I57" s="124">
        <f>VLOOKUP(C57,'Estrutura Salarial'!B:F,5,0)</f>
        <v>15</v>
      </c>
      <c r="J57" s="125">
        <f>IF(F57="CLT",IFERROR(VLOOKUP(I57,'Tabela Salarial_CLT'!B:C,2,0),""),IFERROR(VLOOKUP(I57,'Tabela Salarial_PJ'!B:C,2,0),""))</f>
        <v>4572.2</v>
      </c>
      <c r="K57" s="125">
        <f t="shared" si="1"/>
        <v>-4012.8</v>
      </c>
      <c r="L57" s="125">
        <f t="shared" si="2"/>
        <v>0</v>
      </c>
      <c r="M57" s="126">
        <f>IF(F57="CLT",H57/(VLOOKUP(I57,'Tabela Salarial_CLT'!B:G,6,0)),H57/(VLOOKUP(I57,'Tabela Salarial_PJ'!B:G,6,0)))</f>
        <v>1.502121517</v>
      </c>
      <c r="N57" s="127">
        <f>IF(F57="CLT",IFERROR(VLOOKUP(I57,'Tabela Salarial_CLT'!B:G,6,0),""),IFERROR(VLOOKUP(I57,'Tabela Salarial_PJ'!B:G,6,0),""))</f>
        <v>5715.25</v>
      </c>
      <c r="O57" s="128">
        <f t="shared" si="3"/>
        <v>-2869.75</v>
      </c>
      <c r="P57" s="128">
        <f t="shared" si="4"/>
        <v>0</v>
      </c>
      <c r="Q57" s="128">
        <f>IF(F57="CLT",(VLOOKUP(I57,'Tabela Salarial_CLT'!B:K,10,0))-H57,(VLOOKUP(I57,'Tabela Salarial_PJ'!B:K,10,0))-H57)</f>
        <v>-1726.7</v>
      </c>
    </row>
  </sheetData>
  <autoFilter ref="$A$1:$Q$57">
    <sortState ref="A1:Q57">
      <sortCondition ref="D1:D57"/>
      <sortCondition ref="M1:M57"/>
    </sortState>
  </autoFilter>
  <conditionalFormatting sqref="M2:M57">
    <cfRule type="cellIs" dxfId="0" priority="1" operator="lessThan">
      <formula>"80%"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43"/>
    <col customWidth="1" min="2" max="2" width="48.14"/>
    <col customWidth="1" min="3" max="3" width="21.43"/>
    <col customWidth="1" min="4" max="4" width="23.86"/>
    <col customWidth="1" min="5" max="5" width="13.14"/>
    <col customWidth="1" min="6" max="6" width="22.86"/>
    <col customWidth="1" min="7" max="7" width="23.14"/>
    <col customWidth="1" min="8" max="8" width="30.0"/>
    <col customWidth="1" min="9" max="9" width="31.14"/>
    <col customWidth="1" min="10" max="10" width="48.14"/>
    <col customWidth="1" min="11" max="11" width="13.14"/>
    <col customWidth="1" min="12" max="12" width="18.43"/>
    <col customWidth="1" min="13" max="13" width="18.86"/>
    <col customWidth="1" min="14" max="14" width="13.14"/>
    <col customWidth="1" min="15" max="15" width="20.29"/>
    <col customWidth="1" min="16" max="17" width="24.43"/>
    <col customWidth="1" min="18" max="19" width="38.0"/>
  </cols>
  <sheetData>
    <row r="1" ht="17.25" customHeight="1">
      <c r="A1" s="132" t="s">
        <v>215</v>
      </c>
      <c r="B1" s="133" t="s">
        <v>216</v>
      </c>
      <c r="C1" s="134" t="s">
        <v>125</v>
      </c>
      <c r="D1" s="135" t="s">
        <v>217</v>
      </c>
      <c r="E1" s="134" t="s">
        <v>127</v>
      </c>
      <c r="F1" s="136" t="s">
        <v>218</v>
      </c>
      <c r="G1" s="137" t="s">
        <v>219</v>
      </c>
      <c r="H1" s="136" t="s">
        <v>220</v>
      </c>
      <c r="I1" s="136" t="s">
        <v>221</v>
      </c>
      <c r="J1" s="133" t="s">
        <v>222</v>
      </c>
      <c r="K1" s="133" t="s">
        <v>223</v>
      </c>
      <c r="L1" s="133" t="s">
        <v>224</v>
      </c>
      <c r="M1" s="133" t="s">
        <v>225</v>
      </c>
      <c r="N1" s="138" t="s">
        <v>226</v>
      </c>
      <c r="O1" s="137" t="s">
        <v>227</v>
      </c>
      <c r="P1" s="137" t="s">
        <v>228</v>
      </c>
      <c r="Q1" s="137" t="s">
        <v>229</v>
      </c>
      <c r="R1" s="137" t="s">
        <v>230</v>
      </c>
      <c r="S1" s="137" t="s">
        <v>231</v>
      </c>
    </row>
    <row r="2">
      <c r="A2" s="139">
        <f>'Previsão Custo Enquadramento'!A2</f>
        <v>1362</v>
      </c>
      <c r="B2" s="140" t="str">
        <f>'Previsão Custo Enquadramento'!B2</f>
        <v>ALMOXARIFE</v>
      </c>
      <c r="C2" s="140" t="str">
        <f>'Previsão Custo Enquadramento'!F2</f>
        <v>CLT</v>
      </c>
      <c r="D2" s="140" t="str">
        <f>'Previsão Custo Enquadramento'!D2</f>
        <v>Edificação</v>
      </c>
      <c r="E2" s="140">
        <f>'Previsão Custo Enquadramento'!H2</f>
        <v>3683</v>
      </c>
      <c r="F2" s="140">
        <f>'Previsão Custo Enquadramento'!L2</f>
        <v>0</v>
      </c>
      <c r="G2" s="140">
        <f>'Previsão Custo Enquadramento'!P2</f>
        <v>0</v>
      </c>
      <c r="H2" s="140">
        <f t="shared" ref="H2:H61" si="1">E2+F2</f>
        <v>3683</v>
      </c>
      <c r="I2" s="140">
        <f t="shared" ref="I2:I61" si="2">E2+G2</f>
        <v>3683</v>
      </c>
      <c r="J2" s="140" t="s">
        <v>137</v>
      </c>
      <c r="K2" s="140"/>
      <c r="L2" s="140">
        <v>221.37416666666664</v>
      </c>
      <c r="M2" s="140">
        <f t="shared" ref="M2:M61" si="3">E2+K2+L2</f>
        <v>3904.374167</v>
      </c>
      <c r="N2" s="140">
        <f>'Previsão Custo Enquadramento'!J2</f>
        <v>2593.86</v>
      </c>
      <c r="O2" s="140">
        <f>'Previsão Custo Enquadramento'!N2</f>
        <v>3242.32</v>
      </c>
      <c r="P2" s="140">
        <f t="shared" ref="P2:P61" si="4">IF((N2-M2)&lt;0,0,(N2-M2))</f>
        <v>0</v>
      </c>
      <c r="Q2" s="140">
        <f t="shared" ref="Q2:Q61" si="5">IF((O2-M2)&lt;0,0,(O2-M2))</f>
        <v>0</v>
      </c>
      <c r="R2" s="140">
        <f t="shared" ref="R2:R61" si="6">M2+P2</f>
        <v>3904.374167</v>
      </c>
      <c r="S2" s="140">
        <f t="shared" ref="S2:S61" si="7">M2+Q2</f>
        <v>3904.374167</v>
      </c>
    </row>
    <row r="3">
      <c r="A3" s="139">
        <f>'Previsão Custo Enquadramento'!A3</f>
        <v>1957</v>
      </c>
      <c r="B3" s="140" t="str">
        <f>'Previsão Custo Enquadramento'!B3</f>
        <v>ALMOXARIFE</v>
      </c>
      <c r="C3" s="140" t="str">
        <f>'Previsão Custo Enquadramento'!F3</f>
        <v>CLT</v>
      </c>
      <c r="D3" s="140" t="str">
        <f>'Previsão Custo Enquadramento'!D3</f>
        <v>Edificação</v>
      </c>
      <c r="E3" s="140">
        <f>'Previsão Custo Enquadramento'!H3</f>
        <v>3683</v>
      </c>
      <c r="F3" s="140">
        <f>'Previsão Custo Enquadramento'!L3</f>
        <v>0</v>
      </c>
      <c r="G3" s="140">
        <f>'Previsão Custo Enquadramento'!P3</f>
        <v>0</v>
      </c>
      <c r="H3" s="140">
        <f t="shared" si="1"/>
        <v>3683</v>
      </c>
      <c r="I3" s="140">
        <f t="shared" si="2"/>
        <v>3683</v>
      </c>
      <c r="J3" s="140" t="s">
        <v>137</v>
      </c>
      <c r="K3" s="140"/>
      <c r="L3" s="140">
        <v>221.37416666666664</v>
      </c>
      <c r="M3" s="140">
        <f t="shared" si="3"/>
        <v>3904.374167</v>
      </c>
      <c r="N3" s="140">
        <f>'Previsão Custo Enquadramento'!J3</f>
        <v>2593.86</v>
      </c>
      <c r="O3" s="140">
        <f>'Previsão Custo Enquadramento'!N3</f>
        <v>3242.32</v>
      </c>
      <c r="P3" s="140">
        <f t="shared" si="4"/>
        <v>0</v>
      </c>
      <c r="Q3" s="140">
        <f t="shared" si="5"/>
        <v>0</v>
      </c>
      <c r="R3" s="140">
        <f t="shared" si="6"/>
        <v>3904.374167</v>
      </c>
      <c r="S3" s="140">
        <f t="shared" si="7"/>
        <v>3904.374167</v>
      </c>
    </row>
    <row r="4">
      <c r="A4" s="139">
        <f>'Previsão Custo Enquadramento'!A4</f>
        <v>1964</v>
      </c>
      <c r="B4" s="140" t="str">
        <f>'Previsão Custo Enquadramento'!B4</f>
        <v>ANALISTA DE COMPRAS</v>
      </c>
      <c r="C4" s="140" t="str">
        <f>'Previsão Custo Enquadramento'!F4</f>
        <v>CLT</v>
      </c>
      <c r="D4" s="140" t="str">
        <f>'Previsão Custo Enquadramento'!D4</f>
        <v>Suprimentos</v>
      </c>
      <c r="E4" s="140">
        <f>'Previsão Custo Enquadramento'!H4</f>
        <v>3780</v>
      </c>
      <c r="F4" s="140">
        <f>'Previsão Custo Enquadramento'!L4</f>
        <v>0</v>
      </c>
      <c r="G4" s="140">
        <f>'Previsão Custo Enquadramento'!P4</f>
        <v>913.36</v>
      </c>
      <c r="H4" s="140">
        <f t="shared" si="1"/>
        <v>3780</v>
      </c>
      <c r="I4" s="140">
        <f t="shared" si="2"/>
        <v>4693.36</v>
      </c>
      <c r="J4" s="140" t="s">
        <v>139</v>
      </c>
      <c r="K4" s="140"/>
      <c r="L4" s="140"/>
      <c r="M4" s="140">
        <f t="shared" si="3"/>
        <v>3780</v>
      </c>
      <c r="N4" s="140">
        <f>'Previsão Custo Enquadramento'!J4</f>
        <v>3754.69</v>
      </c>
      <c r="O4" s="140">
        <f>'Previsão Custo Enquadramento'!N4</f>
        <v>4693.36</v>
      </c>
      <c r="P4" s="140">
        <f t="shared" si="4"/>
        <v>0</v>
      </c>
      <c r="Q4" s="140">
        <f t="shared" si="5"/>
        <v>913.36</v>
      </c>
      <c r="R4" s="140">
        <f t="shared" si="6"/>
        <v>3780</v>
      </c>
      <c r="S4" s="140">
        <f t="shared" si="7"/>
        <v>4693.36</v>
      </c>
    </row>
    <row r="5">
      <c r="A5" s="139">
        <f>'Previsão Custo Enquadramento'!A5</f>
        <v>1910</v>
      </c>
      <c r="B5" s="140" t="str">
        <f>'Previsão Custo Enquadramento'!B5</f>
        <v>ANALISTA DE CRIAÇAO</v>
      </c>
      <c r="C5" s="140" t="str">
        <f>'Previsão Custo Enquadramento'!F5</f>
        <v>CLT</v>
      </c>
      <c r="D5" s="140" t="str">
        <f>'Previsão Custo Enquadramento'!D5</f>
        <v>Marketing</v>
      </c>
      <c r="E5" s="140">
        <f>'Previsão Custo Enquadramento'!H5</f>
        <v>5429</v>
      </c>
      <c r="F5" s="140">
        <f>'Previsão Custo Enquadramento'!L5</f>
        <v>0</v>
      </c>
      <c r="G5" s="140">
        <f>'Previsão Custo Enquadramento'!P5</f>
        <v>0</v>
      </c>
      <c r="H5" s="140">
        <f t="shared" si="1"/>
        <v>5429</v>
      </c>
      <c r="I5" s="140">
        <f t="shared" si="2"/>
        <v>5429</v>
      </c>
      <c r="J5" s="140" t="s">
        <v>140</v>
      </c>
      <c r="K5" s="140"/>
      <c r="L5" s="140">
        <v>286.31583333333333</v>
      </c>
      <c r="M5" s="140">
        <f t="shared" si="3"/>
        <v>5715.315833</v>
      </c>
      <c r="N5" s="140">
        <f>'Previsão Custo Enquadramento'!J5</f>
        <v>3754.69</v>
      </c>
      <c r="O5" s="140">
        <f>'Previsão Custo Enquadramento'!N5</f>
        <v>4693.36</v>
      </c>
      <c r="P5" s="140">
        <f t="shared" si="4"/>
        <v>0</v>
      </c>
      <c r="Q5" s="140">
        <f t="shared" si="5"/>
        <v>0</v>
      </c>
      <c r="R5" s="140">
        <f t="shared" si="6"/>
        <v>5715.315833</v>
      </c>
      <c r="S5" s="140">
        <f t="shared" si="7"/>
        <v>5715.315833</v>
      </c>
    </row>
    <row r="6">
      <c r="A6" s="139" t="str">
        <f>'Previsão Custo Enquadramento'!A6</f>
        <v>PJ1</v>
      </c>
      <c r="B6" s="140" t="str">
        <f>'Previsão Custo Enquadramento'!B6</f>
        <v>ANALISTA DE INOVAÇÃO</v>
      </c>
      <c r="C6" s="140" t="str">
        <f>'Previsão Custo Enquadramento'!F6</f>
        <v>PJ</v>
      </c>
      <c r="D6" s="140" t="str">
        <f>'Previsão Custo Enquadramento'!D6</f>
        <v>Inovação</v>
      </c>
      <c r="E6" s="140">
        <f>'Previsão Custo Enquadramento'!H6</f>
        <v>10000</v>
      </c>
      <c r="F6" s="140">
        <f>'Previsão Custo Enquadramento'!L6</f>
        <v>0</v>
      </c>
      <c r="G6" s="140">
        <f>'Previsão Custo Enquadramento'!P6</f>
        <v>0</v>
      </c>
      <c r="H6" s="140">
        <f t="shared" si="1"/>
        <v>10000</v>
      </c>
      <c r="I6" s="140">
        <f t="shared" si="2"/>
        <v>10000</v>
      </c>
      <c r="J6" s="140" t="s">
        <v>142</v>
      </c>
      <c r="K6" s="140"/>
      <c r="L6" s="140">
        <v>754.7916666666666</v>
      </c>
      <c r="M6" s="140">
        <f t="shared" si="3"/>
        <v>10754.79167</v>
      </c>
      <c r="N6" s="140">
        <f>'Previsão Custo Enquadramento'!J6</f>
        <v>6812.58</v>
      </c>
      <c r="O6" s="140">
        <f>'Previsão Custo Enquadramento'!N6</f>
        <v>8515.7225</v>
      </c>
      <c r="P6" s="140">
        <f t="shared" si="4"/>
        <v>0</v>
      </c>
      <c r="Q6" s="140">
        <f t="shared" si="5"/>
        <v>0</v>
      </c>
      <c r="R6" s="140">
        <f t="shared" si="6"/>
        <v>10754.79167</v>
      </c>
      <c r="S6" s="140">
        <f t="shared" si="7"/>
        <v>10754.79167</v>
      </c>
    </row>
    <row r="7">
      <c r="A7" s="139">
        <f>'Previsão Custo Enquadramento'!A7</f>
        <v>1373</v>
      </c>
      <c r="B7" s="140" t="str">
        <f>'Previsão Custo Enquadramento'!B7</f>
        <v>ANALISTA DE MANUTENÇÃO II</v>
      </c>
      <c r="C7" s="140" t="str">
        <f>'Previsão Custo Enquadramento'!F7</f>
        <v>CLT</v>
      </c>
      <c r="D7" s="140" t="str">
        <f>'Previsão Custo Enquadramento'!D7</f>
        <v>Edificação</v>
      </c>
      <c r="E7" s="140">
        <f>'Previsão Custo Enquadramento'!H7</f>
        <v>4550</v>
      </c>
      <c r="F7" s="140">
        <f>'Previsão Custo Enquadramento'!L7</f>
        <v>0</v>
      </c>
      <c r="G7" s="140">
        <f>'Previsão Custo Enquadramento'!P7</f>
        <v>143.36</v>
      </c>
      <c r="H7" s="140">
        <f t="shared" si="1"/>
        <v>4550</v>
      </c>
      <c r="I7" s="140">
        <f t="shared" si="2"/>
        <v>4693.36</v>
      </c>
      <c r="J7" s="140" t="s">
        <v>145</v>
      </c>
      <c r="K7" s="140"/>
      <c r="L7" s="140">
        <v>305.59166666666664</v>
      </c>
      <c r="M7" s="140">
        <f t="shared" si="3"/>
        <v>4855.591667</v>
      </c>
      <c r="N7" s="140">
        <f>'Previsão Custo Enquadramento'!J7</f>
        <v>3754.69</v>
      </c>
      <c r="O7" s="140">
        <f>'Previsão Custo Enquadramento'!N7</f>
        <v>4693.36</v>
      </c>
      <c r="P7" s="140">
        <f t="shared" si="4"/>
        <v>0</v>
      </c>
      <c r="Q7" s="140">
        <f t="shared" si="5"/>
        <v>0</v>
      </c>
      <c r="R7" s="140">
        <f t="shared" si="6"/>
        <v>4855.591667</v>
      </c>
      <c r="S7" s="140">
        <f t="shared" si="7"/>
        <v>4855.591667</v>
      </c>
    </row>
    <row r="8">
      <c r="A8" s="139">
        <f>'Previsão Custo Enquadramento'!A8</f>
        <v>139</v>
      </c>
      <c r="B8" s="140" t="str">
        <f>'Previsão Custo Enquadramento'!B8</f>
        <v>ANALISTA DE MARKETING l</v>
      </c>
      <c r="C8" s="140" t="str">
        <f>'Previsão Custo Enquadramento'!F8</f>
        <v>CLT</v>
      </c>
      <c r="D8" s="140" t="str">
        <f>'Previsão Custo Enquadramento'!D8</f>
        <v>Marketing</v>
      </c>
      <c r="E8" s="140">
        <f>'Previsão Custo Enquadramento'!H8</f>
        <v>4025.88</v>
      </c>
      <c r="F8" s="140">
        <f>'Previsão Custo Enquadramento'!L8</f>
        <v>0</v>
      </c>
      <c r="G8" s="140">
        <f>'Previsão Custo Enquadramento'!P8</f>
        <v>0</v>
      </c>
      <c r="H8" s="140">
        <f t="shared" si="1"/>
        <v>4025.88</v>
      </c>
      <c r="I8" s="140">
        <f t="shared" si="2"/>
        <v>4025.88</v>
      </c>
      <c r="J8" s="140" t="s">
        <v>146</v>
      </c>
      <c r="K8" s="140"/>
      <c r="L8" s="140">
        <v>224.97</v>
      </c>
      <c r="M8" s="140">
        <f t="shared" si="3"/>
        <v>4250.85</v>
      </c>
      <c r="N8" s="140">
        <f>'Previsão Custo Enquadramento'!J8</f>
        <v>3105.14</v>
      </c>
      <c r="O8" s="140">
        <f>'Previsão Custo Enquadramento'!N8</f>
        <v>3881.43</v>
      </c>
      <c r="P8" s="140">
        <f t="shared" si="4"/>
        <v>0</v>
      </c>
      <c r="Q8" s="140">
        <f t="shared" si="5"/>
        <v>0</v>
      </c>
      <c r="R8" s="140">
        <f t="shared" si="6"/>
        <v>4250.85</v>
      </c>
      <c r="S8" s="140">
        <f t="shared" si="7"/>
        <v>4250.85</v>
      </c>
    </row>
    <row r="9">
      <c r="A9" s="139">
        <f>'Previsão Custo Enquadramento'!A9</f>
        <v>1962</v>
      </c>
      <c r="B9" s="140" t="str">
        <f>'Previsão Custo Enquadramento'!B9</f>
        <v>ANALISTA DE PÓS VENDAS II</v>
      </c>
      <c r="C9" s="140" t="str">
        <f>'Previsão Custo Enquadramento'!F9</f>
        <v>CLT</v>
      </c>
      <c r="D9" s="140" t="str">
        <f>'Previsão Custo Enquadramento'!D9</f>
        <v>Pós Vendas</v>
      </c>
      <c r="E9" s="140">
        <f>'Previsão Custo Enquadramento'!H9</f>
        <v>4550</v>
      </c>
      <c r="F9" s="140">
        <f>'Previsão Custo Enquadramento'!L9</f>
        <v>0</v>
      </c>
      <c r="G9" s="140">
        <f>'Previsão Custo Enquadramento'!P9</f>
        <v>143.36</v>
      </c>
      <c r="H9" s="140">
        <f t="shared" si="1"/>
        <v>4550</v>
      </c>
      <c r="I9" s="140">
        <f t="shared" si="2"/>
        <v>4693.36</v>
      </c>
      <c r="J9" s="140" t="s">
        <v>147</v>
      </c>
      <c r="K9" s="140"/>
      <c r="L9" s="140">
        <v>203.19416666666666</v>
      </c>
      <c r="M9" s="140">
        <f t="shared" si="3"/>
        <v>4753.194167</v>
      </c>
      <c r="N9" s="140">
        <f>'Previsão Custo Enquadramento'!J9</f>
        <v>3754.69</v>
      </c>
      <c r="O9" s="140">
        <f>'Previsão Custo Enquadramento'!N9</f>
        <v>4693.36</v>
      </c>
      <c r="P9" s="140">
        <f t="shared" si="4"/>
        <v>0</v>
      </c>
      <c r="Q9" s="140">
        <f t="shared" si="5"/>
        <v>0</v>
      </c>
      <c r="R9" s="140">
        <f t="shared" si="6"/>
        <v>4753.194167</v>
      </c>
      <c r="S9" s="140">
        <f t="shared" si="7"/>
        <v>4753.194167</v>
      </c>
    </row>
    <row r="10">
      <c r="A10" s="139">
        <f>'Previsão Custo Enquadramento'!A10</f>
        <v>187</v>
      </c>
      <c r="B10" s="140" t="str">
        <f>'Previsão Custo Enquadramento'!B10</f>
        <v>ANALISTA DE URBANISMO</v>
      </c>
      <c r="C10" s="140" t="str">
        <f>'Previsão Custo Enquadramento'!F10</f>
        <v>CLT</v>
      </c>
      <c r="D10" s="140" t="str">
        <f>'Previsão Custo Enquadramento'!D10</f>
        <v>Urbanismo</v>
      </c>
      <c r="E10" s="140">
        <f>'Previsão Custo Enquadramento'!H10</f>
        <v>5830</v>
      </c>
      <c r="F10" s="140">
        <f>'Previsão Custo Enquadramento'!L10</f>
        <v>0</v>
      </c>
      <c r="G10" s="140">
        <f>'Previsão Custo Enquadramento'!P10</f>
        <v>1154.24</v>
      </c>
      <c r="H10" s="140">
        <f t="shared" si="1"/>
        <v>5830</v>
      </c>
      <c r="I10" s="140">
        <f t="shared" si="2"/>
        <v>6984.24</v>
      </c>
      <c r="J10" s="140" t="s">
        <v>148</v>
      </c>
      <c r="K10" s="140"/>
      <c r="L10" s="140">
        <v>314.46083333333337</v>
      </c>
      <c r="M10" s="140">
        <f t="shared" si="3"/>
        <v>6144.460833</v>
      </c>
      <c r="N10" s="140">
        <f>'Previsão Custo Enquadramento'!J10</f>
        <v>5587.39</v>
      </c>
      <c r="O10" s="140">
        <f>'Previsão Custo Enquadramento'!N10</f>
        <v>6984.24</v>
      </c>
      <c r="P10" s="140">
        <f t="shared" si="4"/>
        <v>0</v>
      </c>
      <c r="Q10" s="140">
        <f t="shared" si="5"/>
        <v>839.7791667</v>
      </c>
      <c r="R10" s="140">
        <f t="shared" si="6"/>
        <v>6144.460833</v>
      </c>
      <c r="S10" s="140">
        <f t="shared" si="7"/>
        <v>6984.24</v>
      </c>
    </row>
    <row r="11">
      <c r="A11" s="139">
        <f>'Previsão Custo Enquadramento'!A11</f>
        <v>1868</v>
      </c>
      <c r="B11" s="140" t="str">
        <f>'Previsão Custo Enquadramento'!B11</f>
        <v>ANALISTA FINANCEIRO COMERCIAL III</v>
      </c>
      <c r="C11" s="140" t="str">
        <f>'Previsão Custo Enquadramento'!F11</f>
        <v>CLT</v>
      </c>
      <c r="D11" s="140" t="str">
        <f>'Previsão Custo Enquadramento'!D11</f>
        <v>Financeiro</v>
      </c>
      <c r="E11" s="140">
        <f>'Previsão Custo Enquadramento'!H11</f>
        <v>5213</v>
      </c>
      <c r="F11" s="140">
        <f>'Previsão Custo Enquadramento'!L11</f>
        <v>0</v>
      </c>
      <c r="G11" s="140">
        <f>'Previsão Custo Enquadramento'!P11</f>
        <v>502.25</v>
      </c>
      <c r="H11" s="140">
        <f t="shared" si="1"/>
        <v>5213</v>
      </c>
      <c r="I11" s="140">
        <f t="shared" si="2"/>
        <v>5715.25</v>
      </c>
      <c r="J11" s="140" t="s">
        <v>149</v>
      </c>
      <c r="K11" s="140"/>
      <c r="L11" s="140">
        <v>328.2975</v>
      </c>
      <c r="M11" s="140">
        <f t="shared" si="3"/>
        <v>5541.2975</v>
      </c>
      <c r="N11" s="140">
        <f>'Previsão Custo Enquadramento'!J11</f>
        <v>4572.2</v>
      </c>
      <c r="O11" s="140">
        <f>'Previsão Custo Enquadramento'!N11</f>
        <v>5715.25</v>
      </c>
      <c r="P11" s="140">
        <f t="shared" si="4"/>
        <v>0</v>
      </c>
      <c r="Q11" s="140">
        <f t="shared" si="5"/>
        <v>173.9525</v>
      </c>
      <c r="R11" s="140">
        <f t="shared" si="6"/>
        <v>5541.2975</v>
      </c>
      <c r="S11" s="140">
        <f t="shared" si="7"/>
        <v>5715.25</v>
      </c>
    </row>
    <row r="12">
      <c r="A12" s="139">
        <f>'Previsão Custo Enquadramento'!A12</f>
        <v>176</v>
      </c>
      <c r="B12" s="140" t="str">
        <f>'Previsão Custo Enquadramento'!B12</f>
        <v>ANALISTA FINANCEIRO DE CAPTAÇÃO DE RECURSOS III</v>
      </c>
      <c r="C12" s="140" t="str">
        <f>'Previsão Custo Enquadramento'!F12</f>
        <v>CLT</v>
      </c>
      <c r="D12" s="140" t="str">
        <f>'Previsão Custo Enquadramento'!D12</f>
        <v>Financeiro</v>
      </c>
      <c r="E12" s="140">
        <f>'Previsão Custo Enquadramento'!H12</f>
        <v>5213</v>
      </c>
      <c r="F12" s="140">
        <f>'Previsão Custo Enquadramento'!L12</f>
        <v>0</v>
      </c>
      <c r="G12" s="140">
        <f>'Previsão Custo Enquadramento'!P12</f>
        <v>502.25</v>
      </c>
      <c r="H12" s="140">
        <f t="shared" si="1"/>
        <v>5213</v>
      </c>
      <c r="I12" s="140">
        <f t="shared" si="2"/>
        <v>5715.25</v>
      </c>
      <c r="J12" s="140" t="s">
        <v>150</v>
      </c>
      <c r="K12" s="140"/>
      <c r="L12" s="140">
        <v>330.08166666666665</v>
      </c>
      <c r="M12" s="140">
        <f t="shared" si="3"/>
        <v>5543.081667</v>
      </c>
      <c r="N12" s="140">
        <f>'Previsão Custo Enquadramento'!J12</f>
        <v>4572.2</v>
      </c>
      <c r="O12" s="140">
        <f>'Previsão Custo Enquadramento'!N12</f>
        <v>5715.25</v>
      </c>
      <c r="P12" s="140">
        <f t="shared" si="4"/>
        <v>0</v>
      </c>
      <c r="Q12" s="140">
        <f t="shared" si="5"/>
        <v>172.1683333</v>
      </c>
      <c r="R12" s="140">
        <f t="shared" si="6"/>
        <v>5543.081667</v>
      </c>
      <c r="S12" s="140">
        <f t="shared" si="7"/>
        <v>5715.25</v>
      </c>
    </row>
    <row r="13">
      <c r="A13" s="139">
        <f>'Previsão Custo Enquadramento'!A13</f>
        <v>1927</v>
      </c>
      <c r="B13" s="140" t="str">
        <f>'Previsão Custo Enquadramento'!B13</f>
        <v>ANALISTA FINANCEIRO I</v>
      </c>
      <c r="C13" s="140" t="str">
        <f>'Previsão Custo Enquadramento'!F13</f>
        <v>CLT</v>
      </c>
      <c r="D13" s="140" t="str">
        <f>'Previsão Custo Enquadramento'!D13</f>
        <v>Financeiro</v>
      </c>
      <c r="E13" s="140">
        <f>'Previsão Custo Enquadramento'!H13</f>
        <v>3993</v>
      </c>
      <c r="F13" s="140">
        <f>'Previsão Custo Enquadramento'!L13</f>
        <v>0</v>
      </c>
      <c r="G13" s="140">
        <f>'Previsão Custo Enquadramento'!P13</f>
        <v>0</v>
      </c>
      <c r="H13" s="140">
        <f t="shared" si="1"/>
        <v>3993</v>
      </c>
      <c r="I13" s="140">
        <f t="shared" si="2"/>
        <v>3993</v>
      </c>
      <c r="J13" s="140" t="s">
        <v>151</v>
      </c>
      <c r="K13" s="140"/>
      <c r="L13" s="140">
        <v>266.48</v>
      </c>
      <c r="M13" s="140">
        <f t="shared" si="3"/>
        <v>4259.48</v>
      </c>
      <c r="N13" s="140">
        <f>'Previsão Custo Enquadramento'!J13</f>
        <v>3105.14</v>
      </c>
      <c r="O13" s="140">
        <f>'Previsão Custo Enquadramento'!N13</f>
        <v>3881.43</v>
      </c>
      <c r="P13" s="140">
        <f t="shared" si="4"/>
        <v>0</v>
      </c>
      <c r="Q13" s="140">
        <f t="shared" si="5"/>
        <v>0</v>
      </c>
      <c r="R13" s="140">
        <f t="shared" si="6"/>
        <v>4259.48</v>
      </c>
      <c r="S13" s="140">
        <f t="shared" si="7"/>
        <v>4259.48</v>
      </c>
    </row>
    <row r="14">
      <c r="A14" s="139">
        <f>'Previsão Custo Enquadramento'!A14</f>
        <v>164</v>
      </c>
      <c r="B14" s="140" t="str">
        <f>'Previsão Custo Enquadramento'!B14</f>
        <v>ASSISTENTE ADM DE LEGALIZAÇÃO III</v>
      </c>
      <c r="C14" s="140" t="str">
        <f>'Previsão Custo Enquadramento'!F14</f>
        <v>CLT</v>
      </c>
      <c r="D14" s="140" t="str">
        <f>'Previsão Custo Enquadramento'!D14</f>
        <v>Legalização</v>
      </c>
      <c r="E14" s="140">
        <f>'Previsão Custo Enquadramento'!H14</f>
        <v>3652</v>
      </c>
      <c r="F14" s="140">
        <f>'Previsão Custo Enquadramento'!L14</f>
        <v>0</v>
      </c>
      <c r="G14" s="140">
        <f>'Previsão Custo Enquadramento'!P14</f>
        <v>0</v>
      </c>
      <c r="H14" s="140">
        <f t="shared" si="1"/>
        <v>3652</v>
      </c>
      <c r="I14" s="140">
        <f t="shared" si="2"/>
        <v>3652</v>
      </c>
      <c r="J14" s="140" t="s">
        <v>152</v>
      </c>
      <c r="K14" s="140"/>
      <c r="L14" s="140">
        <v>237.07666666666668</v>
      </c>
      <c r="M14" s="140">
        <f t="shared" si="3"/>
        <v>3889.076667</v>
      </c>
      <c r="N14" s="140">
        <f>'Previsão Custo Enquadramento'!J14</f>
        <v>2593.86</v>
      </c>
      <c r="O14" s="140">
        <f>'Previsão Custo Enquadramento'!N14</f>
        <v>3242.32</v>
      </c>
      <c r="P14" s="140">
        <f t="shared" si="4"/>
        <v>0</v>
      </c>
      <c r="Q14" s="140">
        <f t="shared" si="5"/>
        <v>0</v>
      </c>
      <c r="R14" s="140">
        <f t="shared" si="6"/>
        <v>3889.076667</v>
      </c>
      <c r="S14" s="140">
        <f t="shared" si="7"/>
        <v>3889.076667</v>
      </c>
    </row>
    <row r="15">
      <c r="A15" s="139">
        <f>'Previsão Custo Enquadramento'!A15</f>
        <v>1892</v>
      </c>
      <c r="B15" s="140" t="str">
        <f>'Previsão Custo Enquadramento'!B15</f>
        <v>ASSISTENTE ADMINISTRATIVO lll</v>
      </c>
      <c r="C15" s="140" t="str">
        <f>'Previsão Custo Enquadramento'!F15</f>
        <v>CLT</v>
      </c>
      <c r="D15" s="140" t="str">
        <f>'Previsão Custo Enquadramento'!D15</f>
        <v>Administrativo</v>
      </c>
      <c r="E15" s="140">
        <f>'Previsão Custo Enquadramento'!H15</f>
        <v>3439.7</v>
      </c>
      <c r="F15" s="140">
        <f>'Previsão Custo Enquadramento'!L15</f>
        <v>0</v>
      </c>
      <c r="G15" s="140">
        <f>'Previsão Custo Enquadramento'!P15</f>
        <v>0</v>
      </c>
      <c r="H15" s="140">
        <f t="shared" si="1"/>
        <v>3439.7</v>
      </c>
      <c r="I15" s="140">
        <f t="shared" si="2"/>
        <v>3439.7</v>
      </c>
      <c r="J15" s="140" t="s">
        <v>154</v>
      </c>
      <c r="K15" s="140"/>
      <c r="L15" s="140">
        <v>221.8175</v>
      </c>
      <c r="M15" s="140">
        <f t="shared" si="3"/>
        <v>3661.5175</v>
      </c>
      <c r="N15" s="140">
        <f>'Previsão Custo Enquadramento'!J15</f>
        <v>2191.11</v>
      </c>
      <c r="O15" s="140">
        <f>'Previsão Custo Enquadramento'!N15</f>
        <v>2738.89</v>
      </c>
      <c r="P15" s="140">
        <f t="shared" si="4"/>
        <v>0</v>
      </c>
      <c r="Q15" s="140">
        <f t="shared" si="5"/>
        <v>0</v>
      </c>
      <c r="R15" s="140">
        <f t="shared" si="6"/>
        <v>3661.5175</v>
      </c>
      <c r="S15" s="140">
        <f t="shared" si="7"/>
        <v>3661.5175</v>
      </c>
    </row>
    <row r="16">
      <c r="A16" s="139">
        <f>'Previsão Custo Enquadramento'!A16</f>
        <v>1940</v>
      </c>
      <c r="B16" s="140" t="str">
        <f>'Previsão Custo Enquadramento'!B16</f>
        <v>ASSISTENTE DE CONTROLADORIA III</v>
      </c>
      <c r="C16" s="140" t="str">
        <f>'Previsão Custo Enquadramento'!F16</f>
        <v>CLT</v>
      </c>
      <c r="D16" s="140" t="str">
        <f>'Previsão Custo Enquadramento'!D16</f>
        <v>Controladoria</v>
      </c>
      <c r="E16" s="140">
        <f>'Previsão Custo Enquadramento'!H16</f>
        <v>3652</v>
      </c>
      <c r="F16" s="140">
        <f>'Previsão Custo Enquadramento'!L16</f>
        <v>0</v>
      </c>
      <c r="G16" s="140">
        <f>'Previsão Custo Enquadramento'!P16</f>
        <v>0</v>
      </c>
      <c r="H16" s="140">
        <f t="shared" si="1"/>
        <v>3652</v>
      </c>
      <c r="I16" s="140">
        <f t="shared" si="2"/>
        <v>3652</v>
      </c>
      <c r="J16" s="140" t="s">
        <v>155</v>
      </c>
      <c r="K16" s="140"/>
      <c r="L16" s="140">
        <v>229.2875</v>
      </c>
      <c r="M16" s="140">
        <f t="shared" si="3"/>
        <v>3881.2875</v>
      </c>
      <c r="N16" s="140">
        <f>'Previsão Custo Enquadramento'!J16</f>
        <v>2593.86</v>
      </c>
      <c r="O16" s="140">
        <f>'Previsão Custo Enquadramento'!N16</f>
        <v>3242.32</v>
      </c>
      <c r="P16" s="140">
        <f t="shared" si="4"/>
        <v>0</v>
      </c>
      <c r="Q16" s="140">
        <f t="shared" si="5"/>
        <v>0</v>
      </c>
      <c r="R16" s="140">
        <f t="shared" si="6"/>
        <v>3881.2875</v>
      </c>
      <c r="S16" s="140">
        <f t="shared" si="7"/>
        <v>3881.2875</v>
      </c>
    </row>
    <row r="17">
      <c r="A17" s="139">
        <f>'Previsão Custo Enquadramento'!A17</f>
        <v>1963</v>
      </c>
      <c r="B17" s="140" t="str">
        <f>'Previsão Custo Enquadramento'!B17</f>
        <v>ASSISTENTE DE ENGENHARIA lll</v>
      </c>
      <c r="C17" s="140" t="str">
        <f>'Previsão Custo Enquadramento'!F17</f>
        <v>CLT</v>
      </c>
      <c r="D17" s="140" t="str">
        <f>'Previsão Custo Enquadramento'!D17</f>
        <v>Edificação</v>
      </c>
      <c r="E17" s="140">
        <f>'Previsão Custo Enquadramento'!H17</f>
        <v>3652</v>
      </c>
      <c r="F17" s="140">
        <f>'Previsão Custo Enquadramento'!L17</f>
        <v>0</v>
      </c>
      <c r="G17" s="140">
        <f>'Previsão Custo Enquadramento'!P17</f>
        <v>229.43</v>
      </c>
      <c r="H17" s="140">
        <f t="shared" si="1"/>
        <v>3652</v>
      </c>
      <c r="I17" s="140">
        <f t="shared" si="2"/>
        <v>3881.43</v>
      </c>
      <c r="J17" s="140" t="s">
        <v>156</v>
      </c>
      <c r="K17" s="140"/>
      <c r="L17" s="140"/>
      <c r="M17" s="140">
        <f t="shared" si="3"/>
        <v>3652</v>
      </c>
      <c r="N17" s="140">
        <f>'Previsão Custo Enquadramento'!J17</f>
        <v>3105.14</v>
      </c>
      <c r="O17" s="140">
        <f>'Previsão Custo Enquadramento'!N17</f>
        <v>3881.43</v>
      </c>
      <c r="P17" s="140">
        <f t="shared" si="4"/>
        <v>0</v>
      </c>
      <c r="Q17" s="140">
        <f t="shared" si="5"/>
        <v>229.43</v>
      </c>
      <c r="R17" s="140">
        <f t="shared" si="6"/>
        <v>3652</v>
      </c>
      <c r="S17" s="140">
        <f t="shared" si="7"/>
        <v>3881.43</v>
      </c>
    </row>
    <row r="18">
      <c r="A18" s="139">
        <f>'Previsão Custo Enquadramento'!A18</f>
        <v>190</v>
      </c>
      <c r="B18" s="140" t="str">
        <f>'Previsão Custo Enquadramento'!B18</f>
        <v>ASSISTENTE DE MARKETING</v>
      </c>
      <c r="C18" s="140" t="str">
        <f>'Previsão Custo Enquadramento'!F18</f>
        <v>CLT</v>
      </c>
      <c r="D18" s="140" t="str">
        <f>'Previsão Custo Enquadramento'!D18</f>
        <v>Marketing</v>
      </c>
      <c r="E18" s="140">
        <f>'Previsão Custo Enquadramento'!H18</f>
        <v>2919</v>
      </c>
      <c r="F18" s="140">
        <f>'Previsão Custo Enquadramento'!L18</f>
        <v>0</v>
      </c>
      <c r="G18" s="140">
        <f>'Previsão Custo Enquadramento'!P18</f>
        <v>0</v>
      </c>
      <c r="H18" s="140">
        <f t="shared" si="1"/>
        <v>2919</v>
      </c>
      <c r="I18" s="140">
        <f t="shared" si="2"/>
        <v>2919</v>
      </c>
      <c r="J18" s="140" t="s">
        <v>157</v>
      </c>
      <c r="K18" s="140"/>
      <c r="L18" s="140"/>
      <c r="M18" s="140">
        <f t="shared" si="3"/>
        <v>2919</v>
      </c>
      <c r="N18" s="140">
        <f>'Previsão Custo Enquadramento'!J18</f>
        <v>2191.11</v>
      </c>
      <c r="O18" s="140">
        <f>'Previsão Custo Enquadramento'!N18</f>
        <v>2738.89</v>
      </c>
      <c r="P18" s="140">
        <f t="shared" si="4"/>
        <v>0</v>
      </c>
      <c r="Q18" s="140">
        <f t="shared" si="5"/>
        <v>0</v>
      </c>
      <c r="R18" s="140">
        <f t="shared" si="6"/>
        <v>2919</v>
      </c>
      <c r="S18" s="140">
        <f t="shared" si="7"/>
        <v>2919</v>
      </c>
    </row>
    <row r="19">
      <c r="A19" s="139">
        <f>'Previsão Custo Enquadramento'!A19</f>
        <v>189</v>
      </c>
      <c r="B19" s="140" t="str">
        <f>'Previsão Custo Enquadramento'!B19</f>
        <v>ASSISTENTE DE RECURSOS HUMANOS</v>
      </c>
      <c r="C19" s="140" t="str">
        <f>'Previsão Custo Enquadramento'!F19</f>
        <v>CLT</v>
      </c>
      <c r="D19" s="140" t="str">
        <f>'Previsão Custo Enquadramento'!D19</f>
        <v>DHO</v>
      </c>
      <c r="E19" s="140">
        <f>'Previsão Custo Enquadramento'!H19</f>
        <v>2919</v>
      </c>
      <c r="F19" s="140">
        <f>'Previsão Custo Enquadramento'!L19</f>
        <v>0</v>
      </c>
      <c r="G19" s="140">
        <f>'Previsão Custo Enquadramento'!P19</f>
        <v>323.32</v>
      </c>
      <c r="H19" s="140">
        <f t="shared" si="1"/>
        <v>2919</v>
      </c>
      <c r="I19" s="140">
        <f t="shared" si="2"/>
        <v>3242.32</v>
      </c>
      <c r="J19" s="140" t="s">
        <v>158</v>
      </c>
      <c r="K19" s="140"/>
      <c r="L19" s="140"/>
      <c r="M19" s="140">
        <f t="shared" si="3"/>
        <v>2919</v>
      </c>
      <c r="N19" s="140">
        <f>'Previsão Custo Enquadramento'!J19</f>
        <v>2593.86</v>
      </c>
      <c r="O19" s="140">
        <f>'Previsão Custo Enquadramento'!N19</f>
        <v>3242.32</v>
      </c>
      <c r="P19" s="140">
        <f t="shared" si="4"/>
        <v>0</v>
      </c>
      <c r="Q19" s="140">
        <f t="shared" si="5"/>
        <v>323.32</v>
      </c>
      <c r="R19" s="140">
        <f t="shared" si="6"/>
        <v>2919</v>
      </c>
      <c r="S19" s="140">
        <f t="shared" si="7"/>
        <v>3242.32</v>
      </c>
    </row>
    <row r="20">
      <c r="A20" s="139">
        <f>'Previsão Custo Enquadramento'!A20</f>
        <v>1656</v>
      </c>
      <c r="B20" s="140" t="str">
        <f>'Previsão Custo Enquadramento'!B20</f>
        <v>ASSISTENTE DE TI</v>
      </c>
      <c r="C20" s="140" t="str">
        <f>'Previsão Custo Enquadramento'!F20</f>
        <v>CLT</v>
      </c>
      <c r="D20" s="140" t="str">
        <f>'Previsão Custo Enquadramento'!D20</f>
        <v>Tecnologia da Informação</v>
      </c>
      <c r="E20" s="140">
        <f>'Previsão Custo Enquadramento'!H20</f>
        <v>2919</v>
      </c>
      <c r="F20" s="140">
        <f>'Previsão Custo Enquadramento'!L20</f>
        <v>0</v>
      </c>
      <c r="G20" s="140">
        <f>'Previsão Custo Enquadramento'!P20</f>
        <v>0</v>
      </c>
      <c r="H20" s="140">
        <f t="shared" si="1"/>
        <v>2919</v>
      </c>
      <c r="I20" s="140">
        <f t="shared" si="2"/>
        <v>2919</v>
      </c>
      <c r="J20" s="140" t="s">
        <v>159</v>
      </c>
      <c r="K20" s="140"/>
      <c r="L20" s="140">
        <v>190.41416666666666</v>
      </c>
      <c r="M20" s="140">
        <f t="shared" si="3"/>
        <v>3109.414167</v>
      </c>
      <c r="N20" s="140">
        <f>'Previsão Custo Enquadramento'!J20</f>
        <v>2191.11</v>
      </c>
      <c r="O20" s="140">
        <f>'Previsão Custo Enquadramento'!N20</f>
        <v>2738.89</v>
      </c>
      <c r="P20" s="140">
        <f t="shared" si="4"/>
        <v>0</v>
      </c>
      <c r="Q20" s="140">
        <f t="shared" si="5"/>
        <v>0</v>
      </c>
      <c r="R20" s="140">
        <f t="shared" si="6"/>
        <v>3109.414167</v>
      </c>
      <c r="S20" s="140">
        <f t="shared" si="7"/>
        <v>3109.414167</v>
      </c>
    </row>
    <row r="21">
      <c r="A21" s="139">
        <f>'Previsão Custo Enquadramento'!A21</f>
        <v>192</v>
      </c>
      <c r="B21" s="140" t="str">
        <f>'Previsão Custo Enquadramento'!B21</f>
        <v>ASSISTENTE FINANCEIRO CONTAS A PAGAR</v>
      </c>
      <c r="C21" s="140" t="str">
        <f>'Previsão Custo Enquadramento'!F21</f>
        <v>CLT</v>
      </c>
      <c r="D21" s="140" t="str">
        <f>'Previsão Custo Enquadramento'!D21</f>
        <v>Financeiro</v>
      </c>
      <c r="E21" s="140">
        <f>'Previsão Custo Enquadramento'!H21</f>
        <v>2919</v>
      </c>
      <c r="F21" s="140">
        <f>'Previsão Custo Enquadramento'!L21</f>
        <v>0</v>
      </c>
      <c r="G21" s="140">
        <f>'Previsão Custo Enquadramento'!P21</f>
        <v>0</v>
      </c>
      <c r="H21" s="140">
        <f t="shared" si="1"/>
        <v>2919</v>
      </c>
      <c r="I21" s="140">
        <f t="shared" si="2"/>
        <v>2919</v>
      </c>
      <c r="J21" s="140" t="s">
        <v>160</v>
      </c>
      <c r="K21" s="140"/>
      <c r="L21" s="140">
        <v>116.5825</v>
      </c>
      <c r="M21" s="140">
        <f t="shared" si="3"/>
        <v>3035.5825</v>
      </c>
      <c r="N21" s="140">
        <f>'Previsão Custo Enquadramento'!J21</f>
        <v>2191.11</v>
      </c>
      <c r="O21" s="140">
        <f>'Previsão Custo Enquadramento'!N21</f>
        <v>2738.89</v>
      </c>
      <c r="P21" s="140">
        <f t="shared" si="4"/>
        <v>0</v>
      </c>
      <c r="Q21" s="140">
        <f t="shared" si="5"/>
        <v>0</v>
      </c>
      <c r="R21" s="140">
        <f t="shared" si="6"/>
        <v>3035.5825</v>
      </c>
      <c r="S21" s="140">
        <f t="shared" si="7"/>
        <v>3035.5825</v>
      </c>
    </row>
    <row r="22">
      <c r="A22" s="139">
        <f>'Previsão Custo Enquadramento'!A22</f>
        <v>193</v>
      </c>
      <c r="B22" s="140" t="str">
        <f>'Previsão Custo Enquadramento'!B22</f>
        <v>ASSISTENTE FINANCEIRO CONTAS A PAGAR</v>
      </c>
      <c r="C22" s="140" t="str">
        <f>'Previsão Custo Enquadramento'!F22</f>
        <v>CLT</v>
      </c>
      <c r="D22" s="140" t="str">
        <f>'Previsão Custo Enquadramento'!D22</f>
        <v>Financeiro</v>
      </c>
      <c r="E22" s="140">
        <f>'Previsão Custo Enquadramento'!H22</f>
        <v>2919</v>
      </c>
      <c r="F22" s="140">
        <f>'Previsão Custo Enquadramento'!L22</f>
        <v>0</v>
      </c>
      <c r="G22" s="140">
        <f>'Previsão Custo Enquadramento'!P22</f>
        <v>0</v>
      </c>
      <c r="H22" s="140">
        <f t="shared" si="1"/>
        <v>2919</v>
      </c>
      <c r="I22" s="140">
        <f t="shared" si="2"/>
        <v>2919</v>
      </c>
      <c r="J22" s="140" t="s">
        <v>160</v>
      </c>
      <c r="K22" s="140"/>
      <c r="L22" s="140">
        <v>116.5825</v>
      </c>
      <c r="M22" s="140">
        <f t="shared" si="3"/>
        <v>3035.5825</v>
      </c>
      <c r="N22" s="140">
        <f>'Previsão Custo Enquadramento'!J22</f>
        <v>2191.11</v>
      </c>
      <c r="O22" s="140">
        <f>'Previsão Custo Enquadramento'!N22</f>
        <v>2738.89</v>
      </c>
      <c r="P22" s="140">
        <f t="shared" si="4"/>
        <v>0</v>
      </c>
      <c r="Q22" s="140">
        <f t="shared" si="5"/>
        <v>0</v>
      </c>
      <c r="R22" s="140">
        <f t="shared" si="6"/>
        <v>3035.5825</v>
      </c>
      <c r="S22" s="140">
        <f t="shared" si="7"/>
        <v>3035.5825</v>
      </c>
    </row>
    <row r="23">
      <c r="A23" s="139">
        <f>'Previsão Custo Enquadramento'!A23</f>
        <v>1941</v>
      </c>
      <c r="B23" s="140" t="str">
        <f>'Previsão Custo Enquadramento'!B23</f>
        <v>ASSISTENTE FINANCEIRO CONTAS A PAGAR III</v>
      </c>
      <c r="C23" s="140" t="str">
        <f>'Previsão Custo Enquadramento'!F23</f>
        <v>CLT</v>
      </c>
      <c r="D23" s="140" t="str">
        <f>'Previsão Custo Enquadramento'!D23</f>
        <v>Financeiro</v>
      </c>
      <c r="E23" s="140">
        <f>'Previsão Custo Enquadramento'!H23</f>
        <v>3652</v>
      </c>
      <c r="F23" s="140">
        <f>'Previsão Custo Enquadramento'!L23</f>
        <v>0</v>
      </c>
      <c r="G23" s="140">
        <f>'Previsão Custo Enquadramento'!P23</f>
        <v>0</v>
      </c>
      <c r="H23" s="140">
        <f t="shared" si="1"/>
        <v>3652</v>
      </c>
      <c r="I23" s="140">
        <f t="shared" si="2"/>
        <v>3652</v>
      </c>
      <c r="J23" s="140" t="s">
        <v>160</v>
      </c>
      <c r="K23" s="140"/>
      <c r="L23" s="140">
        <v>116.5825</v>
      </c>
      <c r="M23" s="140">
        <f t="shared" si="3"/>
        <v>3768.5825</v>
      </c>
      <c r="N23" s="140">
        <f>'Previsão Custo Enquadramento'!J23</f>
        <v>2191.11</v>
      </c>
      <c r="O23" s="140">
        <f>'Previsão Custo Enquadramento'!N23</f>
        <v>2738.89</v>
      </c>
      <c r="P23" s="140">
        <f t="shared" si="4"/>
        <v>0</v>
      </c>
      <c r="Q23" s="140">
        <f t="shared" si="5"/>
        <v>0</v>
      </c>
      <c r="R23" s="140">
        <f t="shared" si="6"/>
        <v>3768.5825</v>
      </c>
      <c r="S23" s="140">
        <f t="shared" si="7"/>
        <v>3768.5825</v>
      </c>
    </row>
    <row r="24">
      <c r="A24" s="139">
        <f>'Previsão Custo Enquadramento'!A24</f>
        <v>1961</v>
      </c>
      <c r="B24" s="140" t="str">
        <f>'Previsão Custo Enquadramento'!B24</f>
        <v>AUXILIAR ADMINISTRATIVO</v>
      </c>
      <c r="C24" s="140" t="str">
        <f>'Previsão Custo Enquadramento'!F24</f>
        <v>CLT</v>
      </c>
      <c r="D24" s="140" t="str">
        <f>'Previsão Custo Enquadramento'!D24</f>
        <v>Administrativo</v>
      </c>
      <c r="E24" s="140">
        <f>'Previsão Custo Enquadramento'!H24</f>
        <v>2254</v>
      </c>
      <c r="F24" s="140">
        <f>'Previsão Custo Enquadramento'!L24</f>
        <v>0</v>
      </c>
      <c r="G24" s="140">
        <f>'Previsão Custo Enquadramento'!P24</f>
        <v>80</v>
      </c>
      <c r="H24" s="140">
        <f t="shared" si="1"/>
        <v>2254</v>
      </c>
      <c r="I24" s="140">
        <f t="shared" si="2"/>
        <v>2334</v>
      </c>
      <c r="J24" s="140" t="s">
        <v>162</v>
      </c>
      <c r="K24" s="140"/>
      <c r="L24" s="140">
        <v>150.07500000000002</v>
      </c>
      <c r="M24" s="140">
        <f t="shared" si="3"/>
        <v>2404.075</v>
      </c>
      <c r="N24" s="140">
        <f>'Previsão Custo Enquadramento'!J24</f>
        <v>1867.2</v>
      </c>
      <c r="O24" s="140">
        <f>'Previsão Custo Enquadramento'!N24</f>
        <v>2334</v>
      </c>
      <c r="P24" s="140">
        <f t="shared" si="4"/>
        <v>0</v>
      </c>
      <c r="Q24" s="140">
        <f t="shared" si="5"/>
        <v>0</v>
      </c>
      <c r="R24" s="140">
        <f t="shared" si="6"/>
        <v>2404.075</v>
      </c>
      <c r="S24" s="140">
        <f t="shared" si="7"/>
        <v>2404.075</v>
      </c>
    </row>
    <row r="25">
      <c r="A25" s="139">
        <f>'Previsão Custo Enquadramento'!A25</f>
        <v>184</v>
      </c>
      <c r="B25" s="140" t="str">
        <f>'Previsão Custo Enquadramento'!B25</f>
        <v>AUXILIAR ADMINISTRATIVO III</v>
      </c>
      <c r="C25" s="140" t="str">
        <f>'Previsão Custo Enquadramento'!F25</f>
        <v>CLT</v>
      </c>
      <c r="D25" s="140" t="str">
        <f>'Previsão Custo Enquadramento'!D25</f>
        <v>Administrativo</v>
      </c>
      <c r="E25" s="140">
        <f>'Previsão Custo Enquadramento'!H25</f>
        <v>2739.04</v>
      </c>
      <c r="F25" s="140">
        <f>'Previsão Custo Enquadramento'!L25</f>
        <v>0</v>
      </c>
      <c r="G25" s="140">
        <f>'Previsão Custo Enquadramento'!P25</f>
        <v>0</v>
      </c>
      <c r="H25" s="140">
        <f t="shared" si="1"/>
        <v>2739.04</v>
      </c>
      <c r="I25" s="140">
        <f t="shared" si="2"/>
        <v>2739.04</v>
      </c>
      <c r="J25" s="140" t="s">
        <v>162</v>
      </c>
      <c r="K25" s="140"/>
      <c r="L25" s="140">
        <v>150.07500000000002</v>
      </c>
      <c r="M25" s="140">
        <f t="shared" si="3"/>
        <v>2889.115</v>
      </c>
      <c r="N25" s="140">
        <f>'Previsão Custo Enquadramento'!J25</f>
        <v>1867.2</v>
      </c>
      <c r="O25" s="140">
        <f>'Previsão Custo Enquadramento'!N25</f>
        <v>2334</v>
      </c>
      <c r="P25" s="140">
        <f t="shared" si="4"/>
        <v>0</v>
      </c>
      <c r="Q25" s="140">
        <f t="shared" si="5"/>
        <v>0</v>
      </c>
      <c r="R25" s="140">
        <f t="shared" si="6"/>
        <v>2889.115</v>
      </c>
      <c r="S25" s="140">
        <f t="shared" si="7"/>
        <v>2889.115</v>
      </c>
    </row>
    <row r="26">
      <c r="A26" s="139">
        <f>'Previsão Custo Enquadramento'!A26</f>
        <v>1951</v>
      </c>
      <c r="B26" s="140" t="str">
        <f>'Previsão Custo Enquadramento'!B26</f>
        <v>AUXILIAR DE ATENDIMENTO II</v>
      </c>
      <c r="C26" s="140" t="str">
        <f>'Previsão Custo Enquadramento'!F26</f>
        <v>CLT</v>
      </c>
      <c r="D26" s="140" t="str">
        <f>'Previsão Custo Enquadramento'!D26</f>
        <v>Recepção</v>
      </c>
      <c r="E26" s="140">
        <f>'Previsão Custo Enquadramento'!H26</f>
        <v>2560</v>
      </c>
      <c r="F26" s="140">
        <f>'Previsão Custo Enquadramento'!L26</f>
        <v>0</v>
      </c>
      <c r="G26" s="140">
        <f>'Previsão Custo Enquadramento'!P26</f>
        <v>0</v>
      </c>
      <c r="H26" s="140">
        <f t="shared" si="1"/>
        <v>2560</v>
      </c>
      <c r="I26" s="140">
        <f t="shared" si="2"/>
        <v>2560</v>
      </c>
      <c r="J26" s="140" t="s">
        <v>164</v>
      </c>
      <c r="K26" s="140"/>
      <c r="L26" s="140">
        <v>221.8175</v>
      </c>
      <c r="M26" s="140">
        <f t="shared" si="3"/>
        <v>2781.8175</v>
      </c>
      <c r="N26" s="140">
        <f>'Previsão Custo Enquadramento'!J26</f>
        <v>1867.2</v>
      </c>
      <c r="O26" s="140">
        <f>'Previsão Custo Enquadramento'!N26</f>
        <v>2334</v>
      </c>
      <c r="P26" s="140">
        <f t="shared" si="4"/>
        <v>0</v>
      </c>
      <c r="Q26" s="140">
        <f t="shared" si="5"/>
        <v>0</v>
      </c>
      <c r="R26" s="140">
        <f t="shared" si="6"/>
        <v>2781.8175</v>
      </c>
      <c r="S26" s="140">
        <f t="shared" si="7"/>
        <v>2781.8175</v>
      </c>
    </row>
    <row r="27">
      <c r="A27" s="139">
        <f>'Previsão Custo Enquadramento'!A27</f>
        <v>191</v>
      </c>
      <c r="B27" s="140" t="str">
        <f>'Previsão Custo Enquadramento'!B27</f>
        <v>AUXILIAR DE ENGENHARIA</v>
      </c>
      <c r="C27" s="140" t="str">
        <f>'Previsão Custo Enquadramento'!F27</f>
        <v>CLT</v>
      </c>
      <c r="D27" s="140" t="str">
        <f>'Previsão Custo Enquadramento'!D27</f>
        <v>Urbanismo</v>
      </c>
      <c r="E27" s="140">
        <f>'Previsão Custo Enquadramento'!H27</f>
        <v>2560</v>
      </c>
      <c r="F27" s="140">
        <f>'Previsão Custo Enquadramento'!L27</f>
        <v>0</v>
      </c>
      <c r="G27" s="140">
        <f>'Previsão Custo Enquadramento'!P27</f>
        <v>178.89</v>
      </c>
      <c r="H27" s="140">
        <f t="shared" si="1"/>
        <v>2560</v>
      </c>
      <c r="I27" s="140">
        <f t="shared" si="2"/>
        <v>2738.89</v>
      </c>
      <c r="J27" s="140" t="s">
        <v>165</v>
      </c>
      <c r="K27" s="140"/>
      <c r="L27" s="140"/>
      <c r="M27" s="140">
        <f t="shared" si="3"/>
        <v>2560</v>
      </c>
      <c r="N27" s="140">
        <f>'Previsão Custo Enquadramento'!J27</f>
        <v>2191.11</v>
      </c>
      <c r="O27" s="140">
        <f>'Previsão Custo Enquadramento'!N27</f>
        <v>2738.89</v>
      </c>
      <c r="P27" s="140">
        <f t="shared" si="4"/>
        <v>0</v>
      </c>
      <c r="Q27" s="140">
        <f t="shared" si="5"/>
        <v>178.89</v>
      </c>
      <c r="R27" s="140">
        <f t="shared" si="6"/>
        <v>2560</v>
      </c>
      <c r="S27" s="140">
        <f t="shared" si="7"/>
        <v>2738.89</v>
      </c>
    </row>
    <row r="28">
      <c r="A28" s="139" t="str">
        <f>'Previsão Custo Enquadramento'!A28</f>
        <v>PJ2</v>
      </c>
      <c r="B28" s="140" t="str">
        <f>'Previsão Custo Enquadramento'!B28</f>
        <v>CONTROLER JURÍDICO</v>
      </c>
      <c r="C28" s="140" t="str">
        <f>'Previsão Custo Enquadramento'!F28</f>
        <v>PJ</v>
      </c>
      <c r="D28" s="140" t="str">
        <f>'Previsão Custo Enquadramento'!D28</f>
        <v>Administrativo</v>
      </c>
      <c r="E28" s="140">
        <f>'Previsão Custo Enquadramento'!H28</f>
        <v>11339</v>
      </c>
      <c r="F28" s="140">
        <f>'Previsão Custo Enquadramento'!L28</f>
        <v>0</v>
      </c>
      <c r="G28" s="140">
        <f>'Previsão Custo Enquadramento'!P28</f>
        <v>1467.205</v>
      </c>
      <c r="H28" s="140">
        <f t="shared" si="1"/>
        <v>11339</v>
      </c>
      <c r="I28" s="140">
        <f t="shared" si="2"/>
        <v>12806.205</v>
      </c>
      <c r="J28" s="140" t="s">
        <v>167</v>
      </c>
      <c r="K28" s="140"/>
      <c r="L28" s="140">
        <v>821.2983333333333</v>
      </c>
      <c r="M28" s="140">
        <f t="shared" si="3"/>
        <v>12160.29833</v>
      </c>
      <c r="N28" s="140">
        <f>'Previsão Custo Enquadramento'!J28</f>
        <v>10244.96</v>
      </c>
      <c r="O28" s="140">
        <f>'Previsão Custo Enquadramento'!N28</f>
        <v>12806.205</v>
      </c>
      <c r="P28" s="140">
        <f t="shared" si="4"/>
        <v>0</v>
      </c>
      <c r="Q28" s="140">
        <f t="shared" si="5"/>
        <v>645.9066667</v>
      </c>
      <c r="R28" s="140">
        <f t="shared" si="6"/>
        <v>12160.29833</v>
      </c>
      <c r="S28" s="140">
        <f t="shared" si="7"/>
        <v>12806.205</v>
      </c>
    </row>
    <row r="29">
      <c r="A29" s="139" t="str">
        <f>'Previsão Custo Enquadramento'!A29</f>
        <v>PJ3</v>
      </c>
      <c r="B29" s="140" t="str">
        <f>'Previsão Custo Enquadramento'!B29</f>
        <v>CONTROLLER GERAL</v>
      </c>
      <c r="C29" s="140" t="str">
        <f>'Previsão Custo Enquadramento'!F29</f>
        <v>PJ</v>
      </c>
      <c r="D29" s="140" t="str">
        <f>'Previsão Custo Enquadramento'!D29</f>
        <v>Controladoria</v>
      </c>
      <c r="E29" s="140">
        <f>'Previsão Custo Enquadramento'!H29</f>
        <v>16000</v>
      </c>
      <c r="F29" s="140">
        <f>'Previsão Custo Enquadramento'!L29</f>
        <v>1290.17</v>
      </c>
      <c r="G29" s="140">
        <f>'Previsão Custo Enquadramento'!P29</f>
        <v>5612.71</v>
      </c>
      <c r="H29" s="140">
        <f t="shared" si="1"/>
        <v>17290.17</v>
      </c>
      <c r="I29" s="140">
        <f t="shared" si="2"/>
        <v>21612.71</v>
      </c>
      <c r="J29" s="140" t="s">
        <v>169</v>
      </c>
      <c r="K29" s="140"/>
      <c r="L29" s="140">
        <v>2302.4666666666667</v>
      </c>
      <c r="M29" s="140">
        <f t="shared" si="3"/>
        <v>18302.46667</v>
      </c>
      <c r="N29" s="140">
        <f>'Previsão Custo Enquadramento'!J29</f>
        <v>17290.17</v>
      </c>
      <c r="O29" s="140">
        <f>'Previsão Custo Enquadramento'!N29</f>
        <v>21612.71</v>
      </c>
      <c r="P29" s="140">
        <f t="shared" si="4"/>
        <v>0</v>
      </c>
      <c r="Q29" s="140">
        <f t="shared" si="5"/>
        <v>3310.243333</v>
      </c>
      <c r="R29" s="140">
        <f t="shared" si="6"/>
        <v>18302.46667</v>
      </c>
      <c r="S29" s="140">
        <f t="shared" si="7"/>
        <v>21612.71</v>
      </c>
    </row>
    <row r="30">
      <c r="A30" s="139" t="str">
        <f>'Previsão Custo Enquadramento'!A30</f>
        <v>PJ4</v>
      </c>
      <c r="B30" s="140" t="str">
        <f>'Previsão Custo Enquadramento'!B30</f>
        <v>CONTROLLER TÉCNICO</v>
      </c>
      <c r="C30" s="140" t="str">
        <f>'Previsão Custo Enquadramento'!F30</f>
        <v>PJ</v>
      </c>
      <c r="D30" s="140" t="str">
        <f>'Previsão Custo Enquadramento'!D30</f>
        <v>Controladoria</v>
      </c>
      <c r="E30" s="140">
        <f>'Previsão Custo Enquadramento'!H30</f>
        <v>12663.6</v>
      </c>
      <c r="F30" s="140">
        <f>'Previsão Custo Enquadramento'!L30</f>
        <v>0</v>
      </c>
      <c r="G30" s="140">
        <f>'Previsão Custo Enquadramento'!P30</f>
        <v>2468.62293</v>
      </c>
      <c r="H30" s="140">
        <f t="shared" si="1"/>
        <v>12663.6</v>
      </c>
      <c r="I30" s="140">
        <f t="shared" si="2"/>
        <v>15132.22293</v>
      </c>
      <c r="J30" s="140" t="s">
        <v>171</v>
      </c>
      <c r="K30" s="140"/>
      <c r="L30" s="140">
        <v>1374.6216666666667</v>
      </c>
      <c r="M30" s="140">
        <f t="shared" si="3"/>
        <v>14038.22167</v>
      </c>
      <c r="N30" s="140">
        <f>'Previsão Custo Enquadramento'!J30</f>
        <v>12105.78</v>
      </c>
      <c r="O30" s="140">
        <f>'Previsão Custo Enquadramento'!N30</f>
        <v>15132.22293</v>
      </c>
      <c r="P30" s="140">
        <f t="shared" si="4"/>
        <v>0</v>
      </c>
      <c r="Q30" s="140">
        <f t="shared" si="5"/>
        <v>1094.001263</v>
      </c>
      <c r="R30" s="140">
        <f t="shared" si="6"/>
        <v>14038.22167</v>
      </c>
      <c r="S30" s="140">
        <f t="shared" si="7"/>
        <v>15132.22293</v>
      </c>
    </row>
    <row r="31">
      <c r="A31" s="139">
        <f>'Previsão Custo Enquadramento'!A31</f>
        <v>1959</v>
      </c>
      <c r="B31" s="140" t="str">
        <f>'Previsão Custo Enquadramento'!B31</f>
        <v>COORDENADOR DE DHO</v>
      </c>
      <c r="C31" s="140" t="str">
        <f>'Previsão Custo Enquadramento'!F31</f>
        <v>CLT</v>
      </c>
      <c r="D31" s="140" t="str">
        <f>'Previsão Custo Enquadramento'!D31</f>
        <v>DHO</v>
      </c>
      <c r="E31" s="140">
        <f>'Previsão Custo Enquadramento'!H31</f>
        <v>7420</v>
      </c>
      <c r="F31" s="140">
        <f>'Previsão Custo Enquadramento'!L31</f>
        <v>2696.17</v>
      </c>
      <c r="G31" s="140">
        <f>'Previsão Custo Enquadramento'!P31</f>
        <v>5225.21</v>
      </c>
      <c r="H31" s="140">
        <f t="shared" si="1"/>
        <v>10116.17</v>
      </c>
      <c r="I31" s="140">
        <f t="shared" si="2"/>
        <v>12645.21</v>
      </c>
      <c r="J31" s="140" t="s">
        <v>172</v>
      </c>
      <c r="K31" s="140"/>
      <c r="L31" s="140">
        <v>798.1966666666667</v>
      </c>
      <c r="M31" s="140">
        <f t="shared" si="3"/>
        <v>8218.196667</v>
      </c>
      <c r="N31" s="140">
        <f>'Previsão Custo Enquadramento'!J31</f>
        <v>10116.17</v>
      </c>
      <c r="O31" s="140">
        <f>'Previsão Custo Enquadramento'!N31</f>
        <v>12645.21</v>
      </c>
      <c r="P31" s="140">
        <f t="shared" si="4"/>
        <v>1897.973333</v>
      </c>
      <c r="Q31" s="140">
        <f t="shared" si="5"/>
        <v>4427.013333</v>
      </c>
      <c r="R31" s="140">
        <f t="shared" si="6"/>
        <v>10116.17</v>
      </c>
      <c r="S31" s="140">
        <f t="shared" si="7"/>
        <v>12645.21</v>
      </c>
    </row>
    <row r="32">
      <c r="A32" s="139">
        <f>'Previsão Custo Enquadramento'!A32</f>
        <v>151</v>
      </c>
      <c r="B32" s="140" t="str">
        <f>'Previsão Custo Enquadramento'!B32</f>
        <v>COORDENADOR DE LEGAIZAÇÃO ll</v>
      </c>
      <c r="C32" s="140" t="str">
        <f>'Previsão Custo Enquadramento'!F32</f>
        <v>CLT</v>
      </c>
      <c r="D32" s="140" t="str">
        <f>'Previsão Custo Enquadramento'!D32</f>
        <v>Legalização</v>
      </c>
      <c r="E32" s="140">
        <f>'Previsão Custo Enquadramento'!H32</f>
        <v>8647</v>
      </c>
      <c r="F32" s="140">
        <f>'Previsão Custo Enquadramento'!L32</f>
        <v>0</v>
      </c>
      <c r="G32" s="140">
        <f>'Previsão Custo Enquadramento'!P32</f>
        <v>0</v>
      </c>
      <c r="H32" s="140">
        <f t="shared" si="1"/>
        <v>8647</v>
      </c>
      <c r="I32" s="140">
        <f t="shared" si="2"/>
        <v>8647</v>
      </c>
      <c r="J32" s="140" t="s">
        <v>173</v>
      </c>
      <c r="K32" s="140"/>
      <c r="L32" s="140">
        <v>985.3016666666667</v>
      </c>
      <c r="M32" s="140">
        <f t="shared" si="3"/>
        <v>9632.301667</v>
      </c>
      <c r="N32" s="140">
        <f>'Previsão Custo Enquadramento'!J32</f>
        <v>6829.98</v>
      </c>
      <c r="O32" s="140">
        <f>'Previsão Custo Enquadramento'!N32</f>
        <v>8537.47</v>
      </c>
      <c r="P32" s="140">
        <f t="shared" si="4"/>
        <v>0</v>
      </c>
      <c r="Q32" s="140">
        <f t="shared" si="5"/>
        <v>0</v>
      </c>
      <c r="R32" s="140">
        <f t="shared" si="6"/>
        <v>9632.301667</v>
      </c>
      <c r="S32" s="140">
        <f t="shared" si="7"/>
        <v>9632.301667</v>
      </c>
    </row>
    <row r="33">
      <c r="A33" s="139">
        <f>'Previsão Custo Enquadramento'!A33</f>
        <v>1911</v>
      </c>
      <c r="B33" s="140" t="str">
        <f>'Previsão Custo Enquadramento'!B33</f>
        <v>COORDENADOR DE MARKETING II</v>
      </c>
      <c r="C33" s="140" t="str">
        <f>'Previsão Custo Enquadramento'!F33</f>
        <v>CLT</v>
      </c>
      <c r="D33" s="140" t="str">
        <f>'Previsão Custo Enquadramento'!D33</f>
        <v>Marketing</v>
      </c>
      <c r="E33" s="140">
        <f>'Previsão Custo Enquadramento'!H33</f>
        <v>8647</v>
      </c>
      <c r="F33" s="140">
        <f>'Previsão Custo Enquadramento'!L33</f>
        <v>0</v>
      </c>
      <c r="G33" s="140">
        <f>'Previsão Custo Enquadramento'!P33</f>
        <v>0</v>
      </c>
      <c r="H33" s="140">
        <f t="shared" si="1"/>
        <v>8647</v>
      </c>
      <c r="I33" s="140">
        <f t="shared" si="2"/>
        <v>8647</v>
      </c>
      <c r="J33" s="140" t="s">
        <v>174</v>
      </c>
      <c r="K33" s="140"/>
      <c r="L33" s="140">
        <v>841.7691666666666</v>
      </c>
      <c r="M33" s="140">
        <f t="shared" si="3"/>
        <v>9488.769167</v>
      </c>
      <c r="N33" s="140">
        <f>'Previsão Custo Enquadramento'!J33</f>
        <v>6829.98</v>
      </c>
      <c r="O33" s="140">
        <f>'Previsão Custo Enquadramento'!N33</f>
        <v>8537.47</v>
      </c>
      <c r="P33" s="140">
        <f t="shared" si="4"/>
        <v>0</v>
      </c>
      <c r="Q33" s="140">
        <f t="shared" si="5"/>
        <v>0</v>
      </c>
      <c r="R33" s="140">
        <f t="shared" si="6"/>
        <v>9488.769167</v>
      </c>
      <c r="S33" s="140">
        <f t="shared" si="7"/>
        <v>9488.769167</v>
      </c>
    </row>
    <row r="34">
      <c r="A34" s="139">
        <f>'Previsão Custo Enquadramento'!A34</f>
        <v>1452</v>
      </c>
      <c r="B34" s="140" t="str">
        <f>'Previsão Custo Enquadramento'!B34</f>
        <v>COORDENADOR DE OBRAS</v>
      </c>
      <c r="C34" s="140" t="str">
        <f>'Previsão Custo Enquadramento'!F34</f>
        <v>CLT</v>
      </c>
      <c r="D34" s="140" t="str">
        <f>'Previsão Custo Enquadramento'!D34</f>
        <v>Edificação</v>
      </c>
      <c r="E34" s="140">
        <f>'Previsão Custo Enquadramento'!H34</f>
        <v>8714</v>
      </c>
      <c r="F34" s="140">
        <f>'Previsão Custo Enquadramento'!L34</f>
        <v>1402.17</v>
      </c>
      <c r="G34" s="140">
        <f>'Previsão Custo Enquadramento'!P34</f>
        <v>3931.21</v>
      </c>
      <c r="H34" s="140">
        <f t="shared" si="1"/>
        <v>10116.17</v>
      </c>
      <c r="I34" s="140">
        <f t="shared" si="2"/>
        <v>12645.21</v>
      </c>
      <c r="J34" s="140" t="s">
        <v>175</v>
      </c>
      <c r="K34" s="140"/>
      <c r="L34" s="140">
        <v>438.0275</v>
      </c>
      <c r="M34" s="140">
        <f t="shared" si="3"/>
        <v>9152.0275</v>
      </c>
      <c r="N34" s="140">
        <f>'Previsão Custo Enquadramento'!J34</f>
        <v>10116.17</v>
      </c>
      <c r="O34" s="140">
        <f>'Previsão Custo Enquadramento'!N34</f>
        <v>12645.21</v>
      </c>
      <c r="P34" s="140">
        <f t="shared" si="4"/>
        <v>964.1425</v>
      </c>
      <c r="Q34" s="140">
        <f t="shared" si="5"/>
        <v>3493.1825</v>
      </c>
      <c r="R34" s="140">
        <f t="shared" si="6"/>
        <v>10116.17</v>
      </c>
      <c r="S34" s="140">
        <f t="shared" si="7"/>
        <v>12645.21</v>
      </c>
    </row>
    <row r="35">
      <c r="A35" s="139" t="str">
        <f>'Previsão Custo Enquadramento'!A35</f>
        <v>PJ5</v>
      </c>
      <c r="B35" s="140" t="str">
        <f>'Previsão Custo Enquadramento'!B35</f>
        <v>COORDENADOR DE SUPRIMENTOS</v>
      </c>
      <c r="C35" s="140" t="str">
        <f>'Previsão Custo Enquadramento'!F35</f>
        <v>PJ</v>
      </c>
      <c r="D35" s="140" t="str">
        <f>'Previsão Custo Enquadramento'!D35</f>
        <v>Suprimentos</v>
      </c>
      <c r="E35" s="140">
        <f>'Previsão Custo Enquadramento'!H35</f>
        <v>16000</v>
      </c>
      <c r="F35" s="140">
        <f>'Previsão Custo Enquadramento'!L35</f>
        <v>0</v>
      </c>
      <c r="G35" s="140">
        <f>'Previsão Custo Enquadramento'!P35</f>
        <v>1892.97215</v>
      </c>
      <c r="H35" s="140">
        <f t="shared" si="1"/>
        <v>16000</v>
      </c>
      <c r="I35" s="140">
        <f t="shared" si="2"/>
        <v>17892.97215</v>
      </c>
      <c r="J35" s="140" t="s">
        <v>177</v>
      </c>
      <c r="K35" s="140"/>
      <c r="L35" s="140">
        <v>1587.8516666666667</v>
      </c>
      <c r="M35" s="140">
        <f t="shared" si="3"/>
        <v>17587.85167</v>
      </c>
      <c r="N35" s="140">
        <f>'Previsão Custo Enquadramento'!J35</f>
        <v>14314.38</v>
      </c>
      <c r="O35" s="140">
        <f>'Previsão Custo Enquadramento'!N35</f>
        <v>17892.97215</v>
      </c>
      <c r="P35" s="140">
        <f t="shared" si="4"/>
        <v>0</v>
      </c>
      <c r="Q35" s="140">
        <f t="shared" si="5"/>
        <v>305.1204833</v>
      </c>
      <c r="R35" s="140">
        <f t="shared" si="6"/>
        <v>17587.85167</v>
      </c>
      <c r="S35" s="140">
        <f t="shared" si="7"/>
        <v>17892.97215</v>
      </c>
    </row>
    <row r="36">
      <c r="A36" s="139" t="str">
        <f>'Previsão Custo Enquadramento'!A36</f>
        <v>PJ6</v>
      </c>
      <c r="B36" s="140" t="str">
        <f>'Previsão Custo Enquadramento'!B36</f>
        <v>COORDENADOR FINANCEIRO</v>
      </c>
      <c r="C36" s="140" t="str">
        <f>'Previsão Custo Enquadramento'!F36</f>
        <v>PJ</v>
      </c>
      <c r="D36" s="140" t="str">
        <f>'Previsão Custo Enquadramento'!D36</f>
        <v>Financeiro</v>
      </c>
      <c r="E36" s="140">
        <f>'Previsão Custo Enquadramento'!H36</f>
        <v>12000</v>
      </c>
      <c r="F36" s="140">
        <f>'Previsão Custo Enquadramento'!L36</f>
        <v>2314.38</v>
      </c>
      <c r="G36" s="140">
        <f>'Previsão Custo Enquadramento'!P36</f>
        <v>5892.97215</v>
      </c>
      <c r="H36" s="140">
        <f t="shared" si="1"/>
        <v>14314.38</v>
      </c>
      <c r="I36" s="140">
        <f t="shared" si="2"/>
        <v>17892.97215</v>
      </c>
      <c r="J36" s="140" t="s">
        <v>179</v>
      </c>
      <c r="K36" s="140"/>
      <c r="L36" s="140">
        <v>370.6358333333333</v>
      </c>
      <c r="M36" s="140">
        <f t="shared" si="3"/>
        <v>12370.63583</v>
      </c>
      <c r="N36" s="140">
        <f>'Previsão Custo Enquadramento'!J36</f>
        <v>14314.38</v>
      </c>
      <c r="O36" s="140">
        <f>'Previsão Custo Enquadramento'!N36</f>
        <v>17892.97215</v>
      </c>
      <c r="P36" s="140">
        <f t="shared" si="4"/>
        <v>1943.744167</v>
      </c>
      <c r="Q36" s="140">
        <f t="shared" si="5"/>
        <v>5522.336317</v>
      </c>
      <c r="R36" s="140">
        <f t="shared" si="6"/>
        <v>14314.38</v>
      </c>
      <c r="S36" s="140">
        <f t="shared" si="7"/>
        <v>17892.97215</v>
      </c>
    </row>
    <row r="37">
      <c r="A37" s="139" t="str">
        <f>'Previsão Custo Enquadramento'!A37</f>
        <v>PJ7</v>
      </c>
      <c r="B37" s="140" t="str">
        <f>'Previsão Custo Enquadramento'!B37</f>
        <v>DIRETOR</v>
      </c>
      <c r="C37" s="140" t="str">
        <f>'Previsão Custo Enquadramento'!F37</f>
        <v>PJ</v>
      </c>
      <c r="D37" s="141"/>
      <c r="E37" s="140">
        <f>'Previsão Custo Enquadramento'!H37</f>
        <v>58000</v>
      </c>
      <c r="F37" s="140">
        <f>'Previsão Custo Enquadramento'!L37</f>
        <v>0</v>
      </c>
      <c r="G37" s="140">
        <f>'Previsão Custo Enquadramento'!P37</f>
        <v>0</v>
      </c>
      <c r="H37" s="140">
        <f t="shared" si="1"/>
        <v>58000</v>
      </c>
      <c r="I37" s="140">
        <f t="shared" si="2"/>
        <v>58000</v>
      </c>
      <c r="J37" s="140" t="s">
        <v>181</v>
      </c>
      <c r="K37" s="140"/>
      <c r="L37" s="140">
        <v>21066.083333333332</v>
      </c>
      <c r="M37" s="140">
        <f t="shared" si="3"/>
        <v>79066.08333</v>
      </c>
      <c r="N37" s="140">
        <f>'Previsão Custo Enquadramento'!J37</f>
        <v>45764.06</v>
      </c>
      <c r="O37" s="140">
        <f>'Previsão Custo Enquadramento'!N37</f>
        <v>57205.0752</v>
      </c>
      <c r="P37" s="140">
        <f t="shared" si="4"/>
        <v>0</v>
      </c>
      <c r="Q37" s="140">
        <f t="shared" si="5"/>
        <v>0</v>
      </c>
      <c r="R37" s="140">
        <f t="shared" si="6"/>
        <v>79066.08333</v>
      </c>
      <c r="S37" s="140">
        <f t="shared" si="7"/>
        <v>79066.08333</v>
      </c>
    </row>
    <row r="38">
      <c r="A38" s="139">
        <f>'Previsão Custo Enquadramento'!A38</f>
        <v>132</v>
      </c>
      <c r="B38" s="140" t="str">
        <f>'Previsão Custo Enquadramento'!B38</f>
        <v>ENCARREGADO DE OBRAS</v>
      </c>
      <c r="C38" s="140" t="str">
        <f>'Previsão Custo Enquadramento'!F38</f>
        <v>CLT</v>
      </c>
      <c r="D38" s="140" t="str">
        <f>'Previsão Custo Enquadramento'!D38</f>
        <v>Urbanismo</v>
      </c>
      <c r="E38" s="140">
        <f>'Previsão Custo Enquadramento'!H38</f>
        <v>8461</v>
      </c>
      <c r="F38" s="140">
        <f>'Previsão Custo Enquadramento'!L38</f>
        <v>0</v>
      </c>
      <c r="G38" s="140">
        <f>'Previsão Custo Enquadramento'!P38</f>
        <v>1951.08</v>
      </c>
      <c r="H38" s="140">
        <f t="shared" si="1"/>
        <v>8461</v>
      </c>
      <c r="I38" s="140">
        <f t="shared" si="2"/>
        <v>10412.08</v>
      </c>
      <c r="J38" s="140" t="s">
        <v>183</v>
      </c>
      <c r="K38" s="140"/>
      <c r="L38" s="140">
        <v>438.0275</v>
      </c>
      <c r="M38" s="140">
        <f t="shared" si="3"/>
        <v>8899.0275</v>
      </c>
      <c r="N38" s="140">
        <f>'Previsão Custo Enquadramento'!J38</f>
        <v>8329.66</v>
      </c>
      <c r="O38" s="140">
        <f>'Previsão Custo Enquadramento'!N38</f>
        <v>10412.08</v>
      </c>
      <c r="P38" s="140">
        <f t="shared" si="4"/>
        <v>0</v>
      </c>
      <c r="Q38" s="140">
        <f t="shared" si="5"/>
        <v>1513.0525</v>
      </c>
      <c r="R38" s="140">
        <f t="shared" si="6"/>
        <v>8899.0275</v>
      </c>
      <c r="S38" s="140">
        <f t="shared" si="7"/>
        <v>10412.08</v>
      </c>
    </row>
    <row r="39">
      <c r="A39" s="139">
        <f>'Previsão Custo Enquadramento'!A39</f>
        <v>182</v>
      </c>
      <c r="B39" s="140" t="str">
        <f>'Previsão Custo Enquadramento'!B39</f>
        <v>ENCARREGADO DE OBRAS</v>
      </c>
      <c r="C39" s="140" t="str">
        <f>'Previsão Custo Enquadramento'!F39</f>
        <v>CLT</v>
      </c>
      <c r="D39" s="140" t="str">
        <f>'Previsão Custo Enquadramento'!D39</f>
        <v>Urbanismo</v>
      </c>
      <c r="E39" s="140">
        <f>'Previsão Custo Enquadramento'!H39</f>
        <v>11540</v>
      </c>
      <c r="F39" s="140">
        <f>'Previsão Custo Enquadramento'!L39</f>
        <v>0</v>
      </c>
      <c r="G39" s="140">
        <f>'Previsão Custo Enquadramento'!P39</f>
        <v>0</v>
      </c>
      <c r="H39" s="140">
        <f t="shared" si="1"/>
        <v>11540</v>
      </c>
      <c r="I39" s="140">
        <f t="shared" si="2"/>
        <v>11540</v>
      </c>
      <c r="J39" s="140" t="s">
        <v>183</v>
      </c>
      <c r="K39" s="140"/>
      <c r="L39" s="140">
        <v>438.0275</v>
      </c>
      <c r="M39" s="140">
        <f t="shared" si="3"/>
        <v>11978.0275</v>
      </c>
      <c r="N39" s="140">
        <f>'Previsão Custo Enquadramento'!J39</f>
        <v>8329.66</v>
      </c>
      <c r="O39" s="140">
        <f>'Previsão Custo Enquadramento'!N39</f>
        <v>10412.08</v>
      </c>
      <c r="P39" s="140">
        <f t="shared" si="4"/>
        <v>0</v>
      </c>
      <c r="Q39" s="140">
        <f t="shared" si="5"/>
        <v>0</v>
      </c>
      <c r="R39" s="140">
        <f t="shared" si="6"/>
        <v>11978.0275</v>
      </c>
      <c r="S39" s="140">
        <f t="shared" si="7"/>
        <v>11978.0275</v>
      </c>
    </row>
    <row r="40">
      <c r="A40" s="139">
        <f>'Previsão Custo Enquadramento'!A40</f>
        <v>1351</v>
      </c>
      <c r="B40" s="140" t="str">
        <f>'Previsão Custo Enquadramento'!B40</f>
        <v>ENCARREGADO OBRAS/MANUTENCAO</v>
      </c>
      <c r="C40" s="140" t="str">
        <f>'Previsão Custo Enquadramento'!F40</f>
        <v>CLT</v>
      </c>
      <c r="D40" s="140" t="str">
        <f>'Previsão Custo Enquadramento'!D40</f>
        <v>Edificação</v>
      </c>
      <c r="E40" s="140">
        <f>'Previsão Custo Enquadramento'!H40</f>
        <v>8714</v>
      </c>
      <c r="F40" s="140">
        <f>'Previsão Custo Enquadramento'!L40</f>
        <v>0</v>
      </c>
      <c r="G40" s="140">
        <f>'Previsão Custo Enquadramento'!P40</f>
        <v>0</v>
      </c>
      <c r="H40" s="140">
        <f t="shared" si="1"/>
        <v>8714</v>
      </c>
      <c r="I40" s="140">
        <f t="shared" si="2"/>
        <v>8714</v>
      </c>
      <c r="J40" s="140" t="s">
        <v>184</v>
      </c>
      <c r="K40" s="140"/>
      <c r="L40" s="140">
        <v>528.2858333333334</v>
      </c>
      <c r="M40" s="140">
        <f t="shared" si="3"/>
        <v>9242.285833</v>
      </c>
      <c r="N40" s="140">
        <f>'Previsão Custo Enquadramento'!J40</f>
        <v>6829.98</v>
      </c>
      <c r="O40" s="140">
        <f>'Previsão Custo Enquadramento'!N40</f>
        <v>8537.47</v>
      </c>
      <c r="P40" s="140">
        <f t="shared" si="4"/>
        <v>0</v>
      </c>
      <c r="Q40" s="140">
        <f t="shared" si="5"/>
        <v>0</v>
      </c>
      <c r="R40" s="140">
        <f t="shared" si="6"/>
        <v>9242.285833</v>
      </c>
      <c r="S40" s="140">
        <f t="shared" si="7"/>
        <v>9242.285833</v>
      </c>
    </row>
    <row r="41">
      <c r="A41" s="139" t="str">
        <f>'Previsão Custo Enquadramento'!A41</f>
        <v>PJ8</v>
      </c>
      <c r="B41" s="140" t="str">
        <f>'Previsão Custo Enquadramento'!B41</f>
        <v>ENGENHEIRO JUNIOR DE URBANISMO</v>
      </c>
      <c r="C41" s="140" t="str">
        <f>'Previsão Custo Enquadramento'!F41</f>
        <v>PJ</v>
      </c>
      <c r="D41" s="140" t="str">
        <f>'Previsão Custo Enquadramento'!D41</f>
        <v>Urbanismo</v>
      </c>
      <c r="E41" s="140">
        <f>'Previsão Custo Enquadramento'!H41</f>
        <v>8390</v>
      </c>
      <c r="F41" s="140">
        <f>'Previsão Custo Enquadramento'!L41</f>
        <v>1854.96</v>
      </c>
      <c r="G41" s="140">
        <f>'Previsão Custo Enquadramento'!P41</f>
        <v>4416.205</v>
      </c>
      <c r="H41" s="140">
        <f t="shared" si="1"/>
        <v>10244.96</v>
      </c>
      <c r="I41" s="140">
        <f t="shared" si="2"/>
        <v>12806.205</v>
      </c>
      <c r="J41" s="140" t="s">
        <v>186</v>
      </c>
      <c r="K41" s="140"/>
      <c r="L41" s="140">
        <v>679.75</v>
      </c>
      <c r="M41" s="140">
        <f t="shared" si="3"/>
        <v>9069.75</v>
      </c>
      <c r="N41" s="140">
        <f>'Previsão Custo Enquadramento'!J41</f>
        <v>10244.96</v>
      </c>
      <c r="O41" s="140">
        <f>'Previsão Custo Enquadramento'!N41</f>
        <v>12806.205</v>
      </c>
      <c r="P41" s="140">
        <f t="shared" si="4"/>
        <v>1175.21</v>
      </c>
      <c r="Q41" s="140">
        <f t="shared" si="5"/>
        <v>3736.455</v>
      </c>
      <c r="R41" s="140">
        <f t="shared" si="6"/>
        <v>10244.96</v>
      </c>
      <c r="S41" s="140">
        <f t="shared" si="7"/>
        <v>12806.205</v>
      </c>
    </row>
    <row r="42">
      <c r="A42" s="139" t="str">
        <f>'Previsão Custo Enquadramento'!A42</f>
        <v>PJ9</v>
      </c>
      <c r="B42" s="140" t="str">
        <f>'Previsão Custo Enquadramento'!B42</f>
        <v>ENGENHEIRO SÊNIOR</v>
      </c>
      <c r="C42" s="140" t="str">
        <f>'Previsão Custo Enquadramento'!F42</f>
        <v>PJ</v>
      </c>
      <c r="D42" s="140" t="str">
        <f>'Previsão Custo Enquadramento'!D42</f>
        <v>Edificação</v>
      </c>
      <c r="E42" s="140">
        <f>'Previsão Custo Enquadramento'!H42</f>
        <v>19000</v>
      </c>
      <c r="F42" s="140">
        <f>'Previsão Custo Enquadramento'!L42</f>
        <v>0</v>
      </c>
      <c r="G42" s="140">
        <f>'Previsão Custo Enquadramento'!P42</f>
        <v>0</v>
      </c>
      <c r="H42" s="140">
        <f t="shared" si="1"/>
        <v>19000</v>
      </c>
      <c r="I42" s="140">
        <f t="shared" si="2"/>
        <v>19000</v>
      </c>
      <c r="J42" s="140" t="s">
        <v>188</v>
      </c>
      <c r="K42" s="140"/>
      <c r="L42" s="140">
        <v>1046.9458333333334</v>
      </c>
      <c r="M42" s="140">
        <f t="shared" si="3"/>
        <v>20046.94583</v>
      </c>
      <c r="N42" s="140">
        <f>'Previsão Custo Enquadramento'!J42</f>
        <v>14314.38</v>
      </c>
      <c r="O42" s="140">
        <f>'Previsão Custo Enquadramento'!N42</f>
        <v>17892.97215</v>
      </c>
      <c r="P42" s="140">
        <f t="shared" si="4"/>
        <v>0</v>
      </c>
      <c r="Q42" s="140">
        <f t="shared" si="5"/>
        <v>0</v>
      </c>
      <c r="R42" s="140">
        <f t="shared" si="6"/>
        <v>20046.94583</v>
      </c>
      <c r="S42" s="140">
        <f t="shared" si="7"/>
        <v>20046.94583</v>
      </c>
    </row>
    <row r="43">
      <c r="A43" s="139" t="str">
        <f>'Previsão Custo Enquadramento'!A43</f>
        <v>PJ10</v>
      </c>
      <c r="B43" s="140" t="str">
        <f>'Previsão Custo Enquadramento'!B43</f>
        <v>GERENTE ADMINISTRATIVA</v>
      </c>
      <c r="C43" s="140" t="str">
        <f>'Previsão Custo Enquadramento'!F43</f>
        <v>PJ</v>
      </c>
      <c r="D43" s="140" t="str">
        <f>'Previsão Custo Enquadramento'!D43</f>
        <v>Administrativo</v>
      </c>
      <c r="E43" s="140">
        <f>'Previsão Custo Enquadramento'!H43</f>
        <v>16160</v>
      </c>
      <c r="F43" s="140">
        <f>'Previsão Custo Enquadramento'!L43</f>
        <v>4595.89</v>
      </c>
      <c r="G43" s="140">
        <f>'Previsão Custo Enquadramento'!P43</f>
        <v>9784.85985</v>
      </c>
      <c r="H43" s="140">
        <f t="shared" si="1"/>
        <v>20755.89</v>
      </c>
      <c r="I43" s="140">
        <f t="shared" si="2"/>
        <v>25944.85985</v>
      </c>
      <c r="J43" s="140" t="s">
        <v>190</v>
      </c>
      <c r="K43" s="140"/>
      <c r="L43" s="140">
        <v>2936.0699999999997</v>
      </c>
      <c r="M43" s="140">
        <f t="shared" si="3"/>
        <v>19096.07</v>
      </c>
      <c r="N43" s="140">
        <f>'Previsão Custo Enquadramento'!J43</f>
        <v>20755.89</v>
      </c>
      <c r="O43" s="140">
        <f>'Previsão Custo Enquadramento'!N43</f>
        <v>25944.85985</v>
      </c>
      <c r="P43" s="140">
        <f t="shared" si="4"/>
        <v>1659.82</v>
      </c>
      <c r="Q43" s="140">
        <f t="shared" si="5"/>
        <v>6848.78985</v>
      </c>
      <c r="R43" s="140">
        <f t="shared" si="6"/>
        <v>20755.89</v>
      </c>
      <c r="S43" s="140">
        <f t="shared" si="7"/>
        <v>25944.85985</v>
      </c>
    </row>
    <row r="44">
      <c r="A44" s="139" t="str">
        <f>'Previsão Custo Enquadramento'!A44</f>
        <v>PJ11</v>
      </c>
      <c r="B44" s="140" t="str">
        <f>'Previsão Custo Enquadramento'!B44</f>
        <v>GERENTE COMERCIAL</v>
      </c>
      <c r="C44" s="140" t="str">
        <f>'Previsão Custo Enquadramento'!F44</f>
        <v>PJ</v>
      </c>
      <c r="D44" s="140" t="str">
        <f>'Previsão Custo Enquadramento'!D44</f>
        <v>Comercial</v>
      </c>
      <c r="E44" s="140">
        <f>'Previsão Custo Enquadramento'!H44</f>
        <v>15960</v>
      </c>
      <c r="F44" s="140">
        <f>'Previsão Custo Enquadramento'!L44</f>
        <v>0</v>
      </c>
      <c r="G44" s="140">
        <f>'Previsão Custo Enquadramento'!P44</f>
        <v>1932.97215</v>
      </c>
      <c r="H44" s="140">
        <f t="shared" si="1"/>
        <v>15960</v>
      </c>
      <c r="I44" s="140">
        <f t="shared" si="2"/>
        <v>17892.97215</v>
      </c>
      <c r="J44" s="140" t="s">
        <v>192</v>
      </c>
      <c r="K44" s="140">
        <v>12000.0</v>
      </c>
      <c r="L44" s="140"/>
      <c r="M44" s="140">
        <f t="shared" si="3"/>
        <v>27960</v>
      </c>
      <c r="N44" s="140">
        <f>'Previsão Custo Enquadramento'!J44</f>
        <v>14314.38</v>
      </c>
      <c r="O44" s="140">
        <f>'Previsão Custo Enquadramento'!N44</f>
        <v>17892.97215</v>
      </c>
      <c r="P44" s="140">
        <f t="shared" si="4"/>
        <v>0</v>
      </c>
      <c r="Q44" s="140">
        <f t="shared" si="5"/>
        <v>0</v>
      </c>
      <c r="R44" s="140">
        <f t="shared" si="6"/>
        <v>27960</v>
      </c>
      <c r="S44" s="140">
        <f t="shared" si="7"/>
        <v>27960</v>
      </c>
    </row>
    <row r="45">
      <c r="A45" s="139" t="str">
        <f>'Previsão Custo Enquadramento'!A45</f>
        <v>PJ12</v>
      </c>
      <c r="B45" s="140" t="str">
        <f>'Previsão Custo Enquadramento'!B45</f>
        <v>GERENTE DE EDIFICAÇÕES</v>
      </c>
      <c r="C45" s="140" t="str">
        <f>'Previsão Custo Enquadramento'!F45</f>
        <v>PJ</v>
      </c>
      <c r="D45" s="140" t="str">
        <f>'Previsão Custo Enquadramento'!D45</f>
        <v>Edificação</v>
      </c>
      <c r="E45" s="140">
        <f>'Previsão Custo Enquadramento'!H45</f>
        <v>39740</v>
      </c>
      <c r="F45" s="140">
        <f>'Previsão Custo Enquadramento'!L45</f>
        <v>0</v>
      </c>
      <c r="G45" s="140">
        <f>'Previsão Custo Enquadramento'!P45</f>
        <v>0</v>
      </c>
      <c r="H45" s="140">
        <f t="shared" si="1"/>
        <v>39740</v>
      </c>
      <c r="I45" s="140">
        <f t="shared" si="2"/>
        <v>39740</v>
      </c>
      <c r="J45" s="140" t="s">
        <v>194</v>
      </c>
      <c r="K45" s="140"/>
      <c r="L45" s="140"/>
      <c r="M45" s="140">
        <f t="shared" si="3"/>
        <v>39740</v>
      </c>
      <c r="N45" s="140">
        <f>'Previsão Custo Enquadramento'!J45</f>
        <v>27356.45</v>
      </c>
      <c r="O45" s="140">
        <f>'Previsão Custo Enquadramento'!N45</f>
        <v>34195.5636</v>
      </c>
      <c r="P45" s="140">
        <f t="shared" si="4"/>
        <v>0</v>
      </c>
      <c r="Q45" s="140">
        <f t="shared" si="5"/>
        <v>0</v>
      </c>
      <c r="R45" s="140">
        <f t="shared" si="6"/>
        <v>39740</v>
      </c>
      <c r="S45" s="140">
        <f t="shared" si="7"/>
        <v>39740</v>
      </c>
    </row>
    <row r="46">
      <c r="A46" s="139" t="str">
        <f>'Previsão Custo Enquadramento'!A46</f>
        <v>PJ13</v>
      </c>
      <c r="B46" s="140" t="str">
        <f>'Previsão Custo Enquadramento'!B46</f>
        <v>GERENTE DE HOUSE</v>
      </c>
      <c r="C46" s="140" t="str">
        <f>'Previsão Custo Enquadramento'!F46</f>
        <v>PJ</v>
      </c>
      <c r="D46" s="140" t="str">
        <f>'Previsão Custo Enquadramento'!D46</f>
        <v>Comercial</v>
      </c>
      <c r="E46" s="140">
        <f>'Previsão Custo Enquadramento'!H46</f>
        <v>5125</v>
      </c>
      <c r="F46" s="140">
        <f>'Previsão Custo Enquadramento'!L46</f>
        <v>6980.78</v>
      </c>
      <c r="G46" s="140">
        <f>'Previsão Custo Enquadramento'!P46</f>
        <v>10007.22293</v>
      </c>
      <c r="H46" s="140">
        <f t="shared" si="1"/>
        <v>12105.78</v>
      </c>
      <c r="I46" s="140">
        <f t="shared" si="2"/>
        <v>15132.22293</v>
      </c>
      <c r="J46" s="140" t="s">
        <v>196</v>
      </c>
      <c r="K46" s="140">
        <v>3000.0</v>
      </c>
      <c r="L46" s="140"/>
      <c r="M46" s="140">
        <f t="shared" si="3"/>
        <v>8125</v>
      </c>
      <c r="N46" s="140">
        <f>'Previsão Custo Enquadramento'!J46</f>
        <v>12105.78</v>
      </c>
      <c r="O46" s="140">
        <f>'Previsão Custo Enquadramento'!N46</f>
        <v>15132.22293</v>
      </c>
      <c r="P46" s="140">
        <f t="shared" si="4"/>
        <v>3980.78</v>
      </c>
      <c r="Q46" s="140">
        <f t="shared" si="5"/>
        <v>7007.22293</v>
      </c>
      <c r="R46" s="140">
        <f t="shared" si="6"/>
        <v>12105.78</v>
      </c>
      <c r="S46" s="140">
        <f t="shared" si="7"/>
        <v>15132.22293</v>
      </c>
    </row>
    <row r="47">
      <c r="A47" s="139" t="str">
        <f>'Previsão Custo Enquadramento'!A47</f>
        <v>PJ14</v>
      </c>
      <c r="B47" s="140" t="str">
        <f>'Previsão Custo Enquadramento'!B47</f>
        <v>GERENTE DE IMOBILIÁRIAS EXTERNAS</v>
      </c>
      <c r="C47" s="140" t="str">
        <f>'Previsão Custo Enquadramento'!F47</f>
        <v>PJ</v>
      </c>
      <c r="D47" s="140" t="str">
        <f>'Previsão Custo Enquadramento'!D47</f>
        <v>Comercial</v>
      </c>
      <c r="E47" s="140">
        <f>'Previsão Custo Enquadramento'!H47</f>
        <v>5266</v>
      </c>
      <c r="F47" s="140">
        <f>'Previsão Custo Enquadramento'!L47</f>
        <v>6839.78</v>
      </c>
      <c r="G47" s="140">
        <f>'Previsão Custo Enquadramento'!P47</f>
        <v>9866.22293</v>
      </c>
      <c r="H47" s="140">
        <f t="shared" si="1"/>
        <v>12105.78</v>
      </c>
      <c r="I47" s="140">
        <f t="shared" si="2"/>
        <v>15132.22293</v>
      </c>
      <c r="J47" s="140" t="s">
        <v>198</v>
      </c>
      <c r="K47" s="140">
        <v>3000.0</v>
      </c>
      <c r="L47" s="140"/>
      <c r="M47" s="140">
        <f t="shared" si="3"/>
        <v>8266</v>
      </c>
      <c r="N47" s="140">
        <f>'Previsão Custo Enquadramento'!J47</f>
        <v>12105.78</v>
      </c>
      <c r="O47" s="140">
        <f>'Previsão Custo Enquadramento'!N47</f>
        <v>15132.22293</v>
      </c>
      <c r="P47" s="140">
        <f t="shared" si="4"/>
        <v>3839.78</v>
      </c>
      <c r="Q47" s="140">
        <f t="shared" si="5"/>
        <v>6866.22293</v>
      </c>
      <c r="R47" s="140">
        <f t="shared" si="6"/>
        <v>12105.78</v>
      </c>
      <c r="S47" s="140">
        <f t="shared" si="7"/>
        <v>15132.22293</v>
      </c>
    </row>
    <row r="48">
      <c r="A48" s="139" t="str">
        <f>'Previsão Custo Enquadramento'!A48</f>
        <v>PJ15</v>
      </c>
      <c r="B48" s="140" t="str">
        <f>'Previsão Custo Enquadramento'!B48</f>
        <v>GERENTE DE IMOBILIÁRIAS EXTERNAS</v>
      </c>
      <c r="C48" s="140" t="str">
        <f>'Previsão Custo Enquadramento'!F48</f>
        <v>PJ</v>
      </c>
      <c r="D48" s="140" t="str">
        <f>'Previsão Custo Enquadramento'!D48</f>
        <v>Comercial</v>
      </c>
      <c r="E48" s="140">
        <f>'Previsão Custo Enquadramento'!H48</f>
        <v>5795</v>
      </c>
      <c r="F48" s="140">
        <f>'Previsão Custo Enquadramento'!L48</f>
        <v>6310.78</v>
      </c>
      <c r="G48" s="140">
        <f>'Previsão Custo Enquadramento'!P48</f>
        <v>9337.22293</v>
      </c>
      <c r="H48" s="140">
        <f t="shared" si="1"/>
        <v>12105.78</v>
      </c>
      <c r="I48" s="140">
        <f t="shared" si="2"/>
        <v>15132.22293</v>
      </c>
      <c r="J48" s="140" t="s">
        <v>198</v>
      </c>
      <c r="K48" s="140">
        <v>3000.0</v>
      </c>
      <c r="L48" s="140"/>
      <c r="M48" s="140">
        <f t="shared" si="3"/>
        <v>8795</v>
      </c>
      <c r="N48" s="140">
        <f>'Previsão Custo Enquadramento'!J48</f>
        <v>12105.78</v>
      </c>
      <c r="O48" s="140">
        <f>'Previsão Custo Enquadramento'!N48</f>
        <v>15132.22293</v>
      </c>
      <c r="P48" s="140">
        <f t="shared" si="4"/>
        <v>3310.78</v>
      </c>
      <c r="Q48" s="140">
        <f t="shared" si="5"/>
        <v>6337.22293</v>
      </c>
      <c r="R48" s="140">
        <f t="shared" si="6"/>
        <v>12105.78</v>
      </c>
      <c r="S48" s="140">
        <f t="shared" si="7"/>
        <v>15132.22293</v>
      </c>
    </row>
    <row r="49">
      <c r="A49" s="139" t="str">
        <f>'Previsão Custo Enquadramento'!A49</f>
        <v>PJ16</v>
      </c>
      <c r="B49" s="140" t="str">
        <f>'Previsão Custo Enquadramento'!B49</f>
        <v>GERENTE DE INCORPORAÇÃO</v>
      </c>
      <c r="C49" s="140" t="str">
        <f>'Previsão Custo Enquadramento'!F49</f>
        <v>PJ</v>
      </c>
      <c r="D49" s="140" t="str">
        <f>'Previsão Custo Enquadramento'!D49</f>
        <v>Incorporação</v>
      </c>
      <c r="E49" s="140">
        <f>'Previsão Custo Enquadramento'!H49</f>
        <v>18540</v>
      </c>
      <c r="F49" s="140">
        <f>'Previsão Custo Enquadramento'!L49</f>
        <v>0</v>
      </c>
      <c r="G49" s="140">
        <f>'Previsão Custo Enquadramento'!P49</f>
        <v>3072.71</v>
      </c>
      <c r="H49" s="140">
        <f t="shared" si="1"/>
        <v>18540</v>
      </c>
      <c r="I49" s="140">
        <f t="shared" si="2"/>
        <v>21612.71</v>
      </c>
      <c r="J49" s="140" t="s">
        <v>201</v>
      </c>
      <c r="K49" s="140"/>
      <c r="L49" s="140">
        <v>4255.25</v>
      </c>
      <c r="M49" s="140">
        <f t="shared" si="3"/>
        <v>22795.25</v>
      </c>
      <c r="N49" s="140">
        <f>'Previsão Custo Enquadramento'!J49</f>
        <v>17290.17</v>
      </c>
      <c r="O49" s="140">
        <f>'Previsão Custo Enquadramento'!N49</f>
        <v>21612.71</v>
      </c>
      <c r="P49" s="140">
        <f t="shared" si="4"/>
        <v>0</v>
      </c>
      <c r="Q49" s="140">
        <f t="shared" si="5"/>
        <v>0</v>
      </c>
      <c r="R49" s="140">
        <f t="shared" si="6"/>
        <v>22795.25</v>
      </c>
      <c r="S49" s="140">
        <f t="shared" si="7"/>
        <v>22795.25</v>
      </c>
    </row>
    <row r="50">
      <c r="A50" s="139" t="str">
        <f>'Previsão Custo Enquadramento'!A50</f>
        <v>PJ17</v>
      </c>
      <c r="B50" s="140" t="str">
        <f>'Previsão Custo Enquadramento'!B50</f>
        <v>GERENTE DE PARCERIAS</v>
      </c>
      <c r="C50" s="140" t="str">
        <f>'Previsão Custo Enquadramento'!F50</f>
        <v>PJ</v>
      </c>
      <c r="D50" s="140" t="str">
        <f>'Previsão Custo Enquadramento'!D50</f>
        <v>Comercial</v>
      </c>
      <c r="E50" s="140">
        <f>'Previsão Custo Enquadramento'!H50</f>
        <v>5640</v>
      </c>
      <c r="F50" s="140">
        <f>'Previsão Custo Enquadramento'!L50</f>
        <v>6465.78</v>
      </c>
      <c r="G50" s="140">
        <f>'Previsão Custo Enquadramento'!P50</f>
        <v>9492.22293</v>
      </c>
      <c r="H50" s="140">
        <f t="shared" si="1"/>
        <v>12105.78</v>
      </c>
      <c r="I50" s="140">
        <f t="shared" si="2"/>
        <v>15132.22293</v>
      </c>
      <c r="J50" s="140" t="s">
        <v>203</v>
      </c>
      <c r="K50" s="140"/>
      <c r="L50" s="140"/>
      <c r="M50" s="140">
        <f t="shared" si="3"/>
        <v>5640</v>
      </c>
      <c r="N50" s="140">
        <f>'Previsão Custo Enquadramento'!J50</f>
        <v>12105.78</v>
      </c>
      <c r="O50" s="140">
        <f>'Previsão Custo Enquadramento'!N50</f>
        <v>15132.22293</v>
      </c>
      <c r="P50" s="140">
        <f t="shared" si="4"/>
        <v>6465.78</v>
      </c>
      <c r="Q50" s="140">
        <f t="shared" si="5"/>
        <v>9492.22293</v>
      </c>
      <c r="R50" s="140">
        <f t="shared" si="6"/>
        <v>12105.78</v>
      </c>
      <c r="S50" s="140">
        <f t="shared" si="7"/>
        <v>15132.22293</v>
      </c>
    </row>
    <row r="51">
      <c r="A51" s="139" t="str">
        <f>'Previsão Custo Enquadramento'!A51</f>
        <v>PJ18</v>
      </c>
      <c r="B51" s="140" t="str">
        <f>'Previsão Custo Enquadramento'!B51</f>
        <v>GERENTE DE PARCERIAS</v>
      </c>
      <c r="C51" s="140" t="str">
        <f>'Previsão Custo Enquadramento'!F51</f>
        <v>PJ</v>
      </c>
      <c r="D51" s="140" t="str">
        <f>'Previsão Custo Enquadramento'!D51</f>
        <v>Comercial</v>
      </c>
      <c r="E51" s="140">
        <f>'Previsão Custo Enquadramento'!H51</f>
        <v>5050</v>
      </c>
      <c r="F51" s="140">
        <f>'Previsão Custo Enquadramento'!L51</f>
        <v>7055.78</v>
      </c>
      <c r="G51" s="140">
        <f>'Previsão Custo Enquadramento'!P51</f>
        <v>10082.22293</v>
      </c>
      <c r="H51" s="140">
        <f t="shared" si="1"/>
        <v>12105.78</v>
      </c>
      <c r="I51" s="140">
        <f t="shared" si="2"/>
        <v>15132.22293</v>
      </c>
      <c r="J51" s="140" t="s">
        <v>203</v>
      </c>
      <c r="K51" s="140"/>
      <c r="L51" s="140"/>
      <c r="M51" s="140">
        <f t="shared" si="3"/>
        <v>5050</v>
      </c>
      <c r="N51" s="140">
        <f>'Previsão Custo Enquadramento'!J51</f>
        <v>12105.78</v>
      </c>
      <c r="O51" s="140">
        <f>'Previsão Custo Enquadramento'!N51</f>
        <v>15132.22293</v>
      </c>
      <c r="P51" s="140">
        <f t="shared" si="4"/>
        <v>7055.78</v>
      </c>
      <c r="Q51" s="140">
        <f t="shared" si="5"/>
        <v>10082.22293</v>
      </c>
      <c r="R51" s="140">
        <f t="shared" si="6"/>
        <v>12105.78</v>
      </c>
      <c r="S51" s="140">
        <f t="shared" si="7"/>
        <v>15132.22293</v>
      </c>
    </row>
    <row r="52">
      <c r="A52" s="139" t="str">
        <f>'Previsão Custo Enquadramento'!A52</f>
        <v>PJ19</v>
      </c>
      <c r="B52" s="140" t="str">
        <f>'Previsão Custo Enquadramento'!B52</f>
        <v>GERENTE DE PARCERIAS EXTERNAS</v>
      </c>
      <c r="C52" s="140" t="str">
        <f>'Previsão Custo Enquadramento'!F52</f>
        <v>PJ</v>
      </c>
      <c r="D52" s="140" t="str">
        <f>'Previsão Custo Enquadramento'!D52</f>
        <v>Comercial</v>
      </c>
      <c r="E52" s="140">
        <f>'Previsão Custo Enquadramento'!H52</f>
        <v>5000</v>
      </c>
      <c r="F52" s="140">
        <f>'Previsão Custo Enquadramento'!L52</f>
        <v>7105.78</v>
      </c>
      <c r="G52" s="140">
        <f>'Previsão Custo Enquadramento'!P52</f>
        <v>10132.22293</v>
      </c>
      <c r="H52" s="140">
        <f t="shared" si="1"/>
        <v>12105.78</v>
      </c>
      <c r="I52" s="140">
        <f t="shared" si="2"/>
        <v>15132.22293</v>
      </c>
      <c r="J52" s="140" t="s">
        <v>206</v>
      </c>
      <c r="K52" s="140">
        <v>3000.0</v>
      </c>
      <c r="L52" s="140"/>
      <c r="M52" s="140">
        <f t="shared" si="3"/>
        <v>8000</v>
      </c>
      <c r="N52" s="140">
        <f>'Previsão Custo Enquadramento'!J52</f>
        <v>12105.78</v>
      </c>
      <c r="O52" s="140">
        <f>'Previsão Custo Enquadramento'!N52</f>
        <v>15132.22293</v>
      </c>
      <c r="P52" s="140">
        <f t="shared" si="4"/>
        <v>4105.78</v>
      </c>
      <c r="Q52" s="140">
        <f t="shared" si="5"/>
        <v>7132.22293</v>
      </c>
      <c r="R52" s="140">
        <f t="shared" si="6"/>
        <v>12105.78</v>
      </c>
      <c r="S52" s="140">
        <f t="shared" si="7"/>
        <v>15132.22293</v>
      </c>
    </row>
    <row r="53">
      <c r="A53" s="139" t="str">
        <f>'Previsão Custo Enquadramento'!A53</f>
        <v>PJ20</v>
      </c>
      <c r="B53" s="140" t="str">
        <f>'Previsão Custo Enquadramento'!B53</f>
        <v>GERENTE DE URBANISMO</v>
      </c>
      <c r="C53" s="140" t="str">
        <f>'Previsão Custo Enquadramento'!F53</f>
        <v>PJ</v>
      </c>
      <c r="D53" s="140" t="str">
        <f>'Previsão Custo Enquadramento'!D53</f>
        <v>Urbanismo</v>
      </c>
      <c r="E53" s="140">
        <f>'Previsão Custo Enquadramento'!H53</f>
        <v>37000</v>
      </c>
      <c r="F53" s="140">
        <f>'Previsão Custo Enquadramento'!L53</f>
        <v>0</v>
      </c>
      <c r="G53" s="140">
        <f>'Previsão Custo Enquadramento'!P53</f>
        <v>0</v>
      </c>
      <c r="H53" s="140">
        <f t="shared" si="1"/>
        <v>37000</v>
      </c>
      <c r="I53" s="140">
        <f t="shared" si="2"/>
        <v>37000</v>
      </c>
      <c r="J53" s="140" t="s">
        <v>208</v>
      </c>
      <c r="K53" s="140"/>
      <c r="L53" s="140">
        <v>7360.224999999999</v>
      </c>
      <c r="M53" s="140">
        <f t="shared" si="3"/>
        <v>44360.225</v>
      </c>
      <c r="N53" s="140">
        <f>'Previsão Custo Enquadramento'!J53</f>
        <v>27356.45</v>
      </c>
      <c r="O53" s="140">
        <f>'Previsão Custo Enquadramento'!N53</f>
        <v>34195.5636</v>
      </c>
      <c r="P53" s="140">
        <f t="shared" si="4"/>
        <v>0</v>
      </c>
      <c r="Q53" s="140">
        <f t="shared" si="5"/>
        <v>0</v>
      </c>
      <c r="R53" s="140">
        <f t="shared" si="6"/>
        <v>44360.225</v>
      </c>
      <c r="S53" s="140">
        <f t="shared" si="7"/>
        <v>44360.225</v>
      </c>
    </row>
    <row r="54">
      <c r="A54" s="139" t="str">
        <f>'Previsão Custo Enquadramento'!A54</f>
        <v>PJ21</v>
      </c>
      <c r="B54" s="140" t="str">
        <f>'Previsão Custo Enquadramento'!B54</f>
        <v>SUPERVISOR DE NOVOS NEGÓCIOS</v>
      </c>
      <c r="C54" s="140" t="str">
        <f>'Previsão Custo Enquadramento'!F54</f>
        <v>PJ</v>
      </c>
      <c r="D54" s="140" t="str">
        <f>'Previsão Custo Enquadramento'!D54</f>
        <v>Novos Negócios</v>
      </c>
      <c r="E54" s="140">
        <f>'Previsão Custo Enquadramento'!H54</f>
        <v>12000</v>
      </c>
      <c r="F54" s="140">
        <f>'Previsão Custo Enquadramento'!L54</f>
        <v>0</v>
      </c>
      <c r="G54" s="140">
        <f>'Previsão Custo Enquadramento'!P54</f>
        <v>806.205</v>
      </c>
      <c r="H54" s="140">
        <f t="shared" si="1"/>
        <v>12000</v>
      </c>
      <c r="I54" s="140">
        <f t="shared" si="2"/>
        <v>12806.205</v>
      </c>
      <c r="J54" s="140" t="s">
        <v>210</v>
      </c>
      <c r="K54" s="140"/>
      <c r="L54" s="140">
        <v>564.8933333333333</v>
      </c>
      <c r="M54" s="140">
        <f t="shared" si="3"/>
        <v>12564.89333</v>
      </c>
      <c r="N54" s="140">
        <f>'Previsão Custo Enquadramento'!J54</f>
        <v>10244.96</v>
      </c>
      <c r="O54" s="140">
        <f>'Previsão Custo Enquadramento'!N54</f>
        <v>12806.205</v>
      </c>
      <c r="P54" s="140">
        <f t="shared" si="4"/>
        <v>0</v>
      </c>
      <c r="Q54" s="140">
        <f t="shared" si="5"/>
        <v>241.3116667</v>
      </c>
      <c r="R54" s="140">
        <f t="shared" si="6"/>
        <v>12564.89333</v>
      </c>
      <c r="S54" s="140">
        <f t="shared" si="7"/>
        <v>12806.205</v>
      </c>
    </row>
    <row r="55">
      <c r="A55" s="139">
        <f>'Previsão Custo Enquadramento'!A55</f>
        <v>186</v>
      </c>
      <c r="B55" s="140" t="str">
        <f>'Previsão Custo Enquadramento'!B55</f>
        <v>SUPERVISOR(A) FINANCEIRO I</v>
      </c>
      <c r="C55" s="140" t="str">
        <f>'Previsão Custo Enquadramento'!F55</f>
        <v>CLT</v>
      </c>
      <c r="D55" s="140" t="str">
        <f>'Previsão Custo Enquadramento'!D55</f>
        <v>Financeiro</v>
      </c>
      <c r="E55" s="140">
        <f>'Previsão Custo Enquadramento'!H55</f>
        <v>5955.08</v>
      </c>
      <c r="F55" s="140">
        <f>'Previsão Custo Enquadramento'!L55</f>
        <v>0</v>
      </c>
      <c r="G55" s="140">
        <f>'Previsão Custo Enquadramento'!P55</f>
        <v>1029.16</v>
      </c>
      <c r="H55" s="140">
        <f t="shared" si="1"/>
        <v>5955.08</v>
      </c>
      <c r="I55" s="140">
        <f t="shared" si="2"/>
        <v>6984.24</v>
      </c>
      <c r="J55" s="140" t="s">
        <v>211</v>
      </c>
      <c r="K55" s="140"/>
      <c r="L55" s="140">
        <v>364.74</v>
      </c>
      <c r="M55" s="140">
        <f t="shared" si="3"/>
        <v>6319.82</v>
      </c>
      <c r="N55" s="140">
        <f>'Previsão Custo Enquadramento'!J55</f>
        <v>5587.39</v>
      </c>
      <c r="O55" s="140">
        <f>'Previsão Custo Enquadramento'!N55</f>
        <v>6984.24</v>
      </c>
      <c r="P55" s="140">
        <f t="shared" si="4"/>
        <v>0</v>
      </c>
      <c r="Q55" s="140">
        <f t="shared" si="5"/>
        <v>664.42</v>
      </c>
      <c r="R55" s="140">
        <f t="shared" si="6"/>
        <v>6319.82</v>
      </c>
      <c r="S55" s="140">
        <f t="shared" si="7"/>
        <v>6984.24</v>
      </c>
    </row>
    <row r="56">
      <c r="A56" s="139" t="str">
        <f>'Previsão Custo Enquadramento'!A56</f>
        <v>PJ22</v>
      </c>
      <c r="B56" s="140" t="str">
        <f>'Previsão Custo Enquadramento'!B56</f>
        <v>TECNICO ANALISTA DE CUSTOS</v>
      </c>
      <c r="C56" s="140" t="str">
        <f>'Previsão Custo Enquadramento'!F56</f>
        <v>PJ</v>
      </c>
      <c r="D56" s="140" t="str">
        <f>'Previsão Custo Enquadramento'!D56</f>
        <v>Edificação</v>
      </c>
      <c r="E56" s="140">
        <f>'Previsão Custo Enquadramento'!H56</f>
        <v>10430</v>
      </c>
      <c r="F56" s="140">
        <f>'Previsão Custo Enquadramento'!L56</f>
        <v>0</v>
      </c>
      <c r="G56" s="140">
        <f>'Previsão Custo Enquadramento'!P56</f>
        <v>0</v>
      </c>
      <c r="H56" s="140">
        <f t="shared" si="1"/>
        <v>10430</v>
      </c>
      <c r="I56" s="140">
        <f t="shared" si="2"/>
        <v>10430</v>
      </c>
      <c r="J56" s="140" t="s">
        <v>213</v>
      </c>
      <c r="K56" s="140"/>
      <c r="L56" s="140">
        <v>1473.2375</v>
      </c>
      <c r="M56" s="140">
        <f t="shared" si="3"/>
        <v>11903.2375</v>
      </c>
      <c r="N56" s="140">
        <f>'Previsão Custo Enquadramento'!J56</f>
        <v>8325.21</v>
      </c>
      <c r="O56" s="140">
        <f>'Previsão Custo Enquadramento'!N56</f>
        <v>10406.5176</v>
      </c>
      <c r="P56" s="140">
        <f t="shared" si="4"/>
        <v>0</v>
      </c>
      <c r="Q56" s="140">
        <f t="shared" si="5"/>
        <v>0</v>
      </c>
      <c r="R56" s="140">
        <f t="shared" si="6"/>
        <v>11903.2375</v>
      </c>
      <c r="S56" s="140">
        <f t="shared" si="7"/>
        <v>11903.2375</v>
      </c>
    </row>
    <row r="57">
      <c r="A57" s="139">
        <f>'Previsão Custo Enquadramento'!A57</f>
        <v>1871</v>
      </c>
      <c r="B57" s="140" t="str">
        <f>'Previsão Custo Enquadramento'!B57</f>
        <v>TECNOLOGO EM CONSTRUÇÃO DE EDIFICIOS</v>
      </c>
      <c r="C57" s="140" t="str">
        <f>'Previsão Custo Enquadramento'!F57</f>
        <v>CLT</v>
      </c>
      <c r="D57" s="140" t="str">
        <f>'Previsão Custo Enquadramento'!D57</f>
        <v>Edificação</v>
      </c>
      <c r="E57" s="140">
        <f>'Previsão Custo Enquadramento'!H57</f>
        <v>8585</v>
      </c>
      <c r="F57" s="140">
        <f>'Previsão Custo Enquadramento'!L57</f>
        <v>0</v>
      </c>
      <c r="G57" s="140">
        <f>'Previsão Custo Enquadramento'!P57</f>
        <v>0</v>
      </c>
      <c r="H57" s="140">
        <f t="shared" si="1"/>
        <v>8585</v>
      </c>
      <c r="I57" s="140">
        <f t="shared" si="2"/>
        <v>8585</v>
      </c>
      <c r="J57" s="140" t="s">
        <v>214</v>
      </c>
      <c r="K57" s="140"/>
      <c r="L57" s="140">
        <v>431.7475</v>
      </c>
      <c r="M57" s="140">
        <f t="shared" si="3"/>
        <v>9016.7475</v>
      </c>
      <c r="N57" s="140">
        <f>'Previsão Custo Enquadramento'!J57</f>
        <v>4572.2</v>
      </c>
      <c r="O57" s="140">
        <f>'Previsão Custo Enquadramento'!N57</f>
        <v>5715.25</v>
      </c>
      <c r="P57" s="140">
        <f t="shared" si="4"/>
        <v>0</v>
      </c>
      <c r="Q57" s="140">
        <f t="shared" si="5"/>
        <v>0</v>
      </c>
      <c r="R57" s="140">
        <f t="shared" si="6"/>
        <v>9016.7475</v>
      </c>
      <c r="S57" s="140">
        <f t="shared" si="7"/>
        <v>9016.7475</v>
      </c>
    </row>
    <row r="58">
      <c r="A58" s="139" t="s">
        <v>232</v>
      </c>
      <c r="B58" s="140" t="s">
        <v>233</v>
      </c>
      <c r="C58" s="140" t="s">
        <v>234</v>
      </c>
      <c r="D58" s="140" t="s">
        <v>83</v>
      </c>
      <c r="E58" s="140">
        <v>1521.0</v>
      </c>
      <c r="F58" s="140">
        <v>0.0</v>
      </c>
      <c r="G58" s="140" t="str">
        <f>'Previsão Custo Enquadramento'!P58</f>
        <v/>
      </c>
      <c r="H58" s="140">
        <f t="shared" si="1"/>
        <v>1521</v>
      </c>
      <c r="I58" s="140">
        <f t="shared" si="2"/>
        <v>1521</v>
      </c>
      <c r="J58" s="140" t="s">
        <v>233</v>
      </c>
      <c r="K58" s="140"/>
      <c r="L58" s="140">
        <v>125.0</v>
      </c>
      <c r="M58" s="140">
        <f t="shared" si="3"/>
        <v>1646</v>
      </c>
      <c r="N58" s="140">
        <f t="shared" ref="N58:N59" si="8">1726.05681818182*0.8</f>
        <v>1380.845455</v>
      </c>
      <c r="O58" s="140">
        <f t="shared" ref="O58:O59" si="9">1726.05681818182</f>
        <v>1726.056818</v>
      </c>
      <c r="P58" s="140">
        <f t="shared" si="4"/>
        <v>0</v>
      </c>
      <c r="Q58" s="140">
        <f t="shared" si="5"/>
        <v>80.05681818</v>
      </c>
      <c r="R58" s="140">
        <f t="shared" si="6"/>
        <v>1646</v>
      </c>
      <c r="S58" s="140">
        <f t="shared" si="7"/>
        <v>1726.056818</v>
      </c>
    </row>
    <row r="59">
      <c r="A59" s="139" t="s">
        <v>235</v>
      </c>
      <c r="B59" s="140" t="s">
        <v>236</v>
      </c>
      <c r="C59" s="140" t="s">
        <v>234</v>
      </c>
      <c r="D59" s="140" t="s">
        <v>10</v>
      </c>
      <c r="E59" s="140">
        <v>1521.0</v>
      </c>
      <c r="F59" s="140">
        <v>0.0</v>
      </c>
      <c r="G59" s="140" t="str">
        <f>'Previsão Custo Enquadramento'!P59</f>
        <v/>
      </c>
      <c r="H59" s="140">
        <f t="shared" si="1"/>
        <v>1521</v>
      </c>
      <c r="I59" s="140">
        <f t="shared" si="2"/>
        <v>1521</v>
      </c>
      <c r="J59" s="140" t="s">
        <v>236</v>
      </c>
      <c r="K59" s="140"/>
      <c r="L59" s="140">
        <v>125.0</v>
      </c>
      <c r="M59" s="140">
        <f t="shared" si="3"/>
        <v>1646</v>
      </c>
      <c r="N59" s="140">
        <f t="shared" si="8"/>
        <v>1380.845455</v>
      </c>
      <c r="O59" s="140">
        <f t="shared" si="9"/>
        <v>1726.056818</v>
      </c>
      <c r="P59" s="140">
        <f t="shared" si="4"/>
        <v>0</v>
      </c>
      <c r="Q59" s="140">
        <f t="shared" si="5"/>
        <v>80.05681818</v>
      </c>
      <c r="R59" s="140">
        <f t="shared" si="6"/>
        <v>1646</v>
      </c>
      <c r="S59" s="140">
        <f t="shared" si="7"/>
        <v>1726.056818</v>
      </c>
    </row>
    <row r="60">
      <c r="A60" s="139" t="s">
        <v>237</v>
      </c>
      <c r="B60" s="140" t="s">
        <v>238</v>
      </c>
      <c r="C60" s="140" t="s">
        <v>234</v>
      </c>
      <c r="D60" s="140" t="s">
        <v>28</v>
      </c>
      <c r="E60" s="140">
        <v>1521.0</v>
      </c>
      <c r="F60" s="140">
        <v>0.0</v>
      </c>
      <c r="G60" s="140" t="str">
        <f>'Previsão Custo Enquadramento'!P60</f>
        <v/>
      </c>
      <c r="H60" s="140">
        <f t="shared" si="1"/>
        <v>1521</v>
      </c>
      <c r="I60" s="140">
        <f t="shared" si="2"/>
        <v>1521</v>
      </c>
      <c r="J60" s="140" t="s">
        <v>238</v>
      </c>
      <c r="K60" s="140"/>
      <c r="L60" s="140"/>
      <c r="M60" s="140">
        <f t="shared" si="3"/>
        <v>1521</v>
      </c>
      <c r="N60" s="140">
        <f>1637.83749999995*0.8</f>
        <v>1310.27</v>
      </c>
      <c r="O60" s="140">
        <f>1637.83749999995</f>
        <v>1637.8375</v>
      </c>
      <c r="P60" s="140">
        <f t="shared" si="4"/>
        <v>0</v>
      </c>
      <c r="Q60" s="140">
        <f t="shared" si="5"/>
        <v>116.8375</v>
      </c>
      <c r="R60" s="140">
        <f t="shared" si="6"/>
        <v>1521</v>
      </c>
      <c r="S60" s="140">
        <f t="shared" si="7"/>
        <v>1637.8375</v>
      </c>
    </row>
    <row r="61">
      <c r="A61" s="139">
        <v>1940.0</v>
      </c>
      <c r="B61" s="140" t="s">
        <v>239</v>
      </c>
      <c r="C61" s="140" t="s">
        <v>234</v>
      </c>
      <c r="D61" s="140" t="s">
        <v>36</v>
      </c>
      <c r="E61" s="140">
        <v>1521.0</v>
      </c>
      <c r="F61" s="140">
        <v>0.0</v>
      </c>
      <c r="G61" s="140" t="str">
        <f>'Previsão Custo Enquadramento'!P61</f>
        <v/>
      </c>
      <c r="H61" s="140">
        <f t="shared" si="1"/>
        <v>1521</v>
      </c>
      <c r="I61" s="140">
        <f t="shared" si="2"/>
        <v>1521</v>
      </c>
      <c r="J61" s="140" t="s">
        <v>239</v>
      </c>
      <c r="K61" s="140"/>
      <c r="L61" s="140">
        <v>125.0</v>
      </c>
      <c r="M61" s="140">
        <f t="shared" si="3"/>
        <v>1646</v>
      </c>
      <c r="N61" s="140">
        <f>1726.05681818182*0.8</f>
        <v>1380.845455</v>
      </c>
      <c r="O61" s="140">
        <f>1726.05681818182</f>
        <v>1726.056818</v>
      </c>
      <c r="P61" s="140">
        <f t="shared" si="4"/>
        <v>0</v>
      </c>
      <c r="Q61" s="140">
        <f t="shared" si="5"/>
        <v>80.05681818</v>
      </c>
      <c r="R61" s="140">
        <f t="shared" si="6"/>
        <v>1646</v>
      </c>
      <c r="S61" s="140">
        <f t="shared" si="7"/>
        <v>1726.056818</v>
      </c>
    </row>
  </sheetData>
  <autoFilter ref="$A$1:$S$6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4.86"/>
    <col customWidth="1" min="3" max="3" width="14.14"/>
    <col customWidth="1" min="18" max="18" width="16.0"/>
  </cols>
  <sheetData>
    <row r="1">
      <c r="R1" s="142"/>
    </row>
    <row r="2">
      <c r="B2" s="143"/>
      <c r="R2" s="142"/>
    </row>
    <row r="3">
      <c r="A3" s="144"/>
      <c r="B3" s="145" t="s">
        <v>5</v>
      </c>
      <c r="C3" s="146" t="s">
        <v>30</v>
      </c>
      <c r="D3" s="146" t="s">
        <v>90</v>
      </c>
      <c r="E3" s="146" t="s">
        <v>28</v>
      </c>
      <c r="F3" s="147" t="s">
        <v>104</v>
      </c>
      <c r="G3" s="146" t="s">
        <v>20</v>
      </c>
      <c r="H3" s="146" t="s">
        <v>10</v>
      </c>
      <c r="I3" s="146" t="s">
        <v>34</v>
      </c>
      <c r="J3" s="146" t="s">
        <v>24</v>
      </c>
      <c r="K3" s="146" t="s">
        <v>17</v>
      </c>
      <c r="L3" s="146" t="s">
        <v>107</v>
      </c>
      <c r="M3" s="146" t="s">
        <v>153</v>
      </c>
      <c r="N3" s="148" t="s">
        <v>83</v>
      </c>
      <c r="O3" s="146" t="s">
        <v>36</v>
      </c>
      <c r="P3" s="146" t="s">
        <v>61</v>
      </c>
      <c r="Q3" s="146" t="s">
        <v>43</v>
      </c>
      <c r="R3" s="149" t="s">
        <v>26</v>
      </c>
    </row>
    <row r="4">
      <c r="A4" s="144"/>
      <c r="B4" s="150" t="s">
        <v>240</v>
      </c>
      <c r="C4" s="151">
        <f>SUMIF('Remuneração por Área'!$D$2:$D$57,C3,'Remuneração por Área'!$E$2:$E$57)</f>
        <v>110751</v>
      </c>
      <c r="D4" s="151">
        <f>SUMIF('Remuneração por Área'!$D$2:$D$57,D3,'Remuneração por Área'!$E$2:$E$57)</f>
        <v>47836</v>
      </c>
      <c r="E4" s="151">
        <f>SUMIF('Remuneração por Área'!$D$2:$D$57,E3,'Remuneração por Área'!$E$2:$E$57)</f>
        <v>73781</v>
      </c>
      <c r="F4" s="152">
        <f>VLOOKUP('Previsão Custo Enquadramento'!B$37,'Remuneração por Área'!B$1:S$61,4,0)</f>
        <v>58000</v>
      </c>
      <c r="G4" s="151">
        <f>SUMIF('Remuneração por Área'!$D$2:$D$57,G3,'Remuneração por Área'!$E$2:$E$57)</f>
        <v>41864.08</v>
      </c>
      <c r="H4" s="151">
        <f>SUMIF('Remuneração por Área'!$D$2:$D$57,H3,'Remuneração por Área'!$E$2:$E$57)</f>
        <v>35931.74</v>
      </c>
      <c r="I4" s="151">
        <f>SUMIF('Remuneração por Área'!$D$2:$D$57,I3,'Remuneração por Área'!$E$2:$E$57)</f>
        <v>32315.6</v>
      </c>
      <c r="J4" s="151">
        <f>SUMIF('Remuneração por Área'!$D$2:$D$57,J3,'Remuneração por Área'!$E$2:$E$57)</f>
        <v>21020.88</v>
      </c>
      <c r="K4" s="151">
        <f>SUMIF('Remuneração por Área'!$D$2:$D$57,K3,'Remuneração por Área'!$E$2:$E$57)</f>
        <v>19780</v>
      </c>
      <c r="L4" s="151">
        <f>SUMIF('Remuneração por Área'!$D$2:$D$57,L3,'Remuneração por Área'!$E$2:$E$57)</f>
        <v>18540</v>
      </c>
      <c r="M4" s="151">
        <f>SUMIF('Remuneração por Área'!$D$2:$D$57,M3,'Remuneração por Área'!$E$2:$E$57)</f>
        <v>12299</v>
      </c>
      <c r="N4" s="151">
        <f>SUMIF('Remuneração por Área'!$D$2:$D$57,N3,'Remuneração por Área'!$E$2:$E$57)</f>
        <v>12000</v>
      </c>
      <c r="O4" s="151">
        <f>SUMIF('Remuneração por Área'!$D$2:$D$57,O3,'Remuneração por Área'!$E$2:$E$57)</f>
        <v>10339</v>
      </c>
      <c r="P4" s="151">
        <f>SUMIF('Remuneração por Área'!$D$2:$D$57,P3,'Remuneração por Área'!$E$2:$E$57)</f>
        <v>10000</v>
      </c>
      <c r="Q4" s="151">
        <f>SUMIF('Remuneração por Área'!$D$2:$D$57,Q3,'Remuneração por Área'!$E$2:$E$57)</f>
        <v>4550</v>
      </c>
      <c r="R4" s="152">
        <f>SUMIF('Remuneração por Área'!$D$2:$D$57,R3,'Remuneração por Área'!$E$2:$E$57)</f>
        <v>2919</v>
      </c>
    </row>
    <row r="5">
      <c r="A5" s="144"/>
      <c r="B5" s="153" t="s">
        <v>241</v>
      </c>
      <c r="C5" s="151">
        <f>SUMIF('Remuneração por Área'!$D$2:$D$57,C3,'Remuneração por Área'!$H$2:$H$57)</f>
        <v>112153.17</v>
      </c>
      <c r="D5" s="151">
        <f>SUMIF('Remuneração por Área'!$D$2:$D$57,D3,'Remuneração por Área'!$H$2:$H$57)</f>
        <v>88594.68</v>
      </c>
      <c r="E5" s="151">
        <f>SUMIF('Remuneração por Área'!$D$2:$D$57,E3,'Remuneração por Área'!$H$2:$H$57)</f>
        <v>75635.96</v>
      </c>
      <c r="F5" s="152">
        <f>VLOOKUP('Previsão Custo Enquadramento'!B$37,'Remuneração por Área'!B$1:S$61,4,0)</f>
        <v>58000</v>
      </c>
      <c r="G5" s="151">
        <f>SUMIF('Remuneração por Área'!$D$2:$D$57,G3,'Remuneração por Área'!$H$2:$H$57)</f>
        <v>44178.46</v>
      </c>
      <c r="H5" s="151">
        <f>SUMIF('Remuneração por Área'!$D$2:$D$57,H3,'Remuneração por Área'!$H$2:$H$57)</f>
        <v>40527.63</v>
      </c>
      <c r="I5" s="151">
        <f>SUMIF('Remuneração por Área'!$D$2:$D$57,I3,'Remuneração por Área'!$H$2:$H$57)</f>
        <v>33605.77</v>
      </c>
      <c r="J5" s="151">
        <f>SUMIF('Remuneração por Área'!$D$2:$D$57,J3,'Remuneração por Área'!$H$2:$H$57)</f>
        <v>21020.88</v>
      </c>
      <c r="K5" s="151">
        <f>SUMIF('Remuneração por Área'!$D$2:$D$57,K3,'Remuneração por Área'!$H$2:$H$57)</f>
        <v>19780</v>
      </c>
      <c r="L5" s="151">
        <f>SUMIF('Remuneração por Área'!$D$2:$D$57,L3,'Remuneração por Área'!$H$2:$H$57)</f>
        <v>18540</v>
      </c>
      <c r="M5" s="151">
        <f>SUMIF('Remuneração por Área'!$D$2:$D$57,M3,'Remuneração por Área'!$H$2:$H$57)</f>
        <v>12299</v>
      </c>
      <c r="N5" s="151">
        <f>SUMIF('Remuneração por Área'!$D$2:$D$57,N3,'Remuneração por Área'!$H$2:$H$57)</f>
        <v>12000</v>
      </c>
      <c r="O5" s="151">
        <f>SUMIF('Remuneração por Área'!$D$2:$D$57,O3,'Remuneração por Área'!$H$2:$H$57)</f>
        <v>13035.17</v>
      </c>
      <c r="P5" s="151">
        <f>SUMIF('Remuneração por Área'!$D$2:$D$57,P3,'Remuneração por Área'!$H$2:$H$57)</f>
        <v>10000</v>
      </c>
      <c r="Q5" s="151">
        <f>SUMIF('Remuneração por Área'!$D$2:$D$57,Q3,'Remuneração por Área'!$H$2:$H$57)</f>
        <v>4550</v>
      </c>
      <c r="R5" s="152">
        <f>SUMIF('Remuneração por Área'!$D$2:$D$57,R3,'Remuneração por Área'!$H$2:$H$57)</f>
        <v>2919</v>
      </c>
    </row>
    <row r="6" hidden="1">
      <c r="A6" s="144"/>
      <c r="B6" s="150" t="s">
        <v>242</v>
      </c>
      <c r="C6" s="151">
        <f>SUMIF('Remuneração por Área'!$D$2:$D$57,C3,'Remuneração por Área'!$I$2:$I$57)</f>
        <v>115055</v>
      </c>
      <c r="D6" s="151">
        <f>SUMIF('Remuneração por Área'!$D$2:$D$57,D3,'Remuneração por Área'!$I$2:$I$57)</f>
        <v>108686.3097</v>
      </c>
      <c r="E6" s="151">
        <f>SUMIF('Remuneração por Área'!$D$2:$D$57,E3,'Remuneração por Área'!$I$2:$I$57)</f>
        <v>81481.415</v>
      </c>
      <c r="F6" s="152">
        <f>VLOOKUP('Previsão Custo Enquadramento'!B$37,'Remuneração por Área'!B$1:S$61,4,0)</f>
        <v>58000</v>
      </c>
      <c r="G6" s="151">
        <f>SUMIF('Remuneração por Área'!$D$2:$D$57,G3,'Remuneração por Área'!$I$2:$I$57)</f>
        <v>49790.71215</v>
      </c>
      <c r="H6" s="151">
        <f>SUMIF('Remuneração por Área'!$D$2:$D$57,H3,'Remuneração por Área'!$I$2:$I$57)</f>
        <v>47263.80485</v>
      </c>
      <c r="I6" s="151">
        <f>SUMIF('Remuneração por Área'!$D$2:$D$57,I3,'Remuneração por Área'!$I$2:$I$57)</f>
        <v>40396.93293</v>
      </c>
      <c r="J6" s="151">
        <f>SUMIF('Remuneração por Área'!$D$2:$D$57,J3,'Remuneração por Área'!$I$2:$I$57)</f>
        <v>21020.88</v>
      </c>
      <c r="K6" s="151">
        <f>SUMIF('Remuneração por Área'!$D$2:$D$57,K3,'Remuneração por Área'!$I$2:$I$57)</f>
        <v>22586.33215</v>
      </c>
      <c r="L6" s="151">
        <f>SUMIF('Remuneração por Área'!$D$2:$D$57,L3,'Remuneração por Área'!$I$2:$I$57)</f>
        <v>21612.71</v>
      </c>
      <c r="M6" s="151">
        <f>SUMIF('Remuneração por Área'!$D$2:$D$57,M3,'Remuneração por Área'!$I$2:$I$57)</f>
        <v>12299</v>
      </c>
      <c r="N6" s="151">
        <f>SUMIF('Remuneração por Área'!$D$2:$D$57,N3,'Remuneração por Área'!$I$2:$I$57)</f>
        <v>12806.205</v>
      </c>
      <c r="O6" s="151">
        <f>SUMIF('Remuneração por Área'!$D$2:$D$57,O3,'Remuneração por Área'!$I$2:$I$57)</f>
        <v>15887.53</v>
      </c>
      <c r="P6" s="151">
        <f>SUMIF('Remuneração por Área'!$D$2:$D$57,P3,'Remuneração por Área'!$I$2:$I$57)</f>
        <v>10000</v>
      </c>
      <c r="Q6" s="151">
        <f>SUMIF('Remuneração por Área'!$D$2:$D$57,Q3,'Remuneração por Área'!$I$2:$I$57)</f>
        <v>4693.36</v>
      </c>
      <c r="R6" s="152">
        <f>SUMIF('Remuneração por Área'!$D$2:$D$57,R3,'Remuneração por Área'!$I$2:$I$57)</f>
        <v>2919</v>
      </c>
    </row>
    <row r="7">
      <c r="A7" s="144"/>
      <c r="B7" s="154"/>
      <c r="C7" s="146"/>
      <c r="D7" s="146"/>
      <c r="E7" s="146"/>
      <c r="G7" s="146"/>
      <c r="H7" s="146"/>
      <c r="I7" s="146"/>
      <c r="J7" s="146"/>
      <c r="K7" s="146"/>
      <c r="L7" s="146"/>
      <c r="M7" s="146"/>
      <c r="N7" s="148"/>
      <c r="O7" s="146"/>
      <c r="P7" s="146"/>
      <c r="Q7" s="146"/>
      <c r="R7" s="149"/>
    </row>
    <row r="8">
      <c r="A8" s="144"/>
      <c r="B8" s="145" t="s">
        <v>5</v>
      </c>
      <c r="C8" s="146" t="s">
        <v>30</v>
      </c>
      <c r="D8" s="146" t="s">
        <v>90</v>
      </c>
      <c r="E8" s="146" t="s">
        <v>28</v>
      </c>
      <c r="F8" s="147" t="s">
        <v>104</v>
      </c>
      <c r="G8" s="146" t="s">
        <v>20</v>
      </c>
      <c r="H8" s="146" t="s">
        <v>10</v>
      </c>
      <c r="I8" s="146" t="s">
        <v>34</v>
      </c>
      <c r="J8" s="146" t="s">
        <v>24</v>
      </c>
      <c r="K8" s="146" t="s">
        <v>17</v>
      </c>
      <c r="L8" s="146" t="s">
        <v>107</v>
      </c>
      <c r="M8" s="146" t="s">
        <v>153</v>
      </c>
      <c r="N8" s="148" t="s">
        <v>83</v>
      </c>
      <c r="O8" s="146" t="s">
        <v>36</v>
      </c>
      <c r="P8" s="146" t="s">
        <v>61</v>
      </c>
      <c r="Q8" s="146" t="s">
        <v>43</v>
      </c>
      <c r="R8" s="149" t="s">
        <v>26</v>
      </c>
    </row>
    <row r="9">
      <c r="B9" s="150" t="s">
        <v>243</v>
      </c>
      <c r="C9" s="151">
        <f>SUMIF('Remuneração por Área'!$D$2:$D$57,C3,'Remuneração por Área'!$M$2:$M$57)</f>
        <v>115417.5842</v>
      </c>
      <c r="D9" s="151">
        <f>SUMIF('Remuneração por Área'!$D$2:$D$57,D3,'Remuneração por Área'!$M$2:$M$57)</f>
        <v>71836</v>
      </c>
      <c r="E9" s="151">
        <f>SUMIF('Remuneração por Área'!$D$2:$D$57,E3,'Remuneração por Área'!$M$2:$M$57)</f>
        <v>83011.49083</v>
      </c>
      <c r="F9" s="152">
        <f>VLOOKUP('Previsão Custo Enquadramento'!B$37,'Remuneração por Área'!B$1:S$61,12,0)</f>
        <v>79066.08333</v>
      </c>
      <c r="G9" s="151">
        <f>SUMIF('Remuneração por Área'!$D$2:$D$57,G3,'Remuneração por Área'!$M$2:$M$57)</f>
        <v>43874.0625</v>
      </c>
      <c r="H9" s="151">
        <f>SUMIF('Remuneração por Área'!$D$2:$D$57,H3,'Remuneração por Área'!$M$2:$M$57)</f>
        <v>40211.07583</v>
      </c>
      <c r="I9" s="151">
        <f>SUMIF('Remuneração por Área'!$D$2:$D$57,I3,'Remuneração por Área'!$M$2:$M$57)</f>
        <v>36221.97583</v>
      </c>
      <c r="J9" s="151">
        <f>SUMIF('Remuneração por Área'!$D$2:$D$57,J3,'Remuneração por Área'!$M$2:$M$57)</f>
        <v>22373.935</v>
      </c>
      <c r="K9" s="151">
        <f>SUMIF('Remuneração por Área'!$D$2:$D$57,K3,'Remuneração por Área'!$M$2:$M$57)</f>
        <v>21367.85167</v>
      </c>
      <c r="L9" s="151">
        <f>SUMIF('Remuneração por Área'!$D$2:$D$57,L3,'Remuneração por Área'!$M$2:$M$57)</f>
        <v>22795.25</v>
      </c>
      <c r="M9" s="151">
        <f>SUMIF('Remuneração por Área'!$D$2:$D$57,M3,'Remuneração por Área'!$M$2:$M$57)</f>
        <v>13521.37833</v>
      </c>
      <c r="N9" s="151">
        <f>SUMIF('Remuneração por Área'!$D$2:$D$57,N3,'Remuneração por Área'!$M$2:$M$57)</f>
        <v>12564.89333</v>
      </c>
      <c r="O9" s="151">
        <f>SUMIF('Remuneração por Área'!$D$2:$D$57,O3,'Remuneração por Área'!$M$2:$M$57)</f>
        <v>11137.19667</v>
      </c>
      <c r="P9" s="151">
        <f>SUMIF('Remuneração por Área'!$D$2:$D$57,P3,'Remuneração por Área'!$M$2:$M$57)</f>
        <v>10754.79167</v>
      </c>
      <c r="Q9" s="151">
        <f>SUMIF('Remuneração por Área'!$D$2:$D$57,Q3,'Remuneração por Área'!$M$2:$M$57)</f>
        <v>4753.194167</v>
      </c>
      <c r="R9" s="152">
        <f>SUMIF('Remuneração por Área'!$D$2:$D$57,R3,'Remuneração por Área'!$M$2:$M$57)</f>
        <v>3109.414167</v>
      </c>
    </row>
    <row r="10">
      <c r="B10" s="153" t="s">
        <v>244</v>
      </c>
      <c r="C10" s="151">
        <f>SUMIF('Remuneração por Área'!$D$2:$D$57,C3,'Remuneração por Área'!$R$2:$R$57)</f>
        <v>116381.7267</v>
      </c>
      <c r="D10" s="151">
        <f>SUMIF('Remuneração por Área'!$D$2:$D$57,D3,'Remuneração por Área'!$R$2:$R$57)</f>
        <v>100594.68</v>
      </c>
      <c r="E10" s="151">
        <f>SUMIF('Remuneração por Área'!$D$2:$D$57,E3,'Remuneração por Área'!$R$2:$R$57)</f>
        <v>84186.70083</v>
      </c>
      <c r="F10" s="152">
        <f>VLOOKUP('Previsão Custo Enquadramento'!B$37,'Remuneração por Área'!B$1:S$61,12,0)</f>
        <v>79066.08333</v>
      </c>
      <c r="G10" s="151">
        <f>SUMIF('Remuneração por Área'!$D$2:$D$57,G3,'Remuneração por Área'!$R$2:$R$57)</f>
        <v>45817.80667</v>
      </c>
      <c r="H10" s="151">
        <f>SUMIF('Remuneração por Área'!$D$2:$D$57,H3,'Remuneração por Área'!$R$2:$R$57)</f>
        <v>41870.89583</v>
      </c>
      <c r="I10" s="151">
        <f>SUMIF('Remuneração por Área'!$D$2:$D$57,I3,'Remuneração por Área'!$R$2:$R$57)</f>
        <v>36221.97583</v>
      </c>
      <c r="J10" s="151">
        <f>SUMIF('Remuneração por Área'!$D$2:$D$57,J3,'Remuneração por Área'!$R$2:$R$57)</f>
        <v>22373.935</v>
      </c>
      <c r="K10" s="151">
        <f>SUMIF('Remuneração por Área'!$D$2:$D$57,K3,'Remuneração por Área'!$R$2:$R$57)</f>
        <v>21367.85167</v>
      </c>
      <c r="L10" s="151">
        <f>SUMIF('Remuneração por Área'!$D$2:$D$57,L3,'Remuneração por Área'!$R$2:$R$57)</f>
        <v>22795.25</v>
      </c>
      <c r="M10" s="151">
        <f>SUMIF('Remuneração por Área'!$D$2:$D$57,M3,'Remuneração por Área'!$R$2:$R$57)</f>
        <v>13521.37833</v>
      </c>
      <c r="N10" s="151">
        <f>SUMIF('Remuneração por Área'!$D$2:$D$57,N3,'Remuneração por Área'!$R$2:$R$57)</f>
        <v>12564.89333</v>
      </c>
      <c r="O10" s="151">
        <f>SUMIF('Remuneração por Área'!$D$2:$D$57,O3,'Remuneração por Área'!$R$2:$R$57)</f>
        <v>13035.17</v>
      </c>
      <c r="P10" s="151">
        <f>SUMIF('Remuneração por Área'!$D$2:$D$57,P3,'Remuneração por Área'!$R$2:$R$57)</f>
        <v>10754.79167</v>
      </c>
      <c r="Q10" s="151">
        <f>SUMIF('Remuneração por Área'!$D$2:$D$57,Q3,'Remuneração por Área'!$R$2:$R$57)</f>
        <v>4753.194167</v>
      </c>
      <c r="R10" s="152">
        <f>SUMIF('Remuneração por Área'!$D$2:$D$57,R3,'Remuneração por Área'!$R$2:$R$57)</f>
        <v>3109.414167</v>
      </c>
    </row>
    <row r="11" hidden="1">
      <c r="B11" s="155" t="s">
        <v>242</v>
      </c>
      <c r="C11" s="151">
        <f>SUMIF('Remuneração por Área'!$D$2:$D$57,C3,'Remuneração por Área'!$S$2:$S$57)</f>
        <v>119140.1967</v>
      </c>
      <c r="D11" s="151">
        <f>SUMIF('Remuneração por Área'!$D$2:$D$57,D3,'Remuneração por Área'!$S$2:$S$57)</f>
        <v>118753.3376</v>
      </c>
      <c r="E11" s="151">
        <f>SUMIF('Remuneração por Área'!$D$2:$D$57,E3,'Remuneração por Área'!$S$2:$S$57)</f>
        <v>89279.6675</v>
      </c>
      <c r="F11" s="152">
        <f>VLOOKUP('Previsão Custo Enquadramento'!B$37,'Remuneração por Área'!B$1:S$61,12,0)</f>
        <v>79066.08333</v>
      </c>
      <c r="G11" s="151">
        <f>SUMIF('Remuneração por Área'!$D$2:$D$57,G3,'Remuneração por Área'!$S$2:$S$57)</f>
        <v>50406.93965</v>
      </c>
      <c r="H11" s="151">
        <f>SUMIF('Remuneração por Área'!$D$2:$D$57,H3,'Remuneração por Área'!$S$2:$S$57)</f>
        <v>47705.77235</v>
      </c>
      <c r="I11" s="151">
        <f>SUMIF('Remuneração por Área'!$D$2:$D$57,I3,'Remuneração por Área'!$S$2:$S$57)</f>
        <v>40626.22043</v>
      </c>
      <c r="J11" s="151">
        <f>SUMIF('Remuneração por Área'!$D$2:$D$57,J3,'Remuneração por Área'!$S$2:$S$57)</f>
        <v>22373.935</v>
      </c>
      <c r="K11" s="151">
        <f>SUMIF('Remuneração por Área'!$D$2:$D$57,K3,'Remuneração por Área'!$S$2:$S$57)</f>
        <v>22586.33215</v>
      </c>
      <c r="L11" s="151">
        <f>SUMIF('Remuneração por Área'!$D$2:$D$57,L3,'Remuneração por Área'!$S$2:$S$57)</f>
        <v>22795.25</v>
      </c>
      <c r="M11" s="151">
        <f>SUMIF('Remuneração por Área'!$D$2:$D$57,M3,'Remuneração por Área'!$S$2:$S$57)</f>
        <v>13521.37833</v>
      </c>
      <c r="N11" s="151">
        <f>SUMIF('Remuneração por Área'!$D$2:$D$57,N3,'Remuneração por Área'!$S$2:$S$57)</f>
        <v>12806.205</v>
      </c>
      <c r="O11" s="151">
        <f>SUMIF('Remuneração por Área'!$D$2:$D$57,O3,'Remuneração por Área'!$S$2:$S$57)</f>
        <v>15887.53</v>
      </c>
      <c r="P11" s="151">
        <f>SUMIF('Remuneração por Área'!$D$2:$D$57,P3,'Remuneração por Área'!$S$2:$S$57)</f>
        <v>10754.79167</v>
      </c>
      <c r="Q11" s="151">
        <f>SUMIF('Remuneração por Área'!$D$2:$D$57,Q3,'Remuneração por Área'!$S$2:$S$57)</f>
        <v>4753.194167</v>
      </c>
      <c r="R11" s="152">
        <f>SUMIF('Remuneração por Área'!$D$2:$D$57,R3,'Remuneração por Área'!$S$2:$S$57)</f>
        <v>3109.414167</v>
      </c>
    </row>
    <row r="12">
      <c r="B12" s="144"/>
      <c r="C12" s="156"/>
      <c r="D12" s="156"/>
      <c r="E12" s="156"/>
      <c r="G12" s="156"/>
      <c r="H12" s="156"/>
      <c r="I12" s="156"/>
      <c r="J12" s="156"/>
      <c r="K12" s="156"/>
      <c r="L12" s="156"/>
      <c r="M12" s="156"/>
      <c r="O12" s="156"/>
      <c r="P12" s="156"/>
      <c r="Q12" s="156"/>
      <c r="R12" s="157"/>
    </row>
    <row r="13">
      <c r="R13" s="142"/>
    </row>
    <row r="14">
      <c r="R14" s="142"/>
    </row>
    <row r="15">
      <c r="R15" s="142"/>
    </row>
    <row r="16">
      <c r="R16" s="142"/>
    </row>
    <row r="17">
      <c r="R17" s="142"/>
    </row>
    <row r="18">
      <c r="R18" s="142"/>
    </row>
    <row r="19">
      <c r="R19" s="142"/>
    </row>
    <row r="20">
      <c r="R20" s="142"/>
    </row>
    <row r="21">
      <c r="R21" s="142"/>
    </row>
    <row r="22">
      <c r="R22" s="142"/>
    </row>
    <row r="23">
      <c r="R23" s="142"/>
    </row>
    <row r="24">
      <c r="R24" s="142"/>
    </row>
    <row r="25">
      <c r="R25" s="142"/>
    </row>
    <row r="26">
      <c r="R26" s="142"/>
    </row>
    <row r="27">
      <c r="R27" s="142"/>
    </row>
    <row r="28">
      <c r="R28" s="142"/>
    </row>
    <row r="29">
      <c r="R29" s="142"/>
    </row>
    <row r="30">
      <c r="R30" s="142"/>
    </row>
    <row r="31">
      <c r="R31" s="142"/>
    </row>
    <row r="32">
      <c r="R32" s="142"/>
    </row>
    <row r="33">
      <c r="R33" s="142"/>
    </row>
    <row r="34">
      <c r="R34" s="142"/>
    </row>
    <row r="35">
      <c r="R35" s="142"/>
    </row>
    <row r="36">
      <c r="R36" s="142"/>
    </row>
    <row r="37">
      <c r="R37" s="142"/>
    </row>
    <row r="38">
      <c r="R38" s="142"/>
    </row>
    <row r="39">
      <c r="R39" s="142"/>
    </row>
    <row r="40">
      <c r="R40" s="142"/>
    </row>
    <row r="41">
      <c r="R41" s="142"/>
    </row>
    <row r="42">
      <c r="R42" s="142"/>
    </row>
    <row r="43">
      <c r="R43" s="142"/>
    </row>
    <row r="44">
      <c r="R44" s="142"/>
    </row>
    <row r="45">
      <c r="R45" s="142"/>
    </row>
    <row r="46">
      <c r="R46" s="142"/>
    </row>
    <row r="47">
      <c r="R47" s="142"/>
    </row>
    <row r="48">
      <c r="R48" s="142"/>
    </row>
    <row r="49">
      <c r="R49" s="142"/>
    </row>
    <row r="50">
      <c r="R50" s="142"/>
    </row>
    <row r="51">
      <c r="R51" s="142"/>
    </row>
    <row r="52">
      <c r="R52" s="142"/>
    </row>
    <row r="53">
      <c r="R53" s="142"/>
    </row>
    <row r="54">
      <c r="R54" s="142"/>
    </row>
    <row r="55">
      <c r="R55" s="142"/>
    </row>
    <row r="56">
      <c r="R56" s="142"/>
    </row>
    <row r="57">
      <c r="R57" s="142"/>
    </row>
    <row r="58">
      <c r="R58" s="142"/>
    </row>
    <row r="59">
      <c r="R59" s="142"/>
    </row>
    <row r="60">
      <c r="R60" s="142"/>
    </row>
    <row r="61">
      <c r="R61" s="142"/>
    </row>
    <row r="62">
      <c r="R62" s="142"/>
    </row>
    <row r="63">
      <c r="R63" s="142"/>
    </row>
    <row r="64">
      <c r="R64" s="142"/>
    </row>
    <row r="65">
      <c r="R65" s="142"/>
    </row>
    <row r="66">
      <c r="R66" s="142"/>
    </row>
    <row r="67">
      <c r="R67" s="142"/>
    </row>
    <row r="68">
      <c r="R68" s="142"/>
    </row>
    <row r="69">
      <c r="R69" s="142"/>
    </row>
    <row r="70">
      <c r="R70" s="142"/>
    </row>
    <row r="71">
      <c r="R71" s="142"/>
    </row>
    <row r="72">
      <c r="R72" s="142"/>
    </row>
    <row r="73">
      <c r="R73" s="142"/>
    </row>
    <row r="74">
      <c r="R74" s="142"/>
    </row>
    <row r="75">
      <c r="R75" s="142"/>
    </row>
    <row r="76">
      <c r="R76" s="142"/>
    </row>
    <row r="77">
      <c r="R77" s="142"/>
    </row>
    <row r="78">
      <c r="R78" s="142"/>
    </row>
    <row r="79">
      <c r="R79" s="142"/>
    </row>
    <row r="80">
      <c r="R80" s="142"/>
    </row>
    <row r="81">
      <c r="R81" s="142"/>
    </row>
    <row r="82">
      <c r="R82" s="142"/>
    </row>
    <row r="83">
      <c r="R83" s="142"/>
    </row>
    <row r="84">
      <c r="R84" s="142"/>
    </row>
    <row r="85">
      <c r="R85" s="142"/>
    </row>
    <row r="86">
      <c r="R86" s="142"/>
    </row>
    <row r="87">
      <c r="R87" s="142"/>
    </row>
    <row r="88">
      <c r="R88" s="142"/>
    </row>
    <row r="89">
      <c r="R89" s="142"/>
    </row>
    <row r="90">
      <c r="R90" s="142"/>
    </row>
    <row r="91">
      <c r="R91" s="142"/>
    </row>
    <row r="92">
      <c r="R92" s="142"/>
    </row>
    <row r="93">
      <c r="R93" s="142"/>
    </row>
    <row r="94">
      <c r="R94" s="142"/>
    </row>
    <row r="95">
      <c r="R95" s="142"/>
    </row>
    <row r="96">
      <c r="R96" s="142"/>
    </row>
    <row r="97">
      <c r="R97" s="142"/>
    </row>
    <row r="98">
      <c r="R98" s="142"/>
    </row>
    <row r="99">
      <c r="R99" s="142"/>
    </row>
    <row r="100">
      <c r="R100" s="142"/>
    </row>
    <row r="101">
      <c r="R101" s="142"/>
    </row>
    <row r="102">
      <c r="R102" s="142"/>
    </row>
    <row r="103">
      <c r="R103" s="142"/>
    </row>
    <row r="104">
      <c r="R104" s="142"/>
    </row>
    <row r="105">
      <c r="R105" s="142"/>
    </row>
    <row r="106">
      <c r="R106" s="142"/>
    </row>
    <row r="107">
      <c r="R107" s="142"/>
    </row>
    <row r="108">
      <c r="R108" s="142"/>
    </row>
    <row r="109">
      <c r="R109" s="142"/>
    </row>
    <row r="110">
      <c r="R110" s="142"/>
    </row>
    <row r="111">
      <c r="R111" s="142"/>
    </row>
    <row r="112">
      <c r="R112" s="142"/>
    </row>
    <row r="113">
      <c r="R113" s="142"/>
    </row>
    <row r="114">
      <c r="R114" s="142"/>
    </row>
    <row r="115">
      <c r="R115" s="142"/>
    </row>
    <row r="116">
      <c r="R116" s="142"/>
    </row>
    <row r="117">
      <c r="R117" s="142"/>
    </row>
    <row r="118">
      <c r="R118" s="142"/>
    </row>
    <row r="119">
      <c r="R119" s="142"/>
    </row>
    <row r="120">
      <c r="R120" s="142"/>
    </row>
    <row r="121">
      <c r="R121" s="142"/>
    </row>
    <row r="122">
      <c r="R122" s="142"/>
    </row>
    <row r="123">
      <c r="R123" s="142"/>
    </row>
    <row r="124">
      <c r="R124" s="142"/>
    </row>
    <row r="125">
      <c r="R125" s="142"/>
    </row>
    <row r="126">
      <c r="R126" s="142"/>
    </row>
    <row r="127">
      <c r="R127" s="142"/>
    </row>
    <row r="128">
      <c r="R128" s="142"/>
    </row>
    <row r="129">
      <c r="R129" s="142"/>
    </row>
    <row r="130">
      <c r="R130" s="142"/>
    </row>
    <row r="131">
      <c r="R131" s="142"/>
    </row>
    <row r="132">
      <c r="R132" s="142"/>
    </row>
    <row r="133">
      <c r="R133" s="142"/>
    </row>
    <row r="134">
      <c r="R134" s="142"/>
    </row>
    <row r="135">
      <c r="R135" s="142"/>
    </row>
    <row r="136">
      <c r="R136" s="142"/>
    </row>
    <row r="137">
      <c r="R137" s="142"/>
    </row>
    <row r="138">
      <c r="R138" s="142"/>
    </row>
    <row r="139">
      <c r="R139" s="142"/>
    </row>
    <row r="140">
      <c r="R140" s="142"/>
    </row>
    <row r="141">
      <c r="R141" s="142"/>
    </row>
    <row r="142">
      <c r="R142" s="142"/>
    </row>
    <row r="143">
      <c r="R143" s="142"/>
    </row>
    <row r="144">
      <c r="R144" s="142"/>
    </row>
    <row r="145">
      <c r="R145" s="142"/>
    </row>
    <row r="146">
      <c r="R146" s="142"/>
    </row>
    <row r="147">
      <c r="R147" s="142"/>
    </row>
    <row r="148">
      <c r="R148" s="142"/>
    </row>
    <row r="149">
      <c r="R149" s="142"/>
    </row>
    <row r="150">
      <c r="R150" s="142"/>
    </row>
    <row r="151">
      <c r="R151" s="142"/>
    </row>
    <row r="152">
      <c r="R152" s="142"/>
    </row>
    <row r="153">
      <c r="R153" s="142"/>
    </row>
    <row r="154">
      <c r="R154" s="142"/>
    </row>
    <row r="155">
      <c r="R155" s="142"/>
    </row>
    <row r="156">
      <c r="R156" s="142"/>
    </row>
    <row r="157">
      <c r="R157" s="142"/>
    </row>
    <row r="158">
      <c r="R158" s="142"/>
    </row>
    <row r="159">
      <c r="R159" s="142"/>
    </row>
    <row r="160">
      <c r="R160" s="142"/>
    </row>
    <row r="161">
      <c r="R161" s="142"/>
    </row>
    <row r="162">
      <c r="R162" s="142"/>
    </row>
    <row r="163">
      <c r="R163" s="142"/>
    </row>
    <row r="164">
      <c r="R164" s="142"/>
    </row>
    <row r="165">
      <c r="R165" s="142"/>
    </row>
    <row r="166">
      <c r="R166" s="142"/>
    </row>
    <row r="167">
      <c r="R167" s="142"/>
    </row>
    <row r="168">
      <c r="R168" s="142"/>
    </row>
    <row r="169">
      <c r="R169" s="142"/>
    </row>
    <row r="170">
      <c r="R170" s="142"/>
    </row>
    <row r="171">
      <c r="R171" s="142"/>
    </row>
    <row r="172">
      <c r="R172" s="142"/>
    </row>
    <row r="173">
      <c r="R173" s="142"/>
    </row>
    <row r="174">
      <c r="R174" s="142"/>
    </row>
    <row r="175">
      <c r="R175" s="142"/>
    </row>
    <row r="176">
      <c r="R176" s="142"/>
    </row>
    <row r="177">
      <c r="R177" s="142"/>
    </row>
    <row r="178">
      <c r="R178" s="142"/>
    </row>
    <row r="179">
      <c r="R179" s="142"/>
    </row>
    <row r="180">
      <c r="R180" s="142"/>
    </row>
    <row r="181">
      <c r="R181" s="142"/>
    </row>
    <row r="182">
      <c r="R182" s="142"/>
    </row>
    <row r="183">
      <c r="R183" s="142"/>
    </row>
    <row r="184">
      <c r="R184" s="142"/>
    </row>
    <row r="185">
      <c r="R185" s="142"/>
    </row>
    <row r="186">
      <c r="R186" s="142"/>
    </row>
    <row r="187">
      <c r="R187" s="142"/>
    </row>
    <row r="188">
      <c r="R188" s="142"/>
    </row>
    <row r="189">
      <c r="R189" s="142"/>
    </row>
    <row r="190">
      <c r="R190" s="142"/>
    </row>
    <row r="191">
      <c r="R191" s="142"/>
    </row>
    <row r="192">
      <c r="R192" s="142"/>
    </row>
    <row r="193">
      <c r="R193" s="142"/>
    </row>
    <row r="194">
      <c r="R194" s="142"/>
    </row>
    <row r="195">
      <c r="R195" s="142"/>
    </row>
    <row r="196">
      <c r="R196" s="142"/>
    </row>
    <row r="197">
      <c r="R197" s="142"/>
    </row>
    <row r="198">
      <c r="R198" s="142"/>
    </row>
    <row r="199">
      <c r="R199" s="142"/>
    </row>
    <row r="200">
      <c r="R200" s="142"/>
    </row>
    <row r="201">
      <c r="R201" s="142"/>
    </row>
    <row r="202">
      <c r="R202" s="142"/>
    </row>
    <row r="203">
      <c r="R203" s="142"/>
    </row>
    <row r="204">
      <c r="R204" s="142"/>
    </row>
    <row r="205">
      <c r="R205" s="142"/>
    </row>
    <row r="206">
      <c r="R206" s="142"/>
    </row>
    <row r="207">
      <c r="R207" s="142"/>
    </row>
    <row r="208">
      <c r="R208" s="142"/>
    </row>
    <row r="209">
      <c r="R209" s="142"/>
    </row>
    <row r="210">
      <c r="R210" s="142"/>
    </row>
    <row r="211">
      <c r="R211" s="142"/>
    </row>
    <row r="212">
      <c r="R212" s="142"/>
    </row>
    <row r="213">
      <c r="R213" s="142"/>
    </row>
    <row r="214">
      <c r="R214" s="142"/>
    </row>
    <row r="215">
      <c r="R215" s="142"/>
    </row>
    <row r="216">
      <c r="R216" s="142"/>
    </row>
    <row r="217">
      <c r="R217" s="142"/>
    </row>
    <row r="218">
      <c r="R218" s="142"/>
    </row>
    <row r="219">
      <c r="R219" s="142"/>
    </row>
    <row r="220">
      <c r="R220" s="142"/>
    </row>
    <row r="221">
      <c r="R221" s="142"/>
    </row>
    <row r="222">
      <c r="R222" s="142"/>
    </row>
    <row r="223">
      <c r="R223" s="142"/>
    </row>
    <row r="224">
      <c r="R224" s="142"/>
    </row>
    <row r="225">
      <c r="R225" s="142"/>
    </row>
    <row r="226">
      <c r="R226" s="142"/>
    </row>
    <row r="227">
      <c r="R227" s="142"/>
    </row>
    <row r="228">
      <c r="R228" s="142"/>
    </row>
    <row r="229">
      <c r="R229" s="142"/>
    </row>
    <row r="230">
      <c r="R230" s="142"/>
    </row>
    <row r="231">
      <c r="R231" s="142"/>
    </row>
    <row r="232">
      <c r="R232" s="142"/>
    </row>
    <row r="233">
      <c r="R233" s="142"/>
    </row>
    <row r="234">
      <c r="R234" s="142"/>
    </row>
    <row r="235">
      <c r="R235" s="142"/>
    </row>
    <row r="236">
      <c r="R236" s="142"/>
    </row>
    <row r="237">
      <c r="R237" s="142"/>
    </row>
    <row r="238">
      <c r="R238" s="142"/>
    </row>
    <row r="239">
      <c r="R239" s="142"/>
    </row>
    <row r="240">
      <c r="R240" s="142"/>
    </row>
    <row r="241">
      <c r="R241" s="142"/>
    </row>
    <row r="242">
      <c r="R242" s="142"/>
    </row>
    <row r="243">
      <c r="R243" s="142"/>
    </row>
    <row r="244">
      <c r="R244" s="142"/>
    </row>
    <row r="245">
      <c r="R245" s="142"/>
    </row>
    <row r="246">
      <c r="R246" s="142"/>
    </row>
    <row r="247">
      <c r="R247" s="142"/>
    </row>
    <row r="248">
      <c r="R248" s="142"/>
    </row>
    <row r="249">
      <c r="R249" s="142"/>
    </row>
    <row r="250">
      <c r="R250" s="142"/>
    </row>
    <row r="251">
      <c r="R251" s="142"/>
    </row>
    <row r="252">
      <c r="R252" s="142"/>
    </row>
    <row r="253">
      <c r="R253" s="142"/>
    </row>
    <row r="254">
      <c r="R254" s="142"/>
    </row>
    <row r="255">
      <c r="R255" s="142"/>
    </row>
    <row r="256">
      <c r="R256" s="142"/>
    </row>
    <row r="257">
      <c r="R257" s="142"/>
    </row>
    <row r="258">
      <c r="R258" s="142"/>
    </row>
    <row r="259">
      <c r="R259" s="142"/>
    </row>
    <row r="260">
      <c r="R260" s="142"/>
    </row>
    <row r="261">
      <c r="R261" s="142"/>
    </row>
    <row r="262">
      <c r="R262" s="142"/>
    </row>
    <row r="263">
      <c r="R263" s="142"/>
    </row>
    <row r="264">
      <c r="R264" s="142"/>
    </row>
    <row r="265">
      <c r="R265" s="142"/>
    </row>
    <row r="266">
      <c r="R266" s="142"/>
    </row>
    <row r="267">
      <c r="R267" s="142"/>
    </row>
    <row r="268">
      <c r="R268" s="142"/>
    </row>
    <row r="269">
      <c r="R269" s="142"/>
    </row>
    <row r="270">
      <c r="R270" s="142"/>
    </row>
    <row r="271">
      <c r="R271" s="142"/>
    </row>
    <row r="272">
      <c r="R272" s="142"/>
    </row>
    <row r="273">
      <c r="R273" s="142"/>
    </row>
    <row r="274">
      <c r="R274" s="142"/>
    </row>
    <row r="275">
      <c r="R275" s="142"/>
    </row>
    <row r="276">
      <c r="R276" s="142"/>
    </row>
    <row r="277">
      <c r="R277" s="142"/>
    </row>
    <row r="278">
      <c r="R278" s="142"/>
    </row>
    <row r="279">
      <c r="R279" s="142"/>
    </row>
    <row r="280">
      <c r="R280" s="142"/>
    </row>
    <row r="281">
      <c r="R281" s="142"/>
    </row>
    <row r="282">
      <c r="R282" s="142"/>
    </row>
    <row r="283">
      <c r="R283" s="142"/>
    </row>
    <row r="284">
      <c r="R284" s="142"/>
    </row>
    <row r="285">
      <c r="R285" s="142"/>
    </row>
    <row r="286">
      <c r="R286" s="142"/>
    </row>
    <row r="287">
      <c r="R287" s="142"/>
    </row>
    <row r="288">
      <c r="R288" s="142"/>
    </row>
    <row r="289">
      <c r="R289" s="142"/>
    </row>
    <row r="290">
      <c r="R290" s="142"/>
    </row>
    <row r="291">
      <c r="R291" s="142"/>
    </row>
    <row r="292">
      <c r="R292" s="142"/>
    </row>
    <row r="293">
      <c r="R293" s="142"/>
    </row>
    <row r="294">
      <c r="R294" s="142"/>
    </row>
    <row r="295">
      <c r="R295" s="142"/>
    </row>
    <row r="296">
      <c r="R296" s="142"/>
    </row>
    <row r="297">
      <c r="R297" s="142"/>
    </row>
    <row r="298">
      <c r="R298" s="142"/>
    </row>
    <row r="299">
      <c r="R299" s="142"/>
    </row>
    <row r="300">
      <c r="R300" s="142"/>
    </row>
    <row r="301">
      <c r="R301" s="142"/>
    </row>
    <row r="302">
      <c r="R302" s="142"/>
    </row>
    <row r="303">
      <c r="R303" s="142"/>
    </row>
    <row r="304">
      <c r="R304" s="142"/>
    </row>
    <row r="305">
      <c r="R305" s="142"/>
    </row>
    <row r="306">
      <c r="R306" s="142"/>
    </row>
    <row r="307">
      <c r="R307" s="142"/>
    </row>
    <row r="308">
      <c r="R308" s="142"/>
    </row>
    <row r="309">
      <c r="R309" s="142"/>
    </row>
    <row r="310">
      <c r="R310" s="142"/>
    </row>
    <row r="311">
      <c r="R311" s="142"/>
    </row>
    <row r="312">
      <c r="R312" s="142"/>
    </row>
    <row r="313">
      <c r="R313" s="142"/>
    </row>
    <row r="314">
      <c r="R314" s="142"/>
    </row>
    <row r="315">
      <c r="R315" s="142"/>
    </row>
    <row r="316">
      <c r="R316" s="142"/>
    </row>
    <row r="317">
      <c r="R317" s="142"/>
    </row>
    <row r="318">
      <c r="R318" s="142"/>
    </row>
    <row r="319">
      <c r="R319" s="142"/>
    </row>
    <row r="320">
      <c r="R320" s="142"/>
    </row>
    <row r="321">
      <c r="R321" s="142"/>
    </row>
    <row r="322">
      <c r="R322" s="142"/>
    </row>
    <row r="323">
      <c r="R323" s="142"/>
    </row>
    <row r="324">
      <c r="R324" s="142"/>
    </row>
    <row r="325">
      <c r="R325" s="142"/>
    </row>
    <row r="326">
      <c r="R326" s="142"/>
    </row>
    <row r="327">
      <c r="R327" s="142"/>
    </row>
    <row r="328">
      <c r="R328" s="142"/>
    </row>
    <row r="329">
      <c r="R329" s="142"/>
    </row>
    <row r="330">
      <c r="R330" s="142"/>
    </row>
    <row r="331">
      <c r="R331" s="142"/>
    </row>
    <row r="332">
      <c r="R332" s="142"/>
    </row>
    <row r="333">
      <c r="R333" s="142"/>
    </row>
    <row r="334">
      <c r="R334" s="142"/>
    </row>
    <row r="335">
      <c r="R335" s="142"/>
    </row>
    <row r="336">
      <c r="R336" s="142"/>
    </row>
    <row r="337">
      <c r="R337" s="142"/>
    </row>
    <row r="338">
      <c r="R338" s="142"/>
    </row>
    <row r="339">
      <c r="R339" s="142"/>
    </row>
    <row r="340">
      <c r="R340" s="142"/>
    </row>
    <row r="341">
      <c r="R341" s="142"/>
    </row>
    <row r="342">
      <c r="R342" s="142"/>
    </row>
    <row r="343">
      <c r="R343" s="142"/>
    </row>
    <row r="344">
      <c r="R344" s="142"/>
    </row>
    <row r="345">
      <c r="R345" s="142"/>
    </row>
    <row r="346">
      <c r="R346" s="142"/>
    </row>
    <row r="347">
      <c r="R347" s="142"/>
    </row>
    <row r="348">
      <c r="R348" s="142"/>
    </row>
    <row r="349">
      <c r="R349" s="142"/>
    </row>
    <row r="350">
      <c r="R350" s="142"/>
    </row>
    <row r="351">
      <c r="R351" s="142"/>
    </row>
    <row r="352">
      <c r="R352" s="142"/>
    </row>
    <row r="353">
      <c r="R353" s="142"/>
    </row>
    <row r="354">
      <c r="R354" s="142"/>
    </row>
    <row r="355">
      <c r="R355" s="142"/>
    </row>
    <row r="356">
      <c r="R356" s="142"/>
    </row>
    <row r="357">
      <c r="R357" s="142"/>
    </row>
    <row r="358">
      <c r="R358" s="142"/>
    </row>
    <row r="359">
      <c r="R359" s="142"/>
    </row>
    <row r="360">
      <c r="R360" s="142"/>
    </row>
    <row r="361">
      <c r="R361" s="142"/>
    </row>
    <row r="362">
      <c r="R362" s="142"/>
    </row>
    <row r="363">
      <c r="R363" s="142"/>
    </row>
    <row r="364">
      <c r="R364" s="142"/>
    </row>
    <row r="365">
      <c r="R365" s="142"/>
    </row>
    <row r="366">
      <c r="R366" s="142"/>
    </row>
    <row r="367">
      <c r="R367" s="142"/>
    </row>
    <row r="368">
      <c r="R368" s="142"/>
    </row>
    <row r="369">
      <c r="R369" s="142"/>
    </row>
    <row r="370">
      <c r="R370" s="142"/>
    </row>
    <row r="371">
      <c r="R371" s="142"/>
    </row>
    <row r="372">
      <c r="R372" s="142"/>
    </row>
    <row r="373">
      <c r="R373" s="142"/>
    </row>
    <row r="374">
      <c r="R374" s="142"/>
    </row>
    <row r="375">
      <c r="R375" s="142"/>
    </row>
    <row r="376">
      <c r="R376" s="142"/>
    </row>
    <row r="377">
      <c r="R377" s="142"/>
    </row>
    <row r="378">
      <c r="R378" s="142"/>
    </row>
    <row r="379">
      <c r="R379" s="142"/>
    </row>
    <row r="380">
      <c r="R380" s="142"/>
    </row>
    <row r="381">
      <c r="R381" s="142"/>
    </row>
    <row r="382">
      <c r="R382" s="142"/>
    </row>
    <row r="383">
      <c r="R383" s="142"/>
    </row>
    <row r="384">
      <c r="R384" s="142"/>
    </row>
    <row r="385">
      <c r="R385" s="142"/>
    </row>
    <row r="386">
      <c r="R386" s="142"/>
    </row>
    <row r="387">
      <c r="R387" s="142"/>
    </row>
    <row r="388">
      <c r="R388" s="142"/>
    </row>
    <row r="389">
      <c r="R389" s="142"/>
    </row>
    <row r="390">
      <c r="R390" s="142"/>
    </row>
    <row r="391">
      <c r="R391" s="142"/>
    </row>
    <row r="392">
      <c r="R392" s="142"/>
    </row>
    <row r="393">
      <c r="R393" s="142"/>
    </row>
    <row r="394">
      <c r="R394" s="142"/>
    </row>
    <row r="395">
      <c r="R395" s="142"/>
    </row>
    <row r="396">
      <c r="R396" s="142"/>
    </row>
    <row r="397">
      <c r="R397" s="142"/>
    </row>
    <row r="398">
      <c r="R398" s="142"/>
    </row>
    <row r="399">
      <c r="R399" s="142"/>
    </row>
    <row r="400">
      <c r="R400" s="142"/>
    </row>
    <row r="401">
      <c r="R401" s="142"/>
    </row>
    <row r="402">
      <c r="R402" s="142"/>
    </row>
    <row r="403">
      <c r="R403" s="142"/>
    </row>
    <row r="404">
      <c r="R404" s="142"/>
    </row>
    <row r="405">
      <c r="R405" s="142"/>
    </row>
    <row r="406">
      <c r="R406" s="142"/>
    </row>
    <row r="407">
      <c r="R407" s="142"/>
    </row>
    <row r="408">
      <c r="R408" s="142"/>
    </row>
    <row r="409">
      <c r="R409" s="142"/>
    </row>
    <row r="410">
      <c r="R410" s="142"/>
    </row>
    <row r="411">
      <c r="R411" s="142"/>
    </row>
    <row r="412">
      <c r="R412" s="142"/>
    </row>
    <row r="413">
      <c r="R413" s="142"/>
    </row>
    <row r="414">
      <c r="R414" s="142"/>
    </row>
    <row r="415">
      <c r="R415" s="142"/>
    </row>
    <row r="416">
      <c r="R416" s="142"/>
    </row>
    <row r="417">
      <c r="R417" s="142"/>
    </row>
    <row r="418">
      <c r="R418" s="142"/>
    </row>
    <row r="419">
      <c r="R419" s="142"/>
    </row>
    <row r="420">
      <c r="R420" s="142"/>
    </row>
    <row r="421">
      <c r="R421" s="142"/>
    </row>
    <row r="422">
      <c r="R422" s="142"/>
    </row>
    <row r="423">
      <c r="R423" s="142"/>
    </row>
    <row r="424">
      <c r="R424" s="142"/>
    </row>
    <row r="425">
      <c r="R425" s="142"/>
    </row>
    <row r="426">
      <c r="R426" s="142"/>
    </row>
    <row r="427">
      <c r="R427" s="142"/>
    </row>
    <row r="428">
      <c r="R428" s="142"/>
    </row>
    <row r="429">
      <c r="R429" s="142"/>
    </row>
    <row r="430">
      <c r="R430" s="142"/>
    </row>
    <row r="431">
      <c r="R431" s="142"/>
    </row>
    <row r="432">
      <c r="R432" s="142"/>
    </row>
    <row r="433">
      <c r="R433" s="142"/>
    </row>
    <row r="434">
      <c r="R434" s="142"/>
    </row>
    <row r="435">
      <c r="R435" s="142"/>
    </row>
    <row r="436">
      <c r="R436" s="142"/>
    </row>
    <row r="437">
      <c r="R437" s="142"/>
    </row>
    <row r="438">
      <c r="R438" s="142"/>
    </row>
    <row r="439">
      <c r="R439" s="142"/>
    </row>
    <row r="440">
      <c r="R440" s="142"/>
    </row>
    <row r="441">
      <c r="R441" s="142"/>
    </row>
    <row r="442">
      <c r="R442" s="142"/>
    </row>
    <row r="443">
      <c r="R443" s="142"/>
    </row>
    <row r="444">
      <c r="R444" s="142"/>
    </row>
    <row r="445">
      <c r="R445" s="142"/>
    </row>
    <row r="446">
      <c r="R446" s="142"/>
    </row>
    <row r="447">
      <c r="R447" s="142"/>
    </row>
    <row r="448">
      <c r="R448" s="142"/>
    </row>
    <row r="449">
      <c r="R449" s="142"/>
    </row>
    <row r="450">
      <c r="R450" s="142"/>
    </row>
    <row r="451">
      <c r="R451" s="142"/>
    </row>
    <row r="452">
      <c r="R452" s="142"/>
    </row>
    <row r="453">
      <c r="R453" s="142"/>
    </row>
    <row r="454">
      <c r="R454" s="142"/>
    </row>
    <row r="455">
      <c r="R455" s="142"/>
    </row>
    <row r="456">
      <c r="R456" s="142"/>
    </row>
    <row r="457">
      <c r="R457" s="142"/>
    </row>
    <row r="458">
      <c r="R458" s="142"/>
    </row>
    <row r="459">
      <c r="R459" s="142"/>
    </row>
    <row r="460">
      <c r="R460" s="142"/>
    </row>
    <row r="461">
      <c r="R461" s="142"/>
    </row>
    <row r="462">
      <c r="R462" s="142"/>
    </row>
    <row r="463">
      <c r="R463" s="142"/>
    </row>
    <row r="464">
      <c r="R464" s="142"/>
    </row>
    <row r="465">
      <c r="R465" s="142"/>
    </row>
    <row r="466">
      <c r="R466" s="142"/>
    </row>
    <row r="467">
      <c r="R467" s="142"/>
    </row>
    <row r="468">
      <c r="R468" s="142"/>
    </row>
    <row r="469">
      <c r="R469" s="142"/>
    </row>
    <row r="470">
      <c r="R470" s="142"/>
    </row>
    <row r="471">
      <c r="R471" s="142"/>
    </row>
    <row r="472">
      <c r="R472" s="142"/>
    </row>
    <row r="473">
      <c r="R473" s="142"/>
    </row>
    <row r="474">
      <c r="R474" s="142"/>
    </row>
    <row r="475">
      <c r="R475" s="142"/>
    </row>
    <row r="476">
      <c r="R476" s="142"/>
    </row>
    <row r="477">
      <c r="R477" s="142"/>
    </row>
    <row r="478">
      <c r="R478" s="142"/>
    </row>
    <row r="479">
      <c r="R479" s="142"/>
    </row>
    <row r="480">
      <c r="R480" s="142"/>
    </row>
    <row r="481">
      <c r="R481" s="142"/>
    </row>
    <row r="482">
      <c r="R482" s="142"/>
    </row>
    <row r="483">
      <c r="R483" s="142"/>
    </row>
    <row r="484">
      <c r="R484" s="142"/>
    </row>
    <row r="485">
      <c r="R485" s="142"/>
    </row>
    <row r="486">
      <c r="R486" s="142"/>
    </row>
    <row r="487">
      <c r="R487" s="142"/>
    </row>
    <row r="488">
      <c r="R488" s="142"/>
    </row>
    <row r="489">
      <c r="R489" s="142"/>
    </row>
    <row r="490">
      <c r="R490" s="142"/>
    </row>
    <row r="491">
      <c r="R491" s="142"/>
    </row>
    <row r="492">
      <c r="R492" s="142"/>
    </row>
    <row r="493">
      <c r="R493" s="142"/>
    </row>
    <row r="494">
      <c r="R494" s="142"/>
    </row>
    <row r="495">
      <c r="R495" s="142"/>
    </row>
    <row r="496">
      <c r="R496" s="142"/>
    </row>
    <row r="497">
      <c r="R497" s="142"/>
    </row>
    <row r="498">
      <c r="R498" s="142"/>
    </row>
    <row r="499">
      <c r="R499" s="142"/>
    </row>
    <row r="500">
      <c r="R500" s="142"/>
    </row>
    <row r="501">
      <c r="R501" s="142"/>
    </row>
    <row r="502">
      <c r="R502" s="142"/>
    </row>
    <row r="503">
      <c r="R503" s="142"/>
    </row>
    <row r="504">
      <c r="R504" s="142"/>
    </row>
    <row r="505">
      <c r="R505" s="142"/>
    </row>
    <row r="506">
      <c r="R506" s="142"/>
    </row>
    <row r="507">
      <c r="R507" s="142"/>
    </row>
    <row r="508">
      <c r="R508" s="142"/>
    </row>
    <row r="509">
      <c r="R509" s="142"/>
    </row>
    <row r="510">
      <c r="R510" s="142"/>
    </row>
    <row r="511">
      <c r="R511" s="142"/>
    </row>
    <row r="512">
      <c r="R512" s="142"/>
    </row>
    <row r="513">
      <c r="R513" s="142"/>
    </row>
    <row r="514">
      <c r="R514" s="142"/>
    </row>
    <row r="515">
      <c r="R515" s="142"/>
    </row>
    <row r="516">
      <c r="R516" s="142"/>
    </row>
    <row r="517">
      <c r="R517" s="142"/>
    </row>
    <row r="518">
      <c r="R518" s="142"/>
    </row>
    <row r="519">
      <c r="R519" s="142"/>
    </row>
    <row r="520">
      <c r="R520" s="142"/>
    </row>
    <row r="521">
      <c r="R521" s="142"/>
    </row>
    <row r="522">
      <c r="R522" s="142"/>
    </row>
    <row r="523">
      <c r="R523" s="142"/>
    </row>
    <row r="524">
      <c r="R524" s="142"/>
    </row>
    <row r="525">
      <c r="R525" s="142"/>
    </row>
    <row r="526">
      <c r="R526" s="142"/>
    </row>
    <row r="527">
      <c r="R527" s="142"/>
    </row>
    <row r="528">
      <c r="R528" s="142"/>
    </row>
    <row r="529">
      <c r="R529" s="142"/>
    </row>
    <row r="530">
      <c r="R530" s="142"/>
    </row>
    <row r="531">
      <c r="R531" s="142"/>
    </row>
    <row r="532">
      <c r="R532" s="142"/>
    </row>
    <row r="533">
      <c r="R533" s="142"/>
    </row>
    <row r="534">
      <c r="R534" s="142"/>
    </row>
    <row r="535">
      <c r="R535" s="142"/>
    </row>
    <row r="536">
      <c r="R536" s="142"/>
    </row>
    <row r="537">
      <c r="R537" s="142"/>
    </row>
    <row r="538">
      <c r="R538" s="142"/>
    </row>
    <row r="539">
      <c r="R539" s="142"/>
    </row>
    <row r="540">
      <c r="R540" s="142"/>
    </row>
    <row r="541">
      <c r="R541" s="142"/>
    </row>
    <row r="542">
      <c r="R542" s="142"/>
    </row>
    <row r="543">
      <c r="R543" s="142"/>
    </row>
    <row r="544">
      <c r="R544" s="142"/>
    </row>
    <row r="545">
      <c r="R545" s="142"/>
    </row>
    <row r="546">
      <c r="R546" s="142"/>
    </row>
    <row r="547">
      <c r="R547" s="142"/>
    </row>
    <row r="548">
      <c r="R548" s="142"/>
    </row>
    <row r="549">
      <c r="R549" s="142"/>
    </row>
    <row r="550">
      <c r="R550" s="142"/>
    </row>
    <row r="551">
      <c r="R551" s="142"/>
    </row>
    <row r="552">
      <c r="R552" s="142"/>
    </row>
    <row r="553">
      <c r="R553" s="142"/>
    </row>
    <row r="554">
      <c r="R554" s="142"/>
    </row>
    <row r="555">
      <c r="R555" s="142"/>
    </row>
    <row r="556">
      <c r="R556" s="142"/>
    </row>
    <row r="557">
      <c r="R557" s="142"/>
    </row>
    <row r="558">
      <c r="R558" s="142"/>
    </row>
    <row r="559">
      <c r="R559" s="142"/>
    </row>
    <row r="560">
      <c r="R560" s="142"/>
    </row>
    <row r="561">
      <c r="R561" s="142"/>
    </row>
    <row r="562">
      <c r="R562" s="142"/>
    </row>
    <row r="563">
      <c r="R563" s="142"/>
    </row>
    <row r="564">
      <c r="R564" s="142"/>
    </row>
    <row r="565">
      <c r="R565" s="142"/>
    </row>
    <row r="566">
      <c r="R566" s="142"/>
    </row>
    <row r="567">
      <c r="R567" s="142"/>
    </row>
    <row r="568">
      <c r="R568" s="142"/>
    </row>
    <row r="569">
      <c r="R569" s="142"/>
    </row>
    <row r="570">
      <c r="R570" s="142"/>
    </row>
    <row r="571">
      <c r="R571" s="142"/>
    </row>
    <row r="572">
      <c r="R572" s="142"/>
    </row>
    <row r="573">
      <c r="R573" s="142"/>
    </row>
    <row r="574">
      <c r="R574" s="142"/>
    </row>
    <row r="575">
      <c r="R575" s="142"/>
    </row>
    <row r="576">
      <c r="R576" s="142"/>
    </row>
    <row r="577">
      <c r="R577" s="142"/>
    </row>
    <row r="578">
      <c r="R578" s="142"/>
    </row>
    <row r="579">
      <c r="R579" s="142"/>
    </row>
    <row r="580">
      <c r="R580" s="142"/>
    </row>
    <row r="581">
      <c r="R581" s="142"/>
    </row>
    <row r="582">
      <c r="R582" s="142"/>
    </row>
    <row r="583">
      <c r="R583" s="142"/>
    </row>
    <row r="584">
      <c r="R584" s="142"/>
    </row>
    <row r="585">
      <c r="R585" s="142"/>
    </row>
    <row r="586">
      <c r="R586" s="142"/>
    </row>
    <row r="587">
      <c r="R587" s="142"/>
    </row>
    <row r="588">
      <c r="R588" s="142"/>
    </row>
    <row r="589">
      <c r="R589" s="142"/>
    </row>
    <row r="590">
      <c r="R590" s="142"/>
    </row>
    <row r="591">
      <c r="R591" s="142"/>
    </row>
    <row r="592">
      <c r="R592" s="142"/>
    </row>
    <row r="593">
      <c r="R593" s="142"/>
    </row>
    <row r="594">
      <c r="R594" s="142"/>
    </row>
    <row r="595">
      <c r="R595" s="142"/>
    </row>
    <row r="596">
      <c r="R596" s="142"/>
    </row>
    <row r="597">
      <c r="R597" s="142"/>
    </row>
    <row r="598">
      <c r="R598" s="142"/>
    </row>
    <row r="599">
      <c r="R599" s="142"/>
    </row>
    <row r="600">
      <c r="R600" s="142"/>
    </row>
    <row r="601">
      <c r="R601" s="142"/>
    </row>
    <row r="602">
      <c r="R602" s="142"/>
    </row>
    <row r="603">
      <c r="R603" s="142"/>
    </row>
    <row r="604">
      <c r="R604" s="142"/>
    </row>
    <row r="605">
      <c r="R605" s="142"/>
    </row>
    <row r="606">
      <c r="R606" s="142"/>
    </row>
    <row r="607">
      <c r="R607" s="142"/>
    </row>
    <row r="608">
      <c r="R608" s="142"/>
    </row>
    <row r="609">
      <c r="R609" s="142"/>
    </row>
    <row r="610">
      <c r="R610" s="142"/>
    </row>
    <row r="611">
      <c r="R611" s="142"/>
    </row>
    <row r="612">
      <c r="R612" s="142"/>
    </row>
    <row r="613">
      <c r="R613" s="142"/>
    </row>
    <row r="614">
      <c r="R614" s="142"/>
    </row>
    <row r="615">
      <c r="R615" s="142"/>
    </row>
    <row r="616">
      <c r="R616" s="142"/>
    </row>
    <row r="617">
      <c r="R617" s="142"/>
    </row>
    <row r="618">
      <c r="R618" s="142"/>
    </row>
    <row r="619">
      <c r="R619" s="142"/>
    </row>
    <row r="620">
      <c r="R620" s="142"/>
    </row>
    <row r="621">
      <c r="R621" s="142"/>
    </row>
    <row r="622">
      <c r="R622" s="142"/>
    </row>
    <row r="623">
      <c r="R623" s="142"/>
    </row>
    <row r="624">
      <c r="R624" s="142"/>
    </row>
    <row r="625">
      <c r="R625" s="142"/>
    </row>
    <row r="626">
      <c r="R626" s="142"/>
    </row>
    <row r="627">
      <c r="R627" s="142"/>
    </row>
    <row r="628">
      <c r="R628" s="142"/>
    </row>
    <row r="629">
      <c r="R629" s="142"/>
    </row>
    <row r="630">
      <c r="R630" s="142"/>
    </row>
    <row r="631">
      <c r="R631" s="142"/>
    </row>
    <row r="632">
      <c r="R632" s="142"/>
    </row>
    <row r="633">
      <c r="R633" s="142"/>
    </row>
    <row r="634">
      <c r="R634" s="142"/>
    </row>
    <row r="635">
      <c r="R635" s="142"/>
    </row>
    <row r="636">
      <c r="R636" s="142"/>
    </row>
    <row r="637">
      <c r="R637" s="142"/>
    </row>
    <row r="638">
      <c r="R638" s="142"/>
    </row>
    <row r="639">
      <c r="R639" s="142"/>
    </row>
    <row r="640">
      <c r="R640" s="142"/>
    </row>
    <row r="641">
      <c r="R641" s="142"/>
    </row>
    <row r="642">
      <c r="R642" s="142"/>
    </row>
    <row r="643">
      <c r="R643" s="142"/>
    </row>
    <row r="644">
      <c r="R644" s="142"/>
    </row>
    <row r="645">
      <c r="R645" s="142"/>
    </row>
    <row r="646">
      <c r="R646" s="142"/>
    </row>
    <row r="647">
      <c r="R647" s="142"/>
    </row>
    <row r="648">
      <c r="R648" s="142"/>
    </row>
    <row r="649">
      <c r="R649" s="142"/>
    </row>
    <row r="650">
      <c r="R650" s="142"/>
    </row>
    <row r="651">
      <c r="R651" s="142"/>
    </row>
    <row r="652">
      <c r="R652" s="142"/>
    </row>
    <row r="653">
      <c r="R653" s="142"/>
    </row>
    <row r="654">
      <c r="R654" s="142"/>
    </row>
    <row r="655">
      <c r="R655" s="142"/>
    </row>
    <row r="656">
      <c r="R656" s="142"/>
    </row>
    <row r="657">
      <c r="R657" s="142"/>
    </row>
    <row r="658">
      <c r="R658" s="142"/>
    </row>
    <row r="659">
      <c r="R659" s="142"/>
    </row>
    <row r="660">
      <c r="R660" s="142"/>
    </row>
    <row r="661">
      <c r="R661" s="142"/>
    </row>
    <row r="662">
      <c r="R662" s="142"/>
    </row>
    <row r="663">
      <c r="R663" s="142"/>
    </row>
    <row r="664">
      <c r="R664" s="142"/>
    </row>
    <row r="665">
      <c r="R665" s="142"/>
    </row>
    <row r="666">
      <c r="R666" s="142"/>
    </row>
    <row r="667">
      <c r="R667" s="142"/>
    </row>
    <row r="668">
      <c r="R668" s="142"/>
    </row>
    <row r="669">
      <c r="R669" s="142"/>
    </row>
    <row r="670">
      <c r="R670" s="142"/>
    </row>
    <row r="671">
      <c r="R671" s="142"/>
    </row>
    <row r="672">
      <c r="R672" s="142"/>
    </row>
    <row r="673">
      <c r="R673" s="142"/>
    </row>
    <row r="674">
      <c r="R674" s="142"/>
    </row>
    <row r="675">
      <c r="R675" s="142"/>
    </row>
    <row r="676">
      <c r="R676" s="142"/>
    </row>
    <row r="677">
      <c r="R677" s="142"/>
    </row>
    <row r="678">
      <c r="R678" s="142"/>
    </row>
    <row r="679">
      <c r="R679" s="142"/>
    </row>
    <row r="680">
      <c r="R680" s="142"/>
    </row>
    <row r="681">
      <c r="R681" s="142"/>
    </row>
    <row r="682">
      <c r="R682" s="142"/>
    </row>
    <row r="683">
      <c r="R683" s="142"/>
    </row>
    <row r="684">
      <c r="R684" s="142"/>
    </row>
    <row r="685">
      <c r="R685" s="142"/>
    </row>
    <row r="686">
      <c r="R686" s="142"/>
    </row>
    <row r="687">
      <c r="R687" s="142"/>
    </row>
    <row r="688">
      <c r="R688" s="142"/>
    </row>
    <row r="689">
      <c r="R689" s="142"/>
    </row>
    <row r="690">
      <c r="R690" s="142"/>
    </row>
    <row r="691">
      <c r="R691" s="142"/>
    </row>
    <row r="692">
      <c r="R692" s="142"/>
    </row>
    <row r="693">
      <c r="R693" s="142"/>
    </row>
    <row r="694">
      <c r="R694" s="142"/>
    </row>
    <row r="695">
      <c r="R695" s="142"/>
    </row>
    <row r="696">
      <c r="R696" s="142"/>
    </row>
    <row r="697">
      <c r="R697" s="142"/>
    </row>
    <row r="698">
      <c r="R698" s="142"/>
    </row>
    <row r="699">
      <c r="R699" s="142"/>
    </row>
    <row r="700">
      <c r="R700" s="142"/>
    </row>
    <row r="701">
      <c r="R701" s="142"/>
    </row>
    <row r="702">
      <c r="R702" s="142"/>
    </row>
    <row r="703">
      <c r="R703" s="142"/>
    </row>
    <row r="704">
      <c r="R704" s="142"/>
    </row>
    <row r="705">
      <c r="R705" s="142"/>
    </row>
    <row r="706">
      <c r="R706" s="142"/>
    </row>
    <row r="707">
      <c r="R707" s="142"/>
    </row>
    <row r="708">
      <c r="R708" s="142"/>
    </row>
    <row r="709">
      <c r="R709" s="142"/>
    </row>
    <row r="710">
      <c r="R710" s="142"/>
    </row>
    <row r="711">
      <c r="R711" s="142"/>
    </row>
    <row r="712">
      <c r="R712" s="142"/>
    </row>
    <row r="713">
      <c r="R713" s="142"/>
    </row>
    <row r="714">
      <c r="R714" s="142"/>
    </row>
    <row r="715">
      <c r="R715" s="142"/>
    </row>
    <row r="716">
      <c r="R716" s="142"/>
    </row>
    <row r="717">
      <c r="R717" s="142"/>
    </row>
    <row r="718">
      <c r="R718" s="142"/>
    </row>
    <row r="719">
      <c r="R719" s="142"/>
    </row>
    <row r="720">
      <c r="R720" s="142"/>
    </row>
    <row r="721">
      <c r="R721" s="142"/>
    </row>
    <row r="722">
      <c r="R722" s="142"/>
    </row>
    <row r="723">
      <c r="R723" s="142"/>
    </row>
    <row r="724">
      <c r="R724" s="142"/>
    </row>
    <row r="725">
      <c r="R725" s="142"/>
    </row>
    <row r="726">
      <c r="R726" s="142"/>
    </row>
    <row r="727">
      <c r="R727" s="142"/>
    </row>
    <row r="728">
      <c r="R728" s="142"/>
    </row>
    <row r="729">
      <c r="R729" s="142"/>
    </row>
    <row r="730">
      <c r="R730" s="142"/>
    </row>
    <row r="731">
      <c r="R731" s="142"/>
    </row>
    <row r="732">
      <c r="R732" s="142"/>
    </row>
    <row r="733">
      <c r="R733" s="142"/>
    </row>
    <row r="734">
      <c r="R734" s="142"/>
    </row>
    <row r="735">
      <c r="R735" s="142"/>
    </row>
    <row r="736">
      <c r="R736" s="142"/>
    </row>
    <row r="737">
      <c r="R737" s="142"/>
    </row>
    <row r="738">
      <c r="R738" s="142"/>
    </row>
    <row r="739">
      <c r="R739" s="142"/>
    </row>
    <row r="740">
      <c r="R740" s="142"/>
    </row>
    <row r="741">
      <c r="R741" s="142"/>
    </row>
    <row r="742">
      <c r="R742" s="142"/>
    </row>
    <row r="743">
      <c r="R743" s="142"/>
    </row>
    <row r="744">
      <c r="R744" s="142"/>
    </row>
    <row r="745">
      <c r="R745" s="142"/>
    </row>
    <row r="746">
      <c r="R746" s="142"/>
    </row>
    <row r="747">
      <c r="R747" s="142"/>
    </row>
    <row r="748">
      <c r="R748" s="142"/>
    </row>
    <row r="749">
      <c r="R749" s="142"/>
    </row>
    <row r="750">
      <c r="R750" s="142"/>
    </row>
    <row r="751">
      <c r="R751" s="142"/>
    </row>
    <row r="752">
      <c r="R752" s="142"/>
    </row>
    <row r="753">
      <c r="R753" s="142"/>
    </row>
    <row r="754">
      <c r="R754" s="142"/>
    </row>
    <row r="755">
      <c r="R755" s="142"/>
    </row>
    <row r="756">
      <c r="R756" s="142"/>
    </row>
    <row r="757">
      <c r="R757" s="142"/>
    </row>
    <row r="758">
      <c r="R758" s="142"/>
    </row>
    <row r="759">
      <c r="R759" s="142"/>
    </row>
    <row r="760">
      <c r="R760" s="142"/>
    </row>
    <row r="761">
      <c r="R761" s="142"/>
    </row>
    <row r="762">
      <c r="R762" s="142"/>
    </row>
    <row r="763">
      <c r="R763" s="142"/>
    </row>
    <row r="764">
      <c r="R764" s="142"/>
    </row>
    <row r="765">
      <c r="R765" s="142"/>
    </row>
    <row r="766">
      <c r="R766" s="142"/>
    </row>
    <row r="767">
      <c r="R767" s="142"/>
    </row>
    <row r="768">
      <c r="R768" s="142"/>
    </row>
    <row r="769">
      <c r="R769" s="142"/>
    </row>
    <row r="770">
      <c r="R770" s="142"/>
    </row>
    <row r="771">
      <c r="R771" s="142"/>
    </row>
    <row r="772">
      <c r="R772" s="142"/>
    </row>
    <row r="773">
      <c r="R773" s="142"/>
    </row>
    <row r="774">
      <c r="R774" s="142"/>
    </row>
    <row r="775">
      <c r="R775" s="142"/>
    </row>
    <row r="776">
      <c r="R776" s="142"/>
    </row>
    <row r="777">
      <c r="R777" s="142"/>
    </row>
    <row r="778">
      <c r="R778" s="142"/>
    </row>
    <row r="779">
      <c r="R779" s="142"/>
    </row>
    <row r="780">
      <c r="R780" s="142"/>
    </row>
    <row r="781">
      <c r="R781" s="142"/>
    </row>
    <row r="782">
      <c r="R782" s="142"/>
    </row>
    <row r="783">
      <c r="R783" s="142"/>
    </row>
    <row r="784">
      <c r="R784" s="142"/>
    </row>
    <row r="785">
      <c r="R785" s="142"/>
    </row>
    <row r="786">
      <c r="R786" s="142"/>
    </row>
    <row r="787">
      <c r="R787" s="142"/>
    </row>
    <row r="788">
      <c r="R788" s="142"/>
    </row>
    <row r="789">
      <c r="R789" s="142"/>
    </row>
    <row r="790">
      <c r="R790" s="142"/>
    </row>
    <row r="791">
      <c r="R791" s="142"/>
    </row>
    <row r="792">
      <c r="R792" s="142"/>
    </row>
    <row r="793">
      <c r="R793" s="142"/>
    </row>
    <row r="794">
      <c r="R794" s="142"/>
    </row>
    <row r="795">
      <c r="R795" s="142"/>
    </row>
    <row r="796">
      <c r="R796" s="142"/>
    </row>
    <row r="797">
      <c r="R797" s="142"/>
    </row>
    <row r="798">
      <c r="R798" s="142"/>
    </row>
    <row r="799">
      <c r="R799" s="142"/>
    </row>
    <row r="800">
      <c r="R800" s="142"/>
    </row>
    <row r="801">
      <c r="R801" s="142"/>
    </row>
    <row r="802">
      <c r="R802" s="142"/>
    </row>
    <row r="803">
      <c r="R803" s="142"/>
    </row>
    <row r="804">
      <c r="R804" s="142"/>
    </row>
    <row r="805">
      <c r="R805" s="142"/>
    </row>
    <row r="806">
      <c r="R806" s="142"/>
    </row>
    <row r="807">
      <c r="R807" s="142"/>
    </row>
    <row r="808">
      <c r="R808" s="142"/>
    </row>
    <row r="809">
      <c r="R809" s="142"/>
    </row>
    <row r="810">
      <c r="R810" s="142"/>
    </row>
    <row r="811">
      <c r="R811" s="142"/>
    </row>
    <row r="812">
      <c r="R812" s="142"/>
    </row>
    <row r="813">
      <c r="R813" s="142"/>
    </row>
    <row r="814">
      <c r="R814" s="142"/>
    </row>
    <row r="815">
      <c r="R815" s="142"/>
    </row>
    <row r="816">
      <c r="R816" s="142"/>
    </row>
    <row r="817">
      <c r="R817" s="142"/>
    </row>
    <row r="818">
      <c r="R818" s="142"/>
    </row>
    <row r="819">
      <c r="R819" s="142"/>
    </row>
    <row r="820">
      <c r="R820" s="142"/>
    </row>
    <row r="821">
      <c r="R821" s="142"/>
    </row>
    <row r="822">
      <c r="R822" s="142"/>
    </row>
    <row r="823">
      <c r="R823" s="142"/>
    </row>
    <row r="824">
      <c r="R824" s="142"/>
    </row>
    <row r="825">
      <c r="R825" s="142"/>
    </row>
    <row r="826">
      <c r="R826" s="142"/>
    </row>
    <row r="827">
      <c r="R827" s="142"/>
    </row>
    <row r="828">
      <c r="R828" s="142"/>
    </row>
    <row r="829">
      <c r="R829" s="142"/>
    </row>
    <row r="830">
      <c r="R830" s="142"/>
    </row>
    <row r="831">
      <c r="R831" s="142"/>
    </row>
    <row r="832">
      <c r="R832" s="142"/>
    </row>
    <row r="833">
      <c r="R833" s="142"/>
    </row>
    <row r="834">
      <c r="R834" s="142"/>
    </row>
    <row r="835">
      <c r="R835" s="142"/>
    </row>
    <row r="836">
      <c r="R836" s="142"/>
    </row>
    <row r="837">
      <c r="R837" s="142"/>
    </row>
    <row r="838">
      <c r="R838" s="142"/>
    </row>
    <row r="839">
      <c r="R839" s="142"/>
    </row>
    <row r="840">
      <c r="R840" s="142"/>
    </row>
    <row r="841">
      <c r="R841" s="142"/>
    </row>
    <row r="842">
      <c r="R842" s="142"/>
    </row>
    <row r="843">
      <c r="R843" s="142"/>
    </row>
    <row r="844">
      <c r="R844" s="142"/>
    </row>
    <row r="845">
      <c r="R845" s="142"/>
    </row>
    <row r="846">
      <c r="R846" s="142"/>
    </row>
    <row r="847">
      <c r="R847" s="142"/>
    </row>
    <row r="848">
      <c r="R848" s="142"/>
    </row>
    <row r="849">
      <c r="R849" s="142"/>
    </row>
    <row r="850">
      <c r="R850" s="142"/>
    </row>
    <row r="851">
      <c r="R851" s="142"/>
    </row>
    <row r="852">
      <c r="R852" s="142"/>
    </row>
    <row r="853">
      <c r="R853" s="142"/>
    </row>
    <row r="854">
      <c r="R854" s="142"/>
    </row>
    <row r="855">
      <c r="R855" s="142"/>
    </row>
    <row r="856">
      <c r="R856" s="142"/>
    </row>
    <row r="857">
      <c r="R857" s="142"/>
    </row>
    <row r="858">
      <c r="R858" s="142"/>
    </row>
    <row r="859">
      <c r="R859" s="142"/>
    </row>
    <row r="860">
      <c r="R860" s="142"/>
    </row>
    <row r="861">
      <c r="R861" s="142"/>
    </row>
    <row r="862">
      <c r="R862" s="142"/>
    </row>
    <row r="863">
      <c r="R863" s="142"/>
    </row>
    <row r="864">
      <c r="R864" s="142"/>
    </row>
    <row r="865">
      <c r="R865" s="142"/>
    </row>
    <row r="866">
      <c r="R866" s="142"/>
    </row>
    <row r="867">
      <c r="R867" s="142"/>
    </row>
    <row r="868">
      <c r="R868" s="142"/>
    </row>
    <row r="869">
      <c r="R869" s="142"/>
    </row>
    <row r="870">
      <c r="R870" s="142"/>
    </row>
    <row r="871">
      <c r="R871" s="142"/>
    </row>
    <row r="872">
      <c r="R872" s="142"/>
    </row>
    <row r="873">
      <c r="R873" s="142"/>
    </row>
    <row r="874">
      <c r="R874" s="142"/>
    </row>
    <row r="875">
      <c r="R875" s="142"/>
    </row>
    <row r="876">
      <c r="R876" s="142"/>
    </row>
    <row r="877">
      <c r="R877" s="142"/>
    </row>
    <row r="878">
      <c r="R878" s="142"/>
    </row>
    <row r="879">
      <c r="R879" s="142"/>
    </row>
    <row r="880">
      <c r="R880" s="142"/>
    </row>
    <row r="881">
      <c r="R881" s="142"/>
    </row>
    <row r="882">
      <c r="R882" s="142"/>
    </row>
    <row r="883">
      <c r="R883" s="142"/>
    </row>
    <row r="884">
      <c r="R884" s="142"/>
    </row>
    <row r="885">
      <c r="R885" s="142"/>
    </row>
    <row r="886">
      <c r="R886" s="142"/>
    </row>
    <row r="887">
      <c r="R887" s="142"/>
    </row>
    <row r="888">
      <c r="R888" s="142"/>
    </row>
    <row r="889">
      <c r="R889" s="142"/>
    </row>
    <row r="890">
      <c r="R890" s="142"/>
    </row>
    <row r="891">
      <c r="R891" s="142"/>
    </row>
    <row r="892">
      <c r="R892" s="142"/>
    </row>
    <row r="893">
      <c r="R893" s="142"/>
    </row>
    <row r="894">
      <c r="R894" s="142"/>
    </row>
    <row r="895">
      <c r="R895" s="142"/>
    </row>
    <row r="896">
      <c r="R896" s="142"/>
    </row>
    <row r="897">
      <c r="R897" s="142"/>
    </row>
    <row r="898">
      <c r="R898" s="142"/>
    </row>
    <row r="899">
      <c r="R899" s="142"/>
    </row>
    <row r="900">
      <c r="R900" s="142"/>
    </row>
    <row r="901">
      <c r="R901" s="142"/>
    </row>
    <row r="902">
      <c r="R902" s="142"/>
    </row>
    <row r="903">
      <c r="R903" s="142"/>
    </row>
    <row r="904">
      <c r="R904" s="142"/>
    </row>
    <row r="905">
      <c r="R905" s="142"/>
    </row>
    <row r="906">
      <c r="R906" s="142"/>
    </row>
    <row r="907">
      <c r="R907" s="142"/>
    </row>
    <row r="908">
      <c r="R908" s="142"/>
    </row>
    <row r="909">
      <c r="R909" s="142"/>
    </row>
    <row r="910">
      <c r="R910" s="142"/>
    </row>
    <row r="911">
      <c r="R911" s="142"/>
    </row>
    <row r="912">
      <c r="R912" s="142"/>
    </row>
    <row r="913">
      <c r="R913" s="142"/>
    </row>
    <row r="914">
      <c r="R914" s="142"/>
    </row>
    <row r="915">
      <c r="R915" s="142"/>
    </row>
    <row r="916">
      <c r="R916" s="142"/>
    </row>
    <row r="917">
      <c r="R917" s="142"/>
    </row>
    <row r="918">
      <c r="R918" s="142"/>
    </row>
    <row r="919">
      <c r="R919" s="142"/>
    </row>
    <row r="920">
      <c r="R920" s="142"/>
    </row>
    <row r="921">
      <c r="R921" s="142"/>
    </row>
    <row r="922">
      <c r="R922" s="142"/>
    </row>
    <row r="923">
      <c r="R923" s="142"/>
    </row>
    <row r="924">
      <c r="R924" s="142"/>
    </row>
    <row r="925">
      <c r="R925" s="142"/>
    </row>
    <row r="926">
      <c r="R926" s="142"/>
    </row>
    <row r="927">
      <c r="R927" s="142"/>
    </row>
    <row r="928">
      <c r="R928" s="142"/>
    </row>
    <row r="929">
      <c r="R929" s="142"/>
    </row>
    <row r="930">
      <c r="R930" s="142"/>
    </row>
    <row r="931">
      <c r="R931" s="142"/>
    </row>
    <row r="932">
      <c r="R932" s="142"/>
    </row>
    <row r="933">
      <c r="R933" s="142"/>
    </row>
    <row r="934">
      <c r="R934" s="142"/>
    </row>
    <row r="935">
      <c r="R935" s="142"/>
    </row>
    <row r="936">
      <c r="R936" s="142"/>
    </row>
    <row r="937">
      <c r="R937" s="142"/>
    </row>
    <row r="938">
      <c r="R938" s="142"/>
    </row>
    <row r="939">
      <c r="R939" s="142"/>
    </row>
    <row r="940">
      <c r="R940" s="142"/>
    </row>
    <row r="941">
      <c r="R941" s="142"/>
    </row>
    <row r="942">
      <c r="R942" s="142"/>
    </row>
    <row r="943">
      <c r="R943" s="142"/>
    </row>
    <row r="944">
      <c r="R944" s="142"/>
    </row>
    <row r="945">
      <c r="R945" s="142"/>
    </row>
    <row r="946">
      <c r="R946" s="142"/>
    </row>
    <row r="947">
      <c r="R947" s="142"/>
    </row>
    <row r="948">
      <c r="R948" s="142"/>
    </row>
    <row r="949">
      <c r="R949" s="142"/>
    </row>
    <row r="950">
      <c r="R950" s="142"/>
    </row>
    <row r="951">
      <c r="R951" s="142"/>
    </row>
    <row r="952">
      <c r="R952" s="142"/>
    </row>
    <row r="953">
      <c r="R953" s="142"/>
    </row>
    <row r="954">
      <c r="R954" s="142"/>
    </row>
    <row r="955">
      <c r="R955" s="142"/>
    </row>
    <row r="956">
      <c r="R956" s="142"/>
    </row>
    <row r="957">
      <c r="R957" s="142"/>
    </row>
    <row r="958">
      <c r="R958" s="142"/>
    </row>
    <row r="959">
      <c r="R959" s="142"/>
    </row>
    <row r="960">
      <c r="R960" s="142"/>
    </row>
    <row r="961">
      <c r="R961" s="142"/>
    </row>
    <row r="962">
      <c r="R962" s="142"/>
    </row>
    <row r="963">
      <c r="R963" s="142"/>
    </row>
    <row r="964">
      <c r="R964" s="142"/>
    </row>
    <row r="965">
      <c r="R965" s="142"/>
    </row>
    <row r="966">
      <c r="R966" s="142"/>
    </row>
    <row r="967">
      <c r="R967" s="142"/>
    </row>
    <row r="968">
      <c r="R968" s="142"/>
    </row>
    <row r="969">
      <c r="R969" s="142"/>
    </row>
    <row r="970">
      <c r="R970" s="142"/>
    </row>
    <row r="971">
      <c r="R971" s="142"/>
    </row>
    <row r="972">
      <c r="R972" s="142"/>
    </row>
    <row r="973">
      <c r="R973" s="142"/>
    </row>
    <row r="974">
      <c r="R974" s="142"/>
    </row>
    <row r="975">
      <c r="R975" s="142"/>
    </row>
    <row r="976">
      <c r="R976" s="142"/>
    </row>
    <row r="977">
      <c r="R977" s="142"/>
    </row>
    <row r="978">
      <c r="R978" s="142"/>
    </row>
    <row r="979">
      <c r="R979" s="142"/>
    </row>
    <row r="980">
      <c r="R980" s="142"/>
    </row>
    <row r="981">
      <c r="R981" s="142"/>
    </row>
    <row r="982">
      <c r="R982" s="142"/>
    </row>
    <row r="983">
      <c r="R983" s="142"/>
    </row>
    <row r="984">
      <c r="R984" s="142"/>
    </row>
    <row r="985">
      <c r="R985" s="142"/>
    </row>
    <row r="986">
      <c r="R986" s="142"/>
    </row>
    <row r="987">
      <c r="R987" s="142"/>
    </row>
    <row r="988">
      <c r="R988" s="142"/>
    </row>
    <row r="989">
      <c r="R989" s="142"/>
    </row>
    <row r="990">
      <c r="R990" s="142"/>
    </row>
    <row r="991">
      <c r="R991" s="142"/>
    </row>
    <row r="992">
      <c r="R992" s="142"/>
    </row>
    <row r="993">
      <c r="R993" s="142"/>
    </row>
    <row r="994">
      <c r="R994" s="142"/>
    </row>
    <row r="995">
      <c r="R995" s="142"/>
    </row>
    <row r="996">
      <c r="R996" s="142"/>
    </row>
    <row r="997">
      <c r="R997" s="142"/>
    </row>
    <row r="998">
      <c r="R998" s="142"/>
    </row>
    <row r="999">
      <c r="R999" s="142"/>
    </row>
    <row r="1000">
      <c r="R1000" s="142"/>
    </row>
    <row r="1001">
      <c r="R1001" s="142"/>
    </row>
    <row r="1002">
      <c r="R1002" s="142"/>
    </row>
    <row r="1003">
      <c r="R1003" s="142"/>
    </row>
    <row r="1004">
      <c r="R1004" s="142"/>
    </row>
    <row r="1005">
      <c r="R1005" s="142"/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5.14"/>
    <col customWidth="1" min="3" max="3" width="15.43"/>
    <col customWidth="1" min="4" max="4" width="3.0"/>
    <col customWidth="1" min="5" max="5" width="9.29"/>
    <col customWidth="1" min="6" max="6" width="17.43"/>
    <col customWidth="1" min="9" max="9" width="11.86"/>
    <col customWidth="1" min="10" max="10" width="14.71"/>
    <col customWidth="1" min="11" max="11" width="4.29"/>
    <col customWidth="1" min="12" max="12" width="22.71"/>
    <col customWidth="1" min="13" max="13" width="17.14"/>
    <col customWidth="1" min="14" max="14" width="4.71"/>
  </cols>
  <sheetData>
    <row r="1" ht="8.25" customHeight="1">
      <c r="K1" s="158"/>
      <c r="L1" s="158"/>
      <c r="M1" s="158"/>
      <c r="N1" s="158"/>
    </row>
    <row r="2" ht="21.75" customHeight="1">
      <c r="K2" s="159" t="s">
        <v>245</v>
      </c>
      <c r="M2" s="160" t="s">
        <v>246</v>
      </c>
      <c r="N2" s="161"/>
    </row>
    <row r="3">
      <c r="K3" s="162"/>
      <c r="L3" s="1"/>
      <c r="M3" s="1"/>
      <c r="N3" s="161"/>
    </row>
    <row r="4">
      <c r="K4" s="162"/>
      <c r="L4" s="163" t="s">
        <v>247</v>
      </c>
      <c r="M4" s="164"/>
      <c r="N4" s="161"/>
    </row>
    <row r="5" ht="21.75" customHeight="1">
      <c r="K5" s="162"/>
      <c r="L5" s="165">
        <f>IF(M2="Todas",SUM('Previsão Custo Enquadramento'!L:L),SUMIFS('Previsão Custo Enquadramento'!L:L,'Previsão Custo Enquadramento'!D:D,$M$2))</f>
        <v>54912.42</v>
      </c>
      <c r="M5" s="166">
        <f>IF(M2="Todas",SUM('Previsão Custo Enquadramento'!L:L)/SUM('Previsão Custo Enquadramento'!H:H),SUMIFS('Previsão Custo Enquadramento'!L:L,'Previsão Custo Enquadramento'!D:D,$M$2)/SUM('Previsão Custo Enquadramento'!H:H))</f>
        <v>0.1067323139</v>
      </c>
      <c r="N5" s="161"/>
      <c r="P5" s="167"/>
    </row>
    <row r="6">
      <c r="B6" s="168">
        <f>IFERROR('Cargos da Estrutura_Cálculo'!H5/'Cargos da Estrutura_Cálculo'!H3,0)</f>
        <v>0.6315789474</v>
      </c>
      <c r="K6" s="162"/>
      <c r="L6" s="1"/>
      <c r="M6" s="1"/>
      <c r="N6" s="161"/>
      <c r="P6" s="167"/>
    </row>
    <row r="7">
      <c r="K7" s="162"/>
      <c r="L7" s="163" t="s">
        <v>248</v>
      </c>
      <c r="M7" s="164"/>
      <c r="N7" s="161"/>
      <c r="P7" s="167"/>
    </row>
    <row r="8" ht="24.75" customHeight="1">
      <c r="I8" s="169" t="s">
        <v>249</v>
      </c>
      <c r="K8" s="162"/>
      <c r="L8" s="170">
        <f>IF(M2="Todas",SUM('Previsão Custo Enquadramento'!P:P),SUMIFS('Previsão Custo Enquadramento'!P:P,'Previsão Custo Enquadramento'!D:D,$M$2))</f>
        <v>112571.8918</v>
      </c>
      <c r="M8" s="171">
        <f>IF(M2="Todas",SUM('Previsão Custo Enquadramento'!P:P)/SUM('Previsão Custo Enquadramento'!H:H),SUMIFS('Previsão Custo Enquadramento'!P:P,'Previsão Custo Enquadramento'!D:D,$M$2)/SUM('Previsão Custo Enquadramento'!H:H))</f>
        <v>0.2188040245</v>
      </c>
      <c r="N8" s="161"/>
    </row>
    <row r="9">
      <c r="K9" s="162"/>
      <c r="L9" s="1"/>
      <c r="M9" s="1"/>
      <c r="N9" s="161"/>
    </row>
    <row r="10">
      <c r="C10" s="172" t="str">
        <f>"Total:"&amp;" "&amp;'Cargos da Estrutura_Cálculo'!H3</f>
        <v>Total: 76</v>
      </c>
      <c r="K10" s="162"/>
      <c r="L10" s="163" t="s">
        <v>250</v>
      </c>
      <c r="M10" s="164"/>
      <c r="N10" s="161"/>
      <c r="Q10" s="173"/>
    </row>
    <row r="11" ht="26.25" customHeight="1">
      <c r="J11" s="174"/>
      <c r="K11" s="162"/>
      <c r="L11" s="175">
        <f>IF(M2="Todas",-SUMIF('Previsão Custo Enquadramento'!M:M,"&gt;120%",'Previsão Custo Enquadramento'!Q:Q),-SUMIFS('Previsão Custo Enquadramento'!Q:Q,'Previsão Custo Enquadramento'!M:M,"&gt;120%",'Previsão Custo Enquadramento'!D:D,$M$2))</f>
        <v>2245.064</v>
      </c>
      <c r="M11" s="176">
        <f>L11/SUM('Previsão Custo Enquadramento'!H:H)</f>
        <v>0.004363691776</v>
      </c>
      <c r="N11" s="161"/>
    </row>
    <row r="12">
      <c r="E12" s="177" t="s">
        <v>251</v>
      </c>
      <c r="F12" s="178"/>
      <c r="G12" s="179"/>
      <c r="J12" s="174"/>
      <c r="K12" s="162"/>
      <c r="L12" s="1"/>
      <c r="M12" s="1"/>
      <c r="N12" s="161"/>
      <c r="Q12" s="173"/>
    </row>
    <row r="13">
      <c r="E13" s="180"/>
      <c r="G13" s="179"/>
      <c r="J13" s="174"/>
      <c r="K13" s="162"/>
      <c r="L13" s="1"/>
      <c r="M13" s="1"/>
      <c r="N13" s="161"/>
    </row>
    <row r="14">
      <c r="E14" s="181" t="s">
        <v>252</v>
      </c>
      <c r="G14" s="179"/>
      <c r="K14" s="179"/>
      <c r="N14" s="161"/>
    </row>
    <row r="15">
      <c r="E15" s="182" t="s">
        <v>253</v>
      </c>
      <c r="G15" s="179"/>
      <c r="K15" s="179"/>
      <c r="N15" s="161"/>
    </row>
    <row r="16">
      <c r="B16" s="183">
        <f>'Cargos da Estrutura_Cálculo'!G31/('Cargos da Estrutura_Cálculo'!G31+'Cargos da Estrutura_Cálculo'!G32)</f>
        <v>0.75</v>
      </c>
      <c r="C16" s="183"/>
      <c r="E16" s="180"/>
      <c r="G16" s="179"/>
      <c r="H16" s="184">
        <f>'Cargos da Estrutura_Cálculo'!G24/('Cargos da Estrutura_Cálculo'!G24+'Cargos da Estrutura_Cálculo'!G25)</f>
        <v>0.2142857143</v>
      </c>
      <c r="K16" s="179"/>
      <c r="N16" s="161"/>
    </row>
    <row r="17" ht="18.0" customHeight="1">
      <c r="C17" s="183"/>
      <c r="E17" s="180"/>
      <c r="G17" s="179"/>
      <c r="K17" s="179"/>
      <c r="N17" s="161"/>
    </row>
    <row r="18" ht="13.5" customHeight="1">
      <c r="B18" s="185" t="str">
        <f>"de "&amp;('Cargos da Estrutura_Cálculo'!G31+'Cargos da Estrutura_Cálculo'!G32)&amp;"
funcionários"</f>
        <v>de 8
funcionários</v>
      </c>
      <c r="C18" s="186" t="str">
        <f>'Cargos da Estrutura_Cálculo'!G29</f>
        <v>Comercial</v>
      </c>
      <c r="E18" s="181" t="s">
        <v>254</v>
      </c>
      <c r="F18" s="187"/>
      <c r="G18" s="179"/>
      <c r="H18" s="188" t="str">
        <f>"de "&amp;('Cargos da Estrutura_Cálculo'!G24+'Cargos da Estrutura_Cálculo'!G25)&amp;"
 funcionários"</f>
        <v>de 56
 funcionários</v>
      </c>
      <c r="K18" s="179"/>
      <c r="N18" s="161"/>
    </row>
    <row r="19" ht="12.0" customHeight="1">
      <c r="E19" s="189" t="s">
        <v>255</v>
      </c>
      <c r="G19" s="179"/>
      <c r="K19" s="179"/>
      <c r="N19" s="161"/>
    </row>
    <row r="20">
      <c r="E20" s="180"/>
      <c r="G20" s="179"/>
      <c r="K20" s="179"/>
      <c r="N20" s="161"/>
    </row>
    <row r="21">
      <c r="C21" s="190" t="str">
        <f>"Total para Enquadramento:"&amp;" "&amp;FIXED('Cargos da Estrutura_Cálculo'!G34,2)</f>
        <v>Total para Enquadramento: 40.758,68</v>
      </c>
      <c r="E21" s="180"/>
      <c r="G21" s="179"/>
      <c r="K21" s="179"/>
      <c r="N21" s="161"/>
    </row>
    <row r="22" ht="30.75" customHeight="1">
      <c r="E22" s="191"/>
      <c r="F22" s="192"/>
      <c r="G22" s="179"/>
      <c r="K22" s="193"/>
      <c r="L22" s="158"/>
      <c r="M22" s="158"/>
      <c r="N22" s="194"/>
    </row>
  </sheetData>
  <mergeCells count="13">
    <mergeCell ref="B16:B17"/>
    <mergeCell ref="B18:B19"/>
    <mergeCell ref="C18:C20"/>
    <mergeCell ref="E19:F22"/>
    <mergeCell ref="C21:C22"/>
    <mergeCell ref="K2:L2"/>
    <mergeCell ref="B6:C7"/>
    <mergeCell ref="B8:C8"/>
    <mergeCell ref="I8:J10"/>
    <mergeCell ref="E12:F13"/>
    <mergeCell ref="E15:F17"/>
    <mergeCell ref="H16:I17"/>
    <mergeCell ref="H18:I19"/>
  </mergeCells>
  <dataValidations>
    <dataValidation type="list" allowBlank="1" sqref="M2">
      <formula1>'Cargos da Estrutura_Cálculo'!$I$29:$I$45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5.29"/>
    <col customWidth="1" min="3" max="3" width="27.86"/>
    <col customWidth="1" min="4" max="4" width="24.43"/>
    <col customWidth="1" min="5" max="5" width="7.29"/>
    <col customWidth="1" min="6" max="6" width="11.14"/>
    <col customWidth="1" min="7" max="7" width="24.43"/>
    <col customWidth="1" min="8" max="8" width="24.57"/>
    <col customWidth="1" min="9" max="9" width="32.14"/>
    <col customWidth="1" min="10" max="10" width="25.57"/>
  </cols>
  <sheetData>
    <row r="1" ht="9.75" customHeight="1"/>
    <row r="2">
      <c r="B2" s="195" t="s">
        <v>256</v>
      </c>
      <c r="C2" s="196"/>
      <c r="D2" s="197"/>
      <c r="G2" s="1"/>
    </row>
    <row r="3">
      <c r="B3" s="198" t="s">
        <v>4</v>
      </c>
      <c r="C3" s="198" t="s">
        <v>5</v>
      </c>
      <c r="D3" s="199" t="s">
        <v>257</v>
      </c>
      <c r="F3" s="200" t="s">
        <v>258</v>
      </c>
      <c r="G3" s="201" t="s">
        <v>259</v>
      </c>
      <c r="H3" s="202">
        <f>IF('Estudo Comparativo Sal Fixo'!M2="Todas",COUNTA(B4:B150),COUNTIF(C4:C150,'Estudo Comparativo Sal Fixo'!M2))</f>
        <v>76</v>
      </c>
      <c r="I3" s="203"/>
    </row>
    <row r="4">
      <c r="B4" s="204" t="s">
        <v>13</v>
      </c>
      <c r="C4" s="205" t="s">
        <v>10</v>
      </c>
      <c r="D4" s="206">
        <f>COUNTIF('Previsão Custo Enquadramento'!C:C,B4)</f>
        <v>1</v>
      </c>
      <c r="G4" s="207"/>
      <c r="H4" s="208"/>
    </row>
    <row r="5">
      <c r="B5" s="204" t="s">
        <v>9</v>
      </c>
      <c r="C5" s="205" t="s">
        <v>10</v>
      </c>
      <c r="D5" s="206">
        <f>COUNTIF('Previsão Custo Enquadramento'!C:C,B5)</f>
        <v>2</v>
      </c>
      <c r="G5" s="201" t="s">
        <v>260</v>
      </c>
      <c r="H5" s="209">
        <f>IF('Estudo Comparativo Sal Fixo'!M2="Todas",COUNTIF(D4:D150,"&gt;0"),COUNTIFS(C4:C150,'Estudo Comparativo Sal Fixo'!M2,D4:D150,"&gt;0"))</f>
        <v>48</v>
      </c>
      <c r="M5" s="167"/>
    </row>
    <row r="6">
      <c r="B6" s="204" t="s">
        <v>76</v>
      </c>
      <c r="C6" s="205" t="s">
        <v>10</v>
      </c>
      <c r="D6" s="206">
        <f>COUNTIF('Previsão Custo Enquadramento'!C:C,B6)</f>
        <v>1</v>
      </c>
      <c r="G6" s="207"/>
      <c r="H6" s="208"/>
      <c r="M6" s="167"/>
    </row>
    <row r="7">
      <c r="B7" s="210" t="s">
        <v>102</v>
      </c>
      <c r="C7" s="205" t="s">
        <v>10</v>
      </c>
      <c r="D7" s="206">
        <f>COUNTIF('Previsão Custo Enquadramento'!C:C,B7)</f>
        <v>1</v>
      </c>
      <c r="G7" s="201" t="s">
        <v>261</v>
      </c>
      <c r="H7" s="209">
        <f>IF('Estudo Comparativo Sal Fixo'!M2="Todas",COUNTIF(D4:D150,"=0"),COUNTIFS(C4:C150,'Estudo Comparativo Sal Fixo'!M2,D4:D150,"=0"))</f>
        <v>28</v>
      </c>
      <c r="M7" s="167"/>
    </row>
    <row r="8">
      <c r="B8" s="204" t="s">
        <v>104</v>
      </c>
      <c r="C8" s="205" t="s">
        <v>90</v>
      </c>
      <c r="D8" s="206">
        <f>COUNTIF('Previsão Custo Enquadramento'!C:C,B8)</f>
        <v>1</v>
      </c>
      <c r="G8" s="207"/>
      <c r="H8" s="208"/>
      <c r="M8" s="167"/>
    </row>
    <row r="9">
      <c r="B9" s="204" t="s">
        <v>99</v>
      </c>
      <c r="C9" s="205" t="s">
        <v>90</v>
      </c>
      <c r="D9" s="206">
        <f>COUNTIF('Previsão Custo Enquadramento'!C:C,B9)</f>
        <v>1</v>
      </c>
      <c r="F9" s="143"/>
      <c r="G9" s="143"/>
      <c r="M9" s="167"/>
    </row>
    <row r="10">
      <c r="B10" s="204" t="s">
        <v>89</v>
      </c>
      <c r="C10" s="205" t="s">
        <v>90</v>
      </c>
      <c r="D10" s="206">
        <f>COUNTIF('Previsão Custo Enquadramento'!C:C,B10)</f>
        <v>1</v>
      </c>
      <c r="F10" s="143"/>
      <c r="G10" s="211" t="s">
        <v>262</v>
      </c>
      <c r="H10" s="211" t="s">
        <v>263</v>
      </c>
      <c r="I10" s="211" t="s">
        <v>264</v>
      </c>
      <c r="J10" s="211" t="s">
        <v>265</v>
      </c>
      <c r="M10" s="167"/>
    </row>
    <row r="11">
      <c r="B11" s="204" t="s">
        <v>91</v>
      </c>
      <c r="C11" s="205" t="s">
        <v>90</v>
      </c>
      <c r="D11" s="206">
        <f>COUNTIF('Previsão Custo Enquadramento'!C:C,B11)</f>
        <v>2</v>
      </c>
      <c r="F11" s="211" t="s">
        <v>115</v>
      </c>
      <c r="G11" s="212">
        <f>IF('Estudo Comparativo Sal Fixo'!M2="Todas",COUNTIFS('Previsão Custo Enquadramento'!E:E,"Operacional",'Previsão Custo Enquadramento'!M:M,"&lt;80%")/COUNTIF('Previsão Custo Enquadramento'!E:E,"Operacional"),COUNTIFS('Previsão Custo Enquadramento'!E:E,"Operacional",'Previsão Custo Enquadramento'!M:M,"&lt;80%",'Previsão Custo Enquadramento'!D:D,'Estudo Comparativo Sal Fixo'!M2)/COUNTIFS('Previsão Custo Enquadramento'!E:E,"Operacional",'Previsão Custo Enquadramento'!D:D,'Estudo Comparativo Sal Fixo'!M2))</f>
        <v>0.06060606061</v>
      </c>
      <c r="H11" s="213">
        <f>IF('Estudo Comparativo Sal Fixo'!M2="Todas",COUNTIFS('Previsão Custo Enquadramento'!E:E,"Operacional",'Previsão Custo Enquadramento'!M:M,"&gt;=80%",'Previsão Custo Enquadramento'!M:M,"&lt;100%")/COUNTIF('Previsão Custo Enquadramento'!E:E,"Operacional"),COUNTIFS('Previsão Custo Enquadramento'!E:E,"Operacional",'Previsão Custo Enquadramento'!M:M,"&gt;=80%",'Previsão Custo Enquadramento'!M:M,"&lt;100%",'Previsão Custo Enquadramento'!D:D,'Estudo Comparativo Sal Fixo'!M2)/COUNTIFS('Previsão Custo Enquadramento'!E:E,"Operacional",'Previsão Custo Enquadramento'!D:D,'Estudo Comparativo Sal Fixo'!M2))</f>
        <v>0.3636363636</v>
      </c>
      <c r="I11" s="213">
        <f>IF('Estudo Comparativo Sal Fixo'!M2="Todas",COUNTIFS('Previsão Custo Enquadramento'!E:E,"Operacional",'Previsão Custo Enquadramento'!M:M,"&gt;=100%",'Previsão Custo Enquadramento'!M:M,"&lt;=120%")/COUNTIF('Previsão Custo Enquadramento'!E:E,"Operacional"),COUNTIFS('Previsão Custo Enquadramento'!E:E,"Operacional",'Previsão Custo Enquadramento'!M:M,"&gt;=100%",'Previsão Custo Enquadramento'!M:M,"&lt;=120%",'Previsão Custo Enquadramento'!D:D,'Estudo Comparativo Sal Fixo'!M2)/COUNTIFS('Previsão Custo Enquadramento'!E:E,"Operacional",'Previsão Custo Enquadramento'!D:D,'Estudo Comparativo Sal Fixo'!M2))</f>
        <v>0.4848484848</v>
      </c>
      <c r="J11" s="214">
        <f>IF('Estudo Comparativo Sal Fixo'!M2="Todas",COUNTIFS('Previsão Custo Enquadramento'!E:E,"Operacional",'Previsão Custo Enquadramento'!M:M,"&gt;120%")/COUNTIF('Previsão Custo Enquadramento'!E:E,"Operacional"),COUNTIFS('Previsão Custo Enquadramento'!E:E,"Operacional",'Previsão Custo Enquadramento'!M:M,"&gt;120%",'Previsão Custo Enquadramento'!D:D,'Estudo Comparativo Sal Fixo'!M2)/COUNTIFS('Previsão Custo Enquadramento'!E:E,"Operacional",'Previsão Custo Enquadramento'!D:D,'Estudo Comparativo Sal Fixo'!M2))</f>
        <v>0.09090909091</v>
      </c>
      <c r="M11" s="167"/>
    </row>
    <row r="12">
      <c r="B12" s="204" t="s">
        <v>92</v>
      </c>
      <c r="C12" s="205" t="s">
        <v>90</v>
      </c>
      <c r="D12" s="206">
        <f>COUNTIF('Previsão Custo Enquadramento'!C:C,B12)</f>
        <v>2</v>
      </c>
      <c r="F12" s="211" t="s">
        <v>143</v>
      </c>
      <c r="G12" s="215">
        <f>IF('Estudo Comparativo Sal Fixo'!M2="Todas",COUNTIFS('Previsão Custo Enquadramento'!E:E,"Tático",'Previsão Custo Enquadramento'!M:M,"&lt;80%")/COUNTIF('Previsão Custo Enquadramento'!E:E,"Tático"),COUNTIFS('Previsão Custo Enquadramento'!E:E,"Tático",'Previsão Custo Enquadramento'!M:M,"&lt;80%",'Previsão Custo Enquadramento'!D:D,'Estudo Comparativo Sal Fixo'!M2)/COUNTIFS('Previsão Custo Enquadramento'!E:E,"Tático",'Previsão Custo Enquadramento'!D:D,'Estudo Comparativo Sal Fixo'!M2))</f>
        <v>0.4545454545</v>
      </c>
      <c r="H12" s="216">
        <f>IF('Estudo Comparativo Sal Fixo'!M2="Todas",COUNTIFS('Previsão Custo Enquadramento'!E:E,"Tático",'Previsão Custo Enquadramento'!M:M,"&gt;=80%",'Previsão Custo Enquadramento'!M:M,"&lt;100%")/COUNTIF('Previsão Custo Enquadramento'!E:E,"Tático"),COUNTIFS('Previsão Custo Enquadramento'!E:E,"Tático",'Previsão Custo Enquadramento'!M:M,"&gt;=80%",'Previsão Custo Enquadramento'!M:M,"&lt;100%",'Previsão Custo Enquadramento'!D:D,'Estudo Comparativo Sal Fixo'!M2)/COUNTIFS('Previsão Custo Enquadramento'!E:E,"Tático",'Previsão Custo Enquadramento'!D:D,'Estudo Comparativo Sal Fixo'!M2))</f>
        <v>0.2727272727</v>
      </c>
      <c r="I12" s="216">
        <f>IF('Estudo Comparativo Sal Fixo'!M2="Todas",COUNTIFS('Previsão Custo Enquadramento'!E:E,"Tático",'Previsão Custo Enquadramento'!M:M,"&gt;=100%",'Previsão Custo Enquadramento'!M:M,"&lt;=120%")/COUNTIF('Previsão Custo Enquadramento'!E:E,"Tático"),COUNTIFS('Previsão Custo Enquadramento'!E:E,"Tático",'Previsão Custo Enquadramento'!M:M,"&gt;=100%",'Previsão Custo Enquadramento'!M:M,"&lt;=120%",'Previsão Custo Enquadramento'!D:D,'Estudo Comparativo Sal Fixo'!M2)/COUNTIFS('Previsão Custo Enquadramento'!E:E,"Tático",'Previsão Custo Enquadramento'!D:D,'Estudo Comparativo Sal Fixo'!M2))</f>
        <v>0.2727272727</v>
      </c>
      <c r="J12" s="217">
        <f>IF('Estudo Comparativo Sal Fixo'!M2="Todas",COUNTIFS('Previsão Custo Enquadramento'!E:E,"Tático",'Previsão Custo Enquadramento'!M:M,"&gt;120%")/COUNTIF('Previsão Custo Enquadramento'!E:E,"Tático"),COUNTIFS('Previsão Custo Enquadramento'!E:E,"Tático",'Previsão Custo Enquadramento'!M:M,"&gt;120%",'Previsão Custo Enquadramento'!D:D,'Estudo Comparativo Sal Fixo'!M2)/COUNTIFS('Previsão Custo Enquadramento'!E:E,"Tático",'Previsão Custo Enquadramento'!D:D,'Estudo Comparativo Sal Fixo'!M2))</f>
        <v>0</v>
      </c>
      <c r="M12" s="167"/>
    </row>
    <row r="13">
      <c r="B13" s="204" t="s">
        <v>93</v>
      </c>
      <c r="C13" s="205" t="s">
        <v>90</v>
      </c>
      <c r="D13" s="206">
        <f>COUNTIF('Previsão Custo Enquadramento'!C:C,B13)</f>
        <v>1</v>
      </c>
      <c r="F13" s="211" t="s">
        <v>182</v>
      </c>
      <c r="G13" s="215">
        <f>IF('Estudo Comparativo Sal Fixo'!M2="Todas",COUNTIFS('Previsão Custo Enquadramento'!E:E,"Estratégico",'Previsão Custo Enquadramento'!M:M,"&lt;80%")/COUNTIF('Previsão Custo Enquadramento'!E:E,"Estratégico"),COUNTIFS('Previsão Custo Enquadramento'!E:E,"Estratégico",'Previsão Custo Enquadramento'!M:M,"&lt;80%",'Previsão Custo Enquadramento'!D:D,'Estudo Comparativo Sal Fixo'!M2)/COUNTIFS('Previsão Custo Enquadramento'!E:E,"Estratégico",'Previsão Custo Enquadramento'!D:D,'Estudo Comparativo Sal Fixo'!M2))</f>
        <v>0</v>
      </c>
      <c r="H13" s="216">
        <f>IF('Estudo Comparativo Sal Fixo'!M2="Todas",COUNTIFS('Previsão Custo Enquadramento'!E:E,"Estratégico",'Previsão Custo Enquadramento'!M:M,"&gt;=80%",'Previsão Custo Enquadramento'!M:M,"&lt;100%")/COUNTIF('Previsão Custo Enquadramento'!E:E,"Estratégico"),COUNTIFS('Previsão Custo Enquadramento'!E:E,"Estratégico",'Previsão Custo Enquadramento'!M:M,"&gt;=80%",'Previsão Custo Enquadramento'!M:M,"&lt;100%",'Previsão Custo Enquadramento'!D:D,'Estudo Comparativo Sal Fixo'!M2)/COUNTIFS('Previsão Custo Enquadramento'!E:E,"Estratégico",'Previsão Custo Enquadramento'!D:D,'Estudo Comparativo Sal Fixo'!M2))</f>
        <v>0</v>
      </c>
      <c r="I13" s="216">
        <f>IF('Estudo Comparativo Sal Fixo'!M2="Todas",COUNTIFS('Previsão Custo Enquadramento'!E:E,"Estratégico",'Previsão Custo Enquadramento'!M:M,"&gt;=100%",'Previsão Custo Enquadramento'!M:M,"&lt;=120%")/COUNTIF('Previsão Custo Enquadramento'!E:E,"Estratégico"),COUNTIFS('Previsão Custo Enquadramento'!E:E,"Estratégico",'Previsão Custo Enquadramento'!M:M,"&gt;=100%",'Previsão Custo Enquadramento'!M:M,"&lt;=120%",'Previsão Custo Enquadramento'!D:D,'Estudo Comparativo Sal Fixo'!M2)/COUNTIFS('Previsão Custo Enquadramento'!E:E,"Estratégico",'Previsão Custo Enquadramento'!D:D,'Estudo Comparativo Sal Fixo'!M2))</f>
        <v>1</v>
      </c>
      <c r="J13" s="217">
        <f>IF('Estudo Comparativo Sal Fixo'!M2="Todas",COUNTIFS('Previsão Custo Enquadramento'!E:E,"Estratégico",'Previsão Custo Enquadramento'!M:M,"&gt;120%")/COUNTIF('Previsão Custo Enquadramento'!E:E,"Estratégico"),COUNTIFS('Previsão Custo Enquadramento'!E:E,"Estratégico",'Previsão Custo Enquadramento'!M:M,"&gt;120%",'Previsão Custo Enquadramento'!D:D,'Estudo Comparativo Sal Fixo'!M2)/COUNTIFS('Previsão Custo Enquadramento'!E:E,"Estratégico",'Previsão Custo Enquadramento'!D:D,'Estudo Comparativo Sal Fixo'!M2))</f>
        <v>0</v>
      </c>
      <c r="M13" s="167"/>
    </row>
    <row r="14">
      <c r="B14" s="204" t="s">
        <v>33</v>
      </c>
      <c r="C14" s="205" t="s">
        <v>34</v>
      </c>
      <c r="D14" s="206">
        <f>COUNTIF('Previsão Custo Enquadramento'!C:C,B14)</f>
        <v>1</v>
      </c>
      <c r="F14" s="211" t="s">
        <v>266</v>
      </c>
      <c r="G14" s="218">
        <f>IF('Estudo Comparativo Sal Fixo'!M2="Todas",COUNTIF('Previsão Custo Enquadramento'!M:M,"&lt;80%")/count('Previsão Custo Enquadramento'!M3:M359),COUNTIFS('Previsão Custo Enquadramento'!M:M,"&lt;80%",'Previsão Custo Enquadramento'!D:D,'Estudo Comparativo Sal Fixo'!M2)/COUNTIF('Previsão Custo Enquadramento'!D:D,'Estudo Comparativo Sal Fixo'!M2))</f>
        <v>0.2181818182</v>
      </c>
      <c r="H14" s="219">
        <f>IF('Estudo Comparativo Sal Fixo'!M2="Todas",COUNTIFS('Previsão Custo Enquadramento'!M:M,"&gt;=80%",'Previsão Custo Enquadramento'!M:M,"&lt;100%")/count('Previsão Custo Enquadramento'!M3:M359),COUNTIFS('Previsão Custo Enquadramento'!M:M,"&gt;=80%",'Previsão Custo Enquadramento'!M:M,"&lt;100%",'Previsão Custo Enquadramento'!D:D,'Estudo Comparativo Sal Fixo'!M2)/COUNTIF('Previsão Custo Enquadramento'!D:D,'Estudo Comparativo Sal Fixo'!M2))</f>
        <v>0.3272727273</v>
      </c>
      <c r="I14" s="219">
        <f>IF('Estudo Comparativo Sal Fixo'!M2="Todas",COUNTIFS('Previsão Custo Enquadramento'!M:M,"&gt;=100%",'Previsão Custo Enquadramento'!M:M,"&lt;=120%")/count('Previsão Custo Enquadramento'!M3:M359),COUNTIFS('Previsão Custo Enquadramento'!M:M,"&gt;=100%",'Previsão Custo Enquadramento'!M:M,"&lt;=120%",'Previsão Custo Enquadramento'!D:D,'Estudo Comparativo Sal Fixo'!M2)/countif('Previsão Custo Enquadramento'!D:D,'Estudo Comparativo Sal Fixo'!M2))</f>
        <v>0.4181818182</v>
      </c>
      <c r="J14" s="220">
        <f>IF('Estudo Comparativo Sal Fixo'!M2="Todas",COUNTIFS('Previsão Custo Enquadramento'!M:M,"&gt;120%")/count('Previsão Custo Enquadramento'!M3:M359),COUNTIFS('Previsão Custo Enquadramento'!M:M,"&gt;120%",'Previsão Custo Enquadramento'!D:D,'Estudo Comparativo Sal Fixo'!M2)/countiF('Previsão Custo Enquadramento'!D:D,'Estudo Comparativo Sal Fixo'!M2))</f>
        <v>0.05454545455</v>
      </c>
      <c r="M14" s="167"/>
    </row>
    <row r="15">
      <c r="B15" s="204" t="s">
        <v>101</v>
      </c>
      <c r="C15" s="205" t="s">
        <v>34</v>
      </c>
      <c r="D15" s="206">
        <f>COUNTIF('Previsão Custo Enquadramento'!C:C,B15)</f>
        <v>1</v>
      </c>
      <c r="M15" s="167"/>
    </row>
    <row r="16">
      <c r="B16" s="204" t="s">
        <v>85</v>
      </c>
      <c r="C16" s="205" t="s">
        <v>34</v>
      </c>
      <c r="D16" s="206">
        <f>COUNTIF('Previsão Custo Enquadramento'!C:C,B16)</f>
        <v>1</v>
      </c>
      <c r="F16" s="143"/>
      <c r="G16" s="211" t="s">
        <v>267</v>
      </c>
      <c r="H16" s="211" t="s">
        <v>268</v>
      </c>
      <c r="I16" s="211" t="s">
        <v>269</v>
      </c>
      <c r="J16" s="221"/>
      <c r="M16" s="167"/>
    </row>
    <row r="17">
      <c r="B17" s="204" t="s">
        <v>35</v>
      </c>
      <c r="C17" s="205" t="s">
        <v>36</v>
      </c>
      <c r="D17" s="206">
        <f>COUNTIF('Previsão Custo Enquadramento'!C:C,B17)</f>
        <v>1</v>
      </c>
      <c r="F17" s="211" t="s">
        <v>115</v>
      </c>
      <c r="G17" s="212">
        <f>IF('Estudo Comparativo Sal Fixo'!M2="Todas",COUNTIFS('Previsão Custo Enquadramento'!E:E,"Operacional",'Previsão Custo Enquadramento'!M:M,"&lt;80%")/COUNTIF('Previsão Custo Enquadramento'!E:E,"Operacional"),COUNTIFS('Previsão Custo Enquadramento'!E:E,"Operacional",'Previsão Custo Enquadramento'!M:M,"&lt;80%",'Previsão Custo Enquadramento'!D:D,'Estudo Comparativo Sal Fixo'!M2)/COUNTIFS('Previsão Custo Enquadramento'!E:E,"Operacional",'Previsão Custo Enquadramento'!D:D,'Estudo Comparativo Sal Fixo'!M2))</f>
        <v>0.06060606061</v>
      </c>
      <c r="H17" s="213">
        <f>IF('Estudo Comparativo Sal Fixo'!M2="Todas",COUNTIFS('Previsão Custo Enquadramento'!E:E,"Operacional",'Previsão Custo Enquadramento'!M:M,"&gt;=80%",'Previsão Custo Enquadramento'!M:M,"&lt;=120%")/COUNTIF('Previsão Custo Enquadramento'!E:E,"Operacional"),COUNTIFS('Previsão Custo Enquadramento'!E:E,"Operacional",'Previsão Custo Enquadramento'!M:M,"&gt;=80%",'Previsão Custo Enquadramento'!M:M,"&lt;=120%",'Previsão Custo Enquadramento'!D:D,'Estudo Comparativo Sal Fixo'!M2)/COUNTIFS('Previsão Custo Enquadramento'!E:E,"Operacional",'Previsão Custo Enquadramento'!D:D,'Estudo Comparativo Sal Fixo'!M2))</f>
        <v>0.8484848485</v>
      </c>
      <c r="I17" s="213">
        <f>IF('Estudo Comparativo Sal Fixo'!M2="Todas",COUNTIFS('Previsão Custo Enquadramento'!E:E,"Operacional",'Previsão Custo Enquadramento'!M:M,"&gt;120%")/COUNTIF('Previsão Custo Enquadramento'!E:E,"Operacional"),COUNTIFS('Previsão Custo Enquadramento'!E:E,"Operacional",'Previsão Custo Enquadramento'!M:M,"&gt;120%",'Previsão Custo Enquadramento'!D:D,'Estudo Comparativo Sal Fixo'!M2)/COUNTIFS('Previsão Custo Enquadramento'!E:E,"Operacional",'Previsão Custo Enquadramento'!D:D,'Estudo Comparativo Sal Fixo'!M2))</f>
        <v>0.09090909091</v>
      </c>
      <c r="J17" s="214"/>
      <c r="M17" s="167"/>
    </row>
    <row r="18">
      <c r="B18" s="210" t="s">
        <v>65</v>
      </c>
      <c r="C18" s="222" t="s">
        <v>36</v>
      </c>
      <c r="D18" s="206">
        <f>COUNTIF('Previsão Custo Enquadramento'!C:C,B18)</f>
        <v>0</v>
      </c>
      <c r="F18" s="211" t="s">
        <v>143</v>
      </c>
      <c r="G18" s="215">
        <f>IF('Estudo Comparativo Sal Fixo'!M2="Todas",COUNTIFS('Previsão Custo Enquadramento'!E:E,"Tático",'Previsão Custo Enquadramento'!M:M,"&lt;80%")/COUNTIF('Previsão Custo Enquadramento'!E:E,"Tático"),COUNTIFS('Previsão Custo Enquadramento'!E:E,"Tático",'Previsão Custo Enquadramento'!M:M,"&lt;80%",'Previsão Custo Enquadramento'!D:D,'Estudo Comparativo Sal Fixo'!M2)/COUNTIFS('Previsão Custo Enquadramento'!E:E,"Tático",'Previsão Custo Enquadramento'!D:D,'Estudo Comparativo Sal Fixo'!M2))</f>
        <v>0.4545454545</v>
      </c>
      <c r="H18" s="216">
        <f>IF('Estudo Comparativo Sal Fixo'!M2="Todas",COUNTIFS('Previsão Custo Enquadramento'!E:E,"Tático",'Previsão Custo Enquadramento'!M:M,"&gt;=80%",'Previsão Custo Enquadramento'!M:M,"&lt;=120%")/COUNTIF('Previsão Custo Enquadramento'!E:E,"Tático"),COUNTIFS('Previsão Custo Enquadramento'!E:E,"Tático",'Previsão Custo Enquadramento'!M:M,"&gt;=80%",'Previsão Custo Enquadramento'!M:M,"&lt;=120%",'Previsão Custo Enquadramento'!D:D,'Estudo Comparativo Sal Fixo'!M2)/COUNTIFS('Previsão Custo Enquadramento'!E:E,"Tático",'Previsão Custo Enquadramento'!D:D,'Estudo Comparativo Sal Fixo'!M2))</f>
        <v>0.5454545455</v>
      </c>
      <c r="I18" s="216">
        <f>IF('Estudo Comparativo Sal Fixo'!M2="Todas",COUNTIFS('Previsão Custo Enquadramento'!E:E,"Tático",'Previsão Custo Enquadramento'!M:M,"&gt;120%")/COUNTIF('Previsão Custo Enquadramento'!E:E,"Tático"),COUNTIFS('Previsão Custo Enquadramento'!E:E,"Tático",'Previsão Custo Enquadramento'!M:M,"&gt;120%",'Previsão Custo Enquadramento'!D:D,'Estudo Comparativo Sal Fixo'!M2)/COUNTIFS('Previsão Custo Enquadramento'!E:E,"Tático",'Previsão Custo Enquadramento'!D:D,'Estudo Comparativo Sal Fixo'!M2))</f>
        <v>0</v>
      </c>
      <c r="J18" s="217"/>
      <c r="M18" s="167"/>
    </row>
    <row r="19">
      <c r="B19" s="204" t="s">
        <v>94</v>
      </c>
      <c r="C19" s="205" t="s">
        <v>36</v>
      </c>
      <c r="D19" s="206">
        <f>COUNTIF('Previsão Custo Enquadramento'!C:C,B19)</f>
        <v>1</v>
      </c>
      <c r="F19" s="211" t="s">
        <v>182</v>
      </c>
      <c r="G19" s="215">
        <f>IF('Estudo Comparativo Sal Fixo'!M2="Todas",COUNTIFS('Previsão Custo Enquadramento'!E:E,"Estratégico",'Previsão Custo Enquadramento'!M:M,"&lt;80%")/COUNTIF('Previsão Custo Enquadramento'!E:E,"Estratégico"),COUNTIFS('Previsão Custo Enquadramento'!E:E,"Estratégico",'Previsão Custo Enquadramento'!M:M,"&lt;80%",'Previsão Custo Enquadramento'!D:D,'Estudo Comparativo Sal Fixo'!M2)/COUNTIFS('Previsão Custo Enquadramento'!E:E,"Estratégico",'Previsão Custo Enquadramento'!D:D,'Estudo Comparativo Sal Fixo'!M2))</f>
        <v>0</v>
      </c>
      <c r="H19" s="216">
        <f>IF('Estudo Comparativo Sal Fixo'!M2="Todas",COUNTIFS('Previsão Custo Enquadramento'!E:E,"Estratégico",'Previsão Custo Enquadramento'!M:M,"&gt;=80%",'Previsão Custo Enquadramento'!M:M,"&lt;=120%")/COUNTIF('Previsão Custo Enquadramento'!E:E,"Estratégico"),COUNTIFS('Previsão Custo Enquadramento'!E:E,"Estratégico",'Previsão Custo Enquadramento'!M:M,"&gt;=80%",'Previsão Custo Enquadramento'!M:M,"&lt;=120%",'Previsão Custo Enquadramento'!D:D,'Estudo Comparativo Sal Fixo'!M2)/COUNTIFS('Previsão Custo Enquadramento'!E:E,"Estratégico",'Previsão Custo Enquadramento'!D:D,'Estudo Comparativo Sal Fixo'!M2))</f>
        <v>1</v>
      </c>
      <c r="I19" s="216">
        <f>IF('Estudo Comparativo Sal Fixo'!M2="Todas",COUNTIFS('Previsão Custo Enquadramento'!E:E,"Estratégico",'Previsão Custo Enquadramento'!M:M,"&gt;120%")/COUNTIF('Previsão Custo Enquadramento'!E:E,"Estratégico"),COUNTIFS('Previsão Custo Enquadramento'!E:E,"Estratégico",'Previsão Custo Enquadramento'!M:M,"&gt;120%",'Previsão Custo Enquadramento'!D:D,'Estudo Comparativo Sal Fixo'!M2)/COUNTIFS('Previsão Custo Enquadramento'!E:E,"Estratégico",'Previsão Custo Enquadramento'!D:D,'Estudo Comparativo Sal Fixo'!M2))</f>
        <v>0</v>
      </c>
      <c r="J19" s="217"/>
      <c r="M19" s="167"/>
    </row>
    <row r="20">
      <c r="B20" s="204" t="s">
        <v>29</v>
      </c>
      <c r="C20" s="205" t="s">
        <v>30</v>
      </c>
      <c r="D20" s="206">
        <f>COUNTIF('Previsão Custo Enquadramento'!C:C,B20)</f>
        <v>2</v>
      </c>
      <c r="F20" s="211" t="s">
        <v>270</v>
      </c>
      <c r="G20" s="218">
        <f>IF('Estudo Comparativo Sal Fixo'!M2="Todas",COUNTIF('Previsão Custo Enquadramento'!M:M,"&lt;80%")/count('Previsão Custo Enquadramento'!M3:M359),COUNTIFS('Previsão Custo Enquadramento'!M:M,"&lt;80%",'Previsão Custo Enquadramento'!D:D,'Estudo Comparativo Sal Fixo'!M2)/countIF('Previsão Custo Enquadramento'!D:D,'Estudo Comparativo Sal Fixo'!M2))</f>
        <v>0.2181818182</v>
      </c>
      <c r="H20" s="219">
        <f>IF('Estudo Comparativo Sal Fixo'!M2="Todas",COUNTIFS('Previsão Custo Enquadramento'!M:M,"&gt;80%",'Previsão Custo Enquadramento'!M:M,"&lt;=120%")/COUNT('Previsão Custo Enquadramento'!M3:M359),COUNTIFS('Previsão Custo Enquadramento'!M:M,"&gt;80%",'Previsão Custo Enquadramento'!M:M,"&lt;=120%",'Previsão Custo Enquadramento'!D:D,'Estudo Comparativo Sal Fixo'!M2)/COUNTIF('Previsão Custo Enquadramento'!D:D,'Estudo Comparativo Sal Fixo'!M2))</f>
        <v>0.7454545455</v>
      </c>
      <c r="I20" s="219">
        <f>IF('Estudo Comparativo Sal Fixo'!M2="Todas",COUNTIF('Previsão Custo Enquadramento'!M:M,"&gt;120%")/COUNT('Previsão Custo Enquadramento'!M3:M359),COUNTIFS('Previsão Custo Enquadramento'!M:M,"&gt;120%",'Previsão Custo Enquadramento'!D:D,'Estudo Comparativo Sal Fixo'!M2)/COUNTIF('Previsão Custo Enquadramento'!D:D,'Estudo Comparativo Sal Fixo'!M2))</f>
        <v>0.05454545455</v>
      </c>
      <c r="J20" s="220"/>
      <c r="M20" s="167"/>
    </row>
    <row r="21">
      <c r="B21" s="210" t="s">
        <v>40</v>
      </c>
      <c r="C21" s="205" t="s">
        <v>30</v>
      </c>
      <c r="D21" s="206">
        <f>COUNTIF('Previsão Custo Enquadramento'!C:C,B21)</f>
        <v>0</v>
      </c>
      <c r="M21" s="167"/>
    </row>
    <row r="22">
      <c r="B22" s="204" t="s">
        <v>51</v>
      </c>
      <c r="C22" s="205" t="s">
        <v>30</v>
      </c>
      <c r="D22" s="206">
        <f>COUNTIF('Previsão Custo Enquadramento'!C:C,B22)</f>
        <v>1</v>
      </c>
      <c r="M22" s="167"/>
    </row>
    <row r="23">
      <c r="B23" s="210" t="s">
        <v>62</v>
      </c>
      <c r="C23" s="205" t="s">
        <v>30</v>
      </c>
      <c r="D23" s="206">
        <f>COUNTIF('Previsão Custo Enquadramento'!C:C,B23)</f>
        <v>0</v>
      </c>
      <c r="F23" s="143"/>
      <c r="G23" s="223" t="s">
        <v>271</v>
      </c>
      <c r="M23" s="167"/>
    </row>
    <row r="24">
      <c r="B24" s="204" t="s">
        <v>44</v>
      </c>
      <c r="C24" s="205" t="s">
        <v>30</v>
      </c>
      <c r="D24" s="206">
        <f>COUNTIF('Previsão Custo Enquadramento'!C:C,B24)</f>
        <v>1</v>
      </c>
      <c r="F24" s="211" t="s">
        <v>272</v>
      </c>
      <c r="G24" s="224">
        <f>IF('Estudo Comparativo Sal Fixo'!M2="Todas",COUNTIF('Previsão Custo Enquadramento'!K:K,"&gt;0"),COUNTIFS('Previsão Custo Enquadramento'!K:K,"&gt;0",'Previsão Custo Enquadramento'!D:D,'Estudo Comparativo Sal Fixo'!M2))</f>
        <v>12</v>
      </c>
      <c r="M24" s="167"/>
    </row>
    <row r="25">
      <c r="B25" s="210" t="s">
        <v>55</v>
      </c>
      <c r="C25" s="222" t="s">
        <v>30</v>
      </c>
      <c r="D25" s="206">
        <f>COUNTIF('Previsão Custo Enquadramento'!C:C,B25)</f>
        <v>0</v>
      </c>
      <c r="F25" s="225" t="s">
        <v>273</v>
      </c>
      <c r="G25" s="226">
        <f>IF('Estudo Comparativo Sal Fixo'!M2="Todas",COUNTIF('Previsão Custo Enquadramento'!K:K,"&lt;=0"),COUNTIFS('Previsão Custo Enquadramento'!K:K,"&lt;=0",'Previsão Custo Enquadramento'!D:D,'Estudo Comparativo Sal Fixo'!M2))</f>
        <v>44</v>
      </c>
      <c r="M25" s="167"/>
    </row>
    <row r="26">
      <c r="B26" s="204" t="s">
        <v>274</v>
      </c>
      <c r="C26" s="205" t="s">
        <v>30</v>
      </c>
      <c r="D26" s="206">
        <f>COUNTIF('Previsão Custo Enquadramento'!C:C,B26)</f>
        <v>0</v>
      </c>
      <c r="M26" s="167"/>
    </row>
    <row r="27">
      <c r="B27" s="222" t="s">
        <v>79</v>
      </c>
      <c r="C27" s="205" t="s">
        <v>30</v>
      </c>
      <c r="D27" s="206">
        <f>COUNTIF('Previsão Custo Enquadramento'!C:C,B27)</f>
        <v>1</v>
      </c>
      <c r="M27" s="167"/>
    </row>
    <row r="28">
      <c r="B28" s="222" t="s">
        <v>80</v>
      </c>
      <c r="C28" s="205" t="s">
        <v>30</v>
      </c>
      <c r="D28" s="206">
        <f>COUNTIF('Previsão Custo Enquadramento'!C:C,B28)</f>
        <v>0</v>
      </c>
      <c r="F28" s="143"/>
      <c r="G28" s="223" t="s">
        <v>275</v>
      </c>
      <c r="I28" s="227" t="s">
        <v>5</v>
      </c>
      <c r="J28" s="227" t="s">
        <v>276</v>
      </c>
      <c r="M28" s="167"/>
    </row>
    <row r="29">
      <c r="B29" s="222" t="s">
        <v>87</v>
      </c>
      <c r="C29" s="205" t="s">
        <v>30</v>
      </c>
      <c r="D29" s="206">
        <f>COUNTIF('Previsão Custo Enquadramento'!C:C,B29)</f>
        <v>0</v>
      </c>
      <c r="F29" s="228" t="s">
        <v>277</v>
      </c>
      <c r="G29" s="229" t="s">
        <v>90</v>
      </c>
      <c r="I29" s="230" t="s">
        <v>24</v>
      </c>
      <c r="J29" s="231">
        <f>SUMIFS('Previsão Custo Enquadramento'!L:L,'Previsão Custo Enquadramento'!D:D,I29)</f>
        <v>0</v>
      </c>
      <c r="M29" s="167"/>
    </row>
    <row r="30">
      <c r="B30" s="222" t="s">
        <v>97</v>
      </c>
      <c r="C30" s="205" t="s">
        <v>30</v>
      </c>
      <c r="D30" s="206">
        <f>COUNTIF('Previsão Custo Enquadramento'!C:C,B30)</f>
        <v>1</v>
      </c>
      <c r="F30" s="232"/>
      <c r="I30" s="230" t="s">
        <v>61</v>
      </c>
      <c r="J30" s="231">
        <f>SUMIFS('Previsão Custo Enquadramento'!L:L,'Previsão Custo Enquadramento'!D:D,I30)</f>
        <v>0</v>
      </c>
      <c r="M30" s="167"/>
    </row>
    <row r="31">
      <c r="B31" s="204" t="s">
        <v>103</v>
      </c>
      <c r="C31" s="205" t="s">
        <v>30</v>
      </c>
      <c r="D31" s="206">
        <f>COUNTIF('Previsão Custo Enquadramento'!C:C,B31)</f>
        <v>1</v>
      </c>
      <c r="F31" s="211" t="s">
        <v>272</v>
      </c>
      <c r="G31" s="233">
        <f>COUNTIFS('Previsão Custo Enquadramento'!K:K,"&gt;0",'Previsão Custo Enquadramento'!D:D,G29)</f>
        <v>6</v>
      </c>
      <c r="I31" s="230" t="s">
        <v>153</v>
      </c>
      <c r="J31" s="231">
        <f>SUMIFS('Previsão Custo Enquadramento'!L:L,'Previsão Custo Enquadramento'!D:D,I31)</f>
        <v>0</v>
      </c>
      <c r="M31" s="167"/>
    </row>
    <row r="32">
      <c r="B32" s="204" t="s">
        <v>74</v>
      </c>
      <c r="C32" s="205" t="s">
        <v>30</v>
      </c>
      <c r="D32" s="206">
        <f>COUNTIF('Previsão Custo Enquadramento'!C:C,B32)</f>
        <v>1</v>
      </c>
      <c r="F32" s="225" t="s">
        <v>273</v>
      </c>
      <c r="G32" s="226">
        <f>COUNTIFS('Previsão Custo Enquadramento'!K:K,"&lt;=0",'Previsão Custo Enquadramento'!D:D,G29)</f>
        <v>2</v>
      </c>
      <c r="I32" s="230" t="s">
        <v>26</v>
      </c>
      <c r="J32" s="231">
        <f>SUMIFS('Previsão Custo Enquadramento'!L:L,'Previsão Custo Enquadramento'!D:D,I32)</f>
        <v>0</v>
      </c>
      <c r="M32" s="167"/>
    </row>
    <row r="33">
      <c r="B33" s="204" t="s">
        <v>68</v>
      </c>
      <c r="C33" s="205" t="s">
        <v>30</v>
      </c>
      <c r="D33" s="206">
        <f>COUNTIF('Previsão Custo Enquadramento'!C:C,B33)</f>
        <v>1</v>
      </c>
      <c r="G33" s="234"/>
      <c r="I33" s="230" t="s">
        <v>12</v>
      </c>
      <c r="J33" s="231">
        <f>SUMIFS('Previsão Custo Enquadramento'!L:L,'Previsão Custo Enquadramento'!D:D,I33)</f>
        <v>0</v>
      </c>
      <c r="M33" s="167"/>
    </row>
    <row r="34">
      <c r="B34" s="210" t="s">
        <v>37</v>
      </c>
      <c r="C34" s="205" t="s">
        <v>20</v>
      </c>
      <c r="D34" s="206">
        <f>COUNTIF('Previsão Custo Enquadramento'!C:C,B34)</f>
        <v>0</v>
      </c>
      <c r="F34" s="228" t="s">
        <v>278</v>
      </c>
      <c r="G34" s="235">
        <f>SUMIFS('Previsão Custo Enquadramento'!L:L,'Previsão Custo Enquadramento'!D:D,G29)</f>
        <v>40758.68</v>
      </c>
      <c r="I34" s="230" t="s">
        <v>83</v>
      </c>
      <c r="J34" s="231">
        <f>SUMIFS('Previsão Custo Enquadramento'!L:L,'Previsão Custo Enquadramento'!D:D,I34)</f>
        <v>0</v>
      </c>
      <c r="M34" s="167"/>
    </row>
    <row r="35">
      <c r="B35" s="210" t="s">
        <v>48</v>
      </c>
      <c r="C35" s="205" t="s">
        <v>20</v>
      </c>
      <c r="D35" s="206">
        <f>COUNTIF('Previsão Custo Enquadramento'!C:C,B35)</f>
        <v>0</v>
      </c>
      <c r="F35" s="232"/>
      <c r="I35" s="230" t="s">
        <v>107</v>
      </c>
      <c r="J35" s="231">
        <f>SUMIFS('Previsão Custo Enquadramento'!L:L,'Previsão Custo Enquadramento'!D:D,I35)</f>
        <v>0</v>
      </c>
      <c r="M35" s="167"/>
    </row>
    <row r="36">
      <c r="B36" s="204" t="s">
        <v>57</v>
      </c>
      <c r="C36" s="205" t="s">
        <v>20</v>
      </c>
      <c r="D36" s="206">
        <f>COUNTIF('Previsão Custo Enquadramento'!C:C,B36)</f>
        <v>1</v>
      </c>
      <c r="I36" s="230" t="s">
        <v>43</v>
      </c>
      <c r="J36" s="231">
        <f>SUMIFS('Previsão Custo Enquadramento'!L:L,'Previsão Custo Enquadramento'!D:D,I36)</f>
        <v>0</v>
      </c>
      <c r="M36" s="167"/>
    </row>
    <row r="37">
      <c r="B37" s="210" t="s">
        <v>38</v>
      </c>
      <c r="C37" s="205" t="s">
        <v>20</v>
      </c>
      <c r="D37" s="206">
        <f>COUNTIF('Previsão Custo Enquadramento'!C:C,B37)</f>
        <v>0</v>
      </c>
      <c r="I37" s="230" t="s">
        <v>34</v>
      </c>
      <c r="J37" s="231">
        <f>SUMIFS('Previsão Custo Enquadramento'!L:L,'Previsão Custo Enquadramento'!D:D,I37)</f>
        <v>1290.17</v>
      </c>
      <c r="M37" s="167"/>
    </row>
    <row r="38">
      <c r="B38" s="210" t="s">
        <v>49</v>
      </c>
      <c r="C38" s="205" t="s">
        <v>20</v>
      </c>
      <c r="D38" s="206">
        <f>COUNTIF('Previsão Custo Enquadramento'!C:C,B38)</f>
        <v>0</v>
      </c>
      <c r="I38" s="230" t="s">
        <v>17</v>
      </c>
      <c r="J38" s="231">
        <f>SUMIFS('Previsão Custo Enquadramento'!L:L,'Previsão Custo Enquadramento'!D:D,I38)</f>
        <v>0</v>
      </c>
      <c r="M38" s="167"/>
    </row>
    <row r="39">
      <c r="B39" s="204" t="s">
        <v>58</v>
      </c>
      <c r="C39" s="205" t="s">
        <v>20</v>
      </c>
      <c r="D39" s="206">
        <f>COUNTIF('Previsão Custo Enquadramento'!C:C,B39)</f>
        <v>1</v>
      </c>
      <c r="I39" s="230" t="s">
        <v>20</v>
      </c>
      <c r="J39" s="231">
        <f>SUMIFS('Previsão Custo Enquadramento'!L:L,'Previsão Custo Enquadramento'!D:D,I39)</f>
        <v>2314.38</v>
      </c>
      <c r="M39" s="167"/>
    </row>
    <row r="40">
      <c r="B40" s="210" t="s">
        <v>19</v>
      </c>
      <c r="C40" s="222" t="s">
        <v>20</v>
      </c>
      <c r="D40" s="206">
        <f>COUNTIF('Previsão Custo Enquadramento'!C:C,B40)</f>
        <v>0</v>
      </c>
      <c r="I40" s="236" t="s">
        <v>10</v>
      </c>
      <c r="J40" s="231">
        <f>SUMIFS('Previsão Custo Enquadramento'!L:L,'Previsão Custo Enquadramento'!D:D,I40)</f>
        <v>4595.89</v>
      </c>
      <c r="M40" s="167"/>
    </row>
    <row r="41">
      <c r="B41" s="204" t="s">
        <v>39</v>
      </c>
      <c r="C41" s="205" t="s">
        <v>20</v>
      </c>
      <c r="D41" s="206">
        <f>COUNTIF('Previsão Custo Enquadramento'!C:C,B41)</f>
        <v>1</v>
      </c>
      <c r="I41" s="230" t="s">
        <v>36</v>
      </c>
      <c r="J41" s="231">
        <f>SUMIFS('Previsão Custo Enquadramento'!L:L,'Previsão Custo Enquadramento'!D:D,I41)</f>
        <v>2696.17</v>
      </c>
    </row>
    <row r="42">
      <c r="B42" s="210" t="s">
        <v>50</v>
      </c>
      <c r="C42" s="205" t="s">
        <v>20</v>
      </c>
      <c r="D42" s="206">
        <f>COUNTIF('Previsão Custo Enquadramento'!C:C,B42)</f>
        <v>0</v>
      </c>
      <c r="I42" s="236" t="s">
        <v>30</v>
      </c>
      <c r="J42" s="231">
        <f>SUMIFS('Previsão Custo Enquadramento'!L:L,'Previsão Custo Enquadramento'!D:D,I42)</f>
        <v>1402.17</v>
      </c>
    </row>
    <row r="43">
      <c r="B43" s="210" t="s">
        <v>59</v>
      </c>
      <c r="C43" s="205" t="s">
        <v>20</v>
      </c>
      <c r="D43" s="206">
        <f>COUNTIF('Previsão Custo Enquadramento'!C:C,B43)</f>
        <v>0</v>
      </c>
      <c r="I43" s="230" t="s">
        <v>28</v>
      </c>
      <c r="J43" s="231">
        <f>SUMIFS('Previsão Custo Enquadramento'!L:L,'Previsão Custo Enquadramento'!D:D,I43)</f>
        <v>1854.96</v>
      </c>
    </row>
    <row r="44">
      <c r="B44" s="204" t="s">
        <v>22</v>
      </c>
      <c r="C44" s="205" t="s">
        <v>20</v>
      </c>
      <c r="D44" s="206">
        <f>COUNTIF('Previsão Custo Enquadramento'!C:C,B44)</f>
        <v>3</v>
      </c>
      <c r="I44" s="230" t="s">
        <v>90</v>
      </c>
      <c r="J44" s="231">
        <f>SUMIFS('Previsão Custo Enquadramento'!L:L,'Previsão Custo Enquadramento'!D:D,I44)</f>
        <v>40758.68</v>
      </c>
    </row>
    <row r="45">
      <c r="B45" s="204" t="s">
        <v>95</v>
      </c>
      <c r="C45" s="205" t="s">
        <v>20</v>
      </c>
      <c r="D45" s="206">
        <f>COUNTIF('Previsão Custo Enquadramento'!C:C,B45)</f>
        <v>1</v>
      </c>
      <c r="I45" s="237" t="s">
        <v>246</v>
      </c>
      <c r="J45" s="238"/>
    </row>
    <row r="46">
      <c r="B46" s="210" t="s">
        <v>71</v>
      </c>
      <c r="C46" s="205" t="s">
        <v>20</v>
      </c>
      <c r="D46" s="206">
        <f>COUNTIF('Previsão Custo Enquadramento'!C:C,B46)</f>
        <v>1</v>
      </c>
      <c r="I46" s="238"/>
      <c r="J46" s="238"/>
    </row>
    <row r="47">
      <c r="B47" s="204" t="s">
        <v>60</v>
      </c>
      <c r="C47" s="205" t="s">
        <v>61</v>
      </c>
      <c r="D47" s="206">
        <f>COUNTIF('Previsão Custo Enquadramento'!C:C,B47)</f>
        <v>1</v>
      </c>
      <c r="I47" s="238"/>
      <c r="J47" s="238"/>
    </row>
    <row r="48">
      <c r="B48" s="210" t="s">
        <v>31</v>
      </c>
      <c r="C48" s="205" t="s">
        <v>32</v>
      </c>
      <c r="D48" s="206">
        <f>COUNTIF('Previsão Custo Enquadramento'!C:C,B48)</f>
        <v>1</v>
      </c>
      <c r="I48" s="238"/>
      <c r="J48" s="238"/>
    </row>
    <row r="49">
      <c r="B49" s="210" t="s">
        <v>77</v>
      </c>
      <c r="C49" s="205" t="s">
        <v>32</v>
      </c>
      <c r="D49" s="206">
        <f>COUNTIF('Previsão Custo Enquadramento'!C:C,B49)</f>
        <v>1</v>
      </c>
      <c r="I49" s="238"/>
      <c r="J49" s="238"/>
    </row>
    <row r="50" ht="15.75" customHeight="1">
      <c r="B50" s="204" t="s">
        <v>47</v>
      </c>
      <c r="C50" s="205" t="s">
        <v>24</v>
      </c>
      <c r="D50" s="206">
        <f>COUNTIF('Previsão Custo Enquadramento'!C:C,B50)</f>
        <v>1</v>
      </c>
      <c r="I50" s="238"/>
      <c r="J50" s="238"/>
    </row>
    <row r="51">
      <c r="B51" s="204" t="s">
        <v>41</v>
      </c>
      <c r="C51" s="205" t="s">
        <v>24</v>
      </c>
      <c r="D51" s="206">
        <f>COUNTIF('Previsão Custo Enquadramento'!C:C,B51)</f>
        <v>1</v>
      </c>
      <c r="I51" s="238"/>
      <c r="J51" s="238"/>
    </row>
    <row r="52">
      <c r="B52" s="210" t="s">
        <v>52</v>
      </c>
      <c r="C52" s="205" t="s">
        <v>24</v>
      </c>
      <c r="D52" s="206">
        <f>COUNTIF('Previsão Custo Enquadramento'!C:C,B52)</f>
        <v>0</v>
      </c>
      <c r="I52" s="238"/>
      <c r="J52" s="238"/>
    </row>
    <row r="53">
      <c r="B53" s="210" t="s">
        <v>63</v>
      </c>
      <c r="C53" s="205" t="s">
        <v>24</v>
      </c>
      <c r="D53" s="206">
        <f>COUNTIF('Previsão Custo Enquadramento'!C:C,B53)</f>
        <v>0</v>
      </c>
      <c r="I53" s="238"/>
      <c r="J53" s="238"/>
    </row>
    <row r="54">
      <c r="B54" s="204" t="s">
        <v>23</v>
      </c>
      <c r="C54" s="205" t="s">
        <v>24</v>
      </c>
      <c r="D54" s="206">
        <f>COUNTIF('Previsão Custo Enquadramento'!C:C,B54)</f>
        <v>1</v>
      </c>
      <c r="I54" s="238"/>
      <c r="J54" s="238"/>
    </row>
    <row r="55">
      <c r="B55" s="204" t="s">
        <v>78</v>
      </c>
      <c r="C55" s="205" t="s">
        <v>24</v>
      </c>
      <c r="D55" s="206">
        <f>COUNTIF('Previsão Custo Enquadramento'!C:C,B55)</f>
        <v>1</v>
      </c>
    </row>
    <row r="56">
      <c r="B56" s="204" t="s">
        <v>82</v>
      </c>
      <c r="C56" s="205" t="s">
        <v>83</v>
      </c>
      <c r="D56" s="206">
        <f>COUNTIF('Previsão Custo Enquadramento'!C:C,B56)</f>
        <v>1</v>
      </c>
      <c r="I56" s="239"/>
      <c r="J56" s="240"/>
    </row>
    <row r="57">
      <c r="B57" s="210" t="s">
        <v>42</v>
      </c>
      <c r="C57" s="205" t="s">
        <v>43</v>
      </c>
      <c r="D57" s="206">
        <f>COUNTIF('Previsão Custo Enquadramento'!C:C,B57)</f>
        <v>0</v>
      </c>
      <c r="I57" s="239"/>
      <c r="J57" s="240"/>
    </row>
    <row r="58">
      <c r="B58" s="210" t="s">
        <v>53</v>
      </c>
      <c r="C58" s="205" t="s">
        <v>43</v>
      </c>
      <c r="D58" s="206">
        <f>COUNTIF('Previsão Custo Enquadramento'!C:C,B58)</f>
        <v>1</v>
      </c>
      <c r="I58" s="239"/>
      <c r="J58" s="240"/>
    </row>
    <row r="59">
      <c r="B59" s="210" t="s">
        <v>64</v>
      </c>
      <c r="C59" s="205" t="s">
        <v>43</v>
      </c>
      <c r="D59" s="206">
        <f>COUNTIF('Previsão Custo Enquadramento'!C:C,B59)</f>
        <v>0</v>
      </c>
      <c r="I59" s="239"/>
      <c r="J59" s="240"/>
    </row>
    <row r="60">
      <c r="B60" s="210" t="s">
        <v>72</v>
      </c>
      <c r="C60" s="222" t="s">
        <v>43</v>
      </c>
      <c r="D60" s="206">
        <f>COUNTIF('Previsão Custo Enquadramento'!C:C,B60)</f>
        <v>0</v>
      </c>
      <c r="I60" s="239"/>
      <c r="J60" s="240"/>
    </row>
    <row r="61">
      <c r="B61" s="204" t="s">
        <v>11</v>
      </c>
      <c r="C61" s="205" t="s">
        <v>12</v>
      </c>
      <c r="D61" s="206">
        <f>COUNTIF('Previsão Custo Enquadramento'!C:C,B61)</f>
        <v>1</v>
      </c>
      <c r="I61" s="239"/>
      <c r="J61" s="240"/>
    </row>
    <row r="62">
      <c r="B62" s="210" t="s">
        <v>14</v>
      </c>
      <c r="C62" s="222" t="s">
        <v>12</v>
      </c>
      <c r="D62" s="206">
        <f>COUNTIF('Previsão Custo Enquadramento'!C:C,B62)</f>
        <v>0</v>
      </c>
      <c r="I62" s="239"/>
      <c r="J62" s="240"/>
    </row>
    <row r="63">
      <c r="B63" s="210" t="s">
        <v>16</v>
      </c>
      <c r="C63" s="222" t="s">
        <v>17</v>
      </c>
      <c r="D63" s="206">
        <f>COUNTIF('Previsão Custo Enquadramento'!C:C,B63)</f>
        <v>0</v>
      </c>
      <c r="I63" s="239"/>
      <c r="J63" s="240"/>
    </row>
    <row r="64">
      <c r="B64" s="210" t="s">
        <v>45</v>
      </c>
      <c r="C64" s="205" t="s">
        <v>46</v>
      </c>
      <c r="D64" s="206">
        <f>COUNTIF('Previsão Custo Enquadramento'!C:C,B64)</f>
        <v>1</v>
      </c>
      <c r="I64" s="239"/>
      <c r="J64" s="240"/>
    </row>
    <row r="65">
      <c r="B65" s="210" t="s">
        <v>54</v>
      </c>
      <c r="C65" s="205" t="s">
        <v>46</v>
      </c>
      <c r="D65" s="206">
        <f>COUNTIF('Previsão Custo Enquadramento'!C:C,B65)</f>
        <v>0</v>
      </c>
      <c r="I65" s="239"/>
      <c r="J65" s="240"/>
    </row>
    <row r="66">
      <c r="B66" s="210" t="s">
        <v>69</v>
      </c>
      <c r="C66" s="205" t="s">
        <v>46</v>
      </c>
      <c r="D66" s="206">
        <f>COUNTIF('Previsão Custo Enquadramento'!C:C,B66)</f>
        <v>0</v>
      </c>
      <c r="I66" s="239"/>
      <c r="J66" s="240"/>
    </row>
    <row r="67">
      <c r="B67" s="204" t="s">
        <v>96</v>
      </c>
      <c r="C67" s="205" t="s">
        <v>46</v>
      </c>
      <c r="D67" s="206">
        <f>COUNTIF('Previsão Custo Enquadramento'!C:C,B67)</f>
        <v>1</v>
      </c>
      <c r="I67" s="239"/>
      <c r="J67" s="240"/>
    </row>
    <row r="68">
      <c r="B68" s="204" t="s">
        <v>25</v>
      </c>
      <c r="C68" s="205" t="s">
        <v>26</v>
      </c>
      <c r="D68" s="206">
        <f>COUNTIF('Previsão Custo Enquadramento'!C:C,B68)</f>
        <v>1</v>
      </c>
      <c r="I68" s="239"/>
      <c r="J68" s="240"/>
    </row>
    <row r="69">
      <c r="B69" s="210" t="s">
        <v>67</v>
      </c>
      <c r="C69" s="205" t="s">
        <v>28</v>
      </c>
      <c r="D69" s="206">
        <f>COUNTIF('Previsão Custo Enquadramento'!C:C,B69)</f>
        <v>0</v>
      </c>
      <c r="I69" s="239"/>
      <c r="J69" s="240"/>
    </row>
    <row r="70">
      <c r="B70" s="210" t="s">
        <v>70</v>
      </c>
      <c r="C70" s="205" t="s">
        <v>28</v>
      </c>
      <c r="D70" s="206">
        <f>COUNTIF('Previsão Custo Enquadramento'!C:C,B70)</f>
        <v>1</v>
      </c>
      <c r="I70" s="239"/>
      <c r="J70" s="240"/>
    </row>
    <row r="71">
      <c r="B71" s="210" t="s">
        <v>75</v>
      </c>
      <c r="C71" s="205" t="s">
        <v>28</v>
      </c>
      <c r="D71" s="206">
        <f>COUNTIF('Previsão Custo Enquadramento'!C:C,B71)</f>
        <v>0</v>
      </c>
      <c r="I71" s="239"/>
      <c r="J71" s="240"/>
    </row>
    <row r="72">
      <c r="B72" s="204" t="s">
        <v>27</v>
      </c>
      <c r="C72" s="205" t="s">
        <v>28</v>
      </c>
      <c r="D72" s="206">
        <f>COUNTIF('Previsão Custo Enquadramento'!C:C,B72)</f>
        <v>1</v>
      </c>
      <c r="I72" s="239"/>
      <c r="J72" s="240"/>
    </row>
    <row r="73">
      <c r="B73" s="210" t="s">
        <v>86</v>
      </c>
      <c r="C73" s="205" t="s">
        <v>28</v>
      </c>
      <c r="D73" s="206">
        <f>COUNTIF('Previsão Custo Enquadramento'!C:C,B73)</f>
        <v>2</v>
      </c>
      <c r="I73" s="239"/>
      <c r="J73" s="240"/>
    </row>
    <row r="74">
      <c r="B74" s="210" t="s">
        <v>81</v>
      </c>
      <c r="C74" s="205" t="s">
        <v>28</v>
      </c>
      <c r="D74" s="206">
        <f>COUNTIF('Previsão Custo Enquadramento'!C:C,B74)</f>
        <v>1</v>
      </c>
      <c r="I74" s="239"/>
      <c r="J74" s="240"/>
    </row>
    <row r="75">
      <c r="B75" s="210" t="s">
        <v>88</v>
      </c>
      <c r="C75" s="205" t="s">
        <v>28</v>
      </c>
      <c r="D75" s="206">
        <f>COUNTIF('Previsão Custo Enquadramento'!C:C,B75)</f>
        <v>0</v>
      </c>
      <c r="I75" s="239"/>
      <c r="J75" s="240"/>
    </row>
    <row r="76">
      <c r="B76" s="210" t="s">
        <v>98</v>
      </c>
      <c r="C76" s="205" t="s">
        <v>28</v>
      </c>
      <c r="D76" s="206">
        <f>COUNTIF('Previsão Custo Enquadramento'!C:C,B76)</f>
        <v>0</v>
      </c>
      <c r="I76" s="239"/>
      <c r="J76" s="240"/>
    </row>
    <row r="77">
      <c r="B77" s="204" t="s">
        <v>105</v>
      </c>
      <c r="C77" s="205" t="s">
        <v>28</v>
      </c>
      <c r="D77" s="206">
        <f>COUNTIF('Previsão Custo Enquadramento'!C:C,B77)</f>
        <v>1</v>
      </c>
      <c r="I77" s="239"/>
      <c r="J77" s="240"/>
    </row>
    <row r="78">
      <c r="B78" s="204" t="s">
        <v>108</v>
      </c>
      <c r="C78" s="205" t="s">
        <v>107</v>
      </c>
      <c r="D78" s="206">
        <f>COUNTIF('Previsão Custo Enquadramento'!C:C,B78)</f>
        <v>1</v>
      </c>
      <c r="I78" s="239"/>
      <c r="J78" s="240"/>
    </row>
    <row r="79">
      <c r="B79" s="210" t="s">
        <v>106</v>
      </c>
      <c r="C79" s="205" t="s">
        <v>107</v>
      </c>
      <c r="D79" s="206">
        <f>COUNTIF('Previsão Custo Enquadramento'!C:C,B79)</f>
        <v>0</v>
      </c>
      <c r="I79" s="239"/>
      <c r="J79" s="240"/>
    </row>
    <row r="80">
      <c r="B80" s="210"/>
      <c r="C80" s="205"/>
      <c r="D80" s="206"/>
      <c r="I80" s="239"/>
      <c r="J80" s="240"/>
    </row>
    <row r="81">
      <c r="B81" s="210"/>
      <c r="C81" s="205"/>
      <c r="D81" s="206"/>
      <c r="I81" s="239"/>
      <c r="J81" s="240"/>
    </row>
    <row r="82">
      <c r="B82" s="210"/>
      <c r="C82" s="205"/>
      <c r="D82" s="206"/>
      <c r="I82" s="239"/>
      <c r="J82" s="240"/>
    </row>
    <row r="83">
      <c r="B83" s="210"/>
      <c r="C83" s="205"/>
      <c r="D83" s="206"/>
      <c r="I83" s="239"/>
      <c r="J83" s="240"/>
    </row>
    <row r="84">
      <c r="B84" s="210"/>
      <c r="C84" s="205"/>
      <c r="D84" s="206"/>
      <c r="I84" s="239"/>
      <c r="J84" s="240"/>
    </row>
    <row r="85">
      <c r="B85" s="210"/>
      <c r="C85" s="205"/>
      <c r="D85" s="206"/>
      <c r="I85" s="239"/>
      <c r="J85" s="240"/>
    </row>
    <row r="86">
      <c r="B86" s="210"/>
      <c r="C86" s="205"/>
      <c r="D86" s="206"/>
      <c r="I86" s="241"/>
      <c r="J86" s="240"/>
    </row>
    <row r="87">
      <c r="B87" s="210"/>
      <c r="C87" s="205"/>
      <c r="D87" s="206"/>
      <c r="I87" s="241"/>
      <c r="J87" s="240"/>
    </row>
    <row r="88">
      <c r="B88" s="210"/>
      <c r="C88" s="205"/>
      <c r="D88" s="206"/>
      <c r="I88" s="241"/>
      <c r="J88" s="240"/>
    </row>
    <row r="89">
      <c r="B89" s="210"/>
      <c r="C89" s="205"/>
      <c r="D89" s="206"/>
      <c r="I89" s="241"/>
      <c r="J89" s="240"/>
    </row>
    <row r="90">
      <c r="B90" s="210"/>
      <c r="C90" s="205"/>
      <c r="D90" s="206"/>
      <c r="I90" s="241"/>
      <c r="J90" s="240"/>
    </row>
    <row r="91">
      <c r="B91" s="210"/>
      <c r="C91" s="205"/>
      <c r="D91" s="206"/>
      <c r="I91" s="241"/>
      <c r="J91" s="240"/>
    </row>
    <row r="92">
      <c r="B92" s="210"/>
      <c r="C92" s="205"/>
      <c r="D92" s="206"/>
      <c r="I92" s="241"/>
      <c r="J92" s="240"/>
    </row>
    <row r="93">
      <c r="B93" s="210"/>
      <c r="C93" s="205"/>
      <c r="D93" s="206"/>
      <c r="I93" s="241"/>
      <c r="J93" s="240"/>
    </row>
    <row r="94">
      <c r="B94" s="210"/>
      <c r="C94" s="205"/>
      <c r="D94" s="206"/>
      <c r="I94" s="241"/>
      <c r="J94" s="240"/>
    </row>
    <row r="95">
      <c r="B95" s="210"/>
      <c r="C95" s="205"/>
      <c r="D95" s="206"/>
      <c r="I95" s="241"/>
      <c r="J95" s="240"/>
    </row>
    <row r="96">
      <c r="B96" s="210"/>
      <c r="C96" s="205"/>
      <c r="D96" s="206"/>
      <c r="I96" s="241"/>
      <c r="J96" s="240"/>
    </row>
    <row r="97">
      <c r="B97" s="210"/>
      <c r="C97" s="205"/>
      <c r="D97" s="206"/>
      <c r="I97" s="241"/>
      <c r="J97" s="240"/>
    </row>
    <row r="98">
      <c r="B98" s="210"/>
      <c r="C98" s="205"/>
      <c r="D98" s="206"/>
      <c r="I98" s="241"/>
      <c r="J98" s="240"/>
    </row>
    <row r="99">
      <c r="B99" s="210"/>
      <c r="C99" s="205"/>
      <c r="D99" s="206"/>
      <c r="I99" s="241"/>
      <c r="J99" s="240"/>
    </row>
    <row r="100">
      <c r="B100" s="210"/>
      <c r="C100" s="205"/>
      <c r="D100" s="206"/>
      <c r="I100" s="241"/>
      <c r="J100" s="240"/>
    </row>
    <row r="101">
      <c r="B101" s="210"/>
      <c r="C101" s="205"/>
      <c r="D101" s="206"/>
      <c r="I101" s="241"/>
      <c r="J101" s="240"/>
    </row>
    <row r="102">
      <c r="B102" s="210"/>
      <c r="C102" s="205"/>
      <c r="D102" s="206"/>
      <c r="I102" s="241"/>
      <c r="J102" s="240"/>
    </row>
    <row r="103">
      <c r="B103" s="210"/>
      <c r="C103" s="205"/>
      <c r="D103" s="206"/>
      <c r="I103" s="241"/>
      <c r="J103" s="240"/>
    </row>
    <row r="104">
      <c r="B104" s="210"/>
      <c r="C104" s="205"/>
      <c r="D104" s="206"/>
      <c r="I104" s="241"/>
      <c r="J104" s="240"/>
    </row>
    <row r="105">
      <c r="B105" s="210"/>
      <c r="C105" s="205"/>
      <c r="D105" s="206"/>
      <c r="I105" s="241"/>
      <c r="J105" s="240"/>
    </row>
    <row r="106">
      <c r="B106" s="210"/>
      <c r="C106" s="205"/>
      <c r="D106" s="206"/>
      <c r="I106" s="241"/>
      <c r="J106" s="240"/>
    </row>
    <row r="107">
      <c r="B107" s="210"/>
      <c r="C107" s="205"/>
      <c r="D107" s="206"/>
      <c r="I107" s="241"/>
      <c r="J107" s="240"/>
    </row>
    <row r="108">
      <c r="B108" s="210"/>
      <c r="C108" s="205"/>
      <c r="D108" s="206"/>
      <c r="I108" s="241"/>
      <c r="J108" s="240"/>
    </row>
    <row r="109">
      <c r="B109" s="210"/>
      <c r="C109" s="205"/>
      <c r="D109" s="206"/>
      <c r="I109" s="241"/>
      <c r="J109" s="240"/>
    </row>
    <row r="110">
      <c r="B110" s="210"/>
      <c r="C110" s="205"/>
      <c r="D110" s="206"/>
      <c r="I110" s="241"/>
      <c r="J110" s="240"/>
    </row>
    <row r="111">
      <c r="B111" s="210"/>
      <c r="C111" s="205"/>
      <c r="D111" s="206"/>
      <c r="I111" s="241"/>
      <c r="J111" s="240"/>
    </row>
    <row r="112">
      <c r="B112" s="210"/>
      <c r="C112" s="205"/>
      <c r="D112" s="206"/>
      <c r="I112" s="241"/>
      <c r="J112" s="240"/>
    </row>
    <row r="113">
      <c r="B113" s="210"/>
      <c r="C113" s="205"/>
      <c r="D113" s="206"/>
      <c r="I113" s="241"/>
      <c r="J113" s="240"/>
    </row>
    <row r="114">
      <c r="B114" s="210"/>
      <c r="C114" s="205"/>
      <c r="D114" s="206"/>
      <c r="I114" s="241"/>
      <c r="J114" s="240"/>
    </row>
    <row r="115">
      <c r="B115" s="210"/>
      <c r="C115" s="205"/>
      <c r="D115" s="206"/>
      <c r="I115" s="241"/>
      <c r="J115" s="240"/>
    </row>
    <row r="116">
      <c r="B116" s="210"/>
      <c r="C116" s="205"/>
      <c r="D116" s="206"/>
      <c r="I116" s="241"/>
      <c r="J116" s="240"/>
    </row>
    <row r="117">
      <c r="B117" s="210"/>
      <c r="C117" s="205"/>
      <c r="D117" s="206"/>
      <c r="I117" s="241"/>
      <c r="J117" s="240"/>
    </row>
    <row r="118">
      <c r="B118" s="210"/>
      <c r="C118" s="205"/>
      <c r="D118" s="206"/>
      <c r="I118" s="241"/>
      <c r="J118" s="240"/>
    </row>
    <row r="119">
      <c r="B119" s="210"/>
      <c r="C119" s="205"/>
      <c r="D119" s="206"/>
      <c r="I119" s="241"/>
      <c r="J119" s="240"/>
    </row>
    <row r="120">
      <c r="B120" s="210"/>
      <c r="C120" s="205"/>
      <c r="D120" s="206"/>
      <c r="I120" s="241"/>
      <c r="J120" s="240"/>
    </row>
    <row r="121">
      <c r="B121" s="210"/>
      <c r="C121" s="205"/>
      <c r="D121" s="206"/>
      <c r="I121" s="241"/>
      <c r="J121" s="240"/>
    </row>
    <row r="122">
      <c r="B122" s="210"/>
      <c r="C122" s="205"/>
      <c r="D122" s="206"/>
      <c r="I122" s="241"/>
      <c r="J122" s="240"/>
    </row>
    <row r="123">
      <c r="B123" s="210"/>
      <c r="C123" s="205"/>
      <c r="D123" s="206"/>
      <c r="I123" s="241"/>
      <c r="J123" s="240"/>
    </row>
    <row r="124">
      <c r="B124" s="210"/>
      <c r="C124" s="205"/>
      <c r="D124" s="206"/>
      <c r="I124" s="241"/>
      <c r="J124" s="240"/>
    </row>
    <row r="125">
      <c r="B125" s="210"/>
      <c r="C125" s="205"/>
      <c r="D125" s="206"/>
      <c r="I125" s="241"/>
      <c r="J125" s="240"/>
    </row>
    <row r="126">
      <c r="B126" s="210"/>
      <c r="C126" s="205"/>
      <c r="D126" s="206"/>
      <c r="I126" s="241"/>
      <c r="J126" s="240"/>
    </row>
    <row r="127">
      <c r="B127" s="210"/>
      <c r="C127" s="205"/>
      <c r="D127" s="206"/>
      <c r="I127" s="241"/>
      <c r="J127" s="240"/>
    </row>
    <row r="128">
      <c r="B128" s="210"/>
      <c r="C128" s="205"/>
      <c r="D128" s="206"/>
      <c r="I128" s="241"/>
      <c r="J128" s="240"/>
    </row>
    <row r="129">
      <c r="B129" s="210"/>
      <c r="C129" s="205"/>
      <c r="D129" s="206"/>
      <c r="I129" s="241"/>
      <c r="J129" s="240"/>
    </row>
    <row r="130">
      <c r="B130" s="210"/>
      <c r="C130" s="205"/>
      <c r="D130" s="206"/>
      <c r="I130" s="241"/>
      <c r="J130" s="240"/>
    </row>
    <row r="131">
      <c r="B131" s="210"/>
      <c r="C131" s="205"/>
      <c r="D131" s="206"/>
      <c r="I131" s="241"/>
      <c r="J131" s="240"/>
    </row>
    <row r="132">
      <c r="B132" s="242"/>
      <c r="C132" s="243"/>
      <c r="D132" s="244"/>
      <c r="I132" s="241"/>
      <c r="J132" s="240"/>
    </row>
    <row r="133">
      <c r="B133" s="242"/>
      <c r="C133" s="243"/>
      <c r="D133" s="244"/>
      <c r="I133" s="241"/>
      <c r="J133" s="240"/>
    </row>
    <row r="134">
      <c r="B134" s="242"/>
      <c r="C134" s="243"/>
      <c r="D134" s="244"/>
      <c r="I134" s="241"/>
      <c r="J134" s="240"/>
    </row>
    <row r="135">
      <c r="B135" s="242"/>
      <c r="C135" s="243"/>
      <c r="D135" s="244"/>
      <c r="I135" s="241"/>
      <c r="J135" s="240"/>
    </row>
    <row r="136">
      <c r="B136" s="242"/>
      <c r="C136" s="243"/>
      <c r="D136" s="244"/>
      <c r="I136" s="241"/>
      <c r="J136" s="240"/>
    </row>
    <row r="137">
      <c r="B137" s="242"/>
      <c r="C137" s="243"/>
      <c r="D137" s="244"/>
      <c r="I137" s="241"/>
      <c r="J137" s="240"/>
    </row>
    <row r="138">
      <c r="B138" s="242"/>
      <c r="C138" s="243"/>
      <c r="D138" s="244"/>
      <c r="I138" s="241"/>
      <c r="J138" s="240"/>
    </row>
    <row r="139">
      <c r="B139" s="242"/>
      <c r="C139" s="243"/>
      <c r="D139" s="244"/>
      <c r="I139" s="241"/>
      <c r="J139" s="240"/>
    </row>
    <row r="140">
      <c r="B140" s="242"/>
      <c r="C140" s="243"/>
      <c r="D140" s="244"/>
      <c r="I140" s="241"/>
      <c r="J140" s="240"/>
    </row>
    <row r="141">
      <c r="B141" s="242"/>
      <c r="C141" s="243"/>
      <c r="D141" s="244"/>
      <c r="I141" s="241"/>
      <c r="J141" s="240"/>
    </row>
    <row r="142">
      <c r="B142" s="242"/>
      <c r="C142" s="243"/>
      <c r="D142" s="244"/>
      <c r="I142" s="241"/>
      <c r="J142" s="240"/>
    </row>
    <row r="143">
      <c r="B143" s="242"/>
      <c r="C143" s="243"/>
      <c r="D143" s="244"/>
      <c r="I143" s="241"/>
      <c r="J143" s="240"/>
    </row>
    <row r="144">
      <c r="B144" s="242"/>
      <c r="C144" s="243"/>
      <c r="D144" s="244"/>
      <c r="I144" s="241"/>
      <c r="J144" s="240"/>
    </row>
    <row r="145">
      <c r="B145" s="242"/>
      <c r="C145" s="243"/>
      <c r="D145" s="244"/>
      <c r="I145" s="241"/>
      <c r="J145" s="240"/>
    </row>
    <row r="146">
      <c r="B146" s="242"/>
      <c r="C146" s="243"/>
      <c r="D146" s="244"/>
      <c r="I146" s="241"/>
      <c r="J146" s="240"/>
    </row>
    <row r="147">
      <c r="B147" s="242"/>
      <c r="C147" s="243"/>
      <c r="D147" s="244"/>
      <c r="I147" s="241"/>
      <c r="J147" s="240"/>
    </row>
    <row r="148">
      <c r="B148" s="242"/>
      <c r="C148" s="243"/>
      <c r="D148" s="244"/>
      <c r="I148" s="241"/>
      <c r="J148" s="240"/>
    </row>
    <row r="149">
      <c r="B149" s="242"/>
      <c r="C149" s="243"/>
      <c r="D149" s="244"/>
      <c r="I149" s="241"/>
      <c r="J149" s="240"/>
    </row>
    <row r="150">
      <c r="B150" s="242"/>
      <c r="C150" s="243"/>
      <c r="D150" s="244"/>
      <c r="I150" s="241"/>
      <c r="J150" s="240"/>
    </row>
    <row r="151">
      <c r="B151" s="242"/>
      <c r="C151" s="243"/>
      <c r="D151" s="244"/>
      <c r="I151" s="241"/>
      <c r="J151" s="240"/>
    </row>
    <row r="152">
      <c r="B152" s="245"/>
      <c r="C152" s="243"/>
      <c r="D152" s="244"/>
      <c r="I152" s="241"/>
      <c r="J152" s="240"/>
    </row>
    <row r="153">
      <c r="B153" s="245"/>
      <c r="C153" s="243"/>
      <c r="D153" s="244"/>
      <c r="I153" s="241"/>
      <c r="J153" s="240"/>
    </row>
    <row r="154">
      <c r="B154" s="245"/>
      <c r="C154" s="243"/>
      <c r="D154" s="244"/>
      <c r="I154" s="241"/>
      <c r="J154" s="240"/>
    </row>
    <row r="155">
      <c r="B155" s="245"/>
      <c r="C155" s="243"/>
      <c r="D155" s="244"/>
      <c r="I155" s="241"/>
      <c r="J155" s="240"/>
    </row>
    <row r="156">
      <c r="B156" s="245"/>
      <c r="C156" s="243"/>
      <c r="D156" s="244"/>
      <c r="I156" s="241"/>
      <c r="J156" s="240"/>
    </row>
    <row r="157">
      <c r="B157" s="245"/>
      <c r="C157" s="243"/>
      <c r="D157" s="244"/>
      <c r="I157" s="241"/>
      <c r="J157" s="240"/>
    </row>
    <row r="158">
      <c r="B158" s="245"/>
      <c r="C158" s="243"/>
      <c r="D158" s="244"/>
      <c r="I158" s="241"/>
      <c r="J158" s="240"/>
    </row>
    <row r="159">
      <c r="B159" s="245"/>
      <c r="C159" s="243"/>
      <c r="D159" s="244"/>
      <c r="I159" s="241"/>
      <c r="J159" s="240"/>
    </row>
    <row r="160">
      <c r="B160" s="245"/>
      <c r="C160" s="243"/>
      <c r="D160" s="244"/>
      <c r="I160" s="241"/>
      <c r="J160" s="240"/>
    </row>
    <row r="161">
      <c r="B161" s="245"/>
      <c r="C161" s="243"/>
      <c r="D161" s="244"/>
      <c r="I161" s="241"/>
      <c r="J161" s="240"/>
    </row>
    <row r="162">
      <c r="B162" s="245"/>
      <c r="C162" s="243"/>
      <c r="D162" s="244"/>
      <c r="I162" s="241"/>
      <c r="J162" s="240"/>
    </row>
    <row r="163">
      <c r="B163" s="245"/>
      <c r="C163" s="243"/>
      <c r="D163" s="244"/>
      <c r="I163" s="241"/>
      <c r="J163" s="240"/>
    </row>
    <row r="164">
      <c r="B164" s="245"/>
      <c r="C164" s="243"/>
      <c r="D164" s="244"/>
      <c r="I164" s="241"/>
      <c r="J164" s="240"/>
    </row>
    <row r="165">
      <c r="B165" s="245"/>
      <c r="C165" s="243"/>
      <c r="D165" s="244"/>
      <c r="I165" s="241"/>
      <c r="J165" s="240"/>
    </row>
    <row r="166">
      <c r="B166" s="245"/>
      <c r="C166" s="243"/>
      <c r="D166" s="244"/>
      <c r="I166" s="241"/>
      <c r="J166" s="240"/>
    </row>
    <row r="167">
      <c r="B167" s="245"/>
      <c r="C167" s="243"/>
      <c r="D167" s="244"/>
      <c r="I167" s="241"/>
      <c r="J167" s="240"/>
    </row>
    <row r="168">
      <c r="B168" s="245"/>
      <c r="C168" s="243"/>
      <c r="D168" s="244"/>
      <c r="I168" s="241"/>
      <c r="J168" s="240"/>
    </row>
    <row r="169">
      <c r="B169" s="245"/>
      <c r="C169" s="243"/>
      <c r="D169" s="244"/>
      <c r="I169" s="241"/>
      <c r="J169" s="240"/>
    </row>
    <row r="170">
      <c r="B170" s="245"/>
      <c r="C170" s="243"/>
      <c r="D170" s="244"/>
      <c r="I170" s="241"/>
      <c r="J170" s="240"/>
    </row>
    <row r="171">
      <c r="B171" s="245"/>
      <c r="C171" s="243"/>
      <c r="D171" s="244"/>
      <c r="I171" s="241"/>
      <c r="J171" s="240"/>
    </row>
    <row r="172">
      <c r="B172" s="245"/>
      <c r="C172" s="243"/>
      <c r="D172" s="244"/>
      <c r="I172" s="241"/>
      <c r="J172" s="240"/>
    </row>
    <row r="173">
      <c r="B173" s="245"/>
      <c r="C173" s="243"/>
      <c r="D173" s="244"/>
      <c r="I173" s="241"/>
      <c r="J173" s="240"/>
    </row>
    <row r="174">
      <c r="B174" s="245"/>
      <c r="C174" s="243"/>
      <c r="D174" s="244"/>
      <c r="I174" s="241"/>
      <c r="J174" s="240"/>
    </row>
    <row r="175">
      <c r="B175" s="245"/>
      <c r="C175" s="243"/>
      <c r="D175" s="244"/>
      <c r="I175" s="241"/>
      <c r="J175" s="240"/>
    </row>
    <row r="176">
      <c r="B176" s="245"/>
      <c r="C176" s="243"/>
      <c r="D176" s="244"/>
      <c r="I176" s="241"/>
      <c r="J176" s="240"/>
    </row>
    <row r="177">
      <c r="B177" s="245"/>
      <c r="C177" s="243"/>
      <c r="D177" s="244"/>
      <c r="I177" s="241"/>
      <c r="J177" s="240"/>
    </row>
    <row r="178">
      <c r="B178" s="245"/>
      <c r="C178" s="243"/>
      <c r="D178" s="244"/>
      <c r="I178" s="241"/>
      <c r="J178" s="240"/>
    </row>
    <row r="179">
      <c r="B179" s="245"/>
      <c r="C179" s="243"/>
      <c r="D179" s="244"/>
      <c r="I179" s="241"/>
      <c r="J179" s="240"/>
    </row>
    <row r="180">
      <c r="B180" s="245"/>
      <c r="C180" s="243"/>
      <c r="D180" s="244"/>
      <c r="I180" s="241"/>
      <c r="J180" s="240"/>
    </row>
    <row r="181">
      <c r="B181" s="245"/>
      <c r="C181" s="243"/>
      <c r="D181" s="244"/>
      <c r="I181" s="241"/>
      <c r="J181" s="240"/>
    </row>
    <row r="182">
      <c r="B182" s="245"/>
      <c r="C182" s="243"/>
      <c r="D182" s="244"/>
      <c r="I182" s="241"/>
      <c r="J182" s="240"/>
    </row>
    <row r="183">
      <c r="B183" s="245"/>
      <c r="C183" s="243"/>
      <c r="D183" s="244"/>
      <c r="I183" s="241"/>
      <c r="J183" s="240"/>
    </row>
    <row r="184">
      <c r="B184" s="245"/>
      <c r="C184" s="243"/>
      <c r="D184" s="244"/>
      <c r="I184" s="241"/>
      <c r="J184" s="240"/>
    </row>
    <row r="185">
      <c r="B185" s="245"/>
      <c r="C185" s="243"/>
      <c r="D185" s="244"/>
      <c r="I185" s="241"/>
      <c r="J185" s="240"/>
    </row>
    <row r="186">
      <c r="B186" s="245"/>
      <c r="C186" s="243"/>
      <c r="D186" s="244"/>
      <c r="I186" s="241"/>
      <c r="J186" s="240"/>
    </row>
    <row r="187">
      <c r="B187" s="245"/>
      <c r="C187" s="243"/>
      <c r="D187" s="244"/>
      <c r="I187" s="241"/>
      <c r="J187" s="240"/>
    </row>
    <row r="188">
      <c r="B188" s="245"/>
      <c r="C188" s="243"/>
      <c r="D188" s="244"/>
      <c r="I188" s="241"/>
      <c r="J188" s="240"/>
    </row>
    <row r="189">
      <c r="B189" s="245"/>
      <c r="C189" s="243"/>
      <c r="D189" s="244"/>
      <c r="I189" s="241"/>
      <c r="J189" s="240"/>
    </row>
    <row r="190">
      <c r="B190" s="245"/>
      <c r="C190" s="243"/>
      <c r="D190" s="244"/>
      <c r="I190" s="241"/>
      <c r="J190" s="240"/>
    </row>
    <row r="191">
      <c r="B191" s="245"/>
      <c r="C191" s="243"/>
      <c r="D191" s="244"/>
      <c r="I191" s="241"/>
      <c r="J191" s="240"/>
    </row>
    <row r="192">
      <c r="B192" s="245"/>
      <c r="C192" s="243"/>
      <c r="D192" s="244"/>
      <c r="I192" s="241"/>
      <c r="J192" s="240"/>
    </row>
    <row r="193">
      <c r="B193" s="245"/>
      <c r="C193" s="243"/>
      <c r="D193" s="244"/>
      <c r="I193" s="241"/>
      <c r="J193" s="240"/>
    </row>
    <row r="194">
      <c r="B194" s="245"/>
      <c r="C194" s="243"/>
      <c r="D194" s="244"/>
      <c r="I194" s="241"/>
      <c r="J194" s="240"/>
    </row>
    <row r="195">
      <c r="B195" s="245"/>
      <c r="C195" s="243"/>
      <c r="D195" s="244"/>
      <c r="I195" s="241"/>
      <c r="J195" s="240"/>
    </row>
    <row r="196">
      <c r="B196" s="245"/>
      <c r="C196" s="243"/>
      <c r="D196" s="244"/>
      <c r="I196" s="241"/>
      <c r="J196" s="240"/>
    </row>
    <row r="197">
      <c r="B197" s="245"/>
      <c r="C197" s="243"/>
      <c r="D197" s="244"/>
      <c r="I197" s="241"/>
      <c r="J197" s="240"/>
    </row>
    <row r="198">
      <c r="B198" s="245"/>
      <c r="C198" s="243"/>
      <c r="D198" s="244"/>
      <c r="I198" s="241"/>
      <c r="J198" s="240"/>
    </row>
    <row r="199">
      <c r="B199" s="245"/>
      <c r="C199" s="243"/>
      <c r="D199" s="244"/>
      <c r="I199" s="241"/>
      <c r="J199" s="240"/>
    </row>
    <row r="200">
      <c r="B200" s="245"/>
      <c r="C200" s="243"/>
      <c r="D200" s="244"/>
      <c r="I200" s="241"/>
      <c r="J200" s="240"/>
    </row>
    <row r="201">
      <c r="B201" s="245"/>
      <c r="C201" s="243"/>
      <c r="D201" s="244"/>
      <c r="I201" s="241"/>
      <c r="J201" s="240"/>
    </row>
    <row r="202">
      <c r="B202" s="245"/>
      <c r="C202" s="243"/>
      <c r="D202" s="244"/>
      <c r="I202" s="241"/>
      <c r="J202" s="240"/>
    </row>
    <row r="203">
      <c r="B203" s="245"/>
      <c r="C203" s="243"/>
      <c r="D203" s="244"/>
      <c r="I203" s="241"/>
      <c r="J203" s="240"/>
    </row>
    <row r="204">
      <c r="B204" s="245"/>
      <c r="C204" s="243"/>
      <c r="D204" s="244"/>
      <c r="I204" s="241"/>
      <c r="J204" s="240"/>
    </row>
    <row r="205">
      <c r="B205" s="245"/>
      <c r="C205" s="243"/>
      <c r="D205" s="244"/>
      <c r="I205" s="241"/>
      <c r="J205" s="240"/>
    </row>
    <row r="206">
      <c r="B206" s="245"/>
      <c r="C206" s="243"/>
      <c r="D206" s="244"/>
      <c r="I206" s="241"/>
      <c r="J206" s="240"/>
    </row>
    <row r="207">
      <c r="B207" s="245"/>
      <c r="C207" s="243"/>
      <c r="D207" s="244"/>
      <c r="I207" s="241"/>
      <c r="J207" s="240"/>
    </row>
    <row r="208">
      <c r="B208" s="245"/>
      <c r="C208" s="243"/>
      <c r="D208" s="244"/>
      <c r="I208" s="241"/>
      <c r="J208" s="240"/>
    </row>
    <row r="209">
      <c r="B209" s="245"/>
      <c r="C209" s="243"/>
      <c r="D209" s="244"/>
      <c r="I209" s="241"/>
      <c r="J209" s="240"/>
    </row>
    <row r="210">
      <c r="B210" s="245"/>
      <c r="C210" s="243"/>
      <c r="D210" s="244"/>
      <c r="I210" s="241"/>
      <c r="J210" s="240"/>
    </row>
    <row r="211">
      <c r="B211" s="245"/>
      <c r="C211" s="243"/>
      <c r="D211" s="244"/>
      <c r="I211" s="241"/>
      <c r="J211" s="240"/>
    </row>
    <row r="212">
      <c r="B212" s="245"/>
      <c r="C212" s="243"/>
      <c r="D212" s="244"/>
      <c r="I212" s="241"/>
      <c r="J212" s="240"/>
    </row>
    <row r="213">
      <c r="B213" s="245"/>
      <c r="C213" s="243"/>
      <c r="D213" s="244"/>
      <c r="I213" s="241"/>
      <c r="J213" s="240"/>
    </row>
    <row r="214">
      <c r="B214" s="245"/>
      <c r="C214" s="243"/>
      <c r="D214" s="244"/>
      <c r="I214" s="241"/>
      <c r="J214" s="240"/>
    </row>
    <row r="215">
      <c r="B215" s="245"/>
      <c r="C215" s="243"/>
      <c r="D215" s="244"/>
      <c r="I215" s="241"/>
      <c r="J215" s="240"/>
    </row>
    <row r="216">
      <c r="B216" s="245"/>
      <c r="C216" s="243"/>
      <c r="D216" s="244"/>
      <c r="I216" s="241"/>
      <c r="J216" s="240"/>
    </row>
    <row r="217">
      <c r="B217" s="245"/>
      <c r="C217" s="243"/>
      <c r="D217" s="244"/>
      <c r="I217" s="241"/>
      <c r="J217" s="240"/>
    </row>
    <row r="218">
      <c r="B218" s="245"/>
      <c r="C218" s="243"/>
      <c r="D218" s="244"/>
      <c r="I218" s="241"/>
      <c r="J218" s="240"/>
    </row>
    <row r="219">
      <c r="B219" s="245"/>
      <c r="C219" s="243"/>
      <c r="D219" s="244"/>
      <c r="I219" s="241"/>
      <c r="J219" s="240"/>
    </row>
    <row r="220">
      <c r="B220" s="245"/>
      <c r="C220" s="243"/>
      <c r="D220" s="244"/>
      <c r="I220" s="241"/>
      <c r="J220" s="240"/>
    </row>
    <row r="221">
      <c r="B221" s="245"/>
      <c r="C221" s="243"/>
      <c r="D221" s="244"/>
      <c r="I221" s="241"/>
      <c r="J221" s="240"/>
    </row>
    <row r="222">
      <c r="B222" s="245"/>
      <c r="C222" s="243"/>
      <c r="D222" s="244"/>
      <c r="I222" s="241"/>
      <c r="J222" s="240"/>
    </row>
    <row r="223">
      <c r="B223" s="245"/>
      <c r="C223" s="243"/>
      <c r="D223" s="244"/>
      <c r="I223" s="241"/>
      <c r="J223" s="240"/>
    </row>
    <row r="224">
      <c r="B224" s="245"/>
      <c r="C224" s="243"/>
      <c r="D224" s="244"/>
      <c r="I224" s="241"/>
      <c r="J224" s="240"/>
    </row>
    <row r="225">
      <c r="B225" s="245"/>
      <c r="C225" s="243"/>
      <c r="D225" s="244"/>
      <c r="I225" s="241"/>
      <c r="J225" s="240"/>
    </row>
    <row r="226">
      <c r="B226" s="245"/>
      <c r="C226" s="243"/>
      <c r="D226" s="244"/>
      <c r="I226" s="241"/>
      <c r="J226" s="240"/>
    </row>
    <row r="227">
      <c r="B227" s="245"/>
      <c r="C227" s="243"/>
      <c r="D227" s="244"/>
      <c r="I227" s="241"/>
      <c r="J227" s="240"/>
    </row>
    <row r="228">
      <c r="B228" s="245"/>
      <c r="C228" s="243"/>
      <c r="D228" s="244"/>
      <c r="I228" s="241"/>
      <c r="J228" s="240"/>
    </row>
    <row r="229">
      <c r="B229" s="245"/>
      <c r="C229" s="243"/>
      <c r="D229" s="244"/>
      <c r="I229" s="241"/>
      <c r="J229" s="240"/>
    </row>
    <row r="230">
      <c r="B230" s="245"/>
      <c r="C230" s="243"/>
      <c r="D230" s="244"/>
      <c r="I230" s="241"/>
      <c r="J230" s="240"/>
    </row>
    <row r="231">
      <c r="B231" s="245"/>
      <c r="C231" s="243"/>
      <c r="D231" s="244"/>
      <c r="I231" s="241"/>
      <c r="J231" s="240"/>
    </row>
    <row r="232">
      <c r="B232" s="245"/>
      <c r="C232" s="243"/>
      <c r="D232" s="244"/>
      <c r="I232" s="241"/>
      <c r="J232" s="240"/>
    </row>
    <row r="233">
      <c r="B233" s="245"/>
      <c r="C233" s="243"/>
      <c r="D233" s="244"/>
      <c r="I233" s="241"/>
      <c r="J233" s="240"/>
    </row>
    <row r="234">
      <c r="B234" s="245"/>
      <c r="C234" s="243"/>
      <c r="D234" s="244"/>
      <c r="I234" s="241"/>
      <c r="J234" s="240"/>
    </row>
    <row r="235">
      <c r="B235" s="245"/>
      <c r="C235" s="243"/>
      <c r="D235" s="244"/>
      <c r="I235" s="241"/>
      <c r="J235" s="240"/>
    </row>
    <row r="236">
      <c r="B236" s="245"/>
      <c r="C236" s="243"/>
      <c r="D236" s="244"/>
      <c r="I236" s="241"/>
      <c r="J236" s="240"/>
    </row>
    <row r="237">
      <c r="B237" s="245"/>
      <c r="C237" s="243"/>
      <c r="D237" s="244"/>
      <c r="I237" s="241"/>
      <c r="J237" s="240"/>
    </row>
    <row r="238">
      <c r="B238" s="245"/>
      <c r="C238" s="243"/>
      <c r="D238" s="244"/>
      <c r="I238" s="241"/>
      <c r="J238" s="240"/>
    </row>
    <row r="239">
      <c r="B239" s="245"/>
      <c r="C239" s="243"/>
      <c r="D239" s="244"/>
      <c r="I239" s="241"/>
      <c r="J239" s="240"/>
    </row>
    <row r="240">
      <c r="B240" s="245"/>
      <c r="C240" s="243"/>
      <c r="D240" s="244"/>
      <c r="I240" s="241"/>
      <c r="J240" s="240"/>
    </row>
    <row r="241">
      <c r="B241" s="245"/>
      <c r="C241" s="243"/>
      <c r="D241" s="244"/>
      <c r="I241" s="241"/>
      <c r="J241" s="240"/>
    </row>
    <row r="242">
      <c r="B242" s="245"/>
      <c r="C242" s="243"/>
      <c r="D242" s="244"/>
      <c r="I242" s="241"/>
      <c r="J242" s="240"/>
    </row>
    <row r="243">
      <c r="B243" s="245"/>
      <c r="C243" s="243"/>
      <c r="D243" s="244"/>
      <c r="I243" s="241"/>
      <c r="J243" s="240"/>
    </row>
    <row r="244">
      <c r="B244" s="245"/>
      <c r="C244" s="243"/>
      <c r="D244" s="244"/>
      <c r="I244" s="241"/>
      <c r="J244" s="240"/>
    </row>
    <row r="245">
      <c r="B245" s="245"/>
      <c r="C245" s="243"/>
      <c r="D245" s="244"/>
      <c r="I245" s="241"/>
      <c r="J245" s="240"/>
    </row>
    <row r="246">
      <c r="B246" s="245"/>
      <c r="C246" s="243"/>
      <c r="D246" s="244"/>
      <c r="I246" s="241"/>
      <c r="J246" s="240"/>
    </row>
    <row r="247">
      <c r="B247" s="245"/>
      <c r="C247" s="243"/>
      <c r="D247" s="244"/>
      <c r="I247" s="241"/>
      <c r="J247" s="240"/>
    </row>
    <row r="248">
      <c r="B248" s="245"/>
      <c r="C248" s="243"/>
      <c r="D248" s="244"/>
      <c r="I248" s="241"/>
      <c r="J248" s="240"/>
    </row>
    <row r="249">
      <c r="B249" s="245"/>
      <c r="C249" s="243"/>
      <c r="D249" s="244"/>
      <c r="I249" s="241"/>
      <c r="J249" s="240"/>
    </row>
    <row r="250">
      <c r="B250" s="245"/>
      <c r="C250" s="243"/>
      <c r="D250" s="244"/>
      <c r="I250" s="241"/>
      <c r="J250" s="240"/>
    </row>
    <row r="251">
      <c r="B251" s="245"/>
      <c r="C251" s="243"/>
      <c r="D251" s="244"/>
      <c r="I251" s="241"/>
      <c r="J251" s="240"/>
    </row>
    <row r="252">
      <c r="B252" s="245"/>
      <c r="C252" s="243"/>
      <c r="D252" s="244"/>
      <c r="I252" s="241"/>
      <c r="J252" s="240"/>
    </row>
    <row r="253">
      <c r="B253" s="245"/>
      <c r="C253" s="243"/>
      <c r="D253" s="244"/>
      <c r="I253" s="241"/>
      <c r="J253" s="240"/>
    </row>
    <row r="254">
      <c r="B254" s="245"/>
      <c r="C254" s="243"/>
      <c r="D254" s="244"/>
      <c r="I254" s="241"/>
      <c r="J254" s="240"/>
    </row>
    <row r="255">
      <c r="B255" s="245"/>
      <c r="C255" s="243"/>
      <c r="D255" s="244"/>
      <c r="I255" s="241"/>
      <c r="J255" s="240"/>
    </row>
    <row r="256">
      <c r="B256" s="245"/>
      <c r="C256" s="243"/>
      <c r="D256" s="244"/>
      <c r="I256" s="241"/>
      <c r="J256" s="240"/>
    </row>
    <row r="257">
      <c r="B257" s="245"/>
      <c r="C257" s="243"/>
      <c r="D257" s="244"/>
      <c r="I257" s="241"/>
      <c r="J257" s="240"/>
    </row>
    <row r="258">
      <c r="B258" s="245"/>
      <c r="C258" s="243"/>
      <c r="D258" s="244"/>
      <c r="I258" s="241"/>
      <c r="J258" s="240"/>
    </row>
    <row r="259">
      <c r="B259" s="245"/>
      <c r="C259" s="243"/>
      <c r="D259" s="244"/>
      <c r="I259" s="241"/>
      <c r="J259" s="240"/>
    </row>
    <row r="260">
      <c r="B260" s="245"/>
      <c r="C260" s="243"/>
      <c r="D260" s="244"/>
      <c r="I260" s="241"/>
      <c r="J260" s="240"/>
    </row>
    <row r="261">
      <c r="B261" s="245"/>
      <c r="C261" s="243"/>
      <c r="D261" s="244"/>
      <c r="I261" s="241"/>
      <c r="J261" s="240"/>
    </row>
    <row r="262">
      <c r="B262" s="245"/>
      <c r="C262" s="243"/>
      <c r="D262" s="244"/>
      <c r="I262" s="241"/>
      <c r="J262" s="240"/>
    </row>
    <row r="263">
      <c r="B263" s="245"/>
      <c r="C263" s="243"/>
      <c r="D263" s="244"/>
      <c r="I263" s="241"/>
      <c r="J263" s="240"/>
    </row>
    <row r="264">
      <c r="B264" s="245"/>
      <c r="C264" s="243"/>
      <c r="D264" s="244"/>
      <c r="I264" s="241"/>
      <c r="J264" s="240"/>
    </row>
    <row r="265">
      <c r="B265" s="245"/>
      <c r="C265" s="243"/>
      <c r="D265" s="244"/>
      <c r="I265" s="241"/>
      <c r="J265" s="240"/>
    </row>
    <row r="266">
      <c r="B266" s="245"/>
      <c r="C266" s="243"/>
      <c r="D266" s="244"/>
      <c r="I266" s="241"/>
      <c r="J266" s="240"/>
    </row>
    <row r="267">
      <c r="B267" s="245"/>
      <c r="C267" s="243"/>
      <c r="D267" s="244"/>
      <c r="I267" s="241"/>
      <c r="J267" s="240"/>
    </row>
    <row r="268">
      <c r="B268" s="245"/>
      <c r="C268" s="243"/>
      <c r="D268" s="244"/>
      <c r="I268" s="241"/>
      <c r="J268" s="240"/>
    </row>
    <row r="269">
      <c r="B269" s="245"/>
      <c r="C269" s="243"/>
      <c r="D269" s="244"/>
      <c r="I269" s="241"/>
      <c r="J269" s="240"/>
    </row>
    <row r="270">
      <c r="B270" s="245"/>
      <c r="C270" s="243"/>
      <c r="D270" s="244"/>
      <c r="I270" s="241"/>
      <c r="J270" s="240"/>
    </row>
    <row r="271">
      <c r="B271" s="245"/>
      <c r="C271" s="243"/>
      <c r="D271" s="244"/>
      <c r="I271" s="241"/>
      <c r="J271" s="240"/>
    </row>
    <row r="272">
      <c r="B272" s="245"/>
      <c r="C272" s="243"/>
      <c r="D272" s="244"/>
      <c r="I272" s="241"/>
      <c r="J272" s="240"/>
    </row>
    <row r="273">
      <c r="B273" s="245"/>
      <c r="C273" s="243"/>
      <c r="D273" s="244"/>
      <c r="I273" s="241"/>
      <c r="J273" s="240"/>
    </row>
    <row r="274">
      <c r="B274" s="245"/>
      <c r="C274" s="243"/>
      <c r="D274" s="244"/>
      <c r="I274" s="241"/>
      <c r="J274" s="240"/>
    </row>
    <row r="275">
      <c r="B275" s="245"/>
      <c r="C275" s="243"/>
      <c r="D275" s="244"/>
      <c r="I275" s="241"/>
      <c r="J275" s="240"/>
    </row>
    <row r="276">
      <c r="B276" s="245"/>
      <c r="C276" s="243"/>
      <c r="D276" s="244"/>
      <c r="I276" s="241"/>
      <c r="J276" s="240"/>
    </row>
    <row r="277">
      <c r="B277" s="245"/>
      <c r="C277" s="243"/>
      <c r="D277" s="244"/>
      <c r="I277" s="241"/>
      <c r="J277" s="240"/>
    </row>
    <row r="278">
      <c r="B278" s="245"/>
      <c r="C278" s="243"/>
      <c r="D278" s="244"/>
      <c r="I278" s="241"/>
      <c r="J278" s="240"/>
    </row>
    <row r="279">
      <c r="B279" s="245"/>
      <c r="C279" s="243"/>
      <c r="D279" s="244"/>
      <c r="I279" s="241"/>
      <c r="J279" s="240"/>
    </row>
    <row r="280">
      <c r="B280" s="245"/>
      <c r="C280" s="243"/>
      <c r="D280" s="244"/>
      <c r="I280" s="241"/>
      <c r="J280" s="240"/>
    </row>
    <row r="281">
      <c r="B281" s="245"/>
      <c r="C281" s="243"/>
      <c r="D281" s="244"/>
      <c r="I281" s="241"/>
      <c r="J281" s="240"/>
    </row>
    <row r="282">
      <c r="B282" s="245"/>
      <c r="C282" s="243"/>
      <c r="D282" s="244"/>
      <c r="I282" s="241"/>
      <c r="J282" s="240"/>
    </row>
    <row r="283">
      <c r="B283" s="245"/>
      <c r="C283" s="243"/>
      <c r="D283" s="244"/>
      <c r="I283" s="241"/>
      <c r="J283" s="240"/>
    </row>
    <row r="284">
      <c r="B284" s="245"/>
      <c r="C284" s="243"/>
      <c r="D284" s="244"/>
      <c r="I284" s="241"/>
      <c r="J284" s="240"/>
    </row>
    <row r="285">
      <c r="B285" s="245"/>
      <c r="C285" s="243"/>
      <c r="D285" s="244"/>
      <c r="I285" s="241"/>
      <c r="J285" s="240"/>
    </row>
    <row r="286">
      <c r="B286" s="245"/>
      <c r="C286" s="243"/>
      <c r="D286" s="244"/>
      <c r="I286" s="241"/>
      <c r="J286" s="240"/>
    </row>
    <row r="287">
      <c r="B287" s="245"/>
      <c r="C287" s="243"/>
      <c r="D287" s="244"/>
      <c r="I287" s="241"/>
      <c r="J287" s="240"/>
    </row>
    <row r="288">
      <c r="B288" s="245"/>
      <c r="C288" s="243"/>
      <c r="D288" s="244"/>
      <c r="I288" s="241"/>
      <c r="J288" s="240"/>
    </row>
    <row r="289">
      <c r="B289" s="245"/>
      <c r="C289" s="243"/>
      <c r="D289" s="244"/>
      <c r="I289" s="241"/>
      <c r="J289" s="240"/>
    </row>
    <row r="290">
      <c r="B290" s="245"/>
      <c r="C290" s="243"/>
      <c r="D290" s="244"/>
      <c r="I290" s="241"/>
      <c r="J290" s="240"/>
    </row>
    <row r="291">
      <c r="B291" s="245"/>
      <c r="C291" s="243"/>
      <c r="D291" s="244"/>
      <c r="I291" s="241"/>
      <c r="J291" s="240"/>
    </row>
    <row r="292">
      <c r="B292" s="245"/>
      <c r="C292" s="243"/>
      <c r="D292" s="244"/>
      <c r="I292" s="241"/>
      <c r="J292" s="240"/>
    </row>
    <row r="293">
      <c r="B293" s="245"/>
      <c r="C293" s="243"/>
      <c r="D293" s="244"/>
      <c r="I293" s="241"/>
      <c r="J293" s="240"/>
    </row>
    <row r="294">
      <c r="B294" s="245"/>
      <c r="C294" s="243"/>
      <c r="D294" s="244"/>
      <c r="I294" s="241"/>
      <c r="J294" s="240"/>
    </row>
    <row r="295">
      <c r="B295" s="245"/>
      <c r="C295" s="243"/>
      <c r="D295" s="244"/>
      <c r="I295" s="241"/>
      <c r="J295" s="240"/>
    </row>
    <row r="296">
      <c r="B296" s="245"/>
      <c r="C296" s="243"/>
      <c r="D296" s="244"/>
      <c r="I296" s="241"/>
      <c r="J296" s="240"/>
    </row>
    <row r="297">
      <c r="B297" s="245"/>
      <c r="C297" s="243"/>
      <c r="D297" s="244"/>
      <c r="I297" s="241"/>
      <c r="J297" s="240"/>
    </row>
    <row r="298">
      <c r="B298" s="245"/>
      <c r="C298" s="243"/>
      <c r="D298" s="244"/>
      <c r="I298" s="241"/>
      <c r="J298" s="240"/>
    </row>
    <row r="299">
      <c r="B299" s="245"/>
      <c r="C299" s="243"/>
      <c r="D299" s="244"/>
      <c r="I299" s="241"/>
      <c r="J299" s="240"/>
    </row>
    <row r="300">
      <c r="B300" s="245"/>
      <c r="C300" s="243"/>
      <c r="D300" s="244"/>
      <c r="I300" s="241"/>
      <c r="J300" s="240"/>
    </row>
    <row r="301">
      <c r="B301" s="245"/>
      <c r="C301" s="243"/>
      <c r="D301" s="244"/>
      <c r="I301" s="241"/>
      <c r="J301" s="240"/>
    </row>
    <row r="302">
      <c r="B302" s="245"/>
      <c r="C302" s="243"/>
      <c r="D302" s="244"/>
      <c r="I302" s="241"/>
      <c r="J302" s="240"/>
    </row>
    <row r="303">
      <c r="B303" s="245"/>
      <c r="C303" s="243"/>
      <c r="D303" s="244"/>
      <c r="I303" s="241"/>
      <c r="J303" s="240"/>
    </row>
    <row r="304">
      <c r="B304" s="245"/>
      <c r="C304" s="243"/>
      <c r="D304" s="244"/>
      <c r="I304" s="241"/>
      <c r="J304" s="240"/>
    </row>
    <row r="305">
      <c r="B305" s="245"/>
      <c r="C305" s="243"/>
      <c r="D305" s="244"/>
      <c r="I305" s="241"/>
      <c r="J305" s="240"/>
    </row>
    <row r="306">
      <c r="B306" s="245"/>
      <c r="C306" s="243"/>
      <c r="D306" s="244"/>
      <c r="I306" s="241"/>
      <c r="J306" s="240"/>
    </row>
    <row r="307">
      <c r="B307" s="245"/>
      <c r="C307" s="243"/>
      <c r="D307" s="244"/>
      <c r="I307" s="241"/>
      <c r="J307" s="240"/>
    </row>
    <row r="308">
      <c r="B308" s="245"/>
      <c r="C308" s="243"/>
      <c r="D308" s="244"/>
      <c r="I308" s="241"/>
      <c r="J308" s="240"/>
    </row>
  </sheetData>
  <autoFilter ref="$B$2:$D$131"/>
  <mergeCells count="16">
    <mergeCell ref="B2:D2"/>
    <mergeCell ref="G3:G4"/>
    <mergeCell ref="H3:H4"/>
    <mergeCell ref="G5:G6"/>
    <mergeCell ref="H5:H6"/>
    <mergeCell ref="G7:G8"/>
    <mergeCell ref="H7:H8"/>
    <mergeCell ref="F34:F35"/>
    <mergeCell ref="G34:G35"/>
    <mergeCell ref="F3:F8"/>
    <mergeCell ref="F25:F26"/>
    <mergeCell ref="G25:G26"/>
    <mergeCell ref="F29:F30"/>
    <mergeCell ref="G29:G30"/>
    <mergeCell ref="F32:F33"/>
    <mergeCell ref="G32:G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7.43"/>
  </cols>
  <sheetData>
    <row r="2">
      <c r="B2" s="246" t="s">
        <v>4</v>
      </c>
      <c r="C2" s="247" t="s">
        <v>5</v>
      </c>
      <c r="D2" s="248" t="s">
        <v>8</v>
      </c>
    </row>
    <row r="3">
      <c r="B3" s="24" t="s">
        <v>13</v>
      </c>
      <c r="C3" s="25" t="s">
        <v>10</v>
      </c>
      <c r="D3" s="249">
        <f>'Estrutura Salarial'!F7</f>
        <v>10</v>
      </c>
    </row>
    <row r="4">
      <c r="B4" s="24" t="s">
        <v>9</v>
      </c>
      <c r="C4" s="25" t="s">
        <v>10</v>
      </c>
      <c r="D4" s="249">
        <f>'Estrutura Salarial'!F8</f>
        <v>10</v>
      </c>
    </row>
    <row r="5">
      <c r="B5" s="24" t="s">
        <v>76</v>
      </c>
      <c r="C5" s="25" t="s">
        <v>10</v>
      </c>
      <c r="D5" s="249">
        <f>'Estrutura Salarial'!F9</f>
        <v>11</v>
      </c>
    </row>
    <row r="6">
      <c r="B6" s="38" t="s">
        <v>102</v>
      </c>
      <c r="C6" s="25" t="s">
        <v>10</v>
      </c>
      <c r="D6" s="249">
        <f>'Estrutura Salarial'!F10</f>
        <v>11</v>
      </c>
    </row>
    <row r="7">
      <c r="B7" s="24" t="s">
        <v>104</v>
      </c>
      <c r="C7" s="25" t="s">
        <v>90</v>
      </c>
      <c r="D7" s="249">
        <f>'Estrutura Salarial'!F11</f>
        <v>11</v>
      </c>
    </row>
    <row r="8">
      <c r="B8" s="24" t="s">
        <v>99</v>
      </c>
      <c r="C8" s="25" t="s">
        <v>90</v>
      </c>
      <c r="D8" s="249">
        <f>'Estrutura Salarial'!F12</f>
        <v>11</v>
      </c>
    </row>
    <row r="9">
      <c r="B9" s="24" t="s">
        <v>89</v>
      </c>
      <c r="C9" s="25" t="s">
        <v>90</v>
      </c>
      <c r="D9" s="249">
        <f>'Estrutura Salarial'!F13</f>
        <v>11</v>
      </c>
    </row>
    <row r="10">
      <c r="B10" s="24" t="s">
        <v>91</v>
      </c>
      <c r="C10" s="25" t="s">
        <v>90</v>
      </c>
      <c r="D10" s="249">
        <f>'Estrutura Salarial'!F14</f>
        <v>11</v>
      </c>
    </row>
    <row r="11">
      <c r="B11" s="24" t="s">
        <v>92</v>
      </c>
      <c r="C11" s="25" t="s">
        <v>90</v>
      </c>
      <c r="D11" s="249">
        <f>'Estrutura Salarial'!F15</f>
        <v>11</v>
      </c>
    </row>
    <row r="12">
      <c r="B12" s="24" t="s">
        <v>93</v>
      </c>
      <c r="C12" s="25" t="s">
        <v>90</v>
      </c>
      <c r="D12" s="249">
        <f>'Estrutura Salarial'!F16</f>
        <v>11</v>
      </c>
    </row>
    <row r="13">
      <c r="B13" s="24" t="s">
        <v>33</v>
      </c>
      <c r="C13" s="25" t="s">
        <v>34</v>
      </c>
      <c r="D13" s="249">
        <f>'Estrutura Salarial'!F17</f>
        <v>12</v>
      </c>
    </row>
    <row r="14">
      <c r="B14" s="24" t="s">
        <v>101</v>
      </c>
      <c r="C14" s="25" t="s">
        <v>34</v>
      </c>
      <c r="D14" s="249">
        <f>'Estrutura Salarial'!F18</f>
        <v>12</v>
      </c>
    </row>
    <row r="15">
      <c r="B15" s="24" t="s">
        <v>85</v>
      </c>
      <c r="C15" s="25" t="s">
        <v>34</v>
      </c>
      <c r="D15" s="249">
        <f>'Estrutura Salarial'!F19</f>
        <v>12</v>
      </c>
    </row>
    <row r="16">
      <c r="B16" s="24" t="s">
        <v>35</v>
      </c>
      <c r="C16" s="25" t="s">
        <v>36</v>
      </c>
      <c r="D16" s="249">
        <f>'Estrutura Salarial'!F20</f>
        <v>12</v>
      </c>
    </row>
    <row r="17">
      <c r="B17" s="24" t="s">
        <v>94</v>
      </c>
      <c r="C17" s="25" t="s">
        <v>36</v>
      </c>
      <c r="D17" s="249">
        <f>'Estrutura Salarial'!F22</f>
        <v>13</v>
      </c>
    </row>
    <row r="18">
      <c r="B18" s="24" t="s">
        <v>29</v>
      </c>
      <c r="C18" s="25" t="s">
        <v>30</v>
      </c>
      <c r="D18" s="249">
        <f>'Estrutura Salarial'!F23</f>
        <v>13</v>
      </c>
    </row>
    <row r="19">
      <c r="B19" s="24" t="s">
        <v>40</v>
      </c>
      <c r="C19" s="25" t="s">
        <v>30</v>
      </c>
      <c r="D19" s="249">
        <f>'Estrutura Salarial'!F24</f>
        <v>13</v>
      </c>
    </row>
    <row r="20">
      <c r="B20" s="24" t="s">
        <v>51</v>
      </c>
      <c r="C20" s="25" t="s">
        <v>30</v>
      </c>
      <c r="D20" s="249">
        <f>'Estrutura Salarial'!F25</f>
        <v>13</v>
      </c>
    </row>
    <row r="21">
      <c r="B21" s="24" t="s">
        <v>62</v>
      </c>
      <c r="C21" s="25" t="s">
        <v>30</v>
      </c>
      <c r="D21" s="249">
        <f>'Estrutura Salarial'!F26</f>
        <v>13</v>
      </c>
    </row>
    <row r="22">
      <c r="B22" s="24" t="s">
        <v>44</v>
      </c>
      <c r="C22" s="25" t="s">
        <v>30</v>
      </c>
      <c r="D22" s="249">
        <f>'Estrutura Salarial'!F27</f>
        <v>13</v>
      </c>
    </row>
    <row r="23">
      <c r="B23" s="24" t="s">
        <v>274</v>
      </c>
      <c r="C23" s="25" t="s">
        <v>30</v>
      </c>
      <c r="D23" s="249">
        <f>'Estrutura Salarial'!F29</f>
        <v>14</v>
      </c>
    </row>
    <row r="24">
      <c r="B24" s="250" t="s">
        <v>79</v>
      </c>
      <c r="C24" s="25" t="s">
        <v>30</v>
      </c>
      <c r="D24" s="249">
        <f>'Estrutura Salarial'!F30</f>
        <v>14</v>
      </c>
    </row>
    <row r="25">
      <c r="B25" s="250" t="s">
        <v>80</v>
      </c>
      <c r="C25" s="25" t="s">
        <v>30</v>
      </c>
      <c r="D25" s="249">
        <f>'Estrutura Salarial'!F31</f>
        <v>14</v>
      </c>
    </row>
    <row r="26">
      <c r="B26" s="250" t="s">
        <v>87</v>
      </c>
      <c r="C26" s="25" t="s">
        <v>30</v>
      </c>
      <c r="D26" s="249">
        <f>'Estrutura Salarial'!F32</f>
        <v>14</v>
      </c>
    </row>
    <row r="27">
      <c r="B27" s="250" t="s">
        <v>97</v>
      </c>
      <c r="C27" s="25" t="s">
        <v>30</v>
      </c>
      <c r="D27" s="249">
        <f>'Estrutura Salarial'!F33</f>
        <v>14</v>
      </c>
    </row>
    <row r="28">
      <c r="B28" s="24" t="s">
        <v>103</v>
      </c>
      <c r="C28" s="25" t="s">
        <v>30</v>
      </c>
      <c r="D28" s="249">
        <f>'Estrutura Salarial'!F34</f>
        <v>14</v>
      </c>
    </row>
    <row r="29">
      <c r="B29" s="24" t="s">
        <v>74</v>
      </c>
      <c r="C29" s="25" t="s">
        <v>30</v>
      </c>
      <c r="D29" s="249">
        <f>'Estrutura Salarial'!F35</f>
        <v>14</v>
      </c>
    </row>
    <row r="30">
      <c r="B30" s="24" t="s">
        <v>68</v>
      </c>
      <c r="C30" s="25" t="s">
        <v>30</v>
      </c>
      <c r="D30" s="249">
        <f>'Estrutura Salarial'!F36</f>
        <v>15</v>
      </c>
    </row>
    <row r="31">
      <c r="B31" s="24" t="s">
        <v>37</v>
      </c>
      <c r="C31" s="25" t="s">
        <v>20</v>
      </c>
      <c r="D31" s="249">
        <f>'Estrutura Salarial'!F37</f>
        <v>15</v>
      </c>
    </row>
    <row r="32">
      <c r="B32" s="24" t="s">
        <v>48</v>
      </c>
      <c r="C32" s="25" t="s">
        <v>20</v>
      </c>
      <c r="D32" s="249">
        <f>'Estrutura Salarial'!F38</f>
        <v>15</v>
      </c>
    </row>
    <row r="33">
      <c r="B33" s="24" t="s">
        <v>57</v>
      </c>
      <c r="C33" s="25" t="s">
        <v>20</v>
      </c>
      <c r="D33" s="249">
        <f>'Estrutura Salarial'!F39</f>
        <v>15</v>
      </c>
    </row>
    <row r="34">
      <c r="B34" s="24" t="s">
        <v>38</v>
      </c>
      <c r="C34" s="25" t="s">
        <v>20</v>
      </c>
      <c r="D34" s="249">
        <f>'Estrutura Salarial'!F40</f>
        <v>15</v>
      </c>
    </row>
    <row r="35">
      <c r="B35" s="24" t="s">
        <v>49</v>
      </c>
      <c r="C35" s="25" t="s">
        <v>20</v>
      </c>
      <c r="D35" s="249">
        <f>'Estrutura Salarial'!F41</f>
        <v>15</v>
      </c>
    </row>
    <row r="36">
      <c r="B36" s="24" t="s">
        <v>58</v>
      </c>
      <c r="C36" s="25" t="s">
        <v>20</v>
      </c>
      <c r="D36" s="249">
        <f>'Estrutura Salarial'!F42</f>
        <v>15</v>
      </c>
    </row>
    <row r="37">
      <c r="B37" s="24" t="s">
        <v>39</v>
      </c>
      <c r="C37" s="25" t="s">
        <v>20</v>
      </c>
      <c r="D37" s="249">
        <f>'Estrutura Salarial'!F44</f>
        <v>15</v>
      </c>
    </row>
    <row r="38">
      <c r="B38" s="24" t="s">
        <v>50</v>
      </c>
      <c r="C38" s="25" t="s">
        <v>20</v>
      </c>
      <c r="D38" s="249">
        <f>'Estrutura Salarial'!F45</f>
        <v>15</v>
      </c>
    </row>
    <row r="39">
      <c r="B39" s="24" t="s">
        <v>59</v>
      </c>
      <c r="C39" s="25" t="s">
        <v>20</v>
      </c>
      <c r="D39" s="249">
        <f>'Estrutura Salarial'!F46</f>
        <v>15</v>
      </c>
    </row>
    <row r="40">
      <c r="B40" s="24" t="s">
        <v>22</v>
      </c>
      <c r="C40" s="25" t="s">
        <v>20</v>
      </c>
      <c r="D40" s="249">
        <f>'Estrutura Salarial'!F47</f>
        <v>15</v>
      </c>
    </row>
    <row r="41">
      <c r="B41" s="24" t="s">
        <v>95</v>
      </c>
      <c r="C41" s="25" t="s">
        <v>20</v>
      </c>
      <c r="D41" s="249">
        <f>'Estrutura Salarial'!F48</f>
        <v>16</v>
      </c>
    </row>
    <row r="42">
      <c r="B42" s="24" t="s">
        <v>71</v>
      </c>
      <c r="C42" s="25" t="s">
        <v>20</v>
      </c>
      <c r="D42" s="249">
        <f>'Estrutura Salarial'!F49</f>
        <v>16</v>
      </c>
    </row>
    <row r="43">
      <c r="B43" s="24" t="s">
        <v>60</v>
      </c>
      <c r="C43" s="25" t="s">
        <v>61</v>
      </c>
      <c r="D43" s="249">
        <f>'Estrutura Salarial'!F50</f>
        <v>16</v>
      </c>
    </row>
    <row r="44">
      <c r="B44" s="24" t="s">
        <v>31</v>
      </c>
      <c r="C44" s="25" t="s">
        <v>32</v>
      </c>
      <c r="D44" s="249">
        <f>'Estrutura Salarial'!F51</f>
        <v>16</v>
      </c>
    </row>
    <row r="45">
      <c r="B45" s="24" t="s">
        <v>77</v>
      </c>
      <c r="C45" s="25" t="s">
        <v>32</v>
      </c>
      <c r="D45" s="249">
        <f>'Estrutura Salarial'!F52</f>
        <v>16</v>
      </c>
    </row>
    <row r="46">
      <c r="B46" s="24" t="s">
        <v>47</v>
      </c>
      <c r="C46" s="25" t="s">
        <v>24</v>
      </c>
      <c r="D46" s="249">
        <f>'Estrutura Salarial'!F53</f>
        <v>17</v>
      </c>
    </row>
    <row r="47">
      <c r="B47" s="24" t="s">
        <v>41</v>
      </c>
      <c r="C47" s="25" t="s">
        <v>24</v>
      </c>
      <c r="D47" s="249">
        <f>'Estrutura Salarial'!F54</f>
        <v>17</v>
      </c>
    </row>
    <row r="48">
      <c r="B48" s="24" t="s">
        <v>52</v>
      </c>
      <c r="C48" s="25" t="s">
        <v>24</v>
      </c>
      <c r="D48" s="249">
        <f>'Estrutura Salarial'!F55</f>
        <v>17</v>
      </c>
    </row>
    <row r="49">
      <c r="B49" s="24" t="s">
        <v>63</v>
      </c>
      <c r="C49" s="25" t="s">
        <v>24</v>
      </c>
      <c r="D49" s="249">
        <f>'Estrutura Salarial'!F56</f>
        <v>17</v>
      </c>
    </row>
    <row r="50">
      <c r="B50" s="24" t="s">
        <v>23</v>
      </c>
      <c r="C50" s="25" t="s">
        <v>24</v>
      </c>
      <c r="D50" s="249">
        <f>'Estrutura Salarial'!F57</f>
        <v>17</v>
      </c>
    </row>
    <row r="51">
      <c r="B51" s="24" t="s">
        <v>78</v>
      </c>
      <c r="C51" s="25" t="s">
        <v>24</v>
      </c>
      <c r="D51" s="249">
        <f>'Estrutura Salarial'!F58</f>
        <v>17</v>
      </c>
    </row>
    <row r="52">
      <c r="B52" s="24" t="s">
        <v>82</v>
      </c>
      <c r="C52" s="25" t="s">
        <v>83</v>
      </c>
      <c r="D52" s="249">
        <f>'Estrutura Salarial'!F59</f>
        <v>17</v>
      </c>
    </row>
    <row r="53">
      <c r="B53" s="24" t="s">
        <v>42</v>
      </c>
      <c r="C53" s="25" t="s">
        <v>43</v>
      </c>
      <c r="D53" s="249">
        <f>'Estrutura Salarial'!F60</f>
        <v>17</v>
      </c>
    </row>
    <row r="54">
      <c r="B54" s="24" t="s">
        <v>53</v>
      </c>
      <c r="C54" s="25" t="s">
        <v>43</v>
      </c>
      <c r="D54" s="249">
        <f>'Estrutura Salarial'!F61</f>
        <v>18</v>
      </c>
    </row>
    <row r="55">
      <c r="B55" s="24" t="s">
        <v>64</v>
      </c>
      <c r="C55" s="25" t="s">
        <v>43</v>
      </c>
      <c r="D55" s="249">
        <f>'Estrutura Salarial'!F62</f>
        <v>18</v>
      </c>
    </row>
    <row r="56">
      <c r="B56" s="24" t="s">
        <v>11</v>
      </c>
      <c r="C56" s="25" t="s">
        <v>12</v>
      </c>
      <c r="D56" s="249">
        <f>'Estrutura Salarial'!F64</f>
        <v>18</v>
      </c>
    </row>
    <row r="57">
      <c r="B57" s="24" t="s">
        <v>45</v>
      </c>
      <c r="C57" s="25" t="s">
        <v>46</v>
      </c>
      <c r="D57" s="249">
        <f>'Estrutura Salarial'!F67</f>
        <v>18</v>
      </c>
    </row>
    <row r="58">
      <c r="B58" s="24" t="s">
        <v>54</v>
      </c>
      <c r="C58" s="25" t="s">
        <v>46</v>
      </c>
      <c r="D58" s="249">
        <f>'Estrutura Salarial'!F68</f>
        <v>18</v>
      </c>
    </row>
    <row r="59">
      <c r="B59" s="24" t="s">
        <v>69</v>
      </c>
      <c r="C59" s="25" t="s">
        <v>46</v>
      </c>
      <c r="D59" s="249">
        <f>'Estrutura Salarial'!F69</f>
        <v>19</v>
      </c>
    </row>
    <row r="60">
      <c r="B60" s="24" t="s">
        <v>96</v>
      </c>
      <c r="C60" s="25" t="s">
        <v>46</v>
      </c>
      <c r="D60" s="249">
        <f>'Estrutura Salarial'!F70</f>
        <v>19</v>
      </c>
    </row>
    <row r="61">
      <c r="B61" s="24" t="s">
        <v>25</v>
      </c>
      <c r="C61" s="25" t="s">
        <v>26</v>
      </c>
      <c r="D61" s="249">
        <f>'Estrutura Salarial'!F71</f>
        <v>19</v>
      </c>
    </row>
    <row r="62">
      <c r="B62" s="24" t="s">
        <v>67</v>
      </c>
      <c r="C62" s="25" t="s">
        <v>28</v>
      </c>
      <c r="D62" s="249">
        <f>'Estrutura Salarial'!F72</f>
        <v>19</v>
      </c>
    </row>
    <row r="63">
      <c r="B63" s="24" t="s">
        <v>70</v>
      </c>
      <c r="C63" s="25" t="s">
        <v>28</v>
      </c>
      <c r="D63" s="249">
        <f>'Estrutura Salarial'!F73</f>
        <v>19</v>
      </c>
    </row>
    <row r="64">
      <c r="B64" s="24" t="s">
        <v>75</v>
      </c>
      <c r="C64" s="25" t="s">
        <v>28</v>
      </c>
      <c r="D64" s="249">
        <f>'Estrutura Salarial'!F74</f>
        <v>19</v>
      </c>
    </row>
    <row r="65">
      <c r="B65" s="24" t="s">
        <v>27</v>
      </c>
      <c r="C65" s="25" t="s">
        <v>28</v>
      </c>
      <c r="D65" s="249">
        <f>'Estrutura Salarial'!F75</f>
        <v>19</v>
      </c>
    </row>
    <row r="66">
      <c r="B66" s="24" t="s">
        <v>86</v>
      </c>
      <c r="C66" s="25" t="s">
        <v>28</v>
      </c>
      <c r="D66" s="249">
        <f>'Estrutura Salarial'!F76</f>
        <v>20</v>
      </c>
    </row>
    <row r="67">
      <c r="B67" s="24" t="s">
        <v>81</v>
      </c>
      <c r="C67" s="25" t="s">
        <v>28</v>
      </c>
      <c r="D67" s="249">
        <f>'Estrutura Salarial'!F77</f>
        <v>21</v>
      </c>
    </row>
    <row r="68">
      <c r="B68" s="24" t="s">
        <v>88</v>
      </c>
      <c r="C68" s="25" t="s">
        <v>28</v>
      </c>
      <c r="D68" s="249">
        <f>'Estrutura Salarial'!F78</f>
        <v>23</v>
      </c>
    </row>
    <row r="69">
      <c r="B69" s="24" t="s">
        <v>98</v>
      </c>
      <c r="C69" s="25" t="s">
        <v>28</v>
      </c>
      <c r="D69" s="249">
        <f>'Estrutura Salarial'!F79</f>
        <v>28</v>
      </c>
    </row>
    <row r="70">
      <c r="B70" s="24" t="s">
        <v>105</v>
      </c>
      <c r="C70" s="25" t="s">
        <v>28</v>
      </c>
      <c r="D70" s="249">
        <f>'Estrutura Salarial'!F80</f>
        <v>23</v>
      </c>
    </row>
    <row r="71">
      <c r="B71" s="24" t="s">
        <v>108</v>
      </c>
      <c r="C71" s="25" t="s">
        <v>107</v>
      </c>
      <c r="D71" s="249">
        <f>'Estrutura Salarial'!F82</f>
        <v>20</v>
      </c>
    </row>
  </sheetData>
  <autoFilter ref="$B$2:$D$68"/>
  <drawing r:id="rId1"/>
</worksheet>
</file>