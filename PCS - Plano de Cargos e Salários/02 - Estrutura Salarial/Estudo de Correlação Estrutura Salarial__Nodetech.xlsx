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Pagamento" sheetId="1" r:id="rId4"/>
    <sheet state="hidden" name="Jobmatch" sheetId="2" r:id="rId5"/>
    <sheet state="visible" name="Cálculos Comparativos" sheetId="3" r:id="rId6"/>
    <sheet state="visible" name="Tabela" sheetId="4" r:id="rId7"/>
    <sheet state="visible" name="Informações Relevantes Cenários" sheetId="5" r:id="rId8"/>
    <sheet state="hidden" name="Painel Geral" sheetId="6" r:id="rId9"/>
    <sheet state="hidden" name="Painel Áreas" sheetId="7" r:id="rId10"/>
    <sheet state="visible" name="C-01" sheetId="8" r:id="rId11"/>
    <sheet state="hidden" name="C-02" sheetId="9" r:id="rId12"/>
    <sheet state="hidden" name="Comparativo por Funcionário" sheetId="10" r:id="rId13"/>
  </sheets>
  <definedNames>
    <definedName hidden="1" localSheetId="0" name="_xlnm._FilterDatabase">'Folha de Pagamento'!$A$3:$N$657</definedName>
    <definedName hidden="1" localSheetId="1" name="_xlnm._FilterDatabase">Jobmatch!$A$3:$H$161</definedName>
    <definedName hidden="1" localSheetId="2" name="_xlnm._FilterDatabase">'Cálculos Comparativos'!$A$3:$AB$14</definedName>
    <definedName hidden="1" localSheetId="3" name="_xlnm._FilterDatabase">Tabela!$C$3:$Q$14</definedName>
    <definedName hidden="1" localSheetId="7" name="_xlnm._FilterDatabase">'C-01'!$A$1:$L$535</definedName>
    <definedName hidden="1" localSheetId="8" name="_xlnm._FilterDatabase">'C-02'!$A$1:$L$535</definedName>
    <definedName hidden="1" localSheetId="9" name="_xlnm._FilterDatabase">'Comparativo por Funcionário'!$A$3:$AA$36</definedName>
    <definedName hidden="1" localSheetId="2" name="Z_E2DF9EE9_5351_4C87_95C7_C6BC8ECC27A0_.wvu.FilterData">'Cálculos Comparativos'!$A$3:$T$14</definedName>
    <definedName hidden="1" localSheetId="3" name="Z_E2DF9EE9_5351_4C87_95C7_C6BC8ECC27A0_.wvu.FilterData">Tabela!$A$3:$AS$14</definedName>
    <definedName hidden="1" localSheetId="9" name="Z_E2DF9EE9_5351_4C87_95C7_C6BC8ECC27A0_.wvu.FilterData">'Comparativo por Funcionário'!$A$3:$R$3</definedName>
    <definedName hidden="1" localSheetId="2" name="Z_16267D53_AE4F_493A_9FCA_C37DCDE82F3A_.wvu.FilterData">'Cálculos Comparativos'!$A$3:$T$14</definedName>
    <definedName hidden="1" localSheetId="3" name="Z_16267D53_AE4F_493A_9FCA_C37DCDE82F3A_.wvu.FilterData">Tabela!$A$3:$AS$14</definedName>
    <definedName hidden="1" localSheetId="9" name="Z_16267D53_AE4F_493A_9FCA_C37DCDE82F3A_.wvu.FilterData">'Comparativo por Funcionário'!$A$3:$R$3</definedName>
    <definedName hidden="1" localSheetId="2" name="Z_9CC14AB5_3CFC_4A92_B1CE_63A67826BEAF_.wvu.FilterData">'Cálculos Comparativos'!$A$3:$T$14</definedName>
    <definedName hidden="1" localSheetId="3" name="Z_9CC14AB5_3CFC_4A92_B1CE_63A67826BEAF_.wvu.FilterData">Tabela!$A$3:$AS$14</definedName>
    <definedName hidden="1" localSheetId="9" name="Z_9CC14AB5_3CFC_4A92_B1CE_63A67826BEAF_.wvu.FilterData">'Comparativo por Funcionário'!$A$3:$R$3</definedName>
    <definedName hidden="1" localSheetId="1" name="Z_81F904FE_28E0_4D74_B51D_7D792BB873D6_.wvu.FilterData">Jobmatch!$A$3:$H$70</definedName>
    <definedName hidden="1" localSheetId="2" name="Z_81F904FE_28E0_4D74_B51D_7D792BB873D6_.wvu.FilterData">'Cálculos Comparativos'!$A$3:$T$14</definedName>
    <definedName hidden="1" localSheetId="3" name="Z_81F904FE_28E0_4D74_B51D_7D792BB873D6_.wvu.FilterData">Tabela!$A$3:$AS$14</definedName>
    <definedName hidden="1" localSheetId="9" name="Z_81F904FE_28E0_4D74_B51D_7D792BB873D6_.wvu.FilterData">'Comparativo por Funcionário'!$A$3:$R$3</definedName>
    <definedName hidden="1" localSheetId="1" name="Z_B3136B7F_1AF2_41D2_A6A0_D5C371117022_.wvu.FilterData">Jobmatch!$A$3:$H$70</definedName>
    <definedName hidden="1" localSheetId="2" name="Z_B3136B7F_1AF2_41D2_A6A0_D5C371117022_.wvu.FilterData">'Cálculos Comparativos'!$A$3:$T$14</definedName>
    <definedName hidden="1" localSheetId="3" name="Z_B3136B7F_1AF2_41D2_A6A0_D5C371117022_.wvu.FilterData">Tabela!$A$3:$AS$14</definedName>
    <definedName hidden="1" localSheetId="9" name="Z_B3136B7F_1AF2_41D2_A6A0_D5C371117022_.wvu.FilterData">'Comparativo por Funcionário'!$A$3:$R$3</definedName>
    <definedName hidden="1" localSheetId="2" name="Z_0CE128BF_1F52_4C57_A482_C30D70A769EB_.wvu.FilterData">'Cálculos Comparativos'!$A$3:$T$14</definedName>
    <definedName hidden="1" localSheetId="3" name="Z_0CE128BF_1F52_4C57_A482_C30D70A769EB_.wvu.FilterData">Tabela!$A$3:$AS$14</definedName>
    <definedName hidden="1" localSheetId="9" name="Z_0CE128BF_1F52_4C57_A482_C30D70A769EB_.wvu.FilterData">'Comparativo por Funcionário'!$A$3:$R$3</definedName>
    <definedName hidden="1" localSheetId="2" name="Z_F5D8333B_E41C_4D3E_BD2D_109338363F36_.wvu.FilterData">'Cálculos Comparativos'!$B$1:$T$1</definedName>
    <definedName hidden="1" localSheetId="3" name="Z_F5D8333B_E41C_4D3E_BD2D_109338363F36_.wvu.FilterData">Tabela!$B$1:$AS$1</definedName>
    <definedName hidden="1" localSheetId="9" name="Z_F5D8333B_E41C_4D3E_BD2D_109338363F36_.wvu.FilterData">'Comparativo por Funcionário'!$A$1:$R$1</definedName>
  </definedNames>
  <calcPr/>
  <customWorkbookViews>
    <customWorkbookView activeSheetId="0" maximized="1" windowHeight="0" windowWidth="0" guid="{0CE128BF-1F52-4C57-A482-C30D70A769EB}" name="Filter 6"/>
    <customWorkbookView activeSheetId="0" maximized="1" windowHeight="0" windowWidth="0" guid="{16267D53-AE4F-493A-9FCA-C37DCDE82F3A}" name="Filter 7"/>
    <customWorkbookView activeSheetId="0" maximized="1" windowHeight="0" windowWidth="0" guid="{9CC14AB5-3CFC-4A92-B1CE-63A67826BEAF}" name="Filter 4"/>
    <customWorkbookView activeSheetId="0" maximized="1" windowHeight="0" windowWidth="0" guid="{E2DF9EE9-5351-4C87-95C7-C6BC8ECC27A0}" name="Filter 5"/>
    <customWorkbookView activeSheetId="0" maximized="1" windowHeight="0" windowWidth="0" guid="{81F904FE-28E0-4D74-B51D-7D792BB873D6}" name="Filter 2"/>
    <customWorkbookView activeSheetId="0" maximized="1" windowHeight="0" windowWidth="0" guid="{B3136B7F-1AF2-41D2-A6A0-D5C371117022}" name="Filter 3"/>
    <customWorkbookView activeSheetId="0" maximized="1" windowHeight="0" windowWidth="0" guid="{F5D8333B-E41C-4D3E-BD2D-109338363F36}" name="Filter 1"/>
  </customWorkbookViews>
</workbook>
</file>

<file path=xl/sharedStrings.xml><?xml version="1.0" encoding="utf-8"?>
<sst xmlns="http://schemas.openxmlformats.org/spreadsheetml/2006/main" count="773" uniqueCount="173">
  <si>
    <t>Folha de Pagamento</t>
  </si>
  <si>
    <t>CNPJ da empresa: 
Referência da Folha de Pagamento: 09/2025
Quantidade de horas mensais usada: 160h
Data de Construção: 06/10/2025</t>
  </si>
  <si>
    <t>Cod. do cargo</t>
  </si>
  <si>
    <t>Cod. do funcionário</t>
  </si>
  <si>
    <t>Cargo atual</t>
  </si>
  <si>
    <t>Novo Cargo</t>
  </si>
  <si>
    <t>Senioridade</t>
  </si>
  <si>
    <t>Nível Organizacional</t>
  </si>
  <si>
    <t>Área</t>
  </si>
  <si>
    <t>Carga Horária</t>
  </si>
  <si>
    <t>Salários</t>
  </si>
  <si>
    <t>Tipo de Contratação</t>
  </si>
  <si>
    <t>CBO</t>
  </si>
  <si>
    <t>Gênero</t>
  </si>
  <si>
    <t>Data de Admissão</t>
  </si>
  <si>
    <t xml:space="preserve">Observações </t>
  </si>
  <si>
    <t>Engenheiro de Software Full Stack</t>
  </si>
  <si>
    <t>Engenheiro de Software Full Stack Sr</t>
  </si>
  <si>
    <t>Sênior</t>
  </si>
  <si>
    <t>Tático</t>
  </si>
  <si>
    <t>DEV</t>
  </si>
  <si>
    <t>CLT</t>
  </si>
  <si>
    <t>Masculino</t>
  </si>
  <si>
    <t>Engenheiro de Software Full Stack Pl</t>
  </si>
  <si>
    <t>Pleno</t>
  </si>
  <si>
    <t>Operacional</t>
  </si>
  <si>
    <t>1/13/2025</t>
  </si>
  <si>
    <t>Feminino</t>
  </si>
  <si>
    <t>Engenheiro de Software Full Stack Jr</t>
  </si>
  <si>
    <t>Júnior</t>
  </si>
  <si>
    <t>2/19/2024</t>
  </si>
  <si>
    <t>9/16/2024</t>
  </si>
  <si>
    <t>10/14/2024</t>
  </si>
  <si>
    <t>Analista de Requisitos</t>
  </si>
  <si>
    <t>Lider</t>
  </si>
  <si>
    <t>Estratégico</t>
  </si>
  <si>
    <t>Jobmatch</t>
  </si>
  <si>
    <t>Cod.</t>
  </si>
  <si>
    <t>Cargos Empresa</t>
  </si>
  <si>
    <t>Cod. Pesquisa</t>
  </si>
  <si>
    <t>Cargos Pesquisa</t>
  </si>
  <si>
    <t>Observações</t>
  </si>
  <si>
    <t>Desenvolvedor</t>
  </si>
  <si>
    <t>Líder Técnico</t>
  </si>
  <si>
    <t>Indiferente</t>
  </si>
  <si>
    <t>DADOS PARA COMPARAÇÃO</t>
  </si>
  <si>
    <t>Cenário 01: Pesquisa TI - Nacional</t>
  </si>
  <si>
    <t>Posicionamento</t>
  </si>
  <si>
    <t>Cargos Padronizados</t>
  </si>
  <si>
    <t>Média Empresa</t>
  </si>
  <si>
    <t>Cod. Área</t>
  </si>
  <si>
    <t>Código+Senioridade</t>
  </si>
  <si>
    <t>Qtd de Colab</t>
  </si>
  <si>
    <t>Menor Salário</t>
  </si>
  <si>
    <t>1º Quartil</t>
  </si>
  <si>
    <t>Média</t>
  </si>
  <si>
    <t>Mediana</t>
  </si>
  <si>
    <t>3º Quartil</t>
  </si>
  <si>
    <t>Maior Salário</t>
  </si>
  <si>
    <t>C-01</t>
  </si>
  <si>
    <t>C-01 (Posicionamento)</t>
  </si>
  <si>
    <t>C-02</t>
  </si>
  <si>
    <t>C-02 (Posicionamento)</t>
  </si>
  <si>
    <t>Desenvolvedor Jr</t>
  </si>
  <si>
    <t>Desenvolvedor Pl</t>
  </si>
  <si>
    <t>Desenvolvedor Sr</t>
  </si>
  <si>
    <t>Analista Requisitos Jr</t>
  </si>
  <si>
    <t>Analista Requisitos Pl</t>
  </si>
  <si>
    <t>Analista Requisitos Sr</t>
  </si>
  <si>
    <t>Técnico Infraestrutura</t>
  </si>
  <si>
    <t>Assistente de Infraestrutura de TI</t>
  </si>
  <si>
    <t>Analista Infraestrutura Jr</t>
  </si>
  <si>
    <t>Analista de Infraestrutura de TI</t>
  </si>
  <si>
    <t>Analista Infraestrutura Pl</t>
  </si>
  <si>
    <t>Analista Infraestrutura Sr</t>
  </si>
  <si>
    <t>Grade</t>
  </si>
  <si>
    <t>Pisos</t>
  </si>
  <si>
    <t>Base: 1º de Julho de 2024</t>
  </si>
  <si>
    <t>Com INPC</t>
  </si>
  <si>
    <t>(menor com + amplitude)</t>
  </si>
  <si>
    <t>Atividade Meio</t>
  </si>
  <si>
    <t>(menor)</t>
  </si>
  <si>
    <t>Digitadores e Auxiliares de Processamento de Dados</t>
  </si>
  <si>
    <t>Técnico Profissional de Informática</t>
  </si>
  <si>
    <t>Conferentes</t>
  </si>
  <si>
    <t>Programadores</t>
  </si>
  <si>
    <t>Analistas (Sistema, DBA, Suporte), Adm. de BD e/ou Rede de Dados e de DBA</t>
  </si>
  <si>
    <t>INPC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</si>
  <si>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</si>
  <si>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</si>
  <si>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</si>
  <si>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</si>
  <si>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</si>
  <si>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</si>
  <si>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</si>
  <si>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</si>
  <si>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</si>
  <si>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</si>
  <si>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</si>
  <si>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</si>
  <si>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Cenário 02: Pesquisa TI - Corte por Santa Catarina</t>
  </si>
  <si>
    <t>Plooral Salary Research :: Remuneração Inteligente</t>
  </si>
  <si>
    <t>11º Pesquisa Salarial Nacional de Tecnologia - 2024</t>
  </si>
  <si>
    <t>Período de Coleta: 11/07/2024 à 20/09/2024</t>
  </si>
  <si>
    <t>Divulgação dos Resultados: 23/10/2024</t>
  </si>
  <si>
    <t>Carga Horária: 160 horas</t>
  </si>
  <si>
    <t>INPC Acumulado Aplicado: 4,94%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</si>
  <si>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</si>
  <si>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</si>
  <si>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</si>
  <si>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</si>
  <si>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</t>
  </si>
  <si>
    <t>Porte (Colaboradores): Não Definido</t>
  </si>
  <si>
    <t>Porte (Colaboradores): Pequena (de 20 a 99 colaboradores)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</si>
  <si>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</si>
  <si>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</si>
  <si>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</si>
  <si>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</si>
  <si>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do cliente Nodetech.</t>
  </si>
  <si>
    <t>© 2015-2025 Plooral Salary Research</t>
  </si>
  <si>
    <t>Posicionamento e Gráficos em Relação à:</t>
  </si>
  <si>
    <t>▇</t>
  </si>
  <si>
    <t>&lt;=80%</t>
  </si>
  <si>
    <t>Muito Defasado</t>
  </si>
  <si>
    <t>80% - 90%</t>
  </si>
  <si>
    <t>Defasado</t>
  </si>
  <si>
    <t>90% - 100%</t>
  </si>
  <si>
    <t>Na Média</t>
  </si>
  <si>
    <t>100% - 110%</t>
  </si>
  <si>
    <t>Competitivo</t>
  </si>
  <si>
    <t>110% - 120%</t>
  </si>
  <si>
    <t>Muito Competitivo</t>
  </si>
  <si>
    <t>&gt;120%</t>
  </si>
  <si>
    <t>Agressivo</t>
  </si>
  <si>
    <t>Cenário 1</t>
  </si>
  <si>
    <t>Cenário 2</t>
  </si>
  <si>
    <t>cargos com amostra</t>
  </si>
  <si>
    <t xml:space="preserve"> </t>
  </si>
  <si>
    <t>Posição</t>
  </si>
  <si>
    <t>Percentual</t>
  </si>
  <si>
    <t>Qtde de Cargos</t>
  </si>
  <si>
    <t>Total Geral</t>
  </si>
  <si>
    <t>ANÁLISE DE SALÁRIOS</t>
  </si>
  <si>
    <t>NÍVEIS ORGANIZACIONAIS</t>
  </si>
  <si>
    <t>C1</t>
  </si>
  <si>
    <t>C2</t>
  </si>
  <si>
    <t>Nº de Cargos Total</t>
  </si>
  <si>
    <t>Classificado pelo C-01</t>
  </si>
  <si>
    <t>Média empresa</t>
  </si>
  <si>
    <t>Classificado pelo C-02</t>
  </si>
  <si>
    <t>(Para alterar o dado de comparação use a aba Painel Geral)</t>
  </si>
  <si>
    <t xml:space="preserve">ANÁLISE DE </t>
  </si>
  <si>
    <t>COMPARATIVOS SALARIAIS</t>
  </si>
  <si>
    <t>POR ÁREAS</t>
  </si>
  <si>
    <t>Percentual C-01</t>
  </si>
  <si>
    <t>Percentual C-02</t>
  </si>
  <si>
    <t>Qtd Cargos</t>
  </si>
  <si>
    <t>Cód Cargo</t>
  </si>
  <si>
    <t>Cargo Empresa</t>
  </si>
  <si>
    <t>- C-01</t>
  </si>
  <si>
    <t>- C-02</t>
  </si>
  <si>
    <t>Código do Cargo</t>
  </si>
  <si>
    <t>Nome do Cargo</t>
  </si>
  <si>
    <t>Código do CargoSenioridade</t>
  </si>
  <si>
    <t>Dados Estatísticos - Empresas</t>
  </si>
  <si>
    <t>Dados Estatísticos - Salários</t>
  </si>
  <si>
    <t>1o Quartil</t>
  </si>
  <si>
    <t>3o Quartil</t>
  </si>
  <si>
    <t>Master</t>
  </si>
  <si>
    <t>Especialista</t>
  </si>
  <si>
    <t>DADOS PARA COMPARAÇÃO - POR FUNCIONÁRIO</t>
  </si>
  <si>
    <t>Salário Funcionário</t>
  </si>
  <si>
    <t>Cod. Setor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</si>
</sst>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yyyy-mm"/>
    <numFmt numFmtId="166" formatCode="d/m/yyyy"/>
    <numFmt numFmtId="167" formatCode="dd/mm/yyyy"/>
    <numFmt numFmtId="168" formatCode="yyyy-m"/>
    <numFmt numFmtId="169" formatCode="[$R$ -416]#,##0.00"/>
    <numFmt numFmtId="170" formatCode="#,##0.0000"/>
  </numFmts>
  <fonts count="75">
    <font>
      <sz val="10.0"/>
      <color rgb="FF000000"/>
      <name val="Arial"/>
      <scheme val="minor"/>
    </font>
    <font>
      <b/>
      <sz val="10.0"/>
      <color theme="1"/>
      <name val="Arial"/>
    </font>
    <font>
      <sz val="18.0"/>
      <color rgb="FF434343"/>
      <name val="Montserrat"/>
    </font>
    <font/>
    <font>
      <sz val="10.0"/>
      <color rgb="FF434343"/>
      <name val="Montserrat"/>
    </font>
    <font>
      <sz val="10.0"/>
      <color theme="1"/>
      <name val="Arial"/>
    </font>
    <font>
      <color theme="1"/>
      <name val="Calibri"/>
    </font>
    <font>
      <color theme="1"/>
      <name val="Docs-Calibri"/>
    </font>
    <font>
      <color theme="1"/>
      <name val="Arial"/>
    </font>
    <font>
      <sz val="11.0"/>
      <color theme="1"/>
      <name val="Calibri"/>
    </font>
    <font>
      <sz val="24.0"/>
      <color rgb="FF434343"/>
      <name val="Montserrat"/>
    </font>
    <font>
      <b/>
      <sz val="16.0"/>
      <color rgb="FF434343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b/>
      <sz val="12.0"/>
      <color rgb="FFFFFFFF"/>
      <name val="Calibri"/>
    </font>
    <font>
      <b/>
      <sz val="10.0"/>
      <color rgb="FFFFFFFF"/>
      <name val="Calibri"/>
    </font>
    <font>
      <sz val="10.0"/>
      <color rgb="FFFFFFFF"/>
      <name val="Calibri"/>
    </font>
    <font>
      <b/>
      <color theme="1"/>
      <name val="Calibri"/>
    </font>
    <font>
      <color rgb="FFFFFFFF"/>
      <name val="Calibri"/>
    </font>
    <font>
      <b/>
      <color rgb="FFFFFFFF"/>
      <name val="Calibri"/>
    </font>
    <font>
      <b/>
      <sz val="18.0"/>
      <color rgb="FFFFFFFF"/>
      <name val="Calibri"/>
    </font>
    <font>
      <b/>
      <sz val="18.0"/>
      <color rgb="FF434343"/>
      <name val="Calibri"/>
    </font>
    <font>
      <b/>
      <sz val="18.0"/>
      <color rgb="FF000000"/>
      <name val="Calibri"/>
    </font>
    <font>
      <color rgb="FF434343"/>
      <name val="Calibri"/>
    </font>
    <font>
      <color rgb="FF000000"/>
      <name val="Calibri"/>
    </font>
    <font>
      <b/>
      <sz val="14.0"/>
      <color rgb="FF434343"/>
      <name val="Montserrat"/>
    </font>
    <font>
      <b/>
      <color rgb="FF434343"/>
      <name val="Calibri"/>
    </font>
    <font>
      <sz val="13.0"/>
      <color theme="5"/>
      <name val="Arial"/>
    </font>
    <font>
      <b/>
      <sz val="14.0"/>
      <color rgb="FFFFFFFF"/>
      <name val="Montserrat"/>
    </font>
    <font>
      <sz val="14.0"/>
      <color rgb="FF434343"/>
      <name val="Montserrat"/>
    </font>
    <font>
      <sz val="13.0"/>
      <color theme="7"/>
      <name val="Arial"/>
    </font>
    <font>
      <b/>
      <color rgb="FF000000"/>
      <name val="Calibri"/>
    </font>
    <font>
      <sz val="14.0"/>
      <color rgb="FFFFFFFF"/>
      <name val="Montserrat"/>
    </font>
    <font>
      <sz val="14.0"/>
      <color theme="1"/>
      <name val="Montserrat"/>
    </font>
    <font>
      <sz val="13.0"/>
      <color theme="9"/>
      <name val="Arial"/>
    </font>
    <font>
      <sz val="18.0"/>
      <color rgb="FFFFFFFF"/>
      <name val="Calibri"/>
    </font>
    <font>
      <sz val="13.0"/>
      <color theme="8"/>
      <name val="Arial"/>
    </font>
    <font>
      <sz val="13.0"/>
      <color theme="4"/>
      <name val="Arial"/>
    </font>
    <font>
      <sz val="13.0"/>
      <color rgb="FF0533CA"/>
      <name val="Arial"/>
    </font>
    <font>
      <b/>
      <sz val="20.0"/>
      <color rgb="FFF1C232"/>
      <name val="Calibri"/>
    </font>
    <font>
      <b/>
      <sz val="20.0"/>
      <color rgb="FF1B5BFF"/>
      <name val="Calibri"/>
    </font>
    <font>
      <b/>
      <sz val="24.0"/>
      <color rgb="FFF1C232"/>
      <name val="Calibri"/>
    </font>
    <font>
      <b/>
      <sz val="24.0"/>
      <color rgb="FF1B5BFF"/>
      <name val="Calibri"/>
    </font>
    <font>
      <sz val="14.0"/>
      <color rgb="FFFFFFFF"/>
      <name val="Calibri"/>
    </font>
    <font>
      <sz val="22.0"/>
      <color rgb="FF1200D3"/>
      <name val="Montserrat"/>
    </font>
    <font>
      <b/>
      <sz val="22.0"/>
      <color rgb="FFF7BF34"/>
      <name val="Montserrat"/>
    </font>
    <font>
      <b/>
      <sz val="16.0"/>
      <color rgb="FFF1C232"/>
      <name val="Calibri"/>
    </font>
    <font>
      <sz val="12.0"/>
      <color rgb="FFFFFFFF"/>
      <name val="Calibri"/>
    </font>
    <font>
      <b/>
      <sz val="16.0"/>
      <color rgb="FF1B5BFF"/>
      <name val="Calibri"/>
    </font>
    <font>
      <b/>
      <sz val="16.0"/>
      <color theme="5"/>
      <name val="Calibri"/>
    </font>
    <font>
      <b/>
      <sz val="12.0"/>
      <color rgb="FF0533CA"/>
      <name val="Calibri"/>
    </font>
    <font>
      <b/>
      <sz val="12.0"/>
      <color rgb="FF434343"/>
      <name val="Calibri"/>
    </font>
    <font>
      <b/>
      <sz val="11.0"/>
      <color rgb="FF434343"/>
      <name val="Calibri"/>
    </font>
    <font>
      <b/>
      <sz val="11.0"/>
      <color rgb="FFFFFFFF"/>
      <name val="Calibri"/>
    </font>
    <font>
      <color rgb="FF999999"/>
      <name val="Calibri"/>
    </font>
    <font>
      <sz val="9.0"/>
      <color rgb="FFFFFFFF"/>
      <name val="&quot;Google Sans Mono&quot;"/>
    </font>
    <font>
      <b/>
      <sz val="12.0"/>
      <color rgb="FFFF0000"/>
      <name val="Calibri"/>
    </font>
    <font>
      <b/>
      <sz val="12.0"/>
      <color rgb="FFF1C232"/>
      <name val="Arial"/>
      <scheme val="minor"/>
    </font>
    <font>
      <b/>
      <sz val="12.0"/>
      <color rgb="FF1B5BFF"/>
      <name val="Calibri"/>
    </font>
    <font>
      <color rgb="FFFFFFFF"/>
      <name val="Arial"/>
      <scheme val="minor"/>
    </font>
    <font>
      <b/>
      <sz val="19.0"/>
      <color rgb="FF434343"/>
      <name val="Montserrat"/>
    </font>
    <font>
      <b/>
      <sz val="24.0"/>
      <color theme="5"/>
      <name val="Calibri"/>
    </font>
    <font>
      <i/>
      <sz val="9.0"/>
      <color theme="1"/>
      <name val="Montserrat"/>
    </font>
    <font>
      <sz val="19.0"/>
      <color rgb="FF1200D3"/>
      <name val="Montserrat"/>
    </font>
    <font>
      <b/>
      <sz val="19.0"/>
      <color rgb="FFF7BF34"/>
      <name val="Docs-Montserrat"/>
    </font>
    <font>
      <b/>
      <sz val="24.0"/>
      <color rgb="FFFF9900"/>
      <name val="Calibri"/>
    </font>
    <font>
      <sz val="19.0"/>
      <color theme="1"/>
      <name val="Arial"/>
      <scheme val="minor"/>
    </font>
    <font>
      <b/>
      <sz val="16.0"/>
      <color rgb="FFFFFFFF"/>
      <name val="Montserrat"/>
    </font>
    <font>
      <b/>
      <sz val="18.0"/>
      <color rgb="FFFFFFFF"/>
      <name val="Montserrat"/>
    </font>
    <font>
      <sz val="12.0"/>
      <color theme="1"/>
      <name val="Calibri"/>
    </font>
    <font>
      <color rgb="FF000000"/>
      <name val="Arial"/>
      <scheme val="minor"/>
    </font>
    <font>
      <b/>
      <sz val="11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9CF67"/>
        <bgColor rgb="FFF9CF67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  <fill>
      <patternFill patternType="solid">
        <fgColor rgb="FF1B5BFF"/>
        <bgColor rgb="FF1B5B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60">
    <border/>
    <border>
      <top style="thin">
        <color rgb="FFCCCCCC"/>
      </top>
      <bottom style="thin">
        <color rgb="FFCCCCCC"/>
      </bottom>
    </border>
    <border>
      <left/>
      <right/>
      <bottom/>
    </border>
    <border>
      <left style="thin">
        <color rgb="FFCCCCCC"/>
      </left>
      <right style="thin">
        <color rgb="FFCCCCCC"/>
      </right>
      <top style="double">
        <color rgb="FF666666"/>
      </top>
    </border>
    <border>
      <left style="thin">
        <color rgb="FFCCCCCC"/>
      </left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CCCCCC"/>
      </bottom>
    </border>
    <border>
      <left style="thin">
        <color rgb="FFCCCCCC"/>
      </left>
      <right/>
      <top style="double">
        <color rgb="FF666666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666666"/>
      </top>
      <bottom style="thin">
        <color rgb="FFCCCCCC"/>
      </bottom>
    </border>
    <border>
      <left style="thin">
        <color rgb="FF666666"/>
      </left>
      <top style="thin">
        <color rgb="FF666666"/>
      </top>
      <bottom style="thin">
        <color rgb="FFCCCCCC"/>
      </bottom>
    </border>
    <border>
      <left style="thin">
        <color rgb="FFAEABAB"/>
      </left>
      <top style="thin">
        <color rgb="FFAEABAB"/>
      </top>
    </border>
    <border>
      <top style="thin">
        <color rgb="FFAEABAB"/>
      </top>
    </border>
    <border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666666"/>
      </left>
      <right/>
      <bottom/>
    </border>
    <border>
      <left/>
      <bottom/>
    </border>
    <border>
      <left/>
      <right style="thin">
        <color rgb="FF666666"/>
      </right>
      <bottom/>
    </border>
    <border>
      <left style="thin">
        <color rgb="FF666666"/>
      </left>
      <right/>
      <top/>
      <bottom/>
    </border>
    <border>
      <left/>
      <right/>
      <top/>
      <bottom/>
    </border>
    <border>
      <left/>
      <right/>
      <top/>
      <bottom style="double">
        <color rgb="FF666666"/>
      </bottom>
    </border>
    <border>
      <left style="thin">
        <color rgb="FF666666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666666"/>
      </bottom>
    </border>
    <border>
      <top style="double">
        <color rgb="FF666666"/>
      </top>
    </border>
    <border>
      <left style="thin">
        <color rgb="FF666666"/>
      </left>
      <right style="thin">
        <color rgb="FF666666"/>
      </right>
      <top style="double">
        <color rgb="FF666666"/>
      </top>
      <bottom/>
    </border>
    <border>
      <left style="thin">
        <color rgb="FFCCCCCC"/>
      </left>
      <right/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/>
    </border>
    <border>
      <left style="thin">
        <color rgb="FFCCCCCC"/>
      </left>
      <right style="thin">
        <color rgb="FF666666"/>
      </right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CCCCCC"/>
      </top>
      <bottom style="thin">
        <color rgb="FFCCCCCC"/>
      </bottom>
    </border>
    <border>
      <right style="thin">
        <color rgb="FFAEABAB"/>
      </right>
      <top style="thin">
        <color rgb="FFCCCCCC"/>
      </top>
      <bottom style="thin">
        <color rgb="FFCCCCCC"/>
      </bottom>
    </border>
    <border>
      <left/>
      <top/>
      <bottom/>
    </border>
    <border>
      <right/>
      <top/>
      <bottom/>
    </border>
    <border>
      <left style="thin">
        <color rgb="FFCCCCCC"/>
      </left>
      <top style="double">
        <color rgb="FF666666"/>
      </top>
      <bottom style="thin">
        <color rgb="FF666666"/>
      </bottom>
    </border>
    <border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AEABAB"/>
      </left>
      <top style="thin">
        <color rgb="FFCCCCCC"/>
      </top>
      <bottom style="thin">
        <color rgb="FFCCCCCC"/>
      </bottom>
    </border>
    <border>
      <bottom style="medium">
        <color rgb="FFF1C232"/>
      </bottom>
    </border>
    <border>
      <bottom style="medium">
        <color rgb="FF1B5B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dotted">
        <color rgb="FFF9CF67"/>
      </bottom>
    </border>
    <border>
      <top style="dotted">
        <color rgb="FFF9CF67"/>
      </top>
      <bottom style="dotted">
        <color rgb="FFF9CF67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bottom style="medium">
        <color rgb="FFFFC000"/>
      </bottom>
    </border>
    <border>
      <top style="dotted">
        <color rgb="FFFFC000"/>
      </top>
    </border>
    <border>
      <left style="thin">
        <color rgb="FFD9D9D9"/>
      </left>
    </border>
    <border>
      <left/>
      <right style="thin">
        <color rgb="FF666666"/>
      </right>
      <top/>
      <bottom/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left" readingOrder="0" vertical="center"/>
    </xf>
    <xf borderId="2" fillId="2" fontId="5" numFmtId="0" xfId="0" applyAlignment="1" applyBorder="1" applyFill="1" applyFont="1">
      <alignment vertical="center"/>
    </xf>
    <xf borderId="2" fillId="2" fontId="5" numFmtId="0" xfId="0" applyAlignment="1" applyBorder="1" applyFont="1">
      <alignment horizontal="center" vertical="center"/>
    </xf>
    <xf borderId="2" fillId="2" fontId="5" numFmtId="3" xfId="0" applyAlignment="1" applyBorder="1" applyFont="1" applyNumberFormat="1">
      <alignment horizontal="left" vertical="center"/>
    </xf>
    <xf borderId="2" fillId="2" fontId="5" numFmtId="164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3" fillId="3" fontId="5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3" fontId="5" numFmtId="3" xfId="0" applyAlignment="1" applyBorder="1" applyFont="1" applyNumberFormat="1">
      <alignment horizontal="left" vertical="center"/>
    </xf>
    <xf borderId="5" fillId="3" fontId="5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vertical="center"/>
    </xf>
    <xf borderId="7" fillId="0" fontId="6" numFmtId="3" xfId="0" applyAlignment="1" applyBorder="1" applyFont="1" applyNumberFormat="1">
      <alignment horizontal="center" readingOrder="0"/>
    </xf>
    <xf borderId="8" fillId="0" fontId="7" numFmtId="1" xfId="0" applyAlignment="1" applyBorder="1" applyFont="1" applyNumberFormat="1">
      <alignment horizontal="center" readingOrder="0" vertical="bottom"/>
    </xf>
    <xf borderId="8" fillId="0" fontId="6" numFmtId="0" xfId="0" applyAlignment="1" applyBorder="1" applyFont="1">
      <alignment readingOrder="0"/>
    </xf>
    <xf borderId="9" fillId="0" fontId="6" numFmtId="1" xfId="0" applyAlignment="1" applyBorder="1" applyFont="1" applyNumberFormat="1">
      <alignment readingOrder="0" shrinkToFit="0" wrapText="1"/>
    </xf>
    <xf borderId="10" fillId="4" fontId="6" numFmtId="1" xfId="0" applyAlignment="1" applyBorder="1" applyFill="1" applyFont="1" applyNumberFormat="1">
      <alignment readingOrder="0" shrinkToFit="0" wrapText="1"/>
    </xf>
    <xf borderId="10" fillId="0" fontId="6" numFmtId="0" xfId="0" applyAlignment="1" applyBorder="1" applyFont="1">
      <alignment readingOrder="0" shrinkToFit="0" wrapText="1"/>
    </xf>
    <xf borderId="10" fillId="0" fontId="6" numFmtId="0" xfId="0" applyAlignment="1" applyBorder="1" applyFont="1">
      <alignment horizontal="center" readingOrder="0" shrinkToFit="0" wrapText="1"/>
    </xf>
    <xf borderId="10" fillId="0" fontId="6" numFmtId="4" xfId="0" applyAlignment="1" applyBorder="1" applyFont="1" applyNumberFormat="1">
      <alignment horizontal="right" readingOrder="0" shrinkToFit="0" wrapText="1"/>
    </xf>
    <xf borderId="10" fillId="0" fontId="6" numFmtId="4" xfId="0" applyAlignment="1" applyBorder="1" applyFont="1" applyNumberFormat="1">
      <alignment horizontal="center" readingOrder="0" shrinkToFit="0" wrapText="1"/>
    </xf>
    <xf borderId="9" fillId="0" fontId="6" numFmtId="165" xfId="0" applyAlignment="1" applyBorder="1" applyFont="1" applyNumberFormat="1">
      <alignment horizontal="center" readingOrder="0" shrinkToFit="0" wrapText="1"/>
    </xf>
    <xf borderId="8" fillId="0" fontId="6" numFmtId="1" xfId="0" applyAlignment="1" applyBorder="1" applyFont="1" applyNumberFormat="1">
      <alignment readingOrder="0"/>
    </xf>
    <xf borderId="8" fillId="0" fontId="6" numFmtId="166" xfId="0" applyAlignment="1" applyBorder="1" applyFont="1" applyNumberFormat="1">
      <alignment horizontal="right" readingOrder="0"/>
    </xf>
    <xf borderId="8" fillId="0" fontId="5" numFmtId="4" xfId="0" applyAlignment="1" applyBorder="1" applyFont="1" applyNumberFormat="1">
      <alignment readingOrder="0" vertical="center"/>
    </xf>
    <xf borderId="9" fillId="4" fontId="6" numFmtId="1" xfId="0" applyAlignment="1" applyBorder="1" applyFont="1" applyNumberFormat="1">
      <alignment readingOrder="0" shrinkToFit="0" wrapText="1"/>
    </xf>
    <xf borderId="9" fillId="0" fontId="6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horizontal="center" readingOrder="0" shrinkToFit="0" wrapText="1"/>
    </xf>
    <xf borderId="9" fillId="0" fontId="6" numFmtId="4" xfId="0" applyAlignment="1" applyBorder="1" applyFont="1" applyNumberFormat="1">
      <alignment horizontal="right" readingOrder="0" shrinkToFit="0" wrapText="1"/>
    </xf>
    <xf borderId="9" fillId="0" fontId="6" numFmtId="4" xfId="0" applyAlignment="1" applyBorder="1" applyFont="1" applyNumberFormat="1">
      <alignment horizontal="center" readingOrder="0" shrinkToFit="0" wrapText="1"/>
    </xf>
    <xf borderId="8" fillId="0" fontId="6" numFmtId="4" xfId="0" applyAlignment="1" applyBorder="1" applyFont="1" applyNumberFormat="1">
      <alignment horizontal="right" readingOrder="0"/>
    </xf>
    <xf borderId="8" fillId="0" fontId="6" numFmtId="1" xfId="0" applyAlignment="1" applyBorder="1" applyFont="1" applyNumberFormat="1">
      <alignment horizontal="center" readingOrder="0" vertical="bottom"/>
    </xf>
    <xf borderId="9" fillId="0" fontId="8" numFmtId="165" xfId="0" applyAlignment="1" applyBorder="1" applyFont="1" applyNumberFormat="1">
      <alignment readingOrder="0"/>
    </xf>
    <xf borderId="8" fillId="0" fontId="6" numFmtId="167" xfId="0" applyAlignment="1" applyBorder="1" applyFont="1" applyNumberFormat="1">
      <alignment horizontal="right" readingOrder="0"/>
    </xf>
    <xf borderId="9" fillId="0" fontId="6" numFmtId="168" xfId="0" applyAlignment="1" applyBorder="1" applyFont="1" applyNumberFormat="1">
      <alignment horizontal="center" readingOrder="0" shrinkToFit="0" wrapText="1"/>
    </xf>
    <xf borderId="9" fillId="0" fontId="6" numFmtId="169" xfId="0" applyAlignment="1" applyBorder="1" applyFont="1" applyNumberFormat="1">
      <alignment horizontal="right" shrinkToFit="0" wrapText="1"/>
    </xf>
    <xf borderId="8" fillId="0" fontId="6" numFmtId="1" xfId="0" applyBorder="1" applyFont="1" applyNumberFormat="1"/>
    <xf borderId="8" fillId="0" fontId="6" numFmtId="4" xfId="0" applyAlignment="1" applyBorder="1" applyFont="1" applyNumberFormat="1">
      <alignment horizontal="right"/>
    </xf>
    <xf borderId="8" fillId="0" fontId="8" numFmtId="1" xfId="0" applyBorder="1" applyFont="1" applyNumberFormat="1"/>
    <xf borderId="9" fillId="0" fontId="8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8" fillId="0" fontId="8" numFmtId="1" xfId="0" applyAlignment="1" applyBorder="1" applyFont="1" applyNumberFormat="1">
      <alignment readingOrder="0"/>
    </xf>
    <xf borderId="9" fillId="0" fontId="9" numFmtId="0" xfId="0" applyAlignment="1" applyBorder="1" applyFont="1">
      <alignment readingOrder="0" shrinkToFit="0" vertical="top" wrapText="1"/>
    </xf>
    <xf borderId="9" fillId="0" fontId="6" numFmtId="169" xfId="0" applyAlignment="1" applyBorder="1" applyFont="1" applyNumberFormat="1">
      <alignment horizontal="center" readingOrder="0" shrinkToFit="0" wrapText="1"/>
    </xf>
    <xf borderId="7" fillId="0" fontId="6" numFmtId="3" xfId="0" applyAlignment="1" applyBorder="1" applyFont="1" applyNumberFormat="1">
      <alignment horizontal="center"/>
    </xf>
    <xf borderId="1" fillId="0" fontId="10" numFmtId="3" xfId="0" applyAlignment="1" applyBorder="1" applyFont="1" applyNumberFormat="1">
      <alignment horizontal="center" vertical="center"/>
    </xf>
    <xf borderId="11" fillId="0" fontId="3" numFmtId="0" xfId="0" applyBorder="1" applyFont="1"/>
    <xf borderId="8" fillId="0" fontId="6" numFmtId="0" xfId="0" applyBorder="1" applyFont="1"/>
    <xf borderId="8" fillId="5" fontId="6" numFmtId="1" xfId="0" applyAlignment="1" applyBorder="1" applyFill="1" applyFont="1" applyNumberFormat="1">
      <alignment horizontal="center" readingOrder="0"/>
    </xf>
    <xf borderId="8" fillId="5" fontId="6" numFmtId="0" xfId="0" applyAlignment="1" applyBorder="1" applyFont="1">
      <alignment readingOrder="0"/>
    </xf>
    <xf borderId="8" fillId="0" fontId="6" numFmtId="3" xfId="0" applyBorder="1" applyFont="1" applyNumberFormat="1"/>
    <xf borderId="8" fillId="5" fontId="6" numFmtId="0" xfId="0" applyAlignment="1" applyBorder="1" applyFont="1">
      <alignment horizontal="center" readingOrder="0"/>
    </xf>
    <xf borderId="8" fillId="0" fontId="8" numFmtId="3" xfId="0" applyBorder="1" applyFont="1" applyNumberFormat="1"/>
    <xf borderId="8" fillId="0" fontId="8" numFmtId="0" xfId="0" applyBorder="1" applyFont="1"/>
    <xf borderId="8" fillId="5" fontId="6" numFmtId="0" xfId="0" applyAlignment="1" applyBorder="1" applyFont="1">
      <alignment horizontal="center" vertical="bottom"/>
    </xf>
    <xf borderId="8" fillId="5" fontId="6" numFmtId="0" xfId="0" applyAlignment="1" applyBorder="1" applyFont="1">
      <alignment vertical="bottom"/>
    </xf>
    <xf borderId="7" fillId="0" fontId="6" numFmtId="3" xfId="0" applyAlignment="1" applyBorder="1" applyFont="1" applyNumberFormat="1">
      <alignment horizontal="center" vertical="bottom"/>
    </xf>
    <xf borderId="8" fillId="0" fontId="6" numFmtId="0" xfId="0" applyAlignment="1" applyBorder="1" applyFont="1">
      <alignment readingOrder="0" vertical="bottom"/>
    </xf>
    <xf borderId="8" fillId="0" fontId="6" numFmtId="3" xfId="0" applyAlignment="1" applyBorder="1" applyFont="1" applyNumberFormat="1">
      <alignment readingOrder="0"/>
    </xf>
    <xf borderId="9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vertical="bottom"/>
    </xf>
    <xf borderId="8" fillId="0" fontId="8" numFmtId="3" xfId="0" applyAlignment="1" applyBorder="1" applyFont="1" applyNumberFormat="1">
      <alignment readingOrder="0"/>
    </xf>
    <xf borderId="8" fillId="0" fontId="6" numFmtId="0" xfId="0" applyBorder="1" applyFont="1"/>
    <xf borderId="0" fillId="0" fontId="8" numFmtId="3" xfId="0" applyAlignment="1" applyFont="1" applyNumberFormat="1">
      <alignment readingOrder="0"/>
    </xf>
    <xf borderId="12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4" fillId="6" fontId="12" numFmtId="0" xfId="0" applyAlignment="1" applyBorder="1" applyFill="1" applyFont="1">
      <alignment horizontal="center" vertical="center"/>
    </xf>
    <xf borderId="15" fillId="6" fontId="12" numFmtId="0" xfId="0" applyAlignment="1" applyBorder="1" applyFont="1">
      <alignment horizontal="center" vertical="center"/>
    </xf>
    <xf borderId="16" fillId="6" fontId="12" numFmtId="0" xfId="0" applyAlignment="1" applyBorder="1" applyFont="1">
      <alignment horizontal="center" vertical="center"/>
    </xf>
    <xf borderId="17" fillId="6" fontId="12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3" fontId="12" numFmtId="0" xfId="0" applyAlignment="1" applyBorder="1" applyFont="1">
      <alignment horizontal="center" vertical="center"/>
    </xf>
    <xf borderId="18" fillId="7" fontId="13" numFmtId="0" xfId="0" applyAlignment="1" applyBorder="1" applyFill="1" applyFont="1">
      <alignment horizontal="center" vertical="center"/>
    </xf>
    <xf borderId="2" fillId="8" fontId="14" numFmtId="0" xfId="0" applyAlignment="1" applyBorder="1" applyFill="1" applyFont="1">
      <alignment vertical="center"/>
    </xf>
    <xf borderId="19" fillId="8" fontId="14" numFmtId="0" xfId="0" applyAlignment="1" applyBorder="1" applyFont="1">
      <alignment vertical="center"/>
    </xf>
    <xf borderId="20" fillId="8" fontId="13" numFmtId="0" xfId="0" applyAlignment="1" applyBorder="1" applyFont="1">
      <alignment vertical="center"/>
    </xf>
    <xf borderId="2" fillId="8" fontId="14" numFmtId="0" xfId="0" applyAlignment="1" applyBorder="1" applyFont="1">
      <alignment horizontal="center" vertical="center"/>
    </xf>
    <xf borderId="19" fillId="8" fontId="14" numFmtId="0" xfId="0" applyAlignment="1" applyBorder="1" applyFont="1">
      <alignment horizontal="center" vertical="center"/>
    </xf>
    <xf borderId="21" fillId="9" fontId="14" numFmtId="0" xfId="0" applyAlignment="1" applyBorder="1" applyFill="1" applyFont="1">
      <alignment horizontal="center" vertical="center"/>
    </xf>
    <xf borderId="22" fillId="9" fontId="14" numFmtId="0" xfId="0" applyAlignment="1" applyBorder="1" applyFont="1">
      <alignment horizontal="center" vertical="center"/>
    </xf>
    <xf borderId="23" fillId="9" fontId="14" numFmtId="0" xfId="0" applyAlignment="1" applyBorder="1" applyFont="1">
      <alignment horizontal="center" vertical="center"/>
    </xf>
    <xf borderId="23" fillId="9" fontId="15" numFmtId="10" xfId="0" applyAlignment="1" applyBorder="1" applyFont="1" applyNumberFormat="1">
      <alignment horizontal="center" vertical="center"/>
    </xf>
    <xf borderId="21" fillId="10" fontId="14" numFmtId="0" xfId="0" applyAlignment="1" applyBorder="1" applyFill="1" applyFont="1">
      <alignment vertical="center"/>
    </xf>
    <xf borderId="22" fillId="10" fontId="14" numFmtId="0" xfId="0" applyAlignment="1" applyBorder="1" applyFont="1">
      <alignment vertical="center"/>
    </xf>
    <xf borderId="23" fillId="10" fontId="14" numFmtId="0" xfId="0" applyAlignment="1" applyBorder="1" applyFont="1">
      <alignment vertical="center"/>
    </xf>
    <xf borderId="23" fillId="10" fontId="14" numFmtId="10" xfId="0" applyAlignment="1" applyBorder="1" applyFont="1" applyNumberFormat="1">
      <alignment horizontal="center" vertical="center"/>
    </xf>
    <xf borderId="23" fillId="10" fontId="14" numFmtId="0" xfId="0" applyAlignment="1" applyBorder="1" applyFont="1">
      <alignment horizontal="center" vertical="center"/>
    </xf>
    <xf borderId="24" fillId="11" fontId="13" numFmtId="0" xfId="0" applyAlignment="1" applyBorder="1" applyFill="1" applyFont="1">
      <alignment horizontal="center" vertical="center"/>
    </xf>
    <xf borderId="25" fillId="5" fontId="14" numFmtId="0" xfId="0" applyAlignment="1" applyBorder="1" applyFont="1">
      <alignment horizontal="center" vertical="center"/>
    </xf>
    <xf borderId="26" fillId="5" fontId="14" numFmtId="0" xfId="0" applyAlignment="1" applyBorder="1" applyFont="1">
      <alignment horizontal="center" readingOrder="0" vertical="center"/>
    </xf>
    <xf borderId="27" fillId="5" fontId="13" numFmtId="0" xfId="0" applyAlignment="1" applyBorder="1" applyFont="1">
      <alignment horizontal="center" vertical="center"/>
    </xf>
    <xf borderId="25" fillId="5" fontId="14" numFmtId="0" xfId="0" applyAlignment="1" applyBorder="1" applyFont="1">
      <alignment horizontal="center" readingOrder="0" vertical="center"/>
    </xf>
    <xf borderId="28" fillId="5" fontId="14" numFmtId="0" xfId="0" applyAlignment="1" applyBorder="1" applyFont="1">
      <alignment horizontal="center" vertical="center"/>
    </xf>
    <xf borderId="29" fillId="5" fontId="14" numFmtId="0" xfId="0" applyAlignment="1" applyBorder="1" applyFont="1">
      <alignment horizontal="center" vertical="center"/>
    </xf>
    <xf borderId="24" fillId="6" fontId="14" numFmtId="0" xfId="0" applyAlignment="1" applyBorder="1" applyFont="1">
      <alignment horizontal="center" vertical="center"/>
    </xf>
    <xf borderId="25" fillId="6" fontId="14" numFmtId="0" xfId="0" applyAlignment="1" applyBorder="1" applyFont="1">
      <alignment horizontal="center" vertical="center"/>
    </xf>
    <xf borderId="30" fillId="6" fontId="14" numFmtId="0" xfId="0" applyAlignment="1" applyBorder="1" applyFont="1">
      <alignment horizontal="center" vertical="center"/>
    </xf>
    <xf borderId="31" fillId="6" fontId="15" numFmtId="10" xfId="0" applyAlignment="1" applyBorder="1" applyFont="1" applyNumberFormat="1">
      <alignment horizontal="center" vertical="center"/>
    </xf>
    <xf borderId="31" fillId="6" fontId="14" numFmtId="0" xfId="0" applyAlignment="1" applyBorder="1" applyFont="1">
      <alignment horizontal="center" vertical="center"/>
    </xf>
    <xf borderId="24" fillId="12" fontId="14" numFmtId="0" xfId="0" applyAlignment="1" applyBorder="1" applyFill="1" applyFont="1">
      <alignment horizontal="center" vertical="center"/>
    </xf>
    <xf borderId="25" fillId="12" fontId="14" numFmtId="0" xfId="0" applyAlignment="1" applyBorder="1" applyFont="1">
      <alignment horizontal="center" vertical="center"/>
    </xf>
    <xf borderId="30" fillId="12" fontId="14" numFmtId="0" xfId="0" applyAlignment="1" applyBorder="1" applyFont="1">
      <alignment horizontal="center" vertical="center"/>
    </xf>
    <xf borderId="31" fillId="12" fontId="14" numFmtId="10" xfId="0" applyAlignment="1" applyBorder="1" applyFont="1" applyNumberFormat="1">
      <alignment horizontal="center" vertical="center"/>
    </xf>
    <xf borderId="31" fillId="12" fontId="14" numFmtId="0" xfId="0" applyAlignment="1" applyBorder="1" applyFont="1">
      <alignment horizontal="center" vertical="center"/>
    </xf>
    <xf borderId="32" fillId="11" fontId="13" numFmtId="3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vertical="center"/>
    </xf>
    <xf borderId="8" fillId="0" fontId="14" numFmtId="0" xfId="0" applyAlignment="1" applyBorder="1" applyFont="1">
      <alignment readingOrder="0" vertical="center"/>
    </xf>
    <xf borderId="33" fillId="5" fontId="13" numFmtId="169" xfId="0" applyAlignment="1" applyBorder="1" applyFont="1" applyNumberFormat="1">
      <alignment horizontal="center" vertical="center"/>
    </xf>
    <xf borderId="8" fillId="0" fontId="14" numFmtId="3" xfId="0" applyAlignment="1" applyBorder="1" applyFont="1" applyNumberFormat="1">
      <alignment horizontal="center" readingOrder="0" vertical="center"/>
    </xf>
    <xf borderId="8" fillId="0" fontId="14" numFmtId="0" xfId="0" applyAlignment="1" applyBorder="1" applyFont="1">
      <alignment horizontal="left" vertical="center"/>
    </xf>
    <xf borderId="8" fillId="0" fontId="14" numFmtId="1" xfId="0" applyAlignment="1" applyBorder="1" applyFont="1" applyNumberFormat="1">
      <alignment horizontal="center" readingOrder="0" vertical="center"/>
    </xf>
    <xf borderId="34" fillId="0" fontId="14" numFmtId="0" xfId="0" applyAlignment="1" applyBorder="1" applyFont="1">
      <alignment horizontal="center" readingOrder="0" vertical="center"/>
    </xf>
    <xf borderId="33" fillId="0" fontId="14" numFmtId="0" xfId="0" applyAlignment="1" applyBorder="1" applyFont="1">
      <alignment vertical="center"/>
    </xf>
    <xf borderId="11" fillId="4" fontId="14" numFmtId="4" xfId="0" applyAlignment="1" applyBorder="1" applyFont="1" applyNumberFormat="1">
      <alignment horizontal="center" vertical="center"/>
    </xf>
    <xf borderId="35" fillId="4" fontId="14" numFmtId="4" xfId="0" applyAlignment="1" applyBorder="1" applyFont="1" applyNumberFormat="1">
      <alignment horizontal="center" vertical="center"/>
    </xf>
    <xf borderId="8" fillId="4" fontId="15" numFmtId="10" xfId="0" applyAlignment="1" applyBorder="1" applyFont="1" applyNumberFormat="1">
      <alignment horizontal="center" vertical="center"/>
    </xf>
    <xf borderId="8" fillId="4" fontId="14" numFmtId="0" xfId="0" applyAlignment="1" applyBorder="1" applyFont="1">
      <alignment vertical="center"/>
    </xf>
    <xf borderId="36" fillId="3" fontId="14" numFmtId="4" xfId="0" applyAlignment="1" applyBorder="1" applyFont="1" applyNumberFormat="1">
      <alignment horizontal="center" vertical="center"/>
    </xf>
    <xf borderId="8" fillId="3" fontId="14" numFmtId="10" xfId="0" applyAlignment="1" applyBorder="1" applyFont="1" applyNumberFormat="1">
      <alignment horizontal="center" vertical="center"/>
    </xf>
    <xf borderId="8" fillId="3" fontId="14" numFmtId="0" xfId="0" applyAlignment="1" applyBorder="1" applyFont="1">
      <alignment vertical="center"/>
    </xf>
    <xf borderId="8" fillId="0" fontId="14" numFmtId="1" xfId="0" applyAlignment="1" applyBorder="1" applyFont="1" applyNumberFormat="1">
      <alignment vertical="center"/>
    </xf>
    <xf borderId="32" fillId="11" fontId="13" numFmtId="3" xfId="0" applyAlignment="1" applyBorder="1" applyFont="1" applyNumberFormat="1">
      <alignment horizontal="center" readingOrder="0" vertical="center"/>
    </xf>
    <xf borderId="8" fillId="0" fontId="14" numFmtId="1" xfId="0" applyAlignment="1" applyBorder="1" applyFont="1" applyNumberFormat="1">
      <alignment readingOrder="0" vertical="center"/>
    </xf>
    <xf borderId="8" fillId="0" fontId="14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37" fillId="0" fontId="14" numFmtId="0" xfId="0" applyAlignment="1" applyBorder="1" applyFont="1">
      <alignment horizontal="center" vertical="center"/>
    </xf>
    <xf borderId="37" fillId="9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38" fillId="9" fontId="14" numFmtId="0" xfId="0" applyAlignment="1" applyBorder="1" applyFont="1">
      <alignment horizontal="center" vertical="center"/>
    </xf>
    <xf borderId="39" fillId="0" fontId="14" numFmtId="0" xfId="0" applyAlignment="1" applyBorder="1" applyFont="1">
      <alignment horizontal="center" readingOrder="0" vertical="center"/>
    </xf>
    <xf borderId="39" fillId="6" fontId="14" numFmtId="0" xfId="0" applyAlignment="1" applyBorder="1" applyFont="1">
      <alignment horizontal="center" vertical="center"/>
    </xf>
    <xf borderId="40" fillId="6" fontId="14" numFmtId="0" xfId="0" applyAlignment="1" applyBorder="1" applyFont="1">
      <alignment horizontal="center" vertical="center"/>
    </xf>
    <xf borderId="41" fillId="0" fontId="14" numFmtId="3" xfId="0" applyAlignment="1" applyBorder="1" applyFont="1" applyNumberFormat="1">
      <alignment horizontal="center" readingOrder="0" vertical="center"/>
    </xf>
    <xf borderId="41" fillId="4" fontId="14" numFmtId="4" xfId="0" applyAlignment="1" applyBorder="1" applyFont="1" applyNumberFormat="1">
      <alignment horizontal="center" vertical="center"/>
    </xf>
    <xf borderId="0" fillId="0" fontId="14" numFmtId="4" xfId="0" applyAlignment="1" applyFont="1" applyNumberFormat="1">
      <alignment horizontal="center" vertical="center"/>
    </xf>
    <xf borderId="36" fillId="4" fontId="14" numFmtId="4" xfId="0" applyAlignment="1" applyBorder="1" applyFont="1" applyNumberFormat="1">
      <alignment horizontal="center" vertical="center"/>
    </xf>
    <xf borderId="0" fillId="0" fontId="14" numFmtId="4" xfId="0" applyAlignment="1" applyFont="1" applyNumberFormat="1">
      <alignment horizontal="center" readingOrder="0" vertical="center"/>
    </xf>
    <xf borderId="0" fillId="0" fontId="14" numFmtId="4" xfId="0" applyAlignment="1" applyFont="1" applyNumberFormat="1">
      <alignment horizontal="left" readingOrder="0" vertical="center"/>
    </xf>
    <xf borderId="0" fillId="0" fontId="14" numFmtId="4" xfId="0" applyAlignment="1" applyFont="1" applyNumberFormat="1">
      <alignment horizontal="right" readingOrder="0" vertical="center"/>
    </xf>
    <xf borderId="0" fillId="4" fontId="14" numFmtId="4" xfId="0" applyAlignment="1" applyFont="1" applyNumberFormat="1">
      <alignment horizontal="center" readingOrder="0" vertical="center"/>
    </xf>
    <xf borderId="0" fillId="4" fontId="14" numFmtId="4" xfId="0" applyAlignment="1" applyFont="1" applyNumberFormat="1">
      <alignment horizontal="center" vertical="center"/>
    </xf>
    <xf borderId="0" fillId="13" fontId="14" numFmtId="4" xfId="0" applyAlignment="1" applyFill="1" applyFont="1" applyNumberFormat="1">
      <alignment horizontal="right" readingOrder="0" vertical="center"/>
    </xf>
    <xf borderId="0" fillId="13" fontId="14" numFmtId="4" xfId="0" applyAlignment="1" applyFont="1" applyNumberFormat="1">
      <alignment horizontal="center" readingOrder="0" vertical="center"/>
    </xf>
    <xf borderId="0" fillId="13" fontId="14" numFmtId="4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readingOrder="0" vertical="center"/>
    </xf>
    <xf borderId="0" fillId="0" fontId="14" numFmtId="1" xfId="0" applyAlignment="1" applyFont="1" applyNumberFormat="1">
      <alignment vertical="center"/>
    </xf>
    <xf borderId="0" fillId="0" fontId="14" numFmtId="0" xfId="0" applyAlignment="1" applyFont="1">
      <alignment readingOrder="0" vertical="center"/>
    </xf>
    <xf borderId="0" fillId="0" fontId="13" numFmtId="169" xfId="0" applyAlignment="1" applyFont="1" applyNumberFormat="1">
      <alignment horizontal="center" vertical="center"/>
    </xf>
    <xf borderId="0" fillId="0" fontId="14" numFmtId="3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14" numFmtId="1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15" numFmtId="10" xfId="0" applyAlignment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0" fontId="14" numFmtId="170" xfId="0" applyAlignment="1" applyFont="1" applyNumberFormat="1">
      <alignment horizontal="center" vertical="center"/>
    </xf>
    <xf borderId="0" fillId="0" fontId="14" numFmtId="9" xfId="0" applyAlignment="1" applyFont="1" applyNumberFormat="1">
      <alignment horizontal="center" readingOrder="0" vertical="center"/>
    </xf>
    <xf borderId="0" fillId="13" fontId="16" numFmtId="10" xfId="0" applyFont="1" applyNumberFormat="1"/>
    <xf borderId="0" fillId="14" fontId="12" numFmtId="0" xfId="0" applyAlignment="1" applyFill="1" applyFont="1">
      <alignment readingOrder="0" shrinkToFit="0" vertical="center" wrapText="1"/>
    </xf>
    <xf borderId="0" fillId="0" fontId="12" numFmtId="0" xfId="0" applyAlignment="1" applyFont="1">
      <alignment vertical="center"/>
    </xf>
    <xf borderId="0" fillId="1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center"/>
    </xf>
    <xf borderId="0" fillId="0" fontId="18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center" wrapText="1"/>
    </xf>
    <xf borderId="0" fillId="0" fontId="14" numFmtId="0" xfId="0" applyAlignment="1" applyFont="1">
      <alignment readingOrder="0" vertical="bottom"/>
    </xf>
    <xf borderId="0" fillId="0" fontId="19" numFmtId="0" xfId="0" applyAlignment="1" applyFont="1">
      <alignment readingOrder="0" shrinkToFit="0" vertical="center" wrapText="1"/>
    </xf>
    <xf borderId="0" fillId="0" fontId="19" numFmtId="0" xfId="0" applyFont="1"/>
    <xf borderId="0" fillId="0" fontId="14" numFmtId="0" xfId="0" applyFont="1"/>
    <xf borderId="0" fillId="0" fontId="6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vertical="center"/>
    </xf>
    <xf borderId="0" fillId="0" fontId="1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vertical="center"/>
    </xf>
    <xf borderId="0" fillId="15" fontId="23" numFmtId="0" xfId="0" applyAlignment="1" applyFill="1" applyFont="1">
      <alignment horizontal="left" shrinkToFit="0" vertical="center" wrapText="0"/>
    </xf>
    <xf borderId="0" fillId="15" fontId="24" numFmtId="0" xfId="0" applyAlignment="1" applyFont="1">
      <alignment horizontal="left" shrinkToFit="0" vertical="center" wrapText="0"/>
    </xf>
    <xf borderId="0" fillId="15" fontId="25" numFmtId="0" xfId="0" applyAlignment="1" applyFont="1">
      <alignment horizontal="left" shrinkToFit="0" vertical="center" wrapText="0"/>
    </xf>
    <xf borderId="0" fillId="0" fontId="19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15" fontId="28" numFmtId="0" xfId="0" applyAlignment="1" applyFont="1">
      <alignment horizontal="left" readingOrder="0" shrinkToFit="0" vertical="center" wrapText="0"/>
    </xf>
    <xf borderId="0" fillId="16" fontId="29" numFmtId="0" xfId="0" applyAlignment="1" applyFill="1" applyFont="1">
      <alignment horizontal="left" shrinkToFit="0" vertical="center" wrapText="0"/>
    </xf>
    <xf borderId="0" fillId="0" fontId="21" numFmtId="0" xfId="0" applyAlignment="1" applyFont="1">
      <alignment vertical="center"/>
    </xf>
    <xf borderId="0" fillId="15" fontId="30" numFmtId="0" xfId="0" applyAlignment="1" applyFont="1">
      <alignment horizontal="center" readingOrder="0" vertical="top"/>
    </xf>
    <xf borderId="0" fillId="15" fontId="26" numFmtId="0" xfId="0" applyAlignment="1" applyFont="1">
      <alignment horizontal="left" shrinkToFit="0" vertical="center" wrapText="0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shrinkToFit="0" vertical="center" wrapText="0"/>
    </xf>
    <xf borderId="0" fillId="10" fontId="31" numFmtId="0" xfId="0" applyAlignment="1" applyFont="1">
      <alignment horizontal="center" readingOrder="0" shrinkToFit="0" vertical="center" wrapText="0"/>
    </xf>
    <xf borderId="0" fillId="15" fontId="32" numFmtId="0" xfId="0" applyAlignment="1" applyFont="1">
      <alignment vertical="center"/>
    </xf>
    <xf borderId="0" fillId="5" fontId="33" numFmtId="0" xfId="0" applyAlignment="1" applyFont="1">
      <alignment horizontal="center" readingOrder="0" vertical="top"/>
    </xf>
    <xf borderId="0" fillId="5" fontId="26" numFmtId="0" xfId="0" applyAlignment="1" applyFont="1">
      <alignment horizontal="left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34" numFmtId="0" xfId="0" applyAlignment="1" applyFont="1">
      <alignment horizontal="left" shrinkToFit="0" vertical="center" wrapText="0"/>
    </xf>
    <xf borderId="0" fillId="15" fontId="35" numFmtId="0" xfId="0" applyAlignment="1" applyFont="1">
      <alignment horizontal="center" readingOrder="0" shrinkToFit="0" vertical="center" wrapText="0"/>
    </xf>
    <xf borderId="0" fillId="15" fontId="36" numFmtId="0" xfId="0" applyFont="1"/>
    <xf borderId="0" fillId="15" fontId="37" numFmtId="0" xfId="0" applyAlignment="1" applyFont="1">
      <alignment horizontal="center" readingOrder="0" vertical="top"/>
    </xf>
    <xf borderId="0" fillId="15" fontId="16" numFmtId="0" xfId="0" applyFont="1"/>
    <xf borderId="0" fillId="15" fontId="38" numFmtId="0" xfId="0" applyAlignment="1" applyFont="1">
      <alignment horizontal="center" readingOrder="0" shrinkToFit="0" vertical="center" wrapText="0"/>
    </xf>
    <xf borderId="0" fillId="5" fontId="39" numFmtId="0" xfId="0" applyAlignment="1" applyFont="1">
      <alignment horizontal="center" readingOrder="0" vertical="top"/>
    </xf>
    <xf borderId="0" fillId="15" fontId="30" numFmtId="0" xfId="0" applyAlignment="1" applyFont="1">
      <alignment readingOrder="0"/>
    </xf>
    <xf borderId="0" fillId="15" fontId="40" numFmtId="0" xfId="0" applyAlignment="1" applyFont="1">
      <alignment horizontal="center" readingOrder="0" vertical="top"/>
    </xf>
    <xf borderId="0" fillId="5" fontId="41" numFmtId="0" xfId="0" applyAlignment="1" applyFont="1">
      <alignment horizontal="center" readingOrder="0" vertical="top"/>
    </xf>
    <xf borderId="0" fillId="0" fontId="26" numFmtId="0" xfId="0" applyAlignment="1" applyFont="1">
      <alignment readingOrder="0" shrinkToFit="0" vertical="center" wrapText="0"/>
    </xf>
    <xf borderId="0" fillId="0" fontId="42" numFmtId="0" xfId="0" applyAlignment="1" applyFont="1">
      <alignment horizontal="center" shrinkToFit="0" vertical="center" wrapText="0"/>
    </xf>
    <xf borderId="0" fillId="0" fontId="43" numFmtId="0" xfId="0" applyAlignment="1" applyFont="1">
      <alignment horizontal="center" readingOrder="0" shrinkToFit="0" vertical="center" wrapText="0"/>
    </xf>
    <xf borderId="42" fillId="0" fontId="3" numFmtId="0" xfId="0" applyBorder="1" applyFont="1"/>
    <xf borderId="43" fillId="0" fontId="3" numFmtId="0" xfId="0" applyBorder="1" applyFont="1"/>
    <xf borderId="0" fillId="0" fontId="44" numFmtId="0" xfId="0" applyAlignment="1" applyFont="1">
      <alignment horizontal="center" shrinkToFit="0" vertical="bottom" wrapText="0"/>
    </xf>
    <xf borderId="0" fillId="0" fontId="45" numFmtId="0" xfId="0" applyAlignment="1" applyFont="1">
      <alignment horizontal="center" shrinkToFit="0" vertical="bottom" wrapText="0"/>
    </xf>
    <xf borderId="0" fillId="14" fontId="46" numFmtId="0" xfId="0" applyAlignment="1" applyFont="1">
      <alignment horizontal="center" readingOrder="0" shrinkToFit="0" vertical="center" wrapText="1"/>
    </xf>
    <xf borderId="0" fillId="10" fontId="46" numFmtId="0" xfId="0" applyAlignment="1" applyFont="1">
      <alignment horizontal="center" readingOrder="0" shrinkToFit="0" vertical="center" wrapText="1"/>
    </xf>
    <xf borderId="0" fillId="0" fontId="42" numFmtId="10" xfId="0" applyAlignment="1" applyFont="1" applyNumberFormat="1">
      <alignment horizontal="center" shrinkToFit="0" vertical="bottom" wrapText="0"/>
    </xf>
    <xf borderId="0" fillId="0" fontId="45" numFmtId="10" xfId="0" applyAlignment="1" applyFont="1" applyNumberFormat="1">
      <alignment horizontal="center" shrinkToFit="0" vertical="bottom" wrapText="0"/>
    </xf>
    <xf borderId="0" fillId="0" fontId="29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horizontal="center" shrinkToFit="0" vertical="center" wrapText="0"/>
    </xf>
    <xf borderId="44" fillId="15" fontId="29" numFmtId="0" xfId="0" applyAlignment="1" applyBorder="1" applyFont="1">
      <alignment horizontal="center" readingOrder="0" shrinkToFit="0" vertical="center" wrapText="0"/>
    </xf>
    <xf borderId="45" fillId="14" fontId="29" numFmtId="0" xfId="0" applyAlignment="1" applyBorder="1" applyFont="1">
      <alignment horizontal="center" shrinkToFit="0" vertical="center" wrapText="0"/>
    </xf>
    <xf borderId="46" fillId="15" fontId="29" numFmtId="0" xfId="0" applyAlignment="1" applyBorder="1" applyFont="1">
      <alignment horizontal="center" shrinkToFit="0" vertical="center" wrapText="0"/>
    </xf>
    <xf borderId="47" fillId="10" fontId="22" numFmtId="0" xfId="0" applyAlignment="1" applyBorder="1" applyFont="1">
      <alignment horizontal="center" shrinkToFit="0" vertical="center" wrapText="0"/>
    </xf>
    <xf borderId="48" fillId="17" fontId="3" numFmtId="0" xfId="0" applyBorder="1" applyFill="1" applyFont="1"/>
    <xf borderId="0" fillId="15" fontId="26" numFmtId="0" xfId="0" applyAlignment="1" applyFont="1">
      <alignment vertical="center"/>
    </xf>
    <xf borderId="49" fillId="6" fontId="26" numFmtId="0" xfId="0" applyAlignment="1" applyBorder="1" applyFont="1">
      <alignment horizontal="center" shrinkToFit="0" vertical="center" wrapText="0"/>
    </xf>
    <xf borderId="49" fillId="6" fontId="26" numFmtId="10" xfId="0" applyAlignment="1" applyBorder="1" applyFont="1" applyNumberFormat="1">
      <alignment horizontal="center" shrinkToFit="0" vertical="center" wrapText="0"/>
    </xf>
    <xf borderId="50" fillId="6" fontId="26" numFmtId="0" xfId="0" applyAlignment="1" applyBorder="1" applyFont="1">
      <alignment horizontal="center" shrinkToFit="0" vertical="center" wrapText="0"/>
    </xf>
    <xf borderId="0" fillId="15" fontId="26" numFmtId="0" xfId="0" applyAlignment="1" applyFont="1">
      <alignment horizontal="center" shrinkToFit="0" vertical="center" wrapText="0"/>
    </xf>
    <xf borderId="50" fillId="3" fontId="26" numFmtId="0" xfId="0" applyAlignment="1" applyBorder="1" applyFont="1">
      <alignment horizontal="center" shrinkToFit="0" vertical="center" wrapText="0"/>
    </xf>
    <xf borderId="51" fillId="15" fontId="3" numFmtId="0" xfId="0" applyBorder="1" applyFont="1"/>
    <xf borderId="50" fillId="3" fontId="26" numFmtId="10" xfId="0" applyAlignment="1" applyBorder="1" applyFont="1" applyNumberFormat="1">
      <alignment horizontal="center" shrinkToFit="0" vertical="center" wrapText="0"/>
    </xf>
    <xf borderId="51" fillId="18" fontId="3" numFmtId="0" xfId="0" applyBorder="1" applyFill="1" applyFont="1"/>
    <xf borderId="49" fillId="19" fontId="29" numFmtId="0" xfId="0" applyAlignment="1" applyBorder="1" applyFill="1" applyFont="1">
      <alignment horizontal="center" shrinkToFit="0" vertical="center" wrapText="0"/>
    </xf>
    <xf borderId="49" fillId="19" fontId="29" numFmtId="10" xfId="0" applyAlignment="1" applyBorder="1" applyFont="1" applyNumberFormat="1">
      <alignment horizontal="center" shrinkToFit="0" vertical="center" wrapText="0"/>
    </xf>
    <xf borderId="50" fillId="19" fontId="29" numFmtId="0" xfId="0" applyAlignment="1" applyBorder="1" applyFont="1">
      <alignment horizontal="center" shrinkToFit="0" vertical="center" wrapText="0"/>
    </xf>
    <xf borderId="50" fillId="10" fontId="22" numFmtId="0" xfId="0" applyAlignment="1" applyBorder="1" applyFont="1">
      <alignment horizontal="center" shrinkToFit="0" vertical="center" wrapText="0"/>
    </xf>
    <xf borderId="50" fillId="10" fontId="22" numFmtId="10" xfId="0" applyAlignment="1" applyBorder="1" applyFont="1" applyNumberFormat="1">
      <alignment horizontal="center" shrinkToFit="0" vertical="center" wrapText="0"/>
    </xf>
    <xf borderId="52" fillId="20" fontId="29" numFmtId="0" xfId="0" applyAlignment="1" applyBorder="1" applyFill="1" applyFont="1">
      <alignment horizontal="left" shrinkToFit="0" vertical="center" wrapText="0"/>
    </xf>
    <xf borderId="52" fillId="20" fontId="26" numFmtId="0" xfId="0" applyAlignment="1" applyBorder="1" applyFont="1">
      <alignment horizontal="center" shrinkToFit="0" vertical="center" wrapText="0"/>
    </xf>
    <xf borderId="52" fillId="15" fontId="26" numFmtId="0" xfId="0" applyAlignment="1" applyBorder="1" applyFont="1">
      <alignment horizontal="center" shrinkToFit="0" vertical="center" wrapText="0"/>
    </xf>
    <xf borderId="52" fillId="15" fontId="26" numFmtId="0" xfId="0" applyAlignment="1" applyBorder="1" applyFont="1">
      <alignment horizontal="center" shrinkToFit="0" vertical="center" wrapText="0"/>
    </xf>
    <xf borderId="52" fillId="15" fontId="21" numFmtId="0" xfId="0" applyAlignment="1" applyBorder="1" applyFont="1">
      <alignment horizontal="center" shrinkToFit="0" vertical="center" wrapText="0"/>
    </xf>
    <xf borderId="0" fillId="15" fontId="29" numFmtId="0" xfId="0" applyAlignment="1" applyFont="1">
      <alignment horizontal="center" readingOrder="0" shrinkToFit="0" vertical="center" wrapText="0"/>
    </xf>
    <xf borderId="0" fillId="15" fontId="21" numFmtId="0" xfId="0" applyAlignment="1" applyFont="1">
      <alignment vertical="center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8" numFmtId="0" xfId="0" applyFont="1"/>
    <xf borderId="0" fillId="0" fontId="49" numFmtId="10" xfId="0" applyAlignment="1" applyFont="1" applyNumberFormat="1">
      <alignment horizontal="center" shrinkToFit="0" vertical="bottom" wrapText="0"/>
    </xf>
    <xf borderId="0" fillId="14" fontId="50" numFmtId="0" xfId="0" applyAlignment="1" applyFont="1">
      <alignment horizontal="left" readingOrder="0" shrinkToFit="0" vertical="center" wrapText="1"/>
    </xf>
    <xf borderId="0" fillId="10" fontId="23" numFmtId="0" xfId="0" applyAlignment="1" applyFont="1">
      <alignment horizontal="center" readingOrder="0" shrinkToFit="0" vertical="center" wrapText="0"/>
    </xf>
    <xf borderId="0" fillId="0" fontId="42" numFmtId="0" xfId="0" applyAlignment="1" applyFont="1">
      <alignment horizontal="center" shrinkToFit="0" vertical="bottom" wrapText="0"/>
    </xf>
    <xf borderId="0" fillId="15" fontId="26" numFmtId="0" xfId="0" applyAlignment="1" applyFont="1">
      <alignment vertical="center"/>
    </xf>
    <xf borderId="0" fillId="15" fontId="29" numFmtId="0" xfId="0" applyAlignment="1" applyFont="1">
      <alignment horizontal="center" shrinkToFit="0" vertical="center" wrapText="0"/>
    </xf>
    <xf borderId="0" fillId="15" fontId="22" numFmtId="0" xfId="0" applyAlignment="1" applyFont="1">
      <alignment horizontal="center" shrinkToFit="0" vertical="center" wrapText="0"/>
    </xf>
    <xf borderId="0" fillId="15" fontId="21" numFmtId="10" xfId="0" applyAlignment="1" applyFont="1" applyNumberFormat="1">
      <alignment horizontal="center" shrinkToFit="0" vertical="center" wrapText="0"/>
    </xf>
    <xf borderId="0" fillId="21" fontId="29" numFmtId="0" xfId="0" applyAlignment="1" applyFill="1" applyFont="1">
      <alignment horizontal="center" vertical="center"/>
    </xf>
    <xf borderId="0" fillId="15" fontId="29" numFmtId="0" xfId="0" applyAlignment="1" applyFont="1">
      <alignment horizontal="left" vertical="center"/>
    </xf>
    <xf borderId="0" fillId="15" fontId="26" numFmtId="0" xfId="0" applyAlignment="1" applyFont="1">
      <alignment horizontal="center" vertical="center"/>
    </xf>
    <xf borderId="0" fillId="15" fontId="26" numFmtId="10" xfId="0" applyAlignment="1" applyFont="1" applyNumberFormat="1">
      <alignment horizontal="center" vertical="center"/>
    </xf>
    <xf borderId="0" fillId="15" fontId="26" numFmtId="10" xfId="0" applyAlignment="1" applyFont="1" applyNumberFormat="1">
      <alignment horizontal="left" vertical="center"/>
    </xf>
    <xf borderId="0" fillId="0" fontId="51" numFmtId="10" xfId="0" applyAlignment="1" applyFont="1" applyNumberFormat="1">
      <alignment horizontal="center" shrinkToFit="0" vertical="bottom" wrapText="0"/>
    </xf>
    <xf borderId="0" fillId="10" fontId="50" numFmtId="0" xfId="0" applyAlignment="1" applyFont="1">
      <alignment horizontal="left" readingOrder="0" shrinkToFit="0" vertical="center" wrapText="1"/>
    </xf>
    <xf borderId="0" fillId="5" fontId="26" numFmtId="0" xfId="0" applyAlignment="1" applyFont="1">
      <alignment horizontal="center" vertical="center"/>
    </xf>
    <xf borderId="0" fillId="5" fontId="26" numFmtId="10" xfId="0" applyAlignment="1" applyFont="1" applyNumberFormat="1">
      <alignment horizontal="center" vertical="center"/>
    </xf>
    <xf borderId="0" fillId="15" fontId="21" numFmtId="0" xfId="0" applyAlignment="1" applyFont="1">
      <alignment horizontal="center" shrinkToFit="0" vertical="center" wrapText="0"/>
    </xf>
    <xf borderId="0" fillId="0" fontId="52" numFmtId="10" xfId="0" applyAlignment="1" applyFont="1" applyNumberFormat="1">
      <alignment horizontal="center" shrinkToFit="0" vertical="bottom" wrapText="0"/>
    </xf>
    <xf borderId="0" fillId="0" fontId="50" numFmtId="0" xfId="0" applyAlignment="1" applyFont="1">
      <alignment horizontal="left" readingOrder="0" shrinkToFit="0" vertical="center" wrapText="1"/>
    </xf>
    <xf borderId="53" fillId="21" fontId="26" numFmtId="0" xfId="0" applyAlignment="1" applyBorder="1" applyFont="1">
      <alignment horizontal="center" vertical="center"/>
    </xf>
    <xf borderId="53" fillId="21" fontId="3" numFmtId="0" xfId="0" applyBorder="1" applyFont="1"/>
    <xf borderId="0" fillId="15" fontId="26" numFmtId="0" xfId="0" applyAlignment="1" applyFont="1">
      <alignment horizontal="left" vertical="center"/>
    </xf>
    <xf borderId="0" fillId="0" fontId="26" numFmtId="0" xfId="0" applyAlignment="1" applyFont="1">
      <alignment horizontal="left" shrinkToFit="0" vertical="center" wrapText="0"/>
    </xf>
    <xf borderId="0" fillId="0" fontId="29" numFmtId="0" xfId="0" applyAlignment="1" applyFont="1">
      <alignment horizontal="center" shrinkToFit="0" vertical="center" wrapText="0"/>
    </xf>
    <xf borderId="52" fillId="0" fontId="16" numFmtId="0" xfId="0" applyBorder="1" applyFont="1"/>
    <xf borderId="52" fillId="15" fontId="29" numFmtId="0" xfId="0" applyAlignment="1" applyBorder="1" applyFont="1">
      <alignment horizontal="center" readingOrder="0" shrinkToFit="0" vertical="center" wrapText="0"/>
    </xf>
    <xf borderId="52" fillId="15" fontId="21" numFmtId="0" xfId="0" applyAlignment="1" applyBorder="1" applyFont="1">
      <alignment vertical="center"/>
    </xf>
    <xf borderId="52" fillId="0" fontId="26" numFmtId="0" xfId="0" applyAlignment="1" applyBorder="1" applyFont="1">
      <alignment vertical="center"/>
    </xf>
    <xf borderId="54" fillId="0" fontId="53" numFmtId="0" xfId="0" applyAlignment="1" applyBorder="1" applyFont="1">
      <alignment horizontal="center" readingOrder="0" shrinkToFit="0" vertical="center" wrapText="0"/>
    </xf>
    <xf borderId="44" fillId="0" fontId="3" numFmtId="0" xfId="0" applyBorder="1" applyFont="1"/>
    <xf borderId="55" fillId="0" fontId="3" numFmtId="0" xfId="0" applyBorder="1" applyFont="1"/>
    <xf borderId="0" fillId="0" fontId="54" numFmtId="0" xfId="0" applyAlignment="1" applyFont="1">
      <alignment readingOrder="0" vertical="center"/>
    </xf>
    <xf borderId="0" fillId="14" fontId="55" numFmtId="0" xfId="0" applyAlignment="1" applyFont="1">
      <alignment horizontal="center" readingOrder="0" shrinkToFit="0" vertical="center" wrapText="0"/>
    </xf>
    <xf borderId="0" fillId="21" fontId="56" numFmtId="0" xfId="0" applyAlignment="1" applyFont="1">
      <alignment horizontal="center" readingOrder="0" shrinkToFit="0" vertical="center" wrapText="0"/>
    </xf>
    <xf borderId="46" fillId="11" fontId="29" numFmtId="0" xfId="0" applyAlignment="1" applyBorder="1" applyFont="1">
      <alignment horizontal="center" readingOrder="0" shrinkToFit="0" vertical="center" wrapText="0"/>
    </xf>
    <xf borderId="49" fillId="11" fontId="29" numFmtId="0" xfId="0" applyAlignment="1" applyBorder="1" applyFont="1">
      <alignment horizontal="center" readingOrder="0" shrinkToFit="0" vertical="center" wrapText="0"/>
    </xf>
    <xf borderId="49" fillId="14" fontId="29" numFmtId="0" xfId="0" applyAlignment="1" applyBorder="1" applyFont="1">
      <alignment horizontal="center" readingOrder="0" shrinkToFit="0" vertical="center" wrapText="0"/>
    </xf>
    <xf borderId="49" fillId="21" fontId="22" numFmtId="0" xfId="0" applyAlignment="1" applyBorder="1" applyFont="1">
      <alignment horizontal="center" readingOrder="0" shrinkToFit="0" vertical="center" wrapText="0"/>
    </xf>
    <xf borderId="0" fillId="0" fontId="21" numFmtId="3" xfId="0" applyAlignment="1" applyFont="1" applyNumberFormat="1">
      <alignment vertical="center"/>
    </xf>
    <xf borderId="7" fillId="15" fontId="26" numFmtId="0" xfId="0" applyAlignment="1" applyBorder="1" applyFont="1">
      <alignment horizontal="center" shrinkToFit="0" vertical="center" wrapText="0"/>
    </xf>
    <xf borderId="51" fillId="22" fontId="26" numFmtId="169" xfId="0" applyAlignment="1" applyBorder="1" applyFill="1" applyFont="1" applyNumberFormat="1">
      <alignment horizontal="center" shrinkToFit="0" vertical="center" wrapText="0"/>
    </xf>
    <xf borderId="49" fillId="6" fontId="26" numFmtId="169" xfId="0" applyAlignment="1" applyBorder="1" applyFont="1" applyNumberFormat="1">
      <alignment horizontal="center" shrinkToFit="0" vertical="center" wrapText="0"/>
    </xf>
    <xf borderId="49" fillId="22" fontId="57" numFmtId="169" xfId="0" applyAlignment="1" applyBorder="1" applyFont="1" applyNumberFormat="1">
      <alignment horizontal="center" shrinkToFit="0" vertical="center" wrapText="0"/>
    </xf>
    <xf borderId="49" fillId="22" fontId="57" numFmtId="10" xfId="0" applyAlignment="1" applyBorder="1" applyFont="1" applyNumberFormat="1">
      <alignment horizontal="center" shrinkToFit="0" vertical="center" wrapText="0"/>
    </xf>
    <xf borderId="0" fillId="10" fontId="56" numFmtId="0" xfId="0" applyAlignment="1" applyFont="1">
      <alignment horizontal="center" readingOrder="0" shrinkToFit="0" vertical="center" wrapText="0"/>
    </xf>
    <xf borderId="49" fillId="10" fontId="22" numFmtId="0" xfId="0" applyAlignment="1" applyBorder="1" applyFont="1">
      <alignment horizontal="center" readingOrder="0" shrinkToFit="0" vertical="center" wrapText="0"/>
    </xf>
    <xf borderId="0" fillId="15" fontId="58" numFmtId="3" xfId="0" applyAlignment="1" applyFont="1" applyNumberFormat="1">
      <alignment horizontal="left"/>
    </xf>
    <xf borderId="49" fillId="12" fontId="26" numFmtId="169" xfId="0" applyAlignment="1" applyBorder="1" applyFont="1" applyNumberFormat="1">
      <alignment horizontal="center" shrinkToFit="0" vertical="center" wrapText="0"/>
    </xf>
    <xf borderId="49" fillId="12" fontId="26" numFmtId="10" xfId="0" applyAlignment="1" applyBorder="1" applyFont="1" applyNumberFormat="1">
      <alignment horizontal="center" shrinkToFit="0" vertical="center" wrapText="0"/>
    </xf>
    <xf borderId="54" fillId="0" fontId="59" numFmtId="0" xfId="0" applyAlignment="1" applyBorder="1" applyFont="1">
      <alignment horizontal="center" readingOrder="0" shrinkToFit="0" vertical="center" wrapText="0"/>
    </xf>
    <xf borderId="0" fillId="15" fontId="58" numFmtId="0" xfId="0" applyAlignment="1" applyFont="1">
      <alignment horizontal="left"/>
    </xf>
    <xf borderId="0" fillId="0" fontId="27" numFmtId="3" xfId="0" applyAlignment="1" applyFont="1" applyNumberFormat="1">
      <alignment readingOrder="0" vertical="center"/>
    </xf>
    <xf borderId="56" fillId="0" fontId="60" numFmtId="0" xfId="0" applyAlignment="1" applyBorder="1" applyFont="1">
      <alignment horizontal="center" readingOrder="0"/>
    </xf>
    <xf borderId="56" fillId="0" fontId="3" numFmtId="0" xfId="0" applyBorder="1" applyFont="1"/>
    <xf borderId="0" fillId="0" fontId="16" numFmtId="0" xfId="0" applyFont="1"/>
    <xf borderId="43" fillId="15" fontId="61" numFmtId="0" xfId="0" applyAlignment="1" applyBorder="1" applyFont="1">
      <alignment horizontal="center" readingOrder="0"/>
    </xf>
    <xf borderId="43" fillId="0" fontId="61" numFmtId="0" xfId="0" applyAlignment="1" applyBorder="1" applyFont="1">
      <alignment horizontal="center" readingOrder="0"/>
    </xf>
    <xf borderId="0" fillId="15" fontId="62" numFmtId="0" xfId="0" applyAlignment="1" applyFont="1">
      <alignment readingOrder="0"/>
    </xf>
    <xf borderId="0" fillId="0" fontId="62" numFmtId="0" xfId="0" applyAlignment="1" applyFont="1">
      <alignment readingOrder="0"/>
    </xf>
    <xf borderId="0" fillId="15" fontId="16" numFmtId="0" xfId="0" applyAlignment="1" applyFont="1">
      <alignment readingOrder="0"/>
    </xf>
    <xf borderId="0" fillId="15" fontId="63" numFmtId="0" xfId="0" applyAlignment="1" applyFont="1">
      <alignment horizontal="left" readingOrder="0" shrinkToFit="0" vertical="center" wrapText="0"/>
    </xf>
    <xf borderId="0" fillId="15" fontId="44" numFmtId="0" xfId="0" applyAlignment="1" applyFont="1">
      <alignment horizontal="center" shrinkToFit="0" vertical="bottom" wrapText="0"/>
    </xf>
    <xf borderId="0" fillId="0" fontId="64" numFmtId="0" xfId="0" applyAlignment="1" applyFont="1">
      <alignment horizontal="center" shrinkToFit="0" vertical="bottom" wrapText="0"/>
    </xf>
    <xf borderId="0" fillId="15" fontId="28" numFmtId="0" xfId="0" applyAlignment="1" applyFont="1">
      <alignment horizontal="left" readingOrder="0" shrinkToFit="0" vertical="center" wrapText="0"/>
    </xf>
    <xf borderId="0" fillId="14" fontId="50" numFmtId="0" xfId="0" applyAlignment="1" applyFont="1">
      <alignment horizontal="center" readingOrder="0" shrinkToFit="0" vertical="center" wrapText="1"/>
    </xf>
    <xf borderId="0" fillId="10" fontId="50" numFmtId="0" xfId="0" applyAlignment="1" applyFont="1">
      <alignment horizontal="center" readingOrder="0" shrinkToFit="0" vertical="center" wrapText="1"/>
    </xf>
    <xf borderId="0" fillId="15" fontId="50" numFmtId="0" xfId="0" applyAlignment="1" applyFont="1">
      <alignment horizontal="center" readingOrder="0" shrinkToFit="0" vertical="center" wrapText="1"/>
    </xf>
    <xf borderId="0" fillId="15" fontId="65" numFmtId="0" xfId="0" applyAlignment="1" applyFont="1">
      <alignment horizontal="center" readingOrder="0" shrinkToFit="0" vertical="center" wrapText="0"/>
    </xf>
    <xf borderId="0" fillId="15" fontId="63" numFmtId="0" xfId="0" applyAlignment="1" applyFont="1">
      <alignment horizontal="left" readingOrder="0" shrinkToFit="0" vertical="center" wrapText="0"/>
    </xf>
    <xf borderId="0" fillId="0" fontId="66" numFmtId="0" xfId="0" applyAlignment="1" applyFont="1">
      <alignment horizontal="center" readingOrder="0"/>
    </xf>
    <xf borderId="0" fillId="15" fontId="67" numFmtId="0" xfId="0" applyAlignment="1" applyFont="1">
      <alignment horizontal="center" readingOrder="0"/>
    </xf>
    <xf borderId="0" fillId="15" fontId="50" numFmtId="0" xfId="0" applyAlignment="1" applyFont="1">
      <alignment horizontal="center" readingOrder="0" shrinkToFit="0" vertical="center" wrapText="1"/>
    </xf>
    <xf borderId="0" fillId="0" fontId="42" numFmtId="9" xfId="0" applyAlignment="1" applyFont="1" applyNumberFormat="1">
      <alignment horizontal="center" shrinkToFit="0" vertical="bottom" wrapText="0"/>
    </xf>
    <xf borderId="0" fillId="0" fontId="45" numFmtId="9" xfId="0" applyAlignment="1" applyFont="1" applyNumberFormat="1">
      <alignment horizontal="center" shrinkToFit="0" vertical="bottom" wrapText="0"/>
    </xf>
    <xf borderId="0" fillId="0" fontId="68" numFmtId="9" xfId="0" applyAlignment="1" applyFont="1" applyNumberFormat="1">
      <alignment horizontal="center" shrinkToFit="0" vertical="bottom" wrapText="0"/>
    </xf>
    <xf borderId="0" fillId="0" fontId="69" numFmtId="0" xfId="0" applyFont="1"/>
    <xf borderId="0" fillId="0" fontId="16" numFmtId="0" xfId="0" applyAlignment="1" applyFont="1">
      <alignment readingOrder="0"/>
    </xf>
    <xf borderId="0" fillId="10" fontId="70" numFmtId="0" xfId="0" applyAlignment="1" applyFont="1">
      <alignment horizontal="center" readingOrder="0" shrinkToFit="0" vertical="center" wrapText="0"/>
    </xf>
    <xf borderId="0" fillId="15" fontId="71" numFmtId="0" xfId="0" applyAlignment="1" applyFont="1">
      <alignment horizontal="center" readingOrder="0" shrinkToFit="0" vertical="center" wrapText="0"/>
    </xf>
    <xf borderId="0" fillId="15" fontId="72" numFmtId="0" xfId="0" applyAlignment="1" applyFont="1">
      <alignment horizontal="center" readingOrder="0" shrinkToFit="0" vertical="center" wrapText="1"/>
    </xf>
    <xf borderId="0" fillId="0" fontId="62" numFmtId="0" xfId="0" applyFont="1"/>
    <xf borderId="0" fillId="0" fontId="21" numFmtId="3" xfId="0" applyAlignment="1" applyFont="1" applyNumberFormat="1">
      <alignment readingOrder="0" vertical="center"/>
    </xf>
    <xf borderId="57" fillId="11" fontId="29" numFmtId="0" xfId="0" applyAlignment="1" applyBorder="1" applyFont="1">
      <alignment horizontal="center"/>
    </xf>
    <xf borderId="57" fillId="0" fontId="3" numFmtId="0" xfId="0" applyBorder="1" applyFont="1"/>
    <xf borderId="0" fillId="0" fontId="73" numFmtId="3" xfId="0" applyAlignment="1" applyFont="1" applyNumberFormat="1">
      <alignment readingOrder="0"/>
    </xf>
    <xf borderId="0" fillId="11" fontId="29" numFmtId="0" xfId="0" applyAlignment="1" applyFont="1">
      <alignment horizontal="center" shrinkToFit="0" vertical="center" wrapText="0"/>
    </xf>
    <xf borderId="46" fillId="14" fontId="29" numFmtId="0" xfId="0" applyAlignment="1" applyBorder="1" applyFont="1">
      <alignment horizontal="center" readingOrder="0" shrinkToFit="0" vertical="center" wrapText="0"/>
    </xf>
    <xf borderId="50" fillId="10" fontId="22" numFmtId="0" xfId="0" applyAlignment="1" applyBorder="1" applyFont="1">
      <alignment horizontal="center" readingOrder="0" shrinkToFit="0" vertical="center" wrapText="0"/>
    </xf>
    <xf borderId="0" fillId="15" fontId="26" numFmtId="0" xfId="0" applyAlignment="1" applyFont="1">
      <alignment horizontal="center"/>
    </xf>
    <xf borderId="0" fillId="15" fontId="26" numFmtId="9" xfId="0" applyAlignment="1" applyFont="1" applyNumberFormat="1">
      <alignment horizontal="center"/>
    </xf>
    <xf borderId="50" fillId="6" fontId="26" numFmtId="9" xfId="0" applyAlignment="1" applyBorder="1" applyFont="1" applyNumberFormat="1">
      <alignment horizontal="center" shrinkToFit="0" vertical="center" wrapText="0"/>
    </xf>
    <xf borderId="49" fillId="12" fontId="26" numFmtId="9" xfId="0" applyAlignment="1" applyBorder="1" applyFont="1" applyNumberFormat="1">
      <alignment horizontal="center" shrinkToFit="0" vertical="center" wrapText="0"/>
    </xf>
    <xf borderId="50" fillId="12" fontId="26" numFmtId="0" xfId="0" applyAlignment="1" applyBorder="1" applyFont="1">
      <alignment horizontal="center" shrinkToFit="0" vertical="center" wrapText="0"/>
    </xf>
    <xf borderId="0" fillId="5" fontId="26" numFmtId="0" xfId="0" applyAlignment="1" applyFont="1">
      <alignment horizontal="center"/>
    </xf>
    <xf borderId="0" fillId="5" fontId="26" numFmtId="9" xfId="0" applyAlignment="1" applyFont="1" applyNumberFormat="1">
      <alignment horizontal="center"/>
    </xf>
    <xf borderId="0" fillId="5" fontId="26" numFmtId="0" xfId="0" applyAlignment="1" applyFont="1">
      <alignment horizontal="center" shrinkToFit="0" vertical="center" wrapText="0"/>
    </xf>
    <xf borderId="0" fillId="23" fontId="26" numFmtId="9" xfId="0" applyAlignment="1" applyFill="1" applyFont="1" applyNumberFormat="1">
      <alignment horizontal="center"/>
    </xf>
    <xf borderId="0" fillId="21" fontId="29" numFmtId="0" xfId="0" applyAlignment="1" applyFont="1">
      <alignment horizontal="center"/>
    </xf>
    <xf borderId="0" fillId="21" fontId="29" numFmtId="10" xfId="0" applyAlignment="1" applyFont="1" applyNumberFormat="1">
      <alignment horizontal="center"/>
    </xf>
    <xf borderId="0" fillId="21" fontId="29" numFmtId="0" xfId="0" applyAlignment="1" applyFont="1">
      <alignment horizontal="center" shrinkToFit="0" vertical="center" wrapText="0"/>
    </xf>
    <xf borderId="50" fillId="14" fontId="29" numFmtId="9" xfId="0" applyAlignment="1" applyBorder="1" applyFont="1" applyNumberFormat="1">
      <alignment horizontal="center" shrinkToFit="0" vertical="center" wrapText="0"/>
    </xf>
    <xf borderId="51" fillId="14" fontId="29" numFmtId="0" xfId="0" applyAlignment="1" applyBorder="1" applyFont="1">
      <alignment horizontal="center" shrinkToFit="0" vertical="center" wrapText="0"/>
    </xf>
    <xf borderId="49" fillId="10" fontId="22" numFmtId="9" xfId="0" applyAlignment="1" applyBorder="1" applyFont="1" applyNumberFormat="1">
      <alignment horizontal="center" shrinkToFit="0" vertical="center" wrapText="0"/>
    </xf>
    <xf borderId="0" fillId="15" fontId="22" numFmtId="0" xfId="0" applyAlignment="1" applyFont="1">
      <alignment horizontal="center" shrinkToFit="0" vertical="center" wrapText="0"/>
    </xf>
    <xf borderId="50" fillId="14" fontId="29" numFmtId="0" xfId="0" applyAlignment="1" applyBorder="1" applyFont="1">
      <alignment horizontal="center" readingOrder="0" shrinkToFit="0" vertical="center" wrapText="0"/>
    </xf>
    <xf borderId="51" fillId="0" fontId="3" numFmtId="0" xfId="0" applyBorder="1" applyFont="1"/>
    <xf borderId="0" fillId="0" fontId="21" numFmtId="49" xfId="0" applyAlignment="1" applyFont="1" applyNumberFormat="1">
      <alignment readingOrder="0" vertical="center"/>
    </xf>
    <xf borderId="49" fillId="6" fontId="26" numFmtId="3" xfId="0" applyAlignment="1" applyBorder="1" applyFont="1" applyNumberFormat="1">
      <alignment horizontal="center" shrinkToFit="0" vertical="center" wrapText="0"/>
    </xf>
    <xf borderId="50" fillId="12" fontId="26" numFmtId="3" xfId="0" applyAlignment="1" applyBorder="1" applyFont="1" applyNumberFormat="1">
      <alignment horizontal="center" shrinkToFit="0" vertical="center" wrapText="0"/>
    </xf>
    <xf borderId="0" fillId="0" fontId="62" numFmtId="3" xfId="0" applyFont="1" applyNumberFormat="1"/>
    <xf borderId="0" fillId="0" fontId="29" numFmtId="0" xfId="0" applyAlignment="1" applyFont="1">
      <alignment horizontal="center" shrinkToFit="0" wrapText="0"/>
    </xf>
    <xf borderId="0" fillId="0" fontId="29" numFmtId="0" xfId="0" applyAlignment="1" applyFont="1">
      <alignment horizontal="left" shrinkToFit="0" wrapText="0"/>
    </xf>
    <xf borderId="0" fillId="11" fontId="29" numFmtId="0" xfId="0" applyAlignment="1" applyFont="1">
      <alignment horizontal="center" shrinkToFit="0" wrapText="0"/>
    </xf>
    <xf borderId="0" fillId="11" fontId="29" numFmtId="0" xfId="0" applyAlignment="1" applyFont="1">
      <alignment horizontal="left" shrinkToFit="0" wrapText="0"/>
    </xf>
    <xf borderId="58" fillId="15" fontId="27" numFmtId="49" xfId="0" applyAlignment="1" applyBorder="1" applyFont="1" applyNumberFormat="1">
      <alignment horizontal="center" readingOrder="0"/>
    </xf>
    <xf borderId="0" fillId="20" fontId="26" numFmtId="0" xfId="0" applyAlignment="1" applyFont="1">
      <alignment horizontal="left" shrinkToFit="0" wrapText="0"/>
    </xf>
    <xf borderId="0" fillId="0" fontId="26" numFmtId="3" xfId="0" applyAlignment="1" applyFont="1" applyNumberFormat="1">
      <alignment horizontal="center" shrinkToFit="0" wrapText="0"/>
    </xf>
    <xf borderId="0" fillId="0" fontId="26" numFmtId="3" xfId="0" applyAlignment="1" applyFont="1" applyNumberFormat="1">
      <alignment horizontal="left" shrinkToFit="0" wrapText="0"/>
    </xf>
    <xf borderId="58" fillId="23" fontId="27" numFmtId="49" xfId="0" applyAlignment="1" applyBorder="1" applyFont="1" applyNumberFormat="1">
      <alignment horizontal="center" readingOrder="0"/>
    </xf>
    <xf borderId="0" fillId="23" fontId="26" numFmtId="0" xfId="0" applyAlignment="1" applyFont="1">
      <alignment horizontal="left" shrinkToFit="0" wrapText="0"/>
    </xf>
    <xf borderId="0" fillId="23" fontId="26" numFmtId="3" xfId="0" applyAlignment="1" applyFont="1" applyNumberFormat="1">
      <alignment horizontal="center" shrinkToFit="0" wrapText="0"/>
    </xf>
    <xf borderId="0" fillId="23" fontId="26" numFmtId="3" xfId="0" applyAlignment="1" applyFont="1" applyNumberFormat="1">
      <alignment horizontal="left" shrinkToFit="0" wrapText="0"/>
    </xf>
    <xf borderId="0" fillId="0" fontId="16" numFmtId="49" xfId="0" applyAlignment="1" applyFont="1" applyNumberFormat="1">
      <alignment readingOrder="0"/>
    </xf>
    <xf borderId="0" fillId="0" fontId="16" numFmtId="49" xfId="0" applyFont="1" applyNumberFormat="1"/>
    <xf borderId="0" fillId="0" fontId="29" numFmtId="0" xfId="0" applyFont="1"/>
    <xf borderId="0" fillId="15" fontId="73" numFmtId="0" xfId="0" applyAlignment="1" applyFont="1">
      <alignment readingOrder="0"/>
    </xf>
    <xf borderId="0" fillId="0" fontId="16" numFmtId="10" xfId="0" applyAlignment="1" applyFont="1" applyNumberFormat="1">
      <alignment horizontal="left"/>
    </xf>
    <xf borderId="0" fillId="0" fontId="16" numFmtId="10" xfId="0" applyFont="1" applyNumberFormat="1"/>
    <xf borderId="0" fillId="0" fontId="73" numFmtId="0" xfId="0" applyAlignment="1" applyFont="1">
      <alignment readingOrder="0"/>
    </xf>
    <xf borderId="0" fillId="0" fontId="74" numFmtId="1" xfId="0" applyAlignment="1" applyFont="1" applyNumberFormat="1">
      <alignment shrinkToFit="0" vertical="bottom" wrapText="0"/>
    </xf>
    <xf borderId="0" fillId="0" fontId="74" numFmtId="0" xfId="0" applyAlignment="1" applyFont="1">
      <alignment shrinkToFit="0" vertical="bottom" wrapText="0"/>
    </xf>
    <xf borderId="0" fillId="0" fontId="74" numFmtId="0" xfId="0" applyAlignment="1" applyFont="1">
      <alignment readingOrder="0" shrinkToFit="0" vertical="bottom" wrapText="0"/>
    </xf>
    <xf borderId="0" fillId="0" fontId="74" numFmtId="1" xfId="0" applyAlignment="1" applyFont="1" applyNumberFormat="1">
      <alignment shrinkToFit="0" vertical="center" wrapText="0"/>
    </xf>
    <xf borderId="0" fillId="0" fontId="74" numFmtId="164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5" numFmtId="1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9" numFmtId="3" xfId="0" applyAlignment="1" applyFont="1" applyNumberFormat="1">
      <alignment vertical="bottom"/>
    </xf>
    <xf borderId="0" fillId="0" fontId="9" numFmtId="2" xfId="0" applyAlignment="1" applyFont="1" applyNumberFormat="1">
      <alignment horizontal="right" readingOrder="0" vertical="bottom"/>
    </xf>
    <xf borderId="0" fillId="0" fontId="74" numFmtId="1" xfId="0" applyAlignment="1" applyFont="1" applyNumberFormat="1">
      <alignment vertical="bottom"/>
    </xf>
    <xf borderId="0" fillId="0" fontId="74" numFmtId="0" xfId="0" applyAlignment="1" applyFont="1">
      <alignment vertical="bottom"/>
    </xf>
    <xf borderId="0" fillId="0" fontId="74" numFmtId="2" xfId="0" applyAlignment="1" applyFont="1" applyNumberFormat="1">
      <alignment vertical="bottom"/>
    </xf>
    <xf borderId="12" fillId="0" fontId="3" numFmtId="0" xfId="0" applyBorder="1" applyFont="1"/>
    <xf borderId="38" fillId="8" fontId="14" numFmtId="0" xfId="0" applyBorder="1" applyFont="1"/>
    <xf borderId="22" fillId="8" fontId="14" numFmtId="0" xfId="0" applyBorder="1" applyFont="1"/>
    <xf borderId="22" fillId="8" fontId="14" numFmtId="0" xfId="0" applyAlignment="1" applyBorder="1" applyFont="1">
      <alignment horizontal="center"/>
    </xf>
    <xf borderId="59" fillId="8" fontId="13" numFmtId="0" xfId="0" applyBorder="1" applyFont="1"/>
    <xf borderId="40" fillId="5" fontId="14" numFmtId="0" xfId="0" applyAlignment="1" applyBorder="1" applyFont="1">
      <alignment horizontal="center"/>
    </xf>
    <xf borderId="25" fillId="5" fontId="14" numFmtId="0" xfId="0" applyAlignment="1" applyBorder="1" applyFont="1">
      <alignment horizontal="center"/>
    </xf>
    <xf borderId="25" fillId="5" fontId="14" numFmtId="0" xfId="0" applyAlignment="1" applyBorder="1" applyFont="1">
      <alignment horizontal="center" readingOrder="0"/>
    </xf>
    <xf borderId="28" fillId="5" fontId="14" numFmtId="0" xfId="0" applyAlignment="1" applyBorder="1" applyFont="1">
      <alignment horizontal="center"/>
    </xf>
    <xf borderId="29" fillId="5" fontId="14" numFmtId="0" xfId="0" applyAlignment="1" applyBorder="1" applyFont="1">
      <alignment horizontal="center"/>
    </xf>
    <xf borderId="27" fillId="5" fontId="13" numFmtId="0" xfId="0" applyAlignment="1" applyBorder="1" applyFont="1">
      <alignment horizontal="center"/>
    </xf>
    <xf borderId="8" fillId="0" fontId="14" numFmtId="1" xfId="0" applyBorder="1" applyFont="1" applyNumberFormat="1"/>
    <xf borderId="8" fillId="0" fontId="14" numFmtId="0" xfId="0" applyBorder="1" applyFont="1"/>
    <xf borderId="8" fillId="0" fontId="14" numFmtId="1" xfId="0" applyAlignment="1" applyBorder="1" applyFont="1" applyNumberFormat="1">
      <alignment horizontal="center"/>
    </xf>
    <xf borderId="34" fillId="0" fontId="14" numFmtId="0" xfId="0" applyAlignment="1" applyBorder="1" applyFont="1">
      <alignment horizontal="center"/>
    </xf>
    <xf borderId="33" fillId="0" fontId="14" numFmtId="0" xfId="0" applyBorder="1" applyFont="1"/>
    <xf borderId="33" fillId="5" fontId="13" numFmtId="169" xfId="0" applyAlignment="1" applyBorder="1" applyFont="1" applyNumberFormat="1">
      <alignment horizontal="center"/>
    </xf>
    <xf borderId="8" fillId="0" fontId="14" numFmtId="3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Painel Geral-style">
      <tableStyleElement dxfId="1" type="headerRow"/>
      <tableStyleElement dxfId="2" type="firstRowStripe"/>
      <tableStyleElement dxfId="3" type="secondRowStripe"/>
    </tableStyle>
    <tableStyle count="2" pivot="0" name="Painel Áreas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Tabela!$Q$3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Tabela!$P$4:$P$14</c:f>
            </c:numRef>
          </c:xVal>
          <c:yVal>
            <c:numRef>
              <c:f>Tabela!$Q$4:$Q$14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46532"/>
        <c:axId val="1994806187"/>
      </c:scatterChart>
      <c:valAx>
        <c:axId val="567046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806187"/>
      </c:valAx>
      <c:valAx>
        <c:axId val="1994806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046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Geral'!$B$36:$B$41</c:f>
            </c:strRef>
          </c:cat>
          <c:val>
            <c:numRef>
              <c:f>'Painel Geral'!$C$36:$C$41</c:f>
              <c:numCache/>
            </c:numRef>
          </c:val>
        </c:ser>
        <c:axId val="432444668"/>
        <c:axId val="1266630043"/>
      </c:barChart>
      <c:catAx>
        <c:axId val="432444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6630043"/>
      </c:catAx>
      <c:valAx>
        <c:axId val="12666300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244466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Geral'!$F$36:$F$41</c:f>
            </c:strRef>
          </c:cat>
          <c:val>
            <c:numRef>
              <c:f>'Painel Geral'!$H$36:$H$41</c:f>
              <c:numCache/>
            </c:numRef>
          </c:val>
        </c:ser>
        <c:axId val="1340859704"/>
        <c:axId val="1281881238"/>
      </c:barChart>
      <c:catAx>
        <c:axId val="134085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1881238"/>
      </c:catAx>
      <c:valAx>
        <c:axId val="12818812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085970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533077660594439"/>
          <c:y val="0.11567834681042227"/>
          <c:w val="0.6317204825281272"/>
          <c:h val="0.7858041329739441"/>
        </c:manualLayout>
      </c:layout>
      <c:barChart>
        <c:barDir val="bar"/>
        <c:grouping val="stacked"/>
        <c:ser>
          <c:idx val="0"/>
          <c:order val="0"/>
          <c:tx>
            <c:strRef>
              <c:f>'Painel Áreas'!$F$65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Áreas'!$F$66:$F$75</c:f>
              <c:numCache/>
            </c:numRef>
          </c:val>
        </c:ser>
        <c:ser>
          <c:idx val="1"/>
          <c:order val="1"/>
          <c:tx>
            <c:strRef>
              <c:f>'Painel Áreas'!$G$65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Áreas'!$G$66:$G$75</c:f>
              <c:numCache/>
            </c:numRef>
          </c:val>
        </c:ser>
        <c:ser>
          <c:idx val="2"/>
          <c:order val="2"/>
          <c:tx>
            <c:strRef>
              <c:f>'Painel Áreas'!$H$65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Áreas'!$H$66:$H$75</c:f>
              <c:numCache/>
            </c:numRef>
          </c:val>
        </c:ser>
        <c:ser>
          <c:idx val="3"/>
          <c:order val="3"/>
          <c:tx>
            <c:strRef>
              <c:f>'Painel Áreas'!$I$65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Áreas'!$I$66:$I$75</c:f>
              <c:numCache/>
            </c:numRef>
          </c:val>
        </c:ser>
        <c:ser>
          <c:idx val="4"/>
          <c:order val="4"/>
          <c:tx>
            <c:strRef>
              <c:f>'Painel Áreas'!$J$65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Áreas'!$J$66:$J$75</c:f>
              <c:numCache/>
            </c:numRef>
          </c:val>
        </c:ser>
        <c:ser>
          <c:idx val="5"/>
          <c:order val="5"/>
          <c:tx>
            <c:strRef>
              <c:f>'Painel Áreas'!$K$65</c:f>
            </c:strRef>
          </c:tx>
          <c:spPr>
            <a:solidFill>
              <a:srgbClr val="021C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Áreas'!$K$66:$K$75</c:f>
              <c:numCache/>
            </c:numRef>
          </c:val>
        </c:ser>
        <c:overlap val="100"/>
        <c:axId val="1176470534"/>
        <c:axId val="1050297974"/>
      </c:barChart>
      <c:catAx>
        <c:axId val="11764705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0297974"/>
      </c:catAx>
      <c:valAx>
        <c:axId val="105029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6470534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85725</xdr:rowOff>
    </xdr:from>
    <xdr:ext cx="1543050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1543050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733425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43</xdr:row>
      <xdr:rowOff>123825</xdr:rowOff>
    </xdr:from>
    <xdr:ext cx="6410325" cy="4143375"/>
    <xdr:pic>
      <xdr:nvPicPr>
        <xdr:cNvPr id="8965350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28575</xdr:rowOff>
    </xdr:from>
    <xdr:ext cx="5048250" cy="3124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1019175</xdr:colOff>
      <xdr:row>13</xdr:row>
      <xdr:rowOff>28575</xdr:rowOff>
    </xdr:from>
    <xdr:ext cx="5381625" cy="3124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</xdr:row>
      <xdr:rowOff>85725</xdr:rowOff>
    </xdr:from>
    <xdr:ext cx="7639050" cy="3705225"/>
    <xdr:pic>
      <xdr:nvPicPr>
        <xdr:cNvPr id="105054620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2181225</xdr:colOff>
      <xdr:row>37</xdr:row>
      <xdr:rowOff>180975</xdr:rowOff>
    </xdr:from>
    <xdr:ext cx="9334500" cy="4762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L35:P4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ainel Ge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P11" displayName="Table_2" name="Table_2" id="2">
  <tableColumns count="1">
    <tableColumn name="Column1" id="1"/>
  </tableColumns>
  <tableStyleInfo name="Painel Á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63"/>
    <col customWidth="1" min="2" max="2" width="14.5"/>
    <col customWidth="1" min="3" max="3" width="24.88"/>
    <col customWidth="1" min="4" max="4" width="31.5"/>
    <col customWidth="1" min="5" max="5" width="13.0"/>
    <col customWidth="1" min="6" max="6" width="19.88"/>
    <col customWidth="1" min="7" max="7" width="28.38"/>
    <col customWidth="1" min="8" max="8" width="14.5"/>
    <col customWidth="1" min="9" max="9" width="11.0"/>
    <col customWidth="1" min="10" max="10" width="13.25"/>
    <col customWidth="1" min="11" max="11" width="7.25"/>
    <col customWidth="1" min="12" max="12" width="9.38"/>
    <col customWidth="1" min="13" max="13" width="16.63"/>
    <col customWidth="1" min="14" max="14" width="26.88"/>
  </cols>
  <sheetData>
    <row r="1" ht="48.0" customHeight="1">
      <c r="A1" s="1"/>
      <c r="B1" s="2" t="s">
        <v>0</v>
      </c>
      <c r="C1" s="3"/>
      <c r="D1" s="3"/>
      <c r="E1" s="2"/>
      <c r="F1" s="4"/>
      <c r="G1" s="4" t="s">
        <v>1</v>
      </c>
      <c r="H1" s="2"/>
      <c r="I1" s="2"/>
      <c r="J1" s="2"/>
      <c r="K1" s="2"/>
      <c r="L1" s="2"/>
      <c r="M1" s="2"/>
      <c r="N1" s="2"/>
    </row>
    <row r="2" ht="5.25" customHeight="1">
      <c r="A2" s="5"/>
      <c r="B2" s="5"/>
      <c r="C2" s="5"/>
      <c r="D2" s="5"/>
      <c r="E2" s="6"/>
      <c r="F2" s="5"/>
      <c r="G2" s="5"/>
      <c r="H2" s="7"/>
      <c r="I2" s="8"/>
      <c r="J2" s="9"/>
      <c r="K2" s="10"/>
      <c r="L2" s="10"/>
      <c r="M2" s="10"/>
      <c r="N2" s="5"/>
    </row>
    <row r="3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5" t="s">
        <v>8</v>
      </c>
      <c r="H3" s="16" t="s">
        <v>9</v>
      </c>
      <c r="I3" s="17" t="s">
        <v>10</v>
      </c>
      <c r="J3" s="18" t="s">
        <v>11</v>
      </c>
      <c r="K3" s="19" t="s">
        <v>12</v>
      </c>
      <c r="L3" s="19" t="s">
        <v>13</v>
      </c>
      <c r="M3" s="18" t="s">
        <v>14</v>
      </c>
      <c r="N3" s="19" t="s">
        <v>15</v>
      </c>
    </row>
    <row r="4" ht="15.75" customHeight="1">
      <c r="A4" s="20">
        <v>3.0</v>
      </c>
      <c r="B4" s="21">
        <v>15.0</v>
      </c>
      <c r="C4" s="22" t="s">
        <v>16</v>
      </c>
      <c r="D4" s="22" t="s">
        <v>17</v>
      </c>
      <c r="E4" s="23" t="s">
        <v>18</v>
      </c>
      <c r="F4" s="24" t="s">
        <v>19</v>
      </c>
      <c r="G4" s="25" t="s">
        <v>20</v>
      </c>
      <c r="H4" s="26">
        <v>160.0</v>
      </c>
      <c r="I4" s="27">
        <v>6458.4</v>
      </c>
      <c r="J4" s="28" t="s">
        <v>21</v>
      </c>
      <c r="K4" s="29">
        <v>81937.0</v>
      </c>
      <c r="L4" s="30" t="s">
        <v>22</v>
      </c>
      <c r="M4" s="31">
        <v>45420.0</v>
      </c>
      <c r="N4" s="32"/>
    </row>
    <row r="5" ht="15.75" customHeight="1">
      <c r="A5" s="20">
        <v>3.0</v>
      </c>
      <c r="B5" s="21">
        <v>50.0</v>
      </c>
      <c r="C5" s="22" t="s">
        <v>16</v>
      </c>
      <c r="D5" s="22" t="s">
        <v>17</v>
      </c>
      <c r="E5" s="23" t="s">
        <v>18</v>
      </c>
      <c r="F5" s="33" t="s">
        <v>19</v>
      </c>
      <c r="G5" s="34" t="s">
        <v>20</v>
      </c>
      <c r="H5" s="35">
        <v>160.0</v>
      </c>
      <c r="I5" s="36">
        <v>6458.4</v>
      </c>
      <c r="J5" s="37" t="s">
        <v>21</v>
      </c>
      <c r="K5" s="29">
        <v>81937.0</v>
      </c>
      <c r="L5" s="30" t="s">
        <v>22</v>
      </c>
      <c r="M5" s="31">
        <v>45420.0</v>
      </c>
      <c r="N5" s="32"/>
    </row>
    <row r="6" ht="15.75" customHeight="1">
      <c r="A6" s="20">
        <v>2.0</v>
      </c>
      <c r="B6" s="21">
        <v>14.0</v>
      </c>
      <c r="C6" s="22" t="s">
        <v>16</v>
      </c>
      <c r="D6" s="22" t="s">
        <v>23</v>
      </c>
      <c r="E6" s="23" t="s">
        <v>24</v>
      </c>
      <c r="F6" s="23" t="s">
        <v>25</v>
      </c>
      <c r="G6" s="34" t="s">
        <v>20</v>
      </c>
      <c r="H6" s="35">
        <v>160.0</v>
      </c>
      <c r="I6" s="36">
        <v>4305.6</v>
      </c>
      <c r="J6" s="37" t="s">
        <v>21</v>
      </c>
      <c r="K6" s="29">
        <v>81937.0</v>
      </c>
      <c r="L6" s="30" t="s">
        <v>22</v>
      </c>
      <c r="M6" s="38" t="s">
        <v>26</v>
      </c>
      <c r="N6" s="32"/>
    </row>
    <row r="7" ht="15.75" customHeight="1">
      <c r="A7" s="20">
        <v>2.0</v>
      </c>
      <c r="B7" s="21">
        <v>42.0</v>
      </c>
      <c r="C7" s="22" t="s">
        <v>16</v>
      </c>
      <c r="D7" s="22" t="s">
        <v>23</v>
      </c>
      <c r="E7" s="23" t="s">
        <v>24</v>
      </c>
      <c r="F7" s="23" t="s">
        <v>25</v>
      </c>
      <c r="G7" s="34" t="s">
        <v>20</v>
      </c>
      <c r="H7" s="35">
        <v>160.0</v>
      </c>
      <c r="I7" s="36">
        <v>4305.6</v>
      </c>
      <c r="J7" s="37" t="s">
        <v>21</v>
      </c>
      <c r="K7" s="29">
        <v>81937.0</v>
      </c>
      <c r="L7" s="30" t="s">
        <v>27</v>
      </c>
      <c r="M7" s="31">
        <v>45334.0</v>
      </c>
      <c r="N7" s="32"/>
    </row>
    <row r="8" ht="15.75" customHeight="1">
      <c r="A8" s="20">
        <v>2.0</v>
      </c>
      <c r="B8" s="21">
        <v>36.0</v>
      </c>
      <c r="C8" s="22" t="s">
        <v>16</v>
      </c>
      <c r="D8" s="22" t="s">
        <v>23</v>
      </c>
      <c r="E8" s="23" t="s">
        <v>24</v>
      </c>
      <c r="F8" s="23" t="s">
        <v>25</v>
      </c>
      <c r="G8" s="34" t="s">
        <v>20</v>
      </c>
      <c r="H8" s="35">
        <v>160.0</v>
      </c>
      <c r="I8" s="36">
        <v>4305.6</v>
      </c>
      <c r="J8" s="37" t="s">
        <v>21</v>
      </c>
      <c r="K8" s="29">
        <v>81937.0</v>
      </c>
      <c r="L8" s="30" t="s">
        <v>22</v>
      </c>
      <c r="M8" s="31">
        <v>45809.0</v>
      </c>
      <c r="N8" s="32"/>
    </row>
    <row r="9" ht="15.75" customHeight="1">
      <c r="A9" s="20">
        <v>2.0</v>
      </c>
      <c r="B9" s="21">
        <v>37.0</v>
      </c>
      <c r="C9" s="22" t="s">
        <v>16</v>
      </c>
      <c r="D9" s="22" t="s">
        <v>23</v>
      </c>
      <c r="E9" s="23" t="s">
        <v>24</v>
      </c>
      <c r="F9" s="23" t="s">
        <v>25</v>
      </c>
      <c r="G9" s="34" t="s">
        <v>20</v>
      </c>
      <c r="H9" s="35">
        <v>160.0</v>
      </c>
      <c r="I9" s="36">
        <v>4305.6</v>
      </c>
      <c r="J9" s="37" t="s">
        <v>21</v>
      </c>
      <c r="K9" s="29">
        <v>81937.0</v>
      </c>
      <c r="L9" s="30" t="s">
        <v>22</v>
      </c>
      <c r="M9" s="31">
        <v>45809.0</v>
      </c>
      <c r="N9" s="32"/>
    </row>
    <row r="10" ht="15.75" customHeight="1">
      <c r="A10" s="20">
        <v>2.0</v>
      </c>
      <c r="B10" s="21">
        <v>38.0</v>
      </c>
      <c r="C10" s="22" t="s">
        <v>16</v>
      </c>
      <c r="D10" s="22" t="s">
        <v>23</v>
      </c>
      <c r="E10" s="23" t="s">
        <v>24</v>
      </c>
      <c r="F10" s="23" t="s">
        <v>25</v>
      </c>
      <c r="G10" s="34" t="s">
        <v>20</v>
      </c>
      <c r="H10" s="35">
        <v>160.0</v>
      </c>
      <c r="I10" s="36">
        <v>4305.6</v>
      </c>
      <c r="J10" s="37" t="s">
        <v>21</v>
      </c>
      <c r="K10" s="29">
        <v>81937.0</v>
      </c>
      <c r="L10" s="30" t="s">
        <v>22</v>
      </c>
      <c r="M10" s="31">
        <v>45635.0</v>
      </c>
      <c r="N10" s="32"/>
    </row>
    <row r="11" ht="15.75" customHeight="1">
      <c r="A11" s="20">
        <v>1.0</v>
      </c>
      <c r="B11" s="21">
        <v>20.0</v>
      </c>
      <c r="C11" s="22" t="s">
        <v>16</v>
      </c>
      <c r="D11" s="22" t="s">
        <v>28</v>
      </c>
      <c r="E11" s="23" t="s">
        <v>29</v>
      </c>
      <c r="F11" s="23" t="s">
        <v>25</v>
      </c>
      <c r="G11" s="34" t="s">
        <v>20</v>
      </c>
      <c r="H11" s="35">
        <v>160.0</v>
      </c>
      <c r="I11" s="36">
        <v>2489.18</v>
      </c>
      <c r="J11" s="37" t="s">
        <v>21</v>
      </c>
      <c r="K11" s="29">
        <v>81937.0</v>
      </c>
      <c r="L11" s="30" t="s">
        <v>22</v>
      </c>
      <c r="M11" s="31">
        <v>45331.0</v>
      </c>
      <c r="N11" s="32"/>
    </row>
    <row r="12" ht="15.75" customHeight="1">
      <c r="A12" s="20">
        <v>1.0</v>
      </c>
      <c r="B12" s="21">
        <v>54.0</v>
      </c>
      <c r="C12" s="22" t="s">
        <v>16</v>
      </c>
      <c r="D12" s="22" t="s">
        <v>28</v>
      </c>
      <c r="E12" s="23" t="s">
        <v>29</v>
      </c>
      <c r="F12" s="23" t="s">
        <v>25</v>
      </c>
      <c r="G12" s="34" t="s">
        <v>20</v>
      </c>
      <c r="H12" s="35">
        <v>160.0</v>
      </c>
      <c r="I12" s="36">
        <v>2489.18</v>
      </c>
      <c r="J12" s="37" t="s">
        <v>21</v>
      </c>
      <c r="K12" s="29">
        <v>81937.0</v>
      </c>
      <c r="L12" s="30" t="s">
        <v>22</v>
      </c>
      <c r="M12" s="38" t="s">
        <v>30</v>
      </c>
      <c r="N12" s="32"/>
    </row>
    <row r="13" ht="15.75" customHeight="1">
      <c r="A13" s="20">
        <v>1.0</v>
      </c>
      <c r="B13" s="21">
        <v>8.0</v>
      </c>
      <c r="C13" s="22" t="s">
        <v>16</v>
      </c>
      <c r="D13" s="22" t="s">
        <v>28</v>
      </c>
      <c r="E13" s="23" t="s">
        <v>29</v>
      </c>
      <c r="F13" s="23" t="s">
        <v>25</v>
      </c>
      <c r="G13" s="34" t="s">
        <v>20</v>
      </c>
      <c r="H13" s="35">
        <v>160.0</v>
      </c>
      <c r="I13" s="36">
        <v>2489.18</v>
      </c>
      <c r="J13" s="37" t="s">
        <v>21</v>
      </c>
      <c r="K13" s="29">
        <v>81937.0</v>
      </c>
      <c r="L13" s="30" t="s">
        <v>22</v>
      </c>
      <c r="M13" s="38" t="s">
        <v>26</v>
      </c>
      <c r="N13" s="32"/>
    </row>
    <row r="14" ht="15.75" customHeight="1">
      <c r="A14" s="20">
        <v>1.0</v>
      </c>
      <c r="B14" s="21">
        <v>41.0</v>
      </c>
      <c r="C14" s="22" t="s">
        <v>16</v>
      </c>
      <c r="D14" s="22" t="s">
        <v>28</v>
      </c>
      <c r="E14" s="23" t="s">
        <v>29</v>
      </c>
      <c r="F14" s="23" t="s">
        <v>25</v>
      </c>
      <c r="G14" s="34" t="s">
        <v>20</v>
      </c>
      <c r="H14" s="35">
        <v>160.0</v>
      </c>
      <c r="I14" s="36">
        <v>2489.18</v>
      </c>
      <c r="J14" s="37" t="s">
        <v>21</v>
      </c>
      <c r="K14" s="29">
        <v>81937.0</v>
      </c>
      <c r="L14" s="30" t="s">
        <v>27</v>
      </c>
      <c r="M14" s="31">
        <v>45809.0</v>
      </c>
      <c r="N14" s="32"/>
    </row>
    <row r="15" ht="15.75" customHeight="1">
      <c r="A15" s="20">
        <v>1.0</v>
      </c>
      <c r="B15" s="21">
        <v>46.0</v>
      </c>
      <c r="C15" s="22" t="s">
        <v>16</v>
      </c>
      <c r="D15" s="22" t="s">
        <v>28</v>
      </c>
      <c r="E15" s="23" t="s">
        <v>29</v>
      </c>
      <c r="F15" s="23" t="s">
        <v>25</v>
      </c>
      <c r="G15" s="34" t="s">
        <v>20</v>
      </c>
      <c r="H15" s="35">
        <v>160.0</v>
      </c>
      <c r="I15" s="36">
        <v>2489.18</v>
      </c>
      <c r="J15" s="37" t="s">
        <v>21</v>
      </c>
      <c r="K15" s="29">
        <v>81937.0</v>
      </c>
      <c r="L15" s="30" t="s">
        <v>22</v>
      </c>
      <c r="M15" s="38" t="s">
        <v>26</v>
      </c>
      <c r="N15" s="32"/>
    </row>
    <row r="16" ht="15.75" customHeight="1">
      <c r="A16" s="20">
        <v>1.0</v>
      </c>
      <c r="B16" s="21">
        <v>40.0</v>
      </c>
      <c r="C16" s="22" t="s">
        <v>16</v>
      </c>
      <c r="D16" s="22" t="s">
        <v>28</v>
      </c>
      <c r="E16" s="23" t="s">
        <v>29</v>
      </c>
      <c r="F16" s="23" t="s">
        <v>25</v>
      </c>
      <c r="G16" s="34" t="s">
        <v>20</v>
      </c>
      <c r="H16" s="35">
        <v>160.0</v>
      </c>
      <c r="I16" s="36">
        <v>2489.18</v>
      </c>
      <c r="J16" s="37" t="s">
        <v>21</v>
      </c>
      <c r="K16" s="29">
        <v>81937.0</v>
      </c>
      <c r="L16" s="30" t="s">
        <v>22</v>
      </c>
      <c r="M16" s="38" t="s">
        <v>26</v>
      </c>
      <c r="N16" s="32"/>
    </row>
    <row r="17" ht="15.75" customHeight="1">
      <c r="A17" s="20">
        <v>1.0</v>
      </c>
      <c r="B17" s="21">
        <v>39.0</v>
      </c>
      <c r="C17" s="22" t="s">
        <v>16</v>
      </c>
      <c r="D17" s="22" t="s">
        <v>28</v>
      </c>
      <c r="E17" s="23" t="s">
        <v>29</v>
      </c>
      <c r="F17" s="23" t="s">
        <v>25</v>
      </c>
      <c r="G17" s="34" t="s">
        <v>20</v>
      </c>
      <c r="H17" s="35">
        <v>160.0</v>
      </c>
      <c r="I17" s="36">
        <v>2489.18</v>
      </c>
      <c r="J17" s="37" t="s">
        <v>21</v>
      </c>
      <c r="K17" s="29">
        <v>81937.0</v>
      </c>
      <c r="L17" s="30" t="s">
        <v>22</v>
      </c>
      <c r="M17" s="31">
        <v>45809.0</v>
      </c>
      <c r="N17" s="32"/>
    </row>
    <row r="18" ht="15.75" customHeight="1">
      <c r="A18" s="20">
        <v>1.0</v>
      </c>
      <c r="B18" s="21">
        <v>19.0</v>
      </c>
      <c r="C18" s="22" t="s">
        <v>16</v>
      </c>
      <c r="D18" s="22" t="s">
        <v>28</v>
      </c>
      <c r="E18" s="23" t="s">
        <v>29</v>
      </c>
      <c r="F18" s="23" t="s">
        <v>25</v>
      </c>
      <c r="G18" s="34" t="s">
        <v>20</v>
      </c>
      <c r="H18" s="35">
        <v>160.0</v>
      </c>
      <c r="I18" s="36">
        <v>2489.18</v>
      </c>
      <c r="J18" s="37" t="s">
        <v>21</v>
      </c>
      <c r="K18" s="29">
        <v>81937.0</v>
      </c>
      <c r="L18" s="30" t="s">
        <v>22</v>
      </c>
      <c r="M18" s="31">
        <v>45421.0</v>
      </c>
      <c r="N18" s="32"/>
    </row>
    <row r="19" ht="15.75" customHeight="1">
      <c r="A19" s="20">
        <v>1.0</v>
      </c>
      <c r="B19" s="21">
        <v>19.0</v>
      </c>
      <c r="C19" s="22" t="s">
        <v>16</v>
      </c>
      <c r="D19" s="22" t="s">
        <v>28</v>
      </c>
      <c r="E19" s="23" t="s">
        <v>29</v>
      </c>
      <c r="F19" s="23" t="s">
        <v>25</v>
      </c>
      <c r="G19" s="34" t="s">
        <v>20</v>
      </c>
      <c r="H19" s="35">
        <v>160.0</v>
      </c>
      <c r="I19" s="36">
        <v>2489.18</v>
      </c>
      <c r="J19" s="37" t="s">
        <v>21</v>
      </c>
      <c r="K19" s="29">
        <v>81937.0</v>
      </c>
      <c r="L19" s="30" t="s">
        <v>22</v>
      </c>
      <c r="M19" s="31">
        <v>45635.0</v>
      </c>
      <c r="N19" s="32"/>
    </row>
    <row r="20" ht="15.75" customHeight="1">
      <c r="A20" s="20">
        <v>1.0</v>
      </c>
      <c r="B20" s="21">
        <v>21.0</v>
      </c>
      <c r="C20" s="22" t="s">
        <v>16</v>
      </c>
      <c r="D20" s="22" t="s">
        <v>28</v>
      </c>
      <c r="E20" s="23" t="s">
        <v>29</v>
      </c>
      <c r="F20" s="23" t="s">
        <v>25</v>
      </c>
      <c r="G20" s="34" t="s">
        <v>20</v>
      </c>
      <c r="H20" s="35">
        <v>160.0</v>
      </c>
      <c r="I20" s="36">
        <v>2489.18</v>
      </c>
      <c r="J20" s="37" t="s">
        <v>21</v>
      </c>
      <c r="K20" s="29">
        <v>81937.0</v>
      </c>
      <c r="L20" s="30" t="s">
        <v>22</v>
      </c>
      <c r="M20" s="31">
        <v>45809.0</v>
      </c>
      <c r="N20" s="32"/>
    </row>
    <row r="21" ht="15.75" customHeight="1">
      <c r="A21" s="20">
        <v>1.0</v>
      </c>
      <c r="B21" s="39">
        <v>45.0</v>
      </c>
      <c r="C21" s="22" t="s">
        <v>16</v>
      </c>
      <c r="D21" s="22" t="s">
        <v>28</v>
      </c>
      <c r="E21" s="23" t="s">
        <v>29</v>
      </c>
      <c r="F21" s="23" t="s">
        <v>25</v>
      </c>
      <c r="G21" s="34" t="s">
        <v>20</v>
      </c>
      <c r="H21" s="35">
        <v>160.0</v>
      </c>
      <c r="I21" s="36">
        <v>2489.18</v>
      </c>
      <c r="J21" s="37" t="s">
        <v>21</v>
      </c>
      <c r="K21" s="40">
        <v>81937.0</v>
      </c>
      <c r="L21" s="30" t="s">
        <v>22</v>
      </c>
      <c r="M21" s="31">
        <v>45511.0</v>
      </c>
      <c r="N21" s="32"/>
    </row>
    <row r="22" ht="15.75" customHeight="1">
      <c r="A22" s="20">
        <v>1.0</v>
      </c>
      <c r="B22" s="21">
        <v>13.0</v>
      </c>
      <c r="C22" s="22" t="s">
        <v>16</v>
      </c>
      <c r="D22" s="22" t="s">
        <v>28</v>
      </c>
      <c r="E22" s="23" t="s">
        <v>29</v>
      </c>
      <c r="F22" s="23" t="s">
        <v>25</v>
      </c>
      <c r="G22" s="34" t="s">
        <v>20</v>
      </c>
      <c r="H22" s="35">
        <v>160.0</v>
      </c>
      <c r="I22" s="36">
        <v>2489.18</v>
      </c>
      <c r="J22" s="37" t="s">
        <v>21</v>
      </c>
      <c r="K22" s="29">
        <v>81937.0</v>
      </c>
      <c r="L22" s="30" t="s">
        <v>22</v>
      </c>
      <c r="M22" s="38" t="s">
        <v>31</v>
      </c>
      <c r="N22" s="32"/>
    </row>
    <row r="23" ht="15.75" customHeight="1">
      <c r="A23" s="20">
        <v>1.0</v>
      </c>
      <c r="B23" s="21">
        <v>22.0</v>
      </c>
      <c r="C23" s="22" t="s">
        <v>16</v>
      </c>
      <c r="D23" s="22" t="s">
        <v>28</v>
      </c>
      <c r="E23" s="23" t="s">
        <v>29</v>
      </c>
      <c r="F23" s="23" t="s">
        <v>25</v>
      </c>
      <c r="G23" s="34" t="s">
        <v>20</v>
      </c>
      <c r="H23" s="35">
        <v>160.0</v>
      </c>
      <c r="I23" s="36">
        <v>2489.18</v>
      </c>
      <c r="J23" s="37" t="s">
        <v>21</v>
      </c>
      <c r="K23" s="29">
        <v>81937.0</v>
      </c>
      <c r="L23" s="30" t="s">
        <v>27</v>
      </c>
      <c r="M23" s="31">
        <v>44932.0</v>
      </c>
      <c r="N23" s="32"/>
    </row>
    <row r="24" ht="15.75" customHeight="1">
      <c r="A24" s="20">
        <v>1.0</v>
      </c>
      <c r="B24" s="21">
        <v>1.0</v>
      </c>
      <c r="C24" s="22" t="s">
        <v>16</v>
      </c>
      <c r="D24" s="22" t="s">
        <v>28</v>
      </c>
      <c r="E24" s="23" t="s">
        <v>29</v>
      </c>
      <c r="F24" s="23" t="s">
        <v>25</v>
      </c>
      <c r="G24" s="34" t="s">
        <v>20</v>
      </c>
      <c r="H24" s="35">
        <v>160.0</v>
      </c>
      <c r="I24" s="36">
        <v>2489.18</v>
      </c>
      <c r="J24" s="37" t="s">
        <v>21</v>
      </c>
      <c r="K24" s="29">
        <v>81937.0</v>
      </c>
      <c r="L24" s="30" t="s">
        <v>22</v>
      </c>
      <c r="M24" s="38" t="s">
        <v>30</v>
      </c>
      <c r="N24" s="32"/>
    </row>
    <row r="25" ht="15.75" customHeight="1">
      <c r="A25" s="20">
        <v>1.0</v>
      </c>
      <c r="B25" s="21">
        <v>9.0</v>
      </c>
      <c r="C25" s="22" t="s">
        <v>16</v>
      </c>
      <c r="D25" s="22" t="s">
        <v>28</v>
      </c>
      <c r="E25" s="23" t="s">
        <v>29</v>
      </c>
      <c r="F25" s="23" t="s">
        <v>25</v>
      </c>
      <c r="G25" s="34" t="s">
        <v>20</v>
      </c>
      <c r="H25" s="35">
        <v>160.0</v>
      </c>
      <c r="I25" s="36">
        <v>2489.18</v>
      </c>
      <c r="J25" s="37" t="s">
        <v>21</v>
      </c>
      <c r="K25" s="29">
        <v>81937.0</v>
      </c>
      <c r="L25" s="30" t="s">
        <v>22</v>
      </c>
      <c r="M25" s="31">
        <v>44932.0</v>
      </c>
      <c r="N25" s="32"/>
    </row>
    <row r="26" ht="15.75" customHeight="1">
      <c r="A26" s="20">
        <v>1.0</v>
      </c>
      <c r="B26" s="21">
        <v>2.0</v>
      </c>
      <c r="C26" s="22" t="s">
        <v>16</v>
      </c>
      <c r="D26" s="22" t="s">
        <v>28</v>
      </c>
      <c r="E26" s="23" t="s">
        <v>29</v>
      </c>
      <c r="F26" s="23" t="s">
        <v>25</v>
      </c>
      <c r="G26" s="34" t="s">
        <v>20</v>
      </c>
      <c r="H26" s="35">
        <v>160.0</v>
      </c>
      <c r="I26" s="36">
        <v>2489.18</v>
      </c>
      <c r="J26" s="37" t="s">
        <v>21</v>
      </c>
      <c r="K26" s="29">
        <v>81937.0</v>
      </c>
      <c r="L26" s="30" t="s">
        <v>22</v>
      </c>
      <c r="M26" s="31">
        <v>45809.0</v>
      </c>
      <c r="N26" s="32"/>
    </row>
    <row r="27" ht="15.75" customHeight="1">
      <c r="A27" s="20">
        <v>1.0</v>
      </c>
      <c r="B27" s="21">
        <v>43.0</v>
      </c>
      <c r="C27" s="22" t="s">
        <v>16</v>
      </c>
      <c r="D27" s="22" t="s">
        <v>28</v>
      </c>
      <c r="E27" s="23" t="s">
        <v>29</v>
      </c>
      <c r="F27" s="23" t="s">
        <v>25</v>
      </c>
      <c r="G27" s="34" t="s">
        <v>20</v>
      </c>
      <c r="H27" s="35">
        <v>160.0</v>
      </c>
      <c r="I27" s="36">
        <v>2489.18</v>
      </c>
      <c r="J27" s="37" t="s">
        <v>21</v>
      </c>
      <c r="K27" s="29">
        <v>81937.0</v>
      </c>
      <c r="L27" s="30" t="s">
        <v>22</v>
      </c>
      <c r="M27" s="31">
        <v>45809.0</v>
      </c>
      <c r="N27" s="32"/>
    </row>
    <row r="28" ht="15.75" customHeight="1">
      <c r="A28" s="20">
        <v>1.0</v>
      </c>
      <c r="B28" s="21">
        <v>44.0</v>
      </c>
      <c r="C28" s="22" t="s">
        <v>16</v>
      </c>
      <c r="D28" s="22" t="s">
        <v>28</v>
      </c>
      <c r="E28" s="23" t="s">
        <v>29</v>
      </c>
      <c r="F28" s="23" t="s">
        <v>25</v>
      </c>
      <c r="G28" s="34" t="s">
        <v>20</v>
      </c>
      <c r="H28" s="35">
        <v>160.0</v>
      </c>
      <c r="I28" s="36">
        <v>2489.18</v>
      </c>
      <c r="J28" s="37" t="s">
        <v>21</v>
      </c>
      <c r="K28" s="29">
        <v>81937.0</v>
      </c>
      <c r="L28" s="30" t="s">
        <v>22</v>
      </c>
      <c r="M28" s="38" t="s">
        <v>31</v>
      </c>
      <c r="N28" s="32"/>
    </row>
    <row r="29" ht="15.75" customHeight="1">
      <c r="A29" s="20">
        <v>1.0</v>
      </c>
      <c r="B29" s="21">
        <v>24.0</v>
      </c>
      <c r="C29" s="22" t="s">
        <v>16</v>
      </c>
      <c r="D29" s="22" t="s">
        <v>28</v>
      </c>
      <c r="E29" s="23" t="s">
        <v>29</v>
      </c>
      <c r="F29" s="23" t="s">
        <v>25</v>
      </c>
      <c r="G29" s="34" t="s">
        <v>20</v>
      </c>
      <c r="H29" s="35">
        <v>160.0</v>
      </c>
      <c r="I29" s="36">
        <v>2489.18</v>
      </c>
      <c r="J29" s="37" t="s">
        <v>21</v>
      </c>
      <c r="K29" s="29">
        <v>81937.0</v>
      </c>
      <c r="L29" s="30" t="s">
        <v>22</v>
      </c>
      <c r="M29" s="31">
        <v>44932.0</v>
      </c>
      <c r="N29" s="32"/>
    </row>
    <row r="30" ht="15.75" customHeight="1">
      <c r="A30" s="20">
        <v>1.0</v>
      </c>
      <c r="B30" s="21">
        <v>4.0</v>
      </c>
      <c r="C30" s="22" t="s">
        <v>16</v>
      </c>
      <c r="D30" s="22" t="s">
        <v>28</v>
      </c>
      <c r="E30" s="23" t="s">
        <v>29</v>
      </c>
      <c r="F30" s="23" t="s">
        <v>25</v>
      </c>
      <c r="G30" s="34" t="s">
        <v>20</v>
      </c>
      <c r="H30" s="35">
        <v>160.0</v>
      </c>
      <c r="I30" s="36">
        <v>2489.18</v>
      </c>
      <c r="J30" s="37" t="s">
        <v>21</v>
      </c>
      <c r="K30" s="29">
        <v>81937.0</v>
      </c>
      <c r="L30" s="30" t="s">
        <v>22</v>
      </c>
      <c r="M30" s="38" t="s">
        <v>32</v>
      </c>
      <c r="N30" s="32"/>
    </row>
    <row r="31" ht="15.75" customHeight="1">
      <c r="A31" s="20">
        <v>1.0</v>
      </c>
      <c r="B31" s="21">
        <v>27.0</v>
      </c>
      <c r="C31" s="22" t="s">
        <v>16</v>
      </c>
      <c r="D31" s="22" t="s">
        <v>28</v>
      </c>
      <c r="E31" s="23" t="s">
        <v>29</v>
      </c>
      <c r="F31" s="23" t="s">
        <v>25</v>
      </c>
      <c r="G31" s="34" t="s">
        <v>20</v>
      </c>
      <c r="H31" s="35">
        <v>160.0</v>
      </c>
      <c r="I31" s="36">
        <v>2489.18</v>
      </c>
      <c r="J31" s="37" t="s">
        <v>21</v>
      </c>
      <c r="K31" s="29">
        <v>81937.0</v>
      </c>
      <c r="L31" s="30" t="s">
        <v>27</v>
      </c>
      <c r="M31" s="31">
        <v>44937.0</v>
      </c>
      <c r="N31" s="32"/>
    </row>
    <row r="32" ht="15.75" customHeight="1">
      <c r="A32" s="20">
        <v>1.0</v>
      </c>
      <c r="B32" s="21">
        <v>381.0</v>
      </c>
      <c r="C32" s="22" t="s">
        <v>16</v>
      </c>
      <c r="D32" s="22" t="s">
        <v>28</v>
      </c>
      <c r="E32" s="23" t="s">
        <v>29</v>
      </c>
      <c r="F32" s="23" t="s">
        <v>25</v>
      </c>
      <c r="G32" s="34" t="s">
        <v>20</v>
      </c>
      <c r="H32" s="35">
        <v>160.0</v>
      </c>
      <c r="I32" s="36">
        <v>2489.18</v>
      </c>
      <c r="J32" s="37" t="s">
        <v>21</v>
      </c>
      <c r="K32" s="29">
        <v>81937.0</v>
      </c>
      <c r="L32" s="30" t="s">
        <v>22</v>
      </c>
      <c r="M32" s="41">
        <v>45628.0</v>
      </c>
      <c r="N32" s="32"/>
    </row>
    <row r="33" ht="15.75" customHeight="1">
      <c r="A33" s="20">
        <v>1.0</v>
      </c>
      <c r="B33" s="21">
        <v>34.0</v>
      </c>
      <c r="C33" s="22" t="s">
        <v>16</v>
      </c>
      <c r="D33" s="22" t="s">
        <v>28</v>
      </c>
      <c r="E33" s="23" t="s">
        <v>29</v>
      </c>
      <c r="F33" s="23" t="s">
        <v>25</v>
      </c>
      <c r="G33" s="34" t="s">
        <v>20</v>
      </c>
      <c r="H33" s="35">
        <v>160.0</v>
      </c>
      <c r="I33" s="36">
        <v>2489.18</v>
      </c>
      <c r="J33" s="37" t="s">
        <v>21</v>
      </c>
      <c r="K33" s="29">
        <v>81937.0</v>
      </c>
      <c r="L33" s="30" t="s">
        <v>22</v>
      </c>
      <c r="M33" s="31">
        <v>45809.0</v>
      </c>
      <c r="N33" s="32"/>
    </row>
    <row r="34" ht="15.75" customHeight="1">
      <c r="A34" s="20">
        <v>4.0</v>
      </c>
      <c r="B34" s="21">
        <v>33.0</v>
      </c>
      <c r="C34" s="22" t="s">
        <v>33</v>
      </c>
      <c r="D34" s="22"/>
      <c r="E34" s="23" t="s">
        <v>29</v>
      </c>
      <c r="F34" s="23" t="s">
        <v>25</v>
      </c>
      <c r="G34" s="34" t="s">
        <v>20</v>
      </c>
      <c r="H34" s="35">
        <v>160.0</v>
      </c>
      <c r="I34" s="36">
        <v>2489.18</v>
      </c>
      <c r="J34" s="37" t="s">
        <v>21</v>
      </c>
      <c r="K34" s="29">
        <v>81937.0</v>
      </c>
      <c r="L34" s="30" t="s">
        <v>27</v>
      </c>
      <c r="M34" s="31">
        <v>45607.0</v>
      </c>
      <c r="N34" s="32"/>
    </row>
    <row r="35" ht="15.75" customHeight="1">
      <c r="A35" s="20">
        <v>4.0</v>
      </c>
      <c r="B35" s="21">
        <v>49.0</v>
      </c>
      <c r="C35" s="22" t="s">
        <v>33</v>
      </c>
      <c r="D35" s="22"/>
      <c r="E35" s="23" t="s">
        <v>29</v>
      </c>
      <c r="F35" s="23" t="s">
        <v>25</v>
      </c>
      <c r="G35" s="34" t="s">
        <v>20</v>
      </c>
      <c r="H35" s="35">
        <v>160.0</v>
      </c>
      <c r="I35" s="36">
        <v>3229.2</v>
      </c>
      <c r="J35" s="37" t="s">
        <v>21</v>
      </c>
      <c r="K35" s="29">
        <v>81968.0</v>
      </c>
      <c r="L35" s="30" t="s">
        <v>22</v>
      </c>
      <c r="M35" s="31">
        <v>45809.0</v>
      </c>
      <c r="N35" s="32"/>
    </row>
    <row r="36" ht="15.75" customHeight="1">
      <c r="A36" s="20">
        <v>5.0</v>
      </c>
      <c r="B36" s="21">
        <v>3.0</v>
      </c>
      <c r="C36" s="22" t="s">
        <v>34</v>
      </c>
      <c r="D36" s="22"/>
      <c r="E36" s="23" t="s">
        <v>18</v>
      </c>
      <c r="F36" s="23" t="s">
        <v>35</v>
      </c>
      <c r="G36" s="34" t="s">
        <v>20</v>
      </c>
      <c r="H36" s="35">
        <v>160.0</v>
      </c>
      <c r="I36" s="36">
        <v>8611.2</v>
      </c>
      <c r="J36" s="37" t="s">
        <v>21</v>
      </c>
      <c r="K36" s="42">
        <v>464498.0</v>
      </c>
      <c r="L36" s="30" t="s">
        <v>22</v>
      </c>
      <c r="M36" s="41">
        <v>45078.0</v>
      </c>
      <c r="N36" s="32"/>
    </row>
    <row r="37" ht="15.75" customHeight="1">
      <c r="A37" s="20"/>
      <c r="B37" s="21"/>
      <c r="C37" s="22"/>
      <c r="D37" s="22"/>
      <c r="E37" s="23"/>
      <c r="F37" s="23"/>
      <c r="G37" s="34"/>
      <c r="H37" s="35"/>
      <c r="I37" s="43"/>
      <c r="J37" s="37"/>
      <c r="K37" s="35"/>
      <c r="L37" s="44"/>
      <c r="M37" s="45"/>
      <c r="N37" s="32"/>
    </row>
    <row r="38" ht="15.75" customHeight="1">
      <c r="A38" s="20"/>
      <c r="B38" s="21"/>
      <c r="C38" s="22"/>
      <c r="D38" s="22"/>
      <c r="E38" s="23"/>
      <c r="F38" s="23"/>
      <c r="G38" s="34"/>
      <c r="H38" s="35"/>
      <c r="I38" s="43"/>
      <c r="J38" s="37"/>
      <c r="K38" s="35"/>
      <c r="L38" s="44"/>
      <c r="M38" s="45"/>
      <c r="N38" s="32"/>
    </row>
    <row r="39" ht="15.75" customHeight="1">
      <c r="A39" s="20"/>
      <c r="B39" s="21"/>
      <c r="C39" s="22"/>
      <c r="D39" s="46"/>
      <c r="E39" s="23"/>
      <c r="F39" s="23"/>
      <c r="G39" s="34"/>
      <c r="H39" s="35"/>
      <c r="I39" s="43"/>
      <c r="J39" s="37"/>
      <c r="K39" s="35"/>
      <c r="L39" s="44"/>
      <c r="M39" s="45"/>
      <c r="N39" s="32"/>
    </row>
    <row r="40" ht="15.75" customHeight="1">
      <c r="A40" s="20"/>
      <c r="B40" s="21"/>
      <c r="C40" s="22"/>
      <c r="D40" s="46"/>
      <c r="E40" s="23"/>
      <c r="F40" s="23"/>
      <c r="G40" s="34"/>
      <c r="H40" s="35"/>
      <c r="I40" s="43"/>
      <c r="J40" s="37"/>
      <c r="K40" s="35"/>
      <c r="L40" s="44"/>
      <c r="M40" s="45"/>
      <c r="N40" s="32"/>
    </row>
    <row r="41" ht="15.75" customHeight="1">
      <c r="A41" s="20"/>
      <c r="B41" s="21"/>
      <c r="C41" s="22"/>
      <c r="D41" s="46"/>
      <c r="E41" s="23"/>
      <c r="F41" s="23"/>
      <c r="G41" s="34"/>
      <c r="H41" s="35"/>
      <c r="I41" s="43"/>
      <c r="J41" s="37"/>
      <c r="K41" s="35"/>
      <c r="L41" s="44"/>
      <c r="M41" s="45"/>
      <c r="N41" s="32"/>
    </row>
    <row r="42" ht="15.75" customHeight="1">
      <c r="A42" s="20"/>
      <c r="B42" s="21"/>
      <c r="C42" s="22"/>
      <c r="D42" s="46"/>
      <c r="E42" s="23"/>
      <c r="F42" s="23"/>
      <c r="G42" s="34"/>
      <c r="H42" s="35"/>
      <c r="I42" s="43"/>
      <c r="J42" s="37"/>
      <c r="K42" s="35"/>
      <c r="L42" s="44"/>
      <c r="M42" s="45"/>
      <c r="N42" s="32"/>
    </row>
    <row r="43" ht="15.75" customHeight="1">
      <c r="A43" s="20"/>
      <c r="B43" s="21"/>
      <c r="C43" s="22"/>
      <c r="D43" s="22"/>
      <c r="E43" s="23"/>
      <c r="F43" s="23"/>
      <c r="G43" s="34"/>
      <c r="H43" s="35"/>
      <c r="I43" s="43"/>
      <c r="J43" s="37"/>
      <c r="K43" s="35"/>
      <c r="L43" s="44"/>
      <c r="M43" s="45"/>
      <c r="N43" s="32"/>
    </row>
    <row r="44" ht="15.75" customHeight="1">
      <c r="A44" s="20"/>
      <c r="B44" s="21"/>
      <c r="C44" s="22"/>
      <c r="D44" s="22"/>
      <c r="E44" s="23"/>
      <c r="F44" s="23"/>
      <c r="G44" s="34"/>
      <c r="H44" s="35"/>
      <c r="I44" s="43"/>
      <c r="J44" s="37"/>
      <c r="K44" s="35"/>
      <c r="L44" s="44"/>
      <c r="M44" s="45"/>
      <c r="N44" s="32"/>
    </row>
    <row r="45" ht="15.75" customHeight="1">
      <c r="A45" s="20"/>
      <c r="B45" s="21"/>
      <c r="C45" s="22"/>
      <c r="D45" s="22"/>
      <c r="E45" s="23"/>
      <c r="F45" s="23"/>
      <c r="G45" s="34"/>
      <c r="H45" s="35"/>
      <c r="I45" s="43"/>
      <c r="J45" s="37"/>
      <c r="K45" s="35"/>
      <c r="L45" s="44"/>
      <c r="M45" s="45"/>
      <c r="N45" s="32"/>
    </row>
    <row r="46" ht="15.75" customHeight="1">
      <c r="A46" s="20"/>
      <c r="B46" s="21"/>
      <c r="C46" s="22"/>
      <c r="D46" s="46"/>
      <c r="E46" s="23"/>
      <c r="F46" s="23"/>
      <c r="G46" s="34"/>
      <c r="H46" s="35"/>
      <c r="I46" s="43"/>
      <c r="J46" s="37"/>
      <c r="K46" s="35"/>
      <c r="L46" s="44"/>
      <c r="M46" s="45"/>
      <c r="N46" s="32"/>
    </row>
    <row r="47" ht="15.75" customHeight="1">
      <c r="A47" s="20"/>
      <c r="B47" s="21"/>
      <c r="C47" s="22"/>
      <c r="D47" s="46"/>
      <c r="E47" s="23"/>
      <c r="F47" s="23"/>
      <c r="G47" s="34"/>
      <c r="H47" s="35"/>
      <c r="I47" s="43"/>
      <c r="J47" s="37"/>
      <c r="K47" s="35"/>
      <c r="L47" s="44"/>
      <c r="M47" s="45"/>
      <c r="N47" s="32"/>
    </row>
    <row r="48" ht="15.75" customHeight="1">
      <c r="A48" s="20"/>
      <c r="B48" s="21"/>
      <c r="C48" s="22"/>
      <c r="D48" s="22"/>
      <c r="E48" s="23"/>
      <c r="F48" s="23"/>
      <c r="G48" s="34"/>
      <c r="H48" s="35"/>
      <c r="I48" s="43"/>
      <c r="J48" s="37"/>
      <c r="K48" s="35"/>
      <c r="L48" s="44"/>
      <c r="M48" s="45"/>
      <c r="N48" s="32"/>
    </row>
    <row r="49" ht="15.75" customHeight="1">
      <c r="A49" s="20"/>
      <c r="B49" s="21"/>
      <c r="C49" s="22"/>
      <c r="D49" s="46"/>
      <c r="E49" s="23"/>
      <c r="F49" s="23"/>
      <c r="G49" s="34"/>
      <c r="H49" s="35"/>
      <c r="I49" s="43"/>
      <c r="J49" s="37"/>
      <c r="K49" s="35"/>
      <c r="L49" s="44"/>
      <c r="M49" s="45"/>
      <c r="N49" s="32"/>
    </row>
    <row r="50" ht="15.75" customHeight="1">
      <c r="A50" s="20"/>
      <c r="B50" s="21"/>
      <c r="C50" s="22"/>
      <c r="D50" s="46"/>
      <c r="E50" s="23"/>
      <c r="F50" s="23"/>
      <c r="G50" s="34"/>
      <c r="H50" s="35"/>
      <c r="I50" s="43"/>
      <c r="J50" s="37"/>
      <c r="K50" s="35"/>
      <c r="L50" s="44"/>
      <c r="M50" s="45"/>
      <c r="N50" s="32"/>
    </row>
    <row r="51" ht="15.75" customHeight="1">
      <c r="A51" s="20"/>
      <c r="B51" s="21"/>
      <c r="C51" s="22"/>
      <c r="D51" s="46"/>
      <c r="E51" s="23"/>
      <c r="F51" s="23"/>
      <c r="G51" s="34"/>
      <c r="H51" s="35"/>
      <c r="I51" s="43"/>
      <c r="J51" s="37"/>
      <c r="K51" s="35"/>
      <c r="L51" s="44"/>
      <c r="M51" s="45"/>
      <c r="N51" s="32"/>
    </row>
    <row r="52" ht="15.75" customHeight="1">
      <c r="A52" s="20"/>
      <c r="B52" s="21"/>
      <c r="C52" s="22"/>
      <c r="D52" s="22"/>
      <c r="E52" s="23"/>
      <c r="F52" s="23"/>
      <c r="G52" s="34"/>
      <c r="H52" s="35"/>
      <c r="I52" s="43"/>
      <c r="J52" s="37"/>
      <c r="K52" s="35"/>
      <c r="L52" s="44"/>
      <c r="M52" s="45"/>
      <c r="N52" s="32"/>
    </row>
    <row r="53" ht="15.75" customHeight="1">
      <c r="A53" s="20"/>
      <c r="B53" s="21"/>
      <c r="C53" s="22"/>
      <c r="D53" s="22"/>
      <c r="E53" s="23"/>
      <c r="F53" s="23"/>
      <c r="G53" s="34"/>
      <c r="H53" s="35"/>
      <c r="I53" s="43"/>
      <c r="J53" s="37"/>
      <c r="K53" s="35"/>
      <c r="L53" s="44"/>
      <c r="M53" s="45"/>
      <c r="N53" s="32"/>
    </row>
    <row r="54" ht="15.75" customHeight="1">
      <c r="A54" s="20"/>
      <c r="B54" s="21"/>
      <c r="C54" s="22"/>
      <c r="D54" s="22"/>
      <c r="E54" s="23"/>
      <c r="F54" s="23"/>
      <c r="G54" s="34"/>
      <c r="H54" s="35"/>
      <c r="I54" s="43"/>
      <c r="J54" s="37"/>
      <c r="K54" s="35"/>
      <c r="L54" s="44"/>
      <c r="M54" s="45"/>
      <c r="N54" s="32"/>
    </row>
    <row r="55" ht="15.75" customHeight="1">
      <c r="A55" s="20"/>
      <c r="B55" s="21"/>
      <c r="C55" s="22"/>
      <c r="D55" s="22"/>
      <c r="E55" s="23"/>
      <c r="F55" s="23"/>
      <c r="G55" s="34"/>
      <c r="H55" s="35"/>
      <c r="I55" s="43"/>
      <c r="J55" s="37"/>
      <c r="K55" s="35"/>
      <c r="L55" s="44"/>
      <c r="M55" s="45"/>
      <c r="N55" s="32"/>
    </row>
    <row r="56" ht="15.75" customHeight="1">
      <c r="A56" s="20"/>
      <c r="B56" s="21"/>
      <c r="C56" s="22"/>
      <c r="D56" s="22"/>
      <c r="E56" s="23"/>
      <c r="F56" s="23"/>
      <c r="G56" s="34"/>
      <c r="H56" s="35"/>
      <c r="I56" s="43"/>
      <c r="J56" s="37"/>
      <c r="K56" s="35"/>
      <c r="L56" s="44"/>
      <c r="M56" s="45"/>
      <c r="N56" s="32"/>
    </row>
    <row r="57" ht="15.75" customHeight="1">
      <c r="A57" s="20"/>
      <c r="B57" s="21"/>
      <c r="C57" s="22"/>
      <c r="D57" s="22"/>
      <c r="E57" s="23"/>
      <c r="F57" s="23"/>
      <c r="G57" s="34"/>
      <c r="H57" s="35"/>
      <c r="I57" s="43"/>
      <c r="J57" s="37"/>
      <c r="K57" s="35"/>
      <c r="L57" s="44"/>
      <c r="M57" s="45"/>
      <c r="N57" s="32"/>
    </row>
    <row r="58" ht="15.75" customHeight="1">
      <c r="A58" s="20"/>
      <c r="B58" s="21"/>
      <c r="C58" s="22"/>
      <c r="D58" s="22"/>
      <c r="E58" s="23"/>
      <c r="F58" s="23"/>
      <c r="G58" s="34"/>
      <c r="H58" s="35"/>
      <c r="I58" s="43"/>
      <c r="J58" s="37"/>
      <c r="K58" s="35"/>
      <c r="L58" s="44"/>
      <c r="M58" s="45"/>
      <c r="N58" s="32"/>
    </row>
    <row r="59" ht="15.75" customHeight="1">
      <c r="A59" s="20"/>
      <c r="B59" s="21"/>
      <c r="C59" s="22"/>
      <c r="D59" s="22"/>
      <c r="E59" s="23"/>
      <c r="F59" s="23"/>
      <c r="G59" s="34"/>
      <c r="H59" s="35"/>
      <c r="I59" s="43"/>
      <c r="J59" s="37"/>
      <c r="K59" s="35"/>
      <c r="L59" s="44"/>
      <c r="M59" s="45"/>
      <c r="N59" s="32"/>
    </row>
    <row r="60" ht="15.75" customHeight="1">
      <c r="A60" s="20"/>
      <c r="B60" s="21"/>
      <c r="C60" s="22"/>
      <c r="D60" s="22"/>
      <c r="E60" s="23"/>
      <c r="F60" s="23"/>
      <c r="G60" s="34"/>
      <c r="H60" s="35"/>
      <c r="I60" s="43"/>
      <c r="J60" s="37"/>
      <c r="K60" s="35"/>
      <c r="L60" s="44"/>
      <c r="M60" s="45"/>
      <c r="N60" s="32"/>
    </row>
    <row r="61" ht="15.75" customHeight="1">
      <c r="A61" s="20"/>
      <c r="B61" s="21"/>
      <c r="C61" s="22"/>
      <c r="D61" s="22"/>
      <c r="E61" s="23"/>
      <c r="F61" s="23"/>
      <c r="G61" s="34"/>
      <c r="H61" s="35"/>
      <c r="I61" s="43"/>
      <c r="J61" s="37"/>
      <c r="K61" s="35"/>
      <c r="L61" s="44"/>
      <c r="M61" s="45"/>
      <c r="N61" s="32"/>
    </row>
    <row r="62" ht="15.75" customHeight="1">
      <c r="A62" s="20"/>
      <c r="B62" s="21"/>
      <c r="C62" s="22"/>
      <c r="D62" s="22"/>
      <c r="E62" s="23"/>
      <c r="F62" s="23"/>
      <c r="G62" s="34"/>
      <c r="H62" s="35"/>
      <c r="I62" s="43"/>
      <c r="J62" s="37"/>
      <c r="K62" s="35"/>
      <c r="L62" s="44"/>
      <c r="M62" s="45"/>
      <c r="N62" s="32"/>
    </row>
    <row r="63" ht="15.75" customHeight="1">
      <c r="A63" s="20"/>
      <c r="B63" s="21"/>
      <c r="C63" s="22"/>
      <c r="D63" s="22"/>
      <c r="E63" s="23"/>
      <c r="F63" s="23"/>
      <c r="G63" s="34"/>
      <c r="H63" s="35"/>
      <c r="I63" s="43"/>
      <c r="J63" s="37"/>
      <c r="K63" s="35"/>
      <c r="L63" s="44"/>
      <c r="M63" s="45"/>
      <c r="N63" s="32"/>
    </row>
    <row r="64" ht="15.75" customHeight="1">
      <c r="A64" s="20"/>
      <c r="B64" s="21"/>
      <c r="C64" s="22"/>
      <c r="D64" s="22"/>
      <c r="E64" s="23"/>
      <c r="F64" s="23"/>
      <c r="G64" s="34"/>
      <c r="H64" s="35"/>
      <c r="I64" s="43"/>
      <c r="J64" s="37"/>
      <c r="K64" s="35"/>
      <c r="L64" s="44"/>
      <c r="M64" s="45"/>
      <c r="N64" s="32"/>
    </row>
    <row r="65" ht="15.75" customHeight="1">
      <c r="A65" s="20"/>
      <c r="B65" s="21"/>
      <c r="C65" s="22"/>
      <c r="D65" s="22"/>
      <c r="E65" s="23"/>
      <c r="F65" s="23"/>
      <c r="G65" s="34"/>
      <c r="H65" s="35"/>
      <c r="I65" s="43"/>
      <c r="J65" s="37"/>
      <c r="K65" s="35"/>
      <c r="L65" s="44"/>
      <c r="M65" s="45"/>
      <c r="N65" s="32"/>
    </row>
    <row r="66" ht="15.75" customHeight="1">
      <c r="A66" s="20"/>
      <c r="B66" s="21"/>
      <c r="C66" s="22"/>
      <c r="D66" s="22"/>
      <c r="E66" s="23"/>
      <c r="F66" s="23"/>
      <c r="G66" s="34"/>
      <c r="H66" s="35"/>
      <c r="I66" s="43"/>
      <c r="J66" s="37"/>
      <c r="K66" s="35"/>
      <c r="L66" s="44"/>
      <c r="M66" s="45"/>
      <c r="N66" s="32"/>
    </row>
    <row r="67" ht="15.75" customHeight="1">
      <c r="A67" s="20"/>
      <c r="B67" s="21"/>
      <c r="C67" s="22"/>
      <c r="D67" s="22"/>
      <c r="E67" s="23"/>
      <c r="F67" s="23"/>
      <c r="G67" s="34"/>
      <c r="H67" s="35"/>
      <c r="I67" s="43"/>
      <c r="J67" s="37"/>
      <c r="K67" s="35"/>
      <c r="L67" s="44"/>
      <c r="M67" s="45"/>
      <c r="N67" s="32"/>
    </row>
    <row r="68" ht="15.75" customHeight="1">
      <c r="A68" s="20"/>
      <c r="B68" s="21"/>
      <c r="C68" s="22"/>
      <c r="D68" s="22"/>
      <c r="E68" s="23"/>
      <c r="F68" s="23"/>
      <c r="G68" s="34"/>
      <c r="H68" s="35"/>
      <c r="I68" s="43"/>
      <c r="J68" s="37"/>
      <c r="K68" s="35"/>
      <c r="L68" s="44"/>
      <c r="M68" s="45"/>
      <c r="N68" s="32"/>
    </row>
    <row r="69" ht="15.75" customHeight="1">
      <c r="A69" s="20"/>
      <c r="B69" s="21"/>
      <c r="C69" s="22"/>
      <c r="D69" s="22"/>
      <c r="E69" s="23"/>
      <c r="F69" s="23"/>
      <c r="G69" s="34"/>
      <c r="H69" s="35"/>
      <c r="I69" s="43"/>
      <c r="J69" s="37"/>
      <c r="K69" s="35"/>
      <c r="L69" s="44"/>
      <c r="M69" s="45"/>
      <c r="N69" s="32"/>
    </row>
    <row r="70" ht="15.75" customHeight="1">
      <c r="A70" s="20"/>
      <c r="B70" s="21"/>
      <c r="C70" s="22"/>
      <c r="D70" s="22"/>
      <c r="E70" s="23"/>
      <c r="F70" s="23"/>
      <c r="G70" s="34"/>
      <c r="H70" s="35"/>
      <c r="I70" s="43"/>
      <c r="J70" s="37"/>
      <c r="K70" s="35"/>
      <c r="L70" s="44"/>
      <c r="M70" s="45"/>
      <c r="N70" s="32"/>
    </row>
    <row r="71" ht="15.75" customHeight="1">
      <c r="A71" s="20"/>
      <c r="B71" s="21"/>
      <c r="C71" s="22"/>
      <c r="D71" s="22"/>
      <c r="E71" s="23"/>
      <c r="F71" s="23"/>
      <c r="G71" s="34"/>
      <c r="H71" s="35"/>
      <c r="I71" s="43"/>
      <c r="J71" s="37"/>
      <c r="K71" s="35"/>
      <c r="L71" s="44"/>
      <c r="M71" s="45"/>
      <c r="N71" s="32"/>
    </row>
    <row r="72" ht="15.75" customHeight="1">
      <c r="A72" s="20"/>
      <c r="B72" s="21"/>
      <c r="C72" s="22"/>
      <c r="D72" s="22"/>
      <c r="E72" s="23"/>
      <c r="F72" s="23"/>
      <c r="G72" s="34"/>
      <c r="H72" s="35"/>
      <c r="I72" s="43"/>
      <c r="J72" s="37"/>
      <c r="K72" s="35"/>
      <c r="L72" s="44"/>
      <c r="M72" s="45"/>
      <c r="N72" s="32"/>
    </row>
    <row r="73" ht="15.75" customHeight="1">
      <c r="A73" s="20"/>
      <c r="B73" s="21"/>
      <c r="C73" s="22"/>
      <c r="D73" s="22"/>
      <c r="E73" s="23"/>
      <c r="F73" s="23"/>
      <c r="G73" s="34"/>
      <c r="H73" s="35"/>
      <c r="I73" s="43"/>
      <c r="J73" s="37"/>
      <c r="K73" s="35"/>
      <c r="L73" s="44"/>
      <c r="M73" s="45"/>
      <c r="N73" s="32"/>
    </row>
    <row r="74" ht="15.75" customHeight="1">
      <c r="A74" s="20"/>
      <c r="B74" s="21"/>
      <c r="C74" s="22"/>
      <c r="D74" s="46"/>
      <c r="E74" s="23"/>
      <c r="F74" s="23"/>
      <c r="G74" s="34"/>
      <c r="H74" s="35"/>
      <c r="I74" s="43"/>
      <c r="J74" s="37"/>
      <c r="K74" s="35"/>
      <c r="L74" s="44"/>
      <c r="M74" s="45"/>
      <c r="N74" s="32"/>
    </row>
    <row r="75" ht="15.75" customHeight="1">
      <c r="A75" s="20"/>
      <c r="B75" s="21"/>
      <c r="C75" s="22"/>
      <c r="D75" s="46"/>
      <c r="E75" s="23"/>
      <c r="F75" s="23"/>
      <c r="G75" s="34"/>
      <c r="H75" s="35"/>
      <c r="I75" s="43"/>
      <c r="J75" s="37"/>
      <c r="K75" s="35"/>
      <c r="L75" s="44"/>
      <c r="M75" s="45"/>
      <c r="N75" s="32"/>
    </row>
    <row r="76" ht="15.75" customHeight="1">
      <c r="A76" s="20"/>
      <c r="B76" s="21"/>
      <c r="C76" s="22"/>
      <c r="D76" s="22"/>
      <c r="E76" s="23"/>
      <c r="F76" s="23"/>
      <c r="G76" s="34"/>
      <c r="H76" s="35"/>
      <c r="I76" s="43"/>
      <c r="J76" s="37"/>
      <c r="K76" s="35"/>
      <c r="L76" s="44"/>
      <c r="M76" s="45"/>
      <c r="N76" s="32"/>
    </row>
    <row r="77" ht="15.75" customHeight="1">
      <c r="A77" s="20"/>
      <c r="B77" s="21"/>
      <c r="C77" s="22"/>
      <c r="D77" s="46"/>
      <c r="E77" s="23"/>
      <c r="F77" s="23"/>
      <c r="G77" s="34"/>
      <c r="H77" s="35"/>
      <c r="I77" s="43"/>
      <c r="J77" s="37"/>
      <c r="K77" s="35"/>
      <c r="L77" s="44"/>
      <c r="M77" s="45"/>
      <c r="N77" s="32"/>
    </row>
    <row r="78" ht="15.75" customHeight="1">
      <c r="A78" s="20"/>
      <c r="B78" s="21"/>
      <c r="C78" s="22"/>
      <c r="D78" s="46"/>
      <c r="E78" s="23"/>
      <c r="F78" s="23"/>
      <c r="G78" s="34"/>
      <c r="H78" s="35"/>
      <c r="I78" s="43"/>
      <c r="J78" s="37"/>
      <c r="K78" s="35"/>
      <c r="L78" s="44"/>
      <c r="M78" s="45"/>
      <c r="N78" s="32"/>
    </row>
    <row r="79" ht="15.75" customHeight="1">
      <c r="A79" s="20"/>
      <c r="B79" s="21"/>
      <c r="C79" s="22"/>
      <c r="D79" s="46"/>
      <c r="E79" s="23"/>
      <c r="F79" s="23"/>
      <c r="G79" s="34"/>
      <c r="H79" s="35"/>
      <c r="I79" s="43"/>
      <c r="J79" s="37"/>
      <c r="K79" s="35"/>
      <c r="L79" s="44"/>
      <c r="M79" s="45"/>
      <c r="N79" s="32"/>
    </row>
    <row r="80" ht="15.75" customHeight="1">
      <c r="A80" s="20"/>
      <c r="B80" s="21"/>
      <c r="C80" s="22"/>
      <c r="D80" s="46"/>
      <c r="E80" s="23"/>
      <c r="F80" s="23"/>
      <c r="G80" s="34"/>
      <c r="H80" s="35"/>
      <c r="I80" s="43"/>
      <c r="J80" s="37"/>
      <c r="K80" s="35"/>
      <c r="L80" s="44"/>
      <c r="M80" s="45"/>
      <c r="N80" s="32"/>
    </row>
    <row r="81" ht="15.75" customHeight="1">
      <c r="A81" s="20"/>
      <c r="B81" s="21"/>
      <c r="C81" s="22"/>
      <c r="D81" s="46"/>
      <c r="E81" s="23"/>
      <c r="F81" s="23"/>
      <c r="G81" s="34"/>
      <c r="H81" s="35"/>
      <c r="I81" s="43"/>
      <c r="J81" s="37"/>
      <c r="K81" s="35"/>
      <c r="L81" s="44"/>
      <c r="M81" s="45"/>
      <c r="N81" s="32"/>
    </row>
    <row r="82" ht="15.75" customHeight="1">
      <c r="A82" s="20"/>
      <c r="B82" s="21"/>
      <c r="C82" s="22"/>
      <c r="D82" s="46"/>
      <c r="E82" s="23"/>
      <c r="F82" s="23"/>
      <c r="G82" s="34"/>
      <c r="H82" s="35"/>
      <c r="I82" s="43"/>
      <c r="J82" s="37"/>
      <c r="K82" s="35"/>
      <c r="L82" s="44"/>
      <c r="M82" s="45"/>
      <c r="N82" s="32"/>
    </row>
    <row r="83" ht="15.75" customHeight="1">
      <c r="A83" s="20"/>
      <c r="B83" s="21"/>
      <c r="C83" s="22"/>
      <c r="D83" s="46"/>
      <c r="E83" s="23"/>
      <c r="F83" s="23"/>
      <c r="G83" s="34"/>
      <c r="H83" s="35"/>
      <c r="I83" s="43"/>
      <c r="J83" s="37"/>
      <c r="K83" s="35"/>
      <c r="L83" s="44"/>
      <c r="M83" s="45"/>
      <c r="N83" s="32"/>
    </row>
    <row r="84" ht="15.75" customHeight="1">
      <c r="A84" s="20"/>
      <c r="B84" s="21"/>
      <c r="C84" s="22"/>
      <c r="D84" s="46"/>
      <c r="E84" s="23"/>
      <c r="F84" s="23"/>
      <c r="G84" s="34"/>
      <c r="H84" s="35"/>
      <c r="I84" s="43"/>
      <c r="J84" s="37"/>
      <c r="K84" s="35"/>
      <c r="L84" s="44"/>
      <c r="M84" s="45"/>
      <c r="N84" s="32"/>
    </row>
    <row r="85" ht="15.75" customHeight="1">
      <c r="A85" s="20"/>
      <c r="B85" s="21"/>
      <c r="C85" s="22"/>
      <c r="D85" s="22"/>
      <c r="E85" s="23"/>
      <c r="F85" s="23"/>
      <c r="G85" s="34"/>
      <c r="H85" s="35"/>
      <c r="I85" s="43"/>
      <c r="J85" s="37"/>
      <c r="K85" s="35"/>
      <c r="L85" s="44"/>
      <c r="M85" s="45"/>
      <c r="N85" s="32"/>
    </row>
    <row r="86" ht="15.75" customHeight="1">
      <c r="A86" s="20"/>
      <c r="B86" s="21"/>
      <c r="C86" s="22"/>
      <c r="D86" s="46"/>
      <c r="E86" s="23"/>
      <c r="F86" s="23"/>
      <c r="G86" s="34"/>
      <c r="H86" s="35"/>
      <c r="I86" s="43"/>
      <c r="J86" s="37"/>
      <c r="K86" s="35"/>
      <c r="L86" s="44"/>
      <c r="M86" s="45"/>
      <c r="N86" s="32"/>
    </row>
    <row r="87" ht="15.75" customHeight="1">
      <c r="A87" s="20"/>
      <c r="B87" s="21"/>
      <c r="C87" s="22"/>
      <c r="D87" s="46"/>
      <c r="E87" s="23"/>
      <c r="F87" s="23"/>
      <c r="G87" s="34"/>
      <c r="H87" s="35"/>
      <c r="I87" s="43"/>
      <c r="J87" s="37"/>
      <c r="K87" s="35"/>
      <c r="L87" s="44"/>
      <c r="M87" s="45"/>
      <c r="N87" s="32"/>
    </row>
    <row r="88" ht="15.75" customHeight="1">
      <c r="A88" s="20"/>
      <c r="B88" s="21"/>
      <c r="C88" s="22"/>
      <c r="D88" s="46"/>
      <c r="E88" s="23"/>
      <c r="F88" s="23"/>
      <c r="G88" s="34"/>
      <c r="H88" s="35"/>
      <c r="I88" s="43"/>
      <c r="J88" s="37"/>
      <c r="K88" s="35"/>
      <c r="L88" s="44"/>
      <c r="M88" s="45"/>
      <c r="N88" s="32"/>
    </row>
    <row r="89" ht="15.75" customHeight="1">
      <c r="A89" s="20"/>
      <c r="B89" s="21"/>
      <c r="C89" s="22"/>
      <c r="D89" s="46"/>
      <c r="E89" s="23"/>
      <c r="F89" s="23"/>
      <c r="G89" s="34"/>
      <c r="H89" s="35"/>
      <c r="I89" s="43"/>
      <c r="J89" s="37"/>
      <c r="K89" s="35"/>
      <c r="L89" s="44"/>
      <c r="M89" s="45"/>
      <c r="N89" s="32"/>
    </row>
    <row r="90" ht="15.75" customHeight="1">
      <c r="A90" s="20"/>
      <c r="B90" s="21"/>
      <c r="C90" s="22"/>
      <c r="D90" s="46"/>
      <c r="E90" s="23"/>
      <c r="F90" s="23"/>
      <c r="G90" s="34"/>
      <c r="H90" s="35"/>
      <c r="I90" s="43"/>
      <c r="J90" s="37"/>
      <c r="K90" s="35"/>
      <c r="L90" s="44"/>
      <c r="M90" s="45"/>
      <c r="N90" s="32"/>
    </row>
    <row r="91" ht="15.75" customHeight="1">
      <c r="A91" s="20"/>
      <c r="B91" s="21"/>
      <c r="C91" s="22"/>
      <c r="D91" s="46"/>
      <c r="E91" s="23"/>
      <c r="F91" s="23"/>
      <c r="G91" s="34"/>
      <c r="H91" s="35"/>
      <c r="I91" s="43"/>
      <c r="J91" s="37"/>
      <c r="K91" s="35"/>
      <c r="L91" s="44"/>
      <c r="M91" s="45"/>
      <c r="N91" s="32"/>
    </row>
    <row r="92" ht="15.75" customHeight="1">
      <c r="A92" s="20"/>
      <c r="B92" s="21"/>
      <c r="C92" s="22"/>
      <c r="D92" s="46"/>
      <c r="E92" s="23"/>
      <c r="F92" s="23"/>
      <c r="G92" s="34"/>
      <c r="H92" s="35"/>
      <c r="I92" s="43"/>
      <c r="J92" s="37"/>
      <c r="K92" s="35"/>
      <c r="L92" s="44"/>
      <c r="M92" s="45"/>
      <c r="N92" s="32"/>
    </row>
    <row r="93" ht="15.75" customHeight="1">
      <c r="A93" s="20"/>
      <c r="B93" s="21"/>
      <c r="C93" s="22"/>
      <c r="D93" s="46"/>
      <c r="E93" s="23"/>
      <c r="F93" s="23"/>
      <c r="G93" s="34"/>
      <c r="H93" s="35"/>
      <c r="I93" s="43"/>
      <c r="J93" s="37"/>
      <c r="K93" s="35"/>
      <c r="L93" s="44"/>
      <c r="M93" s="45"/>
      <c r="N93" s="32"/>
    </row>
    <row r="94" ht="15.75" customHeight="1">
      <c r="A94" s="20"/>
      <c r="B94" s="21"/>
      <c r="C94" s="22"/>
      <c r="D94" s="46"/>
      <c r="E94" s="23"/>
      <c r="F94" s="23"/>
      <c r="G94" s="34"/>
      <c r="H94" s="35"/>
      <c r="I94" s="43"/>
      <c r="J94" s="37"/>
      <c r="K94" s="35"/>
      <c r="L94" s="44"/>
      <c r="M94" s="45"/>
      <c r="N94" s="32"/>
    </row>
    <row r="95" ht="15.75" customHeight="1">
      <c r="A95" s="20"/>
      <c r="B95" s="21"/>
      <c r="C95" s="22"/>
      <c r="D95" s="22"/>
      <c r="E95" s="23"/>
      <c r="F95" s="23"/>
      <c r="G95" s="34"/>
      <c r="H95" s="35"/>
      <c r="I95" s="43"/>
      <c r="J95" s="37"/>
      <c r="K95" s="35"/>
      <c r="L95" s="44"/>
      <c r="M95" s="45"/>
      <c r="N95" s="32"/>
    </row>
    <row r="96" ht="15.75" customHeight="1">
      <c r="A96" s="20"/>
      <c r="B96" s="21"/>
      <c r="C96" s="22"/>
      <c r="D96" s="22"/>
      <c r="E96" s="23"/>
      <c r="F96" s="23"/>
      <c r="G96" s="34"/>
      <c r="H96" s="35"/>
      <c r="I96" s="43"/>
      <c r="J96" s="37"/>
      <c r="K96" s="35"/>
      <c r="L96" s="44"/>
      <c r="M96" s="45"/>
      <c r="N96" s="32"/>
    </row>
    <row r="97" ht="15.75" customHeight="1">
      <c r="A97" s="20"/>
      <c r="B97" s="21"/>
      <c r="C97" s="22"/>
      <c r="D97" s="46"/>
      <c r="E97" s="23"/>
      <c r="F97" s="23"/>
      <c r="G97" s="34"/>
      <c r="H97" s="35"/>
      <c r="I97" s="43"/>
      <c r="J97" s="37"/>
      <c r="K97" s="35"/>
      <c r="L97" s="44"/>
      <c r="M97" s="45"/>
      <c r="N97" s="32"/>
    </row>
    <row r="98" ht="15.75" customHeight="1">
      <c r="A98" s="20"/>
      <c r="B98" s="21"/>
      <c r="C98" s="22"/>
      <c r="D98" s="46"/>
      <c r="E98" s="23"/>
      <c r="F98" s="23"/>
      <c r="G98" s="34"/>
      <c r="H98" s="35"/>
      <c r="I98" s="43"/>
      <c r="J98" s="37"/>
      <c r="K98" s="35"/>
      <c r="L98" s="44"/>
      <c r="M98" s="45"/>
      <c r="N98" s="32"/>
    </row>
    <row r="99" ht="15.75" customHeight="1">
      <c r="A99" s="20"/>
      <c r="B99" s="21"/>
      <c r="C99" s="22"/>
      <c r="D99" s="46"/>
      <c r="E99" s="23"/>
      <c r="F99" s="23"/>
      <c r="G99" s="34"/>
      <c r="H99" s="35"/>
      <c r="I99" s="43"/>
      <c r="J99" s="37"/>
      <c r="K99" s="35"/>
      <c r="L99" s="44"/>
      <c r="M99" s="45"/>
      <c r="N99" s="32"/>
    </row>
    <row r="100" ht="15.75" customHeight="1">
      <c r="A100" s="20"/>
      <c r="B100" s="21"/>
      <c r="C100" s="22"/>
      <c r="D100" s="46"/>
      <c r="E100" s="23"/>
      <c r="F100" s="23"/>
      <c r="G100" s="34"/>
      <c r="H100" s="35"/>
      <c r="I100" s="43"/>
      <c r="J100" s="37"/>
      <c r="K100" s="35"/>
      <c r="L100" s="44"/>
      <c r="M100" s="45"/>
      <c r="N100" s="32"/>
    </row>
    <row r="101" ht="15.75" customHeight="1">
      <c r="A101" s="20"/>
      <c r="B101" s="21"/>
      <c r="C101" s="22"/>
      <c r="D101" s="46"/>
      <c r="E101" s="23"/>
      <c r="F101" s="23"/>
      <c r="G101" s="34"/>
      <c r="H101" s="35"/>
      <c r="I101" s="43"/>
      <c r="J101" s="37"/>
      <c r="K101" s="35"/>
      <c r="L101" s="44"/>
      <c r="M101" s="45"/>
      <c r="N101" s="32"/>
    </row>
    <row r="102" ht="15.75" customHeight="1">
      <c r="A102" s="20"/>
      <c r="B102" s="21"/>
      <c r="C102" s="22"/>
      <c r="D102" s="46"/>
      <c r="E102" s="23"/>
      <c r="F102" s="23"/>
      <c r="G102" s="34"/>
      <c r="H102" s="35"/>
      <c r="I102" s="43"/>
      <c r="J102" s="37"/>
      <c r="K102" s="35"/>
      <c r="L102" s="44"/>
      <c r="M102" s="45"/>
      <c r="N102" s="32"/>
    </row>
    <row r="103" ht="15.75" customHeight="1">
      <c r="A103" s="20"/>
      <c r="B103" s="21"/>
      <c r="C103" s="22"/>
      <c r="D103" s="46"/>
      <c r="E103" s="23"/>
      <c r="F103" s="23"/>
      <c r="G103" s="34"/>
      <c r="H103" s="35"/>
      <c r="I103" s="43"/>
      <c r="J103" s="37"/>
      <c r="K103" s="35"/>
      <c r="L103" s="44"/>
      <c r="M103" s="45"/>
      <c r="N103" s="32"/>
    </row>
    <row r="104" ht="15.75" customHeight="1">
      <c r="A104" s="20"/>
      <c r="B104" s="21"/>
      <c r="C104" s="22"/>
      <c r="D104" s="46"/>
      <c r="E104" s="23"/>
      <c r="F104" s="23"/>
      <c r="G104" s="34"/>
      <c r="H104" s="35"/>
      <c r="I104" s="43"/>
      <c r="J104" s="37"/>
      <c r="K104" s="35"/>
      <c r="L104" s="44"/>
      <c r="M104" s="45"/>
      <c r="N104" s="32"/>
    </row>
    <row r="105" ht="15.75" customHeight="1">
      <c r="A105" s="20"/>
      <c r="B105" s="21"/>
      <c r="C105" s="22"/>
      <c r="D105" s="22"/>
      <c r="E105" s="23"/>
      <c r="F105" s="23"/>
      <c r="G105" s="34"/>
      <c r="H105" s="35"/>
      <c r="I105" s="43"/>
      <c r="J105" s="37"/>
      <c r="K105" s="35"/>
      <c r="L105" s="44"/>
      <c r="M105" s="45"/>
      <c r="N105" s="32"/>
    </row>
    <row r="106" ht="15.75" customHeight="1">
      <c r="A106" s="20"/>
      <c r="B106" s="21"/>
      <c r="C106" s="22"/>
      <c r="D106" s="22"/>
      <c r="E106" s="23"/>
      <c r="F106" s="23"/>
      <c r="G106" s="34"/>
      <c r="H106" s="35"/>
      <c r="I106" s="43"/>
      <c r="J106" s="37"/>
      <c r="K106" s="35"/>
      <c r="L106" s="44"/>
      <c r="M106" s="45"/>
      <c r="N106" s="32"/>
    </row>
    <row r="107" ht="15.75" customHeight="1">
      <c r="A107" s="20"/>
      <c r="B107" s="21"/>
      <c r="C107" s="22"/>
      <c r="D107" s="46"/>
      <c r="E107" s="23"/>
      <c r="F107" s="23"/>
      <c r="G107" s="34"/>
      <c r="H107" s="35"/>
      <c r="I107" s="43"/>
      <c r="J107" s="37"/>
      <c r="K107" s="35"/>
      <c r="L107" s="44"/>
      <c r="M107" s="45"/>
      <c r="N107" s="32"/>
    </row>
    <row r="108" ht="15.75" customHeight="1">
      <c r="A108" s="20"/>
      <c r="B108" s="21"/>
      <c r="C108" s="22"/>
      <c r="D108" s="46"/>
      <c r="E108" s="23"/>
      <c r="F108" s="23"/>
      <c r="G108" s="34"/>
      <c r="H108" s="35"/>
      <c r="I108" s="43"/>
      <c r="J108" s="37"/>
      <c r="K108" s="35"/>
      <c r="L108" s="44"/>
      <c r="M108" s="45"/>
      <c r="N108" s="32"/>
    </row>
    <row r="109" ht="15.75" customHeight="1">
      <c r="A109" s="20"/>
      <c r="B109" s="21"/>
      <c r="C109" s="22"/>
      <c r="D109" s="22"/>
      <c r="E109" s="23"/>
      <c r="F109" s="23"/>
      <c r="G109" s="34"/>
      <c r="H109" s="35"/>
      <c r="I109" s="43"/>
      <c r="J109" s="37"/>
      <c r="K109" s="35"/>
      <c r="L109" s="44"/>
      <c r="M109" s="45"/>
      <c r="N109" s="32"/>
    </row>
    <row r="110" ht="15.75" customHeight="1">
      <c r="A110" s="20"/>
      <c r="B110" s="21"/>
      <c r="C110" s="22"/>
      <c r="D110" s="22"/>
      <c r="E110" s="23"/>
      <c r="F110" s="23"/>
      <c r="G110" s="34"/>
      <c r="H110" s="35"/>
      <c r="I110" s="43"/>
      <c r="J110" s="37"/>
      <c r="K110" s="35"/>
      <c r="L110" s="44"/>
      <c r="M110" s="45"/>
      <c r="N110" s="32"/>
    </row>
    <row r="111" ht="15.75" customHeight="1">
      <c r="A111" s="20"/>
      <c r="B111" s="21"/>
      <c r="C111" s="22"/>
      <c r="D111" s="22"/>
      <c r="E111" s="23"/>
      <c r="F111" s="23"/>
      <c r="G111" s="34"/>
      <c r="H111" s="35"/>
      <c r="I111" s="43"/>
      <c r="J111" s="37"/>
      <c r="K111" s="35"/>
      <c r="L111" s="44"/>
      <c r="M111" s="45"/>
      <c r="N111" s="32"/>
    </row>
    <row r="112" ht="15.75" customHeight="1">
      <c r="A112" s="20"/>
      <c r="B112" s="21"/>
      <c r="C112" s="22"/>
      <c r="D112" s="22"/>
      <c r="E112" s="23"/>
      <c r="F112" s="23"/>
      <c r="G112" s="34"/>
      <c r="H112" s="35"/>
      <c r="I112" s="43"/>
      <c r="J112" s="37"/>
      <c r="K112" s="35"/>
      <c r="L112" s="44"/>
      <c r="M112" s="45"/>
      <c r="N112" s="32"/>
    </row>
    <row r="113" ht="15.75" customHeight="1">
      <c r="A113" s="20"/>
      <c r="B113" s="21"/>
      <c r="C113" s="22"/>
      <c r="D113" s="46"/>
      <c r="E113" s="23"/>
      <c r="F113" s="23"/>
      <c r="G113" s="34"/>
      <c r="H113" s="35"/>
      <c r="I113" s="43"/>
      <c r="J113" s="37"/>
      <c r="K113" s="35"/>
      <c r="L113" s="44"/>
      <c r="M113" s="45"/>
      <c r="N113" s="32"/>
    </row>
    <row r="114" ht="15.75" customHeight="1">
      <c r="A114" s="20"/>
      <c r="B114" s="21"/>
      <c r="C114" s="22"/>
      <c r="D114" s="46"/>
      <c r="E114" s="23"/>
      <c r="F114" s="23"/>
      <c r="G114" s="34"/>
      <c r="H114" s="35"/>
      <c r="I114" s="43"/>
      <c r="J114" s="37"/>
      <c r="K114" s="35"/>
      <c r="L114" s="44"/>
      <c r="M114" s="45"/>
      <c r="N114" s="32"/>
    </row>
    <row r="115" ht="15.75" customHeight="1">
      <c r="A115" s="20"/>
      <c r="B115" s="21"/>
      <c r="C115" s="22"/>
      <c r="D115" s="22"/>
      <c r="E115" s="23"/>
      <c r="F115" s="23"/>
      <c r="G115" s="34"/>
      <c r="H115" s="35"/>
      <c r="I115" s="43"/>
      <c r="J115" s="37"/>
      <c r="K115" s="35"/>
      <c r="L115" s="44"/>
      <c r="M115" s="45"/>
      <c r="N115" s="32"/>
    </row>
    <row r="116" ht="15.75" customHeight="1">
      <c r="A116" s="20"/>
      <c r="B116" s="21"/>
      <c r="C116" s="22"/>
      <c r="D116" s="22"/>
      <c r="E116" s="23"/>
      <c r="F116" s="23"/>
      <c r="G116" s="34"/>
      <c r="H116" s="35"/>
      <c r="I116" s="43"/>
      <c r="J116" s="37"/>
      <c r="K116" s="35"/>
      <c r="L116" s="44"/>
      <c r="M116" s="45"/>
      <c r="N116" s="32"/>
    </row>
    <row r="117" ht="15.75" customHeight="1">
      <c r="A117" s="20"/>
      <c r="B117" s="21"/>
      <c r="C117" s="22"/>
      <c r="D117" s="46"/>
      <c r="E117" s="23"/>
      <c r="F117" s="23"/>
      <c r="G117" s="34"/>
      <c r="H117" s="35"/>
      <c r="I117" s="43"/>
      <c r="J117" s="37"/>
      <c r="K117" s="35"/>
      <c r="L117" s="44"/>
      <c r="M117" s="45"/>
      <c r="N117" s="32"/>
    </row>
    <row r="118" ht="15.75" customHeight="1">
      <c r="A118" s="20"/>
      <c r="B118" s="21"/>
      <c r="C118" s="22"/>
      <c r="D118" s="22"/>
      <c r="E118" s="23"/>
      <c r="F118" s="23"/>
      <c r="G118" s="34"/>
      <c r="H118" s="35"/>
      <c r="I118" s="43"/>
      <c r="J118" s="37"/>
      <c r="K118" s="35"/>
      <c r="L118" s="44"/>
      <c r="M118" s="45"/>
      <c r="N118" s="32"/>
    </row>
    <row r="119" ht="15.75" customHeight="1">
      <c r="A119" s="20"/>
      <c r="B119" s="21"/>
      <c r="C119" s="22"/>
      <c r="D119" s="22"/>
      <c r="E119" s="23"/>
      <c r="F119" s="23"/>
      <c r="G119" s="34"/>
      <c r="H119" s="35"/>
      <c r="I119" s="43"/>
      <c r="J119" s="37"/>
      <c r="K119" s="35"/>
      <c r="L119" s="44"/>
      <c r="M119" s="45"/>
      <c r="N119" s="32"/>
    </row>
    <row r="120" ht="15.75" customHeight="1">
      <c r="A120" s="20"/>
      <c r="B120" s="21"/>
      <c r="C120" s="22"/>
      <c r="D120" s="22"/>
      <c r="E120" s="23"/>
      <c r="F120" s="23"/>
      <c r="G120" s="34"/>
      <c r="H120" s="35"/>
      <c r="I120" s="43"/>
      <c r="J120" s="37"/>
      <c r="K120" s="35"/>
      <c r="L120" s="44"/>
      <c r="M120" s="45"/>
      <c r="N120" s="32"/>
    </row>
    <row r="121" ht="15.75" customHeight="1">
      <c r="A121" s="20"/>
      <c r="B121" s="21"/>
      <c r="C121" s="22"/>
      <c r="D121" s="22"/>
      <c r="E121" s="23"/>
      <c r="F121" s="23"/>
      <c r="G121" s="34"/>
      <c r="H121" s="35"/>
      <c r="I121" s="43"/>
      <c r="J121" s="37"/>
      <c r="K121" s="35"/>
      <c r="L121" s="44"/>
      <c r="M121" s="45"/>
      <c r="N121" s="32"/>
    </row>
    <row r="122" ht="15.75" customHeight="1">
      <c r="A122" s="20"/>
      <c r="B122" s="21"/>
      <c r="C122" s="22"/>
      <c r="D122" s="22"/>
      <c r="E122" s="23"/>
      <c r="F122" s="23"/>
      <c r="G122" s="34"/>
      <c r="H122" s="35"/>
      <c r="I122" s="43"/>
      <c r="J122" s="37"/>
      <c r="K122" s="35"/>
      <c r="L122" s="44"/>
      <c r="M122" s="45"/>
      <c r="N122" s="32"/>
    </row>
    <row r="123" ht="15.75" customHeight="1">
      <c r="A123" s="20"/>
      <c r="B123" s="21"/>
      <c r="C123" s="22"/>
      <c r="D123" s="22"/>
      <c r="E123" s="23"/>
      <c r="F123" s="23"/>
      <c r="G123" s="34"/>
      <c r="H123" s="35"/>
      <c r="I123" s="43"/>
      <c r="J123" s="37"/>
      <c r="K123" s="35"/>
      <c r="L123" s="44"/>
      <c r="M123" s="45"/>
      <c r="N123" s="32"/>
    </row>
    <row r="124" ht="15.75" customHeight="1">
      <c r="A124" s="20"/>
      <c r="B124" s="21"/>
      <c r="C124" s="22"/>
      <c r="D124" s="46"/>
      <c r="E124" s="23"/>
      <c r="F124" s="23"/>
      <c r="G124" s="34"/>
      <c r="H124" s="35"/>
      <c r="I124" s="43"/>
      <c r="J124" s="37"/>
      <c r="K124" s="35"/>
      <c r="L124" s="44"/>
      <c r="M124" s="45"/>
      <c r="N124" s="32"/>
    </row>
    <row r="125" ht="15.75" customHeight="1">
      <c r="A125" s="20"/>
      <c r="B125" s="21"/>
      <c r="C125" s="22"/>
      <c r="D125" s="46"/>
      <c r="E125" s="23"/>
      <c r="F125" s="23"/>
      <c r="G125" s="34"/>
      <c r="H125" s="35"/>
      <c r="I125" s="43"/>
      <c r="J125" s="37"/>
      <c r="K125" s="35"/>
      <c r="L125" s="44"/>
      <c r="M125" s="45"/>
      <c r="N125" s="32"/>
    </row>
    <row r="126" ht="15.75" customHeight="1">
      <c r="A126" s="20"/>
      <c r="B126" s="21"/>
      <c r="C126" s="22"/>
      <c r="D126" s="46"/>
      <c r="E126" s="23"/>
      <c r="F126" s="23"/>
      <c r="G126" s="34"/>
      <c r="H126" s="35"/>
      <c r="I126" s="43"/>
      <c r="J126" s="37"/>
      <c r="K126" s="35"/>
      <c r="L126" s="44"/>
      <c r="M126" s="45"/>
      <c r="N126" s="32"/>
    </row>
    <row r="127" ht="15.75" customHeight="1">
      <c r="A127" s="20"/>
      <c r="B127" s="21"/>
      <c r="C127" s="22"/>
      <c r="D127" s="46"/>
      <c r="E127" s="23"/>
      <c r="F127" s="23"/>
      <c r="G127" s="34"/>
      <c r="H127" s="35"/>
      <c r="I127" s="43"/>
      <c r="J127" s="37"/>
      <c r="K127" s="35"/>
      <c r="L127" s="44"/>
      <c r="M127" s="45"/>
      <c r="N127" s="32"/>
    </row>
    <row r="128" ht="15.75" customHeight="1">
      <c r="A128" s="20"/>
      <c r="B128" s="21"/>
      <c r="C128" s="22"/>
      <c r="D128" s="46"/>
      <c r="E128" s="23"/>
      <c r="F128" s="23"/>
      <c r="G128" s="34"/>
      <c r="H128" s="35"/>
      <c r="I128" s="43"/>
      <c r="J128" s="37"/>
      <c r="K128" s="35"/>
      <c r="L128" s="44"/>
      <c r="M128" s="45"/>
      <c r="N128" s="32"/>
    </row>
    <row r="129" ht="15.75" customHeight="1">
      <c r="A129" s="20"/>
      <c r="B129" s="21"/>
      <c r="C129" s="22"/>
      <c r="D129" s="46"/>
      <c r="E129" s="23"/>
      <c r="F129" s="23"/>
      <c r="G129" s="34"/>
      <c r="H129" s="35"/>
      <c r="I129" s="43"/>
      <c r="J129" s="37"/>
      <c r="K129" s="35"/>
      <c r="L129" s="44"/>
      <c r="M129" s="45"/>
      <c r="N129" s="32"/>
    </row>
    <row r="130" ht="15.75" customHeight="1">
      <c r="A130" s="20"/>
      <c r="B130" s="21"/>
      <c r="C130" s="22"/>
      <c r="D130" s="46"/>
      <c r="E130" s="23"/>
      <c r="F130" s="23"/>
      <c r="G130" s="34"/>
      <c r="H130" s="35"/>
      <c r="I130" s="43"/>
      <c r="J130" s="37"/>
      <c r="K130" s="35"/>
      <c r="L130" s="44"/>
      <c r="M130" s="45"/>
      <c r="N130" s="32"/>
    </row>
    <row r="131" ht="15.75" customHeight="1">
      <c r="A131" s="20"/>
      <c r="B131" s="21"/>
      <c r="C131" s="22"/>
      <c r="D131" s="46"/>
      <c r="E131" s="23"/>
      <c r="F131" s="23"/>
      <c r="G131" s="34"/>
      <c r="H131" s="35"/>
      <c r="I131" s="43"/>
      <c r="J131" s="37"/>
      <c r="K131" s="35"/>
      <c r="L131" s="44"/>
      <c r="M131" s="45"/>
      <c r="N131" s="32"/>
    </row>
    <row r="132" ht="15.75" customHeight="1">
      <c r="A132" s="20"/>
      <c r="B132" s="21"/>
      <c r="C132" s="22"/>
      <c r="D132" s="22"/>
      <c r="E132" s="23"/>
      <c r="F132" s="23"/>
      <c r="G132" s="34"/>
      <c r="H132" s="35"/>
      <c r="I132" s="43"/>
      <c r="J132" s="37"/>
      <c r="K132" s="35"/>
      <c r="L132" s="44"/>
      <c r="M132" s="45"/>
      <c r="N132" s="32"/>
    </row>
    <row r="133" ht="15.75" customHeight="1">
      <c r="A133" s="20"/>
      <c r="B133" s="21"/>
      <c r="C133" s="22"/>
      <c r="D133" s="46"/>
      <c r="E133" s="23"/>
      <c r="F133" s="23"/>
      <c r="G133" s="34"/>
      <c r="H133" s="35"/>
      <c r="I133" s="43"/>
      <c r="J133" s="37"/>
      <c r="K133" s="35"/>
      <c r="L133" s="44"/>
      <c r="M133" s="45"/>
      <c r="N133" s="32"/>
    </row>
    <row r="134" ht="15.75" customHeight="1">
      <c r="A134" s="20"/>
      <c r="B134" s="21"/>
      <c r="C134" s="22"/>
      <c r="D134" s="22"/>
      <c r="E134" s="23"/>
      <c r="F134" s="23"/>
      <c r="G134" s="34"/>
      <c r="H134" s="35"/>
      <c r="I134" s="43"/>
      <c r="J134" s="37"/>
      <c r="K134" s="35"/>
      <c r="L134" s="44"/>
      <c r="M134" s="45"/>
      <c r="N134" s="32"/>
    </row>
    <row r="135" ht="15.75" customHeight="1">
      <c r="A135" s="20"/>
      <c r="B135" s="21"/>
      <c r="C135" s="22"/>
      <c r="D135" s="46"/>
      <c r="E135" s="23"/>
      <c r="F135" s="23"/>
      <c r="G135" s="34"/>
      <c r="H135" s="35"/>
      <c r="I135" s="43"/>
      <c r="J135" s="37"/>
      <c r="K135" s="35"/>
      <c r="L135" s="44"/>
      <c r="M135" s="45"/>
      <c r="N135" s="32"/>
    </row>
    <row r="136" ht="15.75" customHeight="1">
      <c r="A136" s="20"/>
      <c r="B136" s="21"/>
      <c r="C136" s="22"/>
      <c r="D136" s="46"/>
      <c r="E136" s="23"/>
      <c r="F136" s="23"/>
      <c r="G136" s="34"/>
      <c r="H136" s="35"/>
      <c r="I136" s="43"/>
      <c r="J136" s="37"/>
      <c r="K136" s="35"/>
      <c r="L136" s="44"/>
      <c r="M136" s="45"/>
      <c r="N136" s="32"/>
    </row>
    <row r="137" ht="15.75" customHeight="1">
      <c r="A137" s="20"/>
      <c r="B137" s="21"/>
      <c r="C137" s="22"/>
      <c r="D137" s="46"/>
      <c r="E137" s="23"/>
      <c r="F137" s="23"/>
      <c r="G137" s="34"/>
      <c r="H137" s="35"/>
      <c r="I137" s="43"/>
      <c r="J137" s="37"/>
      <c r="K137" s="35"/>
      <c r="L137" s="44"/>
      <c r="M137" s="45"/>
      <c r="N137" s="32"/>
    </row>
    <row r="138" ht="15.75" customHeight="1">
      <c r="A138" s="20"/>
      <c r="B138" s="21"/>
      <c r="C138" s="22"/>
      <c r="D138" s="22"/>
      <c r="E138" s="23"/>
      <c r="F138" s="23"/>
      <c r="G138" s="34"/>
      <c r="H138" s="35"/>
      <c r="I138" s="43"/>
      <c r="J138" s="37"/>
      <c r="K138" s="35"/>
      <c r="L138" s="44"/>
      <c r="M138" s="45"/>
      <c r="N138" s="32"/>
    </row>
    <row r="139" ht="15.75" customHeight="1">
      <c r="A139" s="20"/>
      <c r="B139" s="21"/>
      <c r="C139" s="22"/>
      <c r="D139" s="22"/>
      <c r="E139" s="23"/>
      <c r="F139" s="23"/>
      <c r="G139" s="34"/>
      <c r="H139" s="35"/>
      <c r="I139" s="43"/>
      <c r="J139" s="37"/>
      <c r="K139" s="35"/>
      <c r="L139" s="44"/>
      <c r="M139" s="45"/>
      <c r="N139" s="32"/>
    </row>
    <row r="140" ht="15.75" customHeight="1">
      <c r="A140" s="20"/>
      <c r="B140" s="21"/>
      <c r="C140" s="22"/>
      <c r="D140" s="46"/>
      <c r="E140" s="23"/>
      <c r="F140" s="23"/>
      <c r="G140" s="34"/>
      <c r="H140" s="35"/>
      <c r="I140" s="43"/>
      <c r="J140" s="37"/>
      <c r="K140" s="35"/>
      <c r="L140" s="44"/>
      <c r="M140" s="45"/>
      <c r="N140" s="32"/>
    </row>
    <row r="141" ht="15.75" customHeight="1">
      <c r="A141" s="20"/>
      <c r="B141" s="21"/>
      <c r="C141" s="22"/>
      <c r="D141" s="46"/>
      <c r="E141" s="23"/>
      <c r="F141" s="23"/>
      <c r="G141" s="34"/>
      <c r="H141" s="35"/>
      <c r="I141" s="43"/>
      <c r="J141" s="37"/>
      <c r="K141" s="35"/>
      <c r="L141" s="44"/>
      <c r="M141" s="45"/>
      <c r="N141" s="32"/>
    </row>
    <row r="142" ht="15.75" customHeight="1">
      <c r="A142" s="20"/>
      <c r="B142" s="21"/>
      <c r="C142" s="22"/>
      <c r="D142" s="46"/>
      <c r="E142" s="23"/>
      <c r="F142" s="23"/>
      <c r="G142" s="34"/>
      <c r="H142" s="35"/>
      <c r="I142" s="43"/>
      <c r="J142" s="37"/>
      <c r="K142" s="35"/>
      <c r="L142" s="44"/>
      <c r="M142" s="45"/>
      <c r="N142" s="32"/>
    </row>
    <row r="143" ht="15.75" customHeight="1">
      <c r="A143" s="20"/>
      <c r="B143" s="21"/>
      <c r="C143" s="22"/>
      <c r="D143" s="46"/>
      <c r="E143" s="23"/>
      <c r="F143" s="23"/>
      <c r="G143" s="34"/>
      <c r="H143" s="35"/>
      <c r="I143" s="43"/>
      <c r="J143" s="37"/>
      <c r="K143" s="35"/>
      <c r="L143" s="44"/>
      <c r="M143" s="45"/>
      <c r="N143" s="32"/>
    </row>
    <row r="144" ht="15.75" customHeight="1">
      <c r="A144" s="20"/>
      <c r="B144" s="21"/>
      <c r="C144" s="22"/>
      <c r="D144" s="46"/>
      <c r="E144" s="23"/>
      <c r="F144" s="23"/>
      <c r="G144" s="34"/>
      <c r="H144" s="35"/>
      <c r="I144" s="43"/>
      <c r="J144" s="37"/>
      <c r="K144" s="35"/>
      <c r="L144" s="44"/>
      <c r="M144" s="45"/>
      <c r="N144" s="32"/>
    </row>
    <row r="145" ht="15.75" customHeight="1">
      <c r="A145" s="20"/>
      <c r="B145" s="21"/>
      <c r="C145" s="22"/>
      <c r="D145" s="22"/>
      <c r="E145" s="23"/>
      <c r="F145" s="23"/>
      <c r="G145" s="34"/>
      <c r="H145" s="35"/>
      <c r="I145" s="43"/>
      <c r="J145" s="37"/>
      <c r="K145" s="35"/>
      <c r="L145" s="44"/>
      <c r="M145" s="45"/>
      <c r="N145" s="32"/>
    </row>
    <row r="146" ht="15.75" customHeight="1">
      <c r="A146" s="20"/>
      <c r="B146" s="21"/>
      <c r="C146" s="22"/>
      <c r="D146" s="46"/>
      <c r="E146" s="23"/>
      <c r="F146" s="23"/>
      <c r="G146" s="34"/>
      <c r="H146" s="35"/>
      <c r="I146" s="43"/>
      <c r="J146" s="37"/>
      <c r="K146" s="35"/>
      <c r="L146" s="44"/>
      <c r="M146" s="45"/>
      <c r="N146" s="32"/>
    </row>
    <row r="147" ht="15.75" customHeight="1">
      <c r="A147" s="20"/>
      <c r="B147" s="21"/>
      <c r="C147" s="22"/>
      <c r="D147" s="22"/>
      <c r="E147" s="23"/>
      <c r="F147" s="23"/>
      <c r="G147" s="34"/>
      <c r="H147" s="35"/>
      <c r="I147" s="43"/>
      <c r="J147" s="37"/>
      <c r="K147" s="35"/>
      <c r="L147" s="44"/>
      <c r="M147" s="45"/>
      <c r="N147" s="32"/>
    </row>
    <row r="148" ht="15.75" customHeight="1">
      <c r="A148" s="20"/>
      <c r="B148" s="21"/>
      <c r="C148" s="22"/>
      <c r="D148" s="22"/>
      <c r="E148" s="23"/>
      <c r="F148" s="23"/>
      <c r="G148" s="34"/>
      <c r="H148" s="35"/>
      <c r="I148" s="43"/>
      <c r="J148" s="37"/>
      <c r="K148" s="35"/>
      <c r="L148" s="44"/>
      <c r="M148" s="45"/>
      <c r="N148" s="32"/>
    </row>
    <row r="149" ht="15.75" customHeight="1">
      <c r="A149" s="20"/>
      <c r="B149" s="21"/>
      <c r="C149" s="22"/>
      <c r="D149" s="46"/>
      <c r="E149" s="23"/>
      <c r="F149" s="23"/>
      <c r="G149" s="34"/>
      <c r="H149" s="35"/>
      <c r="I149" s="43"/>
      <c r="J149" s="37"/>
      <c r="K149" s="35"/>
      <c r="L149" s="44"/>
      <c r="M149" s="45"/>
      <c r="N149" s="32"/>
    </row>
    <row r="150" ht="15.75" customHeight="1">
      <c r="A150" s="20"/>
      <c r="B150" s="21"/>
      <c r="C150" s="22"/>
      <c r="D150" s="46"/>
      <c r="E150" s="23"/>
      <c r="F150" s="23"/>
      <c r="G150" s="34"/>
      <c r="H150" s="35"/>
      <c r="I150" s="43"/>
      <c r="J150" s="37"/>
      <c r="K150" s="35"/>
      <c r="L150" s="44"/>
      <c r="M150" s="45"/>
      <c r="N150" s="32"/>
    </row>
    <row r="151" ht="15.75" customHeight="1">
      <c r="A151" s="20"/>
      <c r="B151" s="21"/>
      <c r="C151" s="22"/>
      <c r="D151" s="46"/>
      <c r="E151" s="23"/>
      <c r="F151" s="23"/>
      <c r="G151" s="34"/>
      <c r="H151" s="35"/>
      <c r="I151" s="43"/>
      <c r="J151" s="37"/>
      <c r="K151" s="35"/>
      <c r="L151" s="44"/>
      <c r="M151" s="45"/>
      <c r="N151" s="32"/>
    </row>
    <row r="152" ht="15.75" customHeight="1">
      <c r="A152" s="20"/>
      <c r="B152" s="21"/>
      <c r="C152" s="22"/>
      <c r="D152" s="46"/>
      <c r="E152" s="23"/>
      <c r="F152" s="23"/>
      <c r="G152" s="34"/>
      <c r="H152" s="35"/>
      <c r="I152" s="43"/>
      <c r="J152" s="37"/>
      <c r="K152" s="35"/>
      <c r="L152" s="44"/>
      <c r="M152" s="45"/>
      <c r="N152" s="32"/>
    </row>
    <row r="153" ht="15.75" customHeight="1">
      <c r="A153" s="20"/>
      <c r="B153" s="21"/>
      <c r="C153" s="22"/>
      <c r="D153" s="44"/>
      <c r="E153" s="23"/>
      <c r="F153" s="23"/>
      <c r="G153" s="34"/>
      <c r="H153" s="35"/>
      <c r="I153" s="43"/>
      <c r="J153" s="37"/>
      <c r="K153" s="35"/>
      <c r="L153" s="44"/>
      <c r="M153" s="45"/>
      <c r="N153" s="32"/>
    </row>
    <row r="154" ht="15.75" customHeight="1">
      <c r="A154" s="20"/>
      <c r="B154" s="21"/>
      <c r="C154" s="22"/>
      <c r="D154" s="22"/>
      <c r="E154" s="23"/>
      <c r="F154" s="23"/>
      <c r="G154" s="34"/>
      <c r="H154" s="35"/>
      <c r="I154" s="43"/>
      <c r="J154" s="37"/>
      <c r="K154" s="35"/>
      <c r="L154" s="44"/>
      <c r="M154" s="45"/>
      <c r="N154" s="32"/>
    </row>
    <row r="155" ht="15.75" customHeight="1">
      <c r="A155" s="20"/>
      <c r="B155" s="21"/>
      <c r="C155" s="22"/>
      <c r="D155" s="22"/>
      <c r="E155" s="23"/>
      <c r="F155" s="23"/>
      <c r="G155" s="34"/>
      <c r="H155" s="35"/>
      <c r="I155" s="43"/>
      <c r="J155" s="37"/>
      <c r="K155" s="35"/>
      <c r="L155" s="44"/>
      <c r="M155" s="45"/>
      <c r="N155" s="32"/>
    </row>
    <row r="156" ht="15.75" customHeight="1">
      <c r="A156" s="20"/>
      <c r="B156" s="21"/>
      <c r="C156" s="22"/>
      <c r="D156" s="22"/>
      <c r="E156" s="23"/>
      <c r="F156" s="23"/>
      <c r="G156" s="34"/>
      <c r="H156" s="35"/>
      <c r="I156" s="43"/>
      <c r="J156" s="37"/>
      <c r="K156" s="35"/>
      <c r="L156" s="44"/>
      <c r="M156" s="45"/>
      <c r="N156" s="32"/>
    </row>
    <row r="157" ht="15.75" customHeight="1">
      <c r="A157" s="20"/>
      <c r="B157" s="21"/>
      <c r="C157" s="22"/>
      <c r="D157" s="22"/>
      <c r="E157" s="23"/>
      <c r="F157" s="23"/>
      <c r="G157" s="34"/>
      <c r="H157" s="35"/>
      <c r="I157" s="43"/>
      <c r="J157" s="37"/>
      <c r="K157" s="35"/>
      <c r="L157" s="44"/>
      <c r="M157" s="45"/>
      <c r="N157" s="32"/>
    </row>
    <row r="158" ht="15.75" customHeight="1">
      <c r="A158" s="20"/>
      <c r="B158" s="21"/>
      <c r="C158" s="22"/>
      <c r="D158" s="22"/>
      <c r="E158" s="23"/>
      <c r="F158" s="23"/>
      <c r="G158" s="34"/>
      <c r="H158" s="35"/>
      <c r="I158" s="43"/>
      <c r="J158" s="37"/>
      <c r="K158" s="35"/>
      <c r="L158" s="44"/>
      <c r="M158" s="45"/>
      <c r="N158" s="32"/>
    </row>
    <row r="159" ht="15.75" customHeight="1">
      <c r="A159" s="20"/>
      <c r="B159" s="21"/>
      <c r="C159" s="22"/>
      <c r="D159" s="22"/>
      <c r="E159" s="23"/>
      <c r="F159" s="23"/>
      <c r="G159" s="34"/>
      <c r="H159" s="35"/>
      <c r="I159" s="43"/>
      <c r="J159" s="37"/>
      <c r="K159" s="35"/>
      <c r="L159" s="44"/>
      <c r="M159" s="45"/>
      <c r="N159" s="32"/>
    </row>
    <row r="160" ht="15.75" customHeight="1">
      <c r="A160" s="20"/>
      <c r="B160" s="21"/>
      <c r="C160" s="22"/>
      <c r="D160" s="22"/>
      <c r="E160" s="23"/>
      <c r="F160" s="23"/>
      <c r="G160" s="34"/>
      <c r="H160" s="35"/>
      <c r="I160" s="43"/>
      <c r="J160" s="37"/>
      <c r="K160" s="35"/>
      <c r="L160" s="44"/>
      <c r="M160" s="45"/>
      <c r="N160" s="32"/>
    </row>
    <row r="161" ht="15.75" customHeight="1">
      <c r="A161" s="20"/>
      <c r="B161" s="21"/>
      <c r="C161" s="22"/>
      <c r="D161" s="22"/>
      <c r="E161" s="23"/>
      <c r="F161" s="23"/>
      <c r="G161" s="34"/>
      <c r="H161" s="35"/>
      <c r="I161" s="43"/>
      <c r="J161" s="37"/>
      <c r="K161" s="35"/>
      <c r="L161" s="44"/>
      <c r="M161" s="45"/>
      <c r="N161" s="32"/>
    </row>
    <row r="162" ht="15.75" customHeight="1">
      <c r="A162" s="20"/>
      <c r="B162" s="21"/>
      <c r="C162" s="22"/>
      <c r="D162" s="22"/>
      <c r="E162" s="23"/>
      <c r="F162" s="23"/>
      <c r="G162" s="34"/>
      <c r="H162" s="35"/>
      <c r="I162" s="43"/>
      <c r="J162" s="37"/>
      <c r="K162" s="35"/>
      <c r="L162" s="44"/>
      <c r="M162" s="45"/>
      <c r="N162" s="32"/>
    </row>
    <row r="163" ht="15.75" customHeight="1">
      <c r="A163" s="20"/>
      <c r="B163" s="21"/>
      <c r="C163" s="22"/>
      <c r="D163" s="22"/>
      <c r="E163" s="23"/>
      <c r="F163" s="23"/>
      <c r="G163" s="34"/>
      <c r="H163" s="35"/>
      <c r="I163" s="43"/>
      <c r="J163" s="37"/>
      <c r="K163" s="35"/>
      <c r="L163" s="44"/>
      <c r="M163" s="45"/>
      <c r="N163" s="32"/>
    </row>
    <row r="164" ht="15.75" customHeight="1">
      <c r="A164" s="20"/>
      <c r="B164" s="39"/>
      <c r="C164" s="22"/>
      <c r="D164" s="22"/>
      <c r="E164" s="23"/>
      <c r="F164" s="23"/>
      <c r="G164" s="34"/>
      <c r="H164" s="35"/>
      <c r="I164" s="43"/>
      <c r="J164" s="37"/>
      <c r="K164" s="47"/>
      <c r="L164" s="44"/>
      <c r="M164" s="45"/>
      <c r="N164" s="32"/>
    </row>
    <row r="165" ht="15.75" customHeight="1">
      <c r="A165" s="20"/>
      <c r="B165" s="21"/>
      <c r="C165" s="22"/>
      <c r="D165" s="22"/>
      <c r="E165" s="23"/>
      <c r="F165" s="23"/>
      <c r="G165" s="34"/>
      <c r="H165" s="35"/>
      <c r="I165" s="43"/>
      <c r="J165" s="37"/>
      <c r="K165" s="35"/>
      <c r="L165" s="44"/>
      <c r="M165" s="45"/>
      <c r="N165" s="32"/>
    </row>
    <row r="166" ht="15.75" customHeight="1">
      <c r="A166" s="20"/>
      <c r="B166" s="21"/>
      <c r="C166" s="22"/>
      <c r="D166" s="22"/>
      <c r="E166" s="23"/>
      <c r="F166" s="23"/>
      <c r="G166" s="34"/>
      <c r="H166" s="35"/>
      <c r="I166" s="43"/>
      <c r="J166" s="37"/>
      <c r="K166" s="35"/>
      <c r="L166" s="44"/>
      <c r="M166" s="45"/>
      <c r="N166" s="32"/>
    </row>
    <row r="167" ht="15.75" customHeight="1">
      <c r="A167" s="20"/>
      <c r="B167" s="21"/>
      <c r="C167" s="22"/>
      <c r="D167" s="22"/>
      <c r="E167" s="23"/>
      <c r="F167" s="23"/>
      <c r="G167" s="34"/>
      <c r="H167" s="35"/>
      <c r="I167" s="43"/>
      <c r="J167" s="37"/>
      <c r="K167" s="35"/>
      <c r="L167" s="44"/>
      <c r="M167" s="45"/>
      <c r="N167" s="32"/>
    </row>
    <row r="168" ht="15.75" customHeight="1">
      <c r="A168" s="20"/>
      <c r="B168" s="39"/>
      <c r="C168" s="22"/>
      <c r="D168" s="22"/>
      <c r="E168" s="23"/>
      <c r="F168" s="23"/>
      <c r="G168" s="34"/>
      <c r="H168" s="35"/>
      <c r="I168" s="43"/>
      <c r="J168" s="37"/>
      <c r="K168" s="47"/>
      <c r="L168" s="44"/>
      <c r="M168" s="45"/>
      <c r="N168" s="32"/>
    </row>
    <row r="169" ht="15.75" customHeight="1">
      <c r="A169" s="20"/>
      <c r="B169" s="21"/>
      <c r="C169" s="22"/>
      <c r="D169" s="22"/>
      <c r="E169" s="23"/>
      <c r="F169" s="23"/>
      <c r="G169" s="34"/>
      <c r="H169" s="35"/>
      <c r="I169" s="43"/>
      <c r="J169" s="37"/>
      <c r="K169" s="35"/>
      <c r="L169" s="44"/>
      <c r="M169" s="45"/>
      <c r="N169" s="32"/>
    </row>
    <row r="170" ht="15.75" customHeight="1">
      <c r="A170" s="20"/>
      <c r="B170" s="21"/>
      <c r="C170" s="22"/>
      <c r="D170" s="22"/>
      <c r="E170" s="23"/>
      <c r="F170" s="23"/>
      <c r="G170" s="34"/>
      <c r="H170" s="35"/>
      <c r="I170" s="43"/>
      <c r="J170" s="37"/>
      <c r="K170" s="35"/>
      <c r="L170" s="44"/>
      <c r="M170" s="45"/>
      <c r="N170" s="32"/>
    </row>
    <row r="171" ht="15.75" customHeight="1">
      <c r="A171" s="20"/>
      <c r="B171" s="21"/>
      <c r="C171" s="22"/>
      <c r="D171" s="22"/>
      <c r="E171" s="23"/>
      <c r="F171" s="23"/>
      <c r="G171" s="34"/>
      <c r="H171" s="35"/>
      <c r="I171" s="43"/>
      <c r="J171" s="37"/>
      <c r="K171" s="35"/>
      <c r="L171" s="44"/>
      <c r="M171" s="45"/>
      <c r="N171" s="32"/>
    </row>
    <row r="172" ht="15.75" customHeight="1">
      <c r="A172" s="20"/>
      <c r="B172" s="21"/>
      <c r="C172" s="22"/>
      <c r="D172" s="22"/>
      <c r="E172" s="23"/>
      <c r="F172" s="23"/>
      <c r="G172" s="34"/>
      <c r="H172" s="35"/>
      <c r="I172" s="43"/>
      <c r="J172" s="37"/>
      <c r="K172" s="35"/>
      <c r="L172" s="44"/>
      <c r="M172" s="45"/>
      <c r="N172" s="32"/>
    </row>
    <row r="173" ht="15.75" customHeight="1">
      <c r="A173" s="20"/>
      <c r="B173" s="21"/>
      <c r="C173" s="22"/>
      <c r="D173" s="22"/>
      <c r="E173" s="23"/>
      <c r="F173" s="23"/>
      <c r="G173" s="34"/>
      <c r="H173" s="35"/>
      <c r="I173" s="43"/>
      <c r="J173" s="37"/>
      <c r="K173" s="35"/>
      <c r="L173" s="44"/>
      <c r="M173" s="45"/>
      <c r="N173" s="32"/>
    </row>
    <row r="174" ht="15.75" customHeight="1">
      <c r="A174" s="20"/>
      <c r="B174" s="39"/>
      <c r="C174" s="22"/>
      <c r="D174" s="22"/>
      <c r="E174" s="23"/>
      <c r="F174" s="23"/>
      <c r="G174" s="34"/>
      <c r="H174" s="35"/>
      <c r="I174" s="43"/>
      <c r="J174" s="37"/>
      <c r="K174" s="47"/>
      <c r="L174" s="44"/>
      <c r="M174" s="45"/>
      <c r="N174" s="32"/>
    </row>
    <row r="175" ht="15.75" customHeight="1">
      <c r="A175" s="20"/>
      <c r="B175" s="21"/>
      <c r="C175" s="22"/>
      <c r="D175" s="22"/>
      <c r="E175" s="23"/>
      <c r="F175" s="23"/>
      <c r="G175" s="34"/>
      <c r="H175" s="35"/>
      <c r="I175" s="43"/>
      <c r="J175" s="37"/>
      <c r="K175" s="35"/>
      <c r="L175" s="44"/>
      <c r="M175" s="45"/>
      <c r="N175" s="32"/>
    </row>
    <row r="176" ht="15.75" customHeight="1">
      <c r="A176" s="20"/>
      <c r="B176" s="21"/>
      <c r="C176" s="22"/>
      <c r="D176" s="22"/>
      <c r="E176" s="23"/>
      <c r="F176" s="23"/>
      <c r="G176" s="34"/>
      <c r="H176" s="35"/>
      <c r="I176" s="43"/>
      <c r="J176" s="37"/>
      <c r="K176" s="35"/>
      <c r="L176" s="44"/>
      <c r="M176" s="45"/>
      <c r="N176" s="32"/>
    </row>
    <row r="177" ht="15.75" customHeight="1">
      <c r="A177" s="20"/>
      <c r="B177" s="21"/>
      <c r="C177" s="22"/>
      <c r="D177" s="22"/>
      <c r="E177" s="23"/>
      <c r="F177" s="23"/>
      <c r="G177" s="34"/>
      <c r="H177" s="35"/>
      <c r="I177" s="43"/>
      <c r="J177" s="37"/>
      <c r="K177" s="35"/>
      <c r="L177" s="44"/>
      <c r="M177" s="45"/>
      <c r="N177" s="32"/>
    </row>
    <row r="178" ht="15.75" customHeight="1">
      <c r="A178" s="20"/>
      <c r="B178" s="21"/>
      <c r="C178" s="22"/>
      <c r="D178" s="22"/>
      <c r="E178" s="23"/>
      <c r="F178" s="23"/>
      <c r="G178" s="34"/>
      <c r="H178" s="35"/>
      <c r="I178" s="43"/>
      <c r="J178" s="37"/>
      <c r="K178" s="35"/>
      <c r="L178" s="44"/>
      <c r="M178" s="45"/>
      <c r="N178" s="32"/>
    </row>
    <row r="179" ht="15.75" customHeight="1">
      <c r="A179" s="20"/>
      <c r="B179" s="21"/>
      <c r="C179" s="22"/>
      <c r="D179" s="22"/>
      <c r="E179" s="23"/>
      <c r="F179" s="23"/>
      <c r="G179" s="34"/>
      <c r="H179" s="35"/>
      <c r="I179" s="43"/>
      <c r="J179" s="37"/>
      <c r="K179" s="35"/>
      <c r="L179" s="44"/>
      <c r="M179" s="45"/>
      <c r="N179" s="32"/>
    </row>
    <row r="180" ht="15.75" customHeight="1">
      <c r="A180" s="20"/>
      <c r="B180" s="21"/>
      <c r="C180" s="22"/>
      <c r="D180" s="22"/>
      <c r="E180" s="23"/>
      <c r="F180" s="23"/>
      <c r="G180" s="34"/>
      <c r="H180" s="35"/>
      <c r="I180" s="43"/>
      <c r="J180" s="37"/>
      <c r="K180" s="35"/>
      <c r="L180" s="44"/>
      <c r="M180" s="45"/>
      <c r="N180" s="32"/>
    </row>
    <row r="181" ht="15.75" customHeight="1">
      <c r="A181" s="20"/>
      <c r="B181" s="21"/>
      <c r="C181" s="22"/>
      <c r="D181" s="22"/>
      <c r="E181" s="23"/>
      <c r="F181" s="23"/>
      <c r="G181" s="34"/>
      <c r="H181" s="35"/>
      <c r="I181" s="43"/>
      <c r="J181" s="37"/>
      <c r="K181" s="35"/>
      <c r="L181" s="44"/>
      <c r="M181" s="45"/>
      <c r="N181" s="32"/>
    </row>
    <row r="182" ht="15.75" customHeight="1">
      <c r="A182" s="20"/>
      <c r="B182" s="39"/>
      <c r="C182" s="22"/>
      <c r="D182" s="22"/>
      <c r="E182" s="23"/>
      <c r="F182" s="23"/>
      <c r="G182" s="34"/>
      <c r="H182" s="35"/>
      <c r="I182" s="43"/>
      <c r="J182" s="37"/>
      <c r="K182" s="47"/>
      <c r="L182" s="44"/>
      <c r="M182" s="45"/>
      <c r="N182" s="32"/>
    </row>
    <row r="183" ht="15.75" customHeight="1">
      <c r="A183" s="20"/>
      <c r="B183" s="21"/>
      <c r="C183" s="22"/>
      <c r="D183" s="22"/>
      <c r="E183" s="23"/>
      <c r="F183" s="23"/>
      <c r="G183" s="34"/>
      <c r="H183" s="35"/>
      <c r="I183" s="43"/>
      <c r="J183" s="37"/>
      <c r="K183" s="35"/>
      <c r="L183" s="44"/>
      <c r="M183" s="45"/>
      <c r="N183" s="32"/>
    </row>
    <row r="184" ht="15.75" customHeight="1">
      <c r="A184" s="20"/>
      <c r="B184" s="21"/>
      <c r="C184" s="22"/>
      <c r="D184" s="22"/>
      <c r="E184" s="23"/>
      <c r="F184" s="23"/>
      <c r="G184" s="34"/>
      <c r="H184" s="35"/>
      <c r="I184" s="43"/>
      <c r="J184" s="37"/>
      <c r="K184" s="35"/>
      <c r="L184" s="44"/>
      <c r="M184" s="45"/>
      <c r="N184" s="32"/>
    </row>
    <row r="185" ht="15.75" customHeight="1">
      <c r="A185" s="20"/>
      <c r="B185" s="21"/>
      <c r="C185" s="22"/>
      <c r="D185" s="22"/>
      <c r="E185" s="23"/>
      <c r="F185" s="23"/>
      <c r="G185" s="34"/>
      <c r="H185" s="35"/>
      <c r="I185" s="43"/>
      <c r="J185" s="37"/>
      <c r="K185" s="35"/>
      <c r="L185" s="44"/>
      <c r="M185" s="45"/>
      <c r="N185" s="32"/>
    </row>
    <row r="186" ht="15.75" customHeight="1">
      <c r="A186" s="20"/>
      <c r="B186" s="21"/>
      <c r="C186" s="22"/>
      <c r="D186" s="22"/>
      <c r="E186" s="23"/>
      <c r="F186" s="23"/>
      <c r="G186" s="34"/>
      <c r="H186" s="35"/>
      <c r="I186" s="43"/>
      <c r="J186" s="37"/>
      <c r="K186" s="35"/>
      <c r="L186" s="44"/>
      <c r="M186" s="45"/>
      <c r="N186" s="32"/>
    </row>
    <row r="187" ht="15.75" customHeight="1">
      <c r="A187" s="20"/>
      <c r="B187" s="21"/>
      <c r="C187" s="22"/>
      <c r="D187" s="22"/>
      <c r="E187" s="23"/>
      <c r="F187" s="23"/>
      <c r="G187" s="34"/>
      <c r="H187" s="35"/>
      <c r="I187" s="43"/>
      <c r="J187" s="37"/>
      <c r="K187" s="35"/>
      <c r="L187" s="44"/>
      <c r="M187" s="45"/>
      <c r="N187" s="32"/>
    </row>
    <row r="188" ht="15.75" customHeight="1">
      <c r="A188" s="20"/>
      <c r="B188" s="21"/>
      <c r="C188" s="22"/>
      <c r="D188" s="22"/>
      <c r="E188" s="23"/>
      <c r="F188" s="23"/>
      <c r="G188" s="34"/>
      <c r="H188" s="35"/>
      <c r="I188" s="43"/>
      <c r="J188" s="37"/>
      <c r="K188" s="35"/>
      <c r="L188" s="44"/>
      <c r="M188" s="45"/>
      <c r="N188" s="32"/>
    </row>
    <row r="189" ht="15.75" customHeight="1">
      <c r="A189" s="20"/>
      <c r="B189" s="21"/>
      <c r="C189" s="22"/>
      <c r="D189" s="22"/>
      <c r="E189" s="23"/>
      <c r="F189" s="23"/>
      <c r="G189" s="34"/>
      <c r="H189" s="35"/>
      <c r="I189" s="43"/>
      <c r="J189" s="37"/>
      <c r="K189" s="35"/>
      <c r="L189" s="44"/>
      <c r="M189" s="45"/>
      <c r="N189" s="32"/>
    </row>
    <row r="190" ht="15.75" customHeight="1">
      <c r="A190" s="20"/>
      <c r="B190" s="21"/>
      <c r="C190" s="22"/>
      <c r="D190" s="22"/>
      <c r="E190" s="23"/>
      <c r="F190" s="23"/>
      <c r="G190" s="34"/>
      <c r="H190" s="35"/>
      <c r="I190" s="43"/>
      <c r="J190" s="37"/>
      <c r="K190" s="35"/>
      <c r="L190" s="44"/>
      <c r="M190" s="45"/>
      <c r="N190" s="32"/>
    </row>
    <row r="191" ht="15.75" customHeight="1">
      <c r="A191" s="20"/>
      <c r="B191" s="21"/>
      <c r="C191" s="22"/>
      <c r="D191" s="22"/>
      <c r="E191" s="23"/>
      <c r="F191" s="23"/>
      <c r="G191" s="34"/>
      <c r="H191" s="35"/>
      <c r="I191" s="43"/>
      <c r="J191" s="37"/>
      <c r="K191" s="35"/>
      <c r="L191" s="44"/>
      <c r="M191" s="45"/>
      <c r="N191" s="32"/>
    </row>
    <row r="192" ht="15.75" customHeight="1">
      <c r="A192" s="20"/>
      <c r="B192" s="21"/>
      <c r="C192" s="22"/>
      <c r="D192" s="22"/>
      <c r="E192" s="23"/>
      <c r="F192" s="23"/>
      <c r="G192" s="48"/>
      <c r="H192" s="35"/>
      <c r="I192" s="43"/>
      <c r="J192" s="37"/>
      <c r="K192" s="35"/>
      <c r="L192" s="44"/>
      <c r="M192" s="45"/>
      <c r="N192" s="32"/>
    </row>
    <row r="193" ht="15.75" customHeight="1">
      <c r="A193" s="20"/>
      <c r="B193" s="21"/>
      <c r="C193" s="22"/>
      <c r="D193" s="22"/>
      <c r="E193" s="23"/>
      <c r="F193" s="23"/>
      <c r="G193" s="34"/>
      <c r="H193" s="35"/>
      <c r="I193" s="43"/>
      <c r="J193" s="37"/>
      <c r="K193" s="35"/>
      <c r="L193" s="44"/>
      <c r="M193" s="45"/>
      <c r="N193" s="32"/>
    </row>
    <row r="194" ht="15.75" customHeight="1">
      <c r="A194" s="20"/>
      <c r="B194" s="21"/>
      <c r="C194" s="22"/>
      <c r="D194" s="22"/>
      <c r="E194" s="23"/>
      <c r="F194" s="23"/>
      <c r="G194" s="34"/>
      <c r="H194" s="35"/>
      <c r="I194" s="43"/>
      <c r="J194" s="37"/>
      <c r="K194" s="35"/>
      <c r="L194" s="44"/>
      <c r="M194" s="45"/>
      <c r="N194" s="32"/>
    </row>
    <row r="195" ht="15.75" customHeight="1">
      <c r="A195" s="20"/>
      <c r="B195" s="21"/>
      <c r="C195" s="22"/>
      <c r="D195" s="22"/>
      <c r="E195" s="23"/>
      <c r="F195" s="23"/>
      <c r="G195" s="34"/>
      <c r="H195" s="35"/>
      <c r="I195" s="43"/>
      <c r="J195" s="37"/>
      <c r="K195" s="35"/>
      <c r="L195" s="44"/>
      <c r="M195" s="45"/>
      <c r="N195" s="32"/>
    </row>
    <row r="196" ht="15.75" customHeight="1">
      <c r="A196" s="20"/>
      <c r="B196" s="21"/>
      <c r="C196" s="22"/>
      <c r="D196" s="22"/>
      <c r="E196" s="23"/>
      <c r="F196" s="23"/>
      <c r="G196" s="34"/>
      <c r="H196" s="35"/>
      <c r="I196" s="43"/>
      <c r="J196" s="37"/>
      <c r="K196" s="35"/>
      <c r="L196" s="44"/>
      <c r="M196" s="45"/>
      <c r="N196" s="32"/>
    </row>
    <row r="197" ht="15.75" customHeight="1">
      <c r="A197" s="20"/>
      <c r="B197" s="21"/>
      <c r="C197" s="22"/>
      <c r="D197" s="22"/>
      <c r="E197" s="23"/>
      <c r="F197" s="23"/>
      <c r="G197" s="34"/>
      <c r="H197" s="35"/>
      <c r="I197" s="43"/>
      <c r="J197" s="37"/>
      <c r="K197" s="35"/>
      <c r="L197" s="44"/>
      <c r="M197" s="45"/>
      <c r="N197" s="32"/>
    </row>
    <row r="198" ht="15.75" customHeight="1">
      <c r="A198" s="20"/>
      <c r="B198" s="21"/>
      <c r="C198" s="22"/>
      <c r="D198" s="22"/>
      <c r="E198" s="23"/>
      <c r="F198" s="23"/>
      <c r="G198" s="34"/>
      <c r="H198" s="35"/>
      <c r="I198" s="43"/>
      <c r="J198" s="37"/>
      <c r="K198" s="35"/>
      <c r="L198" s="44"/>
      <c r="M198" s="45"/>
      <c r="N198" s="32"/>
    </row>
    <row r="199" ht="15.75" customHeight="1">
      <c r="A199" s="20"/>
      <c r="B199" s="21"/>
      <c r="C199" s="22"/>
      <c r="D199" s="22"/>
      <c r="E199" s="23"/>
      <c r="F199" s="23"/>
      <c r="G199" s="34"/>
      <c r="H199" s="35"/>
      <c r="I199" s="43"/>
      <c r="J199" s="37"/>
      <c r="K199" s="35"/>
      <c r="L199" s="44"/>
      <c r="M199" s="45"/>
      <c r="N199" s="32"/>
    </row>
    <row r="200" ht="15.75" customHeight="1">
      <c r="A200" s="20"/>
      <c r="B200" s="39"/>
      <c r="C200" s="22"/>
      <c r="D200" s="22"/>
      <c r="E200" s="23"/>
      <c r="F200" s="23"/>
      <c r="G200" s="34"/>
      <c r="H200" s="35"/>
      <c r="I200" s="43"/>
      <c r="J200" s="37"/>
      <c r="K200" s="47"/>
      <c r="L200" s="44"/>
      <c r="M200" s="45"/>
      <c r="N200" s="32"/>
    </row>
    <row r="201" ht="15.75" customHeight="1">
      <c r="A201" s="20"/>
      <c r="B201" s="39"/>
      <c r="C201" s="22"/>
      <c r="D201" s="22"/>
      <c r="E201" s="23"/>
      <c r="F201" s="23"/>
      <c r="G201" s="34"/>
      <c r="H201" s="35"/>
      <c r="I201" s="43"/>
      <c r="J201" s="37"/>
      <c r="K201" s="47"/>
      <c r="L201" s="44"/>
      <c r="M201" s="45"/>
      <c r="N201" s="32"/>
    </row>
    <row r="202" ht="15.75" customHeight="1">
      <c r="A202" s="20"/>
      <c r="B202" s="39"/>
      <c r="C202" s="22"/>
      <c r="D202" s="22"/>
      <c r="E202" s="23"/>
      <c r="F202" s="23"/>
      <c r="G202" s="34"/>
      <c r="H202" s="35"/>
      <c r="I202" s="43"/>
      <c r="J202" s="37"/>
      <c r="K202" s="47"/>
      <c r="L202" s="44"/>
      <c r="M202" s="45"/>
      <c r="N202" s="32"/>
    </row>
    <row r="203" ht="15.75" customHeight="1">
      <c r="A203" s="20"/>
      <c r="B203" s="39"/>
      <c r="C203" s="22"/>
      <c r="D203" s="22"/>
      <c r="E203" s="23"/>
      <c r="F203" s="23"/>
      <c r="G203" s="34"/>
      <c r="H203" s="35"/>
      <c r="I203" s="43"/>
      <c r="J203" s="37"/>
      <c r="K203" s="47"/>
      <c r="L203" s="44"/>
      <c r="M203" s="45"/>
      <c r="N203" s="32"/>
    </row>
    <row r="204" ht="15.75" customHeight="1">
      <c r="A204" s="20"/>
      <c r="B204" s="39"/>
      <c r="C204" s="22"/>
      <c r="D204" s="22"/>
      <c r="E204" s="23"/>
      <c r="F204" s="23"/>
      <c r="G204" s="34"/>
      <c r="H204" s="35"/>
      <c r="I204" s="43"/>
      <c r="J204" s="37"/>
      <c r="K204" s="47"/>
      <c r="L204" s="44"/>
      <c r="M204" s="45"/>
      <c r="N204" s="32"/>
    </row>
    <row r="205" ht="15.75" customHeight="1">
      <c r="A205" s="20"/>
      <c r="B205" s="39"/>
      <c r="C205" s="22"/>
      <c r="D205" s="22"/>
      <c r="E205" s="23"/>
      <c r="F205" s="23"/>
      <c r="G205" s="34"/>
      <c r="H205" s="35"/>
      <c r="I205" s="43"/>
      <c r="J205" s="37"/>
      <c r="K205" s="47"/>
      <c r="L205" s="44"/>
      <c r="M205" s="45"/>
      <c r="N205" s="32"/>
    </row>
    <row r="206" ht="15.75" customHeight="1">
      <c r="A206" s="20"/>
      <c r="B206" s="39"/>
      <c r="C206" s="22"/>
      <c r="D206" s="22"/>
      <c r="E206" s="23"/>
      <c r="F206" s="23"/>
      <c r="G206" s="34"/>
      <c r="H206" s="35"/>
      <c r="I206" s="43"/>
      <c r="J206" s="37"/>
      <c r="K206" s="47"/>
      <c r="L206" s="44"/>
      <c r="M206" s="45"/>
      <c r="N206" s="32"/>
    </row>
    <row r="207" ht="15.75" customHeight="1">
      <c r="A207" s="20"/>
      <c r="B207" s="21"/>
      <c r="C207" s="22"/>
      <c r="D207" s="22"/>
      <c r="E207" s="23"/>
      <c r="F207" s="23"/>
      <c r="G207" s="34"/>
      <c r="H207" s="35"/>
      <c r="I207" s="43"/>
      <c r="J207" s="37"/>
      <c r="K207" s="35"/>
      <c r="L207" s="44"/>
      <c r="M207" s="45"/>
      <c r="N207" s="32"/>
    </row>
    <row r="208" ht="15.75" customHeight="1">
      <c r="A208" s="20"/>
      <c r="B208" s="39"/>
      <c r="C208" s="22"/>
      <c r="D208" s="22"/>
      <c r="E208" s="23"/>
      <c r="F208" s="23"/>
      <c r="G208" s="34"/>
      <c r="H208" s="35"/>
      <c r="I208" s="43"/>
      <c r="J208" s="37"/>
      <c r="K208" s="47"/>
      <c r="L208" s="44"/>
      <c r="M208" s="45"/>
      <c r="N208" s="32"/>
    </row>
    <row r="209" ht="15.75" customHeight="1">
      <c r="A209" s="20"/>
      <c r="B209" s="21"/>
      <c r="C209" s="22"/>
      <c r="D209" s="22"/>
      <c r="E209" s="23"/>
      <c r="F209" s="23"/>
      <c r="G209" s="34"/>
      <c r="H209" s="35"/>
      <c r="I209" s="43"/>
      <c r="J209" s="37"/>
      <c r="K209" s="35"/>
      <c r="L209" s="44"/>
      <c r="M209" s="45"/>
      <c r="N209" s="32"/>
    </row>
    <row r="210" ht="15.75" customHeight="1">
      <c r="A210" s="20"/>
      <c r="B210" s="21"/>
      <c r="C210" s="22"/>
      <c r="D210" s="22"/>
      <c r="E210" s="23"/>
      <c r="F210" s="23"/>
      <c r="G210" s="34"/>
      <c r="H210" s="35"/>
      <c r="I210" s="43"/>
      <c r="J210" s="37"/>
      <c r="K210" s="35"/>
      <c r="L210" s="44"/>
      <c r="M210" s="45"/>
      <c r="N210" s="32"/>
    </row>
    <row r="211" ht="15.75" customHeight="1">
      <c r="A211" s="20"/>
      <c r="B211" s="21"/>
      <c r="C211" s="22"/>
      <c r="D211" s="22"/>
      <c r="E211" s="23"/>
      <c r="F211" s="23"/>
      <c r="G211" s="34"/>
      <c r="H211" s="35"/>
      <c r="I211" s="43"/>
      <c r="J211" s="37"/>
      <c r="K211" s="35"/>
      <c r="L211" s="44"/>
      <c r="M211" s="45"/>
      <c r="N211" s="32"/>
    </row>
    <row r="212" ht="15.75" customHeight="1">
      <c r="A212" s="20"/>
      <c r="B212" s="21"/>
      <c r="C212" s="22"/>
      <c r="D212" s="22"/>
      <c r="E212" s="23"/>
      <c r="F212" s="23"/>
      <c r="G212" s="34"/>
      <c r="H212" s="35"/>
      <c r="I212" s="43"/>
      <c r="J212" s="37"/>
      <c r="K212" s="35"/>
      <c r="L212" s="44"/>
      <c r="M212" s="45"/>
      <c r="N212" s="32"/>
    </row>
    <row r="213" ht="15.75" customHeight="1">
      <c r="A213" s="20"/>
      <c r="B213" s="21"/>
      <c r="C213" s="22"/>
      <c r="D213" s="22"/>
      <c r="E213" s="23"/>
      <c r="F213" s="23"/>
      <c r="G213" s="34"/>
      <c r="H213" s="35"/>
      <c r="I213" s="43"/>
      <c r="J213" s="37"/>
      <c r="K213" s="35"/>
      <c r="L213" s="44"/>
      <c r="M213" s="45"/>
      <c r="N213" s="32"/>
    </row>
    <row r="214" ht="15.75" customHeight="1">
      <c r="A214" s="20"/>
      <c r="B214" s="21"/>
      <c r="C214" s="22"/>
      <c r="D214" s="22"/>
      <c r="E214" s="23"/>
      <c r="F214" s="23"/>
      <c r="G214" s="34"/>
      <c r="H214" s="35"/>
      <c r="I214" s="43"/>
      <c r="J214" s="37"/>
      <c r="K214" s="35"/>
      <c r="L214" s="44"/>
      <c r="M214" s="45"/>
      <c r="N214" s="32"/>
    </row>
    <row r="215" ht="15.75" customHeight="1">
      <c r="A215" s="20"/>
      <c r="B215" s="21"/>
      <c r="C215" s="22"/>
      <c r="D215" s="22"/>
      <c r="E215" s="23"/>
      <c r="F215" s="23"/>
      <c r="G215" s="34"/>
      <c r="H215" s="35"/>
      <c r="I215" s="43"/>
      <c r="J215" s="37"/>
      <c r="K215" s="35"/>
      <c r="L215" s="44"/>
      <c r="M215" s="45"/>
      <c r="N215" s="32"/>
    </row>
    <row r="216" ht="15.75" customHeight="1">
      <c r="A216" s="20"/>
      <c r="B216" s="21"/>
      <c r="C216" s="22"/>
      <c r="D216" s="46"/>
      <c r="E216" s="23"/>
      <c r="F216" s="23"/>
      <c r="G216" s="34"/>
      <c r="H216" s="35"/>
      <c r="I216" s="43"/>
      <c r="J216" s="37"/>
      <c r="K216" s="35"/>
      <c r="L216" s="44"/>
      <c r="M216" s="45"/>
      <c r="N216" s="32"/>
    </row>
    <row r="217" ht="15.75" customHeight="1">
      <c r="A217" s="20"/>
      <c r="B217" s="21"/>
      <c r="C217" s="22"/>
      <c r="D217" s="46"/>
      <c r="E217" s="23"/>
      <c r="F217" s="23"/>
      <c r="G217" s="34"/>
      <c r="H217" s="35"/>
      <c r="I217" s="43"/>
      <c r="J217" s="37"/>
      <c r="K217" s="35"/>
      <c r="L217" s="44"/>
      <c r="M217" s="45"/>
      <c r="N217" s="32"/>
    </row>
    <row r="218" ht="15.75" customHeight="1">
      <c r="A218" s="20"/>
      <c r="B218" s="21"/>
      <c r="C218" s="22"/>
      <c r="D218" s="46"/>
      <c r="E218" s="23"/>
      <c r="F218" s="23"/>
      <c r="G218" s="34"/>
      <c r="H218" s="35"/>
      <c r="I218" s="43"/>
      <c r="J218" s="37"/>
      <c r="K218" s="35"/>
      <c r="L218" s="44"/>
      <c r="M218" s="45"/>
      <c r="N218" s="32"/>
    </row>
    <row r="219" ht="15.75" customHeight="1">
      <c r="A219" s="20"/>
      <c r="B219" s="21"/>
      <c r="C219" s="22"/>
      <c r="D219" s="46"/>
      <c r="E219" s="23"/>
      <c r="F219" s="23"/>
      <c r="G219" s="34"/>
      <c r="H219" s="35"/>
      <c r="I219" s="43"/>
      <c r="J219" s="37"/>
      <c r="K219" s="35"/>
      <c r="L219" s="44"/>
      <c r="M219" s="45"/>
      <c r="N219" s="32"/>
    </row>
    <row r="220" ht="15.75" customHeight="1">
      <c r="A220" s="20"/>
      <c r="B220" s="21"/>
      <c r="C220" s="22"/>
      <c r="D220" s="46"/>
      <c r="E220" s="23"/>
      <c r="F220" s="23"/>
      <c r="G220" s="34"/>
      <c r="H220" s="35"/>
      <c r="I220" s="43"/>
      <c r="J220" s="37"/>
      <c r="K220" s="35"/>
      <c r="L220" s="44"/>
      <c r="M220" s="45"/>
      <c r="N220" s="32"/>
    </row>
    <row r="221" ht="15.75" customHeight="1">
      <c r="A221" s="20"/>
      <c r="B221" s="21"/>
      <c r="C221" s="22"/>
      <c r="D221" s="49"/>
      <c r="E221" s="23"/>
      <c r="F221" s="23"/>
      <c r="G221" s="34"/>
      <c r="H221" s="35"/>
      <c r="I221" s="43"/>
      <c r="J221" s="37"/>
      <c r="K221" s="35"/>
      <c r="L221" s="44"/>
      <c r="M221" s="45"/>
      <c r="N221" s="32"/>
    </row>
    <row r="222" ht="15.75" customHeight="1">
      <c r="A222" s="20"/>
      <c r="B222" s="21"/>
      <c r="C222" s="22"/>
      <c r="D222" s="50"/>
      <c r="E222" s="23"/>
      <c r="F222" s="23"/>
      <c r="G222" s="34"/>
      <c r="H222" s="35"/>
      <c r="I222" s="43"/>
      <c r="J222" s="37"/>
      <c r="K222" s="35"/>
      <c r="L222" s="44"/>
      <c r="M222" s="45"/>
      <c r="N222" s="32"/>
    </row>
    <row r="223" ht="15.75" customHeight="1">
      <c r="A223" s="20"/>
      <c r="B223" s="21"/>
      <c r="C223" s="22"/>
      <c r="D223" s="50"/>
      <c r="E223" s="23"/>
      <c r="F223" s="23"/>
      <c r="G223" s="34"/>
      <c r="H223" s="35"/>
      <c r="I223" s="43"/>
      <c r="J223" s="37"/>
      <c r="K223" s="35"/>
      <c r="L223" s="44"/>
      <c r="M223" s="45"/>
      <c r="N223" s="32"/>
    </row>
    <row r="224" ht="15.75" customHeight="1">
      <c r="A224" s="20"/>
      <c r="B224" s="21"/>
      <c r="C224" s="22"/>
      <c r="D224" s="50"/>
      <c r="E224" s="23"/>
      <c r="F224" s="23"/>
      <c r="G224" s="34"/>
      <c r="H224" s="35"/>
      <c r="I224" s="43"/>
      <c r="J224" s="37"/>
      <c r="K224" s="35"/>
      <c r="L224" s="44"/>
      <c r="M224" s="45"/>
      <c r="N224" s="32"/>
    </row>
    <row r="225" ht="15.75" customHeight="1">
      <c r="A225" s="20"/>
      <c r="B225" s="21"/>
      <c r="C225" s="22"/>
      <c r="D225" s="50"/>
      <c r="E225" s="23"/>
      <c r="F225" s="23"/>
      <c r="G225" s="34"/>
      <c r="H225" s="35"/>
      <c r="I225" s="43"/>
      <c r="J225" s="37"/>
      <c r="K225" s="35"/>
      <c r="L225" s="44"/>
      <c r="M225" s="45"/>
      <c r="N225" s="32"/>
    </row>
    <row r="226" ht="15.75" customHeight="1">
      <c r="A226" s="20"/>
      <c r="B226" s="21"/>
      <c r="C226" s="22"/>
      <c r="D226" s="46"/>
      <c r="E226" s="23"/>
      <c r="F226" s="23"/>
      <c r="G226" s="34"/>
      <c r="H226" s="35"/>
      <c r="I226" s="43"/>
      <c r="J226" s="37"/>
      <c r="K226" s="35"/>
      <c r="L226" s="44"/>
      <c r="M226" s="45"/>
      <c r="N226" s="32"/>
    </row>
    <row r="227" ht="15.75" customHeight="1">
      <c r="A227" s="20"/>
      <c r="B227" s="21"/>
      <c r="C227" s="22"/>
      <c r="D227" s="46"/>
      <c r="E227" s="23"/>
      <c r="F227" s="23"/>
      <c r="G227" s="34"/>
      <c r="H227" s="35"/>
      <c r="I227" s="43"/>
      <c r="J227" s="37"/>
      <c r="K227" s="35"/>
      <c r="L227" s="44"/>
      <c r="M227" s="45"/>
      <c r="N227" s="32"/>
    </row>
    <row r="228" ht="15.75" customHeight="1">
      <c r="A228" s="20"/>
      <c r="B228" s="21"/>
      <c r="C228" s="22"/>
      <c r="D228" s="46"/>
      <c r="E228" s="23"/>
      <c r="F228" s="23"/>
      <c r="G228" s="34"/>
      <c r="H228" s="35"/>
      <c r="I228" s="43"/>
      <c r="J228" s="37"/>
      <c r="K228" s="35"/>
      <c r="L228" s="44"/>
      <c r="M228" s="45"/>
      <c r="N228" s="32"/>
    </row>
    <row r="229" ht="15.75" customHeight="1">
      <c r="A229" s="20"/>
      <c r="B229" s="21"/>
      <c r="C229" s="22"/>
      <c r="D229" s="46"/>
      <c r="E229" s="23"/>
      <c r="F229" s="23"/>
      <c r="G229" s="34"/>
      <c r="H229" s="35"/>
      <c r="I229" s="43"/>
      <c r="J229" s="37"/>
      <c r="K229" s="35"/>
      <c r="L229" s="44"/>
      <c r="M229" s="45"/>
      <c r="N229" s="32"/>
    </row>
    <row r="230" ht="15.75" customHeight="1">
      <c r="A230" s="20"/>
      <c r="B230" s="21"/>
      <c r="C230" s="22"/>
      <c r="D230" s="46"/>
      <c r="E230" s="23"/>
      <c r="F230" s="23"/>
      <c r="G230" s="34"/>
      <c r="H230" s="35"/>
      <c r="I230" s="43"/>
      <c r="J230" s="37"/>
      <c r="K230" s="35"/>
      <c r="L230" s="44"/>
      <c r="M230" s="45"/>
      <c r="N230" s="32"/>
    </row>
    <row r="231" ht="15.75" customHeight="1">
      <c r="A231" s="20"/>
      <c r="B231" s="21"/>
      <c r="C231" s="22"/>
      <c r="D231" s="46"/>
      <c r="E231" s="23"/>
      <c r="F231" s="23"/>
      <c r="G231" s="34"/>
      <c r="H231" s="35"/>
      <c r="I231" s="43"/>
      <c r="J231" s="37"/>
      <c r="K231" s="35"/>
      <c r="L231" s="44"/>
      <c r="M231" s="45"/>
      <c r="N231" s="32"/>
    </row>
    <row r="232" ht="15.75" customHeight="1">
      <c r="A232" s="20"/>
      <c r="B232" s="21"/>
      <c r="C232" s="22"/>
      <c r="D232" s="22"/>
      <c r="E232" s="23"/>
      <c r="F232" s="23"/>
      <c r="G232" s="34"/>
      <c r="H232" s="35"/>
      <c r="I232" s="43"/>
      <c r="J232" s="37"/>
      <c r="K232" s="35"/>
      <c r="L232" s="44"/>
      <c r="M232" s="45"/>
      <c r="N232" s="32"/>
    </row>
    <row r="233" ht="15.75" customHeight="1">
      <c r="A233" s="20"/>
      <c r="B233" s="21"/>
      <c r="C233" s="22"/>
      <c r="D233" s="22"/>
      <c r="E233" s="23"/>
      <c r="F233" s="23"/>
      <c r="G233" s="34"/>
      <c r="H233" s="35"/>
      <c r="I233" s="43"/>
      <c r="J233" s="37"/>
      <c r="K233" s="35"/>
      <c r="L233" s="44"/>
      <c r="M233" s="45"/>
      <c r="N233" s="32"/>
    </row>
    <row r="234" ht="15.75" customHeight="1">
      <c r="A234" s="20"/>
      <c r="B234" s="21"/>
      <c r="C234" s="22"/>
      <c r="D234" s="22"/>
      <c r="E234" s="23"/>
      <c r="F234" s="23"/>
      <c r="G234" s="34"/>
      <c r="H234" s="35"/>
      <c r="I234" s="43"/>
      <c r="J234" s="37"/>
      <c r="K234" s="35"/>
      <c r="L234" s="44"/>
      <c r="M234" s="45"/>
      <c r="N234" s="32"/>
    </row>
    <row r="235" ht="15.75" customHeight="1">
      <c r="A235" s="20"/>
      <c r="B235" s="21"/>
      <c r="C235" s="22"/>
      <c r="D235" s="46"/>
      <c r="E235" s="23"/>
      <c r="F235" s="23"/>
      <c r="G235" s="34"/>
      <c r="H235" s="35"/>
      <c r="I235" s="43"/>
      <c r="J235" s="37"/>
      <c r="K235" s="35"/>
      <c r="L235" s="44"/>
      <c r="M235" s="45"/>
      <c r="N235" s="32"/>
    </row>
    <row r="236" ht="15.75" customHeight="1">
      <c r="A236" s="20"/>
      <c r="B236" s="21"/>
      <c r="C236" s="22"/>
      <c r="D236" s="22"/>
      <c r="E236" s="23"/>
      <c r="F236" s="23"/>
      <c r="G236" s="34"/>
      <c r="H236" s="35"/>
      <c r="I236" s="43"/>
      <c r="J236" s="37"/>
      <c r="K236" s="35"/>
      <c r="L236" s="44"/>
      <c r="M236" s="45"/>
      <c r="N236" s="32"/>
    </row>
    <row r="237" ht="15.75" customHeight="1">
      <c r="A237" s="20"/>
      <c r="B237" s="21"/>
      <c r="C237" s="22"/>
      <c r="D237" s="22"/>
      <c r="E237" s="23"/>
      <c r="F237" s="23"/>
      <c r="G237" s="34"/>
      <c r="H237" s="35"/>
      <c r="I237" s="43"/>
      <c r="J237" s="37"/>
      <c r="K237" s="35"/>
      <c r="L237" s="44"/>
      <c r="M237" s="45"/>
      <c r="N237" s="32"/>
    </row>
    <row r="238" ht="15.75" customHeight="1">
      <c r="A238" s="20"/>
      <c r="B238" s="21"/>
      <c r="C238" s="22"/>
      <c r="D238" s="22"/>
      <c r="E238" s="23"/>
      <c r="F238" s="23"/>
      <c r="G238" s="34"/>
      <c r="H238" s="35"/>
      <c r="I238" s="43"/>
      <c r="J238" s="37"/>
      <c r="K238" s="35"/>
      <c r="L238" s="44"/>
      <c r="M238" s="45"/>
      <c r="N238" s="32"/>
    </row>
    <row r="239" ht="15.75" customHeight="1">
      <c r="A239" s="20"/>
      <c r="B239" s="21"/>
      <c r="C239" s="22"/>
      <c r="D239" s="22"/>
      <c r="E239" s="23"/>
      <c r="F239" s="23"/>
      <c r="G239" s="34"/>
      <c r="H239" s="35"/>
      <c r="I239" s="43"/>
      <c r="J239" s="37"/>
      <c r="K239" s="35"/>
      <c r="L239" s="44"/>
      <c r="M239" s="45"/>
      <c r="N239" s="32"/>
    </row>
    <row r="240" ht="15.75" customHeight="1">
      <c r="A240" s="20"/>
      <c r="B240" s="39"/>
      <c r="C240" s="22"/>
      <c r="D240" s="22"/>
      <c r="E240" s="23"/>
      <c r="F240" s="23"/>
      <c r="G240" s="34"/>
      <c r="H240" s="35"/>
      <c r="I240" s="43"/>
      <c r="J240" s="37"/>
      <c r="K240" s="47"/>
      <c r="L240" s="44"/>
      <c r="M240" s="45"/>
      <c r="N240" s="32"/>
    </row>
    <row r="241" ht="15.75" customHeight="1">
      <c r="A241" s="20"/>
      <c r="B241" s="21"/>
      <c r="C241" s="22"/>
      <c r="D241" s="22"/>
      <c r="E241" s="23"/>
      <c r="F241" s="23"/>
      <c r="G241" s="34"/>
      <c r="H241" s="35"/>
      <c r="I241" s="43"/>
      <c r="J241" s="37"/>
      <c r="K241" s="35"/>
      <c r="L241" s="44"/>
      <c r="M241" s="45"/>
      <c r="N241" s="32"/>
    </row>
    <row r="242" ht="15.75" customHeight="1">
      <c r="A242" s="20"/>
      <c r="B242" s="21"/>
      <c r="C242" s="22"/>
      <c r="D242" s="46"/>
      <c r="E242" s="23"/>
      <c r="F242" s="23"/>
      <c r="G242" s="34"/>
      <c r="H242" s="35"/>
      <c r="I242" s="43"/>
      <c r="J242" s="37"/>
      <c r="K242" s="35"/>
      <c r="L242" s="44"/>
      <c r="M242" s="45"/>
      <c r="N242" s="32"/>
    </row>
    <row r="243" ht="15.75" customHeight="1">
      <c r="A243" s="20"/>
      <c r="B243" s="21"/>
      <c r="C243" s="22"/>
      <c r="D243" s="22"/>
      <c r="E243" s="23"/>
      <c r="F243" s="23"/>
      <c r="G243" s="34"/>
      <c r="H243" s="35"/>
      <c r="I243" s="43"/>
      <c r="J243" s="37"/>
      <c r="K243" s="35"/>
      <c r="L243" s="44"/>
      <c r="M243" s="45"/>
      <c r="N243" s="32"/>
    </row>
    <row r="244" ht="15.75" customHeight="1">
      <c r="A244" s="20"/>
      <c r="B244" s="21"/>
      <c r="C244" s="22"/>
      <c r="D244" s="22"/>
      <c r="E244" s="23"/>
      <c r="F244" s="23"/>
      <c r="G244" s="34"/>
      <c r="H244" s="35"/>
      <c r="I244" s="43"/>
      <c r="J244" s="37"/>
      <c r="K244" s="35"/>
      <c r="L244" s="44"/>
      <c r="M244" s="45"/>
      <c r="N244" s="32"/>
    </row>
    <row r="245" ht="15.75" customHeight="1">
      <c r="A245" s="20"/>
      <c r="B245" s="21"/>
      <c r="C245" s="22"/>
      <c r="D245" s="22"/>
      <c r="E245" s="23"/>
      <c r="F245" s="23"/>
      <c r="G245" s="34"/>
      <c r="H245" s="35"/>
      <c r="I245" s="43"/>
      <c r="J245" s="37"/>
      <c r="K245" s="35"/>
      <c r="L245" s="44"/>
      <c r="M245" s="45"/>
      <c r="N245" s="32"/>
    </row>
    <row r="246" ht="15.75" customHeight="1">
      <c r="A246" s="20"/>
      <c r="B246" s="39"/>
      <c r="C246" s="22"/>
      <c r="D246" s="22"/>
      <c r="E246" s="23"/>
      <c r="F246" s="23"/>
      <c r="G246" s="34"/>
      <c r="H246" s="35"/>
      <c r="I246" s="43"/>
      <c r="J246" s="37"/>
      <c r="K246" s="47"/>
      <c r="L246" s="44"/>
      <c r="M246" s="45"/>
      <c r="N246" s="32"/>
    </row>
    <row r="247" ht="15.75" customHeight="1">
      <c r="A247" s="20"/>
      <c r="B247" s="21"/>
      <c r="C247" s="22"/>
      <c r="D247" s="22"/>
      <c r="E247" s="23"/>
      <c r="F247" s="23"/>
      <c r="G247" s="34"/>
      <c r="H247" s="35"/>
      <c r="I247" s="43"/>
      <c r="J247" s="37"/>
      <c r="K247" s="35"/>
      <c r="L247" s="44"/>
      <c r="M247" s="45"/>
      <c r="N247" s="32"/>
    </row>
    <row r="248" ht="15.75" customHeight="1">
      <c r="A248" s="20"/>
      <c r="B248" s="21"/>
      <c r="C248" s="22"/>
      <c r="D248" s="22"/>
      <c r="E248" s="23"/>
      <c r="F248" s="23"/>
      <c r="G248" s="34"/>
      <c r="H248" s="35"/>
      <c r="I248" s="43"/>
      <c r="J248" s="37"/>
      <c r="K248" s="35"/>
      <c r="L248" s="44"/>
      <c r="M248" s="45"/>
      <c r="N248" s="32"/>
    </row>
    <row r="249" ht="15.75" customHeight="1">
      <c r="A249" s="20"/>
      <c r="B249" s="21"/>
      <c r="C249" s="22"/>
      <c r="D249" s="22"/>
      <c r="E249" s="23"/>
      <c r="F249" s="23"/>
      <c r="G249" s="34"/>
      <c r="H249" s="35"/>
      <c r="I249" s="43"/>
      <c r="J249" s="37"/>
      <c r="K249" s="35"/>
      <c r="L249" s="44"/>
      <c r="M249" s="45"/>
      <c r="N249" s="32"/>
    </row>
    <row r="250" ht="15.75" customHeight="1">
      <c r="A250" s="20"/>
      <c r="B250" s="21"/>
      <c r="C250" s="22"/>
      <c r="D250" s="22"/>
      <c r="E250" s="23"/>
      <c r="F250" s="23"/>
      <c r="G250" s="34"/>
      <c r="H250" s="35"/>
      <c r="I250" s="43"/>
      <c r="J250" s="37"/>
      <c r="K250" s="35"/>
      <c r="L250" s="44"/>
      <c r="M250" s="45"/>
      <c r="N250" s="32"/>
    </row>
    <row r="251" ht="15.75" customHeight="1">
      <c r="A251" s="20"/>
      <c r="B251" s="21"/>
      <c r="C251" s="22"/>
      <c r="D251" s="22"/>
      <c r="E251" s="23"/>
      <c r="F251" s="23"/>
      <c r="G251" s="34"/>
      <c r="H251" s="35"/>
      <c r="I251" s="43"/>
      <c r="J251" s="37"/>
      <c r="K251" s="35"/>
      <c r="L251" s="44"/>
      <c r="M251" s="45"/>
      <c r="N251" s="32"/>
    </row>
    <row r="252" ht="15.75" customHeight="1">
      <c r="A252" s="20"/>
      <c r="B252" s="21"/>
      <c r="C252" s="22"/>
      <c r="D252" s="22"/>
      <c r="E252" s="23"/>
      <c r="F252" s="23"/>
      <c r="G252" s="34"/>
      <c r="H252" s="35"/>
      <c r="I252" s="43"/>
      <c r="J252" s="37"/>
      <c r="K252" s="35"/>
      <c r="L252" s="44"/>
      <c r="M252" s="45"/>
      <c r="N252" s="32"/>
    </row>
    <row r="253" ht="15.75" customHeight="1">
      <c r="A253" s="20"/>
      <c r="B253" s="21"/>
      <c r="C253" s="22"/>
      <c r="D253" s="22"/>
      <c r="E253" s="23"/>
      <c r="F253" s="23"/>
      <c r="G253" s="34"/>
      <c r="H253" s="35"/>
      <c r="I253" s="43"/>
      <c r="J253" s="37"/>
      <c r="K253" s="35"/>
      <c r="L253" s="44"/>
      <c r="M253" s="45"/>
      <c r="N253" s="32"/>
    </row>
    <row r="254" ht="15.75" customHeight="1">
      <c r="A254" s="20"/>
      <c r="B254" s="39"/>
      <c r="C254" s="22"/>
      <c r="D254" s="22"/>
      <c r="E254" s="23"/>
      <c r="F254" s="23"/>
      <c r="G254" s="34"/>
      <c r="H254" s="35"/>
      <c r="I254" s="43"/>
      <c r="J254" s="37"/>
      <c r="K254" s="47"/>
      <c r="L254" s="44"/>
      <c r="M254" s="45"/>
      <c r="N254" s="32"/>
    </row>
    <row r="255" ht="15.75" customHeight="1">
      <c r="A255" s="20"/>
      <c r="B255" s="39"/>
      <c r="C255" s="22"/>
      <c r="D255" s="22"/>
      <c r="E255" s="23"/>
      <c r="F255" s="23"/>
      <c r="G255" s="34"/>
      <c r="H255" s="35"/>
      <c r="I255" s="43"/>
      <c r="J255" s="37"/>
      <c r="K255" s="47"/>
      <c r="L255" s="44"/>
      <c r="M255" s="45"/>
      <c r="N255" s="32"/>
    </row>
    <row r="256" ht="15.75" customHeight="1">
      <c r="A256" s="20"/>
      <c r="B256" s="39"/>
      <c r="C256" s="22"/>
      <c r="D256" s="22"/>
      <c r="E256" s="23"/>
      <c r="F256" s="23"/>
      <c r="G256" s="34"/>
      <c r="H256" s="35"/>
      <c r="I256" s="43"/>
      <c r="J256" s="37"/>
      <c r="K256" s="47"/>
      <c r="L256" s="44"/>
      <c r="M256" s="45"/>
      <c r="N256" s="32"/>
    </row>
    <row r="257" ht="15.75" customHeight="1">
      <c r="A257" s="20"/>
      <c r="B257" s="21"/>
      <c r="C257" s="22"/>
      <c r="D257" s="22"/>
      <c r="E257" s="23"/>
      <c r="F257" s="23"/>
      <c r="G257" s="34"/>
      <c r="H257" s="35"/>
      <c r="I257" s="43"/>
      <c r="J257" s="37"/>
      <c r="K257" s="35"/>
      <c r="L257" s="44"/>
      <c r="M257" s="45"/>
      <c r="N257" s="32"/>
    </row>
    <row r="258" ht="15.75" customHeight="1">
      <c r="A258" s="20"/>
      <c r="B258" s="21"/>
      <c r="C258" s="22"/>
      <c r="D258" s="22"/>
      <c r="E258" s="23"/>
      <c r="F258" s="23"/>
      <c r="G258" s="34"/>
      <c r="H258" s="35"/>
      <c r="I258" s="43"/>
      <c r="J258" s="37"/>
      <c r="K258" s="35"/>
      <c r="L258" s="44"/>
      <c r="M258" s="45"/>
      <c r="N258" s="32"/>
    </row>
    <row r="259" ht="15.75" customHeight="1">
      <c r="A259" s="20"/>
      <c r="B259" s="39"/>
      <c r="C259" s="22"/>
      <c r="D259" s="22"/>
      <c r="E259" s="23"/>
      <c r="F259" s="23"/>
      <c r="G259" s="34"/>
      <c r="H259" s="35"/>
      <c r="I259" s="43"/>
      <c r="J259" s="37"/>
      <c r="K259" s="47"/>
      <c r="L259" s="44"/>
      <c r="M259" s="45"/>
      <c r="N259" s="32"/>
    </row>
    <row r="260" ht="15.75" customHeight="1">
      <c r="A260" s="20"/>
      <c r="B260" s="21"/>
      <c r="C260" s="22"/>
      <c r="D260" s="22"/>
      <c r="E260" s="23"/>
      <c r="F260" s="23"/>
      <c r="G260" s="34"/>
      <c r="H260" s="35"/>
      <c r="I260" s="43"/>
      <c r="J260" s="37"/>
      <c r="K260" s="35"/>
      <c r="L260" s="44"/>
      <c r="M260" s="45"/>
      <c r="N260" s="32"/>
    </row>
    <row r="261" ht="15.75" customHeight="1">
      <c r="A261" s="20"/>
      <c r="B261" s="21"/>
      <c r="C261" s="22"/>
      <c r="D261" s="22"/>
      <c r="E261" s="23"/>
      <c r="F261" s="23"/>
      <c r="G261" s="34"/>
      <c r="H261" s="35"/>
      <c r="I261" s="43"/>
      <c r="J261" s="37"/>
      <c r="K261" s="35"/>
      <c r="L261" s="44"/>
      <c r="M261" s="45"/>
      <c r="N261" s="32"/>
    </row>
    <row r="262" ht="15.75" customHeight="1">
      <c r="A262" s="20"/>
      <c r="B262" s="21"/>
      <c r="C262" s="22"/>
      <c r="D262" s="22"/>
      <c r="E262" s="23"/>
      <c r="F262" s="23"/>
      <c r="G262" s="34"/>
      <c r="H262" s="35"/>
      <c r="I262" s="43"/>
      <c r="J262" s="37"/>
      <c r="K262" s="35"/>
      <c r="L262" s="44"/>
      <c r="M262" s="45"/>
      <c r="N262" s="32"/>
    </row>
    <row r="263" ht="15.75" customHeight="1">
      <c r="A263" s="20"/>
      <c r="B263" s="21"/>
      <c r="C263" s="22"/>
      <c r="D263" s="22"/>
      <c r="E263" s="23"/>
      <c r="F263" s="23"/>
      <c r="G263" s="34"/>
      <c r="H263" s="35"/>
      <c r="I263" s="43"/>
      <c r="J263" s="37"/>
      <c r="K263" s="35"/>
      <c r="L263" s="44"/>
      <c r="M263" s="45"/>
      <c r="N263" s="32"/>
    </row>
    <row r="264" ht="15.75" customHeight="1">
      <c r="A264" s="20"/>
      <c r="B264" s="21"/>
      <c r="C264" s="22"/>
      <c r="D264" s="22"/>
      <c r="E264" s="23"/>
      <c r="F264" s="23"/>
      <c r="G264" s="34"/>
      <c r="H264" s="35"/>
      <c r="I264" s="43"/>
      <c r="J264" s="37"/>
      <c r="K264" s="35"/>
      <c r="L264" s="44"/>
      <c r="M264" s="45"/>
      <c r="N264" s="32"/>
    </row>
    <row r="265" ht="15.75" customHeight="1">
      <c r="A265" s="20"/>
      <c r="B265" s="21"/>
      <c r="C265" s="22"/>
      <c r="D265" s="22"/>
      <c r="E265" s="23"/>
      <c r="F265" s="23"/>
      <c r="G265" s="34"/>
      <c r="H265" s="35"/>
      <c r="I265" s="43"/>
      <c r="J265" s="37"/>
      <c r="K265" s="35"/>
      <c r="L265" s="44"/>
      <c r="M265" s="45"/>
      <c r="N265" s="32"/>
    </row>
    <row r="266" ht="15.75" customHeight="1">
      <c r="A266" s="20"/>
      <c r="B266" s="21"/>
      <c r="C266" s="22"/>
      <c r="D266" s="22"/>
      <c r="E266" s="23"/>
      <c r="F266" s="23"/>
      <c r="G266" s="34"/>
      <c r="H266" s="35"/>
      <c r="I266" s="43"/>
      <c r="J266" s="37"/>
      <c r="K266" s="35"/>
      <c r="L266" s="44"/>
      <c r="M266" s="45"/>
      <c r="N266" s="32"/>
    </row>
    <row r="267" ht="15.75" customHeight="1">
      <c r="A267" s="20"/>
      <c r="B267" s="21"/>
      <c r="C267" s="22"/>
      <c r="D267" s="22"/>
      <c r="E267" s="23"/>
      <c r="F267" s="23"/>
      <c r="G267" s="34"/>
      <c r="H267" s="35"/>
      <c r="I267" s="43"/>
      <c r="J267" s="37"/>
      <c r="K267" s="35"/>
      <c r="L267" s="44"/>
      <c r="M267" s="45"/>
      <c r="N267" s="32"/>
    </row>
    <row r="268" ht="15.75" customHeight="1">
      <c r="A268" s="20"/>
      <c r="B268" s="21"/>
      <c r="C268" s="22"/>
      <c r="D268" s="22"/>
      <c r="E268" s="23"/>
      <c r="F268" s="23"/>
      <c r="G268" s="34"/>
      <c r="H268" s="35"/>
      <c r="I268" s="43"/>
      <c r="J268" s="37"/>
      <c r="K268" s="35"/>
      <c r="L268" s="44"/>
      <c r="M268" s="45"/>
      <c r="N268" s="32"/>
    </row>
    <row r="269" ht="15.75" customHeight="1">
      <c r="A269" s="20"/>
      <c r="B269" s="21"/>
      <c r="C269" s="22"/>
      <c r="D269" s="22"/>
      <c r="E269" s="23"/>
      <c r="F269" s="23"/>
      <c r="G269" s="34"/>
      <c r="H269" s="35"/>
      <c r="I269" s="43"/>
      <c r="J269" s="37"/>
      <c r="K269" s="35"/>
      <c r="L269" s="44"/>
      <c r="M269" s="45"/>
      <c r="N269" s="32"/>
    </row>
    <row r="270" ht="15.75" customHeight="1">
      <c r="A270" s="20"/>
      <c r="B270" s="21"/>
      <c r="C270" s="22"/>
      <c r="D270" s="22"/>
      <c r="E270" s="23"/>
      <c r="F270" s="23"/>
      <c r="G270" s="34"/>
      <c r="H270" s="35"/>
      <c r="I270" s="43"/>
      <c r="J270" s="37"/>
      <c r="K270" s="35"/>
      <c r="L270" s="44"/>
      <c r="M270" s="45"/>
      <c r="N270" s="32"/>
    </row>
    <row r="271" ht="15.75" customHeight="1">
      <c r="A271" s="20"/>
      <c r="B271" s="21"/>
      <c r="C271" s="22"/>
      <c r="D271" s="22"/>
      <c r="E271" s="23"/>
      <c r="F271" s="23"/>
      <c r="G271" s="34"/>
      <c r="H271" s="35"/>
      <c r="I271" s="43"/>
      <c r="J271" s="37"/>
      <c r="K271" s="35"/>
      <c r="L271" s="44"/>
      <c r="M271" s="45"/>
      <c r="N271" s="32"/>
    </row>
    <row r="272" ht="15.75" customHeight="1">
      <c r="A272" s="20"/>
      <c r="B272" s="39"/>
      <c r="C272" s="22"/>
      <c r="D272" s="22"/>
      <c r="E272" s="23"/>
      <c r="F272" s="23"/>
      <c r="G272" s="34"/>
      <c r="H272" s="35"/>
      <c r="I272" s="43"/>
      <c r="J272" s="37"/>
      <c r="K272" s="47"/>
      <c r="L272" s="44"/>
      <c r="M272" s="45"/>
      <c r="N272" s="32"/>
    </row>
    <row r="273" ht="15.75" customHeight="1">
      <c r="A273" s="20"/>
      <c r="B273" s="21"/>
      <c r="C273" s="22"/>
      <c r="D273" s="22"/>
      <c r="E273" s="23"/>
      <c r="F273" s="23"/>
      <c r="G273" s="34"/>
      <c r="H273" s="35"/>
      <c r="I273" s="43"/>
      <c r="J273" s="37"/>
      <c r="K273" s="35"/>
      <c r="L273" s="44"/>
      <c r="M273" s="45"/>
      <c r="N273" s="32"/>
    </row>
    <row r="274" ht="15.75" customHeight="1">
      <c r="A274" s="20"/>
      <c r="B274" s="21"/>
      <c r="C274" s="22"/>
      <c r="D274" s="22"/>
      <c r="E274" s="23"/>
      <c r="F274" s="23"/>
      <c r="G274" s="34"/>
      <c r="H274" s="35"/>
      <c r="I274" s="43"/>
      <c r="J274" s="37"/>
      <c r="K274" s="35"/>
      <c r="L274" s="44"/>
      <c r="M274" s="45"/>
      <c r="N274" s="32"/>
    </row>
    <row r="275" ht="15.75" customHeight="1">
      <c r="A275" s="20"/>
      <c r="B275" s="39"/>
      <c r="C275" s="22"/>
      <c r="D275" s="22"/>
      <c r="E275" s="23"/>
      <c r="F275" s="23"/>
      <c r="G275" s="34"/>
      <c r="H275" s="35"/>
      <c r="I275" s="43"/>
      <c r="J275" s="37"/>
      <c r="K275" s="47"/>
      <c r="L275" s="44"/>
      <c r="M275" s="45"/>
      <c r="N275" s="32"/>
    </row>
    <row r="276" ht="15.75" customHeight="1">
      <c r="A276" s="20"/>
      <c r="B276" s="21"/>
      <c r="C276" s="22"/>
      <c r="D276" s="22"/>
      <c r="E276" s="23"/>
      <c r="F276" s="23"/>
      <c r="G276" s="34"/>
      <c r="H276" s="35"/>
      <c r="I276" s="43"/>
      <c r="J276" s="37"/>
      <c r="K276" s="35"/>
      <c r="L276" s="44"/>
      <c r="M276" s="45"/>
      <c r="N276" s="32"/>
    </row>
    <row r="277" ht="15.75" customHeight="1">
      <c r="A277" s="20"/>
      <c r="B277" s="21"/>
      <c r="C277" s="22"/>
      <c r="D277" s="22"/>
      <c r="E277" s="23"/>
      <c r="F277" s="23"/>
      <c r="G277" s="34"/>
      <c r="H277" s="35"/>
      <c r="I277" s="43"/>
      <c r="J277" s="37"/>
      <c r="K277" s="35"/>
      <c r="L277" s="44"/>
      <c r="M277" s="45"/>
      <c r="N277" s="32"/>
    </row>
    <row r="278" ht="15.75" customHeight="1">
      <c r="A278" s="20"/>
      <c r="B278" s="21"/>
      <c r="C278" s="22"/>
      <c r="D278" s="22"/>
      <c r="E278" s="23"/>
      <c r="F278" s="23"/>
      <c r="G278" s="34"/>
      <c r="H278" s="35"/>
      <c r="I278" s="43"/>
      <c r="J278" s="37"/>
      <c r="K278" s="35"/>
      <c r="L278" s="44"/>
      <c r="M278" s="45"/>
      <c r="N278" s="32"/>
    </row>
    <row r="279" ht="15.75" customHeight="1">
      <c r="A279" s="20"/>
      <c r="B279" s="39"/>
      <c r="C279" s="22"/>
      <c r="D279" s="22"/>
      <c r="E279" s="23"/>
      <c r="F279" s="23"/>
      <c r="G279" s="34"/>
      <c r="H279" s="35"/>
      <c r="I279" s="43"/>
      <c r="J279" s="37"/>
      <c r="K279" s="47"/>
      <c r="L279" s="44"/>
      <c r="M279" s="45"/>
      <c r="N279" s="32"/>
    </row>
    <row r="280" ht="15.75" customHeight="1">
      <c r="A280" s="20"/>
      <c r="B280" s="21"/>
      <c r="C280" s="22"/>
      <c r="D280" s="22"/>
      <c r="E280" s="23"/>
      <c r="F280" s="23"/>
      <c r="G280" s="34"/>
      <c r="H280" s="35"/>
      <c r="I280" s="43"/>
      <c r="J280" s="37"/>
      <c r="K280" s="35"/>
      <c r="L280" s="44"/>
      <c r="M280" s="45"/>
      <c r="N280" s="32"/>
    </row>
    <row r="281" ht="15.75" customHeight="1">
      <c r="A281" s="20"/>
      <c r="B281" s="21"/>
      <c r="C281" s="22"/>
      <c r="D281" s="22"/>
      <c r="E281" s="23"/>
      <c r="F281" s="23"/>
      <c r="G281" s="34"/>
      <c r="H281" s="35"/>
      <c r="I281" s="43"/>
      <c r="J281" s="37"/>
      <c r="K281" s="35"/>
      <c r="L281" s="44"/>
      <c r="M281" s="45"/>
      <c r="N281" s="32"/>
    </row>
    <row r="282" ht="15.75" customHeight="1">
      <c r="A282" s="20"/>
      <c r="B282" s="21"/>
      <c r="C282" s="22"/>
      <c r="D282" s="22"/>
      <c r="E282" s="23"/>
      <c r="F282" s="23"/>
      <c r="G282" s="34"/>
      <c r="H282" s="35"/>
      <c r="I282" s="43"/>
      <c r="J282" s="37"/>
      <c r="K282" s="35"/>
      <c r="L282" s="44"/>
      <c r="M282" s="45"/>
      <c r="N282" s="32"/>
    </row>
    <row r="283" ht="15.75" customHeight="1">
      <c r="A283" s="20"/>
      <c r="B283" s="21"/>
      <c r="C283" s="22"/>
      <c r="D283" s="22"/>
      <c r="E283" s="23"/>
      <c r="F283" s="23"/>
      <c r="G283" s="34"/>
      <c r="H283" s="35"/>
      <c r="I283" s="43"/>
      <c r="J283" s="37"/>
      <c r="K283" s="35"/>
      <c r="L283" s="44"/>
      <c r="M283" s="45"/>
      <c r="N283" s="32"/>
    </row>
    <row r="284" ht="15.75" customHeight="1">
      <c r="A284" s="20"/>
      <c r="B284" s="21"/>
      <c r="C284" s="22"/>
      <c r="D284" s="22"/>
      <c r="E284" s="23"/>
      <c r="F284" s="23"/>
      <c r="G284" s="34"/>
      <c r="H284" s="35"/>
      <c r="I284" s="43"/>
      <c r="J284" s="37"/>
      <c r="K284" s="35"/>
      <c r="L284" s="44"/>
      <c r="M284" s="45"/>
      <c r="N284" s="32"/>
    </row>
    <row r="285" ht="15.75" customHeight="1">
      <c r="A285" s="20"/>
      <c r="B285" s="39"/>
      <c r="C285" s="22"/>
      <c r="D285" s="22"/>
      <c r="E285" s="23"/>
      <c r="F285" s="23"/>
      <c r="G285" s="34"/>
      <c r="H285" s="35"/>
      <c r="I285" s="43"/>
      <c r="J285" s="37"/>
      <c r="K285" s="47"/>
      <c r="L285" s="44"/>
      <c r="M285" s="45"/>
      <c r="N285" s="32"/>
    </row>
    <row r="286" ht="15.75" customHeight="1">
      <c r="A286" s="20"/>
      <c r="B286" s="21"/>
      <c r="C286" s="22"/>
      <c r="D286" s="22"/>
      <c r="E286" s="23"/>
      <c r="F286" s="23"/>
      <c r="G286" s="34"/>
      <c r="H286" s="35"/>
      <c r="I286" s="43"/>
      <c r="J286" s="37"/>
      <c r="K286" s="35"/>
      <c r="L286" s="44"/>
      <c r="M286" s="45"/>
      <c r="N286" s="32"/>
    </row>
    <row r="287" ht="15.75" customHeight="1">
      <c r="A287" s="20"/>
      <c r="B287" s="21"/>
      <c r="C287" s="22"/>
      <c r="D287" s="22"/>
      <c r="E287" s="23"/>
      <c r="F287" s="23"/>
      <c r="G287" s="34"/>
      <c r="H287" s="35"/>
      <c r="I287" s="43"/>
      <c r="J287" s="37"/>
      <c r="K287" s="35"/>
      <c r="L287" s="44"/>
      <c r="M287" s="45"/>
      <c r="N287" s="32"/>
    </row>
    <row r="288" ht="15.75" customHeight="1">
      <c r="A288" s="20"/>
      <c r="B288" s="21"/>
      <c r="C288" s="22"/>
      <c r="D288" s="22"/>
      <c r="E288" s="23"/>
      <c r="F288" s="23"/>
      <c r="G288" s="34"/>
      <c r="H288" s="35"/>
      <c r="I288" s="43"/>
      <c r="J288" s="37"/>
      <c r="K288" s="35"/>
      <c r="L288" s="44"/>
      <c r="M288" s="45"/>
      <c r="N288" s="32"/>
    </row>
    <row r="289" ht="15.75" customHeight="1">
      <c r="A289" s="20"/>
      <c r="B289" s="21"/>
      <c r="C289" s="22"/>
      <c r="D289" s="22"/>
      <c r="E289" s="23"/>
      <c r="F289" s="23"/>
      <c r="G289" s="34"/>
      <c r="H289" s="35"/>
      <c r="I289" s="43"/>
      <c r="J289" s="37"/>
      <c r="K289" s="35"/>
      <c r="L289" s="44"/>
      <c r="M289" s="45"/>
      <c r="N289" s="32"/>
    </row>
    <row r="290" ht="15.75" customHeight="1">
      <c r="A290" s="20"/>
      <c r="B290" s="21"/>
      <c r="C290" s="22"/>
      <c r="D290" s="22"/>
      <c r="E290" s="23"/>
      <c r="F290" s="23"/>
      <c r="G290" s="34"/>
      <c r="H290" s="35"/>
      <c r="I290" s="43"/>
      <c r="J290" s="37"/>
      <c r="K290" s="35"/>
      <c r="L290" s="44"/>
      <c r="M290" s="45"/>
      <c r="N290" s="32"/>
    </row>
    <row r="291" ht="15.75" customHeight="1">
      <c r="A291" s="20"/>
      <c r="B291" s="21"/>
      <c r="C291" s="22"/>
      <c r="D291" s="22"/>
      <c r="E291" s="23"/>
      <c r="F291" s="23"/>
      <c r="G291" s="34"/>
      <c r="H291" s="35"/>
      <c r="I291" s="43"/>
      <c r="J291" s="37"/>
      <c r="K291" s="35"/>
      <c r="L291" s="44"/>
      <c r="M291" s="45"/>
      <c r="N291" s="32"/>
    </row>
    <row r="292" ht="15.75" customHeight="1">
      <c r="A292" s="20"/>
      <c r="B292" s="21"/>
      <c r="C292" s="22"/>
      <c r="D292" s="50"/>
      <c r="E292" s="23"/>
      <c r="F292" s="23"/>
      <c r="G292" s="34"/>
      <c r="H292" s="35"/>
      <c r="I292" s="43"/>
      <c r="J292" s="37"/>
      <c r="K292" s="35"/>
      <c r="L292" s="44"/>
      <c r="M292" s="45"/>
      <c r="N292" s="32"/>
    </row>
    <row r="293" ht="15.75" customHeight="1">
      <c r="A293" s="20"/>
      <c r="B293" s="21"/>
      <c r="C293" s="22"/>
      <c r="D293" s="50"/>
      <c r="E293" s="23"/>
      <c r="F293" s="23"/>
      <c r="G293" s="34"/>
      <c r="H293" s="35"/>
      <c r="I293" s="43"/>
      <c r="J293" s="37"/>
      <c r="K293" s="35"/>
      <c r="L293" s="44"/>
      <c r="M293" s="45"/>
      <c r="N293" s="32"/>
    </row>
    <row r="294" ht="15.75" customHeight="1">
      <c r="A294" s="20"/>
      <c r="B294" s="21"/>
      <c r="C294" s="22"/>
      <c r="D294" s="50"/>
      <c r="E294" s="23"/>
      <c r="F294" s="23"/>
      <c r="G294" s="34"/>
      <c r="H294" s="35"/>
      <c r="I294" s="43"/>
      <c r="J294" s="37"/>
      <c r="K294" s="35"/>
      <c r="L294" s="44"/>
      <c r="M294" s="45"/>
      <c r="N294" s="32"/>
    </row>
    <row r="295" ht="15.75" customHeight="1">
      <c r="A295" s="20"/>
      <c r="B295" s="21"/>
      <c r="C295" s="22"/>
      <c r="D295" s="50"/>
      <c r="E295" s="23"/>
      <c r="F295" s="23"/>
      <c r="G295" s="34"/>
      <c r="H295" s="35"/>
      <c r="I295" s="43"/>
      <c r="J295" s="37"/>
      <c r="K295" s="35"/>
      <c r="L295" s="44"/>
      <c r="M295" s="45"/>
      <c r="N295" s="32"/>
    </row>
    <row r="296" ht="15.75" customHeight="1">
      <c r="A296" s="20"/>
      <c r="B296" s="21"/>
      <c r="C296" s="22"/>
      <c r="D296" s="50"/>
      <c r="E296" s="23"/>
      <c r="F296" s="23"/>
      <c r="G296" s="34"/>
      <c r="H296" s="35"/>
      <c r="I296" s="43"/>
      <c r="J296" s="37"/>
      <c r="K296" s="35"/>
      <c r="L296" s="44"/>
      <c r="M296" s="45"/>
      <c r="N296" s="32"/>
    </row>
    <row r="297" ht="15.75" customHeight="1">
      <c r="A297" s="20"/>
      <c r="B297" s="21"/>
      <c r="C297" s="22"/>
      <c r="D297" s="50"/>
      <c r="E297" s="23"/>
      <c r="F297" s="23"/>
      <c r="G297" s="34"/>
      <c r="H297" s="35"/>
      <c r="I297" s="43"/>
      <c r="J297" s="37"/>
      <c r="K297" s="35"/>
      <c r="L297" s="44"/>
      <c r="M297" s="45"/>
      <c r="N297" s="32"/>
    </row>
    <row r="298" ht="15.75" customHeight="1">
      <c r="A298" s="20"/>
      <c r="B298" s="21"/>
      <c r="C298" s="22"/>
      <c r="D298" s="49"/>
      <c r="E298" s="23"/>
      <c r="F298" s="23"/>
      <c r="G298" s="34"/>
      <c r="H298" s="35"/>
      <c r="I298" s="43"/>
      <c r="J298" s="37"/>
      <c r="K298" s="35"/>
      <c r="L298" s="44"/>
      <c r="M298" s="45"/>
      <c r="N298" s="32"/>
    </row>
    <row r="299" ht="15.75" customHeight="1">
      <c r="A299" s="20"/>
      <c r="B299" s="21"/>
      <c r="C299" s="22"/>
      <c r="D299" s="49"/>
      <c r="E299" s="23"/>
      <c r="F299" s="23"/>
      <c r="G299" s="34"/>
      <c r="H299" s="35"/>
      <c r="I299" s="43"/>
      <c r="J299" s="37"/>
      <c r="K299" s="35"/>
      <c r="L299" s="44"/>
      <c r="M299" s="45"/>
      <c r="N299" s="32"/>
    </row>
    <row r="300" ht="15.75" customHeight="1">
      <c r="A300" s="20"/>
      <c r="B300" s="21"/>
      <c r="C300" s="22"/>
      <c r="D300" s="49"/>
      <c r="E300" s="23"/>
      <c r="F300" s="23"/>
      <c r="G300" s="34"/>
      <c r="H300" s="35"/>
      <c r="I300" s="43"/>
      <c r="J300" s="37"/>
      <c r="K300" s="35"/>
      <c r="L300" s="44"/>
      <c r="M300" s="45"/>
      <c r="N300" s="32"/>
    </row>
    <row r="301" ht="15.75" customHeight="1">
      <c r="A301" s="20"/>
      <c r="B301" s="21"/>
      <c r="C301" s="22"/>
      <c r="D301" s="50"/>
      <c r="E301" s="23"/>
      <c r="F301" s="23"/>
      <c r="G301" s="34"/>
      <c r="H301" s="35"/>
      <c r="I301" s="43"/>
      <c r="J301" s="37"/>
      <c r="K301" s="35"/>
      <c r="L301" s="44"/>
      <c r="M301" s="45"/>
      <c r="N301" s="32"/>
    </row>
    <row r="302" ht="15.75" customHeight="1">
      <c r="A302" s="20"/>
      <c r="B302" s="21"/>
      <c r="C302" s="22"/>
      <c r="D302" s="50"/>
      <c r="E302" s="23"/>
      <c r="F302" s="23"/>
      <c r="G302" s="34"/>
      <c r="H302" s="35"/>
      <c r="I302" s="43"/>
      <c r="J302" s="37"/>
      <c r="K302" s="35"/>
      <c r="L302" s="44"/>
      <c r="M302" s="45"/>
      <c r="N302" s="32"/>
    </row>
    <row r="303" ht="15.75" customHeight="1">
      <c r="A303" s="20"/>
      <c r="B303" s="21"/>
      <c r="C303" s="22"/>
      <c r="D303" s="49"/>
      <c r="E303" s="23"/>
      <c r="F303" s="23"/>
      <c r="G303" s="34"/>
      <c r="H303" s="35"/>
      <c r="I303" s="43"/>
      <c r="J303" s="37"/>
      <c r="K303" s="35"/>
      <c r="L303" s="44"/>
      <c r="M303" s="45"/>
      <c r="N303" s="32"/>
    </row>
    <row r="304" ht="15.75" customHeight="1">
      <c r="A304" s="20"/>
      <c r="B304" s="21"/>
      <c r="C304" s="22"/>
      <c r="D304" s="46"/>
      <c r="E304" s="23"/>
      <c r="F304" s="23"/>
      <c r="G304" s="34"/>
      <c r="H304" s="35"/>
      <c r="I304" s="43"/>
      <c r="J304" s="37"/>
      <c r="K304" s="35"/>
      <c r="L304" s="44"/>
      <c r="M304" s="45"/>
      <c r="N304" s="32"/>
    </row>
    <row r="305" ht="15.75" customHeight="1">
      <c r="A305" s="20"/>
      <c r="B305" s="21"/>
      <c r="C305" s="22"/>
      <c r="D305" s="46"/>
      <c r="E305" s="23"/>
      <c r="F305" s="23"/>
      <c r="G305" s="34"/>
      <c r="H305" s="35"/>
      <c r="I305" s="43"/>
      <c r="J305" s="37"/>
      <c r="K305" s="35"/>
      <c r="L305" s="44"/>
      <c r="M305" s="45"/>
      <c r="N305" s="32"/>
    </row>
    <row r="306" ht="15.75" customHeight="1">
      <c r="A306" s="20"/>
      <c r="B306" s="21"/>
      <c r="C306" s="22"/>
      <c r="D306" s="49"/>
      <c r="E306" s="23"/>
      <c r="F306" s="23"/>
      <c r="G306" s="34"/>
      <c r="H306" s="35"/>
      <c r="I306" s="43"/>
      <c r="J306" s="37"/>
      <c r="K306" s="35"/>
      <c r="L306" s="44"/>
      <c r="M306" s="45"/>
      <c r="N306" s="32"/>
    </row>
    <row r="307" ht="15.75" customHeight="1">
      <c r="A307" s="20"/>
      <c r="B307" s="21"/>
      <c r="C307" s="22"/>
      <c r="D307" s="49"/>
      <c r="E307" s="23"/>
      <c r="F307" s="23"/>
      <c r="G307" s="34"/>
      <c r="H307" s="35"/>
      <c r="I307" s="43"/>
      <c r="J307" s="37"/>
      <c r="K307" s="35"/>
      <c r="L307" s="44"/>
      <c r="M307" s="45"/>
      <c r="N307" s="32"/>
    </row>
    <row r="308" ht="15.75" customHeight="1">
      <c r="A308" s="20"/>
      <c r="B308" s="21"/>
      <c r="C308" s="22"/>
      <c r="D308" s="49"/>
      <c r="E308" s="23"/>
      <c r="F308" s="23"/>
      <c r="G308" s="34"/>
      <c r="H308" s="35"/>
      <c r="I308" s="43"/>
      <c r="J308" s="37"/>
      <c r="K308" s="35"/>
      <c r="L308" s="44"/>
      <c r="M308" s="45"/>
      <c r="N308" s="32"/>
    </row>
    <row r="309" ht="15.75" customHeight="1">
      <c r="A309" s="20"/>
      <c r="B309" s="21"/>
      <c r="C309" s="22"/>
      <c r="D309" s="49"/>
      <c r="E309" s="23"/>
      <c r="F309" s="23"/>
      <c r="G309" s="34"/>
      <c r="H309" s="35"/>
      <c r="I309" s="43"/>
      <c r="J309" s="37"/>
      <c r="K309" s="35"/>
      <c r="L309" s="44"/>
      <c r="M309" s="45"/>
      <c r="N309" s="32"/>
    </row>
    <row r="310" ht="15.75" customHeight="1">
      <c r="A310" s="20"/>
      <c r="B310" s="21"/>
      <c r="C310" s="22"/>
      <c r="D310" s="50"/>
      <c r="E310" s="23"/>
      <c r="F310" s="23"/>
      <c r="G310" s="34"/>
      <c r="H310" s="35"/>
      <c r="I310" s="43"/>
      <c r="J310" s="37"/>
      <c r="K310" s="35"/>
      <c r="L310" s="44"/>
      <c r="M310" s="45"/>
      <c r="N310" s="32"/>
    </row>
    <row r="311" ht="15.75" customHeight="1">
      <c r="A311" s="20"/>
      <c r="B311" s="21"/>
      <c r="C311" s="22"/>
      <c r="D311" s="50"/>
      <c r="E311" s="23"/>
      <c r="F311" s="23"/>
      <c r="G311" s="34"/>
      <c r="H311" s="35"/>
      <c r="I311" s="43"/>
      <c r="J311" s="37"/>
      <c r="K311" s="35"/>
      <c r="L311" s="44"/>
      <c r="M311" s="45"/>
      <c r="N311" s="32"/>
    </row>
    <row r="312" ht="15.75" customHeight="1">
      <c r="A312" s="20"/>
      <c r="B312" s="21"/>
      <c r="C312" s="22"/>
      <c r="D312" s="50"/>
      <c r="E312" s="23"/>
      <c r="F312" s="23"/>
      <c r="G312" s="34"/>
      <c r="H312" s="35"/>
      <c r="I312" s="43"/>
      <c r="J312" s="37"/>
      <c r="K312" s="35"/>
      <c r="L312" s="44"/>
      <c r="M312" s="45"/>
      <c r="N312" s="32"/>
    </row>
    <row r="313" ht="15.75" customHeight="1">
      <c r="A313" s="20"/>
      <c r="B313" s="21"/>
      <c r="C313" s="22"/>
      <c r="D313" s="50"/>
      <c r="E313" s="23"/>
      <c r="F313" s="23"/>
      <c r="G313" s="34"/>
      <c r="H313" s="35"/>
      <c r="I313" s="43"/>
      <c r="J313" s="37"/>
      <c r="K313" s="35"/>
      <c r="L313" s="44"/>
      <c r="M313" s="45"/>
      <c r="N313" s="32"/>
    </row>
    <row r="314" ht="15.75" customHeight="1">
      <c r="A314" s="20"/>
      <c r="B314" s="21"/>
      <c r="C314" s="22"/>
      <c r="D314" s="50"/>
      <c r="E314" s="23"/>
      <c r="F314" s="23"/>
      <c r="G314" s="34"/>
      <c r="H314" s="35"/>
      <c r="I314" s="43"/>
      <c r="J314" s="37"/>
      <c r="K314" s="35"/>
      <c r="L314" s="44"/>
      <c r="M314" s="45"/>
      <c r="N314" s="32"/>
    </row>
    <row r="315" ht="15.75" customHeight="1">
      <c r="A315" s="20"/>
      <c r="B315" s="21"/>
      <c r="C315" s="22"/>
      <c r="D315" s="50"/>
      <c r="E315" s="23"/>
      <c r="F315" s="23"/>
      <c r="G315" s="34"/>
      <c r="H315" s="35"/>
      <c r="I315" s="43"/>
      <c r="J315" s="37"/>
      <c r="K315" s="35"/>
      <c r="L315" s="44"/>
      <c r="M315" s="45"/>
      <c r="N315" s="32"/>
    </row>
    <row r="316" ht="15.75" customHeight="1">
      <c r="A316" s="20"/>
      <c r="B316" s="21"/>
      <c r="C316" s="22"/>
      <c r="D316" s="50"/>
      <c r="E316" s="23"/>
      <c r="F316" s="23"/>
      <c r="G316" s="34"/>
      <c r="H316" s="35"/>
      <c r="I316" s="43"/>
      <c r="J316" s="37"/>
      <c r="K316" s="35"/>
      <c r="L316" s="44"/>
      <c r="M316" s="45"/>
      <c r="N316" s="32"/>
    </row>
    <row r="317" ht="15.75" customHeight="1">
      <c r="A317" s="20"/>
      <c r="B317" s="21"/>
      <c r="C317" s="22"/>
      <c r="D317" s="46"/>
      <c r="E317" s="23"/>
      <c r="F317" s="23"/>
      <c r="G317" s="34"/>
      <c r="H317" s="35"/>
      <c r="I317" s="43"/>
      <c r="J317" s="37"/>
      <c r="K317" s="35"/>
      <c r="L317" s="44"/>
      <c r="M317" s="45"/>
      <c r="N317" s="32"/>
    </row>
    <row r="318" ht="15.75" customHeight="1">
      <c r="A318" s="20"/>
      <c r="B318" s="21"/>
      <c r="C318" s="22"/>
      <c r="D318" s="46"/>
      <c r="E318" s="23"/>
      <c r="F318" s="23"/>
      <c r="G318" s="34"/>
      <c r="H318" s="35"/>
      <c r="I318" s="43"/>
      <c r="J318" s="37"/>
      <c r="K318" s="35"/>
      <c r="L318" s="44"/>
      <c r="M318" s="45"/>
      <c r="N318" s="32"/>
    </row>
    <row r="319" ht="15.75" customHeight="1">
      <c r="A319" s="20"/>
      <c r="B319" s="21"/>
      <c r="C319" s="22"/>
      <c r="D319" s="46"/>
      <c r="E319" s="23"/>
      <c r="F319" s="23"/>
      <c r="G319" s="34"/>
      <c r="H319" s="35"/>
      <c r="I319" s="43"/>
      <c r="J319" s="37"/>
      <c r="K319" s="35"/>
      <c r="L319" s="44"/>
      <c r="M319" s="45"/>
      <c r="N319" s="32"/>
    </row>
    <row r="320" ht="15.75" customHeight="1">
      <c r="A320" s="20"/>
      <c r="B320" s="21"/>
      <c r="C320" s="22"/>
      <c r="D320" s="46"/>
      <c r="E320" s="23"/>
      <c r="F320" s="23"/>
      <c r="G320" s="34"/>
      <c r="H320" s="35"/>
      <c r="I320" s="43"/>
      <c r="J320" s="37"/>
      <c r="K320" s="35"/>
      <c r="L320" s="44"/>
      <c r="M320" s="45"/>
      <c r="N320" s="32"/>
    </row>
    <row r="321" ht="15.75" customHeight="1">
      <c r="A321" s="20"/>
      <c r="B321" s="21"/>
      <c r="C321" s="22"/>
      <c r="D321" s="46"/>
      <c r="E321" s="23"/>
      <c r="F321" s="23"/>
      <c r="G321" s="34"/>
      <c r="H321" s="35"/>
      <c r="I321" s="43"/>
      <c r="J321" s="37"/>
      <c r="K321" s="35"/>
      <c r="L321" s="44"/>
      <c r="M321" s="45"/>
      <c r="N321" s="32"/>
    </row>
    <row r="322" ht="15.75" customHeight="1">
      <c r="A322" s="20"/>
      <c r="B322" s="21"/>
      <c r="C322" s="22"/>
      <c r="D322" s="46"/>
      <c r="E322" s="23"/>
      <c r="F322" s="23"/>
      <c r="G322" s="34"/>
      <c r="H322" s="35"/>
      <c r="I322" s="43"/>
      <c r="J322" s="37"/>
      <c r="K322" s="35"/>
      <c r="L322" s="44"/>
      <c r="M322" s="45"/>
      <c r="N322" s="32"/>
    </row>
    <row r="323" ht="15.75" customHeight="1">
      <c r="A323" s="20"/>
      <c r="B323" s="21"/>
      <c r="C323" s="22"/>
      <c r="D323" s="46"/>
      <c r="E323" s="23"/>
      <c r="F323" s="23"/>
      <c r="G323" s="34"/>
      <c r="H323" s="35"/>
      <c r="I323" s="43"/>
      <c r="J323" s="37"/>
      <c r="K323" s="35"/>
      <c r="L323" s="44"/>
      <c r="M323" s="45"/>
      <c r="N323" s="32"/>
    </row>
    <row r="324" ht="15.75" customHeight="1">
      <c r="A324" s="20"/>
      <c r="B324" s="21"/>
      <c r="C324" s="22"/>
      <c r="D324" s="46"/>
      <c r="E324" s="23"/>
      <c r="F324" s="23"/>
      <c r="G324" s="34"/>
      <c r="H324" s="35"/>
      <c r="I324" s="43"/>
      <c r="J324" s="37"/>
      <c r="K324" s="35"/>
      <c r="L324" s="44"/>
      <c r="M324" s="45"/>
      <c r="N324" s="32"/>
    </row>
    <row r="325" ht="15.75" customHeight="1">
      <c r="A325" s="20"/>
      <c r="B325" s="21"/>
      <c r="C325" s="22"/>
      <c r="D325" s="22"/>
      <c r="E325" s="23"/>
      <c r="F325" s="23"/>
      <c r="G325" s="34"/>
      <c r="H325" s="35"/>
      <c r="I325" s="43"/>
      <c r="J325" s="37"/>
      <c r="K325" s="35"/>
      <c r="L325" s="44"/>
      <c r="M325" s="45"/>
      <c r="N325" s="32"/>
    </row>
    <row r="326" ht="15.75" customHeight="1">
      <c r="A326" s="20"/>
      <c r="B326" s="21"/>
      <c r="C326" s="22"/>
      <c r="D326" s="22"/>
      <c r="E326" s="23"/>
      <c r="F326" s="23"/>
      <c r="G326" s="34"/>
      <c r="H326" s="35"/>
      <c r="I326" s="43"/>
      <c r="J326" s="37"/>
      <c r="K326" s="35"/>
      <c r="L326" s="44"/>
      <c r="M326" s="45"/>
      <c r="N326" s="32"/>
    </row>
    <row r="327" ht="15.75" customHeight="1">
      <c r="A327" s="20"/>
      <c r="B327" s="21"/>
      <c r="C327" s="22"/>
      <c r="D327" s="22"/>
      <c r="E327" s="23"/>
      <c r="F327" s="23"/>
      <c r="G327" s="34"/>
      <c r="H327" s="35"/>
      <c r="I327" s="43"/>
      <c r="J327" s="37"/>
      <c r="K327" s="35"/>
      <c r="L327" s="44"/>
      <c r="M327" s="45"/>
      <c r="N327" s="32"/>
    </row>
    <row r="328" ht="15.75" customHeight="1">
      <c r="A328" s="20"/>
      <c r="B328" s="21"/>
      <c r="C328" s="22"/>
      <c r="D328" s="46"/>
      <c r="E328" s="23"/>
      <c r="F328" s="23"/>
      <c r="G328" s="34"/>
      <c r="H328" s="35"/>
      <c r="I328" s="43"/>
      <c r="J328" s="37"/>
      <c r="K328" s="35"/>
      <c r="L328" s="44"/>
      <c r="M328" s="45"/>
      <c r="N328" s="32"/>
    </row>
    <row r="329" ht="15.75" customHeight="1">
      <c r="A329" s="20"/>
      <c r="B329" s="21"/>
      <c r="C329" s="22"/>
      <c r="D329" s="22"/>
      <c r="E329" s="23"/>
      <c r="F329" s="23"/>
      <c r="G329" s="34"/>
      <c r="H329" s="35"/>
      <c r="I329" s="43"/>
      <c r="J329" s="37"/>
      <c r="K329" s="35"/>
      <c r="L329" s="44"/>
      <c r="M329" s="45"/>
      <c r="N329" s="32"/>
    </row>
    <row r="330" ht="15.75" customHeight="1">
      <c r="A330" s="20"/>
      <c r="B330" s="21"/>
      <c r="C330" s="22"/>
      <c r="D330" s="22"/>
      <c r="E330" s="23"/>
      <c r="F330" s="23"/>
      <c r="G330" s="34"/>
      <c r="H330" s="35"/>
      <c r="I330" s="43"/>
      <c r="J330" s="37"/>
      <c r="K330" s="35"/>
      <c r="L330" s="44"/>
      <c r="M330" s="45"/>
      <c r="N330" s="32"/>
    </row>
    <row r="331" ht="15.75" customHeight="1">
      <c r="A331" s="20"/>
      <c r="B331" s="39"/>
      <c r="C331" s="22"/>
      <c r="D331" s="22"/>
      <c r="E331" s="23"/>
      <c r="F331" s="23"/>
      <c r="G331" s="34"/>
      <c r="H331" s="35"/>
      <c r="I331" s="43"/>
      <c r="J331" s="37"/>
      <c r="K331" s="35"/>
      <c r="L331" s="44"/>
      <c r="M331" s="45"/>
      <c r="N331" s="32"/>
    </row>
    <row r="332" ht="15.75" customHeight="1">
      <c r="A332" s="20"/>
      <c r="B332" s="21"/>
      <c r="C332" s="22"/>
      <c r="D332" s="22"/>
      <c r="E332" s="23"/>
      <c r="F332" s="23"/>
      <c r="G332" s="34"/>
      <c r="H332" s="35"/>
      <c r="I332" s="43"/>
      <c r="J332" s="37"/>
      <c r="K332" s="35"/>
      <c r="L332" s="44"/>
      <c r="M332" s="45"/>
      <c r="N332" s="32"/>
    </row>
    <row r="333" ht="15.75" customHeight="1">
      <c r="A333" s="20"/>
      <c r="B333" s="21"/>
      <c r="C333" s="22"/>
      <c r="D333" s="22"/>
      <c r="E333" s="23"/>
      <c r="F333" s="23"/>
      <c r="G333" s="34"/>
      <c r="H333" s="35"/>
      <c r="I333" s="43"/>
      <c r="J333" s="37"/>
      <c r="K333" s="35"/>
      <c r="L333" s="44"/>
      <c r="M333" s="45"/>
      <c r="N333" s="32"/>
    </row>
    <row r="334" ht="15.75" customHeight="1">
      <c r="A334" s="20"/>
      <c r="B334" s="21"/>
      <c r="C334" s="22"/>
      <c r="D334" s="50"/>
      <c r="E334" s="23"/>
      <c r="F334" s="23"/>
      <c r="G334" s="34"/>
      <c r="H334" s="35"/>
      <c r="I334" s="43"/>
      <c r="J334" s="37"/>
      <c r="K334" s="35"/>
      <c r="L334" s="44"/>
      <c r="M334" s="45"/>
      <c r="N334" s="32"/>
    </row>
    <row r="335" ht="15.75" customHeight="1">
      <c r="A335" s="20"/>
      <c r="B335" s="21"/>
      <c r="C335" s="22"/>
      <c r="D335" s="46"/>
      <c r="E335" s="23"/>
      <c r="F335" s="23"/>
      <c r="G335" s="34"/>
      <c r="H335" s="35"/>
      <c r="I335" s="43"/>
      <c r="J335" s="37"/>
      <c r="K335" s="35"/>
      <c r="L335" s="44"/>
      <c r="M335" s="45"/>
      <c r="N335" s="32"/>
    </row>
    <row r="336" ht="15.75" customHeight="1">
      <c r="A336" s="20"/>
      <c r="B336" s="21"/>
      <c r="C336" s="22"/>
      <c r="D336" s="22"/>
      <c r="E336" s="51"/>
      <c r="F336" s="23"/>
      <c r="G336" s="34"/>
      <c r="H336" s="35"/>
      <c r="I336" s="43"/>
      <c r="J336" s="37"/>
      <c r="K336" s="35"/>
      <c r="L336" s="44"/>
      <c r="M336" s="45"/>
      <c r="N336" s="32"/>
    </row>
    <row r="337" ht="15.75" customHeight="1">
      <c r="A337" s="20"/>
      <c r="B337" s="21"/>
      <c r="C337" s="22"/>
      <c r="D337" s="22"/>
      <c r="E337" s="23"/>
      <c r="F337" s="23"/>
      <c r="G337" s="34"/>
      <c r="H337" s="35"/>
      <c r="I337" s="43"/>
      <c r="J337" s="37"/>
      <c r="K337" s="35"/>
      <c r="L337" s="44"/>
      <c r="M337" s="45"/>
      <c r="N337" s="32"/>
    </row>
    <row r="338" ht="15.75" customHeight="1">
      <c r="A338" s="20"/>
      <c r="B338" s="21"/>
      <c r="C338" s="22"/>
      <c r="D338" s="22"/>
      <c r="E338" s="23"/>
      <c r="F338" s="23"/>
      <c r="G338" s="34"/>
      <c r="H338" s="35"/>
      <c r="I338" s="43"/>
      <c r="J338" s="37"/>
      <c r="K338" s="35"/>
      <c r="L338" s="44"/>
      <c r="M338" s="45"/>
      <c r="N338" s="32"/>
    </row>
    <row r="339" ht="15.75" customHeight="1">
      <c r="A339" s="20"/>
      <c r="B339" s="21"/>
      <c r="C339" s="22"/>
      <c r="D339" s="22"/>
      <c r="E339" s="23"/>
      <c r="F339" s="23"/>
      <c r="G339" s="34"/>
      <c r="H339" s="35"/>
      <c r="I339" s="43"/>
      <c r="J339" s="37"/>
      <c r="K339" s="35"/>
      <c r="L339" s="44"/>
      <c r="M339" s="45"/>
      <c r="N339" s="32"/>
    </row>
    <row r="340" ht="15.75" customHeight="1">
      <c r="A340" s="20"/>
      <c r="B340" s="21"/>
      <c r="C340" s="22"/>
      <c r="D340" s="22"/>
      <c r="E340" s="23"/>
      <c r="F340" s="23"/>
      <c r="G340" s="34"/>
      <c r="H340" s="35"/>
      <c r="I340" s="43"/>
      <c r="J340" s="37"/>
      <c r="K340" s="35"/>
      <c r="L340" s="44"/>
      <c r="M340" s="45"/>
      <c r="N340" s="32"/>
    </row>
    <row r="341" ht="15.75" customHeight="1">
      <c r="A341" s="20"/>
      <c r="B341" s="39"/>
      <c r="C341" s="22"/>
      <c r="D341" s="22"/>
      <c r="E341" s="23"/>
      <c r="F341" s="23"/>
      <c r="G341" s="34"/>
      <c r="H341" s="35"/>
      <c r="I341" s="43"/>
      <c r="J341" s="37"/>
      <c r="K341" s="47"/>
      <c r="L341" s="44"/>
      <c r="M341" s="45"/>
      <c r="N341" s="32"/>
    </row>
    <row r="342" ht="15.75" customHeight="1">
      <c r="A342" s="20"/>
      <c r="B342" s="21"/>
      <c r="C342" s="22"/>
      <c r="D342" s="22"/>
      <c r="E342" s="23"/>
      <c r="F342" s="23"/>
      <c r="G342" s="34"/>
      <c r="H342" s="35"/>
      <c r="I342" s="43"/>
      <c r="J342" s="37"/>
      <c r="K342" s="35"/>
      <c r="L342" s="44"/>
      <c r="M342" s="45"/>
      <c r="N342" s="32"/>
    </row>
    <row r="343" ht="15.75" customHeight="1">
      <c r="A343" s="20"/>
      <c r="B343" s="21"/>
      <c r="C343" s="22"/>
      <c r="D343" s="22"/>
      <c r="E343" s="23"/>
      <c r="F343" s="23"/>
      <c r="G343" s="34"/>
      <c r="H343" s="35"/>
      <c r="I343" s="43"/>
      <c r="J343" s="37"/>
      <c r="K343" s="35"/>
      <c r="L343" s="44"/>
      <c r="M343" s="45"/>
      <c r="N343" s="32"/>
    </row>
    <row r="344" ht="15.75" customHeight="1">
      <c r="A344" s="20"/>
      <c r="B344" s="21"/>
      <c r="C344" s="22"/>
      <c r="D344" s="22"/>
      <c r="E344" s="23"/>
      <c r="F344" s="23"/>
      <c r="G344" s="34"/>
      <c r="H344" s="35"/>
      <c r="I344" s="43"/>
      <c r="J344" s="52"/>
      <c r="K344" s="35"/>
      <c r="L344" s="44"/>
      <c r="M344" s="45"/>
      <c r="N344" s="32"/>
    </row>
    <row r="345" ht="15.75" customHeight="1">
      <c r="A345" s="20"/>
      <c r="B345" s="21"/>
      <c r="C345" s="22"/>
      <c r="D345" s="22"/>
      <c r="E345" s="23"/>
      <c r="F345" s="23"/>
      <c r="G345" s="34"/>
      <c r="H345" s="35"/>
      <c r="I345" s="43"/>
      <c r="J345" s="37"/>
      <c r="K345" s="35"/>
      <c r="L345" s="44"/>
      <c r="M345" s="45"/>
      <c r="N345" s="32"/>
    </row>
    <row r="346" ht="15.75" customHeight="1">
      <c r="A346" s="20"/>
      <c r="B346" s="21"/>
      <c r="C346" s="22"/>
      <c r="D346" s="22"/>
      <c r="E346" s="23"/>
      <c r="F346" s="23"/>
      <c r="G346" s="34"/>
      <c r="H346" s="35"/>
      <c r="I346" s="43"/>
      <c r="J346" s="37"/>
      <c r="K346" s="35"/>
      <c r="L346" s="44"/>
      <c r="M346" s="45"/>
      <c r="N346" s="32"/>
    </row>
    <row r="347" ht="15.75" customHeight="1">
      <c r="A347" s="20"/>
      <c r="B347" s="21"/>
      <c r="C347" s="22"/>
      <c r="D347" s="22"/>
      <c r="E347" s="23"/>
      <c r="F347" s="23"/>
      <c r="G347" s="34"/>
      <c r="H347" s="35"/>
      <c r="I347" s="43"/>
      <c r="J347" s="37"/>
      <c r="K347" s="35"/>
      <c r="L347" s="44"/>
      <c r="M347" s="45"/>
      <c r="N347" s="32"/>
    </row>
    <row r="348" ht="15.75" customHeight="1">
      <c r="A348" s="20"/>
      <c r="B348" s="21"/>
      <c r="C348" s="22"/>
      <c r="D348" s="22"/>
      <c r="E348" s="23"/>
      <c r="F348" s="23"/>
      <c r="G348" s="34"/>
      <c r="H348" s="35"/>
      <c r="I348" s="43"/>
      <c r="J348" s="37"/>
      <c r="K348" s="35"/>
      <c r="L348" s="44"/>
      <c r="M348" s="45"/>
      <c r="N348" s="32"/>
    </row>
    <row r="349" ht="15.75" customHeight="1">
      <c r="A349" s="20"/>
      <c r="B349" s="21"/>
      <c r="C349" s="22"/>
      <c r="D349" s="22"/>
      <c r="E349" s="23"/>
      <c r="F349" s="23"/>
      <c r="G349" s="34"/>
      <c r="H349" s="35"/>
      <c r="I349" s="43"/>
      <c r="J349" s="37"/>
      <c r="K349" s="35"/>
      <c r="L349" s="44"/>
      <c r="M349" s="45"/>
      <c r="N349" s="32"/>
    </row>
    <row r="350" ht="15.75" customHeight="1">
      <c r="A350" s="20"/>
      <c r="B350" s="21"/>
      <c r="C350" s="22"/>
      <c r="D350" s="22"/>
      <c r="E350" s="23"/>
      <c r="F350" s="23"/>
      <c r="G350" s="34"/>
      <c r="H350" s="35"/>
      <c r="I350" s="43"/>
      <c r="J350" s="37"/>
      <c r="K350" s="35"/>
      <c r="L350" s="44"/>
      <c r="M350" s="45"/>
      <c r="N350" s="32"/>
    </row>
    <row r="351" ht="15.75" customHeight="1">
      <c r="A351" s="20"/>
      <c r="B351" s="21"/>
      <c r="C351" s="22"/>
      <c r="D351" s="22"/>
      <c r="E351" s="23"/>
      <c r="F351" s="23"/>
      <c r="G351" s="34"/>
      <c r="H351" s="35"/>
      <c r="I351" s="43"/>
      <c r="J351" s="37"/>
      <c r="K351" s="35"/>
      <c r="L351" s="44"/>
      <c r="M351" s="45"/>
      <c r="N351" s="32"/>
    </row>
    <row r="352" ht="15.75" customHeight="1">
      <c r="A352" s="20"/>
      <c r="B352" s="21"/>
      <c r="C352" s="22"/>
      <c r="D352" s="22"/>
      <c r="E352" s="23"/>
      <c r="F352" s="23"/>
      <c r="G352" s="34"/>
      <c r="H352" s="35"/>
      <c r="I352" s="43"/>
      <c r="J352" s="37"/>
      <c r="K352" s="35"/>
      <c r="L352" s="44"/>
      <c r="M352" s="45"/>
      <c r="N352" s="32"/>
    </row>
    <row r="353" ht="15.75" customHeight="1">
      <c r="A353" s="20"/>
      <c r="B353" s="21"/>
      <c r="C353" s="22"/>
      <c r="D353" s="22"/>
      <c r="E353" s="23"/>
      <c r="F353" s="23"/>
      <c r="G353" s="34"/>
      <c r="H353" s="35"/>
      <c r="I353" s="43"/>
      <c r="J353" s="37"/>
      <c r="K353" s="35"/>
      <c r="L353" s="44"/>
      <c r="M353" s="45"/>
      <c r="N353" s="32"/>
    </row>
    <row r="354" ht="15.75" customHeight="1">
      <c r="A354" s="20"/>
      <c r="B354" s="21"/>
      <c r="C354" s="22"/>
      <c r="D354" s="22"/>
      <c r="E354" s="23"/>
      <c r="F354" s="23"/>
      <c r="G354" s="34"/>
      <c r="H354" s="35"/>
      <c r="I354" s="43"/>
      <c r="J354" s="37"/>
      <c r="K354" s="35"/>
      <c r="L354" s="44"/>
      <c r="M354" s="45"/>
      <c r="N354" s="32"/>
    </row>
    <row r="355" ht="15.75" customHeight="1">
      <c r="A355" s="20"/>
      <c r="B355" s="21"/>
      <c r="C355" s="22"/>
      <c r="D355" s="22"/>
      <c r="E355" s="23"/>
      <c r="F355" s="23"/>
      <c r="G355" s="34"/>
      <c r="H355" s="35"/>
      <c r="I355" s="43"/>
      <c r="J355" s="37"/>
      <c r="K355" s="35"/>
      <c r="L355" s="44"/>
      <c r="M355" s="45"/>
      <c r="N355" s="32"/>
    </row>
    <row r="356" ht="15.75" customHeight="1">
      <c r="A356" s="20"/>
      <c r="B356" s="39"/>
      <c r="C356" s="22"/>
      <c r="D356" s="22"/>
      <c r="E356" s="23"/>
      <c r="F356" s="23"/>
      <c r="G356" s="34"/>
      <c r="H356" s="35"/>
      <c r="I356" s="43"/>
      <c r="J356" s="37"/>
      <c r="K356" s="47"/>
      <c r="L356" s="44"/>
      <c r="M356" s="45"/>
      <c r="N356" s="32"/>
    </row>
    <row r="357" ht="15.75" customHeight="1">
      <c r="A357" s="20"/>
      <c r="B357" s="39"/>
      <c r="C357" s="22"/>
      <c r="D357" s="22"/>
      <c r="E357" s="23"/>
      <c r="F357" s="23"/>
      <c r="G357" s="34"/>
      <c r="H357" s="35"/>
      <c r="I357" s="43"/>
      <c r="J357" s="37"/>
      <c r="K357" s="47"/>
      <c r="L357" s="44"/>
      <c r="M357" s="45"/>
      <c r="N357" s="32"/>
    </row>
    <row r="358" ht="15.75" customHeight="1">
      <c r="A358" s="20"/>
      <c r="B358" s="39"/>
      <c r="C358" s="22"/>
      <c r="D358" s="22"/>
      <c r="E358" s="23"/>
      <c r="F358" s="23"/>
      <c r="G358" s="34"/>
      <c r="H358" s="35"/>
      <c r="I358" s="43"/>
      <c r="J358" s="37"/>
      <c r="K358" s="47"/>
      <c r="L358" s="44"/>
      <c r="M358" s="45"/>
      <c r="N358" s="32"/>
    </row>
    <row r="359" ht="15.75" customHeight="1">
      <c r="A359" s="20"/>
      <c r="B359" s="39"/>
      <c r="C359" s="22"/>
      <c r="D359" s="22"/>
      <c r="E359" s="23"/>
      <c r="F359" s="23"/>
      <c r="G359" s="34"/>
      <c r="H359" s="35"/>
      <c r="I359" s="43"/>
      <c r="J359" s="37"/>
      <c r="K359" s="47"/>
      <c r="L359" s="44"/>
      <c r="M359" s="45"/>
      <c r="N359" s="32"/>
    </row>
    <row r="360" ht="15.75" customHeight="1">
      <c r="A360" s="20"/>
      <c r="B360" s="39"/>
      <c r="C360" s="22"/>
      <c r="D360" s="22"/>
      <c r="E360" s="23"/>
      <c r="F360" s="23"/>
      <c r="G360" s="34"/>
      <c r="H360" s="35"/>
      <c r="I360" s="43"/>
      <c r="J360" s="37"/>
      <c r="K360" s="47"/>
      <c r="L360" s="44"/>
      <c r="M360" s="45"/>
      <c r="N360" s="32"/>
    </row>
    <row r="361" ht="15.75" customHeight="1">
      <c r="A361" s="20"/>
      <c r="B361" s="21"/>
      <c r="C361" s="22"/>
      <c r="D361" s="22"/>
      <c r="E361" s="23"/>
      <c r="F361" s="23"/>
      <c r="G361" s="34"/>
      <c r="H361" s="35"/>
      <c r="I361" s="43"/>
      <c r="J361" s="37"/>
      <c r="K361" s="35"/>
      <c r="L361" s="44"/>
      <c r="M361" s="45"/>
      <c r="N361" s="32"/>
    </row>
    <row r="362" ht="15.75" customHeight="1">
      <c r="A362" s="20"/>
      <c r="B362" s="21"/>
      <c r="C362" s="22"/>
      <c r="D362" s="22"/>
      <c r="E362" s="23"/>
      <c r="F362" s="23"/>
      <c r="G362" s="34"/>
      <c r="H362" s="35"/>
      <c r="I362" s="43"/>
      <c r="J362" s="37"/>
      <c r="K362" s="35"/>
      <c r="L362" s="44"/>
      <c r="M362" s="45"/>
      <c r="N362" s="32"/>
    </row>
    <row r="363" ht="15.75" customHeight="1">
      <c r="A363" s="20"/>
      <c r="B363" s="21"/>
      <c r="C363" s="22"/>
      <c r="D363" s="22"/>
      <c r="E363" s="23"/>
      <c r="F363" s="23"/>
      <c r="G363" s="34"/>
      <c r="H363" s="35"/>
      <c r="I363" s="43"/>
      <c r="J363" s="37"/>
      <c r="K363" s="35"/>
      <c r="L363" s="44"/>
      <c r="M363" s="45"/>
      <c r="N363" s="32"/>
    </row>
    <row r="364" ht="15.75" customHeight="1">
      <c r="A364" s="20"/>
      <c r="B364" s="21"/>
      <c r="C364" s="22"/>
      <c r="D364" s="22"/>
      <c r="E364" s="23"/>
      <c r="F364" s="23"/>
      <c r="G364" s="34"/>
      <c r="H364" s="35"/>
      <c r="I364" s="43"/>
      <c r="J364" s="37"/>
      <c r="K364" s="35"/>
      <c r="L364" s="44"/>
      <c r="M364" s="45"/>
      <c r="N364" s="32"/>
    </row>
    <row r="365" ht="15.75" customHeight="1">
      <c r="A365" s="20"/>
      <c r="B365" s="21"/>
      <c r="C365" s="22"/>
      <c r="D365" s="22"/>
      <c r="E365" s="23"/>
      <c r="F365" s="23"/>
      <c r="G365" s="34"/>
      <c r="H365" s="35"/>
      <c r="I365" s="43"/>
      <c r="J365" s="37"/>
      <c r="K365" s="35"/>
      <c r="L365" s="44"/>
      <c r="M365" s="45"/>
      <c r="N365" s="32"/>
    </row>
    <row r="366" ht="15.75" customHeight="1">
      <c r="A366" s="20"/>
      <c r="B366" s="21"/>
      <c r="C366" s="22"/>
      <c r="D366" s="22"/>
      <c r="E366" s="23"/>
      <c r="F366" s="23"/>
      <c r="G366" s="34"/>
      <c r="H366" s="35"/>
      <c r="I366" s="43"/>
      <c r="J366" s="37"/>
      <c r="K366" s="35"/>
      <c r="L366" s="44"/>
      <c r="M366" s="45"/>
      <c r="N366" s="32"/>
    </row>
    <row r="367" ht="15.75" customHeight="1">
      <c r="A367" s="20"/>
      <c r="B367" s="21"/>
      <c r="C367" s="22"/>
      <c r="D367" s="22"/>
      <c r="E367" s="23"/>
      <c r="F367" s="23"/>
      <c r="G367" s="34"/>
      <c r="H367" s="35"/>
      <c r="I367" s="43"/>
      <c r="J367" s="37"/>
      <c r="K367" s="35"/>
      <c r="L367" s="44"/>
      <c r="M367" s="45"/>
      <c r="N367" s="32"/>
    </row>
    <row r="368" ht="15.75" customHeight="1">
      <c r="A368" s="20"/>
      <c r="B368" s="21"/>
      <c r="C368" s="22"/>
      <c r="D368" s="22"/>
      <c r="E368" s="23"/>
      <c r="F368" s="23"/>
      <c r="G368" s="34"/>
      <c r="H368" s="35"/>
      <c r="I368" s="43"/>
      <c r="J368" s="37"/>
      <c r="K368" s="35"/>
      <c r="L368" s="44"/>
      <c r="M368" s="45"/>
      <c r="N368" s="32"/>
    </row>
    <row r="369" ht="15.75" customHeight="1">
      <c r="A369" s="20"/>
      <c r="B369" s="21"/>
      <c r="C369" s="22"/>
      <c r="D369" s="22"/>
      <c r="E369" s="23"/>
      <c r="F369" s="23"/>
      <c r="G369" s="48"/>
      <c r="H369" s="35"/>
      <c r="I369" s="43"/>
      <c r="J369" s="37"/>
      <c r="K369" s="35"/>
      <c r="L369" s="44"/>
      <c r="M369" s="45"/>
      <c r="N369" s="32"/>
    </row>
    <row r="370" ht="15.75" customHeight="1">
      <c r="A370" s="20"/>
      <c r="B370" s="21"/>
      <c r="C370" s="22"/>
      <c r="D370" s="22"/>
      <c r="E370" s="23"/>
      <c r="F370" s="23"/>
      <c r="G370" s="34"/>
      <c r="H370" s="35"/>
      <c r="I370" s="43"/>
      <c r="J370" s="37"/>
      <c r="K370" s="35"/>
      <c r="L370" s="44"/>
      <c r="M370" s="45"/>
      <c r="N370" s="32"/>
    </row>
    <row r="371" ht="15.75" customHeight="1">
      <c r="A371" s="20"/>
      <c r="B371" s="21"/>
      <c r="C371" s="22"/>
      <c r="D371" s="22"/>
      <c r="E371" s="23"/>
      <c r="F371" s="23"/>
      <c r="G371" s="34"/>
      <c r="H371" s="35"/>
      <c r="I371" s="43"/>
      <c r="J371" s="37"/>
      <c r="K371" s="35"/>
      <c r="L371" s="44"/>
      <c r="M371" s="45"/>
      <c r="N371" s="32"/>
    </row>
    <row r="372" ht="15.75" customHeight="1">
      <c r="A372" s="20"/>
      <c r="B372" s="39"/>
      <c r="C372" s="22"/>
      <c r="D372" s="22"/>
      <c r="E372" s="23"/>
      <c r="F372" s="23"/>
      <c r="G372" s="34"/>
      <c r="H372" s="35"/>
      <c r="I372" s="43"/>
      <c r="J372" s="37"/>
      <c r="K372" s="47"/>
      <c r="L372" s="44"/>
      <c r="M372" s="45"/>
      <c r="N372" s="32"/>
    </row>
    <row r="373" ht="15.75" customHeight="1">
      <c r="A373" s="20"/>
      <c r="B373" s="21"/>
      <c r="C373" s="22"/>
      <c r="D373" s="22"/>
      <c r="E373" s="23"/>
      <c r="F373" s="23"/>
      <c r="G373" s="34"/>
      <c r="H373" s="35"/>
      <c r="I373" s="43"/>
      <c r="J373" s="37"/>
      <c r="K373" s="35"/>
      <c r="L373" s="44"/>
      <c r="M373" s="45"/>
      <c r="N373" s="32"/>
    </row>
    <row r="374" ht="15.75" customHeight="1">
      <c r="A374" s="20"/>
      <c r="B374" s="21"/>
      <c r="C374" s="22"/>
      <c r="D374" s="22"/>
      <c r="E374" s="23"/>
      <c r="F374" s="23"/>
      <c r="G374" s="34"/>
      <c r="H374" s="35"/>
      <c r="I374" s="43"/>
      <c r="J374" s="37"/>
      <c r="K374" s="35"/>
      <c r="L374" s="44"/>
      <c r="M374" s="45"/>
      <c r="N374" s="32"/>
    </row>
    <row r="375" ht="15.75" customHeight="1">
      <c r="A375" s="20"/>
      <c r="B375" s="39"/>
      <c r="C375" s="22"/>
      <c r="D375" s="22"/>
      <c r="E375" s="23"/>
      <c r="F375" s="23"/>
      <c r="G375" s="34"/>
      <c r="H375" s="35"/>
      <c r="I375" s="43"/>
      <c r="J375" s="37"/>
      <c r="K375" s="47"/>
      <c r="L375" s="44"/>
      <c r="M375" s="45"/>
      <c r="N375" s="32"/>
    </row>
    <row r="376" ht="15.75" customHeight="1">
      <c r="A376" s="20"/>
      <c r="B376" s="39"/>
      <c r="C376" s="22"/>
      <c r="D376" s="22"/>
      <c r="E376" s="23"/>
      <c r="F376" s="23"/>
      <c r="G376" s="34"/>
      <c r="H376" s="35"/>
      <c r="I376" s="43"/>
      <c r="J376" s="37"/>
      <c r="K376" s="47"/>
      <c r="L376" s="44"/>
      <c r="M376" s="45"/>
      <c r="N376" s="32"/>
    </row>
    <row r="377" ht="15.75" customHeight="1">
      <c r="A377" s="20"/>
      <c r="B377" s="39"/>
      <c r="C377" s="22"/>
      <c r="D377" s="22"/>
      <c r="E377" s="23"/>
      <c r="F377" s="23"/>
      <c r="G377" s="34"/>
      <c r="H377" s="35"/>
      <c r="I377" s="43"/>
      <c r="J377" s="37"/>
      <c r="K377" s="47"/>
      <c r="L377" s="44"/>
      <c r="M377" s="45"/>
      <c r="N377" s="32"/>
    </row>
    <row r="378" ht="15.75" customHeight="1">
      <c r="A378" s="20"/>
      <c r="B378" s="39"/>
      <c r="C378" s="22"/>
      <c r="D378" s="22"/>
      <c r="E378" s="23"/>
      <c r="F378" s="23"/>
      <c r="G378" s="34"/>
      <c r="H378" s="35"/>
      <c r="I378" s="43"/>
      <c r="J378" s="37"/>
      <c r="K378" s="47"/>
      <c r="L378" s="44"/>
      <c r="M378" s="45"/>
      <c r="N378" s="32"/>
    </row>
    <row r="379" ht="15.75" customHeight="1">
      <c r="A379" s="20"/>
      <c r="B379" s="39"/>
      <c r="C379" s="22"/>
      <c r="D379" s="22"/>
      <c r="E379" s="23"/>
      <c r="F379" s="23"/>
      <c r="G379" s="34"/>
      <c r="H379" s="35"/>
      <c r="I379" s="43"/>
      <c r="J379" s="37"/>
      <c r="K379" s="47"/>
      <c r="L379" s="44"/>
      <c r="M379" s="45"/>
      <c r="N379" s="32"/>
    </row>
    <row r="380" ht="15.75" customHeight="1">
      <c r="A380" s="20"/>
      <c r="B380" s="39"/>
      <c r="C380" s="22"/>
      <c r="D380" s="22"/>
      <c r="E380" s="23"/>
      <c r="F380" s="23"/>
      <c r="G380" s="34"/>
      <c r="H380" s="35"/>
      <c r="I380" s="43"/>
      <c r="J380" s="37"/>
      <c r="K380" s="47"/>
      <c r="L380" s="44"/>
      <c r="M380" s="45"/>
      <c r="N380" s="32"/>
    </row>
    <row r="381" ht="15.75" customHeight="1">
      <c r="A381" s="20"/>
      <c r="B381" s="39"/>
      <c r="C381" s="22"/>
      <c r="D381" s="22"/>
      <c r="E381" s="23"/>
      <c r="F381" s="23"/>
      <c r="G381" s="34"/>
      <c r="H381" s="35"/>
      <c r="I381" s="43"/>
      <c r="J381" s="37"/>
      <c r="K381" s="47"/>
      <c r="L381" s="44"/>
      <c r="M381" s="45"/>
      <c r="N381" s="32"/>
    </row>
    <row r="382" ht="15.75" customHeight="1">
      <c r="A382" s="20"/>
      <c r="B382" s="39"/>
      <c r="C382" s="22"/>
      <c r="D382" s="22"/>
      <c r="E382" s="23"/>
      <c r="F382" s="23"/>
      <c r="G382" s="34"/>
      <c r="H382" s="35"/>
      <c r="I382" s="43"/>
      <c r="J382" s="37"/>
      <c r="K382" s="47"/>
      <c r="L382" s="44"/>
      <c r="M382" s="45"/>
      <c r="N382" s="32"/>
    </row>
    <row r="383" ht="15.75" customHeight="1">
      <c r="A383" s="20"/>
      <c r="B383" s="39"/>
      <c r="C383" s="22"/>
      <c r="D383" s="22"/>
      <c r="E383" s="23"/>
      <c r="F383" s="23"/>
      <c r="G383" s="34"/>
      <c r="H383" s="35"/>
      <c r="I383" s="43"/>
      <c r="J383" s="37"/>
      <c r="K383" s="47"/>
      <c r="L383" s="44"/>
      <c r="M383" s="45"/>
      <c r="N383" s="32"/>
    </row>
    <row r="384" ht="15.75" customHeight="1">
      <c r="A384" s="20"/>
      <c r="B384" s="39"/>
      <c r="C384" s="22"/>
      <c r="D384" s="22"/>
      <c r="E384" s="23"/>
      <c r="F384" s="23"/>
      <c r="G384" s="34"/>
      <c r="H384" s="35"/>
      <c r="I384" s="43"/>
      <c r="J384" s="37"/>
      <c r="K384" s="47"/>
      <c r="L384" s="44"/>
      <c r="M384" s="45"/>
      <c r="N384" s="32"/>
    </row>
    <row r="385" ht="15.75" customHeight="1">
      <c r="A385" s="20"/>
      <c r="B385" s="39"/>
      <c r="C385" s="22"/>
      <c r="D385" s="22"/>
      <c r="E385" s="23"/>
      <c r="F385" s="23"/>
      <c r="G385" s="34"/>
      <c r="H385" s="35"/>
      <c r="I385" s="43"/>
      <c r="J385" s="37"/>
      <c r="K385" s="47"/>
      <c r="L385" s="44"/>
      <c r="M385" s="45"/>
      <c r="N385" s="32"/>
    </row>
    <row r="386" ht="15.75" customHeight="1">
      <c r="A386" s="20"/>
      <c r="B386" s="21"/>
      <c r="C386" s="22"/>
      <c r="D386" s="22"/>
      <c r="E386" s="23"/>
      <c r="F386" s="23"/>
      <c r="G386" s="34"/>
      <c r="H386" s="35"/>
      <c r="I386" s="43"/>
      <c r="J386" s="37"/>
      <c r="K386" s="35"/>
      <c r="L386" s="44"/>
      <c r="M386" s="45"/>
      <c r="N386" s="32"/>
    </row>
    <row r="387" ht="15.75" customHeight="1">
      <c r="A387" s="20"/>
      <c r="B387" s="21"/>
      <c r="C387" s="22"/>
      <c r="D387" s="22"/>
      <c r="E387" s="23"/>
      <c r="F387" s="23"/>
      <c r="G387" s="34"/>
      <c r="H387" s="35"/>
      <c r="I387" s="43"/>
      <c r="J387" s="37"/>
      <c r="K387" s="35"/>
      <c r="L387" s="44"/>
      <c r="M387" s="45"/>
      <c r="N387" s="32"/>
    </row>
    <row r="388" ht="15.75" customHeight="1">
      <c r="A388" s="20"/>
      <c r="B388" s="21"/>
      <c r="C388" s="22"/>
      <c r="D388" s="50"/>
      <c r="E388" s="23"/>
      <c r="F388" s="23"/>
      <c r="G388" s="34"/>
      <c r="H388" s="35"/>
      <c r="I388" s="43"/>
      <c r="J388" s="37"/>
      <c r="K388" s="35"/>
      <c r="L388" s="44"/>
      <c r="M388" s="45"/>
      <c r="N388" s="32"/>
    </row>
    <row r="389" ht="15.75" customHeight="1">
      <c r="A389" s="20"/>
      <c r="B389" s="21"/>
      <c r="C389" s="22"/>
      <c r="D389" s="50"/>
      <c r="E389" s="23"/>
      <c r="F389" s="23"/>
      <c r="G389" s="34"/>
      <c r="H389" s="35"/>
      <c r="I389" s="43"/>
      <c r="J389" s="37"/>
      <c r="K389" s="35"/>
      <c r="L389" s="44"/>
      <c r="M389" s="45"/>
      <c r="N389" s="32"/>
    </row>
    <row r="390" ht="15.75" customHeight="1">
      <c r="A390" s="20"/>
      <c r="B390" s="21"/>
      <c r="C390" s="22"/>
      <c r="D390" s="50"/>
      <c r="E390" s="23"/>
      <c r="F390" s="23"/>
      <c r="G390" s="34"/>
      <c r="H390" s="35"/>
      <c r="I390" s="43"/>
      <c r="J390" s="37"/>
      <c r="K390" s="35"/>
      <c r="L390" s="44"/>
      <c r="M390" s="45"/>
      <c r="N390" s="32"/>
    </row>
    <row r="391" ht="15.75" customHeight="1">
      <c r="A391" s="20"/>
      <c r="B391" s="21"/>
      <c r="C391" s="22"/>
      <c r="D391" s="46"/>
      <c r="E391" s="23"/>
      <c r="F391" s="23"/>
      <c r="G391" s="34"/>
      <c r="H391" s="35"/>
      <c r="I391" s="43"/>
      <c r="J391" s="37"/>
      <c r="K391" s="35"/>
      <c r="L391" s="44"/>
      <c r="M391" s="45"/>
      <c r="N391" s="32"/>
    </row>
    <row r="392" ht="15.75" customHeight="1">
      <c r="A392" s="20"/>
      <c r="B392" s="21"/>
      <c r="C392" s="22"/>
      <c r="D392" s="46"/>
      <c r="E392" s="23"/>
      <c r="F392" s="23"/>
      <c r="G392" s="34"/>
      <c r="H392" s="35"/>
      <c r="I392" s="43"/>
      <c r="J392" s="37"/>
      <c r="K392" s="35"/>
      <c r="L392" s="44"/>
      <c r="M392" s="45"/>
      <c r="N392" s="32"/>
    </row>
    <row r="393" ht="15.75" customHeight="1">
      <c r="A393" s="20"/>
      <c r="B393" s="21"/>
      <c r="C393" s="22"/>
      <c r="D393" s="49"/>
      <c r="E393" s="23"/>
      <c r="F393" s="23"/>
      <c r="G393" s="34"/>
      <c r="H393" s="35"/>
      <c r="I393" s="43"/>
      <c r="J393" s="37"/>
      <c r="K393" s="35"/>
      <c r="L393" s="44"/>
      <c r="M393" s="45"/>
      <c r="N393" s="32"/>
    </row>
    <row r="394" ht="15.75" customHeight="1">
      <c r="A394" s="20"/>
      <c r="B394" s="21"/>
      <c r="C394" s="22"/>
      <c r="D394" s="49"/>
      <c r="E394" s="23"/>
      <c r="F394" s="23"/>
      <c r="G394" s="34"/>
      <c r="H394" s="35"/>
      <c r="I394" s="43"/>
      <c r="J394" s="37"/>
      <c r="K394" s="35"/>
      <c r="L394" s="44"/>
      <c r="M394" s="45"/>
      <c r="N394" s="32"/>
    </row>
    <row r="395" ht="15.75" customHeight="1">
      <c r="A395" s="20"/>
      <c r="B395" s="21"/>
      <c r="C395" s="22"/>
      <c r="D395" s="49"/>
      <c r="E395" s="23"/>
      <c r="F395" s="23"/>
      <c r="G395" s="34"/>
      <c r="H395" s="35"/>
      <c r="I395" s="43"/>
      <c r="J395" s="37"/>
      <c r="K395" s="35"/>
      <c r="L395" s="44"/>
      <c r="M395" s="45"/>
      <c r="N395" s="32"/>
    </row>
    <row r="396" ht="15.75" customHeight="1">
      <c r="A396" s="20"/>
      <c r="B396" s="21"/>
      <c r="C396" s="22"/>
      <c r="D396" s="49"/>
      <c r="E396" s="23"/>
      <c r="F396" s="23"/>
      <c r="G396" s="34"/>
      <c r="H396" s="35"/>
      <c r="I396" s="43"/>
      <c r="J396" s="37"/>
      <c r="K396" s="35"/>
      <c r="L396" s="44"/>
      <c r="M396" s="45"/>
      <c r="N396" s="32"/>
    </row>
    <row r="397" ht="15.75" customHeight="1">
      <c r="A397" s="20"/>
      <c r="B397" s="21"/>
      <c r="C397" s="22"/>
      <c r="D397" s="50"/>
      <c r="E397" s="23"/>
      <c r="F397" s="23"/>
      <c r="G397" s="34"/>
      <c r="H397" s="35"/>
      <c r="I397" s="43"/>
      <c r="J397" s="37"/>
      <c r="K397" s="35"/>
      <c r="L397" s="44"/>
      <c r="M397" s="45"/>
      <c r="N397" s="32"/>
    </row>
    <row r="398" ht="15.75" customHeight="1">
      <c r="A398" s="20"/>
      <c r="B398" s="21"/>
      <c r="C398" s="22"/>
      <c r="D398" s="50"/>
      <c r="E398" s="23"/>
      <c r="F398" s="23"/>
      <c r="G398" s="34"/>
      <c r="H398" s="35"/>
      <c r="I398" s="43"/>
      <c r="J398" s="37"/>
      <c r="K398" s="35"/>
      <c r="L398" s="44"/>
      <c r="M398" s="45"/>
      <c r="N398" s="32"/>
    </row>
    <row r="399" ht="15.75" customHeight="1">
      <c r="A399" s="20"/>
      <c r="B399" s="21"/>
      <c r="C399" s="22"/>
      <c r="D399" s="50"/>
      <c r="E399" s="23"/>
      <c r="F399" s="23"/>
      <c r="G399" s="34"/>
      <c r="H399" s="35"/>
      <c r="I399" s="43"/>
      <c r="J399" s="37"/>
      <c r="K399" s="35"/>
      <c r="L399" s="44"/>
      <c r="M399" s="45"/>
      <c r="N399" s="32"/>
    </row>
    <row r="400" ht="15.75" customHeight="1">
      <c r="A400" s="20"/>
      <c r="B400" s="21"/>
      <c r="C400" s="22"/>
      <c r="D400" s="46"/>
      <c r="E400" s="23"/>
      <c r="F400" s="23"/>
      <c r="G400" s="34"/>
      <c r="H400" s="35"/>
      <c r="I400" s="43"/>
      <c r="J400" s="37"/>
      <c r="K400" s="35"/>
      <c r="L400" s="44"/>
      <c r="M400" s="45"/>
      <c r="N400" s="32"/>
    </row>
    <row r="401" ht="15.75" customHeight="1">
      <c r="A401" s="20"/>
      <c r="B401" s="21"/>
      <c r="C401" s="22"/>
      <c r="D401" s="46"/>
      <c r="E401" s="23"/>
      <c r="F401" s="23"/>
      <c r="G401" s="34"/>
      <c r="H401" s="35"/>
      <c r="I401" s="43"/>
      <c r="J401" s="37"/>
      <c r="K401" s="35"/>
      <c r="L401" s="44"/>
      <c r="M401" s="45"/>
      <c r="N401" s="32"/>
    </row>
    <row r="402" ht="15.75" customHeight="1">
      <c r="A402" s="20"/>
      <c r="B402" s="21"/>
      <c r="C402" s="22"/>
      <c r="D402" s="49"/>
      <c r="E402" s="23"/>
      <c r="F402" s="23"/>
      <c r="G402" s="34"/>
      <c r="H402" s="35"/>
      <c r="I402" s="43"/>
      <c r="J402" s="37"/>
      <c r="K402" s="35"/>
      <c r="L402" s="44"/>
      <c r="M402" s="45"/>
      <c r="N402" s="32"/>
    </row>
    <row r="403" ht="15.75" customHeight="1">
      <c r="A403" s="20"/>
      <c r="B403" s="21"/>
      <c r="C403" s="22"/>
      <c r="D403" s="49"/>
      <c r="E403" s="23"/>
      <c r="F403" s="23"/>
      <c r="G403" s="34"/>
      <c r="H403" s="35"/>
      <c r="I403" s="43"/>
      <c r="J403" s="37"/>
      <c r="K403" s="35"/>
      <c r="L403" s="44"/>
      <c r="M403" s="45"/>
      <c r="N403" s="32"/>
    </row>
    <row r="404" ht="15.75" customHeight="1">
      <c r="A404" s="20"/>
      <c r="B404" s="21"/>
      <c r="C404" s="22"/>
      <c r="D404" s="50"/>
      <c r="E404" s="23"/>
      <c r="F404" s="23"/>
      <c r="G404" s="34"/>
      <c r="H404" s="35"/>
      <c r="I404" s="43"/>
      <c r="J404" s="37"/>
      <c r="K404" s="35"/>
      <c r="L404" s="44"/>
      <c r="M404" s="45"/>
      <c r="N404" s="32"/>
    </row>
    <row r="405" ht="15.75" customHeight="1">
      <c r="A405" s="20"/>
      <c r="B405" s="21"/>
      <c r="C405" s="22"/>
      <c r="D405" s="50"/>
      <c r="E405" s="23"/>
      <c r="F405" s="23"/>
      <c r="G405" s="34"/>
      <c r="H405" s="35"/>
      <c r="I405" s="43"/>
      <c r="J405" s="37"/>
      <c r="K405" s="35"/>
      <c r="L405" s="44"/>
      <c r="M405" s="45"/>
      <c r="N405" s="32"/>
    </row>
    <row r="406" ht="15.75" customHeight="1">
      <c r="A406" s="20"/>
      <c r="B406" s="21"/>
      <c r="C406" s="22"/>
      <c r="D406" s="50"/>
      <c r="E406" s="23"/>
      <c r="F406" s="23"/>
      <c r="G406" s="34"/>
      <c r="H406" s="35"/>
      <c r="I406" s="43"/>
      <c r="J406" s="37"/>
      <c r="K406" s="35"/>
      <c r="L406" s="44"/>
      <c r="M406" s="45"/>
      <c r="N406" s="32"/>
    </row>
    <row r="407" ht="15.75" customHeight="1">
      <c r="A407" s="20"/>
      <c r="B407" s="21"/>
      <c r="C407" s="22"/>
      <c r="D407" s="50"/>
      <c r="E407" s="23"/>
      <c r="F407" s="23"/>
      <c r="G407" s="34"/>
      <c r="H407" s="35"/>
      <c r="I407" s="43"/>
      <c r="J407" s="37"/>
      <c r="K407" s="35"/>
      <c r="L407" s="44"/>
      <c r="M407" s="45"/>
      <c r="N407" s="32"/>
    </row>
    <row r="408" ht="15.75" customHeight="1">
      <c r="A408" s="20"/>
      <c r="B408" s="21"/>
      <c r="C408" s="22"/>
      <c r="D408" s="50"/>
      <c r="E408" s="23"/>
      <c r="F408" s="23"/>
      <c r="G408" s="34"/>
      <c r="H408" s="35"/>
      <c r="I408" s="43"/>
      <c r="J408" s="37"/>
      <c r="K408" s="35"/>
      <c r="L408" s="44"/>
      <c r="M408" s="45"/>
      <c r="N408" s="32"/>
    </row>
    <row r="409" ht="15.75" customHeight="1">
      <c r="A409" s="20"/>
      <c r="B409" s="21"/>
      <c r="C409" s="22"/>
      <c r="D409" s="46"/>
      <c r="E409" s="23"/>
      <c r="F409" s="23"/>
      <c r="G409" s="34"/>
      <c r="H409" s="35"/>
      <c r="I409" s="43"/>
      <c r="J409" s="37"/>
      <c r="K409" s="35"/>
      <c r="L409" s="44"/>
      <c r="M409" s="45"/>
      <c r="N409" s="32"/>
    </row>
    <row r="410" ht="15.75" customHeight="1">
      <c r="A410" s="20"/>
      <c r="B410" s="21"/>
      <c r="C410" s="22"/>
      <c r="D410" s="46"/>
      <c r="E410" s="23"/>
      <c r="F410" s="23"/>
      <c r="G410" s="34"/>
      <c r="H410" s="35"/>
      <c r="I410" s="43"/>
      <c r="J410" s="37"/>
      <c r="K410" s="35"/>
      <c r="L410" s="44"/>
      <c r="M410" s="45"/>
      <c r="N410" s="32"/>
    </row>
    <row r="411" ht="15.75" customHeight="1">
      <c r="A411" s="20"/>
      <c r="B411" s="21"/>
      <c r="C411" s="22"/>
      <c r="D411" s="46"/>
      <c r="E411" s="23"/>
      <c r="F411" s="23"/>
      <c r="G411" s="34"/>
      <c r="H411" s="35"/>
      <c r="I411" s="43"/>
      <c r="J411" s="37"/>
      <c r="K411" s="35"/>
      <c r="L411" s="44"/>
      <c r="M411" s="45"/>
      <c r="N411" s="32"/>
    </row>
    <row r="412" ht="15.75" customHeight="1">
      <c r="A412" s="20"/>
      <c r="B412" s="21"/>
      <c r="C412" s="22"/>
      <c r="D412" s="46"/>
      <c r="E412" s="23"/>
      <c r="F412" s="23"/>
      <c r="G412" s="34"/>
      <c r="H412" s="35"/>
      <c r="I412" s="43"/>
      <c r="J412" s="37"/>
      <c r="K412" s="35"/>
      <c r="L412" s="44"/>
      <c r="M412" s="45"/>
      <c r="N412" s="32"/>
    </row>
    <row r="413" ht="15.75" customHeight="1">
      <c r="A413" s="20"/>
      <c r="B413" s="21"/>
      <c r="C413" s="22"/>
      <c r="D413" s="22"/>
      <c r="E413" s="23"/>
      <c r="F413" s="23"/>
      <c r="G413" s="34"/>
      <c r="H413" s="35"/>
      <c r="I413" s="43"/>
      <c r="J413" s="37"/>
      <c r="K413" s="35"/>
      <c r="L413" s="44"/>
      <c r="M413" s="45"/>
      <c r="N413" s="32"/>
    </row>
    <row r="414" ht="15.75" customHeight="1">
      <c r="A414" s="20"/>
      <c r="B414" s="21"/>
      <c r="C414" s="22"/>
      <c r="D414" s="22"/>
      <c r="E414" s="23"/>
      <c r="F414" s="23"/>
      <c r="G414" s="34"/>
      <c r="H414" s="35"/>
      <c r="I414" s="43"/>
      <c r="J414" s="37"/>
      <c r="K414" s="35"/>
      <c r="L414" s="44"/>
      <c r="M414" s="45"/>
      <c r="N414" s="32"/>
    </row>
    <row r="415" ht="15.75" customHeight="1">
      <c r="A415" s="20"/>
      <c r="B415" s="21"/>
      <c r="C415" s="22"/>
      <c r="D415" s="22"/>
      <c r="E415" s="23"/>
      <c r="F415" s="23"/>
      <c r="G415" s="34"/>
      <c r="H415" s="35"/>
      <c r="I415" s="43"/>
      <c r="J415" s="37"/>
      <c r="K415" s="35"/>
      <c r="L415" s="44"/>
      <c r="M415" s="45"/>
      <c r="N415" s="32"/>
    </row>
    <row r="416" ht="15.75" customHeight="1">
      <c r="A416" s="20"/>
      <c r="B416" s="21"/>
      <c r="C416" s="22"/>
      <c r="D416" s="22"/>
      <c r="E416" s="23"/>
      <c r="F416" s="23"/>
      <c r="G416" s="34"/>
      <c r="H416" s="35"/>
      <c r="I416" s="43"/>
      <c r="J416" s="37"/>
      <c r="K416" s="35"/>
      <c r="L416" s="44"/>
      <c r="M416" s="45"/>
      <c r="N416" s="32"/>
    </row>
    <row r="417" ht="15.75" customHeight="1">
      <c r="A417" s="20"/>
      <c r="B417" s="21"/>
      <c r="C417" s="22"/>
      <c r="D417" s="46"/>
      <c r="E417" s="23"/>
      <c r="F417" s="23"/>
      <c r="G417" s="34"/>
      <c r="H417" s="35"/>
      <c r="I417" s="43"/>
      <c r="J417" s="37"/>
      <c r="K417" s="35"/>
      <c r="L417" s="44"/>
      <c r="M417" s="45"/>
      <c r="N417" s="32"/>
    </row>
    <row r="418" ht="15.75" customHeight="1">
      <c r="A418" s="20"/>
      <c r="B418" s="21"/>
      <c r="C418" s="22"/>
      <c r="D418" s="22"/>
      <c r="E418" s="23"/>
      <c r="F418" s="23"/>
      <c r="G418" s="34"/>
      <c r="H418" s="35"/>
      <c r="I418" s="43"/>
      <c r="J418" s="37"/>
      <c r="K418" s="35"/>
      <c r="L418" s="44"/>
      <c r="M418" s="45"/>
      <c r="N418" s="32"/>
    </row>
    <row r="419" ht="15.75" customHeight="1">
      <c r="A419" s="20"/>
      <c r="B419" s="21"/>
      <c r="C419" s="22"/>
      <c r="D419" s="46"/>
      <c r="E419" s="23"/>
      <c r="F419" s="23"/>
      <c r="G419" s="34"/>
      <c r="H419" s="35"/>
      <c r="I419" s="43"/>
      <c r="J419" s="37"/>
      <c r="K419" s="35"/>
      <c r="L419" s="44"/>
      <c r="M419" s="45"/>
      <c r="N419" s="32"/>
    </row>
    <row r="420" ht="15.75" customHeight="1">
      <c r="A420" s="20"/>
      <c r="B420" s="21"/>
      <c r="C420" s="22"/>
      <c r="D420" s="46"/>
      <c r="E420" s="23"/>
      <c r="F420" s="23"/>
      <c r="G420" s="34"/>
      <c r="H420" s="35"/>
      <c r="I420" s="43"/>
      <c r="J420" s="37"/>
      <c r="K420" s="35"/>
      <c r="L420" s="44"/>
      <c r="M420" s="45"/>
      <c r="N420" s="32"/>
    </row>
    <row r="421" ht="15.75" customHeight="1">
      <c r="A421" s="20"/>
      <c r="B421" s="21"/>
      <c r="C421" s="22"/>
      <c r="D421" s="22"/>
      <c r="E421" s="23"/>
      <c r="F421" s="23"/>
      <c r="G421" s="34"/>
      <c r="H421" s="35"/>
      <c r="I421" s="43"/>
      <c r="J421" s="37"/>
      <c r="K421" s="35"/>
      <c r="L421" s="44"/>
      <c r="M421" s="45"/>
      <c r="N421" s="32"/>
    </row>
    <row r="422" ht="15.75" customHeight="1">
      <c r="A422" s="20"/>
      <c r="B422" s="21"/>
      <c r="C422" s="22"/>
      <c r="D422" s="46"/>
      <c r="E422" s="23"/>
      <c r="F422" s="23"/>
      <c r="G422" s="34"/>
      <c r="H422" s="35"/>
      <c r="I422" s="43"/>
      <c r="J422" s="37"/>
      <c r="K422" s="35"/>
      <c r="L422" s="44"/>
      <c r="M422" s="45"/>
      <c r="N422" s="32"/>
    </row>
    <row r="423" ht="15.75" customHeight="1">
      <c r="A423" s="20"/>
      <c r="B423" s="21"/>
      <c r="C423" s="22"/>
      <c r="D423" s="46"/>
      <c r="E423" s="23"/>
      <c r="F423" s="23"/>
      <c r="G423" s="34"/>
      <c r="H423" s="35"/>
      <c r="I423" s="43"/>
      <c r="J423" s="37"/>
      <c r="K423" s="35"/>
      <c r="L423" s="44"/>
      <c r="M423" s="45"/>
      <c r="N423" s="32"/>
    </row>
    <row r="424" ht="15.75" customHeight="1">
      <c r="A424" s="20"/>
      <c r="B424" s="21"/>
      <c r="C424" s="22"/>
      <c r="D424" s="22"/>
      <c r="E424" s="23"/>
      <c r="F424" s="23"/>
      <c r="G424" s="34"/>
      <c r="H424" s="35"/>
      <c r="I424" s="43"/>
      <c r="J424" s="37"/>
      <c r="K424" s="35"/>
      <c r="L424" s="44"/>
      <c r="M424" s="45"/>
      <c r="N424" s="32"/>
    </row>
    <row r="425" ht="15.75" customHeight="1">
      <c r="A425" s="20"/>
      <c r="B425" s="21"/>
      <c r="C425" s="22"/>
      <c r="D425" s="46"/>
      <c r="E425" s="23"/>
      <c r="F425" s="23"/>
      <c r="G425" s="34"/>
      <c r="H425" s="35"/>
      <c r="I425" s="43"/>
      <c r="J425" s="37"/>
      <c r="K425" s="35"/>
      <c r="L425" s="44"/>
      <c r="M425" s="45"/>
      <c r="N425" s="32"/>
    </row>
    <row r="426" ht="15.75" customHeight="1">
      <c r="A426" s="20"/>
      <c r="B426" s="21"/>
      <c r="C426" s="22"/>
      <c r="D426" s="22"/>
      <c r="E426" s="23"/>
      <c r="F426" s="23"/>
      <c r="G426" s="34"/>
      <c r="H426" s="35"/>
      <c r="I426" s="43"/>
      <c r="J426" s="37"/>
      <c r="K426" s="35"/>
      <c r="L426" s="44"/>
      <c r="M426" s="45"/>
      <c r="N426" s="32"/>
    </row>
    <row r="427" ht="15.75" customHeight="1">
      <c r="A427" s="20"/>
      <c r="B427" s="21"/>
      <c r="C427" s="22"/>
      <c r="D427" s="22"/>
      <c r="E427" s="23"/>
      <c r="F427" s="23"/>
      <c r="G427" s="34"/>
      <c r="H427" s="35"/>
      <c r="I427" s="43"/>
      <c r="J427" s="37"/>
      <c r="K427" s="35"/>
      <c r="L427" s="44"/>
      <c r="M427" s="45"/>
      <c r="N427" s="32"/>
    </row>
    <row r="428" ht="15.75" customHeight="1">
      <c r="A428" s="20"/>
      <c r="B428" s="21"/>
      <c r="C428" s="22"/>
      <c r="D428" s="22"/>
      <c r="E428" s="23"/>
      <c r="F428" s="23"/>
      <c r="G428" s="34"/>
      <c r="H428" s="35"/>
      <c r="I428" s="43"/>
      <c r="J428" s="37"/>
      <c r="K428" s="35"/>
      <c r="L428" s="44"/>
      <c r="M428" s="45"/>
      <c r="N428" s="32"/>
    </row>
    <row r="429" ht="15.75" customHeight="1">
      <c r="A429" s="20"/>
      <c r="B429" s="21"/>
      <c r="C429" s="22"/>
      <c r="D429" s="22"/>
      <c r="E429" s="23"/>
      <c r="F429" s="23"/>
      <c r="G429" s="34"/>
      <c r="H429" s="35"/>
      <c r="I429" s="43"/>
      <c r="J429" s="37"/>
      <c r="K429" s="35"/>
      <c r="L429" s="44"/>
      <c r="M429" s="45"/>
      <c r="N429" s="32"/>
    </row>
    <row r="430" ht="15.75" customHeight="1">
      <c r="A430" s="20"/>
      <c r="B430" s="21"/>
      <c r="C430" s="22"/>
      <c r="D430" s="22"/>
      <c r="E430" s="23"/>
      <c r="F430" s="23"/>
      <c r="G430" s="34"/>
      <c r="H430" s="35"/>
      <c r="I430" s="43"/>
      <c r="J430" s="37"/>
      <c r="K430" s="35"/>
      <c r="L430" s="44"/>
      <c r="M430" s="45"/>
      <c r="N430" s="32"/>
    </row>
    <row r="431" ht="15.75" customHeight="1">
      <c r="A431" s="20"/>
      <c r="B431" s="21"/>
      <c r="C431" s="22"/>
      <c r="D431" s="22"/>
      <c r="E431" s="23"/>
      <c r="F431" s="23"/>
      <c r="G431" s="34"/>
      <c r="H431" s="35"/>
      <c r="I431" s="43"/>
      <c r="J431" s="37"/>
      <c r="K431" s="35"/>
      <c r="L431" s="44"/>
      <c r="M431" s="45"/>
      <c r="N431" s="32"/>
    </row>
    <row r="432" ht="15.75" customHeight="1">
      <c r="A432" s="20"/>
      <c r="B432" s="21"/>
      <c r="C432" s="22"/>
      <c r="D432" s="22"/>
      <c r="E432" s="23"/>
      <c r="F432" s="23"/>
      <c r="G432" s="34"/>
      <c r="H432" s="35"/>
      <c r="I432" s="43"/>
      <c r="J432" s="37"/>
      <c r="K432" s="35"/>
      <c r="L432" s="44"/>
      <c r="M432" s="45"/>
      <c r="N432" s="32"/>
    </row>
    <row r="433" ht="15.75" customHeight="1">
      <c r="A433" s="20"/>
      <c r="B433" s="21"/>
      <c r="C433" s="22"/>
      <c r="D433" s="22"/>
      <c r="E433" s="23"/>
      <c r="F433" s="23"/>
      <c r="G433" s="34"/>
      <c r="H433" s="35"/>
      <c r="I433" s="43"/>
      <c r="J433" s="37"/>
      <c r="K433" s="35"/>
      <c r="L433" s="44"/>
      <c r="M433" s="45"/>
      <c r="N433" s="32"/>
    </row>
    <row r="434" ht="15.75" customHeight="1">
      <c r="A434" s="20"/>
      <c r="B434" s="21"/>
      <c r="C434" s="22"/>
      <c r="D434" s="22"/>
      <c r="E434" s="23"/>
      <c r="F434" s="23"/>
      <c r="G434" s="34"/>
      <c r="H434" s="35"/>
      <c r="I434" s="43"/>
      <c r="J434" s="37"/>
      <c r="K434" s="35"/>
      <c r="L434" s="44"/>
      <c r="M434" s="45"/>
      <c r="N434" s="32"/>
    </row>
    <row r="435" ht="15.75" customHeight="1">
      <c r="A435" s="20"/>
      <c r="B435" s="21"/>
      <c r="C435" s="22"/>
      <c r="D435" s="22"/>
      <c r="E435" s="23"/>
      <c r="F435" s="23"/>
      <c r="G435" s="34"/>
      <c r="H435" s="35"/>
      <c r="I435" s="43"/>
      <c r="J435" s="37"/>
      <c r="K435" s="35"/>
      <c r="L435" s="44"/>
      <c r="M435" s="45"/>
      <c r="N435" s="32"/>
    </row>
    <row r="436" ht="15.75" customHeight="1">
      <c r="A436" s="20"/>
      <c r="B436" s="21"/>
      <c r="C436" s="22"/>
      <c r="D436" s="22"/>
      <c r="E436" s="23"/>
      <c r="F436" s="23"/>
      <c r="G436" s="34"/>
      <c r="H436" s="35"/>
      <c r="I436" s="43"/>
      <c r="J436" s="37"/>
      <c r="K436" s="35"/>
      <c r="L436" s="44"/>
      <c r="M436" s="45"/>
      <c r="N436" s="32"/>
    </row>
    <row r="437" ht="15.75" customHeight="1">
      <c r="A437" s="20"/>
      <c r="B437" s="21"/>
      <c r="C437" s="22"/>
      <c r="D437" s="22"/>
      <c r="E437" s="23"/>
      <c r="F437" s="23"/>
      <c r="G437" s="34"/>
      <c r="H437" s="35"/>
      <c r="I437" s="43"/>
      <c r="J437" s="37"/>
      <c r="K437" s="35"/>
      <c r="L437" s="44"/>
      <c r="M437" s="45"/>
      <c r="N437" s="32"/>
    </row>
    <row r="438" ht="15.75" customHeight="1">
      <c r="A438" s="20"/>
      <c r="B438" s="21"/>
      <c r="C438" s="22"/>
      <c r="D438" s="22"/>
      <c r="E438" s="23"/>
      <c r="F438" s="23"/>
      <c r="G438" s="34"/>
      <c r="H438" s="35"/>
      <c r="I438" s="43"/>
      <c r="J438" s="37"/>
      <c r="K438" s="35"/>
      <c r="L438" s="44"/>
      <c r="M438" s="45"/>
      <c r="N438" s="32"/>
    </row>
    <row r="439" ht="15.75" customHeight="1">
      <c r="A439" s="20"/>
      <c r="B439" s="21"/>
      <c r="C439" s="22"/>
      <c r="D439" s="22"/>
      <c r="E439" s="23"/>
      <c r="F439" s="23"/>
      <c r="G439" s="34"/>
      <c r="H439" s="35"/>
      <c r="I439" s="43"/>
      <c r="J439" s="37"/>
      <c r="K439" s="35"/>
      <c r="L439" s="44"/>
      <c r="M439" s="45"/>
      <c r="N439" s="32"/>
    </row>
    <row r="440" ht="15.75" customHeight="1">
      <c r="A440" s="20"/>
      <c r="B440" s="21"/>
      <c r="C440" s="22"/>
      <c r="D440" s="22"/>
      <c r="E440" s="23"/>
      <c r="F440" s="23"/>
      <c r="G440" s="34"/>
      <c r="H440" s="35"/>
      <c r="I440" s="43"/>
      <c r="J440" s="37"/>
      <c r="K440" s="35"/>
      <c r="L440" s="44"/>
      <c r="M440" s="45"/>
      <c r="N440" s="32"/>
    </row>
    <row r="441" ht="15.75" customHeight="1">
      <c r="A441" s="20"/>
      <c r="B441" s="21"/>
      <c r="C441" s="22"/>
      <c r="D441" s="49"/>
      <c r="E441" s="23"/>
      <c r="F441" s="23"/>
      <c r="G441" s="34"/>
      <c r="H441" s="35"/>
      <c r="I441" s="43"/>
      <c r="J441" s="37"/>
      <c r="K441" s="35"/>
      <c r="L441" s="44"/>
      <c r="M441" s="45"/>
      <c r="N441" s="32"/>
    </row>
    <row r="442" ht="15.75" customHeight="1">
      <c r="A442" s="20"/>
      <c r="B442" s="21"/>
      <c r="C442" s="22"/>
      <c r="D442" s="49"/>
      <c r="E442" s="23"/>
      <c r="F442" s="23"/>
      <c r="G442" s="34"/>
      <c r="H442" s="35"/>
      <c r="I442" s="43"/>
      <c r="J442" s="37"/>
      <c r="K442" s="35"/>
      <c r="L442" s="44"/>
      <c r="M442" s="45"/>
      <c r="N442" s="32"/>
    </row>
    <row r="443" ht="15.75" customHeight="1">
      <c r="A443" s="20"/>
      <c r="B443" s="21"/>
      <c r="C443" s="22"/>
      <c r="D443" s="49"/>
      <c r="E443" s="23"/>
      <c r="F443" s="23"/>
      <c r="G443" s="34"/>
      <c r="H443" s="35"/>
      <c r="I443" s="43"/>
      <c r="J443" s="37"/>
      <c r="K443" s="35"/>
      <c r="L443" s="44"/>
      <c r="M443" s="45"/>
      <c r="N443" s="32"/>
    </row>
    <row r="444" ht="15.75" customHeight="1">
      <c r="A444" s="20"/>
      <c r="B444" s="21"/>
      <c r="C444" s="22"/>
      <c r="D444" s="22"/>
      <c r="E444" s="23"/>
      <c r="F444" s="23"/>
      <c r="G444" s="34"/>
      <c r="H444" s="35"/>
      <c r="I444" s="43"/>
      <c r="J444" s="37"/>
      <c r="K444" s="35"/>
      <c r="L444" s="44"/>
      <c r="M444" s="45"/>
      <c r="N444" s="32"/>
    </row>
    <row r="445" ht="15.75" customHeight="1">
      <c r="A445" s="20"/>
      <c r="B445" s="21"/>
      <c r="C445" s="22"/>
      <c r="D445" s="22"/>
      <c r="E445" s="23"/>
      <c r="F445" s="23"/>
      <c r="G445" s="34"/>
      <c r="H445" s="35"/>
      <c r="I445" s="43"/>
      <c r="J445" s="37"/>
      <c r="K445" s="35"/>
      <c r="L445" s="44"/>
      <c r="M445" s="45"/>
      <c r="N445" s="32"/>
    </row>
    <row r="446" ht="15.75" customHeight="1">
      <c r="A446" s="20"/>
      <c r="B446" s="21"/>
      <c r="C446" s="22"/>
      <c r="D446" s="49"/>
      <c r="E446" s="23"/>
      <c r="F446" s="23"/>
      <c r="G446" s="34"/>
      <c r="H446" s="35"/>
      <c r="I446" s="43"/>
      <c r="J446" s="37"/>
      <c r="K446" s="35"/>
      <c r="L446" s="44"/>
      <c r="M446" s="45"/>
      <c r="N446" s="32"/>
    </row>
    <row r="447" ht="15.75" customHeight="1">
      <c r="A447" s="20"/>
      <c r="B447" s="21"/>
      <c r="C447" s="22"/>
      <c r="D447" s="22"/>
      <c r="E447" s="23"/>
      <c r="F447" s="23"/>
      <c r="G447" s="34"/>
      <c r="H447" s="35"/>
      <c r="I447" s="43"/>
      <c r="J447" s="37"/>
      <c r="K447" s="35"/>
      <c r="L447" s="44"/>
      <c r="M447" s="45"/>
      <c r="N447" s="32"/>
    </row>
    <row r="448" ht="15.75" customHeight="1">
      <c r="A448" s="20"/>
      <c r="B448" s="21"/>
      <c r="C448" s="22"/>
      <c r="D448" s="50"/>
      <c r="E448" s="23"/>
      <c r="F448" s="23"/>
      <c r="G448" s="34"/>
      <c r="H448" s="35"/>
      <c r="I448" s="43"/>
      <c r="J448" s="37"/>
      <c r="K448" s="35"/>
      <c r="L448" s="44"/>
      <c r="M448" s="45"/>
      <c r="N448" s="32"/>
    </row>
    <row r="449" ht="15.75" customHeight="1">
      <c r="A449" s="20"/>
      <c r="B449" s="21"/>
      <c r="C449" s="22"/>
      <c r="D449" s="50"/>
      <c r="E449" s="23"/>
      <c r="F449" s="23"/>
      <c r="G449" s="34"/>
      <c r="H449" s="35"/>
      <c r="I449" s="43"/>
      <c r="J449" s="37"/>
      <c r="K449" s="35"/>
      <c r="L449" s="44"/>
      <c r="M449" s="45"/>
      <c r="N449" s="32"/>
    </row>
    <row r="450" ht="15.75" customHeight="1">
      <c r="A450" s="20"/>
      <c r="B450" s="21"/>
      <c r="C450" s="22"/>
      <c r="D450" s="50"/>
      <c r="E450" s="23"/>
      <c r="F450" s="23"/>
      <c r="G450" s="34"/>
      <c r="H450" s="35"/>
      <c r="I450" s="43"/>
      <c r="J450" s="37"/>
      <c r="K450" s="35"/>
      <c r="L450" s="44"/>
      <c r="M450" s="45"/>
      <c r="N450" s="32"/>
    </row>
    <row r="451" ht="15.75" customHeight="1">
      <c r="A451" s="20"/>
      <c r="B451" s="21"/>
      <c r="C451" s="22"/>
      <c r="D451" s="50"/>
      <c r="E451" s="23"/>
      <c r="F451" s="23"/>
      <c r="G451" s="34"/>
      <c r="H451" s="35"/>
      <c r="I451" s="43"/>
      <c r="J451" s="37"/>
      <c r="K451" s="35"/>
      <c r="L451" s="44"/>
      <c r="M451" s="45"/>
      <c r="N451" s="32"/>
    </row>
    <row r="452" ht="15.75" customHeight="1">
      <c r="A452" s="20"/>
      <c r="B452" s="21"/>
      <c r="C452" s="22"/>
      <c r="D452" s="22"/>
      <c r="E452" s="23"/>
      <c r="F452" s="23"/>
      <c r="G452" s="34"/>
      <c r="H452" s="35"/>
      <c r="I452" s="43"/>
      <c r="J452" s="37"/>
      <c r="K452" s="35"/>
      <c r="L452" s="44"/>
      <c r="M452" s="45"/>
      <c r="N452" s="32"/>
    </row>
    <row r="453" ht="15.75" customHeight="1">
      <c r="A453" s="20"/>
      <c r="B453" s="21"/>
      <c r="C453" s="22"/>
      <c r="D453" s="22"/>
      <c r="E453" s="23"/>
      <c r="F453" s="23"/>
      <c r="G453" s="34"/>
      <c r="H453" s="35"/>
      <c r="I453" s="43"/>
      <c r="J453" s="37"/>
      <c r="K453" s="35"/>
      <c r="L453" s="44"/>
      <c r="M453" s="45"/>
      <c r="N453" s="32"/>
    </row>
    <row r="454" ht="15.75" customHeight="1">
      <c r="A454" s="20"/>
      <c r="B454" s="21"/>
      <c r="C454" s="22"/>
      <c r="D454" s="22"/>
      <c r="E454" s="23"/>
      <c r="F454" s="23"/>
      <c r="G454" s="34"/>
      <c r="H454" s="35"/>
      <c r="I454" s="43"/>
      <c r="J454" s="37"/>
      <c r="K454" s="35"/>
      <c r="L454" s="44"/>
      <c r="M454" s="45"/>
      <c r="N454" s="32"/>
    </row>
    <row r="455" ht="15.75" customHeight="1">
      <c r="A455" s="20"/>
      <c r="B455" s="21"/>
      <c r="C455" s="22"/>
      <c r="D455" s="22"/>
      <c r="E455" s="23"/>
      <c r="F455" s="23"/>
      <c r="G455" s="34"/>
      <c r="H455" s="35"/>
      <c r="I455" s="43"/>
      <c r="J455" s="37"/>
      <c r="K455" s="35"/>
      <c r="L455" s="44"/>
      <c r="M455" s="45"/>
      <c r="N455" s="32"/>
    </row>
    <row r="456" ht="15.75" customHeight="1">
      <c r="A456" s="20"/>
      <c r="B456" s="21"/>
      <c r="C456" s="22"/>
      <c r="D456" s="22"/>
      <c r="E456" s="23"/>
      <c r="F456" s="23"/>
      <c r="G456" s="34"/>
      <c r="H456" s="35"/>
      <c r="I456" s="43"/>
      <c r="J456" s="37"/>
      <c r="K456" s="35"/>
      <c r="L456" s="44"/>
      <c r="M456" s="45"/>
      <c r="N456" s="32"/>
    </row>
    <row r="457" ht="15.75" customHeight="1">
      <c r="A457" s="20"/>
      <c r="B457" s="21"/>
      <c r="C457" s="22"/>
      <c r="D457" s="46"/>
      <c r="E457" s="23"/>
      <c r="F457" s="23"/>
      <c r="G457" s="34"/>
      <c r="H457" s="35"/>
      <c r="I457" s="43"/>
      <c r="J457" s="37"/>
      <c r="K457" s="35"/>
      <c r="L457" s="44"/>
      <c r="M457" s="45"/>
      <c r="N457" s="32"/>
    </row>
    <row r="458" ht="15.75" customHeight="1">
      <c r="A458" s="20"/>
      <c r="B458" s="21"/>
      <c r="C458" s="22"/>
      <c r="D458" s="46"/>
      <c r="E458" s="23"/>
      <c r="F458" s="23"/>
      <c r="G458" s="34"/>
      <c r="H458" s="35"/>
      <c r="I458" s="43"/>
      <c r="J458" s="37"/>
      <c r="K458" s="35"/>
      <c r="L458" s="44"/>
      <c r="M458" s="45"/>
      <c r="N458" s="32"/>
    </row>
    <row r="459" ht="15.75" customHeight="1">
      <c r="A459" s="20"/>
      <c r="B459" s="21"/>
      <c r="C459" s="22"/>
      <c r="D459" s="46"/>
      <c r="E459" s="23"/>
      <c r="F459" s="23"/>
      <c r="G459" s="34"/>
      <c r="H459" s="35"/>
      <c r="I459" s="43"/>
      <c r="J459" s="37"/>
      <c r="K459" s="35"/>
      <c r="L459" s="44"/>
      <c r="M459" s="45"/>
      <c r="N459" s="32"/>
    </row>
    <row r="460" ht="15.75" customHeight="1">
      <c r="A460" s="20"/>
      <c r="B460" s="21"/>
      <c r="C460" s="22"/>
      <c r="D460" s="22"/>
      <c r="E460" s="23"/>
      <c r="F460" s="23"/>
      <c r="G460" s="34"/>
      <c r="H460" s="35"/>
      <c r="I460" s="43"/>
      <c r="J460" s="37"/>
      <c r="K460" s="35"/>
      <c r="L460" s="44"/>
      <c r="M460" s="45"/>
      <c r="N460" s="32"/>
    </row>
    <row r="461" ht="15.75" customHeight="1">
      <c r="A461" s="20"/>
      <c r="B461" s="21"/>
      <c r="C461" s="22"/>
      <c r="D461" s="22"/>
      <c r="E461" s="23"/>
      <c r="F461" s="23"/>
      <c r="G461" s="34"/>
      <c r="H461" s="35"/>
      <c r="I461" s="43"/>
      <c r="J461" s="37"/>
      <c r="K461" s="35"/>
      <c r="L461" s="44"/>
      <c r="M461" s="45"/>
      <c r="N461" s="32"/>
    </row>
    <row r="462" ht="15.75" customHeight="1">
      <c r="A462" s="20"/>
      <c r="B462" s="21"/>
      <c r="C462" s="22"/>
      <c r="D462" s="22"/>
      <c r="E462" s="23"/>
      <c r="F462" s="23"/>
      <c r="G462" s="34"/>
      <c r="H462" s="35"/>
      <c r="I462" s="43"/>
      <c r="J462" s="37"/>
      <c r="K462" s="35"/>
      <c r="L462" s="44"/>
      <c r="M462" s="45"/>
      <c r="N462" s="32"/>
    </row>
    <row r="463" ht="15.75" customHeight="1">
      <c r="A463" s="20"/>
      <c r="B463" s="21"/>
      <c r="C463" s="22"/>
      <c r="D463" s="46"/>
      <c r="E463" s="23"/>
      <c r="F463" s="23"/>
      <c r="G463" s="34"/>
      <c r="H463" s="35"/>
      <c r="I463" s="43"/>
      <c r="J463" s="37"/>
      <c r="K463" s="35"/>
      <c r="L463" s="44"/>
      <c r="M463" s="45"/>
      <c r="N463" s="32"/>
    </row>
    <row r="464" ht="15.75" customHeight="1">
      <c r="A464" s="20"/>
      <c r="B464" s="21"/>
      <c r="C464" s="22"/>
      <c r="D464" s="50"/>
      <c r="E464" s="23"/>
      <c r="F464" s="23"/>
      <c r="G464" s="34"/>
      <c r="H464" s="35"/>
      <c r="I464" s="43"/>
      <c r="J464" s="37"/>
      <c r="K464" s="35"/>
      <c r="L464" s="44"/>
      <c r="M464" s="45"/>
      <c r="N464" s="32"/>
    </row>
    <row r="465" ht="15.75" customHeight="1">
      <c r="A465" s="20"/>
      <c r="B465" s="21"/>
      <c r="C465" s="22"/>
      <c r="D465" s="50"/>
      <c r="E465" s="23"/>
      <c r="F465" s="23"/>
      <c r="G465" s="34"/>
      <c r="H465" s="35"/>
      <c r="I465" s="43"/>
      <c r="J465" s="37"/>
      <c r="K465" s="35"/>
      <c r="L465" s="44"/>
      <c r="M465" s="45"/>
      <c r="N465" s="32"/>
    </row>
    <row r="466" ht="15.75" customHeight="1">
      <c r="A466" s="20"/>
      <c r="B466" s="21"/>
      <c r="C466" s="22"/>
      <c r="D466" s="22"/>
      <c r="E466" s="23"/>
      <c r="F466" s="23"/>
      <c r="G466" s="34"/>
      <c r="H466" s="35"/>
      <c r="I466" s="43"/>
      <c r="J466" s="37"/>
      <c r="K466" s="35"/>
      <c r="L466" s="44"/>
      <c r="M466" s="45"/>
      <c r="N466" s="32"/>
    </row>
    <row r="467" ht="15.75" customHeight="1">
      <c r="A467" s="20"/>
      <c r="B467" s="21"/>
      <c r="C467" s="22"/>
      <c r="D467" s="22"/>
      <c r="E467" s="23"/>
      <c r="F467" s="23"/>
      <c r="G467" s="34"/>
      <c r="H467" s="35"/>
      <c r="I467" s="43"/>
      <c r="J467" s="37"/>
      <c r="K467" s="35"/>
      <c r="L467" s="44"/>
      <c r="M467" s="45"/>
      <c r="N467" s="32"/>
    </row>
    <row r="468" ht="15.75" customHeight="1">
      <c r="A468" s="20"/>
      <c r="B468" s="21"/>
      <c r="C468" s="22"/>
      <c r="D468" s="22"/>
      <c r="E468" s="23"/>
      <c r="F468" s="23"/>
      <c r="G468" s="34"/>
      <c r="H468" s="35"/>
      <c r="I468" s="43"/>
      <c r="J468" s="37"/>
      <c r="K468" s="35"/>
      <c r="L468" s="44"/>
      <c r="M468" s="45"/>
      <c r="N468" s="32"/>
    </row>
    <row r="469" ht="15.75" customHeight="1">
      <c r="A469" s="20"/>
      <c r="B469" s="21"/>
      <c r="C469" s="22"/>
      <c r="D469" s="22"/>
      <c r="E469" s="23"/>
      <c r="F469" s="23"/>
      <c r="G469" s="34"/>
      <c r="H469" s="35"/>
      <c r="I469" s="43"/>
      <c r="J469" s="37"/>
      <c r="K469" s="35"/>
      <c r="L469" s="44"/>
      <c r="M469" s="45"/>
      <c r="N469" s="32"/>
    </row>
    <row r="470" ht="15.75" customHeight="1">
      <c r="A470" s="20"/>
      <c r="B470" s="21"/>
      <c r="C470" s="22"/>
      <c r="D470" s="22"/>
      <c r="E470" s="23"/>
      <c r="F470" s="23"/>
      <c r="G470" s="34"/>
      <c r="H470" s="35"/>
      <c r="I470" s="43"/>
      <c r="J470" s="37"/>
      <c r="K470" s="35"/>
      <c r="L470" s="44"/>
      <c r="M470" s="45"/>
      <c r="N470" s="32"/>
    </row>
    <row r="471" ht="15.75" customHeight="1">
      <c r="A471" s="20"/>
      <c r="B471" s="21"/>
      <c r="C471" s="22"/>
      <c r="D471" s="22"/>
      <c r="E471" s="23"/>
      <c r="F471" s="23"/>
      <c r="G471" s="34"/>
      <c r="H471" s="35"/>
      <c r="I471" s="43"/>
      <c r="J471" s="37"/>
      <c r="K471" s="35"/>
      <c r="L471" s="44"/>
      <c r="M471" s="45"/>
      <c r="N471" s="32"/>
    </row>
    <row r="472" ht="15.75" customHeight="1">
      <c r="A472" s="20"/>
      <c r="B472" s="21"/>
      <c r="C472" s="22"/>
      <c r="D472" s="22"/>
      <c r="E472" s="23"/>
      <c r="F472" s="23"/>
      <c r="G472" s="34"/>
      <c r="H472" s="35"/>
      <c r="I472" s="43"/>
      <c r="J472" s="37"/>
      <c r="K472" s="35"/>
      <c r="L472" s="44"/>
      <c r="M472" s="45"/>
      <c r="N472" s="32"/>
    </row>
    <row r="473" ht="15.75" customHeight="1">
      <c r="A473" s="20"/>
      <c r="B473" s="21"/>
      <c r="C473" s="22"/>
      <c r="D473" s="22"/>
      <c r="E473" s="23"/>
      <c r="F473" s="23"/>
      <c r="G473" s="34"/>
      <c r="H473" s="35"/>
      <c r="I473" s="43"/>
      <c r="J473" s="37"/>
      <c r="K473" s="35"/>
      <c r="L473" s="44"/>
      <c r="M473" s="45"/>
      <c r="N473" s="32"/>
    </row>
    <row r="474" ht="15.75" customHeight="1">
      <c r="A474" s="20"/>
      <c r="B474" s="21"/>
      <c r="C474" s="22"/>
      <c r="D474" s="22"/>
      <c r="E474" s="23"/>
      <c r="F474" s="23"/>
      <c r="G474" s="34"/>
      <c r="H474" s="35"/>
      <c r="I474" s="43"/>
      <c r="J474" s="37"/>
      <c r="K474" s="35"/>
      <c r="L474" s="44"/>
      <c r="M474" s="45"/>
      <c r="N474" s="32"/>
    </row>
    <row r="475" ht="15.75" customHeight="1">
      <c r="A475" s="20"/>
      <c r="B475" s="21"/>
      <c r="C475" s="22"/>
      <c r="D475" s="22"/>
      <c r="E475" s="23"/>
      <c r="F475" s="23"/>
      <c r="G475" s="34"/>
      <c r="H475" s="35"/>
      <c r="I475" s="43"/>
      <c r="J475" s="37"/>
      <c r="K475" s="35"/>
      <c r="L475" s="44"/>
      <c r="M475" s="45"/>
      <c r="N475" s="32"/>
    </row>
    <row r="476" ht="15.75" customHeight="1">
      <c r="A476" s="20"/>
      <c r="B476" s="39"/>
      <c r="C476" s="22"/>
      <c r="D476" s="22"/>
      <c r="E476" s="23"/>
      <c r="F476" s="23"/>
      <c r="G476" s="34"/>
      <c r="H476" s="35"/>
      <c r="I476" s="43"/>
      <c r="J476" s="37"/>
      <c r="K476" s="47"/>
      <c r="L476" s="44"/>
      <c r="M476" s="45"/>
      <c r="N476" s="32"/>
    </row>
    <row r="477" ht="15.75" customHeight="1">
      <c r="A477" s="20"/>
      <c r="B477" s="21"/>
      <c r="C477" s="22"/>
      <c r="D477" s="22"/>
      <c r="E477" s="23"/>
      <c r="F477" s="23"/>
      <c r="G477" s="34"/>
      <c r="H477" s="35"/>
      <c r="I477" s="43"/>
      <c r="J477" s="37"/>
      <c r="K477" s="35"/>
      <c r="L477" s="44"/>
      <c r="M477" s="45"/>
      <c r="N477" s="32"/>
    </row>
    <row r="478" ht="15.75" customHeight="1">
      <c r="A478" s="20"/>
      <c r="B478" s="21"/>
      <c r="C478" s="22"/>
      <c r="D478" s="22"/>
      <c r="E478" s="23"/>
      <c r="F478" s="23"/>
      <c r="G478" s="34"/>
      <c r="H478" s="35"/>
      <c r="I478" s="43"/>
      <c r="J478" s="37"/>
      <c r="K478" s="35"/>
      <c r="L478" s="44"/>
      <c r="M478" s="45"/>
      <c r="N478" s="32"/>
    </row>
    <row r="479" ht="15.75" customHeight="1">
      <c r="A479" s="20"/>
      <c r="B479" s="21"/>
      <c r="C479" s="22"/>
      <c r="D479" s="22"/>
      <c r="E479" s="23"/>
      <c r="F479" s="23"/>
      <c r="G479" s="34"/>
      <c r="H479" s="35"/>
      <c r="I479" s="43"/>
      <c r="J479" s="37"/>
      <c r="K479" s="35"/>
      <c r="L479" s="44"/>
      <c r="M479" s="45"/>
      <c r="N479" s="32"/>
    </row>
    <row r="480" ht="15.75" customHeight="1">
      <c r="A480" s="20"/>
      <c r="B480" s="21"/>
      <c r="C480" s="22"/>
      <c r="D480" s="22"/>
      <c r="E480" s="23"/>
      <c r="F480" s="23"/>
      <c r="G480" s="34"/>
      <c r="H480" s="35"/>
      <c r="I480" s="43"/>
      <c r="J480" s="37"/>
      <c r="K480" s="35"/>
      <c r="L480" s="44"/>
      <c r="M480" s="45"/>
      <c r="N480" s="32"/>
    </row>
    <row r="481" ht="15.75" customHeight="1">
      <c r="A481" s="20"/>
      <c r="B481" s="21"/>
      <c r="C481" s="22"/>
      <c r="D481" s="22"/>
      <c r="E481" s="23"/>
      <c r="F481" s="23"/>
      <c r="G481" s="34"/>
      <c r="H481" s="35"/>
      <c r="I481" s="43"/>
      <c r="J481" s="37"/>
      <c r="K481" s="35"/>
      <c r="L481" s="44"/>
      <c r="M481" s="45"/>
      <c r="N481" s="32"/>
    </row>
    <row r="482" ht="15.75" customHeight="1">
      <c r="A482" s="20"/>
      <c r="B482" s="21"/>
      <c r="C482" s="22"/>
      <c r="D482" s="22"/>
      <c r="E482" s="23"/>
      <c r="F482" s="23"/>
      <c r="G482" s="34"/>
      <c r="H482" s="35"/>
      <c r="I482" s="43"/>
      <c r="J482" s="37"/>
      <c r="K482" s="35"/>
      <c r="L482" s="44"/>
      <c r="M482" s="45"/>
      <c r="N482" s="32"/>
    </row>
    <row r="483" ht="15.75" customHeight="1">
      <c r="A483" s="20"/>
      <c r="B483" s="21"/>
      <c r="C483" s="22"/>
      <c r="D483" s="22"/>
      <c r="E483" s="23"/>
      <c r="F483" s="23"/>
      <c r="G483" s="34"/>
      <c r="H483" s="35"/>
      <c r="I483" s="43"/>
      <c r="J483" s="37"/>
      <c r="K483" s="35"/>
      <c r="L483" s="44"/>
      <c r="M483" s="45"/>
      <c r="N483" s="32"/>
    </row>
    <row r="484" ht="15.75" customHeight="1">
      <c r="A484" s="20"/>
      <c r="B484" s="21"/>
      <c r="C484" s="22"/>
      <c r="D484" s="22"/>
      <c r="E484" s="23"/>
      <c r="F484" s="23"/>
      <c r="G484" s="34"/>
      <c r="H484" s="35"/>
      <c r="I484" s="43"/>
      <c r="J484" s="37"/>
      <c r="K484" s="35"/>
      <c r="L484" s="44"/>
      <c r="M484" s="45"/>
      <c r="N484" s="32"/>
    </row>
    <row r="485" ht="15.75" customHeight="1">
      <c r="A485" s="20"/>
      <c r="B485" s="21"/>
      <c r="C485" s="22"/>
      <c r="D485" s="22"/>
      <c r="E485" s="23"/>
      <c r="F485" s="23"/>
      <c r="G485" s="34"/>
      <c r="H485" s="35"/>
      <c r="I485" s="43"/>
      <c r="J485" s="37"/>
      <c r="K485" s="35"/>
      <c r="L485" s="44"/>
      <c r="M485" s="45"/>
      <c r="N485" s="32"/>
    </row>
    <row r="486" ht="15.75" customHeight="1">
      <c r="A486" s="20"/>
      <c r="B486" s="21"/>
      <c r="C486" s="22"/>
      <c r="D486" s="49"/>
      <c r="E486" s="23"/>
      <c r="F486" s="23"/>
      <c r="G486" s="34"/>
      <c r="H486" s="35"/>
      <c r="I486" s="43"/>
      <c r="J486" s="37"/>
      <c r="K486" s="35"/>
      <c r="L486" s="44"/>
      <c r="M486" s="45"/>
      <c r="N486" s="32"/>
    </row>
    <row r="487" ht="15.75" customHeight="1">
      <c r="A487" s="20"/>
      <c r="B487" s="21"/>
      <c r="C487" s="22"/>
      <c r="D487" s="50"/>
      <c r="E487" s="23"/>
      <c r="F487" s="23"/>
      <c r="G487" s="34"/>
      <c r="H487" s="35"/>
      <c r="I487" s="43"/>
      <c r="J487" s="37"/>
      <c r="K487" s="35"/>
      <c r="L487" s="44"/>
      <c r="M487" s="45"/>
      <c r="N487" s="32"/>
    </row>
    <row r="488" ht="15.75" customHeight="1">
      <c r="A488" s="20"/>
      <c r="B488" s="21"/>
      <c r="C488" s="22"/>
      <c r="D488" s="50"/>
      <c r="E488" s="23"/>
      <c r="F488" s="23"/>
      <c r="G488" s="34"/>
      <c r="H488" s="35"/>
      <c r="I488" s="43"/>
      <c r="J488" s="37"/>
      <c r="K488" s="35"/>
      <c r="L488" s="44"/>
      <c r="M488" s="45"/>
      <c r="N488" s="32"/>
    </row>
    <row r="489" ht="15.75" customHeight="1">
      <c r="A489" s="20"/>
      <c r="B489" s="21"/>
      <c r="C489" s="22"/>
      <c r="D489" s="50"/>
      <c r="E489" s="23"/>
      <c r="F489" s="23"/>
      <c r="G489" s="34"/>
      <c r="H489" s="35"/>
      <c r="I489" s="43"/>
      <c r="J489" s="37"/>
      <c r="K489" s="35"/>
      <c r="L489" s="44"/>
      <c r="M489" s="45"/>
      <c r="N489" s="32"/>
    </row>
    <row r="490" ht="15.75" customHeight="1">
      <c r="A490" s="20"/>
      <c r="B490" s="21"/>
      <c r="C490" s="22"/>
      <c r="D490" s="50"/>
      <c r="E490" s="23"/>
      <c r="F490" s="23"/>
      <c r="G490" s="34"/>
      <c r="H490" s="35"/>
      <c r="I490" s="43"/>
      <c r="J490" s="37"/>
      <c r="K490" s="35"/>
      <c r="L490" s="44"/>
      <c r="M490" s="45"/>
      <c r="N490" s="32"/>
    </row>
    <row r="491" ht="15.75" customHeight="1">
      <c r="A491" s="20"/>
      <c r="B491" s="21"/>
      <c r="C491" s="22"/>
      <c r="D491" s="50"/>
      <c r="E491" s="23"/>
      <c r="F491" s="23"/>
      <c r="G491" s="34"/>
      <c r="H491" s="35"/>
      <c r="I491" s="43"/>
      <c r="J491" s="37"/>
      <c r="K491" s="35"/>
      <c r="L491" s="44"/>
      <c r="M491" s="45"/>
      <c r="N491" s="32"/>
    </row>
    <row r="492" ht="15.75" customHeight="1">
      <c r="A492" s="20"/>
      <c r="B492" s="21"/>
      <c r="C492" s="22"/>
      <c r="D492" s="50"/>
      <c r="E492" s="23"/>
      <c r="F492" s="23"/>
      <c r="G492" s="34"/>
      <c r="H492" s="35"/>
      <c r="I492" s="43"/>
      <c r="J492" s="37"/>
      <c r="K492" s="35"/>
      <c r="L492" s="44"/>
      <c r="M492" s="45"/>
      <c r="N492" s="32"/>
    </row>
    <row r="493" ht="15.75" customHeight="1">
      <c r="A493" s="20"/>
      <c r="B493" s="21"/>
      <c r="C493" s="22"/>
      <c r="D493" s="50"/>
      <c r="E493" s="23"/>
      <c r="F493" s="23"/>
      <c r="G493" s="34"/>
      <c r="H493" s="35"/>
      <c r="I493" s="43"/>
      <c r="J493" s="37"/>
      <c r="K493" s="35"/>
      <c r="L493" s="44"/>
      <c r="M493" s="45"/>
      <c r="N493" s="32"/>
    </row>
    <row r="494" ht="15.75" customHeight="1">
      <c r="A494" s="20"/>
      <c r="B494" s="21"/>
      <c r="C494" s="22"/>
      <c r="D494" s="50"/>
      <c r="E494" s="23"/>
      <c r="F494" s="23"/>
      <c r="G494" s="34"/>
      <c r="H494" s="35"/>
      <c r="I494" s="43"/>
      <c r="J494" s="37"/>
      <c r="K494" s="35"/>
      <c r="L494" s="44"/>
      <c r="M494" s="45"/>
      <c r="N494" s="32"/>
    </row>
    <row r="495" ht="15.75" customHeight="1">
      <c r="A495" s="53"/>
      <c r="B495" s="21"/>
      <c r="C495" s="22"/>
      <c r="D495" s="50"/>
      <c r="E495" s="23"/>
      <c r="F495" s="23"/>
      <c r="G495" s="34"/>
      <c r="H495" s="35"/>
      <c r="I495" s="43"/>
      <c r="J495" s="37"/>
      <c r="K495" s="35"/>
      <c r="L495" s="44"/>
      <c r="M495" s="45"/>
      <c r="N495" s="32"/>
    </row>
    <row r="496" ht="15.75" customHeight="1">
      <c r="A496" s="53"/>
      <c r="B496" s="21"/>
      <c r="C496" s="22"/>
      <c r="D496" s="50"/>
      <c r="E496" s="23"/>
      <c r="F496" s="23"/>
      <c r="G496" s="34"/>
      <c r="H496" s="35"/>
      <c r="I496" s="43"/>
      <c r="J496" s="37"/>
      <c r="K496" s="35"/>
      <c r="L496" s="44"/>
      <c r="M496" s="45"/>
      <c r="N496" s="32"/>
    </row>
    <row r="497" ht="15.75" customHeight="1">
      <c r="A497" s="20"/>
      <c r="B497" s="21"/>
      <c r="C497" s="22"/>
      <c r="D497" s="50"/>
      <c r="E497" s="23"/>
      <c r="F497" s="23"/>
      <c r="G497" s="34"/>
      <c r="H497" s="35"/>
      <c r="I497" s="43"/>
      <c r="J497" s="37"/>
      <c r="K497" s="35"/>
      <c r="L497" s="44"/>
      <c r="M497" s="45"/>
      <c r="N497" s="32"/>
    </row>
    <row r="498" ht="15.75" customHeight="1">
      <c r="A498" s="20"/>
      <c r="B498" s="21"/>
      <c r="C498" s="22"/>
      <c r="D498" s="50"/>
      <c r="E498" s="23"/>
      <c r="F498" s="23"/>
      <c r="G498" s="34"/>
      <c r="H498" s="35"/>
      <c r="I498" s="43"/>
      <c r="J498" s="37"/>
      <c r="K498" s="35"/>
      <c r="L498" s="44"/>
      <c r="M498" s="45"/>
      <c r="N498" s="32"/>
    </row>
    <row r="499" ht="15.75" customHeight="1">
      <c r="A499" s="20"/>
      <c r="B499" s="21"/>
      <c r="C499" s="22"/>
      <c r="D499" s="50"/>
      <c r="E499" s="23"/>
      <c r="F499" s="23"/>
      <c r="G499" s="34"/>
      <c r="H499" s="35"/>
      <c r="I499" s="43"/>
      <c r="J499" s="37"/>
      <c r="K499" s="35"/>
      <c r="L499" s="44"/>
      <c r="M499" s="45"/>
      <c r="N499" s="32"/>
    </row>
    <row r="500" ht="15.75" customHeight="1">
      <c r="A500" s="20"/>
      <c r="B500" s="21"/>
      <c r="C500" s="22"/>
      <c r="D500" s="22"/>
      <c r="E500" s="23"/>
      <c r="F500" s="23"/>
      <c r="G500" s="34"/>
      <c r="H500" s="35"/>
      <c r="I500" s="43"/>
      <c r="J500" s="37"/>
      <c r="K500" s="35"/>
      <c r="L500" s="44"/>
      <c r="M500" s="45"/>
      <c r="N500" s="32"/>
    </row>
    <row r="501" ht="15.75" customHeight="1">
      <c r="A501" s="20"/>
      <c r="B501" s="21"/>
      <c r="C501" s="22"/>
      <c r="D501" s="50"/>
      <c r="E501" s="23"/>
      <c r="F501" s="23"/>
      <c r="G501" s="34"/>
      <c r="H501" s="35"/>
      <c r="I501" s="43"/>
      <c r="J501" s="37"/>
      <c r="K501" s="35"/>
      <c r="L501" s="44"/>
      <c r="M501" s="45"/>
      <c r="N501" s="32"/>
    </row>
    <row r="502" ht="15.75" customHeight="1">
      <c r="A502" s="20"/>
      <c r="B502" s="21"/>
      <c r="C502" s="22"/>
      <c r="D502" s="22"/>
      <c r="E502" s="23"/>
      <c r="F502" s="23"/>
      <c r="G502" s="34"/>
      <c r="H502" s="35"/>
      <c r="I502" s="43"/>
      <c r="J502" s="37"/>
      <c r="K502" s="35"/>
      <c r="L502" s="44"/>
      <c r="M502" s="45"/>
      <c r="N502" s="32"/>
    </row>
    <row r="503" ht="15.75" customHeight="1">
      <c r="A503" s="20"/>
      <c r="B503" s="21"/>
      <c r="C503" s="22"/>
      <c r="D503" s="22"/>
      <c r="E503" s="23"/>
      <c r="F503" s="23"/>
      <c r="G503" s="34"/>
      <c r="H503" s="35"/>
      <c r="I503" s="43"/>
      <c r="J503" s="37"/>
      <c r="K503" s="35"/>
      <c r="L503" s="44"/>
      <c r="M503" s="45"/>
      <c r="N503" s="32"/>
    </row>
    <row r="504" ht="15.75" customHeight="1">
      <c r="A504" s="20"/>
      <c r="B504" s="21"/>
      <c r="C504" s="22"/>
      <c r="D504" s="22"/>
      <c r="E504" s="23"/>
      <c r="F504" s="23"/>
      <c r="G504" s="34"/>
      <c r="H504" s="35"/>
      <c r="I504" s="43"/>
      <c r="J504" s="37"/>
      <c r="K504" s="35"/>
      <c r="L504" s="44"/>
      <c r="M504" s="45"/>
      <c r="N504" s="32"/>
    </row>
    <row r="505" ht="15.75" customHeight="1">
      <c r="A505" s="20"/>
      <c r="B505" s="21"/>
      <c r="C505" s="22"/>
      <c r="D505" s="50"/>
      <c r="E505" s="23"/>
      <c r="F505" s="23"/>
      <c r="G505" s="34"/>
      <c r="H505" s="35"/>
      <c r="I505" s="43"/>
      <c r="J505" s="37"/>
      <c r="K505" s="35"/>
      <c r="L505" s="44"/>
      <c r="M505" s="45"/>
      <c r="N505" s="32"/>
    </row>
    <row r="506" ht="15.75" customHeight="1">
      <c r="A506" s="20"/>
      <c r="B506" s="21"/>
      <c r="C506" s="22"/>
      <c r="D506" s="50"/>
      <c r="E506" s="23"/>
      <c r="F506" s="23"/>
      <c r="G506" s="34"/>
      <c r="H506" s="35"/>
      <c r="I506" s="43"/>
      <c r="J506" s="37"/>
      <c r="K506" s="35"/>
      <c r="L506" s="44"/>
      <c r="M506" s="45"/>
      <c r="N506" s="32"/>
    </row>
    <row r="507" ht="15.75" customHeight="1">
      <c r="A507" s="20"/>
      <c r="B507" s="21"/>
      <c r="C507" s="22"/>
      <c r="D507" s="50"/>
      <c r="E507" s="23"/>
      <c r="F507" s="23"/>
      <c r="G507" s="34"/>
      <c r="H507" s="35"/>
      <c r="I507" s="43"/>
      <c r="J507" s="37"/>
      <c r="K507" s="35"/>
      <c r="L507" s="44"/>
      <c r="M507" s="45"/>
      <c r="N507" s="32"/>
    </row>
    <row r="508" ht="15.75" customHeight="1">
      <c r="A508" s="20"/>
      <c r="B508" s="21"/>
      <c r="C508" s="22"/>
      <c r="D508" s="22"/>
      <c r="E508" s="23"/>
      <c r="F508" s="23"/>
      <c r="G508" s="34"/>
      <c r="H508" s="35"/>
      <c r="I508" s="43"/>
      <c r="J508" s="37"/>
      <c r="K508" s="35"/>
      <c r="L508" s="44"/>
      <c r="M508" s="45"/>
      <c r="N508" s="32"/>
    </row>
    <row r="509" ht="15.75" customHeight="1">
      <c r="A509" s="20"/>
      <c r="B509" s="21"/>
      <c r="C509" s="22"/>
      <c r="D509" s="22"/>
      <c r="E509" s="23"/>
      <c r="F509" s="23"/>
      <c r="G509" s="34"/>
      <c r="H509" s="35"/>
      <c r="I509" s="43"/>
      <c r="J509" s="37"/>
      <c r="K509" s="35"/>
      <c r="L509" s="44"/>
      <c r="M509" s="45"/>
      <c r="N509" s="32"/>
    </row>
    <row r="510" ht="15.75" customHeight="1">
      <c r="A510" s="20"/>
      <c r="B510" s="21"/>
      <c r="C510" s="22"/>
      <c r="D510" s="22"/>
      <c r="E510" s="23"/>
      <c r="F510" s="23"/>
      <c r="G510" s="34"/>
      <c r="H510" s="35"/>
      <c r="I510" s="43"/>
      <c r="J510" s="37"/>
      <c r="K510" s="35"/>
      <c r="L510" s="44"/>
      <c r="M510" s="45"/>
      <c r="N510" s="32"/>
    </row>
    <row r="511" ht="15.75" customHeight="1">
      <c r="A511" s="20"/>
      <c r="B511" s="21"/>
      <c r="C511" s="22"/>
      <c r="D511" s="22"/>
      <c r="E511" s="23"/>
      <c r="F511" s="23"/>
      <c r="G511" s="34"/>
      <c r="H511" s="35"/>
      <c r="I511" s="43"/>
      <c r="J511" s="37"/>
      <c r="K511" s="35"/>
      <c r="L511" s="44"/>
      <c r="M511" s="45"/>
      <c r="N511" s="32"/>
    </row>
    <row r="512" ht="15.75" customHeight="1">
      <c r="A512" s="20"/>
      <c r="B512" s="21"/>
      <c r="C512" s="22"/>
      <c r="D512" s="22"/>
      <c r="E512" s="23"/>
      <c r="F512" s="23"/>
      <c r="G512" s="34"/>
      <c r="H512" s="35"/>
      <c r="I512" s="43"/>
      <c r="J512" s="37"/>
      <c r="K512" s="35"/>
      <c r="L512" s="44"/>
      <c r="M512" s="45"/>
      <c r="N512" s="32"/>
    </row>
    <row r="513" ht="15.75" customHeight="1">
      <c r="A513" s="20"/>
      <c r="B513" s="21"/>
      <c r="C513" s="22"/>
      <c r="D513" s="22"/>
      <c r="E513" s="23"/>
      <c r="F513" s="23"/>
      <c r="G513" s="34"/>
      <c r="H513" s="35"/>
      <c r="I513" s="43"/>
      <c r="J513" s="37"/>
      <c r="K513" s="35"/>
      <c r="L513" s="44"/>
      <c r="M513" s="45"/>
      <c r="N513" s="32"/>
    </row>
    <row r="514" ht="15.75" customHeight="1">
      <c r="A514" s="20"/>
      <c r="B514" s="21"/>
      <c r="C514" s="22"/>
      <c r="D514" s="46"/>
      <c r="E514" s="23"/>
      <c r="F514" s="23"/>
      <c r="G514" s="34"/>
      <c r="H514" s="35"/>
      <c r="I514" s="43"/>
      <c r="J514" s="37"/>
      <c r="K514" s="35"/>
      <c r="L514" s="44"/>
      <c r="M514" s="45"/>
      <c r="N514" s="32"/>
    </row>
    <row r="515" ht="15.75" customHeight="1">
      <c r="A515" s="20"/>
      <c r="B515" s="21"/>
      <c r="C515" s="22"/>
      <c r="D515" s="50"/>
      <c r="E515" s="23"/>
      <c r="F515" s="23"/>
      <c r="G515" s="34"/>
      <c r="H515" s="35"/>
      <c r="I515" s="43"/>
      <c r="J515" s="37"/>
      <c r="K515" s="35"/>
      <c r="L515" s="44"/>
      <c r="M515" s="45"/>
      <c r="N515" s="32"/>
    </row>
    <row r="516" ht="15.75" customHeight="1">
      <c r="A516" s="20"/>
      <c r="B516" s="21"/>
      <c r="C516" s="22"/>
      <c r="D516" s="50"/>
      <c r="E516" s="23"/>
      <c r="F516" s="23"/>
      <c r="G516" s="34"/>
      <c r="H516" s="35"/>
      <c r="I516" s="43"/>
      <c r="J516" s="37"/>
      <c r="K516" s="35"/>
      <c r="L516" s="44"/>
      <c r="M516" s="45"/>
      <c r="N516" s="32"/>
    </row>
    <row r="517" ht="15.75" customHeight="1">
      <c r="A517" s="20"/>
      <c r="B517" s="21"/>
      <c r="C517" s="22"/>
      <c r="D517" s="50"/>
      <c r="E517" s="23"/>
      <c r="F517" s="23"/>
      <c r="G517" s="34"/>
      <c r="H517" s="35"/>
      <c r="I517" s="43"/>
      <c r="J517" s="37"/>
      <c r="K517" s="35"/>
      <c r="L517" s="44"/>
      <c r="M517" s="45"/>
      <c r="N517" s="32"/>
    </row>
    <row r="518" ht="15.75" customHeight="1">
      <c r="A518" s="20"/>
      <c r="B518" s="21"/>
      <c r="C518" s="22"/>
      <c r="D518" s="50"/>
      <c r="E518" s="23"/>
      <c r="F518" s="23"/>
      <c r="G518" s="34"/>
      <c r="H518" s="35"/>
      <c r="I518" s="43"/>
      <c r="J518" s="37"/>
      <c r="K518" s="35"/>
      <c r="L518" s="44"/>
      <c r="M518" s="45"/>
      <c r="N518" s="32"/>
    </row>
    <row r="519" ht="15.75" customHeight="1">
      <c r="A519" s="20"/>
      <c r="B519" s="21"/>
      <c r="C519" s="22"/>
      <c r="D519" s="22"/>
      <c r="E519" s="23"/>
      <c r="F519" s="23"/>
      <c r="G519" s="34"/>
      <c r="H519" s="35"/>
      <c r="I519" s="43"/>
      <c r="J519" s="37"/>
      <c r="K519" s="35"/>
      <c r="L519" s="44"/>
      <c r="M519" s="45"/>
      <c r="N519" s="32"/>
    </row>
    <row r="520" ht="15.75" customHeight="1">
      <c r="A520" s="20"/>
      <c r="B520" s="21"/>
      <c r="C520" s="22"/>
      <c r="D520" s="22"/>
      <c r="E520" s="23"/>
      <c r="F520" s="23"/>
      <c r="G520" s="34"/>
      <c r="H520" s="35"/>
      <c r="I520" s="43"/>
      <c r="J520" s="37"/>
      <c r="K520" s="35"/>
      <c r="L520" s="44"/>
      <c r="M520" s="45"/>
      <c r="N520" s="32"/>
    </row>
    <row r="521" ht="15.75" customHeight="1">
      <c r="A521" s="20"/>
      <c r="B521" s="21"/>
      <c r="C521" s="22"/>
      <c r="D521" s="22"/>
      <c r="E521" s="23"/>
      <c r="F521" s="23"/>
      <c r="G521" s="34"/>
      <c r="H521" s="35"/>
      <c r="I521" s="43"/>
      <c r="J521" s="37"/>
      <c r="K521" s="35"/>
      <c r="L521" s="44"/>
      <c r="M521" s="45"/>
      <c r="N521" s="32"/>
    </row>
    <row r="522" ht="15.75" customHeight="1">
      <c r="A522" s="20"/>
      <c r="B522" s="21"/>
      <c r="C522" s="22"/>
      <c r="D522" s="22"/>
      <c r="E522" s="23"/>
      <c r="F522" s="23"/>
      <c r="G522" s="34"/>
      <c r="H522" s="35"/>
      <c r="I522" s="43"/>
      <c r="J522" s="37"/>
      <c r="K522" s="35"/>
      <c r="L522" s="44"/>
      <c r="M522" s="45"/>
      <c r="N522" s="32"/>
    </row>
    <row r="523" ht="15.75" customHeight="1">
      <c r="A523" s="20"/>
      <c r="B523" s="21"/>
      <c r="C523" s="22"/>
      <c r="D523" s="46"/>
      <c r="E523" s="23"/>
      <c r="F523" s="23"/>
      <c r="G523" s="34"/>
      <c r="H523" s="35"/>
      <c r="I523" s="43"/>
      <c r="J523" s="37"/>
      <c r="K523" s="35"/>
      <c r="L523" s="44"/>
      <c r="M523" s="45"/>
      <c r="N523" s="32"/>
    </row>
    <row r="524" ht="15.75" customHeight="1">
      <c r="A524" s="20"/>
      <c r="B524" s="21"/>
      <c r="C524" s="22"/>
      <c r="D524" s="50"/>
      <c r="E524" s="23"/>
      <c r="F524" s="23"/>
      <c r="G524" s="34"/>
      <c r="H524" s="35"/>
      <c r="I524" s="43"/>
      <c r="J524" s="37"/>
      <c r="K524" s="35"/>
      <c r="L524" s="44"/>
      <c r="M524" s="45"/>
      <c r="N524" s="32"/>
    </row>
    <row r="525" ht="15.75" customHeight="1">
      <c r="A525" s="20"/>
      <c r="B525" s="21"/>
      <c r="C525" s="22"/>
      <c r="D525" s="22"/>
      <c r="E525" s="23"/>
      <c r="F525" s="23"/>
      <c r="G525" s="34"/>
      <c r="H525" s="35"/>
      <c r="I525" s="43"/>
      <c r="J525" s="37"/>
      <c r="K525" s="35"/>
      <c r="L525" s="44"/>
      <c r="M525" s="45"/>
      <c r="N525" s="32"/>
    </row>
    <row r="526" ht="15.75" customHeight="1">
      <c r="A526" s="20"/>
      <c r="B526" s="21"/>
      <c r="C526" s="22"/>
      <c r="D526" s="22"/>
      <c r="E526" s="23"/>
      <c r="F526" s="23"/>
      <c r="G526" s="34"/>
      <c r="H526" s="35"/>
      <c r="I526" s="43"/>
      <c r="J526" s="37"/>
      <c r="K526" s="35"/>
      <c r="L526" s="44"/>
      <c r="M526" s="45"/>
      <c r="N526" s="32"/>
    </row>
    <row r="527" ht="15.75" customHeight="1">
      <c r="A527" s="20"/>
      <c r="B527" s="21"/>
      <c r="C527" s="22"/>
      <c r="D527" s="22"/>
      <c r="E527" s="23"/>
      <c r="F527" s="23"/>
      <c r="G527" s="34"/>
      <c r="H527" s="35"/>
      <c r="I527" s="43"/>
      <c r="J527" s="37"/>
      <c r="K527" s="35"/>
      <c r="L527" s="44"/>
      <c r="M527" s="45"/>
      <c r="N527" s="32"/>
    </row>
    <row r="528" ht="15.75" customHeight="1">
      <c r="A528" s="20"/>
      <c r="B528" s="21"/>
      <c r="C528" s="22"/>
      <c r="D528" s="22"/>
      <c r="E528" s="23"/>
      <c r="F528" s="23"/>
      <c r="G528" s="34"/>
      <c r="H528" s="35"/>
      <c r="I528" s="43"/>
      <c r="J528" s="37"/>
      <c r="K528" s="35"/>
      <c r="L528" s="44"/>
      <c r="M528" s="45"/>
      <c r="N528" s="32"/>
    </row>
    <row r="529" ht="15.75" customHeight="1">
      <c r="A529" s="20"/>
      <c r="B529" s="21"/>
      <c r="C529" s="22"/>
      <c r="D529" s="22"/>
      <c r="E529" s="23"/>
      <c r="F529" s="23"/>
      <c r="G529" s="34"/>
      <c r="H529" s="35"/>
      <c r="I529" s="43"/>
      <c r="J529" s="37"/>
      <c r="K529" s="35"/>
      <c r="L529" s="44"/>
      <c r="M529" s="45"/>
      <c r="N529" s="32"/>
    </row>
    <row r="530" ht="15.75" customHeight="1">
      <c r="A530" s="20"/>
      <c r="B530" s="21"/>
      <c r="C530" s="22"/>
      <c r="D530" s="22"/>
      <c r="E530" s="23"/>
      <c r="F530" s="23"/>
      <c r="G530" s="34"/>
      <c r="H530" s="35"/>
      <c r="I530" s="43"/>
      <c r="J530" s="37"/>
      <c r="K530" s="35"/>
      <c r="L530" s="44"/>
      <c r="M530" s="45"/>
      <c r="N530" s="32"/>
    </row>
    <row r="531" ht="15.75" customHeight="1">
      <c r="A531" s="20"/>
      <c r="B531" s="21"/>
      <c r="C531" s="22"/>
      <c r="D531" s="22"/>
      <c r="E531" s="23"/>
      <c r="F531" s="23"/>
      <c r="G531" s="34"/>
      <c r="H531" s="35"/>
      <c r="I531" s="43"/>
      <c r="J531" s="37"/>
      <c r="K531" s="35"/>
      <c r="L531" s="44"/>
      <c r="M531" s="45"/>
      <c r="N531" s="32"/>
    </row>
    <row r="532" ht="15.75" customHeight="1">
      <c r="A532" s="20"/>
      <c r="B532" s="21"/>
      <c r="C532" s="22"/>
      <c r="D532" s="22"/>
      <c r="E532" s="23"/>
      <c r="F532" s="23"/>
      <c r="G532" s="34"/>
      <c r="H532" s="35"/>
      <c r="I532" s="43"/>
      <c r="J532" s="37"/>
      <c r="K532" s="35"/>
      <c r="L532" s="44"/>
      <c r="M532" s="45"/>
      <c r="N532" s="32"/>
    </row>
    <row r="533" ht="15.75" customHeight="1">
      <c r="A533" s="20"/>
      <c r="B533" s="21"/>
      <c r="C533" s="22"/>
      <c r="D533" s="22"/>
      <c r="E533" s="23"/>
      <c r="F533" s="23"/>
      <c r="G533" s="34"/>
      <c r="H533" s="35"/>
      <c r="I533" s="43"/>
      <c r="J533" s="37"/>
      <c r="K533" s="35"/>
      <c r="L533" s="44"/>
      <c r="M533" s="45"/>
      <c r="N533" s="32"/>
    </row>
    <row r="534" ht="15.75" customHeight="1">
      <c r="A534" s="20"/>
      <c r="B534" s="21"/>
      <c r="C534" s="22"/>
      <c r="D534" s="22"/>
      <c r="E534" s="23"/>
      <c r="F534" s="23"/>
      <c r="G534" s="34"/>
      <c r="H534" s="35"/>
      <c r="I534" s="43"/>
      <c r="J534" s="37"/>
      <c r="K534" s="35"/>
      <c r="L534" s="44"/>
      <c r="M534" s="45"/>
      <c r="N534" s="32"/>
    </row>
    <row r="535" ht="15.75" customHeight="1">
      <c r="A535" s="20"/>
      <c r="B535" s="39"/>
      <c r="C535" s="22"/>
      <c r="D535" s="22"/>
      <c r="E535" s="23"/>
      <c r="F535" s="23"/>
      <c r="G535" s="34"/>
      <c r="H535" s="35"/>
      <c r="I535" s="43"/>
      <c r="J535" s="37"/>
      <c r="K535" s="47"/>
      <c r="L535" s="44"/>
      <c r="M535" s="45"/>
      <c r="N535" s="32"/>
    </row>
    <row r="536" ht="15.75" customHeight="1">
      <c r="A536" s="20"/>
      <c r="B536" s="39"/>
      <c r="C536" s="22"/>
      <c r="D536" s="22"/>
      <c r="E536" s="23"/>
      <c r="F536" s="23"/>
      <c r="G536" s="34"/>
      <c r="H536" s="35"/>
      <c r="I536" s="43"/>
      <c r="J536" s="37"/>
      <c r="K536" s="47"/>
      <c r="L536" s="44"/>
      <c r="M536" s="45"/>
      <c r="N536" s="32"/>
    </row>
    <row r="537" ht="15.75" customHeight="1">
      <c r="A537" s="20"/>
      <c r="B537" s="21"/>
      <c r="C537" s="22"/>
      <c r="D537" s="22"/>
      <c r="E537" s="23"/>
      <c r="F537" s="23"/>
      <c r="G537" s="34"/>
      <c r="H537" s="35"/>
      <c r="I537" s="43"/>
      <c r="J537" s="37"/>
      <c r="K537" s="35"/>
      <c r="L537" s="44"/>
      <c r="M537" s="45"/>
      <c r="N537" s="32"/>
    </row>
    <row r="538" ht="15.75" customHeight="1">
      <c r="A538" s="20"/>
      <c r="B538" s="21"/>
      <c r="C538" s="22"/>
      <c r="D538" s="22"/>
      <c r="E538" s="23"/>
      <c r="F538" s="23"/>
      <c r="G538" s="34"/>
      <c r="H538" s="35"/>
      <c r="I538" s="43"/>
      <c r="J538" s="37"/>
      <c r="K538" s="35"/>
      <c r="L538" s="44"/>
      <c r="M538" s="45"/>
      <c r="N538" s="32"/>
    </row>
    <row r="539" ht="15.75" customHeight="1">
      <c r="A539" s="20"/>
      <c r="B539" s="21"/>
      <c r="C539" s="22"/>
      <c r="D539" s="22"/>
      <c r="E539" s="23"/>
      <c r="F539" s="23"/>
      <c r="G539" s="34"/>
      <c r="H539" s="35"/>
      <c r="I539" s="43"/>
      <c r="J539" s="37"/>
      <c r="K539" s="35"/>
      <c r="L539" s="44"/>
      <c r="M539" s="45"/>
      <c r="N539" s="32"/>
    </row>
    <row r="540" ht="15.75" customHeight="1">
      <c r="A540" s="20"/>
      <c r="B540" s="21"/>
      <c r="C540" s="22"/>
      <c r="D540" s="50"/>
      <c r="E540" s="23"/>
      <c r="F540" s="23"/>
      <c r="G540" s="34"/>
      <c r="H540" s="35"/>
      <c r="I540" s="43"/>
      <c r="J540" s="37"/>
      <c r="K540" s="35"/>
      <c r="L540" s="44"/>
      <c r="M540" s="45"/>
      <c r="N540" s="32"/>
    </row>
    <row r="541" ht="15.75" customHeight="1">
      <c r="A541" s="20"/>
      <c r="B541" s="21"/>
      <c r="C541" s="22"/>
      <c r="D541" s="49"/>
      <c r="E541" s="23"/>
      <c r="F541" s="23"/>
      <c r="G541" s="34"/>
      <c r="H541" s="35"/>
      <c r="I541" s="43"/>
      <c r="J541" s="37"/>
      <c r="K541" s="35"/>
      <c r="L541" s="44"/>
      <c r="M541" s="45"/>
      <c r="N541" s="32"/>
    </row>
    <row r="542" ht="15.75" customHeight="1">
      <c r="A542" s="20"/>
      <c r="B542" s="21"/>
      <c r="C542" s="22"/>
      <c r="D542" s="50"/>
      <c r="E542" s="23"/>
      <c r="F542" s="23"/>
      <c r="G542" s="34"/>
      <c r="H542" s="35"/>
      <c r="I542" s="43"/>
      <c r="J542" s="37"/>
      <c r="K542" s="35"/>
      <c r="L542" s="44"/>
      <c r="M542" s="45"/>
      <c r="N542" s="32"/>
    </row>
    <row r="543" ht="15.75" customHeight="1">
      <c r="A543" s="20"/>
      <c r="B543" s="21"/>
      <c r="C543" s="22"/>
      <c r="D543" s="50"/>
      <c r="E543" s="23"/>
      <c r="F543" s="23"/>
      <c r="G543" s="34"/>
      <c r="H543" s="35"/>
      <c r="I543" s="43"/>
      <c r="J543" s="37"/>
      <c r="K543" s="35"/>
      <c r="L543" s="44"/>
      <c r="M543" s="45"/>
      <c r="N543" s="32"/>
    </row>
    <row r="544" ht="15.75" customHeight="1">
      <c r="A544" s="53"/>
      <c r="B544" s="21"/>
      <c r="C544" s="22"/>
      <c r="D544" s="50"/>
      <c r="E544" s="23"/>
      <c r="F544" s="23"/>
      <c r="G544" s="34"/>
      <c r="H544" s="35"/>
      <c r="I544" s="43"/>
      <c r="J544" s="37"/>
      <c r="K544" s="35"/>
      <c r="L544" s="44"/>
      <c r="M544" s="45"/>
      <c r="N544" s="32"/>
    </row>
    <row r="545" ht="15.75" customHeight="1">
      <c r="A545" s="53"/>
      <c r="B545" s="21"/>
      <c r="C545" s="22"/>
      <c r="D545" s="50"/>
      <c r="E545" s="23"/>
      <c r="F545" s="23"/>
      <c r="G545" s="34"/>
      <c r="H545" s="35"/>
      <c r="I545" s="43"/>
      <c r="J545" s="37"/>
      <c r="K545" s="35"/>
      <c r="L545" s="44"/>
      <c r="M545" s="45"/>
      <c r="N545" s="32"/>
    </row>
    <row r="546" ht="15.75" customHeight="1">
      <c r="A546" s="20"/>
      <c r="B546" s="21"/>
      <c r="C546" s="22"/>
      <c r="D546" s="50"/>
      <c r="E546" s="23"/>
      <c r="F546" s="23"/>
      <c r="G546" s="34"/>
      <c r="H546" s="35"/>
      <c r="I546" s="43"/>
      <c r="J546" s="37"/>
      <c r="K546" s="35"/>
      <c r="L546" s="44"/>
      <c r="M546" s="45"/>
      <c r="N546" s="32"/>
    </row>
    <row r="547" ht="15.75" customHeight="1">
      <c r="A547" s="20"/>
      <c r="B547" s="21"/>
      <c r="C547" s="22"/>
      <c r="D547" s="22"/>
      <c r="E547" s="23"/>
      <c r="F547" s="23"/>
      <c r="G547" s="34"/>
      <c r="H547" s="35"/>
      <c r="I547" s="43"/>
      <c r="J547" s="37"/>
      <c r="K547" s="35"/>
      <c r="L547" s="44"/>
      <c r="M547" s="45"/>
      <c r="N547" s="32"/>
    </row>
    <row r="548" ht="15.75" customHeight="1">
      <c r="A548" s="20"/>
      <c r="B548" s="21"/>
      <c r="C548" s="22"/>
      <c r="D548" s="22"/>
      <c r="E548" s="23"/>
      <c r="F548" s="23"/>
      <c r="G548" s="34"/>
      <c r="H548" s="35"/>
      <c r="I548" s="43"/>
      <c r="J548" s="37"/>
      <c r="K548" s="35"/>
      <c r="L548" s="44"/>
      <c r="M548" s="45"/>
      <c r="N548" s="32"/>
    </row>
    <row r="549" ht="15.75" customHeight="1">
      <c r="A549" s="20"/>
      <c r="B549" s="21"/>
      <c r="C549" s="22"/>
      <c r="D549" s="46"/>
      <c r="E549" s="23"/>
      <c r="F549" s="23"/>
      <c r="G549" s="34"/>
      <c r="H549" s="35"/>
      <c r="I549" s="43"/>
      <c r="J549" s="37"/>
      <c r="K549" s="35"/>
      <c r="L549" s="44"/>
      <c r="M549" s="45"/>
      <c r="N549" s="32"/>
    </row>
    <row r="550" ht="15.75" customHeight="1">
      <c r="A550" s="20"/>
      <c r="B550" s="21"/>
      <c r="C550" s="22"/>
      <c r="D550" s="46"/>
      <c r="E550" s="23"/>
      <c r="F550" s="23"/>
      <c r="G550" s="34"/>
      <c r="H550" s="35"/>
      <c r="I550" s="43"/>
      <c r="J550" s="37"/>
      <c r="K550" s="35"/>
      <c r="L550" s="44"/>
      <c r="M550" s="45"/>
      <c r="N550" s="32"/>
    </row>
    <row r="551" ht="15.75" customHeight="1">
      <c r="A551" s="20"/>
      <c r="B551" s="21"/>
      <c r="C551" s="22"/>
      <c r="D551" s="50"/>
      <c r="E551" s="23"/>
      <c r="F551" s="23"/>
      <c r="G551" s="34"/>
      <c r="H551" s="35"/>
      <c r="I551" s="43"/>
      <c r="J551" s="37"/>
      <c r="K551" s="35"/>
      <c r="L551" s="44"/>
      <c r="M551" s="45"/>
      <c r="N551" s="32"/>
    </row>
    <row r="552" ht="15.75" customHeight="1">
      <c r="A552" s="20"/>
      <c r="B552" s="21"/>
      <c r="C552" s="22"/>
      <c r="D552" s="50"/>
      <c r="E552" s="23"/>
      <c r="F552" s="23"/>
      <c r="G552" s="34"/>
      <c r="H552" s="35"/>
      <c r="I552" s="43"/>
      <c r="J552" s="37"/>
      <c r="K552" s="35"/>
      <c r="L552" s="44"/>
      <c r="M552" s="45"/>
      <c r="N552" s="32"/>
    </row>
    <row r="553" ht="15.75" customHeight="1">
      <c r="A553" s="20"/>
      <c r="B553" s="21"/>
      <c r="C553" s="22"/>
      <c r="D553" s="22"/>
      <c r="E553" s="23"/>
      <c r="F553" s="23"/>
      <c r="G553" s="34"/>
      <c r="H553" s="35"/>
      <c r="I553" s="43"/>
      <c r="J553" s="37"/>
      <c r="K553" s="35"/>
      <c r="L553" s="44"/>
      <c r="M553" s="45"/>
      <c r="N553" s="32"/>
    </row>
    <row r="554" ht="15.75" customHeight="1">
      <c r="A554" s="20"/>
      <c r="B554" s="21"/>
      <c r="C554" s="22"/>
      <c r="D554" s="22"/>
      <c r="E554" s="23"/>
      <c r="F554" s="23"/>
      <c r="G554" s="34"/>
      <c r="H554" s="35"/>
      <c r="I554" s="43"/>
      <c r="J554" s="37"/>
      <c r="K554" s="35"/>
      <c r="L554" s="44"/>
      <c r="M554" s="45"/>
      <c r="N554" s="32"/>
    </row>
    <row r="555" ht="15.75" customHeight="1">
      <c r="A555" s="20"/>
      <c r="B555" s="21"/>
      <c r="C555" s="22"/>
      <c r="D555" s="22"/>
      <c r="E555" s="23"/>
      <c r="F555" s="23"/>
      <c r="G555" s="34"/>
      <c r="H555" s="35"/>
      <c r="I555" s="43"/>
      <c r="J555" s="37"/>
      <c r="K555" s="35"/>
      <c r="L555" s="44"/>
      <c r="M555" s="45"/>
      <c r="N555" s="32"/>
    </row>
    <row r="556" ht="15.75" customHeight="1">
      <c r="A556" s="20"/>
      <c r="B556" s="21"/>
      <c r="C556" s="22"/>
      <c r="D556" s="22"/>
      <c r="E556" s="23"/>
      <c r="F556" s="23"/>
      <c r="G556" s="34"/>
      <c r="H556" s="35"/>
      <c r="I556" s="43"/>
      <c r="J556" s="37"/>
      <c r="K556" s="35"/>
      <c r="L556" s="44"/>
      <c r="M556" s="45"/>
      <c r="N556" s="32"/>
    </row>
    <row r="557" ht="15.75" customHeight="1">
      <c r="A557" s="20"/>
      <c r="B557" s="21"/>
      <c r="C557" s="22"/>
      <c r="D557" s="22"/>
      <c r="E557" s="23"/>
      <c r="F557" s="23"/>
      <c r="G557" s="34"/>
      <c r="H557" s="35"/>
      <c r="I557" s="43"/>
      <c r="J557" s="37"/>
      <c r="K557" s="35"/>
      <c r="L557" s="44"/>
      <c r="M557" s="45"/>
      <c r="N557" s="32"/>
    </row>
    <row r="558" ht="15.75" customHeight="1">
      <c r="A558" s="20"/>
      <c r="B558" s="21"/>
      <c r="C558" s="22"/>
      <c r="D558" s="22"/>
      <c r="E558" s="23"/>
      <c r="F558" s="23"/>
      <c r="G558" s="34"/>
      <c r="H558" s="35"/>
      <c r="I558" s="43"/>
      <c r="J558" s="37"/>
      <c r="K558" s="35"/>
      <c r="L558" s="44"/>
      <c r="M558" s="45"/>
      <c r="N558" s="32"/>
    </row>
    <row r="559" ht="15.75" customHeight="1">
      <c r="A559" s="20"/>
      <c r="B559" s="21"/>
      <c r="C559" s="22"/>
      <c r="D559" s="22"/>
      <c r="E559" s="23"/>
      <c r="F559" s="23"/>
      <c r="G559" s="34"/>
      <c r="H559" s="35"/>
      <c r="I559" s="43"/>
      <c r="J559" s="37"/>
      <c r="K559" s="35"/>
      <c r="L559" s="44"/>
      <c r="M559" s="45"/>
      <c r="N559" s="32"/>
    </row>
    <row r="560" ht="15.75" customHeight="1">
      <c r="A560" s="20"/>
      <c r="B560" s="39"/>
      <c r="C560" s="22"/>
      <c r="D560" s="22"/>
      <c r="E560" s="23"/>
      <c r="F560" s="23"/>
      <c r="G560" s="34"/>
      <c r="H560" s="35"/>
      <c r="I560" s="43"/>
      <c r="J560" s="37"/>
      <c r="K560" s="47"/>
      <c r="L560" s="44"/>
      <c r="M560" s="45"/>
      <c r="N560" s="32"/>
    </row>
    <row r="561" ht="15.75" customHeight="1">
      <c r="A561" s="20"/>
      <c r="B561" s="21"/>
      <c r="C561" s="22"/>
      <c r="D561" s="22"/>
      <c r="E561" s="23"/>
      <c r="F561" s="23"/>
      <c r="G561" s="34"/>
      <c r="H561" s="35"/>
      <c r="I561" s="43"/>
      <c r="J561" s="37"/>
      <c r="K561" s="35"/>
      <c r="L561" s="44"/>
      <c r="M561" s="45"/>
      <c r="N561" s="32"/>
    </row>
    <row r="562" ht="15.75" customHeight="1">
      <c r="A562" s="20"/>
      <c r="B562" s="21"/>
      <c r="C562" s="22"/>
      <c r="D562" s="22"/>
      <c r="E562" s="23"/>
      <c r="F562" s="23"/>
      <c r="G562" s="34"/>
      <c r="H562" s="35"/>
      <c r="I562" s="43"/>
      <c r="J562" s="37"/>
      <c r="K562" s="35"/>
      <c r="L562" s="44"/>
      <c r="M562" s="45"/>
      <c r="N562" s="32"/>
    </row>
    <row r="563" ht="15.75" customHeight="1">
      <c r="A563" s="20"/>
      <c r="B563" s="21"/>
      <c r="C563" s="22"/>
      <c r="D563" s="22"/>
      <c r="E563" s="23"/>
      <c r="F563" s="23"/>
      <c r="G563" s="34"/>
      <c r="H563" s="35"/>
      <c r="I563" s="43"/>
      <c r="J563" s="37"/>
      <c r="K563" s="35"/>
      <c r="L563" s="44"/>
      <c r="M563" s="45"/>
      <c r="N563" s="32"/>
    </row>
    <row r="564" ht="15.75" customHeight="1">
      <c r="A564" s="20"/>
      <c r="B564" s="21"/>
      <c r="C564" s="22"/>
      <c r="D564" s="46"/>
      <c r="E564" s="23"/>
      <c r="F564" s="23"/>
      <c r="G564" s="34"/>
      <c r="H564" s="35"/>
      <c r="I564" s="43"/>
      <c r="J564" s="37"/>
      <c r="K564" s="35"/>
      <c r="L564" s="44"/>
      <c r="M564" s="45"/>
      <c r="N564" s="32"/>
    </row>
    <row r="565" ht="15.75" customHeight="1">
      <c r="A565" s="20"/>
      <c r="B565" s="21"/>
      <c r="C565" s="22"/>
      <c r="D565" s="50"/>
      <c r="E565" s="23"/>
      <c r="F565" s="23"/>
      <c r="G565" s="34"/>
      <c r="H565" s="35"/>
      <c r="I565" s="43"/>
      <c r="J565" s="37"/>
      <c r="K565" s="35"/>
      <c r="L565" s="44"/>
      <c r="M565" s="45"/>
      <c r="N565" s="32"/>
    </row>
    <row r="566" ht="15.75" customHeight="1">
      <c r="A566" s="20"/>
      <c r="B566" s="21"/>
      <c r="C566" s="22"/>
      <c r="D566" s="50"/>
      <c r="E566" s="23"/>
      <c r="F566" s="23"/>
      <c r="G566" s="34"/>
      <c r="H566" s="35"/>
      <c r="I566" s="43"/>
      <c r="J566" s="37"/>
      <c r="K566" s="35"/>
      <c r="L566" s="44"/>
      <c r="M566" s="45"/>
      <c r="N566" s="32"/>
    </row>
    <row r="567" ht="15.75" customHeight="1">
      <c r="A567" s="20"/>
      <c r="B567" s="21"/>
      <c r="C567" s="22"/>
      <c r="D567" s="50"/>
      <c r="E567" s="23"/>
      <c r="F567" s="23"/>
      <c r="G567" s="34"/>
      <c r="H567" s="35"/>
      <c r="I567" s="43"/>
      <c r="J567" s="37"/>
      <c r="K567" s="35"/>
      <c r="L567" s="44"/>
      <c r="M567" s="45"/>
      <c r="N567" s="32"/>
    </row>
    <row r="568" ht="15.75" customHeight="1">
      <c r="A568" s="20"/>
      <c r="B568" s="21"/>
      <c r="C568" s="22"/>
      <c r="D568" s="50"/>
      <c r="E568" s="23"/>
      <c r="F568" s="23"/>
      <c r="G568" s="34"/>
      <c r="H568" s="35"/>
      <c r="I568" s="43"/>
      <c r="J568" s="37"/>
      <c r="K568" s="35"/>
      <c r="L568" s="44"/>
      <c r="M568" s="45"/>
      <c r="N568" s="32"/>
    </row>
    <row r="569" ht="15.75" customHeight="1">
      <c r="A569" s="20"/>
      <c r="B569" s="21"/>
      <c r="C569" s="22"/>
      <c r="D569" s="50"/>
      <c r="E569" s="23"/>
      <c r="F569" s="23"/>
      <c r="G569" s="34"/>
      <c r="H569" s="35"/>
      <c r="I569" s="43"/>
      <c r="J569" s="37"/>
      <c r="K569" s="35"/>
      <c r="L569" s="44"/>
      <c r="M569" s="45"/>
      <c r="N569" s="32"/>
    </row>
    <row r="570" ht="15.75" customHeight="1">
      <c r="A570" s="20"/>
      <c r="B570" s="21"/>
      <c r="C570" s="22"/>
      <c r="D570" s="50"/>
      <c r="E570" s="23"/>
      <c r="F570" s="23"/>
      <c r="G570" s="34"/>
      <c r="H570" s="35"/>
      <c r="I570" s="43"/>
      <c r="J570" s="37"/>
      <c r="K570" s="35"/>
      <c r="L570" s="44"/>
      <c r="M570" s="45"/>
      <c r="N570" s="32"/>
    </row>
    <row r="571" ht="15.75" customHeight="1">
      <c r="A571" s="53"/>
      <c r="B571" s="21"/>
      <c r="C571" s="22"/>
      <c r="D571" s="50"/>
      <c r="E571" s="23"/>
      <c r="F571" s="23"/>
      <c r="G571" s="34"/>
      <c r="H571" s="35"/>
      <c r="I571" s="43"/>
      <c r="J571" s="37"/>
      <c r="K571" s="35"/>
      <c r="L571" s="44"/>
      <c r="M571" s="45"/>
      <c r="N571" s="32"/>
    </row>
    <row r="572" ht="15.75" customHeight="1">
      <c r="A572" s="53"/>
      <c r="B572" s="21"/>
      <c r="C572" s="22"/>
      <c r="D572" s="50"/>
      <c r="E572" s="23"/>
      <c r="F572" s="23"/>
      <c r="G572" s="34"/>
      <c r="H572" s="35"/>
      <c r="I572" s="43"/>
      <c r="J572" s="37"/>
      <c r="K572" s="35"/>
      <c r="L572" s="44"/>
      <c r="M572" s="45"/>
      <c r="N572" s="32"/>
    </row>
    <row r="573" ht="15.75" customHeight="1">
      <c r="A573" s="20"/>
      <c r="B573" s="21"/>
      <c r="C573" s="22"/>
      <c r="D573" s="50"/>
      <c r="E573" s="23"/>
      <c r="F573" s="23"/>
      <c r="G573" s="34"/>
      <c r="H573" s="35"/>
      <c r="I573" s="43"/>
      <c r="J573" s="37"/>
      <c r="K573" s="35"/>
      <c r="L573" s="44"/>
      <c r="M573" s="45"/>
      <c r="N573" s="32"/>
    </row>
    <row r="574" ht="15.75" customHeight="1">
      <c r="A574" s="20"/>
      <c r="B574" s="21"/>
      <c r="C574" s="22"/>
      <c r="D574" s="22"/>
      <c r="E574" s="23"/>
      <c r="F574" s="23"/>
      <c r="G574" s="34"/>
      <c r="H574" s="35"/>
      <c r="I574" s="43"/>
      <c r="J574" s="37"/>
      <c r="K574" s="35"/>
      <c r="L574" s="44"/>
      <c r="M574" s="45"/>
      <c r="N574" s="32"/>
    </row>
    <row r="575" ht="15.75" customHeight="1">
      <c r="A575" s="20"/>
      <c r="B575" s="21"/>
      <c r="C575" s="22"/>
      <c r="D575" s="22"/>
      <c r="E575" s="23"/>
      <c r="F575" s="23"/>
      <c r="G575" s="34"/>
      <c r="H575" s="35"/>
      <c r="I575" s="43"/>
      <c r="J575" s="37"/>
      <c r="K575" s="35"/>
      <c r="L575" s="44"/>
      <c r="M575" s="45"/>
      <c r="N575" s="32"/>
    </row>
    <row r="576" ht="15.75" customHeight="1">
      <c r="A576" s="20"/>
      <c r="B576" s="21"/>
      <c r="C576" s="22"/>
      <c r="D576" s="22"/>
      <c r="E576" s="23"/>
      <c r="F576" s="23"/>
      <c r="G576" s="34"/>
      <c r="H576" s="35"/>
      <c r="I576" s="43"/>
      <c r="J576" s="37"/>
      <c r="K576" s="35"/>
      <c r="L576" s="44"/>
      <c r="M576" s="45"/>
      <c r="N576" s="32"/>
    </row>
    <row r="577" ht="15.75" customHeight="1">
      <c r="A577" s="20"/>
      <c r="B577" s="21"/>
      <c r="C577" s="22"/>
      <c r="D577" s="46"/>
      <c r="E577" s="23"/>
      <c r="F577" s="23"/>
      <c r="G577" s="34"/>
      <c r="H577" s="35"/>
      <c r="I577" s="43"/>
      <c r="J577" s="37"/>
      <c r="K577" s="35"/>
      <c r="L577" s="44"/>
      <c r="M577" s="45"/>
      <c r="N577" s="32"/>
    </row>
    <row r="578" ht="15.75" customHeight="1">
      <c r="A578" s="20"/>
      <c r="B578" s="21"/>
      <c r="C578" s="22"/>
      <c r="D578" s="50"/>
      <c r="E578" s="23"/>
      <c r="F578" s="23"/>
      <c r="G578" s="34"/>
      <c r="H578" s="35"/>
      <c r="I578" s="43"/>
      <c r="J578" s="37"/>
      <c r="K578" s="35"/>
      <c r="L578" s="44"/>
      <c r="M578" s="45"/>
      <c r="N578" s="32"/>
    </row>
    <row r="579" ht="15.75" customHeight="1">
      <c r="A579" s="20"/>
      <c r="B579" s="21"/>
      <c r="C579" s="22"/>
      <c r="D579" s="50"/>
      <c r="E579" s="23"/>
      <c r="F579" s="23"/>
      <c r="G579" s="34"/>
      <c r="H579" s="35"/>
      <c r="I579" s="43"/>
      <c r="J579" s="37"/>
      <c r="K579" s="35"/>
      <c r="L579" s="44"/>
      <c r="M579" s="45"/>
      <c r="N579" s="32"/>
    </row>
    <row r="580" ht="15.75" customHeight="1">
      <c r="A580" s="20"/>
      <c r="B580" s="21"/>
      <c r="C580" s="22"/>
      <c r="D580" s="50"/>
      <c r="E580" s="23"/>
      <c r="F580" s="23"/>
      <c r="G580" s="34"/>
      <c r="H580" s="35"/>
      <c r="I580" s="43"/>
      <c r="J580" s="37"/>
      <c r="K580" s="35"/>
      <c r="L580" s="44"/>
      <c r="M580" s="45"/>
      <c r="N580" s="32"/>
    </row>
    <row r="581" ht="15.75" customHeight="1">
      <c r="A581" s="20"/>
      <c r="B581" s="21"/>
      <c r="C581" s="22"/>
      <c r="D581" s="22"/>
      <c r="E581" s="23"/>
      <c r="F581" s="23"/>
      <c r="G581" s="34"/>
      <c r="H581" s="35"/>
      <c r="I581" s="43"/>
      <c r="J581" s="37"/>
      <c r="K581" s="35"/>
      <c r="L581" s="44"/>
      <c r="M581" s="45"/>
      <c r="N581" s="32"/>
    </row>
    <row r="582" ht="15.75" customHeight="1">
      <c r="A582" s="20"/>
      <c r="B582" s="21"/>
      <c r="C582" s="22"/>
      <c r="D582" s="22"/>
      <c r="E582" s="23"/>
      <c r="F582" s="23"/>
      <c r="G582" s="34"/>
      <c r="H582" s="35"/>
      <c r="I582" s="43"/>
      <c r="J582" s="37"/>
      <c r="K582" s="35"/>
      <c r="L582" s="44"/>
      <c r="M582" s="45"/>
      <c r="N582" s="32"/>
    </row>
    <row r="583" ht="15.75" customHeight="1">
      <c r="A583" s="20"/>
      <c r="B583" s="21"/>
      <c r="C583" s="22"/>
      <c r="D583" s="22"/>
      <c r="E583" s="23"/>
      <c r="F583" s="23"/>
      <c r="G583" s="34"/>
      <c r="H583" s="35"/>
      <c r="I583" s="43"/>
      <c r="J583" s="37"/>
      <c r="K583" s="35"/>
      <c r="L583" s="44"/>
      <c r="M583" s="45"/>
      <c r="N583" s="32"/>
    </row>
    <row r="584" ht="15.75" customHeight="1">
      <c r="A584" s="20"/>
      <c r="B584" s="21"/>
      <c r="C584" s="22"/>
      <c r="D584" s="22"/>
      <c r="E584" s="23"/>
      <c r="F584" s="23"/>
      <c r="G584" s="34"/>
      <c r="H584" s="35"/>
      <c r="I584" s="43"/>
      <c r="J584" s="37"/>
      <c r="K584" s="35"/>
      <c r="L584" s="44"/>
      <c r="M584" s="45"/>
      <c r="N584" s="32"/>
    </row>
    <row r="585" ht="15.75" customHeight="1">
      <c r="A585" s="20"/>
      <c r="B585" s="39"/>
      <c r="C585" s="22"/>
      <c r="D585" s="22"/>
      <c r="E585" s="23"/>
      <c r="F585" s="23"/>
      <c r="G585" s="34"/>
      <c r="H585" s="35"/>
      <c r="I585" s="43"/>
      <c r="J585" s="37"/>
      <c r="K585" s="47"/>
      <c r="L585" s="44"/>
      <c r="M585" s="45"/>
      <c r="N585" s="32"/>
    </row>
    <row r="586" ht="15.75" customHeight="1">
      <c r="A586" s="20"/>
      <c r="B586" s="39"/>
      <c r="C586" s="22"/>
      <c r="D586" s="22"/>
      <c r="E586" s="23"/>
      <c r="F586" s="23"/>
      <c r="G586" s="34"/>
      <c r="H586" s="35"/>
      <c r="I586" s="43"/>
      <c r="J586" s="37"/>
      <c r="K586" s="47"/>
      <c r="L586" s="44"/>
      <c r="M586" s="45"/>
      <c r="N586" s="32"/>
    </row>
    <row r="587" ht="15.75" customHeight="1">
      <c r="A587" s="20"/>
      <c r="B587" s="21"/>
      <c r="C587" s="22"/>
      <c r="D587" s="22"/>
      <c r="E587" s="23"/>
      <c r="F587" s="23"/>
      <c r="G587" s="34"/>
      <c r="H587" s="35"/>
      <c r="I587" s="43"/>
      <c r="J587" s="37"/>
      <c r="K587" s="35"/>
      <c r="L587" s="44"/>
      <c r="M587" s="45"/>
      <c r="N587" s="32"/>
    </row>
    <row r="588" ht="15.75" customHeight="1">
      <c r="A588" s="20"/>
      <c r="B588" s="21"/>
      <c r="C588" s="22"/>
      <c r="D588" s="46"/>
      <c r="E588" s="23"/>
      <c r="F588" s="23"/>
      <c r="G588" s="34"/>
      <c r="H588" s="35"/>
      <c r="I588" s="43"/>
      <c r="J588" s="37"/>
      <c r="K588" s="35"/>
      <c r="L588" s="44"/>
      <c r="M588" s="45"/>
      <c r="N588" s="32"/>
    </row>
    <row r="589" ht="15.75" customHeight="1">
      <c r="A589" s="20"/>
      <c r="B589" s="21"/>
      <c r="C589" s="22"/>
      <c r="D589" s="46"/>
      <c r="E589" s="23"/>
      <c r="F589" s="23"/>
      <c r="G589" s="34"/>
      <c r="H589" s="35"/>
      <c r="I589" s="43"/>
      <c r="J589" s="37"/>
      <c r="K589" s="35"/>
      <c r="L589" s="44"/>
      <c r="M589" s="45"/>
      <c r="N589" s="32"/>
    </row>
    <row r="590" ht="15.75" customHeight="1">
      <c r="A590" s="20"/>
      <c r="B590" s="21"/>
      <c r="C590" s="22"/>
      <c r="D590" s="22"/>
      <c r="E590" s="23"/>
      <c r="F590" s="23"/>
      <c r="G590" s="34"/>
      <c r="H590" s="35"/>
      <c r="I590" s="43"/>
      <c r="J590" s="37"/>
      <c r="K590" s="35"/>
      <c r="L590" s="44"/>
      <c r="M590" s="45"/>
      <c r="N590" s="32"/>
    </row>
    <row r="591" ht="15.75" customHeight="1">
      <c r="A591" s="20"/>
      <c r="B591" s="21"/>
      <c r="C591" s="22"/>
      <c r="D591" s="50"/>
      <c r="E591" s="23"/>
      <c r="F591" s="23"/>
      <c r="G591" s="34"/>
      <c r="H591" s="35"/>
      <c r="I591" s="43"/>
      <c r="J591" s="37"/>
      <c r="K591" s="35"/>
      <c r="L591" s="44"/>
      <c r="M591" s="45"/>
      <c r="N591" s="32"/>
    </row>
    <row r="592" ht="15.75" customHeight="1">
      <c r="A592" s="20"/>
      <c r="B592" s="21"/>
      <c r="C592" s="22"/>
      <c r="D592" s="50"/>
      <c r="E592" s="23"/>
      <c r="F592" s="23"/>
      <c r="G592" s="34"/>
      <c r="H592" s="35"/>
      <c r="I592" s="43"/>
      <c r="J592" s="37"/>
      <c r="K592" s="35"/>
      <c r="L592" s="44"/>
      <c r="M592" s="45"/>
      <c r="N592" s="32"/>
    </row>
    <row r="593" ht="15.75" customHeight="1">
      <c r="A593" s="20"/>
      <c r="B593" s="21"/>
      <c r="C593" s="22"/>
      <c r="D593" s="50"/>
      <c r="E593" s="23"/>
      <c r="F593" s="23"/>
      <c r="G593" s="34"/>
      <c r="H593" s="35"/>
      <c r="I593" s="43"/>
      <c r="J593" s="37"/>
      <c r="K593" s="35"/>
      <c r="L593" s="44"/>
      <c r="M593" s="45"/>
      <c r="N593" s="32"/>
    </row>
    <row r="594" ht="15.75" customHeight="1">
      <c r="A594" s="20"/>
      <c r="B594" s="21"/>
      <c r="C594" s="22"/>
      <c r="D594" s="50"/>
      <c r="E594" s="23"/>
      <c r="F594" s="23"/>
      <c r="G594" s="34"/>
      <c r="H594" s="35"/>
      <c r="I594" s="43"/>
      <c r="J594" s="37"/>
      <c r="K594" s="35"/>
      <c r="L594" s="44"/>
      <c r="M594" s="45"/>
      <c r="N594" s="32"/>
    </row>
    <row r="595" ht="15.75" customHeight="1">
      <c r="A595" s="20"/>
      <c r="B595" s="21"/>
      <c r="C595" s="22"/>
      <c r="D595" s="22"/>
      <c r="E595" s="23"/>
      <c r="F595" s="23"/>
      <c r="G595" s="34"/>
      <c r="H595" s="35"/>
      <c r="I595" s="43"/>
      <c r="J595" s="37"/>
      <c r="K595" s="35"/>
      <c r="L595" s="44"/>
      <c r="M595" s="45"/>
      <c r="N595" s="32"/>
    </row>
    <row r="596" ht="15.75" customHeight="1">
      <c r="A596" s="20"/>
      <c r="B596" s="21"/>
      <c r="C596" s="22"/>
      <c r="D596" s="46"/>
      <c r="E596" s="23"/>
      <c r="F596" s="23"/>
      <c r="G596" s="34"/>
      <c r="H596" s="35"/>
      <c r="I596" s="43"/>
      <c r="J596" s="37"/>
      <c r="K596" s="35"/>
      <c r="L596" s="44"/>
      <c r="M596" s="45"/>
      <c r="N596" s="32"/>
    </row>
    <row r="597" ht="15.75" customHeight="1">
      <c r="A597" s="20"/>
      <c r="B597" s="21"/>
      <c r="C597" s="22"/>
      <c r="D597" s="22"/>
      <c r="E597" s="23"/>
      <c r="F597" s="23"/>
      <c r="G597" s="34"/>
      <c r="H597" s="35"/>
      <c r="I597" s="43"/>
      <c r="J597" s="37"/>
      <c r="K597" s="35"/>
      <c r="L597" s="44"/>
      <c r="M597" s="45"/>
      <c r="N597" s="32"/>
    </row>
    <row r="598" ht="15.75" customHeight="1">
      <c r="A598" s="20"/>
      <c r="B598" s="21"/>
      <c r="C598" s="22"/>
      <c r="D598" s="46"/>
      <c r="E598" s="23"/>
      <c r="F598" s="23"/>
      <c r="G598" s="34"/>
      <c r="H598" s="35"/>
      <c r="I598" s="43"/>
      <c r="J598" s="37"/>
      <c r="K598" s="35"/>
      <c r="L598" s="44"/>
      <c r="M598" s="45"/>
      <c r="N598" s="32"/>
    </row>
    <row r="599" ht="15.75" customHeight="1">
      <c r="A599" s="20"/>
      <c r="B599" s="21"/>
      <c r="C599" s="22"/>
      <c r="D599" s="22"/>
      <c r="E599" s="23"/>
      <c r="F599" s="23"/>
      <c r="G599" s="34"/>
      <c r="H599" s="35"/>
      <c r="I599" s="43"/>
      <c r="J599" s="37"/>
      <c r="K599" s="35"/>
      <c r="L599" s="44"/>
      <c r="M599" s="45"/>
      <c r="N599" s="32"/>
    </row>
    <row r="600" ht="15.75" customHeight="1">
      <c r="A600" s="53"/>
      <c r="B600" s="21"/>
      <c r="C600" s="22"/>
      <c r="D600" s="50"/>
      <c r="E600" s="23"/>
      <c r="F600" s="23"/>
      <c r="G600" s="34"/>
      <c r="H600" s="35"/>
      <c r="I600" s="43"/>
      <c r="J600" s="37"/>
      <c r="K600" s="35"/>
      <c r="L600" s="44"/>
      <c r="M600" s="45"/>
      <c r="N600" s="32"/>
    </row>
    <row r="601" ht="15.75" customHeight="1">
      <c r="A601" s="20"/>
      <c r="B601" s="21"/>
      <c r="C601" s="22"/>
      <c r="D601" s="50"/>
      <c r="E601" s="23"/>
      <c r="F601" s="23"/>
      <c r="G601" s="34"/>
      <c r="H601" s="35"/>
      <c r="I601" s="43"/>
      <c r="J601" s="37"/>
      <c r="K601" s="35"/>
      <c r="L601" s="44"/>
      <c r="M601" s="45"/>
      <c r="N601" s="32"/>
    </row>
    <row r="602" ht="15.75" customHeight="1">
      <c r="A602" s="20"/>
      <c r="B602" s="21"/>
      <c r="C602" s="22"/>
      <c r="D602" s="50"/>
      <c r="E602" s="23"/>
      <c r="F602" s="23"/>
      <c r="G602" s="34"/>
      <c r="H602" s="35"/>
      <c r="I602" s="43"/>
      <c r="J602" s="37"/>
      <c r="K602" s="35"/>
      <c r="L602" s="44"/>
      <c r="M602" s="45"/>
      <c r="N602" s="32"/>
    </row>
    <row r="603" ht="15.75" customHeight="1">
      <c r="A603" s="20"/>
      <c r="B603" s="21"/>
      <c r="C603" s="22"/>
      <c r="D603" s="22"/>
      <c r="E603" s="23"/>
      <c r="F603" s="23"/>
      <c r="G603" s="34"/>
      <c r="H603" s="35"/>
      <c r="I603" s="43"/>
      <c r="J603" s="37"/>
      <c r="K603" s="35"/>
      <c r="L603" s="44"/>
      <c r="M603" s="45"/>
      <c r="N603" s="32"/>
    </row>
    <row r="604" ht="15.75" customHeight="1">
      <c r="A604" s="20"/>
      <c r="B604" s="21"/>
      <c r="C604" s="22"/>
      <c r="D604" s="22"/>
      <c r="E604" s="23"/>
      <c r="F604" s="23"/>
      <c r="G604" s="34"/>
      <c r="H604" s="35"/>
      <c r="I604" s="43"/>
      <c r="J604" s="37"/>
      <c r="K604" s="35"/>
      <c r="L604" s="44"/>
      <c r="M604" s="45"/>
      <c r="N604" s="32"/>
    </row>
    <row r="605" ht="15.75" customHeight="1">
      <c r="A605" s="20"/>
      <c r="B605" s="21"/>
      <c r="C605" s="22"/>
      <c r="D605" s="22"/>
      <c r="E605" s="23"/>
      <c r="F605" s="23"/>
      <c r="G605" s="34"/>
      <c r="H605" s="35"/>
      <c r="I605" s="43"/>
      <c r="J605" s="37"/>
      <c r="K605" s="35"/>
      <c r="L605" s="44"/>
      <c r="M605" s="45"/>
      <c r="N605" s="32"/>
    </row>
    <row r="606" ht="15.75" customHeight="1">
      <c r="A606" s="20"/>
      <c r="B606" s="21"/>
      <c r="C606" s="22"/>
      <c r="D606" s="50"/>
      <c r="E606" s="23"/>
      <c r="F606" s="23"/>
      <c r="G606" s="34"/>
      <c r="H606" s="35"/>
      <c r="I606" s="43"/>
      <c r="J606" s="37"/>
      <c r="K606" s="35"/>
      <c r="L606" s="44"/>
      <c r="M606" s="45"/>
      <c r="N606" s="32"/>
    </row>
    <row r="607" ht="15.75" customHeight="1">
      <c r="A607" s="20"/>
      <c r="B607" s="21"/>
      <c r="C607" s="22"/>
      <c r="D607" s="50"/>
      <c r="E607" s="23"/>
      <c r="F607" s="23"/>
      <c r="G607" s="34"/>
      <c r="H607" s="35"/>
      <c r="I607" s="43"/>
      <c r="J607" s="37"/>
      <c r="K607" s="35"/>
      <c r="L607" s="44"/>
      <c r="M607" s="45"/>
      <c r="N607" s="32"/>
    </row>
    <row r="608" ht="15.75" customHeight="1">
      <c r="A608" s="20"/>
      <c r="B608" s="21"/>
      <c r="C608" s="22"/>
      <c r="D608" s="50"/>
      <c r="E608" s="23"/>
      <c r="F608" s="23"/>
      <c r="G608" s="34"/>
      <c r="H608" s="35"/>
      <c r="I608" s="43"/>
      <c r="J608" s="37"/>
      <c r="K608" s="35"/>
      <c r="L608" s="44"/>
      <c r="M608" s="45"/>
      <c r="N608" s="32"/>
    </row>
    <row r="609" ht="15.75" customHeight="1">
      <c r="A609" s="20"/>
      <c r="B609" s="21"/>
      <c r="C609" s="22"/>
      <c r="D609" s="50"/>
      <c r="E609" s="23"/>
      <c r="F609" s="23"/>
      <c r="G609" s="34"/>
      <c r="H609" s="35"/>
      <c r="I609" s="43"/>
      <c r="J609" s="37"/>
      <c r="K609" s="35"/>
      <c r="L609" s="44"/>
      <c r="M609" s="45"/>
      <c r="N609" s="32"/>
    </row>
    <row r="610" ht="15.75" customHeight="1">
      <c r="A610" s="53"/>
      <c r="B610" s="21"/>
      <c r="C610" s="22"/>
      <c r="D610" s="50"/>
      <c r="E610" s="23"/>
      <c r="F610" s="23"/>
      <c r="G610" s="34"/>
      <c r="H610" s="35"/>
      <c r="I610" s="43"/>
      <c r="J610" s="37"/>
      <c r="K610" s="35"/>
      <c r="L610" s="44"/>
      <c r="M610" s="45"/>
      <c r="N610" s="32"/>
    </row>
    <row r="611" ht="15.75" customHeight="1">
      <c r="A611" s="53"/>
      <c r="B611" s="21"/>
      <c r="C611" s="22"/>
      <c r="D611" s="50"/>
      <c r="E611" s="23"/>
      <c r="F611" s="23"/>
      <c r="G611" s="34"/>
      <c r="H611" s="35"/>
      <c r="I611" s="43"/>
      <c r="J611" s="37"/>
      <c r="K611" s="35"/>
      <c r="L611" s="44"/>
      <c r="M611" s="45"/>
      <c r="N611" s="32"/>
    </row>
    <row r="612" ht="15.75" customHeight="1">
      <c r="A612" s="20"/>
      <c r="B612" s="21"/>
      <c r="C612" s="22"/>
      <c r="D612" s="22"/>
      <c r="E612" s="23"/>
      <c r="F612" s="23"/>
      <c r="G612" s="34"/>
      <c r="H612" s="35"/>
      <c r="I612" s="43"/>
      <c r="J612" s="37"/>
      <c r="K612" s="35"/>
      <c r="L612" s="44"/>
      <c r="M612" s="45"/>
      <c r="N612" s="32"/>
    </row>
    <row r="613" ht="15.75" customHeight="1">
      <c r="A613" s="20"/>
      <c r="B613" s="21"/>
      <c r="C613" s="22"/>
      <c r="D613" s="46"/>
      <c r="E613" s="23"/>
      <c r="F613" s="23"/>
      <c r="G613" s="34"/>
      <c r="H613" s="35"/>
      <c r="I613" s="43"/>
      <c r="J613" s="37"/>
      <c r="K613" s="35"/>
      <c r="L613" s="44"/>
      <c r="M613" s="45"/>
      <c r="N613" s="32"/>
    </row>
    <row r="614" ht="15.75" customHeight="1">
      <c r="A614" s="20"/>
      <c r="B614" s="21"/>
      <c r="C614" s="22"/>
      <c r="D614" s="50"/>
      <c r="E614" s="23"/>
      <c r="F614" s="23"/>
      <c r="G614" s="34"/>
      <c r="H614" s="35"/>
      <c r="I614" s="43"/>
      <c r="J614" s="37"/>
      <c r="K614" s="35"/>
      <c r="L614" s="44"/>
      <c r="M614" s="45"/>
      <c r="N614" s="32"/>
    </row>
    <row r="615" ht="15.75" customHeight="1">
      <c r="A615" s="20"/>
      <c r="B615" s="21"/>
      <c r="C615" s="22"/>
      <c r="D615" s="22"/>
      <c r="E615" s="23"/>
      <c r="F615" s="23"/>
      <c r="G615" s="34"/>
      <c r="H615" s="35"/>
      <c r="I615" s="43"/>
      <c r="J615" s="37"/>
      <c r="K615" s="35"/>
      <c r="L615" s="44"/>
      <c r="M615" s="45"/>
      <c r="N615" s="32"/>
    </row>
    <row r="616" ht="15.75" customHeight="1">
      <c r="A616" s="20"/>
      <c r="B616" s="21"/>
      <c r="C616" s="22"/>
      <c r="D616" s="22"/>
      <c r="E616" s="23"/>
      <c r="F616" s="23"/>
      <c r="G616" s="34"/>
      <c r="H616" s="35"/>
      <c r="I616" s="43"/>
      <c r="J616" s="37"/>
      <c r="K616" s="35"/>
      <c r="L616" s="44"/>
      <c r="M616" s="45"/>
      <c r="N616" s="32"/>
    </row>
    <row r="617" ht="15.75" customHeight="1">
      <c r="A617" s="20"/>
      <c r="B617" s="21"/>
      <c r="C617" s="22"/>
      <c r="D617" s="22"/>
      <c r="E617" s="23"/>
      <c r="F617" s="23"/>
      <c r="G617" s="34"/>
      <c r="H617" s="35"/>
      <c r="I617" s="43"/>
      <c r="J617" s="37"/>
      <c r="K617" s="35"/>
      <c r="L617" s="44"/>
      <c r="M617" s="45"/>
      <c r="N617" s="32"/>
    </row>
    <row r="618" ht="15.75" customHeight="1">
      <c r="A618" s="20"/>
      <c r="B618" s="21"/>
      <c r="C618" s="22"/>
      <c r="D618" s="22"/>
      <c r="E618" s="23"/>
      <c r="F618" s="23"/>
      <c r="G618" s="34"/>
      <c r="H618" s="35"/>
      <c r="I618" s="43"/>
      <c r="J618" s="37"/>
      <c r="K618" s="35"/>
      <c r="L618" s="44"/>
      <c r="M618" s="45"/>
      <c r="N618" s="32"/>
    </row>
    <row r="619" ht="15.75" customHeight="1">
      <c r="A619" s="20"/>
      <c r="B619" s="21"/>
      <c r="C619" s="22"/>
      <c r="D619" s="22"/>
      <c r="E619" s="23"/>
      <c r="F619" s="23"/>
      <c r="G619" s="34"/>
      <c r="H619" s="35"/>
      <c r="I619" s="43"/>
      <c r="J619" s="37"/>
      <c r="K619" s="35"/>
      <c r="L619" s="44"/>
      <c r="M619" s="45"/>
      <c r="N619" s="32"/>
    </row>
    <row r="620" ht="15.75" customHeight="1">
      <c r="A620" s="20"/>
      <c r="B620" s="21"/>
      <c r="C620" s="22"/>
      <c r="D620" s="22"/>
      <c r="E620" s="23"/>
      <c r="F620" s="23"/>
      <c r="G620" s="34"/>
      <c r="H620" s="35"/>
      <c r="I620" s="43"/>
      <c r="J620" s="37"/>
      <c r="K620" s="35"/>
      <c r="L620" s="44"/>
      <c r="M620" s="45"/>
      <c r="N620" s="32"/>
    </row>
    <row r="621" ht="15.75" customHeight="1">
      <c r="A621" s="20"/>
      <c r="B621" s="21"/>
      <c r="C621" s="22"/>
      <c r="D621" s="22"/>
      <c r="E621" s="23"/>
      <c r="F621" s="23"/>
      <c r="G621" s="34"/>
      <c r="H621" s="35"/>
      <c r="I621" s="43"/>
      <c r="J621" s="37"/>
      <c r="K621" s="35"/>
      <c r="L621" s="44"/>
      <c r="M621" s="45"/>
      <c r="N621" s="32"/>
    </row>
    <row r="622" ht="15.75" customHeight="1">
      <c r="A622" s="20"/>
      <c r="B622" s="21"/>
      <c r="C622" s="22"/>
      <c r="D622" s="22"/>
      <c r="E622" s="23"/>
      <c r="F622" s="23"/>
      <c r="G622" s="34"/>
      <c r="H622" s="35"/>
      <c r="I622" s="43"/>
      <c r="J622" s="37"/>
      <c r="K622" s="35"/>
      <c r="L622" s="44"/>
      <c r="M622" s="45"/>
      <c r="N622" s="32"/>
    </row>
    <row r="623" ht="15.75" customHeight="1">
      <c r="A623" s="20"/>
      <c r="B623" s="21"/>
      <c r="C623" s="22"/>
      <c r="D623" s="22"/>
      <c r="E623" s="23"/>
      <c r="F623" s="23"/>
      <c r="G623" s="34"/>
      <c r="H623" s="35"/>
      <c r="I623" s="43"/>
      <c r="J623" s="37"/>
      <c r="K623" s="35"/>
      <c r="L623" s="44"/>
      <c r="M623" s="45"/>
      <c r="N623" s="32"/>
    </row>
    <row r="624" ht="15.75" customHeight="1">
      <c r="A624" s="20"/>
      <c r="B624" s="21"/>
      <c r="C624" s="22"/>
      <c r="D624" s="22"/>
      <c r="E624" s="23"/>
      <c r="F624" s="23"/>
      <c r="G624" s="34"/>
      <c r="H624" s="35"/>
      <c r="I624" s="43"/>
      <c r="J624" s="37"/>
      <c r="K624" s="35"/>
      <c r="L624" s="44"/>
      <c r="M624" s="45"/>
      <c r="N624" s="32"/>
    </row>
    <row r="625" ht="15.75" customHeight="1">
      <c r="A625" s="20"/>
      <c r="B625" s="21"/>
      <c r="C625" s="22"/>
      <c r="D625" s="22"/>
      <c r="E625" s="23"/>
      <c r="F625" s="23"/>
      <c r="G625" s="34"/>
      <c r="H625" s="35"/>
      <c r="I625" s="43"/>
      <c r="J625" s="37"/>
      <c r="K625" s="35"/>
      <c r="L625" s="44"/>
      <c r="M625" s="45"/>
      <c r="N625" s="32"/>
    </row>
    <row r="626" ht="15.75" customHeight="1">
      <c r="A626" s="20"/>
      <c r="B626" s="21"/>
      <c r="C626" s="22"/>
      <c r="D626" s="49"/>
      <c r="E626" s="23"/>
      <c r="F626" s="23"/>
      <c r="G626" s="34"/>
      <c r="H626" s="35"/>
      <c r="I626" s="43"/>
      <c r="J626" s="37"/>
      <c r="K626" s="35"/>
      <c r="L626" s="44"/>
      <c r="M626" s="45"/>
      <c r="N626" s="32"/>
    </row>
    <row r="627" ht="15.75" customHeight="1">
      <c r="A627" s="20"/>
      <c r="B627" s="21"/>
      <c r="C627" s="22"/>
      <c r="D627" s="50"/>
      <c r="E627" s="23"/>
      <c r="F627" s="23"/>
      <c r="G627" s="34"/>
      <c r="H627" s="35"/>
      <c r="I627" s="43"/>
      <c r="J627" s="37"/>
      <c r="K627" s="35"/>
      <c r="L627" s="44"/>
      <c r="M627" s="45"/>
      <c r="N627" s="32"/>
    </row>
    <row r="628" ht="15.75" customHeight="1">
      <c r="A628" s="20"/>
      <c r="B628" s="21"/>
      <c r="C628" s="22"/>
      <c r="D628" s="50"/>
      <c r="E628" s="23"/>
      <c r="F628" s="23"/>
      <c r="G628" s="34"/>
      <c r="H628" s="35"/>
      <c r="I628" s="43"/>
      <c r="J628" s="37"/>
      <c r="K628" s="35"/>
      <c r="L628" s="44"/>
      <c r="M628" s="45"/>
      <c r="N628" s="32"/>
    </row>
    <row r="629" ht="15.75" customHeight="1">
      <c r="A629" s="20"/>
      <c r="B629" s="21"/>
      <c r="C629" s="22"/>
      <c r="D629" s="50"/>
      <c r="E629" s="23"/>
      <c r="F629" s="23"/>
      <c r="G629" s="34"/>
      <c r="H629" s="35"/>
      <c r="I629" s="43"/>
      <c r="J629" s="37"/>
      <c r="K629" s="35"/>
      <c r="L629" s="44"/>
      <c r="M629" s="45"/>
      <c r="N629" s="32"/>
    </row>
    <row r="630" ht="15.75" customHeight="1">
      <c r="A630" s="20"/>
      <c r="B630" s="21"/>
      <c r="C630" s="22"/>
      <c r="D630" s="50"/>
      <c r="E630" s="23"/>
      <c r="F630" s="23"/>
      <c r="G630" s="34"/>
      <c r="H630" s="35"/>
      <c r="I630" s="43"/>
      <c r="J630" s="37"/>
      <c r="K630" s="35"/>
      <c r="L630" s="44"/>
      <c r="M630" s="45"/>
      <c r="N630" s="32"/>
    </row>
    <row r="631" ht="15.75" customHeight="1">
      <c r="A631" s="20"/>
      <c r="B631" s="21"/>
      <c r="C631" s="22"/>
      <c r="D631" s="50"/>
      <c r="E631" s="23"/>
      <c r="F631" s="23"/>
      <c r="G631" s="34"/>
      <c r="H631" s="35"/>
      <c r="I631" s="43"/>
      <c r="J631" s="37"/>
      <c r="K631" s="35"/>
      <c r="L631" s="44"/>
      <c r="M631" s="45"/>
      <c r="N631" s="32"/>
    </row>
    <row r="632" ht="15.75" customHeight="1">
      <c r="A632" s="20"/>
      <c r="B632" s="21"/>
      <c r="C632" s="22"/>
      <c r="D632" s="50"/>
      <c r="E632" s="23"/>
      <c r="F632" s="23"/>
      <c r="G632" s="34"/>
      <c r="H632" s="35"/>
      <c r="I632" s="43"/>
      <c r="J632" s="37"/>
      <c r="K632" s="35"/>
      <c r="L632" s="44"/>
      <c r="M632" s="45"/>
      <c r="N632" s="32"/>
    </row>
    <row r="633" ht="15.75" customHeight="1">
      <c r="A633" s="53"/>
      <c r="B633" s="21"/>
      <c r="C633" s="22"/>
      <c r="D633" s="50"/>
      <c r="E633" s="23"/>
      <c r="F633" s="23"/>
      <c r="G633" s="34"/>
      <c r="H633" s="35"/>
      <c r="I633" s="43"/>
      <c r="J633" s="37"/>
      <c r="K633" s="35"/>
      <c r="L633" s="44"/>
      <c r="M633" s="45"/>
      <c r="N633" s="32"/>
    </row>
    <row r="634" ht="15.75" customHeight="1">
      <c r="A634" s="20"/>
      <c r="B634" s="21"/>
      <c r="C634" s="22"/>
      <c r="D634" s="50"/>
      <c r="E634" s="23"/>
      <c r="F634" s="23"/>
      <c r="G634" s="34"/>
      <c r="H634" s="35"/>
      <c r="I634" s="43"/>
      <c r="J634" s="37"/>
      <c r="K634" s="35"/>
      <c r="L634" s="44"/>
      <c r="M634" s="45"/>
      <c r="N634" s="32"/>
    </row>
    <row r="635" ht="15.75" customHeight="1">
      <c r="A635" s="20"/>
      <c r="B635" s="21"/>
      <c r="C635" s="22"/>
      <c r="D635" s="50"/>
      <c r="E635" s="23"/>
      <c r="F635" s="23"/>
      <c r="G635" s="34"/>
      <c r="H635" s="35"/>
      <c r="I635" s="43"/>
      <c r="J635" s="37"/>
      <c r="K635" s="35"/>
      <c r="L635" s="44"/>
      <c r="M635" s="45"/>
      <c r="N635" s="32"/>
    </row>
    <row r="636" ht="15.75" customHeight="1">
      <c r="A636" s="20"/>
      <c r="B636" s="21"/>
      <c r="C636" s="22"/>
      <c r="D636" s="50"/>
      <c r="E636" s="23"/>
      <c r="F636" s="23"/>
      <c r="G636" s="34"/>
      <c r="H636" s="35"/>
      <c r="I636" s="43"/>
      <c r="J636" s="37"/>
      <c r="K636" s="35"/>
      <c r="L636" s="44"/>
      <c r="M636" s="45"/>
      <c r="N636" s="32"/>
    </row>
    <row r="637" ht="15.75" customHeight="1">
      <c r="A637" s="20"/>
      <c r="B637" s="21"/>
      <c r="C637" s="22"/>
      <c r="D637" s="22"/>
      <c r="E637" s="23"/>
      <c r="F637" s="23"/>
      <c r="G637" s="34"/>
      <c r="H637" s="35"/>
      <c r="I637" s="43"/>
      <c r="J637" s="37"/>
      <c r="K637" s="35"/>
      <c r="L637" s="44"/>
      <c r="M637" s="45"/>
      <c r="N637" s="32"/>
    </row>
    <row r="638" ht="15.75" customHeight="1">
      <c r="A638" s="20"/>
      <c r="B638" s="21"/>
      <c r="C638" s="22"/>
      <c r="D638" s="22"/>
      <c r="E638" s="23"/>
      <c r="F638" s="23"/>
      <c r="G638" s="34"/>
      <c r="H638" s="35"/>
      <c r="I638" s="43"/>
      <c r="J638" s="37"/>
      <c r="K638" s="35"/>
      <c r="L638" s="44"/>
      <c r="M638" s="45"/>
      <c r="N638" s="32"/>
    </row>
    <row r="639" ht="15.75" customHeight="1">
      <c r="A639" s="20"/>
      <c r="B639" s="21"/>
      <c r="C639" s="22"/>
      <c r="D639" s="46"/>
      <c r="E639" s="23"/>
      <c r="F639" s="23"/>
      <c r="G639" s="34"/>
      <c r="H639" s="35"/>
      <c r="I639" s="43"/>
      <c r="J639" s="37"/>
      <c r="K639" s="35"/>
      <c r="L639" s="44"/>
      <c r="M639" s="45"/>
      <c r="N639" s="32"/>
    </row>
    <row r="640" ht="15.75" customHeight="1">
      <c r="A640" s="20"/>
      <c r="B640" s="21"/>
      <c r="C640" s="22"/>
      <c r="D640" s="22"/>
      <c r="E640" s="23"/>
      <c r="F640" s="23"/>
      <c r="G640" s="34"/>
      <c r="H640" s="35"/>
      <c r="I640" s="43"/>
      <c r="J640" s="37"/>
      <c r="K640" s="35"/>
      <c r="L640" s="44"/>
      <c r="M640" s="45"/>
      <c r="N640" s="32"/>
    </row>
    <row r="641" ht="15.75" customHeight="1">
      <c r="A641" s="20"/>
      <c r="B641" s="21"/>
      <c r="C641" s="22"/>
      <c r="D641" s="22"/>
      <c r="E641" s="23"/>
      <c r="F641" s="23"/>
      <c r="G641" s="34"/>
      <c r="H641" s="35"/>
      <c r="I641" s="43"/>
      <c r="J641" s="37"/>
      <c r="K641" s="35"/>
      <c r="L641" s="44"/>
      <c r="M641" s="45"/>
      <c r="N641" s="32"/>
    </row>
    <row r="642" ht="15.75" customHeight="1">
      <c r="A642" s="20"/>
      <c r="B642" s="21"/>
      <c r="C642" s="22"/>
      <c r="D642" s="50"/>
      <c r="E642" s="23"/>
      <c r="F642" s="23"/>
      <c r="G642" s="34"/>
      <c r="H642" s="35"/>
      <c r="I642" s="43"/>
      <c r="J642" s="37"/>
      <c r="K642" s="35"/>
      <c r="L642" s="44"/>
      <c r="M642" s="45"/>
      <c r="N642" s="32"/>
    </row>
    <row r="643" ht="15.75" customHeight="1">
      <c r="A643" s="20"/>
      <c r="B643" s="21"/>
      <c r="C643" s="22"/>
      <c r="D643" s="50"/>
      <c r="E643" s="23"/>
      <c r="F643" s="23"/>
      <c r="G643" s="34"/>
      <c r="H643" s="35"/>
      <c r="I643" s="43"/>
      <c r="J643" s="37"/>
      <c r="K643" s="35"/>
      <c r="L643" s="44"/>
      <c r="M643" s="45"/>
      <c r="N643" s="32"/>
    </row>
    <row r="644" ht="15.75" customHeight="1">
      <c r="A644" s="20"/>
      <c r="B644" s="21"/>
      <c r="C644" s="22"/>
      <c r="D644" s="22"/>
      <c r="E644" s="23"/>
      <c r="F644" s="23"/>
      <c r="G644" s="34"/>
      <c r="H644" s="35"/>
      <c r="I644" s="43"/>
      <c r="J644" s="37"/>
      <c r="K644" s="35"/>
      <c r="L644" s="44"/>
      <c r="M644" s="45"/>
      <c r="N644" s="32"/>
    </row>
    <row r="645" ht="15.75" customHeight="1">
      <c r="A645" s="20"/>
      <c r="B645" s="21"/>
      <c r="C645" s="22"/>
      <c r="D645" s="22"/>
      <c r="E645" s="23"/>
      <c r="F645" s="23"/>
      <c r="G645" s="34"/>
      <c r="H645" s="35"/>
      <c r="I645" s="43"/>
      <c r="J645" s="37"/>
      <c r="K645" s="35"/>
      <c r="L645" s="44"/>
      <c r="M645" s="45"/>
      <c r="N645" s="32"/>
    </row>
    <row r="646" ht="15.75" customHeight="1">
      <c r="A646" s="20"/>
      <c r="B646" s="21"/>
      <c r="C646" s="22"/>
      <c r="D646" s="22"/>
      <c r="E646" s="23"/>
      <c r="F646" s="23"/>
      <c r="G646" s="34"/>
      <c r="H646" s="35"/>
      <c r="I646" s="43"/>
      <c r="J646" s="37"/>
      <c r="K646" s="35"/>
      <c r="L646" s="44"/>
      <c r="M646" s="45"/>
      <c r="N646" s="32"/>
    </row>
    <row r="647" ht="15.75" customHeight="1">
      <c r="A647" s="20"/>
      <c r="B647" s="21"/>
      <c r="C647" s="22"/>
      <c r="D647" s="22"/>
      <c r="E647" s="23"/>
      <c r="F647" s="23"/>
      <c r="G647" s="34"/>
      <c r="H647" s="35"/>
      <c r="I647" s="43"/>
      <c r="J647" s="37"/>
      <c r="K647" s="35"/>
      <c r="L647" s="44"/>
      <c r="M647" s="45"/>
      <c r="N647" s="32"/>
    </row>
    <row r="648" ht="15.75" customHeight="1">
      <c r="A648" s="20"/>
      <c r="B648" s="21"/>
      <c r="C648" s="22"/>
      <c r="D648" s="46"/>
      <c r="E648" s="23"/>
      <c r="F648" s="23"/>
      <c r="G648" s="34"/>
      <c r="H648" s="35"/>
      <c r="I648" s="43"/>
      <c r="J648" s="37"/>
      <c r="K648" s="35"/>
      <c r="L648" s="44"/>
      <c r="M648" s="45"/>
      <c r="N648" s="32"/>
    </row>
    <row r="649" ht="15.75" customHeight="1">
      <c r="A649" s="20"/>
      <c r="B649" s="21"/>
      <c r="C649" s="22"/>
      <c r="D649" s="50"/>
      <c r="E649" s="23"/>
      <c r="F649" s="23"/>
      <c r="G649" s="34"/>
      <c r="H649" s="35"/>
      <c r="I649" s="43"/>
      <c r="J649" s="37"/>
      <c r="K649" s="35"/>
      <c r="L649" s="44"/>
      <c r="M649" s="45"/>
      <c r="N649" s="32"/>
    </row>
    <row r="650" ht="15.75" customHeight="1">
      <c r="A650" s="20"/>
      <c r="B650" s="21"/>
      <c r="C650" s="22"/>
      <c r="D650" s="50"/>
      <c r="E650" s="23"/>
      <c r="F650" s="23"/>
      <c r="G650" s="34"/>
      <c r="H650" s="35"/>
      <c r="I650" s="43"/>
      <c r="J650" s="37"/>
      <c r="K650" s="35"/>
      <c r="L650" s="44"/>
      <c r="M650" s="45"/>
      <c r="N650" s="32"/>
    </row>
    <row r="651" ht="15.75" customHeight="1">
      <c r="A651" s="53"/>
      <c r="B651" s="21"/>
      <c r="C651" s="22"/>
      <c r="D651" s="50"/>
      <c r="E651" s="23"/>
      <c r="F651" s="23"/>
      <c r="G651" s="34"/>
      <c r="H651" s="35"/>
      <c r="I651" s="43"/>
      <c r="J651" s="37"/>
      <c r="K651" s="35"/>
      <c r="L651" s="44"/>
      <c r="M651" s="45"/>
      <c r="N651" s="32"/>
    </row>
    <row r="652" ht="15.75" customHeight="1">
      <c r="A652" s="20"/>
      <c r="B652" s="21"/>
      <c r="C652" s="22"/>
      <c r="D652" s="50"/>
      <c r="E652" s="23"/>
      <c r="F652" s="23"/>
      <c r="G652" s="34"/>
      <c r="H652" s="35"/>
      <c r="I652" s="43"/>
      <c r="J652" s="37"/>
      <c r="K652" s="35"/>
      <c r="L652" s="44"/>
      <c r="M652" s="45"/>
      <c r="N652" s="32"/>
    </row>
    <row r="653" ht="15.75" customHeight="1">
      <c r="A653" s="20"/>
      <c r="B653" s="21"/>
      <c r="C653" s="22"/>
      <c r="D653" s="22"/>
      <c r="E653" s="23"/>
      <c r="F653" s="23"/>
      <c r="G653" s="34"/>
      <c r="H653" s="35"/>
      <c r="I653" s="43"/>
      <c r="J653" s="37"/>
      <c r="K653" s="35"/>
      <c r="L653" s="44"/>
      <c r="M653" s="45"/>
      <c r="N653" s="32"/>
    </row>
    <row r="654" ht="15.75" customHeight="1">
      <c r="A654" s="20"/>
      <c r="B654" s="21"/>
      <c r="C654" s="22"/>
      <c r="D654" s="22"/>
      <c r="E654" s="23"/>
      <c r="F654" s="23"/>
      <c r="G654" s="34"/>
      <c r="H654" s="35"/>
      <c r="I654" s="43"/>
      <c r="J654" s="37"/>
      <c r="K654" s="35"/>
      <c r="L654" s="44"/>
      <c r="M654" s="45"/>
      <c r="N654" s="32"/>
    </row>
    <row r="655" ht="15.75" customHeight="1">
      <c r="A655" s="20"/>
      <c r="B655" s="21"/>
      <c r="C655" s="22"/>
      <c r="D655" s="22"/>
      <c r="E655" s="23"/>
      <c r="F655" s="23"/>
      <c r="G655" s="34"/>
      <c r="H655" s="35"/>
      <c r="I655" s="43"/>
      <c r="J655" s="37"/>
      <c r="K655" s="35"/>
      <c r="L655" s="44"/>
      <c r="M655" s="45"/>
      <c r="N655" s="32"/>
    </row>
    <row r="656" ht="15.75" customHeight="1">
      <c r="A656" s="20"/>
      <c r="B656" s="21"/>
      <c r="C656" s="22"/>
      <c r="D656" s="22"/>
      <c r="E656" s="23"/>
      <c r="F656" s="23"/>
      <c r="G656" s="34"/>
      <c r="H656" s="35"/>
      <c r="I656" s="43"/>
      <c r="J656" s="37"/>
      <c r="K656" s="35"/>
      <c r="L656" s="44"/>
      <c r="M656" s="45"/>
      <c r="N656" s="32"/>
    </row>
    <row r="657" ht="15.75" customHeight="1">
      <c r="A657" s="20"/>
      <c r="B657" s="21"/>
      <c r="C657" s="22"/>
      <c r="D657" s="22"/>
      <c r="E657" s="23"/>
      <c r="F657" s="23"/>
      <c r="G657" s="34"/>
      <c r="H657" s="35"/>
      <c r="I657" s="43"/>
      <c r="J657" s="37"/>
      <c r="K657" s="35"/>
      <c r="L657" s="44"/>
      <c r="M657" s="45"/>
      <c r="N657" s="32"/>
    </row>
  </sheetData>
  <autoFilter ref="$A$3:$N$657"/>
  <mergeCells count="1">
    <mergeCell ref="B1:D1"/>
  </mergeCells>
  <dataValidations>
    <dataValidation type="list" allowBlank="1" showErrorMessage="1" sqref="F4:F657">
      <formula1>"Estratégico,Tático,Operacional"</formula1>
    </dataValidation>
    <dataValidation type="list" allowBlank="1" showErrorMessage="1" sqref="E4:E657">
      <formula1>"Júnior,Pleno,Sênior,Especialista,Não trabalhamos senioridade"</formula1>
    </dataValidation>
    <dataValidation type="list" allowBlank="1" showErrorMessage="1" sqref="J4:J657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5"/>
    <col customWidth="1" min="2" max="2" width="43.13"/>
    <col customWidth="1" min="3" max="3" width="18.25"/>
    <col customWidth="1" min="4" max="4" width="19.88"/>
    <col customWidth="1" min="5" max="5" width="15.0"/>
    <col customWidth="1" min="6" max="6" width="40.0"/>
    <col customWidth="1" min="7" max="7" width="15.88"/>
    <col customWidth="1" min="8" max="8" width="19.75"/>
  </cols>
  <sheetData>
    <row r="1" ht="48.0" customHeight="1">
      <c r="A1" s="54" t="s">
        <v>36</v>
      </c>
      <c r="B1" s="3"/>
      <c r="C1" s="3"/>
      <c r="D1" s="3"/>
      <c r="E1" s="3"/>
      <c r="F1" s="3"/>
      <c r="G1" s="3"/>
      <c r="H1" s="55"/>
    </row>
    <row r="2" ht="6.0" customHeight="1">
      <c r="A2" s="5"/>
      <c r="B2" s="5"/>
      <c r="C2" s="5"/>
      <c r="D2" s="5"/>
      <c r="E2" s="5"/>
      <c r="F2" s="5"/>
      <c r="G2" s="5"/>
      <c r="H2" s="5"/>
    </row>
    <row r="3" ht="15.75" customHeight="1">
      <c r="A3" s="13" t="s">
        <v>37</v>
      </c>
      <c r="B3" s="13" t="s">
        <v>38</v>
      </c>
      <c r="C3" s="13" t="s">
        <v>8</v>
      </c>
      <c r="D3" s="13" t="s">
        <v>7</v>
      </c>
      <c r="E3" s="13" t="s">
        <v>39</v>
      </c>
      <c r="F3" s="13" t="s">
        <v>40</v>
      </c>
      <c r="G3" s="13" t="s">
        <v>6</v>
      </c>
      <c r="H3" s="13" t="s">
        <v>41</v>
      </c>
    </row>
    <row r="4" ht="15.75" customHeight="1">
      <c r="A4" s="53">
        <v>1.0</v>
      </c>
      <c r="B4" s="56" t="s">
        <v>28</v>
      </c>
      <c r="C4" s="22" t="s">
        <v>20</v>
      </c>
      <c r="D4" s="30" t="s">
        <v>25</v>
      </c>
      <c r="E4" s="57">
        <v>1.0</v>
      </c>
      <c r="F4" s="58" t="s">
        <v>42</v>
      </c>
      <c r="G4" s="58" t="s">
        <v>29</v>
      </c>
      <c r="H4" s="59"/>
    </row>
    <row r="5">
      <c r="A5" s="53">
        <v>2.0</v>
      </c>
      <c r="B5" s="30" t="s">
        <v>23</v>
      </c>
      <c r="C5" s="56" t="s">
        <v>20</v>
      </c>
      <c r="D5" s="30" t="s">
        <v>25</v>
      </c>
      <c r="E5" s="57">
        <v>1.0</v>
      </c>
      <c r="F5" s="58" t="s">
        <v>42</v>
      </c>
      <c r="G5" s="58" t="s">
        <v>24</v>
      </c>
      <c r="H5" s="59"/>
    </row>
    <row r="6" ht="15.75" customHeight="1">
      <c r="A6" s="20">
        <v>3.0</v>
      </c>
      <c r="B6" s="44" t="s">
        <v>17</v>
      </c>
      <c r="C6" s="56" t="s">
        <v>20</v>
      </c>
      <c r="D6" s="30" t="s">
        <v>19</v>
      </c>
      <c r="E6" s="57">
        <v>1.0</v>
      </c>
      <c r="F6" s="58" t="s">
        <v>42</v>
      </c>
      <c r="G6" s="58" t="s">
        <v>18</v>
      </c>
      <c r="H6" s="56"/>
    </row>
    <row r="7" ht="15.75" customHeight="1">
      <c r="A7" s="20">
        <v>4.0</v>
      </c>
      <c r="B7" s="44" t="s">
        <v>33</v>
      </c>
      <c r="C7" s="56" t="s">
        <v>20</v>
      </c>
      <c r="D7" s="30" t="s">
        <v>25</v>
      </c>
      <c r="E7" s="57">
        <v>796.0</v>
      </c>
      <c r="F7" s="58" t="s">
        <v>33</v>
      </c>
      <c r="G7" s="58" t="s">
        <v>29</v>
      </c>
      <c r="H7" s="56"/>
    </row>
    <row r="8" ht="15.75" customHeight="1">
      <c r="A8" s="20">
        <v>5.0</v>
      </c>
      <c r="B8" s="44" t="s">
        <v>34</v>
      </c>
      <c r="C8" s="56" t="s">
        <v>20</v>
      </c>
      <c r="D8" s="30" t="s">
        <v>35</v>
      </c>
      <c r="E8" s="57">
        <v>1016.0</v>
      </c>
      <c r="F8" s="58" t="s">
        <v>43</v>
      </c>
      <c r="G8" s="58" t="s">
        <v>44</v>
      </c>
      <c r="H8" s="56"/>
    </row>
    <row r="9">
      <c r="A9" s="20"/>
      <c r="B9" s="30"/>
      <c r="C9" s="22"/>
      <c r="D9" s="30"/>
      <c r="E9" s="60"/>
      <c r="F9" s="58"/>
      <c r="G9" s="58"/>
      <c r="H9" s="61"/>
    </row>
    <row r="10" ht="15.75" customHeight="1">
      <c r="A10" s="53"/>
      <c r="B10" s="56"/>
      <c r="C10" s="22"/>
      <c r="D10" s="30"/>
      <c r="E10" s="60"/>
      <c r="F10" s="58"/>
      <c r="G10" s="58"/>
      <c r="H10" s="62"/>
    </row>
    <row r="11">
      <c r="A11" s="53"/>
      <c r="B11" s="30"/>
      <c r="C11" s="56"/>
      <c r="D11" s="30"/>
      <c r="E11" s="60"/>
      <c r="F11" s="58"/>
      <c r="G11" s="58"/>
      <c r="H11" s="59"/>
    </row>
    <row r="12" ht="15.75" customHeight="1">
      <c r="A12" s="53"/>
      <c r="B12" s="44"/>
      <c r="C12" s="22"/>
      <c r="D12" s="30"/>
      <c r="E12" s="60"/>
      <c r="F12" s="58"/>
      <c r="G12" s="58"/>
      <c r="H12" s="56"/>
    </row>
    <row r="13" ht="15.75" customHeight="1">
      <c r="A13" s="53"/>
      <c r="B13" s="44"/>
      <c r="C13" s="22"/>
      <c r="D13" s="30"/>
      <c r="E13" s="60"/>
      <c r="F13" s="58"/>
      <c r="G13" s="58"/>
      <c r="H13" s="56"/>
    </row>
    <row r="14">
      <c r="A14" s="20"/>
      <c r="B14" s="30"/>
      <c r="C14" s="22"/>
      <c r="D14" s="30"/>
      <c r="E14" s="63"/>
      <c r="F14" s="64"/>
      <c r="G14" s="58"/>
      <c r="H14" s="61"/>
    </row>
    <row r="15" ht="15.75" customHeight="1">
      <c r="A15" s="53"/>
      <c r="B15" s="56"/>
      <c r="C15" s="22"/>
      <c r="D15" s="30"/>
      <c r="E15" s="60"/>
      <c r="F15" s="58"/>
      <c r="G15" s="58"/>
      <c r="H15" s="56"/>
    </row>
    <row r="16" ht="15.75" customHeight="1">
      <c r="A16" s="20"/>
      <c r="B16" s="30"/>
      <c r="C16" s="22"/>
      <c r="D16" s="30"/>
      <c r="E16" s="60"/>
      <c r="F16" s="58"/>
      <c r="G16" s="58"/>
      <c r="H16" s="61"/>
    </row>
    <row r="17" ht="15.75" customHeight="1">
      <c r="A17" s="20"/>
      <c r="B17" s="22"/>
      <c r="C17" s="22"/>
      <c r="D17" s="30"/>
      <c r="E17" s="60"/>
      <c r="F17" s="58"/>
      <c r="G17" s="58"/>
      <c r="H17" s="62"/>
    </row>
    <row r="18">
      <c r="A18" s="53"/>
      <c r="B18" s="44"/>
      <c r="C18" s="22"/>
      <c r="D18" s="30"/>
      <c r="E18" s="60"/>
      <c r="F18" s="58"/>
      <c r="G18" s="58"/>
      <c r="H18" s="61"/>
    </row>
    <row r="19" ht="15.75" customHeight="1">
      <c r="A19" s="53"/>
      <c r="B19" s="56"/>
      <c r="C19" s="22"/>
      <c r="D19" s="30"/>
      <c r="E19" s="60"/>
      <c r="F19" s="58"/>
      <c r="G19" s="58"/>
      <c r="H19" s="62"/>
    </row>
    <row r="20" ht="15.75" customHeight="1">
      <c r="A20" s="53"/>
      <c r="B20" s="44"/>
      <c r="C20" s="22"/>
      <c r="D20" s="30"/>
      <c r="E20" s="60"/>
      <c r="F20" s="58"/>
      <c r="G20" s="58"/>
      <c r="H20" s="56"/>
    </row>
    <row r="21" ht="15.75" customHeight="1">
      <c r="A21" s="53"/>
      <c r="B21" s="30"/>
      <c r="C21" s="22"/>
      <c r="D21" s="30"/>
      <c r="E21" s="60"/>
      <c r="F21" s="58"/>
      <c r="G21" s="58"/>
      <c r="H21" s="56"/>
    </row>
    <row r="22" ht="15.75" customHeight="1">
      <c r="A22" s="53"/>
      <c r="B22" s="56"/>
      <c r="C22" s="22"/>
      <c r="D22" s="30"/>
      <c r="E22" s="60"/>
      <c r="F22" s="58"/>
      <c r="G22" s="58"/>
      <c r="H22" s="62"/>
    </row>
    <row r="23">
      <c r="A23" s="53"/>
      <c r="B23" s="30"/>
      <c r="C23" s="22"/>
      <c r="D23" s="30"/>
      <c r="E23" s="60"/>
      <c r="F23" s="58"/>
      <c r="G23" s="58"/>
      <c r="H23" s="62"/>
    </row>
    <row r="24">
      <c r="A24" s="53"/>
      <c r="B24" s="30"/>
      <c r="C24" s="22"/>
      <c r="D24" s="30"/>
      <c r="E24" s="60"/>
      <c r="F24" s="58"/>
      <c r="G24" s="58"/>
      <c r="H24" s="62"/>
    </row>
    <row r="25">
      <c r="A25" s="20"/>
      <c r="B25" s="30"/>
      <c r="C25" s="22"/>
      <c r="D25" s="30"/>
      <c r="E25" s="60"/>
      <c r="F25" s="58"/>
      <c r="G25" s="58"/>
      <c r="H25" s="61"/>
    </row>
    <row r="26">
      <c r="A26" s="65"/>
      <c r="B26" s="66"/>
      <c r="C26" s="22"/>
      <c r="D26" s="30"/>
      <c r="E26" s="60"/>
      <c r="F26" s="58"/>
      <c r="G26" s="58"/>
      <c r="H26" s="61"/>
    </row>
    <row r="27" ht="15.75" customHeight="1">
      <c r="A27" s="20"/>
      <c r="B27" s="30"/>
      <c r="C27" s="22"/>
      <c r="D27" s="30"/>
      <c r="E27" s="60"/>
      <c r="F27" s="58"/>
      <c r="G27" s="58"/>
      <c r="H27" s="56"/>
    </row>
    <row r="28">
      <c r="A28" s="20"/>
      <c r="B28" s="22"/>
      <c r="C28" s="22"/>
      <c r="D28" s="30"/>
      <c r="E28" s="60"/>
      <c r="F28" s="58"/>
      <c r="G28" s="58"/>
      <c r="H28" s="61"/>
    </row>
    <row r="29" ht="15.75" customHeight="1">
      <c r="A29" s="53"/>
      <c r="B29" s="22"/>
      <c r="C29" s="22"/>
      <c r="D29" s="30"/>
      <c r="E29" s="60"/>
      <c r="F29" s="58"/>
      <c r="G29" s="58"/>
      <c r="H29" s="56"/>
    </row>
    <row r="30">
      <c r="A30" s="53"/>
      <c r="B30" s="22"/>
      <c r="C30" s="22"/>
      <c r="D30" s="30"/>
      <c r="E30" s="60"/>
      <c r="F30" s="58"/>
      <c r="G30" s="58"/>
      <c r="H30" s="62"/>
    </row>
    <row r="31">
      <c r="A31" s="20"/>
      <c r="B31" s="30"/>
      <c r="C31" s="22"/>
      <c r="D31" s="30"/>
      <c r="E31" s="60"/>
      <c r="F31" s="58"/>
      <c r="G31" s="58"/>
      <c r="H31" s="59"/>
    </row>
    <row r="32">
      <c r="A32" s="53"/>
      <c r="B32" s="30"/>
      <c r="C32" s="22"/>
      <c r="D32" s="30"/>
      <c r="E32" s="60"/>
      <c r="F32" s="58"/>
      <c r="G32" s="58"/>
      <c r="H32" s="59"/>
    </row>
    <row r="33">
      <c r="A33" s="53"/>
      <c r="B33" s="44"/>
      <c r="C33" s="22"/>
      <c r="D33" s="30"/>
      <c r="E33" s="60"/>
      <c r="F33" s="58"/>
      <c r="G33" s="58"/>
      <c r="H33" s="67"/>
    </row>
    <row r="34">
      <c r="A34" s="53"/>
      <c r="B34" s="44"/>
      <c r="C34" s="22"/>
      <c r="D34" s="30"/>
      <c r="E34" s="60"/>
      <c r="F34" s="58"/>
      <c r="G34" s="58"/>
      <c r="H34" s="59"/>
    </row>
    <row r="35">
      <c r="A35" s="20"/>
      <c r="B35" s="22"/>
      <c r="C35" s="22"/>
      <c r="D35" s="30"/>
      <c r="E35" s="60"/>
      <c r="F35" s="58"/>
      <c r="G35" s="58"/>
      <c r="H35" s="59"/>
    </row>
    <row r="36">
      <c r="A36" s="20"/>
      <c r="B36" s="22"/>
      <c r="C36" s="22"/>
      <c r="D36" s="30"/>
      <c r="E36" s="60"/>
      <c r="F36" s="58"/>
      <c r="G36" s="58"/>
      <c r="H36" s="59"/>
    </row>
    <row r="37">
      <c r="A37" s="53"/>
      <c r="B37" s="56"/>
      <c r="C37" s="56"/>
      <c r="D37" s="30"/>
      <c r="E37" s="60"/>
      <c r="F37" s="58"/>
      <c r="G37" s="58"/>
      <c r="H37" s="59"/>
    </row>
    <row r="38">
      <c r="A38" s="53"/>
      <c r="B38" s="56"/>
      <c r="C38" s="56"/>
      <c r="D38" s="30"/>
      <c r="E38" s="60"/>
      <c r="F38" s="58"/>
      <c r="G38" s="58"/>
      <c r="H38" s="62"/>
    </row>
    <row r="39">
      <c r="A39" s="53"/>
      <c r="B39" s="56"/>
      <c r="C39" s="56"/>
      <c r="D39" s="30"/>
      <c r="E39" s="60"/>
      <c r="F39" s="58"/>
      <c r="G39" s="58"/>
      <c r="H39" s="59"/>
    </row>
    <row r="40">
      <c r="A40" s="53"/>
      <c r="B40" s="22"/>
      <c r="C40" s="56"/>
      <c r="D40" s="30"/>
      <c r="E40" s="60"/>
      <c r="F40" s="58"/>
      <c r="G40" s="58"/>
      <c r="H40" s="56"/>
    </row>
    <row r="41">
      <c r="A41" s="53"/>
      <c r="B41" s="56"/>
      <c r="C41" s="22"/>
      <c r="D41" s="30"/>
      <c r="E41" s="60"/>
      <c r="F41" s="58"/>
      <c r="G41" s="58"/>
      <c r="H41" s="61"/>
    </row>
    <row r="42">
      <c r="A42" s="53"/>
      <c r="B42" s="56"/>
      <c r="C42" s="56"/>
      <c r="D42" s="30"/>
      <c r="E42" s="60"/>
      <c r="F42" s="58"/>
      <c r="G42" s="58"/>
      <c r="H42" s="59"/>
    </row>
    <row r="43">
      <c r="A43" s="53"/>
      <c r="B43" s="56"/>
      <c r="C43" s="56"/>
      <c r="D43" s="30"/>
      <c r="E43" s="60"/>
      <c r="F43" s="58"/>
      <c r="G43" s="58"/>
      <c r="H43" s="59"/>
    </row>
    <row r="44">
      <c r="A44" s="53"/>
      <c r="B44" s="56"/>
      <c r="C44" s="22"/>
      <c r="D44" s="30"/>
      <c r="E44" s="60"/>
      <c r="F44" s="58"/>
      <c r="G44" s="58"/>
      <c r="H44" s="61"/>
    </row>
    <row r="45">
      <c r="A45" s="53"/>
      <c r="B45" s="56"/>
      <c r="C45" s="56"/>
      <c r="D45" s="30"/>
      <c r="E45" s="60"/>
      <c r="F45" s="58"/>
      <c r="G45" s="58"/>
      <c r="H45" s="61"/>
    </row>
    <row r="46">
      <c r="A46" s="53"/>
      <c r="B46" s="56"/>
      <c r="C46" s="22"/>
      <c r="D46" s="30"/>
      <c r="E46" s="60"/>
      <c r="F46" s="58"/>
      <c r="G46" s="58"/>
      <c r="H46" s="59"/>
    </row>
    <row r="47">
      <c r="A47" s="53"/>
      <c r="B47" s="56"/>
      <c r="C47" s="56"/>
      <c r="D47" s="30"/>
      <c r="E47" s="60"/>
      <c r="F47" s="58"/>
      <c r="G47" s="58"/>
      <c r="H47" s="59"/>
    </row>
    <row r="48">
      <c r="A48" s="53"/>
      <c r="B48" s="56"/>
      <c r="C48" s="56"/>
      <c r="D48" s="30"/>
      <c r="E48" s="60"/>
      <c r="F48" s="58"/>
      <c r="G48" s="58"/>
      <c r="H48" s="59"/>
    </row>
    <row r="49">
      <c r="A49" s="53"/>
      <c r="B49" s="56"/>
      <c r="C49" s="56"/>
      <c r="D49" s="30"/>
      <c r="E49" s="60"/>
      <c r="F49" s="58"/>
      <c r="G49" s="58"/>
      <c r="H49" s="61"/>
    </row>
    <row r="50">
      <c r="A50" s="53"/>
      <c r="B50" s="56"/>
      <c r="C50" s="56"/>
      <c r="D50" s="30"/>
      <c r="E50" s="60"/>
      <c r="F50" s="58"/>
      <c r="G50" s="58"/>
      <c r="H50" s="61"/>
    </row>
    <row r="51">
      <c r="A51" s="53"/>
      <c r="B51" s="56"/>
      <c r="C51" s="56"/>
      <c r="D51" s="30"/>
      <c r="E51" s="60"/>
      <c r="F51" s="58"/>
      <c r="G51" s="58"/>
      <c r="H51" s="59"/>
    </row>
    <row r="52">
      <c r="A52" s="53"/>
      <c r="B52" s="56"/>
      <c r="C52" s="56"/>
      <c r="D52" s="30"/>
      <c r="E52" s="60"/>
      <c r="F52" s="58"/>
      <c r="G52" s="58"/>
      <c r="H52" s="61"/>
    </row>
    <row r="53">
      <c r="A53" s="53"/>
      <c r="B53" s="22"/>
      <c r="C53" s="56"/>
      <c r="D53" s="30"/>
      <c r="E53" s="60"/>
      <c r="F53" s="58"/>
      <c r="G53" s="58"/>
      <c r="H53" s="59"/>
    </row>
    <row r="54">
      <c r="A54" s="53"/>
      <c r="B54" s="22"/>
      <c r="C54" s="56"/>
      <c r="D54" s="30"/>
      <c r="E54" s="60"/>
      <c r="F54" s="58"/>
      <c r="G54" s="58"/>
      <c r="H54" s="61"/>
    </row>
    <row r="55">
      <c r="A55" s="53"/>
      <c r="B55" s="56"/>
      <c r="C55" s="56"/>
      <c r="D55" s="30"/>
      <c r="E55" s="60"/>
      <c r="F55" s="58"/>
      <c r="G55" s="58"/>
      <c r="H55" s="59"/>
    </row>
    <row r="56">
      <c r="A56" s="53"/>
      <c r="B56" s="56"/>
      <c r="C56" s="56"/>
      <c r="D56" s="30"/>
      <c r="E56" s="60"/>
      <c r="F56" s="58"/>
      <c r="G56" s="58"/>
      <c r="H56" s="59"/>
    </row>
    <row r="57">
      <c r="A57" s="53"/>
      <c r="B57" s="56"/>
      <c r="C57" s="56"/>
      <c r="D57" s="30"/>
      <c r="E57" s="60"/>
      <c r="F57" s="58"/>
      <c r="G57" s="58"/>
      <c r="H57" s="59"/>
    </row>
    <row r="58">
      <c r="A58" s="53"/>
      <c r="B58" s="56"/>
      <c r="C58" s="56"/>
      <c r="D58" s="30"/>
      <c r="E58" s="60"/>
      <c r="F58" s="58"/>
      <c r="G58" s="58"/>
      <c r="H58" s="59"/>
    </row>
    <row r="59">
      <c r="A59" s="53"/>
      <c r="B59" s="56"/>
      <c r="C59" s="56"/>
      <c r="D59" s="30"/>
      <c r="E59" s="60"/>
      <c r="F59" s="58"/>
      <c r="G59" s="58"/>
      <c r="H59" s="59"/>
    </row>
    <row r="60">
      <c r="A60" s="53"/>
      <c r="B60" s="56"/>
      <c r="C60" s="56"/>
      <c r="D60" s="30"/>
      <c r="E60" s="60"/>
      <c r="F60" s="58"/>
      <c r="G60" s="58"/>
      <c r="H60" s="59"/>
    </row>
    <row r="61">
      <c r="A61" s="53"/>
      <c r="B61" s="56"/>
      <c r="C61" s="56"/>
      <c r="D61" s="30"/>
      <c r="E61" s="60"/>
      <c r="F61" s="58"/>
      <c r="G61" s="58"/>
      <c r="H61" s="59"/>
    </row>
    <row r="62">
      <c r="A62" s="53"/>
      <c r="B62" s="56"/>
      <c r="C62" s="56"/>
      <c r="D62" s="30"/>
      <c r="E62" s="60"/>
      <c r="F62" s="58"/>
      <c r="G62" s="58"/>
      <c r="H62" s="59"/>
    </row>
    <row r="63">
      <c r="A63" s="53"/>
      <c r="B63" s="56"/>
      <c r="C63" s="56"/>
      <c r="D63" s="30"/>
      <c r="E63" s="60"/>
      <c r="F63" s="58"/>
      <c r="G63" s="58"/>
      <c r="H63" s="59"/>
    </row>
    <row r="64">
      <c r="A64" s="53"/>
      <c r="B64" s="56"/>
      <c r="C64" s="56"/>
      <c r="D64" s="30"/>
      <c r="E64" s="60"/>
      <c r="F64" s="58"/>
      <c r="G64" s="58"/>
      <c r="H64" s="59"/>
    </row>
    <row r="65">
      <c r="A65" s="53"/>
      <c r="B65" s="56"/>
      <c r="C65" s="56"/>
      <c r="D65" s="30"/>
      <c r="E65" s="60"/>
      <c r="F65" s="58"/>
      <c r="G65" s="58"/>
      <c r="H65" s="59"/>
    </row>
    <row r="66">
      <c r="A66" s="53"/>
      <c r="B66" s="22"/>
      <c r="C66" s="56"/>
      <c r="D66" s="30"/>
      <c r="E66" s="60"/>
      <c r="F66" s="58"/>
      <c r="G66" s="58"/>
      <c r="H66" s="61"/>
    </row>
    <row r="67">
      <c r="A67" s="53"/>
      <c r="B67" s="56"/>
      <c r="C67" s="56"/>
      <c r="D67" s="30"/>
      <c r="E67" s="60"/>
      <c r="F67" s="58"/>
      <c r="G67" s="58"/>
      <c r="H67" s="61"/>
    </row>
    <row r="68">
      <c r="A68" s="53"/>
      <c r="B68" s="56"/>
      <c r="C68" s="56"/>
      <c r="D68" s="30"/>
      <c r="E68" s="60"/>
      <c r="F68" s="58"/>
      <c r="G68" s="58"/>
      <c r="H68" s="59"/>
    </row>
    <row r="69">
      <c r="A69" s="53"/>
      <c r="B69" s="56"/>
      <c r="C69" s="68"/>
      <c r="D69" s="30"/>
      <c r="E69" s="60"/>
      <c r="F69" s="58"/>
      <c r="G69" s="58"/>
      <c r="H69" s="59"/>
    </row>
    <row r="70">
      <c r="A70" s="53"/>
      <c r="B70" s="56"/>
      <c r="C70" s="56"/>
      <c r="D70" s="30"/>
      <c r="E70" s="60"/>
      <c r="F70" s="58"/>
      <c r="G70" s="58"/>
      <c r="H70" s="59"/>
    </row>
    <row r="71">
      <c r="A71" s="53"/>
      <c r="B71" s="56"/>
      <c r="C71" s="56"/>
      <c r="D71" s="30"/>
      <c r="E71" s="60"/>
      <c r="F71" s="58"/>
      <c r="G71" s="58"/>
      <c r="H71" s="59"/>
    </row>
    <row r="72">
      <c r="A72" s="53"/>
      <c r="B72" s="56"/>
      <c r="C72" s="56"/>
      <c r="D72" s="30"/>
      <c r="E72" s="60"/>
      <c r="F72" s="58"/>
      <c r="G72" s="58"/>
      <c r="H72" s="61"/>
    </row>
    <row r="73">
      <c r="A73" s="20"/>
      <c r="B73" s="22"/>
      <c r="C73" s="22"/>
      <c r="D73" s="30"/>
      <c r="E73" s="60"/>
      <c r="F73" s="58"/>
      <c r="G73" s="58"/>
      <c r="H73" s="59"/>
    </row>
    <row r="74">
      <c r="A74" s="20"/>
      <c r="B74" s="22"/>
      <c r="C74" s="22"/>
      <c r="D74" s="30"/>
      <c r="E74" s="60"/>
      <c r="F74" s="58"/>
      <c r="G74" s="58"/>
      <c r="H74" s="59"/>
    </row>
    <row r="75">
      <c r="A75" s="20"/>
      <c r="B75" s="22"/>
      <c r="C75" s="22"/>
      <c r="D75" s="30"/>
      <c r="E75" s="60"/>
      <c r="F75" s="58"/>
      <c r="G75" s="58"/>
      <c r="H75" s="61"/>
    </row>
    <row r="76">
      <c r="A76" s="53"/>
      <c r="B76" s="56"/>
      <c r="C76" s="56"/>
      <c r="D76" s="30"/>
      <c r="E76" s="60"/>
      <c r="F76" s="58"/>
      <c r="G76" s="58"/>
      <c r="H76" s="61"/>
    </row>
    <row r="77">
      <c r="A77" s="53"/>
      <c r="B77" s="56"/>
      <c r="C77" s="56"/>
      <c r="D77" s="30"/>
      <c r="E77" s="60"/>
      <c r="F77" s="58"/>
      <c r="G77" s="58"/>
      <c r="H77" s="61"/>
    </row>
    <row r="78">
      <c r="A78" s="53"/>
      <c r="B78" s="56"/>
      <c r="C78" s="56"/>
      <c r="D78" s="30"/>
      <c r="E78" s="60"/>
      <c r="F78" s="58"/>
      <c r="G78" s="58"/>
      <c r="H78" s="59"/>
    </row>
    <row r="79">
      <c r="A79" s="53"/>
      <c r="B79" s="56"/>
      <c r="C79" s="56"/>
      <c r="D79" s="30"/>
      <c r="E79" s="60"/>
      <c r="F79" s="58"/>
      <c r="G79" s="58"/>
      <c r="H79" s="61"/>
    </row>
    <row r="80">
      <c r="A80" s="53"/>
      <c r="B80" s="56"/>
      <c r="C80" s="56"/>
      <c r="D80" s="30"/>
      <c r="E80" s="60"/>
      <c r="F80" s="58"/>
      <c r="G80" s="58"/>
      <c r="H80" s="59"/>
    </row>
    <row r="81">
      <c r="A81" s="20"/>
      <c r="B81" s="22"/>
      <c r="C81" s="56"/>
      <c r="D81" s="30"/>
      <c r="E81" s="60"/>
      <c r="F81" s="58"/>
      <c r="G81" s="58"/>
      <c r="H81" s="59"/>
    </row>
    <row r="82">
      <c r="A82" s="20"/>
      <c r="B82" s="22"/>
      <c r="C82" s="22"/>
      <c r="D82" s="30"/>
      <c r="E82" s="60"/>
      <c r="F82" s="58"/>
      <c r="G82" s="58"/>
      <c r="H82" s="59"/>
    </row>
    <row r="83">
      <c r="A83" s="20"/>
      <c r="B83" s="22"/>
      <c r="C83" s="56"/>
      <c r="D83" s="30"/>
      <c r="E83" s="60"/>
      <c r="F83" s="58"/>
      <c r="G83" s="58"/>
      <c r="H83" s="61"/>
    </row>
    <row r="84">
      <c r="A84" s="20"/>
      <c r="B84" s="22"/>
      <c r="C84" s="56"/>
      <c r="D84" s="30"/>
      <c r="E84" s="60"/>
      <c r="F84" s="58"/>
      <c r="G84" s="58"/>
      <c r="H84" s="61"/>
    </row>
    <row r="85">
      <c r="A85" s="65"/>
      <c r="B85" s="69"/>
      <c r="C85" s="56"/>
      <c r="D85" s="30"/>
      <c r="E85" s="60"/>
      <c r="F85" s="58"/>
      <c r="G85" s="58"/>
      <c r="H85" s="61"/>
    </row>
    <row r="86">
      <c r="A86" s="65"/>
      <c r="B86" s="66"/>
      <c r="C86" s="56"/>
      <c r="D86" s="30"/>
      <c r="E86" s="60"/>
      <c r="F86" s="58"/>
      <c r="G86" s="58"/>
      <c r="H86" s="70"/>
    </row>
    <row r="87">
      <c r="A87" s="65"/>
      <c r="B87" s="69"/>
      <c r="C87" s="56"/>
      <c r="D87" s="30"/>
      <c r="E87" s="60"/>
      <c r="F87" s="58"/>
      <c r="G87" s="58"/>
      <c r="H87" s="61"/>
    </row>
    <row r="88">
      <c r="A88" s="20"/>
      <c r="B88" s="22"/>
      <c r="C88" s="56"/>
      <c r="D88" s="30"/>
      <c r="E88" s="60"/>
      <c r="F88" s="58"/>
      <c r="G88" s="58"/>
      <c r="H88" s="61"/>
    </row>
    <row r="89">
      <c r="A89" s="65"/>
      <c r="B89" s="69"/>
      <c r="C89" s="56"/>
      <c r="D89" s="30"/>
      <c r="E89" s="60"/>
      <c r="F89" s="58"/>
      <c r="G89" s="58"/>
      <c r="H89" s="61"/>
    </row>
    <row r="90">
      <c r="A90" s="65"/>
      <c r="B90" s="69"/>
      <c r="C90" s="56"/>
      <c r="D90" s="30"/>
      <c r="E90" s="60"/>
      <c r="F90" s="58"/>
      <c r="G90" s="58"/>
      <c r="H90" s="61"/>
    </row>
    <row r="91">
      <c r="A91" s="65"/>
      <c r="B91" s="69"/>
      <c r="C91" s="56"/>
      <c r="D91" s="30"/>
      <c r="E91" s="60"/>
      <c r="F91" s="58"/>
      <c r="G91" s="58"/>
      <c r="H91" s="61"/>
    </row>
    <row r="92">
      <c r="A92" s="20"/>
      <c r="B92" s="22"/>
      <c r="C92" s="56"/>
      <c r="D92" s="30"/>
      <c r="E92" s="60"/>
      <c r="F92" s="58"/>
      <c r="G92" s="58"/>
      <c r="H92" s="61"/>
    </row>
    <row r="93">
      <c r="A93" s="65"/>
      <c r="B93" s="69"/>
      <c r="C93" s="56"/>
      <c r="D93" s="30"/>
      <c r="E93" s="60"/>
      <c r="F93" s="58"/>
      <c r="G93" s="58"/>
      <c r="H93" s="70"/>
    </row>
    <row r="94">
      <c r="A94" s="20"/>
      <c r="B94" s="22"/>
      <c r="C94" s="56"/>
      <c r="D94" s="30"/>
      <c r="E94" s="60"/>
      <c r="F94" s="58"/>
      <c r="G94" s="58"/>
      <c r="H94" s="61"/>
    </row>
    <row r="95">
      <c r="A95" s="65"/>
      <c r="B95" s="69"/>
      <c r="C95" s="56"/>
      <c r="D95" s="30"/>
      <c r="E95" s="60"/>
      <c r="F95" s="58"/>
      <c r="G95" s="58"/>
      <c r="H95" s="61"/>
    </row>
    <row r="96">
      <c r="A96" s="65"/>
      <c r="B96" s="69"/>
      <c r="C96" s="56"/>
      <c r="D96" s="30"/>
      <c r="E96" s="60"/>
      <c r="F96" s="58"/>
      <c r="G96" s="58"/>
      <c r="H96" s="61"/>
    </row>
    <row r="97">
      <c r="A97" s="20"/>
      <c r="B97" s="22"/>
      <c r="C97" s="34"/>
      <c r="D97" s="30"/>
      <c r="E97" s="60"/>
      <c r="F97" s="58"/>
      <c r="G97" s="58"/>
      <c r="H97" s="61"/>
    </row>
    <row r="98">
      <c r="A98" s="20"/>
      <c r="B98" s="22"/>
      <c r="C98" s="34"/>
      <c r="D98" s="30"/>
      <c r="E98" s="60"/>
      <c r="F98" s="58"/>
      <c r="G98" s="58"/>
      <c r="H98" s="61"/>
    </row>
    <row r="99">
      <c r="A99" s="65"/>
      <c r="B99" s="69"/>
      <c r="C99" s="34"/>
      <c r="D99" s="30"/>
      <c r="E99" s="60"/>
      <c r="F99" s="58"/>
      <c r="G99" s="58"/>
      <c r="H99" s="61"/>
    </row>
    <row r="100">
      <c r="A100" s="65"/>
      <c r="B100" s="22"/>
      <c r="C100" s="34"/>
      <c r="D100" s="30"/>
      <c r="E100" s="60"/>
      <c r="F100" s="58"/>
      <c r="G100" s="58"/>
      <c r="H100" s="70"/>
    </row>
    <row r="101">
      <c r="A101" s="65"/>
      <c r="B101" s="69"/>
      <c r="C101" s="34"/>
      <c r="D101" s="30"/>
      <c r="E101" s="60"/>
      <c r="F101" s="58"/>
      <c r="G101" s="58"/>
      <c r="H101" s="61"/>
    </row>
    <row r="102">
      <c r="A102" s="20"/>
      <c r="B102" s="22"/>
      <c r="C102" s="22"/>
      <c r="D102" s="30"/>
      <c r="E102" s="60"/>
      <c r="F102" s="58"/>
      <c r="G102" s="58"/>
      <c r="H102" s="61"/>
    </row>
    <row r="103">
      <c r="A103" s="65"/>
      <c r="B103" s="69"/>
      <c r="C103" s="22"/>
      <c r="D103" s="30"/>
      <c r="E103" s="60"/>
      <c r="F103" s="58"/>
      <c r="G103" s="58"/>
      <c r="H103" s="70"/>
    </row>
    <row r="104">
      <c r="A104" s="20"/>
      <c r="B104" s="22"/>
      <c r="C104" s="22"/>
      <c r="D104" s="30"/>
      <c r="E104" s="60"/>
      <c r="F104" s="58"/>
      <c r="G104" s="58"/>
      <c r="H104" s="61"/>
    </row>
    <row r="105">
      <c r="A105" s="20"/>
      <c r="B105" s="22"/>
      <c r="C105" s="22"/>
      <c r="D105" s="30"/>
      <c r="E105" s="60"/>
      <c r="F105" s="58"/>
      <c r="G105" s="58"/>
      <c r="H105" s="61"/>
    </row>
    <row r="106">
      <c r="A106" s="20"/>
      <c r="B106" s="22"/>
      <c r="C106" s="22"/>
      <c r="D106" s="30"/>
      <c r="E106" s="60"/>
      <c r="F106" s="58"/>
      <c r="G106" s="58"/>
      <c r="H106" s="61"/>
    </row>
    <row r="107">
      <c r="A107" s="20"/>
      <c r="B107" s="22"/>
      <c r="C107" s="22"/>
      <c r="D107" s="30"/>
      <c r="E107" s="60"/>
      <c r="F107" s="58"/>
      <c r="G107" s="58"/>
      <c r="H107" s="61"/>
    </row>
    <row r="108">
      <c r="A108" s="65"/>
      <c r="B108" s="69"/>
      <c r="C108" s="22"/>
      <c r="D108" s="30"/>
      <c r="E108" s="60"/>
      <c r="F108" s="58"/>
      <c r="G108" s="58"/>
      <c r="H108" s="61"/>
    </row>
    <row r="109">
      <c r="A109" s="65"/>
      <c r="B109" s="69"/>
      <c r="C109" s="22"/>
      <c r="D109" s="30"/>
      <c r="E109" s="60"/>
      <c r="F109" s="58"/>
      <c r="G109" s="58"/>
      <c r="H109" s="61"/>
    </row>
    <row r="110">
      <c r="A110" s="65"/>
      <c r="B110" s="69"/>
      <c r="C110" s="22"/>
      <c r="D110" s="30"/>
      <c r="E110" s="60"/>
      <c r="F110" s="58"/>
      <c r="G110" s="58"/>
      <c r="H110" s="70"/>
    </row>
    <row r="111">
      <c r="A111" s="53"/>
      <c r="B111" s="56"/>
      <c r="C111" s="22"/>
      <c r="D111" s="30"/>
      <c r="E111" s="60"/>
      <c r="F111" s="58"/>
      <c r="G111" s="58"/>
      <c r="H111" s="59"/>
    </row>
    <row r="112">
      <c r="A112" s="20"/>
      <c r="B112" s="22"/>
      <c r="C112" s="22"/>
      <c r="D112" s="30"/>
      <c r="E112" s="60"/>
      <c r="F112" s="58"/>
      <c r="G112" s="58"/>
      <c r="H112" s="70"/>
    </row>
    <row r="113">
      <c r="A113" s="20"/>
      <c r="B113" s="22"/>
      <c r="C113" s="22"/>
      <c r="D113" s="30"/>
      <c r="E113" s="60"/>
      <c r="F113" s="58"/>
      <c r="G113" s="58"/>
      <c r="H113" s="61"/>
    </row>
    <row r="114">
      <c r="A114" s="20"/>
      <c r="B114" s="22"/>
      <c r="C114" s="22"/>
      <c r="D114" s="30"/>
      <c r="E114" s="60"/>
      <c r="F114" s="58"/>
      <c r="G114" s="58"/>
      <c r="H114" s="61"/>
    </row>
    <row r="115">
      <c r="A115" s="20"/>
      <c r="B115" s="22"/>
      <c r="C115" s="22"/>
      <c r="D115" s="30"/>
      <c r="E115" s="60"/>
      <c r="F115" s="58"/>
      <c r="G115" s="58"/>
      <c r="H115" s="61"/>
    </row>
    <row r="116">
      <c r="A116" s="20"/>
      <c r="B116" s="22"/>
      <c r="C116" s="22"/>
      <c r="D116" s="30"/>
      <c r="E116" s="60"/>
      <c r="F116" s="58"/>
      <c r="G116" s="58"/>
      <c r="H116" s="61"/>
    </row>
    <row r="117">
      <c r="A117" s="20"/>
      <c r="B117" s="22"/>
      <c r="C117" s="22"/>
      <c r="D117" s="30"/>
      <c r="E117" s="60"/>
      <c r="F117" s="58"/>
      <c r="G117" s="58"/>
      <c r="H117" s="61"/>
    </row>
    <row r="118">
      <c r="A118" s="65"/>
      <c r="B118" s="69"/>
      <c r="C118" s="22"/>
      <c r="D118" s="30"/>
      <c r="E118" s="60"/>
      <c r="F118" s="58"/>
      <c r="G118" s="58"/>
      <c r="H118" s="61"/>
    </row>
    <row r="119">
      <c r="A119" s="20"/>
      <c r="B119" s="22"/>
      <c r="C119" s="22"/>
      <c r="D119" s="30"/>
      <c r="E119" s="60"/>
      <c r="F119" s="58"/>
      <c r="G119" s="58"/>
      <c r="H119" s="61"/>
    </row>
    <row r="120">
      <c r="A120" s="20"/>
      <c r="B120" s="22"/>
      <c r="C120" s="22"/>
      <c r="D120" s="30"/>
      <c r="E120" s="60"/>
      <c r="F120" s="58"/>
      <c r="G120" s="58"/>
      <c r="H120" s="61"/>
    </row>
    <row r="121">
      <c r="A121" s="20"/>
      <c r="B121" s="22"/>
      <c r="C121" s="22"/>
      <c r="D121" s="30"/>
      <c r="E121" s="60"/>
      <c r="F121" s="58"/>
      <c r="G121" s="58"/>
      <c r="H121" s="61"/>
    </row>
    <row r="122">
      <c r="A122" s="53"/>
      <c r="B122" s="56"/>
      <c r="C122" s="22"/>
      <c r="D122" s="30"/>
      <c r="E122" s="60"/>
      <c r="F122" s="58"/>
      <c r="G122" s="58"/>
      <c r="H122" s="61"/>
    </row>
    <row r="123">
      <c r="A123" s="53"/>
      <c r="B123" s="56"/>
      <c r="C123" s="22"/>
      <c r="D123" s="30"/>
      <c r="E123" s="60"/>
      <c r="F123" s="58"/>
      <c r="G123" s="58"/>
      <c r="H123" s="62"/>
    </row>
    <row r="124">
      <c r="A124" s="53"/>
      <c r="B124" s="56"/>
      <c r="C124" s="22"/>
      <c r="D124" s="30"/>
      <c r="E124" s="60"/>
      <c r="F124" s="58"/>
      <c r="G124" s="58"/>
      <c r="H124" s="62"/>
    </row>
    <row r="125">
      <c r="A125" s="53"/>
      <c r="B125" s="56"/>
      <c r="C125" s="22"/>
      <c r="D125" s="30"/>
      <c r="E125" s="60"/>
      <c r="F125" s="58"/>
      <c r="G125" s="58"/>
      <c r="H125" s="62"/>
    </row>
    <row r="126">
      <c r="A126" s="20"/>
      <c r="B126" s="22"/>
      <c r="C126" s="34"/>
      <c r="D126" s="30"/>
      <c r="E126" s="60"/>
      <c r="F126" s="58"/>
      <c r="G126" s="58"/>
      <c r="H126" s="61"/>
    </row>
    <row r="127">
      <c r="A127" s="65"/>
      <c r="B127" s="69"/>
      <c r="C127" s="34"/>
      <c r="D127" s="30"/>
      <c r="E127" s="57"/>
      <c r="F127" s="58"/>
      <c r="G127" s="58"/>
      <c r="H127" s="61"/>
    </row>
    <row r="128">
      <c r="A128" s="65"/>
      <c r="B128" s="69"/>
      <c r="C128" s="34"/>
      <c r="D128" s="30"/>
      <c r="E128" s="60"/>
      <c r="F128" s="58"/>
      <c r="G128" s="58"/>
      <c r="H128" s="61"/>
    </row>
    <row r="129">
      <c r="A129" s="65"/>
      <c r="B129" s="69"/>
      <c r="C129" s="34"/>
      <c r="D129" s="30"/>
      <c r="E129" s="60"/>
      <c r="F129" s="58"/>
      <c r="G129" s="58"/>
      <c r="H129" s="70"/>
    </row>
    <row r="130">
      <c r="A130" s="20"/>
      <c r="B130" s="22"/>
      <c r="C130" s="34"/>
      <c r="D130" s="30"/>
      <c r="E130" s="60"/>
      <c r="F130" s="58"/>
      <c r="G130" s="58"/>
      <c r="H130" s="70"/>
    </row>
    <row r="131">
      <c r="A131" s="20"/>
      <c r="B131" s="22"/>
      <c r="C131" s="34"/>
      <c r="D131" s="30"/>
      <c r="E131" s="60"/>
      <c r="F131" s="58"/>
      <c r="G131" s="58"/>
      <c r="H131" s="61"/>
    </row>
    <row r="132">
      <c r="A132" s="20"/>
      <c r="B132" s="22"/>
      <c r="C132" s="34"/>
      <c r="D132" s="30"/>
      <c r="E132" s="60"/>
      <c r="F132" s="58"/>
      <c r="G132" s="58"/>
      <c r="H132" s="61"/>
    </row>
    <row r="133">
      <c r="A133" s="20"/>
      <c r="B133" s="22"/>
      <c r="C133" s="34"/>
      <c r="D133" s="30"/>
      <c r="E133" s="60"/>
      <c r="F133" s="58"/>
      <c r="G133" s="58"/>
      <c r="H133" s="61"/>
    </row>
    <row r="134">
      <c r="A134" s="20"/>
      <c r="B134" s="22"/>
      <c r="C134" s="34"/>
      <c r="D134" s="30"/>
      <c r="E134" s="60"/>
      <c r="F134" s="58"/>
      <c r="G134" s="58"/>
      <c r="H134" s="61"/>
    </row>
    <row r="135">
      <c r="A135" s="20"/>
      <c r="B135" s="22"/>
      <c r="C135" s="34"/>
      <c r="D135" s="30"/>
      <c r="E135" s="60"/>
      <c r="F135" s="58"/>
      <c r="G135" s="58"/>
      <c r="H135" s="61"/>
    </row>
    <row r="136" ht="15.75" customHeight="1">
      <c r="A136" s="53"/>
      <c r="B136" s="22"/>
      <c r="C136" s="22"/>
      <c r="D136" s="30"/>
      <c r="E136" s="60"/>
      <c r="F136" s="58"/>
      <c r="G136" s="58"/>
      <c r="H136" s="61"/>
    </row>
    <row r="137" ht="15.75" customHeight="1">
      <c r="A137" s="53"/>
      <c r="B137" s="22"/>
      <c r="C137" s="22"/>
      <c r="D137" s="30"/>
      <c r="E137" s="60"/>
      <c r="F137" s="58"/>
      <c r="G137" s="58"/>
      <c r="H137" s="62"/>
    </row>
    <row r="138" ht="15.75" customHeight="1">
      <c r="A138" s="53"/>
      <c r="B138" s="22"/>
      <c r="C138" s="22"/>
      <c r="D138" s="30"/>
      <c r="E138" s="60"/>
      <c r="F138" s="58"/>
      <c r="G138" s="58"/>
      <c r="H138" s="71"/>
    </row>
    <row r="139">
      <c r="A139" s="20"/>
      <c r="B139" s="22"/>
      <c r="C139" s="22"/>
      <c r="D139" s="30"/>
      <c r="E139" s="60"/>
      <c r="F139" s="58"/>
      <c r="G139" s="58"/>
      <c r="H139" s="61"/>
    </row>
    <row r="140">
      <c r="A140" s="20"/>
      <c r="B140" s="22"/>
      <c r="C140" s="22"/>
      <c r="D140" s="30"/>
      <c r="E140" s="60"/>
      <c r="F140" s="58"/>
      <c r="G140" s="58"/>
      <c r="H140" s="61"/>
    </row>
    <row r="141">
      <c r="A141" s="20"/>
      <c r="B141" s="22"/>
      <c r="C141" s="22"/>
      <c r="D141" s="30"/>
      <c r="E141" s="60"/>
      <c r="F141" s="58"/>
      <c r="G141" s="58"/>
      <c r="H141" s="61"/>
    </row>
    <row r="142">
      <c r="A142" s="65"/>
      <c r="B142" s="22"/>
      <c r="C142" s="22"/>
      <c r="D142" s="30"/>
      <c r="E142" s="60"/>
      <c r="F142" s="58"/>
      <c r="G142" s="58"/>
      <c r="H142" s="59"/>
    </row>
    <row r="143">
      <c r="A143" s="20"/>
      <c r="B143" s="22"/>
      <c r="C143" s="34"/>
      <c r="D143" s="30"/>
      <c r="E143" s="60"/>
      <c r="F143" s="58"/>
      <c r="G143" s="58"/>
      <c r="H143" s="61"/>
    </row>
    <row r="144">
      <c r="A144" s="20"/>
      <c r="B144" s="22"/>
      <c r="C144" s="34"/>
      <c r="D144" s="30"/>
      <c r="E144" s="60"/>
      <c r="F144" s="58"/>
      <c r="G144" s="58"/>
      <c r="H144" s="61"/>
    </row>
    <row r="145">
      <c r="A145" s="20"/>
      <c r="B145" s="22"/>
      <c r="C145" s="34"/>
      <c r="D145" s="30"/>
      <c r="E145" s="60"/>
      <c r="F145" s="58"/>
      <c r="G145" s="58"/>
      <c r="H145" s="61"/>
    </row>
    <row r="146">
      <c r="A146" s="65"/>
      <c r="B146" s="69"/>
      <c r="C146" s="34"/>
      <c r="D146" s="30"/>
      <c r="E146" s="60"/>
      <c r="F146" s="58"/>
      <c r="G146" s="58"/>
      <c r="H146" s="61"/>
    </row>
    <row r="147">
      <c r="A147" s="65"/>
      <c r="B147" s="69"/>
      <c r="C147" s="34"/>
      <c r="D147" s="30"/>
      <c r="E147" s="60"/>
      <c r="F147" s="58"/>
      <c r="G147" s="58"/>
      <c r="H147" s="70"/>
    </row>
    <row r="148">
      <c r="A148" s="20"/>
      <c r="B148" s="22"/>
      <c r="C148" s="34"/>
      <c r="D148" s="30"/>
      <c r="E148" s="60"/>
      <c r="F148" s="58"/>
      <c r="G148" s="58"/>
      <c r="H148" s="59"/>
    </row>
    <row r="149">
      <c r="A149" s="20"/>
      <c r="B149" s="22"/>
      <c r="C149" s="22"/>
      <c r="D149" s="30"/>
      <c r="E149" s="60"/>
      <c r="F149" s="58"/>
      <c r="G149" s="58"/>
      <c r="H149" s="61"/>
    </row>
    <row r="150">
      <c r="A150" s="65"/>
      <c r="B150" s="69"/>
      <c r="C150" s="22"/>
      <c r="D150" s="30"/>
      <c r="E150" s="60"/>
      <c r="F150" s="58"/>
      <c r="G150" s="58"/>
      <c r="H150" s="61"/>
    </row>
    <row r="151">
      <c r="A151" s="65"/>
      <c r="B151" s="69"/>
      <c r="C151" s="22"/>
      <c r="D151" s="30"/>
      <c r="E151" s="60"/>
      <c r="F151" s="58"/>
      <c r="G151" s="58"/>
      <c r="H151" s="59"/>
    </row>
    <row r="152">
      <c r="A152" s="20"/>
      <c r="B152" s="22"/>
      <c r="C152" s="22"/>
      <c r="D152" s="30"/>
      <c r="E152" s="60"/>
      <c r="F152" s="58"/>
      <c r="G152" s="58"/>
      <c r="H152" s="59"/>
    </row>
    <row r="153">
      <c r="A153" s="20"/>
      <c r="B153" s="22"/>
      <c r="C153" s="22"/>
      <c r="D153" s="30"/>
      <c r="E153" s="60"/>
      <c r="F153" s="58"/>
      <c r="G153" s="58"/>
      <c r="H153" s="59"/>
    </row>
    <row r="154">
      <c r="A154" s="20"/>
      <c r="B154" s="22"/>
      <c r="C154" s="22"/>
      <c r="D154" s="30"/>
      <c r="E154" s="60"/>
      <c r="F154" s="58"/>
      <c r="G154" s="58"/>
      <c r="H154" s="59"/>
    </row>
    <row r="155">
      <c r="A155" s="65"/>
      <c r="B155" s="69"/>
      <c r="C155" s="34"/>
      <c r="D155" s="30"/>
      <c r="E155" s="57"/>
      <c r="F155" s="58"/>
      <c r="G155" s="58"/>
      <c r="H155" s="59"/>
    </row>
    <row r="156">
      <c r="A156" s="20"/>
      <c r="B156" s="22"/>
      <c r="C156" s="22"/>
      <c r="D156" s="30"/>
      <c r="E156" s="57"/>
      <c r="F156" s="58"/>
      <c r="G156" s="58"/>
      <c r="H156" s="61"/>
    </row>
    <row r="157">
      <c r="A157" s="65"/>
      <c r="B157" s="69"/>
      <c r="C157" s="22"/>
      <c r="D157" s="30"/>
      <c r="E157" s="57"/>
      <c r="F157" s="58"/>
      <c r="G157" s="58"/>
      <c r="H157" s="59"/>
    </row>
    <row r="158">
      <c r="A158" s="65"/>
      <c r="B158" s="69"/>
      <c r="C158" s="22"/>
      <c r="D158" s="30"/>
      <c r="E158" s="60"/>
      <c r="F158" s="58"/>
      <c r="G158" s="58"/>
      <c r="H158" s="59"/>
    </row>
    <row r="159">
      <c r="A159" s="20"/>
      <c r="B159" s="22"/>
      <c r="C159" s="22"/>
      <c r="D159" s="30"/>
      <c r="E159" s="60"/>
      <c r="F159" s="58"/>
      <c r="G159" s="58"/>
      <c r="H159" s="61"/>
    </row>
    <row r="160">
      <c r="A160" s="65"/>
      <c r="B160" s="69"/>
      <c r="C160" s="34"/>
      <c r="D160" s="30"/>
      <c r="E160" s="60"/>
      <c r="F160" s="58"/>
      <c r="G160" s="58"/>
      <c r="H160" s="70"/>
    </row>
    <row r="161">
      <c r="A161" s="65"/>
      <c r="B161" s="69"/>
      <c r="C161" s="22"/>
      <c r="D161" s="30"/>
      <c r="E161" s="57"/>
      <c r="F161" s="58"/>
      <c r="G161" s="58"/>
      <c r="H161" s="72"/>
    </row>
  </sheetData>
  <autoFilter ref="$A$3:$H$161"/>
  <customSheetViews>
    <customSheetView guid="{B3136B7F-1AF2-41D2-A6A0-D5C371117022}" filter="1" showAutoFilter="1">
      <autoFilter ref="$A$3:$H$70"/>
    </customSheetView>
    <customSheetView guid="{81F904FE-28E0-4D74-B51D-7D792BB873D6}" filter="1" showAutoFilter="1">
      <autoFilter ref="$A$3:$H$70"/>
    </customSheetView>
  </customSheetViews>
  <mergeCells count="1">
    <mergeCell ref="A1:H1"/>
  </mergeCells>
  <dataValidations>
    <dataValidation type="list" allowBlank="1" showErrorMessage="1" sqref="D4:D161">
      <formula1>"Estratégico,Tático,Operacional"</formula1>
    </dataValidation>
    <dataValidation type="list" allowBlank="1" sqref="G4:G161">
      <formula1>"Indiferente,Júnior,Pleno,Sênior,Master,Especialista"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7.0"/>
    <col customWidth="1" min="2" max="3" width="38.13"/>
    <col customWidth="1" min="4" max="4" width="15.75"/>
    <col customWidth="1" min="5" max="5" width="14.38"/>
    <col customWidth="1" min="6" max="6" width="29.13"/>
    <col customWidth="1" min="7" max="7" width="19.88"/>
    <col customWidth="1" min="8" max="8" width="13.0"/>
    <col customWidth="1" min="9" max="9" width="28.88"/>
    <col customWidth="1" min="10" max="10" width="11.75"/>
    <col customWidth="1" min="11" max="11" width="17.38"/>
    <col customWidth="1" min="12" max="12" width="12.5"/>
    <col customWidth="1" hidden="1" min="13" max="13" width="14.75"/>
    <col customWidth="1" hidden="1" min="14" max="14" width="10.88"/>
    <col customWidth="1" hidden="1" min="15" max="15" width="10.13"/>
    <col customWidth="1" min="16" max="16" width="10.13"/>
    <col customWidth="1" hidden="1" min="17" max="17" width="10.88"/>
    <col customWidth="1" hidden="1" min="18" max="18" width="14.0"/>
    <col customWidth="1" hidden="1" min="19" max="19" width="18.75"/>
    <col customWidth="1" hidden="1" min="20" max="20" width="27.38"/>
    <col customWidth="1" hidden="1" min="21" max="21" width="14.13"/>
    <col customWidth="1" hidden="1" min="22" max="22" width="10.88"/>
    <col customWidth="1" hidden="1" min="23" max="23" width="8.25"/>
    <col customWidth="1" hidden="1" min="24" max="24" width="10.13"/>
    <col customWidth="1" hidden="1" min="25" max="25" width="10.88"/>
    <col customWidth="1" hidden="1" min="26" max="26" width="14.0"/>
    <col customWidth="1" hidden="1" min="27" max="27" width="20.88"/>
    <col customWidth="1" hidden="1" min="28" max="28" width="21.5"/>
  </cols>
  <sheetData>
    <row r="1">
      <c r="B1" s="73"/>
      <c r="C1" s="73"/>
      <c r="D1" s="73"/>
      <c r="E1" s="73"/>
      <c r="F1" s="73"/>
      <c r="G1" s="73"/>
      <c r="H1" s="74" t="s">
        <v>45</v>
      </c>
      <c r="I1" s="73"/>
      <c r="J1" s="73"/>
      <c r="K1" s="73"/>
      <c r="L1" s="73"/>
      <c r="M1" s="75" t="str">
        <f>'Informações Relevantes Cenários'!A1</f>
        <v>Cenário 01: Pesquisa TI - Nacional</v>
      </c>
      <c r="N1" s="76"/>
      <c r="O1" s="76"/>
      <c r="P1" s="76" t="s">
        <v>46</v>
      </c>
      <c r="Q1" s="76"/>
      <c r="R1" s="77"/>
      <c r="S1" s="78" t="str">
        <f>"% Distância da "&amp;'Painel Geral'!B5</f>
        <v>% Distância da Mediana</v>
      </c>
      <c r="T1" s="78" t="s">
        <v>47</v>
      </c>
      <c r="U1" s="79" t="str">
        <f>'Informações Relevantes Cenários'!C1</f>
        <v>Cenário 02: Pesquisa TI - Corte por Santa Catarina</v>
      </c>
      <c r="V1" s="80"/>
      <c r="W1" s="80"/>
      <c r="X1" s="80"/>
      <c r="Y1" s="80"/>
      <c r="Z1" s="81"/>
      <c r="AA1" s="82" t="str">
        <f>"% Distância da "&amp;'Painel Geral'!B5</f>
        <v>% Distância da Mediana</v>
      </c>
      <c r="AB1" s="82" t="s">
        <v>47</v>
      </c>
    </row>
    <row r="2" ht="6.0" customHeight="1">
      <c r="A2" s="83"/>
      <c r="B2" s="84"/>
      <c r="C2" s="85"/>
      <c r="D2" s="86"/>
      <c r="E2" s="87"/>
      <c r="F2" s="87"/>
      <c r="G2" s="87"/>
      <c r="H2" s="87"/>
      <c r="I2" s="84"/>
      <c r="J2" s="87"/>
      <c r="K2" s="84"/>
      <c r="L2" s="88"/>
      <c r="M2" s="89"/>
      <c r="N2" s="90"/>
      <c r="O2" s="90"/>
      <c r="P2" s="90"/>
      <c r="Q2" s="90"/>
      <c r="R2" s="91"/>
      <c r="S2" s="92"/>
      <c r="T2" s="91"/>
      <c r="U2" s="93"/>
      <c r="V2" s="94"/>
      <c r="W2" s="94"/>
      <c r="X2" s="94"/>
      <c r="Y2" s="94"/>
      <c r="Z2" s="95"/>
      <c r="AA2" s="96"/>
      <c r="AB2" s="97"/>
    </row>
    <row r="3">
      <c r="A3" s="98" t="s">
        <v>37</v>
      </c>
      <c r="B3" s="99" t="s">
        <v>38</v>
      </c>
      <c r="C3" s="100" t="s">
        <v>48</v>
      </c>
      <c r="D3" s="101" t="s">
        <v>49</v>
      </c>
      <c r="E3" s="102" t="s">
        <v>50</v>
      </c>
      <c r="F3" s="102" t="s">
        <v>8</v>
      </c>
      <c r="G3" s="99" t="s">
        <v>7</v>
      </c>
      <c r="H3" s="99" t="s">
        <v>39</v>
      </c>
      <c r="I3" s="99" t="s">
        <v>40</v>
      </c>
      <c r="J3" s="103" t="s">
        <v>6</v>
      </c>
      <c r="K3" s="104" t="s">
        <v>51</v>
      </c>
      <c r="L3" s="99" t="s">
        <v>52</v>
      </c>
      <c r="M3" s="105" t="s">
        <v>53</v>
      </c>
      <c r="N3" s="106" t="s">
        <v>54</v>
      </c>
      <c r="O3" s="106" t="s">
        <v>55</v>
      </c>
      <c r="P3" s="106" t="s">
        <v>56</v>
      </c>
      <c r="Q3" s="106" t="s">
        <v>57</v>
      </c>
      <c r="R3" s="107" t="s">
        <v>58</v>
      </c>
      <c r="S3" s="108" t="s">
        <v>59</v>
      </c>
      <c r="T3" s="109" t="s">
        <v>60</v>
      </c>
      <c r="U3" s="110" t="s">
        <v>53</v>
      </c>
      <c r="V3" s="111" t="s">
        <v>54</v>
      </c>
      <c r="W3" s="111" t="s">
        <v>55</v>
      </c>
      <c r="X3" s="111" t="s">
        <v>56</v>
      </c>
      <c r="Y3" s="111" t="s">
        <v>57</v>
      </c>
      <c r="Z3" s="112" t="s">
        <v>58</v>
      </c>
      <c r="AA3" s="113" t="s">
        <v>61</v>
      </c>
      <c r="AB3" s="114" t="s">
        <v>62</v>
      </c>
    </row>
    <row r="4" ht="15.75" customHeight="1">
      <c r="A4" s="115">
        <v>1.0</v>
      </c>
      <c r="B4" s="116" t="str">
        <f>VLOOKUP(A4,Jobmatch!A:F,2,0)</f>
        <v>Engenheiro de Software Full Stack Jr</v>
      </c>
      <c r="C4" s="117" t="s">
        <v>63</v>
      </c>
      <c r="D4" s="118">
        <f>IFERROR(AVERAGEIF('Folha de Pagamento'!A:A,A4,'Folha de Pagamento'!I:I),"")</f>
        <v>2489.18</v>
      </c>
      <c r="E4" s="119">
        <v>1.0</v>
      </c>
      <c r="F4" s="120" t="str">
        <f>VLOOKUP(A4,Jobmatch!A:G,3,0)</f>
        <v>DEV</v>
      </c>
      <c r="G4" s="121" t="str">
        <f>VLOOKUP(A4,Jobmatch!A:H,4,0)</f>
        <v>Operacional</v>
      </c>
      <c r="H4" s="121">
        <f>VLOOKUP(A4,Jobmatch!A:H,5,0)</f>
        <v>1</v>
      </c>
      <c r="I4" s="117" t="str">
        <f>VLOOKUP(A4,Jobmatch!A:H,6,0)</f>
        <v>Desenvolvedor</v>
      </c>
      <c r="J4" s="122" t="str">
        <f>VLOOKUP(A4,Jobmatch!A:H,7,0)</f>
        <v>Júnior</v>
      </c>
      <c r="K4" s="123" t="str">
        <f t="shared" ref="K4:K14" si="1">H4&amp;J4</f>
        <v>1Júnior</v>
      </c>
      <c r="L4" s="121">
        <f>COUNTIF('Folha de Pagamento'!A:A,A4)</f>
        <v>23</v>
      </c>
      <c r="M4" s="124">
        <f>IFERROR(VLOOKUP(K4,'C-01'!$D:$L,4,0),"")</f>
        <v>2030.9</v>
      </c>
      <c r="N4" s="125">
        <f>IFERROR(VLOOKUP(K4,'C-01'!$D:$L,5,0),"")</f>
        <v>2706.62</v>
      </c>
      <c r="O4" s="125">
        <f>IFERROR(VLOOKUP(K4,'C-01'!$D:$L,6,0),"")</f>
        <v>3370.79</v>
      </c>
      <c r="P4" s="125">
        <f>IFERROR(VLOOKUP(K4,'C-01'!$D:$L,7,0),"")</f>
        <v>3379.04</v>
      </c>
      <c r="Q4" s="125">
        <f>IFERROR(VLOOKUP(K4,'C-01'!$D:$L,8,0),"")</f>
        <v>3870.49</v>
      </c>
      <c r="R4" s="124">
        <f>IFERROR(VLOOKUP(K4,'C-01'!$D:$L,9,0),"")</f>
        <v>5268.74</v>
      </c>
      <c r="S4" s="126">
        <f>IFS('Painel Geral'!$B$5="Mediana",IFERROR(IF(OR(D4="",P4=0,P4=""),"",($D4/$P4)),""),'Painel Geral'!$B$5="Menor Salário",IFERROR(IF(OR(D4="",P4=0,P4=""),"",($D4/$M4)),""),'Painel Geral'!$B$5="1º Quartil",IFERROR(IF(OR(D4="",P4=0,P4=""),"",($D4/$N4)),""), 'Painel Geral'!$B$5="Média",IFERROR(IF(OR(D4="",P4=0,P4=""),"",($D4/$O4)),""),'Painel Geral'!$B$5="3º Quartil",IFERROR(IF(OR(D4="",P4=0,P4=""),"",($D4/$Q4)),""),'Painel Geral'!$B$5="Maior Salário",IFERROR(IF(OR(D4="",P4=0,P4=""),"",($D4/$R4)),""))</f>
        <v>0.7366530139</v>
      </c>
      <c r="T4" s="127" t="str">
        <f t="shared" ref="T4:T14" si="2">IFS(OR(M4="",M4=0,D4="", D4=0),"",S4&lt;=80%,"Muito Defasado",S4&lt;=90%,"Defasado",S4&lt;=100%,"Na Média",S4&lt;=110%,"Competitivo",S4&lt;=120%,"Muito Competitivo",S4&gt;120%,"Agressivo")</f>
        <v>Muito Defasado</v>
      </c>
      <c r="U4" s="128">
        <f>IFERROR(VLOOKUP($K4,'C-02'!$D:$L,4,0),"")</f>
        <v>2468.17</v>
      </c>
      <c r="V4" s="128">
        <f>IFERROR(VLOOKUP($K4,'C-02'!$D:$L,5,0),"")</f>
        <v>2944.09</v>
      </c>
      <c r="W4" s="128">
        <f>IFERROR(VLOOKUP($K4,'C-02'!$D:$L,6,0),"")</f>
        <v>3642.17</v>
      </c>
      <c r="X4" s="128">
        <f>IFERROR(VLOOKUP($K4,'C-02'!$D:$L,7,0),"")</f>
        <v>3493.9</v>
      </c>
      <c r="Y4" s="128">
        <f>IFERROR(VLOOKUP($K4,'C-02'!$D:$L,8,0),"")</f>
        <v>4224.13</v>
      </c>
      <c r="Z4" s="128">
        <f>IFERROR(VLOOKUP($K4,'C-02'!$D:$L,9,0),"")</f>
        <v>5456.83</v>
      </c>
      <c r="AA4" s="129">
        <f>IFS('Painel Geral'!$B$5="Mediana",IFERROR(IF(OR(D4="",X4=0,X4=""),"",($D4/$X4)),""),'Painel Geral'!$B$5="Menor Salário",IFERROR(IF(OR(D4="",X4=0,X4=""),"",($D4/$U4)),""),'Painel Geral'!$B$5="1º Quartil",IFERROR(IF(OR(D4="",X4=0,X4=""),"",($D4/$V4)),""),'Painel Geral'!$B$5="Média",IFERROR(IF(OR(D4="",X4=0,X4=""),"",($D4/$W4)),""),'Painel Geral'!$B$5="3º Quartil",IFERROR(IF(OR(D4="",X4=0,X4=""),"",($D4/$Y4)),""), 'Painel Geral'!$B$5="Maior Salário",IFERROR(IF(OR(D4="",X4=0,X4=""),"",($D4/$Z4)),""))</f>
        <v>0.7124359598</v>
      </c>
      <c r="AB4" s="130" t="str">
        <f t="shared" ref="AB4:AB14" si="3">IFS(OR(U4="",U4=0,D4="", D4=0),"",AA4&lt;=80%,"Muito Defasado",AA4&lt;=90%,"Defasado",AA4&lt;=100%,"Na Média",AA4&lt;=110%,"Competitivo",AA4&lt;=120%,"Muito Competitivo",AA4&gt;120%,"Agressivo")</f>
        <v>Muito Defasado</v>
      </c>
    </row>
    <row r="5" ht="15.75" customHeight="1">
      <c r="A5" s="115">
        <v>2.0</v>
      </c>
      <c r="B5" s="131" t="str">
        <f>VLOOKUP(A5,Jobmatch!A:F,2,0)</f>
        <v>Engenheiro de Software Full Stack Pl</v>
      </c>
      <c r="C5" s="117" t="s">
        <v>64</v>
      </c>
      <c r="D5" s="118">
        <f>IFERROR(AVERAGEIF('Folha de Pagamento'!A:A,A5,'Folha de Pagamento'!I:I),"")</f>
        <v>4305.6</v>
      </c>
      <c r="E5" s="119">
        <v>1.0</v>
      </c>
      <c r="F5" s="120" t="str">
        <f>VLOOKUP(A5,Jobmatch!A:G,3,0)</f>
        <v>DEV</v>
      </c>
      <c r="G5" s="121" t="str">
        <f>VLOOKUP(A5,Jobmatch!A:H,4,0)</f>
        <v>Operacional</v>
      </c>
      <c r="H5" s="121">
        <f>VLOOKUP(A5,Jobmatch!A:H,5,0)</f>
        <v>1</v>
      </c>
      <c r="I5" s="117" t="str">
        <f>VLOOKUP(A5,Jobmatch!A:H,6,0)</f>
        <v>Desenvolvedor</v>
      </c>
      <c r="J5" s="122" t="str">
        <f>VLOOKUP(A5,Jobmatch!A:H,7,0)</f>
        <v>Pleno</v>
      </c>
      <c r="K5" s="123" t="str">
        <f t="shared" si="1"/>
        <v>1Pleno</v>
      </c>
      <c r="L5" s="121">
        <f>COUNTIF('Folha de Pagamento'!A:A,A5)</f>
        <v>5</v>
      </c>
      <c r="M5" s="124">
        <f>IFERROR(VLOOKUP(K5,'C-01'!$D:$L,4,0),"")</f>
        <v>3358.05</v>
      </c>
      <c r="N5" s="125">
        <f>IFERROR(VLOOKUP(K5,'C-01'!$D:$L,5,0),"")</f>
        <v>4730.15</v>
      </c>
      <c r="O5" s="125">
        <f>IFERROR(VLOOKUP(K5,'C-01'!$D:$L,6,0),"")</f>
        <v>5379.82</v>
      </c>
      <c r="P5" s="125">
        <f>IFERROR(VLOOKUP(K5,'C-01'!$D:$L,7,0),"")</f>
        <v>5342.35</v>
      </c>
      <c r="Q5" s="125">
        <f>IFERROR(VLOOKUP(K5,'C-01'!$D:$L,8,0),"")</f>
        <v>5995.34</v>
      </c>
      <c r="R5" s="124">
        <f>IFERROR(VLOOKUP(K5,'C-01'!$D:$L,9,0),"")</f>
        <v>7790.91</v>
      </c>
      <c r="S5" s="126">
        <f>IFS('Painel Geral'!$B$5="Mediana",IFERROR(IF(OR(D5="",P5=0,P5=""),"",($D5/$P5)),""),'Painel Geral'!$B$5="Menor Salário",IFERROR(IF(OR(D5="",P5=0,P5=""),"",($D5/$M5)),""),'Painel Geral'!$B$5="1º Quartil",IFERROR(IF(OR(D5="",P5=0,P5=""),"",($D5/$N5)),""), 'Painel Geral'!$B$5="Média",IFERROR(IF(OR(D5="",P5=0,P5=""),"",($D5/$O5)),""),'Painel Geral'!$B$5="3º Quartil",IFERROR(IF(OR(D5="",P5=0,P5=""),"",($D5/$Q5)),""),'Painel Geral'!$B$5="Maior Salário",IFERROR(IF(OR(D5="",P5=0,P5=""),"",($D5/$R5)),""))</f>
        <v>0.805937462</v>
      </c>
      <c r="T5" s="127" t="str">
        <f t="shared" si="2"/>
        <v>Defasado</v>
      </c>
      <c r="U5" s="128">
        <f>IFERROR(VLOOKUP($K5,'C-02'!$D:$L,4,0),"")</f>
        <v>3480.14</v>
      </c>
      <c r="V5" s="128">
        <f>IFERROR(VLOOKUP($K5,'C-02'!$D:$L,5,0),"")</f>
        <v>4665.99</v>
      </c>
      <c r="W5" s="128">
        <f>IFERROR(VLOOKUP($K5,'C-02'!$D:$L,6,0),"")</f>
        <v>5399.83</v>
      </c>
      <c r="X5" s="128">
        <f>IFERROR(VLOOKUP($K5,'C-02'!$D:$L,7,0),"")</f>
        <v>5248.63</v>
      </c>
      <c r="Y5" s="128">
        <f>IFERROR(VLOOKUP($K5,'C-02'!$D:$L,8,0),"")</f>
        <v>6311.23</v>
      </c>
      <c r="Z5" s="128">
        <f>IFERROR(VLOOKUP($K5,'C-02'!$D:$L,9,0),"")</f>
        <v>7135.86</v>
      </c>
      <c r="AA5" s="129">
        <f>IFS('Painel Geral'!$B$5="Mediana",IFERROR(IF(OR(D5="",X5=0,X5=""),"",($D5/$X5)),""),'Painel Geral'!$B$5="Menor Salário",IFERROR(IF(OR(D5="",X5=0,X5=""),"",($D5/$U5)),""),'Painel Geral'!$B$5="1º Quartil",IFERROR(IF(OR(D5="",X5=0,X5=""),"",($D5/$V5)),""),'Painel Geral'!$B$5="Média",IFERROR(IF(OR(D5="",X5=0,X5=""),"",($D5/$W5)),""),'Painel Geral'!$B$5="3º Quartil",IFERROR(IF(OR(D5="",X5=0,X5=""),"",($D5/$Y5)),""), 'Painel Geral'!$B$5="Maior Salário",IFERROR(IF(OR(D5="",X5=0,X5=""),"",($D5/$Z5)),""))</f>
        <v>0.8203283524</v>
      </c>
      <c r="AB5" s="130" t="str">
        <f t="shared" si="3"/>
        <v>Defasado</v>
      </c>
    </row>
    <row r="6" ht="15.75" customHeight="1">
      <c r="A6" s="132">
        <v>3.0</v>
      </c>
      <c r="B6" s="131" t="str">
        <f>VLOOKUP(A6,Jobmatch!A:F,2,0)</f>
        <v>Engenheiro de Software Full Stack Sr</v>
      </c>
      <c r="C6" s="117" t="s">
        <v>65</v>
      </c>
      <c r="D6" s="118">
        <f>IFERROR(AVERAGEIF('Folha de Pagamento'!A:A,A6,'Folha de Pagamento'!I:I),"")</f>
        <v>6458.4</v>
      </c>
      <c r="E6" s="119">
        <v>1.0</v>
      </c>
      <c r="F6" s="120" t="str">
        <f>VLOOKUP(A6,Jobmatch!A:G,3,0)</f>
        <v>DEV</v>
      </c>
      <c r="G6" s="121" t="str">
        <f>VLOOKUP(A6,Jobmatch!A:H,4,0)</f>
        <v>Tático</v>
      </c>
      <c r="H6" s="121">
        <f>VLOOKUP(A6,Jobmatch!A:H,5,0)</f>
        <v>1</v>
      </c>
      <c r="I6" s="117" t="str">
        <f>VLOOKUP(A6,Jobmatch!A:H,6,0)</f>
        <v>Desenvolvedor</v>
      </c>
      <c r="J6" s="122" t="str">
        <f>VLOOKUP(A6,Jobmatch!A:H,7,0)</f>
        <v>Sênior</v>
      </c>
      <c r="K6" s="123" t="str">
        <f t="shared" si="1"/>
        <v>1Sênior</v>
      </c>
      <c r="L6" s="121">
        <f>COUNTIF('Folha de Pagamento'!A:A,A6)</f>
        <v>2</v>
      </c>
      <c r="M6" s="124">
        <f>IFERROR(VLOOKUP(K6,'C-01'!$D:$L,4,0),"")</f>
        <v>5873.21</v>
      </c>
      <c r="N6" s="125">
        <f>IFERROR(VLOOKUP(K6,'C-01'!$D:$L,5,0),"")</f>
        <v>7005.56</v>
      </c>
      <c r="O6" s="125">
        <f>IFERROR(VLOOKUP(K6,'C-01'!$D:$L,6,0),"")</f>
        <v>8047.78</v>
      </c>
      <c r="P6" s="125">
        <f>IFERROR(VLOOKUP(K6,'C-01'!$D:$L,7,0),"")</f>
        <v>7999.87</v>
      </c>
      <c r="Q6" s="125">
        <f>IFERROR(VLOOKUP(K6,'C-01'!$D:$L,8,0),"")</f>
        <v>9271.4</v>
      </c>
      <c r="R6" s="124">
        <f>IFERROR(VLOOKUP(K6,'C-01'!$D:$L,9,0),"")</f>
        <v>10095.14</v>
      </c>
      <c r="S6" s="126">
        <f>IFS('Painel Geral'!$B$5="Mediana",IFERROR(IF(OR(D6="",P6=0,P6=""),"",($D6/$P6)),""),'Painel Geral'!$B$5="Menor Salário",IFERROR(IF(OR(D6="",P6=0,P6=""),"",($D6/$M6)),""),'Painel Geral'!$B$5="1º Quartil",IFERROR(IF(OR(D6="",P6=0,P6=""),"",($D6/$N6)),""), 'Painel Geral'!$B$5="Média",IFERROR(IF(OR(D6="",P6=0,P6=""),"",($D6/$O6)),""),'Painel Geral'!$B$5="3º Quartil",IFERROR(IF(OR(D6="",P6=0,P6=""),"",($D6/$Q6)),""),'Painel Geral'!$B$5="Maior Salário",IFERROR(IF(OR(D6="",P6=0,P6=""),"",($D6/$R6)),""))</f>
        <v>0.8073131188</v>
      </c>
      <c r="T6" s="127" t="str">
        <f t="shared" si="2"/>
        <v>Defasado</v>
      </c>
      <c r="U6" s="128">
        <f>IFERROR(VLOOKUP($K6,'C-02'!$D:$L,4,0),"")</f>
        <v>5928.64</v>
      </c>
      <c r="V6" s="128">
        <f>IFERROR(VLOOKUP($K6,'C-02'!$D:$L,5,0),"")</f>
        <v>6791.87</v>
      </c>
      <c r="W6" s="128">
        <f>IFERROR(VLOOKUP($K6,'C-02'!$D:$L,6,0),"")</f>
        <v>7984.54</v>
      </c>
      <c r="X6" s="128">
        <f>IFERROR(VLOOKUP($K6,'C-02'!$D:$L,7,0),"")</f>
        <v>7851.14</v>
      </c>
      <c r="Y6" s="128">
        <f>IFERROR(VLOOKUP($K6,'C-02'!$D:$L,8,0),"")</f>
        <v>9534.06</v>
      </c>
      <c r="Z6" s="128">
        <f>IFERROR(VLOOKUP($K6,'C-02'!$D:$L,9,0),"")</f>
        <v>9921.51</v>
      </c>
      <c r="AA6" s="129">
        <f>IFS('Painel Geral'!$B$5="Mediana",IFERROR(IF(OR(D6="",X6=0,X6=""),"",($D6/$X6)),""),'Painel Geral'!$B$5="Menor Salário",IFERROR(IF(OR(D6="",X6=0,X6=""),"",($D6/$U6)),""),'Painel Geral'!$B$5="1º Quartil",IFERROR(IF(OR(D6="",X6=0,X6=""),"",($D6/$V6)),""),'Painel Geral'!$B$5="Média",IFERROR(IF(OR(D6="",X6=0,X6=""),"",($D6/$W6)),""),'Painel Geral'!$B$5="3º Quartil",IFERROR(IF(OR(D6="",X6=0,X6=""),"",($D6/$Y6)),""), 'Painel Geral'!$B$5="Maior Salário",IFERROR(IF(OR(D6="",X6=0,X6=""),"",($D6/$Z6)),""))</f>
        <v>0.8226066533</v>
      </c>
      <c r="AB6" s="130" t="str">
        <f t="shared" si="3"/>
        <v>Defasado</v>
      </c>
    </row>
    <row r="7" ht="15.75" customHeight="1">
      <c r="A7" s="132">
        <v>4.0</v>
      </c>
      <c r="B7" s="131" t="str">
        <f>VLOOKUP(A7,Jobmatch!A:F,2,0)</f>
        <v>Analista de Requisitos</v>
      </c>
      <c r="C7" s="133" t="s">
        <v>66</v>
      </c>
      <c r="D7" s="118">
        <f>IFERROR(AVERAGEIF('Folha de Pagamento'!A:A,A7,'Folha de Pagamento'!I:I),"")</f>
        <v>2859.19</v>
      </c>
      <c r="E7" s="119">
        <v>1.0</v>
      </c>
      <c r="F7" s="120" t="str">
        <f>VLOOKUP(A7,Jobmatch!A:G,3,0)</f>
        <v>DEV</v>
      </c>
      <c r="G7" s="121" t="str">
        <f>VLOOKUP(A7,Jobmatch!A:H,4,0)</f>
        <v>Operacional</v>
      </c>
      <c r="H7" s="121">
        <f>VLOOKUP(A7,Jobmatch!A:H,5,0)</f>
        <v>796</v>
      </c>
      <c r="I7" s="117" t="str">
        <f>VLOOKUP(A7,Jobmatch!A:H,6,0)</f>
        <v>Analista de Requisitos</v>
      </c>
      <c r="J7" s="122" t="str">
        <f>VLOOKUP(A7,Jobmatch!A:H,7,0)</f>
        <v>Júnior</v>
      </c>
      <c r="K7" s="123" t="str">
        <f t="shared" si="1"/>
        <v>796Júnior</v>
      </c>
      <c r="L7" s="121">
        <f>COUNTIF('Folha de Pagamento'!A:A,A7)</f>
        <v>2</v>
      </c>
      <c r="M7" s="124">
        <f>IFERROR(VLOOKUP(K7,'C-01'!$D:$L,4,0),"")</f>
        <v>2626.68</v>
      </c>
      <c r="N7" s="125">
        <f>IFERROR(VLOOKUP(K7,'C-01'!$D:$L,5,0),"")</f>
        <v>3508.61</v>
      </c>
      <c r="O7" s="125">
        <f>IFERROR(VLOOKUP(K7,'C-01'!$D:$L,6,0),"")</f>
        <v>4174.12</v>
      </c>
      <c r="P7" s="125">
        <f>IFERROR(VLOOKUP(K7,'C-01'!$D:$L,7,0),"")</f>
        <v>3618.72</v>
      </c>
      <c r="Q7" s="125">
        <f>IFERROR(VLOOKUP(K7,'C-01'!$D:$L,8,0),"")</f>
        <v>5081.15</v>
      </c>
      <c r="R7" s="124">
        <f>IFERROR(VLOOKUP(K7,'C-01'!$D:$L,9,0),"")</f>
        <v>5977.75</v>
      </c>
      <c r="S7" s="126">
        <f>IFS('Painel Geral'!$B$5="Mediana",IFERROR(IF(OR(D7="",P7=0,P7=""),"",($D7/$P7)),""),'Painel Geral'!$B$5="Menor Salário",IFERROR(IF(OR(D7="",P7=0,P7=""),"",($D7/$M7)),""),'Painel Geral'!$B$5="1º Quartil",IFERROR(IF(OR(D7="",P7=0,P7=""),"",($D7/$N7)),""), 'Painel Geral'!$B$5="Média",IFERROR(IF(OR(D7="",P7=0,P7=""),"",($D7/$O7)),""),'Painel Geral'!$B$5="3º Quartil",IFERROR(IF(OR(D7="",P7=0,P7=""),"",($D7/$Q7)),""),'Painel Geral'!$B$5="Maior Salário",IFERROR(IF(OR(D7="",P7=0,P7=""),"",($D7/$R7)),""))</f>
        <v>0.7901108679</v>
      </c>
      <c r="T7" s="127" t="str">
        <f t="shared" si="2"/>
        <v>Muito Defasado</v>
      </c>
      <c r="U7" s="128">
        <f>IFERROR(VLOOKUP($K7,'C-02'!$D:$L,4,0),"")</f>
        <v>0</v>
      </c>
      <c r="V7" s="128">
        <f>IFERROR(VLOOKUP($K7,'C-02'!$D:$L,5,0),"")</f>
        <v>0</v>
      </c>
      <c r="W7" s="128">
        <f>IFERROR(VLOOKUP($K7,'C-02'!$D:$L,6,0),"")</f>
        <v>0</v>
      </c>
      <c r="X7" s="128">
        <f>IFERROR(VLOOKUP($K7,'C-02'!$D:$L,7,0),"")</f>
        <v>0</v>
      </c>
      <c r="Y7" s="128">
        <f>IFERROR(VLOOKUP($K7,'C-02'!$D:$L,8,0),"")</f>
        <v>0</v>
      </c>
      <c r="Z7" s="128">
        <f>IFERROR(VLOOKUP($K7,'C-02'!$D:$L,9,0),"")</f>
        <v>0</v>
      </c>
      <c r="AA7" s="129" t="str">
        <f>IFS('Painel Geral'!$B$5="Mediana",IFERROR(IF(OR(D7="",X7=0,X7=""),"",($D7/$X7)),""),'Painel Geral'!$B$5="Menor Salário",IFERROR(IF(OR(D7="",X7=0,X7=""),"",($D7/$U7)),""),'Painel Geral'!$B$5="1º Quartil",IFERROR(IF(OR(D7="",X7=0,X7=""),"",($D7/$V7)),""),'Painel Geral'!$B$5="Média",IFERROR(IF(OR(D7="",X7=0,X7=""),"",($D7/$W7)),""),'Painel Geral'!$B$5="3º Quartil",IFERROR(IF(OR(D7="",X7=0,X7=""),"",($D7/$Y7)),""), 'Painel Geral'!$B$5="Maior Salário",IFERROR(IF(OR(D7="",X7=0,X7=""),"",($D7/$Z7)),""))</f>
        <v/>
      </c>
      <c r="AB7" s="130" t="str">
        <f t="shared" si="3"/>
        <v/>
      </c>
    </row>
    <row r="8" ht="15.75" customHeight="1">
      <c r="A8" s="132"/>
      <c r="B8" s="116"/>
      <c r="C8" s="133" t="s">
        <v>67</v>
      </c>
      <c r="D8" s="118"/>
      <c r="E8" s="119"/>
      <c r="F8" s="120" t="s">
        <v>20</v>
      </c>
      <c r="G8" s="134"/>
      <c r="H8" s="121">
        <v>796.0</v>
      </c>
      <c r="I8" s="117" t="s">
        <v>33</v>
      </c>
      <c r="J8" s="122" t="s">
        <v>24</v>
      </c>
      <c r="K8" s="123" t="str">
        <f t="shared" si="1"/>
        <v>796Pleno</v>
      </c>
      <c r="L8" s="121"/>
      <c r="M8" s="124">
        <f>IFERROR(VLOOKUP(K8,'C-01'!$D:$L,4,0),"")</f>
        <v>3810.77</v>
      </c>
      <c r="N8" s="125">
        <f>IFERROR(VLOOKUP(K8,'C-01'!$D:$L,5,0),"")</f>
        <v>4192.12</v>
      </c>
      <c r="O8" s="125">
        <f>IFERROR(VLOOKUP(K8,'C-01'!$D:$L,6,0),"")</f>
        <v>4717.97</v>
      </c>
      <c r="P8" s="125">
        <f>IFERROR(VLOOKUP(K8,'C-01'!$D:$L,7,0),"")</f>
        <v>4465.27</v>
      </c>
      <c r="Q8" s="125">
        <f>IFERROR(VLOOKUP(K8,'C-01'!$D:$L,8,0),"")</f>
        <v>5273.23</v>
      </c>
      <c r="R8" s="124">
        <f>IFERROR(VLOOKUP(K8,'C-01'!$D:$L,9,0),"")</f>
        <v>6105.55</v>
      </c>
      <c r="S8" s="126" t="str">
        <f>IFS('Painel Geral'!$B$5="Mediana",IFERROR(IF(OR(D8="",P8=0,P8=""),"",($D8/$P8)),""),'Painel Geral'!$B$5="Menor Salário",IFERROR(IF(OR(D8="",P8=0,P8=""),"",($D8/$M8)),""),'Painel Geral'!$B$5="1º Quartil",IFERROR(IF(OR(D8="",P8=0,P8=""),"",($D8/$N8)),""), 'Painel Geral'!$B$5="Média",IFERROR(IF(OR(D8="",P8=0,P8=""),"",($D8/$O8)),""),'Painel Geral'!$B$5="3º Quartil",IFERROR(IF(OR(D8="",P8=0,P8=""),"",($D8/$Q8)),""),'Painel Geral'!$B$5="Maior Salário",IFERROR(IF(OR(D8="",P8=0,P8=""),"",($D8/$R8)),""))</f>
        <v/>
      </c>
      <c r="T8" s="127" t="str">
        <f t="shared" si="2"/>
        <v/>
      </c>
      <c r="U8" s="128">
        <f>IFERROR(VLOOKUP($K8,'C-02'!$D:$L,4,0),"")</f>
        <v>0</v>
      </c>
      <c r="V8" s="128">
        <f>IFERROR(VLOOKUP($K8,'C-02'!$D:$L,5,0),"")</f>
        <v>0</v>
      </c>
      <c r="W8" s="128">
        <f>IFERROR(VLOOKUP($K8,'C-02'!$D:$L,6,0),"")</f>
        <v>0</v>
      </c>
      <c r="X8" s="128">
        <f>IFERROR(VLOOKUP($K8,'C-02'!$D:$L,7,0),"")</f>
        <v>0</v>
      </c>
      <c r="Y8" s="128">
        <f>IFERROR(VLOOKUP($K8,'C-02'!$D:$L,8,0),"")</f>
        <v>0</v>
      </c>
      <c r="Z8" s="128">
        <f>IFERROR(VLOOKUP($K8,'C-02'!$D:$L,9,0),"")</f>
        <v>0</v>
      </c>
      <c r="AA8" s="129" t="str">
        <f>IFS('Painel Geral'!$B$5="Mediana",IFERROR(IF(OR(D8="",X8=0,X8=""),"",($D8/$X8)),""),'Painel Geral'!$B$5="Menor Salário",IFERROR(IF(OR(D8="",X8=0,X8=""),"",($D8/$U8)),""),'Painel Geral'!$B$5="1º Quartil",IFERROR(IF(OR(D8="",X8=0,X8=""),"",($D8/$V8)),""),'Painel Geral'!$B$5="Média",IFERROR(IF(OR(D8="",X8=0,X8=""),"",($D8/$W8)),""),'Painel Geral'!$B$5="3º Quartil",IFERROR(IF(OR(D8="",X8=0,X8=""),"",($D8/$Y8)),""), 'Painel Geral'!$B$5="Maior Salário",IFERROR(IF(OR(D8="",X8=0,X8=""),"",($D8/$Z8)),""))</f>
        <v/>
      </c>
      <c r="AB8" s="130" t="str">
        <f t="shared" si="3"/>
        <v/>
      </c>
    </row>
    <row r="9" ht="15.75" customHeight="1">
      <c r="A9" s="132"/>
      <c r="B9" s="116"/>
      <c r="C9" s="133" t="s">
        <v>68</v>
      </c>
      <c r="D9" s="118"/>
      <c r="E9" s="119"/>
      <c r="F9" s="120" t="s">
        <v>20</v>
      </c>
      <c r="G9" s="134"/>
      <c r="H9" s="121">
        <v>796.0</v>
      </c>
      <c r="I9" s="117" t="s">
        <v>33</v>
      </c>
      <c r="J9" s="122" t="s">
        <v>18</v>
      </c>
      <c r="K9" s="123" t="str">
        <f t="shared" si="1"/>
        <v>796Sênior</v>
      </c>
      <c r="L9" s="121"/>
      <c r="M9" s="124">
        <f>IFERROR(VLOOKUP(K9,'C-01'!$D:$L,4,0),"")</f>
        <v>6472.04</v>
      </c>
      <c r="N9" s="125">
        <f>IFERROR(VLOOKUP(K9,'C-01'!$D:$L,5,0),"")</f>
        <v>7185.89</v>
      </c>
      <c r="O9" s="125">
        <f>IFERROR(VLOOKUP(K9,'C-01'!$D:$L,6,0),"")</f>
        <v>7572.48</v>
      </c>
      <c r="P9" s="125">
        <f>IFERROR(VLOOKUP(K9,'C-01'!$D:$L,7,0),"")</f>
        <v>7264.21</v>
      </c>
      <c r="Q9" s="125">
        <f>IFERROR(VLOOKUP(K9,'C-01'!$D:$L,8,0),"")</f>
        <v>8100.12</v>
      </c>
      <c r="R9" s="124">
        <f>IFERROR(VLOOKUP(K9,'C-01'!$D:$L,9,0),"")</f>
        <v>8614.28</v>
      </c>
      <c r="S9" s="126" t="str">
        <f>IFS('Painel Geral'!$B$5="Mediana",IFERROR(IF(OR(D9="",P9=0,P9=""),"",($D9/$P9)),""),'Painel Geral'!$B$5="Menor Salário",IFERROR(IF(OR(D9="",P9=0,P9=""),"",($D9/$M9)),""),'Painel Geral'!$B$5="1º Quartil",IFERROR(IF(OR(D9="",P9=0,P9=""),"",($D9/$N9)),""), 'Painel Geral'!$B$5="Média",IFERROR(IF(OR(D9="",P9=0,P9=""),"",($D9/$O9)),""),'Painel Geral'!$B$5="3º Quartil",IFERROR(IF(OR(D9="",P9=0,P9=""),"",($D9/$Q9)),""),'Painel Geral'!$B$5="Maior Salário",IFERROR(IF(OR(D9="",P9=0,P9=""),"",($D9/$R9)),""))</f>
        <v/>
      </c>
      <c r="T9" s="127" t="str">
        <f t="shared" si="2"/>
        <v/>
      </c>
      <c r="U9" s="128">
        <f>IFERROR(VLOOKUP($K9,'C-02'!$D:$L,4,0),"")</f>
        <v>0</v>
      </c>
      <c r="V9" s="128">
        <f>IFERROR(VLOOKUP($K9,'C-02'!$D:$L,5,0),"")</f>
        <v>0</v>
      </c>
      <c r="W9" s="128">
        <f>IFERROR(VLOOKUP($K9,'C-02'!$D:$L,6,0),"")</f>
        <v>0</v>
      </c>
      <c r="X9" s="128">
        <f>IFERROR(VLOOKUP($K9,'C-02'!$D:$L,7,0),"")</f>
        <v>0</v>
      </c>
      <c r="Y9" s="128">
        <f>IFERROR(VLOOKUP($K9,'C-02'!$D:$L,8,0),"")</f>
        <v>0</v>
      </c>
      <c r="Z9" s="128">
        <f>IFERROR(VLOOKUP($K9,'C-02'!$D:$L,9,0),"")</f>
        <v>0</v>
      </c>
      <c r="AA9" s="129" t="str">
        <f>IFS('Painel Geral'!$B$5="Mediana",IFERROR(IF(OR(D9="",X9=0,X9=""),"",($D9/$X9)),""),'Painel Geral'!$B$5="Menor Salário",IFERROR(IF(OR(D9="",X9=0,X9=""),"",($D9/$U9)),""),'Painel Geral'!$B$5="1º Quartil",IFERROR(IF(OR(D9="",X9=0,X9=""),"",($D9/$V9)),""),'Painel Geral'!$B$5="Média",IFERROR(IF(OR(D9="",X9=0,X9=""),"",($D9/$W9)),""),'Painel Geral'!$B$5="3º Quartil",IFERROR(IF(OR(D9="",X9=0,X9=""),"",($D9/$Y9)),""), 'Painel Geral'!$B$5="Maior Salário",IFERROR(IF(OR(D9="",X9=0,X9=""),"",($D9/$Z9)),""))</f>
        <v/>
      </c>
      <c r="AB9" s="130" t="str">
        <f t="shared" si="3"/>
        <v/>
      </c>
    </row>
    <row r="10" ht="15.75" customHeight="1">
      <c r="A10" s="132">
        <v>5.0</v>
      </c>
      <c r="B10" s="131" t="str">
        <f>VLOOKUP(A10,Jobmatch!A:F,2,0)</f>
        <v>Lider</v>
      </c>
      <c r="C10" s="117" t="s">
        <v>43</v>
      </c>
      <c r="D10" s="118">
        <f>IFERROR(AVERAGEIF('Folha de Pagamento'!A:A,A10,'Folha de Pagamento'!I:I),"")</f>
        <v>8611.2</v>
      </c>
      <c r="E10" s="119">
        <v>1.0</v>
      </c>
      <c r="F10" s="120" t="str">
        <f>VLOOKUP(A10,Jobmatch!A:G,3,0)</f>
        <v>DEV</v>
      </c>
      <c r="G10" s="121" t="str">
        <f>VLOOKUP(A10,Jobmatch!A:H,4,0)</f>
        <v>Estratégico</v>
      </c>
      <c r="H10" s="121">
        <f>VLOOKUP(A10,Jobmatch!A:H,5,0)</f>
        <v>1016</v>
      </c>
      <c r="I10" s="117" t="str">
        <f>VLOOKUP(A10,Jobmatch!A:H,6,0)</f>
        <v>Líder Técnico</v>
      </c>
      <c r="J10" s="122" t="str">
        <f>VLOOKUP(A10,Jobmatch!A:H,7,0)</f>
        <v>Indiferente</v>
      </c>
      <c r="K10" s="123" t="str">
        <f t="shared" si="1"/>
        <v>1016Indiferente</v>
      </c>
      <c r="L10" s="121">
        <f>COUNTIF('Folha de Pagamento'!A:A,A10)</f>
        <v>1</v>
      </c>
      <c r="M10" s="124">
        <f>IFERROR(VLOOKUP(K10,'C-01'!$D:$L,4,0),"")</f>
        <v>5639.53</v>
      </c>
      <c r="N10" s="125">
        <f>IFERROR(VLOOKUP(K10,'C-01'!$D:$L,5,0),"")</f>
        <v>7452.03</v>
      </c>
      <c r="O10" s="125">
        <f>IFERROR(VLOOKUP(K10,'C-01'!$D:$L,6,0),"")</f>
        <v>8919.44</v>
      </c>
      <c r="P10" s="125">
        <f>IFERROR(VLOOKUP(K10,'C-01'!$D:$L,7,0),"")</f>
        <v>8929.22</v>
      </c>
      <c r="Q10" s="125">
        <f>IFERROR(VLOOKUP(K10,'C-01'!$D:$L,8,0),"")</f>
        <v>10057.47</v>
      </c>
      <c r="R10" s="124">
        <f>IFERROR(VLOOKUP(K10,'C-01'!$D:$L,9,0),"")</f>
        <v>12817.68</v>
      </c>
      <c r="S10" s="126">
        <f>IFS('Painel Geral'!$B$5="Mediana",IFERROR(IF(OR(D10="",P10=0,P10=""),"",($D10/$P10)),""),'Painel Geral'!$B$5="Menor Salário",IFERROR(IF(OR(D10="",P10=0,P10=""),"",($D10/$M10)),""),'Painel Geral'!$B$5="1º Quartil",IFERROR(IF(OR(D10="",P10=0,P10=""),"",($D10/$N10)),""), 'Painel Geral'!$B$5="Média",IFERROR(IF(OR(D10="",P10=0,P10=""),"",($D10/$O10)),""),'Painel Geral'!$B$5="3º Quartil",IFERROR(IF(OR(D10="",P10=0,P10=""),"",($D10/$Q10)),""),'Painel Geral'!$B$5="Maior Salário",IFERROR(IF(OR(D10="",P10=0,P10=""),"",($D10/$R10)),""))</f>
        <v>0.9643843471</v>
      </c>
      <c r="T10" s="127" t="str">
        <f t="shared" si="2"/>
        <v>Na Média</v>
      </c>
      <c r="U10" s="128">
        <f>IFERROR(VLOOKUP($K10,'C-02'!$D:$L,4,0),"")</f>
        <v>5288.93</v>
      </c>
      <c r="V10" s="128">
        <f>IFERROR(VLOOKUP($K10,'C-02'!$D:$L,5,0),"")</f>
        <v>7107.92</v>
      </c>
      <c r="W10" s="128">
        <f>IFERROR(VLOOKUP($K10,'C-02'!$D:$L,6,0),"")</f>
        <v>8904.46</v>
      </c>
      <c r="X10" s="128">
        <f>IFERROR(VLOOKUP($K10,'C-02'!$D:$L,7,0),"")</f>
        <v>9047.66</v>
      </c>
      <c r="Y10" s="128">
        <f>IFERROR(VLOOKUP($K10,'C-02'!$D:$L,8,0),"")</f>
        <v>10074.15</v>
      </c>
      <c r="Z10" s="128">
        <f>IFERROR(VLOOKUP($K10,'C-02'!$D:$L,9,0),"")</f>
        <v>12817.68</v>
      </c>
      <c r="AA10" s="129">
        <f>IFS('Painel Geral'!$B$5="Mediana",IFERROR(IF(OR(D10="",X10=0,X10=""),"",($D10/$X10)),""),'Painel Geral'!$B$5="Menor Salário",IFERROR(IF(OR(D10="",X10=0,X10=""),"",($D10/$U10)),""),'Painel Geral'!$B$5="1º Quartil",IFERROR(IF(OR(D10="",X10=0,X10=""),"",($D10/$V10)),""),'Painel Geral'!$B$5="Média",IFERROR(IF(OR(D10="",X10=0,X10=""),"",($D10/$W10)),""),'Painel Geral'!$B$5="3º Quartil",IFERROR(IF(OR(D10="",X10=0,X10=""),"",($D10/$Y10)),""), 'Painel Geral'!$B$5="Maior Salário",IFERROR(IF(OR(D10="",X10=0,X10=""),"",($D10/$Z10)),""))</f>
        <v>0.9517599026</v>
      </c>
      <c r="AB10" s="130" t="str">
        <f t="shared" si="3"/>
        <v>Na Média</v>
      </c>
    </row>
    <row r="11" ht="15.75" customHeight="1">
      <c r="A11" s="132"/>
      <c r="B11" s="131"/>
      <c r="C11" s="117" t="s">
        <v>69</v>
      </c>
      <c r="D11" s="118"/>
      <c r="E11" s="119"/>
      <c r="F11" s="120" t="s">
        <v>20</v>
      </c>
      <c r="G11" s="121"/>
      <c r="H11" s="121">
        <v>69.0</v>
      </c>
      <c r="I11" s="117" t="s">
        <v>70</v>
      </c>
      <c r="J11" s="122" t="s">
        <v>44</v>
      </c>
      <c r="K11" s="123" t="str">
        <f t="shared" si="1"/>
        <v>69Indiferente</v>
      </c>
      <c r="L11" s="121"/>
      <c r="M11" s="124">
        <f>IFERROR(VLOOKUP(K11,'C-01'!$D:$L,4,0),"")</f>
        <v>1782.06</v>
      </c>
      <c r="N11" s="125">
        <f>IFERROR(VLOOKUP(K11,'C-01'!$D:$L,5,0),"")</f>
        <v>2143.44</v>
      </c>
      <c r="O11" s="125">
        <f>IFERROR(VLOOKUP(K11,'C-01'!$D:$L,6,0),"")</f>
        <v>2238.54</v>
      </c>
      <c r="P11" s="125">
        <f>IFERROR(VLOOKUP(K11,'C-01'!$D:$L,7,0),"")</f>
        <v>2220.51</v>
      </c>
      <c r="Q11" s="125">
        <f>IFERROR(VLOOKUP(K11,'C-01'!$D:$L,8,0),"")</f>
        <v>2220.51</v>
      </c>
      <c r="R11" s="124">
        <f>IFERROR(VLOOKUP(K11,'C-01'!$D:$L,9,0),"")</f>
        <v>2726.11</v>
      </c>
      <c r="S11" s="126" t="str">
        <f>IFS('Painel Geral'!$B$5="Mediana",IFERROR(IF(OR(D11="",P11=0,P11=""),"",($D11/$P11)),""),'Painel Geral'!$B$5="Menor Salário",IFERROR(IF(OR(D11="",P11=0,P11=""),"",($D11/$M11)),""),'Painel Geral'!$B$5="1º Quartil",IFERROR(IF(OR(D11="",P11=0,P11=""),"",($D11/$N11)),""), 'Painel Geral'!$B$5="Média",IFERROR(IF(OR(D11="",P11=0,P11=""),"",($D11/$O11)),""),'Painel Geral'!$B$5="3º Quartil",IFERROR(IF(OR(D11="",P11=0,P11=""),"",($D11/$Q11)),""),'Painel Geral'!$B$5="Maior Salário",IFERROR(IF(OR(D11="",P11=0,P11=""),"",($D11/$R11)),""))</f>
        <v/>
      </c>
      <c r="T11" s="127" t="str">
        <f t="shared" si="2"/>
        <v/>
      </c>
      <c r="U11" s="128" t="str">
        <f>IFERROR(VLOOKUP($K11,'C-02'!$D:$L,4,0),"")</f>
        <v/>
      </c>
      <c r="V11" s="128" t="str">
        <f>IFERROR(VLOOKUP($K11,'C-02'!$D:$L,5,0),"")</f>
        <v/>
      </c>
      <c r="W11" s="128" t="str">
        <f>IFERROR(VLOOKUP($K11,'C-02'!$D:$L,6,0),"")</f>
        <v/>
      </c>
      <c r="X11" s="128" t="str">
        <f>IFERROR(VLOOKUP($K11,'C-02'!$D:$L,7,0),"")</f>
        <v/>
      </c>
      <c r="Y11" s="128" t="str">
        <f>IFERROR(VLOOKUP($K11,'C-02'!$D:$L,8,0),"")</f>
        <v/>
      </c>
      <c r="Z11" s="128" t="str">
        <f>IFERROR(VLOOKUP($K11,'C-02'!$D:$L,9,0),"")</f>
        <v/>
      </c>
      <c r="AA11" s="129" t="str">
        <f>IFS('Painel Geral'!$B$5="Mediana",IFERROR(IF(OR(D11="",X11=0,X11=""),"",($D11/$X11)),""),'Painel Geral'!$B$5="Menor Salário",IFERROR(IF(OR(D11="",X11=0,X11=""),"",($D11/$U11)),""),'Painel Geral'!$B$5="1º Quartil",IFERROR(IF(OR(D11="",X11=0,X11=""),"",($D11/$V11)),""),'Painel Geral'!$B$5="Média",IFERROR(IF(OR(D11="",X11=0,X11=""),"",($D11/$W11)),""),'Painel Geral'!$B$5="3º Quartil",IFERROR(IF(OR(D11="",X11=0,X11=""),"",($D11/$Y11)),""), 'Painel Geral'!$B$5="Maior Salário",IFERROR(IF(OR(D11="",X11=0,X11=""),"",($D11/$Z11)),""))</f>
        <v/>
      </c>
      <c r="AB11" s="130" t="str">
        <f t="shared" si="3"/>
        <v/>
      </c>
    </row>
    <row r="12" ht="15.75" customHeight="1">
      <c r="A12" s="132"/>
      <c r="B12" s="131"/>
      <c r="C12" s="117" t="s">
        <v>71</v>
      </c>
      <c r="D12" s="118"/>
      <c r="E12" s="119"/>
      <c r="F12" s="120" t="s">
        <v>20</v>
      </c>
      <c r="G12" s="121"/>
      <c r="H12" s="121">
        <v>15.0</v>
      </c>
      <c r="I12" s="117" t="s">
        <v>72</v>
      </c>
      <c r="J12" s="122" t="s">
        <v>29</v>
      </c>
      <c r="K12" s="123" t="str">
        <f t="shared" si="1"/>
        <v>15Júnior</v>
      </c>
      <c r="L12" s="121"/>
      <c r="M12" s="124">
        <f>IFERROR(VLOOKUP(K12,'C-01'!$D:$L,4,0),"")</f>
        <v>2093.28</v>
      </c>
      <c r="N12" s="125">
        <f>IFERROR(VLOOKUP(K12,'C-01'!$D:$L,5,0),"")</f>
        <v>2289.58</v>
      </c>
      <c r="O12" s="125">
        <f>IFERROR(VLOOKUP(K12,'C-01'!$D:$L,6,0),"")</f>
        <v>2653.62</v>
      </c>
      <c r="P12" s="125">
        <f>IFERROR(VLOOKUP(K12,'C-01'!$D:$L,7,0),"")</f>
        <v>2644.46</v>
      </c>
      <c r="Q12" s="125">
        <f>IFERROR(VLOOKUP(K12,'C-01'!$D:$L,8,0),"")</f>
        <v>2908.53</v>
      </c>
      <c r="R12" s="124">
        <f>IFERROR(VLOOKUP(K12,'C-01'!$D:$L,9,0),"")</f>
        <v>3400.19</v>
      </c>
      <c r="S12" s="126" t="str">
        <f>IFS('Painel Geral'!$B$5="Mediana",IFERROR(IF(OR(D12="",P12=0,P12=""),"",($D12/$P12)),""),'Painel Geral'!$B$5="Menor Salário",IFERROR(IF(OR(D12="",P12=0,P12=""),"",($D12/$M12)),""),'Painel Geral'!$B$5="1º Quartil",IFERROR(IF(OR(D12="",P12=0,P12=""),"",($D12/$N12)),""), 'Painel Geral'!$B$5="Média",IFERROR(IF(OR(D12="",P12=0,P12=""),"",($D12/$O12)),""),'Painel Geral'!$B$5="3º Quartil",IFERROR(IF(OR(D12="",P12=0,P12=""),"",($D12/$Q12)),""),'Painel Geral'!$B$5="Maior Salário",IFERROR(IF(OR(D12="",P12=0,P12=""),"",($D12/$R12)),""))</f>
        <v/>
      </c>
      <c r="T12" s="127" t="str">
        <f t="shared" si="2"/>
        <v/>
      </c>
      <c r="U12" s="128" t="str">
        <f>IFERROR(VLOOKUP($K12,'C-02'!$D:$L,4,0),"")</f>
        <v/>
      </c>
      <c r="V12" s="128" t="str">
        <f>IFERROR(VLOOKUP($K12,'C-02'!$D:$L,5,0),"")</f>
        <v/>
      </c>
      <c r="W12" s="128" t="str">
        <f>IFERROR(VLOOKUP($K12,'C-02'!$D:$L,6,0),"")</f>
        <v/>
      </c>
      <c r="X12" s="128" t="str">
        <f>IFERROR(VLOOKUP($K12,'C-02'!$D:$L,7,0),"")</f>
        <v/>
      </c>
      <c r="Y12" s="128" t="str">
        <f>IFERROR(VLOOKUP($K12,'C-02'!$D:$L,8,0),"")</f>
        <v/>
      </c>
      <c r="Z12" s="128" t="str">
        <f>IFERROR(VLOOKUP($K12,'C-02'!$D:$L,9,0),"")</f>
        <v/>
      </c>
      <c r="AA12" s="129" t="str">
        <f>IFS('Painel Geral'!$B$5="Mediana",IFERROR(IF(OR(D12="",X12=0,X12=""),"",($D12/$X12)),""),'Painel Geral'!$B$5="Menor Salário",IFERROR(IF(OR(D12="",X12=0,X12=""),"",($D12/$U12)),""),'Painel Geral'!$B$5="1º Quartil",IFERROR(IF(OR(D12="",X12=0,X12=""),"",($D12/$V12)),""),'Painel Geral'!$B$5="Média",IFERROR(IF(OR(D12="",X12=0,X12=""),"",($D12/$W12)),""),'Painel Geral'!$B$5="3º Quartil",IFERROR(IF(OR(D12="",X12=0,X12=""),"",($D12/$Y12)),""), 'Painel Geral'!$B$5="Maior Salário",IFERROR(IF(OR(D12="",X12=0,X12=""),"",($D12/$Z12)),""))</f>
        <v/>
      </c>
      <c r="AB12" s="130" t="str">
        <f t="shared" si="3"/>
        <v/>
      </c>
    </row>
    <row r="13" ht="15.75" customHeight="1">
      <c r="A13" s="132"/>
      <c r="B13" s="131"/>
      <c r="C13" s="117" t="s">
        <v>73</v>
      </c>
      <c r="D13" s="118"/>
      <c r="E13" s="119"/>
      <c r="F13" s="120" t="s">
        <v>20</v>
      </c>
      <c r="G13" s="121"/>
      <c r="H13" s="121">
        <v>15.0</v>
      </c>
      <c r="I13" s="117" t="s">
        <v>72</v>
      </c>
      <c r="J13" s="122" t="s">
        <v>24</v>
      </c>
      <c r="K13" s="123" t="str">
        <f t="shared" si="1"/>
        <v>15Pleno</v>
      </c>
      <c r="L13" s="121"/>
      <c r="M13" s="124">
        <f>IFERROR(VLOOKUP(K13,'C-01'!$D:$L,4,0),"")</f>
        <v>3247.23</v>
      </c>
      <c r="N13" s="125">
        <f>IFERROR(VLOOKUP(K13,'C-01'!$D:$L,5,0),"")</f>
        <v>3753.88</v>
      </c>
      <c r="O13" s="125">
        <f>IFERROR(VLOOKUP(K13,'C-01'!$D:$L,6,0),"")</f>
        <v>4254.3</v>
      </c>
      <c r="P13" s="125">
        <f>IFERROR(VLOOKUP(K13,'C-01'!$D:$L,7,0),"")</f>
        <v>4178.94</v>
      </c>
      <c r="Q13" s="125">
        <f>IFERROR(VLOOKUP(K13,'C-01'!$D:$L,8,0),"")</f>
        <v>4856.44</v>
      </c>
      <c r="R13" s="124">
        <f>IFERROR(VLOOKUP(K13,'C-01'!$D:$L,9,0),"")</f>
        <v>5596.75</v>
      </c>
      <c r="S13" s="126" t="str">
        <f>IFS('Painel Geral'!$B$5="Mediana",IFERROR(IF(OR(D13="",P13=0,P13=""),"",($D13/$P13)),""),'Painel Geral'!$B$5="Menor Salário",IFERROR(IF(OR(D13="",P13=0,P13=""),"",($D13/$M13)),""),'Painel Geral'!$B$5="1º Quartil",IFERROR(IF(OR(D13="",P13=0,P13=""),"",($D13/$N13)),""), 'Painel Geral'!$B$5="Média",IFERROR(IF(OR(D13="",P13=0,P13=""),"",($D13/$O13)),""),'Painel Geral'!$B$5="3º Quartil",IFERROR(IF(OR(D13="",P13=0,P13=""),"",($D13/$Q13)),""),'Painel Geral'!$B$5="Maior Salário",IFERROR(IF(OR(D13="",P13=0,P13=""),"",($D13/$R13)),""))</f>
        <v/>
      </c>
      <c r="T13" s="127" t="str">
        <f t="shared" si="2"/>
        <v/>
      </c>
      <c r="U13" s="128" t="str">
        <f>IFERROR(VLOOKUP($K13,'C-02'!$D:$L,4,0),"")</f>
        <v/>
      </c>
      <c r="V13" s="128" t="str">
        <f>IFERROR(VLOOKUP($K13,'C-02'!$D:$L,5,0),"")</f>
        <v/>
      </c>
      <c r="W13" s="128" t="str">
        <f>IFERROR(VLOOKUP($K13,'C-02'!$D:$L,6,0),"")</f>
        <v/>
      </c>
      <c r="X13" s="128" t="str">
        <f>IFERROR(VLOOKUP($K13,'C-02'!$D:$L,7,0),"")</f>
        <v/>
      </c>
      <c r="Y13" s="128" t="str">
        <f>IFERROR(VLOOKUP($K13,'C-02'!$D:$L,8,0),"")</f>
        <v/>
      </c>
      <c r="Z13" s="128" t="str">
        <f>IFERROR(VLOOKUP($K13,'C-02'!$D:$L,9,0),"")</f>
        <v/>
      </c>
      <c r="AA13" s="129" t="str">
        <f>IFS('Painel Geral'!$B$5="Mediana",IFERROR(IF(OR(D13="",X13=0,X13=""),"",($D13/$X13)),""),'Painel Geral'!$B$5="Menor Salário",IFERROR(IF(OR(D13="",X13=0,X13=""),"",($D13/$U13)),""),'Painel Geral'!$B$5="1º Quartil",IFERROR(IF(OR(D13="",X13=0,X13=""),"",($D13/$V13)),""),'Painel Geral'!$B$5="Média",IFERROR(IF(OR(D13="",X13=0,X13=""),"",($D13/$W13)),""),'Painel Geral'!$B$5="3º Quartil",IFERROR(IF(OR(D13="",X13=0,X13=""),"",($D13/$Y13)),""), 'Painel Geral'!$B$5="Maior Salário",IFERROR(IF(OR(D13="",X13=0,X13=""),"",($D13/$Z13)),""))</f>
        <v/>
      </c>
      <c r="AB13" s="130" t="str">
        <f t="shared" si="3"/>
        <v/>
      </c>
    </row>
    <row r="14" ht="15.75" customHeight="1">
      <c r="A14" s="132"/>
      <c r="B14" s="131"/>
      <c r="C14" s="117" t="s">
        <v>74</v>
      </c>
      <c r="D14" s="118"/>
      <c r="E14" s="119"/>
      <c r="F14" s="120" t="s">
        <v>20</v>
      </c>
      <c r="G14" s="121"/>
      <c r="H14" s="121">
        <v>15.0</v>
      </c>
      <c r="I14" s="117" t="s">
        <v>72</v>
      </c>
      <c r="J14" s="122" t="s">
        <v>18</v>
      </c>
      <c r="K14" s="123" t="str">
        <f t="shared" si="1"/>
        <v>15Sênior</v>
      </c>
      <c r="L14" s="121"/>
      <c r="M14" s="124">
        <f>IFERROR(VLOOKUP(K14,'C-01'!$D:$L,4,0),"")</f>
        <v>4663.49</v>
      </c>
      <c r="N14" s="125">
        <f>IFERROR(VLOOKUP(K14,'C-01'!$D:$L,5,0),"")</f>
        <v>5285.89</v>
      </c>
      <c r="O14" s="125">
        <f>IFERROR(VLOOKUP(K14,'C-01'!$D:$L,6,0),"")</f>
        <v>5775.86</v>
      </c>
      <c r="P14" s="125">
        <f>IFERROR(VLOOKUP(K14,'C-01'!$D:$L,7,0),"")</f>
        <v>5574.65</v>
      </c>
      <c r="Q14" s="125">
        <f>IFERROR(VLOOKUP(K14,'C-01'!$D:$L,8,0),"")</f>
        <v>6292.99</v>
      </c>
      <c r="R14" s="124">
        <f>IFERROR(VLOOKUP(K14,'C-01'!$D:$L,9,0),"")</f>
        <v>7288.6</v>
      </c>
      <c r="S14" s="126" t="str">
        <f>IFS('Painel Geral'!$B$5="Mediana",IFERROR(IF(OR(D14="",P14=0,P14=""),"",($D14/$P14)),""),'Painel Geral'!$B$5="Menor Salário",IFERROR(IF(OR(D14="",P14=0,P14=""),"",($D14/$M14)),""),'Painel Geral'!$B$5="1º Quartil",IFERROR(IF(OR(D14="",P14=0,P14=""),"",($D14/$N14)),""), 'Painel Geral'!$B$5="Média",IFERROR(IF(OR(D14="",P14=0,P14=""),"",($D14/$O14)),""),'Painel Geral'!$B$5="3º Quartil",IFERROR(IF(OR(D14="",P14=0,P14=""),"",($D14/$Q14)),""),'Painel Geral'!$B$5="Maior Salário",IFERROR(IF(OR(D14="",P14=0,P14=""),"",($D14/$R14)),""))</f>
        <v/>
      </c>
      <c r="T14" s="127" t="str">
        <f t="shared" si="2"/>
        <v/>
      </c>
      <c r="U14" s="128" t="str">
        <f>IFERROR(VLOOKUP($K14,'C-02'!$D:$L,4,0),"")</f>
        <v/>
      </c>
      <c r="V14" s="128" t="str">
        <f>IFERROR(VLOOKUP($K14,'C-02'!$D:$L,5,0),"")</f>
        <v/>
      </c>
      <c r="W14" s="128" t="str">
        <f>IFERROR(VLOOKUP($K14,'C-02'!$D:$L,6,0),"")</f>
        <v/>
      </c>
      <c r="X14" s="128" t="str">
        <f>IFERROR(VLOOKUP($K14,'C-02'!$D:$L,7,0),"")</f>
        <v/>
      </c>
      <c r="Y14" s="128" t="str">
        <f>IFERROR(VLOOKUP($K14,'C-02'!$D:$L,8,0),"")</f>
        <v/>
      </c>
      <c r="Z14" s="128" t="str">
        <f>IFERROR(VLOOKUP($K14,'C-02'!$D:$L,9,0),"")</f>
        <v/>
      </c>
      <c r="AA14" s="129" t="str">
        <f>IFS('Painel Geral'!$B$5="Mediana",IFERROR(IF(OR(D14="",X14=0,X14=""),"",($D14/$X14)),""),'Painel Geral'!$B$5="Menor Salário",IFERROR(IF(OR(D14="",X14=0,X14=""),"",($D14/$U14)),""),'Painel Geral'!$B$5="1º Quartil",IFERROR(IF(OR(D14="",X14=0,X14=""),"",($D14/$V14)),""),'Painel Geral'!$B$5="Média",IFERROR(IF(OR(D14="",X14=0,X14=""),"",($D14/$W14)),""),'Painel Geral'!$B$5="3º Quartil",IFERROR(IF(OR(D14="",X14=0,X14=""),"",($D14/$Y14)),""), 'Painel Geral'!$B$5="Maior Salário",IFERROR(IF(OR(D14="",X14=0,X14=""),"",($D14/$Z14)),""))</f>
        <v/>
      </c>
      <c r="AB14" s="130" t="str">
        <f t="shared" si="3"/>
        <v/>
      </c>
    </row>
  </sheetData>
  <autoFilter ref="$A$3:$AB$14"/>
  <customSheetViews>
    <customSheetView guid="{F5D8333B-E41C-4D3E-BD2D-109338363F36}" filter="1" showAutoFilter="1">
      <autoFilter ref="$B$1:$T$1"/>
    </customSheetView>
    <customSheetView guid="{16267D53-AE4F-493A-9FCA-C37DCDE82F3A}" filter="1" showAutoFilter="1">
      <autoFilter ref="$A$3:$T$14"/>
    </customSheetView>
    <customSheetView guid="{B3136B7F-1AF2-41D2-A6A0-D5C371117022}" filter="1" showAutoFilter="1">
      <autoFilter ref="$A$3:$T$14"/>
    </customSheetView>
    <customSheetView guid="{9CC14AB5-3CFC-4A92-B1CE-63A67826BEAF}" filter="1" showAutoFilter="1">
      <autoFilter ref="$A$3:$T$14"/>
    </customSheetView>
    <customSheetView guid="{81F904FE-28E0-4D74-B51D-7D792BB873D6}" filter="1" showAutoFilter="1">
      <autoFilter ref="$A$3:$T$14"/>
    </customSheetView>
    <customSheetView guid="{E2DF9EE9-5351-4C87-95C7-C6BC8ECC27A0}" filter="1" showAutoFilter="1">
      <autoFilter ref="$A$3:$T$14">
        <filterColumn colId="8">
          <filters>
            <filter val="Líder Técnico"/>
            <filter val="Analista de Requisitos"/>
            <filter val="Analista de Infraestrutura de TI"/>
            <filter val="Desenvolvedor"/>
            <filter val="Assistente de Infraestrutura de TI"/>
          </filters>
        </filterColumn>
      </autoFilter>
    </customSheetView>
    <customSheetView guid="{0CE128BF-1F52-4C57-A482-C30D70A769EB}" filter="1" showAutoFilter="1">
      <autoFilter ref="$A$3:$T$14"/>
    </customSheetView>
  </customSheetViews>
  <mergeCells count="1">
    <mergeCell ref="U1:Z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hidden="1" min="1" max="1" width="7.0"/>
    <col customWidth="1" hidden="1" min="2" max="2" width="38.13"/>
    <col customWidth="1" min="3" max="3" width="38.13"/>
    <col customWidth="1" hidden="1" min="4" max="4" width="15.75"/>
    <col customWidth="1" hidden="1" min="5" max="5" width="14.38"/>
    <col customWidth="1" hidden="1" min="6" max="6" width="29.13"/>
    <col customWidth="1" hidden="1" min="7" max="7" width="19.88"/>
    <col customWidth="1" hidden="1" min="8" max="8" width="13.0"/>
    <col customWidth="1" hidden="1" min="9" max="9" width="28.88"/>
    <col customWidth="1" hidden="1" min="10" max="10" width="11.75"/>
    <col customWidth="1" hidden="1" min="11" max="11" width="17.38"/>
    <col customWidth="1" hidden="1" min="12" max="12" width="12.5"/>
    <col customWidth="1" hidden="1" min="13" max="13" width="14.75"/>
    <col customWidth="1" hidden="1" min="14" max="14" width="10.88"/>
    <col customWidth="1" hidden="1" min="15" max="15" width="10.13"/>
    <col customWidth="1" min="16" max="28" width="10.13"/>
    <col customWidth="1" min="29" max="29" width="26.13"/>
    <col customWidth="1" min="30" max="41" width="10.13"/>
    <col customWidth="1" hidden="1" min="42" max="42" width="10.88"/>
    <col customWidth="1" hidden="1" min="43" max="43" width="14.0"/>
    <col customWidth="1" hidden="1" min="44" max="44" width="18.75"/>
    <col customWidth="1" hidden="1" min="45" max="45" width="27.38"/>
    <col customWidth="1" hidden="1" min="46" max="46" width="14.13"/>
    <col customWidth="1" hidden="1" min="47" max="47" width="10.88"/>
    <col customWidth="1" hidden="1" min="48" max="48" width="8.25"/>
    <col customWidth="1" hidden="1" min="49" max="49" width="10.13"/>
    <col customWidth="1" hidden="1" min="50" max="50" width="10.88"/>
    <col customWidth="1" hidden="1" min="51" max="51" width="14.0"/>
    <col customWidth="1" hidden="1" min="52" max="52" width="20.88"/>
    <col customWidth="1" hidden="1" min="53" max="53" width="21.5"/>
  </cols>
  <sheetData>
    <row r="1">
      <c r="B1" s="73"/>
      <c r="C1" s="73"/>
      <c r="D1" s="73"/>
      <c r="E1" s="73"/>
      <c r="F1" s="73"/>
      <c r="G1" s="73"/>
      <c r="H1" s="74" t="s">
        <v>45</v>
      </c>
      <c r="I1" s="73"/>
      <c r="J1" s="73"/>
      <c r="K1" s="73"/>
      <c r="L1" s="73"/>
      <c r="M1" s="75" t="str">
        <f>'Informações Relevantes Cenários'!A1</f>
        <v>Cenário 01: Pesquisa TI - Nacional</v>
      </c>
      <c r="N1" s="76"/>
      <c r="O1" s="76"/>
      <c r="P1" s="135"/>
      <c r="Q1" s="76" t="s">
        <v>46</v>
      </c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76"/>
      <c r="AQ1" s="77"/>
      <c r="AR1" s="78" t="str">
        <f>"% Distância da "&amp;'Painel Geral'!B5</f>
        <v>% Distância da Mediana</v>
      </c>
      <c r="AS1" s="78" t="s">
        <v>47</v>
      </c>
      <c r="AT1" s="79" t="str">
        <f>'Informações Relevantes Cenários'!C1</f>
        <v>Cenário 02: Pesquisa TI - Corte por Santa Catarina</v>
      </c>
      <c r="AU1" s="80"/>
      <c r="AV1" s="80"/>
      <c r="AW1" s="80"/>
      <c r="AX1" s="80"/>
      <c r="AY1" s="81"/>
      <c r="AZ1" s="82" t="str">
        <f>"% Distância da "&amp;'Painel Geral'!B5</f>
        <v>% Distância da Mediana</v>
      </c>
      <c r="BA1" s="82" t="s">
        <v>47</v>
      </c>
    </row>
    <row r="2" ht="6.0" customHeight="1">
      <c r="A2" s="83"/>
      <c r="B2" s="84"/>
      <c r="C2" s="85"/>
      <c r="D2" s="86"/>
      <c r="E2" s="87"/>
      <c r="F2" s="87"/>
      <c r="G2" s="87"/>
      <c r="H2" s="87"/>
      <c r="I2" s="84"/>
      <c r="J2" s="87"/>
      <c r="K2" s="84"/>
      <c r="L2" s="88"/>
      <c r="M2" s="89"/>
      <c r="N2" s="90"/>
      <c r="O2" s="90"/>
      <c r="P2" s="137"/>
      <c r="Q2" s="138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40"/>
      <c r="AQ2" s="91"/>
      <c r="AR2" s="92"/>
      <c r="AS2" s="91"/>
      <c r="AT2" s="93"/>
      <c r="AU2" s="94"/>
      <c r="AV2" s="94"/>
      <c r="AW2" s="94"/>
      <c r="AX2" s="94"/>
      <c r="AY2" s="95"/>
      <c r="AZ2" s="96"/>
      <c r="BA2" s="97"/>
    </row>
    <row r="3">
      <c r="A3" s="98" t="s">
        <v>37</v>
      </c>
      <c r="B3" s="99" t="s">
        <v>38</v>
      </c>
      <c r="C3" s="100" t="s">
        <v>48</v>
      </c>
      <c r="D3" s="101" t="s">
        <v>49</v>
      </c>
      <c r="E3" s="102" t="s">
        <v>50</v>
      </c>
      <c r="F3" s="102" t="s">
        <v>8</v>
      </c>
      <c r="G3" s="99" t="s">
        <v>7</v>
      </c>
      <c r="H3" s="99" t="s">
        <v>39</v>
      </c>
      <c r="I3" s="99" t="s">
        <v>40</v>
      </c>
      <c r="J3" s="103" t="s">
        <v>6</v>
      </c>
      <c r="K3" s="104" t="s">
        <v>51</v>
      </c>
      <c r="L3" s="99" t="s">
        <v>52</v>
      </c>
      <c r="M3" s="105" t="s">
        <v>53</v>
      </c>
      <c r="N3" s="106" t="s">
        <v>54</v>
      </c>
      <c r="O3" s="106" t="s">
        <v>55</v>
      </c>
      <c r="P3" s="141" t="s">
        <v>75</v>
      </c>
      <c r="Q3" s="142" t="s">
        <v>56</v>
      </c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3" t="s">
        <v>57</v>
      </c>
      <c r="AQ3" s="107" t="s">
        <v>58</v>
      </c>
      <c r="AR3" s="108" t="s">
        <v>59</v>
      </c>
      <c r="AS3" s="109" t="s">
        <v>60</v>
      </c>
      <c r="AT3" s="110" t="s">
        <v>53</v>
      </c>
      <c r="AU3" s="111" t="s">
        <v>54</v>
      </c>
      <c r="AV3" s="111" t="s">
        <v>55</v>
      </c>
      <c r="AW3" s="111" t="s">
        <v>56</v>
      </c>
      <c r="AX3" s="111" t="s">
        <v>57</v>
      </c>
      <c r="AY3" s="112" t="s">
        <v>58</v>
      </c>
      <c r="AZ3" s="113" t="s">
        <v>61</v>
      </c>
      <c r="BA3" s="114" t="s">
        <v>62</v>
      </c>
    </row>
    <row r="4" ht="15.75" customHeight="1">
      <c r="A4" s="115">
        <v>1.0</v>
      </c>
      <c r="B4" s="116" t="str">
        <f>VLOOKUP(A4,Jobmatch!A:F,2,0)</f>
        <v>Engenheiro de Software Full Stack Jr</v>
      </c>
      <c r="C4" s="117" t="s">
        <v>69</v>
      </c>
      <c r="D4" s="118"/>
      <c r="E4" s="119"/>
      <c r="F4" s="120" t="s">
        <v>20</v>
      </c>
      <c r="G4" s="121"/>
      <c r="H4" s="121">
        <v>69.0</v>
      </c>
      <c r="I4" s="117" t="s">
        <v>70</v>
      </c>
      <c r="J4" s="122" t="s">
        <v>44</v>
      </c>
      <c r="K4" s="123" t="str">
        <f t="shared" ref="K4:K14" si="1">H4&amp;J4</f>
        <v>69Indiferente</v>
      </c>
      <c r="L4" s="121"/>
      <c r="M4" s="124">
        <f>IFERROR(VLOOKUP(K4,'C-01'!$D:$L,4,0),"")</f>
        <v>1782.06</v>
      </c>
      <c r="N4" s="125">
        <f>IFERROR(VLOOKUP(K4,'C-01'!$D:$L,5,0),"")</f>
        <v>2143.44</v>
      </c>
      <c r="O4" s="125">
        <f>IFERROR(VLOOKUP(K4,'C-01'!$D:$L,6,0),"")</f>
        <v>2238.54</v>
      </c>
      <c r="P4" s="144">
        <v>10.0</v>
      </c>
      <c r="Q4" s="145">
        <v>2220.51</v>
      </c>
      <c r="R4" s="146">
        <f t="shared" ref="R4:R14" si="2">Q4*1.2</f>
        <v>2664.612</v>
      </c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7">
        <f>IFERROR(VLOOKUP(K4,'C-01'!$D:$L,8,0),"")</f>
        <v>2220.51</v>
      </c>
      <c r="AQ4" s="124">
        <f>IFERROR(VLOOKUP(K4,'C-01'!$D:$L,9,0),"")</f>
        <v>2726.11</v>
      </c>
      <c r="AR4" s="126" t="str">
        <f>IFS('Painel Geral'!$B$5="Mediana",IFERROR(IF(OR(D4="",Q4=0,Q4=""),"",($D4/$Q4)),""),'Painel Geral'!$B$5="Menor Salário",IFERROR(IF(OR(D4="",Q4=0,Q4=""),"",($D4/$M4)),""),'Painel Geral'!$B$5="1º Quartil",IFERROR(IF(OR(D4="",Q4=0,Q4=""),"",($D4/$N4)),""), 'Painel Geral'!$B$5="Média",IFERROR(IF(OR(D4="",Q4=0,Q4=""),"",($D4/$O4)),""),'Painel Geral'!$B$5="3º Quartil",IFERROR(IF(OR(D4="",Q4=0,Q4=""),"",($D4/$AP4)),""),'Painel Geral'!$B$5="Maior Salário",IFERROR(IF(OR(D4="",Q4=0,Q4=""),"",($D4/$AQ4)),""))</f>
        <v/>
      </c>
      <c r="AS4" s="127" t="str">
        <f t="shared" ref="AS4:AS14" si="3">IFS(OR(M4="",M4=0,D4="", D4=0),"",AR4&lt;=80%,"Muito Defasado",AR4&lt;=90%,"Defasado",AR4&lt;=100%,"Na Média",AR4&lt;=110%,"Competitivo",AR4&lt;=120%,"Muito Competitivo",AR4&gt;120%,"Agressivo")</f>
        <v/>
      </c>
      <c r="AT4" s="128" t="str">
        <f>IFERROR(VLOOKUP($K4,'C-02'!$D:$L,4,0),"")</f>
        <v/>
      </c>
      <c r="AU4" s="128" t="str">
        <f>IFERROR(VLOOKUP($K4,'C-02'!$D:$L,5,0),"")</f>
        <v/>
      </c>
      <c r="AV4" s="128" t="str">
        <f>IFERROR(VLOOKUP($K4,'C-02'!$D:$L,6,0),"")</f>
        <v/>
      </c>
      <c r="AW4" s="128" t="str">
        <f>IFERROR(VLOOKUP($K4,'C-02'!$D:$L,7,0),"")</f>
        <v/>
      </c>
      <c r="AX4" s="128" t="str">
        <f>IFERROR(VLOOKUP($K4,'C-02'!$D:$L,8,0),"")</f>
        <v/>
      </c>
      <c r="AY4" s="128" t="str">
        <f>IFERROR(VLOOKUP($K4,'C-02'!$D:$L,9,0),"")</f>
        <v/>
      </c>
      <c r="AZ4" s="129" t="str">
        <f>IFS('Painel Geral'!$B$5="Mediana",IFERROR(IF(OR(D4="",AW4=0,AW4=""),"",($D4/$AW4)),""),'Painel Geral'!$B$5="Menor Salário",IFERROR(IF(OR(D4="",AW4=0,AW4=""),"",($D4/$AT4)),""),'Painel Geral'!$B$5="1º Quartil",IFERROR(IF(OR(D4="",AW4=0,AW4=""),"",($D4/$AU4)),""),'Painel Geral'!$B$5="Média",IFERROR(IF(OR(D4="",AW4=0,AW4=""),"",($D4/$AV4)),""),'Painel Geral'!$B$5="3º Quartil",IFERROR(IF(OR(D4="",AW4=0,AW4=""),"",($D4/$AX4)),""), 'Painel Geral'!$B$5="Maior Salário",IFERROR(IF(OR(D4="",AW4=0,AW4=""),"",($D4/$AY4)),""))</f>
        <v/>
      </c>
      <c r="BA4" s="130" t="str">
        <f t="shared" ref="BA4:BA14" si="4">IFS(OR(AT4="",AT4=0,D4="", D4=0),"",AZ4&lt;=80%,"Muito Defasado",AZ4&lt;=90%,"Defasado",AZ4&lt;=100%,"Na Média",AZ4&lt;=110%,"Competitivo",AZ4&lt;=120%,"Muito Competitivo",AZ4&gt;120%,"Agressivo")</f>
        <v/>
      </c>
    </row>
    <row r="5" ht="15.75" customHeight="1">
      <c r="A5" s="115">
        <v>2.0</v>
      </c>
      <c r="B5" s="131" t="str">
        <f>VLOOKUP(A5,Jobmatch!A:F,2,0)</f>
        <v>Engenheiro de Software Full Stack Pl</v>
      </c>
      <c r="C5" s="117" t="s">
        <v>71</v>
      </c>
      <c r="D5" s="118"/>
      <c r="E5" s="119"/>
      <c r="F5" s="120" t="s">
        <v>20</v>
      </c>
      <c r="G5" s="121"/>
      <c r="H5" s="121">
        <v>15.0</v>
      </c>
      <c r="I5" s="117" t="s">
        <v>72</v>
      </c>
      <c r="J5" s="122" t="s">
        <v>29</v>
      </c>
      <c r="K5" s="123" t="str">
        <f t="shared" si="1"/>
        <v>15Júnior</v>
      </c>
      <c r="L5" s="121"/>
      <c r="M5" s="124">
        <f>IFERROR(VLOOKUP(K5,'C-01'!$D:$L,4,0),"")</f>
        <v>2093.28</v>
      </c>
      <c r="N5" s="125">
        <f>IFERROR(VLOOKUP(K5,'C-01'!$D:$L,5,0),"")</f>
        <v>2289.58</v>
      </c>
      <c r="O5" s="125">
        <f>IFERROR(VLOOKUP(K5,'C-01'!$D:$L,6,0),"")</f>
        <v>2653.62</v>
      </c>
      <c r="P5" s="144">
        <v>11.0</v>
      </c>
      <c r="Q5" s="145">
        <v>2644.46</v>
      </c>
      <c r="R5" s="146">
        <f t="shared" si="2"/>
        <v>3173.352</v>
      </c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7">
        <f>IFERROR(VLOOKUP(K5,'C-01'!$D:$L,8,0),"")</f>
        <v>2908.53</v>
      </c>
      <c r="AQ5" s="124">
        <f>IFERROR(VLOOKUP(K5,'C-01'!$D:$L,9,0),"")</f>
        <v>3400.19</v>
      </c>
      <c r="AR5" s="126" t="str">
        <f>IFS('Painel Geral'!$B$5="Mediana",IFERROR(IF(OR(D5="",Q5=0,Q5=""),"",($D5/$Q5)),""),'Painel Geral'!$B$5="Menor Salário",IFERROR(IF(OR(D5="",Q5=0,Q5=""),"",($D5/$M5)),""),'Painel Geral'!$B$5="1º Quartil",IFERROR(IF(OR(D5="",Q5=0,Q5=""),"",($D5/$N5)),""), 'Painel Geral'!$B$5="Média",IFERROR(IF(OR(D5="",Q5=0,Q5=""),"",($D5/$O5)),""),'Painel Geral'!$B$5="3º Quartil",IFERROR(IF(OR(D5="",Q5=0,Q5=""),"",($D5/$AP5)),""),'Painel Geral'!$B$5="Maior Salário",IFERROR(IF(OR(D5="",Q5=0,Q5=""),"",($D5/$AQ5)),""))</f>
        <v/>
      </c>
      <c r="AS5" s="127" t="str">
        <f t="shared" si="3"/>
        <v/>
      </c>
      <c r="AT5" s="128" t="str">
        <f>IFERROR(VLOOKUP($K5,'C-02'!$D:$L,4,0),"")</f>
        <v/>
      </c>
      <c r="AU5" s="128" t="str">
        <f>IFERROR(VLOOKUP($K5,'C-02'!$D:$L,5,0),"")</f>
        <v/>
      </c>
      <c r="AV5" s="128" t="str">
        <f>IFERROR(VLOOKUP($K5,'C-02'!$D:$L,6,0),"")</f>
        <v/>
      </c>
      <c r="AW5" s="128" t="str">
        <f>IFERROR(VLOOKUP($K5,'C-02'!$D:$L,7,0),"")</f>
        <v/>
      </c>
      <c r="AX5" s="128" t="str">
        <f>IFERROR(VLOOKUP($K5,'C-02'!$D:$L,8,0),"")</f>
        <v/>
      </c>
      <c r="AY5" s="128" t="str">
        <f>IFERROR(VLOOKUP($K5,'C-02'!$D:$L,9,0),"")</f>
        <v/>
      </c>
      <c r="AZ5" s="129" t="str">
        <f>IFS('Painel Geral'!$B$5="Mediana",IFERROR(IF(OR(D5="",AW5=0,AW5=""),"",($D5/$AW5)),""),'Painel Geral'!$B$5="Menor Salário",IFERROR(IF(OR(D5="",AW5=0,AW5=""),"",($D5/$AT5)),""),'Painel Geral'!$B$5="1º Quartil",IFERROR(IF(OR(D5="",AW5=0,AW5=""),"",($D5/$AU5)),""),'Painel Geral'!$B$5="Média",IFERROR(IF(OR(D5="",AW5=0,AW5=""),"",($D5/$AV5)),""),'Painel Geral'!$B$5="3º Quartil",IFERROR(IF(OR(D5="",AW5=0,AW5=""),"",($D5/$AX5)),""), 'Painel Geral'!$B$5="Maior Salário",IFERROR(IF(OR(D5="",AW5=0,AW5=""),"",($D5/$AY5)),""))</f>
        <v/>
      </c>
      <c r="BA5" s="130" t="str">
        <f t="shared" si="4"/>
        <v/>
      </c>
    </row>
    <row r="6" ht="15.75" customHeight="1">
      <c r="A6" s="132">
        <v>3.0</v>
      </c>
      <c r="B6" s="131" t="str">
        <f>VLOOKUP(A6,Jobmatch!A:F,2,0)</f>
        <v>Engenheiro de Software Full Stack Sr</v>
      </c>
      <c r="C6" s="117" t="s">
        <v>63</v>
      </c>
      <c r="D6" s="118">
        <f>IFERROR(AVERAGEIF('Folha de Pagamento'!A:A,A6,'Folha de Pagamento'!I:I),"")</f>
        <v>6458.4</v>
      </c>
      <c r="E6" s="119">
        <v>1.0</v>
      </c>
      <c r="F6" s="120" t="str">
        <f>VLOOKUP(A6,Jobmatch!A:G,3,0)</f>
        <v>DEV</v>
      </c>
      <c r="G6" s="121" t="str">
        <f>VLOOKUP(A6,Jobmatch!A:H,4,0)</f>
        <v>Tático</v>
      </c>
      <c r="H6" s="121">
        <f>VLOOKUP(A6,Jobmatch!A:H,5,0)</f>
        <v>1</v>
      </c>
      <c r="I6" s="117" t="str">
        <f>VLOOKUP(A6,Jobmatch!A:H,6,0)</f>
        <v>Desenvolvedor</v>
      </c>
      <c r="J6" s="122" t="str">
        <f>VLOOKUP(A6,Jobmatch!A:H,7,0)</f>
        <v>Sênior</v>
      </c>
      <c r="K6" s="123" t="str">
        <f t="shared" si="1"/>
        <v>1Sênior</v>
      </c>
      <c r="L6" s="121">
        <f>COUNTIF('Folha de Pagamento'!A:A,A6)</f>
        <v>2</v>
      </c>
      <c r="M6" s="124">
        <f>IFERROR(VLOOKUP(K6,'C-01'!$D:$L,4,0),"")</f>
        <v>5873.21</v>
      </c>
      <c r="N6" s="125">
        <f>IFERROR(VLOOKUP(K6,'C-01'!$D:$L,5,0),"")</f>
        <v>7005.56</v>
      </c>
      <c r="O6" s="125">
        <f>IFERROR(VLOOKUP(K6,'C-01'!$D:$L,6,0),"")</f>
        <v>8047.78</v>
      </c>
      <c r="P6" s="144">
        <v>12.0</v>
      </c>
      <c r="Q6" s="145">
        <v>3379.04</v>
      </c>
      <c r="R6" s="146">
        <f t="shared" si="2"/>
        <v>4054.848</v>
      </c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>
        <f>IFERROR(VLOOKUP(K6,'C-01'!$D:$L,8,0),"")</f>
        <v>9271.4</v>
      </c>
      <c r="AQ6" s="124">
        <f>IFERROR(VLOOKUP(K6,'C-01'!$D:$L,9,0),"")</f>
        <v>10095.14</v>
      </c>
      <c r="AR6" s="126">
        <f>IFS('Painel Geral'!$B$5="Mediana",IFERROR(IF(OR(D6="",Q6=0,Q6=""),"",($D6/$Q6)),""),'Painel Geral'!$B$5="Menor Salário",IFERROR(IF(OR(D6="",Q6=0,Q6=""),"",($D6/$M6)),""),'Painel Geral'!$B$5="1º Quartil",IFERROR(IF(OR(D6="",Q6=0,Q6=""),"",($D6/$N6)),""), 'Painel Geral'!$B$5="Média",IFERROR(IF(OR(D6="",Q6=0,Q6=""),"",($D6/$O6)),""),'Painel Geral'!$B$5="3º Quartil",IFERROR(IF(OR(D6="",Q6=0,Q6=""),"",($D6/$AP6)),""),'Painel Geral'!$B$5="Maior Salário",IFERROR(IF(OR(D6="",Q6=0,Q6=""),"",($D6/$AQ6)),""))</f>
        <v>1.911312089</v>
      </c>
      <c r="AS6" s="127" t="str">
        <f t="shared" si="3"/>
        <v>Agressivo</v>
      </c>
      <c r="AT6" s="128">
        <f>IFERROR(VLOOKUP($K6,'C-02'!$D:$L,4,0),"")</f>
        <v>5928.64</v>
      </c>
      <c r="AU6" s="128">
        <f>IFERROR(VLOOKUP($K6,'C-02'!$D:$L,5,0),"")</f>
        <v>6791.87</v>
      </c>
      <c r="AV6" s="128">
        <f>IFERROR(VLOOKUP($K6,'C-02'!$D:$L,6,0),"")</f>
        <v>7984.54</v>
      </c>
      <c r="AW6" s="128">
        <f>IFERROR(VLOOKUP($K6,'C-02'!$D:$L,7,0),"")</f>
        <v>7851.14</v>
      </c>
      <c r="AX6" s="128">
        <f>IFERROR(VLOOKUP($K6,'C-02'!$D:$L,8,0),"")</f>
        <v>9534.06</v>
      </c>
      <c r="AY6" s="128">
        <f>IFERROR(VLOOKUP($K6,'C-02'!$D:$L,9,0),"")</f>
        <v>9921.51</v>
      </c>
      <c r="AZ6" s="129">
        <f>IFS('Painel Geral'!$B$5="Mediana",IFERROR(IF(OR(D6="",AW6=0,AW6=""),"",($D6/$AW6)),""),'Painel Geral'!$B$5="Menor Salário",IFERROR(IF(OR(D6="",AW6=0,AW6=""),"",($D6/$AT6)),""),'Painel Geral'!$B$5="1º Quartil",IFERROR(IF(OR(D6="",AW6=0,AW6=""),"",($D6/$AU6)),""),'Painel Geral'!$B$5="Média",IFERROR(IF(OR(D6="",AW6=0,AW6=""),"",($D6/$AV6)),""),'Painel Geral'!$B$5="3º Quartil",IFERROR(IF(OR(D6="",AW6=0,AW6=""),"",($D6/$AX6)),""), 'Painel Geral'!$B$5="Maior Salário",IFERROR(IF(OR(D6="",AW6=0,AW6=""),"",($D6/$AY6)),""))</f>
        <v>0.8226066533</v>
      </c>
      <c r="BA6" s="130" t="str">
        <f t="shared" si="4"/>
        <v>Defasado</v>
      </c>
    </row>
    <row r="7" ht="15.75" customHeight="1">
      <c r="A7" s="132">
        <v>4.0</v>
      </c>
      <c r="B7" s="131" t="str">
        <f>VLOOKUP(A7,Jobmatch!A:F,2,0)</f>
        <v>Analista de Requisitos</v>
      </c>
      <c r="C7" s="133" t="s">
        <v>66</v>
      </c>
      <c r="D7" s="118">
        <f>IFERROR(AVERAGEIF('Folha de Pagamento'!A:A,A7,'Folha de Pagamento'!I:I),"")</f>
        <v>2859.19</v>
      </c>
      <c r="E7" s="119">
        <v>1.0</v>
      </c>
      <c r="F7" s="120" t="str">
        <f>VLOOKUP(A7,Jobmatch!A:G,3,0)</f>
        <v>DEV</v>
      </c>
      <c r="G7" s="121" t="str">
        <f>VLOOKUP(A7,Jobmatch!A:H,4,0)</f>
        <v>Operacional</v>
      </c>
      <c r="H7" s="121">
        <f>VLOOKUP(A7,Jobmatch!A:H,5,0)</f>
        <v>796</v>
      </c>
      <c r="I7" s="117" t="str">
        <f>VLOOKUP(A7,Jobmatch!A:H,6,0)</f>
        <v>Analista de Requisitos</v>
      </c>
      <c r="J7" s="122" t="str">
        <f>VLOOKUP(A7,Jobmatch!A:H,7,0)</f>
        <v>Júnior</v>
      </c>
      <c r="K7" s="123" t="str">
        <f t="shared" si="1"/>
        <v>796Júnior</v>
      </c>
      <c r="L7" s="121">
        <f>COUNTIF('Folha de Pagamento'!A:A,A7)</f>
        <v>2</v>
      </c>
      <c r="M7" s="124">
        <f>IFERROR(VLOOKUP(K7,'C-01'!$D:$L,4,0),"")</f>
        <v>2626.68</v>
      </c>
      <c r="N7" s="125">
        <f>IFERROR(VLOOKUP(K7,'C-01'!$D:$L,5,0),"")</f>
        <v>3508.61</v>
      </c>
      <c r="O7" s="125">
        <f>IFERROR(VLOOKUP(K7,'C-01'!$D:$L,6,0),"")</f>
        <v>4174.12</v>
      </c>
      <c r="P7" s="144">
        <v>13.0</v>
      </c>
      <c r="Q7" s="145">
        <v>3618.72</v>
      </c>
      <c r="R7" s="146">
        <f t="shared" si="2"/>
        <v>4342.464</v>
      </c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8" t="s">
        <v>76</v>
      </c>
      <c r="AD7" s="149" t="s">
        <v>77</v>
      </c>
      <c r="AE7" s="146"/>
      <c r="AF7" s="148" t="s">
        <v>78</v>
      </c>
      <c r="AG7" s="146"/>
      <c r="AH7" s="146"/>
      <c r="AI7" s="146"/>
      <c r="AJ7" s="146"/>
      <c r="AK7" s="146"/>
      <c r="AL7" s="146"/>
      <c r="AM7" s="146"/>
      <c r="AN7" s="146"/>
      <c r="AO7" s="146"/>
      <c r="AP7" s="147">
        <f>IFERROR(VLOOKUP(K7,'C-01'!$D:$L,8,0),"")</f>
        <v>5081.15</v>
      </c>
      <c r="AQ7" s="124">
        <f>IFERROR(VLOOKUP(K7,'C-01'!$D:$L,9,0),"")</f>
        <v>5977.75</v>
      </c>
      <c r="AR7" s="126">
        <f>IFS('Painel Geral'!$B$5="Mediana",IFERROR(IF(OR(D7="",Q7=0,Q7=""),"",($D7/$Q7)),""),'Painel Geral'!$B$5="Menor Salário",IFERROR(IF(OR(D7="",Q7=0,Q7=""),"",($D7/$M7)),""),'Painel Geral'!$B$5="1º Quartil",IFERROR(IF(OR(D7="",Q7=0,Q7=""),"",($D7/$N7)),""), 'Painel Geral'!$B$5="Média",IFERROR(IF(OR(D7="",Q7=0,Q7=""),"",($D7/$O7)),""),'Painel Geral'!$B$5="3º Quartil",IFERROR(IF(OR(D7="",Q7=0,Q7=""),"",($D7/$AP7)),""),'Painel Geral'!$B$5="Maior Salário",IFERROR(IF(OR(D7="",Q7=0,Q7=""),"",($D7/$AQ7)),""))</f>
        <v>0.7901108679</v>
      </c>
      <c r="AS7" s="127" t="str">
        <f t="shared" si="3"/>
        <v>Muito Defasado</v>
      </c>
      <c r="AT7" s="128">
        <f>IFERROR(VLOOKUP($K7,'C-02'!$D:$L,4,0),"")</f>
        <v>0</v>
      </c>
      <c r="AU7" s="128">
        <f>IFERROR(VLOOKUP($K7,'C-02'!$D:$L,5,0),"")</f>
        <v>0</v>
      </c>
      <c r="AV7" s="128">
        <f>IFERROR(VLOOKUP($K7,'C-02'!$D:$L,6,0),"")</f>
        <v>0</v>
      </c>
      <c r="AW7" s="128">
        <f>IFERROR(VLOOKUP($K7,'C-02'!$D:$L,7,0),"")</f>
        <v>0</v>
      </c>
      <c r="AX7" s="128">
        <f>IFERROR(VLOOKUP($K7,'C-02'!$D:$L,8,0),"")</f>
        <v>0</v>
      </c>
      <c r="AY7" s="128">
        <f>IFERROR(VLOOKUP($K7,'C-02'!$D:$L,9,0),"")</f>
        <v>0</v>
      </c>
      <c r="AZ7" s="129" t="str">
        <f>IFS('Painel Geral'!$B$5="Mediana",IFERROR(IF(OR(D7="",AW7=0,AW7=""),"",($D7/$AW7)),""),'Painel Geral'!$B$5="Menor Salário",IFERROR(IF(OR(D7="",AW7=0,AW7=""),"",($D7/$AT7)),""),'Painel Geral'!$B$5="1º Quartil",IFERROR(IF(OR(D7="",AW7=0,AW7=""),"",($D7/$AU7)),""),'Painel Geral'!$B$5="Média",IFERROR(IF(OR(D7="",AW7=0,AW7=""),"",($D7/$AV7)),""),'Painel Geral'!$B$5="3º Quartil",IFERROR(IF(OR(D7="",AW7=0,AW7=""),"",($D7/$AX7)),""), 'Painel Geral'!$B$5="Maior Salário",IFERROR(IF(OR(D7="",AW7=0,AW7=""),"",($D7/$AY7)),""))</f>
        <v/>
      </c>
      <c r="BA7" s="130" t="str">
        <f t="shared" si="4"/>
        <v/>
      </c>
    </row>
    <row r="8" ht="15.75" customHeight="1">
      <c r="A8" s="132"/>
      <c r="B8" s="116"/>
      <c r="C8" s="117" t="s">
        <v>73</v>
      </c>
      <c r="D8" s="118"/>
      <c r="E8" s="119"/>
      <c r="F8" s="120" t="s">
        <v>20</v>
      </c>
      <c r="G8" s="121"/>
      <c r="H8" s="121">
        <v>15.0</v>
      </c>
      <c r="I8" s="117" t="s">
        <v>72</v>
      </c>
      <c r="J8" s="122" t="s">
        <v>24</v>
      </c>
      <c r="K8" s="123" t="str">
        <f t="shared" si="1"/>
        <v>15Pleno</v>
      </c>
      <c r="L8" s="121"/>
      <c r="M8" s="124">
        <f>IFERROR(VLOOKUP(K8,'C-01'!$D:$L,4,0),"")</f>
        <v>3247.23</v>
      </c>
      <c r="N8" s="125">
        <f>IFERROR(VLOOKUP(K8,'C-01'!$D:$L,5,0),"")</f>
        <v>3753.88</v>
      </c>
      <c r="O8" s="125">
        <f>IFERROR(VLOOKUP(K8,'C-01'!$D:$L,6,0),"")</f>
        <v>4254.3</v>
      </c>
      <c r="P8" s="144">
        <v>13.0</v>
      </c>
      <c r="Q8" s="145">
        <v>4178.94</v>
      </c>
      <c r="R8" s="146">
        <f t="shared" si="2"/>
        <v>5014.728</v>
      </c>
      <c r="S8" s="146"/>
      <c r="T8" s="146"/>
      <c r="U8" s="146"/>
      <c r="V8" s="146"/>
      <c r="W8" s="146"/>
      <c r="X8" s="146"/>
      <c r="Y8" s="146"/>
      <c r="Z8" s="146"/>
      <c r="AA8" s="148" t="s">
        <v>79</v>
      </c>
      <c r="AB8" s="146"/>
      <c r="AC8" s="150" t="s">
        <v>80</v>
      </c>
      <c r="AD8" s="151">
        <v>1599.66</v>
      </c>
      <c r="AE8" s="146"/>
      <c r="AF8" s="152">
        <f t="shared" ref="AF8:AF13" si="5">AD8*1.0518</f>
        <v>1682.522388</v>
      </c>
      <c r="AG8" s="146"/>
      <c r="AH8" s="146"/>
      <c r="AI8" s="146"/>
      <c r="AJ8" s="146"/>
      <c r="AK8" s="146"/>
      <c r="AL8" s="146"/>
      <c r="AM8" s="146"/>
      <c r="AN8" s="146"/>
      <c r="AO8" s="146"/>
      <c r="AP8" s="147">
        <f>IFERROR(VLOOKUP(K8,'C-01'!$D:$L,8,0),"")</f>
        <v>4856.44</v>
      </c>
      <c r="AQ8" s="124">
        <f>IFERROR(VLOOKUP(K8,'C-01'!$D:$L,9,0),"")</f>
        <v>5596.75</v>
      </c>
      <c r="AR8" s="126" t="str">
        <f>IFS('Painel Geral'!$B$5="Mediana",IFERROR(IF(OR(D8="",Q8=0,Q8=""),"",($D8/$Q8)),""),'Painel Geral'!$B$5="Menor Salário",IFERROR(IF(OR(D8="",Q8=0,Q8=""),"",($D8/$M8)),""),'Painel Geral'!$B$5="1º Quartil",IFERROR(IF(OR(D8="",Q8=0,Q8=""),"",($D8/$N8)),""), 'Painel Geral'!$B$5="Média",IFERROR(IF(OR(D8="",Q8=0,Q8=""),"",($D8/$O8)),""),'Painel Geral'!$B$5="3º Quartil",IFERROR(IF(OR(D8="",Q8=0,Q8=""),"",($D8/$AP8)),""),'Painel Geral'!$B$5="Maior Salário",IFERROR(IF(OR(D8="",Q8=0,Q8=""),"",($D8/$AQ8)),""))</f>
        <v/>
      </c>
      <c r="AS8" s="127" t="str">
        <f t="shared" si="3"/>
        <v/>
      </c>
      <c r="AT8" s="128" t="str">
        <f>IFERROR(VLOOKUP($K8,'C-02'!$D:$L,4,0),"")</f>
        <v/>
      </c>
      <c r="AU8" s="128" t="str">
        <f>IFERROR(VLOOKUP($K8,'C-02'!$D:$L,5,0),"")</f>
        <v/>
      </c>
      <c r="AV8" s="128" t="str">
        <f>IFERROR(VLOOKUP($K8,'C-02'!$D:$L,6,0),"")</f>
        <v/>
      </c>
      <c r="AW8" s="128" t="str">
        <f>IFERROR(VLOOKUP($K8,'C-02'!$D:$L,7,0),"")</f>
        <v/>
      </c>
      <c r="AX8" s="128" t="str">
        <f>IFERROR(VLOOKUP($K8,'C-02'!$D:$L,8,0),"")</f>
        <v/>
      </c>
      <c r="AY8" s="128" t="str">
        <f>IFERROR(VLOOKUP($K8,'C-02'!$D:$L,9,0),"")</f>
        <v/>
      </c>
      <c r="AZ8" s="129" t="str">
        <f>IFS('Painel Geral'!$B$5="Mediana",IFERROR(IF(OR(D8="",AW8=0,AW8=""),"",($D8/$AW8)),""),'Painel Geral'!$B$5="Menor Salário",IFERROR(IF(OR(D8="",AW8=0,AW8=""),"",($D8/$AT8)),""),'Painel Geral'!$B$5="1º Quartil",IFERROR(IF(OR(D8="",AW8=0,AW8=""),"",($D8/$AU8)),""),'Painel Geral'!$B$5="Média",IFERROR(IF(OR(D8="",AW8=0,AW8=""),"",($D8/$AV8)),""),'Painel Geral'!$B$5="3º Quartil",IFERROR(IF(OR(D8="",AW8=0,AW8=""),"",($D8/$AX8)),""), 'Painel Geral'!$B$5="Maior Salário",IFERROR(IF(OR(D8="",AW8=0,AW8=""),"",($D8/$AY8)),""))</f>
        <v/>
      </c>
      <c r="BA8" s="130" t="str">
        <f t="shared" si="4"/>
        <v/>
      </c>
    </row>
    <row r="9" ht="15.75" customHeight="1">
      <c r="A9" s="132"/>
      <c r="B9" s="116"/>
      <c r="C9" s="133" t="s">
        <v>67</v>
      </c>
      <c r="D9" s="118"/>
      <c r="E9" s="119"/>
      <c r="F9" s="120" t="s">
        <v>20</v>
      </c>
      <c r="G9" s="134"/>
      <c r="H9" s="121">
        <v>796.0</v>
      </c>
      <c r="I9" s="117" t="s">
        <v>33</v>
      </c>
      <c r="J9" s="122" t="s">
        <v>24</v>
      </c>
      <c r="K9" s="123" t="str">
        <f t="shared" si="1"/>
        <v>796Pleno</v>
      </c>
      <c r="L9" s="121"/>
      <c r="M9" s="124">
        <f>IFERROR(VLOOKUP(K9,'C-01'!$D:$L,4,0),"")</f>
        <v>3810.77</v>
      </c>
      <c r="N9" s="125">
        <f>IFERROR(VLOOKUP(K9,'C-01'!$D:$L,5,0),"")</f>
        <v>4192.12</v>
      </c>
      <c r="O9" s="125">
        <f>IFERROR(VLOOKUP(K9,'C-01'!$D:$L,6,0),"")</f>
        <v>4717.97</v>
      </c>
      <c r="P9" s="144">
        <v>14.0</v>
      </c>
      <c r="Q9" s="145">
        <v>4465.27</v>
      </c>
      <c r="R9" s="146">
        <f t="shared" si="2"/>
        <v>5358.324</v>
      </c>
      <c r="S9" s="146"/>
      <c r="T9" s="146"/>
      <c r="U9" s="146"/>
      <c r="V9" s="146"/>
      <c r="W9" s="146"/>
      <c r="X9" s="146"/>
      <c r="Y9" s="146"/>
      <c r="Z9" s="146"/>
      <c r="AA9" s="148" t="s">
        <v>81</v>
      </c>
      <c r="AB9" s="146"/>
      <c r="AC9" s="150" t="s">
        <v>82</v>
      </c>
      <c r="AD9" s="151">
        <v>1563.26</v>
      </c>
      <c r="AE9" s="146"/>
      <c r="AF9" s="152">
        <f t="shared" si="5"/>
        <v>1644.236868</v>
      </c>
      <c r="AG9" s="146"/>
      <c r="AH9" s="146"/>
      <c r="AI9" s="146"/>
      <c r="AJ9" s="146"/>
      <c r="AK9" s="146"/>
      <c r="AL9" s="146"/>
      <c r="AM9" s="146"/>
      <c r="AN9" s="146"/>
      <c r="AO9" s="146"/>
      <c r="AP9" s="147">
        <f>IFERROR(VLOOKUP(K9,'C-01'!$D:$L,8,0),"")</f>
        <v>5273.23</v>
      </c>
      <c r="AQ9" s="124">
        <f>IFERROR(VLOOKUP(K9,'C-01'!$D:$L,9,0),"")</f>
        <v>6105.55</v>
      </c>
      <c r="AR9" s="126" t="str">
        <f>IFS('Painel Geral'!$B$5="Mediana",IFERROR(IF(OR(D9="",Q9=0,Q9=""),"",($D9/$Q9)),""),'Painel Geral'!$B$5="Menor Salário",IFERROR(IF(OR(D9="",Q9=0,Q9=""),"",($D9/$M9)),""),'Painel Geral'!$B$5="1º Quartil",IFERROR(IF(OR(D9="",Q9=0,Q9=""),"",($D9/$N9)),""), 'Painel Geral'!$B$5="Média",IFERROR(IF(OR(D9="",Q9=0,Q9=""),"",($D9/$O9)),""),'Painel Geral'!$B$5="3º Quartil",IFERROR(IF(OR(D9="",Q9=0,Q9=""),"",($D9/$AP9)),""),'Painel Geral'!$B$5="Maior Salário",IFERROR(IF(OR(D9="",Q9=0,Q9=""),"",($D9/$AQ9)),""))</f>
        <v/>
      </c>
      <c r="AS9" s="127" t="str">
        <f t="shared" si="3"/>
        <v/>
      </c>
      <c r="AT9" s="128">
        <f>IFERROR(VLOOKUP($K9,'C-02'!$D:$L,4,0),"")</f>
        <v>0</v>
      </c>
      <c r="AU9" s="128">
        <f>IFERROR(VLOOKUP($K9,'C-02'!$D:$L,5,0),"")</f>
        <v>0</v>
      </c>
      <c r="AV9" s="128">
        <f>IFERROR(VLOOKUP($K9,'C-02'!$D:$L,6,0),"")</f>
        <v>0</v>
      </c>
      <c r="AW9" s="128">
        <f>IFERROR(VLOOKUP($K9,'C-02'!$D:$L,7,0),"")</f>
        <v>0</v>
      </c>
      <c r="AX9" s="128">
        <f>IFERROR(VLOOKUP($K9,'C-02'!$D:$L,8,0),"")</f>
        <v>0</v>
      </c>
      <c r="AY9" s="128">
        <f>IFERROR(VLOOKUP($K9,'C-02'!$D:$L,9,0),"")</f>
        <v>0</v>
      </c>
      <c r="AZ9" s="129" t="str">
        <f>IFS('Painel Geral'!$B$5="Mediana",IFERROR(IF(OR(D9="",AW9=0,AW9=""),"",($D9/$AW9)),""),'Painel Geral'!$B$5="Menor Salário",IFERROR(IF(OR(D9="",AW9=0,AW9=""),"",($D9/$AT9)),""),'Painel Geral'!$B$5="1º Quartil",IFERROR(IF(OR(D9="",AW9=0,AW9=""),"",($D9/$AU9)),""),'Painel Geral'!$B$5="Média",IFERROR(IF(OR(D9="",AW9=0,AW9=""),"",($D9/$AV9)),""),'Painel Geral'!$B$5="3º Quartil",IFERROR(IF(OR(D9="",AW9=0,AW9=""),"",($D9/$AX9)),""), 'Painel Geral'!$B$5="Maior Salário",IFERROR(IF(OR(D9="",AW9=0,AW9=""),"",($D9/$AY9)),""))</f>
        <v/>
      </c>
      <c r="BA9" s="130" t="str">
        <f t="shared" si="4"/>
        <v/>
      </c>
    </row>
    <row r="10" ht="15.75" customHeight="1">
      <c r="A10" s="132">
        <v>5.0</v>
      </c>
      <c r="B10" s="131" t="str">
        <f>VLOOKUP(A10,Jobmatch!A:F,2,0)</f>
        <v>Lider</v>
      </c>
      <c r="C10" s="117" t="s">
        <v>64</v>
      </c>
      <c r="D10" s="118">
        <f>IFERROR(AVERAGEIF('Folha de Pagamento'!A:A,A10,'Folha de Pagamento'!I:I),"")</f>
        <v>8611.2</v>
      </c>
      <c r="E10" s="119">
        <v>1.0</v>
      </c>
      <c r="F10" s="120" t="str">
        <f>VLOOKUP(A10,Jobmatch!A:G,3,0)</f>
        <v>DEV</v>
      </c>
      <c r="G10" s="121" t="str">
        <f>VLOOKUP(A10,Jobmatch!A:H,4,0)</f>
        <v>Estratégico</v>
      </c>
      <c r="H10" s="121">
        <f>VLOOKUP(A10,Jobmatch!A:H,5,0)</f>
        <v>1016</v>
      </c>
      <c r="I10" s="117" t="str">
        <f>VLOOKUP(A10,Jobmatch!A:H,6,0)</f>
        <v>Líder Técnico</v>
      </c>
      <c r="J10" s="122" t="str">
        <f>VLOOKUP(A10,Jobmatch!A:H,7,0)</f>
        <v>Indiferente</v>
      </c>
      <c r="K10" s="123" t="str">
        <f t="shared" si="1"/>
        <v>1016Indiferente</v>
      </c>
      <c r="L10" s="121">
        <f>COUNTIF('Folha de Pagamento'!A:A,A10)</f>
        <v>1</v>
      </c>
      <c r="M10" s="124">
        <f>IFERROR(VLOOKUP(K10,'C-01'!$D:$L,4,0),"")</f>
        <v>5639.53</v>
      </c>
      <c r="N10" s="125">
        <f>IFERROR(VLOOKUP(K10,'C-01'!$D:$L,5,0),"")</f>
        <v>7452.03</v>
      </c>
      <c r="O10" s="125">
        <f>IFERROR(VLOOKUP(K10,'C-01'!$D:$L,6,0),"")</f>
        <v>8919.44</v>
      </c>
      <c r="P10" s="144">
        <v>14.0</v>
      </c>
      <c r="Q10" s="145">
        <v>5342.35</v>
      </c>
      <c r="R10" s="146">
        <f t="shared" si="2"/>
        <v>6410.82</v>
      </c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53" t="s">
        <v>83</v>
      </c>
      <c r="AD10" s="154">
        <v>1741.84</v>
      </c>
      <c r="AE10" s="146"/>
      <c r="AF10" s="155">
        <f t="shared" si="5"/>
        <v>1832.067312</v>
      </c>
      <c r="AG10" s="146"/>
      <c r="AH10" s="146"/>
      <c r="AI10" s="146"/>
      <c r="AJ10" s="146"/>
      <c r="AK10" s="146"/>
      <c r="AL10" s="146"/>
      <c r="AM10" s="146"/>
      <c r="AN10" s="146"/>
      <c r="AO10" s="146"/>
      <c r="AP10" s="147">
        <f>IFERROR(VLOOKUP(K10,'C-01'!$D:$L,8,0),"")</f>
        <v>10057.47</v>
      </c>
      <c r="AQ10" s="124">
        <f>IFERROR(VLOOKUP(K10,'C-01'!$D:$L,9,0),"")</f>
        <v>12817.68</v>
      </c>
      <c r="AR10" s="126">
        <f>IFS('Painel Geral'!$B$5="Mediana",IFERROR(IF(OR(D10="",Q10=0,Q10=""),"",($D10/$Q10)),""),'Painel Geral'!$B$5="Menor Salário",IFERROR(IF(OR(D10="",Q10=0,Q10=""),"",($D10/$M10)),""),'Painel Geral'!$B$5="1º Quartil",IFERROR(IF(OR(D10="",Q10=0,Q10=""),"",($D10/$N10)),""), 'Painel Geral'!$B$5="Média",IFERROR(IF(OR(D10="",Q10=0,Q10=""),"",($D10/$O10)),""),'Painel Geral'!$B$5="3º Quartil",IFERROR(IF(OR(D10="",Q10=0,Q10=""),"",($D10/$AP10)),""),'Painel Geral'!$B$5="Maior Salário",IFERROR(IF(OR(D10="",Q10=0,Q10=""),"",($D10/$AQ10)),""))</f>
        <v>1.611874924</v>
      </c>
      <c r="AS10" s="127" t="str">
        <f t="shared" si="3"/>
        <v>Agressivo</v>
      </c>
      <c r="AT10" s="128">
        <f>IFERROR(VLOOKUP($K10,'C-02'!$D:$L,4,0),"")</f>
        <v>5288.93</v>
      </c>
      <c r="AU10" s="128">
        <f>IFERROR(VLOOKUP($K10,'C-02'!$D:$L,5,0),"")</f>
        <v>7107.92</v>
      </c>
      <c r="AV10" s="128">
        <f>IFERROR(VLOOKUP($K10,'C-02'!$D:$L,6,0),"")</f>
        <v>8904.46</v>
      </c>
      <c r="AW10" s="128">
        <f>IFERROR(VLOOKUP($K10,'C-02'!$D:$L,7,0),"")</f>
        <v>9047.66</v>
      </c>
      <c r="AX10" s="128">
        <f>IFERROR(VLOOKUP($K10,'C-02'!$D:$L,8,0),"")</f>
        <v>10074.15</v>
      </c>
      <c r="AY10" s="128">
        <f>IFERROR(VLOOKUP($K10,'C-02'!$D:$L,9,0),"")</f>
        <v>12817.68</v>
      </c>
      <c r="AZ10" s="129">
        <f>IFS('Painel Geral'!$B$5="Mediana",IFERROR(IF(OR(D10="",AW10=0,AW10=""),"",($D10/$AW10)),""),'Painel Geral'!$B$5="Menor Salário",IFERROR(IF(OR(D10="",AW10=0,AW10=""),"",($D10/$AT10)),""),'Painel Geral'!$B$5="1º Quartil",IFERROR(IF(OR(D10="",AW10=0,AW10=""),"",($D10/$AU10)),""),'Painel Geral'!$B$5="Média",IFERROR(IF(OR(D10="",AW10=0,AW10=""),"",($D10/$AV10)),""),'Painel Geral'!$B$5="3º Quartil",IFERROR(IF(OR(D10="",AW10=0,AW10=""),"",($D10/$AX10)),""), 'Painel Geral'!$B$5="Maior Salário",IFERROR(IF(OR(D10="",AW10=0,AW10=""),"",($D10/$AY10)),""))</f>
        <v>0.9517599026</v>
      </c>
      <c r="BA10" s="130" t="str">
        <f t="shared" si="4"/>
        <v>Na Média</v>
      </c>
    </row>
    <row r="11" ht="15.75" customHeight="1">
      <c r="A11" s="132"/>
      <c r="B11" s="131"/>
      <c r="C11" s="117" t="s">
        <v>74</v>
      </c>
      <c r="D11" s="118"/>
      <c r="E11" s="119"/>
      <c r="F11" s="120" t="s">
        <v>20</v>
      </c>
      <c r="G11" s="121"/>
      <c r="H11" s="121">
        <v>15.0</v>
      </c>
      <c r="I11" s="117" t="s">
        <v>72</v>
      </c>
      <c r="J11" s="122" t="s">
        <v>18</v>
      </c>
      <c r="K11" s="123" t="str">
        <f t="shared" si="1"/>
        <v>15Sênior</v>
      </c>
      <c r="L11" s="121"/>
      <c r="M11" s="124">
        <f>IFERROR(VLOOKUP(K11,'C-01'!$D:$L,4,0),"")</f>
        <v>4663.49</v>
      </c>
      <c r="N11" s="125">
        <f>IFERROR(VLOOKUP(K11,'C-01'!$D:$L,5,0),"")</f>
        <v>5285.89</v>
      </c>
      <c r="O11" s="125">
        <f>IFERROR(VLOOKUP(K11,'C-01'!$D:$L,6,0),"")</f>
        <v>5775.86</v>
      </c>
      <c r="P11" s="144">
        <v>15.0</v>
      </c>
      <c r="Q11" s="145">
        <v>5574.65</v>
      </c>
      <c r="R11" s="146">
        <f t="shared" si="2"/>
        <v>6689.58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50" t="s">
        <v>84</v>
      </c>
      <c r="AD11" s="148">
        <v>1919.58</v>
      </c>
      <c r="AE11" s="146"/>
      <c r="AF11" s="146">
        <f t="shared" si="5"/>
        <v>2019.014244</v>
      </c>
      <c r="AG11" s="146"/>
      <c r="AH11" s="146"/>
      <c r="AI11" s="146"/>
      <c r="AJ11" s="146"/>
      <c r="AK11" s="146"/>
      <c r="AL11" s="146"/>
      <c r="AM11" s="146"/>
      <c r="AN11" s="146"/>
      <c r="AO11" s="146"/>
      <c r="AP11" s="147">
        <f>IFERROR(VLOOKUP(K11,'C-01'!$D:$L,8,0),"")</f>
        <v>6292.99</v>
      </c>
      <c r="AQ11" s="124">
        <f>IFERROR(VLOOKUP(K11,'C-01'!$D:$L,9,0),"")</f>
        <v>7288.6</v>
      </c>
      <c r="AR11" s="126" t="str">
        <f>IFS('Painel Geral'!$B$5="Mediana",IFERROR(IF(OR(D11="",Q11=0,Q11=""),"",($D11/$Q11)),""),'Painel Geral'!$B$5="Menor Salário",IFERROR(IF(OR(D11="",Q11=0,Q11=""),"",($D11/$M11)),""),'Painel Geral'!$B$5="1º Quartil",IFERROR(IF(OR(D11="",Q11=0,Q11=""),"",($D11/$N11)),""), 'Painel Geral'!$B$5="Média",IFERROR(IF(OR(D11="",Q11=0,Q11=""),"",($D11/$O11)),""),'Painel Geral'!$B$5="3º Quartil",IFERROR(IF(OR(D11="",Q11=0,Q11=""),"",($D11/$AP11)),""),'Painel Geral'!$B$5="Maior Salário",IFERROR(IF(OR(D11="",Q11=0,Q11=""),"",($D11/$AQ11)),""))</f>
        <v/>
      </c>
      <c r="AS11" s="127" t="str">
        <f t="shared" si="3"/>
        <v/>
      </c>
      <c r="AT11" s="128" t="str">
        <f>IFERROR(VLOOKUP($K11,'C-02'!$D:$L,4,0),"")</f>
        <v/>
      </c>
      <c r="AU11" s="128" t="str">
        <f>IFERROR(VLOOKUP($K11,'C-02'!$D:$L,5,0),"")</f>
        <v/>
      </c>
      <c r="AV11" s="128" t="str">
        <f>IFERROR(VLOOKUP($K11,'C-02'!$D:$L,6,0),"")</f>
        <v/>
      </c>
      <c r="AW11" s="128" t="str">
        <f>IFERROR(VLOOKUP($K11,'C-02'!$D:$L,7,0),"")</f>
        <v/>
      </c>
      <c r="AX11" s="128" t="str">
        <f>IFERROR(VLOOKUP($K11,'C-02'!$D:$L,8,0),"")</f>
        <v/>
      </c>
      <c r="AY11" s="128" t="str">
        <f>IFERROR(VLOOKUP($K11,'C-02'!$D:$L,9,0),"")</f>
        <v/>
      </c>
      <c r="AZ11" s="129" t="str">
        <f>IFS('Painel Geral'!$B$5="Mediana",IFERROR(IF(OR(D11="",AW11=0,AW11=""),"",($D11/$AW11)),""),'Painel Geral'!$B$5="Menor Salário",IFERROR(IF(OR(D11="",AW11=0,AW11=""),"",($D11/$AT11)),""),'Painel Geral'!$B$5="1º Quartil",IFERROR(IF(OR(D11="",AW11=0,AW11=""),"",($D11/$AU11)),""),'Painel Geral'!$B$5="Média",IFERROR(IF(OR(D11="",AW11=0,AW11=""),"",($D11/$AV11)),""),'Painel Geral'!$B$5="3º Quartil",IFERROR(IF(OR(D11="",AW11=0,AW11=""),"",($D11/$AX11)),""), 'Painel Geral'!$B$5="Maior Salário",IFERROR(IF(OR(D11="",AW11=0,AW11=""),"",($D11/$AY11)),""))</f>
        <v/>
      </c>
      <c r="BA11" s="130" t="str">
        <f t="shared" si="4"/>
        <v/>
      </c>
    </row>
    <row r="12" ht="15.75" customHeight="1">
      <c r="A12" s="132"/>
      <c r="B12" s="131"/>
      <c r="C12" s="133" t="s">
        <v>68</v>
      </c>
      <c r="D12" s="118"/>
      <c r="E12" s="119"/>
      <c r="F12" s="120" t="s">
        <v>20</v>
      </c>
      <c r="G12" s="134"/>
      <c r="H12" s="121">
        <v>796.0</v>
      </c>
      <c r="I12" s="117" t="s">
        <v>33</v>
      </c>
      <c r="J12" s="122" t="s">
        <v>18</v>
      </c>
      <c r="K12" s="123" t="str">
        <f t="shared" si="1"/>
        <v>796Sênior</v>
      </c>
      <c r="L12" s="121"/>
      <c r="M12" s="124">
        <f>IFERROR(VLOOKUP(K12,'C-01'!$D:$L,4,0),"")</f>
        <v>6472.04</v>
      </c>
      <c r="N12" s="125">
        <f>IFERROR(VLOOKUP(K12,'C-01'!$D:$L,5,0),"")</f>
        <v>7185.89</v>
      </c>
      <c r="O12" s="125">
        <f>IFERROR(VLOOKUP(K12,'C-01'!$D:$L,6,0),"")</f>
        <v>7572.48</v>
      </c>
      <c r="P12" s="144">
        <v>16.0</v>
      </c>
      <c r="Q12" s="145">
        <v>7264.21</v>
      </c>
      <c r="R12" s="146">
        <f t="shared" si="2"/>
        <v>8717.052</v>
      </c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53" t="s">
        <v>85</v>
      </c>
      <c r="AD12" s="154">
        <v>2132.87</v>
      </c>
      <c r="AE12" s="146"/>
      <c r="AF12" s="155">
        <f t="shared" si="5"/>
        <v>2243.352666</v>
      </c>
      <c r="AG12" s="146"/>
      <c r="AH12" s="146"/>
      <c r="AI12" s="146"/>
      <c r="AJ12" s="146"/>
      <c r="AK12" s="146"/>
      <c r="AL12" s="146"/>
      <c r="AM12" s="146"/>
      <c r="AN12" s="146"/>
      <c r="AO12" s="146"/>
      <c r="AP12" s="147">
        <f>IFERROR(VLOOKUP(K12,'C-01'!$D:$L,8,0),"")</f>
        <v>8100.12</v>
      </c>
      <c r="AQ12" s="124">
        <f>IFERROR(VLOOKUP(K12,'C-01'!$D:$L,9,0),"")</f>
        <v>8614.28</v>
      </c>
      <c r="AR12" s="126" t="str">
        <f>IFS('Painel Geral'!$B$5="Mediana",IFERROR(IF(OR(D12="",Q12=0,Q12=""),"",($D12/$Q12)),""),'Painel Geral'!$B$5="Menor Salário",IFERROR(IF(OR(D12="",Q12=0,Q12=""),"",($D12/$M12)),""),'Painel Geral'!$B$5="1º Quartil",IFERROR(IF(OR(D12="",Q12=0,Q12=""),"",($D12/$N12)),""), 'Painel Geral'!$B$5="Média",IFERROR(IF(OR(D12="",Q12=0,Q12=""),"",($D12/$O12)),""),'Painel Geral'!$B$5="3º Quartil",IFERROR(IF(OR(D12="",Q12=0,Q12=""),"",($D12/$AP12)),""),'Painel Geral'!$B$5="Maior Salário",IFERROR(IF(OR(D12="",Q12=0,Q12=""),"",($D12/$AQ12)),""))</f>
        <v/>
      </c>
      <c r="AS12" s="127" t="str">
        <f t="shared" si="3"/>
        <v/>
      </c>
      <c r="AT12" s="128">
        <f>IFERROR(VLOOKUP($K12,'C-02'!$D:$L,4,0),"")</f>
        <v>0</v>
      </c>
      <c r="AU12" s="128">
        <f>IFERROR(VLOOKUP($K12,'C-02'!$D:$L,5,0),"")</f>
        <v>0</v>
      </c>
      <c r="AV12" s="128">
        <f>IFERROR(VLOOKUP($K12,'C-02'!$D:$L,6,0),"")</f>
        <v>0</v>
      </c>
      <c r="AW12" s="128">
        <f>IFERROR(VLOOKUP($K12,'C-02'!$D:$L,7,0),"")</f>
        <v>0</v>
      </c>
      <c r="AX12" s="128">
        <f>IFERROR(VLOOKUP($K12,'C-02'!$D:$L,8,0),"")</f>
        <v>0</v>
      </c>
      <c r="AY12" s="128">
        <f>IFERROR(VLOOKUP($K12,'C-02'!$D:$L,9,0),"")</f>
        <v>0</v>
      </c>
      <c r="AZ12" s="129" t="str">
        <f>IFS('Painel Geral'!$B$5="Mediana",IFERROR(IF(OR(D12="",AW12=0,AW12=""),"",($D12/$AW12)),""),'Painel Geral'!$B$5="Menor Salário",IFERROR(IF(OR(D12="",AW12=0,AW12=""),"",($D12/$AT12)),""),'Painel Geral'!$B$5="1º Quartil",IFERROR(IF(OR(D12="",AW12=0,AW12=""),"",($D12/$AU12)),""),'Painel Geral'!$B$5="Média",IFERROR(IF(OR(D12="",AW12=0,AW12=""),"",($D12/$AV12)),""),'Painel Geral'!$B$5="3º Quartil",IFERROR(IF(OR(D12="",AW12=0,AW12=""),"",($D12/$AX12)),""), 'Painel Geral'!$B$5="Maior Salário",IFERROR(IF(OR(D12="",AW12=0,AW12=""),"",($D12/$AY12)),""))</f>
        <v/>
      </c>
      <c r="BA12" s="130" t="str">
        <f t="shared" si="4"/>
        <v/>
      </c>
    </row>
    <row r="13" ht="15.75" customHeight="1">
      <c r="A13" s="132"/>
      <c r="B13" s="131"/>
      <c r="C13" s="117" t="s">
        <v>65</v>
      </c>
      <c r="D13" s="118" t="str">
        <f>IFERROR(AVERAGEIF('Folha de Pagamento'!A:A,A13,'Folha de Pagamento'!I:I),"")</f>
        <v/>
      </c>
      <c r="E13" s="119">
        <v>1.0</v>
      </c>
      <c r="F13" s="120" t="str">
        <f>VLOOKUP(A13,Jobmatch!A:G,3,0)</f>
        <v>#N/A</v>
      </c>
      <c r="G13" s="134" t="str">
        <f>VLOOKUP(A13,Jobmatch!A:H,4,0)</f>
        <v>#N/A</v>
      </c>
      <c r="H13" s="134" t="str">
        <f>VLOOKUP(A13,Jobmatch!A:H,5,0)</f>
        <v>#N/A</v>
      </c>
      <c r="I13" s="117" t="str">
        <f>VLOOKUP(A13,Jobmatch!A:H,6,0)</f>
        <v>#N/A</v>
      </c>
      <c r="J13" s="122" t="str">
        <f>VLOOKUP(A13,Jobmatch!A:H,7,0)</f>
        <v>#N/A</v>
      </c>
      <c r="K13" s="123" t="str">
        <f t="shared" si="1"/>
        <v>#N/A</v>
      </c>
      <c r="L13" s="121">
        <f>COUNTIF('Folha de Pagamento'!A:A,A13)</f>
        <v>0</v>
      </c>
      <c r="M13" s="124" t="str">
        <f>IFERROR(VLOOKUP(K13,'C-01'!$D:$L,4,0),"")</f>
        <v/>
      </c>
      <c r="N13" s="125" t="str">
        <f>IFERROR(VLOOKUP(K13,'C-01'!$D:$L,5,0),"")</f>
        <v/>
      </c>
      <c r="O13" s="125" t="str">
        <f>IFERROR(VLOOKUP(K13,'C-01'!$D:$L,6,0),"")</f>
        <v/>
      </c>
      <c r="P13" s="144">
        <v>17.0</v>
      </c>
      <c r="Q13" s="145">
        <v>7999.87</v>
      </c>
      <c r="R13" s="146">
        <f t="shared" si="2"/>
        <v>9599.844</v>
      </c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50" t="s">
        <v>86</v>
      </c>
      <c r="AD13" s="148">
        <v>2488.35</v>
      </c>
      <c r="AE13" s="146"/>
      <c r="AF13" s="146">
        <f t="shared" si="5"/>
        <v>2617.24653</v>
      </c>
      <c r="AG13" s="146"/>
      <c r="AH13" s="146"/>
      <c r="AI13" s="146"/>
      <c r="AJ13" s="146"/>
      <c r="AK13" s="146"/>
      <c r="AL13" s="146"/>
      <c r="AM13" s="146"/>
      <c r="AN13" s="146"/>
      <c r="AO13" s="146"/>
      <c r="AP13" s="147" t="str">
        <f>IFERROR(VLOOKUP(K13,'C-01'!$D:$L,8,0),"")</f>
        <v/>
      </c>
      <c r="AQ13" s="124" t="str">
        <f>IFERROR(VLOOKUP(K13,'C-01'!$D:$L,9,0),"")</f>
        <v/>
      </c>
      <c r="AR13" s="126" t="str">
        <f>IFS('Painel Geral'!$B$5="Mediana",IFERROR(IF(OR(D13="",Q13=0,Q13=""),"",($D13/$Q13)),""),'Painel Geral'!$B$5="Menor Salário",IFERROR(IF(OR(D13="",Q13=0,Q13=""),"",($D13/$M13)),""),'Painel Geral'!$B$5="1º Quartil",IFERROR(IF(OR(D13="",Q13=0,Q13=""),"",($D13/$N13)),""), 'Painel Geral'!$B$5="Média",IFERROR(IF(OR(D13="",Q13=0,Q13=""),"",($D13/$O13)),""),'Painel Geral'!$B$5="3º Quartil",IFERROR(IF(OR(D13="",Q13=0,Q13=""),"",($D13/$AP13)),""),'Painel Geral'!$B$5="Maior Salário",IFERROR(IF(OR(D13="",Q13=0,Q13=""),"",($D13/$AQ13)),""))</f>
        <v/>
      </c>
      <c r="AS13" s="127" t="str">
        <f t="shared" si="3"/>
        <v/>
      </c>
      <c r="AT13" s="128" t="str">
        <f>IFERROR(VLOOKUP($K13,'C-02'!$D:$L,4,0),"")</f>
        <v/>
      </c>
      <c r="AU13" s="128" t="str">
        <f>IFERROR(VLOOKUP($K13,'C-02'!$D:$L,5,0),"")</f>
        <v/>
      </c>
      <c r="AV13" s="128" t="str">
        <f>IFERROR(VLOOKUP($K13,'C-02'!$D:$L,6,0),"")</f>
        <v/>
      </c>
      <c r="AW13" s="128" t="str">
        <f>IFERROR(VLOOKUP($K13,'C-02'!$D:$L,7,0),"")</f>
        <v/>
      </c>
      <c r="AX13" s="128" t="str">
        <f>IFERROR(VLOOKUP($K13,'C-02'!$D:$L,8,0),"")</f>
        <v/>
      </c>
      <c r="AY13" s="128" t="str">
        <f>IFERROR(VLOOKUP($K13,'C-02'!$D:$L,9,0),"")</f>
        <v/>
      </c>
      <c r="AZ13" s="129" t="str">
        <f>IFS('Painel Geral'!$B$5="Mediana",IFERROR(IF(OR(D13="",AW13=0,AW13=""),"",($D13/$AW13)),""),'Painel Geral'!$B$5="Menor Salário",IFERROR(IF(OR(D13="",AW13=0,AW13=""),"",($D13/$AT13)),""),'Painel Geral'!$B$5="1º Quartil",IFERROR(IF(OR(D13="",AW13=0,AW13=""),"",($D13/$AU13)),""),'Painel Geral'!$B$5="Média",IFERROR(IF(OR(D13="",AW13=0,AW13=""),"",($D13/$AV13)),""),'Painel Geral'!$B$5="3º Quartil",IFERROR(IF(OR(D13="",AW13=0,AW13=""),"",($D13/$AX13)),""), 'Painel Geral'!$B$5="Maior Salário",IFERROR(IF(OR(D13="",AW13=0,AW13=""),"",($D13/$AY13)),""))</f>
        <v/>
      </c>
      <c r="BA13" s="130" t="str">
        <f t="shared" si="4"/>
        <v/>
      </c>
    </row>
    <row r="14" ht="15.75" customHeight="1">
      <c r="A14" s="132"/>
      <c r="B14" s="131"/>
      <c r="C14" s="117" t="s">
        <v>43</v>
      </c>
      <c r="D14" s="118" t="str">
        <f>IFERROR(AVERAGEIF('Folha de Pagamento'!A:A,A14,'Folha de Pagamento'!I:I),"")</f>
        <v/>
      </c>
      <c r="E14" s="119">
        <v>1.0</v>
      </c>
      <c r="F14" s="120" t="str">
        <f>VLOOKUP(A14,Jobmatch!A:G,3,0)</f>
        <v>#N/A</v>
      </c>
      <c r="G14" s="134" t="str">
        <f>VLOOKUP(A14,Jobmatch!A:H,4,0)</f>
        <v>#N/A</v>
      </c>
      <c r="H14" s="134" t="str">
        <f>VLOOKUP(A14,Jobmatch!A:H,5,0)</f>
        <v>#N/A</v>
      </c>
      <c r="I14" s="117" t="str">
        <f>VLOOKUP(A14,Jobmatch!A:H,6,0)</f>
        <v>#N/A</v>
      </c>
      <c r="J14" s="122" t="str">
        <f>VLOOKUP(A14,Jobmatch!A:H,7,0)</f>
        <v>#N/A</v>
      </c>
      <c r="K14" s="123" t="str">
        <f t="shared" si="1"/>
        <v>#N/A</v>
      </c>
      <c r="L14" s="121">
        <f>COUNTIF('Folha de Pagamento'!A:A,A14)</f>
        <v>0</v>
      </c>
      <c r="M14" s="124" t="str">
        <f>IFERROR(VLOOKUP(K14,'C-01'!$D:$L,4,0),"")</f>
        <v/>
      </c>
      <c r="N14" s="125" t="str">
        <f>IFERROR(VLOOKUP(K14,'C-01'!$D:$L,5,0),"")</f>
        <v/>
      </c>
      <c r="O14" s="125" t="str">
        <f>IFERROR(VLOOKUP(K14,'C-01'!$D:$L,6,0),"")</f>
        <v/>
      </c>
      <c r="P14" s="144">
        <v>18.0</v>
      </c>
      <c r="Q14" s="145">
        <v>8929.22</v>
      </c>
      <c r="R14" s="146">
        <f t="shared" si="2"/>
        <v>10715.064</v>
      </c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 t="str">
        <f>IFERROR(VLOOKUP(K14,'C-01'!$D:$L,8,0),"")</f>
        <v/>
      </c>
      <c r="AQ14" s="124" t="str">
        <f>IFERROR(VLOOKUP(K14,'C-01'!$D:$L,9,0),"")</f>
        <v/>
      </c>
      <c r="AR14" s="126" t="str">
        <f>IFS('Painel Geral'!$B$5="Mediana",IFERROR(IF(OR(D14="",Q14=0,Q14=""),"",($D14/$Q14)),""),'Painel Geral'!$B$5="Menor Salário",IFERROR(IF(OR(D14="",Q14=0,Q14=""),"",($D14/$M14)),""),'Painel Geral'!$B$5="1º Quartil",IFERROR(IF(OR(D14="",Q14=0,Q14=""),"",($D14/$N14)),""), 'Painel Geral'!$B$5="Média",IFERROR(IF(OR(D14="",Q14=0,Q14=""),"",($D14/$O14)),""),'Painel Geral'!$B$5="3º Quartil",IFERROR(IF(OR(D14="",Q14=0,Q14=""),"",($D14/$AP14)),""),'Painel Geral'!$B$5="Maior Salário",IFERROR(IF(OR(D14="",Q14=0,Q14=""),"",($D14/$AQ14)),""))</f>
        <v/>
      </c>
      <c r="AS14" s="127" t="str">
        <f t="shared" si="3"/>
        <v/>
      </c>
      <c r="AT14" s="128" t="str">
        <f>IFERROR(VLOOKUP($K14,'C-02'!$D:$L,4,0),"")</f>
        <v/>
      </c>
      <c r="AU14" s="128" t="str">
        <f>IFERROR(VLOOKUP($K14,'C-02'!$D:$L,5,0),"")</f>
        <v/>
      </c>
      <c r="AV14" s="128" t="str">
        <f>IFERROR(VLOOKUP($K14,'C-02'!$D:$L,6,0),"")</f>
        <v/>
      </c>
      <c r="AW14" s="128" t="str">
        <f>IFERROR(VLOOKUP($K14,'C-02'!$D:$L,7,0),"")</f>
        <v/>
      </c>
      <c r="AX14" s="128" t="str">
        <f>IFERROR(VLOOKUP($K14,'C-02'!$D:$L,8,0),"")</f>
        <v/>
      </c>
      <c r="AY14" s="128" t="str">
        <f>IFERROR(VLOOKUP($K14,'C-02'!$D:$L,9,0),"")</f>
        <v/>
      </c>
      <c r="AZ14" s="129" t="str">
        <f>IFS('Painel Geral'!$B$5="Mediana",IFERROR(IF(OR(D14="",AW14=0,AW14=""),"",($D14/$AW14)),""),'Painel Geral'!$B$5="Menor Salário",IFERROR(IF(OR(D14="",AW14=0,AW14=""),"",($D14/$AT14)),""),'Painel Geral'!$B$5="1º Quartil",IFERROR(IF(OR(D14="",AW14=0,AW14=""),"",($D14/$AU14)),""),'Painel Geral'!$B$5="Média",IFERROR(IF(OR(D14="",AW14=0,AW14=""),"",($D14/$AV14)),""),'Painel Geral'!$B$5="3º Quartil",IFERROR(IF(OR(D14="",AW14=0,AW14=""),"",($D14/$AX14)),""), 'Painel Geral'!$B$5="Maior Salário",IFERROR(IF(OR(D14="",AW14=0,AW14=""),"",($D14/$AY14)),""))</f>
        <v/>
      </c>
      <c r="BA14" s="130" t="str">
        <f t="shared" si="4"/>
        <v/>
      </c>
    </row>
    <row r="15" ht="15.75" customHeight="1">
      <c r="A15" s="156"/>
      <c r="B15" s="157"/>
      <c r="C15" s="158"/>
      <c r="D15" s="159"/>
      <c r="E15" s="160"/>
      <c r="F15" s="161"/>
      <c r="G15" s="162"/>
      <c r="H15" s="162"/>
      <c r="I15" s="158"/>
      <c r="J15" s="163"/>
      <c r="K15" s="164"/>
      <c r="L15" s="162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65"/>
      <c r="AS15" s="164"/>
      <c r="AT15" s="146"/>
      <c r="AU15" s="146"/>
      <c r="AV15" s="146"/>
      <c r="AW15" s="146"/>
      <c r="AX15" s="146"/>
      <c r="AY15" s="146"/>
      <c r="AZ15" s="166"/>
      <c r="BA15" s="164"/>
    </row>
    <row r="16" ht="15.75" customHeight="1">
      <c r="A16" s="156"/>
      <c r="B16" s="157"/>
      <c r="C16" s="158"/>
      <c r="D16" s="159"/>
      <c r="E16" s="160"/>
      <c r="F16" s="161"/>
      <c r="G16" s="162"/>
      <c r="H16" s="162"/>
      <c r="I16" s="158"/>
      <c r="J16" s="163"/>
      <c r="K16" s="164"/>
      <c r="L16" s="162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8" t="s">
        <v>87</v>
      </c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65"/>
      <c r="AS16" s="164"/>
      <c r="AT16" s="146"/>
      <c r="AU16" s="146"/>
      <c r="AV16" s="146"/>
      <c r="AW16" s="146"/>
      <c r="AX16" s="146"/>
      <c r="AY16" s="146"/>
      <c r="AZ16" s="166"/>
      <c r="BA16" s="164"/>
    </row>
    <row r="17" ht="15.75" customHeight="1">
      <c r="A17" s="156"/>
      <c r="B17" s="157"/>
      <c r="C17" s="158"/>
      <c r="D17" s="159"/>
      <c r="E17" s="160"/>
      <c r="F17" s="161"/>
      <c r="G17" s="162"/>
      <c r="H17" s="162"/>
      <c r="I17" s="158"/>
      <c r="J17" s="163"/>
      <c r="K17" s="164"/>
      <c r="L17" s="162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63">
        <v>2024.0</v>
      </c>
      <c r="AC17" s="148" t="s">
        <v>88</v>
      </c>
      <c r="AD17" s="146">
        <v>0.26</v>
      </c>
      <c r="AE17" s="167">
        <f t="shared" ref="AE17:AE28" si="6">1+(AD17/100)</f>
        <v>1.0026</v>
      </c>
      <c r="AF17" s="167">
        <f>AE17</f>
        <v>1.0026</v>
      </c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65"/>
      <c r="AS17" s="164"/>
      <c r="AT17" s="146"/>
      <c r="AU17" s="146"/>
      <c r="AV17" s="146"/>
      <c r="AW17" s="146"/>
      <c r="AX17" s="146"/>
      <c r="AY17" s="146"/>
      <c r="AZ17" s="166"/>
      <c r="BA17" s="164"/>
    </row>
    <row r="18" ht="15.75" customHeight="1">
      <c r="A18" s="156"/>
      <c r="B18" s="157"/>
      <c r="C18" s="158"/>
      <c r="D18" s="159"/>
      <c r="E18" s="160"/>
      <c r="F18" s="161"/>
      <c r="G18" s="162"/>
      <c r="H18" s="162"/>
      <c r="I18" s="158"/>
      <c r="J18" s="163"/>
      <c r="K18" s="164"/>
      <c r="L18" s="162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8" t="s">
        <v>89</v>
      </c>
      <c r="AD18" s="146">
        <v>-0.14</v>
      </c>
      <c r="AE18" s="167">
        <f t="shared" si="6"/>
        <v>0.9986</v>
      </c>
      <c r="AF18" s="167">
        <f t="shared" ref="AF18:AF28" si="7">AF17*AE18</f>
        <v>1.00119636</v>
      </c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65"/>
      <c r="AS18" s="164"/>
      <c r="AT18" s="146"/>
      <c r="AU18" s="146"/>
      <c r="AV18" s="146"/>
      <c r="AW18" s="146"/>
      <c r="AX18" s="146"/>
      <c r="AY18" s="146"/>
      <c r="AZ18" s="166"/>
      <c r="BA18" s="164"/>
    </row>
    <row r="19" ht="15.75" customHeight="1">
      <c r="A19" s="156"/>
      <c r="B19" s="157"/>
      <c r="C19" s="158"/>
      <c r="D19" s="159"/>
      <c r="E19" s="160"/>
      <c r="F19" s="161"/>
      <c r="G19" s="162"/>
      <c r="H19" s="162"/>
      <c r="I19" s="158"/>
      <c r="J19" s="163"/>
      <c r="K19" s="164"/>
      <c r="L19" s="162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8" t="s">
        <v>90</v>
      </c>
      <c r="AD19" s="146">
        <v>0.48</v>
      </c>
      <c r="AE19" s="167">
        <f t="shared" si="6"/>
        <v>1.0048</v>
      </c>
      <c r="AF19" s="167">
        <f t="shared" si="7"/>
        <v>1.006002103</v>
      </c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65"/>
      <c r="AS19" s="164"/>
      <c r="AT19" s="146"/>
      <c r="AU19" s="146"/>
      <c r="AV19" s="146"/>
      <c r="AW19" s="146"/>
      <c r="AX19" s="146"/>
      <c r="AY19" s="146"/>
      <c r="AZ19" s="166"/>
      <c r="BA19" s="164"/>
    </row>
    <row r="20" ht="15.75" customHeight="1">
      <c r="A20" s="156"/>
      <c r="B20" s="157"/>
      <c r="C20" s="158"/>
      <c r="D20" s="159"/>
      <c r="E20" s="160"/>
      <c r="F20" s="161"/>
      <c r="G20" s="162"/>
      <c r="H20" s="162"/>
      <c r="I20" s="158"/>
      <c r="J20" s="163"/>
      <c r="K20" s="164"/>
      <c r="L20" s="162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8" t="s">
        <v>91</v>
      </c>
      <c r="AD20" s="146">
        <v>0.61</v>
      </c>
      <c r="AE20" s="167">
        <f t="shared" si="6"/>
        <v>1.0061</v>
      </c>
      <c r="AF20" s="167">
        <f t="shared" si="7"/>
        <v>1.012138715</v>
      </c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65"/>
      <c r="AS20" s="164"/>
      <c r="AT20" s="146"/>
      <c r="AU20" s="146"/>
      <c r="AV20" s="146"/>
      <c r="AW20" s="146"/>
      <c r="AX20" s="146"/>
      <c r="AY20" s="146"/>
      <c r="AZ20" s="166"/>
      <c r="BA20" s="164"/>
    </row>
    <row r="21" ht="15.75" customHeight="1">
      <c r="A21" s="156"/>
      <c r="B21" s="157"/>
      <c r="C21" s="158"/>
      <c r="D21" s="159"/>
      <c r="E21" s="160"/>
      <c r="F21" s="161"/>
      <c r="G21" s="162"/>
      <c r="H21" s="162"/>
      <c r="I21" s="158"/>
      <c r="J21" s="163"/>
      <c r="K21" s="164"/>
      <c r="L21" s="162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8" t="s">
        <v>92</v>
      </c>
      <c r="AD21" s="146">
        <v>0.33</v>
      </c>
      <c r="AE21" s="167">
        <f t="shared" si="6"/>
        <v>1.0033</v>
      </c>
      <c r="AF21" s="167">
        <f t="shared" si="7"/>
        <v>1.015478773</v>
      </c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65"/>
      <c r="AS21" s="164"/>
      <c r="AT21" s="146"/>
      <c r="AU21" s="146"/>
      <c r="AV21" s="146"/>
      <c r="AW21" s="146"/>
      <c r="AX21" s="146"/>
      <c r="AY21" s="146"/>
      <c r="AZ21" s="166"/>
      <c r="BA21" s="164"/>
    </row>
    <row r="22" ht="15.75" customHeight="1">
      <c r="A22" s="156"/>
      <c r="B22" s="157"/>
      <c r="C22" s="158"/>
      <c r="D22" s="159"/>
      <c r="E22" s="160"/>
      <c r="F22" s="161"/>
      <c r="G22" s="162"/>
      <c r="H22" s="162"/>
      <c r="I22" s="158"/>
      <c r="J22" s="163"/>
      <c r="K22" s="164"/>
      <c r="L22" s="162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8" t="s">
        <v>93</v>
      </c>
      <c r="AD22" s="146">
        <v>0.48</v>
      </c>
      <c r="AE22" s="167">
        <f t="shared" si="6"/>
        <v>1.0048</v>
      </c>
      <c r="AF22" s="167">
        <f t="shared" si="7"/>
        <v>1.020353071</v>
      </c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65"/>
      <c r="AS22" s="164"/>
      <c r="AT22" s="146"/>
      <c r="AU22" s="146"/>
      <c r="AV22" s="146"/>
      <c r="AW22" s="146"/>
      <c r="AX22" s="146"/>
      <c r="AY22" s="146"/>
      <c r="AZ22" s="166"/>
      <c r="BA22" s="164"/>
    </row>
    <row r="23" ht="15.75" customHeight="1">
      <c r="A23" s="156"/>
      <c r="B23" s="157"/>
      <c r="C23" s="158"/>
      <c r="D23" s="159"/>
      <c r="E23" s="160"/>
      <c r="F23" s="161"/>
      <c r="G23" s="162"/>
      <c r="H23" s="162"/>
      <c r="I23" s="158"/>
      <c r="J23" s="163"/>
      <c r="K23" s="164"/>
      <c r="L23" s="162"/>
      <c r="M23" s="146"/>
      <c r="N23" s="146"/>
      <c r="O23" s="146"/>
      <c r="P23" s="146"/>
      <c r="Q23" s="146"/>
      <c r="R23" s="146"/>
      <c r="S23" s="146"/>
      <c r="T23" s="146"/>
      <c r="U23" s="146">
        <v>1832.0673120000001</v>
      </c>
      <c r="V23" s="146"/>
      <c r="W23" s="146"/>
      <c r="X23" s="146"/>
      <c r="Y23" s="146"/>
      <c r="Z23" s="146"/>
      <c r="AA23" s="146"/>
      <c r="AB23" s="163">
        <v>2025.0</v>
      </c>
      <c r="AC23" s="148" t="s">
        <v>94</v>
      </c>
      <c r="AD23" s="148">
        <v>0.0</v>
      </c>
      <c r="AE23" s="167">
        <f t="shared" si="6"/>
        <v>1</v>
      </c>
      <c r="AF23" s="167">
        <f t="shared" si="7"/>
        <v>1.020353071</v>
      </c>
      <c r="AG23" s="148"/>
      <c r="AH23" s="148"/>
      <c r="AI23" s="148"/>
      <c r="AJ23" s="148"/>
      <c r="AK23" s="148"/>
      <c r="AL23" s="148"/>
      <c r="AM23" s="148"/>
      <c r="AN23" s="148"/>
      <c r="AO23" s="146"/>
      <c r="AP23" s="146"/>
      <c r="AQ23" s="146"/>
      <c r="AR23" s="165"/>
      <c r="AS23" s="164"/>
      <c r="AT23" s="146"/>
      <c r="AU23" s="146"/>
      <c r="AV23" s="146"/>
      <c r="AW23" s="146"/>
      <c r="AX23" s="146"/>
      <c r="AY23" s="146"/>
      <c r="AZ23" s="166"/>
      <c r="BA23" s="164"/>
    </row>
    <row r="24" ht="15.75" customHeight="1">
      <c r="A24" s="156"/>
      <c r="B24" s="157"/>
      <c r="C24" s="158"/>
      <c r="D24" s="159"/>
      <c r="E24" s="160"/>
      <c r="F24" s="161"/>
      <c r="G24" s="162"/>
      <c r="H24" s="162"/>
      <c r="I24" s="158"/>
      <c r="J24" s="163"/>
      <c r="K24" s="164"/>
      <c r="L24" s="162"/>
      <c r="M24" s="146"/>
      <c r="N24" s="146"/>
      <c r="O24" s="146"/>
      <c r="P24" s="146"/>
      <c r="Q24" s="146"/>
      <c r="R24" s="146"/>
      <c r="S24" s="146"/>
      <c r="T24" s="146"/>
      <c r="U24" s="168">
        <v>0.8</v>
      </c>
      <c r="V24" s="148" t="s">
        <v>75</v>
      </c>
      <c r="W24" s="168">
        <v>1.0</v>
      </c>
      <c r="X24" s="146"/>
      <c r="Y24" s="146"/>
      <c r="Z24" s="146"/>
      <c r="AA24" s="146"/>
      <c r="AB24" s="148"/>
      <c r="AC24" s="148" t="s">
        <v>95</v>
      </c>
      <c r="AD24" s="148">
        <v>1.48</v>
      </c>
      <c r="AE24" s="167">
        <f t="shared" si="6"/>
        <v>1.0148</v>
      </c>
      <c r="AF24" s="167">
        <f t="shared" si="7"/>
        <v>1.035454297</v>
      </c>
      <c r="AL24" s="146"/>
      <c r="AM24" s="146"/>
      <c r="AN24" s="146"/>
      <c r="AO24" s="146"/>
      <c r="AP24" s="146"/>
      <c r="AQ24" s="146"/>
      <c r="AR24" s="165"/>
      <c r="AS24" s="164"/>
      <c r="AT24" s="146"/>
      <c r="AU24" s="146"/>
      <c r="AV24" s="146"/>
      <c r="AW24" s="146"/>
      <c r="AX24" s="146"/>
      <c r="AY24" s="146"/>
      <c r="AZ24" s="166"/>
      <c r="BA24" s="164"/>
    </row>
    <row r="25" ht="15.75" customHeight="1">
      <c r="A25" s="156"/>
      <c r="B25" s="157"/>
      <c r="C25" s="158"/>
      <c r="D25" s="159"/>
      <c r="E25" s="160"/>
      <c r="F25" s="161"/>
      <c r="G25" s="162"/>
      <c r="H25" s="162"/>
      <c r="I25" s="158"/>
      <c r="J25" s="163"/>
      <c r="K25" s="164"/>
      <c r="L25" s="162"/>
      <c r="M25" s="146"/>
      <c r="N25" s="146"/>
      <c r="O25" s="146"/>
      <c r="P25" s="146"/>
      <c r="Q25" s="146"/>
      <c r="R25" s="146"/>
      <c r="S25" s="146"/>
      <c r="T25" s="146"/>
      <c r="U25" s="146">
        <f>W25*0.8</f>
        <v>1852.8</v>
      </c>
      <c r="V25" s="160">
        <v>10.0</v>
      </c>
      <c r="W25" s="146">
        <f t="shared" ref="W25:W33" si="8">23056-5181*V25+393*V25*V25-8.23*V25*V25*V25</f>
        <v>2316</v>
      </c>
      <c r="X25" s="146"/>
      <c r="Y25" s="146"/>
      <c r="Z25" s="146"/>
      <c r="AA25" s="146"/>
      <c r="AB25" s="146"/>
      <c r="AC25" s="148" t="s">
        <v>96</v>
      </c>
      <c r="AD25" s="148">
        <v>0.51</v>
      </c>
      <c r="AE25" s="167">
        <f t="shared" si="6"/>
        <v>1.0051</v>
      </c>
      <c r="AF25" s="167">
        <f t="shared" si="7"/>
        <v>1.040735114</v>
      </c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65"/>
      <c r="AS25" s="164"/>
      <c r="AT25" s="146"/>
      <c r="AU25" s="146"/>
      <c r="AV25" s="146"/>
      <c r="AW25" s="146"/>
      <c r="AX25" s="146"/>
      <c r="AY25" s="146"/>
      <c r="AZ25" s="166"/>
      <c r="BA25" s="164"/>
    </row>
    <row r="26" ht="15.75" customHeight="1">
      <c r="A26" s="156"/>
      <c r="B26" s="157"/>
      <c r="C26" s="158"/>
      <c r="D26" s="159"/>
      <c r="E26" s="160"/>
      <c r="F26" s="161"/>
      <c r="G26" s="162"/>
      <c r="H26" s="162"/>
      <c r="I26" s="158"/>
      <c r="J26" s="163"/>
      <c r="K26" s="164"/>
      <c r="L26" s="162"/>
      <c r="M26" s="146"/>
      <c r="N26" s="146"/>
      <c r="O26" s="146"/>
      <c r="P26" s="146"/>
      <c r="Q26" s="146"/>
      <c r="R26" s="146"/>
      <c r="S26" s="146"/>
      <c r="T26" s="146"/>
      <c r="U26" s="146"/>
      <c r="V26" s="160">
        <v>11.0</v>
      </c>
      <c r="W26" s="146">
        <f t="shared" si="8"/>
        <v>2663.87</v>
      </c>
      <c r="X26" s="166">
        <f t="shared" ref="X26:X33" si="9">(W26-W25)/W25</f>
        <v>0.1502029361</v>
      </c>
      <c r="Y26" s="146"/>
      <c r="Z26" s="146"/>
      <c r="AA26" s="146"/>
      <c r="AB26" s="146"/>
      <c r="AC26" s="148" t="s">
        <v>97</v>
      </c>
      <c r="AD26" s="148">
        <v>0.48</v>
      </c>
      <c r="AE26" s="167">
        <f t="shared" si="6"/>
        <v>1.0048</v>
      </c>
      <c r="AF26" s="167">
        <f t="shared" si="7"/>
        <v>1.045730642</v>
      </c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65"/>
      <c r="AS26" s="164"/>
      <c r="AT26" s="146"/>
      <c r="AU26" s="146"/>
      <c r="AV26" s="146"/>
      <c r="AW26" s="146"/>
      <c r="AX26" s="146"/>
      <c r="AY26" s="146"/>
      <c r="AZ26" s="166"/>
      <c r="BA26" s="164"/>
    </row>
    <row r="27" ht="15.75" customHeight="1">
      <c r="A27" s="156"/>
      <c r="B27" s="157"/>
      <c r="C27" s="158"/>
      <c r="D27" s="159"/>
      <c r="E27" s="160"/>
      <c r="F27" s="161"/>
      <c r="G27" s="162"/>
      <c r="H27" s="162"/>
      <c r="I27" s="158"/>
      <c r="J27" s="163"/>
      <c r="K27" s="164"/>
      <c r="L27" s="162"/>
      <c r="M27" s="146"/>
      <c r="N27" s="146"/>
      <c r="O27" s="146"/>
      <c r="P27" s="146"/>
      <c r="Q27" s="146"/>
      <c r="R27" s="146"/>
      <c r="S27" s="146"/>
      <c r="T27" s="146"/>
      <c r="U27" s="146"/>
      <c r="V27" s="160">
        <v>12.0</v>
      </c>
      <c r="W27" s="146">
        <f t="shared" si="8"/>
        <v>3254.56</v>
      </c>
      <c r="X27" s="166">
        <f t="shared" si="9"/>
        <v>0.2217413012</v>
      </c>
      <c r="Y27" s="146"/>
      <c r="Z27" s="146"/>
      <c r="AA27" s="146"/>
      <c r="AB27" s="146"/>
      <c r="AC27" s="148" t="s">
        <v>98</v>
      </c>
      <c r="AD27" s="148">
        <v>0.35</v>
      </c>
      <c r="AE27" s="167">
        <f t="shared" si="6"/>
        <v>1.0035</v>
      </c>
      <c r="AF27" s="167">
        <f t="shared" si="7"/>
        <v>1.049390699</v>
      </c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65"/>
      <c r="AS27" s="164"/>
      <c r="AT27" s="146"/>
      <c r="AU27" s="146"/>
      <c r="AV27" s="146"/>
      <c r="AW27" s="146"/>
      <c r="AX27" s="146"/>
      <c r="AY27" s="146"/>
      <c r="AZ27" s="166"/>
      <c r="BA27" s="164"/>
    </row>
    <row r="28" ht="15.75" customHeight="1">
      <c r="A28" s="156"/>
      <c r="B28" s="157"/>
      <c r="C28" s="158"/>
      <c r="D28" s="159"/>
      <c r="E28" s="160"/>
      <c r="F28" s="161"/>
      <c r="G28" s="162"/>
      <c r="H28" s="162"/>
      <c r="I28" s="158"/>
      <c r="J28" s="163"/>
      <c r="K28" s="164"/>
      <c r="L28" s="162"/>
      <c r="M28" s="146"/>
      <c r="N28" s="146"/>
      <c r="O28" s="146"/>
      <c r="P28" s="146"/>
      <c r="Q28" s="146"/>
      <c r="R28" s="146"/>
      <c r="S28" s="146"/>
      <c r="T28" s="146"/>
      <c r="U28" s="146"/>
      <c r="V28" s="160">
        <v>13.0</v>
      </c>
      <c r="W28" s="146">
        <f t="shared" si="8"/>
        <v>4038.69</v>
      </c>
      <c r="X28" s="166">
        <f t="shared" si="9"/>
        <v>0.2409327221</v>
      </c>
      <c r="Y28" s="146"/>
      <c r="Z28" s="146"/>
      <c r="AA28" s="146"/>
      <c r="AB28" s="146"/>
      <c r="AC28" s="148" t="s">
        <v>99</v>
      </c>
      <c r="AD28" s="148">
        <v>0.23</v>
      </c>
      <c r="AE28" s="167">
        <f t="shared" si="6"/>
        <v>1.0023</v>
      </c>
      <c r="AF28" s="167">
        <f t="shared" si="7"/>
        <v>1.051804298</v>
      </c>
      <c r="AG28" s="169">
        <f>AF28-1</f>
        <v>0.05180429799</v>
      </c>
      <c r="AI28" s="148"/>
      <c r="AJ28" s="148"/>
      <c r="AK28" s="148"/>
      <c r="AL28" s="146"/>
      <c r="AM28" s="146"/>
      <c r="AN28" s="146"/>
      <c r="AO28" s="146"/>
      <c r="AP28" s="146"/>
      <c r="AQ28" s="146"/>
      <c r="AR28" s="165"/>
      <c r="AS28" s="164"/>
      <c r="AT28" s="146"/>
      <c r="AU28" s="146"/>
      <c r="AV28" s="146"/>
      <c r="AW28" s="146"/>
      <c r="AX28" s="146"/>
      <c r="AY28" s="146"/>
      <c r="AZ28" s="166"/>
      <c r="BA28" s="164"/>
    </row>
    <row r="29" ht="15.75" customHeight="1">
      <c r="A29" s="156"/>
      <c r="B29" s="157"/>
      <c r="C29" s="158"/>
      <c r="D29" s="159"/>
      <c r="E29" s="160"/>
      <c r="F29" s="161"/>
      <c r="G29" s="162"/>
      <c r="H29" s="162"/>
      <c r="I29" s="158"/>
      <c r="J29" s="163"/>
      <c r="K29" s="164"/>
      <c r="L29" s="162"/>
      <c r="M29" s="146"/>
      <c r="N29" s="146"/>
      <c r="O29" s="146"/>
      <c r="P29" s="146"/>
      <c r="Q29" s="146"/>
      <c r="R29" s="146"/>
      <c r="S29" s="146"/>
      <c r="T29" s="146"/>
      <c r="U29" s="146"/>
      <c r="V29" s="160">
        <v>14.0</v>
      </c>
      <c r="W29" s="146">
        <f t="shared" si="8"/>
        <v>4966.88</v>
      </c>
      <c r="X29" s="166">
        <f t="shared" si="9"/>
        <v>0.2298245223</v>
      </c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65"/>
      <c r="AS29" s="164"/>
      <c r="AT29" s="146"/>
      <c r="AU29" s="146"/>
      <c r="AV29" s="146"/>
      <c r="AW29" s="146"/>
      <c r="AX29" s="146"/>
      <c r="AY29" s="146"/>
      <c r="AZ29" s="166"/>
      <c r="BA29" s="164"/>
    </row>
    <row r="30" ht="15.75" customHeight="1">
      <c r="A30" s="156"/>
      <c r="B30" s="157"/>
      <c r="C30" s="158"/>
      <c r="D30" s="159"/>
      <c r="E30" s="160"/>
      <c r="F30" s="161"/>
      <c r="G30" s="162"/>
      <c r="H30" s="162"/>
      <c r="I30" s="158"/>
      <c r="J30" s="163"/>
      <c r="K30" s="164"/>
      <c r="L30" s="162"/>
      <c r="M30" s="146"/>
      <c r="N30" s="146"/>
      <c r="O30" s="146"/>
      <c r="P30" s="146"/>
      <c r="Q30" s="146"/>
      <c r="R30" s="146"/>
      <c r="S30" s="146"/>
      <c r="T30" s="146"/>
      <c r="U30" s="146"/>
      <c r="V30" s="160">
        <v>15.0</v>
      </c>
      <c r="W30" s="146">
        <f t="shared" si="8"/>
        <v>5989.75</v>
      </c>
      <c r="X30" s="166">
        <f t="shared" si="9"/>
        <v>0.2059381342</v>
      </c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65"/>
      <c r="AS30" s="164"/>
      <c r="AT30" s="146"/>
      <c r="AU30" s="146"/>
      <c r="AV30" s="146"/>
      <c r="AW30" s="146"/>
      <c r="AX30" s="146"/>
      <c r="AY30" s="146"/>
      <c r="AZ30" s="166"/>
      <c r="BA30" s="164"/>
    </row>
    <row r="31" ht="15.75" customHeight="1">
      <c r="A31" s="156"/>
      <c r="B31" s="157"/>
      <c r="C31" s="158"/>
      <c r="D31" s="159"/>
      <c r="E31" s="160"/>
      <c r="F31" s="161"/>
      <c r="G31" s="162"/>
      <c r="H31" s="162"/>
      <c r="I31" s="158"/>
      <c r="J31" s="163"/>
      <c r="K31" s="164"/>
      <c r="L31" s="162"/>
      <c r="M31" s="146"/>
      <c r="N31" s="146"/>
      <c r="O31" s="146"/>
      <c r="P31" s="146"/>
      <c r="Q31" s="146"/>
      <c r="R31" s="146"/>
      <c r="S31" s="146"/>
      <c r="T31" s="146"/>
      <c r="U31" s="146"/>
      <c r="V31" s="160">
        <v>16.0</v>
      </c>
      <c r="W31" s="146">
        <f t="shared" si="8"/>
        <v>7057.92</v>
      </c>
      <c r="X31" s="166">
        <f t="shared" si="9"/>
        <v>0.1783329855</v>
      </c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65"/>
      <c r="AS31" s="164"/>
      <c r="AT31" s="146"/>
      <c r="AU31" s="146"/>
      <c r="AV31" s="146"/>
      <c r="AW31" s="146"/>
      <c r="AX31" s="146"/>
      <c r="AY31" s="146"/>
      <c r="AZ31" s="166"/>
      <c r="BA31" s="164"/>
    </row>
    <row r="32" ht="15.75" customHeight="1">
      <c r="A32" s="156"/>
      <c r="B32" s="157"/>
      <c r="C32" s="158"/>
      <c r="D32" s="159"/>
      <c r="E32" s="160"/>
      <c r="F32" s="161"/>
      <c r="G32" s="162"/>
      <c r="H32" s="162"/>
      <c r="I32" s="158"/>
      <c r="J32" s="163"/>
      <c r="K32" s="164"/>
      <c r="L32" s="162"/>
      <c r="M32" s="146"/>
      <c r="N32" s="146"/>
      <c r="O32" s="146"/>
      <c r="P32" s="146"/>
      <c r="Q32" s="146"/>
      <c r="R32" s="146"/>
      <c r="S32" s="146"/>
      <c r="T32" s="146"/>
      <c r="U32" s="146"/>
      <c r="V32" s="160">
        <v>17.0</v>
      </c>
      <c r="W32" s="146">
        <f t="shared" si="8"/>
        <v>8122.01</v>
      </c>
      <c r="X32" s="166">
        <f t="shared" si="9"/>
        <v>0.1507653813</v>
      </c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65"/>
      <c r="AS32" s="164"/>
      <c r="AT32" s="146"/>
      <c r="AU32" s="146"/>
      <c r="AV32" s="146"/>
      <c r="AW32" s="146"/>
      <c r="AX32" s="146"/>
      <c r="AY32" s="146"/>
      <c r="AZ32" s="166"/>
      <c r="BA32" s="164"/>
    </row>
    <row r="33" ht="15.75" customHeight="1">
      <c r="A33" s="156"/>
      <c r="B33" s="157"/>
      <c r="C33" s="158"/>
      <c r="D33" s="159"/>
      <c r="E33" s="160"/>
      <c r="F33" s="161"/>
      <c r="G33" s="162"/>
      <c r="H33" s="162"/>
      <c r="I33" s="158"/>
      <c r="J33" s="163"/>
      <c r="K33" s="164"/>
      <c r="L33" s="162"/>
      <c r="M33" s="146"/>
      <c r="N33" s="146"/>
      <c r="O33" s="146"/>
      <c r="P33" s="146"/>
      <c r="Q33" s="146"/>
      <c r="R33" s="146"/>
      <c r="S33" s="146"/>
      <c r="T33" s="146"/>
      <c r="U33" s="146"/>
      <c r="V33" s="160">
        <v>18.0</v>
      </c>
      <c r="W33" s="146">
        <f t="shared" si="8"/>
        <v>9132.64</v>
      </c>
      <c r="X33" s="166">
        <f t="shared" si="9"/>
        <v>0.1244310214</v>
      </c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65"/>
      <c r="AS33" s="164"/>
      <c r="AT33" s="146"/>
      <c r="AU33" s="146"/>
      <c r="AV33" s="146"/>
      <c r="AW33" s="146"/>
      <c r="AX33" s="146"/>
      <c r="AY33" s="146"/>
      <c r="AZ33" s="166"/>
      <c r="BA33" s="164"/>
    </row>
    <row r="34" ht="15.75" customHeight="1">
      <c r="A34" s="156"/>
      <c r="B34" s="157"/>
      <c r="C34" s="158"/>
      <c r="D34" s="159"/>
      <c r="E34" s="160"/>
      <c r="F34" s="161"/>
      <c r="G34" s="162"/>
      <c r="H34" s="162"/>
      <c r="I34" s="158"/>
      <c r="J34" s="163"/>
      <c r="K34" s="164"/>
      <c r="L34" s="162"/>
      <c r="M34" s="146"/>
      <c r="N34" s="146"/>
      <c r="O34" s="146"/>
      <c r="P34" s="146"/>
      <c r="Q34" s="146"/>
      <c r="R34" s="146"/>
      <c r="S34" s="146"/>
      <c r="T34" s="146"/>
      <c r="U34" s="146"/>
      <c r="V34" s="160"/>
      <c r="W34" s="146"/>
      <c r="X34" s="16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65"/>
      <c r="AS34" s="164"/>
      <c r="AT34" s="146"/>
      <c r="AU34" s="146"/>
      <c r="AV34" s="146"/>
      <c r="AW34" s="146"/>
      <c r="AX34" s="146"/>
      <c r="AY34" s="146"/>
      <c r="AZ34" s="166"/>
      <c r="BA34" s="164"/>
    </row>
    <row r="35" ht="15.75" customHeight="1">
      <c r="A35" s="156"/>
      <c r="B35" s="157"/>
      <c r="C35" s="158"/>
      <c r="D35" s="159"/>
      <c r="E35" s="160"/>
      <c r="F35" s="161"/>
      <c r="G35" s="162"/>
      <c r="H35" s="162"/>
      <c r="I35" s="158"/>
      <c r="J35" s="163"/>
      <c r="K35" s="164"/>
      <c r="L35" s="162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65"/>
      <c r="AS35" s="164"/>
      <c r="AT35" s="146"/>
      <c r="AU35" s="146"/>
      <c r="AV35" s="146"/>
      <c r="AW35" s="146"/>
      <c r="AX35" s="146"/>
      <c r="AY35" s="146"/>
      <c r="AZ35" s="166"/>
      <c r="BA35" s="164"/>
    </row>
    <row r="36" ht="15.75" customHeight="1">
      <c r="A36" s="156"/>
      <c r="B36" s="157"/>
      <c r="C36" s="158"/>
      <c r="D36" s="159"/>
      <c r="E36" s="160"/>
      <c r="F36" s="161"/>
      <c r="G36" s="162"/>
      <c r="H36" s="162"/>
      <c r="I36" s="158"/>
      <c r="J36" s="163"/>
      <c r="K36" s="164"/>
      <c r="L36" s="162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65"/>
      <c r="AS36" s="164"/>
      <c r="AT36" s="146"/>
      <c r="AU36" s="146"/>
      <c r="AV36" s="146"/>
      <c r="AW36" s="146"/>
      <c r="AX36" s="146"/>
      <c r="AY36" s="146"/>
      <c r="AZ36" s="166"/>
      <c r="BA36" s="164"/>
    </row>
    <row r="37" ht="15.75" customHeight="1">
      <c r="A37" s="156"/>
      <c r="B37" s="157"/>
      <c r="C37" s="158"/>
      <c r="D37" s="159"/>
      <c r="E37" s="160"/>
      <c r="F37" s="161"/>
      <c r="G37" s="162"/>
      <c r="H37" s="162"/>
      <c r="I37" s="158"/>
      <c r="J37" s="163"/>
      <c r="K37" s="164"/>
      <c r="L37" s="162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65"/>
      <c r="AS37" s="164"/>
      <c r="AT37" s="146"/>
      <c r="AU37" s="146"/>
      <c r="AV37" s="146"/>
      <c r="AW37" s="146"/>
      <c r="AX37" s="146"/>
      <c r="AY37" s="146"/>
      <c r="AZ37" s="166"/>
      <c r="BA37" s="164"/>
    </row>
    <row r="38" ht="15.75" customHeight="1">
      <c r="A38" s="156"/>
      <c r="B38" s="157"/>
      <c r="C38" s="158"/>
      <c r="D38" s="159"/>
      <c r="E38" s="160"/>
      <c r="F38" s="161"/>
      <c r="G38" s="162"/>
      <c r="H38" s="162"/>
      <c r="I38" s="158"/>
      <c r="J38" s="163"/>
      <c r="K38" s="164"/>
      <c r="L38" s="162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65"/>
      <c r="AS38" s="164"/>
      <c r="AT38" s="146"/>
      <c r="AU38" s="146"/>
      <c r="AV38" s="146"/>
      <c r="AW38" s="146"/>
      <c r="AX38" s="146"/>
      <c r="AY38" s="146"/>
      <c r="AZ38" s="166"/>
      <c r="BA38" s="164"/>
    </row>
    <row r="39" ht="15.75" customHeight="1">
      <c r="A39" s="156"/>
      <c r="B39" s="157"/>
      <c r="C39" s="158"/>
      <c r="D39" s="159"/>
      <c r="E39" s="160"/>
      <c r="F39" s="161"/>
      <c r="G39" s="162"/>
      <c r="H39" s="162"/>
      <c r="I39" s="158"/>
      <c r="J39" s="163"/>
      <c r="K39" s="164"/>
      <c r="L39" s="162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65"/>
      <c r="AS39" s="164"/>
      <c r="AT39" s="146"/>
      <c r="AU39" s="146"/>
      <c r="AV39" s="146"/>
      <c r="AW39" s="146"/>
      <c r="AX39" s="146"/>
      <c r="AY39" s="146"/>
      <c r="AZ39" s="166"/>
      <c r="BA39" s="164"/>
    </row>
    <row r="40" ht="15.75" customHeight="1">
      <c r="A40" s="156"/>
      <c r="B40" s="157"/>
      <c r="C40" s="158"/>
      <c r="D40" s="159"/>
      <c r="E40" s="160"/>
      <c r="F40" s="161"/>
      <c r="G40" s="162"/>
      <c r="H40" s="162"/>
      <c r="I40" s="158"/>
      <c r="J40" s="163"/>
      <c r="K40" s="164"/>
      <c r="L40" s="162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65"/>
      <c r="AS40" s="164"/>
      <c r="AT40" s="146"/>
      <c r="AU40" s="146"/>
      <c r="AV40" s="146"/>
      <c r="AW40" s="146"/>
      <c r="AX40" s="146"/>
      <c r="AY40" s="146"/>
      <c r="AZ40" s="166"/>
      <c r="BA40" s="164"/>
    </row>
    <row r="41" ht="15.75" customHeight="1">
      <c r="A41" s="156"/>
      <c r="B41" s="157"/>
      <c r="C41" s="158"/>
      <c r="D41" s="159"/>
      <c r="E41" s="160"/>
      <c r="F41" s="161"/>
      <c r="G41" s="162"/>
      <c r="H41" s="162"/>
      <c r="I41" s="158"/>
      <c r="J41" s="163"/>
      <c r="K41" s="164"/>
      <c r="L41" s="162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65"/>
      <c r="AS41" s="164"/>
      <c r="AT41" s="146"/>
      <c r="AU41" s="146"/>
      <c r="AV41" s="146"/>
      <c r="AW41" s="146"/>
      <c r="AX41" s="146"/>
      <c r="AY41" s="146"/>
      <c r="AZ41" s="166"/>
      <c r="BA41" s="164"/>
    </row>
    <row r="42" ht="15.75" customHeight="1">
      <c r="A42" s="156"/>
      <c r="B42" s="157"/>
      <c r="C42" s="158"/>
      <c r="D42" s="159"/>
      <c r="E42" s="160"/>
      <c r="F42" s="161"/>
      <c r="G42" s="162"/>
      <c r="H42" s="162"/>
      <c r="I42" s="158"/>
      <c r="J42" s="163"/>
      <c r="K42" s="164"/>
      <c r="L42" s="162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65"/>
      <c r="AS42" s="164"/>
      <c r="AT42" s="146"/>
      <c r="AU42" s="146"/>
      <c r="AV42" s="146"/>
      <c r="AW42" s="146"/>
      <c r="AX42" s="146"/>
      <c r="AY42" s="146"/>
      <c r="AZ42" s="166"/>
      <c r="BA42" s="164"/>
    </row>
    <row r="43" ht="15.75" customHeight="1">
      <c r="A43" s="156"/>
      <c r="B43" s="157"/>
      <c r="C43" s="158"/>
      <c r="D43" s="159"/>
      <c r="E43" s="160"/>
      <c r="F43" s="161"/>
      <c r="G43" s="162"/>
      <c r="H43" s="162"/>
      <c r="I43" s="158"/>
      <c r="J43" s="163"/>
      <c r="K43" s="164"/>
      <c r="L43" s="162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65"/>
      <c r="AS43" s="164"/>
      <c r="AT43" s="146"/>
      <c r="AU43" s="146"/>
      <c r="AV43" s="146"/>
      <c r="AW43" s="146"/>
      <c r="AX43" s="146"/>
      <c r="AY43" s="146"/>
      <c r="AZ43" s="166"/>
      <c r="BA43" s="164"/>
    </row>
    <row r="44" ht="15.75" customHeight="1">
      <c r="A44" s="156"/>
      <c r="B44" s="157"/>
      <c r="C44" s="158"/>
      <c r="D44" s="159"/>
      <c r="E44" s="160"/>
      <c r="F44" s="161"/>
      <c r="G44" s="162"/>
      <c r="H44" s="162"/>
      <c r="I44" s="158"/>
      <c r="J44" s="163"/>
      <c r="K44" s="164"/>
      <c r="L44" s="162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65"/>
      <c r="AS44" s="164"/>
      <c r="AT44" s="146"/>
      <c r="AU44" s="146"/>
      <c r="AV44" s="146"/>
      <c r="AW44" s="146"/>
      <c r="AX44" s="146"/>
      <c r="AY44" s="146"/>
      <c r="AZ44" s="166"/>
      <c r="BA44" s="164"/>
    </row>
    <row r="45" ht="15.75" customHeight="1">
      <c r="A45" s="156"/>
      <c r="B45" s="157"/>
      <c r="C45" s="158"/>
      <c r="D45" s="159"/>
      <c r="E45" s="160"/>
      <c r="F45" s="161"/>
      <c r="G45" s="162"/>
      <c r="H45" s="162"/>
      <c r="I45" s="158"/>
      <c r="J45" s="163"/>
      <c r="K45" s="164"/>
      <c r="L45" s="162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65"/>
      <c r="AS45" s="164"/>
      <c r="AT45" s="146"/>
      <c r="AU45" s="146"/>
      <c r="AV45" s="146"/>
      <c r="AW45" s="146"/>
      <c r="AX45" s="146"/>
      <c r="AY45" s="146"/>
      <c r="AZ45" s="166"/>
      <c r="BA45" s="164"/>
    </row>
    <row r="46" ht="15.75" customHeight="1">
      <c r="A46" s="156"/>
      <c r="B46" s="157"/>
      <c r="C46" s="158"/>
      <c r="D46" s="159"/>
      <c r="E46" s="160"/>
      <c r="F46" s="161"/>
      <c r="G46" s="162"/>
      <c r="H46" s="162"/>
      <c r="I46" s="158"/>
      <c r="J46" s="163"/>
      <c r="K46" s="164"/>
      <c r="L46" s="162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65"/>
      <c r="AS46" s="164"/>
      <c r="AT46" s="146"/>
      <c r="AU46" s="146"/>
      <c r="AV46" s="146"/>
      <c r="AW46" s="146"/>
      <c r="AX46" s="146"/>
      <c r="AY46" s="146"/>
      <c r="AZ46" s="166"/>
      <c r="BA46" s="164"/>
    </row>
    <row r="47" ht="15.75" customHeight="1">
      <c r="A47" s="156"/>
      <c r="B47" s="157"/>
      <c r="C47" s="158"/>
      <c r="D47" s="159"/>
      <c r="E47" s="160"/>
      <c r="F47" s="161"/>
      <c r="G47" s="162"/>
      <c r="H47" s="162"/>
      <c r="I47" s="158"/>
      <c r="J47" s="163"/>
      <c r="K47" s="164"/>
      <c r="L47" s="162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65"/>
      <c r="AS47" s="164"/>
      <c r="AT47" s="146"/>
      <c r="AU47" s="146"/>
      <c r="AV47" s="146"/>
      <c r="AW47" s="146"/>
      <c r="AX47" s="146"/>
      <c r="AY47" s="146"/>
      <c r="AZ47" s="166"/>
      <c r="BA47" s="164"/>
    </row>
  </sheetData>
  <autoFilter ref="$C$3:$Q$14">
    <sortState ref="C3:Q14">
      <sortCondition ref="Q3:Q14"/>
    </sortState>
  </autoFilter>
  <customSheetViews>
    <customSheetView guid="{B3136B7F-1AF2-41D2-A6A0-D5C371117022}" filter="1" showAutoFilter="1">
      <autoFilter ref="$A$3:$AS$14"/>
    </customSheetView>
    <customSheetView guid="{9CC14AB5-3CFC-4A92-B1CE-63A67826BEAF}" filter="1" showAutoFilter="1">
      <autoFilter ref="$A$3:$AS$14"/>
    </customSheetView>
    <customSheetView guid="{F5D8333B-E41C-4D3E-BD2D-109338363F36}" filter="1" showAutoFilter="1">
      <autoFilter ref="$B$1:$AS$1"/>
    </customSheetView>
    <customSheetView guid="{81F904FE-28E0-4D74-B51D-7D792BB873D6}" filter="1" showAutoFilter="1">
      <autoFilter ref="$A$3:$AS$14"/>
    </customSheetView>
    <customSheetView guid="{0CE128BF-1F52-4C57-A482-C30D70A769EB}" filter="1" showAutoFilter="1">
      <autoFilter ref="$A$3:$AS$14"/>
    </customSheetView>
    <customSheetView guid="{16267D53-AE4F-493A-9FCA-C37DCDE82F3A}" filter="1" showAutoFilter="1">
      <autoFilter ref="$A$3:$AS$14"/>
    </customSheetView>
    <customSheetView guid="{E2DF9EE9-5351-4C87-95C7-C6BC8ECC27A0}" filter="1" showAutoFilter="1">
      <autoFilter ref="$A$3:$AS$14">
        <filterColumn colId="8">
          <filters>
            <filter val="Líder Técnico"/>
            <filter val="Analista de Requisitos"/>
            <filter val="Analista de Infraestrutura de TI"/>
            <filter val="Desenvolvedor"/>
            <filter val="#N/A"/>
            <filter val="Assistente de Infraestrutura de TI"/>
          </filters>
        </filterColumn>
      </autoFilter>
    </customSheetView>
  </customSheetViews>
  <mergeCells count="1">
    <mergeCell ref="AT1:AY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4.63"/>
    <col customWidth="1" min="2" max="2" width="2.63"/>
    <col customWidth="1" min="3" max="3" width="64.38"/>
    <col customWidth="1" min="4" max="4" width="3.88"/>
    <col customWidth="1" min="5" max="5" width="59.13"/>
  </cols>
  <sheetData>
    <row r="1" ht="21.75" customHeight="1">
      <c r="A1" s="170" t="s">
        <v>46</v>
      </c>
      <c r="B1" s="171"/>
      <c r="C1" s="172" t="s">
        <v>100</v>
      </c>
      <c r="D1" s="171"/>
      <c r="E1" s="173"/>
      <c r="F1" s="171"/>
      <c r="G1" s="171"/>
      <c r="H1" s="171"/>
      <c r="I1" s="171"/>
      <c r="J1" s="171"/>
      <c r="K1" s="171"/>
    </row>
    <row r="2">
      <c r="A2" s="174" t="s">
        <v>101</v>
      </c>
      <c r="B2" s="175"/>
      <c r="C2" s="174" t="s">
        <v>101</v>
      </c>
      <c r="D2" s="175"/>
      <c r="E2" s="176"/>
      <c r="F2" s="177"/>
      <c r="G2" s="177"/>
      <c r="H2" s="177"/>
      <c r="I2" s="177"/>
      <c r="J2" s="177"/>
      <c r="K2" s="177"/>
    </row>
    <row r="3">
      <c r="A3" s="178"/>
      <c r="B3" s="175"/>
      <c r="C3" s="178"/>
      <c r="D3" s="175"/>
      <c r="E3" s="179"/>
      <c r="F3" s="177"/>
      <c r="G3" s="177"/>
      <c r="H3" s="177"/>
      <c r="I3" s="177"/>
      <c r="J3" s="177"/>
      <c r="K3" s="177"/>
    </row>
    <row r="4">
      <c r="A4" s="180" t="s">
        <v>102</v>
      </c>
      <c r="B4" s="175"/>
      <c r="C4" s="180" t="s">
        <v>102</v>
      </c>
      <c r="D4" s="175"/>
      <c r="E4" s="181"/>
      <c r="F4" s="175"/>
      <c r="G4" s="175"/>
      <c r="H4" s="175"/>
      <c r="I4" s="175"/>
      <c r="J4" s="175"/>
      <c r="K4" s="175"/>
    </row>
    <row r="5">
      <c r="A5" s="180" t="s">
        <v>103</v>
      </c>
      <c r="B5" s="175"/>
      <c r="C5" s="180" t="s">
        <v>103</v>
      </c>
      <c r="D5" s="175"/>
      <c r="E5" s="181"/>
      <c r="F5" s="175"/>
      <c r="G5" s="175"/>
      <c r="H5" s="175"/>
      <c r="I5" s="175"/>
      <c r="J5" s="175"/>
      <c r="K5" s="175"/>
    </row>
    <row r="6">
      <c r="A6" s="180" t="s">
        <v>104</v>
      </c>
      <c r="B6" s="175"/>
      <c r="C6" s="180" t="s">
        <v>104</v>
      </c>
      <c r="D6" s="175"/>
      <c r="E6" s="181"/>
      <c r="F6" s="175"/>
      <c r="G6" s="175"/>
      <c r="H6" s="175"/>
      <c r="I6" s="175"/>
      <c r="J6" s="175"/>
      <c r="K6" s="175"/>
    </row>
    <row r="7">
      <c r="A7" s="180" t="s">
        <v>105</v>
      </c>
      <c r="B7" s="175"/>
      <c r="C7" s="180" t="s">
        <v>105</v>
      </c>
      <c r="D7" s="175"/>
      <c r="E7" s="182"/>
      <c r="F7" s="175"/>
      <c r="G7" s="175"/>
      <c r="H7" s="175"/>
      <c r="I7" s="175"/>
      <c r="J7" s="175"/>
      <c r="K7" s="175"/>
    </row>
    <row r="8">
      <c r="A8" s="180" t="s">
        <v>106</v>
      </c>
      <c r="B8" s="175"/>
      <c r="C8" s="180" t="s">
        <v>106</v>
      </c>
      <c r="D8" s="175"/>
      <c r="E8" s="176"/>
      <c r="F8" s="175"/>
      <c r="G8" s="175"/>
      <c r="H8" s="175"/>
      <c r="I8" s="175"/>
      <c r="J8" s="175"/>
      <c r="K8" s="175"/>
    </row>
    <row r="9">
      <c r="A9" s="180" t="s">
        <v>107</v>
      </c>
      <c r="B9" s="175"/>
      <c r="C9" s="180" t="s">
        <v>107</v>
      </c>
      <c r="D9" s="175"/>
      <c r="E9" s="181"/>
      <c r="F9" s="175"/>
      <c r="G9" s="175"/>
      <c r="H9" s="175"/>
      <c r="I9" s="175"/>
      <c r="J9" s="175"/>
      <c r="K9" s="175"/>
    </row>
    <row r="10">
      <c r="A10" s="180"/>
      <c r="B10" s="175"/>
      <c r="C10" s="180"/>
      <c r="D10" s="175"/>
      <c r="E10" s="181"/>
      <c r="F10" s="175"/>
      <c r="G10" s="175"/>
      <c r="H10" s="175"/>
      <c r="I10" s="175"/>
      <c r="J10" s="175"/>
      <c r="K10" s="175"/>
    </row>
    <row r="11">
      <c r="A11" s="180" t="s">
        <v>108</v>
      </c>
      <c r="B11" s="175"/>
      <c r="C11" s="180" t="s">
        <v>108</v>
      </c>
      <c r="D11" s="175"/>
      <c r="E11" s="176"/>
      <c r="F11" s="175"/>
      <c r="G11" s="175"/>
      <c r="H11" s="175"/>
      <c r="I11" s="175"/>
      <c r="J11" s="175"/>
      <c r="K11" s="175"/>
    </row>
    <row r="12">
      <c r="A12" s="180" t="s">
        <v>109</v>
      </c>
      <c r="B12" s="175"/>
      <c r="C12" s="180" t="s">
        <v>109</v>
      </c>
      <c r="D12" s="175"/>
      <c r="E12" s="181"/>
      <c r="F12" s="175"/>
      <c r="G12" s="175"/>
      <c r="H12" s="175"/>
      <c r="I12" s="175"/>
      <c r="J12" s="175"/>
      <c r="K12" s="175"/>
    </row>
    <row r="13">
      <c r="A13" s="180" t="s">
        <v>110</v>
      </c>
      <c r="B13" s="175"/>
      <c r="C13" s="180" t="s">
        <v>110</v>
      </c>
      <c r="D13" s="175"/>
      <c r="E13" s="181"/>
      <c r="F13" s="175"/>
      <c r="G13" s="175"/>
      <c r="H13" s="175"/>
      <c r="I13" s="175"/>
      <c r="J13" s="175"/>
      <c r="K13" s="175"/>
    </row>
    <row r="14">
      <c r="A14" s="180" t="s">
        <v>111</v>
      </c>
      <c r="B14" s="175"/>
      <c r="C14" s="180" t="s">
        <v>111</v>
      </c>
      <c r="D14" s="175"/>
      <c r="E14" s="181"/>
      <c r="F14" s="175"/>
      <c r="G14" s="175"/>
      <c r="H14" s="175"/>
      <c r="I14" s="175"/>
      <c r="J14" s="175"/>
      <c r="K14" s="175"/>
    </row>
    <row r="15">
      <c r="A15" s="180" t="s">
        <v>112</v>
      </c>
      <c r="B15" s="183"/>
      <c r="C15" s="180" t="s">
        <v>113</v>
      </c>
      <c r="D15" s="175"/>
      <c r="E15" s="176"/>
      <c r="F15" s="175"/>
      <c r="G15" s="175"/>
      <c r="H15" s="175"/>
      <c r="I15" s="175"/>
      <c r="J15" s="175"/>
      <c r="K15" s="175"/>
    </row>
    <row r="16">
      <c r="A16" s="180" t="s">
        <v>114</v>
      </c>
      <c r="B16" s="183"/>
      <c r="C16" s="180" t="s">
        <v>114</v>
      </c>
      <c r="D16" s="175"/>
      <c r="E16" s="181"/>
      <c r="F16" s="175"/>
      <c r="G16" s="175"/>
      <c r="H16" s="175"/>
      <c r="I16" s="175"/>
      <c r="J16" s="175"/>
      <c r="K16" s="175"/>
    </row>
    <row r="17">
      <c r="A17" s="180" t="s">
        <v>115</v>
      </c>
      <c r="B17" s="175"/>
      <c r="C17" s="180" t="s">
        <v>115</v>
      </c>
      <c r="D17" s="175"/>
      <c r="E17" s="182"/>
      <c r="F17" s="175"/>
      <c r="G17" s="175"/>
      <c r="H17" s="175"/>
      <c r="I17" s="175"/>
      <c r="J17" s="175"/>
      <c r="K17" s="175"/>
    </row>
    <row r="18">
      <c r="A18" s="180" t="s">
        <v>116</v>
      </c>
      <c r="B18" s="175"/>
      <c r="C18" s="180" t="s">
        <v>116</v>
      </c>
      <c r="D18" s="175"/>
      <c r="E18" s="181"/>
      <c r="F18" s="175"/>
      <c r="G18" s="175"/>
      <c r="H18" s="175"/>
      <c r="I18" s="175"/>
      <c r="J18" s="175"/>
      <c r="K18" s="175"/>
    </row>
    <row r="19">
      <c r="A19" s="180" t="s">
        <v>117</v>
      </c>
      <c r="B19" s="175"/>
      <c r="C19" s="180" t="s">
        <v>117</v>
      </c>
      <c r="D19" s="175"/>
      <c r="E19" s="181"/>
      <c r="F19" s="175"/>
      <c r="G19" s="175"/>
      <c r="H19" s="175"/>
      <c r="I19" s="175"/>
      <c r="J19" s="175"/>
      <c r="K19" s="175"/>
    </row>
    <row r="20">
      <c r="A20" s="184"/>
      <c r="B20" s="175"/>
      <c r="C20" s="178"/>
      <c r="D20" s="175"/>
      <c r="E20" s="181"/>
      <c r="F20" s="175"/>
      <c r="G20" s="175"/>
      <c r="H20" s="175"/>
      <c r="I20" s="175"/>
      <c r="J20" s="175"/>
      <c r="K20" s="175"/>
    </row>
    <row r="21">
      <c r="A21" s="158" t="s">
        <v>118</v>
      </c>
      <c r="B21" s="175"/>
      <c r="C21" s="158" t="s">
        <v>118</v>
      </c>
      <c r="D21" s="175"/>
      <c r="E21" s="185"/>
      <c r="F21" s="175"/>
      <c r="G21" s="175"/>
      <c r="H21" s="175"/>
      <c r="I21" s="175"/>
      <c r="J21" s="175"/>
      <c r="K21" s="175"/>
    </row>
    <row r="22">
      <c r="A22" s="184"/>
      <c r="B22" s="175"/>
      <c r="C22" s="178"/>
      <c r="D22" s="175"/>
      <c r="E22" s="176"/>
      <c r="F22" s="175"/>
      <c r="G22" s="175"/>
      <c r="H22" s="175"/>
      <c r="I22" s="175"/>
      <c r="J22" s="175"/>
      <c r="K22" s="175"/>
    </row>
    <row r="23">
      <c r="A23" s="174" t="s">
        <v>119</v>
      </c>
      <c r="B23" s="175"/>
      <c r="C23" s="174" t="s">
        <v>119</v>
      </c>
      <c r="D23" s="175"/>
      <c r="E23" s="176"/>
      <c r="F23" s="177"/>
      <c r="G23" s="177"/>
      <c r="H23" s="177"/>
      <c r="I23" s="177"/>
      <c r="J23" s="177"/>
      <c r="K23" s="177"/>
    </row>
    <row r="24">
      <c r="B24" s="175"/>
      <c r="C24" s="184"/>
      <c r="D24" s="175"/>
      <c r="E24" s="181"/>
      <c r="F24" s="177"/>
      <c r="G24" s="177"/>
      <c r="H24" s="177"/>
      <c r="I24" s="177"/>
      <c r="J24" s="177"/>
      <c r="K24" s="177"/>
    </row>
    <row r="25">
      <c r="B25" s="175"/>
      <c r="C25" s="184"/>
      <c r="D25" s="175"/>
      <c r="E25" s="181"/>
      <c r="F25" s="177"/>
      <c r="G25" s="177"/>
      <c r="H25" s="177"/>
      <c r="I25" s="177"/>
      <c r="J25" s="177"/>
      <c r="K25" s="177"/>
    </row>
    <row r="26">
      <c r="B26" s="175"/>
      <c r="C26" s="184"/>
      <c r="D26" s="175"/>
      <c r="E26" s="181"/>
      <c r="F26" s="177"/>
      <c r="G26" s="177"/>
      <c r="H26" s="177"/>
      <c r="I26" s="177"/>
      <c r="J26" s="177"/>
      <c r="K26" s="177"/>
    </row>
    <row r="27">
      <c r="B27" s="175"/>
      <c r="C27" s="184"/>
      <c r="D27" s="175"/>
      <c r="E27" s="181"/>
      <c r="F27" s="177"/>
      <c r="G27" s="177"/>
      <c r="H27" s="177"/>
      <c r="I27" s="177"/>
      <c r="J27" s="177"/>
      <c r="K27" s="177"/>
    </row>
    <row r="28">
      <c r="B28" s="177"/>
      <c r="C28" s="184"/>
      <c r="D28" s="186"/>
      <c r="E28" s="181"/>
      <c r="F28" s="177"/>
      <c r="G28" s="177"/>
      <c r="H28" s="177"/>
      <c r="I28" s="177"/>
      <c r="J28" s="177"/>
      <c r="K28" s="177"/>
    </row>
    <row r="29">
      <c r="B29" s="177"/>
      <c r="C29" s="184"/>
      <c r="D29" s="175"/>
      <c r="E29" s="181"/>
      <c r="F29" s="177"/>
      <c r="G29" s="177"/>
      <c r="H29" s="177"/>
      <c r="I29" s="177"/>
      <c r="J29" s="177"/>
      <c r="K29" s="177"/>
    </row>
    <row r="30">
      <c r="B30" s="177"/>
      <c r="C30" s="187"/>
      <c r="D30" s="175"/>
      <c r="E30" s="181"/>
      <c r="F30" s="177"/>
      <c r="G30" s="177"/>
      <c r="H30" s="177"/>
      <c r="I30" s="177"/>
      <c r="J30" s="177"/>
      <c r="K30" s="177"/>
    </row>
    <row r="31">
      <c r="B31" s="177"/>
      <c r="C31" s="184"/>
      <c r="D31" s="175"/>
      <c r="E31" s="181"/>
      <c r="F31" s="177"/>
      <c r="G31" s="177"/>
      <c r="H31" s="177"/>
      <c r="I31" s="177"/>
      <c r="J31" s="177"/>
      <c r="K31" s="177"/>
    </row>
    <row r="32">
      <c r="B32" s="177"/>
      <c r="C32" s="184"/>
      <c r="D32" s="175"/>
      <c r="E32" s="181"/>
      <c r="F32" s="177"/>
      <c r="G32" s="177"/>
      <c r="H32" s="177"/>
      <c r="I32" s="177"/>
      <c r="J32" s="177"/>
      <c r="K32" s="177"/>
    </row>
    <row r="33">
      <c r="B33" s="177"/>
      <c r="C33" s="188"/>
      <c r="D33" s="175"/>
      <c r="E33" s="181"/>
      <c r="F33" s="177"/>
      <c r="G33" s="177"/>
      <c r="H33" s="177"/>
      <c r="I33" s="177"/>
      <c r="J33" s="177"/>
      <c r="K33" s="177"/>
    </row>
    <row r="34">
      <c r="B34" s="177"/>
      <c r="C34" s="188"/>
      <c r="D34" s="175"/>
      <c r="E34" s="181"/>
      <c r="F34" s="177"/>
      <c r="G34" s="177"/>
      <c r="H34" s="177"/>
      <c r="I34" s="177"/>
      <c r="J34" s="177"/>
      <c r="K34" s="177"/>
    </row>
    <row r="35">
      <c r="B35" s="177"/>
      <c r="C35" s="184"/>
      <c r="D35" s="175"/>
      <c r="E35" s="176"/>
      <c r="F35" s="177"/>
      <c r="G35" s="177"/>
      <c r="H35" s="177"/>
      <c r="I35" s="177"/>
      <c r="J35" s="177"/>
      <c r="K35" s="177"/>
    </row>
    <row r="36">
      <c r="B36" s="177"/>
      <c r="C36" s="184"/>
      <c r="D36" s="175"/>
      <c r="E36" s="181"/>
      <c r="F36" s="177"/>
      <c r="G36" s="177"/>
      <c r="H36" s="177"/>
      <c r="I36" s="177"/>
      <c r="J36" s="177"/>
      <c r="K36" s="177"/>
    </row>
    <row r="37">
      <c r="B37" s="177"/>
      <c r="C37" s="184"/>
      <c r="D37" s="175"/>
      <c r="E37" s="181"/>
      <c r="F37" s="177"/>
      <c r="G37" s="177"/>
      <c r="H37" s="177"/>
      <c r="I37" s="177"/>
      <c r="J37" s="177"/>
      <c r="K37" s="177"/>
    </row>
    <row r="38">
      <c r="B38" s="177"/>
      <c r="C38" s="189"/>
      <c r="D38" s="177"/>
      <c r="E38" s="190"/>
      <c r="F38" s="177"/>
      <c r="G38" s="177"/>
      <c r="H38" s="177"/>
      <c r="I38" s="177"/>
      <c r="J38" s="177"/>
      <c r="K38" s="177"/>
    </row>
    <row r="39">
      <c r="A39" s="188"/>
      <c r="B39" s="177"/>
      <c r="C39" s="177"/>
      <c r="D39" s="177"/>
      <c r="E39" s="190"/>
      <c r="F39" s="177"/>
      <c r="G39" s="177"/>
      <c r="H39" s="177"/>
      <c r="I39" s="177"/>
      <c r="J39" s="177"/>
      <c r="K39" s="177"/>
    </row>
    <row r="40">
      <c r="A40" s="188"/>
      <c r="B40" s="177"/>
      <c r="C40" s="189"/>
      <c r="D40" s="177"/>
      <c r="E40" s="190"/>
      <c r="F40" s="177"/>
      <c r="G40" s="177"/>
      <c r="H40" s="177"/>
      <c r="I40" s="177"/>
      <c r="J40" s="177"/>
      <c r="K40" s="177"/>
    </row>
    <row r="41">
      <c r="A41" s="189"/>
      <c r="B41" s="177"/>
      <c r="C41" s="189"/>
      <c r="D41" s="177"/>
      <c r="E41" s="190"/>
      <c r="F41" s="177"/>
      <c r="G41" s="177"/>
      <c r="H41" s="177"/>
      <c r="I41" s="177"/>
      <c r="J41" s="177"/>
      <c r="K41" s="177"/>
    </row>
    <row r="42">
      <c r="A42" s="189"/>
      <c r="B42" s="177"/>
      <c r="C42" s="189"/>
      <c r="D42" s="177"/>
      <c r="E42" s="190"/>
      <c r="F42" s="177"/>
      <c r="G42" s="177"/>
      <c r="H42" s="177"/>
      <c r="I42" s="177"/>
      <c r="J42" s="177"/>
      <c r="K42" s="177"/>
    </row>
    <row r="43">
      <c r="A43" s="189"/>
      <c r="B43" s="177"/>
      <c r="C43" s="189"/>
      <c r="D43" s="177"/>
      <c r="E43" s="190"/>
      <c r="F43" s="177"/>
      <c r="G43" s="177"/>
      <c r="H43" s="177"/>
      <c r="I43" s="177"/>
      <c r="J43" s="177"/>
      <c r="K43" s="177"/>
    </row>
    <row r="44">
      <c r="A44" s="189"/>
      <c r="B44" s="177"/>
      <c r="C44" s="189"/>
      <c r="D44" s="177"/>
      <c r="E44" s="190"/>
      <c r="F44" s="177"/>
      <c r="G44" s="177"/>
      <c r="H44" s="177"/>
      <c r="I44" s="177"/>
      <c r="J44" s="177"/>
      <c r="K44" s="177"/>
    </row>
    <row r="45">
      <c r="A45" s="189"/>
      <c r="B45" s="177"/>
      <c r="C45" s="189"/>
      <c r="D45" s="177"/>
      <c r="E45" s="191"/>
      <c r="F45" s="177"/>
      <c r="G45" s="177"/>
      <c r="H45" s="177"/>
      <c r="I45" s="177"/>
      <c r="J45" s="177"/>
      <c r="K45" s="177"/>
    </row>
    <row r="46">
      <c r="A46" s="189"/>
      <c r="B46" s="177"/>
      <c r="C46" s="189"/>
      <c r="D46" s="177"/>
      <c r="E46" s="190"/>
      <c r="F46" s="177"/>
      <c r="G46" s="177"/>
      <c r="H46" s="177"/>
      <c r="I46" s="177"/>
      <c r="J46" s="177"/>
      <c r="K46" s="177"/>
    </row>
    <row r="47">
      <c r="A47" s="189"/>
      <c r="B47" s="177"/>
      <c r="C47" s="189"/>
      <c r="D47" s="189"/>
      <c r="E47" s="190"/>
      <c r="F47" s="177"/>
      <c r="G47" s="177"/>
      <c r="H47" s="177"/>
      <c r="I47" s="177"/>
      <c r="J47" s="177"/>
      <c r="K47" s="177"/>
    </row>
    <row r="48">
      <c r="A48" s="189"/>
      <c r="B48" s="177"/>
      <c r="C48" s="189"/>
      <c r="D48" s="177"/>
      <c r="E48" s="192"/>
      <c r="F48" s="177"/>
      <c r="G48" s="177"/>
      <c r="H48" s="177"/>
      <c r="I48" s="177"/>
      <c r="J48" s="177"/>
      <c r="K48" s="177"/>
    </row>
    <row r="49">
      <c r="A49" s="189"/>
      <c r="B49" s="177"/>
      <c r="C49" s="189"/>
      <c r="D49" s="189"/>
      <c r="E49" s="192"/>
      <c r="F49" s="177"/>
      <c r="G49" s="177"/>
      <c r="H49" s="177"/>
      <c r="I49" s="177"/>
      <c r="J49" s="177"/>
      <c r="K49" s="177"/>
    </row>
    <row r="50">
      <c r="A50" s="189"/>
      <c r="B50" s="177"/>
      <c r="C50" s="189"/>
      <c r="D50" s="177"/>
      <c r="E50" s="190"/>
      <c r="F50" s="177"/>
      <c r="G50" s="177"/>
      <c r="H50" s="177"/>
      <c r="I50" s="177"/>
      <c r="J50" s="177"/>
      <c r="K50" s="177"/>
    </row>
    <row r="51">
      <c r="A51" s="189"/>
      <c r="B51" s="177"/>
      <c r="C51" s="189"/>
      <c r="D51" s="177"/>
      <c r="E51" s="190"/>
      <c r="F51" s="177"/>
      <c r="G51" s="177"/>
      <c r="H51" s="177"/>
      <c r="I51" s="177"/>
      <c r="J51" s="177"/>
      <c r="K51" s="177"/>
    </row>
    <row r="52">
      <c r="A52" s="189"/>
      <c r="B52" s="177"/>
      <c r="C52" s="189"/>
      <c r="D52" s="177"/>
      <c r="E52" s="190"/>
      <c r="F52" s="177"/>
      <c r="G52" s="177"/>
      <c r="H52" s="177"/>
      <c r="I52" s="177"/>
      <c r="J52" s="177"/>
      <c r="K52" s="177"/>
    </row>
    <row r="53">
      <c r="A53" s="189"/>
      <c r="B53" s="177"/>
      <c r="C53" s="189"/>
      <c r="D53" s="177"/>
      <c r="E53" s="193"/>
      <c r="F53" s="177"/>
      <c r="G53" s="177"/>
      <c r="H53" s="177"/>
      <c r="I53" s="177"/>
      <c r="J53" s="177"/>
      <c r="K53" s="177"/>
    </row>
    <row r="54">
      <c r="A54" s="189"/>
      <c r="B54" s="177"/>
      <c r="C54" s="189"/>
      <c r="D54" s="177"/>
      <c r="E54" s="194"/>
      <c r="F54" s="177"/>
      <c r="G54" s="177"/>
      <c r="H54" s="177"/>
      <c r="I54" s="177"/>
      <c r="J54" s="177"/>
      <c r="K54" s="177"/>
    </row>
    <row r="55">
      <c r="A55" s="189"/>
      <c r="B55" s="177"/>
      <c r="C55" s="189"/>
      <c r="D55" s="177"/>
      <c r="E55" s="193"/>
      <c r="F55" s="177"/>
      <c r="G55" s="177"/>
      <c r="H55" s="177"/>
      <c r="I55" s="177"/>
      <c r="J55" s="177"/>
      <c r="K55" s="177"/>
    </row>
    <row r="56">
      <c r="A56" s="189"/>
      <c r="B56" s="177"/>
      <c r="C56" s="189"/>
      <c r="D56" s="177"/>
      <c r="E56" s="193"/>
      <c r="F56" s="177"/>
      <c r="G56" s="177"/>
      <c r="H56" s="177"/>
      <c r="I56" s="177"/>
      <c r="J56" s="177"/>
      <c r="K56" s="177"/>
    </row>
    <row r="57">
      <c r="A57" s="189"/>
      <c r="B57" s="177"/>
      <c r="C57" s="189"/>
      <c r="D57" s="177"/>
      <c r="E57" s="193"/>
      <c r="F57" s="177"/>
      <c r="G57" s="177"/>
      <c r="H57" s="177"/>
      <c r="I57" s="177"/>
      <c r="J57" s="177"/>
      <c r="K57" s="177"/>
    </row>
    <row r="58">
      <c r="A58" s="189"/>
      <c r="B58" s="177"/>
      <c r="C58" s="189"/>
      <c r="D58" s="177"/>
      <c r="E58" s="193"/>
      <c r="F58" s="177"/>
      <c r="G58" s="177"/>
      <c r="H58" s="177"/>
      <c r="I58" s="177"/>
      <c r="J58" s="177"/>
      <c r="K58" s="177"/>
    </row>
    <row r="59">
      <c r="A59" s="189"/>
      <c r="B59" s="177"/>
      <c r="C59" s="189"/>
      <c r="D59" s="177"/>
      <c r="E59" s="193"/>
      <c r="F59" s="177"/>
      <c r="G59" s="177"/>
      <c r="H59" s="177"/>
      <c r="I59" s="177"/>
      <c r="J59" s="177"/>
      <c r="K59" s="177"/>
    </row>
    <row r="60">
      <c r="A60" s="189"/>
      <c r="B60" s="177"/>
      <c r="C60" s="189"/>
      <c r="D60" s="177"/>
      <c r="E60" s="193"/>
      <c r="F60" s="177"/>
      <c r="G60" s="177"/>
      <c r="H60" s="177"/>
      <c r="I60" s="177"/>
      <c r="J60" s="177"/>
      <c r="K60" s="177"/>
    </row>
    <row r="61">
      <c r="A61" s="189"/>
      <c r="B61" s="177"/>
      <c r="C61" s="189"/>
      <c r="D61" s="177"/>
      <c r="E61" s="193"/>
      <c r="F61" s="177"/>
      <c r="G61" s="177"/>
      <c r="H61" s="177"/>
      <c r="I61" s="177"/>
      <c r="J61" s="177"/>
      <c r="K61" s="177"/>
    </row>
    <row r="62">
      <c r="A62" s="189"/>
      <c r="B62" s="177"/>
      <c r="C62" s="189"/>
      <c r="D62" s="177"/>
      <c r="E62" s="193"/>
      <c r="F62" s="177"/>
      <c r="G62" s="177"/>
      <c r="H62" s="177"/>
      <c r="I62" s="177"/>
      <c r="J62" s="177"/>
      <c r="K62" s="177"/>
    </row>
    <row r="63">
      <c r="A63" s="189"/>
      <c r="B63" s="177"/>
      <c r="C63" s="189"/>
      <c r="D63" s="177"/>
      <c r="E63" s="193"/>
      <c r="F63" s="177"/>
      <c r="G63" s="177"/>
      <c r="H63" s="177"/>
      <c r="I63" s="177"/>
      <c r="J63" s="177"/>
      <c r="K63" s="177"/>
    </row>
    <row r="64">
      <c r="A64" s="189"/>
      <c r="B64" s="177"/>
      <c r="C64" s="189"/>
      <c r="D64" s="177"/>
      <c r="E64" s="193"/>
      <c r="F64" s="177"/>
      <c r="G64" s="177"/>
      <c r="H64" s="177"/>
      <c r="I64" s="177"/>
      <c r="J64" s="177"/>
      <c r="K64" s="177"/>
    </row>
    <row r="65">
      <c r="A65" s="189"/>
      <c r="B65" s="177"/>
      <c r="C65" s="189"/>
      <c r="D65" s="177"/>
      <c r="E65" s="193"/>
      <c r="F65" s="177"/>
      <c r="G65" s="177"/>
      <c r="H65" s="177"/>
      <c r="I65" s="177"/>
      <c r="J65" s="177"/>
      <c r="K65" s="177"/>
    </row>
    <row r="66">
      <c r="A66" s="189"/>
      <c r="B66" s="177"/>
      <c r="C66" s="189"/>
      <c r="D66" s="177"/>
      <c r="E66" s="193"/>
      <c r="F66" s="177"/>
      <c r="G66" s="177"/>
      <c r="H66" s="177"/>
      <c r="I66" s="177"/>
      <c r="J66" s="177"/>
      <c r="K66" s="177"/>
    </row>
    <row r="67">
      <c r="A67" s="189"/>
      <c r="B67" s="177"/>
      <c r="C67" s="189"/>
      <c r="D67" s="177"/>
      <c r="E67" s="193"/>
      <c r="F67" s="177"/>
      <c r="G67" s="177"/>
      <c r="H67" s="177"/>
      <c r="I67" s="177"/>
      <c r="J67" s="177"/>
      <c r="K67" s="177"/>
    </row>
    <row r="68">
      <c r="A68" s="189"/>
      <c r="B68" s="177"/>
      <c r="C68" s="189"/>
      <c r="D68" s="177"/>
      <c r="E68" s="193"/>
      <c r="F68" s="177"/>
      <c r="G68" s="177"/>
      <c r="H68" s="177"/>
      <c r="I68" s="177"/>
      <c r="J68" s="177"/>
      <c r="K68" s="177"/>
    </row>
    <row r="69">
      <c r="A69" s="189"/>
      <c r="B69" s="177"/>
      <c r="C69" s="189"/>
      <c r="D69" s="177"/>
      <c r="E69" s="193"/>
      <c r="F69" s="177"/>
      <c r="G69" s="177"/>
      <c r="H69" s="177"/>
      <c r="I69" s="177"/>
      <c r="J69" s="177"/>
      <c r="K69" s="177"/>
    </row>
    <row r="70">
      <c r="A70" s="189"/>
      <c r="B70" s="177"/>
      <c r="C70" s="189"/>
      <c r="D70" s="177"/>
      <c r="E70" s="193"/>
      <c r="F70" s="177"/>
      <c r="G70" s="177"/>
      <c r="H70" s="177"/>
      <c r="I70" s="177"/>
      <c r="J70" s="177"/>
      <c r="K70" s="177"/>
    </row>
    <row r="71">
      <c r="A71" s="189"/>
      <c r="B71" s="177"/>
      <c r="C71" s="189"/>
      <c r="D71" s="177"/>
      <c r="E71" s="193"/>
      <c r="F71" s="177"/>
      <c r="G71" s="177"/>
      <c r="H71" s="177"/>
      <c r="I71" s="177"/>
      <c r="J71" s="177"/>
      <c r="K71" s="177"/>
    </row>
    <row r="72">
      <c r="A72" s="189"/>
      <c r="B72" s="177"/>
      <c r="C72" s="189"/>
      <c r="D72" s="177"/>
      <c r="E72" s="193"/>
      <c r="F72" s="177"/>
      <c r="G72" s="177"/>
      <c r="H72" s="177"/>
      <c r="I72" s="177"/>
      <c r="J72" s="177"/>
      <c r="K72" s="177"/>
    </row>
    <row r="73">
      <c r="A73" s="189"/>
      <c r="B73" s="177"/>
      <c r="C73" s="189"/>
      <c r="D73" s="177"/>
      <c r="E73" s="193"/>
      <c r="F73" s="177"/>
      <c r="G73" s="177"/>
      <c r="H73" s="177"/>
      <c r="I73" s="177"/>
      <c r="J73" s="177"/>
      <c r="K73" s="177"/>
    </row>
    <row r="74">
      <c r="A74" s="189"/>
      <c r="B74" s="177"/>
      <c r="C74" s="189"/>
      <c r="D74" s="177"/>
      <c r="E74" s="193"/>
      <c r="F74" s="177"/>
      <c r="G74" s="177"/>
      <c r="H74" s="177"/>
      <c r="I74" s="177"/>
      <c r="J74" s="177"/>
      <c r="K74" s="177"/>
    </row>
    <row r="75">
      <c r="A75" s="189"/>
      <c r="B75" s="177"/>
      <c r="C75" s="189"/>
      <c r="D75" s="177"/>
      <c r="E75" s="193"/>
      <c r="F75" s="177"/>
      <c r="G75" s="177"/>
      <c r="H75" s="177"/>
      <c r="I75" s="177"/>
      <c r="J75" s="177"/>
      <c r="K75" s="177"/>
    </row>
    <row r="76">
      <c r="A76" s="189"/>
      <c r="B76" s="177"/>
      <c r="C76" s="189"/>
      <c r="D76" s="177"/>
      <c r="E76" s="193"/>
      <c r="F76" s="177"/>
      <c r="G76" s="177"/>
      <c r="H76" s="177"/>
      <c r="I76" s="177"/>
      <c r="J76" s="177"/>
      <c r="K76" s="177"/>
    </row>
    <row r="77">
      <c r="A77" s="189"/>
      <c r="B77" s="177"/>
      <c r="C77" s="189"/>
      <c r="D77" s="177"/>
      <c r="E77" s="193"/>
      <c r="F77" s="177"/>
      <c r="G77" s="177"/>
      <c r="H77" s="177"/>
      <c r="I77" s="177"/>
      <c r="J77" s="177"/>
      <c r="K77" s="177"/>
    </row>
    <row r="78">
      <c r="A78" s="189"/>
      <c r="B78" s="177"/>
      <c r="C78" s="189"/>
      <c r="D78" s="177"/>
      <c r="E78" s="193"/>
      <c r="F78" s="177"/>
      <c r="G78" s="177"/>
      <c r="H78" s="177"/>
      <c r="I78" s="177"/>
      <c r="J78" s="177"/>
      <c r="K78" s="177"/>
    </row>
    <row r="79">
      <c r="A79" s="189"/>
      <c r="B79" s="177"/>
      <c r="C79" s="189"/>
      <c r="D79" s="177"/>
      <c r="E79" s="193"/>
      <c r="F79" s="177"/>
      <c r="G79" s="177"/>
      <c r="H79" s="177"/>
      <c r="I79" s="177"/>
      <c r="J79" s="177"/>
      <c r="K79" s="177"/>
    </row>
    <row r="80">
      <c r="A80" s="189"/>
      <c r="B80" s="177"/>
      <c r="C80" s="189"/>
      <c r="D80" s="177"/>
      <c r="E80" s="193"/>
      <c r="F80" s="177"/>
      <c r="G80" s="177"/>
      <c r="H80" s="177"/>
      <c r="I80" s="177"/>
      <c r="J80" s="177"/>
      <c r="K80" s="177"/>
    </row>
    <row r="81">
      <c r="A81" s="189"/>
      <c r="B81" s="177"/>
      <c r="C81" s="189"/>
      <c r="D81" s="177"/>
      <c r="E81" s="193"/>
      <c r="F81" s="177"/>
      <c r="G81" s="177"/>
      <c r="H81" s="177"/>
      <c r="I81" s="177"/>
      <c r="J81" s="177"/>
      <c r="K81" s="177"/>
    </row>
    <row r="82">
      <c r="A82" s="189"/>
      <c r="B82" s="177"/>
      <c r="C82" s="189"/>
      <c r="D82" s="177"/>
      <c r="E82" s="193"/>
      <c r="F82" s="177"/>
      <c r="G82" s="177"/>
      <c r="H82" s="177"/>
      <c r="I82" s="177"/>
      <c r="J82" s="177"/>
      <c r="K82" s="177"/>
    </row>
    <row r="83">
      <c r="A83" s="189"/>
      <c r="B83" s="177"/>
      <c r="C83" s="189"/>
      <c r="D83" s="177"/>
      <c r="E83" s="193"/>
      <c r="F83" s="177"/>
      <c r="G83" s="177"/>
      <c r="H83" s="177"/>
      <c r="I83" s="177"/>
      <c r="J83" s="177"/>
      <c r="K83" s="177"/>
    </row>
    <row r="84">
      <c r="A84" s="189"/>
      <c r="B84" s="177"/>
      <c r="C84" s="189"/>
      <c r="D84" s="177"/>
      <c r="E84" s="193"/>
      <c r="F84" s="177"/>
      <c r="G84" s="177"/>
      <c r="H84" s="177"/>
      <c r="I84" s="177"/>
      <c r="J84" s="177"/>
      <c r="K84" s="177"/>
    </row>
    <row r="85">
      <c r="A85" s="189"/>
      <c r="B85" s="177"/>
      <c r="C85" s="189"/>
      <c r="D85" s="177"/>
      <c r="E85" s="193"/>
      <c r="F85" s="177"/>
      <c r="G85" s="177"/>
      <c r="H85" s="177"/>
      <c r="I85" s="177"/>
      <c r="J85" s="177"/>
      <c r="K85" s="177"/>
    </row>
    <row r="86">
      <c r="A86" s="189"/>
      <c r="B86" s="177"/>
      <c r="C86" s="189"/>
      <c r="D86" s="177"/>
      <c r="E86" s="193"/>
      <c r="F86" s="177"/>
      <c r="G86" s="177"/>
      <c r="H86" s="177"/>
      <c r="I86" s="177"/>
      <c r="J86" s="177"/>
      <c r="K86" s="177"/>
    </row>
    <row r="87">
      <c r="A87" s="189"/>
      <c r="B87" s="177"/>
      <c r="C87" s="189"/>
      <c r="D87" s="177"/>
      <c r="E87" s="193"/>
      <c r="F87" s="177"/>
      <c r="G87" s="177"/>
      <c r="H87" s="177"/>
      <c r="I87" s="177"/>
      <c r="J87" s="177"/>
      <c r="K87" s="177"/>
    </row>
    <row r="88">
      <c r="A88" s="189"/>
      <c r="B88" s="177"/>
      <c r="C88" s="189"/>
      <c r="D88" s="177"/>
      <c r="E88" s="193"/>
      <c r="F88" s="177"/>
      <c r="G88" s="177"/>
      <c r="H88" s="177"/>
      <c r="I88" s="177"/>
      <c r="J88" s="177"/>
      <c r="K88" s="177"/>
    </row>
    <row r="89">
      <c r="A89" s="189"/>
      <c r="B89" s="177"/>
      <c r="C89" s="189"/>
      <c r="D89" s="177"/>
      <c r="E89" s="193"/>
      <c r="F89" s="177"/>
      <c r="G89" s="177"/>
      <c r="H89" s="177"/>
      <c r="I89" s="177"/>
      <c r="J89" s="177"/>
      <c r="K89" s="177"/>
    </row>
    <row r="90">
      <c r="A90" s="189"/>
      <c r="B90" s="177"/>
      <c r="C90" s="189"/>
      <c r="D90" s="177"/>
      <c r="E90" s="193"/>
      <c r="F90" s="177"/>
      <c r="G90" s="177"/>
      <c r="H90" s="177"/>
      <c r="I90" s="177"/>
      <c r="J90" s="177"/>
      <c r="K90" s="177"/>
    </row>
    <row r="91">
      <c r="A91" s="189"/>
      <c r="B91" s="177"/>
      <c r="C91" s="189"/>
      <c r="D91" s="177"/>
      <c r="E91" s="193"/>
      <c r="F91" s="177"/>
      <c r="G91" s="177"/>
      <c r="H91" s="177"/>
      <c r="I91" s="177"/>
      <c r="J91" s="177"/>
      <c r="K91" s="177"/>
    </row>
    <row r="92">
      <c r="A92" s="189"/>
      <c r="B92" s="177"/>
      <c r="C92" s="189"/>
      <c r="D92" s="177"/>
      <c r="E92" s="193"/>
      <c r="F92" s="177"/>
      <c r="G92" s="177"/>
      <c r="H92" s="177"/>
      <c r="I92" s="177"/>
      <c r="J92" s="177"/>
      <c r="K92" s="177"/>
    </row>
    <row r="93">
      <c r="A93" s="189"/>
      <c r="B93" s="177"/>
      <c r="C93" s="189"/>
      <c r="D93" s="177"/>
      <c r="E93" s="193"/>
      <c r="F93" s="177"/>
      <c r="G93" s="177"/>
      <c r="H93" s="177"/>
      <c r="I93" s="177"/>
      <c r="J93" s="177"/>
      <c r="K93" s="177"/>
    </row>
    <row r="94">
      <c r="A94" s="189"/>
      <c r="B94" s="177"/>
      <c r="C94" s="189"/>
      <c r="D94" s="177"/>
      <c r="E94" s="193"/>
      <c r="F94" s="177"/>
      <c r="G94" s="177"/>
      <c r="H94" s="177"/>
      <c r="I94" s="177"/>
      <c r="J94" s="177"/>
      <c r="K94" s="177"/>
    </row>
    <row r="95">
      <c r="A95" s="189"/>
      <c r="B95" s="177"/>
      <c r="C95" s="189"/>
      <c r="D95" s="177"/>
      <c r="E95" s="193"/>
      <c r="F95" s="177"/>
      <c r="G95" s="177"/>
      <c r="H95" s="177"/>
      <c r="I95" s="177"/>
      <c r="J95" s="177"/>
      <c r="K95" s="177"/>
    </row>
    <row r="96">
      <c r="A96" s="189"/>
      <c r="B96" s="177"/>
      <c r="C96" s="189"/>
      <c r="D96" s="177"/>
      <c r="E96" s="193"/>
      <c r="F96" s="177"/>
      <c r="G96" s="177"/>
      <c r="H96" s="177"/>
      <c r="I96" s="177"/>
      <c r="J96" s="177"/>
      <c r="K96" s="177"/>
    </row>
    <row r="97">
      <c r="A97" s="189"/>
      <c r="B97" s="177"/>
      <c r="C97" s="189"/>
      <c r="D97" s="177"/>
      <c r="E97" s="193"/>
      <c r="F97" s="177"/>
      <c r="G97" s="177"/>
      <c r="H97" s="177"/>
      <c r="I97" s="177"/>
      <c r="J97" s="177"/>
      <c r="K97" s="177"/>
    </row>
    <row r="98">
      <c r="A98" s="189"/>
      <c r="B98" s="177"/>
      <c r="C98" s="189"/>
      <c r="D98" s="177"/>
      <c r="E98" s="193"/>
      <c r="F98" s="177"/>
      <c r="G98" s="177"/>
      <c r="H98" s="177"/>
      <c r="I98" s="177"/>
      <c r="J98" s="177"/>
      <c r="K98" s="177"/>
    </row>
    <row r="99">
      <c r="A99" s="189"/>
      <c r="B99" s="177"/>
      <c r="C99" s="189"/>
      <c r="D99" s="177"/>
      <c r="E99" s="193"/>
      <c r="F99" s="177"/>
      <c r="G99" s="177"/>
      <c r="H99" s="177"/>
      <c r="I99" s="177"/>
      <c r="J99" s="177"/>
      <c r="K99" s="177"/>
    </row>
    <row r="100">
      <c r="A100" s="189"/>
      <c r="B100" s="177"/>
      <c r="C100" s="189"/>
      <c r="D100" s="177"/>
      <c r="E100" s="193"/>
      <c r="F100" s="177"/>
      <c r="G100" s="177"/>
      <c r="H100" s="177"/>
      <c r="I100" s="177"/>
      <c r="J100" s="177"/>
      <c r="K100" s="177"/>
    </row>
    <row r="101">
      <c r="A101" s="189"/>
      <c r="B101" s="177"/>
      <c r="C101" s="189"/>
      <c r="D101" s="177"/>
      <c r="E101" s="193"/>
      <c r="F101" s="177"/>
      <c r="G101" s="177"/>
      <c r="H101" s="177"/>
      <c r="I101" s="177"/>
      <c r="J101" s="177"/>
      <c r="K101" s="177"/>
    </row>
    <row r="102">
      <c r="A102" s="189"/>
      <c r="B102" s="177"/>
      <c r="C102" s="189"/>
      <c r="D102" s="177"/>
      <c r="E102" s="193"/>
      <c r="F102" s="177"/>
      <c r="G102" s="177"/>
      <c r="H102" s="177"/>
      <c r="I102" s="177"/>
      <c r="J102" s="177"/>
      <c r="K102" s="177"/>
    </row>
    <row r="103">
      <c r="A103" s="189"/>
      <c r="B103" s="177"/>
      <c r="C103" s="189"/>
      <c r="D103" s="177"/>
      <c r="E103" s="193"/>
      <c r="F103" s="177"/>
      <c r="G103" s="177"/>
      <c r="H103" s="177"/>
      <c r="I103" s="177"/>
      <c r="J103" s="177"/>
      <c r="K103" s="177"/>
    </row>
    <row r="104">
      <c r="A104" s="189"/>
      <c r="B104" s="177"/>
      <c r="C104" s="189"/>
      <c r="D104" s="177"/>
      <c r="E104" s="193"/>
      <c r="F104" s="177"/>
      <c r="G104" s="177"/>
      <c r="H104" s="177"/>
      <c r="I104" s="177"/>
      <c r="J104" s="177"/>
      <c r="K104" s="177"/>
    </row>
    <row r="105">
      <c r="A105" s="189"/>
      <c r="B105" s="177"/>
      <c r="C105" s="189"/>
      <c r="D105" s="177"/>
      <c r="E105" s="193"/>
      <c r="F105" s="177"/>
      <c r="G105" s="177"/>
      <c r="H105" s="177"/>
      <c r="I105" s="177"/>
      <c r="J105" s="177"/>
      <c r="K105" s="177"/>
    </row>
    <row r="106">
      <c r="A106" s="189"/>
      <c r="B106" s="177"/>
      <c r="C106" s="189"/>
      <c r="D106" s="177"/>
      <c r="E106" s="193"/>
      <c r="F106" s="177"/>
      <c r="G106" s="177"/>
      <c r="H106" s="177"/>
      <c r="I106" s="177"/>
      <c r="J106" s="177"/>
      <c r="K106" s="177"/>
    </row>
    <row r="107">
      <c r="A107" s="189"/>
      <c r="B107" s="177"/>
      <c r="C107" s="189"/>
      <c r="D107" s="177"/>
      <c r="E107" s="193"/>
      <c r="F107" s="177"/>
      <c r="G107" s="177"/>
      <c r="H107" s="177"/>
      <c r="I107" s="177"/>
      <c r="J107" s="177"/>
      <c r="K107" s="177"/>
    </row>
    <row r="108">
      <c r="A108" s="189"/>
      <c r="B108" s="177"/>
      <c r="C108" s="189"/>
      <c r="D108" s="177"/>
      <c r="E108" s="193"/>
      <c r="F108" s="177"/>
      <c r="G108" s="177"/>
      <c r="H108" s="177"/>
      <c r="I108" s="177"/>
      <c r="J108" s="177"/>
      <c r="K108" s="177"/>
    </row>
    <row r="109">
      <c r="A109" s="189"/>
      <c r="B109" s="177"/>
      <c r="C109" s="189"/>
      <c r="D109" s="177"/>
      <c r="E109" s="193"/>
      <c r="F109" s="177"/>
      <c r="G109" s="177"/>
      <c r="H109" s="177"/>
      <c r="I109" s="177"/>
      <c r="J109" s="177"/>
      <c r="K109" s="177"/>
    </row>
    <row r="110">
      <c r="A110" s="189"/>
      <c r="B110" s="177"/>
      <c r="C110" s="189"/>
      <c r="D110" s="177"/>
      <c r="E110" s="193"/>
      <c r="F110" s="177"/>
      <c r="G110" s="177"/>
      <c r="H110" s="177"/>
      <c r="I110" s="177"/>
      <c r="J110" s="177"/>
      <c r="K110" s="177"/>
    </row>
    <row r="111">
      <c r="A111" s="189"/>
      <c r="B111" s="177"/>
      <c r="C111" s="189"/>
      <c r="D111" s="177"/>
      <c r="E111" s="193"/>
      <c r="F111" s="177"/>
      <c r="G111" s="177"/>
      <c r="H111" s="177"/>
      <c r="I111" s="177"/>
      <c r="J111" s="177"/>
      <c r="K111" s="177"/>
    </row>
    <row r="112">
      <c r="A112" s="189"/>
      <c r="B112" s="177"/>
      <c r="C112" s="189"/>
      <c r="D112" s="177"/>
      <c r="E112" s="193"/>
      <c r="F112" s="177"/>
      <c r="G112" s="177"/>
      <c r="H112" s="177"/>
      <c r="I112" s="177"/>
      <c r="J112" s="177"/>
      <c r="K112" s="177"/>
    </row>
    <row r="113">
      <c r="A113" s="189"/>
      <c r="B113" s="177"/>
      <c r="C113" s="189"/>
      <c r="D113" s="177"/>
      <c r="E113" s="193"/>
      <c r="F113" s="177"/>
      <c r="G113" s="177"/>
      <c r="H113" s="177"/>
      <c r="I113" s="177"/>
      <c r="J113" s="177"/>
      <c r="K113" s="177"/>
    </row>
    <row r="114">
      <c r="A114" s="189"/>
      <c r="B114" s="177"/>
      <c r="C114" s="189"/>
      <c r="D114" s="177"/>
      <c r="E114" s="193"/>
      <c r="F114" s="177"/>
      <c r="G114" s="177"/>
      <c r="H114" s="177"/>
      <c r="I114" s="177"/>
      <c r="J114" s="177"/>
      <c r="K114" s="177"/>
    </row>
    <row r="115">
      <c r="A115" s="189"/>
      <c r="B115" s="177"/>
      <c r="C115" s="189"/>
      <c r="D115" s="177"/>
      <c r="E115" s="193"/>
      <c r="F115" s="177"/>
      <c r="G115" s="177"/>
      <c r="H115" s="177"/>
      <c r="I115" s="177"/>
      <c r="J115" s="177"/>
      <c r="K115" s="177"/>
    </row>
    <row r="116">
      <c r="A116" s="189"/>
      <c r="B116" s="177"/>
      <c r="C116" s="189"/>
      <c r="D116" s="177"/>
      <c r="E116" s="193"/>
      <c r="F116" s="177"/>
      <c r="G116" s="177"/>
      <c r="H116" s="177"/>
      <c r="I116" s="177"/>
      <c r="J116" s="177"/>
      <c r="K116" s="177"/>
    </row>
    <row r="117">
      <c r="A117" s="189"/>
      <c r="B117" s="177"/>
      <c r="C117" s="189"/>
      <c r="D117" s="177"/>
      <c r="E117" s="193"/>
      <c r="F117" s="177"/>
      <c r="G117" s="177"/>
      <c r="H117" s="177"/>
      <c r="I117" s="177"/>
      <c r="J117" s="177"/>
      <c r="K117" s="177"/>
    </row>
    <row r="118">
      <c r="A118" s="189"/>
      <c r="B118" s="177"/>
      <c r="C118" s="189"/>
      <c r="D118" s="177"/>
      <c r="E118" s="193"/>
      <c r="F118" s="177"/>
      <c r="G118" s="177"/>
      <c r="H118" s="177"/>
      <c r="I118" s="177"/>
      <c r="J118" s="177"/>
      <c r="K118" s="177"/>
    </row>
    <row r="119">
      <c r="A119" s="189"/>
      <c r="B119" s="177"/>
      <c r="C119" s="189"/>
      <c r="D119" s="177"/>
      <c r="E119" s="193"/>
      <c r="F119" s="177"/>
      <c r="G119" s="177"/>
      <c r="H119" s="177"/>
      <c r="I119" s="177"/>
      <c r="J119" s="177"/>
      <c r="K119" s="177"/>
    </row>
    <row r="120">
      <c r="A120" s="189"/>
      <c r="B120" s="177"/>
      <c r="C120" s="189"/>
      <c r="D120" s="177"/>
      <c r="E120" s="193"/>
      <c r="F120" s="177"/>
      <c r="G120" s="177"/>
      <c r="H120" s="177"/>
      <c r="I120" s="177"/>
      <c r="J120" s="177"/>
      <c r="K120" s="177"/>
    </row>
    <row r="121">
      <c r="A121" s="189"/>
      <c r="B121" s="177"/>
      <c r="C121" s="189"/>
      <c r="D121" s="177"/>
      <c r="E121" s="193"/>
      <c r="F121" s="177"/>
      <c r="G121" s="177"/>
      <c r="H121" s="177"/>
      <c r="I121" s="177"/>
      <c r="J121" s="177"/>
      <c r="K121" s="177"/>
    </row>
    <row r="122">
      <c r="A122" s="189"/>
      <c r="B122" s="177"/>
      <c r="C122" s="189"/>
      <c r="D122" s="177"/>
      <c r="E122" s="193"/>
      <c r="F122" s="177"/>
      <c r="G122" s="177"/>
      <c r="H122" s="177"/>
      <c r="I122" s="177"/>
      <c r="J122" s="177"/>
      <c r="K122" s="177"/>
    </row>
    <row r="123">
      <c r="A123" s="189"/>
      <c r="B123" s="177"/>
      <c r="C123" s="189"/>
      <c r="D123" s="177"/>
      <c r="E123" s="193"/>
      <c r="F123" s="177"/>
      <c r="G123" s="177"/>
      <c r="H123" s="177"/>
      <c r="I123" s="177"/>
      <c r="J123" s="177"/>
      <c r="K123" s="177"/>
    </row>
    <row r="124">
      <c r="A124" s="189"/>
      <c r="B124" s="177"/>
      <c r="C124" s="189"/>
      <c r="D124" s="177"/>
      <c r="E124" s="193"/>
      <c r="F124" s="177"/>
      <c r="G124" s="177"/>
      <c r="H124" s="177"/>
      <c r="I124" s="177"/>
      <c r="J124" s="177"/>
      <c r="K124" s="177"/>
    </row>
    <row r="125">
      <c r="A125" s="189"/>
      <c r="B125" s="177"/>
      <c r="C125" s="189"/>
      <c r="D125" s="177"/>
      <c r="E125" s="193"/>
      <c r="F125" s="177"/>
      <c r="G125" s="177"/>
      <c r="H125" s="177"/>
      <c r="I125" s="177"/>
      <c r="J125" s="177"/>
      <c r="K125" s="177"/>
    </row>
    <row r="126">
      <c r="A126" s="189"/>
      <c r="B126" s="177"/>
      <c r="C126" s="189"/>
      <c r="D126" s="177"/>
      <c r="E126" s="193"/>
      <c r="F126" s="177"/>
      <c r="G126" s="177"/>
      <c r="H126" s="177"/>
      <c r="I126" s="177"/>
      <c r="J126" s="177"/>
      <c r="K126" s="177"/>
    </row>
    <row r="127">
      <c r="A127" s="189"/>
      <c r="B127" s="177"/>
      <c r="C127" s="189"/>
      <c r="D127" s="177"/>
      <c r="E127" s="193"/>
      <c r="F127" s="177"/>
      <c r="G127" s="177"/>
      <c r="H127" s="177"/>
      <c r="I127" s="177"/>
      <c r="J127" s="177"/>
      <c r="K127" s="177"/>
    </row>
    <row r="128">
      <c r="A128" s="189"/>
      <c r="B128" s="177"/>
      <c r="C128" s="189"/>
      <c r="D128" s="177"/>
      <c r="E128" s="193"/>
      <c r="F128" s="177"/>
      <c r="G128" s="177"/>
      <c r="H128" s="177"/>
      <c r="I128" s="177"/>
      <c r="J128" s="177"/>
      <c r="K128" s="177"/>
    </row>
    <row r="129">
      <c r="A129" s="189"/>
      <c r="B129" s="177"/>
      <c r="C129" s="189"/>
      <c r="D129" s="177"/>
      <c r="E129" s="193"/>
      <c r="F129" s="177"/>
      <c r="G129" s="177"/>
      <c r="H129" s="177"/>
      <c r="I129" s="177"/>
      <c r="J129" s="177"/>
      <c r="K129" s="177"/>
    </row>
    <row r="130">
      <c r="A130" s="189"/>
      <c r="B130" s="177"/>
      <c r="C130" s="189"/>
      <c r="D130" s="177"/>
      <c r="E130" s="193"/>
      <c r="F130" s="177"/>
      <c r="G130" s="177"/>
      <c r="H130" s="177"/>
      <c r="I130" s="177"/>
      <c r="J130" s="177"/>
      <c r="K130" s="177"/>
    </row>
    <row r="131">
      <c r="A131" s="189"/>
      <c r="B131" s="177"/>
      <c r="C131" s="189"/>
      <c r="D131" s="177"/>
      <c r="E131" s="193"/>
      <c r="F131" s="177"/>
      <c r="G131" s="177"/>
      <c r="H131" s="177"/>
      <c r="I131" s="177"/>
      <c r="J131" s="177"/>
      <c r="K131" s="177"/>
    </row>
    <row r="132">
      <c r="A132" s="189"/>
      <c r="B132" s="177"/>
      <c r="C132" s="189"/>
      <c r="D132" s="177"/>
      <c r="E132" s="193"/>
      <c r="F132" s="177"/>
      <c r="G132" s="177"/>
      <c r="H132" s="177"/>
      <c r="I132" s="177"/>
      <c r="J132" s="177"/>
      <c r="K132" s="177"/>
    </row>
    <row r="133">
      <c r="A133" s="189"/>
      <c r="B133" s="177"/>
      <c r="C133" s="189"/>
      <c r="D133" s="177"/>
      <c r="E133" s="193"/>
      <c r="F133" s="177"/>
      <c r="G133" s="177"/>
      <c r="H133" s="177"/>
      <c r="I133" s="177"/>
      <c r="J133" s="177"/>
      <c r="K133" s="177"/>
    </row>
    <row r="134">
      <c r="A134" s="189"/>
      <c r="B134" s="177"/>
      <c r="C134" s="189"/>
      <c r="D134" s="177"/>
      <c r="E134" s="193"/>
      <c r="F134" s="177"/>
      <c r="G134" s="177"/>
      <c r="H134" s="177"/>
      <c r="I134" s="177"/>
      <c r="J134" s="177"/>
      <c r="K134" s="177"/>
    </row>
    <row r="135">
      <c r="A135" s="189"/>
      <c r="B135" s="177"/>
      <c r="C135" s="189"/>
      <c r="D135" s="177"/>
      <c r="E135" s="193"/>
      <c r="F135" s="177"/>
      <c r="G135" s="177"/>
      <c r="H135" s="177"/>
      <c r="I135" s="177"/>
      <c r="J135" s="177"/>
      <c r="K135" s="177"/>
    </row>
    <row r="136">
      <c r="A136" s="189"/>
      <c r="B136" s="177"/>
      <c r="C136" s="189"/>
      <c r="D136" s="177"/>
      <c r="E136" s="193"/>
      <c r="F136" s="177"/>
      <c r="G136" s="177"/>
      <c r="H136" s="177"/>
      <c r="I136" s="177"/>
      <c r="J136" s="177"/>
      <c r="K136" s="177"/>
    </row>
    <row r="137">
      <c r="A137" s="189"/>
      <c r="B137" s="177"/>
      <c r="C137" s="189"/>
      <c r="D137" s="177"/>
      <c r="E137" s="193"/>
      <c r="F137" s="177"/>
      <c r="G137" s="177"/>
      <c r="H137" s="177"/>
      <c r="I137" s="177"/>
      <c r="J137" s="177"/>
      <c r="K137" s="177"/>
    </row>
    <row r="138">
      <c r="A138" s="189"/>
      <c r="B138" s="177"/>
      <c r="C138" s="189"/>
      <c r="D138" s="177"/>
      <c r="E138" s="193"/>
      <c r="F138" s="177"/>
      <c r="G138" s="177"/>
      <c r="H138" s="177"/>
      <c r="I138" s="177"/>
      <c r="J138" s="177"/>
      <c r="K138" s="177"/>
    </row>
    <row r="139">
      <c r="A139" s="189"/>
      <c r="B139" s="177"/>
      <c r="C139" s="189"/>
      <c r="D139" s="177"/>
      <c r="E139" s="193"/>
      <c r="F139" s="177"/>
      <c r="G139" s="177"/>
      <c r="H139" s="177"/>
      <c r="I139" s="177"/>
      <c r="J139" s="177"/>
      <c r="K139" s="177"/>
    </row>
    <row r="140">
      <c r="A140" s="189"/>
      <c r="B140" s="177"/>
      <c r="C140" s="189"/>
      <c r="D140" s="177"/>
      <c r="E140" s="193"/>
      <c r="F140" s="177"/>
      <c r="G140" s="177"/>
      <c r="H140" s="177"/>
      <c r="I140" s="177"/>
      <c r="J140" s="177"/>
      <c r="K140" s="177"/>
    </row>
    <row r="141">
      <c r="A141" s="189"/>
      <c r="B141" s="177"/>
      <c r="C141" s="189"/>
      <c r="D141" s="177"/>
      <c r="E141" s="193"/>
      <c r="F141" s="177"/>
      <c r="G141" s="177"/>
      <c r="H141" s="177"/>
      <c r="I141" s="177"/>
      <c r="J141" s="177"/>
      <c r="K141" s="177"/>
    </row>
    <row r="142">
      <c r="A142" s="189"/>
      <c r="B142" s="177"/>
      <c r="C142" s="189"/>
      <c r="D142" s="177"/>
      <c r="E142" s="193"/>
      <c r="F142" s="177"/>
      <c r="G142" s="177"/>
      <c r="H142" s="177"/>
      <c r="I142" s="177"/>
      <c r="J142" s="177"/>
      <c r="K142" s="177"/>
    </row>
    <row r="143">
      <c r="A143" s="189"/>
      <c r="B143" s="177"/>
      <c r="C143" s="189"/>
      <c r="D143" s="177"/>
      <c r="E143" s="193"/>
      <c r="F143" s="177"/>
      <c r="G143" s="177"/>
      <c r="H143" s="177"/>
      <c r="I143" s="177"/>
      <c r="J143" s="177"/>
      <c r="K143" s="177"/>
    </row>
    <row r="144">
      <c r="A144" s="189"/>
      <c r="B144" s="177"/>
      <c r="C144" s="189"/>
      <c r="D144" s="177"/>
      <c r="E144" s="193"/>
      <c r="F144" s="177"/>
      <c r="G144" s="177"/>
      <c r="H144" s="177"/>
      <c r="I144" s="177"/>
      <c r="J144" s="177"/>
      <c r="K144" s="177"/>
    </row>
    <row r="145">
      <c r="A145" s="189"/>
      <c r="B145" s="177"/>
      <c r="C145" s="189"/>
      <c r="D145" s="177"/>
      <c r="E145" s="193"/>
      <c r="F145" s="177"/>
      <c r="G145" s="177"/>
      <c r="H145" s="177"/>
      <c r="I145" s="177"/>
      <c r="J145" s="177"/>
      <c r="K145" s="177"/>
    </row>
    <row r="146">
      <c r="A146" s="189"/>
      <c r="B146" s="177"/>
      <c r="C146" s="189"/>
      <c r="D146" s="177"/>
      <c r="E146" s="193"/>
      <c r="F146" s="177"/>
      <c r="G146" s="177"/>
      <c r="H146" s="177"/>
      <c r="I146" s="177"/>
      <c r="J146" s="177"/>
      <c r="K146" s="177"/>
    </row>
    <row r="147">
      <c r="A147" s="189"/>
      <c r="B147" s="177"/>
      <c r="C147" s="189"/>
      <c r="D147" s="177"/>
      <c r="E147" s="193"/>
      <c r="F147" s="177"/>
      <c r="G147" s="177"/>
      <c r="H147" s="177"/>
      <c r="I147" s="177"/>
      <c r="J147" s="177"/>
      <c r="K147" s="177"/>
    </row>
    <row r="148">
      <c r="A148" s="189"/>
      <c r="B148" s="177"/>
      <c r="C148" s="189"/>
      <c r="D148" s="177"/>
      <c r="E148" s="193"/>
      <c r="F148" s="177"/>
      <c r="G148" s="177"/>
      <c r="H148" s="177"/>
      <c r="I148" s="177"/>
      <c r="J148" s="177"/>
      <c r="K148" s="177"/>
    </row>
    <row r="149">
      <c r="A149" s="189"/>
      <c r="B149" s="177"/>
      <c r="C149" s="189"/>
      <c r="D149" s="177"/>
      <c r="E149" s="193"/>
      <c r="F149" s="177"/>
      <c r="G149" s="177"/>
      <c r="H149" s="177"/>
      <c r="I149" s="177"/>
      <c r="J149" s="177"/>
      <c r="K149" s="177"/>
    </row>
    <row r="150">
      <c r="A150" s="189"/>
      <c r="B150" s="177"/>
      <c r="C150" s="189"/>
      <c r="D150" s="177"/>
      <c r="E150" s="193"/>
      <c r="F150" s="177"/>
      <c r="G150" s="177"/>
      <c r="H150" s="177"/>
      <c r="I150" s="177"/>
      <c r="J150" s="177"/>
      <c r="K150" s="177"/>
    </row>
    <row r="151">
      <c r="A151" s="189"/>
      <c r="B151" s="177"/>
      <c r="C151" s="189"/>
      <c r="D151" s="177"/>
      <c r="E151" s="193"/>
      <c r="F151" s="177"/>
      <c r="G151" s="177"/>
      <c r="H151" s="177"/>
      <c r="I151" s="177"/>
      <c r="J151" s="177"/>
      <c r="K151" s="177"/>
    </row>
    <row r="152">
      <c r="A152" s="189"/>
      <c r="B152" s="177"/>
      <c r="C152" s="189"/>
      <c r="D152" s="177"/>
      <c r="E152" s="193"/>
      <c r="F152" s="177"/>
      <c r="G152" s="177"/>
      <c r="H152" s="177"/>
      <c r="I152" s="177"/>
      <c r="J152" s="177"/>
      <c r="K152" s="177"/>
    </row>
    <row r="153">
      <c r="A153" s="189"/>
      <c r="B153" s="177"/>
      <c r="C153" s="189"/>
      <c r="D153" s="177"/>
      <c r="E153" s="193"/>
      <c r="F153" s="177"/>
      <c r="G153" s="177"/>
      <c r="H153" s="177"/>
      <c r="I153" s="177"/>
      <c r="J153" s="177"/>
      <c r="K153" s="177"/>
    </row>
    <row r="154">
      <c r="A154" s="189"/>
      <c r="B154" s="177"/>
      <c r="C154" s="189"/>
      <c r="D154" s="177"/>
      <c r="E154" s="193"/>
      <c r="F154" s="177"/>
      <c r="G154" s="177"/>
      <c r="H154" s="177"/>
      <c r="I154" s="177"/>
      <c r="J154" s="177"/>
      <c r="K154" s="177"/>
    </row>
    <row r="155">
      <c r="A155" s="189"/>
      <c r="B155" s="177"/>
      <c r="C155" s="189"/>
      <c r="D155" s="177"/>
      <c r="E155" s="193"/>
      <c r="F155" s="177"/>
      <c r="G155" s="177"/>
      <c r="H155" s="177"/>
      <c r="I155" s="177"/>
      <c r="J155" s="177"/>
      <c r="K155" s="177"/>
    </row>
    <row r="156">
      <c r="A156" s="189"/>
      <c r="B156" s="177"/>
      <c r="C156" s="189"/>
      <c r="D156" s="177"/>
      <c r="E156" s="193"/>
      <c r="F156" s="177"/>
      <c r="G156" s="177"/>
      <c r="H156" s="177"/>
      <c r="I156" s="177"/>
      <c r="J156" s="177"/>
      <c r="K156" s="177"/>
    </row>
    <row r="157">
      <c r="A157" s="189"/>
      <c r="B157" s="177"/>
      <c r="C157" s="189"/>
      <c r="D157" s="177"/>
      <c r="E157" s="193"/>
      <c r="F157" s="177"/>
      <c r="G157" s="177"/>
      <c r="H157" s="177"/>
      <c r="I157" s="177"/>
      <c r="J157" s="177"/>
      <c r="K157" s="177"/>
    </row>
    <row r="158">
      <c r="A158" s="189"/>
      <c r="B158" s="177"/>
      <c r="C158" s="189"/>
      <c r="D158" s="177"/>
      <c r="E158" s="193"/>
      <c r="F158" s="177"/>
      <c r="G158" s="177"/>
      <c r="H158" s="177"/>
      <c r="I158" s="177"/>
      <c r="J158" s="177"/>
      <c r="K158" s="177"/>
    </row>
    <row r="159">
      <c r="A159" s="189"/>
      <c r="B159" s="177"/>
      <c r="C159" s="189"/>
      <c r="D159" s="177"/>
      <c r="E159" s="193"/>
      <c r="F159" s="177"/>
      <c r="G159" s="177"/>
      <c r="H159" s="177"/>
      <c r="I159" s="177"/>
      <c r="J159" s="177"/>
      <c r="K159" s="177"/>
    </row>
    <row r="160">
      <c r="A160" s="189"/>
      <c r="B160" s="177"/>
      <c r="C160" s="189"/>
      <c r="D160" s="177"/>
      <c r="E160" s="193"/>
      <c r="F160" s="177"/>
      <c r="G160" s="177"/>
      <c r="H160" s="177"/>
      <c r="I160" s="177"/>
      <c r="J160" s="177"/>
      <c r="K160" s="177"/>
    </row>
    <row r="161">
      <c r="A161" s="189"/>
      <c r="B161" s="177"/>
      <c r="C161" s="189"/>
      <c r="D161" s="177"/>
      <c r="E161" s="193"/>
      <c r="F161" s="177"/>
      <c r="G161" s="177"/>
      <c r="H161" s="177"/>
      <c r="I161" s="177"/>
      <c r="J161" s="177"/>
      <c r="K161" s="177"/>
    </row>
    <row r="162">
      <c r="A162" s="189"/>
      <c r="B162" s="177"/>
      <c r="C162" s="189"/>
      <c r="D162" s="177"/>
      <c r="E162" s="193"/>
      <c r="F162" s="177"/>
      <c r="G162" s="177"/>
      <c r="H162" s="177"/>
      <c r="I162" s="177"/>
      <c r="J162" s="177"/>
      <c r="K162" s="177"/>
    </row>
    <row r="163">
      <c r="A163" s="189"/>
      <c r="B163" s="177"/>
      <c r="C163" s="189"/>
      <c r="D163" s="177"/>
      <c r="E163" s="193"/>
      <c r="F163" s="177"/>
      <c r="G163" s="177"/>
      <c r="H163" s="177"/>
      <c r="I163" s="177"/>
      <c r="J163" s="177"/>
      <c r="K163" s="177"/>
    </row>
    <row r="164">
      <c r="A164" s="189"/>
      <c r="B164" s="177"/>
      <c r="C164" s="189"/>
      <c r="D164" s="177"/>
      <c r="E164" s="193"/>
      <c r="F164" s="177"/>
      <c r="G164" s="177"/>
      <c r="H164" s="177"/>
      <c r="I164" s="177"/>
      <c r="J164" s="177"/>
      <c r="K164" s="177"/>
    </row>
    <row r="165">
      <c r="A165" s="189"/>
      <c r="B165" s="177"/>
      <c r="C165" s="189"/>
      <c r="D165" s="177"/>
      <c r="E165" s="193"/>
      <c r="F165" s="177"/>
      <c r="G165" s="177"/>
      <c r="H165" s="177"/>
      <c r="I165" s="177"/>
      <c r="J165" s="177"/>
      <c r="K165" s="177"/>
    </row>
    <row r="166">
      <c r="A166" s="189"/>
      <c r="B166" s="177"/>
      <c r="C166" s="189"/>
      <c r="D166" s="177"/>
      <c r="E166" s="193"/>
      <c r="F166" s="177"/>
      <c r="G166" s="177"/>
      <c r="H166" s="177"/>
      <c r="I166" s="177"/>
      <c r="J166" s="177"/>
      <c r="K166" s="177"/>
    </row>
    <row r="167">
      <c r="A167" s="189"/>
      <c r="B167" s="177"/>
      <c r="C167" s="189"/>
      <c r="D167" s="177"/>
      <c r="E167" s="193"/>
      <c r="F167" s="177"/>
      <c r="G167" s="177"/>
      <c r="H167" s="177"/>
      <c r="I167" s="177"/>
      <c r="J167" s="177"/>
      <c r="K167" s="177"/>
    </row>
    <row r="168">
      <c r="A168" s="189"/>
      <c r="B168" s="177"/>
      <c r="C168" s="189"/>
      <c r="D168" s="177"/>
      <c r="E168" s="193"/>
      <c r="F168" s="177"/>
      <c r="G168" s="177"/>
      <c r="H168" s="177"/>
      <c r="I168" s="177"/>
      <c r="J168" s="177"/>
      <c r="K168" s="177"/>
    </row>
    <row r="169">
      <c r="A169" s="189"/>
      <c r="B169" s="177"/>
      <c r="C169" s="189"/>
      <c r="D169" s="177"/>
      <c r="E169" s="193"/>
      <c r="F169" s="177"/>
      <c r="G169" s="177"/>
      <c r="H169" s="177"/>
      <c r="I169" s="177"/>
      <c r="J169" s="177"/>
      <c r="K169" s="177"/>
    </row>
    <row r="170">
      <c r="A170" s="189"/>
      <c r="B170" s="177"/>
      <c r="C170" s="189"/>
      <c r="D170" s="177"/>
      <c r="E170" s="193"/>
      <c r="F170" s="177"/>
      <c r="G170" s="177"/>
      <c r="H170" s="177"/>
      <c r="I170" s="177"/>
      <c r="J170" s="177"/>
      <c r="K170" s="177"/>
    </row>
    <row r="171">
      <c r="A171" s="189"/>
      <c r="B171" s="177"/>
      <c r="C171" s="189"/>
      <c r="D171" s="177"/>
      <c r="E171" s="193"/>
      <c r="F171" s="177"/>
      <c r="G171" s="177"/>
      <c r="H171" s="177"/>
      <c r="I171" s="177"/>
      <c r="J171" s="177"/>
      <c r="K171" s="177"/>
    </row>
    <row r="172">
      <c r="A172" s="189"/>
      <c r="B172" s="177"/>
      <c r="C172" s="189"/>
      <c r="D172" s="177"/>
      <c r="E172" s="193"/>
      <c r="F172" s="177"/>
      <c r="G172" s="177"/>
      <c r="H172" s="177"/>
      <c r="I172" s="177"/>
      <c r="J172" s="177"/>
      <c r="K172" s="177"/>
    </row>
    <row r="173">
      <c r="A173" s="189"/>
      <c r="B173" s="177"/>
      <c r="C173" s="189"/>
      <c r="D173" s="177"/>
      <c r="E173" s="193"/>
      <c r="F173" s="177"/>
      <c r="G173" s="177"/>
      <c r="H173" s="177"/>
      <c r="I173" s="177"/>
      <c r="J173" s="177"/>
      <c r="K173" s="177"/>
    </row>
    <row r="174">
      <c r="A174" s="189"/>
      <c r="B174" s="177"/>
      <c r="C174" s="189"/>
      <c r="D174" s="177"/>
      <c r="E174" s="193"/>
      <c r="F174" s="177"/>
      <c r="G174" s="177"/>
      <c r="H174" s="177"/>
      <c r="I174" s="177"/>
      <c r="J174" s="177"/>
      <c r="K174" s="177"/>
    </row>
    <row r="175">
      <c r="A175" s="189"/>
      <c r="B175" s="177"/>
      <c r="C175" s="189"/>
      <c r="D175" s="177"/>
      <c r="E175" s="193"/>
      <c r="F175" s="177"/>
      <c r="G175" s="177"/>
      <c r="H175" s="177"/>
      <c r="I175" s="177"/>
      <c r="J175" s="177"/>
      <c r="K175" s="177"/>
    </row>
    <row r="176">
      <c r="A176" s="189"/>
      <c r="B176" s="177"/>
      <c r="C176" s="189"/>
      <c r="D176" s="177"/>
      <c r="E176" s="193"/>
      <c r="F176" s="177"/>
      <c r="G176" s="177"/>
      <c r="H176" s="177"/>
      <c r="I176" s="177"/>
      <c r="J176" s="177"/>
      <c r="K176" s="177"/>
    </row>
    <row r="177">
      <c r="A177" s="189"/>
      <c r="B177" s="177"/>
      <c r="C177" s="189"/>
      <c r="D177" s="177"/>
      <c r="E177" s="193"/>
      <c r="F177" s="177"/>
      <c r="G177" s="177"/>
      <c r="H177" s="177"/>
      <c r="I177" s="177"/>
      <c r="J177" s="177"/>
      <c r="K177" s="177"/>
    </row>
    <row r="178">
      <c r="A178" s="189"/>
      <c r="B178" s="177"/>
      <c r="C178" s="189"/>
      <c r="D178" s="177"/>
      <c r="E178" s="193"/>
      <c r="F178" s="177"/>
      <c r="G178" s="177"/>
      <c r="H178" s="177"/>
      <c r="I178" s="177"/>
      <c r="J178" s="177"/>
      <c r="K178" s="177"/>
    </row>
    <row r="179">
      <c r="A179" s="189"/>
      <c r="B179" s="177"/>
      <c r="C179" s="189"/>
      <c r="D179" s="177"/>
      <c r="E179" s="193"/>
      <c r="F179" s="177"/>
      <c r="G179" s="177"/>
      <c r="H179" s="177"/>
      <c r="I179" s="177"/>
      <c r="J179" s="177"/>
      <c r="K179" s="177"/>
    </row>
    <row r="180">
      <c r="A180" s="189"/>
      <c r="B180" s="177"/>
      <c r="C180" s="189"/>
      <c r="D180" s="177"/>
      <c r="E180" s="193"/>
      <c r="F180" s="177"/>
      <c r="G180" s="177"/>
      <c r="H180" s="177"/>
      <c r="I180" s="177"/>
      <c r="J180" s="177"/>
      <c r="K180" s="177"/>
    </row>
    <row r="181">
      <c r="A181" s="189"/>
      <c r="B181" s="177"/>
      <c r="C181" s="189"/>
      <c r="D181" s="177"/>
      <c r="E181" s="193"/>
      <c r="F181" s="177"/>
      <c r="G181" s="177"/>
      <c r="H181" s="177"/>
      <c r="I181" s="177"/>
      <c r="J181" s="177"/>
      <c r="K181" s="177"/>
    </row>
    <row r="182">
      <c r="A182" s="189"/>
      <c r="B182" s="177"/>
      <c r="C182" s="189"/>
      <c r="D182" s="177"/>
      <c r="E182" s="193"/>
      <c r="F182" s="177"/>
      <c r="G182" s="177"/>
      <c r="H182" s="177"/>
      <c r="I182" s="177"/>
      <c r="J182" s="177"/>
      <c r="K182" s="177"/>
    </row>
    <row r="183">
      <c r="A183" s="189"/>
      <c r="B183" s="177"/>
      <c r="C183" s="189"/>
      <c r="D183" s="177"/>
      <c r="E183" s="193"/>
      <c r="F183" s="177"/>
      <c r="G183" s="177"/>
      <c r="H183" s="177"/>
      <c r="I183" s="177"/>
      <c r="J183" s="177"/>
      <c r="K183" s="177"/>
    </row>
    <row r="184">
      <c r="A184" s="189"/>
      <c r="B184" s="177"/>
      <c r="C184" s="189"/>
      <c r="D184" s="177"/>
      <c r="E184" s="193"/>
      <c r="F184" s="177"/>
      <c r="G184" s="177"/>
      <c r="H184" s="177"/>
      <c r="I184" s="177"/>
      <c r="J184" s="177"/>
      <c r="K184" s="177"/>
    </row>
    <row r="185">
      <c r="A185" s="189"/>
      <c r="B185" s="177"/>
      <c r="C185" s="189"/>
      <c r="D185" s="177"/>
      <c r="E185" s="193"/>
      <c r="F185" s="177"/>
      <c r="G185" s="177"/>
      <c r="H185" s="177"/>
      <c r="I185" s="177"/>
      <c r="J185" s="177"/>
      <c r="K185" s="177"/>
    </row>
    <row r="186">
      <c r="A186" s="189"/>
      <c r="B186" s="177"/>
      <c r="C186" s="189"/>
      <c r="D186" s="177"/>
      <c r="E186" s="193"/>
      <c r="F186" s="177"/>
      <c r="G186" s="177"/>
      <c r="H186" s="177"/>
      <c r="I186" s="177"/>
      <c r="J186" s="177"/>
      <c r="K186" s="177"/>
    </row>
    <row r="187">
      <c r="A187" s="189"/>
      <c r="B187" s="177"/>
      <c r="C187" s="189"/>
      <c r="D187" s="177"/>
      <c r="E187" s="193"/>
      <c r="F187" s="177"/>
      <c r="G187" s="177"/>
      <c r="H187" s="177"/>
      <c r="I187" s="177"/>
      <c r="J187" s="177"/>
      <c r="K187" s="177"/>
    </row>
    <row r="188">
      <c r="A188" s="189"/>
      <c r="B188" s="177"/>
      <c r="C188" s="189"/>
      <c r="D188" s="177"/>
      <c r="E188" s="193"/>
      <c r="F188" s="177"/>
      <c r="G188" s="177"/>
      <c r="H188" s="177"/>
      <c r="I188" s="177"/>
      <c r="J188" s="177"/>
      <c r="K188" s="177"/>
    </row>
    <row r="189">
      <c r="A189" s="189"/>
      <c r="B189" s="177"/>
      <c r="C189" s="189"/>
      <c r="D189" s="177"/>
      <c r="E189" s="193"/>
      <c r="F189" s="177"/>
      <c r="G189" s="177"/>
      <c r="H189" s="177"/>
      <c r="I189" s="177"/>
      <c r="J189" s="177"/>
      <c r="K189" s="177"/>
    </row>
    <row r="190">
      <c r="A190" s="189"/>
      <c r="B190" s="177"/>
      <c r="C190" s="189"/>
      <c r="D190" s="177"/>
      <c r="E190" s="193"/>
      <c r="F190" s="177"/>
      <c r="G190" s="177"/>
      <c r="H190" s="177"/>
      <c r="I190" s="177"/>
      <c r="J190" s="177"/>
      <c r="K190" s="177"/>
    </row>
    <row r="191">
      <c r="A191" s="189"/>
      <c r="B191" s="177"/>
      <c r="C191" s="189"/>
      <c r="D191" s="177"/>
      <c r="E191" s="193"/>
      <c r="F191" s="177"/>
      <c r="G191" s="177"/>
      <c r="H191" s="177"/>
      <c r="I191" s="177"/>
      <c r="J191" s="177"/>
      <c r="K191" s="177"/>
    </row>
    <row r="192">
      <c r="A192" s="189"/>
      <c r="B192" s="177"/>
      <c r="C192" s="189"/>
      <c r="D192" s="177"/>
      <c r="E192" s="193"/>
      <c r="F192" s="177"/>
      <c r="G192" s="177"/>
      <c r="H192" s="177"/>
      <c r="I192" s="177"/>
      <c r="J192" s="177"/>
      <c r="K192" s="177"/>
    </row>
    <row r="193">
      <c r="A193" s="189"/>
      <c r="B193" s="177"/>
      <c r="C193" s="189"/>
      <c r="D193" s="177"/>
      <c r="E193" s="193"/>
      <c r="F193" s="177"/>
      <c r="G193" s="177"/>
      <c r="H193" s="177"/>
      <c r="I193" s="177"/>
      <c r="J193" s="177"/>
      <c r="K193" s="177"/>
    </row>
    <row r="194">
      <c r="A194" s="189"/>
      <c r="B194" s="177"/>
      <c r="C194" s="189"/>
      <c r="D194" s="177"/>
      <c r="E194" s="193"/>
      <c r="F194" s="177"/>
      <c r="G194" s="177"/>
      <c r="H194" s="177"/>
      <c r="I194" s="177"/>
      <c r="J194" s="177"/>
      <c r="K194" s="177"/>
    </row>
    <row r="195">
      <c r="A195" s="189"/>
      <c r="B195" s="177"/>
      <c r="C195" s="189"/>
      <c r="D195" s="177"/>
      <c r="E195" s="193"/>
      <c r="F195" s="177"/>
      <c r="G195" s="177"/>
      <c r="H195" s="177"/>
      <c r="I195" s="177"/>
      <c r="J195" s="177"/>
      <c r="K195" s="177"/>
    </row>
    <row r="196">
      <c r="A196" s="189"/>
      <c r="B196" s="177"/>
      <c r="C196" s="189"/>
      <c r="D196" s="177"/>
      <c r="E196" s="193"/>
      <c r="F196" s="177"/>
      <c r="G196" s="177"/>
      <c r="H196" s="177"/>
      <c r="I196" s="177"/>
      <c r="J196" s="177"/>
      <c r="K196" s="177"/>
    </row>
    <row r="197">
      <c r="A197" s="189"/>
      <c r="B197" s="177"/>
      <c r="C197" s="189"/>
      <c r="D197" s="177"/>
      <c r="E197" s="193"/>
      <c r="F197" s="177"/>
      <c r="G197" s="177"/>
      <c r="H197" s="177"/>
      <c r="I197" s="177"/>
      <c r="J197" s="177"/>
      <c r="K197" s="177"/>
    </row>
    <row r="198">
      <c r="A198" s="189"/>
      <c r="B198" s="177"/>
      <c r="C198" s="189"/>
      <c r="D198" s="177"/>
      <c r="E198" s="193"/>
      <c r="F198" s="177"/>
      <c r="G198" s="177"/>
      <c r="H198" s="177"/>
      <c r="I198" s="177"/>
      <c r="J198" s="177"/>
      <c r="K198" s="177"/>
    </row>
    <row r="199">
      <c r="A199" s="189"/>
      <c r="B199" s="177"/>
      <c r="C199" s="189"/>
      <c r="D199" s="177"/>
      <c r="E199" s="193"/>
      <c r="F199" s="177"/>
      <c r="G199" s="177"/>
      <c r="H199" s="177"/>
      <c r="I199" s="177"/>
      <c r="J199" s="177"/>
      <c r="K199" s="177"/>
    </row>
    <row r="200">
      <c r="A200" s="189"/>
      <c r="B200" s="177"/>
      <c r="C200" s="189"/>
      <c r="D200" s="177"/>
      <c r="E200" s="193"/>
      <c r="F200" s="177"/>
      <c r="G200" s="177"/>
      <c r="H200" s="177"/>
      <c r="I200" s="177"/>
      <c r="J200" s="177"/>
      <c r="K200" s="177"/>
    </row>
    <row r="201">
      <c r="A201" s="189"/>
      <c r="B201" s="177"/>
      <c r="C201" s="189"/>
      <c r="D201" s="177"/>
      <c r="E201" s="193"/>
      <c r="F201" s="177"/>
      <c r="G201" s="177"/>
      <c r="H201" s="177"/>
      <c r="I201" s="177"/>
      <c r="J201" s="177"/>
      <c r="K201" s="177"/>
    </row>
    <row r="202">
      <c r="A202" s="189"/>
      <c r="B202" s="177"/>
      <c r="C202" s="189"/>
      <c r="D202" s="177"/>
      <c r="E202" s="193"/>
      <c r="F202" s="177"/>
      <c r="G202" s="177"/>
      <c r="H202" s="177"/>
      <c r="I202" s="177"/>
      <c r="J202" s="177"/>
      <c r="K202" s="177"/>
    </row>
    <row r="203">
      <c r="A203" s="189"/>
      <c r="B203" s="177"/>
      <c r="C203" s="189"/>
      <c r="D203" s="177"/>
      <c r="E203" s="193"/>
      <c r="F203" s="177"/>
      <c r="G203" s="177"/>
      <c r="H203" s="177"/>
      <c r="I203" s="177"/>
      <c r="J203" s="177"/>
      <c r="K203" s="177"/>
    </row>
    <row r="204">
      <c r="A204" s="189"/>
      <c r="B204" s="177"/>
      <c r="C204" s="189"/>
      <c r="D204" s="177"/>
      <c r="E204" s="193"/>
      <c r="F204" s="177"/>
      <c r="G204" s="177"/>
      <c r="H204" s="177"/>
      <c r="I204" s="177"/>
      <c r="J204" s="177"/>
      <c r="K204" s="177"/>
    </row>
    <row r="205">
      <c r="A205" s="189"/>
      <c r="B205" s="177"/>
      <c r="C205" s="189"/>
      <c r="D205" s="177"/>
      <c r="E205" s="193"/>
      <c r="F205" s="177"/>
      <c r="G205" s="177"/>
      <c r="H205" s="177"/>
      <c r="I205" s="177"/>
      <c r="J205" s="177"/>
      <c r="K205" s="177"/>
    </row>
    <row r="206">
      <c r="A206" s="189"/>
      <c r="B206" s="177"/>
      <c r="C206" s="189"/>
      <c r="D206" s="177"/>
      <c r="E206" s="193"/>
      <c r="F206" s="177"/>
      <c r="G206" s="177"/>
      <c r="H206" s="177"/>
      <c r="I206" s="177"/>
      <c r="J206" s="177"/>
      <c r="K206" s="177"/>
    </row>
    <row r="207">
      <c r="A207" s="189"/>
      <c r="B207" s="177"/>
      <c r="C207" s="189"/>
      <c r="D207" s="177"/>
      <c r="E207" s="193"/>
      <c r="F207" s="177"/>
      <c r="G207" s="177"/>
      <c r="H207" s="177"/>
      <c r="I207" s="177"/>
      <c r="J207" s="177"/>
      <c r="K207" s="177"/>
    </row>
    <row r="208">
      <c r="A208" s="189"/>
      <c r="B208" s="177"/>
      <c r="C208" s="189"/>
      <c r="D208" s="177"/>
      <c r="E208" s="193"/>
      <c r="F208" s="177"/>
      <c r="G208" s="177"/>
      <c r="H208" s="177"/>
      <c r="I208" s="177"/>
      <c r="J208" s="177"/>
      <c r="K208" s="177"/>
    </row>
    <row r="209">
      <c r="A209" s="189"/>
      <c r="B209" s="177"/>
      <c r="C209" s="189"/>
      <c r="D209" s="177"/>
      <c r="E209" s="193"/>
      <c r="F209" s="177"/>
      <c r="G209" s="177"/>
      <c r="H209" s="177"/>
      <c r="I209" s="177"/>
      <c r="J209" s="177"/>
      <c r="K209" s="177"/>
    </row>
    <row r="210">
      <c r="A210" s="189"/>
      <c r="B210" s="177"/>
      <c r="C210" s="189"/>
      <c r="D210" s="177"/>
      <c r="E210" s="193"/>
      <c r="F210" s="177"/>
      <c r="G210" s="177"/>
      <c r="H210" s="177"/>
      <c r="I210" s="177"/>
      <c r="J210" s="177"/>
      <c r="K210" s="177"/>
    </row>
    <row r="211">
      <c r="A211" s="189"/>
      <c r="B211" s="177"/>
      <c r="C211" s="189"/>
      <c r="D211" s="177"/>
      <c r="E211" s="193"/>
      <c r="F211" s="177"/>
      <c r="G211" s="177"/>
      <c r="H211" s="177"/>
      <c r="I211" s="177"/>
      <c r="J211" s="177"/>
      <c r="K211" s="177"/>
    </row>
    <row r="212">
      <c r="A212" s="189"/>
      <c r="B212" s="177"/>
      <c r="C212" s="189"/>
      <c r="D212" s="177"/>
      <c r="E212" s="193"/>
      <c r="F212" s="177"/>
      <c r="G212" s="177"/>
      <c r="H212" s="177"/>
      <c r="I212" s="177"/>
      <c r="J212" s="177"/>
      <c r="K212" s="177"/>
    </row>
    <row r="213">
      <c r="A213" s="189"/>
      <c r="B213" s="177"/>
      <c r="C213" s="189"/>
      <c r="D213" s="177"/>
      <c r="E213" s="193"/>
      <c r="F213" s="177"/>
      <c r="G213" s="177"/>
      <c r="H213" s="177"/>
      <c r="I213" s="177"/>
      <c r="J213" s="177"/>
      <c r="K213" s="177"/>
    </row>
    <row r="214">
      <c r="A214" s="189"/>
      <c r="B214" s="177"/>
      <c r="C214" s="189"/>
      <c r="D214" s="177"/>
      <c r="E214" s="193"/>
      <c r="F214" s="177"/>
      <c r="G214" s="177"/>
      <c r="H214" s="177"/>
      <c r="I214" s="177"/>
      <c r="J214" s="177"/>
      <c r="K214" s="177"/>
    </row>
    <row r="215">
      <c r="A215" s="189"/>
      <c r="B215" s="177"/>
      <c r="C215" s="189"/>
      <c r="D215" s="177"/>
      <c r="E215" s="193"/>
      <c r="F215" s="177"/>
      <c r="G215" s="177"/>
      <c r="H215" s="177"/>
      <c r="I215" s="177"/>
      <c r="J215" s="177"/>
      <c r="K215" s="177"/>
    </row>
    <row r="216">
      <c r="A216" s="189"/>
      <c r="B216" s="177"/>
      <c r="C216" s="189"/>
      <c r="D216" s="177"/>
      <c r="E216" s="193"/>
      <c r="F216" s="177"/>
      <c r="G216" s="177"/>
      <c r="H216" s="177"/>
      <c r="I216" s="177"/>
      <c r="J216" s="177"/>
      <c r="K216" s="177"/>
    </row>
    <row r="217">
      <c r="A217" s="189"/>
      <c r="B217" s="177"/>
      <c r="C217" s="189"/>
      <c r="D217" s="177"/>
      <c r="E217" s="193"/>
      <c r="F217" s="177"/>
      <c r="G217" s="177"/>
      <c r="H217" s="177"/>
      <c r="I217" s="177"/>
      <c r="J217" s="177"/>
      <c r="K217" s="177"/>
    </row>
    <row r="218">
      <c r="A218" s="189"/>
      <c r="B218" s="177"/>
      <c r="C218" s="189"/>
      <c r="D218" s="177"/>
      <c r="E218" s="193"/>
      <c r="F218" s="177"/>
      <c r="G218" s="177"/>
      <c r="H218" s="177"/>
      <c r="I218" s="177"/>
      <c r="J218" s="177"/>
      <c r="K218" s="177"/>
    </row>
    <row r="219">
      <c r="A219" s="189"/>
      <c r="B219" s="177"/>
      <c r="C219" s="189"/>
      <c r="D219" s="177"/>
      <c r="E219" s="193"/>
      <c r="F219" s="177"/>
      <c r="G219" s="177"/>
      <c r="H219" s="177"/>
      <c r="I219" s="177"/>
      <c r="J219" s="177"/>
      <c r="K219" s="177"/>
    </row>
    <row r="220">
      <c r="A220" s="189"/>
      <c r="B220" s="177"/>
      <c r="C220" s="189"/>
      <c r="D220" s="177"/>
      <c r="E220" s="193"/>
      <c r="F220" s="177"/>
      <c r="G220" s="177"/>
      <c r="H220" s="177"/>
      <c r="I220" s="177"/>
      <c r="J220" s="177"/>
      <c r="K220" s="177"/>
    </row>
    <row r="221">
      <c r="A221" s="189"/>
      <c r="B221" s="177"/>
      <c r="C221" s="189"/>
      <c r="D221" s="177"/>
      <c r="E221" s="193"/>
      <c r="F221" s="177"/>
      <c r="G221" s="177"/>
      <c r="H221" s="177"/>
      <c r="I221" s="177"/>
      <c r="J221" s="177"/>
      <c r="K221" s="177"/>
    </row>
    <row r="222">
      <c r="A222" s="189"/>
      <c r="B222" s="177"/>
      <c r="C222" s="189"/>
      <c r="D222" s="177"/>
      <c r="E222" s="193"/>
      <c r="F222" s="177"/>
      <c r="G222" s="177"/>
      <c r="H222" s="177"/>
      <c r="I222" s="177"/>
      <c r="J222" s="177"/>
      <c r="K222" s="177"/>
    </row>
    <row r="223">
      <c r="A223" s="189"/>
      <c r="B223" s="177"/>
      <c r="C223" s="189"/>
      <c r="D223" s="177"/>
      <c r="E223" s="193"/>
      <c r="F223" s="177"/>
      <c r="G223" s="177"/>
      <c r="H223" s="177"/>
      <c r="I223" s="177"/>
      <c r="J223" s="177"/>
      <c r="K223" s="177"/>
    </row>
    <row r="224">
      <c r="A224" s="189"/>
      <c r="B224" s="177"/>
      <c r="C224" s="189"/>
      <c r="D224" s="177"/>
      <c r="E224" s="193"/>
      <c r="F224" s="177"/>
      <c r="G224" s="177"/>
      <c r="H224" s="177"/>
      <c r="I224" s="177"/>
      <c r="J224" s="177"/>
      <c r="K224" s="177"/>
    </row>
    <row r="225">
      <c r="A225" s="189"/>
      <c r="B225" s="177"/>
      <c r="C225" s="189"/>
      <c r="D225" s="177"/>
      <c r="E225" s="193"/>
      <c r="F225" s="177"/>
      <c r="G225" s="177"/>
      <c r="H225" s="177"/>
      <c r="I225" s="177"/>
      <c r="J225" s="177"/>
      <c r="K225" s="177"/>
    </row>
    <row r="226">
      <c r="A226" s="189"/>
      <c r="B226" s="177"/>
      <c r="C226" s="189"/>
      <c r="D226" s="177"/>
      <c r="E226" s="193"/>
      <c r="F226" s="177"/>
      <c r="G226" s="177"/>
      <c r="H226" s="177"/>
      <c r="I226" s="177"/>
      <c r="J226" s="177"/>
      <c r="K226" s="177"/>
    </row>
    <row r="227">
      <c r="A227" s="189"/>
      <c r="B227" s="177"/>
      <c r="C227" s="189"/>
      <c r="D227" s="177"/>
      <c r="E227" s="193"/>
      <c r="F227" s="177"/>
      <c r="G227" s="177"/>
      <c r="H227" s="177"/>
      <c r="I227" s="177"/>
      <c r="J227" s="177"/>
      <c r="K227" s="177"/>
    </row>
    <row r="228">
      <c r="A228" s="189"/>
      <c r="B228" s="177"/>
      <c r="C228" s="189"/>
      <c r="D228" s="177"/>
      <c r="E228" s="193"/>
      <c r="F228" s="177"/>
      <c r="G228" s="177"/>
      <c r="H228" s="177"/>
      <c r="I228" s="177"/>
      <c r="J228" s="177"/>
      <c r="K228" s="177"/>
    </row>
    <row r="229">
      <c r="A229" s="189"/>
      <c r="B229" s="177"/>
      <c r="C229" s="189"/>
      <c r="D229" s="177"/>
      <c r="E229" s="193"/>
      <c r="F229" s="177"/>
      <c r="G229" s="177"/>
      <c r="H229" s="177"/>
      <c r="I229" s="177"/>
      <c r="J229" s="177"/>
      <c r="K229" s="177"/>
    </row>
    <row r="230">
      <c r="A230" s="189"/>
      <c r="B230" s="177"/>
      <c r="C230" s="189"/>
      <c r="D230" s="177"/>
      <c r="E230" s="193"/>
      <c r="F230" s="177"/>
      <c r="G230" s="177"/>
      <c r="H230" s="177"/>
      <c r="I230" s="177"/>
      <c r="J230" s="177"/>
      <c r="K230" s="177"/>
    </row>
    <row r="231">
      <c r="A231" s="189"/>
      <c r="B231" s="177"/>
      <c r="C231" s="189"/>
      <c r="D231" s="177"/>
      <c r="E231" s="193"/>
      <c r="F231" s="177"/>
      <c r="G231" s="177"/>
      <c r="H231" s="177"/>
      <c r="I231" s="177"/>
      <c r="J231" s="177"/>
      <c r="K231" s="177"/>
    </row>
    <row r="232">
      <c r="A232" s="189"/>
      <c r="B232" s="177"/>
      <c r="C232" s="189"/>
      <c r="D232" s="177"/>
      <c r="E232" s="193"/>
      <c r="F232" s="177"/>
      <c r="G232" s="177"/>
      <c r="H232" s="177"/>
      <c r="I232" s="177"/>
      <c r="J232" s="177"/>
      <c r="K232" s="177"/>
    </row>
    <row r="233">
      <c r="A233" s="189"/>
      <c r="B233" s="177"/>
      <c r="C233" s="189"/>
      <c r="D233" s="177"/>
      <c r="E233" s="193"/>
      <c r="F233" s="177"/>
      <c r="G233" s="177"/>
      <c r="H233" s="177"/>
      <c r="I233" s="177"/>
      <c r="J233" s="177"/>
      <c r="K233" s="177"/>
    </row>
    <row r="234">
      <c r="A234" s="189"/>
      <c r="B234" s="177"/>
      <c r="C234" s="189"/>
      <c r="D234" s="177"/>
      <c r="E234" s="193"/>
      <c r="F234" s="177"/>
      <c r="G234" s="177"/>
      <c r="H234" s="177"/>
      <c r="I234" s="177"/>
      <c r="J234" s="177"/>
      <c r="K234" s="177"/>
    </row>
    <row r="235">
      <c r="A235" s="189"/>
      <c r="B235" s="177"/>
      <c r="C235" s="189"/>
      <c r="D235" s="177"/>
      <c r="E235" s="193"/>
      <c r="F235" s="177"/>
      <c r="G235" s="177"/>
      <c r="H235" s="177"/>
      <c r="I235" s="177"/>
      <c r="J235" s="177"/>
      <c r="K235" s="177"/>
    </row>
    <row r="236">
      <c r="A236" s="189"/>
      <c r="B236" s="177"/>
      <c r="C236" s="189"/>
      <c r="D236" s="177"/>
      <c r="E236" s="193"/>
      <c r="F236" s="177"/>
      <c r="G236" s="177"/>
      <c r="H236" s="177"/>
      <c r="I236" s="177"/>
      <c r="J236" s="177"/>
      <c r="K236" s="177"/>
    </row>
    <row r="237">
      <c r="A237" s="189"/>
      <c r="B237" s="177"/>
      <c r="C237" s="189"/>
      <c r="D237" s="177"/>
      <c r="E237" s="193"/>
      <c r="F237" s="177"/>
      <c r="G237" s="177"/>
      <c r="H237" s="177"/>
      <c r="I237" s="177"/>
      <c r="J237" s="177"/>
      <c r="K237" s="177"/>
    </row>
    <row r="238">
      <c r="A238" s="189"/>
      <c r="B238" s="177"/>
      <c r="C238" s="189"/>
      <c r="D238" s="177"/>
      <c r="E238" s="193"/>
      <c r="F238" s="177"/>
      <c r="G238" s="177"/>
      <c r="H238" s="177"/>
      <c r="I238" s="177"/>
      <c r="J238" s="177"/>
      <c r="K238" s="177"/>
    </row>
    <row r="239">
      <c r="A239" s="189"/>
      <c r="B239" s="177"/>
      <c r="C239" s="189"/>
      <c r="D239" s="177"/>
      <c r="E239" s="193"/>
      <c r="F239" s="177"/>
      <c r="G239" s="177"/>
      <c r="H239" s="177"/>
      <c r="I239" s="177"/>
      <c r="J239" s="177"/>
      <c r="K239" s="177"/>
    </row>
    <row r="240">
      <c r="A240" s="189"/>
      <c r="B240" s="177"/>
      <c r="C240" s="189"/>
      <c r="D240" s="177"/>
      <c r="E240" s="193"/>
      <c r="F240" s="177"/>
      <c r="G240" s="177"/>
      <c r="H240" s="177"/>
      <c r="I240" s="177"/>
      <c r="J240" s="177"/>
      <c r="K240" s="177"/>
    </row>
    <row r="241">
      <c r="A241" s="189"/>
      <c r="B241" s="177"/>
      <c r="C241" s="189"/>
      <c r="D241" s="177"/>
      <c r="E241" s="193"/>
      <c r="F241" s="177"/>
      <c r="G241" s="177"/>
      <c r="H241" s="177"/>
      <c r="I241" s="177"/>
      <c r="J241" s="177"/>
      <c r="K241" s="177"/>
    </row>
    <row r="242">
      <c r="A242" s="189"/>
      <c r="B242" s="177"/>
      <c r="C242" s="189"/>
      <c r="D242" s="177"/>
      <c r="E242" s="193"/>
      <c r="F242" s="177"/>
      <c r="G242" s="177"/>
      <c r="H242" s="177"/>
      <c r="I242" s="177"/>
      <c r="J242" s="177"/>
      <c r="K242" s="177"/>
    </row>
    <row r="243">
      <c r="A243" s="189"/>
      <c r="B243" s="177"/>
      <c r="C243" s="189"/>
      <c r="D243" s="177"/>
      <c r="E243" s="193"/>
      <c r="F243" s="177"/>
      <c r="G243" s="177"/>
      <c r="H243" s="177"/>
      <c r="I243" s="177"/>
      <c r="J243" s="177"/>
      <c r="K243" s="177"/>
    </row>
    <row r="244">
      <c r="A244" s="189"/>
      <c r="B244" s="177"/>
      <c r="C244" s="189"/>
      <c r="D244" s="177"/>
      <c r="E244" s="193"/>
      <c r="F244" s="177"/>
      <c r="G244" s="177"/>
      <c r="H244" s="177"/>
      <c r="I244" s="177"/>
      <c r="J244" s="177"/>
      <c r="K244" s="177"/>
    </row>
    <row r="245">
      <c r="A245" s="189"/>
      <c r="B245" s="177"/>
      <c r="C245" s="189"/>
      <c r="D245" s="177"/>
      <c r="E245" s="193"/>
      <c r="F245" s="177"/>
      <c r="G245" s="177"/>
      <c r="H245" s="177"/>
      <c r="I245" s="177"/>
      <c r="J245" s="177"/>
      <c r="K245" s="177"/>
    </row>
    <row r="246">
      <c r="A246" s="189"/>
      <c r="B246" s="177"/>
      <c r="C246" s="189"/>
      <c r="D246" s="177"/>
      <c r="E246" s="193"/>
      <c r="F246" s="177"/>
      <c r="G246" s="177"/>
      <c r="H246" s="177"/>
      <c r="I246" s="177"/>
      <c r="J246" s="177"/>
      <c r="K246" s="177"/>
    </row>
    <row r="247">
      <c r="A247" s="189"/>
      <c r="B247" s="177"/>
      <c r="C247" s="189"/>
      <c r="D247" s="177"/>
      <c r="E247" s="193"/>
      <c r="F247" s="177"/>
      <c r="G247" s="177"/>
      <c r="H247" s="177"/>
      <c r="I247" s="177"/>
      <c r="J247" s="177"/>
      <c r="K247" s="177"/>
    </row>
    <row r="248">
      <c r="A248" s="189"/>
      <c r="B248" s="177"/>
      <c r="C248" s="189"/>
      <c r="D248" s="177"/>
      <c r="E248" s="193"/>
      <c r="F248" s="177"/>
      <c r="G248" s="177"/>
      <c r="H248" s="177"/>
      <c r="I248" s="177"/>
      <c r="J248" s="177"/>
      <c r="K248" s="177"/>
    </row>
    <row r="249">
      <c r="A249" s="189"/>
      <c r="B249" s="177"/>
      <c r="C249" s="189"/>
      <c r="D249" s="177"/>
      <c r="E249" s="193"/>
      <c r="F249" s="177"/>
      <c r="G249" s="177"/>
      <c r="H249" s="177"/>
      <c r="I249" s="177"/>
      <c r="J249" s="177"/>
      <c r="K249" s="177"/>
    </row>
    <row r="250">
      <c r="A250" s="189"/>
      <c r="B250" s="177"/>
      <c r="C250" s="189"/>
      <c r="D250" s="177"/>
      <c r="E250" s="193"/>
      <c r="F250" s="177"/>
      <c r="G250" s="177"/>
      <c r="H250" s="177"/>
      <c r="I250" s="177"/>
      <c r="J250" s="177"/>
      <c r="K250" s="177"/>
    </row>
    <row r="251">
      <c r="A251" s="189"/>
      <c r="B251" s="177"/>
      <c r="C251" s="189"/>
      <c r="D251" s="177"/>
      <c r="E251" s="193"/>
      <c r="F251" s="177"/>
      <c r="G251" s="177"/>
      <c r="H251" s="177"/>
      <c r="I251" s="177"/>
      <c r="J251" s="177"/>
      <c r="K251" s="177"/>
    </row>
    <row r="252">
      <c r="A252" s="189"/>
      <c r="B252" s="177"/>
      <c r="C252" s="189"/>
      <c r="D252" s="177"/>
      <c r="E252" s="193"/>
      <c r="F252" s="177"/>
      <c r="G252" s="177"/>
      <c r="H252" s="177"/>
      <c r="I252" s="177"/>
      <c r="J252" s="177"/>
      <c r="K252" s="177"/>
    </row>
    <row r="253">
      <c r="A253" s="189"/>
      <c r="B253" s="177"/>
      <c r="C253" s="189"/>
      <c r="D253" s="177"/>
      <c r="E253" s="193"/>
      <c r="F253" s="177"/>
      <c r="G253" s="177"/>
      <c r="H253" s="177"/>
      <c r="I253" s="177"/>
      <c r="J253" s="177"/>
      <c r="K253" s="177"/>
    </row>
    <row r="254">
      <c r="A254" s="189"/>
      <c r="B254" s="177"/>
      <c r="C254" s="189"/>
      <c r="D254" s="177"/>
      <c r="E254" s="193"/>
      <c r="F254" s="177"/>
      <c r="G254" s="177"/>
      <c r="H254" s="177"/>
      <c r="I254" s="177"/>
      <c r="J254" s="177"/>
      <c r="K254" s="177"/>
    </row>
    <row r="255">
      <c r="A255" s="189"/>
      <c r="B255" s="177"/>
      <c r="C255" s="189"/>
      <c r="D255" s="177"/>
      <c r="E255" s="193"/>
      <c r="F255" s="177"/>
      <c r="G255" s="177"/>
      <c r="H255" s="177"/>
      <c r="I255" s="177"/>
      <c r="J255" s="177"/>
      <c r="K255" s="177"/>
    </row>
    <row r="256">
      <c r="A256" s="189"/>
      <c r="B256" s="177"/>
      <c r="C256" s="189"/>
      <c r="D256" s="177"/>
      <c r="E256" s="193"/>
      <c r="F256" s="177"/>
      <c r="G256" s="177"/>
      <c r="H256" s="177"/>
      <c r="I256" s="177"/>
      <c r="J256" s="177"/>
      <c r="K256" s="177"/>
    </row>
    <row r="257">
      <c r="A257" s="189"/>
      <c r="B257" s="177"/>
      <c r="C257" s="189"/>
      <c r="D257" s="177"/>
      <c r="E257" s="193"/>
      <c r="F257" s="177"/>
      <c r="G257" s="177"/>
      <c r="H257" s="177"/>
      <c r="I257" s="177"/>
      <c r="J257" s="177"/>
      <c r="K257" s="177"/>
    </row>
    <row r="258">
      <c r="A258" s="189"/>
      <c r="B258" s="177"/>
      <c r="C258" s="189"/>
      <c r="D258" s="177"/>
      <c r="E258" s="193"/>
      <c r="F258" s="177"/>
      <c r="G258" s="177"/>
      <c r="H258" s="177"/>
      <c r="I258" s="177"/>
      <c r="J258" s="177"/>
      <c r="K258" s="177"/>
    </row>
    <row r="259">
      <c r="A259" s="189"/>
      <c r="B259" s="177"/>
      <c r="C259" s="189"/>
      <c r="D259" s="177"/>
      <c r="E259" s="193"/>
      <c r="F259" s="177"/>
      <c r="G259" s="177"/>
      <c r="H259" s="177"/>
      <c r="I259" s="177"/>
      <c r="J259" s="177"/>
      <c r="K259" s="177"/>
    </row>
    <row r="260">
      <c r="A260" s="189"/>
      <c r="B260" s="177"/>
      <c r="C260" s="189"/>
      <c r="D260" s="177"/>
      <c r="E260" s="193"/>
      <c r="F260" s="177"/>
      <c r="G260" s="177"/>
      <c r="H260" s="177"/>
      <c r="I260" s="177"/>
      <c r="J260" s="177"/>
      <c r="K260" s="177"/>
    </row>
    <row r="261">
      <c r="A261" s="189"/>
      <c r="B261" s="177"/>
      <c r="C261" s="189"/>
      <c r="D261" s="177"/>
      <c r="E261" s="193"/>
      <c r="F261" s="177"/>
      <c r="G261" s="177"/>
      <c r="H261" s="177"/>
      <c r="I261" s="177"/>
      <c r="J261" s="177"/>
      <c r="K261" s="177"/>
    </row>
    <row r="262">
      <c r="A262" s="189"/>
      <c r="B262" s="177"/>
      <c r="C262" s="189"/>
      <c r="D262" s="177"/>
      <c r="E262" s="193"/>
      <c r="F262" s="177"/>
      <c r="G262" s="177"/>
      <c r="H262" s="177"/>
      <c r="I262" s="177"/>
      <c r="J262" s="177"/>
      <c r="K262" s="177"/>
    </row>
    <row r="263">
      <c r="A263" s="189"/>
      <c r="B263" s="177"/>
      <c r="C263" s="189"/>
      <c r="D263" s="177"/>
      <c r="E263" s="193"/>
      <c r="F263" s="177"/>
      <c r="G263" s="177"/>
      <c r="H263" s="177"/>
      <c r="I263" s="177"/>
      <c r="J263" s="177"/>
      <c r="K263" s="177"/>
    </row>
    <row r="264">
      <c r="A264" s="189"/>
      <c r="B264" s="177"/>
      <c r="C264" s="189"/>
      <c r="D264" s="177"/>
      <c r="E264" s="193"/>
      <c r="F264" s="177"/>
      <c r="G264" s="177"/>
      <c r="H264" s="177"/>
      <c r="I264" s="177"/>
      <c r="J264" s="177"/>
      <c r="K264" s="177"/>
    </row>
    <row r="265">
      <c r="A265" s="189"/>
      <c r="B265" s="177"/>
      <c r="C265" s="189"/>
      <c r="D265" s="177"/>
      <c r="E265" s="193"/>
      <c r="F265" s="177"/>
      <c r="G265" s="177"/>
      <c r="H265" s="177"/>
      <c r="I265" s="177"/>
      <c r="J265" s="177"/>
      <c r="K265" s="177"/>
    </row>
    <row r="266">
      <c r="A266" s="189"/>
      <c r="B266" s="177"/>
      <c r="C266" s="189"/>
      <c r="D266" s="177"/>
      <c r="E266" s="193"/>
      <c r="F266" s="177"/>
      <c r="G266" s="177"/>
      <c r="H266" s="177"/>
      <c r="I266" s="177"/>
      <c r="J266" s="177"/>
      <c r="K266" s="177"/>
    </row>
    <row r="267">
      <c r="A267" s="189"/>
      <c r="B267" s="177"/>
      <c r="C267" s="189"/>
      <c r="D267" s="177"/>
      <c r="E267" s="193"/>
      <c r="F267" s="177"/>
      <c r="G267" s="177"/>
      <c r="H267" s="177"/>
      <c r="I267" s="177"/>
      <c r="J267" s="177"/>
      <c r="K267" s="177"/>
    </row>
    <row r="268">
      <c r="A268" s="189"/>
      <c r="B268" s="177"/>
      <c r="C268" s="189"/>
      <c r="D268" s="177"/>
      <c r="E268" s="193"/>
      <c r="F268" s="177"/>
      <c r="G268" s="177"/>
      <c r="H268" s="177"/>
      <c r="I268" s="177"/>
      <c r="J268" s="177"/>
      <c r="K268" s="177"/>
    </row>
    <row r="269">
      <c r="A269" s="189"/>
      <c r="B269" s="177"/>
      <c r="C269" s="189"/>
      <c r="D269" s="177"/>
      <c r="E269" s="193"/>
      <c r="F269" s="177"/>
      <c r="G269" s="177"/>
      <c r="H269" s="177"/>
      <c r="I269" s="177"/>
      <c r="J269" s="177"/>
      <c r="K269" s="177"/>
    </row>
    <row r="270">
      <c r="A270" s="189"/>
      <c r="B270" s="177"/>
      <c r="C270" s="189"/>
      <c r="D270" s="177"/>
      <c r="E270" s="193"/>
      <c r="F270" s="177"/>
      <c r="G270" s="177"/>
      <c r="H270" s="177"/>
      <c r="I270" s="177"/>
      <c r="J270" s="177"/>
      <c r="K270" s="177"/>
    </row>
    <row r="271">
      <c r="A271" s="189"/>
      <c r="B271" s="177"/>
      <c r="C271" s="189"/>
      <c r="D271" s="177"/>
      <c r="E271" s="193"/>
      <c r="F271" s="177"/>
      <c r="G271" s="177"/>
      <c r="H271" s="177"/>
      <c r="I271" s="177"/>
      <c r="J271" s="177"/>
      <c r="K271" s="177"/>
    </row>
    <row r="272">
      <c r="A272" s="189"/>
      <c r="B272" s="177"/>
      <c r="C272" s="189"/>
      <c r="D272" s="177"/>
      <c r="E272" s="193"/>
      <c r="F272" s="177"/>
      <c r="G272" s="177"/>
      <c r="H272" s="177"/>
      <c r="I272" s="177"/>
      <c r="J272" s="177"/>
      <c r="K272" s="177"/>
    </row>
    <row r="273">
      <c r="A273" s="189"/>
      <c r="B273" s="177"/>
      <c r="C273" s="189"/>
      <c r="D273" s="177"/>
      <c r="E273" s="193"/>
      <c r="F273" s="177"/>
      <c r="G273" s="177"/>
      <c r="H273" s="177"/>
      <c r="I273" s="177"/>
      <c r="J273" s="177"/>
      <c r="K273" s="177"/>
    </row>
    <row r="274">
      <c r="A274" s="189"/>
      <c r="B274" s="177"/>
      <c r="C274" s="189"/>
      <c r="D274" s="177"/>
      <c r="E274" s="193"/>
      <c r="F274" s="177"/>
      <c r="G274" s="177"/>
      <c r="H274" s="177"/>
      <c r="I274" s="177"/>
      <c r="J274" s="177"/>
      <c r="K274" s="177"/>
    </row>
    <row r="275">
      <c r="A275" s="189"/>
      <c r="B275" s="177"/>
      <c r="C275" s="189"/>
      <c r="D275" s="177"/>
      <c r="E275" s="193"/>
      <c r="F275" s="177"/>
      <c r="G275" s="177"/>
      <c r="H275" s="177"/>
      <c r="I275" s="177"/>
      <c r="J275" s="177"/>
      <c r="K275" s="177"/>
    </row>
    <row r="276">
      <c r="A276" s="189"/>
      <c r="B276" s="177"/>
      <c r="C276" s="189"/>
      <c r="D276" s="177"/>
      <c r="E276" s="193"/>
      <c r="F276" s="177"/>
      <c r="G276" s="177"/>
      <c r="H276" s="177"/>
      <c r="I276" s="177"/>
      <c r="J276" s="177"/>
      <c r="K276" s="177"/>
    </row>
    <row r="277">
      <c r="A277" s="189"/>
      <c r="B277" s="177"/>
      <c r="C277" s="189"/>
      <c r="D277" s="177"/>
      <c r="E277" s="193"/>
      <c r="F277" s="177"/>
      <c r="G277" s="177"/>
      <c r="H277" s="177"/>
      <c r="I277" s="177"/>
      <c r="J277" s="177"/>
      <c r="K277" s="177"/>
    </row>
    <row r="278">
      <c r="A278" s="189"/>
      <c r="B278" s="177"/>
      <c r="C278" s="189"/>
      <c r="D278" s="177"/>
      <c r="E278" s="193"/>
      <c r="F278" s="177"/>
      <c r="G278" s="177"/>
      <c r="H278" s="177"/>
      <c r="I278" s="177"/>
      <c r="J278" s="177"/>
      <c r="K278" s="177"/>
    </row>
    <row r="279">
      <c r="A279" s="189"/>
      <c r="B279" s="177"/>
      <c r="C279" s="189"/>
      <c r="D279" s="177"/>
      <c r="E279" s="193"/>
      <c r="F279" s="177"/>
      <c r="G279" s="177"/>
      <c r="H279" s="177"/>
      <c r="I279" s="177"/>
      <c r="J279" s="177"/>
      <c r="K279" s="177"/>
    </row>
    <row r="280">
      <c r="A280" s="189"/>
      <c r="B280" s="177"/>
      <c r="C280" s="189"/>
      <c r="D280" s="177"/>
      <c r="E280" s="193"/>
      <c r="F280" s="177"/>
      <c r="G280" s="177"/>
      <c r="H280" s="177"/>
      <c r="I280" s="177"/>
      <c r="J280" s="177"/>
      <c r="K280" s="177"/>
    </row>
    <row r="281">
      <c r="A281" s="189"/>
      <c r="B281" s="177"/>
      <c r="C281" s="189"/>
      <c r="D281" s="177"/>
      <c r="E281" s="193"/>
      <c r="F281" s="177"/>
      <c r="G281" s="177"/>
      <c r="H281" s="177"/>
      <c r="I281" s="177"/>
      <c r="J281" s="177"/>
      <c r="K281" s="177"/>
    </row>
    <row r="282">
      <c r="A282" s="189"/>
      <c r="B282" s="177"/>
      <c r="C282" s="189"/>
      <c r="D282" s="177"/>
      <c r="E282" s="193"/>
      <c r="F282" s="177"/>
      <c r="G282" s="177"/>
      <c r="H282" s="177"/>
      <c r="I282" s="177"/>
      <c r="J282" s="177"/>
      <c r="K282" s="177"/>
    </row>
    <row r="283">
      <c r="A283" s="189"/>
      <c r="B283" s="177"/>
      <c r="C283" s="189"/>
      <c r="D283" s="177"/>
      <c r="E283" s="193"/>
      <c r="F283" s="177"/>
      <c r="G283" s="177"/>
      <c r="H283" s="177"/>
      <c r="I283" s="177"/>
      <c r="J283" s="177"/>
      <c r="K283" s="177"/>
    </row>
    <row r="284">
      <c r="A284" s="189"/>
      <c r="B284" s="177"/>
      <c r="C284" s="189"/>
      <c r="D284" s="177"/>
      <c r="E284" s="193"/>
      <c r="F284" s="177"/>
      <c r="G284" s="177"/>
      <c r="H284" s="177"/>
      <c r="I284" s="177"/>
      <c r="J284" s="177"/>
      <c r="K284" s="177"/>
    </row>
    <row r="285">
      <c r="A285" s="189"/>
      <c r="B285" s="177"/>
      <c r="C285" s="189"/>
      <c r="D285" s="177"/>
      <c r="E285" s="193"/>
      <c r="F285" s="177"/>
      <c r="G285" s="177"/>
      <c r="H285" s="177"/>
      <c r="I285" s="177"/>
      <c r="J285" s="177"/>
      <c r="K285" s="177"/>
    </row>
    <row r="286">
      <c r="A286" s="189"/>
      <c r="B286" s="177"/>
      <c r="C286" s="189"/>
      <c r="D286" s="177"/>
      <c r="E286" s="193"/>
      <c r="F286" s="177"/>
      <c r="G286" s="177"/>
      <c r="H286" s="177"/>
      <c r="I286" s="177"/>
      <c r="J286" s="177"/>
      <c r="K286" s="177"/>
    </row>
    <row r="287">
      <c r="A287" s="189"/>
      <c r="B287" s="177"/>
      <c r="C287" s="189"/>
      <c r="D287" s="177"/>
      <c r="E287" s="193"/>
      <c r="F287" s="177"/>
      <c r="G287" s="177"/>
      <c r="H287" s="177"/>
      <c r="I287" s="177"/>
      <c r="J287" s="177"/>
      <c r="K287" s="177"/>
    </row>
    <row r="288">
      <c r="A288" s="189"/>
      <c r="B288" s="177"/>
      <c r="C288" s="189"/>
      <c r="D288" s="177"/>
      <c r="E288" s="193"/>
      <c r="F288" s="177"/>
      <c r="G288" s="177"/>
      <c r="H288" s="177"/>
      <c r="I288" s="177"/>
      <c r="J288" s="177"/>
      <c r="K288" s="177"/>
    </row>
    <row r="289">
      <c r="A289" s="189"/>
      <c r="B289" s="177"/>
      <c r="C289" s="189"/>
      <c r="D289" s="177"/>
      <c r="E289" s="193"/>
      <c r="F289" s="177"/>
      <c r="G289" s="177"/>
      <c r="H289" s="177"/>
      <c r="I289" s="177"/>
      <c r="J289" s="177"/>
      <c r="K289" s="177"/>
    </row>
    <row r="290">
      <c r="A290" s="189"/>
      <c r="B290" s="177"/>
      <c r="C290" s="189"/>
      <c r="D290" s="177"/>
      <c r="E290" s="193"/>
      <c r="F290" s="177"/>
      <c r="G290" s="177"/>
      <c r="H290" s="177"/>
      <c r="I290" s="177"/>
      <c r="J290" s="177"/>
      <c r="K290" s="177"/>
    </row>
    <row r="291">
      <c r="A291" s="189"/>
      <c r="B291" s="177"/>
      <c r="C291" s="189"/>
      <c r="D291" s="177"/>
      <c r="E291" s="193"/>
      <c r="F291" s="177"/>
      <c r="G291" s="177"/>
      <c r="H291" s="177"/>
      <c r="I291" s="177"/>
      <c r="J291" s="177"/>
      <c r="K291" s="177"/>
    </row>
    <row r="292">
      <c r="A292" s="189"/>
      <c r="B292" s="177"/>
      <c r="C292" s="189"/>
      <c r="D292" s="177"/>
      <c r="E292" s="193"/>
      <c r="F292" s="177"/>
      <c r="G292" s="177"/>
      <c r="H292" s="177"/>
      <c r="I292" s="177"/>
      <c r="J292" s="177"/>
      <c r="K292" s="177"/>
    </row>
    <row r="293">
      <c r="A293" s="189"/>
      <c r="B293" s="177"/>
      <c r="C293" s="189"/>
      <c r="D293" s="177"/>
      <c r="E293" s="193"/>
      <c r="F293" s="177"/>
      <c r="G293" s="177"/>
      <c r="H293" s="177"/>
      <c r="I293" s="177"/>
      <c r="J293" s="177"/>
      <c r="K293" s="177"/>
    </row>
    <row r="294">
      <c r="A294" s="189"/>
      <c r="B294" s="177"/>
      <c r="C294" s="189"/>
      <c r="D294" s="177"/>
      <c r="E294" s="193"/>
      <c r="F294" s="177"/>
      <c r="G294" s="177"/>
      <c r="H294" s="177"/>
      <c r="I294" s="177"/>
      <c r="J294" s="177"/>
      <c r="K294" s="177"/>
    </row>
    <row r="295">
      <c r="A295" s="189"/>
      <c r="B295" s="177"/>
      <c r="C295" s="189"/>
      <c r="D295" s="177"/>
      <c r="E295" s="193"/>
      <c r="F295" s="177"/>
      <c r="G295" s="177"/>
      <c r="H295" s="177"/>
      <c r="I295" s="177"/>
      <c r="J295" s="177"/>
      <c r="K295" s="177"/>
    </row>
    <row r="296">
      <c r="A296" s="189"/>
      <c r="B296" s="177"/>
      <c r="C296" s="189"/>
      <c r="D296" s="177"/>
      <c r="E296" s="193"/>
      <c r="F296" s="177"/>
      <c r="G296" s="177"/>
      <c r="H296" s="177"/>
      <c r="I296" s="177"/>
      <c r="J296" s="177"/>
      <c r="K296" s="177"/>
    </row>
    <row r="297">
      <c r="A297" s="189"/>
      <c r="B297" s="177"/>
      <c r="C297" s="189"/>
      <c r="D297" s="177"/>
      <c r="E297" s="193"/>
      <c r="F297" s="177"/>
      <c r="G297" s="177"/>
      <c r="H297" s="177"/>
      <c r="I297" s="177"/>
      <c r="J297" s="177"/>
      <c r="K297" s="177"/>
    </row>
    <row r="298">
      <c r="A298" s="189"/>
      <c r="B298" s="177"/>
      <c r="C298" s="189"/>
      <c r="D298" s="177"/>
      <c r="E298" s="193"/>
      <c r="F298" s="177"/>
      <c r="G298" s="177"/>
      <c r="H298" s="177"/>
      <c r="I298" s="177"/>
      <c r="J298" s="177"/>
      <c r="K298" s="177"/>
    </row>
    <row r="299">
      <c r="A299" s="189"/>
      <c r="B299" s="177"/>
      <c r="C299" s="189"/>
      <c r="D299" s="177"/>
      <c r="E299" s="193"/>
      <c r="F299" s="177"/>
      <c r="G299" s="177"/>
      <c r="H299" s="177"/>
      <c r="I299" s="177"/>
      <c r="J299" s="177"/>
      <c r="K299" s="177"/>
    </row>
    <row r="300">
      <c r="A300" s="189"/>
      <c r="B300" s="177"/>
      <c r="C300" s="189"/>
      <c r="D300" s="177"/>
      <c r="E300" s="193"/>
      <c r="F300" s="177"/>
      <c r="G300" s="177"/>
      <c r="H300" s="177"/>
      <c r="I300" s="177"/>
      <c r="J300" s="177"/>
      <c r="K300" s="177"/>
    </row>
    <row r="301">
      <c r="A301" s="189"/>
      <c r="B301" s="177"/>
      <c r="C301" s="189"/>
      <c r="D301" s="177"/>
      <c r="E301" s="193"/>
      <c r="F301" s="177"/>
      <c r="G301" s="177"/>
      <c r="H301" s="177"/>
      <c r="I301" s="177"/>
      <c r="J301" s="177"/>
      <c r="K301" s="177"/>
    </row>
    <row r="302">
      <c r="A302" s="189"/>
      <c r="B302" s="177"/>
      <c r="C302" s="189"/>
      <c r="D302" s="177"/>
      <c r="E302" s="193"/>
      <c r="F302" s="177"/>
      <c r="G302" s="177"/>
      <c r="H302" s="177"/>
      <c r="I302" s="177"/>
      <c r="J302" s="177"/>
      <c r="K302" s="177"/>
    </row>
    <row r="303">
      <c r="A303" s="189"/>
      <c r="B303" s="177"/>
      <c r="C303" s="189"/>
      <c r="D303" s="177"/>
      <c r="E303" s="193"/>
      <c r="F303" s="177"/>
      <c r="G303" s="177"/>
      <c r="H303" s="177"/>
      <c r="I303" s="177"/>
      <c r="J303" s="177"/>
      <c r="K303" s="177"/>
    </row>
    <row r="304">
      <c r="A304" s="189"/>
      <c r="B304" s="177"/>
      <c r="C304" s="189"/>
      <c r="D304" s="177"/>
      <c r="E304" s="193"/>
      <c r="F304" s="177"/>
      <c r="G304" s="177"/>
      <c r="H304" s="177"/>
      <c r="I304" s="177"/>
      <c r="J304" s="177"/>
      <c r="K304" s="177"/>
    </row>
    <row r="305">
      <c r="A305" s="189"/>
      <c r="B305" s="177"/>
      <c r="C305" s="189"/>
      <c r="D305" s="177"/>
      <c r="E305" s="193"/>
      <c r="F305" s="177"/>
      <c r="G305" s="177"/>
      <c r="H305" s="177"/>
      <c r="I305" s="177"/>
      <c r="J305" s="177"/>
      <c r="K305" s="177"/>
    </row>
    <row r="306">
      <c r="A306" s="189"/>
      <c r="B306" s="177"/>
      <c r="C306" s="189"/>
      <c r="D306" s="177"/>
      <c r="E306" s="193"/>
      <c r="F306" s="177"/>
      <c r="G306" s="177"/>
      <c r="H306" s="177"/>
      <c r="I306" s="177"/>
      <c r="J306" s="177"/>
      <c r="K306" s="177"/>
    </row>
    <row r="307">
      <c r="A307" s="189"/>
      <c r="B307" s="177"/>
      <c r="C307" s="189"/>
      <c r="D307" s="177"/>
      <c r="E307" s="193"/>
      <c r="F307" s="177"/>
      <c r="G307" s="177"/>
      <c r="H307" s="177"/>
      <c r="I307" s="177"/>
      <c r="J307" s="177"/>
      <c r="K307" s="177"/>
    </row>
    <row r="308">
      <c r="A308" s="189"/>
      <c r="B308" s="177"/>
      <c r="C308" s="189"/>
      <c r="D308" s="177"/>
      <c r="E308" s="193"/>
      <c r="F308" s="177"/>
      <c r="G308" s="177"/>
      <c r="H308" s="177"/>
      <c r="I308" s="177"/>
      <c r="J308" s="177"/>
      <c r="K308" s="177"/>
    </row>
    <row r="309">
      <c r="A309" s="189"/>
      <c r="B309" s="177"/>
      <c r="C309" s="189"/>
      <c r="D309" s="177"/>
      <c r="E309" s="193"/>
      <c r="F309" s="177"/>
      <c r="G309" s="177"/>
      <c r="H309" s="177"/>
      <c r="I309" s="177"/>
      <c r="J309" s="177"/>
      <c r="K309" s="177"/>
    </row>
    <row r="310">
      <c r="A310" s="189"/>
      <c r="B310" s="177"/>
      <c r="C310" s="189"/>
      <c r="D310" s="177"/>
      <c r="E310" s="193"/>
      <c r="F310" s="177"/>
      <c r="G310" s="177"/>
      <c r="H310" s="177"/>
      <c r="I310" s="177"/>
      <c r="J310" s="177"/>
      <c r="K310" s="177"/>
    </row>
    <row r="311">
      <c r="A311" s="189"/>
      <c r="B311" s="177"/>
      <c r="C311" s="189"/>
      <c r="D311" s="177"/>
      <c r="E311" s="193"/>
      <c r="F311" s="177"/>
      <c r="G311" s="177"/>
      <c r="H311" s="177"/>
      <c r="I311" s="177"/>
      <c r="J311" s="177"/>
      <c r="K311" s="177"/>
    </row>
    <row r="312">
      <c r="A312" s="189"/>
      <c r="B312" s="177"/>
      <c r="C312" s="189"/>
      <c r="D312" s="177"/>
      <c r="E312" s="193"/>
      <c r="F312" s="177"/>
      <c r="G312" s="177"/>
      <c r="H312" s="177"/>
      <c r="I312" s="177"/>
      <c r="J312" s="177"/>
      <c r="K312" s="177"/>
    </row>
    <row r="313">
      <c r="A313" s="189"/>
      <c r="B313" s="177"/>
      <c r="C313" s="189"/>
      <c r="D313" s="177"/>
      <c r="E313" s="193"/>
      <c r="F313" s="177"/>
      <c r="G313" s="177"/>
      <c r="H313" s="177"/>
      <c r="I313" s="177"/>
      <c r="J313" s="177"/>
      <c r="K313" s="177"/>
    </row>
    <row r="314">
      <c r="A314" s="189"/>
      <c r="B314" s="177"/>
      <c r="C314" s="189"/>
      <c r="D314" s="177"/>
      <c r="E314" s="193"/>
      <c r="F314" s="177"/>
      <c r="G314" s="177"/>
      <c r="H314" s="177"/>
      <c r="I314" s="177"/>
      <c r="J314" s="177"/>
      <c r="K314" s="177"/>
    </row>
    <row r="315">
      <c r="A315" s="189"/>
      <c r="B315" s="177"/>
      <c r="C315" s="189"/>
      <c r="D315" s="177"/>
      <c r="E315" s="193"/>
      <c r="F315" s="177"/>
      <c r="G315" s="177"/>
      <c r="H315" s="177"/>
      <c r="I315" s="177"/>
      <c r="J315" s="177"/>
      <c r="K315" s="177"/>
    </row>
    <row r="316">
      <c r="A316" s="189"/>
      <c r="B316" s="177"/>
      <c r="C316" s="189"/>
      <c r="D316" s="177"/>
      <c r="E316" s="193"/>
      <c r="F316" s="177"/>
      <c r="G316" s="177"/>
      <c r="H316" s="177"/>
      <c r="I316" s="177"/>
      <c r="J316" s="177"/>
      <c r="K316" s="177"/>
    </row>
    <row r="317">
      <c r="A317" s="189"/>
      <c r="B317" s="177"/>
      <c r="C317" s="189"/>
      <c r="D317" s="177"/>
      <c r="E317" s="193"/>
      <c r="F317" s="177"/>
      <c r="G317" s="177"/>
      <c r="H317" s="177"/>
      <c r="I317" s="177"/>
      <c r="J317" s="177"/>
      <c r="K317" s="177"/>
    </row>
    <row r="318">
      <c r="A318" s="189"/>
      <c r="B318" s="177"/>
      <c r="C318" s="189"/>
      <c r="D318" s="177"/>
      <c r="E318" s="193"/>
      <c r="F318" s="177"/>
      <c r="G318" s="177"/>
      <c r="H318" s="177"/>
      <c r="I318" s="177"/>
      <c r="J318" s="177"/>
      <c r="K318" s="177"/>
    </row>
    <row r="319">
      <c r="A319" s="189"/>
      <c r="B319" s="177"/>
      <c r="C319" s="189"/>
      <c r="D319" s="177"/>
      <c r="E319" s="193"/>
      <c r="F319" s="177"/>
      <c r="G319" s="177"/>
      <c r="H319" s="177"/>
      <c r="I319" s="177"/>
      <c r="J319" s="177"/>
      <c r="K319" s="177"/>
    </row>
    <row r="320">
      <c r="A320" s="189"/>
      <c r="B320" s="177"/>
      <c r="C320" s="189"/>
      <c r="D320" s="177"/>
      <c r="E320" s="193"/>
      <c r="F320" s="177"/>
      <c r="G320" s="177"/>
      <c r="H320" s="177"/>
      <c r="I320" s="177"/>
      <c r="J320" s="177"/>
      <c r="K320" s="177"/>
    </row>
    <row r="321">
      <c r="A321" s="189"/>
      <c r="B321" s="177"/>
      <c r="C321" s="189"/>
      <c r="D321" s="177"/>
      <c r="E321" s="193"/>
      <c r="F321" s="177"/>
      <c r="G321" s="177"/>
      <c r="H321" s="177"/>
      <c r="I321" s="177"/>
      <c r="J321" s="177"/>
      <c r="K321" s="177"/>
    </row>
    <row r="322">
      <c r="A322" s="189"/>
      <c r="B322" s="177"/>
      <c r="C322" s="189"/>
      <c r="D322" s="177"/>
      <c r="E322" s="193"/>
      <c r="F322" s="177"/>
      <c r="G322" s="177"/>
      <c r="H322" s="177"/>
      <c r="I322" s="177"/>
      <c r="J322" s="177"/>
      <c r="K322" s="177"/>
    </row>
    <row r="323">
      <c r="A323" s="189"/>
      <c r="B323" s="177"/>
      <c r="C323" s="189"/>
      <c r="D323" s="177"/>
      <c r="E323" s="193"/>
      <c r="F323" s="177"/>
      <c r="G323" s="177"/>
      <c r="H323" s="177"/>
      <c r="I323" s="177"/>
      <c r="J323" s="177"/>
      <c r="K323" s="177"/>
    </row>
    <row r="324">
      <c r="A324" s="189"/>
      <c r="B324" s="177"/>
      <c r="C324" s="189"/>
      <c r="D324" s="177"/>
      <c r="E324" s="193"/>
      <c r="F324" s="177"/>
      <c r="G324" s="177"/>
      <c r="H324" s="177"/>
      <c r="I324" s="177"/>
      <c r="J324" s="177"/>
      <c r="K324" s="177"/>
    </row>
    <row r="325">
      <c r="A325" s="189"/>
      <c r="B325" s="177"/>
      <c r="C325" s="189"/>
      <c r="D325" s="177"/>
      <c r="E325" s="193"/>
      <c r="F325" s="177"/>
      <c r="G325" s="177"/>
      <c r="H325" s="177"/>
      <c r="I325" s="177"/>
      <c r="J325" s="177"/>
      <c r="K325" s="177"/>
    </row>
    <row r="326">
      <c r="A326" s="189"/>
      <c r="B326" s="177"/>
      <c r="C326" s="189"/>
      <c r="D326" s="177"/>
      <c r="E326" s="193"/>
      <c r="F326" s="177"/>
      <c r="G326" s="177"/>
      <c r="H326" s="177"/>
      <c r="I326" s="177"/>
      <c r="J326" s="177"/>
      <c r="K326" s="177"/>
    </row>
    <row r="327">
      <c r="A327" s="189"/>
      <c r="B327" s="177"/>
      <c r="C327" s="189"/>
      <c r="D327" s="177"/>
      <c r="E327" s="193"/>
      <c r="F327" s="177"/>
      <c r="G327" s="177"/>
      <c r="H327" s="177"/>
      <c r="I327" s="177"/>
      <c r="J327" s="177"/>
      <c r="K327" s="177"/>
    </row>
    <row r="328">
      <c r="A328" s="189"/>
      <c r="B328" s="177"/>
      <c r="C328" s="189"/>
      <c r="D328" s="177"/>
      <c r="E328" s="193"/>
      <c r="F328" s="177"/>
      <c r="G328" s="177"/>
      <c r="H328" s="177"/>
      <c r="I328" s="177"/>
      <c r="J328" s="177"/>
      <c r="K328" s="177"/>
    </row>
    <row r="329">
      <c r="A329" s="189"/>
      <c r="B329" s="177"/>
      <c r="C329" s="189"/>
      <c r="D329" s="177"/>
      <c r="E329" s="193"/>
      <c r="F329" s="177"/>
      <c r="G329" s="177"/>
      <c r="H329" s="177"/>
      <c r="I329" s="177"/>
      <c r="J329" s="177"/>
      <c r="K329" s="177"/>
    </row>
    <row r="330">
      <c r="A330" s="189"/>
      <c r="B330" s="177"/>
      <c r="C330" s="189"/>
      <c r="D330" s="177"/>
      <c r="E330" s="193"/>
      <c r="F330" s="177"/>
      <c r="G330" s="177"/>
      <c r="H330" s="177"/>
      <c r="I330" s="177"/>
      <c r="J330" s="177"/>
      <c r="K330" s="177"/>
    </row>
    <row r="331">
      <c r="A331" s="189"/>
      <c r="B331" s="177"/>
      <c r="C331" s="189"/>
      <c r="D331" s="177"/>
      <c r="E331" s="193"/>
      <c r="F331" s="177"/>
      <c r="G331" s="177"/>
      <c r="H331" s="177"/>
      <c r="I331" s="177"/>
      <c r="J331" s="177"/>
      <c r="K331" s="177"/>
    </row>
    <row r="332">
      <c r="A332" s="189"/>
      <c r="B332" s="177"/>
      <c r="C332" s="189"/>
      <c r="D332" s="177"/>
      <c r="E332" s="193"/>
      <c r="F332" s="177"/>
      <c r="G332" s="177"/>
      <c r="H332" s="177"/>
      <c r="I332" s="177"/>
      <c r="J332" s="177"/>
      <c r="K332" s="177"/>
    </row>
    <row r="333">
      <c r="A333" s="189"/>
      <c r="B333" s="177"/>
      <c r="C333" s="189"/>
      <c r="D333" s="177"/>
      <c r="E333" s="193"/>
      <c r="F333" s="177"/>
      <c r="G333" s="177"/>
      <c r="H333" s="177"/>
      <c r="I333" s="177"/>
      <c r="J333" s="177"/>
      <c r="K333" s="177"/>
    </row>
    <row r="334">
      <c r="A334" s="189"/>
      <c r="B334" s="177"/>
      <c r="C334" s="189"/>
      <c r="D334" s="177"/>
      <c r="E334" s="193"/>
      <c r="F334" s="177"/>
      <c r="G334" s="177"/>
      <c r="H334" s="177"/>
      <c r="I334" s="177"/>
      <c r="J334" s="177"/>
      <c r="K334" s="177"/>
    </row>
    <row r="335">
      <c r="A335" s="189"/>
      <c r="B335" s="177"/>
      <c r="C335" s="189"/>
      <c r="D335" s="177"/>
      <c r="E335" s="193"/>
      <c r="F335" s="177"/>
      <c r="G335" s="177"/>
      <c r="H335" s="177"/>
      <c r="I335" s="177"/>
      <c r="J335" s="177"/>
      <c r="K335" s="177"/>
    </row>
    <row r="336">
      <c r="A336" s="189"/>
      <c r="B336" s="177"/>
      <c r="C336" s="189"/>
      <c r="D336" s="177"/>
      <c r="E336" s="193"/>
      <c r="F336" s="177"/>
      <c r="G336" s="177"/>
      <c r="H336" s="177"/>
      <c r="I336" s="177"/>
      <c r="J336" s="177"/>
      <c r="K336" s="177"/>
    </row>
    <row r="337">
      <c r="A337" s="189"/>
      <c r="B337" s="177"/>
      <c r="C337" s="189"/>
      <c r="D337" s="177"/>
      <c r="E337" s="193"/>
      <c r="F337" s="177"/>
      <c r="G337" s="177"/>
      <c r="H337" s="177"/>
      <c r="I337" s="177"/>
      <c r="J337" s="177"/>
      <c r="K337" s="177"/>
    </row>
    <row r="338">
      <c r="A338" s="189"/>
      <c r="B338" s="177"/>
      <c r="C338" s="189"/>
      <c r="D338" s="177"/>
      <c r="E338" s="193"/>
      <c r="F338" s="177"/>
      <c r="G338" s="177"/>
      <c r="H338" s="177"/>
      <c r="I338" s="177"/>
      <c r="J338" s="177"/>
      <c r="K338" s="177"/>
    </row>
    <row r="339">
      <c r="A339" s="189"/>
      <c r="B339" s="177"/>
      <c r="C339" s="189"/>
      <c r="D339" s="177"/>
      <c r="E339" s="193"/>
      <c r="F339" s="177"/>
      <c r="G339" s="177"/>
      <c r="H339" s="177"/>
      <c r="I339" s="177"/>
      <c r="J339" s="177"/>
      <c r="K339" s="177"/>
    </row>
    <row r="340">
      <c r="A340" s="189"/>
      <c r="B340" s="177"/>
      <c r="C340" s="189"/>
      <c r="D340" s="177"/>
      <c r="E340" s="193"/>
      <c r="F340" s="177"/>
      <c r="G340" s="177"/>
      <c r="H340" s="177"/>
      <c r="I340" s="177"/>
      <c r="J340" s="177"/>
      <c r="K340" s="177"/>
    </row>
    <row r="341">
      <c r="A341" s="189"/>
      <c r="B341" s="177"/>
      <c r="C341" s="189"/>
      <c r="D341" s="177"/>
      <c r="E341" s="193"/>
      <c r="F341" s="177"/>
      <c r="G341" s="177"/>
      <c r="H341" s="177"/>
      <c r="I341" s="177"/>
      <c r="J341" s="177"/>
      <c r="K341" s="177"/>
    </row>
    <row r="342">
      <c r="A342" s="189"/>
      <c r="B342" s="177"/>
      <c r="C342" s="189"/>
      <c r="D342" s="177"/>
      <c r="E342" s="193"/>
      <c r="F342" s="177"/>
      <c r="G342" s="177"/>
      <c r="H342" s="177"/>
      <c r="I342" s="177"/>
      <c r="J342" s="177"/>
      <c r="K342" s="177"/>
    </row>
    <row r="343">
      <c r="A343" s="189"/>
      <c r="B343" s="177"/>
      <c r="C343" s="189"/>
      <c r="D343" s="177"/>
      <c r="E343" s="193"/>
      <c r="F343" s="177"/>
      <c r="G343" s="177"/>
      <c r="H343" s="177"/>
      <c r="I343" s="177"/>
      <c r="J343" s="177"/>
      <c r="K343" s="177"/>
    </row>
    <row r="344">
      <c r="A344" s="189"/>
      <c r="B344" s="177"/>
      <c r="C344" s="189"/>
      <c r="D344" s="177"/>
      <c r="E344" s="193"/>
      <c r="F344" s="177"/>
      <c r="G344" s="177"/>
      <c r="H344" s="177"/>
      <c r="I344" s="177"/>
      <c r="J344" s="177"/>
      <c r="K344" s="177"/>
    </row>
    <row r="345">
      <c r="A345" s="189"/>
      <c r="B345" s="177"/>
      <c r="C345" s="189"/>
      <c r="D345" s="177"/>
      <c r="E345" s="193"/>
      <c r="F345" s="177"/>
      <c r="G345" s="177"/>
      <c r="H345" s="177"/>
      <c r="I345" s="177"/>
      <c r="J345" s="177"/>
      <c r="K345" s="177"/>
    </row>
    <row r="346">
      <c r="A346" s="189"/>
      <c r="B346" s="177"/>
      <c r="C346" s="189"/>
      <c r="D346" s="177"/>
      <c r="E346" s="193"/>
      <c r="F346" s="177"/>
      <c r="G346" s="177"/>
      <c r="H346" s="177"/>
      <c r="I346" s="177"/>
      <c r="J346" s="177"/>
      <c r="K346" s="177"/>
    </row>
    <row r="347">
      <c r="A347" s="189"/>
      <c r="B347" s="177"/>
      <c r="C347" s="189"/>
      <c r="D347" s="177"/>
      <c r="E347" s="193"/>
      <c r="F347" s="177"/>
      <c r="G347" s="177"/>
      <c r="H347" s="177"/>
      <c r="I347" s="177"/>
      <c r="J347" s="177"/>
      <c r="K347" s="177"/>
    </row>
    <row r="348">
      <c r="A348" s="189"/>
      <c r="B348" s="177"/>
      <c r="C348" s="189"/>
      <c r="D348" s="177"/>
      <c r="E348" s="193"/>
      <c r="F348" s="177"/>
      <c r="G348" s="177"/>
      <c r="H348" s="177"/>
      <c r="I348" s="177"/>
      <c r="J348" s="177"/>
      <c r="K348" s="177"/>
    </row>
    <row r="349">
      <c r="A349" s="189"/>
      <c r="B349" s="177"/>
      <c r="C349" s="189"/>
      <c r="D349" s="177"/>
      <c r="E349" s="193"/>
      <c r="F349" s="177"/>
      <c r="G349" s="177"/>
      <c r="H349" s="177"/>
      <c r="I349" s="177"/>
      <c r="J349" s="177"/>
      <c r="K349" s="177"/>
    </row>
    <row r="350">
      <c r="A350" s="189"/>
      <c r="B350" s="177"/>
      <c r="C350" s="189"/>
      <c r="D350" s="177"/>
      <c r="E350" s="193"/>
      <c r="F350" s="177"/>
      <c r="G350" s="177"/>
      <c r="H350" s="177"/>
      <c r="I350" s="177"/>
      <c r="J350" s="177"/>
      <c r="K350" s="177"/>
    </row>
    <row r="351">
      <c r="A351" s="189"/>
      <c r="B351" s="177"/>
      <c r="C351" s="189"/>
      <c r="D351" s="177"/>
      <c r="E351" s="193"/>
      <c r="F351" s="177"/>
      <c r="G351" s="177"/>
      <c r="H351" s="177"/>
      <c r="I351" s="177"/>
      <c r="J351" s="177"/>
      <c r="K351" s="177"/>
    </row>
    <row r="352">
      <c r="A352" s="189"/>
      <c r="B352" s="177"/>
      <c r="C352" s="189"/>
      <c r="D352" s="177"/>
      <c r="E352" s="193"/>
      <c r="F352" s="177"/>
      <c r="G352" s="177"/>
      <c r="H352" s="177"/>
      <c r="I352" s="177"/>
      <c r="J352" s="177"/>
      <c r="K352" s="177"/>
    </row>
    <row r="353">
      <c r="A353" s="189"/>
      <c r="B353" s="177"/>
      <c r="C353" s="189"/>
      <c r="D353" s="177"/>
      <c r="E353" s="193"/>
      <c r="F353" s="177"/>
      <c r="G353" s="177"/>
      <c r="H353" s="177"/>
      <c r="I353" s="177"/>
      <c r="J353" s="177"/>
      <c r="K353" s="177"/>
    </row>
    <row r="354">
      <c r="A354" s="189"/>
      <c r="B354" s="177"/>
      <c r="C354" s="189"/>
      <c r="D354" s="177"/>
      <c r="E354" s="193"/>
      <c r="F354" s="177"/>
      <c r="G354" s="177"/>
      <c r="H354" s="177"/>
      <c r="I354" s="177"/>
      <c r="J354" s="177"/>
      <c r="K354" s="177"/>
    </row>
    <row r="355">
      <c r="A355" s="189"/>
      <c r="B355" s="177"/>
      <c r="C355" s="189"/>
      <c r="D355" s="177"/>
      <c r="E355" s="193"/>
      <c r="F355" s="177"/>
      <c r="G355" s="177"/>
      <c r="H355" s="177"/>
      <c r="I355" s="177"/>
      <c r="J355" s="177"/>
      <c r="K355" s="177"/>
    </row>
    <row r="356">
      <c r="A356" s="189"/>
      <c r="B356" s="177"/>
      <c r="C356" s="189"/>
      <c r="D356" s="177"/>
      <c r="E356" s="193"/>
      <c r="F356" s="177"/>
      <c r="G356" s="177"/>
      <c r="H356" s="177"/>
      <c r="I356" s="177"/>
      <c r="J356" s="177"/>
      <c r="K356" s="177"/>
    </row>
    <row r="357">
      <c r="A357" s="189"/>
      <c r="B357" s="177"/>
      <c r="C357" s="189"/>
      <c r="D357" s="177"/>
      <c r="E357" s="193"/>
      <c r="F357" s="177"/>
      <c r="G357" s="177"/>
      <c r="H357" s="177"/>
      <c r="I357" s="177"/>
      <c r="J357" s="177"/>
      <c r="K357" s="177"/>
    </row>
    <row r="358">
      <c r="A358" s="189"/>
      <c r="B358" s="177"/>
      <c r="C358" s="189"/>
      <c r="D358" s="177"/>
      <c r="E358" s="193"/>
      <c r="F358" s="177"/>
      <c r="G358" s="177"/>
      <c r="H358" s="177"/>
      <c r="I358" s="177"/>
      <c r="J358" s="177"/>
      <c r="K358" s="177"/>
    </row>
    <row r="359">
      <c r="A359" s="189"/>
      <c r="B359" s="177"/>
      <c r="C359" s="189"/>
      <c r="D359" s="177"/>
      <c r="E359" s="193"/>
      <c r="F359" s="177"/>
      <c r="G359" s="177"/>
      <c r="H359" s="177"/>
      <c r="I359" s="177"/>
      <c r="J359" s="177"/>
      <c r="K359" s="177"/>
    </row>
    <row r="360">
      <c r="A360" s="189"/>
      <c r="B360" s="177"/>
      <c r="C360" s="189"/>
      <c r="D360" s="177"/>
      <c r="E360" s="193"/>
      <c r="F360" s="177"/>
      <c r="G360" s="177"/>
      <c r="H360" s="177"/>
      <c r="I360" s="177"/>
      <c r="J360" s="177"/>
      <c r="K360" s="177"/>
    </row>
    <row r="361">
      <c r="A361" s="189"/>
      <c r="B361" s="177"/>
      <c r="C361" s="189"/>
      <c r="D361" s="177"/>
      <c r="E361" s="193"/>
      <c r="F361" s="177"/>
      <c r="G361" s="177"/>
      <c r="H361" s="177"/>
      <c r="I361" s="177"/>
      <c r="J361" s="177"/>
      <c r="K361" s="177"/>
    </row>
    <row r="362">
      <c r="A362" s="189"/>
      <c r="B362" s="177"/>
      <c r="C362" s="189"/>
      <c r="D362" s="177"/>
      <c r="E362" s="193"/>
      <c r="F362" s="177"/>
      <c r="G362" s="177"/>
      <c r="H362" s="177"/>
      <c r="I362" s="177"/>
      <c r="J362" s="177"/>
      <c r="K362" s="177"/>
    </row>
    <row r="363">
      <c r="A363" s="189"/>
      <c r="B363" s="177"/>
      <c r="C363" s="189"/>
      <c r="D363" s="177"/>
      <c r="E363" s="193"/>
      <c r="F363" s="177"/>
      <c r="G363" s="177"/>
      <c r="H363" s="177"/>
      <c r="I363" s="177"/>
      <c r="J363" s="177"/>
      <c r="K363" s="177"/>
    </row>
    <row r="364">
      <c r="A364" s="189"/>
      <c r="B364" s="177"/>
      <c r="C364" s="189"/>
      <c r="D364" s="177"/>
      <c r="E364" s="193"/>
      <c r="F364" s="177"/>
      <c r="G364" s="177"/>
      <c r="H364" s="177"/>
      <c r="I364" s="177"/>
      <c r="J364" s="177"/>
      <c r="K364" s="177"/>
    </row>
    <row r="365">
      <c r="A365" s="189"/>
      <c r="B365" s="177"/>
      <c r="C365" s="189"/>
      <c r="D365" s="177"/>
      <c r="E365" s="193"/>
      <c r="F365" s="177"/>
      <c r="G365" s="177"/>
      <c r="H365" s="177"/>
      <c r="I365" s="177"/>
      <c r="J365" s="177"/>
      <c r="K365" s="177"/>
    </row>
    <row r="366">
      <c r="A366" s="189"/>
      <c r="B366" s="177"/>
      <c r="C366" s="189"/>
      <c r="D366" s="177"/>
      <c r="E366" s="193"/>
      <c r="F366" s="177"/>
      <c r="G366" s="177"/>
      <c r="H366" s="177"/>
      <c r="I366" s="177"/>
      <c r="J366" s="177"/>
      <c r="K366" s="177"/>
    </row>
    <row r="367">
      <c r="A367" s="189"/>
      <c r="B367" s="177"/>
      <c r="C367" s="189"/>
      <c r="D367" s="177"/>
      <c r="E367" s="193"/>
      <c r="F367" s="177"/>
      <c r="G367" s="177"/>
      <c r="H367" s="177"/>
      <c r="I367" s="177"/>
      <c r="J367" s="177"/>
      <c r="K367" s="177"/>
    </row>
    <row r="368">
      <c r="A368" s="189"/>
      <c r="B368" s="177"/>
      <c r="C368" s="189"/>
      <c r="D368" s="177"/>
      <c r="E368" s="193"/>
      <c r="F368" s="177"/>
      <c r="G368" s="177"/>
      <c r="H368" s="177"/>
      <c r="I368" s="177"/>
      <c r="J368" s="177"/>
      <c r="K368" s="177"/>
    </row>
    <row r="369">
      <c r="A369" s="189"/>
      <c r="B369" s="177"/>
      <c r="C369" s="189"/>
      <c r="D369" s="177"/>
      <c r="E369" s="193"/>
      <c r="F369" s="177"/>
      <c r="G369" s="177"/>
      <c r="H369" s="177"/>
      <c r="I369" s="177"/>
      <c r="J369" s="177"/>
      <c r="K369" s="177"/>
    </row>
    <row r="370">
      <c r="A370" s="189"/>
      <c r="B370" s="177"/>
      <c r="C370" s="189"/>
      <c r="D370" s="177"/>
      <c r="E370" s="193"/>
      <c r="F370" s="177"/>
      <c r="G370" s="177"/>
      <c r="H370" s="177"/>
      <c r="I370" s="177"/>
      <c r="J370" s="177"/>
      <c r="K370" s="177"/>
    </row>
    <row r="371">
      <c r="A371" s="189"/>
      <c r="B371" s="177"/>
      <c r="C371" s="189"/>
      <c r="D371" s="177"/>
      <c r="E371" s="193"/>
      <c r="F371" s="177"/>
      <c r="G371" s="177"/>
      <c r="H371" s="177"/>
      <c r="I371" s="177"/>
      <c r="J371" s="177"/>
      <c r="K371" s="177"/>
    </row>
    <row r="372">
      <c r="A372" s="189"/>
      <c r="B372" s="177"/>
      <c r="C372" s="189"/>
      <c r="D372" s="177"/>
      <c r="E372" s="193"/>
      <c r="F372" s="177"/>
      <c r="G372" s="177"/>
      <c r="H372" s="177"/>
      <c r="I372" s="177"/>
      <c r="J372" s="177"/>
      <c r="K372" s="177"/>
    </row>
    <row r="373">
      <c r="A373" s="189"/>
      <c r="B373" s="177"/>
      <c r="C373" s="189"/>
      <c r="D373" s="177"/>
      <c r="E373" s="193"/>
      <c r="F373" s="177"/>
      <c r="G373" s="177"/>
      <c r="H373" s="177"/>
      <c r="I373" s="177"/>
      <c r="J373" s="177"/>
      <c r="K373" s="177"/>
    </row>
    <row r="374">
      <c r="A374" s="189"/>
      <c r="B374" s="177"/>
      <c r="C374" s="189"/>
      <c r="D374" s="177"/>
      <c r="E374" s="193"/>
      <c r="F374" s="177"/>
      <c r="G374" s="177"/>
      <c r="H374" s="177"/>
      <c r="I374" s="177"/>
      <c r="J374" s="177"/>
      <c r="K374" s="177"/>
    </row>
    <row r="375">
      <c r="A375" s="189"/>
      <c r="B375" s="177"/>
      <c r="C375" s="189"/>
      <c r="D375" s="177"/>
      <c r="E375" s="193"/>
      <c r="F375" s="177"/>
      <c r="G375" s="177"/>
      <c r="H375" s="177"/>
      <c r="I375" s="177"/>
      <c r="J375" s="177"/>
      <c r="K375" s="177"/>
    </row>
    <row r="376">
      <c r="A376" s="189"/>
      <c r="B376" s="177"/>
      <c r="C376" s="189"/>
      <c r="D376" s="177"/>
      <c r="E376" s="193"/>
      <c r="F376" s="177"/>
      <c r="G376" s="177"/>
      <c r="H376" s="177"/>
      <c r="I376" s="177"/>
      <c r="J376" s="177"/>
      <c r="K376" s="177"/>
    </row>
    <row r="377">
      <c r="A377" s="189"/>
      <c r="B377" s="177"/>
      <c r="C377" s="189"/>
      <c r="D377" s="177"/>
      <c r="E377" s="193"/>
      <c r="F377" s="177"/>
      <c r="G377" s="177"/>
      <c r="H377" s="177"/>
      <c r="I377" s="177"/>
      <c r="J377" s="177"/>
      <c r="K377" s="177"/>
    </row>
    <row r="378">
      <c r="A378" s="189"/>
      <c r="B378" s="177"/>
      <c r="C378" s="189"/>
      <c r="D378" s="177"/>
      <c r="E378" s="193"/>
      <c r="F378" s="177"/>
      <c r="G378" s="177"/>
      <c r="H378" s="177"/>
      <c r="I378" s="177"/>
      <c r="J378" s="177"/>
      <c r="K378" s="177"/>
    </row>
    <row r="379">
      <c r="A379" s="189"/>
      <c r="B379" s="177"/>
      <c r="C379" s="189"/>
      <c r="D379" s="177"/>
      <c r="E379" s="193"/>
      <c r="F379" s="177"/>
      <c r="G379" s="177"/>
      <c r="H379" s="177"/>
      <c r="I379" s="177"/>
      <c r="J379" s="177"/>
      <c r="K379" s="177"/>
    </row>
    <row r="380">
      <c r="A380" s="189"/>
      <c r="B380" s="177"/>
      <c r="C380" s="189"/>
      <c r="D380" s="177"/>
      <c r="E380" s="193"/>
      <c r="F380" s="177"/>
      <c r="G380" s="177"/>
      <c r="H380" s="177"/>
      <c r="I380" s="177"/>
      <c r="J380" s="177"/>
      <c r="K380" s="177"/>
    </row>
    <row r="381">
      <c r="A381" s="189"/>
      <c r="B381" s="177"/>
      <c r="C381" s="189"/>
      <c r="D381" s="177"/>
      <c r="E381" s="193"/>
      <c r="F381" s="177"/>
      <c r="G381" s="177"/>
      <c r="H381" s="177"/>
      <c r="I381" s="177"/>
      <c r="J381" s="177"/>
      <c r="K381" s="177"/>
    </row>
    <row r="382">
      <c r="A382" s="189"/>
      <c r="B382" s="177"/>
      <c r="C382" s="189"/>
      <c r="D382" s="177"/>
      <c r="E382" s="193"/>
      <c r="F382" s="177"/>
      <c r="G382" s="177"/>
      <c r="H382" s="177"/>
      <c r="I382" s="177"/>
      <c r="J382" s="177"/>
      <c r="K382" s="177"/>
    </row>
    <row r="383">
      <c r="A383" s="189"/>
      <c r="B383" s="177"/>
      <c r="C383" s="189"/>
      <c r="D383" s="177"/>
      <c r="E383" s="193"/>
      <c r="F383" s="177"/>
      <c r="G383" s="177"/>
      <c r="H383" s="177"/>
      <c r="I383" s="177"/>
      <c r="J383" s="177"/>
      <c r="K383" s="177"/>
    </row>
    <row r="384">
      <c r="A384" s="189"/>
      <c r="B384" s="177"/>
      <c r="C384" s="189"/>
      <c r="D384" s="177"/>
      <c r="E384" s="193"/>
      <c r="F384" s="177"/>
      <c r="G384" s="177"/>
      <c r="H384" s="177"/>
      <c r="I384" s="177"/>
      <c r="J384" s="177"/>
      <c r="K384" s="177"/>
    </row>
    <row r="385">
      <c r="A385" s="189"/>
      <c r="B385" s="177"/>
      <c r="C385" s="189"/>
      <c r="D385" s="177"/>
      <c r="E385" s="193"/>
      <c r="F385" s="177"/>
      <c r="G385" s="177"/>
      <c r="H385" s="177"/>
      <c r="I385" s="177"/>
      <c r="J385" s="177"/>
      <c r="K385" s="177"/>
    </row>
    <row r="386">
      <c r="A386" s="189"/>
      <c r="B386" s="177"/>
      <c r="C386" s="189"/>
      <c r="D386" s="177"/>
      <c r="E386" s="193"/>
      <c r="F386" s="177"/>
      <c r="G386" s="177"/>
      <c r="H386" s="177"/>
      <c r="I386" s="177"/>
      <c r="J386" s="177"/>
      <c r="K386" s="177"/>
    </row>
    <row r="387">
      <c r="A387" s="189"/>
      <c r="B387" s="177"/>
      <c r="C387" s="189"/>
      <c r="D387" s="177"/>
      <c r="E387" s="193"/>
      <c r="F387" s="177"/>
      <c r="G387" s="177"/>
      <c r="H387" s="177"/>
      <c r="I387" s="177"/>
      <c r="J387" s="177"/>
      <c r="K387" s="177"/>
    </row>
    <row r="388">
      <c r="A388" s="189"/>
      <c r="B388" s="177"/>
      <c r="C388" s="189"/>
      <c r="D388" s="177"/>
      <c r="E388" s="193"/>
      <c r="F388" s="177"/>
      <c r="G388" s="177"/>
      <c r="H388" s="177"/>
      <c r="I388" s="177"/>
      <c r="J388" s="177"/>
      <c r="K388" s="177"/>
    </row>
    <row r="389">
      <c r="A389" s="189"/>
      <c r="B389" s="177"/>
      <c r="C389" s="189"/>
      <c r="D389" s="177"/>
      <c r="E389" s="193"/>
      <c r="F389" s="177"/>
      <c r="G389" s="177"/>
      <c r="H389" s="177"/>
      <c r="I389" s="177"/>
      <c r="J389" s="177"/>
      <c r="K389" s="177"/>
    </row>
    <row r="390">
      <c r="A390" s="189"/>
      <c r="B390" s="177"/>
      <c r="C390" s="189"/>
      <c r="D390" s="177"/>
      <c r="E390" s="193"/>
      <c r="F390" s="177"/>
      <c r="G390" s="177"/>
      <c r="H390" s="177"/>
      <c r="I390" s="177"/>
      <c r="J390" s="177"/>
      <c r="K390" s="177"/>
    </row>
    <row r="391">
      <c r="A391" s="189"/>
      <c r="B391" s="177"/>
      <c r="C391" s="189"/>
      <c r="D391" s="177"/>
      <c r="E391" s="193"/>
      <c r="F391" s="177"/>
      <c r="G391" s="177"/>
      <c r="H391" s="177"/>
      <c r="I391" s="177"/>
      <c r="J391" s="177"/>
      <c r="K391" s="177"/>
    </row>
    <row r="392">
      <c r="A392" s="189"/>
      <c r="B392" s="177"/>
      <c r="C392" s="189"/>
      <c r="D392" s="177"/>
      <c r="E392" s="193"/>
      <c r="F392" s="177"/>
      <c r="G392" s="177"/>
      <c r="H392" s="177"/>
      <c r="I392" s="177"/>
      <c r="J392" s="177"/>
      <c r="K392" s="177"/>
    </row>
    <row r="393">
      <c r="A393" s="189"/>
      <c r="B393" s="177"/>
      <c r="C393" s="189"/>
      <c r="D393" s="177"/>
      <c r="E393" s="193"/>
      <c r="F393" s="177"/>
      <c r="G393" s="177"/>
      <c r="H393" s="177"/>
      <c r="I393" s="177"/>
      <c r="J393" s="177"/>
      <c r="K393" s="177"/>
    </row>
    <row r="394">
      <c r="A394" s="189"/>
      <c r="B394" s="177"/>
      <c r="C394" s="189"/>
      <c r="D394" s="177"/>
      <c r="E394" s="193"/>
      <c r="F394" s="177"/>
      <c r="G394" s="177"/>
      <c r="H394" s="177"/>
      <c r="I394" s="177"/>
      <c r="J394" s="177"/>
      <c r="K394" s="177"/>
    </row>
    <row r="395">
      <c r="A395" s="189"/>
      <c r="B395" s="177"/>
      <c r="C395" s="189"/>
      <c r="D395" s="177"/>
      <c r="E395" s="193"/>
      <c r="F395" s="177"/>
      <c r="G395" s="177"/>
      <c r="H395" s="177"/>
      <c r="I395" s="177"/>
      <c r="J395" s="177"/>
      <c r="K395" s="177"/>
    </row>
    <row r="396">
      <c r="A396" s="189"/>
      <c r="B396" s="177"/>
      <c r="C396" s="189"/>
      <c r="D396" s="177"/>
      <c r="E396" s="193"/>
      <c r="F396" s="177"/>
      <c r="G396" s="177"/>
      <c r="H396" s="177"/>
      <c r="I396" s="177"/>
      <c r="J396" s="177"/>
      <c r="K396" s="177"/>
    </row>
    <row r="397">
      <c r="A397" s="189"/>
      <c r="B397" s="177"/>
      <c r="C397" s="189"/>
      <c r="D397" s="177"/>
      <c r="E397" s="193"/>
      <c r="F397" s="177"/>
      <c r="G397" s="177"/>
      <c r="H397" s="177"/>
      <c r="I397" s="177"/>
      <c r="J397" s="177"/>
      <c r="K397" s="177"/>
    </row>
    <row r="398">
      <c r="A398" s="189"/>
      <c r="B398" s="177"/>
      <c r="C398" s="189"/>
      <c r="D398" s="177"/>
      <c r="E398" s="193"/>
      <c r="F398" s="177"/>
      <c r="G398" s="177"/>
      <c r="H398" s="177"/>
      <c r="I398" s="177"/>
      <c r="J398" s="177"/>
      <c r="K398" s="177"/>
    </row>
    <row r="399">
      <c r="A399" s="189"/>
      <c r="B399" s="177"/>
      <c r="C399" s="189"/>
      <c r="D399" s="177"/>
      <c r="E399" s="193"/>
      <c r="F399" s="177"/>
      <c r="G399" s="177"/>
      <c r="H399" s="177"/>
      <c r="I399" s="177"/>
      <c r="J399" s="177"/>
      <c r="K399" s="177"/>
    </row>
    <row r="400">
      <c r="A400" s="189"/>
      <c r="B400" s="177"/>
      <c r="C400" s="189"/>
      <c r="D400" s="177"/>
      <c r="E400" s="193"/>
      <c r="F400" s="177"/>
      <c r="G400" s="177"/>
      <c r="H400" s="177"/>
      <c r="I400" s="177"/>
      <c r="J400" s="177"/>
      <c r="K400" s="177"/>
    </row>
    <row r="401">
      <c r="A401" s="189"/>
      <c r="B401" s="177"/>
      <c r="C401" s="189"/>
      <c r="D401" s="177"/>
      <c r="E401" s="193"/>
      <c r="F401" s="177"/>
      <c r="G401" s="177"/>
      <c r="H401" s="177"/>
      <c r="I401" s="177"/>
      <c r="J401" s="177"/>
      <c r="K401" s="177"/>
    </row>
    <row r="402">
      <c r="A402" s="189"/>
      <c r="B402" s="177"/>
      <c r="C402" s="189"/>
      <c r="D402" s="177"/>
      <c r="E402" s="193"/>
      <c r="F402" s="177"/>
      <c r="G402" s="177"/>
      <c r="H402" s="177"/>
      <c r="I402" s="177"/>
      <c r="J402" s="177"/>
      <c r="K402" s="177"/>
    </row>
    <row r="403">
      <c r="A403" s="189"/>
      <c r="B403" s="177"/>
      <c r="C403" s="189"/>
      <c r="D403" s="177"/>
      <c r="E403" s="193"/>
      <c r="F403" s="177"/>
      <c r="G403" s="177"/>
      <c r="H403" s="177"/>
      <c r="I403" s="177"/>
      <c r="J403" s="177"/>
      <c r="K403" s="177"/>
    </row>
    <row r="404">
      <c r="A404" s="189"/>
      <c r="B404" s="177"/>
      <c r="C404" s="189"/>
      <c r="D404" s="177"/>
      <c r="E404" s="193"/>
      <c r="F404" s="177"/>
      <c r="G404" s="177"/>
      <c r="H404" s="177"/>
      <c r="I404" s="177"/>
      <c r="J404" s="177"/>
      <c r="K404" s="177"/>
    </row>
    <row r="405">
      <c r="A405" s="189"/>
      <c r="B405" s="177"/>
      <c r="C405" s="189"/>
      <c r="D405" s="177"/>
      <c r="E405" s="193"/>
      <c r="F405" s="177"/>
      <c r="G405" s="177"/>
      <c r="H405" s="177"/>
      <c r="I405" s="177"/>
      <c r="J405" s="177"/>
      <c r="K405" s="177"/>
    </row>
    <row r="406">
      <c r="A406" s="189"/>
      <c r="B406" s="177"/>
      <c r="C406" s="189"/>
      <c r="D406" s="177"/>
      <c r="E406" s="193"/>
      <c r="F406" s="177"/>
      <c r="G406" s="177"/>
      <c r="H406" s="177"/>
      <c r="I406" s="177"/>
      <c r="J406" s="177"/>
      <c r="K406" s="177"/>
    </row>
    <row r="407">
      <c r="A407" s="189"/>
      <c r="B407" s="177"/>
      <c r="C407" s="189"/>
      <c r="D407" s="177"/>
      <c r="E407" s="193"/>
      <c r="F407" s="177"/>
      <c r="G407" s="177"/>
      <c r="H407" s="177"/>
      <c r="I407" s="177"/>
      <c r="J407" s="177"/>
      <c r="K407" s="177"/>
    </row>
    <row r="408">
      <c r="A408" s="189"/>
      <c r="B408" s="177"/>
      <c r="C408" s="189"/>
      <c r="D408" s="177"/>
      <c r="E408" s="193"/>
      <c r="F408" s="177"/>
      <c r="G408" s="177"/>
      <c r="H408" s="177"/>
      <c r="I408" s="177"/>
      <c r="J408" s="177"/>
      <c r="K408" s="177"/>
    </row>
    <row r="409">
      <c r="A409" s="189"/>
      <c r="B409" s="177"/>
      <c r="C409" s="189"/>
      <c r="D409" s="177"/>
      <c r="E409" s="193"/>
      <c r="F409" s="177"/>
      <c r="G409" s="177"/>
      <c r="H409" s="177"/>
      <c r="I409" s="177"/>
      <c r="J409" s="177"/>
      <c r="K409" s="177"/>
    </row>
    <row r="410">
      <c r="A410" s="189"/>
      <c r="B410" s="177"/>
      <c r="C410" s="189"/>
      <c r="D410" s="177"/>
      <c r="E410" s="193"/>
      <c r="F410" s="177"/>
      <c r="G410" s="177"/>
      <c r="H410" s="177"/>
      <c r="I410" s="177"/>
      <c r="J410" s="177"/>
      <c r="K410" s="177"/>
    </row>
    <row r="411">
      <c r="A411" s="189"/>
      <c r="B411" s="177"/>
      <c r="C411" s="189"/>
      <c r="D411" s="177"/>
      <c r="E411" s="193"/>
      <c r="F411" s="177"/>
      <c r="G411" s="177"/>
      <c r="H411" s="177"/>
      <c r="I411" s="177"/>
      <c r="J411" s="177"/>
      <c r="K411" s="177"/>
    </row>
    <row r="412">
      <c r="A412" s="189"/>
      <c r="B412" s="177"/>
      <c r="C412" s="189"/>
      <c r="D412" s="177"/>
      <c r="E412" s="193"/>
      <c r="F412" s="177"/>
      <c r="G412" s="177"/>
      <c r="H412" s="177"/>
      <c r="I412" s="177"/>
      <c r="J412" s="177"/>
      <c r="K412" s="177"/>
    </row>
    <row r="413">
      <c r="A413" s="189"/>
      <c r="B413" s="177"/>
      <c r="C413" s="189"/>
      <c r="D413" s="177"/>
      <c r="E413" s="193"/>
      <c r="F413" s="177"/>
      <c r="G413" s="177"/>
      <c r="H413" s="177"/>
      <c r="I413" s="177"/>
      <c r="J413" s="177"/>
      <c r="K413" s="177"/>
    </row>
    <row r="414">
      <c r="A414" s="189"/>
      <c r="B414" s="177"/>
      <c r="C414" s="189"/>
      <c r="D414" s="177"/>
      <c r="E414" s="193"/>
      <c r="F414" s="177"/>
      <c r="G414" s="177"/>
      <c r="H414" s="177"/>
      <c r="I414" s="177"/>
      <c r="J414" s="177"/>
      <c r="K414" s="177"/>
    </row>
    <row r="415">
      <c r="A415" s="189"/>
      <c r="B415" s="177"/>
      <c r="C415" s="189"/>
      <c r="D415" s="177"/>
      <c r="E415" s="193"/>
      <c r="F415" s="177"/>
      <c r="G415" s="177"/>
      <c r="H415" s="177"/>
      <c r="I415" s="177"/>
      <c r="J415" s="177"/>
      <c r="K415" s="177"/>
    </row>
    <row r="416">
      <c r="A416" s="189"/>
      <c r="B416" s="177"/>
      <c r="C416" s="189"/>
      <c r="D416" s="177"/>
      <c r="E416" s="193"/>
      <c r="F416" s="177"/>
      <c r="G416" s="177"/>
      <c r="H416" s="177"/>
      <c r="I416" s="177"/>
      <c r="J416" s="177"/>
      <c r="K416" s="177"/>
    </row>
    <row r="417">
      <c r="A417" s="189"/>
      <c r="B417" s="177"/>
      <c r="C417" s="189"/>
      <c r="D417" s="177"/>
      <c r="E417" s="193"/>
      <c r="F417" s="177"/>
      <c r="G417" s="177"/>
      <c r="H417" s="177"/>
      <c r="I417" s="177"/>
      <c r="J417" s="177"/>
      <c r="K417" s="177"/>
    </row>
    <row r="418">
      <c r="A418" s="189"/>
      <c r="B418" s="177"/>
      <c r="C418" s="189"/>
      <c r="D418" s="177"/>
      <c r="E418" s="193"/>
      <c r="F418" s="177"/>
      <c r="G418" s="177"/>
      <c r="H418" s="177"/>
      <c r="I418" s="177"/>
      <c r="J418" s="177"/>
      <c r="K418" s="177"/>
    </row>
    <row r="419">
      <c r="A419" s="189"/>
      <c r="B419" s="177"/>
      <c r="C419" s="189"/>
      <c r="D419" s="177"/>
      <c r="E419" s="193"/>
      <c r="F419" s="177"/>
      <c r="G419" s="177"/>
      <c r="H419" s="177"/>
      <c r="I419" s="177"/>
      <c r="J419" s="177"/>
      <c r="K419" s="177"/>
    </row>
    <row r="420">
      <c r="A420" s="189"/>
      <c r="B420" s="177"/>
      <c r="C420" s="189"/>
      <c r="D420" s="177"/>
      <c r="E420" s="193"/>
      <c r="F420" s="177"/>
      <c r="G420" s="177"/>
      <c r="H420" s="177"/>
      <c r="I420" s="177"/>
      <c r="J420" s="177"/>
      <c r="K420" s="177"/>
    </row>
    <row r="421">
      <c r="A421" s="189"/>
      <c r="B421" s="177"/>
      <c r="C421" s="189"/>
      <c r="D421" s="177"/>
      <c r="E421" s="193"/>
      <c r="F421" s="177"/>
      <c r="G421" s="177"/>
      <c r="H421" s="177"/>
      <c r="I421" s="177"/>
      <c r="J421" s="177"/>
      <c r="K421" s="177"/>
    </row>
    <row r="422">
      <c r="A422" s="189"/>
      <c r="B422" s="177"/>
      <c r="C422" s="189"/>
      <c r="D422" s="177"/>
      <c r="E422" s="193"/>
      <c r="F422" s="177"/>
      <c r="G422" s="177"/>
      <c r="H422" s="177"/>
      <c r="I422" s="177"/>
      <c r="J422" s="177"/>
      <c r="K422" s="177"/>
    </row>
    <row r="423">
      <c r="A423" s="189"/>
      <c r="B423" s="177"/>
      <c r="C423" s="189"/>
      <c r="D423" s="177"/>
      <c r="E423" s="193"/>
      <c r="F423" s="177"/>
      <c r="G423" s="177"/>
      <c r="H423" s="177"/>
      <c r="I423" s="177"/>
      <c r="J423" s="177"/>
      <c r="K423" s="177"/>
    </row>
    <row r="424">
      <c r="A424" s="189"/>
      <c r="B424" s="177"/>
      <c r="C424" s="189"/>
      <c r="D424" s="177"/>
      <c r="E424" s="193"/>
      <c r="F424" s="177"/>
      <c r="G424" s="177"/>
      <c r="H424" s="177"/>
      <c r="I424" s="177"/>
      <c r="J424" s="177"/>
      <c r="K424" s="177"/>
    </row>
    <row r="425">
      <c r="A425" s="189"/>
      <c r="B425" s="177"/>
      <c r="C425" s="189"/>
      <c r="D425" s="177"/>
      <c r="E425" s="193"/>
      <c r="F425" s="177"/>
      <c r="G425" s="177"/>
      <c r="H425" s="177"/>
      <c r="I425" s="177"/>
      <c r="J425" s="177"/>
      <c r="K425" s="177"/>
    </row>
    <row r="426">
      <c r="A426" s="189"/>
      <c r="B426" s="177"/>
      <c r="C426" s="189"/>
      <c r="D426" s="177"/>
      <c r="E426" s="193"/>
      <c r="F426" s="177"/>
      <c r="G426" s="177"/>
      <c r="H426" s="177"/>
      <c r="I426" s="177"/>
      <c r="J426" s="177"/>
      <c r="K426" s="177"/>
    </row>
    <row r="427">
      <c r="A427" s="189"/>
      <c r="B427" s="177"/>
      <c r="C427" s="189"/>
      <c r="D427" s="177"/>
      <c r="E427" s="193"/>
      <c r="F427" s="177"/>
      <c r="G427" s="177"/>
      <c r="H427" s="177"/>
      <c r="I427" s="177"/>
      <c r="J427" s="177"/>
      <c r="K427" s="177"/>
    </row>
    <row r="428">
      <c r="A428" s="189"/>
      <c r="B428" s="177"/>
      <c r="C428" s="189"/>
      <c r="D428" s="177"/>
      <c r="E428" s="193"/>
      <c r="F428" s="177"/>
      <c r="G428" s="177"/>
      <c r="H428" s="177"/>
      <c r="I428" s="177"/>
      <c r="J428" s="177"/>
      <c r="K428" s="177"/>
    </row>
    <row r="429">
      <c r="A429" s="189"/>
      <c r="B429" s="177"/>
      <c r="C429" s="189"/>
      <c r="D429" s="177"/>
      <c r="E429" s="193"/>
      <c r="F429" s="177"/>
      <c r="G429" s="177"/>
      <c r="H429" s="177"/>
      <c r="I429" s="177"/>
      <c r="J429" s="177"/>
      <c r="K429" s="177"/>
    </row>
    <row r="430">
      <c r="A430" s="189"/>
      <c r="B430" s="177"/>
      <c r="C430" s="189"/>
      <c r="D430" s="177"/>
      <c r="E430" s="193"/>
      <c r="F430" s="177"/>
      <c r="G430" s="177"/>
      <c r="H430" s="177"/>
      <c r="I430" s="177"/>
      <c r="J430" s="177"/>
      <c r="K430" s="177"/>
    </row>
    <row r="431">
      <c r="A431" s="189"/>
      <c r="B431" s="177"/>
      <c r="C431" s="189"/>
      <c r="D431" s="177"/>
      <c r="E431" s="193"/>
      <c r="F431" s="177"/>
      <c r="G431" s="177"/>
      <c r="H431" s="177"/>
      <c r="I431" s="177"/>
      <c r="J431" s="177"/>
      <c r="K431" s="177"/>
    </row>
    <row r="432">
      <c r="A432" s="189"/>
      <c r="B432" s="177"/>
      <c r="C432" s="189"/>
      <c r="D432" s="177"/>
      <c r="E432" s="193"/>
      <c r="F432" s="177"/>
      <c r="G432" s="177"/>
      <c r="H432" s="177"/>
      <c r="I432" s="177"/>
      <c r="J432" s="177"/>
      <c r="K432" s="177"/>
    </row>
    <row r="433">
      <c r="A433" s="189"/>
      <c r="B433" s="177"/>
      <c r="C433" s="189"/>
      <c r="D433" s="177"/>
      <c r="E433" s="193"/>
      <c r="F433" s="177"/>
      <c r="G433" s="177"/>
      <c r="H433" s="177"/>
      <c r="I433" s="177"/>
      <c r="J433" s="177"/>
      <c r="K433" s="177"/>
    </row>
    <row r="434">
      <c r="A434" s="189"/>
      <c r="B434" s="177"/>
      <c r="C434" s="189"/>
      <c r="D434" s="177"/>
      <c r="E434" s="193"/>
      <c r="F434" s="177"/>
      <c r="G434" s="177"/>
      <c r="H434" s="177"/>
      <c r="I434" s="177"/>
      <c r="J434" s="177"/>
      <c r="K434" s="177"/>
    </row>
    <row r="435">
      <c r="A435" s="189"/>
      <c r="B435" s="177"/>
      <c r="C435" s="189"/>
      <c r="D435" s="177"/>
      <c r="E435" s="193"/>
      <c r="F435" s="177"/>
      <c r="G435" s="177"/>
      <c r="H435" s="177"/>
      <c r="I435" s="177"/>
      <c r="J435" s="177"/>
      <c r="K435" s="177"/>
    </row>
    <row r="436">
      <c r="A436" s="189"/>
      <c r="B436" s="177"/>
      <c r="C436" s="189"/>
      <c r="D436" s="177"/>
      <c r="E436" s="193"/>
      <c r="F436" s="177"/>
      <c r="G436" s="177"/>
      <c r="H436" s="177"/>
      <c r="I436" s="177"/>
      <c r="J436" s="177"/>
      <c r="K436" s="177"/>
    </row>
    <row r="437">
      <c r="A437" s="189"/>
      <c r="B437" s="177"/>
      <c r="C437" s="189"/>
      <c r="D437" s="177"/>
      <c r="E437" s="193"/>
      <c r="F437" s="177"/>
      <c r="G437" s="177"/>
      <c r="H437" s="177"/>
      <c r="I437" s="177"/>
      <c r="J437" s="177"/>
      <c r="K437" s="177"/>
    </row>
    <row r="438">
      <c r="A438" s="189"/>
      <c r="B438" s="177"/>
      <c r="C438" s="189"/>
      <c r="D438" s="177"/>
      <c r="E438" s="193"/>
      <c r="F438" s="177"/>
      <c r="G438" s="177"/>
      <c r="H438" s="177"/>
      <c r="I438" s="177"/>
      <c r="J438" s="177"/>
      <c r="K438" s="177"/>
    </row>
    <row r="439">
      <c r="A439" s="189"/>
      <c r="B439" s="177"/>
      <c r="C439" s="189"/>
      <c r="D439" s="177"/>
      <c r="E439" s="193"/>
      <c r="F439" s="177"/>
      <c r="G439" s="177"/>
      <c r="H439" s="177"/>
      <c r="I439" s="177"/>
      <c r="J439" s="177"/>
      <c r="K439" s="177"/>
    </row>
    <row r="440">
      <c r="A440" s="189"/>
      <c r="B440" s="177"/>
      <c r="C440" s="189"/>
      <c r="D440" s="177"/>
      <c r="E440" s="193"/>
      <c r="F440" s="177"/>
      <c r="G440" s="177"/>
      <c r="H440" s="177"/>
      <c r="I440" s="177"/>
      <c r="J440" s="177"/>
      <c r="K440" s="177"/>
    </row>
    <row r="441">
      <c r="A441" s="189"/>
      <c r="B441" s="177"/>
      <c r="C441" s="189"/>
      <c r="D441" s="177"/>
      <c r="E441" s="193"/>
      <c r="F441" s="177"/>
      <c r="G441" s="177"/>
      <c r="H441" s="177"/>
      <c r="I441" s="177"/>
      <c r="J441" s="177"/>
      <c r="K441" s="177"/>
    </row>
    <row r="442">
      <c r="A442" s="189"/>
      <c r="B442" s="177"/>
      <c r="C442" s="189"/>
      <c r="D442" s="177"/>
      <c r="E442" s="193"/>
      <c r="F442" s="177"/>
      <c r="G442" s="177"/>
      <c r="H442" s="177"/>
      <c r="I442" s="177"/>
      <c r="J442" s="177"/>
      <c r="K442" s="177"/>
    </row>
    <row r="443">
      <c r="A443" s="189"/>
      <c r="B443" s="177"/>
      <c r="C443" s="189"/>
      <c r="D443" s="177"/>
      <c r="E443" s="193"/>
      <c r="F443" s="177"/>
      <c r="G443" s="177"/>
      <c r="H443" s="177"/>
      <c r="I443" s="177"/>
      <c r="J443" s="177"/>
      <c r="K443" s="177"/>
    </row>
    <row r="444">
      <c r="A444" s="189"/>
      <c r="B444" s="177"/>
      <c r="C444" s="189"/>
      <c r="D444" s="177"/>
      <c r="E444" s="193"/>
      <c r="F444" s="177"/>
      <c r="G444" s="177"/>
      <c r="H444" s="177"/>
      <c r="I444" s="177"/>
      <c r="J444" s="177"/>
      <c r="K444" s="177"/>
    </row>
    <row r="445">
      <c r="A445" s="189"/>
      <c r="B445" s="177"/>
      <c r="C445" s="189"/>
      <c r="D445" s="177"/>
      <c r="E445" s="193"/>
      <c r="F445" s="177"/>
      <c r="G445" s="177"/>
      <c r="H445" s="177"/>
      <c r="I445" s="177"/>
      <c r="J445" s="177"/>
      <c r="K445" s="177"/>
    </row>
    <row r="446">
      <c r="A446" s="189"/>
      <c r="B446" s="177"/>
      <c r="C446" s="189"/>
      <c r="D446" s="177"/>
      <c r="E446" s="193"/>
      <c r="F446" s="177"/>
      <c r="G446" s="177"/>
      <c r="H446" s="177"/>
      <c r="I446" s="177"/>
      <c r="J446" s="177"/>
      <c r="K446" s="177"/>
    </row>
    <row r="447">
      <c r="A447" s="189"/>
      <c r="B447" s="177"/>
      <c r="C447" s="189"/>
      <c r="D447" s="177"/>
      <c r="E447" s="193"/>
      <c r="F447" s="177"/>
      <c r="G447" s="177"/>
      <c r="H447" s="177"/>
      <c r="I447" s="177"/>
      <c r="J447" s="177"/>
      <c r="K447" s="177"/>
    </row>
    <row r="448">
      <c r="A448" s="189"/>
      <c r="B448" s="177"/>
      <c r="C448" s="189"/>
      <c r="D448" s="177"/>
      <c r="E448" s="193"/>
      <c r="F448" s="177"/>
      <c r="G448" s="177"/>
      <c r="H448" s="177"/>
      <c r="I448" s="177"/>
      <c r="J448" s="177"/>
      <c r="K448" s="177"/>
    </row>
    <row r="449">
      <c r="A449" s="189"/>
      <c r="B449" s="177"/>
      <c r="C449" s="189"/>
      <c r="D449" s="177"/>
      <c r="E449" s="193"/>
      <c r="F449" s="177"/>
      <c r="G449" s="177"/>
      <c r="H449" s="177"/>
      <c r="I449" s="177"/>
      <c r="J449" s="177"/>
      <c r="K449" s="177"/>
    </row>
    <row r="450">
      <c r="A450" s="189"/>
      <c r="B450" s="177"/>
      <c r="C450" s="189"/>
      <c r="D450" s="177"/>
      <c r="E450" s="193"/>
      <c r="F450" s="177"/>
      <c r="G450" s="177"/>
      <c r="H450" s="177"/>
      <c r="I450" s="177"/>
      <c r="J450" s="177"/>
      <c r="K450" s="177"/>
    </row>
    <row r="451">
      <c r="A451" s="189"/>
      <c r="B451" s="177"/>
      <c r="C451" s="189"/>
      <c r="D451" s="177"/>
      <c r="E451" s="193"/>
      <c r="F451" s="177"/>
      <c r="G451" s="177"/>
      <c r="H451" s="177"/>
      <c r="I451" s="177"/>
      <c r="J451" s="177"/>
      <c r="K451" s="177"/>
    </row>
    <row r="452">
      <c r="A452" s="189"/>
      <c r="B452" s="177"/>
      <c r="C452" s="189"/>
      <c r="D452" s="177"/>
      <c r="E452" s="193"/>
      <c r="F452" s="177"/>
      <c r="G452" s="177"/>
      <c r="H452" s="177"/>
      <c r="I452" s="177"/>
      <c r="J452" s="177"/>
      <c r="K452" s="177"/>
    </row>
    <row r="453">
      <c r="A453" s="189"/>
      <c r="B453" s="177"/>
      <c r="C453" s="189"/>
      <c r="D453" s="177"/>
      <c r="E453" s="193"/>
      <c r="F453" s="177"/>
      <c r="G453" s="177"/>
      <c r="H453" s="177"/>
      <c r="I453" s="177"/>
      <c r="J453" s="177"/>
      <c r="K453" s="177"/>
    </row>
    <row r="454">
      <c r="A454" s="189"/>
      <c r="B454" s="177"/>
      <c r="C454" s="189"/>
      <c r="D454" s="177"/>
      <c r="E454" s="193"/>
      <c r="F454" s="177"/>
      <c r="G454" s="177"/>
      <c r="H454" s="177"/>
      <c r="I454" s="177"/>
      <c r="J454" s="177"/>
      <c r="K454" s="177"/>
    </row>
    <row r="455">
      <c r="A455" s="189"/>
      <c r="B455" s="177"/>
      <c r="C455" s="189"/>
      <c r="D455" s="177"/>
      <c r="E455" s="193"/>
      <c r="F455" s="177"/>
      <c r="G455" s="177"/>
      <c r="H455" s="177"/>
      <c r="I455" s="177"/>
      <c r="J455" s="177"/>
      <c r="K455" s="177"/>
    </row>
    <row r="456">
      <c r="A456" s="189"/>
      <c r="B456" s="177"/>
      <c r="C456" s="189"/>
      <c r="D456" s="177"/>
      <c r="E456" s="193"/>
      <c r="F456" s="177"/>
      <c r="G456" s="177"/>
      <c r="H456" s="177"/>
      <c r="I456" s="177"/>
      <c r="J456" s="177"/>
      <c r="K456" s="177"/>
    </row>
    <row r="457">
      <c r="A457" s="189"/>
      <c r="B457" s="177"/>
      <c r="C457" s="189"/>
      <c r="D457" s="177"/>
      <c r="E457" s="193"/>
      <c r="F457" s="177"/>
      <c r="G457" s="177"/>
      <c r="H457" s="177"/>
      <c r="I457" s="177"/>
      <c r="J457" s="177"/>
      <c r="K457" s="177"/>
    </row>
    <row r="458">
      <c r="A458" s="189"/>
      <c r="B458" s="177"/>
      <c r="C458" s="189"/>
      <c r="D458" s="177"/>
      <c r="E458" s="193"/>
      <c r="F458" s="177"/>
      <c r="G458" s="177"/>
      <c r="H458" s="177"/>
      <c r="I458" s="177"/>
      <c r="J458" s="177"/>
      <c r="K458" s="177"/>
    </row>
    <row r="459">
      <c r="A459" s="189"/>
      <c r="B459" s="177"/>
      <c r="C459" s="189"/>
      <c r="D459" s="177"/>
      <c r="E459" s="193"/>
      <c r="F459" s="177"/>
      <c r="G459" s="177"/>
      <c r="H459" s="177"/>
      <c r="I459" s="177"/>
      <c r="J459" s="177"/>
      <c r="K459" s="177"/>
    </row>
    <row r="460">
      <c r="A460" s="189"/>
      <c r="B460" s="177"/>
      <c r="C460" s="189"/>
      <c r="D460" s="177"/>
      <c r="E460" s="193"/>
      <c r="F460" s="177"/>
      <c r="G460" s="177"/>
      <c r="H460" s="177"/>
      <c r="I460" s="177"/>
      <c r="J460" s="177"/>
      <c r="K460" s="177"/>
    </row>
    <row r="461">
      <c r="A461" s="189"/>
      <c r="B461" s="177"/>
      <c r="C461" s="189"/>
      <c r="D461" s="177"/>
      <c r="E461" s="193"/>
      <c r="F461" s="177"/>
      <c r="G461" s="177"/>
      <c r="H461" s="177"/>
      <c r="I461" s="177"/>
      <c r="J461" s="177"/>
      <c r="K461" s="177"/>
    </row>
    <row r="462">
      <c r="A462" s="189"/>
      <c r="B462" s="177"/>
      <c r="C462" s="189"/>
      <c r="D462" s="177"/>
      <c r="E462" s="193"/>
      <c r="F462" s="177"/>
      <c r="G462" s="177"/>
      <c r="H462" s="177"/>
      <c r="I462" s="177"/>
      <c r="J462" s="177"/>
      <c r="K462" s="177"/>
    </row>
    <row r="463">
      <c r="A463" s="189"/>
      <c r="B463" s="177"/>
      <c r="C463" s="189"/>
      <c r="D463" s="177"/>
      <c r="E463" s="193"/>
      <c r="F463" s="177"/>
      <c r="G463" s="177"/>
      <c r="H463" s="177"/>
      <c r="I463" s="177"/>
      <c r="J463" s="177"/>
      <c r="K463" s="177"/>
    </row>
    <row r="464">
      <c r="A464" s="189"/>
      <c r="B464" s="177"/>
      <c r="C464" s="189"/>
      <c r="D464" s="177"/>
      <c r="E464" s="193"/>
      <c r="F464" s="177"/>
      <c r="G464" s="177"/>
      <c r="H464" s="177"/>
      <c r="I464" s="177"/>
      <c r="J464" s="177"/>
      <c r="K464" s="177"/>
    </row>
    <row r="465">
      <c r="A465" s="189"/>
      <c r="B465" s="177"/>
      <c r="C465" s="189"/>
      <c r="D465" s="177"/>
      <c r="E465" s="193"/>
      <c r="F465" s="177"/>
      <c r="G465" s="177"/>
      <c r="H465" s="177"/>
      <c r="I465" s="177"/>
      <c r="J465" s="177"/>
      <c r="K465" s="177"/>
    </row>
    <row r="466">
      <c r="A466" s="189"/>
      <c r="B466" s="177"/>
      <c r="C466" s="189"/>
      <c r="D466" s="177"/>
      <c r="E466" s="193"/>
      <c r="F466" s="177"/>
      <c r="G466" s="177"/>
      <c r="H466" s="177"/>
      <c r="I466" s="177"/>
      <c r="J466" s="177"/>
      <c r="K466" s="177"/>
    </row>
    <row r="467">
      <c r="A467" s="189"/>
      <c r="B467" s="177"/>
      <c r="C467" s="189"/>
      <c r="D467" s="177"/>
      <c r="E467" s="193"/>
      <c r="F467" s="177"/>
      <c r="G467" s="177"/>
      <c r="H467" s="177"/>
      <c r="I467" s="177"/>
      <c r="J467" s="177"/>
      <c r="K467" s="177"/>
    </row>
    <row r="468">
      <c r="A468" s="189"/>
      <c r="B468" s="177"/>
      <c r="C468" s="189"/>
      <c r="D468" s="177"/>
      <c r="E468" s="193"/>
      <c r="F468" s="177"/>
      <c r="G468" s="177"/>
      <c r="H468" s="177"/>
      <c r="I468" s="177"/>
      <c r="J468" s="177"/>
      <c r="K468" s="177"/>
    </row>
    <row r="469">
      <c r="A469" s="189"/>
      <c r="B469" s="177"/>
      <c r="C469" s="189"/>
      <c r="D469" s="177"/>
      <c r="E469" s="193"/>
      <c r="F469" s="177"/>
      <c r="G469" s="177"/>
      <c r="H469" s="177"/>
      <c r="I469" s="177"/>
      <c r="J469" s="177"/>
      <c r="K469" s="177"/>
    </row>
    <row r="470">
      <c r="A470" s="189"/>
      <c r="B470" s="177"/>
      <c r="C470" s="189"/>
      <c r="D470" s="177"/>
      <c r="E470" s="193"/>
      <c r="F470" s="177"/>
      <c r="G470" s="177"/>
      <c r="H470" s="177"/>
      <c r="I470" s="177"/>
      <c r="J470" s="177"/>
      <c r="K470" s="177"/>
    </row>
    <row r="471">
      <c r="A471" s="189"/>
      <c r="B471" s="177"/>
      <c r="C471" s="189"/>
      <c r="D471" s="177"/>
      <c r="E471" s="193"/>
      <c r="F471" s="177"/>
      <c r="G471" s="177"/>
      <c r="H471" s="177"/>
      <c r="I471" s="177"/>
      <c r="J471" s="177"/>
      <c r="K471" s="177"/>
    </row>
    <row r="472">
      <c r="A472" s="189"/>
      <c r="B472" s="177"/>
      <c r="C472" s="189"/>
      <c r="D472" s="177"/>
      <c r="E472" s="193"/>
      <c r="F472" s="177"/>
      <c r="G472" s="177"/>
      <c r="H472" s="177"/>
      <c r="I472" s="177"/>
      <c r="J472" s="177"/>
      <c r="K472" s="177"/>
    </row>
    <row r="473">
      <c r="A473" s="189"/>
      <c r="B473" s="177"/>
      <c r="C473" s="189"/>
      <c r="D473" s="177"/>
      <c r="E473" s="193"/>
      <c r="F473" s="177"/>
      <c r="G473" s="177"/>
      <c r="H473" s="177"/>
      <c r="I473" s="177"/>
      <c r="J473" s="177"/>
      <c r="K473" s="177"/>
    </row>
    <row r="474">
      <c r="A474" s="189"/>
      <c r="B474" s="177"/>
      <c r="C474" s="189"/>
      <c r="D474" s="177"/>
      <c r="E474" s="193"/>
      <c r="F474" s="177"/>
      <c r="G474" s="177"/>
      <c r="H474" s="177"/>
      <c r="I474" s="177"/>
      <c r="J474" s="177"/>
      <c r="K474" s="177"/>
    </row>
    <row r="475">
      <c r="A475" s="189"/>
      <c r="B475" s="177"/>
      <c r="C475" s="189"/>
      <c r="D475" s="177"/>
      <c r="E475" s="193"/>
      <c r="F475" s="177"/>
      <c r="G475" s="177"/>
      <c r="H475" s="177"/>
      <c r="I475" s="177"/>
      <c r="J475" s="177"/>
      <c r="K475" s="177"/>
    </row>
    <row r="476">
      <c r="A476" s="189"/>
      <c r="B476" s="177"/>
      <c r="C476" s="189"/>
      <c r="D476" s="177"/>
      <c r="E476" s="193"/>
      <c r="F476" s="177"/>
      <c r="G476" s="177"/>
      <c r="H476" s="177"/>
      <c r="I476" s="177"/>
      <c r="J476" s="177"/>
      <c r="K476" s="177"/>
    </row>
    <row r="477">
      <c r="A477" s="189"/>
      <c r="B477" s="177"/>
      <c r="C477" s="189"/>
      <c r="D477" s="177"/>
      <c r="E477" s="193"/>
      <c r="F477" s="177"/>
      <c r="G477" s="177"/>
      <c r="H477" s="177"/>
      <c r="I477" s="177"/>
      <c r="J477" s="177"/>
      <c r="K477" s="177"/>
    </row>
    <row r="478">
      <c r="A478" s="189"/>
      <c r="B478" s="177"/>
      <c r="C478" s="189"/>
      <c r="D478" s="177"/>
      <c r="E478" s="193"/>
      <c r="F478" s="177"/>
      <c r="G478" s="177"/>
      <c r="H478" s="177"/>
      <c r="I478" s="177"/>
      <c r="J478" s="177"/>
      <c r="K478" s="177"/>
    </row>
    <row r="479">
      <c r="A479" s="189"/>
      <c r="B479" s="177"/>
      <c r="C479" s="189"/>
      <c r="D479" s="177"/>
      <c r="E479" s="193"/>
      <c r="F479" s="177"/>
      <c r="G479" s="177"/>
      <c r="H479" s="177"/>
      <c r="I479" s="177"/>
      <c r="J479" s="177"/>
      <c r="K479" s="177"/>
    </row>
    <row r="480">
      <c r="A480" s="189"/>
      <c r="B480" s="177"/>
      <c r="C480" s="189"/>
      <c r="D480" s="177"/>
      <c r="E480" s="193"/>
      <c r="F480" s="177"/>
      <c r="G480" s="177"/>
      <c r="H480" s="177"/>
      <c r="I480" s="177"/>
      <c r="J480" s="177"/>
      <c r="K480" s="177"/>
    </row>
    <row r="481">
      <c r="A481" s="189"/>
      <c r="B481" s="177"/>
      <c r="C481" s="189"/>
      <c r="D481" s="177"/>
      <c r="E481" s="193"/>
      <c r="F481" s="177"/>
      <c r="G481" s="177"/>
      <c r="H481" s="177"/>
      <c r="I481" s="177"/>
      <c r="J481" s="177"/>
      <c r="K481" s="177"/>
    </row>
    <row r="482">
      <c r="A482" s="189"/>
      <c r="B482" s="177"/>
      <c r="C482" s="189"/>
      <c r="D482" s="177"/>
      <c r="E482" s="193"/>
      <c r="F482" s="177"/>
      <c r="G482" s="177"/>
      <c r="H482" s="177"/>
      <c r="I482" s="177"/>
      <c r="J482" s="177"/>
      <c r="K482" s="177"/>
    </row>
    <row r="483">
      <c r="A483" s="189"/>
      <c r="B483" s="177"/>
      <c r="C483" s="189"/>
      <c r="D483" s="177"/>
      <c r="E483" s="193"/>
      <c r="F483" s="177"/>
      <c r="G483" s="177"/>
      <c r="H483" s="177"/>
      <c r="I483" s="177"/>
      <c r="J483" s="177"/>
      <c r="K483" s="177"/>
    </row>
    <row r="484">
      <c r="A484" s="189"/>
      <c r="B484" s="177"/>
      <c r="C484" s="189"/>
      <c r="D484" s="177"/>
      <c r="E484" s="193"/>
      <c r="F484" s="177"/>
      <c r="G484" s="177"/>
      <c r="H484" s="177"/>
      <c r="I484" s="177"/>
      <c r="J484" s="177"/>
      <c r="K484" s="177"/>
    </row>
    <row r="485">
      <c r="A485" s="189"/>
      <c r="B485" s="177"/>
      <c r="C485" s="189"/>
      <c r="D485" s="177"/>
      <c r="E485" s="193"/>
      <c r="F485" s="177"/>
      <c r="G485" s="177"/>
      <c r="H485" s="177"/>
      <c r="I485" s="177"/>
      <c r="J485" s="177"/>
      <c r="K485" s="177"/>
    </row>
    <row r="486">
      <c r="A486" s="189"/>
      <c r="B486" s="177"/>
      <c r="C486" s="189"/>
      <c r="D486" s="177"/>
      <c r="E486" s="193"/>
      <c r="F486" s="177"/>
      <c r="G486" s="177"/>
      <c r="H486" s="177"/>
      <c r="I486" s="177"/>
      <c r="J486" s="177"/>
      <c r="K486" s="177"/>
    </row>
    <row r="487">
      <c r="A487" s="189"/>
      <c r="B487" s="177"/>
      <c r="C487" s="189"/>
      <c r="D487" s="177"/>
      <c r="E487" s="193"/>
      <c r="F487" s="177"/>
      <c r="G487" s="177"/>
      <c r="H487" s="177"/>
      <c r="I487" s="177"/>
      <c r="J487" s="177"/>
      <c r="K487" s="177"/>
    </row>
    <row r="488">
      <c r="A488" s="189"/>
      <c r="B488" s="177"/>
      <c r="C488" s="189"/>
      <c r="D488" s="177"/>
      <c r="E488" s="193"/>
      <c r="F488" s="177"/>
      <c r="G488" s="177"/>
      <c r="H488" s="177"/>
      <c r="I488" s="177"/>
      <c r="J488" s="177"/>
      <c r="K488" s="177"/>
    </row>
    <row r="489">
      <c r="A489" s="189"/>
      <c r="B489" s="177"/>
      <c r="C489" s="189"/>
      <c r="D489" s="177"/>
      <c r="E489" s="193"/>
      <c r="F489" s="177"/>
      <c r="G489" s="177"/>
      <c r="H489" s="177"/>
      <c r="I489" s="177"/>
      <c r="J489" s="177"/>
      <c r="K489" s="177"/>
    </row>
    <row r="490">
      <c r="A490" s="189"/>
      <c r="B490" s="177"/>
      <c r="C490" s="189"/>
      <c r="D490" s="177"/>
      <c r="E490" s="193"/>
      <c r="F490" s="177"/>
      <c r="G490" s="177"/>
      <c r="H490" s="177"/>
      <c r="I490" s="177"/>
      <c r="J490" s="177"/>
      <c r="K490" s="177"/>
    </row>
    <row r="491">
      <c r="A491" s="189"/>
      <c r="B491" s="177"/>
      <c r="C491" s="189"/>
      <c r="D491" s="177"/>
      <c r="E491" s="193"/>
      <c r="F491" s="177"/>
      <c r="G491" s="177"/>
      <c r="H491" s="177"/>
      <c r="I491" s="177"/>
      <c r="J491" s="177"/>
      <c r="K491" s="177"/>
    </row>
    <row r="492">
      <c r="A492" s="189"/>
      <c r="B492" s="177"/>
      <c r="C492" s="189"/>
      <c r="D492" s="177"/>
      <c r="E492" s="193"/>
      <c r="F492" s="177"/>
      <c r="G492" s="177"/>
      <c r="H492" s="177"/>
      <c r="I492" s="177"/>
      <c r="J492" s="177"/>
      <c r="K492" s="177"/>
    </row>
    <row r="493">
      <c r="A493" s="189"/>
      <c r="B493" s="177"/>
      <c r="C493" s="189"/>
      <c r="D493" s="177"/>
      <c r="E493" s="193"/>
      <c r="F493" s="177"/>
      <c r="G493" s="177"/>
      <c r="H493" s="177"/>
      <c r="I493" s="177"/>
      <c r="J493" s="177"/>
      <c r="K493" s="177"/>
    </row>
    <row r="494">
      <c r="A494" s="189"/>
      <c r="B494" s="177"/>
      <c r="C494" s="189"/>
      <c r="D494" s="177"/>
      <c r="E494" s="193"/>
      <c r="F494" s="177"/>
      <c r="G494" s="177"/>
      <c r="H494" s="177"/>
      <c r="I494" s="177"/>
      <c r="J494" s="177"/>
      <c r="K494" s="177"/>
    </row>
    <row r="495">
      <c r="A495" s="189"/>
      <c r="B495" s="177"/>
      <c r="C495" s="189"/>
      <c r="D495" s="177"/>
      <c r="E495" s="193"/>
      <c r="F495" s="177"/>
      <c r="G495" s="177"/>
      <c r="H495" s="177"/>
      <c r="I495" s="177"/>
      <c r="J495" s="177"/>
      <c r="K495" s="177"/>
    </row>
    <row r="496">
      <c r="A496" s="189"/>
      <c r="B496" s="177"/>
      <c r="C496" s="189"/>
      <c r="D496" s="177"/>
      <c r="E496" s="193"/>
      <c r="F496" s="177"/>
      <c r="G496" s="177"/>
      <c r="H496" s="177"/>
      <c r="I496" s="177"/>
      <c r="J496" s="177"/>
      <c r="K496" s="177"/>
    </row>
    <row r="497">
      <c r="A497" s="189"/>
      <c r="B497" s="177"/>
      <c r="C497" s="189"/>
      <c r="D497" s="177"/>
      <c r="E497" s="193"/>
      <c r="F497" s="177"/>
      <c r="G497" s="177"/>
      <c r="H497" s="177"/>
      <c r="I497" s="177"/>
      <c r="J497" s="177"/>
      <c r="K497" s="177"/>
    </row>
    <row r="498">
      <c r="A498" s="189"/>
      <c r="B498" s="177"/>
      <c r="C498" s="189"/>
      <c r="D498" s="177"/>
      <c r="E498" s="193"/>
      <c r="F498" s="177"/>
      <c r="G498" s="177"/>
      <c r="H498" s="177"/>
      <c r="I498" s="177"/>
      <c r="J498" s="177"/>
      <c r="K498" s="177"/>
    </row>
    <row r="499">
      <c r="A499" s="189"/>
      <c r="B499" s="177"/>
      <c r="C499" s="189"/>
      <c r="D499" s="177"/>
      <c r="E499" s="193"/>
      <c r="F499" s="177"/>
      <c r="G499" s="177"/>
      <c r="H499" s="177"/>
      <c r="I499" s="177"/>
      <c r="J499" s="177"/>
      <c r="K499" s="177"/>
    </row>
    <row r="500">
      <c r="A500" s="189"/>
      <c r="B500" s="177"/>
      <c r="C500" s="189"/>
      <c r="D500" s="177"/>
      <c r="E500" s="193"/>
      <c r="F500" s="177"/>
      <c r="G500" s="177"/>
      <c r="H500" s="177"/>
      <c r="I500" s="177"/>
      <c r="J500" s="177"/>
      <c r="K500" s="177"/>
    </row>
    <row r="501">
      <c r="A501" s="189"/>
      <c r="B501" s="177"/>
      <c r="C501" s="189"/>
      <c r="D501" s="177"/>
      <c r="E501" s="193"/>
      <c r="F501" s="177"/>
      <c r="G501" s="177"/>
      <c r="H501" s="177"/>
      <c r="I501" s="177"/>
      <c r="J501" s="177"/>
      <c r="K501" s="177"/>
    </row>
    <row r="502">
      <c r="A502" s="189"/>
      <c r="B502" s="177"/>
      <c r="C502" s="189"/>
      <c r="D502" s="177"/>
      <c r="E502" s="193"/>
      <c r="F502" s="177"/>
      <c r="G502" s="177"/>
      <c r="H502" s="177"/>
      <c r="I502" s="177"/>
      <c r="J502" s="177"/>
      <c r="K502" s="177"/>
    </row>
    <row r="503">
      <c r="A503" s="189"/>
      <c r="B503" s="177"/>
      <c r="C503" s="189"/>
      <c r="D503" s="177"/>
      <c r="E503" s="193"/>
      <c r="F503" s="177"/>
      <c r="G503" s="177"/>
      <c r="H503" s="177"/>
      <c r="I503" s="177"/>
      <c r="J503" s="177"/>
      <c r="K503" s="177"/>
    </row>
    <row r="504">
      <c r="A504" s="189"/>
      <c r="B504" s="177"/>
      <c r="C504" s="189"/>
      <c r="D504" s="177"/>
      <c r="E504" s="193"/>
      <c r="F504" s="177"/>
      <c r="G504" s="177"/>
      <c r="H504" s="177"/>
      <c r="I504" s="177"/>
      <c r="J504" s="177"/>
      <c r="K504" s="177"/>
    </row>
    <row r="505">
      <c r="A505" s="189"/>
      <c r="B505" s="177"/>
      <c r="C505" s="189"/>
      <c r="D505" s="177"/>
      <c r="E505" s="193"/>
      <c r="F505" s="177"/>
      <c r="G505" s="177"/>
      <c r="H505" s="177"/>
      <c r="I505" s="177"/>
      <c r="J505" s="177"/>
      <c r="K505" s="177"/>
    </row>
    <row r="506">
      <c r="A506" s="189"/>
      <c r="B506" s="177"/>
      <c r="C506" s="189"/>
      <c r="D506" s="177"/>
      <c r="E506" s="193"/>
      <c r="F506" s="177"/>
      <c r="G506" s="177"/>
      <c r="H506" s="177"/>
      <c r="I506" s="177"/>
      <c r="J506" s="177"/>
      <c r="K506" s="177"/>
    </row>
    <row r="507">
      <c r="A507" s="189"/>
      <c r="B507" s="177"/>
      <c r="C507" s="189"/>
      <c r="D507" s="177"/>
      <c r="E507" s="193"/>
      <c r="F507" s="177"/>
      <c r="G507" s="177"/>
      <c r="H507" s="177"/>
      <c r="I507" s="177"/>
      <c r="J507" s="177"/>
      <c r="K507" s="177"/>
    </row>
    <row r="508">
      <c r="A508" s="189"/>
      <c r="B508" s="177"/>
      <c r="C508" s="189"/>
      <c r="D508" s="177"/>
      <c r="E508" s="193"/>
      <c r="F508" s="177"/>
      <c r="G508" s="177"/>
      <c r="H508" s="177"/>
      <c r="I508" s="177"/>
      <c r="J508" s="177"/>
      <c r="K508" s="177"/>
    </row>
    <row r="509">
      <c r="A509" s="189"/>
      <c r="B509" s="177"/>
      <c r="C509" s="189"/>
      <c r="D509" s="177"/>
      <c r="E509" s="193"/>
      <c r="F509" s="177"/>
      <c r="G509" s="177"/>
      <c r="H509" s="177"/>
      <c r="I509" s="177"/>
      <c r="J509" s="177"/>
      <c r="K509" s="177"/>
    </row>
    <row r="510">
      <c r="A510" s="189"/>
      <c r="B510" s="177"/>
      <c r="C510" s="189"/>
      <c r="D510" s="177"/>
      <c r="E510" s="193"/>
      <c r="F510" s="177"/>
      <c r="G510" s="177"/>
      <c r="H510" s="177"/>
      <c r="I510" s="177"/>
      <c r="J510" s="177"/>
      <c r="K510" s="177"/>
    </row>
    <row r="511">
      <c r="A511" s="189"/>
      <c r="B511" s="177"/>
      <c r="C511" s="189"/>
      <c r="D511" s="177"/>
      <c r="E511" s="193"/>
      <c r="F511" s="177"/>
      <c r="G511" s="177"/>
      <c r="H511" s="177"/>
      <c r="I511" s="177"/>
      <c r="J511" s="177"/>
      <c r="K511" s="177"/>
    </row>
    <row r="512">
      <c r="A512" s="189"/>
      <c r="B512" s="177"/>
      <c r="C512" s="189"/>
      <c r="D512" s="177"/>
      <c r="E512" s="193"/>
      <c r="F512" s="177"/>
      <c r="G512" s="177"/>
      <c r="H512" s="177"/>
      <c r="I512" s="177"/>
      <c r="J512" s="177"/>
      <c r="K512" s="177"/>
    </row>
    <row r="513">
      <c r="A513" s="189"/>
      <c r="B513" s="177"/>
      <c r="C513" s="189"/>
      <c r="D513" s="177"/>
      <c r="E513" s="193"/>
      <c r="F513" s="177"/>
      <c r="G513" s="177"/>
      <c r="H513" s="177"/>
      <c r="I513" s="177"/>
      <c r="J513" s="177"/>
      <c r="K513" s="177"/>
    </row>
    <row r="514">
      <c r="A514" s="189"/>
      <c r="B514" s="177"/>
      <c r="C514" s="189"/>
      <c r="D514" s="177"/>
      <c r="E514" s="193"/>
      <c r="F514" s="177"/>
      <c r="G514" s="177"/>
      <c r="H514" s="177"/>
      <c r="I514" s="177"/>
      <c r="J514" s="177"/>
      <c r="K514" s="177"/>
    </row>
    <row r="515">
      <c r="A515" s="189"/>
      <c r="B515" s="177"/>
      <c r="C515" s="189"/>
      <c r="D515" s="177"/>
      <c r="E515" s="193"/>
      <c r="F515" s="177"/>
      <c r="G515" s="177"/>
      <c r="H515" s="177"/>
      <c r="I515" s="177"/>
      <c r="J515" s="177"/>
      <c r="K515" s="177"/>
    </row>
    <row r="516">
      <c r="A516" s="189"/>
      <c r="B516" s="177"/>
      <c r="C516" s="189"/>
      <c r="D516" s="177"/>
      <c r="E516" s="193"/>
      <c r="F516" s="177"/>
      <c r="G516" s="177"/>
      <c r="H516" s="177"/>
      <c r="I516" s="177"/>
      <c r="J516" s="177"/>
      <c r="K516" s="177"/>
    </row>
    <row r="517">
      <c r="A517" s="189"/>
      <c r="B517" s="177"/>
      <c r="C517" s="189"/>
      <c r="D517" s="177"/>
      <c r="E517" s="193"/>
      <c r="F517" s="177"/>
      <c r="G517" s="177"/>
      <c r="H517" s="177"/>
      <c r="I517" s="177"/>
      <c r="J517" s="177"/>
      <c r="K517" s="177"/>
    </row>
    <row r="518">
      <c r="A518" s="189"/>
      <c r="B518" s="177"/>
      <c r="C518" s="189"/>
      <c r="D518" s="177"/>
      <c r="E518" s="193"/>
      <c r="F518" s="177"/>
      <c r="G518" s="177"/>
      <c r="H518" s="177"/>
      <c r="I518" s="177"/>
      <c r="J518" s="177"/>
      <c r="K518" s="177"/>
    </row>
    <row r="519">
      <c r="A519" s="189"/>
      <c r="B519" s="177"/>
      <c r="C519" s="189"/>
      <c r="D519" s="177"/>
      <c r="E519" s="193"/>
      <c r="F519" s="177"/>
      <c r="G519" s="177"/>
      <c r="H519" s="177"/>
      <c r="I519" s="177"/>
      <c r="J519" s="177"/>
      <c r="K519" s="177"/>
    </row>
    <row r="520">
      <c r="A520" s="189"/>
      <c r="B520" s="177"/>
      <c r="C520" s="189"/>
      <c r="D520" s="177"/>
      <c r="E520" s="193"/>
      <c r="F520" s="177"/>
      <c r="G520" s="177"/>
      <c r="H520" s="177"/>
      <c r="I520" s="177"/>
      <c r="J520" s="177"/>
      <c r="K520" s="177"/>
    </row>
    <row r="521">
      <c r="A521" s="189"/>
      <c r="B521" s="177"/>
      <c r="C521" s="189"/>
      <c r="D521" s="177"/>
      <c r="E521" s="193"/>
      <c r="F521" s="177"/>
      <c r="G521" s="177"/>
      <c r="H521" s="177"/>
      <c r="I521" s="177"/>
      <c r="J521" s="177"/>
      <c r="K521" s="177"/>
    </row>
    <row r="522">
      <c r="A522" s="189"/>
      <c r="B522" s="177"/>
      <c r="C522" s="189"/>
      <c r="D522" s="177"/>
      <c r="E522" s="193"/>
      <c r="F522" s="177"/>
      <c r="G522" s="177"/>
      <c r="H522" s="177"/>
      <c r="I522" s="177"/>
      <c r="J522" s="177"/>
      <c r="K522" s="177"/>
    </row>
    <row r="523">
      <c r="A523" s="189"/>
      <c r="B523" s="177"/>
      <c r="C523" s="189"/>
      <c r="D523" s="177"/>
      <c r="E523" s="193"/>
      <c r="F523" s="177"/>
      <c r="G523" s="177"/>
      <c r="H523" s="177"/>
      <c r="I523" s="177"/>
      <c r="J523" s="177"/>
      <c r="K523" s="177"/>
    </row>
    <row r="524">
      <c r="A524" s="189"/>
      <c r="B524" s="177"/>
      <c r="C524" s="189"/>
      <c r="D524" s="177"/>
      <c r="E524" s="193"/>
      <c r="F524" s="177"/>
      <c r="G524" s="177"/>
      <c r="H524" s="177"/>
      <c r="I524" s="177"/>
      <c r="J524" s="177"/>
      <c r="K524" s="177"/>
    </row>
    <row r="525">
      <c r="A525" s="189"/>
      <c r="B525" s="177"/>
      <c r="C525" s="189"/>
      <c r="D525" s="177"/>
      <c r="E525" s="193"/>
      <c r="F525" s="177"/>
      <c r="G525" s="177"/>
      <c r="H525" s="177"/>
      <c r="I525" s="177"/>
      <c r="J525" s="177"/>
      <c r="K525" s="177"/>
    </row>
    <row r="526">
      <c r="A526" s="189"/>
      <c r="B526" s="177"/>
      <c r="C526" s="189"/>
      <c r="D526" s="177"/>
      <c r="E526" s="193"/>
      <c r="F526" s="177"/>
      <c r="G526" s="177"/>
      <c r="H526" s="177"/>
      <c r="I526" s="177"/>
      <c r="J526" s="177"/>
      <c r="K526" s="177"/>
    </row>
    <row r="527">
      <c r="A527" s="189"/>
      <c r="B527" s="177"/>
      <c r="C527" s="189"/>
      <c r="D527" s="177"/>
      <c r="E527" s="193"/>
      <c r="F527" s="177"/>
      <c r="G527" s="177"/>
      <c r="H527" s="177"/>
      <c r="I527" s="177"/>
      <c r="J527" s="177"/>
      <c r="K527" s="177"/>
    </row>
    <row r="528">
      <c r="A528" s="189"/>
      <c r="B528" s="177"/>
      <c r="C528" s="189"/>
      <c r="D528" s="177"/>
      <c r="E528" s="193"/>
      <c r="F528" s="177"/>
      <c r="G528" s="177"/>
      <c r="H528" s="177"/>
      <c r="I528" s="177"/>
      <c r="J528" s="177"/>
      <c r="K528" s="177"/>
    </row>
    <row r="529">
      <c r="A529" s="189"/>
      <c r="B529" s="177"/>
      <c r="C529" s="189"/>
      <c r="D529" s="177"/>
      <c r="E529" s="193"/>
      <c r="F529" s="177"/>
      <c r="G529" s="177"/>
      <c r="H529" s="177"/>
      <c r="I529" s="177"/>
      <c r="J529" s="177"/>
      <c r="K529" s="177"/>
    </row>
    <row r="530">
      <c r="A530" s="189"/>
      <c r="B530" s="177"/>
      <c r="C530" s="189"/>
      <c r="D530" s="177"/>
      <c r="E530" s="193"/>
      <c r="F530" s="177"/>
      <c r="G530" s="177"/>
      <c r="H530" s="177"/>
      <c r="I530" s="177"/>
      <c r="J530" s="177"/>
      <c r="K530" s="177"/>
    </row>
    <row r="531">
      <c r="A531" s="189"/>
      <c r="B531" s="177"/>
      <c r="C531" s="189"/>
      <c r="D531" s="177"/>
      <c r="E531" s="193"/>
      <c r="F531" s="177"/>
      <c r="G531" s="177"/>
      <c r="H531" s="177"/>
      <c r="I531" s="177"/>
      <c r="J531" s="177"/>
      <c r="K531" s="177"/>
    </row>
    <row r="532">
      <c r="A532" s="189"/>
      <c r="B532" s="177"/>
      <c r="C532" s="189"/>
      <c r="D532" s="177"/>
      <c r="E532" s="193"/>
      <c r="F532" s="177"/>
      <c r="G532" s="177"/>
      <c r="H532" s="177"/>
      <c r="I532" s="177"/>
      <c r="J532" s="177"/>
      <c r="K532" s="177"/>
    </row>
    <row r="533">
      <c r="A533" s="189"/>
      <c r="B533" s="177"/>
      <c r="C533" s="189"/>
      <c r="D533" s="177"/>
      <c r="E533" s="193"/>
      <c r="F533" s="177"/>
      <c r="G533" s="177"/>
      <c r="H533" s="177"/>
      <c r="I533" s="177"/>
      <c r="J533" s="177"/>
      <c r="K533" s="177"/>
    </row>
    <row r="534">
      <c r="A534" s="189"/>
      <c r="B534" s="177"/>
      <c r="C534" s="189"/>
      <c r="D534" s="177"/>
      <c r="E534" s="193"/>
      <c r="F534" s="177"/>
      <c r="G534" s="177"/>
      <c r="H534" s="177"/>
      <c r="I534" s="177"/>
      <c r="J534" s="177"/>
      <c r="K534" s="177"/>
    </row>
    <row r="535">
      <c r="A535" s="189"/>
      <c r="B535" s="177"/>
      <c r="C535" s="189"/>
      <c r="D535" s="177"/>
      <c r="E535" s="193"/>
      <c r="F535" s="177"/>
      <c r="G535" s="177"/>
      <c r="H535" s="177"/>
      <c r="I535" s="177"/>
      <c r="J535" s="177"/>
      <c r="K535" s="177"/>
    </row>
    <row r="536">
      <c r="A536" s="189"/>
      <c r="B536" s="177"/>
      <c r="C536" s="189"/>
      <c r="D536" s="177"/>
      <c r="E536" s="193"/>
      <c r="F536" s="177"/>
      <c r="G536" s="177"/>
      <c r="H536" s="177"/>
      <c r="I536" s="177"/>
      <c r="J536" s="177"/>
      <c r="K536" s="177"/>
    </row>
    <row r="537">
      <c r="A537" s="189"/>
      <c r="B537" s="177"/>
      <c r="C537" s="189"/>
      <c r="D537" s="177"/>
      <c r="E537" s="193"/>
      <c r="F537" s="177"/>
      <c r="G537" s="177"/>
      <c r="H537" s="177"/>
      <c r="I537" s="177"/>
      <c r="J537" s="177"/>
      <c r="K537" s="177"/>
    </row>
    <row r="538">
      <c r="A538" s="189"/>
      <c r="B538" s="177"/>
      <c r="C538" s="189"/>
      <c r="D538" s="177"/>
      <c r="E538" s="193"/>
      <c r="F538" s="177"/>
      <c r="G538" s="177"/>
      <c r="H538" s="177"/>
      <c r="I538" s="177"/>
      <c r="J538" s="177"/>
      <c r="K538" s="177"/>
    </row>
    <row r="539">
      <c r="A539" s="189"/>
      <c r="B539" s="177"/>
      <c r="C539" s="189"/>
      <c r="D539" s="177"/>
      <c r="E539" s="193"/>
      <c r="F539" s="177"/>
      <c r="G539" s="177"/>
      <c r="H539" s="177"/>
      <c r="I539" s="177"/>
      <c r="J539" s="177"/>
      <c r="K539" s="177"/>
    </row>
    <row r="540">
      <c r="A540" s="189"/>
      <c r="B540" s="177"/>
      <c r="C540" s="189"/>
      <c r="D540" s="177"/>
      <c r="E540" s="193"/>
      <c r="F540" s="177"/>
      <c r="G540" s="177"/>
      <c r="H540" s="177"/>
      <c r="I540" s="177"/>
      <c r="J540" s="177"/>
      <c r="K540" s="177"/>
    </row>
    <row r="541">
      <c r="A541" s="189"/>
      <c r="B541" s="177"/>
      <c r="C541" s="189"/>
      <c r="D541" s="177"/>
      <c r="E541" s="193"/>
      <c r="F541" s="177"/>
      <c r="G541" s="177"/>
      <c r="H541" s="177"/>
      <c r="I541" s="177"/>
      <c r="J541" s="177"/>
      <c r="K541" s="177"/>
    </row>
    <row r="542">
      <c r="A542" s="189"/>
      <c r="B542" s="177"/>
      <c r="C542" s="189"/>
      <c r="D542" s="177"/>
      <c r="E542" s="193"/>
      <c r="F542" s="177"/>
      <c r="G542" s="177"/>
      <c r="H542" s="177"/>
      <c r="I542" s="177"/>
      <c r="J542" s="177"/>
      <c r="K542" s="177"/>
    </row>
    <row r="543">
      <c r="A543" s="189"/>
      <c r="B543" s="177"/>
      <c r="C543" s="189"/>
      <c r="D543" s="177"/>
      <c r="E543" s="193"/>
      <c r="F543" s="177"/>
      <c r="G543" s="177"/>
      <c r="H543" s="177"/>
      <c r="I543" s="177"/>
      <c r="J543" s="177"/>
      <c r="K543" s="177"/>
    </row>
    <row r="544">
      <c r="A544" s="189"/>
      <c r="B544" s="177"/>
      <c r="C544" s="189"/>
      <c r="D544" s="177"/>
      <c r="E544" s="193"/>
      <c r="F544" s="177"/>
      <c r="G544" s="177"/>
      <c r="H544" s="177"/>
      <c r="I544" s="177"/>
      <c r="J544" s="177"/>
      <c r="K544" s="177"/>
    </row>
    <row r="545">
      <c r="A545" s="189"/>
      <c r="B545" s="177"/>
      <c r="C545" s="189"/>
      <c r="D545" s="177"/>
      <c r="E545" s="193"/>
      <c r="F545" s="177"/>
      <c r="G545" s="177"/>
      <c r="H545" s="177"/>
      <c r="I545" s="177"/>
      <c r="J545" s="177"/>
      <c r="K545" s="177"/>
    </row>
    <row r="546">
      <c r="A546" s="189"/>
      <c r="B546" s="177"/>
      <c r="C546" s="189"/>
      <c r="D546" s="177"/>
      <c r="E546" s="193"/>
      <c r="F546" s="177"/>
      <c r="G546" s="177"/>
      <c r="H546" s="177"/>
      <c r="I546" s="177"/>
      <c r="J546" s="177"/>
      <c r="K546" s="177"/>
    </row>
    <row r="547">
      <c r="A547" s="189"/>
      <c r="B547" s="177"/>
      <c r="C547" s="189"/>
      <c r="D547" s="177"/>
      <c r="E547" s="193"/>
      <c r="F547" s="177"/>
      <c r="G547" s="177"/>
      <c r="H547" s="177"/>
      <c r="I547" s="177"/>
      <c r="J547" s="177"/>
      <c r="K547" s="177"/>
    </row>
    <row r="548">
      <c r="A548" s="189"/>
      <c r="B548" s="177"/>
      <c r="C548" s="189"/>
      <c r="D548" s="177"/>
      <c r="E548" s="193"/>
      <c r="F548" s="177"/>
      <c r="G548" s="177"/>
      <c r="H548" s="177"/>
      <c r="I548" s="177"/>
      <c r="J548" s="177"/>
      <c r="K548" s="177"/>
    </row>
    <row r="549">
      <c r="A549" s="189"/>
      <c r="B549" s="177"/>
      <c r="C549" s="189"/>
      <c r="D549" s="177"/>
      <c r="E549" s="193"/>
      <c r="F549" s="177"/>
      <c r="G549" s="177"/>
      <c r="H549" s="177"/>
      <c r="I549" s="177"/>
      <c r="J549" s="177"/>
      <c r="K549" s="177"/>
    </row>
    <row r="550">
      <c r="A550" s="189"/>
      <c r="B550" s="177"/>
      <c r="C550" s="189"/>
      <c r="D550" s="177"/>
      <c r="E550" s="193"/>
      <c r="F550" s="177"/>
      <c r="G550" s="177"/>
      <c r="H550" s="177"/>
      <c r="I550" s="177"/>
      <c r="J550" s="177"/>
      <c r="K550" s="177"/>
    </row>
    <row r="551">
      <c r="A551" s="189"/>
      <c r="B551" s="177"/>
      <c r="C551" s="189"/>
      <c r="D551" s="177"/>
      <c r="E551" s="193"/>
      <c r="F551" s="177"/>
      <c r="G551" s="177"/>
      <c r="H551" s="177"/>
      <c r="I551" s="177"/>
      <c r="J551" s="177"/>
      <c r="K551" s="177"/>
    </row>
    <row r="552">
      <c r="A552" s="189"/>
      <c r="B552" s="177"/>
      <c r="C552" s="189"/>
      <c r="D552" s="177"/>
      <c r="E552" s="193"/>
      <c r="F552" s="177"/>
      <c r="G552" s="177"/>
      <c r="H552" s="177"/>
      <c r="I552" s="177"/>
      <c r="J552" s="177"/>
      <c r="K552" s="177"/>
    </row>
    <row r="553">
      <c r="A553" s="189"/>
      <c r="B553" s="177"/>
      <c r="C553" s="189"/>
      <c r="D553" s="177"/>
      <c r="E553" s="193"/>
      <c r="F553" s="177"/>
      <c r="G553" s="177"/>
      <c r="H553" s="177"/>
      <c r="I553" s="177"/>
      <c r="J553" s="177"/>
      <c r="K553" s="177"/>
    </row>
    <row r="554">
      <c r="A554" s="189"/>
      <c r="B554" s="177"/>
      <c r="C554" s="189"/>
      <c r="D554" s="177"/>
      <c r="E554" s="193"/>
      <c r="F554" s="177"/>
      <c r="G554" s="177"/>
      <c r="H554" s="177"/>
      <c r="I554" s="177"/>
      <c r="J554" s="177"/>
      <c r="K554" s="177"/>
    </row>
    <row r="555">
      <c r="A555" s="189"/>
      <c r="B555" s="177"/>
      <c r="C555" s="189"/>
      <c r="D555" s="177"/>
      <c r="E555" s="193"/>
      <c r="F555" s="177"/>
      <c r="G555" s="177"/>
      <c r="H555" s="177"/>
      <c r="I555" s="177"/>
      <c r="J555" s="177"/>
      <c r="K555" s="177"/>
    </row>
    <row r="556">
      <c r="A556" s="189"/>
      <c r="B556" s="177"/>
      <c r="C556" s="189"/>
      <c r="D556" s="177"/>
      <c r="E556" s="193"/>
      <c r="F556" s="177"/>
      <c r="G556" s="177"/>
      <c r="H556" s="177"/>
      <c r="I556" s="177"/>
      <c r="J556" s="177"/>
      <c r="K556" s="177"/>
    </row>
    <row r="557">
      <c r="A557" s="189"/>
      <c r="B557" s="177"/>
      <c r="C557" s="189"/>
      <c r="D557" s="177"/>
      <c r="E557" s="193"/>
      <c r="F557" s="177"/>
      <c r="G557" s="177"/>
      <c r="H557" s="177"/>
      <c r="I557" s="177"/>
      <c r="J557" s="177"/>
      <c r="K557" s="177"/>
    </row>
    <row r="558">
      <c r="A558" s="189"/>
      <c r="B558" s="177"/>
      <c r="C558" s="189"/>
      <c r="D558" s="177"/>
      <c r="E558" s="193"/>
      <c r="F558" s="177"/>
      <c r="G558" s="177"/>
      <c r="H558" s="177"/>
      <c r="I558" s="177"/>
      <c r="J558" s="177"/>
      <c r="K558" s="177"/>
    </row>
    <row r="559">
      <c r="A559" s="189"/>
      <c r="B559" s="177"/>
      <c r="C559" s="189"/>
      <c r="D559" s="177"/>
      <c r="E559" s="193"/>
      <c r="F559" s="177"/>
      <c r="G559" s="177"/>
      <c r="H559" s="177"/>
      <c r="I559" s="177"/>
      <c r="J559" s="177"/>
      <c r="K559" s="177"/>
    </row>
    <row r="560">
      <c r="A560" s="189"/>
      <c r="B560" s="177"/>
      <c r="C560" s="189"/>
      <c r="D560" s="177"/>
      <c r="E560" s="193"/>
      <c r="F560" s="177"/>
      <c r="G560" s="177"/>
      <c r="H560" s="177"/>
      <c r="I560" s="177"/>
      <c r="J560" s="177"/>
      <c r="K560" s="177"/>
    </row>
    <row r="561">
      <c r="A561" s="189"/>
      <c r="B561" s="177"/>
      <c r="C561" s="189"/>
      <c r="D561" s="177"/>
      <c r="E561" s="193"/>
      <c r="F561" s="177"/>
      <c r="G561" s="177"/>
      <c r="H561" s="177"/>
      <c r="I561" s="177"/>
      <c r="J561" s="177"/>
      <c r="K561" s="177"/>
    </row>
    <row r="562">
      <c r="A562" s="189"/>
      <c r="B562" s="177"/>
      <c r="C562" s="189"/>
      <c r="D562" s="177"/>
      <c r="E562" s="193"/>
      <c r="F562" s="177"/>
      <c r="G562" s="177"/>
      <c r="H562" s="177"/>
      <c r="I562" s="177"/>
      <c r="J562" s="177"/>
      <c r="K562" s="177"/>
    </row>
    <row r="563">
      <c r="A563" s="189"/>
      <c r="B563" s="177"/>
      <c r="C563" s="189"/>
      <c r="D563" s="177"/>
      <c r="E563" s="193"/>
      <c r="F563" s="177"/>
      <c r="G563" s="177"/>
      <c r="H563" s="177"/>
      <c r="I563" s="177"/>
      <c r="J563" s="177"/>
      <c r="K563" s="177"/>
    </row>
    <row r="564">
      <c r="A564" s="189"/>
      <c r="B564" s="177"/>
      <c r="C564" s="189"/>
      <c r="D564" s="177"/>
      <c r="E564" s="193"/>
      <c r="F564" s="177"/>
      <c r="G564" s="177"/>
      <c r="H564" s="177"/>
      <c r="I564" s="177"/>
      <c r="J564" s="177"/>
      <c r="K564" s="177"/>
    </row>
    <row r="565">
      <c r="A565" s="189"/>
      <c r="B565" s="177"/>
      <c r="C565" s="189"/>
      <c r="D565" s="177"/>
      <c r="E565" s="193"/>
      <c r="F565" s="177"/>
      <c r="G565" s="177"/>
      <c r="H565" s="177"/>
      <c r="I565" s="177"/>
      <c r="J565" s="177"/>
      <c r="K565" s="177"/>
    </row>
    <row r="566">
      <c r="A566" s="189"/>
      <c r="B566" s="177"/>
      <c r="C566" s="189"/>
      <c r="D566" s="177"/>
      <c r="E566" s="193"/>
      <c r="F566" s="177"/>
      <c r="G566" s="177"/>
      <c r="H566" s="177"/>
      <c r="I566" s="177"/>
      <c r="J566" s="177"/>
      <c r="K566" s="177"/>
    </row>
    <row r="567">
      <c r="A567" s="189"/>
      <c r="B567" s="177"/>
      <c r="C567" s="189"/>
      <c r="D567" s="177"/>
      <c r="E567" s="193"/>
      <c r="F567" s="177"/>
      <c r="G567" s="177"/>
      <c r="H567" s="177"/>
      <c r="I567" s="177"/>
      <c r="J567" s="177"/>
      <c r="K567" s="177"/>
    </row>
    <row r="568">
      <c r="A568" s="189"/>
      <c r="B568" s="177"/>
      <c r="C568" s="189"/>
      <c r="D568" s="177"/>
      <c r="E568" s="193"/>
      <c r="F568" s="177"/>
      <c r="G568" s="177"/>
      <c r="H568" s="177"/>
      <c r="I568" s="177"/>
      <c r="J568" s="177"/>
      <c r="K568" s="177"/>
    </row>
    <row r="569">
      <c r="A569" s="189"/>
      <c r="B569" s="177"/>
      <c r="C569" s="189"/>
      <c r="D569" s="177"/>
      <c r="E569" s="193"/>
      <c r="F569" s="177"/>
      <c r="G569" s="177"/>
      <c r="H569" s="177"/>
      <c r="I569" s="177"/>
      <c r="J569" s="177"/>
      <c r="K569" s="177"/>
    </row>
    <row r="570">
      <c r="A570" s="189"/>
      <c r="B570" s="177"/>
      <c r="C570" s="189"/>
      <c r="D570" s="177"/>
      <c r="E570" s="193"/>
      <c r="F570" s="177"/>
      <c r="G570" s="177"/>
      <c r="H570" s="177"/>
      <c r="I570" s="177"/>
      <c r="J570" s="177"/>
      <c r="K570" s="177"/>
    </row>
    <row r="571">
      <c r="A571" s="189"/>
      <c r="B571" s="177"/>
      <c r="C571" s="189"/>
      <c r="D571" s="177"/>
      <c r="E571" s="193"/>
      <c r="F571" s="177"/>
      <c r="G571" s="177"/>
      <c r="H571" s="177"/>
      <c r="I571" s="177"/>
      <c r="J571" s="177"/>
      <c r="K571" s="177"/>
    </row>
    <row r="572">
      <c r="A572" s="189"/>
      <c r="B572" s="177"/>
      <c r="C572" s="189"/>
      <c r="D572" s="177"/>
      <c r="E572" s="193"/>
      <c r="F572" s="177"/>
      <c r="G572" s="177"/>
      <c r="H572" s="177"/>
      <c r="I572" s="177"/>
      <c r="J572" s="177"/>
      <c r="K572" s="177"/>
    </row>
    <row r="573">
      <c r="A573" s="189"/>
      <c r="B573" s="177"/>
      <c r="C573" s="189"/>
      <c r="D573" s="177"/>
      <c r="E573" s="193"/>
      <c r="F573" s="177"/>
      <c r="G573" s="177"/>
      <c r="H573" s="177"/>
      <c r="I573" s="177"/>
      <c r="J573" s="177"/>
      <c r="K573" s="177"/>
    </row>
    <row r="574">
      <c r="A574" s="189"/>
      <c r="B574" s="177"/>
      <c r="C574" s="189"/>
      <c r="D574" s="177"/>
      <c r="E574" s="193"/>
      <c r="F574" s="177"/>
      <c r="G574" s="177"/>
      <c r="H574" s="177"/>
      <c r="I574" s="177"/>
      <c r="J574" s="177"/>
      <c r="K574" s="177"/>
    </row>
    <row r="575">
      <c r="A575" s="189"/>
      <c r="B575" s="177"/>
      <c r="C575" s="189"/>
      <c r="D575" s="177"/>
      <c r="E575" s="193"/>
      <c r="F575" s="177"/>
      <c r="G575" s="177"/>
      <c r="H575" s="177"/>
      <c r="I575" s="177"/>
      <c r="J575" s="177"/>
      <c r="K575" s="177"/>
    </row>
    <row r="576">
      <c r="A576" s="189"/>
      <c r="B576" s="177"/>
      <c r="C576" s="189"/>
      <c r="D576" s="177"/>
      <c r="E576" s="193"/>
      <c r="F576" s="177"/>
      <c r="G576" s="177"/>
      <c r="H576" s="177"/>
      <c r="I576" s="177"/>
      <c r="J576" s="177"/>
      <c r="K576" s="177"/>
    </row>
    <row r="577">
      <c r="A577" s="189"/>
      <c r="B577" s="177"/>
      <c r="C577" s="189"/>
      <c r="D577" s="177"/>
      <c r="E577" s="193"/>
      <c r="F577" s="177"/>
      <c r="G577" s="177"/>
      <c r="H577" s="177"/>
      <c r="I577" s="177"/>
      <c r="J577" s="177"/>
      <c r="K577" s="177"/>
    </row>
    <row r="578">
      <c r="A578" s="189"/>
      <c r="B578" s="177"/>
      <c r="C578" s="189"/>
      <c r="D578" s="177"/>
      <c r="E578" s="193"/>
      <c r="F578" s="177"/>
      <c r="G578" s="177"/>
      <c r="H578" s="177"/>
      <c r="I578" s="177"/>
      <c r="J578" s="177"/>
      <c r="K578" s="177"/>
    </row>
    <row r="579">
      <c r="A579" s="189"/>
      <c r="B579" s="177"/>
      <c r="C579" s="189"/>
      <c r="D579" s="177"/>
      <c r="E579" s="193"/>
      <c r="F579" s="177"/>
      <c r="G579" s="177"/>
      <c r="H579" s="177"/>
      <c r="I579" s="177"/>
      <c r="J579" s="177"/>
      <c r="K579" s="177"/>
    </row>
    <row r="580">
      <c r="A580" s="189"/>
      <c r="B580" s="177"/>
      <c r="C580" s="189"/>
      <c r="D580" s="177"/>
      <c r="E580" s="193"/>
      <c r="F580" s="177"/>
      <c r="G580" s="177"/>
      <c r="H580" s="177"/>
      <c r="I580" s="177"/>
      <c r="J580" s="177"/>
      <c r="K580" s="177"/>
    </row>
    <row r="581">
      <c r="A581" s="189"/>
      <c r="B581" s="177"/>
      <c r="C581" s="189"/>
      <c r="D581" s="177"/>
      <c r="E581" s="193"/>
      <c r="F581" s="177"/>
      <c r="G581" s="177"/>
      <c r="H581" s="177"/>
      <c r="I581" s="177"/>
      <c r="J581" s="177"/>
      <c r="K581" s="177"/>
    </row>
    <row r="582">
      <c r="A582" s="189"/>
      <c r="B582" s="177"/>
      <c r="C582" s="189"/>
      <c r="D582" s="177"/>
      <c r="E582" s="193"/>
      <c r="F582" s="177"/>
      <c r="G582" s="177"/>
      <c r="H582" s="177"/>
      <c r="I582" s="177"/>
      <c r="J582" s="177"/>
      <c r="K582" s="177"/>
    </row>
    <row r="583">
      <c r="A583" s="189"/>
      <c r="B583" s="177"/>
      <c r="C583" s="189"/>
      <c r="D583" s="177"/>
      <c r="E583" s="193"/>
      <c r="F583" s="177"/>
      <c r="G583" s="177"/>
      <c r="H583" s="177"/>
      <c r="I583" s="177"/>
      <c r="J583" s="177"/>
      <c r="K583" s="177"/>
    </row>
    <row r="584">
      <c r="A584" s="189"/>
      <c r="B584" s="177"/>
      <c r="C584" s="189"/>
      <c r="D584" s="177"/>
      <c r="E584" s="193"/>
      <c r="F584" s="177"/>
      <c r="G584" s="177"/>
      <c r="H584" s="177"/>
      <c r="I584" s="177"/>
      <c r="J584" s="177"/>
      <c r="K584" s="177"/>
    </row>
    <row r="585">
      <c r="A585" s="189"/>
      <c r="B585" s="177"/>
      <c r="C585" s="189"/>
      <c r="D585" s="177"/>
      <c r="E585" s="193"/>
      <c r="F585" s="177"/>
      <c r="G585" s="177"/>
      <c r="H585" s="177"/>
      <c r="I585" s="177"/>
      <c r="J585" s="177"/>
      <c r="K585" s="177"/>
    </row>
    <row r="586">
      <c r="A586" s="189"/>
      <c r="B586" s="177"/>
      <c r="C586" s="189"/>
      <c r="D586" s="177"/>
      <c r="E586" s="193"/>
      <c r="F586" s="177"/>
      <c r="G586" s="177"/>
      <c r="H586" s="177"/>
      <c r="I586" s="177"/>
      <c r="J586" s="177"/>
      <c r="K586" s="177"/>
    </row>
    <row r="587">
      <c r="A587" s="189"/>
      <c r="B587" s="177"/>
      <c r="C587" s="189"/>
      <c r="D587" s="177"/>
      <c r="E587" s="193"/>
      <c r="F587" s="177"/>
      <c r="G587" s="177"/>
      <c r="H587" s="177"/>
      <c r="I587" s="177"/>
      <c r="J587" s="177"/>
      <c r="K587" s="177"/>
    </row>
    <row r="588">
      <c r="A588" s="189"/>
      <c r="B588" s="177"/>
      <c r="C588" s="189"/>
      <c r="D588" s="177"/>
      <c r="E588" s="193"/>
      <c r="F588" s="177"/>
      <c r="G588" s="177"/>
      <c r="H588" s="177"/>
      <c r="I588" s="177"/>
      <c r="J588" s="177"/>
      <c r="K588" s="177"/>
    </row>
    <row r="589">
      <c r="A589" s="189"/>
      <c r="B589" s="177"/>
      <c r="C589" s="189"/>
      <c r="D589" s="177"/>
      <c r="E589" s="193"/>
      <c r="F589" s="177"/>
      <c r="G589" s="177"/>
      <c r="H589" s="177"/>
      <c r="I589" s="177"/>
      <c r="J589" s="177"/>
      <c r="K589" s="177"/>
    </row>
    <row r="590">
      <c r="A590" s="189"/>
      <c r="B590" s="177"/>
      <c r="C590" s="189"/>
      <c r="D590" s="177"/>
      <c r="E590" s="193"/>
      <c r="F590" s="177"/>
      <c r="G590" s="177"/>
      <c r="H590" s="177"/>
      <c r="I590" s="177"/>
      <c r="J590" s="177"/>
      <c r="K590" s="177"/>
    </row>
    <row r="591">
      <c r="A591" s="189"/>
      <c r="B591" s="177"/>
      <c r="C591" s="189"/>
      <c r="D591" s="177"/>
      <c r="E591" s="193"/>
      <c r="F591" s="177"/>
      <c r="G591" s="177"/>
      <c r="H591" s="177"/>
      <c r="I591" s="177"/>
      <c r="J591" s="177"/>
      <c r="K591" s="177"/>
    </row>
    <row r="592">
      <c r="A592" s="189"/>
      <c r="B592" s="177"/>
      <c r="C592" s="189"/>
      <c r="D592" s="177"/>
      <c r="E592" s="193"/>
      <c r="F592" s="177"/>
      <c r="G592" s="177"/>
      <c r="H592" s="177"/>
      <c r="I592" s="177"/>
      <c r="J592" s="177"/>
      <c r="K592" s="177"/>
    </row>
    <row r="593">
      <c r="A593" s="189"/>
      <c r="B593" s="177"/>
      <c r="C593" s="189"/>
      <c r="D593" s="177"/>
      <c r="E593" s="193"/>
      <c r="F593" s="177"/>
      <c r="G593" s="177"/>
      <c r="H593" s="177"/>
      <c r="I593" s="177"/>
      <c r="J593" s="177"/>
      <c r="K593" s="177"/>
    </row>
    <row r="594">
      <c r="A594" s="189"/>
      <c r="B594" s="177"/>
      <c r="C594" s="189"/>
      <c r="D594" s="177"/>
      <c r="E594" s="193"/>
      <c r="F594" s="177"/>
      <c r="G594" s="177"/>
      <c r="H594" s="177"/>
      <c r="I594" s="177"/>
      <c r="J594" s="177"/>
      <c r="K594" s="177"/>
    </row>
    <row r="595">
      <c r="A595" s="189"/>
      <c r="B595" s="177"/>
      <c r="C595" s="189"/>
      <c r="D595" s="177"/>
      <c r="E595" s="193"/>
      <c r="F595" s="177"/>
      <c r="G595" s="177"/>
      <c r="H595" s="177"/>
      <c r="I595" s="177"/>
      <c r="J595" s="177"/>
      <c r="K595" s="177"/>
    </row>
    <row r="596">
      <c r="A596" s="189"/>
      <c r="B596" s="177"/>
      <c r="C596" s="189"/>
      <c r="D596" s="177"/>
      <c r="E596" s="193"/>
      <c r="F596" s="177"/>
      <c r="G596" s="177"/>
      <c r="H596" s="177"/>
      <c r="I596" s="177"/>
      <c r="J596" s="177"/>
      <c r="K596" s="177"/>
    </row>
    <row r="597">
      <c r="A597" s="189"/>
      <c r="B597" s="177"/>
      <c r="C597" s="189"/>
      <c r="D597" s="177"/>
      <c r="E597" s="193"/>
      <c r="F597" s="177"/>
      <c r="G597" s="177"/>
      <c r="H597" s="177"/>
      <c r="I597" s="177"/>
      <c r="J597" s="177"/>
      <c r="K597" s="177"/>
    </row>
    <row r="598">
      <c r="A598" s="189"/>
      <c r="B598" s="177"/>
      <c r="C598" s="189"/>
      <c r="D598" s="177"/>
      <c r="E598" s="193"/>
      <c r="F598" s="177"/>
      <c r="G598" s="177"/>
      <c r="H598" s="177"/>
      <c r="I598" s="177"/>
      <c r="J598" s="177"/>
      <c r="K598" s="177"/>
    </row>
    <row r="599">
      <c r="A599" s="189"/>
      <c r="B599" s="177"/>
      <c r="C599" s="189"/>
      <c r="D599" s="177"/>
      <c r="E599" s="193"/>
      <c r="F599" s="177"/>
      <c r="G599" s="177"/>
      <c r="H599" s="177"/>
      <c r="I599" s="177"/>
      <c r="J599" s="177"/>
      <c r="K599" s="177"/>
    </row>
    <row r="600">
      <c r="A600" s="189"/>
      <c r="B600" s="177"/>
      <c r="C600" s="189"/>
      <c r="D600" s="177"/>
      <c r="E600" s="193"/>
      <c r="F600" s="177"/>
      <c r="G600" s="177"/>
      <c r="H600" s="177"/>
      <c r="I600" s="177"/>
      <c r="J600" s="177"/>
      <c r="K600" s="177"/>
    </row>
    <row r="601">
      <c r="A601" s="189"/>
      <c r="B601" s="177"/>
      <c r="C601" s="189"/>
      <c r="D601" s="177"/>
      <c r="E601" s="193"/>
      <c r="F601" s="177"/>
      <c r="G601" s="177"/>
      <c r="H601" s="177"/>
      <c r="I601" s="177"/>
      <c r="J601" s="177"/>
      <c r="K601" s="177"/>
    </row>
    <row r="602">
      <c r="A602" s="189"/>
      <c r="B602" s="177"/>
      <c r="C602" s="189"/>
      <c r="D602" s="177"/>
      <c r="E602" s="193"/>
      <c r="F602" s="177"/>
      <c r="G602" s="177"/>
      <c r="H602" s="177"/>
      <c r="I602" s="177"/>
      <c r="J602" s="177"/>
      <c r="K602" s="177"/>
    </row>
    <row r="603">
      <c r="A603" s="189"/>
      <c r="B603" s="177"/>
      <c r="C603" s="189"/>
      <c r="D603" s="177"/>
      <c r="E603" s="193"/>
      <c r="F603" s="177"/>
      <c r="G603" s="177"/>
      <c r="H603" s="177"/>
      <c r="I603" s="177"/>
      <c r="J603" s="177"/>
      <c r="K603" s="177"/>
    </row>
    <row r="604">
      <c r="A604" s="189"/>
      <c r="B604" s="177"/>
      <c r="C604" s="189"/>
      <c r="D604" s="177"/>
      <c r="E604" s="193"/>
      <c r="F604" s="177"/>
      <c r="G604" s="177"/>
      <c r="H604" s="177"/>
      <c r="I604" s="177"/>
      <c r="J604" s="177"/>
      <c r="K604" s="177"/>
    </row>
    <row r="605">
      <c r="A605" s="189"/>
      <c r="B605" s="177"/>
      <c r="C605" s="189"/>
      <c r="D605" s="177"/>
      <c r="E605" s="193"/>
      <c r="F605" s="177"/>
      <c r="G605" s="177"/>
      <c r="H605" s="177"/>
      <c r="I605" s="177"/>
      <c r="J605" s="177"/>
      <c r="K605" s="177"/>
    </row>
    <row r="606">
      <c r="A606" s="189"/>
      <c r="B606" s="177"/>
      <c r="C606" s="189"/>
      <c r="D606" s="177"/>
      <c r="E606" s="193"/>
      <c r="F606" s="177"/>
      <c r="G606" s="177"/>
      <c r="H606" s="177"/>
      <c r="I606" s="177"/>
      <c r="J606" s="177"/>
      <c r="K606" s="177"/>
    </row>
    <row r="607">
      <c r="A607" s="189"/>
      <c r="B607" s="177"/>
      <c r="C607" s="189"/>
      <c r="D607" s="177"/>
      <c r="E607" s="193"/>
      <c r="F607" s="177"/>
      <c r="G607" s="177"/>
      <c r="H607" s="177"/>
      <c r="I607" s="177"/>
      <c r="J607" s="177"/>
      <c r="K607" s="177"/>
    </row>
    <row r="608">
      <c r="A608" s="189"/>
      <c r="B608" s="177"/>
      <c r="C608" s="189"/>
      <c r="D608" s="177"/>
      <c r="E608" s="193"/>
      <c r="F608" s="177"/>
      <c r="G608" s="177"/>
      <c r="H608" s="177"/>
      <c r="I608" s="177"/>
      <c r="J608" s="177"/>
      <c r="K608" s="177"/>
    </row>
    <row r="609">
      <c r="A609" s="189"/>
      <c r="B609" s="177"/>
      <c r="C609" s="189"/>
      <c r="D609" s="177"/>
      <c r="E609" s="193"/>
      <c r="F609" s="177"/>
      <c r="G609" s="177"/>
      <c r="H609" s="177"/>
      <c r="I609" s="177"/>
      <c r="J609" s="177"/>
      <c r="K609" s="177"/>
    </row>
    <row r="610">
      <c r="A610" s="189"/>
      <c r="B610" s="177"/>
      <c r="C610" s="189"/>
      <c r="D610" s="177"/>
      <c r="E610" s="193"/>
      <c r="F610" s="177"/>
      <c r="G610" s="177"/>
      <c r="H610" s="177"/>
      <c r="I610" s="177"/>
      <c r="J610" s="177"/>
      <c r="K610" s="177"/>
    </row>
    <row r="611">
      <c r="A611" s="189"/>
      <c r="B611" s="177"/>
      <c r="C611" s="189"/>
      <c r="D611" s="177"/>
      <c r="E611" s="193"/>
      <c r="F611" s="177"/>
      <c r="G611" s="177"/>
      <c r="H611" s="177"/>
      <c r="I611" s="177"/>
      <c r="J611" s="177"/>
      <c r="K611" s="177"/>
    </row>
    <row r="612">
      <c r="A612" s="189"/>
      <c r="B612" s="177"/>
      <c r="C612" s="189"/>
      <c r="D612" s="177"/>
      <c r="E612" s="193"/>
      <c r="F612" s="177"/>
      <c r="G612" s="177"/>
      <c r="H612" s="177"/>
      <c r="I612" s="177"/>
      <c r="J612" s="177"/>
      <c r="K612" s="177"/>
    </row>
    <row r="613">
      <c r="A613" s="189"/>
      <c r="B613" s="177"/>
      <c r="C613" s="189"/>
      <c r="D613" s="177"/>
      <c r="E613" s="193"/>
      <c r="F613" s="177"/>
      <c r="G613" s="177"/>
      <c r="H613" s="177"/>
      <c r="I613" s="177"/>
      <c r="J613" s="177"/>
      <c r="K613" s="177"/>
    </row>
    <row r="614">
      <c r="A614" s="189"/>
      <c r="B614" s="177"/>
      <c r="C614" s="189"/>
      <c r="D614" s="177"/>
      <c r="E614" s="193"/>
      <c r="F614" s="177"/>
      <c r="G614" s="177"/>
      <c r="H614" s="177"/>
      <c r="I614" s="177"/>
      <c r="J614" s="177"/>
      <c r="K614" s="177"/>
    </row>
    <row r="615">
      <c r="A615" s="189"/>
      <c r="B615" s="177"/>
      <c r="C615" s="189"/>
      <c r="D615" s="177"/>
      <c r="E615" s="193"/>
      <c r="F615" s="177"/>
      <c r="G615" s="177"/>
      <c r="H615" s="177"/>
      <c r="I615" s="177"/>
      <c r="J615" s="177"/>
      <c r="K615" s="177"/>
    </row>
    <row r="616">
      <c r="A616" s="189"/>
      <c r="B616" s="177"/>
      <c r="C616" s="189"/>
      <c r="D616" s="177"/>
      <c r="E616" s="193"/>
      <c r="F616" s="177"/>
      <c r="G616" s="177"/>
      <c r="H616" s="177"/>
      <c r="I616" s="177"/>
      <c r="J616" s="177"/>
      <c r="K616" s="177"/>
    </row>
    <row r="617">
      <c r="A617" s="189"/>
      <c r="B617" s="177"/>
      <c r="C617" s="189"/>
      <c r="D617" s="177"/>
      <c r="E617" s="193"/>
      <c r="F617" s="177"/>
      <c r="G617" s="177"/>
      <c r="H617" s="177"/>
      <c r="I617" s="177"/>
      <c r="J617" s="177"/>
      <c r="K617" s="177"/>
    </row>
    <row r="618">
      <c r="A618" s="189"/>
      <c r="B618" s="177"/>
      <c r="C618" s="189"/>
      <c r="D618" s="177"/>
      <c r="E618" s="193"/>
      <c r="F618" s="177"/>
      <c r="G618" s="177"/>
      <c r="H618" s="177"/>
      <c r="I618" s="177"/>
      <c r="J618" s="177"/>
      <c r="K618" s="177"/>
    </row>
    <row r="619">
      <c r="A619" s="189"/>
      <c r="B619" s="177"/>
      <c r="C619" s="189"/>
      <c r="D619" s="177"/>
      <c r="E619" s="193"/>
      <c r="F619" s="177"/>
      <c r="G619" s="177"/>
      <c r="H619" s="177"/>
      <c r="I619" s="177"/>
      <c r="J619" s="177"/>
      <c r="K619" s="177"/>
    </row>
    <row r="620">
      <c r="A620" s="189"/>
      <c r="B620" s="177"/>
      <c r="C620" s="189"/>
      <c r="D620" s="177"/>
      <c r="E620" s="193"/>
      <c r="F620" s="177"/>
      <c r="G620" s="177"/>
      <c r="H620" s="177"/>
      <c r="I620" s="177"/>
      <c r="J620" s="177"/>
      <c r="K620" s="177"/>
    </row>
    <row r="621">
      <c r="A621" s="189"/>
      <c r="B621" s="177"/>
      <c r="C621" s="189"/>
      <c r="D621" s="177"/>
      <c r="E621" s="193"/>
      <c r="F621" s="177"/>
      <c r="G621" s="177"/>
      <c r="H621" s="177"/>
      <c r="I621" s="177"/>
      <c r="J621" s="177"/>
      <c r="K621" s="177"/>
    </row>
    <row r="622">
      <c r="A622" s="189"/>
      <c r="B622" s="177"/>
      <c r="C622" s="189"/>
      <c r="D622" s="177"/>
      <c r="E622" s="193"/>
      <c r="F622" s="177"/>
      <c r="G622" s="177"/>
      <c r="H622" s="177"/>
      <c r="I622" s="177"/>
      <c r="J622" s="177"/>
      <c r="K622" s="177"/>
    </row>
    <row r="623">
      <c r="A623" s="189"/>
      <c r="B623" s="177"/>
      <c r="C623" s="189"/>
      <c r="D623" s="177"/>
      <c r="E623" s="193"/>
      <c r="F623" s="177"/>
      <c r="G623" s="177"/>
      <c r="H623" s="177"/>
      <c r="I623" s="177"/>
      <c r="J623" s="177"/>
      <c r="K623" s="177"/>
    </row>
    <row r="624">
      <c r="A624" s="189"/>
      <c r="B624" s="177"/>
      <c r="C624" s="189"/>
      <c r="D624" s="177"/>
      <c r="E624" s="193"/>
      <c r="F624" s="177"/>
      <c r="G624" s="177"/>
      <c r="H624" s="177"/>
      <c r="I624" s="177"/>
      <c r="J624" s="177"/>
      <c r="K624" s="177"/>
    </row>
    <row r="625">
      <c r="A625" s="189"/>
      <c r="B625" s="177"/>
      <c r="C625" s="189"/>
      <c r="D625" s="177"/>
      <c r="E625" s="193"/>
      <c r="F625" s="177"/>
      <c r="G625" s="177"/>
      <c r="H625" s="177"/>
      <c r="I625" s="177"/>
      <c r="J625" s="177"/>
      <c r="K625" s="177"/>
    </row>
    <row r="626">
      <c r="A626" s="189"/>
      <c r="B626" s="177"/>
      <c r="C626" s="189"/>
      <c r="D626" s="177"/>
      <c r="E626" s="193"/>
      <c r="F626" s="177"/>
      <c r="G626" s="177"/>
      <c r="H626" s="177"/>
      <c r="I626" s="177"/>
      <c r="J626" s="177"/>
      <c r="K626" s="177"/>
    </row>
    <row r="627">
      <c r="A627" s="189"/>
      <c r="B627" s="177"/>
      <c r="C627" s="189"/>
      <c r="D627" s="177"/>
      <c r="E627" s="193"/>
      <c r="F627" s="177"/>
      <c r="G627" s="177"/>
      <c r="H627" s="177"/>
      <c r="I627" s="177"/>
      <c r="J627" s="177"/>
      <c r="K627" s="177"/>
    </row>
    <row r="628">
      <c r="A628" s="189"/>
      <c r="B628" s="177"/>
      <c r="C628" s="189"/>
      <c r="D628" s="177"/>
      <c r="E628" s="193"/>
      <c r="F628" s="177"/>
      <c r="G628" s="177"/>
      <c r="H628" s="177"/>
      <c r="I628" s="177"/>
      <c r="J628" s="177"/>
      <c r="K628" s="177"/>
    </row>
    <row r="629">
      <c r="A629" s="189"/>
      <c r="B629" s="177"/>
      <c r="C629" s="189"/>
      <c r="D629" s="177"/>
      <c r="E629" s="193"/>
      <c r="F629" s="177"/>
      <c r="G629" s="177"/>
      <c r="H629" s="177"/>
      <c r="I629" s="177"/>
      <c r="J629" s="177"/>
      <c r="K629" s="177"/>
    </row>
    <row r="630">
      <c r="A630" s="189"/>
      <c r="B630" s="177"/>
      <c r="C630" s="189"/>
      <c r="D630" s="177"/>
      <c r="E630" s="193"/>
      <c r="F630" s="177"/>
      <c r="G630" s="177"/>
      <c r="H630" s="177"/>
      <c r="I630" s="177"/>
      <c r="J630" s="177"/>
      <c r="K630" s="177"/>
    </row>
    <row r="631">
      <c r="A631" s="189"/>
      <c r="B631" s="177"/>
      <c r="C631" s="189"/>
      <c r="D631" s="177"/>
      <c r="E631" s="193"/>
      <c r="F631" s="177"/>
      <c r="G631" s="177"/>
      <c r="H631" s="177"/>
      <c r="I631" s="177"/>
      <c r="J631" s="177"/>
      <c r="K631" s="177"/>
    </row>
    <row r="632">
      <c r="A632" s="189"/>
      <c r="B632" s="177"/>
      <c r="C632" s="189"/>
      <c r="D632" s="177"/>
      <c r="E632" s="193"/>
      <c r="F632" s="177"/>
      <c r="G632" s="177"/>
      <c r="H632" s="177"/>
      <c r="I632" s="177"/>
      <c r="J632" s="177"/>
      <c r="K632" s="177"/>
    </row>
    <row r="633">
      <c r="A633" s="189"/>
      <c r="B633" s="177"/>
      <c r="C633" s="189"/>
      <c r="D633" s="177"/>
      <c r="E633" s="193"/>
      <c r="F633" s="177"/>
      <c r="G633" s="177"/>
      <c r="H633" s="177"/>
      <c r="I633" s="177"/>
      <c r="J633" s="177"/>
      <c r="K633" s="177"/>
    </row>
    <row r="634">
      <c r="A634" s="189"/>
      <c r="B634" s="177"/>
      <c r="C634" s="189"/>
      <c r="D634" s="177"/>
      <c r="E634" s="193"/>
      <c r="F634" s="177"/>
      <c r="G634" s="177"/>
      <c r="H634" s="177"/>
      <c r="I634" s="177"/>
      <c r="J634" s="177"/>
      <c r="K634" s="177"/>
    </row>
    <row r="635">
      <c r="A635" s="189"/>
      <c r="B635" s="177"/>
      <c r="C635" s="189"/>
      <c r="D635" s="177"/>
      <c r="E635" s="193"/>
      <c r="F635" s="177"/>
      <c r="G635" s="177"/>
      <c r="H635" s="177"/>
      <c r="I635" s="177"/>
      <c r="J635" s="177"/>
      <c r="K635" s="177"/>
    </row>
    <row r="636">
      <c r="A636" s="189"/>
      <c r="B636" s="177"/>
      <c r="C636" s="189"/>
      <c r="D636" s="177"/>
      <c r="E636" s="193"/>
      <c r="F636" s="177"/>
      <c r="G636" s="177"/>
      <c r="H636" s="177"/>
      <c r="I636" s="177"/>
      <c r="J636" s="177"/>
      <c r="K636" s="177"/>
    </row>
    <row r="637">
      <c r="A637" s="189"/>
      <c r="B637" s="177"/>
      <c r="C637" s="189"/>
      <c r="D637" s="177"/>
      <c r="E637" s="193"/>
      <c r="F637" s="177"/>
      <c r="G637" s="177"/>
      <c r="H637" s="177"/>
      <c r="I637" s="177"/>
      <c r="J637" s="177"/>
      <c r="K637" s="177"/>
    </row>
    <row r="638">
      <c r="A638" s="189"/>
      <c r="B638" s="177"/>
      <c r="C638" s="189"/>
      <c r="D638" s="177"/>
      <c r="E638" s="193"/>
      <c r="F638" s="177"/>
      <c r="G638" s="177"/>
      <c r="H638" s="177"/>
      <c r="I638" s="177"/>
      <c r="J638" s="177"/>
      <c r="K638" s="177"/>
    </row>
    <row r="639">
      <c r="A639" s="189"/>
      <c r="B639" s="177"/>
      <c r="C639" s="189"/>
      <c r="D639" s="177"/>
      <c r="E639" s="193"/>
      <c r="F639" s="177"/>
      <c r="G639" s="177"/>
      <c r="H639" s="177"/>
      <c r="I639" s="177"/>
      <c r="J639" s="177"/>
      <c r="K639" s="177"/>
    </row>
    <row r="640">
      <c r="A640" s="189"/>
      <c r="B640" s="177"/>
      <c r="C640" s="189"/>
      <c r="D640" s="177"/>
      <c r="E640" s="193"/>
      <c r="F640" s="177"/>
      <c r="G640" s="177"/>
      <c r="H640" s="177"/>
      <c r="I640" s="177"/>
      <c r="J640" s="177"/>
      <c r="K640" s="177"/>
    </row>
    <row r="641">
      <c r="A641" s="189"/>
      <c r="B641" s="177"/>
      <c r="C641" s="189"/>
      <c r="D641" s="177"/>
      <c r="E641" s="193"/>
      <c r="F641" s="177"/>
      <c r="G641" s="177"/>
      <c r="H641" s="177"/>
      <c r="I641" s="177"/>
      <c r="J641" s="177"/>
      <c r="K641" s="177"/>
    </row>
    <row r="642">
      <c r="A642" s="189"/>
      <c r="B642" s="177"/>
      <c r="C642" s="189"/>
      <c r="D642" s="177"/>
      <c r="E642" s="193"/>
      <c r="F642" s="177"/>
      <c r="G642" s="177"/>
      <c r="H642" s="177"/>
      <c r="I642" s="177"/>
      <c r="J642" s="177"/>
      <c r="K642" s="177"/>
    </row>
    <row r="643">
      <c r="A643" s="189"/>
      <c r="B643" s="177"/>
      <c r="C643" s="189"/>
      <c r="D643" s="177"/>
      <c r="E643" s="193"/>
      <c r="F643" s="177"/>
      <c r="G643" s="177"/>
      <c r="H643" s="177"/>
      <c r="I643" s="177"/>
      <c r="J643" s="177"/>
      <c r="K643" s="177"/>
    </row>
    <row r="644">
      <c r="A644" s="189"/>
      <c r="B644" s="177"/>
      <c r="C644" s="189"/>
      <c r="D644" s="177"/>
      <c r="E644" s="193"/>
      <c r="F644" s="177"/>
      <c r="G644" s="177"/>
      <c r="H644" s="177"/>
      <c r="I644" s="177"/>
      <c r="J644" s="177"/>
      <c r="K644" s="177"/>
    </row>
    <row r="645">
      <c r="A645" s="189"/>
      <c r="B645" s="177"/>
      <c r="C645" s="189"/>
      <c r="D645" s="177"/>
      <c r="E645" s="193"/>
      <c r="F645" s="177"/>
      <c r="G645" s="177"/>
      <c r="H645" s="177"/>
      <c r="I645" s="177"/>
      <c r="J645" s="177"/>
      <c r="K645" s="177"/>
    </row>
    <row r="646">
      <c r="A646" s="189"/>
      <c r="B646" s="177"/>
      <c r="C646" s="189"/>
      <c r="D646" s="177"/>
      <c r="E646" s="193"/>
      <c r="F646" s="177"/>
      <c r="G646" s="177"/>
      <c r="H646" s="177"/>
      <c r="I646" s="177"/>
      <c r="J646" s="177"/>
      <c r="K646" s="177"/>
    </row>
    <row r="647">
      <c r="A647" s="189"/>
      <c r="B647" s="177"/>
      <c r="C647" s="189"/>
      <c r="D647" s="177"/>
      <c r="E647" s="193"/>
      <c r="F647" s="177"/>
      <c r="G647" s="177"/>
      <c r="H647" s="177"/>
      <c r="I647" s="177"/>
      <c r="J647" s="177"/>
      <c r="K647" s="177"/>
    </row>
    <row r="648">
      <c r="A648" s="189"/>
      <c r="B648" s="177"/>
      <c r="C648" s="189"/>
      <c r="D648" s="177"/>
      <c r="E648" s="193"/>
      <c r="F648" s="177"/>
      <c r="G648" s="177"/>
      <c r="H648" s="177"/>
      <c r="I648" s="177"/>
      <c r="J648" s="177"/>
      <c r="K648" s="177"/>
    </row>
    <row r="649">
      <c r="A649" s="189"/>
      <c r="B649" s="177"/>
      <c r="C649" s="189"/>
      <c r="D649" s="177"/>
      <c r="E649" s="193"/>
      <c r="F649" s="177"/>
      <c r="G649" s="177"/>
      <c r="H649" s="177"/>
      <c r="I649" s="177"/>
      <c r="J649" s="177"/>
      <c r="K649" s="177"/>
    </row>
    <row r="650">
      <c r="A650" s="189"/>
      <c r="B650" s="177"/>
      <c r="C650" s="189"/>
      <c r="D650" s="177"/>
      <c r="E650" s="193"/>
      <c r="F650" s="177"/>
      <c r="G650" s="177"/>
      <c r="H650" s="177"/>
      <c r="I650" s="177"/>
      <c r="J650" s="177"/>
      <c r="K650" s="177"/>
    </row>
    <row r="651">
      <c r="A651" s="189"/>
      <c r="B651" s="177"/>
      <c r="C651" s="189"/>
      <c r="D651" s="177"/>
      <c r="E651" s="193"/>
      <c r="F651" s="177"/>
      <c r="G651" s="177"/>
      <c r="H651" s="177"/>
      <c r="I651" s="177"/>
      <c r="J651" s="177"/>
      <c r="K651" s="177"/>
    </row>
    <row r="652">
      <c r="A652" s="189"/>
      <c r="B652" s="177"/>
      <c r="C652" s="189"/>
      <c r="D652" s="177"/>
      <c r="E652" s="193"/>
      <c r="F652" s="177"/>
      <c r="G652" s="177"/>
      <c r="H652" s="177"/>
      <c r="I652" s="177"/>
      <c r="J652" s="177"/>
      <c r="K652" s="177"/>
    </row>
    <row r="653">
      <c r="A653" s="189"/>
      <c r="B653" s="177"/>
      <c r="C653" s="189"/>
      <c r="D653" s="177"/>
      <c r="E653" s="193"/>
      <c r="F653" s="177"/>
      <c r="G653" s="177"/>
      <c r="H653" s="177"/>
      <c r="I653" s="177"/>
      <c r="J653" s="177"/>
      <c r="K653" s="177"/>
    </row>
    <row r="654">
      <c r="A654" s="189"/>
      <c r="B654" s="177"/>
      <c r="C654" s="189"/>
      <c r="D654" s="177"/>
      <c r="E654" s="193"/>
      <c r="F654" s="177"/>
      <c r="G654" s="177"/>
      <c r="H654" s="177"/>
      <c r="I654" s="177"/>
      <c r="J654" s="177"/>
      <c r="K654" s="177"/>
    </row>
    <row r="655">
      <c r="A655" s="189"/>
      <c r="B655" s="177"/>
      <c r="C655" s="189"/>
      <c r="D655" s="177"/>
      <c r="E655" s="193"/>
      <c r="F655" s="177"/>
      <c r="G655" s="177"/>
      <c r="H655" s="177"/>
      <c r="I655" s="177"/>
      <c r="J655" s="177"/>
      <c r="K655" s="177"/>
    </row>
    <row r="656">
      <c r="A656" s="189"/>
      <c r="B656" s="177"/>
      <c r="C656" s="189"/>
      <c r="D656" s="177"/>
      <c r="E656" s="193"/>
      <c r="F656" s="177"/>
      <c r="G656" s="177"/>
      <c r="H656" s="177"/>
      <c r="I656" s="177"/>
      <c r="J656" s="177"/>
      <c r="K656" s="177"/>
    </row>
    <row r="657">
      <c r="A657" s="189"/>
      <c r="B657" s="177"/>
      <c r="C657" s="189"/>
      <c r="D657" s="177"/>
      <c r="E657" s="193"/>
      <c r="F657" s="177"/>
      <c r="G657" s="177"/>
      <c r="H657" s="177"/>
      <c r="I657" s="177"/>
      <c r="J657" s="177"/>
      <c r="K657" s="177"/>
    </row>
    <row r="658">
      <c r="A658" s="189"/>
      <c r="B658" s="177"/>
      <c r="C658" s="189"/>
      <c r="D658" s="177"/>
      <c r="E658" s="193"/>
      <c r="F658" s="177"/>
      <c r="G658" s="177"/>
      <c r="H658" s="177"/>
      <c r="I658" s="177"/>
      <c r="J658" s="177"/>
      <c r="K658" s="177"/>
    </row>
    <row r="659">
      <c r="A659" s="189"/>
      <c r="B659" s="177"/>
      <c r="C659" s="189"/>
      <c r="D659" s="177"/>
      <c r="E659" s="193"/>
      <c r="F659" s="177"/>
      <c r="G659" s="177"/>
      <c r="H659" s="177"/>
      <c r="I659" s="177"/>
      <c r="J659" s="177"/>
      <c r="K659" s="177"/>
    </row>
    <row r="660">
      <c r="A660" s="189"/>
      <c r="B660" s="177"/>
      <c r="C660" s="189"/>
      <c r="D660" s="177"/>
      <c r="E660" s="193"/>
      <c r="F660" s="177"/>
      <c r="G660" s="177"/>
      <c r="H660" s="177"/>
      <c r="I660" s="177"/>
      <c r="J660" s="177"/>
      <c r="K660" s="177"/>
    </row>
    <row r="661">
      <c r="A661" s="189"/>
      <c r="B661" s="177"/>
      <c r="C661" s="189"/>
      <c r="D661" s="177"/>
      <c r="E661" s="193"/>
      <c r="F661" s="177"/>
      <c r="G661" s="177"/>
      <c r="H661" s="177"/>
      <c r="I661" s="177"/>
      <c r="J661" s="177"/>
      <c r="K661" s="177"/>
    </row>
    <row r="662">
      <c r="A662" s="189"/>
      <c r="B662" s="177"/>
      <c r="C662" s="189"/>
      <c r="D662" s="177"/>
      <c r="E662" s="193"/>
      <c r="F662" s="177"/>
      <c r="G662" s="177"/>
      <c r="H662" s="177"/>
      <c r="I662" s="177"/>
      <c r="J662" s="177"/>
      <c r="K662" s="177"/>
    </row>
    <row r="663">
      <c r="A663" s="189"/>
      <c r="B663" s="177"/>
      <c r="C663" s="189"/>
      <c r="D663" s="177"/>
      <c r="E663" s="193"/>
      <c r="F663" s="177"/>
      <c r="G663" s="177"/>
      <c r="H663" s="177"/>
      <c r="I663" s="177"/>
      <c r="J663" s="177"/>
      <c r="K663" s="177"/>
    </row>
    <row r="664">
      <c r="A664" s="189"/>
      <c r="B664" s="177"/>
      <c r="C664" s="189"/>
      <c r="D664" s="177"/>
      <c r="E664" s="193"/>
      <c r="F664" s="177"/>
      <c r="G664" s="177"/>
      <c r="H664" s="177"/>
      <c r="I664" s="177"/>
      <c r="J664" s="177"/>
      <c r="K664" s="177"/>
    </row>
    <row r="665">
      <c r="A665" s="189"/>
      <c r="B665" s="177"/>
      <c r="C665" s="189"/>
      <c r="D665" s="177"/>
      <c r="E665" s="193"/>
      <c r="F665" s="177"/>
      <c r="G665" s="177"/>
      <c r="H665" s="177"/>
      <c r="I665" s="177"/>
      <c r="J665" s="177"/>
      <c r="K665" s="177"/>
    </row>
    <row r="666">
      <c r="A666" s="189"/>
      <c r="B666" s="177"/>
      <c r="C666" s="189"/>
      <c r="D666" s="177"/>
      <c r="E666" s="193"/>
      <c r="F666" s="177"/>
      <c r="G666" s="177"/>
      <c r="H666" s="177"/>
      <c r="I666" s="177"/>
      <c r="J666" s="177"/>
      <c r="K666" s="177"/>
    </row>
    <row r="667">
      <c r="A667" s="189"/>
      <c r="B667" s="177"/>
      <c r="C667" s="189"/>
      <c r="D667" s="177"/>
      <c r="E667" s="193"/>
      <c r="F667" s="177"/>
      <c r="G667" s="177"/>
      <c r="H667" s="177"/>
      <c r="I667" s="177"/>
      <c r="J667" s="177"/>
      <c r="K667" s="177"/>
    </row>
    <row r="668">
      <c r="A668" s="189"/>
      <c r="B668" s="177"/>
      <c r="C668" s="189"/>
      <c r="D668" s="177"/>
      <c r="E668" s="193"/>
      <c r="F668" s="177"/>
      <c r="G668" s="177"/>
      <c r="H668" s="177"/>
      <c r="I668" s="177"/>
      <c r="J668" s="177"/>
      <c r="K668" s="177"/>
    </row>
    <row r="669">
      <c r="A669" s="189"/>
      <c r="B669" s="177"/>
      <c r="C669" s="189"/>
      <c r="D669" s="177"/>
      <c r="E669" s="193"/>
      <c r="F669" s="177"/>
      <c r="G669" s="177"/>
      <c r="H669" s="177"/>
      <c r="I669" s="177"/>
      <c r="J669" s="177"/>
      <c r="K669" s="177"/>
    </row>
    <row r="670">
      <c r="A670" s="189"/>
      <c r="B670" s="177"/>
      <c r="C670" s="189"/>
      <c r="D670" s="177"/>
      <c r="E670" s="193"/>
      <c r="F670" s="177"/>
      <c r="G670" s="177"/>
      <c r="H670" s="177"/>
      <c r="I670" s="177"/>
      <c r="J670" s="177"/>
      <c r="K670" s="177"/>
    </row>
    <row r="671">
      <c r="A671" s="189"/>
      <c r="B671" s="177"/>
      <c r="C671" s="189"/>
      <c r="D671" s="177"/>
      <c r="E671" s="193"/>
      <c r="F671" s="177"/>
      <c r="G671" s="177"/>
      <c r="H671" s="177"/>
      <c r="I671" s="177"/>
      <c r="J671" s="177"/>
      <c r="K671" s="177"/>
    </row>
    <row r="672">
      <c r="A672" s="189"/>
      <c r="B672" s="177"/>
      <c r="C672" s="189"/>
      <c r="D672" s="177"/>
      <c r="E672" s="193"/>
      <c r="F672" s="177"/>
      <c r="G672" s="177"/>
      <c r="H672" s="177"/>
      <c r="I672" s="177"/>
      <c r="J672" s="177"/>
      <c r="K672" s="177"/>
    </row>
    <row r="673">
      <c r="A673" s="189"/>
      <c r="B673" s="177"/>
      <c r="C673" s="189"/>
      <c r="D673" s="177"/>
      <c r="E673" s="193"/>
      <c r="F673" s="177"/>
      <c r="G673" s="177"/>
      <c r="H673" s="177"/>
      <c r="I673" s="177"/>
      <c r="J673" s="177"/>
      <c r="K673" s="177"/>
    </row>
    <row r="674">
      <c r="A674" s="189"/>
      <c r="B674" s="177"/>
      <c r="C674" s="189"/>
      <c r="D674" s="177"/>
      <c r="E674" s="193"/>
      <c r="F674" s="177"/>
      <c r="G674" s="177"/>
      <c r="H674" s="177"/>
      <c r="I674" s="177"/>
      <c r="J674" s="177"/>
      <c r="K674" s="177"/>
    </row>
    <row r="675">
      <c r="A675" s="189"/>
      <c r="B675" s="177"/>
      <c r="C675" s="189"/>
      <c r="D675" s="177"/>
      <c r="E675" s="193"/>
      <c r="F675" s="177"/>
      <c r="G675" s="177"/>
      <c r="H675" s="177"/>
      <c r="I675" s="177"/>
      <c r="J675" s="177"/>
      <c r="K675" s="177"/>
    </row>
    <row r="676">
      <c r="A676" s="189"/>
      <c r="B676" s="177"/>
      <c r="C676" s="189"/>
      <c r="D676" s="177"/>
      <c r="E676" s="193"/>
      <c r="F676" s="177"/>
      <c r="G676" s="177"/>
      <c r="H676" s="177"/>
      <c r="I676" s="177"/>
      <c r="J676" s="177"/>
      <c r="K676" s="177"/>
    </row>
    <row r="677">
      <c r="A677" s="189"/>
      <c r="B677" s="177"/>
      <c r="C677" s="189"/>
      <c r="D677" s="177"/>
      <c r="E677" s="193"/>
      <c r="F677" s="177"/>
      <c r="G677" s="177"/>
      <c r="H677" s="177"/>
      <c r="I677" s="177"/>
      <c r="J677" s="177"/>
      <c r="K677" s="177"/>
    </row>
    <row r="678">
      <c r="A678" s="189"/>
      <c r="B678" s="177"/>
      <c r="C678" s="189"/>
      <c r="D678" s="177"/>
      <c r="E678" s="193"/>
      <c r="F678" s="177"/>
      <c r="G678" s="177"/>
      <c r="H678" s="177"/>
      <c r="I678" s="177"/>
      <c r="J678" s="177"/>
      <c r="K678" s="177"/>
    </row>
    <row r="679">
      <c r="A679" s="189"/>
      <c r="B679" s="177"/>
      <c r="C679" s="189"/>
      <c r="D679" s="177"/>
      <c r="E679" s="193"/>
      <c r="F679" s="177"/>
      <c r="G679" s="177"/>
      <c r="H679" s="177"/>
      <c r="I679" s="177"/>
      <c r="J679" s="177"/>
      <c r="K679" s="177"/>
    </row>
    <row r="680">
      <c r="A680" s="189"/>
      <c r="B680" s="177"/>
      <c r="C680" s="189"/>
      <c r="D680" s="177"/>
      <c r="E680" s="193"/>
      <c r="F680" s="177"/>
      <c r="G680" s="177"/>
      <c r="H680" s="177"/>
      <c r="I680" s="177"/>
      <c r="J680" s="177"/>
      <c r="K680" s="177"/>
    </row>
    <row r="681">
      <c r="A681" s="189"/>
      <c r="B681" s="177"/>
      <c r="C681" s="189"/>
      <c r="D681" s="177"/>
      <c r="E681" s="193"/>
      <c r="F681" s="177"/>
      <c r="G681" s="177"/>
      <c r="H681" s="177"/>
      <c r="I681" s="177"/>
      <c r="J681" s="177"/>
      <c r="K681" s="177"/>
    </row>
    <row r="682">
      <c r="A682" s="189"/>
      <c r="B682" s="177"/>
      <c r="C682" s="189"/>
      <c r="D682" s="177"/>
      <c r="E682" s="193"/>
      <c r="F682" s="177"/>
      <c r="G682" s="177"/>
      <c r="H682" s="177"/>
      <c r="I682" s="177"/>
      <c r="J682" s="177"/>
      <c r="K682" s="177"/>
    </row>
    <row r="683">
      <c r="A683" s="189"/>
      <c r="B683" s="177"/>
      <c r="C683" s="189"/>
      <c r="D683" s="177"/>
      <c r="E683" s="193"/>
      <c r="F683" s="177"/>
      <c r="G683" s="177"/>
      <c r="H683" s="177"/>
      <c r="I683" s="177"/>
      <c r="J683" s="177"/>
      <c r="K683" s="177"/>
    </row>
    <row r="684">
      <c r="A684" s="189"/>
      <c r="B684" s="177"/>
      <c r="C684" s="189"/>
      <c r="D684" s="177"/>
      <c r="E684" s="193"/>
      <c r="F684" s="177"/>
      <c r="G684" s="177"/>
      <c r="H684" s="177"/>
      <c r="I684" s="177"/>
      <c r="J684" s="177"/>
      <c r="K684" s="177"/>
    </row>
    <row r="685">
      <c r="A685" s="189"/>
      <c r="B685" s="177"/>
      <c r="C685" s="189"/>
      <c r="D685" s="177"/>
      <c r="E685" s="193"/>
      <c r="F685" s="177"/>
      <c r="G685" s="177"/>
      <c r="H685" s="177"/>
      <c r="I685" s="177"/>
      <c r="J685" s="177"/>
      <c r="K685" s="177"/>
    </row>
    <row r="686">
      <c r="A686" s="189"/>
      <c r="B686" s="177"/>
      <c r="C686" s="189"/>
      <c r="D686" s="177"/>
      <c r="E686" s="193"/>
      <c r="F686" s="177"/>
      <c r="G686" s="177"/>
      <c r="H686" s="177"/>
      <c r="I686" s="177"/>
      <c r="J686" s="177"/>
      <c r="K686" s="177"/>
    </row>
    <row r="687">
      <c r="A687" s="189"/>
      <c r="B687" s="177"/>
      <c r="C687" s="189"/>
      <c r="D687" s="177"/>
      <c r="E687" s="193"/>
      <c r="F687" s="177"/>
      <c r="G687" s="177"/>
      <c r="H687" s="177"/>
      <c r="I687" s="177"/>
      <c r="J687" s="177"/>
      <c r="K687" s="177"/>
    </row>
    <row r="688">
      <c r="A688" s="189"/>
      <c r="B688" s="177"/>
      <c r="C688" s="189"/>
      <c r="D688" s="177"/>
      <c r="E688" s="193"/>
      <c r="F688" s="177"/>
      <c r="G688" s="177"/>
      <c r="H688" s="177"/>
      <c r="I688" s="177"/>
      <c r="J688" s="177"/>
      <c r="K688" s="177"/>
    </row>
    <row r="689">
      <c r="A689" s="189"/>
      <c r="B689" s="177"/>
      <c r="C689" s="189"/>
      <c r="D689" s="177"/>
      <c r="E689" s="193"/>
      <c r="F689" s="177"/>
      <c r="G689" s="177"/>
      <c r="H689" s="177"/>
      <c r="I689" s="177"/>
      <c r="J689" s="177"/>
      <c r="K689" s="177"/>
    </row>
    <row r="690">
      <c r="A690" s="189"/>
      <c r="B690" s="177"/>
      <c r="C690" s="189"/>
      <c r="D690" s="177"/>
      <c r="E690" s="193"/>
      <c r="F690" s="177"/>
      <c r="G690" s="177"/>
      <c r="H690" s="177"/>
      <c r="I690" s="177"/>
      <c r="J690" s="177"/>
      <c r="K690" s="177"/>
    </row>
    <row r="691">
      <c r="A691" s="189"/>
      <c r="B691" s="177"/>
      <c r="C691" s="189"/>
      <c r="D691" s="177"/>
      <c r="E691" s="193"/>
      <c r="F691" s="177"/>
      <c r="G691" s="177"/>
      <c r="H691" s="177"/>
      <c r="I691" s="177"/>
      <c r="J691" s="177"/>
      <c r="K691" s="177"/>
    </row>
    <row r="692">
      <c r="A692" s="189"/>
      <c r="B692" s="177"/>
      <c r="C692" s="189"/>
      <c r="D692" s="177"/>
      <c r="E692" s="193"/>
      <c r="F692" s="177"/>
      <c r="G692" s="177"/>
      <c r="H692" s="177"/>
      <c r="I692" s="177"/>
      <c r="J692" s="177"/>
      <c r="K692" s="177"/>
    </row>
    <row r="693">
      <c r="A693" s="189"/>
      <c r="B693" s="177"/>
      <c r="C693" s="189"/>
      <c r="D693" s="177"/>
      <c r="E693" s="193"/>
      <c r="F693" s="177"/>
      <c r="G693" s="177"/>
      <c r="H693" s="177"/>
      <c r="I693" s="177"/>
      <c r="J693" s="177"/>
      <c r="K693" s="177"/>
    </row>
    <row r="694">
      <c r="A694" s="189"/>
      <c r="B694" s="177"/>
      <c r="C694" s="189"/>
      <c r="D694" s="177"/>
      <c r="E694" s="193"/>
      <c r="F694" s="177"/>
      <c r="G694" s="177"/>
      <c r="H694" s="177"/>
      <c r="I694" s="177"/>
      <c r="J694" s="177"/>
      <c r="K694" s="177"/>
    </row>
    <row r="695">
      <c r="A695" s="189"/>
      <c r="B695" s="177"/>
      <c r="C695" s="189"/>
      <c r="D695" s="177"/>
      <c r="E695" s="193"/>
      <c r="F695" s="177"/>
      <c r="G695" s="177"/>
      <c r="H695" s="177"/>
      <c r="I695" s="177"/>
      <c r="J695" s="177"/>
      <c r="K695" s="177"/>
    </row>
    <row r="696">
      <c r="A696" s="189"/>
      <c r="B696" s="177"/>
      <c r="C696" s="189"/>
      <c r="D696" s="177"/>
      <c r="E696" s="193"/>
      <c r="F696" s="177"/>
      <c r="G696" s="177"/>
      <c r="H696" s="177"/>
      <c r="I696" s="177"/>
      <c r="J696" s="177"/>
      <c r="K696" s="177"/>
    </row>
    <row r="697">
      <c r="A697" s="189"/>
      <c r="B697" s="177"/>
      <c r="C697" s="189"/>
      <c r="D697" s="177"/>
      <c r="E697" s="193"/>
      <c r="F697" s="177"/>
      <c r="G697" s="177"/>
      <c r="H697" s="177"/>
      <c r="I697" s="177"/>
      <c r="J697" s="177"/>
      <c r="K697" s="177"/>
    </row>
    <row r="698">
      <c r="A698" s="189"/>
      <c r="B698" s="177"/>
      <c r="C698" s="189"/>
      <c r="D698" s="177"/>
      <c r="E698" s="193"/>
      <c r="F698" s="177"/>
      <c r="G698" s="177"/>
      <c r="H698" s="177"/>
      <c r="I698" s="177"/>
      <c r="J698" s="177"/>
      <c r="K698" s="177"/>
    </row>
    <row r="699">
      <c r="A699" s="189"/>
      <c r="B699" s="177"/>
      <c r="C699" s="189"/>
      <c r="D699" s="177"/>
      <c r="E699" s="193"/>
      <c r="F699" s="177"/>
      <c r="G699" s="177"/>
      <c r="H699" s="177"/>
      <c r="I699" s="177"/>
      <c r="J699" s="177"/>
      <c r="K699" s="177"/>
    </row>
    <row r="700">
      <c r="A700" s="189"/>
      <c r="B700" s="177"/>
      <c r="C700" s="189"/>
      <c r="D700" s="177"/>
      <c r="E700" s="193"/>
      <c r="F700" s="177"/>
      <c r="G700" s="177"/>
      <c r="H700" s="177"/>
      <c r="I700" s="177"/>
      <c r="J700" s="177"/>
      <c r="K700" s="177"/>
    </row>
    <row r="701">
      <c r="A701" s="189"/>
      <c r="B701" s="177"/>
      <c r="C701" s="189"/>
      <c r="D701" s="177"/>
      <c r="E701" s="193"/>
      <c r="F701" s="177"/>
      <c r="G701" s="177"/>
      <c r="H701" s="177"/>
      <c r="I701" s="177"/>
      <c r="J701" s="177"/>
      <c r="K701" s="177"/>
    </row>
    <row r="702">
      <c r="A702" s="189"/>
      <c r="B702" s="177"/>
      <c r="C702" s="189"/>
      <c r="D702" s="177"/>
      <c r="E702" s="193"/>
      <c r="F702" s="177"/>
      <c r="G702" s="177"/>
      <c r="H702" s="177"/>
      <c r="I702" s="177"/>
      <c r="J702" s="177"/>
      <c r="K702" s="177"/>
    </row>
    <row r="703">
      <c r="A703" s="189"/>
      <c r="B703" s="177"/>
      <c r="C703" s="189"/>
      <c r="D703" s="177"/>
      <c r="E703" s="193"/>
      <c r="F703" s="177"/>
      <c r="G703" s="177"/>
      <c r="H703" s="177"/>
      <c r="I703" s="177"/>
      <c r="J703" s="177"/>
      <c r="K703" s="177"/>
    </row>
    <row r="704">
      <c r="A704" s="189"/>
      <c r="B704" s="177"/>
      <c r="C704" s="189"/>
      <c r="D704" s="177"/>
      <c r="E704" s="193"/>
      <c r="F704" s="177"/>
      <c r="G704" s="177"/>
      <c r="H704" s="177"/>
      <c r="I704" s="177"/>
      <c r="J704" s="177"/>
      <c r="K704" s="177"/>
    </row>
    <row r="705">
      <c r="A705" s="189"/>
      <c r="B705" s="177"/>
      <c r="C705" s="189"/>
      <c r="D705" s="177"/>
      <c r="E705" s="193"/>
      <c r="F705" s="177"/>
      <c r="G705" s="177"/>
      <c r="H705" s="177"/>
      <c r="I705" s="177"/>
      <c r="J705" s="177"/>
      <c r="K705" s="177"/>
    </row>
    <row r="706">
      <c r="A706" s="189"/>
      <c r="B706" s="177"/>
      <c r="C706" s="189"/>
      <c r="D706" s="177"/>
      <c r="E706" s="193"/>
      <c r="F706" s="177"/>
      <c r="G706" s="177"/>
      <c r="H706" s="177"/>
      <c r="I706" s="177"/>
      <c r="J706" s="177"/>
      <c r="K706" s="177"/>
    </row>
    <row r="707">
      <c r="A707" s="189"/>
      <c r="B707" s="177"/>
      <c r="C707" s="189"/>
      <c r="D707" s="177"/>
      <c r="E707" s="193"/>
      <c r="F707" s="177"/>
      <c r="G707" s="177"/>
      <c r="H707" s="177"/>
      <c r="I707" s="177"/>
      <c r="J707" s="177"/>
      <c r="K707" s="177"/>
    </row>
    <row r="708">
      <c r="A708" s="189"/>
      <c r="B708" s="177"/>
      <c r="C708" s="189"/>
      <c r="D708" s="177"/>
      <c r="E708" s="193"/>
      <c r="F708" s="177"/>
      <c r="G708" s="177"/>
      <c r="H708" s="177"/>
      <c r="I708" s="177"/>
      <c r="J708" s="177"/>
      <c r="K708" s="177"/>
    </row>
    <row r="709">
      <c r="A709" s="189"/>
      <c r="B709" s="177"/>
      <c r="C709" s="189"/>
      <c r="D709" s="177"/>
      <c r="E709" s="193"/>
      <c r="F709" s="177"/>
      <c r="G709" s="177"/>
      <c r="H709" s="177"/>
      <c r="I709" s="177"/>
      <c r="J709" s="177"/>
      <c r="K709" s="177"/>
    </row>
    <row r="710">
      <c r="A710" s="189"/>
      <c r="B710" s="177"/>
      <c r="C710" s="189"/>
      <c r="D710" s="177"/>
      <c r="E710" s="193"/>
      <c r="F710" s="177"/>
      <c r="G710" s="177"/>
      <c r="H710" s="177"/>
      <c r="I710" s="177"/>
      <c r="J710" s="177"/>
      <c r="K710" s="177"/>
    </row>
    <row r="711">
      <c r="A711" s="189"/>
      <c r="B711" s="177"/>
      <c r="C711" s="189"/>
      <c r="D711" s="177"/>
      <c r="E711" s="193"/>
      <c r="F711" s="177"/>
      <c r="G711" s="177"/>
      <c r="H711" s="177"/>
      <c r="I711" s="177"/>
      <c r="J711" s="177"/>
      <c r="K711" s="177"/>
    </row>
    <row r="712">
      <c r="A712" s="189"/>
      <c r="B712" s="177"/>
      <c r="C712" s="189"/>
      <c r="D712" s="177"/>
      <c r="E712" s="193"/>
      <c r="F712" s="177"/>
      <c r="G712" s="177"/>
      <c r="H712" s="177"/>
      <c r="I712" s="177"/>
      <c r="J712" s="177"/>
      <c r="K712" s="177"/>
    </row>
    <row r="713">
      <c r="A713" s="189"/>
      <c r="B713" s="177"/>
      <c r="C713" s="189"/>
      <c r="D713" s="177"/>
      <c r="E713" s="193"/>
      <c r="F713" s="177"/>
      <c r="G713" s="177"/>
      <c r="H713" s="177"/>
      <c r="I713" s="177"/>
      <c r="J713" s="177"/>
      <c r="K713" s="177"/>
    </row>
    <row r="714">
      <c r="A714" s="189"/>
      <c r="B714" s="177"/>
      <c r="C714" s="189"/>
      <c r="D714" s="177"/>
      <c r="E714" s="193"/>
      <c r="F714" s="177"/>
      <c r="G714" s="177"/>
      <c r="H714" s="177"/>
      <c r="I714" s="177"/>
      <c r="J714" s="177"/>
      <c r="K714" s="177"/>
    </row>
    <row r="715">
      <c r="A715" s="189"/>
      <c r="B715" s="177"/>
      <c r="C715" s="189"/>
      <c r="D715" s="177"/>
      <c r="E715" s="193"/>
      <c r="F715" s="177"/>
      <c r="G715" s="177"/>
      <c r="H715" s="177"/>
      <c r="I715" s="177"/>
      <c r="J715" s="177"/>
      <c r="K715" s="177"/>
    </row>
    <row r="716">
      <c r="A716" s="189"/>
      <c r="B716" s="177"/>
      <c r="C716" s="189"/>
      <c r="D716" s="177"/>
      <c r="E716" s="193"/>
      <c r="F716" s="177"/>
      <c r="G716" s="177"/>
      <c r="H716" s="177"/>
      <c r="I716" s="177"/>
      <c r="J716" s="177"/>
      <c r="K716" s="177"/>
    </row>
    <row r="717">
      <c r="A717" s="189"/>
      <c r="B717" s="177"/>
      <c r="C717" s="189"/>
      <c r="D717" s="177"/>
      <c r="E717" s="193"/>
      <c r="F717" s="177"/>
      <c r="G717" s="177"/>
      <c r="H717" s="177"/>
      <c r="I717" s="177"/>
      <c r="J717" s="177"/>
      <c r="K717" s="177"/>
    </row>
    <row r="718">
      <c r="A718" s="189"/>
      <c r="B718" s="177"/>
      <c r="C718" s="189"/>
      <c r="D718" s="177"/>
      <c r="E718" s="193"/>
      <c r="F718" s="177"/>
      <c r="G718" s="177"/>
      <c r="H718" s="177"/>
      <c r="I718" s="177"/>
      <c r="J718" s="177"/>
      <c r="K718" s="177"/>
    </row>
    <row r="719">
      <c r="A719" s="189"/>
      <c r="B719" s="177"/>
      <c r="C719" s="189"/>
      <c r="D719" s="177"/>
      <c r="E719" s="193"/>
      <c r="F719" s="177"/>
      <c r="G719" s="177"/>
      <c r="H719" s="177"/>
      <c r="I719" s="177"/>
      <c r="J719" s="177"/>
      <c r="K719" s="177"/>
    </row>
    <row r="720">
      <c r="A720" s="189"/>
      <c r="B720" s="177"/>
      <c r="C720" s="189"/>
      <c r="D720" s="177"/>
      <c r="E720" s="193"/>
      <c r="F720" s="177"/>
      <c r="G720" s="177"/>
      <c r="H720" s="177"/>
      <c r="I720" s="177"/>
      <c r="J720" s="177"/>
      <c r="K720" s="177"/>
    </row>
    <row r="721">
      <c r="A721" s="189"/>
      <c r="B721" s="177"/>
      <c r="C721" s="189"/>
      <c r="D721" s="177"/>
      <c r="E721" s="193"/>
      <c r="F721" s="177"/>
      <c r="G721" s="177"/>
      <c r="H721" s="177"/>
      <c r="I721" s="177"/>
      <c r="J721" s="177"/>
      <c r="K721" s="177"/>
    </row>
    <row r="722">
      <c r="A722" s="189"/>
      <c r="B722" s="177"/>
      <c r="C722" s="189"/>
      <c r="D722" s="177"/>
      <c r="E722" s="193"/>
      <c r="F722" s="177"/>
      <c r="G722" s="177"/>
      <c r="H722" s="177"/>
      <c r="I722" s="177"/>
      <c r="J722" s="177"/>
      <c r="K722" s="177"/>
    </row>
    <row r="723">
      <c r="A723" s="189"/>
      <c r="B723" s="177"/>
      <c r="C723" s="189"/>
      <c r="D723" s="177"/>
      <c r="E723" s="193"/>
      <c r="F723" s="177"/>
      <c r="G723" s="177"/>
      <c r="H723" s="177"/>
      <c r="I723" s="177"/>
      <c r="J723" s="177"/>
      <c r="K723" s="177"/>
    </row>
    <row r="724">
      <c r="A724" s="189"/>
      <c r="B724" s="177"/>
      <c r="C724" s="189"/>
      <c r="D724" s="177"/>
      <c r="E724" s="193"/>
      <c r="F724" s="177"/>
      <c r="G724" s="177"/>
      <c r="H724" s="177"/>
      <c r="I724" s="177"/>
      <c r="J724" s="177"/>
      <c r="K724" s="177"/>
    </row>
    <row r="725">
      <c r="A725" s="189"/>
      <c r="B725" s="177"/>
      <c r="C725" s="189"/>
      <c r="D725" s="177"/>
      <c r="E725" s="193"/>
      <c r="F725" s="177"/>
      <c r="G725" s="177"/>
      <c r="H725" s="177"/>
      <c r="I725" s="177"/>
      <c r="J725" s="177"/>
      <c r="K725" s="177"/>
    </row>
    <row r="726">
      <c r="A726" s="189"/>
      <c r="B726" s="177"/>
      <c r="C726" s="189"/>
      <c r="D726" s="177"/>
      <c r="E726" s="193"/>
      <c r="F726" s="177"/>
      <c r="G726" s="177"/>
      <c r="H726" s="177"/>
      <c r="I726" s="177"/>
      <c r="J726" s="177"/>
      <c r="K726" s="177"/>
    </row>
    <row r="727">
      <c r="A727" s="189"/>
      <c r="B727" s="177"/>
      <c r="C727" s="189"/>
      <c r="D727" s="177"/>
      <c r="E727" s="193"/>
      <c r="F727" s="177"/>
      <c r="G727" s="177"/>
      <c r="H727" s="177"/>
      <c r="I727" s="177"/>
      <c r="J727" s="177"/>
      <c r="K727" s="177"/>
    </row>
    <row r="728">
      <c r="A728" s="189"/>
      <c r="B728" s="177"/>
      <c r="C728" s="189"/>
      <c r="D728" s="177"/>
      <c r="E728" s="193"/>
      <c r="F728" s="177"/>
      <c r="G728" s="177"/>
      <c r="H728" s="177"/>
      <c r="I728" s="177"/>
      <c r="J728" s="177"/>
      <c r="K728" s="177"/>
    </row>
    <row r="729">
      <c r="A729" s="189"/>
      <c r="B729" s="177"/>
      <c r="C729" s="189"/>
      <c r="D729" s="177"/>
      <c r="E729" s="193"/>
      <c r="F729" s="177"/>
      <c r="G729" s="177"/>
      <c r="H729" s="177"/>
      <c r="I729" s="177"/>
      <c r="J729" s="177"/>
      <c r="K729" s="177"/>
    </row>
    <row r="730">
      <c r="A730" s="189"/>
      <c r="B730" s="177"/>
      <c r="C730" s="189"/>
      <c r="D730" s="177"/>
      <c r="E730" s="193"/>
      <c r="F730" s="177"/>
      <c r="G730" s="177"/>
      <c r="H730" s="177"/>
      <c r="I730" s="177"/>
      <c r="J730" s="177"/>
      <c r="K730" s="177"/>
    </row>
    <row r="731">
      <c r="A731" s="189"/>
      <c r="B731" s="177"/>
      <c r="C731" s="189"/>
      <c r="D731" s="177"/>
      <c r="E731" s="193"/>
      <c r="F731" s="177"/>
      <c r="G731" s="177"/>
      <c r="H731" s="177"/>
      <c r="I731" s="177"/>
      <c r="J731" s="177"/>
      <c r="K731" s="177"/>
    </row>
    <row r="732">
      <c r="A732" s="189"/>
      <c r="B732" s="177"/>
      <c r="C732" s="189"/>
      <c r="D732" s="177"/>
      <c r="E732" s="193"/>
      <c r="F732" s="177"/>
      <c r="G732" s="177"/>
      <c r="H732" s="177"/>
      <c r="I732" s="177"/>
      <c r="J732" s="177"/>
      <c r="K732" s="177"/>
    </row>
    <row r="733">
      <c r="A733" s="189"/>
      <c r="B733" s="177"/>
      <c r="C733" s="189"/>
      <c r="D733" s="177"/>
      <c r="E733" s="193"/>
      <c r="F733" s="177"/>
      <c r="G733" s="177"/>
      <c r="H733" s="177"/>
      <c r="I733" s="177"/>
      <c r="J733" s="177"/>
      <c r="K733" s="177"/>
    </row>
    <row r="734">
      <c r="A734" s="189"/>
      <c r="B734" s="177"/>
      <c r="C734" s="189"/>
      <c r="D734" s="177"/>
      <c r="E734" s="193"/>
      <c r="F734" s="177"/>
      <c r="G734" s="177"/>
      <c r="H734" s="177"/>
      <c r="I734" s="177"/>
      <c r="J734" s="177"/>
      <c r="K734" s="177"/>
    </row>
    <row r="735">
      <c r="A735" s="189"/>
      <c r="B735" s="177"/>
      <c r="C735" s="189"/>
      <c r="D735" s="177"/>
      <c r="E735" s="193"/>
      <c r="F735" s="177"/>
      <c r="G735" s="177"/>
      <c r="H735" s="177"/>
      <c r="I735" s="177"/>
      <c r="J735" s="177"/>
      <c r="K735" s="177"/>
    </row>
    <row r="736">
      <c r="A736" s="189"/>
      <c r="B736" s="177"/>
      <c r="C736" s="189"/>
      <c r="D736" s="177"/>
      <c r="E736" s="193"/>
      <c r="F736" s="177"/>
      <c r="G736" s="177"/>
      <c r="H736" s="177"/>
      <c r="I736" s="177"/>
      <c r="J736" s="177"/>
      <c r="K736" s="177"/>
    </row>
    <row r="737">
      <c r="A737" s="189"/>
      <c r="B737" s="177"/>
      <c r="C737" s="189"/>
      <c r="D737" s="177"/>
      <c r="E737" s="193"/>
      <c r="F737" s="177"/>
      <c r="G737" s="177"/>
      <c r="H737" s="177"/>
      <c r="I737" s="177"/>
      <c r="J737" s="177"/>
      <c r="K737" s="177"/>
    </row>
    <row r="738">
      <c r="A738" s="189"/>
      <c r="B738" s="177"/>
      <c r="C738" s="189"/>
      <c r="D738" s="177"/>
      <c r="E738" s="193"/>
      <c r="F738" s="177"/>
      <c r="G738" s="177"/>
      <c r="H738" s="177"/>
      <c r="I738" s="177"/>
      <c r="J738" s="177"/>
      <c r="K738" s="177"/>
    </row>
    <row r="739">
      <c r="A739" s="189"/>
      <c r="B739" s="177"/>
      <c r="C739" s="189"/>
      <c r="D739" s="177"/>
      <c r="E739" s="193"/>
      <c r="F739" s="177"/>
      <c r="G739" s="177"/>
      <c r="H739" s="177"/>
      <c r="I739" s="177"/>
      <c r="J739" s="177"/>
      <c r="K739" s="177"/>
    </row>
    <row r="740">
      <c r="A740" s="189"/>
      <c r="B740" s="177"/>
      <c r="C740" s="189"/>
      <c r="D740" s="177"/>
      <c r="E740" s="193"/>
      <c r="F740" s="177"/>
      <c r="G740" s="177"/>
      <c r="H740" s="177"/>
      <c r="I740" s="177"/>
      <c r="J740" s="177"/>
      <c r="K740" s="177"/>
    </row>
    <row r="741">
      <c r="A741" s="189"/>
      <c r="B741" s="177"/>
      <c r="C741" s="189"/>
      <c r="D741" s="177"/>
      <c r="E741" s="193"/>
      <c r="F741" s="177"/>
      <c r="G741" s="177"/>
      <c r="H741" s="177"/>
      <c r="I741" s="177"/>
      <c r="J741" s="177"/>
      <c r="K741" s="177"/>
    </row>
    <row r="742">
      <c r="A742" s="189"/>
      <c r="B742" s="177"/>
      <c r="C742" s="189"/>
      <c r="D742" s="177"/>
      <c r="E742" s="193"/>
      <c r="F742" s="177"/>
      <c r="G742" s="177"/>
      <c r="H742" s="177"/>
      <c r="I742" s="177"/>
      <c r="J742" s="177"/>
      <c r="K742" s="177"/>
    </row>
    <row r="743">
      <c r="A743" s="189"/>
      <c r="B743" s="177"/>
      <c r="C743" s="189"/>
      <c r="D743" s="177"/>
      <c r="E743" s="193"/>
      <c r="F743" s="177"/>
      <c r="G743" s="177"/>
      <c r="H743" s="177"/>
      <c r="I743" s="177"/>
      <c r="J743" s="177"/>
      <c r="K743" s="177"/>
    </row>
    <row r="744">
      <c r="A744" s="189"/>
      <c r="B744" s="177"/>
      <c r="C744" s="189"/>
      <c r="D744" s="177"/>
      <c r="E744" s="193"/>
      <c r="F744" s="177"/>
      <c r="G744" s="177"/>
      <c r="H744" s="177"/>
      <c r="I744" s="177"/>
      <c r="J744" s="177"/>
      <c r="K744" s="177"/>
    </row>
    <row r="745">
      <c r="A745" s="189"/>
      <c r="B745" s="177"/>
      <c r="C745" s="189"/>
      <c r="D745" s="177"/>
      <c r="E745" s="193"/>
      <c r="F745" s="177"/>
      <c r="G745" s="177"/>
      <c r="H745" s="177"/>
      <c r="I745" s="177"/>
      <c r="J745" s="177"/>
      <c r="K745" s="177"/>
    </row>
    <row r="746">
      <c r="A746" s="189"/>
      <c r="B746" s="177"/>
      <c r="C746" s="189"/>
      <c r="D746" s="177"/>
      <c r="E746" s="193"/>
      <c r="F746" s="177"/>
      <c r="G746" s="177"/>
      <c r="H746" s="177"/>
      <c r="I746" s="177"/>
      <c r="J746" s="177"/>
      <c r="K746" s="177"/>
    </row>
    <row r="747">
      <c r="A747" s="189"/>
      <c r="B747" s="177"/>
      <c r="C747" s="189"/>
      <c r="D747" s="177"/>
      <c r="E747" s="193"/>
      <c r="F747" s="177"/>
      <c r="G747" s="177"/>
      <c r="H747" s="177"/>
      <c r="I747" s="177"/>
      <c r="J747" s="177"/>
      <c r="K747" s="177"/>
    </row>
    <row r="748">
      <c r="A748" s="189"/>
      <c r="B748" s="177"/>
      <c r="C748" s="189"/>
      <c r="D748" s="177"/>
      <c r="E748" s="193"/>
      <c r="F748" s="177"/>
      <c r="G748" s="177"/>
      <c r="H748" s="177"/>
      <c r="I748" s="177"/>
      <c r="J748" s="177"/>
      <c r="K748" s="177"/>
    </row>
    <row r="749">
      <c r="A749" s="189"/>
      <c r="B749" s="177"/>
      <c r="C749" s="189"/>
      <c r="D749" s="177"/>
      <c r="E749" s="193"/>
      <c r="F749" s="177"/>
      <c r="G749" s="177"/>
      <c r="H749" s="177"/>
      <c r="I749" s="177"/>
      <c r="J749" s="177"/>
      <c r="K749" s="177"/>
    </row>
    <row r="750">
      <c r="A750" s="189"/>
      <c r="B750" s="177"/>
      <c r="C750" s="189"/>
      <c r="D750" s="177"/>
      <c r="E750" s="193"/>
      <c r="F750" s="177"/>
      <c r="G750" s="177"/>
      <c r="H750" s="177"/>
      <c r="I750" s="177"/>
      <c r="J750" s="177"/>
      <c r="K750" s="177"/>
    </row>
    <row r="751">
      <c r="A751" s="189"/>
      <c r="B751" s="177"/>
      <c r="C751" s="189"/>
      <c r="D751" s="177"/>
      <c r="E751" s="193"/>
      <c r="F751" s="177"/>
      <c r="G751" s="177"/>
      <c r="H751" s="177"/>
      <c r="I751" s="177"/>
      <c r="J751" s="177"/>
      <c r="K751" s="177"/>
    </row>
    <row r="752">
      <c r="A752" s="189"/>
      <c r="B752" s="177"/>
      <c r="C752" s="189"/>
      <c r="D752" s="177"/>
      <c r="E752" s="193"/>
      <c r="F752" s="177"/>
      <c r="G752" s="177"/>
      <c r="H752" s="177"/>
      <c r="I752" s="177"/>
      <c r="J752" s="177"/>
      <c r="K752" s="177"/>
    </row>
    <row r="753">
      <c r="A753" s="189"/>
      <c r="B753" s="177"/>
      <c r="C753" s="189"/>
      <c r="D753" s="177"/>
      <c r="E753" s="193"/>
      <c r="F753" s="177"/>
      <c r="G753" s="177"/>
      <c r="H753" s="177"/>
      <c r="I753" s="177"/>
      <c r="J753" s="177"/>
      <c r="K753" s="177"/>
    </row>
    <row r="754">
      <c r="A754" s="189"/>
      <c r="B754" s="177"/>
      <c r="C754" s="189"/>
      <c r="D754" s="177"/>
      <c r="E754" s="193"/>
      <c r="F754" s="177"/>
      <c r="G754" s="177"/>
      <c r="H754" s="177"/>
      <c r="I754" s="177"/>
      <c r="J754" s="177"/>
      <c r="K754" s="177"/>
    </row>
    <row r="755">
      <c r="A755" s="189"/>
      <c r="B755" s="177"/>
      <c r="C755" s="189"/>
      <c r="D755" s="177"/>
      <c r="E755" s="193"/>
      <c r="F755" s="177"/>
      <c r="G755" s="177"/>
      <c r="H755" s="177"/>
      <c r="I755" s="177"/>
      <c r="J755" s="177"/>
      <c r="K755" s="177"/>
    </row>
    <row r="756">
      <c r="A756" s="189"/>
      <c r="B756" s="177"/>
      <c r="C756" s="189"/>
      <c r="D756" s="177"/>
      <c r="E756" s="193"/>
      <c r="F756" s="177"/>
      <c r="G756" s="177"/>
      <c r="H756" s="177"/>
      <c r="I756" s="177"/>
      <c r="J756" s="177"/>
      <c r="K756" s="177"/>
    </row>
    <row r="757">
      <c r="A757" s="189"/>
      <c r="B757" s="177"/>
      <c r="C757" s="189"/>
      <c r="D757" s="177"/>
      <c r="E757" s="193"/>
      <c r="F757" s="177"/>
      <c r="G757" s="177"/>
      <c r="H757" s="177"/>
      <c r="I757" s="177"/>
      <c r="J757" s="177"/>
      <c r="K757" s="177"/>
    </row>
    <row r="758">
      <c r="A758" s="189"/>
      <c r="B758" s="177"/>
      <c r="C758" s="189"/>
      <c r="D758" s="177"/>
      <c r="E758" s="193"/>
      <c r="F758" s="177"/>
      <c r="G758" s="177"/>
      <c r="H758" s="177"/>
      <c r="I758" s="177"/>
      <c r="J758" s="177"/>
      <c r="K758" s="177"/>
    </row>
    <row r="759">
      <c r="A759" s="189"/>
      <c r="B759" s="177"/>
      <c r="C759" s="189"/>
      <c r="D759" s="177"/>
      <c r="E759" s="193"/>
      <c r="F759" s="177"/>
      <c r="G759" s="177"/>
      <c r="H759" s="177"/>
      <c r="I759" s="177"/>
      <c r="J759" s="177"/>
      <c r="K759" s="177"/>
    </row>
    <row r="760">
      <c r="A760" s="189"/>
      <c r="B760" s="177"/>
      <c r="C760" s="189"/>
      <c r="D760" s="177"/>
      <c r="E760" s="193"/>
      <c r="F760" s="177"/>
      <c r="G760" s="177"/>
      <c r="H760" s="177"/>
      <c r="I760" s="177"/>
      <c r="J760" s="177"/>
      <c r="K760" s="177"/>
    </row>
    <row r="761">
      <c r="A761" s="189"/>
      <c r="B761" s="177"/>
      <c r="C761" s="189"/>
      <c r="D761" s="177"/>
      <c r="E761" s="193"/>
      <c r="F761" s="177"/>
      <c r="G761" s="177"/>
      <c r="H761" s="177"/>
      <c r="I761" s="177"/>
      <c r="J761" s="177"/>
      <c r="K761" s="177"/>
    </row>
    <row r="762">
      <c r="A762" s="189"/>
      <c r="B762" s="177"/>
      <c r="C762" s="189"/>
      <c r="D762" s="177"/>
      <c r="E762" s="193"/>
      <c r="F762" s="177"/>
      <c r="G762" s="177"/>
      <c r="H762" s="177"/>
      <c r="I762" s="177"/>
      <c r="J762" s="177"/>
      <c r="K762" s="177"/>
    </row>
    <row r="763">
      <c r="A763" s="189"/>
      <c r="B763" s="177"/>
      <c r="C763" s="189"/>
      <c r="D763" s="177"/>
      <c r="E763" s="193"/>
      <c r="F763" s="177"/>
      <c r="G763" s="177"/>
      <c r="H763" s="177"/>
      <c r="I763" s="177"/>
      <c r="J763" s="177"/>
      <c r="K763" s="177"/>
    </row>
    <row r="764">
      <c r="A764" s="189"/>
      <c r="B764" s="177"/>
      <c r="C764" s="189"/>
      <c r="D764" s="177"/>
      <c r="E764" s="193"/>
      <c r="F764" s="177"/>
      <c r="G764" s="177"/>
      <c r="H764" s="177"/>
      <c r="I764" s="177"/>
      <c r="J764" s="177"/>
      <c r="K764" s="177"/>
    </row>
    <row r="765">
      <c r="A765" s="189"/>
      <c r="B765" s="177"/>
      <c r="C765" s="189"/>
      <c r="D765" s="177"/>
      <c r="E765" s="193"/>
      <c r="F765" s="177"/>
      <c r="G765" s="177"/>
      <c r="H765" s="177"/>
      <c r="I765" s="177"/>
      <c r="J765" s="177"/>
      <c r="K765" s="177"/>
    </row>
    <row r="766">
      <c r="A766" s="189"/>
      <c r="B766" s="177"/>
      <c r="C766" s="189"/>
      <c r="D766" s="177"/>
      <c r="E766" s="193"/>
      <c r="F766" s="177"/>
      <c r="G766" s="177"/>
      <c r="H766" s="177"/>
      <c r="I766" s="177"/>
      <c r="J766" s="177"/>
      <c r="K766" s="177"/>
    </row>
    <row r="767">
      <c r="A767" s="189"/>
      <c r="B767" s="177"/>
      <c r="C767" s="189"/>
      <c r="D767" s="177"/>
      <c r="E767" s="193"/>
      <c r="F767" s="177"/>
      <c r="G767" s="177"/>
      <c r="H767" s="177"/>
      <c r="I767" s="177"/>
      <c r="J767" s="177"/>
      <c r="K767" s="177"/>
    </row>
    <row r="768">
      <c r="A768" s="189"/>
      <c r="B768" s="177"/>
      <c r="C768" s="189"/>
      <c r="D768" s="177"/>
      <c r="E768" s="193"/>
      <c r="F768" s="177"/>
      <c r="G768" s="177"/>
      <c r="H768" s="177"/>
      <c r="I768" s="177"/>
      <c r="J768" s="177"/>
      <c r="K768" s="177"/>
    </row>
    <row r="769">
      <c r="A769" s="189"/>
      <c r="B769" s="177"/>
      <c r="C769" s="189"/>
      <c r="D769" s="177"/>
      <c r="E769" s="193"/>
      <c r="F769" s="177"/>
      <c r="G769" s="177"/>
      <c r="H769" s="177"/>
      <c r="I769" s="177"/>
      <c r="J769" s="177"/>
      <c r="K769" s="177"/>
    </row>
    <row r="770">
      <c r="A770" s="189"/>
      <c r="B770" s="177"/>
      <c r="C770" s="189"/>
      <c r="D770" s="177"/>
      <c r="E770" s="193"/>
      <c r="F770" s="177"/>
      <c r="G770" s="177"/>
      <c r="H770" s="177"/>
      <c r="I770" s="177"/>
      <c r="J770" s="177"/>
      <c r="K770" s="177"/>
    </row>
    <row r="771">
      <c r="A771" s="189"/>
      <c r="B771" s="177"/>
      <c r="C771" s="189"/>
      <c r="D771" s="177"/>
      <c r="E771" s="193"/>
      <c r="F771" s="177"/>
      <c r="G771" s="177"/>
      <c r="H771" s="177"/>
      <c r="I771" s="177"/>
      <c r="J771" s="177"/>
      <c r="K771" s="177"/>
    </row>
    <row r="772">
      <c r="A772" s="189"/>
      <c r="B772" s="177"/>
      <c r="C772" s="189"/>
      <c r="D772" s="177"/>
      <c r="E772" s="193"/>
      <c r="F772" s="177"/>
      <c r="G772" s="177"/>
      <c r="H772" s="177"/>
      <c r="I772" s="177"/>
      <c r="J772" s="177"/>
      <c r="K772" s="177"/>
    </row>
    <row r="773">
      <c r="A773" s="189"/>
      <c r="B773" s="177"/>
      <c r="C773" s="189"/>
      <c r="D773" s="177"/>
      <c r="E773" s="193"/>
      <c r="F773" s="177"/>
      <c r="G773" s="177"/>
      <c r="H773" s="177"/>
      <c r="I773" s="177"/>
      <c r="J773" s="177"/>
      <c r="K773" s="177"/>
    </row>
    <row r="774">
      <c r="A774" s="189"/>
      <c r="B774" s="177"/>
      <c r="C774" s="189"/>
      <c r="D774" s="177"/>
      <c r="E774" s="193"/>
      <c r="F774" s="177"/>
      <c r="G774" s="177"/>
      <c r="H774" s="177"/>
      <c r="I774" s="177"/>
      <c r="J774" s="177"/>
      <c r="K774" s="177"/>
    </row>
    <row r="775">
      <c r="A775" s="189"/>
      <c r="B775" s="177"/>
      <c r="C775" s="189"/>
      <c r="D775" s="177"/>
      <c r="E775" s="193"/>
      <c r="F775" s="177"/>
      <c r="G775" s="177"/>
      <c r="H775" s="177"/>
      <c r="I775" s="177"/>
      <c r="J775" s="177"/>
      <c r="K775" s="177"/>
    </row>
    <row r="776">
      <c r="A776" s="189"/>
      <c r="B776" s="177"/>
      <c r="C776" s="189"/>
      <c r="D776" s="177"/>
      <c r="E776" s="193"/>
      <c r="F776" s="177"/>
      <c r="G776" s="177"/>
      <c r="H776" s="177"/>
      <c r="I776" s="177"/>
      <c r="J776" s="177"/>
      <c r="K776" s="177"/>
    </row>
    <row r="777">
      <c r="A777" s="189"/>
      <c r="B777" s="177"/>
      <c r="C777" s="189"/>
      <c r="D777" s="177"/>
      <c r="E777" s="193"/>
      <c r="F777" s="177"/>
      <c r="G777" s="177"/>
      <c r="H777" s="177"/>
      <c r="I777" s="177"/>
      <c r="J777" s="177"/>
      <c r="K777" s="177"/>
    </row>
    <row r="778">
      <c r="A778" s="189"/>
      <c r="B778" s="177"/>
      <c r="C778" s="189"/>
      <c r="D778" s="177"/>
      <c r="E778" s="193"/>
      <c r="F778" s="177"/>
      <c r="G778" s="177"/>
      <c r="H778" s="177"/>
      <c r="I778" s="177"/>
      <c r="J778" s="177"/>
      <c r="K778" s="177"/>
    </row>
    <row r="779">
      <c r="A779" s="189"/>
      <c r="B779" s="177"/>
      <c r="C779" s="189"/>
      <c r="D779" s="177"/>
      <c r="E779" s="193"/>
      <c r="F779" s="177"/>
      <c r="G779" s="177"/>
      <c r="H779" s="177"/>
      <c r="I779" s="177"/>
      <c r="J779" s="177"/>
      <c r="K779" s="177"/>
    </row>
    <row r="780">
      <c r="A780" s="189"/>
      <c r="B780" s="177"/>
      <c r="C780" s="189"/>
      <c r="D780" s="177"/>
      <c r="E780" s="193"/>
      <c r="F780" s="177"/>
      <c r="G780" s="177"/>
      <c r="H780" s="177"/>
      <c r="I780" s="177"/>
      <c r="J780" s="177"/>
      <c r="K780" s="177"/>
    </row>
    <row r="781">
      <c r="A781" s="189"/>
      <c r="B781" s="177"/>
      <c r="C781" s="189"/>
      <c r="D781" s="177"/>
      <c r="E781" s="193"/>
      <c r="F781" s="177"/>
      <c r="G781" s="177"/>
      <c r="H781" s="177"/>
      <c r="I781" s="177"/>
      <c r="J781" s="177"/>
      <c r="K781" s="177"/>
    </row>
    <row r="782">
      <c r="A782" s="189"/>
      <c r="B782" s="177"/>
      <c r="C782" s="189"/>
      <c r="D782" s="177"/>
      <c r="E782" s="193"/>
      <c r="F782" s="177"/>
      <c r="G782" s="177"/>
      <c r="H782" s="177"/>
      <c r="I782" s="177"/>
      <c r="J782" s="177"/>
      <c r="K782" s="177"/>
    </row>
    <row r="783">
      <c r="A783" s="189"/>
      <c r="B783" s="177"/>
      <c r="C783" s="189"/>
      <c r="D783" s="177"/>
      <c r="E783" s="193"/>
      <c r="F783" s="177"/>
      <c r="G783" s="177"/>
      <c r="H783" s="177"/>
      <c r="I783" s="177"/>
      <c r="J783" s="177"/>
      <c r="K783" s="177"/>
    </row>
    <row r="784">
      <c r="A784" s="189"/>
      <c r="B784" s="177"/>
      <c r="C784" s="189"/>
      <c r="D784" s="177"/>
      <c r="E784" s="193"/>
      <c r="F784" s="177"/>
      <c r="G784" s="177"/>
      <c r="H784" s="177"/>
      <c r="I784" s="177"/>
      <c r="J784" s="177"/>
      <c r="K784" s="177"/>
    </row>
    <row r="785">
      <c r="A785" s="189"/>
      <c r="B785" s="177"/>
      <c r="C785" s="189"/>
      <c r="D785" s="177"/>
      <c r="E785" s="193"/>
      <c r="F785" s="177"/>
      <c r="G785" s="177"/>
      <c r="H785" s="177"/>
      <c r="I785" s="177"/>
      <c r="J785" s="177"/>
      <c r="K785" s="177"/>
    </row>
    <row r="786">
      <c r="A786" s="189"/>
      <c r="B786" s="177"/>
      <c r="C786" s="189"/>
      <c r="D786" s="177"/>
      <c r="E786" s="193"/>
      <c r="F786" s="177"/>
      <c r="G786" s="177"/>
      <c r="H786" s="177"/>
      <c r="I786" s="177"/>
      <c r="J786" s="177"/>
      <c r="K786" s="177"/>
    </row>
    <row r="787">
      <c r="A787" s="189"/>
      <c r="B787" s="177"/>
      <c r="C787" s="189"/>
      <c r="D787" s="177"/>
      <c r="E787" s="193"/>
      <c r="F787" s="177"/>
      <c r="G787" s="177"/>
      <c r="H787" s="177"/>
      <c r="I787" s="177"/>
      <c r="J787" s="177"/>
      <c r="K787" s="177"/>
    </row>
    <row r="788">
      <c r="A788" s="189"/>
      <c r="B788" s="177"/>
      <c r="C788" s="189"/>
      <c r="D788" s="177"/>
      <c r="E788" s="193"/>
      <c r="F788" s="177"/>
      <c r="G788" s="177"/>
      <c r="H788" s="177"/>
      <c r="I788" s="177"/>
      <c r="J788" s="177"/>
      <c r="K788" s="177"/>
    </row>
    <row r="789">
      <c r="A789" s="189"/>
      <c r="B789" s="177"/>
      <c r="C789" s="189"/>
      <c r="D789" s="177"/>
      <c r="E789" s="193"/>
      <c r="F789" s="177"/>
      <c r="G789" s="177"/>
      <c r="H789" s="177"/>
      <c r="I789" s="177"/>
      <c r="J789" s="177"/>
      <c r="K789" s="177"/>
    </row>
    <row r="790">
      <c r="A790" s="189"/>
      <c r="B790" s="177"/>
      <c r="C790" s="189"/>
      <c r="D790" s="177"/>
      <c r="E790" s="193"/>
      <c r="F790" s="177"/>
      <c r="G790" s="177"/>
      <c r="H790" s="177"/>
      <c r="I790" s="177"/>
      <c r="J790" s="177"/>
      <c r="K790" s="177"/>
    </row>
    <row r="791">
      <c r="A791" s="189"/>
      <c r="B791" s="177"/>
      <c r="C791" s="189"/>
      <c r="D791" s="177"/>
      <c r="E791" s="193"/>
      <c r="F791" s="177"/>
      <c r="G791" s="177"/>
      <c r="H791" s="177"/>
      <c r="I791" s="177"/>
      <c r="J791" s="177"/>
      <c r="K791" s="177"/>
    </row>
    <row r="792">
      <c r="A792" s="189"/>
      <c r="B792" s="177"/>
      <c r="C792" s="189"/>
      <c r="D792" s="177"/>
      <c r="E792" s="193"/>
      <c r="F792" s="177"/>
      <c r="G792" s="177"/>
      <c r="H792" s="177"/>
      <c r="I792" s="177"/>
      <c r="J792" s="177"/>
      <c r="K792" s="177"/>
    </row>
    <row r="793">
      <c r="A793" s="189"/>
      <c r="B793" s="177"/>
      <c r="C793" s="189"/>
      <c r="D793" s="177"/>
      <c r="E793" s="193"/>
      <c r="F793" s="177"/>
      <c r="G793" s="177"/>
      <c r="H793" s="177"/>
      <c r="I793" s="177"/>
      <c r="J793" s="177"/>
      <c r="K793" s="177"/>
    </row>
    <row r="794">
      <c r="A794" s="189"/>
      <c r="B794" s="177"/>
      <c r="C794" s="189"/>
      <c r="D794" s="177"/>
      <c r="E794" s="193"/>
      <c r="F794" s="177"/>
      <c r="G794" s="177"/>
      <c r="H794" s="177"/>
      <c r="I794" s="177"/>
      <c r="J794" s="177"/>
      <c r="K794" s="177"/>
    </row>
    <row r="795">
      <c r="A795" s="189"/>
      <c r="B795" s="177"/>
      <c r="C795" s="189"/>
      <c r="D795" s="177"/>
      <c r="E795" s="193"/>
      <c r="F795" s="177"/>
      <c r="G795" s="177"/>
      <c r="H795" s="177"/>
      <c r="I795" s="177"/>
      <c r="J795" s="177"/>
      <c r="K795" s="177"/>
    </row>
    <row r="796">
      <c r="A796" s="189"/>
      <c r="B796" s="177"/>
      <c r="C796" s="189"/>
      <c r="D796" s="177"/>
      <c r="E796" s="193"/>
      <c r="F796" s="177"/>
      <c r="G796" s="177"/>
      <c r="H796" s="177"/>
      <c r="I796" s="177"/>
      <c r="J796" s="177"/>
      <c r="K796" s="177"/>
    </row>
    <row r="797">
      <c r="A797" s="189"/>
      <c r="B797" s="177"/>
      <c r="C797" s="189"/>
      <c r="D797" s="177"/>
      <c r="E797" s="193"/>
      <c r="F797" s="177"/>
      <c r="G797" s="177"/>
      <c r="H797" s="177"/>
      <c r="I797" s="177"/>
      <c r="J797" s="177"/>
      <c r="K797" s="177"/>
    </row>
    <row r="798">
      <c r="A798" s="189"/>
      <c r="B798" s="177"/>
      <c r="C798" s="189"/>
      <c r="D798" s="177"/>
      <c r="E798" s="193"/>
      <c r="F798" s="177"/>
      <c r="G798" s="177"/>
      <c r="H798" s="177"/>
      <c r="I798" s="177"/>
      <c r="J798" s="177"/>
      <c r="K798" s="177"/>
    </row>
    <row r="799">
      <c r="A799" s="189"/>
      <c r="B799" s="177"/>
      <c r="C799" s="189"/>
      <c r="D799" s="177"/>
      <c r="E799" s="193"/>
      <c r="F799" s="177"/>
      <c r="G799" s="177"/>
      <c r="H799" s="177"/>
      <c r="I799" s="177"/>
      <c r="J799" s="177"/>
      <c r="K799" s="177"/>
    </row>
    <row r="800">
      <c r="A800" s="189"/>
      <c r="B800" s="177"/>
      <c r="C800" s="189"/>
      <c r="D800" s="177"/>
      <c r="E800" s="193"/>
      <c r="F800" s="177"/>
      <c r="G800" s="177"/>
      <c r="H800" s="177"/>
      <c r="I800" s="177"/>
      <c r="J800" s="177"/>
      <c r="K800" s="177"/>
    </row>
    <row r="801">
      <c r="A801" s="189"/>
      <c r="B801" s="177"/>
      <c r="C801" s="189"/>
      <c r="D801" s="177"/>
      <c r="E801" s="193"/>
      <c r="F801" s="177"/>
      <c r="G801" s="177"/>
      <c r="H801" s="177"/>
      <c r="I801" s="177"/>
      <c r="J801" s="177"/>
      <c r="K801" s="177"/>
    </row>
    <row r="802">
      <c r="A802" s="189"/>
      <c r="B802" s="177"/>
      <c r="C802" s="189"/>
      <c r="D802" s="177"/>
      <c r="E802" s="193"/>
      <c r="F802" s="177"/>
      <c r="G802" s="177"/>
      <c r="H802" s="177"/>
      <c r="I802" s="177"/>
      <c r="J802" s="177"/>
      <c r="K802" s="177"/>
    </row>
    <row r="803">
      <c r="A803" s="189"/>
      <c r="B803" s="177"/>
      <c r="C803" s="189"/>
      <c r="D803" s="177"/>
      <c r="E803" s="193"/>
      <c r="F803" s="177"/>
      <c r="G803" s="177"/>
      <c r="H803" s="177"/>
      <c r="I803" s="177"/>
      <c r="J803" s="177"/>
      <c r="K803" s="177"/>
    </row>
    <row r="804">
      <c r="A804" s="189"/>
      <c r="B804" s="177"/>
      <c r="C804" s="189"/>
      <c r="D804" s="177"/>
      <c r="E804" s="193"/>
      <c r="F804" s="177"/>
      <c r="G804" s="177"/>
      <c r="H804" s="177"/>
      <c r="I804" s="177"/>
      <c r="J804" s="177"/>
      <c r="K804" s="177"/>
    </row>
    <row r="805">
      <c r="A805" s="189"/>
      <c r="B805" s="177"/>
      <c r="C805" s="189"/>
      <c r="D805" s="177"/>
      <c r="E805" s="193"/>
      <c r="F805" s="177"/>
      <c r="G805" s="177"/>
      <c r="H805" s="177"/>
      <c r="I805" s="177"/>
      <c r="J805" s="177"/>
      <c r="K805" s="177"/>
    </row>
    <row r="806">
      <c r="A806" s="189"/>
      <c r="B806" s="177"/>
      <c r="C806" s="189"/>
      <c r="D806" s="177"/>
      <c r="E806" s="193"/>
      <c r="F806" s="177"/>
      <c r="G806" s="177"/>
      <c r="H806" s="177"/>
      <c r="I806" s="177"/>
      <c r="J806" s="177"/>
      <c r="K806" s="177"/>
    </row>
    <row r="807">
      <c r="A807" s="189"/>
      <c r="B807" s="177"/>
      <c r="C807" s="189"/>
      <c r="D807" s="177"/>
      <c r="E807" s="193"/>
      <c r="F807" s="177"/>
      <c r="G807" s="177"/>
      <c r="H807" s="177"/>
      <c r="I807" s="177"/>
      <c r="J807" s="177"/>
      <c r="K807" s="177"/>
    </row>
    <row r="808">
      <c r="A808" s="189"/>
      <c r="B808" s="177"/>
      <c r="C808" s="189"/>
      <c r="D808" s="177"/>
      <c r="E808" s="193"/>
      <c r="F808" s="177"/>
      <c r="G808" s="177"/>
      <c r="H808" s="177"/>
      <c r="I808" s="177"/>
      <c r="J808" s="177"/>
      <c r="K808" s="177"/>
    </row>
    <row r="809">
      <c r="A809" s="189"/>
      <c r="B809" s="177"/>
      <c r="C809" s="189"/>
      <c r="D809" s="177"/>
      <c r="E809" s="193"/>
      <c r="F809" s="177"/>
      <c r="G809" s="177"/>
      <c r="H809" s="177"/>
      <c r="I809" s="177"/>
      <c r="J809" s="177"/>
      <c r="K809" s="177"/>
    </row>
    <row r="810">
      <c r="A810" s="189"/>
      <c r="B810" s="177"/>
      <c r="C810" s="189"/>
      <c r="D810" s="177"/>
      <c r="E810" s="193"/>
      <c r="F810" s="177"/>
      <c r="G810" s="177"/>
      <c r="H810" s="177"/>
      <c r="I810" s="177"/>
      <c r="J810" s="177"/>
      <c r="K810" s="177"/>
    </row>
    <row r="811">
      <c r="A811" s="189"/>
      <c r="B811" s="177"/>
      <c r="C811" s="189"/>
      <c r="D811" s="177"/>
      <c r="E811" s="193"/>
      <c r="F811" s="177"/>
      <c r="G811" s="177"/>
      <c r="H811" s="177"/>
      <c r="I811" s="177"/>
      <c r="J811" s="177"/>
      <c r="K811" s="177"/>
    </row>
    <row r="812">
      <c r="A812" s="189"/>
      <c r="B812" s="177"/>
      <c r="C812" s="189"/>
      <c r="D812" s="177"/>
      <c r="E812" s="193"/>
      <c r="F812" s="177"/>
      <c r="G812" s="177"/>
      <c r="H812" s="177"/>
      <c r="I812" s="177"/>
      <c r="J812" s="177"/>
      <c r="K812" s="177"/>
    </row>
    <row r="813">
      <c r="A813" s="189"/>
      <c r="B813" s="177"/>
      <c r="C813" s="189"/>
      <c r="D813" s="177"/>
      <c r="E813" s="193"/>
      <c r="F813" s="177"/>
      <c r="G813" s="177"/>
      <c r="H813" s="177"/>
      <c r="I813" s="177"/>
      <c r="J813" s="177"/>
      <c r="K813" s="177"/>
    </row>
    <row r="814">
      <c r="A814" s="189"/>
      <c r="B814" s="177"/>
      <c r="C814" s="189"/>
      <c r="D814" s="177"/>
      <c r="E814" s="193"/>
      <c r="F814" s="177"/>
      <c r="G814" s="177"/>
      <c r="H814" s="177"/>
      <c r="I814" s="177"/>
      <c r="J814" s="177"/>
      <c r="K814" s="177"/>
    </row>
    <row r="815">
      <c r="A815" s="189"/>
      <c r="B815" s="177"/>
      <c r="C815" s="189"/>
      <c r="D815" s="177"/>
      <c r="E815" s="193"/>
      <c r="F815" s="177"/>
      <c r="G815" s="177"/>
      <c r="H815" s="177"/>
      <c r="I815" s="177"/>
      <c r="J815" s="177"/>
      <c r="K815" s="177"/>
    </row>
    <row r="816">
      <c r="A816" s="189"/>
      <c r="B816" s="177"/>
      <c r="C816" s="189"/>
      <c r="D816" s="177"/>
      <c r="E816" s="193"/>
      <c r="F816" s="177"/>
      <c r="G816" s="177"/>
      <c r="H816" s="177"/>
      <c r="I816" s="177"/>
      <c r="J816" s="177"/>
      <c r="K816" s="177"/>
    </row>
    <row r="817">
      <c r="A817" s="189"/>
      <c r="B817" s="177"/>
      <c r="C817" s="189"/>
      <c r="D817" s="177"/>
      <c r="E817" s="193"/>
      <c r="F817" s="177"/>
      <c r="G817" s="177"/>
      <c r="H817" s="177"/>
      <c r="I817" s="177"/>
      <c r="J817" s="177"/>
      <c r="K817" s="177"/>
    </row>
    <row r="818">
      <c r="A818" s="189"/>
      <c r="B818" s="177"/>
      <c r="C818" s="189"/>
      <c r="D818" s="177"/>
      <c r="E818" s="193"/>
      <c r="F818" s="177"/>
      <c r="G818" s="177"/>
      <c r="H818" s="177"/>
      <c r="I818" s="177"/>
      <c r="J818" s="177"/>
      <c r="K818" s="177"/>
    </row>
    <row r="819">
      <c r="A819" s="189"/>
      <c r="B819" s="177"/>
      <c r="C819" s="189"/>
      <c r="D819" s="177"/>
      <c r="E819" s="193"/>
      <c r="F819" s="177"/>
      <c r="G819" s="177"/>
      <c r="H819" s="177"/>
      <c r="I819" s="177"/>
      <c r="J819" s="177"/>
      <c r="K819" s="177"/>
    </row>
    <row r="820">
      <c r="A820" s="189"/>
      <c r="B820" s="177"/>
      <c r="C820" s="189"/>
      <c r="D820" s="177"/>
      <c r="E820" s="193"/>
      <c r="F820" s="177"/>
      <c r="G820" s="177"/>
      <c r="H820" s="177"/>
      <c r="I820" s="177"/>
      <c r="J820" s="177"/>
      <c r="K820" s="177"/>
    </row>
    <row r="821">
      <c r="A821" s="189"/>
      <c r="B821" s="177"/>
      <c r="C821" s="189"/>
      <c r="D821" s="177"/>
      <c r="E821" s="193"/>
      <c r="F821" s="177"/>
      <c r="G821" s="177"/>
      <c r="H821" s="177"/>
      <c r="I821" s="177"/>
      <c r="J821" s="177"/>
      <c r="K821" s="177"/>
    </row>
    <row r="822">
      <c r="A822" s="189"/>
      <c r="B822" s="177"/>
      <c r="C822" s="189"/>
      <c r="D822" s="177"/>
      <c r="E822" s="193"/>
      <c r="F822" s="177"/>
      <c r="G822" s="177"/>
      <c r="H822" s="177"/>
      <c r="I822" s="177"/>
      <c r="J822" s="177"/>
      <c r="K822" s="177"/>
    </row>
    <row r="823">
      <c r="A823" s="189"/>
      <c r="B823" s="177"/>
      <c r="C823" s="189"/>
      <c r="D823" s="177"/>
      <c r="E823" s="193"/>
      <c r="F823" s="177"/>
      <c r="G823" s="177"/>
      <c r="H823" s="177"/>
      <c r="I823" s="177"/>
      <c r="J823" s="177"/>
      <c r="K823" s="177"/>
    </row>
    <row r="824">
      <c r="A824" s="189"/>
      <c r="B824" s="177"/>
      <c r="C824" s="189"/>
      <c r="D824" s="177"/>
      <c r="E824" s="193"/>
      <c r="F824" s="177"/>
      <c r="G824" s="177"/>
      <c r="H824" s="177"/>
      <c r="I824" s="177"/>
      <c r="J824" s="177"/>
      <c r="K824" s="177"/>
    </row>
    <row r="825">
      <c r="A825" s="189"/>
      <c r="B825" s="177"/>
      <c r="C825" s="189"/>
      <c r="D825" s="177"/>
      <c r="E825" s="193"/>
      <c r="F825" s="177"/>
      <c r="G825" s="177"/>
      <c r="H825" s="177"/>
      <c r="I825" s="177"/>
      <c r="J825" s="177"/>
      <c r="K825" s="177"/>
    </row>
    <row r="826">
      <c r="A826" s="189"/>
      <c r="B826" s="177"/>
      <c r="C826" s="189"/>
      <c r="D826" s="177"/>
      <c r="E826" s="193"/>
      <c r="F826" s="177"/>
      <c r="G826" s="177"/>
      <c r="H826" s="177"/>
      <c r="I826" s="177"/>
      <c r="J826" s="177"/>
      <c r="K826" s="177"/>
    </row>
    <row r="827">
      <c r="A827" s="189"/>
      <c r="B827" s="177"/>
      <c r="C827" s="189"/>
      <c r="D827" s="177"/>
      <c r="E827" s="193"/>
      <c r="F827" s="177"/>
      <c r="G827" s="177"/>
      <c r="H827" s="177"/>
      <c r="I827" s="177"/>
      <c r="J827" s="177"/>
      <c r="K827" s="177"/>
    </row>
    <row r="828">
      <c r="A828" s="189"/>
      <c r="B828" s="177"/>
      <c r="C828" s="189"/>
      <c r="D828" s="177"/>
      <c r="E828" s="193"/>
      <c r="F828" s="177"/>
      <c r="G828" s="177"/>
      <c r="H828" s="177"/>
      <c r="I828" s="177"/>
      <c r="J828" s="177"/>
      <c r="K828" s="177"/>
    </row>
    <row r="829">
      <c r="A829" s="189"/>
      <c r="B829" s="177"/>
      <c r="C829" s="189"/>
      <c r="D829" s="177"/>
      <c r="E829" s="193"/>
      <c r="F829" s="177"/>
      <c r="G829" s="177"/>
      <c r="H829" s="177"/>
      <c r="I829" s="177"/>
      <c r="J829" s="177"/>
      <c r="K829" s="177"/>
    </row>
    <row r="830">
      <c r="A830" s="189"/>
      <c r="B830" s="177"/>
      <c r="C830" s="189"/>
      <c r="D830" s="177"/>
      <c r="E830" s="193"/>
      <c r="F830" s="177"/>
      <c r="G830" s="177"/>
      <c r="H830" s="177"/>
      <c r="I830" s="177"/>
      <c r="J830" s="177"/>
      <c r="K830" s="177"/>
    </row>
    <row r="831">
      <c r="A831" s="189"/>
      <c r="B831" s="177"/>
      <c r="C831" s="189"/>
      <c r="D831" s="177"/>
      <c r="E831" s="193"/>
      <c r="F831" s="177"/>
      <c r="G831" s="177"/>
      <c r="H831" s="177"/>
      <c r="I831" s="177"/>
      <c r="J831" s="177"/>
      <c r="K831" s="177"/>
    </row>
    <row r="832">
      <c r="A832" s="189"/>
      <c r="B832" s="177"/>
      <c r="C832" s="189"/>
      <c r="D832" s="177"/>
      <c r="E832" s="193"/>
      <c r="F832" s="177"/>
      <c r="G832" s="177"/>
      <c r="H832" s="177"/>
      <c r="I832" s="177"/>
      <c r="J832" s="177"/>
      <c r="K832" s="177"/>
    </row>
    <row r="833">
      <c r="A833" s="189"/>
      <c r="B833" s="177"/>
      <c r="C833" s="189"/>
      <c r="D833" s="177"/>
      <c r="E833" s="193"/>
      <c r="F833" s="177"/>
      <c r="G833" s="177"/>
      <c r="H833" s="177"/>
      <c r="I833" s="177"/>
      <c r="J833" s="177"/>
      <c r="K833" s="177"/>
    </row>
    <row r="834">
      <c r="A834" s="189"/>
      <c r="B834" s="177"/>
      <c r="C834" s="189"/>
      <c r="D834" s="177"/>
      <c r="E834" s="193"/>
      <c r="F834" s="177"/>
      <c r="G834" s="177"/>
      <c r="H834" s="177"/>
      <c r="I834" s="177"/>
      <c r="J834" s="177"/>
      <c r="K834" s="177"/>
    </row>
    <row r="835">
      <c r="A835" s="189"/>
      <c r="B835" s="177"/>
      <c r="C835" s="189"/>
      <c r="D835" s="177"/>
      <c r="E835" s="193"/>
      <c r="F835" s="177"/>
      <c r="G835" s="177"/>
      <c r="H835" s="177"/>
      <c r="I835" s="177"/>
      <c r="J835" s="177"/>
      <c r="K835" s="177"/>
    </row>
    <row r="836">
      <c r="A836" s="189"/>
      <c r="B836" s="177"/>
      <c r="C836" s="189"/>
      <c r="D836" s="177"/>
      <c r="E836" s="193"/>
      <c r="F836" s="177"/>
      <c r="G836" s="177"/>
      <c r="H836" s="177"/>
      <c r="I836" s="177"/>
      <c r="J836" s="177"/>
      <c r="K836" s="177"/>
    </row>
    <row r="837">
      <c r="A837" s="189"/>
      <c r="B837" s="177"/>
      <c r="C837" s="189"/>
      <c r="D837" s="177"/>
      <c r="E837" s="193"/>
      <c r="F837" s="177"/>
      <c r="G837" s="177"/>
      <c r="H837" s="177"/>
      <c r="I837" s="177"/>
      <c r="J837" s="177"/>
      <c r="K837" s="177"/>
    </row>
    <row r="838">
      <c r="A838" s="189"/>
      <c r="B838" s="177"/>
      <c r="C838" s="189"/>
      <c r="D838" s="177"/>
      <c r="E838" s="193"/>
      <c r="F838" s="177"/>
      <c r="G838" s="177"/>
      <c r="H838" s="177"/>
      <c r="I838" s="177"/>
      <c r="J838" s="177"/>
      <c r="K838" s="177"/>
    </row>
    <row r="839">
      <c r="A839" s="189"/>
      <c r="B839" s="177"/>
      <c r="C839" s="189"/>
      <c r="D839" s="177"/>
      <c r="E839" s="193"/>
      <c r="F839" s="177"/>
      <c r="G839" s="177"/>
      <c r="H839" s="177"/>
      <c r="I839" s="177"/>
      <c r="J839" s="177"/>
      <c r="K839" s="177"/>
    </row>
    <row r="840">
      <c r="A840" s="189"/>
      <c r="B840" s="177"/>
      <c r="C840" s="189"/>
      <c r="D840" s="177"/>
      <c r="E840" s="193"/>
      <c r="F840" s="177"/>
      <c r="G840" s="177"/>
      <c r="H840" s="177"/>
      <c r="I840" s="177"/>
      <c r="J840" s="177"/>
      <c r="K840" s="177"/>
    </row>
    <row r="841">
      <c r="A841" s="189"/>
      <c r="B841" s="177"/>
      <c r="C841" s="189"/>
      <c r="D841" s="177"/>
      <c r="E841" s="193"/>
      <c r="F841" s="177"/>
      <c r="G841" s="177"/>
      <c r="H841" s="177"/>
      <c r="I841" s="177"/>
      <c r="J841" s="177"/>
      <c r="K841" s="177"/>
    </row>
    <row r="842">
      <c r="A842" s="189"/>
      <c r="B842" s="177"/>
      <c r="C842" s="189"/>
      <c r="D842" s="177"/>
      <c r="E842" s="193"/>
      <c r="F842" s="177"/>
      <c r="G842" s="177"/>
      <c r="H842" s="177"/>
      <c r="I842" s="177"/>
      <c r="J842" s="177"/>
      <c r="K842" s="177"/>
    </row>
    <row r="843">
      <c r="A843" s="189"/>
      <c r="B843" s="177"/>
      <c r="C843" s="189"/>
      <c r="D843" s="177"/>
      <c r="E843" s="193"/>
      <c r="F843" s="177"/>
      <c r="G843" s="177"/>
      <c r="H843" s="177"/>
      <c r="I843" s="177"/>
      <c r="J843" s="177"/>
      <c r="K843" s="177"/>
    </row>
    <row r="844">
      <c r="A844" s="189"/>
      <c r="B844" s="177"/>
      <c r="C844" s="189"/>
      <c r="D844" s="177"/>
      <c r="E844" s="193"/>
      <c r="F844" s="177"/>
      <c r="G844" s="177"/>
      <c r="H844" s="177"/>
      <c r="I844" s="177"/>
      <c r="J844" s="177"/>
      <c r="K844" s="177"/>
    </row>
    <row r="845">
      <c r="A845" s="189"/>
      <c r="B845" s="177"/>
      <c r="C845" s="189"/>
      <c r="D845" s="177"/>
      <c r="E845" s="193"/>
      <c r="F845" s="177"/>
      <c r="G845" s="177"/>
      <c r="H845" s="177"/>
      <c r="I845" s="177"/>
      <c r="J845" s="177"/>
      <c r="K845" s="177"/>
    </row>
    <row r="846">
      <c r="A846" s="189"/>
      <c r="B846" s="177"/>
      <c r="C846" s="189"/>
      <c r="D846" s="177"/>
      <c r="E846" s="193"/>
      <c r="F846" s="177"/>
      <c r="G846" s="177"/>
      <c r="H846" s="177"/>
      <c r="I846" s="177"/>
      <c r="J846" s="177"/>
      <c r="K846" s="177"/>
    </row>
    <row r="847">
      <c r="A847" s="189"/>
      <c r="B847" s="177"/>
      <c r="C847" s="189"/>
      <c r="D847" s="177"/>
      <c r="E847" s="193"/>
      <c r="F847" s="177"/>
      <c r="G847" s="177"/>
      <c r="H847" s="177"/>
      <c r="I847" s="177"/>
      <c r="J847" s="177"/>
      <c r="K847" s="177"/>
    </row>
    <row r="848">
      <c r="A848" s="189"/>
      <c r="B848" s="177"/>
      <c r="C848" s="189"/>
      <c r="D848" s="177"/>
      <c r="E848" s="193"/>
      <c r="F848" s="177"/>
      <c r="G848" s="177"/>
      <c r="H848" s="177"/>
      <c r="I848" s="177"/>
      <c r="J848" s="177"/>
      <c r="K848" s="177"/>
    </row>
    <row r="849">
      <c r="A849" s="189"/>
      <c r="B849" s="177"/>
      <c r="C849" s="189"/>
      <c r="D849" s="177"/>
      <c r="E849" s="193"/>
      <c r="F849" s="177"/>
      <c r="G849" s="177"/>
      <c r="H849" s="177"/>
      <c r="I849" s="177"/>
      <c r="J849" s="177"/>
      <c r="K849" s="177"/>
    </row>
    <row r="850">
      <c r="A850" s="189"/>
      <c r="B850" s="177"/>
      <c r="C850" s="189"/>
      <c r="D850" s="177"/>
      <c r="E850" s="193"/>
      <c r="F850" s="177"/>
      <c r="G850" s="177"/>
      <c r="H850" s="177"/>
      <c r="I850" s="177"/>
      <c r="J850" s="177"/>
      <c r="K850" s="177"/>
    </row>
    <row r="851">
      <c r="A851" s="189"/>
      <c r="B851" s="177"/>
      <c r="C851" s="189"/>
      <c r="D851" s="177"/>
      <c r="E851" s="193"/>
      <c r="F851" s="177"/>
      <c r="G851" s="177"/>
      <c r="H851" s="177"/>
      <c r="I851" s="177"/>
      <c r="J851" s="177"/>
      <c r="K851" s="177"/>
    </row>
    <row r="852">
      <c r="A852" s="189"/>
      <c r="B852" s="177"/>
      <c r="C852" s="189"/>
      <c r="D852" s="177"/>
      <c r="E852" s="193"/>
      <c r="F852" s="177"/>
      <c r="G852" s="177"/>
      <c r="H852" s="177"/>
      <c r="I852" s="177"/>
      <c r="J852" s="177"/>
      <c r="K852" s="177"/>
    </row>
    <row r="853">
      <c r="A853" s="189"/>
      <c r="B853" s="177"/>
      <c r="C853" s="189"/>
      <c r="D853" s="177"/>
      <c r="E853" s="193"/>
      <c r="F853" s="177"/>
      <c r="G853" s="177"/>
      <c r="H853" s="177"/>
      <c r="I853" s="177"/>
      <c r="J853" s="177"/>
      <c r="K853" s="177"/>
    </row>
    <row r="854">
      <c r="A854" s="189"/>
      <c r="B854" s="177"/>
      <c r="C854" s="189"/>
      <c r="D854" s="177"/>
      <c r="E854" s="193"/>
      <c r="F854" s="177"/>
      <c r="G854" s="177"/>
      <c r="H854" s="177"/>
      <c r="I854" s="177"/>
      <c r="J854" s="177"/>
      <c r="K854" s="177"/>
    </row>
    <row r="855">
      <c r="A855" s="189"/>
      <c r="B855" s="177"/>
      <c r="C855" s="189"/>
      <c r="D855" s="177"/>
      <c r="E855" s="193"/>
      <c r="F855" s="177"/>
      <c r="G855" s="177"/>
      <c r="H855" s="177"/>
      <c r="I855" s="177"/>
      <c r="J855" s="177"/>
      <c r="K855" s="177"/>
    </row>
    <row r="856">
      <c r="A856" s="189"/>
      <c r="B856" s="177"/>
      <c r="C856" s="189"/>
      <c r="D856" s="177"/>
      <c r="E856" s="193"/>
      <c r="F856" s="177"/>
      <c r="G856" s="177"/>
      <c r="H856" s="177"/>
      <c r="I856" s="177"/>
      <c r="J856" s="177"/>
      <c r="K856" s="177"/>
    </row>
    <row r="857">
      <c r="A857" s="189"/>
      <c r="B857" s="177"/>
      <c r="C857" s="189"/>
      <c r="D857" s="177"/>
      <c r="E857" s="193"/>
      <c r="F857" s="177"/>
      <c r="G857" s="177"/>
      <c r="H857" s="177"/>
      <c r="I857" s="177"/>
      <c r="J857" s="177"/>
      <c r="K857" s="177"/>
    </row>
    <row r="858">
      <c r="A858" s="189"/>
      <c r="B858" s="177"/>
      <c r="C858" s="189"/>
      <c r="D858" s="177"/>
      <c r="E858" s="193"/>
      <c r="F858" s="177"/>
      <c r="G858" s="177"/>
      <c r="H858" s="177"/>
      <c r="I858" s="177"/>
      <c r="J858" s="177"/>
      <c r="K858" s="177"/>
    </row>
    <row r="859">
      <c r="A859" s="189"/>
      <c r="B859" s="177"/>
      <c r="C859" s="189"/>
      <c r="D859" s="177"/>
      <c r="E859" s="193"/>
      <c r="F859" s="177"/>
      <c r="G859" s="177"/>
      <c r="H859" s="177"/>
      <c r="I859" s="177"/>
      <c r="J859" s="177"/>
      <c r="K859" s="177"/>
    </row>
    <row r="860">
      <c r="A860" s="189"/>
      <c r="B860" s="177"/>
      <c r="C860" s="189"/>
      <c r="D860" s="177"/>
      <c r="E860" s="193"/>
      <c r="F860" s="177"/>
      <c r="G860" s="177"/>
      <c r="H860" s="177"/>
      <c r="I860" s="177"/>
      <c r="J860" s="177"/>
      <c r="K860" s="177"/>
    </row>
    <row r="861">
      <c r="A861" s="189"/>
      <c r="B861" s="177"/>
      <c r="C861" s="189"/>
      <c r="D861" s="177"/>
      <c r="E861" s="193"/>
      <c r="F861" s="177"/>
      <c r="G861" s="177"/>
      <c r="H861" s="177"/>
      <c r="I861" s="177"/>
      <c r="J861" s="177"/>
      <c r="K861" s="177"/>
    </row>
    <row r="862">
      <c r="A862" s="189"/>
      <c r="B862" s="177"/>
      <c r="C862" s="189"/>
      <c r="D862" s="177"/>
      <c r="E862" s="193"/>
      <c r="F862" s="177"/>
      <c r="G862" s="177"/>
      <c r="H862" s="177"/>
      <c r="I862" s="177"/>
      <c r="J862" s="177"/>
      <c r="K862" s="177"/>
    </row>
    <row r="863">
      <c r="A863" s="189"/>
      <c r="B863" s="177"/>
      <c r="C863" s="189"/>
      <c r="D863" s="177"/>
      <c r="E863" s="193"/>
      <c r="F863" s="177"/>
      <c r="G863" s="177"/>
      <c r="H863" s="177"/>
      <c r="I863" s="177"/>
      <c r="J863" s="177"/>
      <c r="K863" s="177"/>
    </row>
    <row r="864">
      <c r="A864" s="189"/>
      <c r="B864" s="177"/>
      <c r="C864" s="189"/>
      <c r="D864" s="177"/>
      <c r="E864" s="193"/>
      <c r="F864" s="177"/>
      <c r="G864" s="177"/>
      <c r="H864" s="177"/>
      <c r="I864" s="177"/>
      <c r="J864" s="177"/>
      <c r="K864" s="177"/>
    </row>
    <row r="865">
      <c r="A865" s="189"/>
      <c r="B865" s="177"/>
      <c r="C865" s="189"/>
      <c r="D865" s="177"/>
      <c r="E865" s="193"/>
      <c r="F865" s="177"/>
      <c r="G865" s="177"/>
      <c r="H865" s="177"/>
      <c r="I865" s="177"/>
      <c r="J865" s="177"/>
      <c r="K865" s="177"/>
    </row>
    <row r="866">
      <c r="A866" s="189"/>
      <c r="B866" s="177"/>
      <c r="C866" s="189"/>
      <c r="D866" s="177"/>
      <c r="E866" s="193"/>
      <c r="F866" s="177"/>
      <c r="G866" s="177"/>
      <c r="H866" s="177"/>
      <c r="I866" s="177"/>
      <c r="J866" s="177"/>
      <c r="K866" s="177"/>
    </row>
    <row r="867">
      <c r="A867" s="189"/>
      <c r="B867" s="177"/>
      <c r="C867" s="189"/>
      <c r="D867" s="177"/>
      <c r="E867" s="193"/>
      <c r="F867" s="177"/>
      <c r="G867" s="177"/>
      <c r="H867" s="177"/>
      <c r="I867" s="177"/>
      <c r="J867" s="177"/>
      <c r="K867" s="177"/>
    </row>
    <row r="868">
      <c r="A868" s="189"/>
      <c r="B868" s="177"/>
      <c r="C868" s="189"/>
      <c r="D868" s="177"/>
      <c r="E868" s="193"/>
      <c r="F868" s="177"/>
      <c r="G868" s="177"/>
      <c r="H868" s="177"/>
      <c r="I868" s="177"/>
      <c r="J868" s="177"/>
      <c r="K868" s="177"/>
    </row>
    <row r="869">
      <c r="A869" s="189"/>
      <c r="B869" s="177"/>
      <c r="C869" s="189"/>
      <c r="D869" s="177"/>
      <c r="E869" s="193"/>
      <c r="F869" s="177"/>
      <c r="G869" s="177"/>
      <c r="H869" s="177"/>
      <c r="I869" s="177"/>
      <c r="J869" s="177"/>
      <c r="K869" s="177"/>
    </row>
    <row r="870">
      <c r="A870" s="189"/>
      <c r="B870" s="177"/>
      <c r="C870" s="189"/>
      <c r="D870" s="177"/>
      <c r="E870" s="193"/>
      <c r="F870" s="177"/>
      <c r="G870" s="177"/>
      <c r="H870" s="177"/>
      <c r="I870" s="177"/>
      <c r="J870" s="177"/>
      <c r="K870" s="177"/>
    </row>
    <row r="871">
      <c r="A871" s="189"/>
      <c r="B871" s="177"/>
      <c r="C871" s="189"/>
      <c r="D871" s="177"/>
      <c r="E871" s="193"/>
      <c r="F871" s="177"/>
      <c r="G871" s="177"/>
      <c r="H871" s="177"/>
      <c r="I871" s="177"/>
      <c r="J871" s="177"/>
      <c r="K871" s="177"/>
    </row>
    <row r="872">
      <c r="A872" s="189"/>
      <c r="B872" s="177"/>
      <c r="C872" s="189"/>
      <c r="D872" s="177"/>
      <c r="E872" s="193"/>
      <c r="F872" s="177"/>
      <c r="G872" s="177"/>
      <c r="H872" s="177"/>
      <c r="I872" s="177"/>
      <c r="J872" s="177"/>
      <c r="K872" s="177"/>
    </row>
    <row r="873">
      <c r="A873" s="189"/>
      <c r="B873" s="177"/>
      <c r="C873" s="189"/>
      <c r="D873" s="177"/>
      <c r="E873" s="193"/>
      <c r="F873" s="177"/>
      <c r="G873" s="177"/>
      <c r="H873" s="177"/>
      <c r="I873" s="177"/>
      <c r="J873" s="177"/>
      <c r="K873" s="177"/>
    </row>
    <row r="874">
      <c r="A874" s="189"/>
      <c r="B874" s="177"/>
      <c r="C874" s="189"/>
      <c r="D874" s="177"/>
      <c r="E874" s="193"/>
      <c r="F874" s="177"/>
      <c r="G874" s="177"/>
      <c r="H874" s="177"/>
      <c r="I874" s="177"/>
      <c r="J874" s="177"/>
      <c r="K874" s="177"/>
    </row>
    <row r="875">
      <c r="A875" s="189"/>
      <c r="B875" s="177"/>
      <c r="C875" s="189"/>
      <c r="D875" s="177"/>
      <c r="E875" s="193"/>
      <c r="F875" s="177"/>
      <c r="G875" s="177"/>
      <c r="H875" s="177"/>
      <c r="I875" s="177"/>
      <c r="J875" s="177"/>
      <c r="K875" s="177"/>
    </row>
    <row r="876">
      <c r="A876" s="189"/>
      <c r="B876" s="177"/>
      <c r="C876" s="189"/>
      <c r="D876" s="177"/>
      <c r="E876" s="193"/>
      <c r="F876" s="177"/>
      <c r="G876" s="177"/>
      <c r="H876" s="177"/>
      <c r="I876" s="177"/>
      <c r="J876" s="177"/>
      <c r="K876" s="177"/>
    </row>
    <row r="877">
      <c r="A877" s="189"/>
      <c r="B877" s="177"/>
      <c r="C877" s="189"/>
      <c r="D877" s="177"/>
      <c r="E877" s="193"/>
      <c r="F877" s="177"/>
      <c r="G877" s="177"/>
      <c r="H877" s="177"/>
      <c r="I877" s="177"/>
      <c r="J877" s="177"/>
      <c r="K877" s="177"/>
    </row>
    <row r="878">
      <c r="A878" s="189"/>
      <c r="B878" s="177"/>
      <c r="C878" s="189"/>
      <c r="D878" s="177"/>
      <c r="E878" s="193"/>
      <c r="F878" s="177"/>
      <c r="G878" s="177"/>
      <c r="H878" s="177"/>
      <c r="I878" s="177"/>
      <c r="J878" s="177"/>
      <c r="K878" s="177"/>
    </row>
    <row r="879">
      <c r="A879" s="189"/>
      <c r="B879" s="177"/>
      <c r="C879" s="189"/>
      <c r="D879" s="177"/>
      <c r="E879" s="193"/>
      <c r="F879" s="177"/>
      <c r="G879" s="177"/>
      <c r="H879" s="177"/>
      <c r="I879" s="177"/>
      <c r="J879" s="177"/>
      <c r="K879" s="177"/>
    </row>
    <row r="880">
      <c r="A880" s="189"/>
      <c r="B880" s="177"/>
      <c r="C880" s="189"/>
      <c r="D880" s="177"/>
      <c r="E880" s="193"/>
      <c r="F880" s="177"/>
      <c r="G880" s="177"/>
      <c r="H880" s="177"/>
      <c r="I880" s="177"/>
      <c r="J880" s="177"/>
      <c r="K880" s="177"/>
    </row>
    <row r="881">
      <c r="A881" s="189"/>
      <c r="B881" s="177"/>
      <c r="C881" s="189"/>
      <c r="D881" s="177"/>
      <c r="E881" s="193"/>
      <c r="F881" s="177"/>
      <c r="G881" s="177"/>
      <c r="H881" s="177"/>
      <c r="I881" s="177"/>
      <c r="J881" s="177"/>
      <c r="K881" s="177"/>
    </row>
    <row r="882">
      <c r="A882" s="189"/>
      <c r="B882" s="177"/>
      <c r="C882" s="189"/>
      <c r="D882" s="177"/>
      <c r="E882" s="193"/>
      <c r="F882" s="177"/>
      <c r="G882" s="177"/>
      <c r="H882" s="177"/>
      <c r="I882" s="177"/>
      <c r="J882" s="177"/>
      <c r="K882" s="177"/>
    </row>
    <row r="883">
      <c r="A883" s="189"/>
      <c r="B883" s="177"/>
      <c r="C883" s="189"/>
      <c r="D883" s="177"/>
      <c r="E883" s="193"/>
      <c r="F883" s="177"/>
      <c r="G883" s="177"/>
      <c r="H883" s="177"/>
      <c r="I883" s="177"/>
      <c r="J883" s="177"/>
      <c r="K883" s="177"/>
    </row>
    <row r="884">
      <c r="A884" s="189"/>
      <c r="B884" s="177"/>
      <c r="C884" s="189"/>
      <c r="D884" s="177"/>
      <c r="E884" s="193"/>
      <c r="F884" s="177"/>
      <c r="G884" s="177"/>
      <c r="H884" s="177"/>
      <c r="I884" s="177"/>
      <c r="J884" s="177"/>
      <c r="K884" s="177"/>
    </row>
    <row r="885">
      <c r="A885" s="189"/>
      <c r="B885" s="177"/>
      <c r="C885" s="189"/>
      <c r="D885" s="177"/>
      <c r="E885" s="193"/>
      <c r="F885" s="177"/>
      <c r="G885" s="177"/>
      <c r="H885" s="177"/>
      <c r="I885" s="177"/>
      <c r="J885" s="177"/>
      <c r="K885" s="177"/>
    </row>
    <row r="886">
      <c r="A886" s="189"/>
      <c r="B886" s="177"/>
      <c r="C886" s="189"/>
      <c r="D886" s="177"/>
      <c r="E886" s="193"/>
      <c r="F886" s="177"/>
      <c r="G886" s="177"/>
      <c r="H886" s="177"/>
      <c r="I886" s="177"/>
      <c r="J886" s="177"/>
      <c r="K886" s="177"/>
    </row>
    <row r="887">
      <c r="A887" s="189"/>
      <c r="B887" s="177"/>
      <c r="C887" s="189"/>
      <c r="D887" s="177"/>
      <c r="E887" s="193"/>
      <c r="F887" s="177"/>
      <c r="G887" s="177"/>
      <c r="H887" s="177"/>
      <c r="I887" s="177"/>
      <c r="J887" s="177"/>
      <c r="K887" s="177"/>
    </row>
    <row r="888">
      <c r="A888" s="189"/>
      <c r="B888" s="177"/>
      <c r="C888" s="189"/>
      <c r="D888" s="177"/>
      <c r="E888" s="193"/>
      <c r="F888" s="177"/>
      <c r="G888" s="177"/>
      <c r="H888" s="177"/>
      <c r="I888" s="177"/>
      <c r="J888" s="177"/>
      <c r="K888" s="177"/>
    </row>
    <row r="889">
      <c r="A889" s="189"/>
      <c r="B889" s="177"/>
      <c r="C889" s="189"/>
      <c r="D889" s="177"/>
      <c r="E889" s="193"/>
      <c r="F889" s="177"/>
      <c r="G889" s="177"/>
      <c r="H889" s="177"/>
      <c r="I889" s="177"/>
      <c r="J889" s="177"/>
      <c r="K889" s="177"/>
    </row>
    <row r="890">
      <c r="A890" s="189"/>
      <c r="B890" s="177"/>
      <c r="C890" s="189"/>
      <c r="D890" s="177"/>
      <c r="E890" s="193"/>
      <c r="F890" s="177"/>
      <c r="G890" s="177"/>
      <c r="H890" s="177"/>
      <c r="I890" s="177"/>
      <c r="J890" s="177"/>
      <c r="K890" s="177"/>
    </row>
    <row r="891">
      <c r="A891" s="189"/>
      <c r="B891" s="177"/>
      <c r="C891" s="189"/>
      <c r="D891" s="177"/>
      <c r="E891" s="193"/>
      <c r="F891" s="177"/>
      <c r="G891" s="177"/>
      <c r="H891" s="177"/>
      <c r="I891" s="177"/>
      <c r="J891" s="177"/>
      <c r="K891" s="177"/>
    </row>
    <row r="892">
      <c r="A892" s="189"/>
      <c r="B892" s="177"/>
      <c r="C892" s="189"/>
      <c r="D892" s="177"/>
      <c r="E892" s="193"/>
      <c r="F892" s="177"/>
      <c r="G892" s="177"/>
      <c r="H892" s="177"/>
      <c r="I892" s="177"/>
      <c r="J892" s="177"/>
      <c r="K892" s="177"/>
    </row>
    <row r="893">
      <c r="A893" s="189"/>
      <c r="B893" s="177"/>
      <c r="C893" s="189"/>
      <c r="D893" s="177"/>
      <c r="E893" s="193"/>
      <c r="F893" s="177"/>
      <c r="G893" s="177"/>
      <c r="H893" s="177"/>
      <c r="I893" s="177"/>
      <c r="J893" s="177"/>
      <c r="K893" s="177"/>
    </row>
    <row r="894">
      <c r="A894" s="189"/>
      <c r="B894" s="177"/>
      <c r="C894" s="189"/>
      <c r="D894" s="177"/>
      <c r="E894" s="193"/>
      <c r="F894" s="177"/>
      <c r="G894" s="177"/>
      <c r="H894" s="177"/>
      <c r="I894" s="177"/>
      <c r="J894" s="177"/>
      <c r="K894" s="177"/>
    </row>
    <row r="895">
      <c r="A895" s="189"/>
      <c r="B895" s="177"/>
      <c r="C895" s="189"/>
      <c r="D895" s="177"/>
      <c r="E895" s="193"/>
      <c r="F895" s="177"/>
      <c r="G895" s="177"/>
      <c r="H895" s="177"/>
      <c r="I895" s="177"/>
      <c r="J895" s="177"/>
      <c r="K895" s="177"/>
    </row>
    <row r="896">
      <c r="A896" s="189"/>
      <c r="B896" s="177"/>
      <c r="C896" s="189"/>
      <c r="D896" s="177"/>
      <c r="E896" s="193"/>
      <c r="F896" s="177"/>
      <c r="G896" s="177"/>
      <c r="H896" s="177"/>
      <c r="I896" s="177"/>
      <c r="J896" s="177"/>
      <c r="K896" s="177"/>
    </row>
    <row r="897">
      <c r="A897" s="189"/>
      <c r="B897" s="177"/>
      <c r="C897" s="189"/>
      <c r="D897" s="177"/>
      <c r="E897" s="193"/>
      <c r="F897" s="177"/>
      <c r="G897" s="177"/>
      <c r="H897" s="177"/>
      <c r="I897" s="177"/>
      <c r="J897" s="177"/>
      <c r="K897" s="177"/>
    </row>
    <row r="898">
      <c r="A898" s="189"/>
      <c r="B898" s="177"/>
      <c r="C898" s="189"/>
      <c r="D898" s="177"/>
      <c r="E898" s="193"/>
      <c r="F898" s="177"/>
      <c r="G898" s="177"/>
      <c r="H898" s="177"/>
      <c r="I898" s="177"/>
      <c r="J898" s="177"/>
      <c r="K898" s="177"/>
    </row>
    <row r="899">
      <c r="A899" s="189"/>
      <c r="B899" s="177"/>
      <c r="C899" s="189"/>
      <c r="D899" s="177"/>
      <c r="E899" s="193"/>
      <c r="F899" s="177"/>
      <c r="G899" s="177"/>
      <c r="H899" s="177"/>
      <c r="I899" s="177"/>
      <c r="J899" s="177"/>
      <c r="K899" s="177"/>
    </row>
    <row r="900">
      <c r="A900" s="189"/>
      <c r="B900" s="177"/>
      <c r="C900" s="189"/>
      <c r="D900" s="177"/>
      <c r="E900" s="193"/>
      <c r="F900" s="177"/>
      <c r="G900" s="177"/>
      <c r="H900" s="177"/>
      <c r="I900" s="177"/>
      <c r="J900" s="177"/>
      <c r="K900" s="177"/>
    </row>
    <row r="901">
      <c r="A901" s="189"/>
      <c r="B901" s="177"/>
      <c r="C901" s="189"/>
      <c r="D901" s="177"/>
      <c r="E901" s="193"/>
      <c r="F901" s="177"/>
      <c r="G901" s="177"/>
      <c r="H901" s="177"/>
      <c r="I901" s="177"/>
      <c r="J901" s="177"/>
      <c r="K901" s="177"/>
    </row>
    <row r="902">
      <c r="A902" s="189"/>
      <c r="B902" s="177"/>
      <c r="C902" s="189"/>
      <c r="D902" s="177"/>
      <c r="E902" s="193"/>
      <c r="F902" s="177"/>
      <c r="G902" s="177"/>
      <c r="H902" s="177"/>
      <c r="I902" s="177"/>
      <c r="J902" s="177"/>
      <c r="K902" s="177"/>
    </row>
    <row r="903">
      <c r="A903" s="189"/>
      <c r="B903" s="177"/>
      <c r="C903" s="189"/>
      <c r="D903" s="177"/>
      <c r="E903" s="193"/>
      <c r="F903" s="177"/>
      <c r="G903" s="177"/>
      <c r="H903" s="177"/>
      <c r="I903" s="177"/>
      <c r="J903" s="177"/>
      <c r="K903" s="177"/>
    </row>
    <row r="904">
      <c r="A904" s="189"/>
      <c r="B904" s="177"/>
      <c r="C904" s="189"/>
      <c r="D904" s="177"/>
      <c r="E904" s="193"/>
      <c r="F904" s="177"/>
      <c r="G904" s="177"/>
      <c r="H904" s="177"/>
      <c r="I904" s="177"/>
      <c r="J904" s="177"/>
      <c r="K904" s="177"/>
    </row>
    <row r="905">
      <c r="A905" s="189"/>
      <c r="B905" s="177"/>
      <c r="C905" s="189"/>
      <c r="D905" s="177"/>
      <c r="E905" s="193"/>
      <c r="F905" s="177"/>
      <c r="G905" s="177"/>
      <c r="H905" s="177"/>
      <c r="I905" s="177"/>
      <c r="J905" s="177"/>
      <c r="K905" s="177"/>
    </row>
    <row r="906">
      <c r="A906" s="189"/>
      <c r="B906" s="177"/>
      <c r="C906" s="189"/>
      <c r="D906" s="177"/>
      <c r="E906" s="193"/>
      <c r="F906" s="177"/>
      <c r="G906" s="177"/>
      <c r="H906" s="177"/>
      <c r="I906" s="177"/>
      <c r="J906" s="177"/>
      <c r="K906" s="177"/>
    </row>
    <row r="907">
      <c r="A907" s="189"/>
      <c r="B907" s="177"/>
      <c r="C907" s="189"/>
      <c r="D907" s="177"/>
      <c r="E907" s="193"/>
      <c r="F907" s="177"/>
      <c r="G907" s="177"/>
      <c r="H907" s="177"/>
      <c r="I907" s="177"/>
      <c r="J907" s="177"/>
      <c r="K907" s="177"/>
    </row>
    <row r="908">
      <c r="A908" s="189"/>
      <c r="B908" s="177"/>
      <c r="C908" s="189"/>
      <c r="D908" s="177"/>
      <c r="E908" s="193"/>
      <c r="F908" s="177"/>
      <c r="G908" s="177"/>
      <c r="H908" s="177"/>
      <c r="I908" s="177"/>
      <c r="J908" s="177"/>
      <c r="K908" s="177"/>
    </row>
    <row r="909">
      <c r="A909" s="189"/>
      <c r="B909" s="177"/>
      <c r="C909" s="189"/>
      <c r="D909" s="177"/>
      <c r="E909" s="193"/>
      <c r="F909" s="177"/>
      <c r="G909" s="177"/>
      <c r="H909" s="177"/>
      <c r="I909" s="177"/>
      <c r="J909" s="177"/>
      <c r="K909" s="177"/>
    </row>
    <row r="910">
      <c r="A910" s="189"/>
      <c r="B910" s="177"/>
      <c r="C910" s="189"/>
      <c r="D910" s="177"/>
      <c r="E910" s="193"/>
      <c r="F910" s="177"/>
      <c r="G910" s="177"/>
      <c r="H910" s="177"/>
      <c r="I910" s="177"/>
      <c r="J910" s="177"/>
      <c r="K910" s="177"/>
    </row>
    <row r="911">
      <c r="A911" s="189"/>
      <c r="B911" s="177"/>
      <c r="C911" s="189"/>
      <c r="D911" s="177"/>
      <c r="E911" s="193"/>
      <c r="F911" s="177"/>
      <c r="G911" s="177"/>
      <c r="H911" s="177"/>
      <c r="I911" s="177"/>
      <c r="J911" s="177"/>
      <c r="K911" s="177"/>
    </row>
    <row r="912">
      <c r="A912" s="189"/>
      <c r="B912" s="177"/>
      <c r="C912" s="189"/>
      <c r="D912" s="177"/>
      <c r="E912" s="193"/>
      <c r="F912" s="177"/>
      <c r="G912" s="177"/>
      <c r="H912" s="177"/>
      <c r="I912" s="177"/>
      <c r="J912" s="177"/>
      <c r="K912" s="177"/>
    </row>
    <row r="913">
      <c r="A913" s="189"/>
      <c r="B913" s="177"/>
      <c r="C913" s="189"/>
      <c r="D913" s="177"/>
      <c r="E913" s="193"/>
      <c r="F913" s="177"/>
      <c r="G913" s="177"/>
      <c r="H913" s="177"/>
      <c r="I913" s="177"/>
      <c r="J913" s="177"/>
      <c r="K913" s="177"/>
    </row>
    <row r="914">
      <c r="A914" s="189"/>
      <c r="B914" s="177"/>
      <c r="C914" s="189"/>
      <c r="D914" s="177"/>
      <c r="E914" s="193"/>
      <c r="F914" s="177"/>
      <c r="G914" s="177"/>
      <c r="H914" s="177"/>
      <c r="I914" s="177"/>
      <c r="J914" s="177"/>
      <c r="K914" s="177"/>
    </row>
    <row r="915">
      <c r="A915" s="189"/>
      <c r="B915" s="177"/>
      <c r="C915" s="189"/>
      <c r="D915" s="177"/>
      <c r="E915" s="193"/>
      <c r="F915" s="177"/>
      <c r="G915" s="177"/>
      <c r="H915" s="177"/>
      <c r="I915" s="177"/>
      <c r="J915" s="177"/>
      <c r="K915" s="177"/>
    </row>
    <row r="916">
      <c r="A916" s="189"/>
      <c r="B916" s="177"/>
      <c r="C916" s="189"/>
      <c r="D916" s="177"/>
      <c r="E916" s="193"/>
      <c r="F916" s="177"/>
      <c r="G916" s="177"/>
      <c r="H916" s="177"/>
      <c r="I916" s="177"/>
      <c r="J916" s="177"/>
      <c r="K916" s="177"/>
    </row>
    <row r="917">
      <c r="A917" s="189"/>
      <c r="B917" s="177"/>
      <c r="C917" s="189"/>
      <c r="D917" s="177"/>
      <c r="E917" s="193"/>
      <c r="F917" s="177"/>
      <c r="G917" s="177"/>
      <c r="H917" s="177"/>
      <c r="I917" s="177"/>
      <c r="J917" s="177"/>
      <c r="K917" s="177"/>
    </row>
    <row r="918">
      <c r="A918" s="189"/>
      <c r="B918" s="177"/>
      <c r="C918" s="189"/>
      <c r="D918" s="177"/>
      <c r="E918" s="193"/>
      <c r="F918" s="177"/>
      <c r="G918" s="177"/>
      <c r="H918" s="177"/>
      <c r="I918" s="177"/>
      <c r="J918" s="177"/>
      <c r="K918" s="177"/>
    </row>
    <row r="919">
      <c r="A919" s="189"/>
      <c r="B919" s="177"/>
      <c r="C919" s="189"/>
      <c r="D919" s="177"/>
      <c r="E919" s="193"/>
      <c r="F919" s="177"/>
      <c r="G919" s="177"/>
      <c r="H919" s="177"/>
      <c r="I919" s="177"/>
      <c r="J919" s="177"/>
      <c r="K919" s="177"/>
    </row>
    <row r="920">
      <c r="A920" s="189"/>
      <c r="B920" s="177"/>
      <c r="C920" s="189"/>
      <c r="D920" s="177"/>
      <c r="E920" s="193"/>
      <c r="F920" s="177"/>
      <c r="G920" s="177"/>
      <c r="H920" s="177"/>
      <c r="I920" s="177"/>
      <c r="J920" s="177"/>
      <c r="K920" s="177"/>
    </row>
    <row r="921">
      <c r="A921" s="189"/>
      <c r="B921" s="177"/>
      <c r="C921" s="189"/>
      <c r="D921" s="177"/>
      <c r="E921" s="193"/>
      <c r="F921" s="177"/>
      <c r="G921" s="177"/>
      <c r="H921" s="177"/>
      <c r="I921" s="177"/>
      <c r="J921" s="177"/>
      <c r="K921" s="177"/>
    </row>
    <row r="922">
      <c r="A922" s="189"/>
      <c r="B922" s="177"/>
      <c r="C922" s="189"/>
      <c r="D922" s="177"/>
      <c r="E922" s="193"/>
      <c r="F922" s="177"/>
      <c r="G922" s="177"/>
      <c r="H922" s="177"/>
      <c r="I922" s="177"/>
      <c r="J922" s="177"/>
      <c r="K922" s="177"/>
    </row>
    <row r="923">
      <c r="A923" s="189"/>
      <c r="B923" s="177"/>
      <c r="C923" s="189"/>
      <c r="D923" s="177"/>
      <c r="E923" s="193"/>
      <c r="F923" s="177"/>
      <c r="G923" s="177"/>
      <c r="H923" s="177"/>
      <c r="I923" s="177"/>
      <c r="J923" s="177"/>
      <c r="K923" s="177"/>
    </row>
    <row r="924">
      <c r="A924" s="189"/>
      <c r="B924" s="177"/>
      <c r="C924" s="189"/>
      <c r="D924" s="177"/>
      <c r="E924" s="193"/>
      <c r="F924" s="177"/>
      <c r="G924" s="177"/>
      <c r="H924" s="177"/>
      <c r="I924" s="177"/>
      <c r="J924" s="177"/>
      <c r="K924" s="177"/>
    </row>
    <row r="925">
      <c r="A925" s="189"/>
      <c r="B925" s="177"/>
      <c r="C925" s="189"/>
      <c r="D925" s="177"/>
      <c r="E925" s="193"/>
      <c r="F925" s="177"/>
      <c r="G925" s="177"/>
      <c r="H925" s="177"/>
      <c r="I925" s="177"/>
      <c r="J925" s="177"/>
      <c r="K925" s="177"/>
    </row>
    <row r="926">
      <c r="A926" s="189"/>
      <c r="B926" s="177"/>
      <c r="C926" s="189"/>
      <c r="D926" s="177"/>
      <c r="E926" s="193"/>
      <c r="F926" s="177"/>
      <c r="G926" s="177"/>
      <c r="H926" s="177"/>
      <c r="I926" s="177"/>
      <c r="J926" s="177"/>
      <c r="K926" s="177"/>
    </row>
    <row r="927">
      <c r="A927" s="189"/>
      <c r="B927" s="177"/>
      <c r="C927" s="189"/>
      <c r="D927" s="177"/>
      <c r="E927" s="193"/>
      <c r="F927" s="177"/>
      <c r="G927" s="177"/>
      <c r="H927" s="177"/>
      <c r="I927" s="177"/>
      <c r="J927" s="177"/>
      <c r="K927" s="177"/>
    </row>
    <row r="928">
      <c r="A928" s="189"/>
      <c r="B928" s="177"/>
      <c r="C928" s="189"/>
      <c r="D928" s="177"/>
      <c r="E928" s="193"/>
      <c r="F928" s="177"/>
      <c r="G928" s="177"/>
      <c r="H928" s="177"/>
      <c r="I928" s="177"/>
      <c r="J928" s="177"/>
      <c r="K928" s="177"/>
    </row>
    <row r="929">
      <c r="A929" s="189"/>
      <c r="B929" s="177"/>
      <c r="C929" s="189"/>
      <c r="D929" s="177"/>
      <c r="E929" s="193"/>
      <c r="F929" s="177"/>
      <c r="G929" s="177"/>
      <c r="H929" s="177"/>
      <c r="I929" s="177"/>
      <c r="J929" s="177"/>
      <c r="K929" s="177"/>
    </row>
    <row r="930">
      <c r="A930" s="189"/>
      <c r="B930" s="177"/>
      <c r="C930" s="189"/>
      <c r="D930" s="177"/>
      <c r="E930" s="193"/>
      <c r="F930" s="177"/>
      <c r="G930" s="177"/>
      <c r="H930" s="177"/>
      <c r="I930" s="177"/>
      <c r="J930" s="177"/>
      <c r="K930" s="177"/>
    </row>
    <row r="931">
      <c r="A931" s="189"/>
      <c r="B931" s="177"/>
      <c r="C931" s="189"/>
      <c r="D931" s="177"/>
      <c r="E931" s="193"/>
      <c r="F931" s="177"/>
      <c r="G931" s="177"/>
      <c r="H931" s="177"/>
      <c r="I931" s="177"/>
      <c r="J931" s="177"/>
      <c r="K931" s="177"/>
    </row>
    <row r="932">
      <c r="A932" s="189"/>
      <c r="B932" s="177"/>
      <c r="C932" s="189"/>
      <c r="D932" s="177"/>
      <c r="E932" s="193"/>
      <c r="F932" s="177"/>
      <c r="G932" s="177"/>
      <c r="H932" s="177"/>
      <c r="I932" s="177"/>
      <c r="J932" s="177"/>
      <c r="K932" s="177"/>
    </row>
    <row r="933">
      <c r="A933" s="189"/>
      <c r="B933" s="177"/>
      <c r="C933" s="189"/>
      <c r="D933" s="177"/>
      <c r="E933" s="193"/>
      <c r="F933" s="177"/>
      <c r="G933" s="177"/>
      <c r="H933" s="177"/>
      <c r="I933" s="177"/>
      <c r="J933" s="177"/>
      <c r="K933" s="177"/>
    </row>
    <row r="934">
      <c r="A934" s="189"/>
      <c r="B934" s="177"/>
      <c r="C934" s="189"/>
      <c r="D934" s="177"/>
      <c r="E934" s="193"/>
      <c r="F934" s="177"/>
      <c r="G934" s="177"/>
      <c r="H934" s="177"/>
      <c r="I934" s="177"/>
      <c r="J934" s="177"/>
      <c r="K934" s="177"/>
    </row>
    <row r="935">
      <c r="A935" s="189"/>
      <c r="B935" s="177"/>
      <c r="C935" s="189"/>
      <c r="D935" s="177"/>
      <c r="E935" s="193"/>
      <c r="F935" s="177"/>
      <c r="G935" s="177"/>
      <c r="H935" s="177"/>
      <c r="I935" s="177"/>
      <c r="J935" s="177"/>
      <c r="K935" s="177"/>
    </row>
    <row r="936">
      <c r="A936" s="189"/>
      <c r="B936" s="177"/>
      <c r="C936" s="189"/>
      <c r="D936" s="177"/>
      <c r="E936" s="193"/>
      <c r="F936" s="177"/>
      <c r="G936" s="177"/>
      <c r="H936" s="177"/>
      <c r="I936" s="177"/>
      <c r="J936" s="177"/>
      <c r="K936" s="177"/>
    </row>
    <row r="937">
      <c r="A937" s="189"/>
      <c r="B937" s="177"/>
      <c r="C937" s="189"/>
      <c r="D937" s="177"/>
      <c r="E937" s="193"/>
      <c r="F937" s="177"/>
      <c r="G937" s="177"/>
      <c r="H937" s="177"/>
      <c r="I937" s="177"/>
      <c r="J937" s="177"/>
      <c r="K937" s="177"/>
    </row>
    <row r="938">
      <c r="A938" s="189"/>
      <c r="B938" s="177"/>
      <c r="C938" s="189"/>
      <c r="D938" s="177"/>
      <c r="E938" s="193"/>
      <c r="F938" s="177"/>
      <c r="G938" s="177"/>
      <c r="H938" s="177"/>
      <c r="I938" s="177"/>
      <c r="J938" s="177"/>
      <c r="K938" s="177"/>
    </row>
    <row r="939">
      <c r="A939" s="189"/>
      <c r="B939" s="177"/>
      <c r="C939" s="189"/>
      <c r="D939" s="177"/>
      <c r="E939" s="193"/>
      <c r="F939" s="177"/>
      <c r="G939" s="177"/>
      <c r="H939" s="177"/>
      <c r="I939" s="177"/>
      <c r="J939" s="177"/>
      <c r="K939" s="177"/>
    </row>
    <row r="940">
      <c r="A940" s="189"/>
      <c r="B940" s="177"/>
      <c r="C940" s="189"/>
      <c r="D940" s="177"/>
      <c r="E940" s="193"/>
      <c r="F940" s="177"/>
      <c r="G940" s="177"/>
      <c r="H940" s="177"/>
      <c r="I940" s="177"/>
      <c r="J940" s="177"/>
      <c r="K940" s="177"/>
    </row>
    <row r="941">
      <c r="A941" s="189"/>
      <c r="B941" s="177"/>
      <c r="C941" s="189"/>
      <c r="D941" s="177"/>
      <c r="E941" s="193"/>
      <c r="F941" s="177"/>
      <c r="G941" s="177"/>
      <c r="H941" s="177"/>
      <c r="I941" s="177"/>
      <c r="J941" s="177"/>
      <c r="K941" s="177"/>
    </row>
    <row r="942">
      <c r="A942" s="189"/>
      <c r="B942" s="177"/>
      <c r="C942" s="189"/>
      <c r="D942" s="177"/>
      <c r="E942" s="193"/>
      <c r="F942" s="177"/>
      <c r="G942" s="177"/>
      <c r="H942" s="177"/>
      <c r="I942" s="177"/>
      <c r="J942" s="177"/>
      <c r="K942" s="177"/>
    </row>
    <row r="943">
      <c r="A943" s="189"/>
      <c r="B943" s="177"/>
      <c r="C943" s="189"/>
      <c r="D943" s="177"/>
      <c r="E943" s="193"/>
      <c r="F943" s="177"/>
      <c r="G943" s="177"/>
      <c r="H943" s="177"/>
      <c r="I943" s="177"/>
      <c r="J943" s="177"/>
      <c r="K943" s="177"/>
    </row>
    <row r="944">
      <c r="A944" s="189"/>
      <c r="B944" s="177"/>
      <c r="C944" s="189"/>
      <c r="D944" s="177"/>
      <c r="E944" s="193"/>
      <c r="F944" s="177"/>
      <c r="G944" s="177"/>
      <c r="H944" s="177"/>
      <c r="I944" s="177"/>
      <c r="J944" s="177"/>
      <c r="K944" s="177"/>
    </row>
    <row r="945">
      <c r="A945" s="189"/>
      <c r="B945" s="177"/>
      <c r="C945" s="189"/>
      <c r="D945" s="177"/>
      <c r="E945" s="193"/>
      <c r="F945" s="177"/>
      <c r="G945" s="177"/>
      <c r="H945" s="177"/>
      <c r="I945" s="177"/>
      <c r="J945" s="177"/>
      <c r="K945" s="177"/>
    </row>
    <row r="946">
      <c r="A946" s="189"/>
      <c r="B946" s="177"/>
      <c r="C946" s="189"/>
      <c r="D946" s="177"/>
      <c r="E946" s="193"/>
      <c r="F946" s="177"/>
      <c r="G946" s="177"/>
      <c r="H946" s="177"/>
      <c r="I946" s="177"/>
      <c r="J946" s="177"/>
      <c r="K946" s="177"/>
    </row>
    <row r="947">
      <c r="A947" s="189"/>
      <c r="B947" s="177"/>
      <c r="C947" s="189"/>
      <c r="D947" s="177"/>
      <c r="E947" s="193"/>
      <c r="F947" s="177"/>
      <c r="G947" s="177"/>
      <c r="H947" s="177"/>
      <c r="I947" s="177"/>
      <c r="J947" s="177"/>
      <c r="K947" s="177"/>
    </row>
    <row r="948">
      <c r="A948" s="189"/>
      <c r="B948" s="177"/>
      <c r="C948" s="189"/>
      <c r="D948" s="177"/>
      <c r="E948" s="193"/>
      <c r="F948" s="177"/>
      <c r="G948" s="177"/>
      <c r="H948" s="177"/>
      <c r="I948" s="177"/>
      <c r="J948" s="177"/>
      <c r="K948" s="177"/>
    </row>
    <row r="949">
      <c r="A949" s="189"/>
      <c r="B949" s="177"/>
      <c r="C949" s="189"/>
      <c r="D949" s="177"/>
      <c r="E949" s="193"/>
      <c r="F949" s="177"/>
      <c r="G949" s="177"/>
      <c r="H949" s="177"/>
      <c r="I949" s="177"/>
      <c r="J949" s="177"/>
      <c r="K949" s="177"/>
    </row>
    <row r="950">
      <c r="A950" s="189"/>
      <c r="B950" s="177"/>
      <c r="C950" s="189"/>
      <c r="D950" s="177"/>
      <c r="E950" s="193"/>
      <c r="F950" s="177"/>
      <c r="G950" s="177"/>
      <c r="H950" s="177"/>
      <c r="I950" s="177"/>
      <c r="J950" s="177"/>
      <c r="K950" s="177"/>
    </row>
    <row r="951">
      <c r="A951" s="189"/>
      <c r="B951" s="177"/>
      <c r="C951" s="189"/>
      <c r="D951" s="177"/>
      <c r="E951" s="193"/>
      <c r="F951" s="177"/>
      <c r="G951" s="177"/>
      <c r="H951" s="177"/>
      <c r="I951" s="177"/>
      <c r="J951" s="177"/>
      <c r="K951" s="177"/>
    </row>
    <row r="952">
      <c r="A952" s="189"/>
      <c r="B952" s="177"/>
      <c r="C952" s="189"/>
      <c r="D952" s="177"/>
      <c r="E952" s="193"/>
      <c r="F952" s="177"/>
      <c r="G952" s="177"/>
      <c r="H952" s="177"/>
      <c r="I952" s="177"/>
      <c r="J952" s="177"/>
      <c r="K952" s="177"/>
    </row>
    <row r="953">
      <c r="A953" s="189"/>
      <c r="B953" s="177"/>
      <c r="C953" s="189"/>
      <c r="D953" s="177"/>
      <c r="E953" s="193"/>
      <c r="F953" s="177"/>
      <c r="G953" s="177"/>
      <c r="H953" s="177"/>
      <c r="I953" s="177"/>
      <c r="J953" s="177"/>
      <c r="K953" s="177"/>
    </row>
    <row r="954">
      <c r="A954" s="189"/>
      <c r="B954" s="177"/>
      <c r="C954" s="189"/>
      <c r="D954" s="177"/>
      <c r="E954" s="193"/>
      <c r="F954" s="177"/>
      <c r="G954" s="177"/>
      <c r="H954" s="177"/>
      <c r="I954" s="177"/>
      <c r="J954" s="177"/>
      <c r="K954" s="177"/>
    </row>
    <row r="955">
      <c r="A955" s="189"/>
      <c r="B955" s="177"/>
      <c r="C955" s="189"/>
      <c r="D955" s="177"/>
      <c r="E955" s="193"/>
      <c r="F955" s="177"/>
      <c r="G955" s="177"/>
      <c r="H955" s="177"/>
      <c r="I955" s="177"/>
      <c r="J955" s="177"/>
      <c r="K955" s="177"/>
    </row>
    <row r="956">
      <c r="A956" s="189"/>
      <c r="B956" s="177"/>
      <c r="C956" s="189"/>
      <c r="D956" s="177"/>
      <c r="E956" s="193"/>
      <c r="F956" s="177"/>
      <c r="G956" s="177"/>
      <c r="H956" s="177"/>
      <c r="I956" s="177"/>
      <c r="J956" s="177"/>
      <c r="K956" s="177"/>
    </row>
    <row r="957">
      <c r="A957" s="189"/>
      <c r="B957" s="177"/>
      <c r="C957" s="189"/>
      <c r="D957" s="177"/>
      <c r="E957" s="193"/>
      <c r="F957" s="177"/>
      <c r="G957" s="177"/>
      <c r="H957" s="177"/>
      <c r="I957" s="177"/>
      <c r="J957" s="177"/>
      <c r="K957" s="177"/>
    </row>
    <row r="958">
      <c r="A958" s="189"/>
      <c r="B958" s="177"/>
      <c r="C958" s="189"/>
      <c r="D958" s="177"/>
      <c r="E958" s="193"/>
      <c r="F958" s="177"/>
      <c r="G958" s="177"/>
      <c r="H958" s="177"/>
      <c r="I958" s="177"/>
      <c r="J958" s="177"/>
      <c r="K958" s="177"/>
    </row>
    <row r="959">
      <c r="A959" s="189"/>
      <c r="B959" s="177"/>
      <c r="C959" s="189"/>
      <c r="D959" s="177"/>
      <c r="E959" s="193"/>
      <c r="F959" s="177"/>
      <c r="G959" s="177"/>
      <c r="H959" s="177"/>
      <c r="I959" s="177"/>
      <c r="J959" s="177"/>
      <c r="K959" s="177"/>
    </row>
    <row r="960">
      <c r="A960" s="189"/>
      <c r="B960" s="177"/>
      <c r="C960" s="189"/>
      <c r="D960" s="177"/>
      <c r="E960" s="193"/>
      <c r="F960" s="177"/>
      <c r="G960" s="177"/>
      <c r="H960" s="177"/>
      <c r="I960" s="177"/>
      <c r="J960" s="177"/>
      <c r="K960" s="177"/>
    </row>
    <row r="961">
      <c r="A961" s="189"/>
      <c r="B961" s="177"/>
      <c r="C961" s="189"/>
      <c r="D961" s="177"/>
      <c r="E961" s="193"/>
      <c r="F961" s="177"/>
      <c r="G961" s="177"/>
      <c r="H961" s="177"/>
      <c r="I961" s="177"/>
      <c r="J961" s="177"/>
      <c r="K961" s="177"/>
    </row>
    <row r="962">
      <c r="A962" s="189"/>
      <c r="B962" s="177"/>
      <c r="C962" s="189"/>
      <c r="D962" s="177"/>
      <c r="E962" s="193"/>
      <c r="F962" s="177"/>
      <c r="G962" s="177"/>
      <c r="H962" s="177"/>
      <c r="I962" s="177"/>
      <c r="J962" s="177"/>
      <c r="K962" s="177"/>
    </row>
    <row r="963">
      <c r="A963" s="189"/>
      <c r="B963" s="177"/>
      <c r="C963" s="189"/>
      <c r="D963" s="177"/>
      <c r="E963" s="193"/>
      <c r="F963" s="177"/>
      <c r="G963" s="177"/>
      <c r="H963" s="177"/>
      <c r="I963" s="177"/>
      <c r="J963" s="177"/>
      <c r="K963" s="177"/>
    </row>
    <row r="964">
      <c r="A964" s="189"/>
      <c r="B964" s="177"/>
      <c r="C964" s="189"/>
      <c r="D964" s="177"/>
      <c r="E964" s="193"/>
      <c r="F964" s="177"/>
      <c r="G964" s="177"/>
      <c r="H964" s="177"/>
      <c r="I964" s="177"/>
      <c r="J964" s="177"/>
      <c r="K964" s="177"/>
    </row>
    <row r="965">
      <c r="A965" s="189"/>
      <c r="B965" s="177"/>
      <c r="C965" s="189"/>
      <c r="D965" s="177"/>
      <c r="E965" s="193"/>
      <c r="F965" s="177"/>
      <c r="G965" s="177"/>
      <c r="H965" s="177"/>
      <c r="I965" s="177"/>
      <c r="J965" s="177"/>
      <c r="K965" s="177"/>
    </row>
    <row r="966">
      <c r="A966" s="189"/>
      <c r="B966" s="177"/>
      <c r="C966" s="189"/>
      <c r="D966" s="177"/>
      <c r="E966" s="193"/>
      <c r="F966" s="177"/>
      <c r="G966" s="177"/>
      <c r="H966" s="177"/>
      <c r="I966" s="177"/>
      <c r="J966" s="177"/>
      <c r="K966" s="177"/>
    </row>
    <row r="967">
      <c r="A967" s="189"/>
      <c r="B967" s="177"/>
      <c r="C967" s="189"/>
      <c r="D967" s="177"/>
      <c r="E967" s="193"/>
      <c r="F967" s="177"/>
      <c r="G967" s="177"/>
      <c r="H967" s="177"/>
      <c r="I967" s="177"/>
      <c r="J967" s="177"/>
      <c r="K967" s="177"/>
    </row>
    <row r="968">
      <c r="A968" s="189"/>
      <c r="B968" s="177"/>
      <c r="C968" s="189"/>
      <c r="D968" s="177"/>
      <c r="E968" s="193"/>
      <c r="F968" s="177"/>
      <c r="G968" s="177"/>
      <c r="H968" s="177"/>
      <c r="I968" s="177"/>
      <c r="J968" s="177"/>
      <c r="K968" s="177"/>
    </row>
    <row r="969">
      <c r="A969" s="189"/>
      <c r="B969" s="177"/>
      <c r="C969" s="189"/>
      <c r="D969" s="177"/>
      <c r="E969" s="193"/>
      <c r="F969" s="177"/>
      <c r="G969" s="177"/>
      <c r="H969" s="177"/>
      <c r="I969" s="177"/>
      <c r="J969" s="177"/>
      <c r="K969" s="177"/>
    </row>
    <row r="970">
      <c r="A970" s="189"/>
      <c r="B970" s="177"/>
      <c r="C970" s="189"/>
      <c r="D970" s="177"/>
      <c r="E970" s="193"/>
      <c r="F970" s="177"/>
      <c r="G970" s="177"/>
      <c r="H970" s="177"/>
      <c r="I970" s="177"/>
      <c r="J970" s="177"/>
      <c r="K970" s="177"/>
    </row>
    <row r="971">
      <c r="A971" s="189"/>
      <c r="B971" s="177"/>
      <c r="C971" s="189"/>
      <c r="D971" s="177"/>
      <c r="E971" s="193"/>
      <c r="F971" s="177"/>
      <c r="G971" s="177"/>
      <c r="H971" s="177"/>
      <c r="I971" s="177"/>
      <c r="J971" s="177"/>
      <c r="K971" s="177"/>
    </row>
    <row r="972">
      <c r="A972" s="189"/>
      <c r="B972" s="177"/>
      <c r="C972" s="189"/>
      <c r="D972" s="177"/>
      <c r="E972" s="193"/>
      <c r="F972" s="177"/>
      <c r="G972" s="177"/>
      <c r="H972" s="177"/>
      <c r="I972" s="177"/>
      <c r="J972" s="177"/>
      <c r="K972" s="177"/>
    </row>
    <row r="973">
      <c r="A973" s="189"/>
      <c r="B973" s="177"/>
      <c r="C973" s="189"/>
      <c r="D973" s="177"/>
      <c r="E973" s="193"/>
      <c r="F973" s="177"/>
      <c r="G973" s="177"/>
      <c r="H973" s="177"/>
      <c r="I973" s="177"/>
      <c r="J973" s="177"/>
      <c r="K973" s="177"/>
    </row>
    <row r="974">
      <c r="A974" s="189"/>
      <c r="B974" s="177"/>
      <c r="C974" s="189"/>
      <c r="D974" s="177"/>
      <c r="E974" s="193"/>
      <c r="F974" s="177"/>
      <c r="G974" s="177"/>
      <c r="H974" s="177"/>
      <c r="I974" s="177"/>
      <c r="J974" s="177"/>
      <c r="K974" s="177"/>
    </row>
    <row r="975">
      <c r="A975" s="189"/>
      <c r="B975" s="177"/>
      <c r="C975" s="189"/>
      <c r="D975" s="177"/>
      <c r="E975" s="193"/>
      <c r="F975" s="177"/>
      <c r="G975" s="177"/>
      <c r="H975" s="177"/>
      <c r="I975" s="177"/>
      <c r="J975" s="177"/>
      <c r="K975" s="177"/>
    </row>
    <row r="976">
      <c r="A976" s="189"/>
      <c r="B976" s="177"/>
      <c r="C976" s="189"/>
      <c r="D976" s="177"/>
      <c r="E976" s="193"/>
      <c r="F976" s="177"/>
      <c r="G976" s="177"/>
      <c r="H976" s="177"/>
      <c r="I976" s="177"/>
      <c r="J976" s="177"/>
      <c r="K976" s="177"/>
    </row>
    <row r="977">
      <c r="A977" s="189"/>
      <c r="B977" s="177"/>
      <c r="C977" s="189"/>
      <c r="D977" s="177"/>
      <c r="E977" s="193"/>
      <c r="F977" s="177"/>
      <c r="G977" s="177"/>
      <c r="H977" s="177"/>
      <c r="I977" s="177"/>
      <c r="J977" s="177"/>
      <c r="K977" s="177"/>
    </row>
    <row r="978">
      <c r="A978" s="189"/>
      <c r="B978" s="177"/>
      <c r="C978" s="189"/>
      <c r="D978" s="177"/>
      <c r="E978" s="193"/>
      <c r="F978" s="177"/>
      <c r="G978" s="177"/>
      <c r="H978" s="177"/>
      <c r="I978" s="177"/>
      <c r="J978" s="177"/>
      <c r="K978" s="177"/>
    </row>
    <row r="979">
      <c r="A979" s="189"/>
      <c r="B979" s="177"/>
      <c r="C979" s="189"/>
      <c r="D979" s="177"/>
      <c r="E979" s="193"/>
      <c r="F979" s="177"/>
      <c r="G979" s="177"/>
      <c r="H979" s="177"/>
      <c r="I979" s="177"/>
      <c r="J979" s="177"/>
      <c r="K979" s="177"/>
    </row>
    <row r="980">
      <c r="A980" s="189"/>
      <c r="B980" s="177"/>
      <c r="C980" s="189"/>
      <c r="D980" s="177"/>
      <c r="E980" s="193"/>
      <c r="F980" s="177"/>
      <c r="G980" s="177"/>
      <c r="H980" s="177"/>
      <c r="I980" s="177"/>
      <c r="J980" s="177"/>
      <c r="K980" s="177"/>
    </row>
    <row r="981">
      <c r="A981" s="189"/>
      <c r="B981" s="177"/>
      <c r="D981" s="177"/>
      <c r="E981" s="193"/>
      <c r="F981" s="177"/>
      <c r="G981" s="177"/>
      <c r="H981" s="177"/>
      <c r="I981" s="177"/>
      <c r="J981" s="177"/>
      <c r="K981" s="177"/>
    </row>
    <row r="982">
      <c r="A982" s="189"/>
      <c r="B982" s="177"/>
      <c r="D982" s="177"/>
      <c r="E982" s="193"/>
      <c r="F982" s="177"/>
      <c r="G982" s="177"/>
      <c r="H982" s="177"/>
      <c r="I982" s="177"/>
      <c r="J982" s="177"/>
      <c r="K982" s="177"/>
    </row>
    <row r="983">
      <c r="A983" s="189"/>
      <c r="B983" s="177"/>
      <c r="D983" s="177"/>
      <c r="E983" s="193"/>
      <c r="F983" s="177"/>
      <c r="G983" s="177"/>
      <c r="H983" s="177"/>
      <c r="I983" s="177"/>
      <c r="J983" s="177"/>
      <c r="K983" s="177"/>
    </row>
    <row r="984">
      <c r="A984" s="189"/>
      <c r="B984" s="177"/>
      <c r="D984" s="177"/>
      <c r="E984" s="193"/>
      <c r="F984" s="177"/>
      <c r="G984" s="177"/>
      <c r="H984" s="177"/>
      <c r="I984" s="177"/>
      <c r="J984" s="177"/>
      <c r="K984" s="177"/>
    </row>
    <row r="985">
      <c r="B985" s="177"/>
      <c r="D985" s="177"/>
      <c r="E985" s="193"/>
      <c r="F985" s="177"/>
      <c r="G985" s="177"/>
      <c r="H985" s="177"/>
      <c r="I985" s="177"/>
      <c r="J985" s="177"/>
      <c r="K985" s="177"/>
    </row>
    <row r="986">
      <c r="D986" s="177"/>
      <c r="E986" s="193"/>
      <c r="F986" s="177"/>
      <c r="G986" s="177"/>
      <c r="H986" s="177"/>
      <c r="I986" s="177"/>
      <c r="J986" s="177"/>
      <c r="K986" s="177"/>
    </row>
    <row r="987">
      <c r="D987" s="177"/>
      <c r="E987" s="193"/>
      <c r="F987" s="177"/>
      <c r="G987" s="177"/>
      <c r="H987" s="177"/>
      <c r="I987" s="177"/>
      <c r="J987" s="177"/>
      <c r="K987" s="177"/>
    </row>
    <row r="988">
      <c r="D988" s="177"/>
      <c r="E988" s="193"/>
      <c r="F988" s="177"/>
      <c r="G988" s="177"/>
      <c r="H988" s="177"/>
      <c r="I988" s="177"/>
      <c r="J988" s="177"/>
      <c r="K988" s="177"/>
    </row>
    <row r="989">
      <c r="D989" s="177"/>
      <c r="E989" s="193"/>
      <c r="F989" s="177"/>
      <c r="G989" s="177"/>
      <c r="H989" s="177"/>
      <c r="I989" s="177"/>
      <c r="J989" s="177"/>
      <c r="K989" s="177"/>
    </row>
    <row r="990">
      <c r="D990" s="177"/>
      <c r="E990" s="193"/>
      <c r="F990" s="177"/>
      <c r="G990" s="177"/>
      <c r="H990" s="177"/>
      <c r="I990" s="177"/>
      <c r="J990" s="177"/>
      <c r="K990" s="177"/>
    </row>
    <row r="991">
      <c r="D991" s="177"/>
      <c r="E991" s="193"/>
      <c r="F991" s="177"/>
      <c r="G991" s="177"/>
      <c r="H991" s="177"/>
      <c r="I991" s="177"/>
      <c r="J991" s="177"/>
      <c r="K991" s="177"/>
    </row>
    <row r="992">
      <c r="D992" s="177"/>
      <c r="E992" s="193"/>
      <c r="F992" s="177"/>
      <c r="G992" s="177"/>
      <c r="H992" s="177"/>
      <c r="I992" s="177"/>
      <c r="J992" s="177"/>
      <c r="K992" s="177"/>
    </row>
    <row r="993">
      <c r="D993" s="177"/>
      <c r="E993" s="193"/>
      <c r="F993" s="177"/>
      <c r="G993" s="177"/>
      <c r="H993" s="177"/>
      <c r="I993" s="177"/>
      <c r="J993" s="177"/>
      <c r="K993" s="177"/>
    </row>
    <row r="994">
      <c r="D994" s="177"/>
      <c r="E994" s="193"/>
      <c r="F994" s="177"/>
      <c r="G994" s="177"/>
      <c r="H994" s="177"/>
      <c r="I994" s="177"/>
      <c r="J994" s="177"/>
      <c r="K994" s="177"/>
    </row>
    <row r="995">
      <c r="D995" s="177"/>
      <c r="E995" s="193"/>
      <c r="F995" s="177"/>
      <c r="G995" s="177"/>
      <c r="H995" s="177"/>
      <c r="I995" s="177"/>
      <c r="J995" s="177"/>
      <c r="K995" s="1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8.25"/>
    <col customWidth="1" min="3" max="3" width="29.25"/>
    <col customWidth="1" min="4" max="4" width="11.63"/>
    <col customWidth="1" min="5" max="5" width="13.5"/>
    <col customWidth="1" min="6" max="7" width="20.75"/>
    <col customWidth="1" min="8" max="9" width="14.75"/>
    <col customWidth="1" min="10" max="15" width="13.75"/>
    <col customWidth="1" min="16" max="16" width="17.0"/>
    <col customWidth="1" min="17" max="18" width="13.75"/>
  </cols>
  <sheetData>
    <row r="1" ht="12.75" customHeight="1">
      <c r="A1" s="195"/>
      <c r="J1" s="196"/>
      <c r="K1" s="196"/>
      <c r="L1" s="196"/>
      <c r="M1" s="196"/>
      <c r="N1" s="196"/>
      <c r="O1" s="197"/>
      <c r="P1" s="197"/>
      <c r="Q1" s="196"/>
      <c r="R1" s="196"/>
    </row>
    <row r="2" ht="12.75" customHeight="1">
      <c r="A2" s="198"/>
      <c r="F2" s="199"/>
      <c r="G2" s="199"/>
      <c r="H2" s="199"/>
      <c r="I2" s="199"/>
      <c r="J2" s="199"/>
      <c r="K2" s="199"/>
      <c r="L2" s="199"/>
      <c r="M2" s="199"/>
      <c r="N2" s="199"/>
      <c r="O2" s="200"/>
      <c r="P2" s="200"/>
      <c r="Q2" s="199"/>
      <c r="R2" s="199"/>
    </row>
    <row r="3" ht="12.75" customHeight="1">
      <c r="A3" s="198"/>
      <c r="B3" s="201" t="s">
        <v>120</v>
      </c>
      <c r="F3" s="202" t="str">
        <f>"Legenda (em relação à "&amp;B5&amp;"):"</f>
        <v>Legenda (em relação à Mediana):</v>
      </c>
      <c r="G3" s="202"/>
      <c r="H3" s="202"/>
      <c r="K3" s="199"/>
      <c r="L3" s="199"/>
      <c r="M3" s="199"/>
      <c r="N3" s="199"/>
      <c r="O3" s="200"/>
      <c r="P3" s="200"/>
      <c r="Q3" s="199"/>
      <c r="R3" s="199"/>
    </row>
    <row r="4" ht="12.75" customHeight="1">
      <c r="A4" s="203"/>
      <c r="F4" s="204" t="s">
        <v>121</v>
      </c>
      <c r="G4" s="205" t="s">
        <v>122</v>
      </c>
      <c r="H4" s="205" t="s">
        <v>123</v>
      </c>
      <c r="K4" s="206"/>
      <c r="L4" s="206"/>
      <c r="M4" s="206"/>
      <c r="N4" s="206"/>
      <c r="O4" s="207"/>
      <c r="P4" s="207"/>
      <c r="Q4" s="206"/>
      <c r="R4" s="206"/>
    </row>
    <row r="5" ht="12.75" customHeight="1">
      <c r="A5" s="203"/>
      <c r="B5" s="208" t="s">
        <v>56</v>
      </c>
      <c r="D5" s="209"/>
      <c r="E5" s="209"/>
      <c r="F5" s="210" t="s">
        <v>121</v>
      </c>
      <c r="G5" s="211" t="s">
        <v>124</v>
      </c>
      <c r="H5" s="211" t="s">
        <v>125</v>
      </c>
      <c r="K5" s="212"/>
      <c r="L5" s="212"/>
      <c r="M5" s="212"/>
      <c r="N5" s="212"/>
      <c r="O5" s="213"/>
      <c r="P5" s="213"/>
      <c r="Q5" s="212"/>
      <c r="R5" s="212"/>
    </row>
    <row r="6" ht="12.75" customHeight="1">
      <c r="A6" s="203"/>
      <c r="D6" s="214"/>
      <c r="E6" s="215"/>
      <c r="F6" s="216" t="s">
        <v>121</v>
      </c>
      <c r="G6" s="205" t="s">
        <v>126</v>
      </c>
      <c r="H6" s="205" t="s">
        <v>127</v>
      </c>
      <c r="K6" s="206"/>
      <c r="L6" s="206"/>
      <c r="M6" s="206"/>
      <c r="N6" s="206"/>
      <c r="O6" s="207"/>
      <c r="P6" s="207"/>
      <c r="Q6" s="206"/>
      <c r="R6" s="206"/>
    </row>
    <row r="7" ht="12.75" customHeight="1">
      <c r="A7" s="203"/>
      <c r="B7" s="217"/>
      <c r="C7" s="217"/>
      <c r="D7" s="218"/>
      <c r="E7" s="217"/>
      <c r="F7" s="219" t="s">
        <v>121</v>
      </c>
      <c r="G7" s="211" t="s">
        <v>128</v>
      </c>
      <c r="H7" s="211" t="s">
        <v>129</v>
      </c>
      <c r="K7" s="206"/>
      <c r="L7" s="206"/>
      <c r="M7" s="206"/>
      <c r="N7" s="206"/>
      <c r="O7" s="207"/>
      <c r="P7" s="207"/>
      <c r="Q7" s="206"/>
      <c r="R7" s="206"/>
    </row>
    <row r="8" ht="12.75" customHeight="1">
      <c r="A8" s="203"/>
      <c r="B8" s="205"/>
      <c r="C8" s="205"/>
      <c r="D8" s="220"/>
      <c r="E8" s="217"/>
      <c r="F8" s="221" t="s">
        <v>121</v>
      </c>
      <c r="G8" s="205" t="s">
        <v>130</v>
      </c>
      <c r="H8" s="205" t="s">
        <v>131</v>
      </c>
      <c r="K8" s="206"/>
      <c r="L8" s="206"/>
      <c r="M8" s="206"/>
      <c r="N8" s="206"/>
      <c r="O8" s="207"/>
      <c r="P8" s="207"/>
      <c r="Q8" s="206"/>
      <c r="R8" s="206"/>
    </row>
    <row r="9" ht="12.75" customHeight="1">
      <c r="A9" s="203"/>
      <c r="B9" s="205"/>
      <c r="C9" s="205"/>
      <c r="D9" s="220"/>
      <c r="E9" s="217"/>
      <c r="F9" s="222" t="s">
        <v>121</v>
      </c>
      <c r="G9" s="211" t="s">
        <v>132</v>
      </c>
      <c r="H9" s="211" t="s">
        <v>133</v>
      </c>
      <c r="K9" s="206"/>
      <c r="L9" s="206"/>
      <c r="M9" s="206"/>
      <c r="N9" s="206"/>
      <c r="O9" s="207"/>
      <c r="P9" s="207"/>
      <c r="Q9" s="206"/>
      <c r="R9" s="206"/>
    </row>
    <row r="10" ht="12.75" customHeight="1">
      <c r="A10" s="203"/>
      <c r="B10" s="206"/>
      <c r="C10" s="206"/>
      <c r="D10" s="206"/>
      <c r="E10" s="206"/>
      <c r="F10" s="206"/>
      <c r="H10" s="206"/>
      <c r="I10" s="206"/>
      <c r="J10" s="206"/>
      <c r="K10" s="206"/>
      <c r="L10" s="206"/>
      <c r="M10" s="206"/>
      <c r="N10" s="206"/>
      <c r="O10" s="207"/>
      <c r="P10" s="207"/>
      <c r="Q10" s="206"/>
      <c r="R10" s="206"/>
    </row>
    <row r="11" ht="12.75" customHeight="1">
      <c r="A11" s="203"/>
      <c r="B11" s="223"/>
      <c r="C11" s="206"/>
      <c r="D11" s="206"/>
      <c r="E11" s="206"/>
      <c r="F11" s="206"/>
      <c r="H11" s="206"/>
      <c r="I11" s="206"/>
      <c r="J11" s="206"/>
      <c r="K11" s="206"/>
      <c r="L11" s="206"/>
      <c r="M11" s="206"/>
      <c r="N11" s="206"/>
      <c r="O11" s="207"/>
      <c r="P11" s="207"/>
      <c r="Q11" s="206"/>
      <c r="R11" s="206"/>
    </row>
    <row r="12" ht="12.75" customHeight="1">
      <c r="A12" s="203"/>
      <c r="B12" s="224" t="s">
        <v>134</v>
      </c>
      <c r="E12" s="224"/>
      <c r="F12" s="225" t="s">
        <v>135</v>
      </c>
      <c r="K12" s="225"/>
      <c r="L12" s="225"/>
    </row>
    <row r="13" ht="12.75" customHeight="1">
      <c r="A13" s="203"/>
      <c r="B13" s="226"/>
      <c r="C13" s="226"/>
      <c r="D13" s="226"/>
      <c r="E13" s="224"/>
      <c r="F13" s="227"/>
      <c r="G13" s="227"/>
      <c r="H13" s="227"/>
      <c r="I13" s="227"/>
      <c r="J13" s="227"/>
      <c r="K13" s="206"/>
      <c r="L13" s="206"/>
    </row>
    <row r="14" ht="12.75" customHeight="1">
      <c r="A14" s="203"/>
      <c r="B14" s="206"/>
      <c r="C14" s="206"/>
      <c r="D14" s="206"/>
      <c r="E14" s="206"/>
      <c r="F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</row>
    <row r="15" ht="12.75" customHeight="1">
      <c r="A15" s="203"/>
      <c r="B15" s="206"/>
      <c r="C15" s="206"/>
      <c r="D15" s="228">
        <f>D42</f>
        <v>5</v>
      </c>
      <c r="E15" s="206"/>
      <c r="F15" s="206"/>
      <c r="H15" s="206"/>
      <c r="I15" s="206"/>
      <c r="J15" s="229">
        <f>J42</f>
        <v>4</v>
      </c>
      <c r="K15" s="206"/>
      <c r="L15" s="206"/>
      <c r="M15" s="206"/>
      <c r="N15" s="206"/>
      <c r="O15" s="206"/>
      <c r="P15" s="206"/>
      <c r="Q15" s="206"/>
    </row>
    <row r="16" ht="12.75" customHeight="1">
      <c r="A16" s="203"/>
      <c r="B16" s="206"/>
      <c r="C16" s="206"/>
      <c r="E16" s="206"/>
      <c r="F16" s="206"/>
      <c r="H16" s="206"/>
      <c r="I16" s="206"/>
      <c r="K16" s="206"/>
      <c r="L16" s="206"/>
      <c r="M16" s="206"/>
      <c r="N16" s="206"/>
      <c r="O16" s="206"/>
      <c r="P16" s="206"/>
      <c r="Q16" s="206"/>
    </row>
    <row r="17" ht="12.75" customHeight="1">
      <c r="A17" s="203"/>
      <c r="B17" s="206"/>
      <c r="C17" s="206"/>
      <c r="D17" s="230" t="s">
        <v>136</v>
      </c>
      <c r="E17" s="206"/>
      <c r="F17" s="206"/>
      <c r="H17" s="206"/>
      <c r="I17" s="206"/>
      <c r="J17" s="231" t="s">
        <v>136</v>
      </c>
      <c r="K17" s="206"/>
      <c r="L17" s="206"/>
      <c r="M17" s="206"/>
      <c r="N17" s="206"/>
      <c r="O17" s="206"/>
      <c r="P17" s="206"/>
      <c r="Q17" s="206"/>
    </row>
    <row r="18" ht="12.75" customHeight="1">
      <c r="A18" s="203"/>
      <c r="B18" s="206"/>
      <c r="C18" s="206"/>
      <c r="E18" s="206"/>
      <c r="F18" s="206"/>
      <c r="H18" s="206"/>
      <c r="I18" s="206"/>
      <c r="K18" s="206"/>
      <c r="L18" s="206"/>
      <c r="M18" s="206"/>
      <c r="N18" s="223" t="s">
        <v>137</v>
      </c>
      <c r="O18" s="223"/>
      <c r="P18" s="223"/>
      <c r="Q18" s="206"/>
    </row>
    <row r="19" ht="12.75" customHeight="1">
      <c r="A19" s="203"/>
      <c r="B19" s="206"/>
      <c r="C19" s="206"/>
      <c r="E19" s="206"/>
      <c r="F19" s="206"/>
      <c r="H19" s="206"/>
      <c r="I19" s="206"/>
      <c r="K19" s="206"/>
      <c r="L19" s="206"/>
      <c r="M19" s="206"/>
      <c r="N19" s="206"/>
      <c r="O19" s="206"/>
      <c r="P19" s="206"/>
      <c r="Q19" s="206"/>
    </row>
    <row r="20" ht="12.75" customHeight="1">
      <c r="A20" s="203"/>
      <c r="B20" s="206"/>
      <c r="C20" s="206"/>
      <c r="E20" s="206"/>
      <c r="F20" s="206"/>
      <c r="H20" s="206"/>
      <c r="I20" s="206"/>
      <c r="K20" s="206"/>
      <c r="L20" s="206"/>
      <c r="M20" s="206"/>
      <c r="N20" s="206"/>
      <c r="O20" s="206"/>
      <c r="P20" s="206"/>
      <c r="Q20" s="206"/>
    </row>
    <row r="21" ht="12.75" customHeight="1">
      <c r="A21" s="203"/>
      <c r="B21" s="206"/>
      <c r="C21" s="206"/>
      <c r="E21" s="206"/>
      <c r="F21" s="206"/>
      <c r="H21" s="206"/>
      <c r="I21" s="206"/>
      <c r="K21" s="206"/>
      <c r="L21" s="206"/>
      <c r="M21" s="206"/>
      <c r="N21" s="206"/>
      <c r="O21" s="206"/>
      <c r="P21" s="206"/>
      <c r="Q21" s="206"/>
    </row>
    <row r="22" ht="12.75" customHeight="1">
      <c r="A22" s="203"/>
      <c r="B22" s="206"/>
      <c r="C22" s="206"/>
      <c r="D22" s="228"/>
      <c r="E22" s="206"/>
      <c r="F22" s="206"/>
      <c r="H22" s="206"/>
      <c r="I22" s="206"/>
      <c r="J22" s="229"/>
      <c r="K22" s="206"/>
      <c r="L22" s="206"/>
      <c r="M22" s="206"/>
      <c r="N22" s="206"/>
      <c r="O22" s="206"/>
      <c r="P22" s="206"/>
      <c r="Q22" s="206"/>
    </row>
    <row r="23" ht="12.75" customHeight="1">
      <c r="A23" s="203"/>
      <c r="B23" s="206"/>
      <c r="C23" s="206"/>
      <c r="D23" s="228"/>
      <c r="E23" s="206"/>
      <c r="F23" s="206"/>
      <c r="H23" s="206"/>
      <c r="I23" s="206"/>
      <c r="J23" s="229"/>
      <c r="K23" s="206"/>
      <c r="L23" s="206"/>
      <c r="M23" s="206"/>
      <c r="N23" s="206"/>
      <c r="O23" s="206"/>
      <c r="P23" s="206"/>
      <c r="Q23" s="206"/>
    </row>
    <row r="24" ht="12.75" customHeight="1">
      <c r="A24" s="203"/>
      <c r="B24" s="206"/>
      <c r="C24" s="206"/>
      <c r="D24" s="232">
        <f>IF(SUM(C36:C38)&gt;SUM(C39:C41),SUM(C36:C38),SUM(C39:C41))</f>
        <v>1</v>
      </c>
      <c r="E24" s="206"/>
      <c r="F24" s="206"/>
      <c r="H24" s="206"/>
      <c r="I24" s="206"/>
      <c r="J24" s="233">
        <f>IF(SUM(H36:H38)&gt;SUM(H39:H41),SUM(H36:H38),SUM(H39:H41))</f>
        <v>1</v>
      </c>
      <c r="K24" s="206"/>
      <c r="L24" s="206"/>
      <c r="M24" s="206"/>
      <c r="N24" s="206"/>
      <c r="O24" s="206"/>
      <c r="P24" s="206"/>
      <c r="Q24" s="206"/>
    </row>
    <row r="25" ht="12.75" customHeight="1">
      <c r="A25" s="203"/>
      <c r="B25" s="206"/>
      <c r="C25" s="206"/>
      <c r="E25" s="206"/>
      <c r="F25" s="206"/>
      <c r="H25" s="206"/>
      <c r="I25" s="206"/>
      <c r="K25" s="206"/>
      <c r="L25" s="206"/>
      <c r="M25" s="206"/>
      <c r="N25" s="206"/>
      <c r="O25" s="206"/>
      <c r="P25" s="206"/>
      <c r="Q25" s="206"/>
    </row>
    <row r="26" ht="12.75" customHeight="1">
      <c r="A26" s="203"/>
      <c r="B26" s="206"/>
      <c r="C26" s="206"/>
      <c r="D26" s="230" t="str">
        <f>IF(SUM(C36:C38)&gt;SUM(C39:C41),"dos cargos abaixo "&amp;IF(B5="Mediana","da ",IF(B5="Média","da ","do "))&amp;B5,"dos cargos acima "&amp;IF(B5="Mediana","da ",IF(B5="Média","da ","do "))&amp;B5)</f>
        <v>dos cargos abaixo da Mediana</v>
      </c>
      <c r="E26" s="206"/>
      <c r="F26" s="206"/>
      <c r="H26" s="206"/>
      <c r="I26" s="206"/>
      <c r="J26" s="231" t="str">
        <f>IF(SUM(H36:H38)&gt;SUM(H39:H41),"dos cargos abaixo "&amp;IF(B5="Mediana","da ",IF(B5="Média","da ","do "))&amp;B5,"dos cargos acima "&amp;IF(B5="Mediana","da ",IF(B5="Média","da ","do "))&amp;B5)</f>
        <v>dos cargos abaixo da Mediana</v>
      </c>
      <c r="K26" s="206"/>
      <c r="L26" s="206"/>
      <c r="M26" s="206"/>
      <c r="N26" s="206"/>
      <c r="O26" s="206"/>
      <c r="P26" s="206"/>
      <c r="Q26" s="206"/>
    </row>
    <row r="27" ht="12.75" customHeight="1">
      <c r="A27" s="203"/>
      <c r="B27" s="206"/>
      <c r="C27" s="206"/>
      <c r="E27" s="206"/>
      <c r="F27" s="206"/>
      <c r="H27" s="206"/>
      <c r="I27" s="206"/>
      <c r="K27" s="206"/>
      <c r="L27" s="206"/>
      <c r="M27" s="206"/>
      <c r="N27" s="206"/>
      <c r="O27" s="206"/>
      <c r="P27" s="206"/>
      <c r="Q27" s="206"/>
    </row>
    <row r="28" ht="12.75" customHeight="1">
      <c r="A28" s="203"/>
      <c r="B28" s="206"/>
      <c r="C28" s="206"/>
      <c r="E28" s="206"/>
      <c r="F28" s="206"/>
      <c r="H28" s="206"/>
      <c r="I28" s="206"/>
      <c r="K28" s="206"/>
      <c r="L28" s="206"/>
      <c r="M28" s="206"/>
      <c r="N28" s="206"/>
      <c r="O28" s="206"/>
      <c r="P28" s="206"/>
      <c r="Q28" s="206"/>
    </row>
    <row r="29" ht="12.75" customHeight="1">
      <c r="A29" s="203"/>
      <c r="B29" s="206"/>
      <c r="C29" s="206"/>
      <c r="E29" s="206"/>
      <c r="F29" s="206"/>
      <c r="H29" s="206"/>
      <c r="I29" s="206"/>
      <c r="K29" s="206"/>
      <c r="L29" s="206"/>
      <c r="M29" s="206"/>
      <c r="N29" s="206"/>
      <c r="O29" s="206"/>
      <c r="P29" s="206"/>
      <c r="Q29" s="206"/>
    </row>
    <row r="30" ht="12.75" customHeight="1">
      <c r="A30" s="203"/>
      <c r="B30" s="206"/>
      <c r="C30" s="206"/>
      <c r="E30" s="206"/>
      <c r="F30" s="206"/>
      <c r="H30" s="206"/>
      <c r="I30" s="206"/>
      <c r="K30" s="206"/>
      <c r="L30" s="206"/>
      <c r="M30" s="206"/>
      <c r="N30" s="206"/>
      <c r="O30" s="206"/>
      <c r="P30" s="206"/>
      <c r="Q30" s="206"/>
    </row>
    <row r="31" ht="12.75" customHeight="1">
      <c r="A31" s="203"/>
      <c r="B31" s="206"/>
      <c r="C31" s="206"/>
      <c r="D31" s="206"/>
      <c r="E31" s="206"/>
      <c r="F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</row>
    <row r="32" ht="12.75" customHeight="1">
      <c r="A32" s="203"/>
      <c r="B32" s="206"/>
      <c r="C32" s="206"/>
      <c r="D32" s="206"/>
      <c r="E32" s="206"/>
      <c r="F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</row>
    <row r="33" ht="12.75" customHeight="1">
      <c r="A33" s="203"/>
      <c r="B33" s="206"/>
      <c r="C33" s="206"/>
      <c r="D33" s="206"/>
      <c r="E33" s="206"/>
      <c r="F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</row>
    <row r="34" ht="12.75" customHeight="1">
      <c r="A34" s="203"/>
      <c r="B34" s="234"/>
      <c r="C34" s="235"/>
      <c r="D34" s="235"/>
      <c r="E34" s="236"/>
      <c r="F34" s="234"/>
      <c r="H34" s="235"/>
      <c r="I34" s="235"/>
      <c r="J34" s="199"/>
      <c r="K34" s="199"/>
      <c r="L34" s="199"/>
      <c r="M34" s="199"/>
      <c r="N34" s="199"/>
      <c r="O34" s="199"/>
    </row>
    <row r="35" ht="12.75" customHeight="1">
      <c r="A35" s="203"/>
      <c r="B35" s="237" t="s">
        <v>138</v>
      </c>
      <c r="C35" s="237" t="s">
        <v>139</v>
      </c>
      <c r="D35" s="237" t="s">
        <v>140</v>
      </c>
      <c r="E35" s="238"/>
      <c r="F35" s="239" t="s">
        <v>138</v>
      </c>
      <c r="G35" s="240"/>
      <c r="H35" s="239" t="s">
        <v>139</v>
      </c>
      <c r="I35" s="240"/>
      <c r="J35" s="239" t="s">
        <v>140</v>
      </c>
      <c r="K35" s="199"/>
      <c r="L35" s="241"/>
      <c r="M35" s="241"/>
      <c r="N35" s="217"/>
      <c r="O35" s="217"/>
      <c r="P35" s="217"/>
      <c r="Q35" s="217"/>
    </row>
    <row r="36" ht="12.75" customHeight="1">
      <c r="A36" s="203"/>
      <c r="B36" s="242" t="s">
        <v>123</v>
      </c>
      <c r="C36" s="243">
        <f t="shared" ref="C36:C41" si="1">IFERROR(D36/$D$42,0)</f>
        <v>0.4</v>
      </c>
      <c r="D36" s="244">
        <f>COUNTIF('Cálculos Comparativos'!T:T,$B36)</f>
        <v>2</v>
      </c>
      <c r="E36" s="245"/>
      <c r="F36" s="246" t="s">
        <v>123</v>
      </c>
      <c r="G36" s="247"/>
      <c r="H36" s="248">
        <f t="shared" ref="H36:H41" si="2">iferror(J36/J$42,0)</f>
        <v>0.25</v>
      </c>
      <c r="I36" s="247"/>
      <c r="J36" s="246">
        <f>COUNTIF('Cálculos Comparativos'!AB:AB,$F36)</f>
        <v>1</v>
      </c>
      <c r="K36" s="199"/>
      <c r="L36" s="241"/>
      <c r="M36" s="241"/>
      <c r="N36" s="217"/>
      <c r="O36" s="217"/>
      <c r="P36" s="217"/>
      <c r="Q36" s="217"/>
    </row>
    <row r="37" ht="12.75" customHeight="1">
      <c r="A37" s="203"/>
      <c r="B37" s="242" t="s">
        <v>125</v>
      </c>
      <c r="C37" s="243">
        <f t="shared" si="1"/>
        <v>0.4</v>
      </c>
      <c r="D37" s="244">
        <f>COUNTIF('Cálculos Comparativos'!T:T,$B37)</f>
        <v>2</v>
      </c>
      <c r="E37" s="245"/>
      <c r="F37" s="246" t="s">
        <v>125</v>
      </c>
      <c r="G37" s="249"/>
      <c r="H37" s="248">
        <f t="shared" si="2"/>
        <v>0.5</v>
      </c>
      <c r="I37" s="249"/>
      <c r="J37" s="246">
        <f>COUNTIF('Cálculos Comparativos'!AB:AB,$F37)</f>
        <v>2</v>
      </c>
      <c r="K37" s="199"/>
      <c r="L37" s="241"/>
      <c r="M37" s="241"/>
      <c r="N37" s="217"/>
      <c r="O37" s="217"/>
      <c r="P37" s="217"/>
      <c r="Q37" s="217"/>
    </row>
    <row r="38" ht="12.75" customHeight="1">
      <c r="A38" s="203"/>
      <c r="B38" s="242" t="s">
        <v>127</v>
      </c>
      <c r="C38" s="243">
        <f t="shared" si="1"/>
        <v>0.2</v>
      </c>
      <c r="D38" s="244">
        <f>COUNTIF('Cálculos Comparativos'!T:T,$B38)</f>
        <v>1</v>
      </c>
      <c r="E38" s="245"/>
      <c r="F38" s="246" t="s">
        <v>127</v>
      </c>
      <c r="G38" s="247"/>
      <c r="H38" s="248">
        <f t="shared" si="2"/>
        <v>0.25</v>
      </c>
      <c r="I38" s="247"/>
      <c r="J38" s="246">
        <f>COUNTIF('Cálculos Comparativos'!AB:AB,$F38)</f>
        <v>1</v>
      </c>
      <c r="K38" s="199"/>
      <c r="L38" s="241"/>
      <c r="M38" s="241"/>
      <c r="N38" s="217"/>
      <c r="O38" s="217"/>
      <c r="P38" s="217"/>
      <c r="Q38" s="217"/>
    </row>
    <row r="39" ht="12.75" customHeight="1">
      <c r="A39" s="203"/>
      <c r="B39" s="242" t="s">
        <v>129</v>
      </c>
      <c r="C39" s="243">
        <f t="shared" si="1"/>
        <v>0</v>
      </c>
      <c r="D39" s="244">
        <f>COUNTIF('Cálculos Comparativos'!T:T,$B39)</f>
        <v>0</v>
      </c>
      <c r="E39" s="245"/>
      <c r="F39" s="246" t="s">
        <v>129</v>
      </c>
      <c r="G39" s="249"/>
      <c r="H39" s="248">
        <f t="shared" si="2"/>
        <v>0</v>
      </c>
      <c r="I39" s="249"/>
      <c r="J39" s="246">
        <f>COUNTIF('Cálculos Comparativos'!AB:AB,$F39)</f>
        <v>0</v>
      </c>
      <c r="K39" s="199"/>
      <c r="L39" s="241"/>
      <c r="M39" s="241"/>
      <c r="N39" s="217"/>
      <c r="O39" s="217"/>
      <c r="P39" s="217"/>
      <c r="Q39" s="217"/>
    </row>
    <row r="40" ht="12.75" customHeight="1">
      <c r="A40" s="203"/>
      <c r="B40" s="242" t="s">
        <v>131</v>
      </c>
      <c r="C40" s="243">
        <f t="shared" si="1"/>
        <v>0</v>
      </c>
      <c r="D40" s="244">
        <f>COUNTIF('Cálculos Comparativos'!T:T,$B40)</f>
        <v>0</v>
      </c>
      <c r="E40" s="245"/>
      <c r="F40" s="246" t="s">
        <v>131</v>
      </c>
      <c r="G40" s="247"/>
      <c r="H40" s="248">
        <f t="shared" si="2"/>
        <v>0</v>
      </c>
      <c r="I40" s="247"/>
      <c r="J40" s="246">
        <f>COUNTIF('Cálculos Comparativos'!AB:AB,$F40)</f>
        <v>0</v>
      </c>
      <c r="K40" s="199"/>
      <c r="L40" s="241"/>
      <c r="M40" s="241"/>
      <c r="N40" s="217"/>
      <c r="O40" s="217"/>
      <c r="P40" s="217"/>
      <c r="Q40" s="217"/>
    </row>
    <row r="41" ht="12.75" customHeight="1">
      <c r="A41" s="203"/>
      <c r="B41" s="242" t="s">
        <v>133</v>
      </c>
      <c r="C41" s="243">
        <f t="shared" si="1"/>
        <v>0</v>
      </c>
      <c r="D41" s="244">
        <f>COUNTIF('Cálculos Comparativos'!T:T,$B41)</f>
        <v>0</v>
      </c>
      <c r="E41" s="245"/>
      <c r="F41" s="246" t="s">
        <v>133</v>
      </c>
      <c r="G41" s="249"/>
      <c r="H41" s="248">
        <f t="shared" si="2"/>
        <v>0</v>
      </c>
      <c r="I41" s="249"/>
      <c r="J41" s="246">
        <f>COUNTIF('Cálculos Comparativos'!AB:AB,$F41)</f>
        <v>0</v>
      </c>
      <c r="K41" s="199"/>
      <c r="L41" s="241"/>
      <c r="M41" s="241"/>
      <c r="N41" s="217"/>
      <c r="O41" s="217"/>
      <c r="P41" s="217"/>
      <c r="Q41" s="217"/>
    </row>
    <row r="42" ht="12.75" customHeight="1">
      <c r="A42" s="203"/>
      <c r="B42" s="250" t="s">
        <v>141</v>
      </c>
      <c r="C42" s="251">
        <f t="shared" ref="C42:D42" si="3">SUM(C36:C41)</f>
        <v>1</v>
      </c>
      <c r="D42" s="252">
        <f t="shared" si="3"/>
        <v>5</v>
      </c>
      <c r="E42" s="245"/>
      <c r="F42" s="253" t="s">
        <v>141</v>
      </c>
      <c r="G42" s="247"/>
      <c r="H42" s="254">
        <f>SUM(H36:H41)</f>
        <v>1</v>
      </c>
      <c r="I42" s="247"/>
      <c r="J42" s="253">
        <f>SUM(J36:J41)</f>
        <v>4</v>
      </c>
      <c r="K42" s="199"/>
      <c r="L42" s="241"/>
      <c r="M42" s="241"/>
    </row>
    <row r="43" ht="12.75" customHeight="1">
      <c r="A43" s="203"/>
      <c r="B43" s="255"/>
      <c r="C43" s="256"/>
      <c r="D43" s="256"/>
      <c r="E43" s="257"/>
      <c r="F43" s="258"/>
      <c r="G43" s="259"/>
      <c r="H43" s="259"/>
      <c r="I43" s="259"/>
      <c r="J43" s="259"/>
      <c r="K43" s="199"/>
      <c r="L43" s="199"/>
      <c r="M43" s="199"/>
      <c r="N43" s="199"/>
      <c r="O43" s="199"/>
      <c r="P43" s="199"/>
      <c r="Q43" s="199"/>
      <c r="R43" s="199"/>
    </row>
    <row r="44" ht="12.75" customHeight="1">
      <c r="A44" s="203"/>
      <c r="E44" s="260"/>
      <c r="F44" s="260"/>
      <c r="G44" s="261"/>
      <c r="H44" s="261"/>
      <c r="I44" s="199"/>
      <c r="J44" s="199"/>
      <c r="K44" s="199"/>
      <c r="L44" s="199"/>
      <c r="M44" s="199"/>
      <c r="N44" s="199"/>
      <c r="O44" s="199"/>
      <c r="P44" s="199"/>
      <c r="Q44" s="199"/>
      <c r="R44" s="199"/>
    </row>
    <row r="45">
      <c r="A45" s="203"/>
      <c r="B45" s="262" t="s">
        <v>142</v>
      </c>
      <c r="E45" s="260"/>
      <c r="F45" s="260"/>
      <c r="G45" s="261"/>
      <c r="H45" s="261"/>
      <c r="I45" s="199"/>
      <c r="J45" s="199"/>
      <c r="K45" s="199"/>
      <c r="N45" s="199"/>
      <c r="O45" s="199"/>
      <c r="P45" s="199"/>
      <c r="Q45" s="199"/>
      <c r="R45" s="199"/>
    </row>
    <row r="46">
      <c r="A46" s="203"/>
      <c r="B46" s="263" t="s">
        <v>143</v>
      </c>
      <c r="E46" s="260"/>
      <c r="F46" s="260"/>
      <c r="G46" s="261"/>
      <c r="H46" s="261"/>
      <c r="I46" s="199"/>
      <c r="J46" s="199"/>
      <c r="K46" s="199"/>
      <c r="N46" s="199"/>
      <c r="O46" s="199"/>
      <c r="P46" s="199"/>
      <c r="Q46" s="199"/>
      <c r="R46" s="199"/>
    </row>
    <row r="47" ht="12.75" customHeight="1">
      <c r="A47" s="203"/>
      <c r="B47" s="264"/>
      <c r="E47" s="260"/>
      <c r="F47" s="260"/>
      <c r="G47" s="261"/>
      <c r="H47" s="261"/>
      <c r="I47" s="199"/>
      <c r="J47" s="199"/>
      <c r="K47" s="199"/>
      <c r="O47" s="199"/>
      <c r="P47" s="199"/>
      <c r="Q47" s="199"/>
      <c r="R47" s="199"/>
    </row>
    <row r="48">
      <c r="A48" s="203"/>
      <c r="E48" s="260"/>
      <c r="F48" s="260"/>
      <c r="G48" s="261"/>
      <c r="H48" s="261"/>
      <c r="I48" s="199"/>
      <c r="J48" s="199"/>
      <c r="K48" s="199"/>
      <c r="L48" s="265">
        <f>IF(SUM(C53:C55)&gt;SUM(C56:C58),SUM(C53:C55),SUM(C56:C58))</f>
        <v>1</v>
      </c>
      <c r="M48" s="266" t="str">
        <f>IF(SUM(C53:C55)&gt;SUM(C56:C58),"dos cargos abaixo "&amp;IF(B5="Mediana","da ",IF(B5="Média","da ","do "))&amp;B5,"dos cargos acima "&amp;IF(B5="Mediana","da ",IF(B5="Média","da ","do "))&amp;B5)</f>
        <v>dos cargos abaixo da Mediana</v>
      </c>
      <c r="O48" s="199"/>
      <c r="P48" s="199"/>
      <c r="Q48" s="199"/>
      <c r="R48" s="199"/>
    </row>
    <row r="49" ht="12.75" customHeight="1">
      <c r="A49" s="203"/>
      <c r="B49" s="267" t="s">
        <v>25</v>
      </c>
      <c r="E49" s="260"/>
      <c r="F49" s="260"/>
      <c r="G49" s="261"/>
      <c r="H49" s="261"/>
      <c r="I49" s="199"/>
      <c r="J49" s="199"/>
      <c r="K49" s="199"/>
      <c r="M49" s="268"/>
      <c r="N49" s="199"/>
      <c r="O49" s="199"/>
      <c r="P49" s="199"/>
      <c r="Q49" s="199"/>
      <c r="R49" s="199"/>
    </row>
    <row r="50" ht="12.75" customHeight="1">
      <c r="A50" s="203"/>
      <c r="D50" s="269"/>
      <c r="E50" s="269"/>
      <c r="F50" s="270"/>
      <c r="G50" s="271"/>
      <c r="H50" s="271"/>
      <c r="I50" s="199"/>
      <c r="J50" s="199"/>
      <c r="K50" s="199"/>
      <c r="M50" s="199"/>
      <c r="N50" s="199"/>
      <c r="O50" s="199"/>
      <c r="P50" s="199"/>
      <c r="Q50" s="199"/>
      <c r="R50" s="199"/>
    </row>
    <row r="51" ht="12.75" customHeight="1">
      <c r="A51" s="203"/>
      <c r="F51" s="245"/>
      <c r="G51" s="272"/>
      <c r="H51" s="272"/>
      <c r="I51" s="199"/>
      <c r="J51" s="199"/>
      <c r="K51" s="199"/>
      <c r="O51" s="199"/>
      <c r="P51" s="199"/>
      <c r="Q51" s="199"/>
      <c r="R51" s="199"/>
    </row>
    <row r="52" ht="15.0" customHeight="1">
      <c r="A52" s="203"/>
      <c r="B52" s="273" t="s">
        <v>138</v>
      </c>
      <c r="C52" s="273" t="s">
        <v>144</v>
      </c>
      <c r="D52" s="273" t="s">
        <v>145</v>
      </c>
      <c r="F52" s="274"/>
      <c r="H52" s="272"/>
      <c r="I52" s="199"/>
      <c r="J52" s="199"/>
      <c r="K52" s="199"/>
      <c r="L52" s="233"/>
      <c r="M52" s="233"/>
      <c r="N52" s="199"/>
      <c r="O52" s="199"/>
      <c r="P52" s="199"/>
      <c r="Q52" s="199"/>
      <c r="R52" s="199"/>
    </row>
    <row r="53">
      <c r="A53" s="203"/>
      <c r="B53" s="275" t="s">
        <v>123</v>
      </c>
      <c r="C53" s="276">
        <f>IFERROR(COUNTIFS('Cálculos Comparativos'!G:G,$B$49,'Cálculos Comparativos'!T:T,$B53)/C$59, 0)</f>
        <v>0.6666666667</v>
      </c>
      <c r="D53" s="276">
        <f>IFERROR(COUNTIFS('Cálculos Comparativos'!G:G,$B$49,'Cálculos Comparativos'!AB:AB,$B53)/D$59, 0)</f>
        <v>0.5</v>
      </c>
      <c r="F53" s="277"/>
      <c r="H53" s="272"/>
      <c r="I53" s="199"/>
      <c r="J53" s="199"/>
      <c r="K53" s="199"/>
      <c r="L53" s="278">
        <f>IF(SUM(D53:D55)&gt;SUM(D56:D58),SUM(D53:D55),SUM(D56:D58))</f>
        <v>1</v>
      </c>
      <c r="M53" s="279" t="str">
        <f>IF(SUM(D53:D55)&gt;SUM(D56:D58),"dos cargos abaixo "&amp;IF(B5="Mediana","da ",IF(B5="Média","da ","do "))&amp;B5,"dos cargos acima "&amp;IF(B5="Mediana","da ",IF(B5="Média","da ","do "))&amp;B5)</f>
        <v>dos cargos abaixo da Mediana</v>
      </c>
      <c r="O53" s="199"/>
      <c r="P53" s="199"/>
      <c r="Q53" s="199"/>
      <c r="R53" s="199"/>
    </row>
    <row r="54" ht="15.0" customHeight="1">
      <c r="A54" s="203"/>
      <c r="B54" s="280" t="s">
        <v>125</v>
      </c>
      <c r="C54" s="281">
        <f>IFERROR(COUNTIFS('Cálculos Comparativos'!G:G,$B$49,'Cálculos Comparativos'!T:T,$B54)/C$59, 0)</f>
        <v>0.3333333333</v>
      </c>
      <c r="D54" s="281">
        <f>IFERROR(COUNTIFS('Cálculos Comparativos'!G:G,$B$49,'Cálculos Comparativos'!AB:AB,$B54)/D$59, 0)</f>
        <v>0.5</v>
      </c>
      <c r="F54" s="277"/>
      <c r="H54" s="272"/>
      <c r="I54" s="199"/>
      <c r="J54" s="199"/>
      <c r="K54" s="199"/>
      <c r="N54" s="199"/>
      <c r="O54" s="199"/>
      <c r="P54" s="199"/>
      <c r="Q54" s="199"/>
      <c r="R54" s="199"/>
    </row>
    <row r="55" ht="15.0" customHeight="1">
      <c r="A55" s="203"/>
      <c r="B55" s="275" t="s">
        <v>127</v>
      </c>
      <c r="C55" s="276">
        <f>IFERROR(COUNTIFS('Cálculos Comparativos'!G:G,$B$49,'Cálculos Comparativos'!T:T,$B55)/C$59, 0)</f>
        <v>0</v>
      </c>
      <c r="D55" s="276">
        <f>IFERROR(COUNTIFS('Cálculos Comparativos'!G:G,$B$49,'Cálculos Comparativos'!AB:AB,$B55)/D$59, 0)</f>
        <v>0</v>
      </c>
      <c r="F55" s="277"/>
      <c r="H55" s="272"/>
      <c r="I55" s="199"/>
      <c r="J55" s="199"/>
      <c r="K55" s="199"/>
      <c r="N55" s="199"/>
      <c r="O55" s="199"/>
      <c r="P55" s="199"/>
      <c r="Q55" s="199"/>
      <c r="R55" s="199"/>
    </row>
    <row r="56" ht="15.0" customHeight="1">
      <c r="A56" s="203"/>
      <c r="B56" s="280" t="s">
        <v>129</v>
      </c>
      <c r="C56" s="281">
        <f>IFERROR(COUNTIFS('Cálculos Comparativos'!G:G,$B$49,'Cálculos Comparativos'!T:T,$B56)/C$59, 0)</f>
        <v>0</v>
      </c>
      <c r="D56" s="281">
        <f>IFERROR(COUNTIFS('Cálculos Comparativos'!G:G,$B$49,'Cálculos Comparativos'!AB:AB,$B56)/D$59, 0)</f>
        <v>0</v>
      </c>
      <c r="F56" s="277"/>
      <c r="H56" s="272"/>
      <c r="I56" s="199"/>
      <c r="J56" s="199"/>
      <c r="K56" s="199"/>
      <c r="O56" s="199"/>
      <c r="P56" s="199"/>
      <c r="Q56" s="199"/>
      <c r="R56" s="199"/>
    </row>
    <row r="57">
      <c r="A57" s="203"/>
      <c r="B57" s="275" t="s">
        <v>131</v>
      </c>
      <c r="C57" s="276">
        <f>IFERROR(COUNTIFS('Cálculos Comparativos'!G:G,$B$49,'Cálculos Comparativos'!T:T,$B57)/C$59, 0)</f>
        <v>0</v>
      </c>
      <c r="D57" s="276">
        <f>IFERROR(COUNTIFS('Cálculos Comparativos'!G:G,$B$49,'Cálculos Comparativos'!AB:AB,$B57)/D$59, 0)</f>
        <v>0</v>
      </c>
      <c r="F57" s="277"/>
      <c r="H57" s="282"/>
      <c r="I57" s="199"/>
      <c r="J57" s="199"/>
      <c r="K57" s="199"/>
      <c r="L57" s="283"/>
      <c r="M57" s="284"/>
      <c r="O57" s="199"/>
      <c r="P57" s="199"/>
      <c r="Q57" s="199"/>
      <c r="R57" s="199"/>
    </row>
    <row r="58" ht="15.0" customHeight="1">
      <c r="A58" s="203"/>
      <c r="B58" s="280" t="s">
        <v>133</v>
      </c>
      <c r="C58" s="281">
        <f>IFERROR(COUNTIFS('Cálculos Comparativos'!G:G,$B$49,'Cálculos Comparativos'!T:T,$B58)/C$59, 0)</f>
        <v>0</v>
      </c>
      <c r="D58" s="281">
        <f>IFERROR(COUNTIFS('Cálculos Comparativos'!G:G,$B$49,'Cálculos Comparativos'!AB:AB,$B58)/D$59, 0)</f>
        <v>0</v>
      </c>
      <c r="F58" s="277"/>
      <c r="H58" s="271"/>
      <c r="I58" s="199"/>
      <c r="J58" s="199"/>
      <c r="K58" s="199"/>
      <c r="N58" s="199"/>
      <c r="O58" s="199"/>
      <c r="P58" s="199"/>
      <c r="Q58" s="199"/>
      <c r="R58" s="199"/>
    </row>
    <row r="59" ht="15.0" customHeight="1">
      <c r="A59" s="203"/>
      <c r="B59" s="285" t="s">
        <v>146</v>
      </c>
      <c r="C59" s="285">
        <f>COUNTIFS('Cálculos Comparativos'!G:G,B49,'Cálculos Comparativos'!T:T,"?*")</f>
        <v>3</v>
      </c>
      <c r="D59" s="285">
        <f>COUNTIFS('Cálculos Comparativos'!G:G, B49,'Cálculos Comparativos'!AB:AB,"?*")</f>
        <v>2</v>
      </c>
      <c r="E59" s="286"/>
      <c r="F59" s="287"/>
      <c r="H59" s="271"/>
      <c r="I59" s="199"/>
      <c r="J59" s="199"/>
      <c r="K59" s="199"/>
      <c r="N59" s="199"/>
      <c r="O59" s="199"/>
      <c r="P59" s="199"/>
      <c r="Q59" s="199"/>
      <c r="R59" s="199"/>
    </row>
    <row r="60" ht="15.0" customHeight="1">
      <c r="A60" s="203"/>
      <c r="B60" s="288"/>
      <c r="C60" s="289"/>
      <c r="D60" s="289"/>
      <c r="E60" s="270"/>
      <c r="F60" s="270"/>
      <c r="G60" s="271"/>
      <c r="H60" s="271"/>
      <c r="I60" s="199"/>
      <c r="J60" s="199"/>
      <c r="K60" s="199"/>
      <c r="O60" s="199"/>
      <c r="P60" s="199"/>
      <c r="Q60" s="199"/>
      <c r="R60" s="199"/>
    </row>
    <row r="61" ht="15.0" customHeight="1">
      <c r="A61" s="203"/>
      <c r="B61" s="288"/>
      <c r="C61" s="289"/>
      <c r="D61" s="289"/>
      <c r="E61" s="270"/>
      <c r="F61" s="270"/>
      <c r="G61" s="271"/>
      <c r="H61" s="271"/>
      <c r="I61" s="199"/>
      <c r="J61" s="199"/>
      <c r="K61" s="199"/>
      <c r="L61" s="199"/>
      <c r="M61" s="199"/>
      <c r="N61" s="199"/>
      <c r="O61" s="199"/>
      <c r="P61" s="199"/>
      <c r="Q61" s="199"/>
      <c r="R61" s="199"/>
    </row>
    <row r="62" ht="15.0" customHeight="1">
      <c r="A62" s="203"/>
      <c r="B62" s="288"/>
      <c r="C62" s="289"/>
      <c r="D62" s="289"/>
      <c r="E62" s="270"/>
      <c r="F62" s="270"/>
      <c r="G62" s="271"/>
      <c r="H62" s="271"/>
      <c r="I62" s="199"/>
      <c r="J62" s="199"/>
      <c r="K62" s="199"/>
      <c r="N62" s="199"/>
      <c r="O62" s="199"/>
      <c r="P62" s="199"/>
      <c r="Q62" s="199"/>
      <c r="R62" s="199"/>
    </row>
    <row r="63" ht="15.0" customHeight="1">
      <c r="A63" s="203"/>
      <c r="B63" s="288"/>
      <c r="C63" s="289"/>
      <c r="D63" s="289"/>
      <c r="E63" s="270"/>
      <c r="F63" s="270"/>
      <c r="G63" s="271"/>
      <c r="H63" s="271"/>
      <c r="I63" s="199"/>
      <c r="J63" s="199"/>
      <c r="K63" s="199"/>
      <c r="N63" s="199"/>
      <c r="O63" s="199"/>
      <c r="P63" s="199"/>
      <c r="Q63" s="199"/>
      <c r="R63" s="199"/>
    </row>
    <row r="64" ht="15.0" customHeight="1">
      <c r="A64" s="203"/>
      <c r="B64" s="288"/>
      <c r="C64" s="289"/>
      <c r="D64" s="289"/>
      <c r="E64" s="270"/>
      <c r="F64" s="270"/>
      <c r="G64" s="271"/>
      <c r="H64" s="271"/>
      <c r="I64" s="199"/>
      <c r="J64" s="199"/>
      <c r="K64" s="199"/>
      <c r="N64" s="199"/>
      <c r="O64" s="199"/>
      <c r="P64" s="199"/>
      <c r="Q64" s="199"/>
      <c r="R64" s="199"/>
    </row>
    <row r="65" ht="15.0" customHeight="1">
      <c r="A65" s="203"/>
      <c r="B65" s="288"/>
      <c r="C65" s="289"/>
      <c r="D65" s="289"/>
      <c r="E65" s="270"/>
      <c r="F65" s="270"/>
      <c r="G65" s="271"/>
      <c r="H65" s="271"/>
      <c r="I65" s="199"/>
      <c r="J65" s="199"/>
      <c r="K65" s="199"/>
      <c r="N65" s="199"/>
      <c r="O65" s="199"/>
      <c r="P65" s="199"/>
      <c r="Q65" s="199"/>
      <c r="R65" s="199"/>
    </row>
    <row r="66" ht="12.75" customHeight="1">
      <c r="A66" s="203"/>
      <c r="B66" s="288"/>
      <c r="C66" s="289"/>
      <c r="D66" s="289"/>
      <c r="E66" s="270"/>
      <c r="F66" s="270"/>
      <c r="G66" s="271"/>
      <c r="H66" s="271"/>
      <c r="I66" s="199"/>
      <c r="J66" s="199"/>
      <c r="K66" s="199"/>
      <c r="N66" s="199"/>
      <c r="O66" s="199"/>
      <c r="P66" s="199"/>
      <c r="Q66" s="199"/>
      <c r="R66" s="199"/>
    </row>
    <row r="67" ht="12.75" customHeight="1">
      <c r="A67" s="203"/>
      <c r="B67" s="288"/>
      <c r="C67" s="289"/>
      <c r="D67" s="289"/>
      <c r="E67" s="270"/>
      <c r="F67" s="270"/>
      <c r="G67" s="271"/>
      <c r="H67" s="271"/>
      <c r="I67" s="199"/>
      <c r="J67" s="199"/>
      <c r="K67" s="199"/>
      <c r="M67" s="199"/>
      <c r="N67" s="199"/>
      <c r="O67" s="199"/>
      <c r="P67" s="199"/>
      <c r="Q67" s="199"/>
      <c r="R67" s="199"/>
    </row>
    <row r="68" ht="12.75" customHeight="1">
      <c r="A68" s="203"/>
      <c r="B68" s="288"/>
      <c r="C68" s="289"/>
      <c r="D68" s="289"/>
      <c r="E68" s="270"/>
      <c r="F68" s="270"/>
      <c r="G68" s="271"/>
      <c r="H68" s="271"/>
      <c r="I68" s="199"/>
      <c r="J68" s="199"/>
      <c r="K68" s="199"/>
      <c r="M68" s="199"/>
      <c r="N68" s="199"/>
      <c r="O68" s="199"/>
      <c r="P68" s="199"/>
      <c r="Q68" s="199"/>
      <c r="R68" s="199"/>
    </row>
    <row r="69" ht="12.75" customHeight="1">
      <c r="A69" s="203"/>
      <c r="B69" s="288"/>
      <c r="C69" s="289"/>
      <c r="D69" s="289"/>
      <c r="E69" s="270"/>
      <c r="F69" s="270"/>
      <c r="G69" s="271"/>
      <c r="H69" s="271"/>
      <c r="I69" s="199"/>
      <c r="J69" s="199"/>
      <c r="K69" s="199"/>
      <c r="M69" s="199"/>
      <c r="N69" s="199"/>
      <c r="O69" s="199"/>
      <c r="P69" s="199"/>
      <c r="Q69" s="199"/>
      <c r="R69" s="199"/>
    </row>
    <row r="70" ht="12.75" customHeight="1">
      <c r="A70" s="203"/>
      <c r="B70" s="290"/>
      <c r="C70" s="290"/>
      <c r="D70" s="290"/>
      <c r="E70" s="291"/>
      <c r="F70" s="291"/>
      <c r="G70" s="292"/>
      <c r="H70" s="292"/>
      <c r="I70" s="293"/>
      <c r="J70" s="293"/>
      <c r="K70" s="199"/>
      <c r="L70" s="199"/>
      <c r="M70" s="199"/>
      <c r="N70" s="199"/>
      <c r="O70" s="199"/>
      <c r="P70" s="199"/>
      <c r="Q70" s="199"/>
      <c r="R70" s="199"/>
    </row>
    <row r="71" ht="12.75" customHeight="1">
      <c r="A71" s="203"/>
      <c r="B71" s="288"/>
      <c r="C71" s="289"/>
      <c r="D71" s="289"/>
      <c r="E71" s="270"/>
      <c r="F71" s="270"/>
      <c r="G71" s="271"/>
      <c r="H71" s="271"/>
      <c r="I71" s="199"/>
      <c r="J71" s="199"/>
      <c r="K71" s="199"/>
      <c r="L71" s="199"/>
      <c r="M71" s="199"/>
      <c r="N71" s="199"/>
      <c r="O71" s="199"/>
      <c r="P71" s="199"/>
      <c r="Q71" s="199"/>
      <c r="R71" s="199"/>
    </row>
    <row r="72" ht="12.75" customHeight="1">
      <c r="A72" s="203"/>
      <c r="B72" s="294" t="str">
        <f>"5 Maiores Salários acima "&amp;IF(B5="Mediana","da ",IF(B5="Média","da ","do "))&amp;B5</f>
        <v>5 Maiores Salários acima da Mediana</v>
      </c>
      <c r="C72" s="295"/>
      <c r="D72" s="295"/>
      <c r="E72" s="295"/>
      <c r="F72" s="295"/>
      <c r="G72" s="295"/>
      <c r="H72" s="295"/>
      <c r="I72" s="295"/>
      <c r="J72" s="296"/>
      <c r="K72" s="199"/>
      <c r="L72" s="199"/>
      <c r="M72" s="199"/>
      <c r="N72" s="199"/>
      <c r="O72" s="199"/>
      <c r="P72" s="199"/>
      <c r="Q72" s="199"/>
      <c r="R72" s="199"/>
    </row>
    <row r="73" ht="12.75" customHeight="1">
      <c r="A73" s="203"/>
      <c r="B73" s="288"/>
      <c r="C73" s="289"/>
      <c r="D73" s="289"/>
      <c r="E73" s="270"/>
      <c r="F73" s="270"/>
      <c r="G73" s="271"/>
      <c r="H73" s="271"/>
      <c r="I73" s="199"/>
      <c r="J73" s="199"/>
      <c r="K73" s="199"/>
      <c r="L73" s="199"/>
      <c r="M73" s="199"/>
      <c r="N73" s="199"/>
      <c r="O73" s="199"/>
      <c r="P73" s="199"/>
      <c r="Q73" s="199"/>
      <c r="R73" s="199"/>
    </row>
    <row r="74" ht="12.75" customHeight="1">
      <c r="A74" s="203"/>
      <c r="B74" s="297" t="s">
        <v>147</v>
      </c>
      <c r="C74" s="199"/>
      <c r="D74" s="199"/>
      <c r="E74" s="298" t="s">
        <v>134</v>
      </c>
      <c r="G74" s="299" t="s">
        <v>135</v>
      </c>
      <c r="I74" s="199"/>
      <c r="J74" s="199"/>
      <c r="K74" s="199"/>
      <c r="L74" s="199"/>
      <c r="M74" s="199"/>
      <c r="N74" s="199"/>
      <c r="O74" s="199"/>
      <c r="P74" s="199"/>
    </row>
    <row r="75" ht="12.75" customHeight="1">
      <c r="A75" s="203"/>
      <c r="B75" s="300" t="s">
        <v>38</v>
      </c>
      <c r="C75" s="300" t="s">
        <v>40</v>
      </c>
      <c r="D75" s="301" t="s">
        <v>148</v>
      </c>
      <c r="E75" s="302" t="str">
        <f>$B$5</f>
        <v>Mediana</v>
      </c>
      <c r="F75" s="302" t="s">
        <v>138</v>
      </c>
      <c r="G75" s="303" t="str">
        <f>$B$5</f>
        <v>Mediana</v>
      </c>
      <c r="H75" s="303" t="s">
        <v>138</v>
      </c>
      <c r="I75" s="199"/>
      <c r="J75" s="199"/>
      <c r="K75" s="199"/>
      <c r="L75" s="199"/>
      <c r="M75" s="199"/>
      <c r="N75" s="199"/>
      <c r="O75" s="199"/>
      <c r="P75" s="199"/>
    </row>
    <row r="76" ht="12.75" customHeight="1">
      <c r="A76" s="304">
        <f t="array" ref="A76">INDEX('Cálculos Comparativos'!A:A, MATCH(LARGE('Cálculos Comparativos'!S:S, ROW(A1)), 'Cálculos Comparativos'!S:S, 0))</f>
        <v>5</v>
      </c>
      <c r="B76" s="305" t="str">
        <f>iferror(VLOOKUP($A76,'Cálculos Comparativos'!$A:$AB,2,0),"")</f>
        <v>Lider</v>
      </c>
      <c r="C76" s="305" t="str">
        <f>iferror(VLOOKUP($A76,'Cálculos Comparativos'!$A:$AB,8,0)&amp;" "&amp;if(VLOOKUP($A76,'Cálculos Comparativos'!$A:$AB,9,0)="Indiferente","",VLOOKUP($A76,'Cálculos Comparativos'!$A:$AB,9,0)),"")</f>
        <v>1016 Líder Técnico</v>
      </c>
      <c r="D76" s="306" t="str">
        <f>VLOOKUP(A76,'Cálculos Comparativos'!$A:$AB,3,0)</f>
        <v>Líder Técnico</v>
      </c>
      <c r="E76" s="307">
        <f>IFS($B$5="Mediana",VLOOKUP(A76,'Cálculos Comparativos'!A:AB,15,0),$B$5="Menor Salário",VLOOKUP(A76,'Cálculos Comparativos'!A:AB,12,0),$B$5="1º Quartil",VLOOKUP(A76,'Cálculos Comparativos'!A:AB,13,0),$B$5="Média",VLOOKUP(A76,'Cálculos Comparativos'!A:AB,14,0),$B$5="3º Quartil",VLOOKUP(A76,'Cálculos Comparativos'!A:AB,16,0),$B$5="Maior Salário",VLOOKUP(A76,'Cálculos Comparativos'!A:AB,17,0))</f>
        <v>8919.44</v>
      </c>
      <c r="F76" s="243">
        <f>VLOOKUP(A76,'Cálculos Comparativos'!$A:$AB,18,0)</f>
        <v>12817.68</v>
      </c>
      <c r="G76" s="308">
        <f>IFS($B$5="Mediana",VLOOKUP(A76,'Cálculos Comparativos'!A:AB,23,0),$B$5="Menor Salário",VLOOKUP(A76,'Cálculos Comparativos'!A:AB,20,0),$B$5="1º Quartil",VLOOKUP(A76,'Cálculos Comparativos'!A:AB,21,0),$B$5="Média",VLOOKUP(A76,'Cálculos Comparativos'!A:AB,22,0),$B$5="3º Quartil",VLOOKUP(A76,'Cálculos Comparativos'!A:AB,24,0),$B$5="Maior Salário",VLOOKUP(A76,'Cálculos Comparativos'!A:AB,25,0))</f>
        <v>8904.46</v>
      </c>
      <c r="H76" s="309">
        <f>VLOOKUP(A76,'Cálculos Comparativos'!$A:$AB,26,0)</f>
        <v>12817.68</v>
      </c>
      <c r="I76" s="199"/>
      <c r="J76" s="199"/>
      <c r="K76" s="199"/>
      <c r="L76" s="199"/>
      <c r="M76" s="199"/>
      <c r="N76" s="199"/>
      <c r="O76" s="199"/>
      <c r="P76" s="199"/>
    </row>
    <row r="77" ht="12.75" customHeight="1">
      <c r="A77" s="304">
        <f t="array" ref="A77">INDEX('Cálculos Comparativos'!A:A, MATCH(LARGE('Cálculos Comparativos'!S:S, ROW(A2)), 'Cálculos Comparativos'!S:S, 0))</f>
        <v>3</v>
      </c>
      <c r="B77" s="305" t="str">
        <f>iferror(VLOOKUP($A77,'Cálculos Comparativos'!$A:$AB,2,0),"")</f>
        <v>Engenheiro de Software Full Stack Sr</v>
      </c>
      <c r="C77" s="305" t="str">
        <f>iferror(VLOOKUP($A77,'Cálculos Comparativos'!$A:$AB,8,0)&amp;" "&amp;if(VLOOKUP($A77,'Cálculos Comparativos'!$A:$AB,9,0)="Indiferente","",VLOOKUP($A77,'Cálculos Comparativos'!$A:$AB,9,0)),"")</f>
        <v>1 Desenvolvedor</v>
      </c>
      <c r="D77" s="306" t="str">
        <f>VLOOKUP(A77,'Cálculos Comparativos'!$A:$AB,3,0)</f>
        <v>Desenvolvedor Sr</v>
      </c>
      <c r="E77" s="307">
        <f>IFS($B$5="Mediana",VLOOKUP(A77,'Cálculos Comparativos'!A:AB,15,0),$B$5="Menor Salário",VLOOKUP(A77,'Cálculos Comparativos'!A:AB,12,0),$B$5="1º Quartil",VLOOKUP(A77,'Cálculos Comparativos'!A:AB,13,0),$B$5="Média",VLOOKUP(A77,'Cálculos Comparativos'!A:AB,14,0),$B$5="3º Quartil",VLOOKUP(A77,'Cálculos Comparativos'!A:AB,16,0),$B$5="Maior Salário",VLOOKUP(A77,'Cálculos Comparativos'!A:AB,17,0))</f>
        <v>8047.78</v>
      </c>
      <c r="F77" s="243">
        <f>VLOOKUP(A77,'Cálculos Comparativos'!$A:$AB,18,0)</f>
        <v>10095.14</v>
      </c>
      <c r="G77" s="308">
        <f>IFS($B$5="Mediana",VLOOKUP(A77,'Cálculos Comparativos'!A:AB,23,0),$B$5="Menor Salário",VLOOKUP(A77,'Cálculos Comparativos'!A:AB,20,0),$B$5="1º Quartil",VLOOKUP(A77,'Cálculos Comparativos'!A:AB,21,0),$B$5="Média",VLOOKUP(A77,'Cálculos Comparativos'!A:AB,22,0),$B$5="3º Quartil",VLOOKUP(A77,'Cálculos Comparativos'!A:AB,24,0),$B$5="Maior Salário",VLOOKUP(A77,'Cálculos Comparativos'!A:AB,25,0))</f>
        <v>7984.54</v>
      </c>
      <c r="H77" s="309">
        <f>VLOOKUP(A77,'Cálculos Comparativos'!$A:$AB,26,0)</f>
        <v>9921.51</v>
      </c>
      <c r="I77" s="199"/>
      <c r="J77" s="199"/>
      <c r="K77" s="199"/>
      <c r="L77" s="199"/>
      <c r="M77" s="199"/>
      <c r="N77" s="199"/>
      <c r="O77" s="199"/>
      <c r="P77" s="199"/>
    </row>
    <row r="78" ht="12.75" customHeight="1">
      <c r="A78" s="304">
        <f t="array" ref="A78">INDEX('Cálculos Comparativos'!A:A, MATCH(LARGE('Cálculos Comparativos'!S:S, ROW(A3)), 'Cálculos Comparativos'!S:S, 0))</f>
        <v>2</v>
      </c>
      <c r="B78" s="305" t="str">
        <f>iferror(VLOOKUP($A78,'Cálculos Comparativos'!$A:$AB,2,0),"")</f>
        <v>Engenheiro de Software Full Stack Pl</v>
      </c>
      <c r="C78" s="305" t="str">
        <f>iferror(VLOOKUP($A78,'Cálculos Comparativos'!$A:$AB,8,0)&amp;" "&amp;if(VLOOKUP($A78,'Cálculos Comparativos'!$A:$AB,9,0)="Indiferente","",VLOOKUP($A78,'Cálculos Comparativos'!$A:$AB,9,0)),"")</f>
        <v>1 Desenvolvedor</v>
      </c>
      <c r="D78" s="306" t="str">
        <f>VLOOKUP(A78,'Cálculos Comparativos'!$A:$AB,3,0)</f>
        <v>Desenvolvedor Pl</v>
      </c>
      <c r="E78" s="307">
        <f>IFS($B$5="Mediana",VLOOKUP(A78,'Cálculos Comparativos'!A:AB,15,0),$B$5="Menor Salário",VLOOKUP(A78,'Cálculos Comparativos'!A:AB,12,0),$B$5="1º Quartil",VLOOKUP(A78,'Cálculos Comparativos'!A:AB,13,0),$B$5="Média",VLOOKUP(A78,'Cálculos Comparativos'!A:AB,14,0),$B$5="3º Quartil",VLOOKUP(A78,'Cálculos Comparativos'!A:AB,16,0),$B$5="Maior Salário",VLOOKUP(A78,'Cálculos Comparativos'!A:AB,17,0))</f>
        <v>5379.82</v>
      </c>
      <c r="F78" s="243">
        <f>VLOOKUP(A78,'Cálculos Comparativos'!$A:$AB,18,0)</f>
        <v>7790.91</v>
      </c>
      <c r="G78" s="308">
        <f>IFS($B$5="Mediana",VLOOKUP(A78,'Cálculos Comparativos'!A:AB,23,0),$B$5="Menor Salário",VLOOKUP(A78,'Cálculos Comparativos'!A:AB,20,0),$B$5="1º Quartil",VLOOKUP(A78,'Cálculos Comparativos'!A:AB,21,0),$B$5="Média",VLOOKUP(A78,'Cálculos Comparativos'!A:AB,22,0),$B$5="3º Quartil",VLOOKUP(A78,'Cálculos Comparativos'!A:AB,24,0),$B$5="Maior Salário",VLOOKUP(A78,'Cálculos Comparativos'!A:AB,25,0))</f>
        <v>5399.83</v>
      </c>
      <c r="H78" s="309">
        <f>VLOOKUP(A78,'Cálculos Comparativos'!$A:$AB,26,0)</f>
        <v>7135.86</v>
      </c>
      <c r="I78" s="199"/>
      <c r="J78" s="199"/>
      <c r="K78" s="199"/>
      <c r="L78" s="199"/>
      <c r="M78" s="199"/>
      <c r="N78" s="199"/>
      <c r="O78" s="199"/>
      <c r="P78" s="199"/>
    </row>
    <row r="79" ht="12.75" customHeight="1">
      <c r="A79" s="304">
        <f t="array" ref="A79">INDEX('Cálculos Comparativos'!A:A, MATCH(LARGE('Cálculos Comparativos'!S:S, ROW(A4)), 'Cálculos Comparativos'!S:S, 0))</f>
        <v>4</v>
      </c>
      <c r="B79" s="305" t="str">
        <f>iferror(VLOOKUP($A79,'Cálculos Comparativos'!$A:$AB,2,0),"")</f>
        <v>Analista de Requisitos</v>
      </c>
      <c r="C79" s="305" t="str">
        <f>iferror(VLOOKUP($A79,'Cálculos Comparativos'!$A:$AB,8,0)&amp;" "&amp;if(VLOOKUP($A79,'Cálculos Comparativos'!$A:$AB,9,0)="Indiferente","",VLOOKUP($A79,'Cálculos Comparativos'!$A:$AB,9,0)),"")</f>
        <v>796 Analista de Requisitos</v>
      </c>
      <c r="D79" s="306" t="str">
        <f>VLOOKUP(A79,'Cálculos Comparativos'!$A:$AB,3,0)</f>
        <v>Analista Requisitos Jr</v>
      </c>
      <c r="E79" s="307">
        <f>IFS($B$5="Mediana",VLOOKUP(A79,'Cálculos Comparativos'!A:AB,15,0),$B$5="Menor Salário",VLOOKUP(A79,'Cálculos Comparativos'!A:AB,12,0),$B$5="1º Quartil",VLOOKUP(A79,'Cálculos Comparativos'!A:AB,13,0),$B$5="Média",VLOOKUP(A79,'Cálculos Comparativos'!A:AB,14,0),$B$5="3º Quartil",VLOOKUP(A79,'Cálculos Comparativos'!A:AB,16,0),$B$5="Maior Salário",VLOOKUP(A79,'Cálculos Comparativos'!A:AB,17,0))</f>
        <v>4174.12</v>
      </c>
      <c r="F79" s="243">
        <f>VLOOKUP(A79,'Cálculos Comparativos'!$A:$AB,18,0)</f>
        <v>5977.75</v>
      </c>
      <c r="G79" s="308">
        <f>IFS($B$5="Mediana",VLOOKUP(A79,'Cálculos Comparativos'!A:AB,23,0),$B$5="Menor Salário",VLOOKUP(A79,'Cálculos Comparativos'!A:AB,20,0),$B$5="1º Quartil",VLOOKUP(A79,'Cálculos Comparativos'!A:AB,21,0),$B$5="Média",VLOOKUP(A79,'Cálculos Comparativos'!A:AB,22,0),$B$5="3º Quartil",VLOOKUP(A79,'Cálculos Comparativos'!A:AB,24,0),$B$5="Maior Salário",VLOOKUP(A79,'Cálculos Comparativos'!A:AB,25,0))</f>
        <v>0</v>
      </c>
      <c r="H79" s="309">
        <f>VLOOKUP(A79,'Cálculos Comparativos'!$A:$AB,26,0)</f>
        <v>0</v>
      </c>
      <c r="I79" s="199"/>
      <c r="J79" s="199"/>
      <c r="K79" s="199"/>
      <c r="L79" s="199"/>
      <c r="M79" s="199"/>
      <c r="N79" s="199"/>
      <c r="O79" s="199"/>
      <c r="P79" s="199"/>
    </row>
    <row r="80" ht="12.75" customHeight="1">
      <c r="A80" s="304">
        <f t="array" ref="A80">INDEX('Cálculos Comparativos'!A:A, MATCH(LARGE('Cálculos Comparativos'!S:S, ROW(A5)), 'Cálculos Comparativos'!S:S, 0))</f>
        <v>1</v>
      </c>
      <c r="B80" s="305" t="str">
        <f>iferror(VLOOKUP($A80,'Cálculos Comparativos'!$A:$AB,2,0),"")</f>
        <v>Engenheiro de Software Full Stack Jr</v>
      </c>
      <c r="C80" s="305" t="str">
        <f>iferror(VLOOKUP($A80,'Cálculos Comparativos'!$A:$AB,8,0)&amp;" "&amp;if(VLOOKUP($A80,'Cálculos Comparativos'!$A:$AB,9,0)="Indiferente","",VLOOKUP($A80,'Cálculos Comparativos'!$A:$AB,9,0)),"")</f>
        <v>1 Desenvolvedor</v>
      </c>
      <c r="D80" s="306" t="str">
        <f>VLOOKUP(A80,'Cálculos Comparativos'!$A:$AB,3,0)</f>
        <v>Desenvolvedor Jr</v>
      </c>
      <c r="E80" s="307">
        <f>IFS($B$5="Mediana",VLOOKUP(A80,'Cálculos Comparativos'!A:AB,15,0),$B$5="Menor Salário",VLOOKUP(A80,'Cálculos Comparativos'!A:AB,12,0),$B$5="1º Quartil",VLOOKUP(A80,'Cálculos Comparativos'!A:AB,13,0),$B$5="Média",VLOOKUP(A80,'Cálculos Comparativos'!A:AB,14,0),$B$5="3º Quartil",VLOOKUP(A80,'Cálculos Comparativos'!A:AB,16,0),$B$5="Maior Salário",VLOOKUP(A80,'Cálculos Comparativos'!A:AB,17,0))</f>
        <v>3370.79</v>
      </c>
      <c r="F80" s="243">
        <f>VLOOKUP(A80,'Cálculos Comparativos'!$A:$AB,18,0)</f>
        <v>5268.74</v>
      </c>
      <c r="G80" s="308">
        <f>IFS($B$5="Mediana",VLOOKUP(A80,'Cálculos Comparativos'!A:AB,23,0),$B$5="Menor Salário",VLOOKUP(A80,'Cálculos Comparativos'!A:AB,20,0),$B$5="1º Quartil",VLOOKUP(A80,'Cálculos Comparativos'!A:AB,21,0),$B$5="Média",VLOOKUP(A80,'Cálculos Comparativos'!A:AB,22,0),$B$5="3º Quartil",VLOOKUP(A80,'Cálculos Comparativos'!A:AB,24,0),$B$5="Maior Salário",VLOOKUP(A80,'Cálculos Comparativos'!A:AB,25,0))</f>
        <v>3642.17</v>
      </c>
      <c r="H80" s="309">
        <f>VLOOKUP(A80,'Cálculos Comparativos'!$A:$AB,26,0)</f>
        <v>5456.83</v>
      </c>
      <c r="I80" s="199"/>
      <c r="J80" s="199"/>
      <c r="K80" s="199"/>
      <c r="L80" s="199"/>
      <c r="M80" s="199"/>
      <c r="N80" s="199"/>
      <c r="O80" s="199"/>
      <c r="P80" s="199"/>
    </row>
    <row r="81" ht="12.75" customHeight="1">
      <c r="A81" s="203"/>
      <c r="B81" s="288"/>
      <c r="C81" s="289"/>
      <c r="D81" s="289"/>
      <c r="E81" s="270"/>
      <c r="F81" s="270"/>
      <c r="G81" s="271"/>
      <c r="H81" s="271"/>
      <c r="I81" s="199"/>
      <c r="J81" s="199"/>
      <c r="K81" s="199"/>
      <c r="L81" s="199"/>
      <c r="M81" s="199"/>
      <c r="N81" s="199"/>
      <c r="O81" s="199"/>
      <c r="P81" s="199"/>
      <c r="Q81" s="199"/>
      <c r="R81" s="199"/>
    </row>
    <row r="82" ht="12.75" customHeight="1">
      <c r="A82" s="203"/>
      <c r="B82" s="297" t="s">
        <v>149</v>
      </c>
      <c r="C82" s="199"/>
      <c r="D82" s="199"/>
      <c r="E82" s="299" t="s">
        <v>134</v>
      </c>
      <c r="G82" s="310" t="s">
        <v>135</v>
      </c>
      <c r="I82" s="199"/>
      <c r="J82" s="199"/>
      <c r="K82" s="199"/>
      <c r="L82" s="199"/>
      <c r="M82" s="199"/>
      <c r="N82" s="199"/>
      <c r="O82" s="199"/>
      <c r="P82" s="199"/>
    </row>
    <row r="83" ht="12.75" customHeight="1">
      <c r="A83" s="203"/>
      <c r="B83" s="300" t="s">
        <v>38</v>
      </c>
      <c r="C83" s="300" t="s">
        <v>40</v>
      </c>
      <c r="D83" s="301" t="s">
        <v>148</v>
      </c>
      <c r="E83" s="303" t="str">
        <f>$B$5</f>
        <v>Mediana</v>
      </c>
      <c r="F83" s="303" t="s">
        <v>138</v>
      </c>
      <c r="G83" s="311" t="str">
        <f>$B$5</f>
        <v>Mediana</v>
      </c>
      <c r="H83" s="311" t="s">
        <v>138</v>
      </c>
      <c r="I83" s="199"/>
      <c r="J83" s="199"/>
      <c r="K83" s="199"/>
      <c r="L83" s="199"/>
      <c r="M83" s="199"/>
      <c r="N83" s="199"/>
      <c r="O83" s="199"/>
      <c r="P83" s="199"/>
    </row>
    <row r="84" ht="12.75" customHeight="1">
      <c r="A84" s="312">
        <f t="array" ref="A84">INDEX('Cálculos Comparativos'!A:A, MATCH(LARGE('Cálculos Comparativos'!AA:AA, ROW(A1)), 'Cálculos Comparativos'!AA:AA, 0))</f>
        <v>5</v>
      </c>
      <c r="B84" s="305" t="str">
        <f>iferror(VLOOKUP($A84,'Cálculos Comparativos'!$A:$AB,2,0),"")</f>
        <v>Lider</v>
      </c>
      <c r="C84" s="305" t="str">
        <f>iferror(VLOOKUP($A84,'Cálculos Comparativos'!$A:$AB,8,0)&amp;" "&amp;if(VLOOKUP($A84,'Cálculos Comparativos'!$A:$AB,9,0)="Indiferente","",VLOOKUP($A84,'Cálculos Comparativos'!$A:$AB,9,0)),"")</f>
        <v>1016 Líder Técnico</v>
      </c>
      <c r="D84" s="306" t="str">
        <f>VLOOKUP(A84,'Cálculos Comparativos'!$A:$AB,3,0)</f>
        <v>Líder Técnico</v>
      </c>
      <c r="E84" s="308">
        <f>IFS($B$5="Mediana",VLOOKUP(A84,'Cálculos Comparativos'!A:AB,15,0),$B$5="Menor Salário",VLOOKUP(A84,'Cálculos Comparativos'!A:AB,12,0),$B$5="1º Quartil",VLOOKUP(A84,'Cálculos Comparativos'!A:AB,13,0),$B$5="Média",VLOOKUP(A84,'Cálculos Comparativos'!A:AB,14,0),$B$5="3º Quartil",VLOOKUP(A84,'Cálculos Comparativos'!A:AB,16,0),$B$5="Maior Salário",VLOOKUP(A84,'Cálculos Comparativos'!A:AB,17,0))</f>
        <v>8919.44</v>
      </c>
      <c r="F84" s="309">
        <f>VLOOKUP(A84,'Cálculos Comparativos'!$A:$AB,18,0)</f>
        <v>12817.68</v>
      </c>
      <c r="G84" s="313">
        <f>IFS($B$5="Mediana",VLOOKUP(A84,'Cálculos Comparativos'!A:AB,23,0),$B$5="Menor Salário",VLOOKUP(A84,'Cálculos Comparativos'!A:AB,20,0),$B$5="1º Quartil",VLOOKUP(A84,'Cálculos Comparativos'!A:AB,21,0),$B$5="Média",VLOOKUP(A84,'Cálculos Comparativos'!A:AB,22,0),$B$5="3º Quartil",VLOOKUP(A84,'Cálculos Comparativos'!A:AB,24,0),$B$5="Maior Salário",VLOOKUP(A84,'Cálculos Comparativos'!A:AB,25,0))</f>
        <v>8904.46</v>
      </c>
      <c r="H84" s="314">
        <f>VLOOKUP(A84,'Cálculos Comparativos'!$A:$AB,26,0)</f>
        <v>12817.68</v>
      </c>
      <c r="I84" s="199"/>
      <c r="J84" s="199"/>
      <c r="K84" s="199"/>
      <c r="L84" s="199"/>
      <c r="M84" s="199"/>
      <c r="N84" s="199"/>
      <c r="O84" s="199"/>
      <c r="P84" s="199"/>
    </row>
    <row r="85" ht="12.75" customHeight="1">
      <c r="A85" s="312">
        <f t="array" ref="A85">INDEX('Cálculos Comparativos'!A:A, MATCH(LARGE('Cálculos Comparativos'!AA:AA, ROW(A2)), 'Cálculos Comparativos'!AA:AA, 0))</f>
        <v>3</v>
      </c>
      <c r="B85" s="305" t="str">
        <f>iferror(VLOOKUP($A85,'Cálculos Comparativos'!$A:$AB,2,0),"")</f>
        <v>Engenheiro de Software Full Stack Sr</v>
      </c>
      <c r="C85" s="305" t="str">
        <f>iferror(VLOOKUP($A85,'Cálculos Comparativos'!$A:$AB,8,0)&amp;" "&amp;if(VLOOKUP($A85,'Cálculos Comparativos'!$A:$AB,9,0)="Indiferente","",VLOOKUP($A85,'Cálculos Comparativos'!$A:$AB,9,0)),"")</f>
        <v>1 Desenvolvedor</v>
      </c>
      <c r="D85" s="306" t="str">
        <f>VLOOKUP(A85,'Cálculos Comparativos'!$A:$AB,3,0)</f>
        <v>Desenvolvedor Sr</v>
      </c>
      <c r="E85" s="308">
        <f>IFS($B$5="Mediana",VLOOKUP(A85,'Cálculos Comparativos'!A:AB,15,0),$B$5="Menor Salário",VLOOKUP(A85,'Cálculos Comparativos'!A:AB,12,0),$B$5="1º Quartil",VLOOKUP(A85,'Cálculos Comparativos'!A:AB,13,0),$B$5="Média",VLOOKUP(A85,'Cálculos Comparativos'!A:AB,14,0),$B$5="3º Quartil",VLOOKUP(A85,'Cálculos Comparativos'!A:AB,16,0),$B$5="Maior Salário",VLOOKUP(A85,'Cálculos Comparativos'!A:AB,17,0))</f>
        <v>8047.78</v>
      </c>
      <c r="F85" s="309">
        <f>VLOOKUP(A85,'Cálculos Comparativos'!$A:$AB,18,0)</f>
        <v>10095.14</v>
      </c>
      <c r="G85" s="313">
        <f>IFS($B$5="Mediana",VLOOKUP(A85,'Cálculos Comparativos'!A:AB,23,0),$B$5="Menor Salário",VLOOKUP(A85,'Cálculos Comparativos'!A:AB,20,0),$B$5="1º Quartil",VLOOKUP(A85,'Cálculos Comparativos'!A:AB,21,0),$B$5="Média",VLOOKUP(A85,'Cálculos Comparativos'!A:AB,22,0),$B$5="3º Quartil",VLOOKUP(A85,'Cálculos Comparativos'!A:AB,24,0),$B$5="Maior Salário",VLOOKUP(A85,'Cálculos Comparativos'!A:AB,25,0))</f>
        <v>7984.54</v>
      </c>
      <c r="H85" s="314">
        <f>VLOOKUP(A85,'Cálculos Comparativos'!$A:$AB,26,0)</f>
        <v>9921.51</v>
      </c>
      <c r="I85" s="199"/>
      <c r="J85" s="199"/>
      <c r="K85" s="199"/>
      <c r="L85" s="199"/>
      <c r="M85" s="199"/>
      <c r="N85" s="199"/>
      <c r="O85" s="199"/>
      <c r="P85" s="199"/>
    </row>
    <row r="86" ht="12.75" customHeight="1">
      <c r="A86" s="312">
        <f t="array" ref="A86">INDEX('Cálculos Comparativos'!A:A, MATCH(LARGE('Cálculos Comparativos'!AA:AA, ROW(A3)), 'Cálculos Comparativos'!AA:AA, 0))</f>
        <v>2</v>
      </c>
      <c r="B86" s="305" t="str">
        <f>iferror(VLOOKUP($A86,'Cálculos Comparativos'!$A:$AB,2,0),"")</f>
        <v>Engenheiro de Software Full Stack Pl</v>
      </c>
      <c r="C86" s="305" t="str">
        <f>iferror(VLOOKUP($A86,'Cálculos Comparativos'!$A:$AB,8,0)&amp;" "&amp;if(VLOOKUP($A86,'Cálculos Comparativos'!$A:$AB,9,0)="Indiferente","",VLOOKUP($A86,'Cálculos Comparativos'!$A:$AB,9,0)),"")</f>
        <v>1 Desenvolvedor</v>
      </c>
      <c r="D86" s="306" t="str">
        <f>VLOOKUP(A86,'Cálculos Comparativos'!$A:$AB,3,0)</f>
        <v>Desenvolvedor Pl</v>
      </c>
      <c r="E86" s="308">
        <f>IFS($B$5="Mediana",VLOOKUP(A86,'Cálculos Comparativos'!A:AB,15,0),$B$5="Menor Salário",VLOOKUP(A86,'Cálculos Comparativos'!A:AB,12,0),$B$5="1º Quartil",VLOOKUP(A86,'Cálculos Comparativos'!A:AB,13,0),$B$5="Média",VLOOKUP(A86,'Cálculos Comparativos'!A:AB,14,0),$B$5="3º Quartil",VLOOKUP(A86,'Cálculos Comparativos'!A:AB,16,0),$B$5="Maior Salário",VLOOKUP(A86,'Cálculos Comparativos'!A:AB,17,0))</f>
        <v>5379.82</v>
      </c>
      <c r="F86" s="309">
        <f>VLOOKUP(A86,'Cálculos Comparativos'!$A:$AB,18,0)</f>
        <v>7790.91</v>
      </c>
      <c r="G86" s="313">
        <f>IFS($B$5="Mediana",VLOOKUP(A86,'Cálculos Comparativos'!A:AB,23,0),$B$5="Menor Salário",VLOOKUP(A86,'Cálculos Comparativos'!A:AB,20,0),$B$5="1º Quartil",VLOOKUP(A86,'Cálculos Comparativos'!A:AB,21,0),$B$5="Média",VLOOKUP(A86,'Cálculos Comparativos'!A:AB,22,0),$B$5="3º Quartil",VLOOKUP(A86,'Cálculos Comparativos'!A:AB,24,0),$B$5="Maior Salário",VLOOKUP(A86,'Cálculos Comparativos'!A:AB,25,0))</f>
        <v>5399.83</v>
      </c>
      <c r="H86" s="314">
        <f>VLOOKUP(A86,'Cálculos Comparativos'!$A:$AB,26,0)</f>
        <v>7135.86</v>
      </c>
      <c r="I86" s="199"/>
      <c r="J86" s="199"/>
      <c r="K86" s="199"/>
      <c r="L86" s="199"/>
      <c r="M86" s="199"/>
      <c r="N86" s="199"/>
      <c r="O86" s="199"/>
      <c r="P86" s="199"/>
    </row>
    <row r="87" ht="12.75" customHeight="1">
      <c r="A87" s="312">
        <f t="array" ref="A87">INDEX('Cálculos Comparativos'!A:A, MATCH(LARGE('Cálculos Comparativos'!AA:AA, ROW(A4)), 'Cálculos Comparativos'!AA:AA, 0))</f>
        <v>1</v>
      </c>
      <c r="B87" s="305" t="str">
        <f>iferror(VLOOKUP($A87,'Cálculos Comparativos'!$A:$AB,2,0),"")</f>
        <v>Engenheiro de Software Full Stack Jr</v>
      </c>
      <c r="C87" s="305" t="str">
        <f>iferror(VLOOKUP($A87,'Cálculos Comparativos'!$A:$AB,8,0)&amp;" "&amp;if(VLOOKUP($A87,'Cálculos Comparativos'!$A:$AB,9,0)="Indiferente","",VLOOKUP($A87,'Cálculos Comparativos'!$A:$AB,9,0)),"")</f>
        <v>1 Desenvolvedor</v>
      </c>
      <c r="D87" s="306" t="str">
        <f>VLOOKUP(A87,'Cálculos Comparativos'!$A:$AB,3,0)</f>
        <v>Desenvolvedor Jr</v>
      </c>
      <c r="E87" s="308">
        <f>IFS($B$5="Mediana",VLOOKUP(A87,'Cálculos Comparativos'!A:AB,15,0),$B$5="Menor Salário",VLOOKUP(A87,'Cálculos Comparativos'!A:AB,12,0),$B$5="1º Quartil",VLOOKUP(A87,'Cálculos Comparativos'!A:AB,13,0),$B$5="Média",VLOOKUP(A87,'Cálculos Comparativos'!A:AB,14,0),$B$5="3º Quartil",VLOOKUP(A87,'Cálculos Comparativos'!A:AB,16,0),$B$5="Maior Salário",VLOOKUP(A87,'Cálculos Comparativos'!A:AB,17,0))</f>
        <v>3370.79</v>
      </c>
      <c r="F87" s="309">
        <f>VLOOKUP(A87,'Cálculos Comparativos'!$A:$AB,18,0)</f>
        <v>5268.74</v>
      </c>
      <c r="G87" s="313">
        <f>IFS($B$5="Mediana",VLOOKUP(A87,'Cálculos Comparativos'!A:AB,23,0),$B$5="Menor Salário",VLOOKUP(A87,'Cálculos Comparativos'!A:AB,20,0),$B$5="1º Quartil",VLOOKUP(A87,'Cálculos Comparativos'!A:AB,21,0),$B$5="Média",VLOOKUP(A87,'Cálculos Comparativos'!A:AB,22,0),$B$5="3º Quartil",VLOOKUP(A87,'Cálculos Comparativos'!A:AB,24,0),$B$5="Maior Salário",VLOOKUP(A87,'Cálculos Comparativos'!A:AB,25,0))</f>
        <v>3642.17</v>
      </c>
      <c r="H87" s="314">
        <f>VLOOKUP(A87,'Cálculos Comparativos'!$A:$AB,26,0)</f>
        <v>5456.83</v>
      </c>
      <c r="I87" s="199"/>
      <c r="J87" s="199"/>
      <c r="K87" s="199"/>
      <c r="L87" s="199"/>
      <c r="M87" s="199"/>
      <c r="N87" s="199"/>
      <c r="O87" s="199"/>
      <c r="P87" s="199"/>
    </row>
    <row r="88" ht="12.75" customHeight="1">
      <c r="A88" s="203"/>
      <c r="B88" s="288"/>
      <c r="C88" s="289"/>
      <c r="D88" s="289"/>
      <c r="E88" s="270"/>
      <c r="F88" s="270"/>
      <c r="G88" s="271"/>
      <c r="H88" s="271"/>
      <c r="I88" s="199"/>
      <c r="J88" s="199"/>
      <c r="K88" s="199"/>
      <c r="L88" s="199"/>
      <c r="M88" s="199"/>
      <c r="N88" s="199"/>
      <c r="O88" s="199"/>
      <c r="P88" s="199"/>
      <c r="Q88" s="199"/>
      <c r="R88" s="199"/>
    </row>
    <row r="89" ht="12.75" customHeight="1">
      <c r="A89" s="203"/>
      <c r="B89" s="288"/>
      <c r="C89" s="289"/>
      <c r="D89" s="289"/>
      <c r="E89" s="270"/>
      <c r="F89" s="270"/>
      <c r="G89" s="271"/>
      <c r="H89" s="271"/>
      <c r="I89" s="199"/>
      <c r="J89" s="199"/>
      <c r="K89" s="199"/>
      <c r="L89" s="199"/>
      <c r="M89" s="199"/>
      <c r="N89" s="199"/>
      <c r="O89" s="199"/>
      <c r="P89" s="199"/>
      <c r="Q89" s="199"/>
      <c r="R89" s="199"/>
    </row>
    <row r="90" ht="12.75" customHeight="1">
      <c r="A90" s="203"/>
      <c r="B90" s="315" t="str">
        <f>"5 Menores Salários abaixo "&amp;IF(B5="Mediana","da ",IF(B5="Média","da ","do "))&amp;B5</f>
        <v>5 Menores Salários abaixo da Mediana</v>
      </c>
      <c r="C90" s="295"/>
      <c r="D90" s="295"/>
      <c r="E90" s="295"/>
      <c r="F90" s="295"/>
      <c r="G90" s="295"/>
      <c r="H90" s="295"/>
      <c r="I90" s="295"/>
      <c r="J90" s="296"/>
      <c r="K90" s="199"/>
      <c r="L90" s="199"/>
      <c r="M90" s="199"/>
      <c r="N90" s="199"/>
      <c r="O90" s="199"/>
      <c r="P90" s="199"/>
      <c r="Q90" s="199"/>
      <c r="R90" s="199"/>
    </row>
    <row r="91" ht="12.75" customHeight="1">
      <c r="A91" s="203"/>
      <c r="B91" s="288"/>
      <c r="C91" s="289"/>
      <c r="D91" s="289"/>
      <c r="E91" s="270"/>
      <c r="F91" s="270"/>
      <c r="G91" s="271"/>
      <c r="H91" s="271"/>
      <c r="I91" s="199"/>
      <c r="J91" s="199"/>
      <c r="K91" s="199"/>
      <c r="L91" s="199"/>
      <c r="M91" s="199"/>
      <c r="N91" s="199"/>
      <c r="O91" s="199"/>
      <c r="P91" s="199"/>
      <c r="Q91" s="199"/>
      <c r="R91" s="199"/>
    </row>
    <row r="92" ht="12.75" customHeight="1">
      <c r="A92" s="203"/>
      <c r="B92" s="297" t="s">
        <v>147</v>
      </c>
      <c r="C92" s="199"/>
      <c r="D92" s="199"/>
      <c r="E92" s="298" t="s">
        <v>134</v>
      </c>
      <c r="G92" s="299" t="s">
        <v>135</v>
      </c>
      <c r="I92" s="199"/>
      <c r="J92" s="199"/>
      <c r="K92" s="199"/>
      <c r="L92" s="199"/>
      <c r="M92" s="199"/>
      <c r="N92" s="199"/>
      <c r="O92" s="199"/>
      <c r="P92" s="199"/>
    </row>
    <row r="93" ht="12.75" customHeight="1">
      <c r="A93" s="203"/>
      <c r="B93" s="300" t="s">
        <v>38</v>
      </c>
      <c r="C93" s="300" t="s">
        <v>40</v>
      </c>
      <c r="D93" s="301" t="s">
        <v>148</v>
      </c>
      <c r="E93" s="302" t="str">
        <f>$B$5</f>
        <v>Mediana</v>
      </c>
      <c r="F93" s="302" t="s">
        <v>138</v>
      </c>
      <c r="G93" s="303" t="str">
        <f>$B$5</f>
        <v>Mediana</v>
      </c>
      <c r="H93" s="303" t="s">
        <v>138</v>
      </c>
      <c r="I93" s="199"/>
      <c r="J93" s="199"/>
      <c r="K93" s="199"/>
      <c r="L93" s="199"/>
      <c r="M93" s="199"/>
      <c r="N93" s="199"/>
      <c r="O93" s="199"/>
      <c r="P93" s="199"/>
    </row>
    <row r="94" ht="12.75" customHeight="1">
      <c r="A94" s="304">
        <f t="array" ref="A94">INDEX('Cálculos Comparativos'!A:A, MATCH(SMALL('Cálculos Comparativos'!S:S, ROW(A1)), 'Cálculos Comparativos'!S:S, 0))</f>
        <v>1</v>
      </c>
      <c r="B94" s="305" t="str">
        <f>iferror(VLOOKUP($A94,'Cálculos Comparativos'!$A:$AB,2,0),"")</f>
        <v>Engenheiro de Software Full Stack Jr</v>
      </c>
      <c r="C94" s="305" t="str">
        <f>iferror(VLOOKUP($A94,'Cálculos Comparativos'!$A:$AB,8,0)&amp;" "&amp;if(VLOOKUP($A94,'Cálculos Comparativos'!$A:$AB,9,0)="Indiferente","",VLOOKUP($A94,'Cálculos Comparativos'!$A:$AB,9,0)),"")</f>
        <v>1 Desenvolvedor</v>
      </c>
      <c r="D94" s="306" t="str">
        <f>VLOOKUP(A94,'Cálculos Comparativos'!$A:$AB,3,0)</f>
        <v>Desenvolvedor Jr</v>
      </c>
      <c r="E94" s="307">
        <f>IFS($B$5="Mediana",VLOOKUP(A94,'Cálculos Comparativos'!A:AB,15,0),$B$5="Menor Salário",VLOOKUP(A94,'Cálculos Comparativos'!A:AB,12,0),$B$5="1º Quartil",VLOOKUP(A94,'Cálculos Comparativos'!A:AB,13,0),$B$5="Média",VLOOKUP(A94,'Cálculos Comparativos'!A:AB,14,0),$B$5="3º Quartil",VLOOKUP(A94,'Cálculos Comparativos'!A:AB,16,0),$B$5="Maior Salário",VLOOKUP(A94,'Cálculos Comparativos'!A:AB,17,0))</f>
        <v>3370.79</v>
      </c>
      <c r="F94" s="243">
        <f>VLOOKUP(A94,'Cálculos Comparativos'!$A:$AB,18,0)</f>
        <v>5268.74</v>
      </c>
      <c r="G94" s="308">
        <f>IFS($B$5="Mediana",VLOOKUP(A94,'Cálculos Comparativos'!A:AB,23,0),$B$5="Menor Salário",VLOOKUP(A94,'Cálculos Comparativos'!A:AB,20,0),$B$5="1º Quartil",VLOOKUP(A94,'Cálculos Comparativos'!A:AB,21,0),$B$5="Média",VLOOKUP(A94,'Cálculos Comparativos'!A:AB,22,0),$B$5="3º Quartil",VLOOKUP(A94,'Cálculos Comparativos'!A:AB,24,0),$B$5="Maior Salário",VLOOKUP(A94,'Cálculos Comparativos'!A:AB,25,0))</f>
        <v>3642.17</v>
      </c>
      <c r="H94" s="309">
        <f>VLOOKUP(A94,'Cálculos Comparativos'!$A:$AB,26,0)</f>
        <v>5456.83</v>
      </c>
      <c r="I94" s="199"/>
      <c r="J94" s="199"/>
      <c r="K94" s="199"/>
      <c r="L94" s="199"/>
      <c r="M94" s="199"/>
      <c r="N94" s="199"/>
      <c r="O94" s="199"/>
      <c r="P94" s="199"/>
    </row>
    <row r="95" ht="12.75" customHeight="1">
      <c r="A95" s="304">
        <f t="array" ref="A95">INDEX('Cálculos Comparativos'!A:A, MATCH(SMALL('Cálculos Comparativos'!S:S, ROW(A2)), 'Cálculos Comparativos'!S:S, 0))</f>
        <v>4</v>
      </c>
      <c r="B95" s="305" t="str">
        <f>iferror(VLOOKUP($A95,'Cálculos Comparativos'!$A:$AB,2,0),"")</f>
        <v>Analista de Requisitos</v>
      </c>
      <c r="C95" s="305" t="str">
        <f>iferror(VLOOKUP($A95,'Cálculos Comparativos'!$A:$AB,8,0)&amp;" "&amp;if(VLOOKUP($A95,'Cálculos Comparativos'!$A:$AB,9,0)="Indiferente","",VLOOKUP($A95,'Cálculos Comparativos'!$A:$AB,9,0)),"")</f>
        <v>796 Analista de Requisitos</v>
      </c>
      <c r="D95" s="306" t="str">
        <f>VLOOKUP(A95,'Cálculos Comparativos'!$A:$AB,3,0)</f>
        <v>Analista Requisitos Jr</v>
      </c>
      <c r="E95" s="307">
        <f>IFS($B$5="Mediana",VLOOKUP(A95,'Cálculos Comparativos'!A:AB,15,0),$B$5="Menor Salário",VLOOKUP(A95,'Cálculos Comparativos'!A:AB,12,0),$B$5="1º Quartil",VLOOKUP(A95,'Cálculos Comparativos'!A:AB,13,0),$B$5="Média",VLOOKUP(A95,'Cálculos Comparativos'!A:AB,14,0),$B$5="3º Quartil",VLOOKUP(A95,'Cálculos Comparativos'!A:AB,16,0),$B$5="Maior Salário",VLOOKUP(A95,'Cálculos Comparativos'!A:AB,17,0))</f>
        <v>4174.12</v>
      </c>
      <c r="F95" s="243">
        <f>VLOOKUP(A95,'Cálculos Comparativos'!$A:$AB,18,0)</f>
        <v>5977.75</v>
      </c>
      <c r="G95" s="308">
        <f>IFS($B$5="Mediana",VLOOKUP(A95,'Cálculos Comparativos'!A:AB,23,0),$B$5="Menor Salário",VLOOKUP(A95,'Cálculos Comparativos'!A:AB,20,0),$B$5="1º Quartil",VLOOKUP(A95,'Cálculos Comparativos'!A:AB,21,0),$B$5="Média",VLOOKUP(A95,'Cálculos Comparativos'!A:AB,22,0),$B$5="3º Quartil",VLOOKUP(A95,'Cálculos Comparativos'!A:AB,24,0),$B$5="Maior Salário",VLOOKUP(A95,'Cálculos Comparativos'!A:AB,25,0))</f>
        <v>0</v>
      </c>
      <c r="H95" s="309">
        <f>VLOOKUP(A95,'Cálculos Comparativos'!$A:$AB,26,0)</f>
        <v>0</v>
      </c>
      <c r="I95" s="199"/>
      <c r="J95" s="199"/>
      <c r="K95" s="199"/>
      <c r="L95" s="199"/>
      <c r="M95" s="199"/>
      <c r="N95" s="199"/>
      <c r="O95" s="199"/>
      <c r="P95" s="199"/>
    </row>
    <row r="96" ht="12.75" customHeight="1">
      <c r="A96" s="304">
        <f t="array" ref="A96">INDEX('Cálculos Comparativos'!A:A, MATCH(SMALL('Cálculos Comparativos'!S:S, ROW(A3)), 'Cálculos Comparativos'!S:S, 0))</f>
        <v>2</v>
      </c>
      <c r="B96" s="305" t="str">
        <f>iferror(VLOOKUP($A96,'Cálculos Comparativos'!$A:$AB,2,0),"")</f>
        <v>Engenheiro de Software Full Stack Pl</v>
      </c>
      <c r="C96" s="305" t="str">
        <f>iferror(VLOOKUP($A96,'Cálculos Comparativos'!$A:$AB,8,0)&amp;" "&amp;if(VLOOKUP($A96,'Cálculos Comparativos'!$A:$AB,9,0)="Indiferente","",VLOOKUP($A96,'Cálculos Comparativos'!$A:$AB,9,0)),"")</f>
        <v>1 Desenvolvedor</v>
      </c>
      <c r="D96" s="306" t="str">
        <f>VLOOKUP(A96,'Cálculos Comparativos'!$A:$AB,3,0)</f>
        <v>Desenvolvedor Pl</v>
      </c>
      <c r="E96" s="307">
        <f>IFS($B$5="Mediana",VLOOKUP(A96,'Cálculos Comparativos'!A:AB,15,0),$B$5="Menor Salário",VLOOKUP(A96,'Cálculos Comparativos'!A:AB,12,0),$B$5="1º Quartil",VLOOKUP(A96,'Cálculos Comparativos'!A:AB,13,0),$B$5="Média",VLOOKUP(A96,'Cálculos Comparativos'!A:AB,14,0),$B$5="3º Quartil",VLOOKUP(A96,'Cálculos Comparativos'!A:AB,16,0),$B$5="Maior Salário",VLOOKUP(A96,'Cálculos Comparativos'!A:AB,17,0))</f>
        <v>5379.82</v>
      </c>
      <c r="F96" s="243">
        <f>VLOOKUP(A96,'Cálculos Comparativos'!$A:$AB,18,0)</f>
        <v>7790.91</v>
      </c>
      <c r="G96" s="308">
        <f>IFS($B$5="Mediana",VLOOKUP(A96,'Cálculos Comparativos'!A:AB,23,0),$B$5="Menor Salário",VLOOKUP(A96,'Cálculos Comparativos'!A:AB,20,0),$B$5="1º Quartil",VLOOKUP(A96,'Cálculos Comparativos'!A:AB,21,0),$B$5="Média",VLOOKUP(A96,'Cálculos Comparativos'!A:AB,22,0),$B$5="3º Quartil",VLOOKUP(A96,'Cálculos Comparativos'!A:AB,24,0),$B$5="Maior Salário",VLOOKUP(A96,'Cálculos Comparativos'!A:AB,25,0))</f>
        <v>5399.83</v>
      </c>
      <c r="H96" s="309">
        <f>VLOOKUP(A96,'Cálculos Comparativos'!$A:$AB,26,0)</f>
        <v>7135.86</v>
      </c>
      <c r="I96" s="199"/>
      <c r="J96" s="199"/>
      <c r="K96" s="199"/>
      <c r="L96" s="199"/>
      <c r="M96" s="199"/>
      <c r="N96" s="199"/>
      <c r="O96" s="199"/>
      <c r="P96" s="199"/>
    </row>
    <row r="97" ht="12.75" customHeight="1">
      <c r="A97" s="304">
        <f t="array" ref="A97">INDEX('Cálculos Comparativos'!A:A, MATCH(SMALL('Cálculos Comparativos'!S:S, ROW(A4)), 'Cálculos Comparativos'!S:S, 0))</f>
        <v>3</v>
      </c>
      <c r="B97" s="305" t="str">
        <f>iferror(VLOOKUP($A97,'Cálculos Comparativos'!$A:$AB,2,0),"")</f>
        <v>Engenheiro de Software Full Stack Sr</v>
      </c>
      <c r="C97" s="305" t="str">
        <f>iferror(VLOOKUP($A97,'Cálculos Comparativos'!$A:$AB,8,0)&amp;" "&amp;if(VLOOKUP($A97,'Cálculos Comparativos'!$A:$AB,9,0)="Indiferente","",VLOOKUP($A97,'Cálculos Comparativos'!$A:$AB,9,0)),"")</f>
        <v>1 Desenvolvedor</v>
      </c>
      <c r="D97" s="306" t="str">
        <f>VLOOKUP(A97,'Cálculos Comparativos'!$A:$AB,3,0)</f>
        <v>Desenvolvedor Sr</v>
      </c>
      <c r="E97" s="307">
        <f>IFS($B$5="Mediana",VLOOKUP(A97,'Cálculos Comparativos'!A:AB,15,0),$B$5="Menor Salário",VLOOKUP(A97,'Cálculos Comparativos'!A:AB,12,0),$B$5="1º Quartil",VLOOKUP(A97,'Cálculos Comparativos'!A:AB,13,0),$B$5="Média",VLOOKUP(A97,'Cálculos Comparativos'!A:AB,14,0),$B$5="3º Quartil",VLOOKUP(A97,'Cálculos Comparativos'!A:AB,16,0),$B$5="Maior Salário",VLOOKUP(A97,'Cálculos Comparativos'!A:AB,17,0))</f>
        <v>8047.78</v>
      </c>
      <c r="F97" s="243">
        <f>VLOOKUP(A97,'Cálculos Comparativos'!$A:$AB,18,0)</f>
        <v>10095.14</v>
      </c>
      <c r="G97" s="308">
        <f>IFS($B$5="Mediana",VLOOKUP(A97,'Cálculos Comparativos'!A:AB,23,0),$B$5="Menor Salário",VLOOKUP(A97,'Cálculos Comparativos'!A:AB,20,0),$B$5="1º Quartil",VLOOKUP(A97,'Cálculos Comparativos'!A:AB,21,0),$B$5="Média",VLOOKUP(A97,'Cálculos Comparativos'!A:AB,22,0),$B$5="3º Quartil",VLOOKUP(A97,'Cálculos Comparativos'!A:AB,24,0),$B$5="Maior Salário",VLOOKUP(A97,'Cálculos Comparativos'!A:AB,25,0))</f>
        <v>7984.54</v>
      </c>
      <c r="H97" s="309">
        <f>VLOOKUP(A97,'Cálculos Comparativos'!$A:$AB,26,0)</f>
        <v>9921.51</v>
      </c>
      <c r="I97" s="199"/>
      <c r="J97" s="199"/>
      <c r="K97" s="199"/>
      <c r="L97" s="199"/>
      <c r="M97" s="199"/>
      <c r="N97" s="199"/>
      <c r="O97" s="199"/>
      <c r="P97" s="199"/>
    </row>
    <row r="98" ht="12.75" customHeight="1">
      <c r="A98" s="304">
        <f t="array" ref="A98">INDEX('Cálculos Comparativos'!A:A, MATCH(SMALL('Cálculos Comparativos'!S:S, ROW(A5)), 'Cálculos Comparativos'!S:S, 0))</f>
        <v>5</v>
      </c>
      <c r="B98" s="305" t="str">
        <f>iferror(VLOOKUP($A98,'Cálculos Comparativos'!$A:$AB,2,0),"")</f>
        <v>Lider</v>
      </c>
      <c r="C98" s="305" t="str">
        <f>iferror(VLOOKUP($A98,'Cálculos Comparativos'!$A:$AB,8,0)&amp;" "&amp;if(VLOOKUP($A98,'Cálculos Comparativos'!$A:$AB,9,0)="Indiferente","",VLOOKUP($A98,'Cálculos Comparativos'!$A:$AB,9,0)),"")</f>
        <v>1016 Líder Técnico</v>
      </c>
      <c r="D98" s="306" t="str">
        <f>VLOOKUP(A98,'Cálculos Comparativos'!$A:$AB,3,0)</f>
        <v>Líder Técnico</v>
      </c>
      <c r="E98" s="307">
        <f>IFS($B$5="Mediana",VLOOKUP(A98,'Cálculos Comparativos'!A:AB,15,0),$B$5="Menor Salário",VLOOKUP(A98,'Cálculos Comparativos'!A:AB,12,0),$B$5="1º Quartil",VLOOKUP(A98,'Cálculos Comparativos'!A:AB,13,0),$B$5="Média",VLOOKUP(A98,'Cálculos Comparativos'!A:AB,14,0),$B$5="3º Quartil",VLOOKUP(A98,'Cálculos Comparativos'!A:AB,16,0),$B$5="Maior Salário",VLOOKUP(A98,'Cálculos Comparativos'!A:AB,17,0))</f>
        <v>8919.44</v>
      </c>
      <c r="F98" s="243">
        <f>VLOOKUP(A98,'Cálculos Comparativos'!$A:$AB,18,0)</f>
        <v>12817.68</v>
      </c>
      <c r="G98" s="308">
        <f>IFS($B$5="Mediana",VLOOKUP(A98,'Cálculos Comparativos'!A:AB,23,0),$B$5="Menor Salário",VLOOKUP(A98,'Cálculos Comparativos'!A:AB,20,0),$B$5="1º Quartil",VLOOKUP(A98,'Cálculos Comparativos'!A:AB,21,0),$B$5="Média",VLOOKUP(A98,'Cálculos Comparativos'!A:AB,22,0),$B$5="3º Quartil",VLOOKUP(A98,'Cálculos Comparativos'!A:AB,24,0),$B$5="Maior Salário",VLOOKUP(A98,'Cálculos Comparativos'!A:AB,25,0))</f>
        <v>8904.46</v>
      </c>
      <c r="H98" s="309">
        <f>VLOOKUP(A98,'Cálculos Comparativos'!$A:$AB,26,0)</f>
        <v>12817.68</v>
      </c>
      <c r="I98" s="199"/>
      <c r="J98" s="199"/>
      <c r="K98" s="199"/>
      <c r="L98" s="199"/>
      <c r="M98" s="199"/>
      <c r="N98" s="199"/>
      <c r="O98" s="199"/>
      <c r="P98" s="199"/>
    </row>
    <row r="99" ht="12.75" customHeight="1">
      <c r="A99" s="203"/>
      <c r="B99" s="288"/>
      <c r="C99" s="289"/>
      <c r="D99" s="289"/>
      <c r="E99" s="270"/>
      <c r="F99" s="270"/>
      <c r="G99" s="271"/>
      <c r="H99" s="271"/>
      <c r="I99" s="199"/>
      <c r="J99" s="199"/>
      <c r="K99" s="199"/>
      <c r="L99" s="199"/>
      <c r="M99" s="199"/>
      <c r="N99" s="199"/>
      <c r="O99" s="199"/>
      <c r="P99" s="199"/>
      <c r="Q99" s="199"/>
      <c r="R99" s="199"/>
    </row>
    <row r="100" ht="12.75" customHeight="1">
      <c r="A100" s="203"/>
      <c r="B100" s="297" t="s">
        <v>149</v>
      </c>
      <c r="C100" s="199"/>
      <c r="D100" s="199"/>
      <c r="E100" s="299" t="s">
        <v>134</v>
      </c>
      <c r="G100" s="310" t="s">
        <v>135</v>
      </c>
      <c r="I100" s="199"/>
      <c r="J100" s="199"/>
      <c r="K100" s="199"/>
      <c r="L100" s="199"/>
      <c r="M100" s="199"/>
      <c r="N100" s="199"/>
      <c r="O100" s="199"/>
      <c r="P100" s="199"/>
    </row>
    <row r="101" ht="12.75" customHeight="1">
      <c r="A101" s="203"/>
      <c r="B101" s="300" t="s">
        <v>38</v>
      </c>
      <c r="C101" s="300" t="s">
        <v>40</v>
      </c>
      <c r="D101" s="301" t="s">
        <v>148</v>
      </c>
      <c r="E101" s="303" t="str">
        <f>$B$5</f>
        <v>Mediana</v>
      </c>
      <c r="F101" s="303" t="s">
        <v>138</v>
      </c>
      <c r="G101" s="311" t="str">
        <f>$B$5</f>
        <v>Mediana</v>
      </c>
      <c r="H101" s="311" t="s">
        <v>138</v>
      </c>
      <c r="I101" s="199"/>
      <c r="J101" s="199"/>
      <c r="K101" s="199"/>
      <c r="L101" s="199"/>
      <c r="M101" s="199"/>
      <c r="N101" s="199"/>
      <c r="O101" s="199"/>
      <c r="P101" s="199"/>
    </row>
    <row r="102" ht="12.75" customHeight="1">
      <c r="A102" s="312">
        <f t="array" ref="A102">INDEX('Cálculos Comparativos'!A:A, MATCH(SMALL('Cálculos Comparativos'!AA:AA, ROW(A1)), 'Cálculos Comparativos'!AA:AA, 0))</f>
        <v>1</v>
      </c>
      <c r="B102" s="305" t="str">
        <f>iferror(VLOOKUP($A102,'Cálculos Comparativos'!$A:$AB,2,0),"")</f>
        <v>Engenheiro de Software Full Stack Jr</v>
      </c>
      <c r="C102" s="305" t="str">
        <f>iferror(VLOOKUP($A102,'Cálculos Comparativos'!$A:$AB,8,0)&amp;" "&amp;if(VLOOKUP($A102,'Cálculos Comparativos'!$A:$AB,9,0)="Indiferente","",VLOOKUP($A102,'Cálculos Comparativos'!$A:$AB,9,0)),"")</f>
        <v>1 Desenvolvedor</v>
      </c>
      <c r="D102" s="306" t="str">
        <f>VLOOKUP(A102,'Cálculos Comparativos'!$A:$AB,3,0)</f>
        <v>Desenvolvedor Jr</v>
      </c>
      <c r="E102" s="308">
        <f>IFS($B$5="Mediana",VLOOKUP(A102,'Cálculos Comparativos'!A:AB,15,0),$B$5="Menor Salário",VLOOKUP(A102,'Cálculos Comparativos'!A:AB,12,0),$B$5="1º Quartil",VLOOKUP(A102,'Cálculos Comparativos'!A:AB,13,0),$B$5="Média",VLOOKUP(A102,'Cálculos Comparativos'!A:AB,14,0),$B$5="3º Quartil",VLOOKUP(A102,'Cálculos Comparativos'!A:AB,16,0),$B$5="Maior Salário",VLOOKUP(A102,'Cálculos Comparativos'!A:AB,17,0))</f>
        <v>3370.79</v>
      </c>
      <c r="F102" s="309">
        <f>VLOOKUP(A102,'Cálculos Comparativos'!$A:$AB,18,0)</f>
        <v>5268.74</v>
      </c>
      <c r="G102" s="313">
        <f>IFS($B$5="Mediana",VLOOKUP(A102,'Cálculos Comparativos'!A:AB,23,0),$B$5="Menor Salário",VLOOKUP(A102,'Cálculos Comparativos'!A:AB,20,0),$B$5="1º Quartil",VLOOKUP(A102,'Cálculos Comparativos'!A:AB,21,0),$B$5="Média",VLOOKUP(A102,'Cálculos Comparativos'!A:AB,22,0),$B$5="3º Quartil",VLOOKUP(A102,'Cálculos Comparativos'!A:AB,24,0),$B$5="Maior Salário",VLOOKUP(A102,'Cálculos Comparativos'!A:AB,25,0))</f>
        <v>3642.17</v>
      </c>
      <c r="H102" s="314">
        <f>VLOOKUP(A102,'Cálculos Comparativos'!$A:$AB,26,0)</f>
        <v>5456.83</v>
      </c>
      <c r="I102" s="199"/>
      <c r="J102" s="199"/>
      <c r="K102" s="199"/>
      <c r="L102" s="199"/>
      <c r="M102" s="199"/>
      <c r="N102" s="199"/>
      <c r="O102" s="199"/>
      <c r="P102" s="199"/>
    </row>
    <row r="103" ht="12.75" customHeight="1">
      <c r="A103" s="312">
        <f t="array" ref="A103">INDEX('Cálculos Comparativos'!A:A, MATCH(SMALL('Cálculos Comparativos'!AA:AA, ROW(A2)), 'Cálculos Comparativos'!AA:AA, 0))</f>
        <v>2</v>
      </c>
      <c r="B103" s="305" t="str">
        <f>iferror(VLOOKUP($A103,'Cálculos Comparativos'!$A:$AB,2,0),"")</f>
        <v>Engenheiro de Software Full Stack Pl</v>
      </c>
      <c r="C103" s="305" t="str">
        <f>iferror(VLOOKUP($A103,'Cálculos Comparativos'!$A:$AB,8,0)&amp;" "&amp;if(VLOOKUP($A103,'Cálculos Comparativos'!$A:$AB,9,0)="Indiferente","",VLOOKUP($A103,'Cálculos Comparativos'!$A:$AB,9,0)),"")</f>
        <v>1 Desenvolvedor</v>
      </c>
      <c r="D103" s="306" t="str">
        <f>VLOOKUP(A103,'Cálculos Comparativos'!$A:$AB,3,0)</f>
        <v>Desenvolvedor Pl</v>
      </c>
      <c r="E103" s="308">
        <f>IFS($B$5="Mediana",VLOOKUP(A103,'Cálculos Comparativos'!A:AB,15,0),$B$5="Menor Salário",VLOOKUP(A103,'Cálculos Comparativos'!A:AB,12,0),$B$5="1º Quartil",VLOOKUP(A103,'Cálculos Comparativos'!A:AB,13,0),$B$5="Média",VLOOKUP(A103,'Cálculos Comparativos'!A:AB,14,0),$B$5="3º Quartil",VLOOKUP(A103,'Cálculos Comparativos'!A:AB,16,0),$B$5="Maior Salário",VLOOKUP(A103,'Cálculos Comparativos'!A:AB,17,0))</f>
        <v>5379.82</v>
      </c>
      <c r="F103" s="309">
        <f>VLOOKUP(A103,'Cálculos Comparativos'!$A:$AB,18,0)</f>
        <v>7790.91</v>
      </c>
      <c r="G103" s="313">
        <f>IFS($B$5="Mediana",VLOOKUP(A103,'Cálculos Comparativos'!A:AB,23,0),$B$5="Menor Salário",VLOOKUP(A103,'Cálculos Comparativos'!A:AB,20,0),$B$5="1º Quartil",VLOOKUP(A103,'Cálculos Comparativos'!A:AB,21,0),$B$5="Média",VLOOKUP(A103,'Cálculos Comparativos'!A:AB,22,0),$B$5="3º Quartil",VLOOKUP(A103,'Cálculos Comparativos'!A:AB,24,0),$B$5="Maior Salário",VLOOKUP(A103,'Cálculos Comparativos'!A:AB,25,0))</f>
        <v>5399.83</v>
      </c>
      <c r="H103" s="314">
        <f>VLOOKUP(A103,'Cálculos Comparativos'!$A:$AB,26,0)</f>
        <v>7135.86</v>
      </c>
      <c r="I103" s="199"/>
      <c r="J103" s="199"/>
      <c r="K103" s="199"/>
      <c r="L103" s="199"/>
      <c r="M103" s="199"/>
      <c r="N103" s="199"/>
      <c r="O103" s="199"/>
      <c r="P103" s="199"/>
    </row>
    <row r="104" ht="12.75" customHeight="1">
      <c r="A104" s="312">
        <f t="array" ref="A104">INDEX('Cálculos Comparativos'!A:A, MATCH(SMALL('Cálculos Comparativos'!AA:AA, ROW(A3)), 'Cálculos Comparativos'!AA:AA, 0))</f>
        <v>3</v>
      </c>
      <c r="B104" s="305" t="str">
        <f>iferror(VLOOKUP($A104,'Cálculos Comparativos'!$A:$AB,2,0),"")</f>
        <v>Engenheiro de Software Full Stack Sr</v>
      </c>
      <c r="C104" s="305" t="str">
        <f>iferror(VLOOKUP($A104,'Cálculos Comparativos'!$A:$AB,8,0)&amp;" "&amp;if(VLOOKUP($A104,'Cálculos Comparativos'!$A:$AB,9,0)="Indiferente","",VLOOKUP($A104,'Cálculos Comparativos'!$A:$AB,9,0)),"")</f>
        <v>1 Desenvolvedor</v>
      </c>
      <c r="D104" s="306" t="str">
        <f>VLOOKUP(A104,'Cálculos Comparativos'!$A:$AB,3,0)</f>
        <v>Desenvolvedor Sr</v>
      </c>
      <c r="E104" s="308">
        <f>IFS($B$5="Mediana",VLOOKUP(A104,'Cálculos Comparativos'!A:AB,15,0),$B$5="Menor Salário",VLOOKUP(A104,'Cálculos Comparativos'!A:AB,12,0),$B$5="1º Quartil",VLOOKUP(A104,'Cálculos Comparativos'!A:AB,13,0),$B$5="Média",VLOOKUP(A104,'Cálculos Comparativos'!A:AB,14,0),$B$5="3º Quartil",VLOOKUP(A104,'Cálculos Comparativos'!A:AB,16,0),$B$5="Maior Salário",VLOOKUP(A104,'Cálculos Comparativos'!A:AB,17,0))</f>
        <v>8047.78</v>
      </c>
      <c r="F104" s="309">
        <f>VLOOKUP(A104,'Cálculos Comparativos'!$A:$AB,18,0)</f>
        <v>10095.14</v>
      </c>
      <c r="G104" s="313">
        <f>IFS($B$5="Mediana",VLOOKUP(A104,'Cálculos Comparativos'!A:AB,23,0),$B$5="Menor Salário",VLOOKUP(A104,'Cálculos Comparativos'!A:AB,20,0),$B$5="1º Quartil",VLOOKUP(A104,'Cálculos Comparativos'!A:AB,21,0),$B$5="Média",VLOOKUP(A104,'Cálculos Comparativos'!A:AB,22,0),$B$5="3º Quartil",VLOOKUP(A104,'Cálculos Comparativos'!A:AB,24,0),$B$5="Maior Salário",VLOOKUP(A104,'Cálculos Comparativos'!A:AB,25,0))</f>
        <v>7984.54</v>
      </c>
      <c r="H104" s="314">
        <f>VLOOKUP(A104,'Cálculos Comparativos'!$A:$AB,26,0)</f>
        <v>9921.51</v>
      </c>
      <c r="I104" s="199"/>
      <c r="J104" s="199"/>
      <c r="K104" s="199"/>
      <c r="L104" s="199"/>
      <c r="M104" s="199"/>
      <c r="N104" s="199"/>
      <c r="O104" s="199"/>
      <c r="P104" s="199"/>
    </row>
    <row r="105" ht="12.75" customHeight="1">
      <c r="A105" s="312">
        <f t="array" ref="A105">INDEX('Cálculos Comparativos'!A:A, MATCH(SMALL('Cálculos Comparativos'!AA:AA, ROW(A4)), 'Cálculos Comparativos'!AA:AA, 0))</f>
        <v>5</v>
      </c>
      <c r="B105" s="305" t="str">
        <f>iferror(VLOOKUP($A105,'Cálculos Comparativos'!$A:$AB,2,0),"")</f>
        <v>Lider</v>
      </c>
      <c r="C105" s="305" t="str">
        <f>iferror(VLOOKUP($A105,'Cálculos Comparativos'!$A:$AB,8,0)&amp;" "&amp;if(VLOOKUP($A105,'Cálculos Comparativos'!$A:$AB,9,0)="Indiferente","",VLOOKUP($A105,'Cálculos Comparativos'!$A:$AB,9,0)),"")</f>
        <v>1016 Líder Técnico</v>
      </c>
      <c r="D105" s="306" t="str">
        <f>VLOOKUP(A105,'Cálculos Comparativos'!$A:$AB,3,0)</f>
        <v>Líder Técnico</v>
      </c>
      <c r="E105" s="308">
        <f>IFS($B$5="Mediana",VLOOKUP(A105,'Cálculos Comparativos'!A:AB,15,0),$B$5="Menor Salário",VLOOKUP(A105,'Cálculos Comparativos'!A:AB,12,0),$B$5="1º Quartil",VLOOKUP(A105,'Cálculos Comparativos'!A:AB,13,0),$B$5="Média",VLOOKUP(A105,'Cálculos Comparativos'!A:AB,14,0),$B$5="3º Quartil",VLOOKUP(A105,'Cálculos Comparativos'!A:AB,16,0),$B$5="Maior Salário",VLOOKUP(A105,'Cálculos Comparativos'!A:AB,17,0))</f>
        <v>8919.44</v>
      </c>
      <c r="F105" s="309">
        <f>VLOOKUP(A105,'Cálculos Comparativos'!$A:$AB,18,0)</f>
        <v>12817.68</v>
      </c>
      <c r="G105" s="313">
        <f>IFS($B$5="Mediana",VLOOKUP(A105,'Cálculos Comparativos'!A:AB,23,0),$B$5="Menor Salário",VLOOKUP(A105,'Cálculos Comparativos'!A:AB,20,0),$B$5="1º Quartil",VLOOKUP(A105,'Cálculos Comparativos'!A:AB,21,0),$B$5="Média",VLOOKUP(A105,'Cálculos Comparativos'!A:AB,22,0),$B$5="3º Quartil",VLOOKUP(A105,'Cálculos Comparativos'!A:AB,24,0),$B$5="Maior Salário",VLOOKUP(A105,'Cálculos Comparativos'!A:AB,25,0))</f>
        <v>8904.46</v>
      </c>
      <c r="H105" s="314">
        <f>VLOOKUP(A105,'Cálculos Comparativos'!$A:$AB,26,0)</f>
        <v>12817.68</v>
      </c>
      <c r="I105" s="199"/>
      <c r="J105" s="199"/>
      <c r="K105" s="199"/>
      <c r="L105" s="199"/>
      <c r="M105" s="199"/>
      <c r="N105" s="199"/>
      <c r="O105" s="199"/>
      <c r="P105" s="199"/>
    </row>
    <row r="106" ht="12.75" customHeight="1">
      <c r="A106" s="203"/>
      <c r="B106" s="288"/>
      <c r="C106" s="289"/>
      <c r="D106" s="289"/>
      <c r="E106" s="270"/>
      <c r="F106" s="270"/>
      <c r="G106" s="271"/>
      <c r="H106" s="271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</row>
    <row r="107" ht="12.75" customHeight="1">
      <c r="A107" s="203"/>
      <c r="B107" s="199"/>
      <c r="C107" s="199"/>
      <c r="D107" s="199"/>
      <c r="E107" s="199"/>
      <c r="F107" s="199"/>
      <c r="G107" s="199"/>
      <c r="H107" s="199"/>
      <c r="I107" s="199"/>
    </row>
    <row r="108" ht="12.75" customHeight="1">
      <c r="A108" s="203"/>
      <c r="B108" s="199"/>
      <c r="C108" s="199"/>
      <c r="D108" s="199"/>
      <c r="E108" s="199"/>
      <c r="F108" s="199"/>
      <c r="G108" s="199"/>
      <c r="H108" s="199"/>
      <c r="I108" s="199"/>
    </row>
    <row r="109" ht="12.75" customHeight="1">
      <c r="A109" s="316"/>
      <c r="B109" s="199"/>
      <c r="C109" s="199"/>
      <c r="D109" s="199"/>
      <c r="E109" s="199"/>
      <c r="F109" s="199"/>
      <c r="G109" s="199"/>
      <c r="H109" s="199"/>
      <c r="I109" s="199"/>
    </row>
    <row r="110" ht="12.75" customHeight="1">
      <c r="A110" s="316"/>
      <c r="B110" s="199"/>
      <c r="C110" s="199"/>
      <c r="D110" s="199"/>
      <c r="E110" s="199"/>
      <c r="F110" s="199"/>
      <c r="G110" s="199"/>
      <c r="H110" s="199"/>
      <c r="I110" s="199"/>
    </row>
    <row r="111" ht="12.75" customHeight="1">
      <c r="A111" s="316"/>
      <c r="B111" s="199"/>
      <c r="C111" s="199"/>
      <c r="D111" s="199"/>
      <c r="E111" s="199"/>
      <c r="F111" s="199"/>
      <c r="G111" s="199"/>
      <c r="H111" s="199"/>
      <c r="I111" s="199"/>
    </row>
    <row r="112" ht="12.75" customHeight="1">
      <c r="A112" s="316"/>
      <c r="B112" s="199"/>
      <c r="C112" s="199"/>
      <c r="D112" s="199"/>
      <c r="E112" s="199"/>
      <c r="F112" s="199"/>
      <c r="G112" s="199"/>
      <c r="H112" s="199"/>
      <c r="I112" s="199"/>
    </row>
    <row r="113" ht="12.75" customHeight="1">
      <c r="A113" s="316"/>
      <c r="B113" s="199"/>
      <c r="C113" s="199"/>
      <c r="D113" s="199"/>
      <c r="E113" s="199"/>
      <c r="F113" s="199"/>
      <c r="G113" s="199"/>
      <c r="H113" s="199"/>
      <c r="I113" s="199"/>
    </row>
    <row r="114" ht="12.75" customHeight="1">
      <c r="A114" s="203"/>
      <c r="B114" s="288"/>
      <c r="C114" s="289"/>
      <c r="D114" s="289"/>
      <c r="E114" s="270"/>
      <c r="F114" s="270"/>
      <c r="G114" s="271"/>
      <c r="H114" s="271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</row>
    <row r="115" ht="12.75" customHeight="1">
      <c r="A115" s="203"/>
      <c r="B115" s="288"/>
      <c r="C115" s="289"/>
      <c r="D115" s="289"/>
      <c r="E115" s="270"/>
      <c r="F115" s="270"/>
      <c r="G115" s="271"/>
      <c r="H115" s="271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ht="12.75" customHeight="1">
      <c r="A116" s="203"/>
      <c r="B116" s="288"/>
      <c r="C116" s="289"/>
      <c r="D116" s="289"/>
      <c r="E116" s="270"/>
      <c r="F116" s="270"/>
      <c r="G116" s="271"/>
      <c r="H116" s="271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ht="12.75" customHeight="1">
      <c r="A117" s="203"/>
      <c r="B117" s="288"/>
      <c r="C117" s="289"/>
      <c r="D117" s="289"/>
      <c r="E117" s="270"/>
      <c r="F117" s="270"/>
      <c r="G117" s="271"/>
      <c r="H117" s="271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</row>
    <row r="118" ht="12.75" customHeight="1">
      <c r="A118" s="203"/>
      <c r="B118" s="288"/>
      <c r="C118" s="289"/>
      <c r="D118" s="289"/>
      <c r="E118" s="270"/>
      <c r="F118" s="270"/>
      <c r="G118" s="271"/>
      <c r="H118" s="271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>
      <c r="A128" s="317"/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</sheetData>
  <mergeCells count="65">
    <mergeCell ref="D56:E56"/>
    <mergeCell ref="F56:G56"/>
    <mergeCell ref="D57:E57"/>
    <mergeCell ref="F57:G57"/>
    <mergeCell ref="M57:N57"/>
    <mergeCell ref="D58:E58"/>
    <mergeCell ref="F58:G58"/>
    <mergeCell ref="B90:J90"/>
    <mergeCell ref="E92:F92"/>
    <mergeCell ref="G92:H92"/>
    <mergeCell ref="E100:F100"/>
    <mergeCell ref="G100:H100"/>
    <mergeCell ref="D59:E59"/>
    <mergeCell ref="F59:G59"/>
    <mergeCell ref="B72:J72"/>
    <mergeCell ref="E74:F74"/>
    <mergeCell ref="G74:H74"/>
    <mergeCell ref="E82:F82"/>
    <mergeCell ref="G82:H82"/>
    <mergeCell ref="B3:E4"/>
    <mergeCell ref="H3:J3"/>
    <mergeCell ref="H4:J4"/>
    <mergeCell ref="B5:C6"/>
    <mergeCell ref="H5:J5"/>
    <mergeCell ref="H6:J6"/>
    <mergeCell ref="H7:J7"/>
    <mergeCell ref="D17:D21"/>
    <mergeCell ref="D24:D25"/>
    <mergeCell ref="D26:D30"/>
    <mergeCell ref="H8:J8"/>
    <mergeCell ref="H9:J9"/>
    <mergeCell ref="B12:D13"/>
    <mergeCell ref="F12:J13"/>
    <mergeCell ref="D15:D16"/>
    <mergeCell ref="J15:J16"/>
    <mergeCell ref="J17:J21"/>
    <mergeCell ref="J24:J25"/>
    <mergeCell ref="J26:J30"/>
    <mergeCell ref="F35:G35"/>
    <mergeCell ref="H35:I35"/>
    <mergeCell ref="F36:G36"/>
    <mergeCell ref="H36:I36"/>
    <mergeCell ref="H37:I37"/>
    <mergeCell ref="F37:G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M48:N48"/>
    <mergeCell ref="B49:C50"/>
    <mergeCell ref="F52:G52"/>
    <mergeCell ref="M53:N53"/>
    <mergeCell ref="D52:E52"/>
    <mergeCell ref="D53:E53"/>
    <mergeCell ref="F53:G53"/>
    <mergeCell ref="D54:E54"/>
    <mergeCell ref="F54:G54"/>
    <mergeCell ref="D55:E55"/>
    <mergeCell ref="F55:G55"/>
  </mergeCells>
  <dataValidations>
    <dataValidation type="list" allowBlank="1" showErrorMessage="1" sqref="B49">
      <formula1>"Operacional,Tático,Estratégico"</formula1>
    </dataValidation>
    <dataValidation type="list" allowBlank="1" showErrorMessage="1" sqref="B5">
      <formula1>"Mediana,Menor Salário,1º Quartil,Média,3º Quartil,Maior Salário"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40.63"/>
    <col customWidth="1" min="3" max="3" width="27.88"/>
    <col customWidth="1" min="4" max="6" width="12.5"/>
    <col customWidth="1" min="8" max="8" width="14.63"/>
    <col customWidth="1" min="9" max="9" width="11.88"/>
    <col customWidth="1" min="10" max="10" width="14.13"/>
    <col customWidth="1" min="12" max="12" width="10.5"/>
    <col customWidth="1" min="16" max="16" width="26.88"/>
  </cols>
  <sheetData>
    <row r="1">
      <c r="E1" s="318" t="s">
        <v>134</v>
      </c>
      <c r="F1" s="319"/>
      <c r="G1" s="319"/>
      <c r="H1" s="319"/>
      <c r="I1" s="320"/>
      <c r="J1" s="321"/>
      <c r="K1" s="322" t="s">
        <v>135</v>
      </c>
      <c r="L1" s="227"/>
      <c r="M1" s="227"/>
      <c r="N1" s="322"/>
      <c r="P1" s="323" t="s">
        <v>20</v>
      </c>
      <c r="Q1" s="324">
        <v>1.0</v>
      </c>
    </row>
    <row r="2">
      <c r="P2" s="325"/>
    </row>
    <row r="3">
      <c r="B3" s="201" t="s">
        <v>120</v>
      </c>
      <c r="E3" s="326"/>
      <c r="P3" s="325"/>
    </row>
    <row r="4">
      <c r="E4" s="327">
        <f>$D$28</f>
        <v>5</v>
      </c>
      <c r="N4" s="229">
        <f>$F$28</f>
        <v>4</v>
      </c>
      <c r="O4" s="328"/>
      <c r="P4" s="325"/>
    </row>
    <row r="5">
      <c r="B5" s="208" t="str">
        <f>'Painel Geral'!$B$5</f>
        <v>Mediana</v>
      </c>
      <c r="D5" s="329"/>
      <c r="P5" s="325"/>
    </row>
    <row r="6">
      <c r="D6" s="329"/>
      <c r="E6" s="330" t="s">
        <v>136</v>
      </c>
      <c r="N6" s="331" t="s">
        <v>136</v>
      </c>
      <c r="O6" s="332"/>
      <c r="P6" s="325"/>
    </row>
    <row r="7">
      <c r="B7" s="333" t="s">
        <v>150</v>
      </c>
      <c r="D7" s="334"/>
      <c r="P7" s="325"/>
    </row>
    <row r="8">
      <c r="P8" s="325"/>
    </row>
    <row r="9">
      <c r="B9" s="335" t="s">
        <v>151</v>
      </c>
      <c r="P9" s="325"/>
    </row>
    <row r="10">
      <c r="B10" s="336" t="s">
        <v>152</v>
      </c>
      <c r="N10" s="337"/>
      <c r="O10" s="337"/>
      <c r="P10" s="325"/>
    </row>
    <row r="11">
      <c r="B11" s="335" t="s">
        <v>153</v>
      </c>
      <c r="E11" s="338">
        <f>IF(SUM(C22:C24)&gt;SUM(C25:C27),SUM(C22:C24),SUM(C25:C27))</f>
        <v>1</v>
      </c>
      <c r="N11" s="339">
        <f>IF(SUM(E22:E24)&gt;SUM(E25:E27),SUM(E22:E24),SUM(E25:E27))</f>
        <v>1</v>
      </c>
      <c r="O11" s="340"/>
      <c r="P11" s="325"/>
    </row>
    <row r="12">
      <c r="B12" s="341"/>
      <c r="C12" s="341"/>
      <c r="P12" s="342"/>
    </row>
    <row r="13">
      <c r="B13" s="343" t="s">
        <v>20</v>
      </c>
      <c r="E13" s="330" t="str">
        <f>IF(SUM(C22:C24)&gt;SUM(C25:C27),"dos cargos abaixo "&amp;IF(B5="Mediana","da ",IF(B5="Média","da ","do "))&amp;B5,"dos cargos acima "&amp;IF(B5="Mediana","da ",IF(B5="Média","da ","do "))&amp;B5)</f>
        <v>dos cargos abaixo da Mediana</v>
      </c>
      <c r="N13" s="331" t="str">
        <f>IF(SUM(E22:E24)&gt;SUM(E25:E27),"dos cargos abaixo "&amp;IF(B5="Mediana","da ",IF(B5="Média","da ","do "))&amp;B5,"dos cargos acima "&amp;IF(B5="Mediana","da ",IF(B5="Média","da ","do "))&amp;B5)</f>
        <v>dos cargos abaixo da Mediana</v>
      </c>
      <c r="O13" s="332"/>
    </row>
    <row r="14">
      <c r="P14" s="325"/>
    </row>
    <row r="15">
      <c r="B15" s="344">
        <f>VLOOKUP(B13,P:Q,2,0)</f>
        <v>1</v>
      </c>
      <c r="C15" s="344"/>
      <c r="P15" s="325"/>
    </row>
    <row r="16">
      <c r="P16" s="345"/>
    </row>
    <row r="19">
      <c r="N19" s="217"/>
      <c r="O19" s="217"/>
      <c r="P19" s="346"/>
      <c r="Q19" s="346"/>
    </row>
    <row r="20">
      <c r="A20" s="347">
        <v>2.0</v>
      </c>
      <c r="B20" s="212"/>
      <c r="C20" s="298" t="s">
        <v>134</v>
      </c>
      <c r="E20" s="310" t="s">
        <v>135</v>
      </c>
      <c r="H20" s="348" t="s">
        <v>138</v>
      </c>
      <c r="I20" s="348" t="s">
        <v>154</v>
      </c>
      <c r="J20" s="348" t="s">
        <v>155</v>
      </c>
      <c r="K20" s="349"/>
      <c r="L20" s="217"/>
      <c r="M20" s="217"/>
      <c r="P20" s="346"/>
      <c r="Q20" s="346"/>
    </row>
    <row r="21">
      <c r="A21" s="350"/>
      <c r="B21" s="351" t="s">
        <v>138</v>
      </c>
      <c r="C21" s="302" t="s">
        <v>139</v>
      </c>
      <c r="D21" s="352" t="s">
        <v>156</v>
      </c>
      <c r="E21" s="311" t="s">
        <v>139</v>
      </c>
      <c r="F21" s="353" t="s">
        <v>156</v>
      </c>
      <c r="G21" s="217"/>
      <c r="H21" s="354" t="s">
        <v>123</v>
      </c>
      <c r="I21" s="355">
        <f t="shared" ref="I21:I26" si="1">C22</f>
        <v>0.4</v>
      </c>
      <c r="J21" s="355">
        <f t="shared" ref="J21:J26" si="2">E22</f>
        <v>0.25</v>
      </c>
      <c r="L21" s="217"/>
      <c r="M21" s="217"/>
      <c r="P21" s="346"/>
      <c r="Q21" s="346"/>
    </row>
    <row r="22">
      <c r="A22" s="350"/>
      <c r="B22" s="245" t="s">
        <v>123</v>
      </c>
      <c r="C22" s="356">
        <f t="shared" ref="C22:C27" si="3">iferror(D22/D$28,0)</f>
        <v>0.4</v>
      </c>
      <c r="D22" s="242">
        <f>COUNTIFS('Cálculos Comparativos'!T:T,$B22,'Cálculos Comparativos'!E:E,$B$15)</f>
        <v>2</v>
      </c>
      <c r="E22" s="357">
        <f t="shared" ref="E22:E27" si="4">iferror(F22/F$28,0)</f>
        <v>0.25</v>
      </c>
      <c r="F22" s="358">
        <f>COUNTIFS('Cálculos Comparativos'!AB:AB,$B22,'Cálculos Comparativos'!E:E,$B$15)</f>
        <v>1</v>
      </c>
      <c r="G22" s="217"/>
      <c r="H22" s="359" t="s">
        <v>125</v>
      </c>
      <c r="I22" s="360">
        <f t="shared" si="1"/>
        <v>0.4</v>
      </c>
      <c r="J22" s="360">
        <f t="shared" si="2"/>
        <v>0.5</v>
      </c>
      <c r="L22" s="217"/>
      <c r="M22" s="217"/>
      <c r="P22" s="346"/>
      <c r="Q22" s="346"/>
    </row>
    <row r="23">
      <c r="A23" s="350"/>
      <c r="B23" s="361" t="s">
        <v>125</v>
      </c>
      <c r="C23" s="356">
        <f t="shared" si="3"/>
        <v>0.4</v>
      </c>
      <c r="D23" s="242">
        <f>COUNTIFS('Cálculos Comparativos'!T:T,$B23,'Cálculos Comparativos'!E:E,$B$15)</f>
        <v>2</v>
      </c>
      <c r="E23" s="357">
        <f t="shared" si="4"/>
        <v>0.5</v>
      </c>
      <c r="F23" s="358">
        <f>COUNTIFS('Cálculos Comparativos'!AB:AB,$B23,'Cálculos Comparativos'!E:E,$B$15)</f>
        <v>2</v>
      </c>
      <c r="G23" s="217"/>
      <c r="H23" s="354" t="s">
        <v>127</v>
      </c>
      <c r="I23" s="355">
        <f t="shared" si="1"/>
        <v>0.2</v>
      </c>
      <c r="J23" s="355">
        <f t="shared" si="2"/>
        <v>0.25</v>
      </c>
      <c r="L23" s="217"/>
      <c r="M23" s="217"/>
      <c r="P23" s="346"/>
      <c r="Q23" s="346"/>
    </row>
    <row r="24">
      <c r="A24" s="346"/>
      <c r="B24" s="245" t="s">
        <v>127</v>
      </c>
      <c r="C24" s="356">
        <f t="shared" si="3"/>
        <v>0.2</v>
      </c>
      <c r="D24" s="242">
        <f>COUNTIFS('Cálculos Comparativos'!T:T,$B24,'Cálculos Comparativos'!E:E,$B$15)</f>
        <v>1</v>
      </c>
      <c r="E24" s="357">
        <f t="shared" si="4"/>
        <v>0.25</v>
      </c>
      <c r="F24" s="358">
        <f>COUNTIFS('Cálculos Comparativos'!AB:AB,$B24,'Cálculos Comparativos'!E:E,$B$15)</f>
        <v>1</v>
      </c>
      <c r="G24" s="217"/>
      <c r="H24" s="359" t="s">
        <v>129</v>
      </c>
      <c r="I24" s="362">
        <f t="shared" si="1"/>
        <v>0</v>
      </c>
      <c r="J24" s="360">
        <f t="shared" si="2"/>
        <v>0</v>
      </c>
      <c r="L24" s="217"/>
      <c r="M24" s="217"/>
      <c r="P24" s="346"/>
      <c r="Q24" s="346"/>
    </row>
    <row r="25">
      <c r="A25" s="346"/>
      <c r="B25" s="361" t="s">
        <v>129</v>
      </c>
      <c r="C25" s="356">
        <f t="shared" si="3"/>
        <v>0</v>
      </c>
      <c r="D25" s="242">
        <f>COUNTIFS('Cálculos Comparativos'!T:T,$B25,'Cálculos Comparativos'!E:E,$B$15)</f>
        <v>0</v>
      </c>
      <c r="E25" s="357">
        <f t="shared" si="4"/>
        <v>0</v>
      </c>
      <c r="F25" s="358">
        <f>COUNTIFS('Cálculos Comparativos'!AB:AB,$B25,'Cálculos Comparativos'!E:E,$B$15)</f>
        <v>0</v>
      </c>
      <c r="G25" s="217"/>
      <c r="H25" s="354" t="s">
        <v>131</v>
      </c>
      <c r="I25" s="355">
        <f t="shared" si="1"/>
        <v>0</v>
      </c>
      <c r="J25" s="355">
        <f t="shared" si="2"/>
        <v>0</v>
      </c>
      <c r="L25" s="217"/>
      <c r="M25" s="217"/>
      <c r="P25" s="346"/>
      <c r="Q25" s="346"/>
    </row>
    <row r="26">
      <c r="A26" s="346"/>
      <c r="B26" s="245" t="s">
        <v>131</v>
      </c>
      <c r="C26" s="356">
        <f t="shared" si="3"/>
        <v>0</v>
      </c>
      <c r="D26" s="242">
        <f>COUNTIFS('Cálculos Comparativos'!T:T,$B26,'Cálculos Comparativos'!E:E,$B$15)</f>
        <v>0</v>
      </c>
      <c r="E26" s="357">
        <f t="shared" si="4"/>
        <v>0</v>
      </c>
      <c r="F26" s="358">
        <f>COUNTIFS('Cálculos Comparativos'!AB:AB,$B26,'Cálculos Comparativos'!E:E,$B$15)</f>
        <v>0</v>
      </c>
      <c r="G26" s="217"/>
      <c r="H26" s="359" t="s">
        <v>133</v>
      </c>
      <c r="I26" s="360">
        <f t="shared" si="1"/>
        <v>0</v>
      </c>
      <c r="J26" s="360">
        <f t="shared" si="2"/>
        <v>0</v>
      </c>
      <c r="L26" s="217"/>
      <c r="M26" s="217"/>
      <c r="P26" s="346"/>
      <c r="Q26" s="346"/>
    </row>
    <row r="27">
      <c r="A27" s="203">
        <v>2.0</v>
      </c>
      <c r="B27" s="361" t="s">
        <v>133</v>
      </c>
      <c r="C27" s="356">
        <f t="shared" si="3"/>
        <v>0</v>
      </c>
      <c r="D27" s="242">
        <f>COUNTIFS('Cálculos Comparativos'!T:T,$B27,'Cálculos Comparativos'!E:E,$B$15)</f>
        <v>0</v>
      </c>
      <c r="E27" s="357">
        <f t="shared" si="4"/>
        <v>0</v>
      </c>
      <c r="F27" s="358">
        <f>COUNTIFS('Cálculos Comparativos'!AB:AB,$B27,'Cálculos Comparativos'!E:E,$B$15)</f>
        <v>0</v>
      </c>
      <c r="G27" s="217"/>
      <c r="H27" s="363" t="s">
        <v>141</v>
      </c>
      <c r="I27" s="364">
        <f t="shared" ref="I27:J27" si="5">SUM(I21:I26)</f>
        <v>1</v>
      </c>
      <c r="J27" s="364">
        <f t="shared" si="5"/>
        <v>1</v>
      </c>
      <c r="L27" s="217"/>
      <c r="M27" s="217"/>
      <c r="P27" s="346"/>
      <c r="Q27" s="346"/>
    </row>
    <row r="28">
      <c r="A28" s="203"/>
      <c r="B28" s="365" t="s">
        <v>141</v>
      </c>
      <c r="C28" s="366">
        <f t="shared" ref="C28:F28" si="6">SUM(C22:C27)</f>
        <v>1</v>
      </c>
      <c r="D28" s="367">
        <f t="shared" si="6"/>
        <v>5</v>
      </c>
      <c r="E28" s="368">
        <f t="shared" si="6"/>
        <v>1</v>
      </c>
      <c r="F28" s="253">
        <f t="shared" si="6"/>
        <v>4</v>
      </c>
      <c r="G28" s="369"/>
      <c r="H28" s="369"/>
      <c r="I28" s="369"/>
      <c r="J28" s="369"/>
      <c r="K28" s="369"/>
      <c r="L28" s="369"/>
      <c r="M28" s="369"/>
      <c r="P28" s="346"/>
      <c r="Q28" s="346"/>
    </row>
    <row r="29">
      <c r="A29" s="203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P29" s="346"/>
      <c r="Q29" s="346"/>
    </row>
    <row r="30">
      <c r="A30" s="203"/>
      <c r="B30" s="199"/>
      <c r="C30" s="199"/>
      <c r="D30" s="199"/>
      <c r="E30" s="298" t="s">
        <v>134</v>
      </c>
      <c r="H30" s="310" t="s">
        <v>135</v>
      </c>
      <c r="P30" s="346"/>
      <c r="Q30" s="346"/>
    </row>
    <row r="31">
      <c r="A31" s="203"/>
      <c r="B31" s="300" t="s">
        <v>38</v>
      </c>
      <c r="C31" s="300" t="s">
        <v>40</v>
      </c>
      <c r="D31" s="301" t="s">
        <v>49</v>
      </c>
      <c r="E31" s="302" t="str">
        <f>B5</f>
        <v>Mediana</v>
      </c>
      <c r="F31" s="370" t="s">
        <v>138</v>
      </c>
      <c r="G31" s="371"/>
      <c r="H31" s="311" t="str">
        <f>B5</f>
        <v>Mediana</v>
      </c>
      <c r="I31" s="353" t="s">
        <v>138</v>
      </c>
      <c r="J31" s="371"/>
      <c r="P31" s="346"/>
      <c r="Q31" s="346"/>
    </row>
    <row r="32">
      <c r="A32" s="372">
        <f>IFERROR(__xludf.DUMMYFUNCTION("FILTER('Cálculos Comparativos'!A:A,'Cálculos Comparativos'!E:E=$B$15,'Cálculos Comparativos'!T:T&lt;&gt;"""")"),1.0)</f>
        <v>1</v>
      </c>
      <c r="B32" s="305" t="str">
        <f>IFERROR(VLOOKUP($A32,'Cálculos Comparativos'!$A:$AB,2,0),"")</f>
        <v>Engenheiro de Software Full Stack Jr</v>
      </c>
      <c r="C32" s="305" t="str">
        <f>IFERROR(VLOOKUP($A32,'Cálculos Comparativos'!$A:$AB,8,0)&amp;" "&amp;if(VLOOKUP($A32,'Cálculos Comparativos'!$A:$AB,9,0)="Indiferente","",VLOOKUP($A32,'Cálculos Comparativos'!$A:$AB,9,0)),"")</f>
        <v>1 Desenvolvedor</v>
      </c>
      <c r="D32" s="306" t="str">
        <f>IFERROR(VLOOKUP(A32,'Cálculos Comparativos'!A:L,3,0),"")</f>
        <v>Desenvolvedor Jr</v>
      </c>
      <c r="E32" s="307">
        <f>IFERROR(IFS($B$5="Mediana",VLOOKUP(A32,'Cálculos Comparativos'!A:AB,15,0),$B$5="Menor Salário",VLOOKUP(A32,'Cálculos Comparativos'!A:AB,12,0),$B$5="1º Quartil",VLOOKUP(A32,'Cálculos Comparativos'!A:AB,13,0),$B$5="Média",VLOOKUP(A32,'Cálculos Comparativos'!A:AB,14,0),$B$5="3º Quartil",VLOOKUP(A32,'Cálculos Comparativos'!A:AB,16,0),$B$5="Maior Salário",VLOOKUP(A32,'Cálculos Comparativos'!A:AB,17,0)),"")</f>
        <v>3370.79</v>
      </c>
      <c r="F32" s="243">
        <f>IFERROR(VLOOKUP($A32,'Cálculos Comparativos'!$A:$AB,18,0),"")</f>
        <v>5268.74</v>
      </c>
      <c r="G32" s="373">
        <f>IFERROR(VLOOKUP($A32,'Cálculos Comparativos'!$A:$AB,19,0),"")</f>
        <v>0.7366530139</v>
      </c>
      <c r="H32" s="313">
        <f>iferror(IFS($B$5="Mediana",VLOOKUP(A32,'Cálculos Comparativos'!A:AC,23,0),$B$5="Menor Salário",VLOOKUP(A32,'Cálculos Comparativos'!A:AC,20,0),$B$5="1º Quartil",VLOOKUP(A32,'Cálculos Comparativos'!A:AC,21,0),$B$5="Média",VLOOKUP(A32,'Cálculos Comparativos'!A:AC,22,0),$B$5="3º Quartil",VLOOKUP(O32,'Cálculos Comparativos'!T:AC,24,0),$B$5="Maior Salário",VLOOKUP(A32,'Cálculos Comparativos'!A:AC,25,0)),"")</f>
        <v>3642.17</v>
      </c>
      <c r="I32" s="314">
        <f>iferror(VLOOKUP($A32,'Cálculos Comparativos'!$A:$AB,26,0),"")</f>
        <v>5456.83</v>
      </c>
      <c r="J32" s="374">
        <f>iferror(VLOOKUP($A32,'Cálculos Comparativos'!$A:$AB,27,0),"")</f>
        <v>0.7124359598</v>
      </c>
      <c r="P32" s="346"/>
      <c r="Q32" s="346"/>
    </row>
    <row r="33">
      <c r="A33" s="372">
        <f>IFERROR(__xludf.DUMMYFUNCTION("""COMPUTED_VALUE"""),2.0)</f>
        <v>2</v>
      </c>
      <c r="B33" s="305" t="str">
        <f>IFERROR(VLOOKUP($A33,'Cálculos Comparativos'!$A:$AB,2,0),"")</f>
        <v>Engenheiro de Software Full Stack Pl</v>
      </c>
      <c r="C33" s="305" t="str">
        <f>IFERROR(VLOOKUP($A33,'Cálculos Comparativos'!$A:$AB,8,0)&amp;" "&amp;if(VLOOKUP($A33,'Cálculos Comparativos'!$A:$AB,9,0)="Indiferente","",VLOOKUP($A33,'Cálculos Comparativos'!$A:$AB,9,0)),"")</f>
        <v>1 Desenvolvedor</v>
      </c>
      <c r="D33" s="306" t="str">
        <f>IFERROR(VLOOKUP(A33,'Cálculos Comparativos'!A:L,3,0),"")</f>
        <v>Desenvolvedor Pl</v>
      </c>
      <c r="E33" s="307">
        <f>IFERROR(IFS($B$5="Mediana",VLOOKUP(A33,'Cálculos Comparativos'!A:AB,15,0),$B$5="Menor Salário",VLOOKUP(A33,'Cálculos Comparativos'!A:AB,12,0),$B$5="1º Quartil",VLOOKUP(A33,'Cálculos Comparativos'!A:AB,13,0),$B$5="Média",VLOOKUP(A33,'Cálculos Comparativos'!A:AB,14,0),$B$5="3º Quartil",VLOOKUP(A33,'Cálculos Comparativos'!A:AB,16,0),$B$5="Maior Salário",VLOOKUP(A33,'Cálculos Comparativos'!A:AB,17,0)),"")</f>
        <v>5379.82</v>
      </c>
      <c r="F33" s="243">
        <f>IFERROR(VLOOKUP($A33,'Cálculos Comparativos'!$A:$AB,18,0),"")</f>
        <v>7790.91</v>
      </c>
      <c r="G33" s="373">
        <f>IFERROR(VLOOKUP($A33,'Cálculos Comparativos'!$A:$AB,19,0),"")</f>
        <v>0.805937462</v>
      </c>
      <c r="H33" s="313">
        <f>iferror(IFS($B$5="Mediana",VLOOKUP(A33,'Cálculos Comparativos'!A:AC,23,0),$B$5="Menor Salário",VLOOKUP(A33,'Cálculos Comparativos'!A:AC,20,0),$B$5="1º Quartil",VLOOKUP(A33,'Cálculos Comparativos'!A:AC,21,0),$B$5="Média",VLOOKUP(A33,'Cálculos Comparativos'!A:AC,22,0),$B$5="3º Quartil",VLOOKUP(O33,'Cálculos Comparativos'!T:AC,24,0),$B$5="Maior Salário",VLOOKUP(A33,'Cálculos Comparativos'!A:AC,25,0)),"")</f>
        <v>5399.83</v>
      </c>
      <c r="I33" s="314">
        <f>iferror(VLOOKUP($A33,'Cálculos Comparativos'!$A:$AB,26,0),"")</f>
        <v>7135.86</v>
      </c>
      <c r="J33" s="374">
        <f>iferror(VLOOKUP($A33,'Cálculos Comparativos'!$A:$AB,27,0),"")</f>
        <v>0.8203283524</v>
      </c>
      <c r="P33" s="346"/>
      <c r="Q33" s="346"/>
    </row>
    <row r="34">
      <c r="A34" s="372">
        <f>IFERROR(__xludf.DUMMYFUNCTION("""COMPUTED_VALUE"""),3.0)</f>
        <v>3</v>
      </c>
      <c r="B34" s="305" t="str">
        <f>IFERROR(VLOOKUP($A34,'Cálculos Comparativos'!$A:$AB,2,0),"")</f>
        <v>Engenheiro de Software Full Stack Sr</v>
      </c>
      <c r="C34" s="305" t="str">
        <f>IFERROR(VLOOKUP($A34,'Cálculos Comparativos'!$A:$AB,8,0)&amp;" "&amp;if(VLOOKUP($A34,'Cálculos Comparativos'!$A:$AB,9,0)="Indiferente","",VLOOKUP($A34,'Cálculos Comparativos'!$A:$AB,9,0)),"")</f>
        <v>1 Desenvolvedor</v>
      </c>
      <c r="D34" s="306" t="str">
        <f>IFERROR(VLOOKUP(A34,'Cálculos Comparativos'!A:L,3,0),"")</f>
        <v>Desenvolvedor Sr</v>
      </c>
      <c r="E34" s="307">
        <f>IFERROR(IFS($B$5="Mediana",VLOOKUP(A34,'Cálculos Comparativos'!A:AB,15,0),$B$5="Menor Salário",VLOOKUP(A34,'Cálculos Comparativos'!A:AB,12,0),$B$5="1º Quartil",VLOOKUP(A34,'Cálculos Comparativos'!A:AB,13,0),$B$5="Média",VLOOKUP(A34,'Cálculos Comparativos'!A:AB,14,0),$B$5="3º Quartil",VLOOKUP(A34,'Cálculos Comparativos'!A:AB,16,0),$B$5="Maior Salário",VLOOKUP(A34,'Cálculos Comparativos'!A:AB,17,0)),"")</f>
        <v>8047.78</v>
      </c>
      <c r="F34" s="243">
        <f>IFERROR(VLOOKUP($A34,'Cálculos Comparativos'!$A:$AB,18,0),"")</f>
        <v>10095.14</v>
      </c>
      <c r="G34" s="373">
        <f>IFERROR(VLOOKUP($A34,'Cálculos Comparativos'!$A:$AB,19,0),"")</f>
        <v>0.8073131188</v>
      </c>
      <c r="H34" s="313">
        <f>iferror(IFS($B$5="Mediana",VLOOKUP(A34,'Cálculos Comparativos'!A:AC,23,0),$B$5="Menor Salário",VLOOKUP(A34,'Cálculos Comparativos'!A:AC,20,0),$B$5="1º Quartil",VLOOKUP(A34,'Cálculos Comparativos'!A:AC,21,0),$B$5="Média",VLOOKUP(A34,'Cálculos Comparativos'!A:AC,22,0),$B$5="3º Quartil",VLOOKUP(O34,'Cálculos Comparativos'!T:AC,24,0),$B$5="Maior Salário",VLOOKUP(A34,'Cálculos Comparativos'!A:AC,25,0)),"")</f>
        <v>7984.54</v>
      </c>
      <c r="I34" s="314">
        <f>iferror(VLOOKUP($A34,'Cálculos Comparativos'!$A:$AB,26,0),"")</f>
        <v>9921.51</v>
      </c>
      <c r="J34" s="374">
        <f>iferror(VLOOKUP($A34,'Cálculos Comparativos'!$A:$AB,27,0),"")</f>
        <v>0.8226066533</v>
      </c>
      <c r="P34" s="346"/>
      <c r="Q34" s="346"/>
    </row>
    <row r="35">
      <c r="A35" s="375">
        <f>IFERROR(__xludf.DUMMYFUNCTION("""COMPUTED_VALUE"""),4.0)</f>
        <v>4</v>
      </c>
      <c r="B35" s="305" t="str">
        <f>IFERROR(VLOOKUP($A35,'Cálculos Comparativos'!$A:$AB,2,0),"")</f>
        <v>Analista de Requisitos</v>
      </c>
      <c r="C35" s="305" t="str">
        <f>IFERROR(VLOOKUP($A35,'Cálculos Comparativos'!$A:$AB,8,0)&amp;" "&amp;if(VLOOKUP($A35,'Cálculos Comparativos'!$A:$AB,9,0)="Indiferente","",VLOOKUP($A35,'Cálculos Comparativos'!$A:$AB,9,0)),"")</f>
        <v>796 Analista de Requisitos</v>
      </c>
      <c r="D35" s="306" t="str">
        <f>IFERROR(VLOOKUP(A35,'Cálculos Comparativos'!A:L,3,0),"")</f>
        <v>Analista Requisitos Jr</v>
      </c>
      <c r="E35" s="307">
        <f>IFERROR(IFS($B$5="Mediana",VLOOKUP(A35,'Cálculos Comparativos'!A:AB,15,0),$B$5="Menor Salário",VLOOKUP(A35,'Cálculos Comparativos'!A:AB,12,0),$B$5="1º Quartil",VLOOKUP(A35,'Cálculos Comparativos'!A:AB,13,0),$B$5="Média",VLOOKUP(A35,'Cálculos Comparativos'!A:AB,14,0),$B$5="3º Quartil",VLOOKUP(A35,'Cálculos Comparativos'!A:AB,16,0),$B$5="Maior Salário",VLOOKUP(A35,'Cálculos Comparativos'!A:AB,17,0)),"")</f>
        <v>4174.12</v>
      </c>
      <c r="F35" s="243">
        <f>IFERROR(VLOOKUP($A35,'Cálculos Comparativos'!$A:$AB,18,0),"")</f>
        <v>5977.75</v>
      </c>
      <c r="G35" s="373">
        <f>IFERROR(VLOOKUP($A35,'Cálculos Comparativos'!$A:$AB,19,0),"")</f>
        <v>0.7901108679</v>
      </c>
      <c r="H35" s="313">
        <f>iferror(IFS($B$5="Mediana",VLOOKUP(A35,'Cálculos Comparativos'!A:AC,23,0),$B$5="Menor Salário",VLOOKUP(A35,'Cálculos Comparativos'!A:AC,20,0),$B$5="1º Quartil",VLOOKUP(A35,'Cálculos Comparativos'!A:AC,21,0),$B$5="Média",VLOOKUP(A35,'Cálculos Comparativos'!A:AC,22,0),$B$5="3º Quartil",VLOOKUP(O35,'Cálculos Comparativos'!T:AC,24,0),$B$5="Maior Salário",VLOOKUP(A35,'Cálculos Comparativos'!A:AC,25,0)),"")</f>
        <v>0</v>
      </c>
      <c r="I35" s="314">
        <f>iferror(VLOOKUP($A35,'Cálculos Comparativos'!$A:$AB,26,0),"")</f>
        <v>0</v>
      </c>
      <c r="J35" s="374" t="str">
        <f>iferror(VLOOKUP($A35,'Cálculos Comparativos'!$A:$AB,27,0),"")</f>
        <v/>
      </c>
      <c r="P35" s="346"/>
      <c r="Q35" s="346"/>
    </row>
    <row r="36">
      <c r="A36" s="375">
        <f>IFERROR(__xludf.DUMMYFUNCTION("""COMPUTED_VALUE"""),5.0)</f>
        <v>5</v>
      </c>
      <c r="B36" s="305" t="str">
        <f>IFERROR(VLOOKUP($A36,'Cálculos Comparativos'!$A:$AB,2,0),"")</f>
        <v>Lider</v>
      </c>
      <c r="C36" s="305" t="str">
        <f>IFERROR(VLOOKUP($A36,'Cálculos Comparativos'!$A:$AB,8,0)&amp;" "&amp;if(VLOOKUP($A36,'Cálculos Comparativos'!$A:$AB,9,0)="Indiferente","",VLOOKUP($A36,'Cálculos Comparativos'!$A:$AB,9,0)),"")</f>
        <v>1016 Líder Técnico</v>
      </c>
      <c r="D36" s="306" t="str">
        <f>IFERROR(VLOOKUP(A36,'Cálculos Comparativos'!A:L,3,0),"")</f>
        <v>Líder Técnico</v>
      </c>
      <c r="E36" s="307">
        <f>IFERROR(IFS($B$5="Mediana",VLOOKUP(A36,'Cálculos Comparativos'!A:AB,15,0),$B$5="Menor Salário",VLOOKUP(A36,'Cálculos Comparativos'!A:AB,12,0),$B$5="1º Quartil",VLOOKUP(A36,'Cálculos Comparativos'!A:AB,13,0),$B$5="Média",VLOOKUP(A36,'Cálculos Comparativos'!A:AB,14,0),$B$5="3º Quartil",VLOOKUP(A36,'Cálculos Comparativos'!A:AB,16,0),$B$5="Maior Salário",VLOOKUP(A36,'Cálculos Comparativos'!A:AB,17,0)),"")</f>
        <v>8919.44</v>
      </c>
      <c r="F36" s="243">
        <f>IFERROR(VLOOKUP($A36,'Cálculos Comparativos'!$A:$AB,18,0),"")</f>
        <v>12817.68</v>
      </c>
      <c r="G36" s="373">
        <f>IFERROR(VLOOKUP($A36,'Cálculos Comparativos'!$A:$AB,19,0),"")</f>
        <v>0.9643843471</v>
      </c>
      <c r="H36" s="313">
        <f>iferror(IFS($B$5="Mediana",VLOOKUP(A36,'Cálculos Comparativos'!A:AC,23,0),$B$5="Menor Salário",VLOOKUP(A36,'Cálculos Comparativos'!A:AC,20,0),$B$5="1º Quartil",VLOOKUP(A36,'Cálculos Comparativos'!A:AC,21,0),$B$5="Média",VLOOKUP(A36,'Cálculos Comparativos'!A:AC,22,0),$B$5="3º Quartil",VLOOKUP(O36,'Cálculos Comparativos'!T:AC,24,0),$B$5="Maior Salário",VLOOKUP(A36,'Cálculos Comparativos'!A:AC,25,0)),"")</f>
        <v>8904.46</v>
      </c>
      <c r="I36" s="314">
        <f>iferror(VLOOKUP($A36,'Cálculos Comparativos'!$A:$AB,26,0),"")</f>
        <v>12817.68</v>
      </c>
      <c r="J36" s="374">
        <f>iferror(VLOOKUP($A36,'Cálculos Comparativos'!$A:$AB,27,0),"")</f>
        <v>0.9517599026</v>
      </c>
      <c r="P36" s="346"/>
      <c r="Q36" s="346"/>
    </row>
    <row r="37">
      <c r="B37" s="376"/>
      <c r="C37" s="376"/>
      <c r="D37" s="376"/>
      <c r="E37" s="377"/>
      <c r="F37" s="376"/>
      <c r="G37" s="376"/>
      <c r="H37" s="376"/>
      <c r="I37" s="376"/>
      <c r="J37" s="376"/>
      <c r="K37" s="376"/>
      <c r="P37" s="346"/>
      <c r="Q37" s="346"/>
    </row>
    <row r="38">
      <c r="B38" s="376"/>
      <c r="C38" s="376"/>
      <c r="D38" s="376"/>
      <c r="E38" s="377"/>
      <c r="F38" s="376"/>
      <c r="G38" s="376"/>
      <c r="H38" s="376"/>
      <c r="I38" s="376"/>
      <c r="J38" s="376"/>
      <c r="K38" s="376"/>
      <c r="P38" s="346"/>
      <c r="Q38" s="346"/>
    </row>
    <row r="39">
      <c r="B39" s="376"/>
      <c r="C39" s="376"/>
      <c r="D39" s="376"/>
      <c r="E39" s="377"/>
      <c r="F39" s="376"/>
      <c r="G39" s="376"/>
      <c r="H39" s="376"/>
      <c r="I39" s="376"/>
      <c r="J39" s="376"/>
      <c r="K39" s="376"/>
      <c r="P39" s="346"/>
      <c r="Q39" s="346"/>
    </row>
    <row r="40">
      <c r="B40" s="376"/>
      <c r="C40" s="376"/>
      <c r="D40" s="376"/>
      <c r="E40" s="377"/>
      <c r="F40" s="376"/>
      <c r="G40" s="376"/>
      <c r="H40" s="376"/>
      <c r="I40" s="376"/>
      <c r="J40" s="376"/>
      <c r="K40" s="376"/>
      <c r="P40" s="346"/>
      <c r="Q40" s="346"/>
    </row>
    <row r="41">
      <c r="B41" s="376"/>
      <c r="C41" s="376"/>
      <c r="D41" s="376"/>
      <c r="E41" s="377"/>
      <c r="F41" s="376"/>
      <c r="G41" s="376"/>
      <c r="H41" s="376"/>
      <c r="I41" s="376"/>
      <c r="J41" s="376"/>
      <c r="K41" s="376"/>
      <c r="P41" s="346"/>
      <c r="Q41" s="346"/>
    </row>
    <row r="42">
      <c r="B42" s="376"/>
      <c r="C42" s="376"/>
      <c r="D42" s="376"/>
      <c r="E42" s="377"/>
      <c r="F42" s="376"/>
      <c r="G42" s="376"/>
      <c r="H42" s="376"/>
      <c r="I42" s="376"/>
      <c r="J42" s="376"/>
      <c r="K42" s="376"/>
      <c r="P42" s="346"/>
      <c r="Q42" s="346"/>
    </row>
    <row r="43">
      <c r="B43" s="376"/>
      <c r="C43" s="376"/>
      <c r="D43" s="376"/>
      <c r="E43" s="377"/>
      <c r="F43" s="376"/>
      <c r="G43" s="376"/>
      <c r="H43" s="376"/>
      <c r="I43" s="376"/>
      <c r="J43" s="376"/>
      <c r="K43" s="376"/>
      <c r="P43" s="346"/>
      <c r="Q43" s="346"/>
    </row>
    <row r="44">
      <c r="B44" s="376"/>
      <c r="C44" s="376"/>
      <c r="D44" s="376"/>
      <c r="E44" s="377"/>
      <c r="F44" s="376"/>
      <c r="G44" s="376"/>
      <c r="H44" s="376"/>
      <c r="I44" s="376"/>
      <c r="J44" s="376"/>
      <c r="K44" s="376"/>
      <c r="P44" s="346"/>
      <c r="Q44" s="346"/>
    </row>
    <row r="45">
      <c r="B45" s="376"/>
      <c r="C45" s="376"/>
      <c r="D45" s="376"/>
      <c r="E45" s="377"/>
      <c r="F45" s="376"/>
      <c r="G45" s="376"/>
      <c r="H45" s="376"/>
      <c r="I45" s="376"/>
      <c r="J45" s="376"/>
      <c r="K45" s="376"/>
      <c r="P45" s="346"/>
      <c r="Q45" s="346"/>
    </row>
    <row r="46">
      <c r="B46" s="376"/>
      <c r="C46" s="376"/>
      <c r="D46" s="376"/>
      <c r="E46" s="377"/>
      <c r="F46" s="376"/>
      <c r="G46" s="376"/>
      <c r="H46" s="376"/>
      <c r="I46" s="376"/>
      <c r="J46" s="376"/>
      <c r="K46" s="376"/>
      <c r="P46" s="346"/>
      <c r="Q46" s="346"/>
    </row>
    <row r="47">
      <c r="B47" s="376"/>
      <c r="C47" s="376"/>
      <c r="D47" s="376"/>
      <c r="E47" s="377"/>
      <c r="F47" s="376"/>
      <c r="G47" s="376"/>
      <c r="H47" s="376"/>
      <c r="I47" s="376"/>
      <c r="J47" s="376"/>
      <c r="K47" s="376"/>
      <c r="P47" s="346"/>
      <c r="Q47" s="346"/>
    </row>
    <row r="48">
      <c r="B48" s="376"/>
      <c r="C48" s="376"/>
      <c r="D48" s="376"/>
      <c r="E48" s="377"/>
      <c r="F48" s="376"/>
      <c r="G48" s="376"/>
      <c r="H48" s="376"/>
      <c r="I48" s="376"/>
      <c r="J48" s="376"/>
      <c r="K48" s="376"/>
      <c r="P48" s="346"/>
      <c r="Q48" s="346"/>
    </row>
    <row r="49">
      <c r="B49" s="376"/>
      <c r="C49" s="376"/>
      <c r="D49" s="376"/>
      <c r="E49" s="377"/>
      <c r="F49" s="376"/>
      <c r="G49" s="376"/>
      <c r="H49" s="376"/>
      <c r="I49" s="376"/>
      <c r="J49" s="376"/>
      <c r="K49" s="376"/>
      <c r="P49" s="346"/>
      <c r="Q49" s="346"/>
    </row>
    <row r="50">
      <c r="B50" s="376"/>
      <c r="C50" s="376"/>
      <c r="D50" s="376"/>
      <c r="E50" s="377"/>
      <c r="F50" s="376"/>
      <c r="G50" s="376"/>
      <c r="H50" s="376"/>
      <c r="I50" s="376"/>
      <c r="J50" s="376"/>
      <c r="K50" s="376"/>
      <c r="P50" s="346"/>
      <c r="Q50" s="346"/>
    </row>
    <row r="51">
      <c r="B51" s="376"/>
      <c r="C51" s="376"/>
      <c r="D51" s="376"/>
      <c r="E51" s="377"/>
      <c r="F51" s="376"/>
      <c r="G51" s="376"/>
      <c r="H51" s="376"/>
      <c r="I51" s="376"/>
      <c r="J51" s="376"/>
      <c r="K51" s="376"/>
      <c r="P51" s="346"/>
      <c r="Q51" s="346"/>
    </row>
    <row r="52">
      <c r="B52" s="376"/>
      <c r="C52" s="376"/>
      <c r="D52" s="376"/>
      <c r="E52" s="377"/>
      <c r="F52" s="376"/>
      <c r="G52" s="376"/>
      <c r="H52" s="376"/>
      <c r="I52" s="376"/>
      <c r="J52" s="376"/>
      <c r="K52" s="376"/>
      <c r="P52" s="346"/>
      <c r="Q52" s="346"/>
    </row>
    <row r="53">
      <c r="B53" s="376"/>
      <c r="C53" s="376"/>
      <c r="D53" s="376"/>
      <c r="E53" s="377"/>
      <c r="F53" s="376"/>
      <c r="G53" s="376"/>
      <c r="H53" s="376"/>
      <c r="I53" s="376"/>
      <c r="J53" s="376"/>
      <c r="K53" s="376"/>
      <c r="P53" s="346"/>
      <c r="Q53" s="346"/>
    </row>
    <row r="54">
      <c r="B54" s="376"/>
      <c r="C54" s="376"/>
      <c r="D54" s="376"/>
      <c r="E54" s="377"/>
      <c r="F54" s="376"/>
      <c r="G54" s="376"/>
      <c r="H54" s="376"/>
      <c r="I54" s="376"/>
      <c r="J54" s="376"/>
      <c r="K54" s="376"/>
      <c r="P54" s="346"/>
      <c r="Q54" s="346"/>
    </row>
    <row r="55">
      <c r="B55" s="376"/>
      <c r="C55" s="376"/>
      <c r="D55" s="376"/>
      <c r="E55" s="377"/>
      <c r="F55" s="376"/>
      <c r="G55" s="376"/>
      <c r="H55" s="376"/>
      <c r="I55" s="376"/>
      <c r="J55" s="376"/>
      <c r="K55" s="376"/>
      <c r="P55" s="346"/>
      <c r="Q55" s="346"/>
    </row>
    <row r="56">
      <c r="B56" s="376"/>
      <c r="C56" s="376"/>
      <c r="D56" s="376"/>
      <c r="E56" s="377"/>
      <c r="F56" s="376"/>
      <c r="G56" s="376"/>
      <c r="H56" s="376"/>
      <c r="I56" s="376"/>
      <c r="J56" s="376"/>
      <c r="K56" s="376"/>
      <c r="P56" s="346"/>
      <c r="Q56" s="346"/>
    </row>
    <row r="57">
      <c r="B57" s="376"/>
      <c r="C57" s="376"/>
      <c r="D57" s="376"/>
      <c r="E57" s="377"/>
      <c r="F57" s="376"/>
      <c r="G57" s="376"/>
      <c r="H57" s="376"/>
      <c r="I57" s="376"/>
      <c r="J57" s="376"/>
      <c r="K57" s="376"/>
      <c r="P57" s="346"/>
      <c r="Q57" s="346"/>
    </row>
    <row r="58">
      <c r="B58" s="376"/>
      <c r="C58" s="376"/>
      <c r="D58" s="376"/>
      <c r="E58" s="377"/>
      <c r="F58" s="376"/>
      <c r="G58" s="376"/>
      <c r="H58" s="376"/>
      <c r="I58" s="376"/>
      <c r="J58" s="376"/>
      <c r="K58" s="376"/>
      <c r="P58" s="346"/>
      <c r="Q58" s="346"/>
    </row>
    <row r="59">
      <c r="B59" s="376"/>
      <c r="C59" s="376"/>
      <c r="D59" s="376"/>
      <c r="E59" s="377"/>
      <c r="F59" s="376"/>
      <c r="G59" s="376"/>
      <c r="H59" s="376"/>
      <c r="I59" s="376"/>
      <c r="J59" s="376"/>
      <c r="K59" s="376"/>
      <c r="P59" s="346"/>
      <c r="Q59" s="346"/>
    </row>
    <row r="60">
      <c r="B60" s="376"/>
      <c r="C60" s="376"/>
      <c r="D60" s="376"/>
      <c r="E60" s="377"/>
      <c r="F60" s="376"/>
      <c r="G60" s="376"/>
      <c r="H60" s="376"/>
      <c r="I60" s="376"/>
      <c r="J60" s="376"/>
      <c r="K60" s="376"/>
      <c r="P60" s="346"/>
      <c r="Q60" s="346"/>
    </row>
    <row r="61">
      <c r="B61" s="376"/>
      <c r="C61" s="376"/>
      <c r="D61" s="376"/>
      <c r="E61" s="377"/>
      <c r="F61" s="376"/>
      <c r="G61" s="376"/>
      <c r="H61" s="376"/>
      <c r="I61" s="376"/>
      <c r="J61" s="376"/>
      <c r="K61" s="376"/>
      <c r="P61" s="346"/>
      <c r="Q61" s="346"/>
    </row>
    <row r="62">
      <c r="B62" s="376"/>
      <c r="C62" s="376"/>
      <c r="D62" s="376"/>
      <c r="E62" s="377"/>
      <c r="F62" s="376"/>
      <c r="G62" s="376"/>
      <c r="H62" s="376"/>
      <c r="I62" s="376"/>
      <c r="J62" s="376"/>
      <c r="K62" s="376"/>
      <c r="P62" s="346"/>
      <c r="Q62" s="346"/>
    </row>
    <row r="63">
      <c r="B63" s="376"/>
      <c r="C63" s="376"/>
      <c r="D63" s="376"/>
      <c r="E63" s="377"/>
      <c r="F63" s="376"/>
      <c r="G63" s="376"/>
      <c r="H63" s="376"/>
      <c r="I63" s="376"/>
      <c r="J63" s="376"/>
      <c r="K63" s="376"/>
      <c r="P63" s="346"/>
      <c r="Q63" s="346"/>
    </row>
    <row r="64">
      <c r="B64" s="376"/>
      <c r="C64" s="376"/>
      <c r="D64" s="376"/>
      <c r="E64" s="377"/>
      <c r="F64" s="376"/>
      <c r="G64" s="376"/>
      <c r="H64" s="376"/>
      <c r="I64" s="376"/>
      <c r="J64" s="376"/>
      <c r="K64" s="376"/>
      <c r="P64" s="346"/>
      <c r="Q64" s="346"/>
    </row>
    <row r="65">
      <c r="B65" s="378" t="s">
        <v>157</v>
      </c>
      <c r="C65" s="378" t="s">
        <v>158</v>
      </c>
      <c r="D65" s="378"/>
      <c r="E65" s="379"/>
      <c r="F65" s="378" t="s">
        <v>123</v>
      </c>
      <c r="G65" s="378" t="s">
        <v>125</v>
      </c>
      <c r="H65" s="378" t="s">
        <v>127</v>
      </c>
      <c r="I65" s="378" t="s">
        <v>129</v>
      </c>
      <c r="J65" s="378" t="s">
        <v>131</v>
      </c>
      <c r="K65" s="378" t="s">
        <v>133</v>
      </c>
      <c r="P65" s="346"/>
      <c r="Q65" s="346"/>
    </row>
    <row r="66">
      <c r="B66" s="380">
        <f>A32</f>
        <v>1</v>
      </c>
      <c r="C66" s="381" t="str">
        <f>IFERROR(VLOOKUP(B66,'Cálculos Comparativos'!A:B,2,0),"")</f>
        <v>Engenheiro de Software Full Stack Jr</v>
      </c>
      <c r="D66" s="382" t="s">
        <v>159</v>
      </c>
      <c r="E66" s="383" t="str">
        <f t="shared" ref="E66:E75" si="7">IF(C66="","",C66&amp;" "&amp;D66)</f>
        <v>Engenheiro de Software Full Stack Jr - C-01</v>
      </c>
      <c r="F66" s="382">
        <f>IF(E66="","",IFERROR(COUNTIFS('Comparativo por Funcionário'!A:A,B66,'Comparativo por Funcionário'!R:R,F$65),0))</f>
        <v>23</v>
      </c>
      <c r="G66" s="382">
        <f>IF(E66="","",IFERROR(COUNTIFS('Comparativo por Funcionário'!$A:$A,$B66,'Comparativo por Funcionário'!$R:$R,G$65),0))</f>
        <v>0</v>
      </c>
      <c r="H66" s="382">
        <f>IF(E66="","",IFERROR(COUNTIFS('Comparativo por Funcionário'!$A:$A,$B66,'Comparativo por Funcionário'!$R:$R,H$65),0))</f>
        <v>0</v>
      </c>
      <c r="I66" s="382">
        <f>IF(E66="","",IFERROR(COUNTIFS('Comparativo por Funcionário'!$A:$A,$B66,'Comparativo por Funcionário'!$R:$R,I$65),0))</f>
        <v>0</v>
      </c>
      <c r="J66" s="382">
        <f>IF(E66="","",IFERROR(COUNTIFS('Comparativo por Funcionário'!$A:$A,$B66,'Comparativo por Funcionário'!$R:$R,J$65),0))</f>
        <v>0</v>
      </c>
      <c r="K66" s="382">
        <f>IF(E66="","",IFERROR(COUNTIFS('Comparativo por Funcionário'!$A:$A,$B66,'Comparativo por Funcionário'!$R:$R,K$65),0))</f>
        <v>0</v>
      </c>
      <c r="P66" s="346"/>
      <c r="Q66" s="346"/>
    </row>
    <row r="67">
      <c r="B67" s="380">
        <f t="shared" ref="B67:B68" si="8">A32</f>
        <v>1</v>
      </c>
      <c r="C67" s="381" t="str">
        <f>IFERROR(VLOOKUP(B67,'Cálculos Comparativos'!A:B,2,0),"")</f>
        <v>Engenheiro de Software Full Stack Jr</v>
      </c>
      <c r="D67" s="382" t="s">
        <v>160</v>
      </c>
      <c r="E67" s="383" t="str">
        <f t="shared" si="7"/>
        <v>Engenheiro de Software Full Stack Jr - C-02</v>
      </c>
      <c r="F67" s="382">
        <f>IF(E67="","",IFERROR(COUNTIFS('Comparativo por Funcionário'!A:A,B67,'Comparativo por Funcionário'!Z:Z,F$65),0))</f>
        <v>23</v>
      </c>
      <c r="G67" s="382">
        <f>IF(E67="","",IFERROR(COUNTIFS('Comparativo por Funcionário'!$A:$A,$B67,'Comparativo por Funcionário'!$Z:$Z,G$65),0))</f>
        <v>0</v>
      </c>
      <c r="H67" s="382">
        <f>IF(E67="","",IFERROR(COUNTIFS('Comparativo por Funcionário'!$A:$A,$B67,'Comparativo por Funcionário'!$Z:$Z,H$65),0))</f>
        <v>0</v>
      </c>
      <c r="I67" s="382">
        <f>IF(E67="","",IFERROR(COUNTIFS('Comparativo por Funcionário'!$A:$A,$B67,'Comparativo por Funcionário'!$Z:$Z,I$65),0))</f>
        <v>0</v>
      </c>
      <c r="J67" s="382">
        <f>IF(E67="","",IFERROR(COUNTIFS('Comparativo por Funcionário'!$A:$A,$B67,'Comparativo por Funcionário'!$Z:$Z,J$65),0))</f>
        <v>0</v>
      </c>
      <c r="K67" s="382">
        <f>IF(E67="","",IFERROR(COUNTIFS('Comparativo por Funcionário'!$A:$A,$B67,'Comparativo por Funcionário'!$Z:$Z,K$65),0))</f>
        <v>0</v>
      </c>
      <c r="P67" s="346"/>
      <c r="Q67" s="346"/>
    </row>
    <row r="68">
      <c r="B68" s="384">
        <f t="shared" si="8"/>
        <v>2</v>
      </c>
      <c r="C68" s="385" t="str">
        <f>IFERROR(VLOOKUP(B68,'Cálculos Comparativos'!A:B,2,0),"")</f>
        <v>Engenheiro de Software Full Stack Pl</v>
      </c>
      <c r="D68" s="386" t="s">
        <v>159</v>
      </c>
      <c r="E68" s="387" t="str">
        <f t="shared" si="7"/>
        <v>Engenheiro de Software Full Stack Pl - C-01</v>
      </c>
      <c r="F68" s="386">
        <f>IF(E68="","",IFERROR(COUNTIFS('Comparativo por Funcionário'!A:A,B68,'Comparativo por Funcionário'!R:R,F$65),0))</f>
        <v>0</v>
      </c>
      <c r="G68" s="386">
        <f>IF(E68="","",IFERROR(COUNTIFS('Comparativo por Funcionário'!$A:$A,$B68,'Comparativo por Funcionário'!$R:$R,G$65),0))</f>
        <v>5</v>
      </c>
      <c r="H68" s="386">
        <f>IF(E68="","",IFERROR(COUNTIFS('Comparativo por Funcionário'!$A:$A,$B68,'Comparativo por Funcionário'!$R:$R,H$65),0))</f>
        <v>0</v>
      </c>
      <c r="I68" s="386">
        <f>IF(E68="","",IFERROR(COUNTIFS('Comparativo por Funcionário'!$A:$A,$B68,'Comparativo por Funcionário'!$R:$R,I$65),0))</f>
        <v>0</v>
      </c>
      <c r="J68" s="386">
        <f>IF(E68="","",IFERROR(COUNTIFS('Comparativo por Funcionário'!$A:$A,$B68,'Comparativo por Funcionário'!$R:$R,J$65),0))</f>
        <v>0</v>
      </c>
      <c r="K68" s="386">
        <f>IF(E68="","",IFERROR(COUNTIFS('Comparativo por Funcionário'!$A:$A,$B68,'Comparativo por Funcionário'!$R:$R,K$65),0))</f>
        <v>0</v>
      </c>
      <c r="P68" s="346"/>
      <c r="Q68" s="346"/>
    </row>
    <row r="69">
      <c r="B69" s="384">
        <f t="shared" ref="B69:B70" si="9">A33</f>
        <v>2</v>
      </c>
      <c r="C69" s="385" t="str">
        <f>IFERROR(VLOOKUP(B69,'Cálculos Comparativos'!A:B,2,0),"")</f>
        <v>Engenheiro de Software Full Stack Pl</v>
      </c>
      <c r="D69" s="386" t="s">
        <v>160</v>
      </c>
      <c r="E69" s="387" t="str">
        <f t="shared" si="7"/>
        <v>Engenheiro de Software Full Stack Pl - C-02</v>
      </c>
      <c r="F69" s="386">
        <f>IF(E69="","",IFERROR(COUNTIFS('Comparativo por Funcionário'!A:A,B69,'Comparativo por Funcionário'!Z:Z,F$65),0))</f>
        <v>0</v>
      </c>
      <c r="G69" s="386">
        <f>IF(E69="","",IFERROR(COUNTIFS('Comparativo por Funcionário'!$A:$A,$B69,'Comparativo por Funcionário'!$Z:$Z,G$65),0))</f>
        <v>5</v>
      </c>
      <c r="H69" s="386">
        <f>IF(E69="","",IFERROR(COUNTIFS('Comparativo por Funcionário'!$A:$A,$B69,'Comparativo por Funcionário'!$Z:$Z,H$65),0))</f>
        <v>0</v>
      </c>
      <c r="I69" s="386">
        <f>IF(E69="","",IFERROR(COUNTIFS('Comparativo por Funcionário'!$A:$A,$B69,'Comparativo por Funcionário'!$Z:$Z,I$65),0))</f>
        <v>0</v>
      </c>
      <c r="J69" s="386">
        <f>IF(E69="","",IFERROR(COUNTIFS('Comparativo por Funcionário'!$A:$A,$B69,'Comparativo por Funcionário'!$Z:$Z,J$65),0))</f>
        <v>0</v>
      </c>
      <c r="K69" s="386">
        <f>IF(E69="","",IFERROR(COUNTIFS('Comparativo por Funcionário'!$A:$A,$B69,'Comparativo por Funcionário'!$Z:$Z,K$65),0))</f>
        <v>0</v>
      </c>
      <c r="P69" s="346"/>
      <c r="Q69" s="346"/>
    </row>
    <row r="70">
      <c r="B70" s="380">
        <f t="shared" si="9"/>
        <v>3</v>
      </c>
      <c r="C70" s="381" t="str">
        <f>IFERROR(VLOOKUP(B70,'Cálculos Comparativos'!A:B,2,0),"")</f>
        <v>Engenheiro de Software Full Stack Sr</v>
      </c>
      <c r="D70" s="382" t="s">
        <v>159</v>
      </c>
      <c r="E70" s="383" t="str">
        <f t="shared" si="7"/>
        <v>Engenheiro de Software Full Stack Sr - C-01</v>
      </c>
      <c r="F70" s="382">
        <f>IF(E70="","",IFERROR(COUNTIFS('Comparativo por Funcionário'!A:A,B70,'Comparativo por Funcionário'!R:R,F$65),0))</f>
        <v>0</v>
      </c>
      <c r="G70" s="382">
        <f>IF(E70="","",IFERROR(COUNTIFS('Comparativo por Funcionário'!$A:$A,$B70,'Comparativo por Funcionário'!$R:$R,G$65),0))</f>
        <v>2</v>
      </c>
      <c r="H70" s="382">
        <f>IF(E70="","",IFERROR(COUNTIFS('Comparativo por Funcionário'!$A:$A,$B70,'Comparativo por Funcionário'!$R:$R,H$65),0))</f>
        <v>0</v>
      </c>
      <c r="I70" s="382">
        <f>IF(E70="","",IFERROR(COUNTIFS('Comparativo por Funcionário'!$A:$A,$B70,'Comparativo por Funcionário'!$R:$R,I$65),0))</f>
        <v>0</v>
      </c>
      <c r="J70" s="382">
        <f>IF(E70="","",IFERROR(COUNTIFS('Comparativo por Funcionário'!$A:$A,$B70,'Comparativo por Funcionário'!$R:$R,J$65),0))</f>
        <v>0</v>
      </c>
      <c r="K70" s="382">
        <f>IF(E70="","",IFERROR(COUNTIFS('Comparativo por Funcionário'!$A:$A,$B70,'Comparativo por Funcionário'!$R:$R,K$65),0))</f>
        <v>0</v>
      </c>
      <c r="P70" s="346"/>
      <c r="Q70" s="346"/>
    </row>
    <row r="71">
      <c r="B71" s="380">
        <f t="shared" ref="B71:B72" si="10">A34</f>
        <v>3</v>
      </c>
      <c r="C71" s="381" t="str">
        <f>IFERROR(VLOOKUP(B71,'Cálculos Comparativos'!A:B,2,0),"")</f>
        <v>Engenheiro de Software Full Stack Sr</v>
      </c>
      <c r="D71" s="382" t="s">
        <v>160</v>
      </c>
      <c r="E71" s="383" t="str">
        <f t="shared" si="7"/>
        <v>Engenheiro de Software Full Stack Sr - C-02</v>
      </c>
      <c r="F71" s="382">
        <f>IF(E71="","",IFERROR(COUNTIFS('Comparativo por Funcionário'!A:A,B71,'Comparativo por Funcionário'!Z:Z,F$65),0))</f>
        <v>0</v>
      </c>
      <c r="G71" s="382">
        <f>IF(E71="","",IFERROR(COUNTIFS('Comparativo por Funcionário'!$A:$A,$B71,'Comparativo por Funcionário'!$Z:$Z,G$65),0))</f>
        <v>2</v>
      </c>
      <c r="H71" s="382">
        <f>IF(E71="","",IFERROR(COUNTIFS('Comparativo por Funcionário'!$A:$A,$B71,'Comparativo por Funcionário'!$Z:$Z,H$65),0))</f>
        <v>0</v>
      </c>
      <c r="I71" s="382">
        <f>IF(E71="","",IFERROR(COUNTIFS('Comparativo por Funcionário'!$A:$A,$B71,'Comparativo por Funcionário'!$Z:$Z,I$65),0))</f>
        <v>0</v>
      </c>
      <c r="J71" s="382">
        <f>IF(E71="","",IFERROR(COUNTIFS('Comparativo por Funcionário'!$A:$A,$B71,'Comparativo por Funcionário'!$Z:$Z,J$65),0))</f>
        <v>0</v>
      </c>
      <c r="K71" s="382">
        <f>IF(E71="","",IFERROR(COUNTIFS('Comparativo por Funcionário'!$A:$A,$B71,'Comparativo por Funcionário'!$Z:$Z,K$65),0))</f>
        <v>0</v>
      </c>
      <c r="P71" s="346"/>
      <c r="Q71" s="346"/>
    </row>
    <row r="72">
      <c r="A72" s="388"/>
      <c r="B72" s="384">
        <f t="shared" si="10"/>
        <v>4</v>
      </c>
      <c r="C72" s="385" t="str">
        <f>IFERROR(VLOOKUP(B72,'Cálculos Comparativos'!A:B,2,0),"")</f>
        <v>Analista de Requisitos</v>
      </c>
      <c r="D72" s="386" t="s">
        <v>159</v>
      </c>
      <c r="E72" s="387" t="str">
        <f t="shared" si="7"/>
        <v>Analista de Requisitos - C-01</v>
      </c>
      <c r="F72" s="386">
        <f>IF(E72="","",IFERROR(COUNTIFS('Comparativo por Funcionário'!A:A,B72,'Comparativo por Funcionário'!R:R,F$65),0))</f>
        <v>1</v>
      </c>
      <c r="G72" s="386">
        <f>IF(E72="","",IFERROR(COUNTIFS('Comparativo por Funcionário'!$A:$A,$B72,'Comparativo por Funcionário'!$R:$R,G$65),0))</f>
        <v>1</v>
      </c>
      <c r="H72" s="386">
        <f>IF(E72="","",IFERROR(COUNTIFS('Comparativo por Funcionário'!$A:$A,$B72,'Comparativo por Funcionário'!$R:$R,H$65),0))</f>
        <v>0</v>
      </c>
      <c r="I72" s="386">
        <f>IF(E72="","",IFERROR(COUNTIFS('Comparativo por Funcionário'!$A:$A,$B72,'Comparativo por Funcionário'!$R:$R,I$65),0))</f>
        <v>0</v>
      </c>
      <c r="J72" s="386">
        <f>IF(E72="","",IFERROR(COUNTIFS('Comparativo por Funcionário'!$A:$A,$B72,'Comparativo por Funcionário'!$R:$R,J$65),0))</f>
        <v>0</v>
      </c>
      <c r="K72" s="386">
        <f>IF(E72="","",IFERROR(COUNTIFS('Comparativo por Funcionário'!$A:$A,$B72,'Comparativo por Funcionário'!$R:$R,K$65),0))</f>
        <v>0</v>
      </c>
      <c r="P72" s="346"/>
      <c r="Q72" s="346"/>
    </row>
    <row r="73">
      <c r="A73" s="388"/>
      <c r="B73" s="384">
        <f t="shared" ref="B73:B74" si="11">A35</f>
        <v>4</v>
      </c>
      <c r="C73" s="385" t="str">
        <f>IFERROR(VLOOKUP(B73,'Cálculos Comparativos'!A:B,2,0),"")</f>
        <v>Analista de Requisitos</v>
      </c>
      <c r="D73" s="386" t="s">
        <v>160</v>
      </c>
      <c r="E73" s="387" t="str">
        <f t="shared" si="7"/>
        <v>Analista de Requisitos - C-02</v>
      </c>
      <c r="F73" s="386">
        <f>IF(E73="","",IFERROR(COUNTIFS('Comparativo por Funcionário'!A:A,B73,'Comparativo por Funcionário'!Z:Z,F$65),0))</f>
        <v>0</v>
      </c>
      <c r="G73" s="386">
        <f>IF(E73="","",IFERROR(COUNTIFS('Comparativo por Funcionário'!$A:$A,$B73,'Comparativo por Funcionário'!$Z:$Z,G$65),0))</f>
        <v>0</v>
      </c>
      <c r="H73" s="386">
        <f>IF(E73="","",IFERROR(COUNTIFS('Comparativo por Funcionário'!$A:$A,$B73,'Comparativo por Funcionário'!$Z:$Z,H$65),0))</f>
        <v>0</v>
      </c>
      <c r="I73" s="386">
        <f>IF(E73="","",IFERROR(COUNTIFS('Comparativo por Funcionário'!$A:$A,$B73,'Comparativo por Funcionário'!$Z:$Z,I$65),0))</f>
        <v>0</v>
      </c>
      <c r="J73" s="386">
        <f>IF(E73="","",IFERROR(COUNTIFS('Comparativo por Funcionário'!$A:$A,$B73,'Comparativo por Funcionário'!$Z:$Z,J$65),0))</f>
        <v>0</v>
      </c>
      <c r="K73" s="386">
        <f>IF(E73="","",IFERROR(COUNTIFS('Comparativo por Funcionário'!$A:$A,$B73,'Comparativo por Funcionário'!$Z:$Z,K$65),0))</f>
        <v>0</v>
      </c>
      <c r="P73" s="346"/>
      <c r="Q73" s="346"/>
    </row>
    <row r="74">
      <c r="A74" s="388"/>
      <c r="B74" s="380">
        <f t="shared" si="11"/>
        <v>5</v>
      </c>
      <c r="C74" s="381" t="str">
        <f>IFERROR(VLOOKUP(B74,'Cálculos Comparativos'!A:B,2,0),"")</f>
        <v>Lider</v>
      </c>
      <c r="D74" s="382" t="s">
        <v>159</v>
      </c>
      <c r="E74" s="383" t="str">
        <f t="shared" si="7"/>
        <v>Lider - C-01</v>
      </c>
      <c r="F74" s="382">
        <f>IF(E74="","",IFERROR(COUNTIFS('Comparativo por Funcionário'!A:A,B74,'Comparativo por Funcionário'!R:R,F$65),0))</f>
        <v>0</v>
      </c>
      <c r="G74" s="382">
        <f>IF(E74="","",IFERROR(COUNTIFS('Comparativo por Funcionário'!$A:$A,$B74,'Comparativo por Funcionário'!$R:$R,G$65),0))</f>
        <v>0</v>
      </c>
      <c r="H74" s="382">
        <f>IF(E74="","",IFERROR(COUNTIFS('Comparativo por Funcionário'!$A:$A,$B74,'Comparativo por Funcionário'!$R:$R,H$65),0))</f>
        <v>1</v>
      </c>
      <c r="I74" s="382">
        <f>IF(E74="","",IFERROR(COUNTIFS('Comparativo por Funcionário'!$A:$A,$B74,'Comparativo por Funcionário'!$R:$R,I$65),0))</f>
        <v>0</v>
      </c>
      <c r="J74" s="382">
        <f>IF(E74="","",IFERROR(COUNTIFS('Comparativo por Funcionário'!$A:$A,$B74,'Comparativo por Funcionário'!$R:$R,J$65),0))</f>
        <v>0</v>
      </c>
      <c r="K74" s="382">
        <f>IF(E74="","",IFERROR(COUNTIFS('Comparativo por Funcionário'!$A:$A,$B74,'Comparativo por Funcionário'!$R:$R,K$65),0))</f>
        <v>0</v>
      </c>
      <c r="P74" s="346"/>
      <c r="Q74" s="346"/>
    </row>
    <row r="75">
      <c r="A75" s="389"/>
      <c r="B75" s="380">
        <f>A36</f>
        <v>5</v>
      </c>
      <c r="C75" s="381" t="str">
        <f>IFERROR(VLOOKUP(B75,'Cálculos Comparativos'!A:B,2,0),"")</f>
        <v>Lider</v>
      </c>
      <c r="D75" s="382" t="s">
        <v>160</v>
      </c>
      <c r="E75" s="383" t="str">
        <f t="shared" si="7"/>
        <v>Lider - C-02</v>
      </c>
      <c r="F75" s="382">
        <f>IF(E75="","",IFERROR(COUNTIFS('Comparativo por Funcionário'!A:A,B75,'Comparativo por Funcionário'!Z:Z,F$65),0))</f>
        <v>0</v>
      </c>
      <c r="G75" s="382">
        <f>IF(E75="","",IFERROR(COUNTIFS('Comparativo por Funcionário'!$A:$A,$B75,'Comparativo por Funcionário'!$Z:$Z,G$65),0))</f>
        <v>0</v>
      </c>
      <c r="H75" s="382">
        <f>IF(E75="","",IFERROR(COUNTIFS('Comparativo por Funcionário'!$A:$A,$B75,'Comparativo por Funcionário'!$Z:$Z,H$65),0))</f>
        <v>1</v>
      </c>
      <c r="I75" s="382">
        <f>IF(E75="","",IFERROR(COUNTIFS('Comparativo por Funcionário'!$A:$A,$B75,'Comparativo por Funcionário'!$Z:$Z,I$65),0))</f>
        <v>0</v>
      </c>
      <c r="J75" s="382">
        <f>IF(E75="","",IFERROR(COUNTIFS('Comparativo por Funcionário'!$A:$A,$B75,'Comparativo por Funcionário'!$Z:$Z,J$65),0))</f>
        <v>0</v>
      </c>
      <c r="K75" s="382">
        <f>IF(E75="","",IFERROR(COUNTIFS('Comparativo por Funcionário'!$A:$A,$B75,'Comparativo por Funcionário'!$Z:$Z,K$65),0))</f>
        <v>0</v>
      </c>
      <c r="P75" s="346"/>
      <c r="Q75" s="346"/>
    </row>
    <row r="76">
      <c r="B76" s="390"/>
      <c r="C76" s="390"/>
      <c r="D76" s="390"/>
      <c r="P76" s="346"/>
      <c r="Q76" s="346"/>
    </row>
    <row r="77">
      <c r="B77" s="390"/>
      <c r="C77" s="390"/>
      <c r="D77" s="390"/>
      <c r="P77" s="346"/>
      <c r="Q77" s="346"/>
    </row>
    <row r="78">
      <c r="B78" s="390"/>
      <c r="C78" s="390"/>
      <c r="D78" s="390"/>
      <c r="P78" s="346"/>
      <c r="Q78" s="346"/>
    </row>
    <row r="79">
      <c r="B79" s="390"/>
      <c r="C79" s="390"/>
      <c r="D79" s="390"/>
      <c r="P79" s="346"/>
      <c r="Q79" s="346"/>
    </row>
    <row r="80">
      <c r="A80" s="324"/>
      <c r="B80" s="391"/>
      <c r="C80" s="392"/>
      <c r="D80" s="393"/>
      <c r="P80" s="346"/>
      <c r="Q80" s="346"/>
    </row>
    <row r="81">
      <c r="A81" s="324"/>
      <c r="B81" s="391"/>
      <c r="C81" s="392"/>
      <c r="D81" s="393"/>
      <c r="P81" s="346"/>
      <c r="Q81" s="346"/>
    </row>
    <row r="82">
      <c r="A82" s="324"/>
      <c r="B82" s="391"/>
      <c r="C82" s="392"/>
      <c r="D82" s="393"/>
      <c r="P82" s="346"/>
      <c r="Q82" s="346"/>
    </row>
    <row r="83">
      <c r="A83" s="324"/>
      <c r="B83" s="394"/>
      <c r="C83" s="392"/>
      <c r="D83" s="393"/>
      <c r="P83" s="346"/>
      <c r="Q83" s="346"/>
    </row>
    <row r="84">
      <c r="A84" s="324"/>
      <c r="C84" s="392"/>
      <c r="D84" s="393"/>
      <c r="P84" s="346"/>
      <c r="Q84" s="346"/>
    </row>
    <row r="85">
      <c r="A85" s="324"/>
      <c r="B85" s="394"/>
      <c r="C85" s="392"/>
      <c r="D85" s="393"/>
      <c r="P85" s="346"/>
      <c r="Q85" s="346"/>
    </row>
    <row r="86">
      <c r="A86" s="324"/>
      <c r="C86" s="392"/>
      <c r="D86" s="393"/>
      <c r="P86" s="346"/>
      <c r="Q86" s="346"/>
    </row>
    <row r="87">
      <c r="A87" s="346"/>
      <c r="P87" s="346"/>
      <c r="Q87" s="346"/>
    </row>
    <row r="88">
      <c r="A88" s="346"/>
      <c r="P88" s="346"/>
      <c r="Q88" s="346"/>
    </row>
    <row r="89">
      <c r="A89" s="346"/>
      <c r="P89" s="346"/>
      <c r="Q89" s="346"/>
    </row>
    <row r="90">
      <c r="A90" s="346"/>
      <c r="P90" s="346"/>
      <c r="Q90" s="346"/>
    </row>
    <row r="91">
      <c r="A91" s="324"/>
      <c r="C91" s="393"/>
      <c r="D91" s="393"/>
      <c r="P91" s="346"/>
      <c r="Q91" s="346"/>
    </row>
    <row r="92">
      <c r="A92" s="346"/>
      <c r="P92" s="346"/>
      <c r="Q92" s="346"/>
    </row>
    <row r="93">
      <c r="A93" s="346"/>
      <c r="P93" s="346"/>
      <c r="Q93" s="346"/>
    </row>
    <row r="94">
      <c r="A94" s="346"/>
      <c r="P94" s="346"/>
      <c r="Q94" s="346"/>
    </row>
    <row r="95">
      <c r="A95" s="346"/>
      <c r="P95" s="346"/>
      <c r="Q95" s="346"/>
    </row>
    <row r="96">
      <c r="A96" s="346"/>
      <c r="P96" s="346"/>
      <c r="Q96" s="346"/>
    </row>
    <row r="97">
      <c r="A97" s="346"/>
      <c r="P97" s="346"/>
      <c r="Q97" s="346"/>
    </row>
    <row r="98">
      <c r="A98" s="346"/>
      <c r="P98" s="346"/>
      <c r="Q98" s="346"/>
    </row>
    <row r="99">
      <c r="A99" s="346"/>
      <c r="P99" s="346"/>
      <c r="Q99" s="346"/>
    </row>
    <row r="100">
      <c r="A100" s="346"/>
      <c r="P100" s="346"/>
      <c r="Q100" s="346"/>
    </row>
    <row r="101">
      <c r="A101" s="346"/>
      <c r="P101" s="346"/>
      <c r="Q101" s="346"/>
    </row>
    <row r="102">
      <c r="A102" s="346"/>
      <c r="P102" s="346"/>
      <c r="Q102" s="346"/>
    </row>
    <row r="103">
      <c r="A103" s="346"/>
      <c r="P103" s="346"/>
      <c r="Q103" s="346"/>
    </row>
    <row r="104">
      <c r="A104" s="346"/>
      <c r="P104" s="346"/>
      <c r="Q104" s="346"/>
    </row>
    <row r="105">
      <c r="A105" s="346"/>
      <c r="P105" s="346"/>
      <c r="Q105" s="346"/>
    </row>
    <row r="106">
      <c r="P106" s="346"/>
      <c r="Q106" s="346"/>
    </row>
    <row r="107">
      <c r="P107" s="346"/>
      <c r="Q107" s="346"/>
    </row>
    <row r="108">
      <c r="P108" s="346"/>
      <c r="Q108" s="346"/>
    </row>
    <row r="109">
      <c r="P109" s="346"/>
      <c r="Q109" s="346"/>
    </row>
    <row r="110">
      <c r="P110" s="346"/>
      <c r="Q110" s="346"/>
    </row>
    <row r="111">
      <c r="P111" s="346"/>
      <c r="Q111" s="346"/>
    </row>
    <row r="112">
      <c r="P112" s="346"/>
      <c r="Q112" s="346"/>
    </row>
    <row r="113">
      <c r="P113" s="346"/>
      <c r="Q113" s="346"/>
    </row>
    <row r="114">
      <c r="P114" s="346"/>
      <c r="Q114" s="346"/>
    </row>
    <row r="115">
      <c r="P115" s="346"/>
      <c r="Q115" s="346"/>
    </row>
    <row r="116">
      <c r="P116" s="346"/>
      <c r="Q116" s="346"/>
    </row>
    <row r="117">
      <c r="P117" s="346"/>
      <c r="Q117" s="346"/>
    </row>
    <row r="118">
      <c r="P118" s="346"/>
      <c r="Q118" s="346"/>
    </row>
    <row r="119">
      <c r="P119" s="346"/>
      <c r="Q119" s="346"/>
    </row>
    <row r="120">
      <c r="P120" s="346"/>
      <c r="Q120" s="346"/>
    </row>
    <row r="121">
      <c r="P121" s="346"/>
      <c r="Q121" s="346"/>
    </row>
    <row r="122">
      <c r="P122" s="346"/>
      <c r="Q122" s="346"/>
    </row>
    <row r="123">
      <c r="P123" s="346"/>
      <c r="Q123" s="346"/>
    </row>
    <row r="124">
      <c r="P124" s="346"/>
      <c r="Q124" s="346"/>
    </row>
    <row r="125">
      <c r="P125" s="346"/>
      <c r="Q125" s="346"/>
    </row>
    <row r="126">
      <c r="P126" s="346"/>
      <c r="Q126" s="346"/>
    </row>
    <row r="127">
      <c r="P127" s="346"/>
      <c r="Q127" s="346"/>
    </row>
    <row r="128">
      <c r="P128" s="346"/>
      <c r="Q128" s="346"/>
    </row>
    <row r="129">
      <c r="P129" s="346"/>
      <c r="Q129" s="346"/>
    </row>
    <row r="130">
      <c r="P130" s="346"/>
      <c r="Q130" s="346"/>
    </row>
    <row r="131">
      <c r="P131" s="346"/>
      <c r="Q131" s="346"/>
    </row>
    <row r="132">
      <c r="P132" s="346"/>
      <c r="Q132" s="346"/>
    </row>
    <row r="133">
      <c r="P133" s="346"/>
      <c r="Q133" s="346"/>
    </row>
    <row r="134">
      <c r="P134" s="346"/>
      <c r="Q134" s="346"/>
    </row>
    <row r="135">
      <c r="P135" s="346"/>
      <c r="Q135" s="346"/>
    </row>
    <row r="136">
      <c r="P136" s="346"/>
      <c r="Q136" s="346"/>
    </row>
    <row r="137">
      <c r="P137" s="346"/>
      <c r="Q137" s="346"/>
    </row>
    <row r="138">
      <c r="P138" s="346"/>
      <c r="Q138" s="346"/>
    </row>
    <row r="139">
      <c r="P139" s="346"/>
      <c r="Q139" s="346"/>
    </row>
    <row r="140">
      <c r="P140" s="346"/>
      <c r="Q140" s="346"/>
    </row>
    <row r="141">
      <c r="P141" s="346"/>
      <c r="Q141" s="346"/>
    </row>
    <row r="142">
      <c r="P142" s="346"/>
      <c r="Q142" s="346"/>
    </row>
    <row r="143">
      <c r="P143" s="346"/>
      <c r="Q143" s="346"/>
    </row>
    <row r="144">
      <c r="P144" s="346"/>
      <c r="Q144" s="346"/>
    </row>
    <row r="145">
      <c r="P145" s="346"/>
      <c r="Q145" s="346"/>
    </row>
    <row r="146">
      <c r="P146" s="346"/>
      <c r="Q146" s="346"/>
    </row>
    <row r="147">
      <c r="P147" s="346"/>
      <c r="Q147" s="346"/>
    </row>
    <row r="148">
      <c r="P148" s="346"/>
      <c r="Q148" s="346"/>
    </row>
    <row r="149">
      <c r="P149" s="346"/>
      <c r="Q149" s="346"/>
    </row>
    <row r="150">
      <c r="P150" s="346"/>
      <c r="Q150" s="346"/>
    </row>
    <row r="151">
      <c r="P151" s="346"/>
      <c r="Q151" s="346"/>
    </row>
    <row r="152">
      <c r="P152" s="346"/>
      <c r="Q152" s="346"/>
    </row>
    <row r="153">
      <c r="P153" s="346"/>
      <c r="Q153" s="346"/>
    </row>
    <row r="154">
      <c r="P154" s="346"/>
      <c r="Q154" s="346"/>
    </row>
    <row r="155">
      <c r="P155" s="346"/>
      <c r="Q155" s="346"/>
    </row>
    <row r="156">
      <c r="P156" s="346"/>
      <c r="Q156" s="346"/>
    </row>
    <row r="157">
      <c r="P157" s="346"/>
      <c r="Q157" s="346"/>
    </row>
    <row r="158">
      <c r="P158" s="346"/>
      <c r="Q158" s="346"/>
    </row>
    <row r="159">
      <c r="P159" s="346"/>
      <c r="Q159" s="346"/>
    </row>
    <row r="160">
      <c r="P160" s="346"/>
      <c r="Q160" s="346"/>
    </row>
    <row r="161">
      <c r="P161" s="346"/>
      <c r="Q161" s="346"/>
    </row>
    <row r="162">
      <c r="P162" s="346"/>
      <c r="Q162" s="346"/>
    </row>
    <row r="163">
      <c r="P163" s="346"/>
      <c r="Q163" s="346"/>
    </row>
    <row r="164">
      <c r="P164" s="346"/>
      <c r="Q164" s="346"/>
    </row>
    <row r="165">
      <c r="P165" s="346"/>
      <c r="Q165" s="346"/>
    </row>
    <row r="166">
      <c r="P166" s="346"/>
      <c r="Q166" s="346"/>
    </row>
    <row r="167">
      <c r="P167" s="346"/>
      <c r="Q167" s="346"/>
    </row>
    <row r="168">
      <c r="P168" s="346"/>
      <c r="Q168" s="346"/>
    </row>
    <row r="169">
      <c r="P169" s="346"/>
      <c r="Q169" s="346"/>
    </row>
    <row r="170">
      <c r="P170" s="346"/>
      <c r="Q170" s="346"/>
    </row>
    <row r="171">
      <c r="P171" s="346"/>
      <c r="Q171" s="346"/>
    </row>
    <row r="172">
      <c r="P172" s="346"/>
      <c r="Q172" s="346"/>
    </row>
    <row r="173">
      <c r="P173" s="346"/>
      <c r="Q173" s="346"/>
    </row>
    <row r="174">
      <c r="P174" s="346"/>
      <c r="Q174" s="346"/>
    </row>
    <row r="175">
      <c r="P175" s="346"/>
      <c r="Q175" s="346"/>
    </row>
    <row r="176">
      <c r="P176" s="346"/>
      <c r="Q176" s="346"/>
    </row>
    <row r="177">
      <c r="P177" s="346"/>
      <c r="Q177" s="346"/>
    </row>
    <row r="178">
      <c r="P178" s="346"/>
      <c r="Q178" s="346"/>
    </row>
    <row r="179">
      <c r="P179" s="346"/>
      <c r="Q179" s="346"/>
    </row>
    <row r="180">
      <c r="P180" s="346"/>
      <c r="Q180" s="346"/>
    </row>
    <row r="181">
      <c r="P181" s="346"/>
      <c r="Q181" s="346"/>
    </row>
    <row r="182">
      <c r="P182" s="346"/>
      <c r="Q182" s="346"/>
    </row>
    <row r="183">
      <c r="P183" s="346"/>
      <c r="Q183" s="346"/>
    </row>
    <row r="184">
      <c r="P184" s="346"/>
      <c r="Q184" s="346"/>
    </row>
    <row r="185">
      <c r="P185" s="346"/>
      <c r="Q185" s="346"/>
    </row>
    <row r="186">
      <c r="P186" s="346"/>
      <c r="Q186" s="346"/>
    </row>
    <row r="187">
      <c r="P187" s="346"/>
      <c r="Q187" s="346"/>
    </row>
    <row r="188">
      <c r="P188" s="346"/>
      <c r="Q188" s="346"/>
    </row>
    <row r="189">
      <c r="P189" s="346"/>
      <c r="Q189" s="346"/>
    </row>
    <row r="190">
      <c r="P190" s="346"/>
      <c r="Q190" s="346"/>
    </row>
    <row r="191">
      <c r="P191" s="346"/>
      <c r="Q191" s="346"/>
    </row>
    <row r="192">
      <c r="P192" s="346"/>
      <c r="Q192" s="346"/>
    </row>
    <row r="193">
      <c r="P193" s="346"/>
      <c r="Q193" s="346"/>
    </row>
    <row r="194">
      <c r="P194" s="346"/>
      <c r="Q194" s="346"/>
    </row>
    <row r="195">
      <c r="P195" s="346"/>
      <c r="Q195" s="346"/>
    </row>
    <row r="196">
      <c r="P196" s="346"/>
      <c r="Q196" s="346"/>
    </row>
    <row r="197">
      <c r="P197" s="346"/>
      <c r="Q197" s="346"/>
    </row>
    <row r="198">
      <c r="P198" s="346"/>
      <c r="Q198" s="346"/>
    </row>
    <row r="199">
      <c r="P199" s="346"/>
      <c r="Q199" s="346"/>
    </row>
    <row r="200">
      <c r="P200" s="346"/>
      <c r="Q200" s="346"/>
    </row>
    <row r="201">
      <c r="P201" s="346"/>
      <c r="Q201" s="346"/>
    </row>
    <row r="202">
      <c r="P202" s="346"/>
      <c r="Q202" s="346"/>
    </row>
    <row r="203">
      <c r="P203" s="346"/>
      <c r="Q203" s="346"/>
    </row>
    <row r="204">
      <c r="P204" s="346"/>
      <c r="Q204" s="346"/>
    </row>
    <row r="205">
      <c r="P205" s="346"/>
      <c r="Q205" s="346"/>
    </row>
    <row r="206">
      <c r="P206" s="346"/>
      <c r="Q206" s="346"/>
    </row>
    <row r="207">
      <c r="P207" s="346"/>
      <c r="Q207" s="346"/>
    </row>
    <row r="208">
      <c r="P208" s="346"/>
      <c r="Q208" s="346"/>
    </row>
    <row r="209">
      <c r="P209" s="346"/>
      <c r="Q209" s="346"/>
    </row>
    <row r="210">
      <c r="P210" s="346"/>
      <c r="Q210" s="346"/>
    </row>
    <row r="211">
      <c r="P211" s="346"/>
      <c r="Q211" s="346"/>
    </row>
    <row r="212">
      <c r="P212" s="346"/>
      <c r="Q212" s="346"/>
    </row>
    <row r="213">
      <c r="P213" s="346"/>
      <c r="Q213" s="346"/>
    </row>
    <row r="214">
      <c r="P214" s="346"/>
      <c r="Q214" s="346"/>
    </row>
    <row r="215">
      <c r="P215" s="346"/>
      <c r="Q215" s="346"/>
    </row>
    <row r="216">
      <c r="P216" s="346"/>
      <c r="Q216" s="346"/>
    </row>
    <row r="217">
      <c r="P217" s="346"/>
      <c r="Q217" s="346"/>
    </row>
    <row r="218">
      <c r="P218" s="346"/>
      <c r="Q218" s="346"/>
    </row>
    <row r="219">
      <c r="P219" s="346"/>
      <c r="Q219" s="346"/>
    </row>
    <row r="220">
      <c r="P220" s="346"/>
      <c r="Q220" s="346"/>
    </row>
    <row r="221">
      <c r="P221" s="346"/>
      <c r="Q221" s="346"/>
    </row>
    <row r="222">
      <c r="P222" s="346"/>
      <c r="Q222" s="346"/>
    </row>
    <row r="223">
      <c r="P223" s="346"/>
      <c r="Q223" s="346"/>
    </row>
    <row r="224">
      <c r="P224" s="346"/>
      <c r="Q224" s="346"/>
    </row>
    <row r="225">
      <c r="P225" s="346"/>
      <c r="Q225" s="346"/>
    </row>
    <row r="226">
      <c r="P226" s="346"/>
      <c r="Q226" s="346"/>
    </row>
    <row r="227">
      <c r="P227" s="346"/>
      <c r="Q227" s="346"/>
    </row>
    <row r="228">
      <c r="P228" s="346"/>
      <c r="Q228" s="346"/>
    </row>
    <row r="229">
      <c r="P229" s="346"/>
      <c r="Q229" s="346"/>
    </row>
    <row r="230">
      <c r="P230" s="346"/>
      <c r="Q230" s="346"/>
    </row>
    <row r="231">
      <c r="P231" s="346"/>
      <c r="Q231" s="346"/>
    </row>
    <row r="232">
      <c r="P232" s="346"/>
      <c r="Q232" s="346"/>
    </row>
    <row r="233">
      <c r="P233" s="346"/>
      <c r="Q233" s="346"/>
    </row>
    <row r="234">
      <c r="P234" s="346"/>
      <c r="Q234" s="346"/>
    </row>
    <row r="235">
      <c r="P235" s="346"/>
      <c r="Q235" s="346"/>
    </row>
    <row r="236">
      <c r="P236" s="346"/>
      <c r="Q236" s="346"/>
    </row>
    <row r="237">
      <c r="P237" s="346"/>
      <c r="Q237" s="346"/>
    </row>
    <row r="238">
      <c r="P238" s="346"/>
      <c r="Q238" s="346"/>
    </row>
    <row r="239">
      <c r="P239" s="346"/>
      <c r="Q239" s="346"/>
    </row>
    <row r="240">
      <c r="P240" s="346"/>
      <c r="Q240" s="346"/>
    </row>
    <row r="241">
      <c r="P241" s="346"/>
      <c r="Q241" s="346"/>
    </row>
    <row r="242">
      <c r="P242" s="346"/>
      <c r="Q242" s="346"/>
    </row>
    <row r="243">
      <c r="P243" s="346"/>
      <c r="Q243" s="346"/>
    </row>
    <row r="244">
      <c r="P244" s="346"/>
      <c r="Q244" s="346"/>
    </row>
    <row r="245">
      <c r="P245" s="346"/>
      <c r="Q245" s="346"/>
    </row>
    <row r="246">
      <c r="P246" s="346"/>
      <c r="Q246" s="346"/>
    </row>
    <row r="247">
      <c r="P247" s="346"/>
      <c r="Q247" s="346"/>
    </row>
    <row r="248">
      <c r="P248" s="346"/>
      <c r="Q248" s="346"/>
    </row>
    <row r="249">
      <c r="P249" s="346"/>
      <c r="Q249" s="346"/>
    </row>
    <row r="250">
      <c r="P250" s="346"/>
      <c r="Q250" s="346"/>
    </row>
    <row r="251">
      <c r="P251" s="346"/>
      <c r="Q251" s="346"/>
    </row>
    <row r="252">
      <c r="P252" s="346"/>
      <c r="Q252" s="346"/>
    </row>
    <row r="253">
      <c r="P253" s="346"/>
      <c r="Q253" s="346"/>
    </row>
    <row r="254">
      <c r="P254" s="346"/>
      <c r="Q254" s="346"/>
    </row>
    <row r="255">
      <c r="P255" s="346"/>
      <c r="Q255" s="346"/>
    </row>
    <row r="256">
      <c r="P256" s="346"/>
      <c r="Q256" s="346"/>
    </row>
    <row r="257">
      <c r="P257" s="346"/>
      <c r="Q257" s="346"/>
    </row>
    <row r="258">
      <c r="P258" s="346"/>
      <c r="Q258" s="346"/>
    </row>
    <row r="259">
      <c r="P259" s="346"/>
      <c r="Q259" s="346"/>
    </row>
    <row r="260">
      <c r="P260" s="346"/>
      <c r="Q260" s="346"/>
    </row>
    <row r="261">
      <c r="P261" s="346"/>
      <c r="Q261" s="346"/>
    </row>
    <row r="262">
      <c r="P262" s="346"/>
      <c r="Q262" s="346"/>
    </row>
    <row r="263">
      <c r="P263" s="346"/>
      <c r="Q263" s="346"/>
    </row>
    <row r="264">
      <c r="P264" s="346"/>
      <c r="Q264" s="346"/>
    </row>
    <row r="265">
      <c r="P265" s="346"/>
      <c r="Q265" s="346"/>
    </row>
    <row r="266">
      <c r="P266" s="346"/>
      <c r="Q266" s="346"/>
    </row>
    <row r="267">
      <c r="P267" s="346"/>
      <c r="Q267" s="346"/>
    </row>
    <row r="268">
      <c r="P268" s="346"/>
      <c r="Q268" s="346"/>
    </row>
    <row r="269">
      <c r="P269" s="346"/>
      <c r="Q269" s="346"/>
    </row>
    <row r="270">
      <c r="P270" s="346"/>
      <c r="Q270" s="346"/>
    </row>
    <row r="271">
      <c r="P271" s="346"/>
      <c r="Q271" s="346"/>
    </row>
    <row r="272">
      <c r="P272" s="346"/>
      <c r="Q272" s="346"/>
    </row>
    <row r="273">
      <c r="P273" s="346"/>
      <c r="Q273" s="346"/>
    </row>
    <row r="274">
      <c r="P274" s="346"/>
      <c r="Q274" s="346"/>
    </row>
    <row r="275">
      <c r="P275" s="346"/>
      <c r="Q275" s="346"/>
    </row>
    <row r="276">
      <c r="P276" s="346"/>
      <c r="Q276" s="346"/>
    </row>
    <row r="277">
      <c r="P277" s="346"/>
      <c r="Q277" s="346"/>
    </row>
    <row r="278">
      <c r="P278" s="346"/>
      <c r="Q278" s="346"/>
    </row>
    <row r="279">
      <c r="P279" s="346"/>
      <c r="Q279" s="346"/>
    </row>
    <row r="280">
      <c r="P280" s="346"/>
      <c r="Q280" s="346"/>
    </row>
    <row r="281">
      <c r="P281" s="346"/>
      <c r="Q281" s="346"/>
    </row>
    <row r="282">
      <c r="P282" s="346"/>
      <c r="Q282" s="346"/>
    </row>
    <row r="283">
      <c r="P283" s="346"/>
      <c r="Q283" s="346"/>
    </row>
    <row r="284">
      <c r="P284" s="346"/>
      <c r="Q284" s="346"/>
    </row>
    <row r="285">
      <c r="P285" s="346"/>
      <c r="Q285" s="346"/>
    </row>
    <row r="286">
      <c r="P286" s="346"/>
      <c r="Q286" s="346"/>
    </row>
    <row r="287">
      <c r="P287" s="346"/>
      <c r="Q287" s="346"/>
    </row>
    <row r="288">
      <c r="P288" s="346"/>
      <c r="Q288" s="346"/>
    </row>
    <row r="289">
      <c r="P289" s="346"/>
      <c r="Q289" s="346"/>
    </row>
    <row r="290">
      <c r="P290" s="346"/>
      <c r="Q290" s="346"/>
    </row>
    <row r="291">
      <c r="P291" s="346"/>
      <c r="Q291" s="346"/>
    </row>
    <row r="292">
      <c r="P292" s="346"/>
      <c r="Q292" s="346"/>
    </row>
    <row r="293">
      <c r="P293" s="346"/>
      <c r="Q293" s="346"/>
    </row>
    <row r="294">
      <c r="P294" s="346"/>
      <c r="Q294" s="346"/>
    </row>
    <row r="295">
      <c r="P295" s="346"/>
      <c r="Q295" s="346"/>
    </row>
    <row r="296">
      <c r="P296" s="346"/>
      <c r="Q296" s="346"/>
    </row>
    <row r="297">
      <c r="P297" s="346"/>
      <c r="Q297" s="346"/>
    </row>
    <row r="298">
      <c r="P298" s="346"/>
      <c r="Q298" s="346"/>
    </row>
    <row r="299">
      <c r="P299" s="346"/>
      <c r="Q299" s="346"/>
    </row>
    <row r="300">
      <c r="P300" s="346"/>
      <c r="Q300" s="346"/>
    </row>
    <row r="301">
      <c r="P301" s="346"/>
      <c r="Q301" s="346"/>
    </row>
    <row r="302">
      <c r="P302" s="346"/>
      <c r="Q302" s="346"/>
    </row>
    <row r="303">
      <c r="P303" s="346"/>
      <c r="Q303" s="346"/>
    </row>
    <row r="304">
      <c r="P304" s="346"/>
      <c r="Q304" s="346"/>
    </row>
    <row r="305">
      <c r="P305" s="346"/>
      <c r="Q305" s="346"/>
    </row>
    <row r="306">
      <c r="P306" s="346"/>
      <c r="Q306" s="346"/>
    </row>
    <row r="307">
      <c r="P307" s="346"/>
      <c r="Q307" s="346"/>
    </row>
    <row r="308">
      <c r="P308" s="346"/>
      <c r="Q308" s="346"/>
    </row>
    <row r="309">
      <c r="P309" s="346"/>
      <c r="Q309" s="346"/>
    </row>
    <row r="310">
      <c r="P310" s="346"/>
      <c r="Q310" s="346"/>
    </row>
    <row r="311">
      <c r="P311" s="346"/>
      <c r="Q311" s="346"/>
    </row>
    <row r="312">
      <c r="P312" s="346"/>
      <c r="Q312" s="346"/>
    </row>
    <row r="313">
      <c r="P313" s="346"/>
      <c r="Q313" s="346"/>
    </row>
    <row r="314">
      <c r="P314" s="346"/>
      <c r="Q314" s="346"/>
    </row>
    <row r="315">
      <c r="P315" s="346"/>
      <c r="Q315" s="346"/>
    </row>
    <row r="316">
      <c r="P316" s="346"/>
      <c r="Q316" s="346"/>
    </row>
    <row r="317">
      <c r="P317" s="346"/>
      <c r="Q317" s="346"/>
    </row>
    <row r="318">
      <c r="P318" s="346"/>
      <c r="Q318" s="346"/>
    </row>
    <row r="319">
      <c r="P319" s="346"/>
      <c r="Q319" s="346"/>
    </row>
    <row r="320">
      <c r="P320" s="346"/>
      <c r="Q320" s="346"/>
    </row>
    <row r="321">
      <c r="P321" s="346"/>
      <c r="Q321" s="346"/>
    </row>
    <row r="322">
      <c r="P322" s="346"/>
      <c r="Q322" s="346"/>
    </row>
    <row r="323">
      <c r="P323" s="346"/>
      <c r="Q323" s="346"/>
    </row>
    <row r="324">
      <c r="P324" s="346"/>
      <c r="Q324" s="346"/>
    </row>
    <row r="325">
      <c r="P325" s="346"/>
      <c r="Q325" s="346"/>
    </row>
    <row r="326">
      <c r="P326" s="346"/>
      <c r="Q326" s="346"/>
    </row>
    <row r="327">
      <c r="P327" s="346"/>
      <c r="Q327" s="346"/>
    </row>
    <row r="328">
      <c r="P328" s="346"/>
      <c r="Q328" s="346"/>
    </row>
    <row r="329">
      <c r="P329" s="346"/>
      <c r="Q329" s="346"/>
    </row>
    <row r="330">
      <c r="P330" s="346"/>
      <c r="Q330" s="346"/>
    </row>
    <row r="331">
      <c r="P331" s="346"/>
      <c r="Q331" s="346"/>
    </row>
    <row r="332">
      <c r="P332" s="346"/>
      <c r="Q332" s="346"/>
    </row>
    <row r="333">
      <c r="P333" s="346"/>
      <c r="Q333" s="346"/>
    </row>
    <row r="334">
      <c r="P334" s="346"/>
      <c r="Q334" s="346"/>
    </row>
    <row r="335">
      <c r="P335" s="346"/>
      <c r="Q335" s="346"/>
    </row>
    <row r="336">
      <c r="P336" s="346"/>
      <c r="Q336" s="346"/>
    </row>
    <row r="337">
      <c r="P337" s="346"/>
      <c r="Q337" s="346"/>
    </row>
    <row r="338">
      <c r="P338" s="346"/>
      <c r="Q338" s="346"/>
    </row>
    <row r="339">
      <c r="P339" s="346"/>
      <c r="Q339" s="346"/>
    </row>
    <row r="340">
      <c r="P340" s="346"/>
      <c r="Q340" s="346"/>
    </row>
    <row r="341">
      <c r="P341" s="346"/>
      <c r="Q341" s="346"/>
    </row>
    <row r="342">
      <c r="P342" s="346"/>
      <c r="Q342" s="346"/>
    </row>
    <row r="343">
      <c r="P343" s="346"/>
      <c r="Q343" s="346"/>
    </row>
    <row r="344">
      <c r="P344" s="346"/>
      <c r="Q344" s="346"/>
    </row>
    <row r="345">
      <c r="P345" s="346"/>
      <c r="Q345" s="346"/>
    </row>
    <row r="346">
      <c r="P346" s="346"/>
      <c r="Q346" s="346"/>
    </row>
    <row r="347">
      <c r="P347" s="346"/>
      <c r="Q347" s="346"/>
    </row>
    <row r="348">
      <c r="P348" s="346"/>
      <c r="Q348" s="346"/>
    </row>
    <row r="349">
      <c r="P349" s="346"/>
      <c r="Q349" s="346"/>
    </row>
    <row r="350">
      <c r="P350" s="346"/>
      <c r="Q350" s="346"/>
    </row>
    <row r="351">
      <c r="P351" s="346"/>
      <c r="Q351" s="346"/>
    </row>
    <row r="352">
      <c r="P352" s="346"/>
      <c r="Q352" s="346"/>
    </row>
    <row r="353">
      <c r="P353" s="346"/>
      <c r="Q353" s="346"/>
    </row>
    <row r="354">
      <c r="P354" s="346"/>
      <c r="Q354" s="346"/>
    </row>
    <row r="355">
      <c r="P355" s="346"/>
      <c r="Q355" s="346"/>
    </row>
    <row r="356">
      <c r="P356" s="346"/>
      <c r="Q356" s="346"/>
    </row>
    <row r="357">
      <c r="P357" s="346"/>
      <c r="Q357" s="346"/>
    </row>
    <row r="358">
      <c r="P358" s="346"/>
      <c r="Q358" s="346"/>
    </row>
    <row r="359">
      <c r="P359" s="346"/>
      <c r="Q359" s="346"/>
    </row>
    <row r="360">
      <c r="P360" s="346"/>
      <c r="Q360" s="346"/>
    </row>
    <row r="361">
      <c r="P361" s="346"/>
      <c r="Q361" s="346"/>
    </row>
    <row r="362">
      <c r="P362" s="346"/>
      <c r="Q362" s="346"/>
    </row>
    <row r="363">
      <c r="P363" s="346"/>
      <c r="Q363" s="346"/>
    </row>
    <row r="364">
      <c r="P364" s="346"/>
      <c r="Q364" s="346"/>
    </row>
    <row r="365">
      <c r="P365" s="346"/>
      <c r="Q365" s="346"/>
    </row>
    <row r="366">
      <c r="P366" s="346"/>
      <c r="Q366" s="346"/>
    </row>
    <row r="367">
      <c r="P367" s="346"/>
      <c r="Q367" s="346"/>
    </row>
    <row r="368">
      <c r="P368" s="346"/>
      <c r="Q368" s="346"/>
    </row>
    <row r="369">
      <c r="P369" s="346"/>
      <c r="Q369" s="346"/>
    </row>
    <row r="370">
      <c r="P370" s="346"/>
      <c r="Q370" s="346"/>
    </row>
    <row r="371">
      <c r="P371" s="346"/>
      <c r="Q371" s="346"/>
    </row>
    <row r="372">
      <c r="P372" s="346"/>
      <c r="Q372" s="346"/>
    </row>
    <row r="373">
      <c r="P373" s="346"/>
      <c r="Q373" s="346"/>
    </row>
    <row r="374">
      <c r="P374" s="346"/>
      <c r="Q374" s="346"/>
    </row>
    <row r="375">
      <c r="P375" s="346"/>
      <c r="Q375" s="346"/>
    </row>
    <row r="376">
      <c r="P376" s="346"/>
      <c r="Q376" s="346"/>
    </row>
    <row r="377">
      <c r="P377" s="346"/>
      <c r="Q377" s="346"/>
    </row>
    <row r="378">
      <c r="P378" s="346"/>
      <c r="Q378" s="346"/>
    </row>
    <row r="379">
      <c r="P379" s="346"/>
      <c r="Q379" s="346"/>
    </row>
    <row r="380">
      <c r="P380" s="346"/>
      <c r="Q380" s="346"/>
    </row>
    <row r="381">
      <c r="P381" s="346"/>
      <c r="Q381" s="346"/>
    </row>
    <row r="382">
      <c r="P382" s="346"/>
      <c r="Q382" s="346"/>
    </row>
    <row r="383">
      <c r="P383" s="346"/>
      <c r="Q383" s="346"/>
    </row>
    <row r="384">
      <c r="P384" s="346"/>
      <c r="Q384" s="346"/>
    </row>
    <row r="385">
      <c r="P385" s="346"/>
      <c r="Q385" s="346"/>
    </row>
    <row r="386">
      <c r="P386" s="346"/>
      <c r="Q386" s="346"/>
    </row>
    <row r="387">
      <c r="P387" s="346"/>
      <c r="Q387" s="346"/>
    </row>
    <row r="388">
      <c r="P388" s="346"/>
      <c r="Q388" s="346"/>
    </row>
    <row r="389">
      <c r="P389" s="346"/>
      <c r="Q389" s="346"/>
    </row>
    <row r="390">
      <c r="P390" s="346"/>
      <c r="Q390" s="346"/>
    </row>
    <row r="391">
      <c r="P391" s="346"/>
      <c r="Q391" s="346"/>
    </row>
    <row r="392">
      <c r="P392" s="346"/>
      <c r="Q392" s="346"/>
    </row>
    <row r="393">
      <c r="P393" s="346"/>
      <c r="Q393" s="346"/>
    </row>
    <row r="394">
      <c r="P394" s="346"/>
      <c r="Q394" s="346"/>
    </row>
    <row r="395">
      <c r="P395" s="346"/>
      <c r="Q395" s="346"/>
    </row>
    <row r="396">
      <c r="P396" s="346"/>
      <c r="Q396" s="346"/>
    </row>
    <row r="397">
      <c r="P397" s="346"/>
      <c r="Q397" s="346"/>
    </row>
    <row r="398">
      <c r="P398" s="346"/>
      <c r="Q398" s="346"/>
    </row>
    <row r="399">
      <c r="P399" s="346"/>
      <c r="Q399" s="346"/>
    </row>
    <row r="400">
      <c r="P400" s="346"/>
      <c r="Q400" s="346"/>
    </row>
    <row r="401">
      <c r="P401" s="346"/>
      <c r="Q401" s="346"/>
    </row>
    <row r="402">
      <c r="P402" s="346"/>
      <c r="Q402" s="346"/>
    </row>
    <row r="403">
      <c r="P403" s="346"/>
      <c r="Q403" s="346"/>
    </row>
    <row r="404">
      <c r="P404" s="346"/>
      <c r="Q404" s="346"/>
    </row>
    <row r="405">
      <c r="P405" s="346"/>
      <c r="Q405" s="346"/>
    </row>
    <row r="406">
      <c r="P406" s="346"/>
      <c r="Q406" s="346"/>
    </row>
    <row r="407">
      <c r="P407" s="346"/>
      <c r="Q407" s="346"/>
    </row>
    <row r="408">
      <c r="P408" s="346"/>
      <c r="Q408" s="346"/>
    </row>
    <row r="409">
      <c r="P409" s="346"/>
      <c r="Q409" s="346"/>
    </row>
    <row r="410">
      <c r="P410" s="346"/>
      <c r="Q410" s="346"/>
    </row>
    <row r="411">
      <c r="P411" s="346"/>
      <c r="Q411" s="346"/>
    </row>
    <row r="412">
      <c r="P412" s="346"/>
      <c r="Q412" s="346"/>
    </row>
    <row r="413">
      <c r="P413" s="346"/>
      <c r="Q413" s="346"/>
    </row>
    <row r="414">
      <c r="P414" s="346"/>
      <c r="Q414" s="346"/>
    </row>
    <row r="415">
      <c r="P415" s="346"/>
      <c r="Q415" s="346"/>
    </row>
    <row r="416">
      <c r="P416" s="346"/>
      <c r="Q416" s="346"/>
    </row>
    <row r="417">
      <c r="P417" s="346"/>
      <c r="Q417" s="346"/>
    </row>
    <row r="418">
      <c r="P418" s="346"/>
      <c r="Q418" s="346"/>
    </row>
    <row r="419">
      <c r="P419" s="346"/>
      <c r="Q419" s="346"/>
    </row>
    <row r="420">
      <c r="P420" s="346"/>
      <c r="Q420" s="346"/>
    </row>
    <row r="421">
      <c r="P421" s="346"/>
      <c r="Q421" s="346"/>
    </row>
    <row r="422">
      <c r="P422" s="346"/>
      <c r="Q422" s="346"/>
    </row>
    <row r="423">
      <c r="P423" s="346"/>
      <c r="Q423" s="346"/>
    </row>
    <row r="424">
      <c r="P424" s="346"/>
      <c r="Q424" s="346"/>
    </row>
    <row r="425">
      <c r="P425" s="346"/>
      <c r="Q425" s="346"/>
    </row>
    <row r="426">
      <c r="P426" s="346"/>
      <c r="Q426" s="346"/>
    </row>
    <row r="427">
      <c r="P427" s="346"/>
      <c r="Q427" s="346"/>
    </row>
    <row r="428">
      <c r="P428" s="346"/>
      <c r="Q428" s="346"/>
    </row>
    <row r="429">
      <c r="P429" s="346"/>
      <c r="Q429" s="346"/>
    </row>
    <row r="430">
      <c r="P430" s="346"/>
      <c r="Q430" s="346"/>
    </row>
    <row r="431">
      <c r="P431" s="346"/>
      <c r="Q431" s="346"/>
    </row>
    <row r="432">
      <c r="P432" s="346"/>
      <c r="Q432" s="346"/>
    </row>
    <row r="433">
      <c r="P433" s="346"/>
      <c r="Q433" s="346"/>
    </row>
    <row r="434">
      <c r="P434" s="346"/>
      <c r="Q434" s="346"/>
    </row>
    <row r="435">
      <c r="P435" s="346"/>
      <c r="Q435" s="346"/>
    </row>
    <row r="436">
      <c r="P436" s="346"/>
      <c r="Q436" s="346"/>
    </row>
    <row r="437">
      <c r="P437" s="346"/>
      <c r="Q437" s="346"/>
    </row>
    <row r="438">
      <c r="P438" s="346"/>
      <c r="Q438" s="346"/>
    </row>
    <row r="439">
      <c r="P439" s="346"/>
      <c r="Q439" s="346"/>
    </row>
    <row r="440">
      <c r="P440" s="346"/>
      <c r="Q440" s="346"/>
    </row>
    <row r="441">
      <c r="P441" s="346"/>
      <c r="Q441" s="346"/>
    </row>
    <row r="442">
      <c r="P442" s="346"/>
      <c r="Q442" s="346"/>
    </row>
    <row r="443">
      <c r="P443" s="346"/>
      <c r="Q443" s="346"/>
    </row>
    <row r="444">
      <c r="P444" s="346"/>
      <c r="Q444" s="346"/>
    </row>
    <row r="445">
      <c r="P445" s="346"/>
      <c r="Q445" s="346"/>
    </row>
    <row r="446">
      <c r="P446" s="346"/>
      <c r="Q446" s="346"/>
    </row>
    <row r="447">
      <c r="P447" s="346"/>
      <c r="Q447" s="346"/>
    </row>
    <row r="448">
      <c r="P448" s="346"/>
      <c r="Q448" s="346"/>
    </row>
    <row r="449">
      <c r="P449" s="346"/>
      <c r="Q449" s="346"/>
    </row>
    <row r="450">
      <c r="P450" s="346"/>
      <c r="Q450" s="346"/>
    </row>
    <row r="451">
      <c r="P451" s="346"/>
      <c r="Q451" s="346"/>
    </row>
    <row r="452">
      <c r="P452" s="346"/>
      <c r="Q452" s="346"/>
    </row>
    <row r="453">
      <c r="P453" s="346"/>
      <c r="Q453" s="346"/>
    </row>
    <row r="454">
      <c r="P454" s="346"/>
      <c r="Q454" s="346"/>
    </row>
    <row r="455">
      <c r="P455" s="346"/>
      <c r="Q455" s="346"/>
    </row>
    <row r="456">
      <c r="P456" s="346"/>
      <c r="Q456" s="346"/>
    </row>
    <row r="457">
      <c r="P457" s="346"/>
      <c r="Q457" s="346"/>
    </row>
    <row r="458">
      <c r="P458" s="346"/>
      <c r="Q458" s="346"/>
    </row>
    <row r="459">
      <c r="P459" s="346"/>
      <c r="Q459" s="346"/>
    </row>
    <row r="460">
      <c r="P460" s="346"/>
      <c r="Q460" s="346"/>
    </row>
    <row r="461">
      <c r="P461" s="346"/>
      <c r="Q461" s="346"/>
    </row>
    <row r="462">
      <c r="P462" s="346"/>
      <c r="Q462" s="346"/>
    </row>
    <row r="463">
      <c r="P463" s="346"/>
      <c r="Q463" s="346"/>
    </row>
    <row r="464">
      <c r="P464" s="346"/>
      <c r="Q464" s="346"/>
    </row>
    <row r="465">
      <c r="P465" s="346"/>
      <c r="Q465" s="346"/>
    </row>
    <row r="466">
      <c r="P466" s="346"/>
      <c r="Q466" s="346"/>
    </row>
    <row r="467">
      <c r="P467" s="346"/>
      <c r="Q467" s="346"/>
    </row>
    <row r="468">
      <c r="P468" s="346"/>
      <c r="Q468" s="346"/>
    </row>
    <row r="469">
      <c r="P469" s="346"/>
      <c r="Q469" s="346"/>
    </row>
    <row r="470">
      <c r="P470" s="346"/>
      <c r="Q470" s="346"/>
    </row>
    <row r="471">
      <c r="P471" s="346"/>
      <c r="Q471" s="346"/>
    </row>
    <row r="472">
      <c r="P472" s="346"/>
      <c r="Q472" s="346"/>
    </row>
    <row r="473">
      <c r="P473" s="346"/>
      <c r="Q473" s="346"/>
    </row>
    <row r="474">
      <c r="P474" s="346"/>
      <c r="Q474" s="346"/>
    </row>
    <row r="475">
      <c r="P475" s="346"/>
      <c r="Q475" s="346"/>
    </row>
    <row r="476">
      <c r="P476" s="346"/>
      <c r="Q476" s="346"/>
    </row>
    <row r="477">
      <c r="P477" s="346"/>
      <c r="Q477" s="346"/>
    </row>
    <row r="478">
      <c r="P478" s="346"/>
      <c r="Q478" s="346"/>
    </row>
    <row r="479">
      <c r="P479" s="346"/>
      <c r="Q479" s="346"/>
    </row>
    <row r="480">
      <c r="P480" s="346"/>
      <c r="Q480" s="346"/>
    </row>
    <row r="481">
      <c r="P481" s="346"/>
      <c r="Q481" s="346"/>
    </row>
    <row r="482">
      <c r="P482" s="346"/>
      <c r="Q482" s="346"/>
    </row>
    <row r="483">
      <c r="P483" s="346"/>
      <c r="Q483" s="346"/>
    </row>
    <row r="484">
      <c r="P484" s="346"/>
      <c r="Q484" s="346"/>
    </row>
    <row r="485">
      <c r="P485" s="346"/>
      <c r="Q485" s="346"/>
    </row>
    <row r="486">
      <c r="P486" s="346"/>
      <c r="Q486" s="346"/>
    </row>
    <row r="487">
      <c r="P487" s="346"/>
      <c r="Q487" s="346"/>
    </row>
    <row r="488">
      <c r="P488" s="346"/>
      <c r="Q488" s="346"/>
    </row>
    <row r="489">
      <c r="P489" s="346"/>
      <c r="Q489" s="346"/>
    </row>
    <row r="490">
      <c r="P490" s="346"/>
      <c r="Q490" s="346"/>
    </row>
    <row r="491">
      <c r="P491" s="346"/>
      <c r="Q491" s="346"/>
    </row>
    <row r="492">
      <c r="P492" s="346"/>
      <c r="Q492" s="346"/>
    </row>
    <row r="493">
      <c r="P493" s="346"/>
      <c r="Q493" s="346"/>
    </row>
    <row r="494">
      <c r="P494" s="346"/>
      <c r="Q494" s="346"/>
    </row>
    <row r="495">
      <c r="P495" s="346"/>
      <c r="Q495" s="346"/>
    </row>
    <row r="496">
      <c r="P496" s="346"/>
      <c r="Q496" s="346"/>
    </row>
    <row r="497">
      <c r="P497" s="346"/>
      <c r="Q497" s="346"/>
    </row>
    <row r="498">
      <c r="P498" s="346"/>
      <c r="Q498" s="346"/>
    </row>
    <row r="499">
      <c r="P499" s="346"/>
      <c r="Q499" s="346"/>
    </row>
    <row r="500">
      <c r="P500" s="346"/>
      <c r="Q500" s="346"/>
    </row>
    <row r="501">
      <c r="P501" s="346"/>
      <c r="Q501" s="346"/>
    </row>
    <row r="502">
      <c r="P502" s="346"/>
      <c r="Q502" s="346"/>
    </row>
    <row r="503">
      <c r="P503" s="346"/>
      <c r="Q503" s="346"/>
    </row>
    <row r="504">
      <c r="P504" s="346"/>
      <c r="Q504" s="346"/>
    </row>
    <row r="505">
      <c r="P505" s="346"/>
      <c r="Q505" s="346"/>
    </row>
    <row r="506">
      <c r="P506" s="346"/>
      <c r="Q506" s="346"/>
    </row>
    <row r="507">
      <c r="P507" s="346"/>
      <c r="Q507" s="346"/>
    </row>
    <row r="508">
      <c r="P508" s="346"/>
      <c r="Q508" s="346"/>
    </row>
    <row r="509">
      <c r="P509" s="346"/>
      <c r="Q509" s="346"/>
    </row>
    <row r="510">
      <c r="P510" s="346"/>
      <c r="Q510" s="346"/>
    </row>
    <row r="511">
      <c r="P511" s="346"/>
      <c r="Q511" s="346"/>
    </row>
    <row r="512">
      <c r="P512" s="346"/>
      <c r="Q512" s="346"/>
    </row>
    <row r="513">
      <c r="P513" s="346"/>
      <c r="Q513" s="346"/>
    </row>
    <row r="514">
      <c r="P514" s="346"/>
      <c r="Q514" s="346"/>
    </row>
    <row r="515">
      <c r="P515" s="346"/>
      <c r="Q515" s="346"/>
    </row>
    <row r="516">
      <c r="P516" s="346"/>
      <c r="Q516" s="346"/>
    </row>
    <row r="517">
      <c r="P517" s="346"/>
      <c r="Q517" s="346"/>
    </row>
    <row r="518">
      <c r="P518" s="346"/>
      <c r="Q518" s="346"/>
    </row>
    <row r="519">
      <c r="P519" s="346"/>
      <c r="Q519" s="346"/>
    </row>
    <row r="520">
      <c r="P520" s="346"/>
      <c r="Q520" s="346"/>
    </row>
    <row r="521">
      <c r="P521" s="346"/>
      <c r="Q521" s="346"/>
    </row>
    <row r="522">
      <c r="P522" s="346"/>
      <c r="Q522" s="346"/>
    </row>
    <row r="523">
      <c r="P523" s="346"/>
      <c r="Q523" s="346"/>
    </row>
    <row r="524">
      <c r="P524" s="346"/>
      <c r="Q524" s="346"/>
    </row>
    <row r="525">
      <c r="P525" s="346"/>
      <c r="Q525" s="346"/>
    </row>
    <row r="526">
      <c r="P526" s="346"/>
      <c r="Q526" s="346"/>
    </row>
    <row r="527">
      <c r="P527" s="346"/>
      <c r="Q527" s="346"/>
    </row>
    <row r="528">
      <c r="P528" s="346"/>
      <c r="Q528" s="346"/>
    </row>
    <row r="529">
      <c r="P529" s="346"/>
      <c r="Q529" s="346"/>
    </row>
    <row r="530">
      <c r="P530" s="346"/>
      <c r="Q530" s="346"/>
    </row>
    <row r="531">
      <c r="P531" s="346"/>
      <c r="Q531" s="346"/>
    </row>
    <row r="532">
      <c r="P532" s="346"/>
      <c r="Q532" s="346"/>
    </row>
    <row r="533">
      <c r="P533" s="346"/>
      <c r="Q533" s="346"/>
    </row>
    <row r="534">
      <c r="P534" s="346"/>
      <c r="Q534" s="346"/>
    </row>
    <row r="535">
      <c r="P535" s="346"/>
      <c r="Q535" s="346"/>
    </row>
    <row r="536">
      <c r="P536" s="346"/>
      <c r="Q536" s="346"/>
    </row>
    <row r="537">
      <c r="P537" s="346"/>
      <c r="Q537" s="346"/>
    </row>
    <row r="538">
      <c r="P538" s="346"/>
      <c r="Q538" s="346"/>
    </row>
    <row r="539">
      <c r="P539" s="346"/>
      <c r="Q539" s="346"/>
    </row>
    <row r="540">
      <c r="P540" s="346"/>
      <c r="Q540" s="346"/>
    </row>
    <row r="541">
      <c r="P541" s="346"/>
      <c r="Q541" s="346"/>
    </row>
    <row r="542">
      <c r="P542" s="346"/>
      <c r="Q542" s="346"/>
    </row>
    <row r="543">
      <c r="P543" s="346"/>
      <c r="Q543" s="346"/>
    </row>
    <row r="544">
      <c r="P544" s="346"/>
      <c r="Q544" s="346"/>
    </row>
    <row r="545">
      <c r="P545" s="346"/>
      <c r="Q545" s="346"/>
    </row>
    <row r="546">
      <c r="P546" s="346"/>
      <c r="Q546" s="346"/>
    </row>
    <row r="547">
      <c r="P547" s="346"/>
      <c r="Q547" s="346"/>
    </row>
    <row r="548">
      <c r="P548" s="346"/>
      <c r="Q548" s="346"/>
    </row>
    <row r="549">
      <c r="P549" s="346"/>
      <c r="Q549" s="346"/>
    </row>
    <row r="550">
      <c r="P550" s="346"/>
      <c r="Q550" s="346"/>
    </row>
    <row r="551">
      <c r="P551" s="346"/>
      <c r="Q551" s="346"/>
    </row>
    <row r="552">
      <c r="P552" s="346"/>
      <c r="Q552" s="346"/>
    </row>
    <row r="553">
      <c r="P553" s="346"/>
      <c r="Q553" s="346"/>
    </row>
    <row r="554">
      <c r="P554" s="346"/>
      <c r="Q554" s="346"/>
    </row>
    <row r="555">
      <c r="P555" s="346"/>
      <c r="Q555" s="346"/>
    </row>
    <row r="556">
      <c r="P556" s="346"/>
      <c r="Q556" s="346"/>
    </row>
    <row r="557">
      <c r="P557" s="346"/>
      <c r="Q557" s="346"/>
    </row>
    <row r="558">
      <c r="P558" s="346"/>
      <c r="Q558" s="346"/>
    </row>
    <row r="559">
      <c r="P559" s="346"/>
      <c r="Q559" s="346"/>
    </row>
    <row r="560">
      <c r="P560" s="346"/>
      <c r="Q560" s="346"/>
    </row>
    <row r="561">
      <c r="P561" s="346"/>
      <c r="Q561" s="346"/>
    </row>
    <row r="562">
      <c r="P562" s="346"/>
      <c r="Q562" s="346"/>
    </row>
    <row r="563">
      <c r="P563" s="346"/>
      <c r="Q563" s="346"/>
    </row>
    <row r="564">
      <c r="P564" s="346"/>
      <c r="Q564" s="346"/>
    </row>
    <row r="565">
      <c r="P565" s="346"/>
      <c r="Q565" s="346"/>
    </row>
    <row r="566">
      <c r="P566" s="346"/>
      <c r="Q566" s="346"/>
    </row>
    <row r="567">
      <c r="P567" s="346"/>
      <c r="Q567" s="346"/>
    </row>
    <row r="568">
      <c r="P568" s="346"/>
      <c r="Q568" s="346"/>
    </row>
    <row r="569">
      <c r="P569" s="346"/>
      <c r="Q569" s="346"/>
    </row>
    <row r="570">
      <c r="P570" s="346"/>
      <c r="Q570" s="346"/>
    </row>
    <row r="571">
      <c r="P571" s="346"/>
      <c r="Q571" s="346"/>
    </row>
    <row r="572">
      <c r="P572" s="346"/>
      <c r="Q572" s="346"/>
    </row>
    <row r="573">
      <c r="P573" s="346"/>
      <c r="Q573" s="346"/>
    </row>
    <row r="574">
      <c r="P574" s="346"/>
      <c r="Q574" s="346"/>
    </row>
    <row r="575">
      <c r="P575" s="346"/>
      <c r="Q575" s="346"/>
    </row>
    <row r="576">
      <c r="P576" s="346"/>
      <c r="Q576" s="346"/>
    </row>
    <row r="577">
      <c r="P577" s="346"/>
      <c r="Q577" s="346"/>
    </row>
    <row r="578">
      <c r="P578" s="346"/>
      <c r="Q578" s="346"/>
    </row>
    <row r="579">
      <c r="P579" s="346"/>
      <c r="Q579" s="346"/>
    </row>
    <row r="580">
      <c r="P580" s="346"/>
      <c r="Q580" s="346"/>
    </row>
    <row r="581">
      <c r="P581" s="346"/>
      <c r="Q581" s="346"/>
    </row>
    <row r="582">
      <c r="P582" s="346"/>
      <c r="Q582" s="346"/>
    </row>
    <row r="583">
      <c r="P583" s="346"/>
      <c r="Q583" s="346"/>
    </row>
    <row r="584">
      <c r="P584" s="346"/>
      <c r="Q584" s="346"/>
    </row>
    <row r="585">
      <c r="P585" s="346"/>
      <c r="Q585" s="346"/>
    </row>
    <row r="586">
      <c r="P586" s="346"/>
      <c r="Q586" s="346"/>
    </row>
    <row r="587">
      <c r="P587" s="346"/>
      <c r="Q587" s="346"/>
    </row>
    <row r="588">
      <c r="P588" s="346"/>
      <c r="Q588" s="346"/>
    </row>
    <row r="589">
      <c r="P589" s="346"/>
      <c r="Q589" s="346"/>
    </row>
    <row r="590">
      <c r="P590" s="346"/>
      <c r="Q590" s="346"/>
    </row>
    <row r="591">
      <c r="P591" s="346"/>
      <c r="Q591" s="346"/>
    </row>
    <row r="592">
      <c r="P592" s="346"/>
      <c r="Q592" s="346"/>
    </row>
    <row r="593">
      <c r="P593" s="346"/>
      <c r="Q593" s="346"/>
    </row>
    <row r="594">
      <c r="P594" s="346"/>
      <c r="Q594" s="346"/>
    </row>
    <row r="595">
      <c r="P595" s="346"/>
      <c r="Q595" s="346"/>
    </row>
    <row r="596">
      <c r="P596" s="346"/>
      <c r="Q596" s="346"/>
    </row>
    <row r="597">
      <c r="P597" s="346"/>
      <c r="Q597" s="346"/>
    </row>
    <row r="598">
      <c r="P598" s="346"/>
      <c r="Q598" s="346"/>
    </row>
    <row r="599">
      <c r="P599" s="346"/>
      <c r="Q599" s="346"/>
    </row>
    <row r="600">
      <c r="P600" s="346"/>
      <c r="Q600" s="346"/>
    </row>
    <row r="601">
      <c r="P601" s="346"/>
      <c r="Q601" s="346"/>
    </row>
    <row r="602">
      <c r="P602" s="346"/>
      <c r="Q602" s="346"/>
    </row>
    <row r="603">
      <c r="P603" s="346"/>
      <c r="Q603" s="346"/>
    </row>
    <row r="604">
      <c r="P604" s="346"/>
      <c r="Q604" s="346"/>
    </row>
    <row r="605">
      <c r="P605" s="346"/>
      <c r="Q605" s="346"/>
    </row>
    <row r="606">
      <c r="P606" s="346"/>
      <c r="Q606" s="346"/>
    </row>
    <row r="607">
      <c r="P607" s="346"/>
      <c r="Q607" s="346"/>
    </row>
    <row r="608">
      <c r="P608" s="346"/>
      <c r="Q608" s="346"/>
    </row>
    <row r="609">
      <c r="P609" s="346"/>
      <c r="Q609" s="346"/>
    </row>
    <row r="610">
      <c r="P610" s="346"/>
      <c r="Q610" s="346"/>
    </row>
    <row r="611">
      <c r="P611" s="346"/>
      <c r="Q611" s="346"/>
    </row>
    <row r="612">
      <c r="P612" s="346"/>
      <c r="Q612" s="346"/>
    </row>
    <row r="613">
      <c r="P613" s="346"/>
      <c r="Q613" s="346"/>
    </row>
    <row r="614">
      <c r="P614" s="346"/>
      <c r="Q614" s="346"/>
    </row>
    <row r="615">
      <c r="P615" s="346"/>
      <c r="Q615" s="346"/>
    </row>
    <row r="616">
      <c r="P616" s="346"/>
      <c r="Q616" s="346"/>
    </row>
    <row r="617">
      <c r="P617" s="346"/>
      <c r="Q617" s="346"/>
    </row>
    <row r="618">
      <c r="P618" s="346"/>
      <c r="Q618" s="346"/>
    </row>
    <row r="619">
      <c r="P619" s="346"/>
      <c r="Q619" s="346"/>
    </row>
    <row r="620">
      <c r="P620" s="346"/>
      <c r="Q620" s="346"/>
    </row>
    <row r="621">
      <c r="P621" s="346"/>
      <c r="Q621" s="346"/>
    </row>
    <row r="622">
      <c r="P622" s="346"/>
      <c r="Q622" s="346"/>
    </row>
    <row r="623">
      <c r="P623" s="346"/>
      <c r="Q623" s="346"/>
    </row>
    <row r="624">
      <c r="P624" s="346"/>
      <c r="Q624" s="346"/>
    </row>
    <row r="625">
      <c r="P625" s="346"/>
      <c r="Q625" s="346"/>
    </row>
    <row r="626">
      <c r="P626" s="346"/>
      <c r="Q626" s="346"/>
    </row>
    <row r="627">
      <c r="P627" s="346"/>
      <c r="Q627" s="346"/>
    </row>
    <row r="628">
      <c r="P628" s="346"/>
      <c r="Q628" s="346"/>
    </row>
    <row r="629">
      <c r="P629" s="346"/>
      <c r="Q629" s="346"/>
    </row>
    <row r="630">
      <c r="P630" s="346"/>
      <c r="Q630" s="346"/>
    </row>
    <row r="631">
      <c r="P631" s="346"/>
      <c r="Q631" s="346"/>
    </row>
    <row r="632">
      <c r="P632" s="346"/>
      <c r="Q632" s="346"/>
    </row>
    <row r="633">
      <c r="P633" s="346"/>
      <c r="Q633" s="346"/>
    </row>
    <row r="634">
      <c r="P634" s="346"/>
      <c r="Q634" s="346"/>
    </row>
    <row r="635">
      <c r="P635" s="346"/>
      <c r="Q635" s="346"/>
    </row>
    <row r="636">
      <c r="P636" s="346"/>
      <c r="Q636" s="346"/>
    </row>
    <row r="637">
      <c r="P637" s="346"/>
      <c r="Q637" s="346"/>
    </row>
    <row r="638">
      <c r="P638" s="346"/>
      <c r="Q638" s="346"/>
    </row>
    <row r="639">
      <c r="P639" s="346"/>
      <c r="Q639" s="346"/>
    </row>
    <row r="640">
      <c r="P640" s="346"/>
      <c r="Q640" s="346"/>
    </row>
    <row r="641">
      <c r="P641" s="346"/>
      <c r="Q641" s="346"/>
    </row>
    <row r="642">
      <c r="P642" s="346"/>
      <c r="Q642" s="346"/>
    </row>
    <row r="643">
      <c r="P643" s="346"/>
      <c r="Q643" s="346"/>
    </row>
    <row r="644">
      <c r="P644" s="346"/>
      <c r="Q644" s="346"/>
    </row>
    <row r="645">
      <c r="P645" s="346"/>
      <c r="Q645" s="346"/>
    </row>
    <row r="646">
      <c r="P646" s="346"/>
      <c r="Q646" s="346"/>
    </row>
    <row r="647">
      <c r="P647" s="346"/>
      <c r="Q647" s="346"/>
    </row>
    <row r="648">
      <c r="P648" s="346"/>
      <c r="Q648" s="346"/>
    </row>
    <row r="649">
      <c r="P649" s="346"/>
      <c r="Q649" s="346"/>
    </row>
    <row r="650">
      <c r="P650" s="346"/>
      <c r="Q650" s="346"/>
    </row>
    <row r="651">
      <c r="P651" s="346"/>
      <c r="Q651" s="346"/>
    </row>
    <row r="652">
      <c r="P652" s="346"/>
      <c r="Q652" s="346"/>
    </row>
    <row r="653">
      <c r="P653" s="346"/>
      <c r="Q653" s="346"/>
    </row>
    <row r="654">
      <c r="P654" s="346"/>
      <c r="Q654" s="346"/>
    </row>
    <row r="655">
      <c r="P655" s="346"/>
      <c r="Q655" s="346"/>
    </row>
    <row r="656">
      <c r="P656" s="346"/>
      <c r="Q656" s="346"/>
    </row>
    <row r="657">
      <c r="P657" s="346"/>
      <c r="Q657" s="346"/>
    </row>
    <row r="658">
      <c r="P658" s="346"/>
      <c r="Q658" s="346"/>
    </row>
    <row r="659">
      <c r="P659" s="346"/>
      <c r="Q659" s="346"/>
    </row>
    <row r="660">
      <c r="P660" s="346"/>
      <c r="Q660" s="346"/>
    </row>
    <row r="661">
      <c r="P661" s="346"/>
      <c r="Q661" s="346"/>
    </row>
    <row r="662">
      <c r="P662" s="346"/>
      <c r="Q662" s="346"/>
    </row>
    <row r="663">
      <c r="P663" s="346"/>
      <c r="Q663" s="346"/>
    </row>
    <row r="664">
      <c r="P664" s="346"/>
      <c r="Q664" s="346"/>
    </row>
    <row r="665">
      <c r="P665" s="346"/>
      <c r="Q665" s="346"/>
    </row>
    <row r="666">
      <c r="P666" s="346"/>
      <c r="Q666" s="346"/>
    </row>
    <row r="667">
      <c r="P667" s="346"/>
      <c r="Q667" s="346"/>
    </row>
    <row r="668">
      <c r="P668" s="346"/>
      <c r="Q668" s="346"/>
    </row>
    <row r="669">
      <c r="P669" s="346"/>
      <c r="Q669" s="346"/>
    </row>
    <row r="670">
      <c r="P670" s="346"/>
      <c r="Q670" s="346"/>
    </row>
    <row r="671">
      <c r="P671" s="346"/>
      <c r="Q671" s="346"/>
    </row>
    <row r="672">
      <c r="P672" s="346"/>
      <c r="Q672" s="346"/>
    </row>
    <row r="673">
      <c r="P673" s="346"/>
      <c r="Q673" s="346"/>
    </row>
    <row r="674">
      <c r="P674" s="346"/>
      <c r="Q674" s="346"/>
    </row>
    <row r="675">
      <c r="P675" s="346"/>
      <c r="Q675" s="346"/>
    </row>
    <row r="676">
      <c r="P676" s="346"/>
      <c r="Q676" s="346"/>
    </row>
    <row r="677">
      <c r="P677" s="346"/>
      <c r="Q677" s="346"/>
    </row>
    <row r="678">
      <c r="P678" s="346"/>
      <c r="Q678" s="346"/>
    </row>
    <row r="679">
      <c r="P679" s="346"/>
      <c r="Q679" s="346"/>
    </row>
    <row r="680">
      <c r="P680" s="346"/>
      <c r="Q680" s="346"/>
    </row>
    <row r="681">
      <c r="P681" s="346"/>
      <c r="Q681" s="346"/>
    </row>
    <row r="682">
      <c r="P682" s="346"/>
      <c r="Q682" s="346"/>
    </row>
    <row r="683">
      <c r="P683" s="346"/>
      <c r="Q683" s="346"/>
    </row>
    <row r="684">
      <c r="P684" s="346"/>
      <c r="Q684" s="346"/>
    </row>
    <row r="685">
      <c r="P685" s="346"/>
      <c r="Q685" s="346"/>
    </row>
    <row r="686">
      <c r="P686" s="346"/>
      <c r="Q686" s="346"/>
    </row>
    <row r="687">
      <c r="P687" s="346"/>
      <c r="Q687" s="346"/>
    </row>
    <row r="688">
      <c r="P688" s="346"/>
      <c r="Q688" s="346"/>
    </row>
    <row r="689">
      <c r="P689" s="346"/>
      <c r="Q689" s="346"/>
    </row>
    <row r="690">
      <c r="P690" s="346"/>
      <c r="Q690" s="346"/>
    </row>
    <row r="691">
      <c r="P691" s="346"/>
      <c r="Q691" s="346"/>
    </row>
    <row r="692">
      <c r="P692" s="346"/>
      <c r="Q692" s="346"/>
    </row>
    <row r="693">
      <c r="P693" s="346"/>
      <c r="Q693" s="346"/>
    </row>
    <row r="694">
      <c r="P694" s="346"/>
      <c r="Q694" s="346"/>
    </row>
    <row r="695">
      <c r="P695" s="346"/>
      <c r="Q695" s="346"/>
    </row>
    <row r="696">
      <c r="P696" s="346"/>
      <c r="Q696" s="346"/>
    </row>
    <row r="697">
      <c r="P697" s="346"/>
      <c r="Q697" s="346"/>
    </row>
    <row r="698">
      <c r="P698" s="346"/>
      <c r="Q698" s="346"/>
    </row>
    <row r="699">
      <c r="P699" s="346"/>
      <c r="Q699" s="346"/>
    </row>
    <row r="700">
      <c r="P700" s="346"/>
      <c r="Q700" s="346"/>
    </row>
    <row r="701">
      <c r="P701" s="346"/>
      <c r="Q701" s="346"/>
    </row>
    <row r="702">
      <c r="P702" s="346"/>
      <c r="Q702" s="346"/>
    </row>
    <row r="703">
      <c r="P703" s="346"/>
      <c r="Q703" s="346"/>
    </row>
    <row r="704">
      <c r="P704" s="346"/>
      <c r="Q704" s="346"/>
    </row>
    <row r="705">
      <c r="P705" s="346"/>
      <c r="Q705" s="346"/>
    </row>
    <row r="706">
      <c r="P706" s="346"/>
      <c r="Q706" s="346"/>
    </row>
    <row r="707">
      <c r="P707" s="346"/>
      <c r="Q707" s="346"/>
    </row>
    <row r="708">
      <c r="P708" s="346"/>
      <c r="Q708" s="346"/>
    </row>
    <row r="709">
      <c r="P709" s="346"/>
      <c r="Q709" s="346"/>
    </row>
    <row r="710">
      <c r="P710" s="346"/>
      <c r="Q710" s="346"/>
    </row>
    <row r="711">
      <c r="P711" s="346"/>
      <c r="Q711" s="346"/>
    </row>
    <row r="712">
      <c r="P712" s="346"/>
      <c r="Q712" s="346"/>
    </row>
    <row r="713">
      <c r="P713" s="346"/>
      <c r="Q713" s="346"/>
    </row>
    <row r="714">
      <c r="P714" s="346"/>
      <c r="Q714" s="346"/>
    </row>
    <row r="715">
      <c r="P715" s="346"/>
      <c r="Q715" s="346"/>
    </row>
    <row r="716">
      <c r="P716" s="346"/>
      <c r="Q716" s="346"/>
    </row>
    <row r="717">
      <c r="P717" s="346"/>
      <c r="Q717" s="346"/>
    </row>
    <row r="718">
      <c r="P718" s="346"/>
      <c r="Q718" s="346"/>
    </row>
    <row r="719">
      <c r="P719" s="346"/>
      <c r="Q719" s="346"/>
    </row>
    <row r="720">
      <c r="P720" s="346"/>
      <c r="Q720" s="346"/>
    </row>
    <row r="721">
      <c r="P721" s="346"/>
      <c r="Q721" s="346"/>
    </row>
    <row r="722">
      <c r="P722" s="346"/>
      <c r="Q722" s="346"/>
    </row>
    <row r="723">
      <c r="P723" s="346"/>
      <c r="Q723" s="346"/>
    </row>
    <row r="724">
      <c r="P724" s="346"/>
      <c r="Q724" s="346"/>
    </row>
    <row r="725">
      <c r="P725" s="346"/>
      <c r="Q725" s="346"/>
    </row>
    <row r="726">
      <c r="P726" s="346"/>
      <c r="Q726" s="346"/>
    </row>
    <row r="727">
      <c r="P727" s="346"/>
      <c r="Q727" s="346"/>
    </row>
    <row r="728">
      <c r="P728" s="346"/>
      <c r="Q728" s="346"/>
    </row>
    <row r="729">
      <c r="P729" s="346"/>
      <c r="Q729" s="346"/>
    </row>
    <row r="730">
      <c r="P730" s="346"/>
      <c r="Q730" s="346"/>
    </row>
    <row r="731">
      <c r="P731" s="346"/>
      <c r="Q731" s="346"/>
    </row>
    <row r="732">
      <c r="P732" s="346"/>
      <c r="Q732" s="346"/>
    </row>
    <row r="733">
      <c r="P733" s="346"/>
      <c r="Q733" s="346"/>
    </row>
    <row r="734">
      <c r="P734" s="346"/>
      <c r="Q734" s="346"/>
    </row>
    <row r="735">
      <c r="P735" s="346"/>
      <c r="Q735" s="346"/>
    </row>
    <row r="736">
      <c r="P736" s="346"/>
      <c r="Q736" s="346"/>
    </row>
    <row r="737">
      <c r="P737" s="346"/>
      <c r="Q737" s="346"/>
    </row>
    <row r="738">
      <c r="P738" s="346"/>
      <c r="Q738" s="346"/>
    </row>
    <row r="739">
      <c r="P739" s="346"/>
      <c r="Q739" s="346"/>
    </row>
    <row r="740">
      <c r="P740" s="346"/>
      <c r="Q740" s="346"/>
    </row>
    <row r="741">
      <c r="P741" s="346"/>
      <c r="Q741" s="346"/>
    </row>
    <row r="742">
      <c r="P742" s="346"/>
      <c r="Q742" s="346"/>
    </row>
    <row r="743">
      <c r="P743" s="346"/>
      <c r="Q743" s="346"/>
    </row>
    <row r="744">
      <c r="P744" s="346"/>
      <c r="Q744" s="346"/>
    </row>
    <row r="745">
      <c r="P745" s="346"/>
      <c r="Q745" s="346"/>
    </row>
    <row r="746">
      <c r="P746" s="346"/>
      <c r="Q746" s="346"/>
    </row>
    <row r="747">
      <c r="P747" s="346"/>
      <c r="Q747" s="346"/>
    </row>
    <row r="748">
      <c r="P748" s="346"/>
      <c r="Q748" s="346"/>
    </row>
    <row r="749">
      <c r="P749" s="346"/>
      <c r="Q749" s="346"/>
    </row>
    <row r="750">
      <c r="P750" s="346"/>
      <c r="Q750" s="346"/>
    </row>
    <row r="751">
      <c r="P751" s="346"/>
      <c r="Q751" s="346"/>
    </row>
    <row r="752">
      <c r="P752" s="346"/>
      <c r="Q752" s="346"/>
    </row>
    <row r="753">
      <c r="P753" s="346"/>
      <c r="Q753" s="346"/>
    </row>
    <row r="754">
      <c r="P754" s="346"/>
      <c r="Q754" s="346"/>
    </row>
    <row r="755">
      <c r="P755" s="346"/>
      <c r="Q755" s="346"/>
    </row>
    <row r="756">
      <c r="P756" s="346"/>
      <c r="Q756" s="346"/>
    </row>
    <row r="757">
      <c r="P757" s="346"/>
      <c r="Q757" s="346"/>
    </row>
    <row r="758">
      <c r="P758" s="346"/>
      <c r="Q758" s="346"/>
    </row>
    <row r="759">
      <c r="P759" s="346"/>
      <c r="Q759" s="346"/>
    </row>
    <row r="760">
      <c r="P760" s="346"/>
      <c r="Q760" s="346"/>
    </row>
    <row r="761">
      <c r="P761" s="346"/>
      <c r="Q761" s="346"/>
    </row>
    <row r="762">
      <c r="P762" s="346"/>
      <c r="Q762" s="346"/>
    </row>
    <row r="763">
      <c r="P763" s="346"/>
      <c r="Q763" s="346"/>
    </row>
    <row r="764">
      <c r="P764" s="346"/>
      <c r="Q764" s="346"/>
    </row>
    <row r="765">
      <c r="P765" s="346"/>
      <c r="Q765" s="346"/>
    </row>
    <row r="766">
      <c r="P766" s="346"/>
      <c r="Q766" s="346"/>
    </row>
    <row r="767">
      <c r="P767" s="346"/>
      <c r="Q767" s="346"/>
    </row>
    <row r="768">
      <c r="P768" s="346"/>
      <c r="Q768" s="346"/>
    </row>
    <row r="769">
      <c r="P769" s="346"/>
      <c r="Q769" s="346"/>
    </row>
    <row r="770">
      <c r="P770" s="346"/>
      <c r="Q770" s="346"/>
    </row>
    <row r="771">
      <c r="P771" s="346"/>
      <c r="Q771" s="346"/>
    </row>
    <row r="772">
      <c r="P772" s="346"/>
      <c r="Q772" s="346"/>
    </row>
    <row r="773">
      <c r="P773" s="346"/>
      <c r="Q773" s="346"/>
    </row>
    <row r="774">
      <c r="P774" s="346"/>
      <c r="Q774" s="346"/>
    </row>
    <row r="775">
      <c r="P775" s="346"/>
      <c r="Q775" s="346"/>
    </row>
    <row r="776">
      <c r="P776" s="346"/>
      <c r="Q776" s="346"/>
    </row>
    <row r="777">
      <c r="P777" s="346"/>
      <c r="Q777" s="346"/>
    </row>
    <row r="778">
      <c r="P778" s="346"/>
      <c r="Q778" s="346"/>
    </row>
    <row r="779">
      <c r="P779" s="346"/>
      <c r="Q779" s="346"/>
    </row>
    <row r="780">
      <c r="P780" s="346"/>
      <c r="Q780" s="346"/>
    </row>
    <row r="781">
      <c r="P781" s="346"/>
      <c r="Q781" s="346"/>
    </row>
    <row r="782">
      <c r="P782" s="346"/>
      <c r="Q782" s="346"/>
    </row>
    <row r="783">
      <c r="P783" s="346"/>
      <c r="Q783" s="346"/>
    </row>
    <row r="784">
      <c r="P784" s="346"/>
      <c r="Q784" s="346"/>
    </row>
    <row r="785">
      <c r="P785" s="346"/>
      <c r="Q785" s="346"/>
    </row>
    <row r="786">
      <c r="P786" s="346"/>
      <c r="Q786" s="346"/>
    </row>
    <row r="787">
      <c r="P787" s="346"/>
      <c r="Q787" s="346"/>
    </row>
    <row r="788">
      <c r="P788" s="346"/>
      <c r="Q788" s="346"/>
    </row>
    <row r="789">
      <c r="P789" s="346"/>
      <c r="Q789" s="346"/>
    </row>
    <row r="790">
      <c r="P790" s="346"/>
      <c r="Q790" s="346"/>
    </row>
    <row r="791">
      <c r="P791" s="346"/>
      <c r="Q791" s="346"/>
    </row>
    <row r="792">
      <c r="P792" s="346"/>
      <c r="Q792" s="346"/>
    </row>
    <row r="793">
      <c r="P793" s="346"/>
      <c r="Q793" s="346"/>
    </row>
    <row r="794">
      <c r="P794" s="346"/>
      <c r="Q794" s="346"/>
    </row>
    <row r="795">
      <c r="P795" s="346"/>
      <c r="Q795" s="346"/>
    </row>
    <row r="796">
      <c r="P796" s="346"/>
      <c r="Q796" s="346"/>
    </row>
    <row r="797">
      <c r="P797" s="346"/>
      <c r="Q797" s="346"/>
    </row>
    <row r="798">
      <c r="P798" s="346"/>
      <c r="Q798" s="346"/>
    </row>
    <row r="799">
      <c r="P799" s="346"/>
      <c r="Q799" s="346"/>
    </row>
    <row r="800">
      <c r="P800" s="346"/>
      <c r="Q800" s="346"/>
    </row>
    <row r="801">
      <c r="P801" s="346"/>
      <c r="Q801" s="346"/>
    </row>
    <row r="802">
      <c r="P802" s="346"/>
      <c r="Q802" s="346"/>
    </row>
    <row r="803">
      <c r="P803" s="346"/>
      <c r="Q803" s="346"/>
    </row>
    <row r="804">
      <c r="P804" s="346"/>
      <c r="Q804" s="346"/>
    </row>
    <row r="805">
      <c r="P805" s="346"/>
      <c r="Q805" s="346"/>
    </row>
    <row r="806">
      <c r="P806" s="346"/>
      <c r="Q806" s="346"/>
    </row>
    <row r="807">
      <c r="P807" s="346"/>
      <c r="Q807" s="346"/>
    </row>
    <row r="808">
      <c r="P808" s="346"/>
      <c r="Q808" s="346"/>
    </row>
    <row r="809">
      <c r="P809" s="346"/>
      <c r="Q809" s="346"/>
    </row>
    <row r="810">
      <c r="P810" s="346"/>
      <c r="Q810" s="346"/>
    </row>
    <row r="811">
      <c r="P811" s="346"/>
      <c r="Q811" s="346"/>
    </row>
    <row r="812">
      <c r="P812" s="346"/>
      <c r="Q812" s="346"/>
    </row>
    <row r="813">
      <c r="P813" s="346"/>
      <c r="Q813" s="346"/>
    </row>
    <row r="814">
      <c r="P814" s="346"/>
      <c r="Q814" s="346"/>
    </row>
    <row r="815">
      <c r="P815" s="346"/>
      <c r="Q815" s="346"/>
    </row>
    <row r="816">
      <c r="P816" s="346"/>
      <c r="Q816" s="346"/>
    </row>
    <row r="817">
      <c r="P817" s="346"/>
      <c r="Q817" s="346"/>
    </row>
    <row r="818">
      <c r="P818" s="346"/>
      <c r="Q818" s="346"/>
    </row>
    <row r="819">
      <c r="P819" s="346"/>
      <c r="Q819" s="346"/>
    </row>
    <row r="820">
      <c r="P820" s="346"/>
      <c r="Q820" s="346"/>
    </row>
    <row r="821">
      <c r="P821" s="346"/>
      <c r="Q821" s="346"/>
    </row>
    <row r="822">
      <c r="P822" s="346"/>
      <c r="Q822" s="346"/>
    </row>
    <row r="823">
      <c r="P823" s="346"/>
      <c r="Q823" s="346"/>
    </row>
    <row r="824">
      <c r="P824" s="346"/>
      <c r="Q824" s="346"/>
    </row>
    <row r="825">
      <c r="P825" s="346"/>
      <c r="Q825" s="346"/>
    </row>
    <row r="826">
      <c r="P826" s="346"/>
      <c r="Q826" s="346"/>
    </row>
    <row r="827">
      <c r="P827" s="346"/>
      <c r="Q827" s="346"/>
    </row>
    <row r="828">
      <c r="P828" s="346"/>
      <c r="Q828" s="346"/>
    </row>
    <row r="829">
      <c r="P829" s="346"/>
      <c r="Q829" s="346"/>
    </row>
    <row r="830">
      <c r="P830" s="346"/>
      <c r="Q830" s="346"/>
    </row>
    <row r="831">
      <c r="P831" s="346"/>
      <c r="Q831" s="346"/>
    </row>
    <row r="832">
      <c r="P832" s="346"/>
      <c r="Q832" s="346"/>
    </row>
    <row r="833">
      <c r="P833" s="346"/>
      <c r="Q833" s="346"/>
    </row>
    <row r="834">
      <c r="P834" s="346"/>
      <c r="Q834" s="346"/>
    </row>
    <row r="835">
      <c r="P835" s="346"/>
      <c r="Q835" s="346"/>
    </row>
    <row r="836">
      <c r="P836" s="346"/>
      <c r="Q836" s="346"/>
    </row>
    <row r="837">
      <c r="P837" s="346"/>
      <c r="Q837" s="346"/>
    </row>
    <row r="838">
      <c r="P838" s="346"/>
      <c r="Q838" s="346"/>
    </row>
    <row r="839">
      <c r="P839" s="346"/>
      <c r="Q839" s="346"/>
    </row>
    <row r="840">
      <c r="P840" s="346"/>
      <c r="Q840" s="346"/>
    </row>
    <row r="841">
      <c r="P841" s="346"/>
      <c r="Q841" s="346"/>
    </row>
    <row r="842">
      <c r="P842" s="346"/>
      <c r="Q842" s="346"/>
    </row>
    <row r="843">
      <c r="P843" s="346"/>
      <c r="Q843" s="346"/>
    </row>
    <row r="844">
      <c r="P844" s="346"/>
      <c r="Q844" s="346"/>
    </row>
    <row r="845">
      <c r="P845" s="346"/>
      <c r="Q845" s="346"/>
    </row>
    <row r="846">
      <c r="P846" s="346"/>
      <c r="Q846" s="346"/>
    </row>
    <row r="847">
      <c r="P847" s="346"/>
      <c r="Q847" s="346"/>
    </row>
    <row r="848">
      <c r="P848" s="346"/>
      <c r="Q848" s="346"/>
    </row>
    <row r="849">
      <c r="P849" s="346"/>
      <c r="Q849" s="346"/>
    </row>
    <row r="850">
      <c r="P850" s="346"/>
      <c r="Q850" s="346"/>
    </row>
    <row r="851">
      <c r="P851" s="346"/>
      <c r="Q851" s="346"/>
    </row>
    <row r="852">
      <c r="P852" s="346"/>
      <c r="Q852" s="346"/>
    </row>
    <row r="853">
      <c r="P853" s="346"/>
      <c r="Q853" s="346"/>
    </row>
    <row r="854">
      <c r="P854" s="346"/>
      <c r="Q854" s="346"/>
    </row>
    <row r="855">
      <c r="P855" s="346"/>
      <c r="Q855" s="346"/>
    </row>
    <row r="856">
      <c r="P856" s="346"/>
      <c r="Q856" s="346"/>
    </row>
    <row r="857">
      <c r="P857" s="346"/>
      <c r="Q857" s="346"/>
    </row>
    <row r="858">
      <c r="P858" s="346"/>
      <c r="Q858" s="346"/>
    </row>
    <row r="859">
      <c r="P859" s="346"/>
      <c r="Q859" s="346"/>
    </row>
    <row r="860">
      <c r="P860" s="346"/>
      <c r="Q860" s="346"/>
    </row>
    <row r="861">
      <c r="P861" s="346"/>
      <c r="Q861" s="346"/>
    </row>
    <row r="862">
      <c r="P862" s="346"/>
      <c r="Q862" s="346"/>
    </row>
    <row r="863">
      <c r="P863" s="346"/>
      <c r="Q863" s="346"/>
    </row>
    <row r="864">
      <c r="P864" s="346"/>
      <c r="Q864" s="346"/>
    </row>
    <row r="865">
      <c r="P865" s="346"/>
      <c r="Q865" s="346"/>
    </row>
    <row r="866">
      <c r="P866" s="346"/>
      <c r="Q866" s="346"/>
    </row>
    <row r="867">
      <c r="P867" s="346"/>
      <c r="Q867" s="346"/>
    </row>
    <row r="868">
      <c r="P868" s="346"/>
      <c r="Q868" s="346"/>
    </row>
    <row r="869">
      <c r="P869" s="346"/>
      <c r="Q869" s="346"/>
    </row>
    <row r="870">
      <c r="P870" s="346"/>
      <c r="Q870" s="346"/>
    </row>
    <row r="871">
      <c r="P871" s="346"/>
      <c r="Q871" s="346"/>
    </row>
    <row r="872">
      <c r="P872" s="346"/>
      <c r="Q872" s="346"/>
    </row>
    <row r="873">
      <c r="P873" s="346"/>
      <c r="Q873" s="346"/>
    </row>
    <row r="874">
      <c r="P874" s="346"/>
      <c r="Q874" s="346"/>
    </row>
    <row r="875">
      <c r="P875" s="346"/>
      <c r="Q875" s="346"/>
    </row>
    <row r="876">
      <c r="P876" s="346"/>
      <c r="Q876" s="346"/>
    </row>
    <row r="877">
      <c r="P877" s="346"/>
      <c r="Q877" s="346"/>
    </row>
    <row r="878">
      <c r="P878" s="346"/>
      <c r="Q878" s="346"/>
    </row>
    <row r="879">
      <c r="P879" s="346"/>
      <c r="Q879" s="346"/>
    </row>
    <row r="880">
      <c r="P880" s="346"/>
      <c r="Q880" s="346"/>
    </row>
    <row r="881">
      <c r="P881" s="346"/>
      <c r="Q881" s="346"/>
    </row>
    <row r="882">
      <c r="P882" s="346"/>
      <c r="Q882" s="346"/>
    </row>
    <row r="883">
      <c r="P883" s="346"/>
      <c r="Q883" s="346"/>
    </row>
    <row r="884">
      <c r="P884" s="346"/>
      <c r="Q884" s="346"/>
    </row>
    <row r="885">
      <c r="P885" s="346"/>
      <c r="Q885" s="346"/>
    </row>
    <row r="886">
      <c r="P886" s="346"/>
      <c r="Q886" s="346"/>
    </row>
    <row r="887">
      <c r="P887" s="346"/>
      <c r="Q887" s="346"/>
    </row>
    <row r="888">
      <c r="P888" s="346"/>
      <c r="Q888" s="346"/>
    </row>
    <row r="889">
      <c r="P889" s="346"/>
      <c r="Q889" s="346"/>
    </row>
    <row r="890">
      <c r="P890" s="346"/>
      <c r="Q890" s="346"/>
    </row>
    <row r="891">
      <c r="P891" s="346"/>
      <c r="Q891" s="346"/>
    </row>
    <row r="892">
      <c r="P892" s="346"/>
      <c r="Q892" s="346"/>
    </row>
    <row r="893">
      <c r="P893" s="346"/>
      <c r="Q893" s="346"/>
    </row>
    <row r="894">
      <c r="P894" s="346"/>
      <c r="Q894" s="346"/>
    </row>
    <row r="895">
      <c r="P895" s="346"/>
      <c r="Q895" s="346"/>
    </row>
    <row r="896">
      <c r="P896" s="346"/>
      <c r="Q896" s="346"/>
    </row>
    <row r="897">
      <c r="P897" s="346"/>
      <c r="Q897" s="346"/>
    </row>
    <row r="898">
      <c r="P898" s="346"/>
      <c r="Q898" s="346"/>
    </row>
    <row r="899">
      <c r="P899" s="346"/>
      <c r="Q899" s="346"/>
    </row>
    <row r="900">
      <c r="P900" s="346"/>
      <c r="Q900" s="346"/>
    </row>
    <row r="901">
      <c r="P901" s="346"/>
      <c r="Q901" s="346"/>
    </row>
    <row r="902">
      <c r="P902" s="346"/>
      <c r="Q902" s="346"/>
    </row>
    <row r="903">
      <c r="P903" s="346"/>
      <c r="Q903" s="346"/>
    </row>
    <row r="904">
      <c r="P904" s="346"/>
      <c r="Q904" s="346"/>
    </row>
    <row r="905">
      <c r="P905" s="346"/>
      <c r="Q905" s="346"/>
    </row>
    <row r="906">
      <c r="P906" s="346"/>
      <c r="Q906" s="346"/>
    </row>
    <row r="907">
      <c r="P907" s="346"/>
      <c r="Q907" s="346"/>
    </row>
    <row r="908">
      <c r="P908" s="346"/>
      <c r="Q908" s="346"/>
    </row>
    <row r="909">
      <c r="P909" s="346"/>
      <c r="Q909" s="346"/>
    </row>
    <row r="910">
      <c r="P910" s="346"/>
      <c r="Q910" s="346"/>
    </row>
    <row r="911">
      <c r="P911" s="346"/>
      <c r="Q911" s="346"/>
    </row>
    <row r="912">
      <c r="P912" s="346"/>
      <c r="Q912" s="346"/>
    </row>
    <row r="913">
      <c r="P913" s="346"/>
      <c r="Q913" s="346"/>
    </row>
    <row r="914">
      <c r="P914" s="346"/>
      <c r="Q914" s="346"/>
    </row>
    <row r="915">
      <c r="P915" s="346"/>
      <c r="Q915" s="346"/>
    </row>
    <row r="916">
      <c r="P916" s="346"/>
      <c r="Q916" s="346"/>
    </row>
    <row r="917">
      <c r="P917" s="346"/>
      <c r="Q917" s="346"/>
    </row>
    <row r="918">
      <c r="P918" s="346"/>
      <c r="Q918" s="346"/>
    </row>
    <row r="919">
      <c r="P919" s="346"/>
      <c r="Q919" s="346"/>
    </row>
    <row r="920">
      <c r="P920" s="346"/>
      <c r="Q920" s="346"/>
    </row>
    <row r="921">
      <c r="P921" s="346"/>
      <c r="Q921" s="346"/>
    </row>
    <row r="922">
      <c r="P922" s="346"/>
      <c r="Q922" s="346"/>
    </row>
    <row r="923">
      <c r="P923" s="346"/>
      <c r="Q923" s="346"/>
    </row>
    <row r="924">
      <c r="P924" s="346"/>
      <c r="Q924" s="346"/>
    </row>
    <row r="925">
      <c r="P925" s="346"/>
      <c r="Q925" s="346"/>
    </row>
    <row r="926">
      <c r="P926" s="346"/>
      <c r="Q926" s="346"/>
    </row>
    <row r="927">
      <c r="P927" s="346"/>
      <c r="Q927" s="346"/>
    </row>
    <row r="928">
      <c r="P928" s="346"/>
      <c r="Q928" s="346"/>
    </row>
    <row r="929">
      <c r="P929" s="346"/>
      <c r="Q929" s="346"/>
    </row>
    <row r="930">
      <c r="P930" s="346"/>
      <c r="Q930" s="346"/>
    </row>
    <row r="931">
      <c r="P931" s="346"/>
      <c r="Q931" s="346"/>
    </row>
    <row r="932">
      <c r="P932" s="346"/>
      <c r="Q932" s="346"/>
    </row>
    <row r="933">
      <c r="P933" s="346"/>
      <c r="Q933" s="346"/>
    </row>
    <row r="934">
      <c r="P934" s="346"/>
      <c r="Q934" s="346"/>
    </row>
    <row r="935">
      <c r="P935" s="346"/>
      <c r="Q935" s="346"/>
    </row>
    <row r="936">
      <c r="P936" s="346"/>
      <c r="Q936" s="346"/>
    </row>
    <row r="937">
      <c r="P937" s="346"/>
      <c r="Q937" s="346"/>
    </row>
    <row r="938">
      <c r="P938" s="346"/>
      <c r="Q938" s="346"/>
    </row>
    <row r="939">
      <c r="P939" s="346"/>
      <c r="Q939" s="346"/>
    </row>
    <row r="940">
      <c r="P940" s="346"/>
      <c r="Q940" s="346"/>
    </row>
    <row r="941">
      <c r="P941" s="346"/>
      <c r="Q941" s="346"/>
    </row>
    <row r="942">
      <c r="P942" s="346"/>
      <c r="Q942" s="346"/>
    </row>
    <row r="943">
      <c r="P943" s="346"/>
      <c r="Q943" s="346"/>
    </row>
    <row r="944">
      <c r="P944" s="346"/>
      <c r="Q944" s="346"/>
    </row>
    <row r="945">
      <c r="P945" s="346"/>
      <c r="Q945" s="346"/>
    </row>
    <row r="946">
      <c r="P946" s="346"/>
      <c r="Q946" s="346"/>
    </row>
    <row r="947">
      <c r="P947" s="346"/>
      <c r="Q947" s="346"/>
    </row>
    <row r="948">
      <c r="P948" s="346"/>
      <c r="Q948" s="346"/>
    </row>
    <row r="949">
      <c r="P949" s="346"/>
      <c r="Q949" s="346"/>
    </row>
    <row r="950">
      <c r="P950" s="346"/>
      <c r="Q950" s="346"/>
    </row>
    <row r="951">
      <c r="P951" s="346"/>
      <c r="Q951" s="346"/>
    </row>
    <row r="952">
      <c r="P952" s="346"/>
      <c r="Q952" s="346"/>
    </row>
    <row r="953">
      <c r="P953" s="346"/>
      <c r="Q953" s="346"/>
    </row>
    <row r="954">
      <c r="P954" s="346"/>
      <c r="Q954" s="346"/>
    </row>
    <row r="955">
      <c r="P955" s="346"/>
      <c r="Q955" s="346"/>
    </row>
    <row r="956">
      <c r="P956" s="346"/>
      <c r="Q956" s="346"/>
    </row>
    <row r="957">
      <c r="P957" s="346"/>
      <c r="Q957" s="346"/>
    </row>
    <row r="958">
      <c r="P958" s="346"/>
      <c r="Q958" s="346"/>
    </row>
    <row r="959">
      <c r="P959" s="346"/>
      <c r="Q959" s="346"/>
    </row>
    <row r="960">
      <c r="P960" s="346"/>
      <c r="Q960" s="346"/>
    </row>
    <row r="961">
      <c r="P961" s="346"/>
      <c r="Q961" s="346"/>
    </row>
    <row r="962">
      <c r="P962" s="346"/>
      <c r="Q962" s="346"/>
    </row>
    <row r="963">
      <c r="P963" s="346"/>
      <c r="Q963" s="346"/>
    </row>
    <row r="964">
      <c r="P964" s="346"/>
      <c r="Q964" s="346"/>
    </row>
    <row r="965">
      <c r="P965" s="346"/>
      <c r="Q965" s="346"/>
    </row>
    <row r="966">
      <c r="P966" s="346"/>
      <c r="Q966" s="346"/>
    </row>
    <row r="967">
      <c r="P967" s="346"/>
      <c r="Q967" s="346"/>
    </row>
  </sheetData>
  <mergeCells count="35">
    <mergeCell ref="N4:N5"/>
    <mergeCell ref="N6:N9"/>
    <mergeCell ref="N11:N12"/>
    <mergeCell ref="O11:O12"/>
    <mergeCell ref="N13:N16"/>
    <mergeCell ref="O13:O16"/>
    <mergeCell ref="E1:H1"/>
    <mergeCell ref="K1:M1"/>
    <mergeCell ref="B3:D4"/>
    <mergeCell ref="E4:E5"/>
    <mergeCell ref="O4:O5"/>
    <mergeCell ref="E6:E9"/>
    <mergeCell ref="O6:O9"/>
    <mergeCell ref="B9:C9"/>
    <mergeCell ref="B5:C6"/>
    <mergeCell ref="B7:C7"/>
    <mergeCell ref="B10:C10"/>
    <mergeCell ref="B11:C11"/>
    <mergeCell ref="E11:E12"/>
    <mergeCell ref="B13:C14"/>
    <mergeCell ref="E13:E16"/>
    <mergeCell ref="J25:K25"/>
    <mergeCell ref="J26:K26"/>
    <mergeCell ref="J27:K27"/>
    <mergeCell ref="E30:G30"/>
    <mergeCell ref="H30:J30"/>
    <mergeCell ref="F31:G31"/>
    <mergeCell ref="I31:J31"/>
    <mergeCell ref="C20:D20"/>
    <mergeCell ref="E20:F20"/>
    <mergeCell ref="J20:K20"/>
    <mergeCell ref="J21:K21"/>
    <mergeCell ref="J22:K22"/>
    <mergeCell ref="J23:K23"/>
    <mergeCell ref="J24:K24"/>
  </mergeCells>
  <conditionalFormatting sqref="P7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13">
      <formula1>'Painel Áreas'!$P:$P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0"/>
    <col customWidth="1" min="5" max="6" width="7.5"/>
  </cols>
  <sheetData>
    <row r="1">
      <c r="A1" s="395" t="s">
        <v>161</v>
      </c>
      <c r="B1" s="396" t="s">
        <v>162</v>
      </c>
      <c r="C1" s="397" t="s">
        <v>6</v>
      </c>
      <c r="D1" s="395" t="s">
        <v>163</v>
      </c>
      <c r="E1" s="398" t="s">
        <v>164</v>
      </c>
      <c r="F1" s="398" t="s">
        <v>165</v>
      </c>
      <c r="G1" s="399" t="s">
        <v>53</v>
      </c>
      <c r="H1" s="399" t="s">
        <v>166</v>
      </c>
      <c r="I1" s="399" t="s">
        <v>55</v>
      </c>
      <c r="J1" s="399" t="s">
        <v>56</v>
      </c>
      <c r="K1" s="399" t="s">
        <v>167</v>
      </c>
      <c r="L1" s="399" t="s">
        <v>58</v>
      </c>
      <c r="M1" s="399"/>
    </row>
    <row r="2" ht="15.75" customHeight="1">
      <c r="A2" s="400">
        <v>1.0</v>
      </c>
      <c r="B2" s="401" t="s">
        <v>42</v>
      </c>
      <c r="C2" s="401" t="s">
        <v>44</v>
      </c>
      <c r="D2" s="402" t="str">
        <f t="shared" ref="D2:D535" si="1">A2&amp;C2</f>
        <v>1Indiferente</v>
      </c>
      <c r="E2" s="403">
        <v>117.0</v>
      </c>
      <c r="F2" s="403">
        <v>2117.0</v>
      </c>
      <c r="G2" s="404">
        <v>2893.86</v>
      </c>
      <c r="H2" s="404">
        <v>3926.72</v>
      </c>
      <c r="I2" s="404">
        <v>5272.43</v>
      </c>
      <c r="J2" s="404">
        <v>5105.88</v>
      </c>
      <c r="K2" s="404">
        <v>6380.3</v>
      </c>
      <c r="L2" s="404">
        <v>8466.57</v>
      </c>
      <c r="M2" s="404"/>
    </row>
    <row r="3" ht="15.75" customHeight="1">
      <c r="A3" s="400">
        <v>1.0</v>
      </c>
      <c r="B3" s="401" t="s">
        <v>42</v>
      </c>
      <c r="C3" s="401" t="s">
        <v>29</v>
      </c>
      <c r="D3" s="402" t="str">
        <f t="shared" si="1"/>
        <v>1Júnior</v>
      </c>
      <c r="E3" s="403">
        <v>91.0</v>
      </c>
      <c r="F3" s="403">
        <v>883.0</v>
      </c>
      <c r="G3" s="404">
        <v>2030.9</v>
      </c>
      <c r="H3" s="404">
        <v>2706.62</v>
      </c>
      <c r="I3" s="404">
        <v>3370.79</v>
      </c>
      <c r="J3" s="404">
        <v>3379.04</v>
      </c>
      <c r="K3" s="404">
        <v>3870.49</v>
      </c>
      <c r="L3" s="404">
        <v>5268.74</v>
      </c>
      <c r="M3" s="404"/>
    </row>
    <row r="4" ht="15.75" customHeight="1">
      <c r="A4" s="400">
        <v>1.0</v>
      </c>
      <c r="B4" s="401" t="s">
        <v>42</v>
      </c>
      <c r="C4" s="401" t="s">
        <v>24</v>
      </c>
      <c r="D4" s="402" t="str">
        <f t="shared" si="1"/>
        <v>1Pleno</v>
      </c>
      <c r="E4" s="403">
        <v>84.0</v>
      </c>
      <c r="F4" s="403">
        <v>836.0</v>
      </c>
      <c r="G4" s="404">
        <v>3358.05</v>
      </c>
      <c r="H4" s="404">
        <v>4730.15</v>
      </c>
      <c r="I4" s="404">
        <v>5379.82</v>
      </c>
      <c r="J4" s="404">
        <v>5342.35</v>
      </c>
      <c r="K4" s="404">
        <v>5995.34</v>
      </c>
      <c r="L4" s="404">
        <v>7790.91</v>
      </c>
      <c r="M4" s="404"/>
    </row>
    <row r="5" ht="15.75" customHeight="1">
      <c r="A5" s="400">
        <v>1.0</v>
      </c>
      <c r="B5" s="401" t="s">
        <v>42</v>
      </c>
      <c r="C5" s="401" t="s">
        <v>18</v>
      </c>
      <c r="D5" s="402" t="str">
        <f t="shared" si="1"/>
        <v>1Sênior</v>
      </c>
      <c r="E5" s="403">
        <v>64.0</v>
      </c>
      <c r="F5" s="403">
        <v>613.0</v>
      </c>
      <c r="G5" s="404">
        <v>5873.21</v>
      </c>
      <c r="H5" s="404">
        <v>7005.56</v>
      </c>
      <c r="I5" s="404">
        <v>8047.78</v>
      </c>
      <c r="J5" s="404">
        <v>7999.87</v>
      </c>
      <c r="K5" s="404">
        <v>9271.4</v>
      </c>
      <c r="L5" s="404">
        <v>10095.14</v>
      </c>
      <c r="M5" s="404"/>
    </row>
    <row r="6" ht="15.75" customHeight="1">
      <c r="A6" s="400">
        <v>1.0</v>
      </c>
      <c r="B6" s="401" t="s">
        <v>42</v>
      </c>
      <c r="C6" s="401" t="s">
        <v>168</v>
      </c>
      <c r="D6" s="402" t="str">
        <f t="shared" si="1"/>
        <v>1Master</v>
      </c>
      <c r="E6" s="403">
        <v>2.0</v>
      </c>
      <c r="F6" s="403">
        <v>6.0</v>
      </c>
      <c r="G6" s="404">
        <v>0.0</v>
      </c>
      <c r="H6" s="404">
        <v>0.0</v>
      </c>
      <c r="I6" s="404">
        <v>0.0</v>
      </c>
      <c r="J6" s="404">
        <v>0.0</v>
      </c>
      <c r="K6" s="404">
        <v>0.0</v>
      </c>
      <c r="L6" s="404">
        <v>0.0</v>
      </c>
      <c r="M6" s="404"/>
    </row>
    <row r="7" ht="15.75" customHeight="1">
      <c r="A7" s="400">
        <v>1.0</v>
      </c>
      <c r="B7" s="401" t="s">
        <v>42</v>
      </c>
      <c r="C7" s="401" t="s">
        <v>169</v>
      </c>
      <c r="D7" s="402" t="str">
        <f t="shared" si="1"/>
        <v>1Especialista</v>
      </c>
      <c r="E7" s="403">
        <v>15.0</v>
      </c>
      <c r="F7" s="403">
        <v>40.0</v>
      </c>
      <c r="G7" s="404">
        <v>8294.38</v>
      </c>
      <c r="H7" s="404">
        <v>10078.94</v>
      </c>
      <c r="I7" s="404">
        <v>11458.76</v>
      </c>
      <c r="J7" s="404">
        <v>11626.1</v>
      </c>
      <c r="K7" s="404">
        <v>12714.48</v>
      </c>
      <c r="L7" s="404">
        <v>14476.68</v>
      </c>
      <c r="M7" s="404"/>
    </row>
    <row r="8" ht="15.75" customHeight="1">
      <c r="A8" s="400">
        <v>1016.0</v>
      </c>
      <c r="B8" s="401" t="s">
        <v>43</v>
      </c>
      <c r="C8" s="401" t="s">
        <v>44</v>
      </c>
      <c r="D8" s="402" t="str">
        <f t="shared" si="1"/>
        <v>1016Indiferente</v>
      </c>
      <c r="E8" s="403">
        <v>28.0</v>
      </c>
      <c r="F8" s="403">
        <v>71.0</v>
      </c>
      <c r="G8" s="404">
        <v>5639.53</v>
      </c>
      <c r="H8" s="404">
        <v>7452.03</v>
      </c>
      <c r="I8" s="404">
        <v>8919.44</v>
      </c>
      <c r="J8" s="404">
        <v>8929.22</v>
      </c>
      <c r="K8" s="404">
        <v>10057.47</v>
      </c>
      <c r="L8" s="404">
        <v>12817.68</v>
      </c>
      <c r="M8" s="404"/>
    </row>
    <row r="9" ht="15.75" customHeight="1">
      <c r="A9" s="400">
        <v>1016.0</v>
      </c>
      <c r="B9" s="401" t="s">
        <v>43</v>
      </c>
      <c r="C9" s="401" t="s">
        <v>29</v>
      </c>
      <c r="D9" s="402" t="str">
        <f t="shared" si="1"/>
        <v>1016Júnior</v>
      </c>
      <c r="E9" s="403">
        <v>5.0</v>
      </c>
      <c r="F9" s="403">
        <v>6.0</v>
      </c>
      <c r="G9" s="404">
        <v>4848.58</v>
      </c>
      <c r="H9" s="404">
        <v>5725.38</v>
      </c>
      <c r="I9" s="404">
        <v>6258.83</v>
      </c>
      <c r="J9" s="404">
        <v>6038.19</v>
      </c>
      <c r="K9" s="404">
        <v>7160.54</v>
      </c>
      <c r="L9" s="404">
        <v>7472.24</v>
      </c>
      <c r="M9" s="404"/>
    </row>
    <row r="10" ht="15.75" customHeight="1">
      <c r="A10" s="400">
        <v>1016.0</v>
      </c>
      <c r="B10" s="401" t="s">
        <v>43</v>
      </c>
      <c r="C10" s="401" t="s">
        <v>24</v>
      </c>
      <c r="D10" s="402" t="str">
        <f t="shared" si="1"/>
        <v>1016Pleno</v>
      </c>
      <c r="E10" s="403">
        <v>5.0</v>
      </c>
      <c r="F10" s="403">
        <v>14.0</v>
      </c>
      <c r="G10" s="404">
        <v>4960.76</v>
      </c>
      <c r="H10" s="404">
        <v>6756.91</v>
      </c>
      <c r="I10" s="404">
        <v>8222.66</v>
      </c>
      <c r="J10" s="404">
        <v>8364.84</v>
      </c>
      <c r="K10" s="404">
        <v>10040.79</v>
      </c>
      <c r="L10" s="404">
        <v>11026.42</v>
      </c>
      <c r="M10" s="404"/>
    </row>
    <row r="11" ht="15.75" customHeight="1">
      <c r="A11" s="400">
        <v>1016.0</v>
      </c>
      <c r="B11" s="401" t="s">
        <v>43</v>
      </c>
      <c r="C11" s="401" t="s">
        <v>18</v>
      </c>
      <c r="D11" s="402" t="str">
        <f t="shared" si="1"/>
        <v>1016Sênior</v>
      </c>
      <c r="E11" s="403">
        <v>5.0</v>
      </c>
      <c r="F11" s="403">
        <v>9.0</v>
      </c>
      <c r="G11" s="404">
        <v>7250.34</v>
      </c>
      <c r="H11" s="404">
        <v>8906.82</v>
      </c>
      <c r="I11" s="404">
        <v>9300.57</v>
      </c>
      <c r="J11" s="404">
        <v>9082.0</v>
      </c>
      <c r="K11" s="404">
        <v>9530.31</v>
      </c>
      <c r="L11" s="404">
        <v>11415.69</v>
      </c>
      <c r="M11" s="404"/>
    </row>
    <row r="12" ht="15.75" customHeight="1">
      <c r="A12" s="400">
        <v>1016.0</v>
      </c>
      <c r="B12" s="401" t="s">
        <v>43</v>
      </c>
      <c r="C12" s="401" t="s">
        <v>168</v>
      </c>
      <c r="D12" s="402" t="str">
        <f t="shared" si="1"/>
        <v>1016Master</v>
      </c>
      <c r="E12" s="403">
        <v>1.0</v>
      </c>
      <c r="F12" s="403">
        <v>5.0</v>
      </c>
      <c r="G12" s="404">
        <v>0.0</v>
      </c>
      <c r="H12" s="404">
        <v>0.0</v>
      </c>
      <c r="I12" s="404">
        <v>0.0</v>
      </c>
      <c r="J12" s="404">
        <v>0.0</v>
      </c>
      <c r="K12" s="404">
        <v>0.0</v>
      </c>
      <c r="L12" s="404">
        <v>0.0</v>
      </c>
      <c r="M12" s="404"/>
    </row>
    <row r="13" ht="15.75" customHeight="1">
      <c r="A13" s="400">
        <v>1016.0</v>
      </c>
      <c r="B13" s="401" t="s">
        <v>43</v>
      </c>
      <c r="C13" s="401" t="s">
        <v>169</v>
      </c>
      <c r="D13" s="402" t="str">
        <f t="shared" si="1"/>
        <v>1016Especialista</v>
      </c>
      <c r="E13" s="403">
        <v>4.0</v>
      </c>
      <c r="F13" s="403">
        <v>10.0</v>
      </c>
      <c r="G13" s="404">
        <v>6802.45</v>
      </c>
      <c r="H13" s="404">
        <v>8300.18</v>
      </c>
      <c r="I13" s="404">
        <v>10158.38</v>
      </c>
      <c r="J13" s="404">
        <v>9512.13</v>
      </c>
      <c r="K13" s="404">
        <v>10950.64</v>
      </c>
      <c r="L13" s="404">
        <v>16404.08</v>
      </c>
      <c r="M13" s="404"/>
    </row>
    <row r="14" ht="15.75" customHeight="1">
      <c r="A14" s="400">
        <v>796.0</v>
      </c>
      <c r="B14" s="401" t="s">
        <v>33</v>
      </c>
      <c r="C14" s="401" t="s">
        <v>44</v>
      </c>
      <c r="D14" s="402" t="str">
        <f t="shared" si="1"/>
        <v>796Indiferente</v>
      </c>
      <c r="E14" s="403">
        <v>13.0</v>
      </c>
      <c r="F14" s="403">
        <v>32.0</v>
      </c>
      <c r="G14" s="404">
        <v>3464.33</v>
      </c>
      <c r="H14" s="404">
        <v>4192.12</v>
      </c>
      <c r="I14" s="404">
        <v>5172.41</v>
      </c>
      <c r="J14" s="404">
        <v>5071.39</v>
      </c>
      <c r="K14" s="404">
        <v>6009.7</v>
      </c>
      <c r="L14" s="404">
        <v>7264.21</v>
      </c>
      <c r="M14" s="404"/>
    </row>
    <row r="15" ht="15.75" customHeight="1">
      <c r="A15" s="400">
        <v>796.0</v>
      </c>
      <c r="B15" s="401" t="s">
        <v>33</v>
      </c>
      <c r="C15" s="401" t="s">
        <v>29</v>
      </c>
      <c r="D15" s="402" t="str">
        <f t="shared" si="1"/>
        <v>796Júnior</v>
      </c>
      <c r="E15" s="403">
        <v>6.0</v>
      </c>
      <c r="F15" s="403">
        <v>12.0</v>
      </c>
      <c r="G15" s="404">
        <v>2626.68</v>
      </c>
      <c r="H15" s="404">
        <v>3508.61</v>
      </c>
      <c r="I15" s="404">
        <v>4174.12</v>
      </c>
      <c r="J15" s="404">
        <v>3618.72</v>
      </c>
      <c r="K15" s="404">
        <v>5081.15</v>
      </c>
      <c r="L15" s="404">
        <v>5977.75</v>
      </c>
      <c r="M15" s="404"/>
    </row>
    <row r="16" ht="15.75" customHeight="1">
      <c r="A16" s="400">
        <v>796.0</v>
      </c>
      <c r="B16" s="401" t="s">
        <v>33</v>
      </c>
      <c r="C16" s="401" t="s">
        <v>24</v>
      </c>
      <c r="D16" s="402" t="str">
        <f t="shared" si="1"/>
        <v>796Pleno</v>
      </c>
      <c r="E16" s="403">
        <v>7.0</v>
      </c>
      <c r="F16" s="403">
        <v>12.0</v>
      </c>
      <c r="G16" s="404">
        <v>3810.77</v>
      </c>
      <c r="H16" s="404">
        <v>4192.12</v>
      </c>
      <c r="I16" s="404">
        <v>4717.97</v>
      </c>
      <c r="J16" s="404">
        <v>4465.27</v>
      </c>
      <c r="K16" s="404">
        <v>5273.23</v>
      </c>
      <c r="L16" s="404">
        <v>6105.55</v>
      </c>
      <c r="M16" s="404"/>
    </row>
    <row r="17" ht="15.75" customHeight="1">
      <c r="A17" s="400">
        <v>796.0</v>
      </c>
      <c r="B17" s="401" t="s">
        <v>33</v>
      </c>
      <c r="C17" s="401" t="s">
        <v>18</v>
      </c>
      <c r="D17" s="402" t="str">
        <f t="shared" si="1"/>
        <v>796Sênior</v>
      </c>
      <c r="E17" s="403">
        <v>5.0</v>
      </c>
      <c r="F17" s="403">
        <v>11.0</v>
      </c>
      <c r="G17" s="404">
        <v>6472.04</v>
      </c>
      <c r="H17" s="404">
        <v>7185.89</v>
      </c>
      <c r="I17" s="404">
        <v>7572.48</v>
      </c>
      <c r="J17" s="404">
        <v>7264.21</v>
      </c>
      <c r="K17" s="404">
        <v>8100.12</v>
      </c>
      <c r="L17" s="404">
        <v>8614.28</v>
      </c>
      <c r="M17" s="404"/>
    </row>
    <row r="18" ht="15.75" customHeight="1">
      <c r="A18" s="400">
        <v>796.0</v>
      </c>
      <c r="B18" s="401" t="s">
        <v>33</v>
      </c>
      <c r="C18" s="401" t="s">
        <v>168</v>
      </c>
      <c r="D18" s="402" t="str">
        <f t="shared" si="1"/>
        <v>796Master</v>
      </c>
      <c r="E18" s="403">
        <v>0.0</v>
      </c>
      <c r="F18" s="403">
        <v>0.0</v>
      </c>
      <c r="G18" s="404">
        <v>0.0</v>
      </c>
      <c r="H18" s="404">
        <v>0.0</v>
      </c>
      <c r="I18" s="404">
        <v>0.0</v>
      </c>
      <c r="J18" s="404">
        <v>0.0</v>
      </c>
      <c r="K18" s="404">
        <v>0.0</v>
      </c>
      <c r="L18" s="404">
        <v>0.0</v>
      </c>
      <c r="M18" s="404"/>
    </row>
    <row r="19" ht="15.75" customHeight="1">
      <c r="A19" s="400">
        <v>796.0</v>
      </c>
      <c r="B19" s="401" t="s">
        <v>33</v>
      </c>
      <c r="C19" s="401" t="s">
        <v>169</v>
      </c>
      <c r="D19" s="402" t="str">
        <f t="shared" si="1"/>
        <v>796Especialista</v>
      </c>
      <c r="E19" s="403">
        <v>0.0</v>
      </c>
      <c r="F19" s="403">
        <v>0.0</v>
      </c>
      <c r="G19" s="404">
        <v>0.0</v>
      </c>
      <c r="H19" s="404">
        <v>0.0</v>
      </c>
      <c r="I19" s="404">
        <v>0.0</v>
      </c>
      <c r="J19" s="404">
        <v>0.0</v>
      </c>
      <c r="K19" s="404">
        <v>0.0</v>
      </c>
      <c r="L19" s="404">
        <v>0.0</v>
      </c>
      <c r="M19" s="404"/>
    </row>
    <row r="20" ht="15.75" customHeight="1">
      <c r="A20" s="400">
        <v>15.0</v>
      </c>
      <c r="B20" s="401" t="s">
        <v>72</v>
      </c>
      <c r="C20" s="401" t="s">
        <v>44</v>
      </c>
      <c r="D20" s="402" t="str">
        <f t="shared" si="1"/>
        <v>15Indiferente</v>
      </c>
      <c r="E20" s="403">
        <v>65.0</v>
      </c>
      <c r="F20" s="403">
        <v>162.0</v>
      </c>
      <c r="G20" s="404">
        <v>2514.8</v>
      </c>
      <c r="H20" s="404">
        <v>3087.58</v>
      </c>
      <c r="I20" s="404">
        <v>3875.12</v>
      </c>
      <c r="J20" s="404">
        <v>3800.16</v>
      </c>
      <c r="K20" s="404">
        <v>4590.39</v>
      </c>
      <c r="L20" s="404">
        <v>5663.11</v>
      </c>
      <c r="M20" s="404"/>
    </row>
    <row r="21" ht="15.75" customHeight="1">
      <c r="A21" s="400">
        <v>15.0</v>
      </c>
      <c r="B21" s="401" t="s">
        <v>72</v>
      </c>
      <c r="C21" s="401" t="s">
        <v>29</v>
      </c>
      <c r="D21" s="402" t="str">
        <f t="shared" si="1"/>
        <v>15Júnior</v>
      </c>
      <c r="E21" s="403">
        <v>33.0</v>
      </c>
      <c r="F21" s="403">
        <v>61.0</v>
      </c>
      <c r="G21" s="404">
        <v>2093.28</v>
      </c>
      <c r="H21" s="404">
        <v>2289.58</v>
      </c>
      <c r="I21" s="404">
        <v>2653.62</v>
      </c>
      <c r="J21" s="404">
        <v>2644.46</v>
      </c>
      <c r="K21" s="404">
        <v>2908.53</v>
      </c>
      <c r="L21" s="404">
        <v>3400.19</v>
      </c>
      <c r="M21" s="404"/>
    </row>
    <row r="22" ht="15.75" customHeight="1">
      <c r="A22" s="400">
        <v>15.0</v>
      </c>
      <c r="B22" s="401" t="s">
        <v>72</v>
      </c>
      <c r="C22" s="401" t="s">
        <v>24</v>
      </c>
      <c r="D22" s="402" t="str">
        <f t="shared" si="1"/>
        <v>15Pleno</v>
      </c>
      <c r="E22" s="403">
        <v>34.0</v>
      </c>
      <c r="F22" s="403">
        <v>63.0</v>
      </c>
      <c r="G22" s="404">
        <v>3247.23</v>
      </c>
      <c r="H22" s="404">
        <v>3753.88</v>
      </c>
      <c r="I22" s="404">
        <v>4254.3</v>
      </c>
      <c r="J22" s="404">
        <v>4178.94</v>
      </c>
      <c r="K22" s="404">
        <v>4856.44</v>
      </c>
      <c r="L22" s="404">
        <v>5596.75</v>
      </c>
      <c r="M22" s="404"/>
    </row>
    <row r="23" ht="15.75" customHeight="1">
      <c r="A23" s="400">
        <v>15.0</v>
      </c>
      <c r="B23" s="401" t="s">
        <v>72</v>
      </c>
      <c r="C23" s="401" t="s">
        <v>18</v>
      </c>
      <c r="D23" s="402" t="str">
        <f t="shared" si="1"/>
        <v>15Sênior</v>
      </c>
      <c r="E23" s="403">
        <v>16.0</v>
      </c>
      <c r="F23" s="403">
        <v>26.0</v>
      </c>
      <c r="G23" s="404">
        <v>4663.49</v>
      </c>
      <c r="H23" s="404">
        <v>5285.89</v>
      </c>
      <c r="I23" s="404">
        <v>5775.86</v>
      </c>
      <c r="J23" s="404">
        <v>5574.65</v>
      </c>
      <c r="K23" s="404">
        <v>6292.99</v>
      </c>
      <c r="L23" s="404">
        <v>7288.6</v>
      </c>
      <c r="M23" s="404"/>
    </row>
    <row r="24" ht="15.75" customHeight="1">
      <c r="A24" s="400">
        <v>15.0</v>
      </c>
      <c r="B24" s="401" t="s">
        <v>72</v>
      </c>
      <c r="C24" s="401" t="s">
        <v>168</v>
      </c>
      <c r="D24" s="402" t="str">
        <f t="shared" si="1"/>
        <v>15Master</v>
      </c>
      <c r="E24" s="403">
        <v>0.0</v>
      </c>
      <c r="F24" s="403">
        <v>0.0</v>
      </c>
      <c r="G24" s="404">
        <v>0.0</v>
      </c>
      <c r="H24" s="404">
        <v>0.0</v>
      </c>
      <c r="I24" s="404">
        <v>0.0</v>
      </c>
      <c r="J24" s="404">
        <v>0.0</v>
      </c>
      <c r="K24" s="404">
        <v>0.0</v>
      </c>
      <c r="L24" s="404">
        <v>0.0</v>
      </c>
      <c r="M24" s="404"/>
    </row>
    <row r="25" ht="15.75" customHeight="1">
      <c r="A25" s="400">
        <v>15.0</v>
      </c>
      <c r="B25" s="401" t="s">
        <v>72</v>
      </c>
      <c r="C25" s="401" t="s">
        <v>169</v>
      </c>
      <c r="D25" s="402" t="str">
        <f t="shared" si="1"/>
        <v>15Especialista</v>
      </c>
      <c r="E25" s="403">
        <v>3.0</v>
      </c>
      <c r="F25" s="403">
        <v>9.0</v>
      </c>
      <c r="G25" s="404">
        <v>0.0</v>
      </c>
      <c r="H25" s="404">
        <v>0.0</v>
      </c>
      <c r="I25" s="404">
        <v>0.0</v>
      </c>
      <c r="J25" s="404">
        <v>0.0</v>
      </c>
      <c r="K25" s="404">
        <v>0.0</v>
      </c>
      <c r="L25" s="404">
        <v>0.0</v>
      </c>
      <c r="M25" s="404"/>
    </row>
    <row r="26" ht="15.75" customHeight="1">
      <c r="A26" s="400">
        <v>69.0</v>
      </c>
      <c r="B26" s="401" t="s">
        <v>70</v>
      </c>
      <c r="C26" s="401" t="s">
        <v>44</v>
      </c>
      <c r="D26" s="402" t="str">
        <f t="shared" si="1"/>
        <v>69Indiferente</v>
      </c>
      <c r="E26" s="403">
        <v>20.0</v>
      </c>
      <c r="F26" s="403">
        <v>74.0</v>
      </c>
      <c r="G26" s="404">
        <v>1782.06</v>
      </c>
      <c r="H26" s="404">
        <v>2143.44</v>
      </c>
      <c r="I26" s="404">
        <v>2238.54</v>
      </c>
      <c r="J26" s="404">
        <v>2220.51</v>
      </c>
      <c r="K26" s="404">
        <v>2220.51</v>
      </c>
      <c r="L26" s="404">
        <v>2726.11</v>
      </c>
      <c r="M26" s="404"/>
    </row>
    <row r="27" ht="15.75" customHeight="1">
      <c r="A27" s="400">
        <v>69.0</v>
      </c>
      <c r="B27" s="401" t="s">
        <v>70</v>
      </c>
      <c r="C27" s="401" t="s">
        <v>29</v>
      </c>
      <c r="D27" s="402" t="str">
        <f t="shared" si="1"/>
        <v>69Júnior</v>
      </c>
      <c r="E27" s="403">
        <v>8.0</v>
      </c>
      <c r="F27" s="403">
        <v>8.0</v>
      </c>
      <c r="G27" s="404">
        <v>1620.09</v>
      </c>
      <c r="H27" s="404">
        <v>1667.16</v>
      </c>
      <c r="I27" s="404">
        <v>2347.59</v>
      </c>
      <c r="J27" s="404">
        <v>2522.19</v>
      </c>
      <c r="K27" s="404">
        <v>2802.62</v>
      </c>
      <c r="L27" s="404">
        <v>3047.43</v>
      </c>
      <c r="M27" s="404"/>
    </row>
    <row r="28" ht="15.75" customHeight="1">
      <c r="A28" s="400">
        <v>69.0</v>
      </c>
      <c r="B28" s="401" t="s">
        <v>70</v>
      </c>
      <c r="C28" s="401" t="s">
        <v>24</v>
      </c>
      <c r="D28" s="402" t="str">
        <f t="shared" si="1"/>
        <v>69Pleno</v>
      </c>
      <c r="E28" s="403">
        <v>3.0</v>
      </c>
      <c r="F28" s="403">
        <v>48.0</v>
      </c>
      <c r="G28" s="404">
        <v>0.0</v>
      </c>
      <c r="H28" s="404">
        <v>0.0</v>
      </c>
      <c r="I28" s="404">
        <v>0.0</v>
      </c>
      <c r="J28" s="404">
        <v>0.0</v>
      </c>
      <c r="K28" s="404">
        <v>0.0</v>
      </c>
      <c r="L28" s="404">
        <v>0.0</v>
      </c>
      <c r="M28" s="404"/>
    </row>
    <row r="29" ht="15.75" customHeight="1">
      <c r="A29" s="400">
        <v>69.0</v>
      </c>
      <c r="B29" s="401" t="s">
        <v>70</v>
      </c>
      <c r="C29" s="401" t="s">
        <v>18</v>
      </c>
      <c r="D29" s="402" t="str">
        <f t="shared" si="1"/>
        <v>69Sênior</v>
      </c>
      <c r="E29" s="403">
        <v>1.0</v>
      </c>
      <c r="F29" s="403">
        <v>3.0</v>
      </c>
      <c r="G29" s="404">
        <v>0.0</v>
      </c>
      <c r="H29" s="404">
        <v>0.0</v>
      </c>
      <c r="I29" s="404">
        <v>0.0</v>
      </c>
      <c r="J29" s="404">
        <v>0.0</v>
      </c>
      <c r="K29" s="404">
        <v>0.0</v>
      </c>
      <c r="L29" s="404">
        <v>0.0</v>
      </c>
      <c r="M29" s="404"/>
    </row>
    <row r="30" ht="15.75" customHeight="1">
      <c r="A30" s="400">
        <v>69.0</v>
      </c>
      <c r="B30" s="401" t="s">
        <v>70</v>
      </c>
      <c r="C30" s="401" t="s">
        <v>168</v>
      </c>
      <c r="D30" s="402" t="str">
        <f t="shared" si="1"/>
        <v>69Master</v>
      </c>
      <c r="E30" s="403">
        <v>0.0</v>
      </c>
      <c r="F30" s="403">
        <v>0.0</v>
      </c>
      <c r="G30" s="404">
        <v>0.0</v>
      </c>
      <c r="H30" s="404">
        <v>0.0</v>
      </c>
      <c r="I30" s="404">
        <v>0.0</v>
      </c>
      <c r="J30" s="404">
        <v>0.0</v>
      </c>
      <c r="K30" s="404">
        <v>0.0</v>
      </c>
      <c r="L30" s="404">
        <v>0.0</v>
      </c>
      <c r="M30" s="404"/>
    </row>
    <row r="31" ht="15.75" customHeight="1">
      <c r="A31" s="400">
        <v>69.0</v>
      </c>
      <c r="B31" s="401" t="s">
        <v>70</v>
      </c>
      <c r="C31" s="401" t="s">
        <v>169</v>
      </c>
      <c r="D31" s="402" t="str">
        <f t="shared" si="1"/>
        <v>69Especialista</v>
      </c>
      <c r="E31" s="403">
        <v>0.0</v>
      </c>
      <c r="F31" s="403">
        <v>0.0</v>
      </c>
      <c r="G31" s="404">
        <v>0.0</v>
      </c>
      <c r="H31" s="404">
        <v>0.0</v>
      </c>
      <c r="I31" s="404">
        <v>0.0</v>
      </c>
      <c r="J31" s="404">
        <v>0.0</v>
      </c>
      <c r="K31" s="404">
        <v>0.0</v>
      </c>
      <c r="L31" s="404">
        <v>0.0</v>
      </c>
      <c r="M31" s="404"/>
    </row>
    <row r="32" ht="15.75" customHeight="1">
      <c r="A32" s="400"/>
      <c r="B32" s="401"/>
      <c r="C32" s="401"/>
      <c r="D32" s="402" t="str">
        <f t="shared" si="1"/>
        <v/>
      </c>
      <c r="E32" s="403"/>
      <c r="F32" s="403"/>
      <c r="G32" s="404"/>
      <c r="H32" s="404"/>
      <c r="I32" s="404"/>
      <c r="J32" s="404"/>
      <c r="K32" s="404"/>
      <c r="L32" s="404"/>
      <c r="M32" s="404"/>
    </row>
    <row r="33" ht="15.75" customHeight="1">
      <c r="A33" s="400"/>
      <c r="B33" s="401"/>
      <c r="C33" s="401"/>
      <c r="D33" s="402" t="str">
        <f t="shared" si="1"/>
        <v/>
      </c>
      <c r="E33" s="403"/>
      <c r="F33" s="403"/>
      <c r="G33" s="404"/>
      <c r="H33" s="404"/>
      <c r="I33" s="404"/>
      <c r="J33" s="404"/>
      <c r="K33" s="404"/>
      <c r="L33" s="404"/>
      <c r="M33" s="404"/>
    </row>
    <row r="34" ht="15.75" customHeight="1">
      <c r="A34" s="400"/>
      <c r="B34" s="401"/>
      <c r="C34" s="401"/>
      <c r="D34" s="402" t="str">
        <f t="shared" si="1"/>
        <v/>
      </c>
      <c r="E34" s="403"/>
      <c r="F34" s="403"/>
      <c r="G34" s="404"/>
      <c r="H34" s="404"/>
      <c r="I34" s="404"/>
      <c r="J34" s="404"/>
      <c r="K34" s="404"/>
      <c r="L34" s="404"/>
      <c r="M34" s="404"/>
    </row>
    <row r="35" ht="15.75" customHeight="1">
      <c r="A35" s="400"/>
      <c r="B35" s="401"/>
      <c r="C35" s="401"/>
      <c r="D35" s="402" t="str">
        <f t="shared" si="1"/>
        <v/>
      </c>
      <c r="E35" s="403"/>
      <c r="F35" s="403"/>
      <c r="G35" s="404"/>
      <c r="H35" s="404"/>
      <c r="I35" s="404"/>
      <c r="J35" s="404"/>
      <c r="K35" s="404"/>
      <c r="L35" s="404"/>
      <c r="M35" s="404"/>
    </row>
    <row r="36" ht="15.75" customHeight="1">
      <c r="A36" s="400"/>
      <c r="B36" s="401"/>
      <c r="C36" s="401"/>
      <c r="D36" s="402" t="str">
        <f t="shared" si="1"/>
        <v/>
      </c>
      <c r="E36" s="403"/>
      <c r="F36" s="403"/>
      <c r="G36" s="404"/>
      <c r="H36" s="404"/>
      <c r="I36" s="404"/>
      <c r="J36" s="404"/>
      <c r="K36" s="404"/>
      <c r="L36" s="404"/>
      <c r="M36" s="404"/>
    </row>
    <row r="37" ht="15.75" customHeight="1">
      <c r="A37" s="400"/>
      <c r="B37" s="401"/>
      <c r="C37" s="401"/>
      <c r="D37" s="402" t="str">
        <f t="shared" si="1"/>
        <v/>
      </c>
      <c r="E37" s="403"/>
      <c r="F37" s="403"/>
      <c r="G37" s="404"/>
      <c r="H37" s="404"/>
      <c r="I37" s="404"/>
      <c r="J37" s="404"/>
      <c r="K37" s="404"/>
      <c r="L37" s="404"/>
      <c r="M37" s="404"/>
    </row>
    <row r="38" ht="15.75" customHeight="1">
      <c r="A38" s="400"/>
      <c r="B38" s="401"/>
      <c r="C38" s="401"/>
      <c r="D38" s="402" t="str">
        <f t="shared" si="1"/>
        <v/>
      </c>
      <c r="E38" s="403"/>
      <c r="F38" s="403"/>
      <c r="G38" s="404"/>
      <c r="H38" s="404"/>
      <c r="I38" s="404"/>
      <c r="J38" s="404"/>
      <c r="K38" s="404"/>
      <c r="L38" s="404"/>
      <c r="M38" s="404"/>
    </row>
    <row r="39" ht="15.75" customHeight="1">
      <c r="A39" s="400"/>
      <c r="B39" s="401"/>
      <c r="C39" s="401"/>
      <c r="D39" s="402" t="str">
        <f t="shared" si="1"/>
        <v/>
      </c>
      <c r="E39" s="403"/>
      <c r="F39" s="403"/>
      <c r="G39" s="404"/>
      <c r="H39" s="404"/>
      <c r="I39" s="404"/>
      <c r="J39" s="404"/>
      <c r="K39" s="404"/>
      <c r="L39" s="404"/>
      <c r="M39" s="404"/>
    </row>
    <row r="40" ht="15.75" customHeight="1">
      <c r="A40" s="400"/>
      <c r="B40" s="401"/>
      <c r="C40" s="401"/>
      <c r="D40" s="402" t="str">
        <f t="shared" si="1"/>
        <v/>
      </c>
      <c r="E40" s="403"/>
      <c r="F40" s="403"/>
      <c r="G40" s="404"/>
      <c r="H40" s="404"/>
      <c r="I40" s="404"/>
      <c r="J40" s="404"/>
      <c r="K40" s="404"/>
      <c r="L40" s="404"/>
      <c r="M40" s="404"/>
    </row>
    <row r="41" ht="15.75" customHeight="1">
      <c r="A41" s="400"/>
      <c r="B41" s="401"/>
      <c r="C41" s="401"/>
      <c r="D41" s="402" t="str">
        <f t="shared" si="1"/>
        <v/>
      </c>
      <c r="E41" s="403"/>
      <c r="F41" s="403"/>
      <c r="G41" s="404"/>
      <c r="H41" s="404"/>
      <c r="I41" s="404"/>
      <c r="J41" s="404"/>
      <c r="K41" s="404"/>
      <c r="L41" s="404"/>
      <c r="M41" s="404"/>
    </row>
    <row r="42" ht="15.75" customHeight="1">
      <c r="A42" s="400"/>
      <c r="B42" s="401"/>
      <c r="C42" s="401"/>
      <c r="D42" s="402" t="str">
        <f t="shared" si="1"/>
        <v/>
      </c>
      <c r="E42" s="403"/>
      <c r="F42" s="403"/>
      <c r="G42" s="404"/>
      <c r="H42" s="404"/>
      <c r="I42" s="404"/>
      <c r="J42" s="404"/>
      <c r="K42" s="404"/>
      <c r="L42" s="404"/>
      <c r="M42" s="404"/>
    </row>
    <row r="43" ht="15.75" customHeight="1">
      <c r="A43" s="400"/>
      <c r="B43" s="401"/>
      <c r="C43" s="401"/>
      <c r="D43" s="402" t="str">
        <f t="shared" si="1"/>
        <v/>
      </c>
      <c r="E43" s="403"/>
      <c r="F43" s="403"/>
      <c r="G43" s="404"/>
      <c r="H43" s="404"/>
      <c r="I43" s="404"/>
      <c r="J43" s="404"/>
      <c r="K43" s="404"/>
      <c r="L43" s="404"/>
      <c r="M43" s="404"/>
    </row>
    <row r="44" ht="15.75" customHeight="1">
      <c r="A44" s="400"/>
      <c r="B44" s="401"/>
      <c r="C44" s="401"/>
      <c r="D44" s="402" t="str">
        <f t="shared" si="1"/>
        <v/>
      </c>
      <c r="E44" s="403"/>
      <c r="F44" s="403"/>
      <c r="G44" s="404"/>
      <c r="H44" s="404"/>
      <c r="I44" s="404"/>
      <c r="J44" s="404"/>
      <c r="K44" s="404"/>
      <c r="L44" s="404"/>
      <c r="M44" s="404"/>
    </row>
    <row r="45" ht="15.75" customHeight="1">
      <c r="A45" s="400"/>
      <c r="B45" s="401"/>
      <c r="C45" s="401"/>
      <c r="D45" s="402" t="str">
        <f t="shared" si="1"/>
        <v/>
      </c>
      <c r="E45" s="403"/>
      <c r="F45" s="403"/>
      <c r="G45" s="404"/>
      <c r="H45" s="404"/>
      <c r="I45" s="404"/>
      <c r="J45" s="404"/>
      <c r="K45" s="404"/>
      <c r="L45" s="404"/>
      <c r="M45" s="404"/>
    </row>
    <row r="46" ht="15.75" customHeight="1">
      <c r="A46" s="400"/>
      <c r="B46" s="401"/>
      <c r="C46" s="401"/>
      <c r="D46" s="402" t="str">
        <f t="shared" si="1"/>
        <v/>
      </c>
      <c r="E46" s="403"/>
      <c r="F46" s="403"/>
      <c r="G46" s="404"/>
      <c r="H46" s="404"/>
      <c r="I46" s="404"/>
      <c r="J46" s="404"/>
      <c r="K46" s="404"/>
      <c r="L46" s="404"/>
      <c r="M46" s="404"/>
    </row>
    <row r="47" ht="15.75" customHeight="1">
      <c r="A47" s="400"/>
      <c r="B47" s="401"/>
      <c r="C47" s="401"/>
      <c r="D47" s="402" t="str">
        <f t="shared" si="1"/>
        <v/>
      </c>
      <c r="E47" s="403"/>
      <c r="F47" s="403"/>
      <c r="G47" s="404"/>
      <c r="H47" s="404"/>
      <c r="I47" s="404"/>
      <c r="J47" s="404"/>
      <c r="K47" s="404"/>
      <c r="L47" s="404"/>
      <c r="M47" s="404"/>
    </row>
    <row r="48" ht="15.75" customHeight="1">
      <c r="A48" s="400"/>
      <c r="B48" s="401"/>
      <c r="C48" s="401"/>
      <c r="D48" s="402" t="str">
        <f t="shared" si="1"/>
        <v/>
      </c>
      <c r="E48" s="403"/>
      <c r="F48" s="403"/>
      <c r="G48" s="404"/>
      <c r="H48" s="404"/>
      <c r="I48" s="404"/>
      <c r="J48" s="404"/>
      <c r="K48" s="404"/>
      <c r="L48" s="404"/>
      <c r="M48" s="404"/>
    </row>
    <row r="49" ht="15.75" customHeight="1">
      <c r="A49" s="400"/>
      <c r="B49" s="401"/>
      <c r="C49" s="401"/>
      <c r="D49" s="402" t="str">
        <f t="shared" si="1"/>
        <v/>
      </c>
      <c r="E49" s="403"/>
      <c r="F49" s="403"/>
      <c r="G49" s="404"/>
      <c r="H49" s="404"/>
      <c r="I49" s="404"/>
      <c r="J49" s="404"/>
      <c r="K49" s="404"/>
      <c r="L49" s="404"/>
      <c r="M49" s="404"/>
    </row>
    <row r="50" ht="15.75" customHeight="1">
      <c r="A50" s="400"/>
      <c r="B50" s="401"/>
      <c r="C50" s="401"/>
      <c r="D50" s="402" t="str">
        <f t="shared" si="1"/>
        <v/>
      </c>
      <c r="E50" s="403"/>
      <c r="F50" s="403"/>
      <c r="G50" s="404"/>
      <c r="H50" s="404"/>
      <c r="I50" s="404"/>
      <c r="J50" s="404"/>
      <c r="K50" s="404"/>
      <c r="L50" s="404"/>
      <c r="M50" s="404"/>
    </row>
    <row r="51" ht="15.75" customHeight="1">
      <c r="A51" s="400"/>
      <c r="B51" s="401"/>
      <c r="C51" s="401"/>
      <c r="D51" s="402" t="str">
        <f t="shared" si="1"/>
        <v/>
      </c>
      <c r="E51" s="403"/>
      <c r="F51" s="403"/>
      <c r="G51" s="404"/>
      <c r="H51" s="404"/>
      <c r="I51" s="404"/>
      <c r="J51" s="404"/>
      <c r="K51" s="404"/>
      <c r="L51" s="404"/>
      <c r="M51" s="404"/>
    </row>
    <row r="52" ht="15.75" customHeight="1">
      <c r="A52" s="400"/>
      <c r="B52" s="401"/>
      <c r="C52" s="401"/>
      <c r="D52" s="402" t="str">
        <f t="shared" si="1"/>
        <v/>
      </c>
      <c r="E52" s="403"/>
      <c r="F52" s="403"/>
      <c r="G52" s="404"/>
      <c r="H52" s="404"/>
      <c r="I52" s="404"/>
      <c r="J52" s="404"/>
      <c r="K52" s="404"/>
      <c r="L52" s="404"/>
      <c r="M52" s="404"/>
    </row>
    <row r="53" ht="15.75" customHeight="1">
      <c r="A53" s="400"/>
      <c r="B53" s="401"/>
      <c r="C53" s="401"/>
      <c r="D53" s="402" t="str">
        <f t="shared" si="1"/>
        <v/>
      </c>
      <c r="E53" s="403"/>
      <c r="F53" s="403"/>
      <c r="G53" s="404"/>
      <c r="H53" s="404"/>
      <c r="I53" s="404"/>
      <c r="J53" s="404"/>
      <c r="K53" s="404"/>
      <c r="L53" s="404"/>
      <c r="M53" s="404"/>
    </row>
    <row r="54" ht="15.75" customHeight="1">
      <c r="A54" s="400"/>
      <c r="B54" s="401"/>
      <c r="C54" s="401"/>
      <c r="D54" s="402" t="str">
        <f t="shared" si="1"/>
        <v/>
      </c>
      <c r="E54" s="403"/>
      <c r="F54" s="403"/>
      <c r="G54" s="404"/>
      <c r="H54" s="404"/>
      <c r="I54" s="404"/>
      <c r="J54" s="404"/>
      <c r="K54" s="404"/>
      <c r="L54" s="404"/>
      <c r="M54" s="404"/>
    </row>
    <row r="55" ht="15.75" customHeight="1">
      <c r="A55" s="400"/>
      <c r="B55" s="401"/>
      <c r="C55" s="401"/>
      <c r="D55" s="402" t="str">
        <f t="shared" si="1"/>
        <v/>
      </c>
      <c r="E55" s="403"/>
      <c r="F55" s="403"/>
      <c r="G55" s="404"/>
      <c r="H55" s="404"/>
      <c r="I55" s="404"/>
      <c r="J55" s="404"/>
      <c r="K55" s="404"/>
      <c r="L55" s="404"/>
      <c r="M55" s="404"/>
    </row>
    <row r="56" ht="15.75" customHeight="1">
      <c r="A56" s="400"/>
      <c r="B56" s="401"/>
      <c r="C56" s="401"/>
      <c r="D56" s="402" t="str">
        <f t="shared" si="1"/>
        <v/>
      </c>
      <c r="E56" s="403"/>
      <c r="F56" s="403"/>
      <c r="G56" s="404"/>
      <c r="H56" s="404"/>
      <c r="I56" s="404"/>
      <c r="J56" s="404"/>
      <c r="K56" s="404"/>
      <c r="L56" s="404"/>
      <c r="M56" s="404"/>
    </row>
    <row r="57" ht="15.75" customHeight="1">
      <c r="A57" s="400"/>
      <c r="B57" s="401"/>
      <c r="C57" s="401"/>
      <c r="D57" s="402" t="str">
        <f t="shared" si="1"/>
        <v/>
      </c>
      <c r="E57" s="403"/>
      <c r="F57" s="403"/>
      <c r="G57" s="404"/>
      <c r="H57" s="404"/>
      <c r="I57" s="404"/>
      <c r="J57" s="404"/>
      <c r="K57" s="404"/>
      <c r="L57" s="404"/>
      <c r="M57" s="404"/>
    </row>
    <row r="58" ht="15.75" customHeight="1">
      <c r="A58" s="400"/>
      <c r="B58" s="401"/>
      <c r="C58" s="401"/>
      <c r="D58" s="402" t="str">
        <f t="shared" si="1"/>
        <v/>
      </c>
      <c r="E58" s="403"/>
      <c r="F58" s="403"/>
      <c r="G58" s="404"/>
      <c r="H58" s="404"/>
      <c r="I58" s="404"/>
      <c r="J58" s="404"/>
      <c r="K58" s="404"/>
      <c r="L58" s="404"/>
      <c r="M58" s="404"/>
    </row>
    <row r="59" ht="15.75" customHeight="1">
      <c r="A59" s="400"/>
      <c r="B59" s="401"/>
      <c r="C59" s="401"/>
      <c r="D59" s="402" t="str">
        <f t="shared" si="1"/>
        <v/>
      </c>
      <c r="E59" s="403"/>
      <c r="F59" s="403"/>
      <c r="G59" s="404"/>
      <c r="H59" s="404"/>
      <c r="I59" s="404"/>
      <c r="J59" s="404"/>
      <c r="K59" s="404"/>
      <c r="L59" s="404"/>
      <c r="M59" s="404"/>
    </row>
    <row r="60" ht="15.75" customHeight="1">
      <c r="A60" s="400"/>
      <c r="B60" s="401"/>
      <c r="C60" s="401"/>
      <c r="D60" s="402" t="str">
        <f t="shared" si="1"/>
        <v/>
      </c>
      <c r="E60" s="403"/>
      <c r="F60" s="403"/>
      <c r="G60" s="404"/>
      <c r="H60" s="404"/>
      <c r="I60" s="404"/>
      <c r="J60" s="404"/>
      <c r="K60" s="404"/>
      <c r="L60" s="404"/>
      <c r="M60" s="404"/>
    </row>
    <row r="61" ht="15.75" customHeight="1">
      <c r="A61" s="400"/>
      <c r="B61" s="401"/>
      <c r="C61" s="401"/>
      <c r="D61" s="402" t="str">
        <f t="shared" si="1"/>
        <v/>
      </c>
      <c r="E61" s="403"/>
      <c r="F61" s="403"/>
      <c r="G61" s="404"/>
      <c r="H61" s="404"/>
      <c r="I61" s="404"/>
      <c r="J61" s="404"/>
      <c r="K61" s="404"/>
      <c r="L61" s="404"/>
      <c r="M61" s="404"/>
    </row>
    <row r="62" ht="15.75" customHeight="1">
      <c r="A62" s="400"/>
      <c r="B62" s="401"/>
      <c r="C62" s="401"/>
      <c r="D62" s="402" t="str">
        <f t="shared" si="1"/>
        <v/>
      </c>
      <c r="E62" s="403"/>
      <c r="F62" s="403"/>
      <c r="G62" s="404"/>
      <c r="H62" s="404"/>
      <c r="I62" s="404"/>
      <c r="J62" s="404"/>
      <c r="K62" s="404"/>
      <c r="L62" s="404"/>
      <c r="M62" s="404"/>
    </row>
    <row r="63" ht="15.75" customHeight="1">
      <c r="A63" s="400"/>
      <c r="B63" s="401"/>
      <c r="C63" s="401"/>
      <c r="D63" s="402" t="str">
        <f t="shared" si="1"/>
        <v/>
      </c>
      <c r="E63" s="403"/>
      <c r="F63" s="403"/>
      <c r="G63" s="404"/>
      <c r="H63" s="404"/>
      <c r="I63" s="404"/>
      <c r="J63" s="404"/>
      <c r="K63" s="404"/>
      <c r="L63" s="404"/>
      <c r="M63" s="404"/>
    </row>
    <row r="64" ht="15.75" customHeight="1">
      <c r="A64" s="400"/>
      <c r="B64" s="401"/>
      <c r="C64" s="401"/>
      <c r="D64" s="402" t="str">
        <f t="shared" si="1"/>
        <v/>
      </c>
      <c r="E64" s="403"/>
      <c r="F64" s="403"/>
      <c r="G64" s="404"/>
      <c r="H64" s="404"/>
      <c r="I64" s="404"/>
      <c r="J64" s="404"/>
      <c r="K64" s="404"/>
      <c r="L64" s="404"/>
      <c r="M64" s="404"/>
    </row>
    <row r="65" ht="15.75" customHeight="1">
      <c r="A65" s="400"/>
      <c r="B65" s="401"/>
      <c r="C65" s="401"/>
      <c r="D65" s="402" t="str">
        <f t="shared" si="1"/>
        <v/>
      </c>
      <c r="E65" s="403"/>
      <c r="F65" s="403"/>
      <c r="G65" s="404"/>
      <c r="H65" s="404"/>
      <c r="I65" s="404"/>
      <c r="J65" s="404"/>
      <c r="K65" s="404"/>
      <c r="L65" s="404"/>
      <c r="M65" s="404"/>
    </row>
    <row r="66" ht="15.75" customHeight="1">
      <c r="A66" s="400"/>
      <c r="B66" s="401"/>
      <c r="C66" s="401"/>
      <c r="D66" s="402" t="str">
        <f t="shared" si="1"/>
        <v/>
      </c>
      <c r="E66" s="403"/>
      <c r="F66" s="403"/>
      <c r="G66" s="404"/>
      <c r="H66" s="404"/>
      <c r="I66" s="404"/>
      <c r="J66" s="404"/>
      <c r="K66" s="404"/>
      <c r="L66" s="404"/>
      <c r="M66" s="404"/>
    </row>
    <row r="67" ht="15.75" customHeight="1">
      <c r="A67" s="400"/>
      <c r="B67" s="401"/>
      <c r="C67" s="401"/>
      <c r="D67" s="402" t="str">
        <f t="shared" si="1"/>
        <v/>
      </c>
      <c r="E67" s="403"/>
      <c r="F67" s="403"/>
      <c r="G67" s="404"/>
      <c r="H67" s="404"/>
      <c r="I67" s="404"/>
      <c r="J67" s="404"/>
      <c r="K67" s="404"/>
      <c r="L67" s="404"/>
      <c r="M67" s="404"/>
    </row>
    <row r="68" ht="15.75" customHeight="1">
      <c r="A68" s="400"/>
      <c r="B68" s="401"/>
      <c r="C68" s="401"/>
      <c r="D68" s="402" t="str">
        <f t="shared" si="1"/>
        <v/>
      </c>
      <c r="E68" s="403"/>
      <c r="F68" s="403"/>
      <c r="G68" s="404"/>
      <c r="H68" s="404"/>
      <c r="I68" s="404"/>
      <c r="J68" s="404"/>
      <c r="K68" s="404"/>
      <c r="L68" s="404"/>
      <c r="M68" s="404"/>
    </row>
    <row r="69" ht="15.75" customHeight="1">
      <c r="A69" s="400"/>
      <c r="B69" s="401"/>
      <c r="C69" s="401"/>
      <c r="D69" s="402" t="str">
        <f t="shared" si="1"/>
        <v/>
      </c>
      <c r="E69" s="403"/>
      <c r="F69" s="403"/>
      <c r="G69" s="404"/>
      <c r="H69" s="404"/>
      <c r="I69" s="404"/>
      <c r="J69" s="404"/>
      <c r="K69" s="404"/>
      <c r="L69" s="404"/>
      <c r="M69" s="404"/>
    </row>
    <row r="70" ht="15.75" customHeight="1">
      <c r="A70" s="400"/>
      <c r="B70" s="401"/>
      <c r="C70" s="401"/>
      <c r="D70" s="402" t="str">
        <f t="shared" si="1"/>
        <v/>
      </c>
      <c r="E70" s="403"/>
      <c r="F70" s="403"/>
      <c r="G70" s="404"/>
      <c r="H70" s="404"/>
      <c r="I70" s="404"/>
      <c r="J70" s="404"/>
      <c r="K70" s="404"/>
      <c r="L70" s="404"/>
      <c r="M70" s="404"/>
    </row>
    <row r="71" ht="15.75" customHeight="1">
      <c r="A71" s="400"/>
      <c r="B71" s="401"/>
      <c r="C71" s="401"/>
      <c r="D71" s="402" t="str">
        <f t="shared" si="1"/>
        <v/>
      </c>
      <c r="E71" s="403"/>
      <c r="F71" s="403"/>
      <c r="G71" s="404"/>
      <c r="H71" s="404"/>
      <c r="I71" s="404"/>
      <c r="J71" s="404"/>
      <c r="K71" s="404"/>
      <c r="L71" s="404"/>
      <c r="M71" s="404"/>
    </row>
    <row r="72" ht="15.75" customHeight="1">
      <c r="A72" s="400"/>
      <c r="B72" s="401"/>
      <c r="C72" s="401"/>
      <c r="D72" s="402" t="str">
        <f t="shared" si="1"/>
        <v/>
      </c>
      <c r="E72" s="403"/>
      <c r="F72" s="403"/>
      <c r="G72" s="404"/>
      <c r="H72" s="404"/>
      <c r="I72" s="404"/>
      <c r="J72" s="404"/>
      <c r="K72" s="404"/>
      <c r="L72" s="404"/>
      <c r="M72" s="404"/>
    </row>
    <row r="73" ht="15.75" customHeight="1">
      <c r="A73" s="400"/>
      <c r="B73" s="401"/>
      <c r="C73" s="401"/>
      <c r="D73" s="402" t="str">
        <f t="shared" si="1"/>
        <v/>
      </c>
      <c r="E73" s="403"/>
      <c r="F73" s="403"/>
      <c r="G73" s="404"/>
      <c r="H73" s="404"/>
      <c r="I73" s="404"/>
      <c r="J73" s="404"/>
      <c r="K73" s="404"/>
      <c r="L73" s="404"/>
      <c r="M73" s="404"/>
    </row>
    <row r="74" ht="15.75" customHeight="1">
      <c r="A74" s="400"/>
      <c r="B74" s="401"/>
      <c r="C74" s="401"/>
      <c r="D74" s="402" t="str">
        <f t="shared" si="1"/>
        <v/>
      </c>
      <c r="E74" s="403"/>
      <c r="F74" s="403"/>
      <c r="G74" s="404"/>
      <c r="H74" s="404"/>
      <c r="I74" s="404"/>
      <c r="J74" s="404"/>
      <c r="K74" s="404"/>
      <c r="L74" s="404"/>
      <c r="M74" s="404"/>
    </row>
    <row r="75" ht="15.75" customHeight="1">
      <c r="A75" s="400"/>
      <c r="B75" s="401"/>
      <c r="C75" s="401"/>
      <c r="D75" s="402" t="str">
        <f t="shared" si="1"/>
        <v/>
      </c>
      <c r="E75" s="403"/>
      <c r="F75" s="403"/>
      <c r="G75" s="404"/>
      <c r="H75" s="404"/>
      <c r="I75" s="404"/>
      <c r="J75" s="404"/>
      <c r="K75" s="404"/>
      <c r="L75" s="404"/>
      <c r="M75" s="404"/>
    </row>
    <row r="76" ht="15.75" customHeight="1">
      <c r="A76" s="400"/>
      <c r="B76" s="401"/>
      <c r="C76" s="401"/>
      <c r="D76" s="402" t="str">
        <f t="shared" si="1"/>
        <v/>
      </c>
      <c r="E76" s="403"/>
      <c r="F76" s="403"/>
      <c r="G76" s="404"/>
      <c r="H76" s="404"/>
      <c r="I76" s="404"/>
      <c r="J76" s="404"/>
      <c r="K76" s="404"/>
      <c r="L76" s="404"/>
      <c r="M76" s="404"/>
    </row>
    <row r="77" ht="15.75" customHeight="1">
      <c r="A77" s="400"/>
      <c r="B77" s="401"/>
      <c r="C77" s="401"/>
      <c r="D77" s="402" t="str">
        <f t="shared" si="1"/>
        <v/>
      </c>
      <c r="E77" s="403"/>
      <c r="F77" s="403"/>
      <c r="G77" s="404"/>
      <c r="H77" s="404"/>
      <c r="I77" s="404"/>
      <c r="J77" s="404"/>
      <c r="K77" s="404"/>
      <c r="L77" s="404"/>
      <c r="M77" s="404"/>
    </row>
    <row r="78" ht="15.75" customHeight="1">
      <c r="A78" s="400"/>
      <c r="B78" s="401"/>
      <c r="C78" s="401"/>
      <c r="D78" s="402" t="str">
        <f t="shared" si="1"/>
        <v/>
      </c>
      <c r="E78" s="403"/>
      <c r="F78" s="403"/>
      <c r="G78" s="404"/>
      <c r="H78" s="404"/>
      <c r="I78" s="404"/>
      <c r="J78" s="404"/>
      <c r="K78" s="404"/>
      <c r="L78" s="404"/>
      <c r="M78" s="404"/>
    </row>
    <row r="79" ht="15.75" customHeight="1">
      <c r="A79" s="400"/>
      <c r="B79" s="401"/>
      <c r="C79" s="401"/>
      <c r="D79" s="402" t="str">
        <f t="shared" si="1"/>
        <v/>
      </c>
      <c r="E79" s="403"/>
      <c r="F79" s="403"/>
      <c r="G79" s="404"/>
      <c r="H79" s="404"/>
      <c r="I79" s="404"/>
      <c r="J79" s="404"/>
      <c r="K79" s="404"/>
      <c r="L79" s="404"/>
      <c r="M79" s="404"/>
    </row>
    <row r="80" ht="15.75" customHeight="1">
      <c r="A80" s="400"/>
      <c r="B80" s="401"/>
      <c r="C80" s="405"/>
      <c r="D80" s="402" t="str">
        <f t="shared" si="1"/>
        <v/>
      </c>
      <c r="E80" s="403"/>
      <c r="F80" s="404"/>
      <c r="G80" s="404"/>
      <c r="H80" s="404"/>
      <c r="I80" s="404"/>
      <c r="J80" s="404"/>
      <c r="K80" s="404"/>
      <c r="L80" s="404"/>
    </row>
    <row r="81" ht="15.75" customHeight="1">
      <c r="A81" s="400"/>
      <c r="B81" s="401"/>
      <c r="C81" s="405"/>
      <c r="D81" s="402" t="str">
        <f t="shared" si="1"/>
        <v/>
      </c>
      <c r="E81" s="403"/>
      <c r="F81" s="404"/>
      <c r="G81" s="404"/>
      <c r="H81" s="404"/>
      <c r="I81" s="404"/>
      <c r="J81" s="404"/>
      <c r="K81" s="404"/>
      <c r="L81" s="404"/>
    </row>
    <row r="82" ht="15.75" customHeight="1">
      <c r="A82" s="400"/>
      <c r="B82" s="401"/>
      <c r="C82" s="405"/>
      <c r="D82" s="402" t="str">
        <f t="shared" si="1"/>
        <v/>
      </c>
      <c r="E82" s="403"/>
      <c r="F82" s="404"/>
      <c r="G82" s="404"/>
      <c r="H82" s="404"/>
      <c r="I82" s="404"/>
      <c r="J82" s="404"/>
      <c r="K82" s="404"/>
      <c r="L82" s="404"/>
    </row>
    <row r="83" ht="15.75" customHeight="1">
      <c r="A83" s="400"/>
      <c r="B83" s="401"/>
      <c r="C83" s="405"/>
      <c r="D83" s="402" t="str">
        <f t="shared" si="1"/>
        <v/>
      </c>
      <c r="E83" s="403"/>
      <c r="F83" s="404"/>
      <c r="G83" s="404"/>
      <c r="H83" s="404"/>
      <c r="I83" s="404"/>
      <c r="J83" s="404"/>
      <c r="K83" s="404"/>
      <c r="L83" s="404"/>
    </row>
    <row r="84" ht="15.75" customHeight="1">
      <c r="A84" s="400"/>
      <c r="B84" s="401"/>
      <c r="C84" s="405"/>
      <c r="D84" s="402" t="str">
        <f t="shared" si="1"/>
        <v/>
      </c>
      <c r="E84" s="403"/>
      <c r="F84" s="404"/>
      <c r="G84" s="404"/>
      <c r="H84" s="404"/>
      <c r="I84" s="404"/>
      <c r="J84" s="404"/>
      <c r="K84" s="404"/>
      <c r="L84" s="404"/>
    </row>
    <row r="85" ht="15.75" customHeight="1">
      <c r="A85" s="400"/>
      <c r="B85" s="401"/>
      <c r="C85" s="405"/>
      <c r="D85" s="402" t="str">
        <f t="shared" si="1"/>
        <v/>
      </c>
      <c r="E85" s="403"/>
      <c r="F85" s="404"/>
      <c r="G85" s="404"/>
      <c r="H85" s="404"/>
      <c r="I85" s="404"/>
      <c r="J85" s="404"/>
      <c r="K85" s="404"/>
      <c r="L85" s="404"/>
    </row>
    <row r="86" ht="15.75" customHeight="1">
      <c r="A86" s="400"/>
      <c r="B86" s="401"/>
      <c r="C86" s="401"/>
      <c r="D86" s="402" t="str">
        <f t="shared" si="1"/>
        <v/>
      </c>
      <c r="E86" s="403"/>
      <c r="F86" s="403"/>
      <c r="G86" s="404"/>
      <c r="H86" s="404"/>
      <c r="I86" s="404"/>
      <c r="J86" s="404"/>
      <c r="K86" s="404"/>
      <c r="L86" s="404"/>
      <c r="M86" s="404"/>
    </row>
    <row r="87" ht="15.75" customHeight="1">
      <c r="A87" s="400"/>
      <c r="B87" s="401"/>
      <c r="C87" s="401"/>
      <c r="D87" s="402" t="str">
        <f t="shared" si="1"/>
        <v/>
      </c>
      <c r="E87" s="403"/>
      <c r="F87" s="403"/>
      <c r="G87" s="404"/>
      <c r="H87" s="404"/>
      <c r="I87" s="404"/>
      <c r="J87" s="404"/>
      <c r="K87" s="404"/>
      <c r="L87" s="404"/>
      <c r="M87" s="404"/>
    </row>
    <row r="88" ht="15.75" customHeight="1">
      <c r="A88" s="400"/>
      <c r="B88" s="401"/>
      <c r="C88" s="401"/>
      <c r="D88" s="402" t="str">
        <f t="shared" si="1"/>
        <v/>
      </c>
      <c r="E88" s="403"/>
      <c r="F88" s="403"/>
      <c r="G88" s="404"/>
      <c r="H88" s="404"/>
      <c r="I88" s="404"/>
      <c r="J88" s="404"/>
      <c r="K88" s="404"/>
      <c r="L88" s="404"/>
      <c r="M88" s="404"/>
    </row>
    <row r="89" ht="15.75" customHeight="1">
      <c r="A89" s="400"/>
      <c r="B89" s="401"/>
      <c r="C89" s="401"/>
      <c r="D89" s="402" t="str">
        <f t="shared" si="1"/>
        <v/>
      </c>
      <c r="E89" s="403"/>
      <c r="F89" s="403"/>
      <c r="G89" s="404"/>
      <c r="H89" s="404"/>
      <c r="I89" s="404"/>
      <c r="J89" s="404"/>
      <c r="K89" s="404"/>
      <c r="L89" s="404"/>
      <c r="M89" s="404"/>
    </row>
    <row r="90" ht="15.75" customHeight="1">
      <c r="A90" s="400"/>
      <c r="B90" s="401"/>
      <c r="C90" s="401"/>
      <c r="D90" s="402" t="str">
        <f t="shared" si="1"/>
        <v/>
      </c>
      <c r="E90" s="403"/>
      <c r="F90" s="403"/>
      <c r="G90" s="404"/>
      <c r="H90" s="404"/>
      <c r="I90" s="404"/>
      <c r="J90" s="404"/>
      <c r="K90" s="404"/>
      <c r="L90" s="404"/>
      <c r="M90" s="404"/>
    </row>
    <row r="91" ht="15.75" customHeight="1">
      <c r="A91" s="400"/>
      <c r="B91" s="401"/>
      <c r="C91" s="401"/>
      <c r="D91" s="402" t="str">
        <f t="shared" si="1"/>
        <v/>
      </c>
      <c r="E91" s="403"/>
      <c r="F91" s="403"/>
      <c r="G91" s="404"/>
      <c r="H91" s="404"/>
      <c r="I91" s="404"/>
      <c r="J91" s="404"/>
      <c r="K91" s="404"/>
      <c r="L91" s="404"/>
      <c r="M91" s="404"/>
    </row>
    <row r="92" ht="15.75" customHeight="1">
      <c r="A92" s="400"/>
      <c r="B92" s="401"/>
      <c r="C92" s="401"/>
      <c r="D92" s="402" t="str">
        <f t="shared" si="1"/>
        <v/>
      </c>
      <c r="E92" s="403"/>
      <c r="F92" s="403"/>
      <c r="G92" s="404"/>
      <c r="H92" s="404"/>
      <c r="I92" s="404"/>
      <c r="J92" s="404"/>
      <c r="K92" s="404"/>
      <c r="L92" s="404"/>
      <c r="M92" s="404"/>
    </row>
    <row r="93" ht="15.75" customHeight="1">
      <c r="A93" s="400"/>
      <c r="B93" s="401"/>
      <c r="C93" s="401"/>
      <c r="D93" s="402" t="str">
        <f t="shared" si="1"/>
        <v/>
      </c>
      <c r="E93" s="403"/>
      <c r="F93" s="403"/>
      <c r="G93" s="404"/>
      <c r="H93" s="404"/>
      <c r="I93" s="404"/>
      <c r="J93" s="404"/>
      <c r="K93" s="404"/>
      <c r="L93" s="404"/>
      <c r="M93" s="404"/>
    </row>
    <row r="94" ht="15.75" customHeight="1">
      <c r="A94" s="400"/>
      <c r="B94" s="401"/>
      <c r="C94" s="401"/>
      <c r="D94" s="402" t="str">
        <f t="shared" si="1"/>
        <v/>
      </c>
      <c r="E94" s="403"/>
      <c r="F94" s="403"/>
      <c r="G94" s="404"/>
      <c r="H94" s="404"/>
      <c r="I94" s="404"/>
      <c r="J94" s="404"/>
      <c r="K94" s="404"/>
      <c r="L94" s="404"/>
      <c r="M94" s="404"/>
    </row>
    <row r="95" ht="15.75" customHeight="1">
      <c r="A95" s="400"/>
      <c r="B95" s="401"/>
      <c r="C95" s="401"/>
      <c r="D95" s="402" t="str">
        <f t="shared" si="1"/>
        <v/>
      </c>
      <c r="E95" s="403"/>
      <c r="F95" s="403"/>
      <c r="G95" s="404"/>
      <c r="H95" s="404"/>
      <c r="I95" s="404"/>
      <c r="J95" s="404"/>
      <c r="K95" s="404"/>
      <c r="L95" s="404"/>
      <c r="M95" s="404"/>
    </row>
    <row r="96" ht="15.75" customHeight="1">
      <c r="A96" s="400"/>
      <c r="B96" s="401"/>
      <c r="C96" s="401"/>
      <c r="D96" s="402" t="str">
        <f t="shared" si="1"/>
        <v/>
      </c>
      <c r="E96" s="403"/>
      <c r="F96" s="403"/>
      <c r="G96" s="404"/>
      <c r="H96" s="404"/>
      <c r="I96" s="404"/>
      <c r="J96" s="404"/>
      <c r="K96" s="404"/>
      <c r="L96" s="404"/>
      <c r="M96" s="404"/>
    </row>
    <row r="97" ht="15.75" customHeight="1">
      <c r="A97" s="400"/>
      <c r="B97" s="401"/>
      <c r="C97" s="401"/>
      <c r="D97" s="402" t="str">
        <f t="shared" si="1"/>
        <v/>
      </c>
      <c r="E97" s="403"/>
      <c r="F97" s="403"/>
      <c r="G97" s="404"/>
      <c r="H97" s="404"/>
      <c r="I97" s="404"/>
      <c r="J97" s="404"/>
      <c r="K97" s="404"/>
      <c r="L97" s="404"/>
      <c r="M97" s="404"/>
    </row>
    <row r="98" ht="15.75" customHeight="1">
      <c r="A98" s="400"/>
      <c r="B98" s="401"/>
      <c r="C98" s="401"/>
      <c r="D98" s="402" t="str">
        <f t="shared" si="1"/>
        <v/>
      </c>
      <c r="E98" s="403"/>
      <c r="F98" s="403"/>
      <c r="G98" s="404"/>
      <c r="H98" s="404"/>
      <c r="I98" s="404"/>
      <c r="J98" s="404"/>
      <c r="K98" s="404"/>
      <c r="L98" s="404"/>
      <c r="M98" s="404"/>
    </row>
    <row r="99" ht="15.75" customHeight="1">
      <c r="A99" s="400"/>
      <c r="B99" s="401"/>
      <c r="C99" s="401"/>
      <c r="D99" s="402" t="str">
        <f t="shared" si="1"/>
        <v/>
      </c>
      <c r="E99" s="403"/>
      <c r="F99" s="403"/>
      <c r="G99" s="404"/>
      <c r="H99" s="404"/>
      <c r="I99" s="404"/>
      <c r="J99" s="404"/>
      <c r="K99" s="404"/>
      <c r="L99" s="404"/>
      <c r="M99" s="404"/>
    </row>
    <row r="100" ht="15.75" customHeight="1">
      <c r="A100" s="400"/>
      <c r="B100" s="401"/>
      <c r="C100" s="401"/>
      <c r="D100" s="402" t="str">
        <f t="shared" si="1"/>
        <v/>
      </c>
      <c r="E100" s="403"/>
      <c r="F100" s="403"/>
      <c r="G100" s="404"/>
      <c r="H100" s="404"/>
      <c r="I100" s="404"/>
      <c r="J100" s="404"/>
      <c r="K100" s="404"/>
      <c r="L100" s="404"/>
      <c r="M100" s="404"/>
    </row>
    <row r="101" ht="15.75" customHeight="1">
      <c r="A101" s="400"/>
      <c r="B101" s="401"/>
      <c r="C101" s="401"/>
      <c r="D101" s="402" t="str">
        <f t="shared" si="1"/>
        <v/>
      </c>
      <c r="E101" s="403"/>
      <c r="F101" s="403"/>
      <c r="G101" s="404"/>
      <c r="H101" s="404"/>
      <c r="I101" s="404"/>
      <c r="J101" s="404"/>
      <c r="K101" s="404"/>
      <c r="L101" s="404"/>
      <c r="M101" s="404"/>
    </row>
    <row r="102" ht="15.75" customHeight="1">
      <c r="A102" s="400"/>
      <c r="B102" s="401"/>
      <c r="C102" s="401"/>
      <c r="D102" s="402" t="str">
        <f t="shared" si="1"/>
        <v/>
      </c>
      <c r="E102" s="403"/>
      <c r="F102" s="403"/>
      <c r="G102" s="404"/>
      <c r="H102" s="404"/>
      <c r="I102" s="404"/>
      <c r="J102" s="404"/>
      <c r="K102" s="404"/>
      <c r="L102" s="404"/>
      <c r="M102" s="404"/>
    </row>
    <row r="103" ht="15.75" customHeight="1">
      <c r="A103" s="400"/>
      <c r="B103" s="401"/>
      <c r="C103" s="401"/>
      <c r="D103" s="402" t="str">
        <f t="shared" si="1"/>
        <v/>
      </c>
      <c r="E103" s="403"/>
      <c r="F103" s="403"/>
      <c r="G103" s="404"/>
      <c r="H103" s="404"/>
      <c r="I103" s="404"/>
      <c r="J103" s="404"/>
      <c r="K103" s="404"/>
      <c r="L103" s="404"/>
      <c r="M103" s="404"/>
    </row>
    <row r="104" ht="15.75" customHeight="1">
      <c r="A104" s="400"/>
      <c r="B104" s="401"/>
      <c r="C104" s="401"/>
      <c r="D104" s="402" t="str">
        <f t="shared" si="1"/>
        <v/>
      </c>
      <c r="E104" s="403"/>
      <c r="F104" s="403"/>
      <c r="G104" s="404"/>
      <c r="H104" s="404"/>
      <c r="I104" s="404"/>
      <c r="J104" s="404"/>
      <c r="K104" s="404"/>
      <c r="L104" s="404"/>
      <c r="M104" s="404"/>
    </row>
    <row r="105" ht="15.75" customHeight="1">
      <c r="A105" s="400"/>
      <c r="B105" s="401"/>
      <c r="C105" s="401"/>
      <c r="D105" s="402" t="str">
        <f t="shared" si="1"/>
        <v/>
      </c>
      <c r="E105" s="403"/>
      <c r="F105" s="403"/>
      <c r="G105" s="404"/>
      <c r="H105" s="404"/>
      <c r="I105" s="404"/>
      <c r="J105" s="404"/>
      <c r="K105" s="404"/>
      <c r="L105" s="404"/>
      <c r="M105" s="404"/>
    </row>
    <row r="106" ht="15.75" customHeight="1">
      <c r="A106" s="400"/>
      <c r="B106" s="401"/>
      <c r="C106" s="401"/>
      <c r="D106" s="402" t="str">
        <f t="shared" si="1"/>
        <v/>
      </c>
      <c r="E106" s="403"/>
      <c r="F106" s="403"/>
      <c r="G106" s="404"/>
      <c r="H106" s="404"/>
      <c r="I106" s="404"/>
      <c r="J106" s="404"/>
      <c r="K106" s="404"/>
      <c r="L106" s="404"/>
      <c r="M106" s="404"/>
    </row>
    <row r="107" ht="15.75" customHeight="1">
      <c r="A107" s="400"/>
      <c r="B107" s="401"/>
      <c r="C107" s="401"/>
      <c r="D107" s="402" t="str">
        <f t="shared" si="1"/>
        <v/>
      </c>
      <c r="E107" s="403"/>
      <c r="F107" s="403"/>
      <c r="G107" s="404"/>
      <c r="H107" s="404"/>
      <c r="I107" s="404"/>
      <c r="J107" s="404"/>
      <c r="K107" s="404"/>
      <c r="L107" s="404"/>
      <c r="M107" s="404"/>
    </row>
    <row r="108" ht="15.75" customHeight="1">
      <c r="A108" s="400"/>
      <c r="B108" s="401"/>
      <c r="C108" s="401"/>
      <c r="D108" s="402" t="str">
        <f t="shared" si="1"/>
        <v/>
      </c>
      <c r="E108" s="403"/>
      <c r="F108" s="403"/>
      <c r="G108" s="404"/>
      <c r="H108" s="404"/>
      <c r="I108" s="404"/>
      <c r="J108" s="404"/>
      <c r="K108" s="404"/>
      <c r="L108" s="404"/>
      <c r="M108" s="404"/>
    </row>
    <row r="109" ht="15.75" customHeight="1">
      <c r="A109" s="400"/>
      <c r="B109" s="401"/>
      <c r="C109" s="401"/>
      <c r="D109" s="402" t="str">
        <f t="shared" si="1"/>
        <v/>
      </c>
      <c r="E109" s="403"/>
      <c r="F109" s="403"/>
      <c r="G109" s="404"/>
      <c r="H109" s="404"/>
      <c r="I109" s="404"/>
      <c r="J109" s="404"/>
      <c r="K109" s="404"/>
      <c r="L109" s="404"/>
      <c r="M109" s="404"/>
    </row>
    <row r="110" ht="15.75" customHeight="1">
      <c r="A110" s="400"/>
      <c r="B110" s="401"/>
      <c r="C110" s="401"/>
      <c r="D110" s="402" t="str">
        <f t="shared" si="1"/>
        <v/>
      </c>
      <c r="E110" s="403"/>
      <c r="F110" s="403"/>
      <c r="G110" s="404"/>
      <c r="H110" s="404"/>
      <c r="I110" s="404"/>
      <c r="J110" s="404"/>
      <c r="K110" s="404"/>
      <c r="L110" s="404"/>
      <c r="M110" s="404"/>
    </row>
    <row r="111" ht="15.75" customHeight="1">
      <c r="A111" s="400"/>
      <c r="B111" s="401"/>
      <c r="C111" s="401"/>
      <c r="D111" s="402" t="str">
        <f t="shared" si="1"/>
        <v/>
      </c>
      <c r="E111" s="403"/>
      <c r="F111" s="403"/>
      <c r="G111" s="404"/>
      <c r="H111" s="404"/>
      <c r="I111" s="404"/>
      <c r="J111" s="404"/>
      <c r="K111" s="404"/>
      <c r="L111" s="404"/>
      <c r="M111" s="404"/>
    </row>
    <row r="112" ht="15.75" customHeight="1">
      <c r="A112" s="400"/>
      <c r="B112" s="401"/>
      <c r="C112" s="401"/>
      <c r="D112" s="402" t="str">
        <f t="shared" si="1"/>
        <v/>
      </c>
      <c r="E112" s="403"/>
      <c r="F112" s="403"/>
      <c r="G112" s="404"/>
      <c r="H112" s="404"/>
      <c r="I112" s="404"/>
      <c r="J112" s="404"/>
      <c r="K112" s="404"/>
      <c r="L112" s="404"/>
      <c r="M112" s="404"/>
    </row>
    <row r="113" ht="15.75" customHeight="1">
      <c r="A113" s="400"/>
      <c r="B113" s="401"/>
      <c r="C113" s="401"/>
      <c r="D113" s="402" t="str">
        <f t="shared" si="1"/>
        <v/>
      </c>
      <c r="E113" s="403"/>
      <c r="F113" s="403"/>
      <c r="G113" s="404"/>
      <c r="H113" s="404"/>
      <c r="I113" s="404"/>
      <c r="J113" s="404"/>
      <c r="K113" s="404"/>
      <c r="L113" s="404"/>
      <c r="M113" s="404"/>
    </row>
    <row r="114" ht="15.75" customHeight="1">
      <c r="A114" s="400"/>
      <c r="B114" s="401"/>
      <c r="C114" s="401"/>
      <c r="D114" s="402" t="str">
        <f t="shared" si="1"/>
        <v/>
      </c>
      <c r="E114" s="403"/>
      <c r="F114" s="403"/>
      <c r="G114" s="404"/>
      <c r="H114" s="404"/>
      <c r="I114" s="404"/>
      <c r="J114" s="404"/>
      <c r="K114" s="404"/>
      <c r="L114" s="404"/>
      <c r="M114" s="404"/>
    </row>
    <row r="115" ht="15.75" customHeight="1">
      <c r="A115" s="400"/>
      <c r="B115" s="401"/>
      <c r="C115" s="401"/>
      <c r="D115" s="402" t="str">
        <f t="shared" si="1"/>
        <v/>
      </c>
      <c r="E115" s="403"/>
      <c r="F115" s="403"/>
      <c r="G115" s="404"/>
      <c r="H115" s="404"/>
      <c r="I115" s="404"/>
      <c r="J115" s="404"/>
      <c r="K115" s="404"/>
      <c r="L115" s="404"/>
      <c r="M115" s="404"/>
    </row>
    <row r="116" ht="15.75" customHeight="1">
      <c r="A116" s="400"/>
      <c r="B116" s="401"/>
      <c r="C116" s="401"/>
      <c r="D116" s="402" t="str">
        <f t="shared" si="1"/>
        <v/>
      </c>
      <c r="E116" s="403"/>
      <c r="F116" s="403"/>
      <c r="G116" s="404"/>
      <c r="H116" s="404"/>
      <c r="I116" s="404"/>
      <c r="J116" s="404"/>
      <c r="K116" s="404"/>
      <c r="L116" s="404"/>
      <c r="M116" s="404"/>
    </row>
    <row r="117" ht="15.75" customHeight="1">
      <c r="A117" s="400"/>
      <c r="B117" s="401"/>
      <c r="C117" s="401"/>
      <c r="D117" s="402" t="str">
        <f t="shared" si="1"/>
        <v/>
      </c>
      <c r="E117" s="403"/>
      <c r="F117" s="403"/>
      <c r="G117" s="404"/>
      <c r="H117" s="404"/>
      <c r="I117" s="404"/>
      <c r="J117" s="404"/>
      <c r="K117" s="404"/>
      <c r="L117" s="404"/>
      <c r="M117" s="404"/>
    </row>
    <row r="118" ht="15.75" customHeight="1">
      <c r="A118" s="400"/>
      <c r="B118" s="401"/>
      <c r="C118" s="401"/>
      <c r="D118" s="402" t="str">
        <f t="shared" si="1"/>
        <v/>
      </c>
      <c r="E118" s="403"/>
      <c r="F118" s="403"/>
      <c r="G118" s="404"/>
      <c r="H118" s="404"/>
      <c r="I118" s="404"/>
      <c r="J118" s="404"/>
      <c r="K118" s="404"/>
      <c r="L118" s="404"/>
      <c r="M118" s="404"/>
    </row>
    <row r="119" ht="15.75" customHeight="1">
      <c r="A119" s="400"/>
      <c r="B119" s="401"/>
      <c r="C119" s="401"/>
      <c r="D119" s="402" t="str">
        <f t="shared" si="1"/>
        <v/>
      </c>
      <c r="E119" s="403"/>
      <c r="F119" s="403"/>
      <c r="G119" s="404"/>
      <c r="H119" s="404"/>
      <c r="I119" s="404"/>
      <c r="J119" s="404"/>
      <c r="K119" s="404"/>
      <c r="L119" s="404"/>
      <c r="M119" s="404"/>
    </row>
    <row r="120" ht="15.75" customHeight="1">
      <c r="A120" s="400"/>
      <c r="B120" s="401"/>
      <c r="C120" s="401"/>
      <c r="D120" s="402" t="str">
        <f t="shared" si="1"/>
        <v/>
      </c>
      <c r="E120" s="403"/>
      <c r="F120" s="403"/>
      <c r="G120" s="404"/>
      <c r="H120" s="404"/>
      <c r="I120" s="404"/>
      <c r="J120" s="404"/>
      <c r="K120" s="404"/>
      <c r="L120" s="404"/>
      <c r="M120" s="404"/>
    </row>
    <row r="121" ht="15.75" customHeight="1">
      <c r="A121" s="400"/>
      <c r="B121" s="401"/>
      <c r="C121" s="401"/>
      <c r="D121" s="402" t="str">
        <f t="shared" si="1"/>
        <v/>
      </c>
      <c r="E121" s="403"/>
      <c r="F121" s="403"/>
      <c r="G121" s="404"/>
      <c r="H121" s="404"/>
      <c r="I121" s="404"/>
      <c r="J121" s="404"/>
      <c r="K121" s="404"/>
      <c r="L121" s="404"/>
      <c r="M121" s="404"/>
    </row>
    <row r="122" ht="15.75" customHeight="1">
      <c r="A122" s="400"/>
      <c r="B122" s="401"/>
      <c r="C122" s="401"/>
      <c r="D122" s="402" t="str">
        <f t="shared" si="1"/>
        <v/>
      </c>
      <c r="E122" s="403"/>
      <c r="F122" s="403"/>
      <c r="G122" s="404"/>
      <c r="H122" s="404"/>
      <c r="I122" s="404"/>
      <c r="J122" s="404"/>
      <c r="K122" s="404"/>
      <c r="L122" s="404"/>
      <c r="M122" s="404"/>
    </row>
    <row r="123" ht="15.75" customHeight="1">
      <c r="A123" s="400"/>
      <c r="B123" s="401"/>
      <c r="C123" s="401"/>
      <c r="D123" s="402" t="str">
        <f t="shared" si="1"/>
        <v/>
      </c>
      <c r="E123" s="403"/>
      <c r="F123" s="403"/>
      <c r="G123" s="404"/>
      <c r="H123" s="404"/>
      <c r="I123" s="404"/>
      <c r="J123" s="404"/>
      <c r="K123" s="404"/>
      <c r="L123" s="404"/>
      <c r="M123" s="404"/>
    </row>
    <row r="124" ht="15.75" customHeight="1">
      <c r="A124" s="400"/>
      <c r="B124" s="401"/>
      <c r="C124" s="401"/>
      <c r="D124" s="402" t="str">
        <f t="shared" si="1"/>
        <v/>
      </c>
      <c r="E124" s="403"/>
      <c r="F124" s="403"/>
      <c r="G124" s="404"/>
      <c r="H124" s="404"/>
      <c r="I124" s="404"/>
      <c r="J124" s="404"/>
      <c r="K124" s="404"/>
      <c r="L124" s="404"/>
      <c r="M124" s="404"/>
    </row>
    <row r="125" ht="15.75" customHeight="1">
      <c r="A125" s="400"/>
      <c r="B125" s="401"/>
      <c r="C125" s="401"/>
      <c r="D125" s="402" t="str">
        <f t="shared" si="1"/>
        <v/>
      </c>
      <c r="E125" s="403"/>
      <c r="F125" s="403"/>
      <c r="G125" s="404"/>
      <c r="H125" s="404"/>
      <c r="I125" s="404"/>
      <c r="J125" s="404"/>
      <c r="K125" s="404"/>
      <c r="L125" s="404"/>
      <c r="M125" s="404"/>
    </row>
    <row r="126" ht="15.75" customHeight="1">
      <c r="A126" s="400"/>
      <c r="B126" s="401"/>
      <c r="C126" s="401"/>
      <c r="D126" s="402" t="str">
        <f t="shared" si="1"/>
        <v/>
      </c>
      <c r="E126" s="403"/>
      <c r="F126" s="403"/>
      <c r="G126" s="404"/>
      <c r="H126" s="404"/>
      <c r="I126" s="404"/>
      <c r="J126" s="404"/>
      <c r="K126" s="404"/>
      <c r="L126" s="404"/>
      <c r="M126" s="404"/>
    </row>
    <row r="127" ht="15.75" customHeight="1">
      <c r="A127" s="400"/>
      <c r="B127" s="401"/>
      <c r="C127" s="401"/>
      <c r="D127" s="402" t="str">
        <f t="shared" si="1"/>
        <v/>
      </c>
      <c r="E127" s="403"/>
      <c r="F127" s="403"/>
      <c r="G127" s="404"/>
      <c r="H127" s="404"/>
      <c r="I127" s="404"/>
      <c r="J127" s="404"/>
      <c r="K127" s="404"/>
      <c r="L127" s="404"/>
      <c r="M127" s="404"/>
    </row>
    <row r="128" ht="15.75" customHeight="1">
      <c r="A128" s="400"/>
      <c r="B128" s="401"/>
      <c r="C128" s="401"/>
      <c r="D128" s="402" t="str">
        <f t="shared" si="1"/>
        <v/>
      </c>
      <c r="E128" s="403"/>
      <c r="F128" s="403"/>
      <c r="G128" s="404"/>
      <c r="H128" s="404"/>
      <c r="I128" s="404"/>
      <c r="J128" s="404"/>
      <c r="K128" s="404"/>
      <c r="L128" s="404"/>
      <c r="M128" s="404"/>
    </row>
    <row r="129" ht="15.75" customHeight="1">
      <c r="A129" s="400"/>
      <c r="B129" s="401"/>
      <c r="C129" s="401"/>
      <c r="D129" s="402" t="str">
        <f t="shared" si="1"/>
        <v/>
      </c>
      <c r="E129" s="403"/>
      <c r="F129" s="403"/>
      <c r="G129" s="404"/>
      <c r="H129" s="404"/>
      <c r="I129" s="404"/>
      <c r="J129" s="404"/>
      <c r="K129" s="404"/>
      <c r="L129" s="404"/>
      <c r="M129" s="404"/>
    </row>
    <row r="130" ht="15.75" customHeight="1">
      <c r="A130" s="400"/>
      <c r="B130" s="401"/>
      <c r="C130" s="401"/>
      <c r="D130" s="402" t="str">
        <f t="shared" si="1"/>
        <v/>
      </c>
      <c r="E130" s="403"/>
      <c r="F130" s="403"/>
      <c r="G130" s="404"/>
      <c r="H130" s="404"/>
      <c r="I130" s="404"/>
      <c r="J130" s="404"/>
      <c r="K130" s="404"/>
      <c r="L130" s="404"/>
      <c r="M130" s="404"/>
    </row>
    <row r="131" ht="15.75" customHeight="1">
      <c r="A131" s="400"/>
      <c r="B131" s="401"/>
      <c r="C131" s="401"/>
      <c r="D131" s="402" t="str">
        <f t="shared" si="1"/>
        <v/>
      </c>
      <c r="E131" s="403"/>
      <c r="F131" s="403"/>
      <c r="G131" s="404"/>
      <c r="H131" s="404"/>
      <c r="I131" s="404"/>
      <c r="J131" s="404"/>
      <c r="K131" s="404"/>
      <c r="L131" s="404"/>
      <c r="M131" s="404"/>
    </row>
    <row r="132" ht="15.75" customHeight="1">
      <c r="A132" s="400"/>
      <c r="B132" s="401"/>
      <c r="C132" s="401"/>
      <c r="D132" s="402" t="str">
        <f t="shared" si="1"/>
        <v/>
      </c>
      <c r="E132" s="403"/>
      <c r="F132" s="403"/>
      <c r="G132" s="404"/>
      <c r="H132" s="404"/>
      <c r="I132" s="404"/>
      <c r="J132" s="404"/>
      <c r="K132" s="404"/>
      <c r="L132" s="404"/>
      <c r="M132" s="404"/>
    </row>
    <row r="133" ht="15.75" customHeight="1">
      <c r="A133" s="400"/>
      <c r="B133" s="401"/>
      <c r="C133" s="401"/>
      <c r="D133" s="402" t="str">
        <f t="shared" si="1"/>
        <v/>
      </c>
      <c r="E133" s="403"/>
      <c r="F133" s="403"/>
      <c r="G133" s="404"/>
      <c r="H133" s="404"/>
      <c r="I133" s="404"/>
      <c r="J133" s="404"/>
      <c r="K133" s="404"/>
      <c r="L133" s="404"/>
      <c r="M133" s="404"/>
    </row>
    <row r="134" ht="15.75" customHeight="1">
      <c r="A134" s="400"/>
      <c r="B134" s="401"/>
      <c r="C134" s="401"/>
      <c r="D134" s="402" t="str">
        <f t="shared" si="1"/>
        <v/>
      </c>
      <c r="E134" s="403"/>
      <c r="F134" s="403"/>
      <c r="G134" s="404"/>
      <c r="H134" s="404"/>
      <c r="I134" s="404"/>
      <c r="J134" s="404"/>
      <c r="K134" s="404"/>
      <c r="L134" s="404"/>
      <c r="M134" s="404"/>
    </row>
    <row r="135" ht="15.75" customHeight="1">
      <c r="A135" s="400"/>
      <c r="B135" s="401"/>
      <c r="C135" s="401"/>
      <c r="D135" s="402" t="str">
        <f t="shared" si="1"/>
        <v/>
      </c>
      <c r="E135" s="403"/>
      <c r="F135" s="403"/>
      <c r="G135" s="404"/>
      <c r="H135" s="404"/>
      <c r="I135" s="404"/>
      <c r="J135" s="404"/>
      <c r="K135" s="404"/>
      <c r="L135" s="404"/>
      <c r="M135" s="404"/>
    </row>
    <row r="136" ht="15.75" customHeight="1">
      <c r="A136" s="400"/>
      <c r="B136" s="401"/>
      <c r="C136" s="401"/>
      <c r="D136" s="402" t="str">
        <f t="shared" si="1"/>
        <v/>
      </c>
      <c r="E136" s="403"/>
      <c r="F136" s="403"/>
      <c r="G136" s="404"/>
      <c r="H136" s="404"/>
      <c r="I136" s="404"/>
      <c r="J136" s="404"/>
      <c r="K136" s="404"/>
      <c r="L136" s="404"/>
      <c r="M136" s="404"/>
    </row>
    <row r="137" ht="15.75" customHeight="1">
      <c r="A137" s="400"/>
      <c r="B137" s="401"/>
      <c r="C137" s="401"/>
      <c r="D137" s="402" t="str">
        <f t="shared" si="1"/>
        <v/>
      </c>
      <c r="E137" s="403"/>
      <c r="F137" s="403"/>
      <c r="G137" s="404"/>
      <c r="H137" s="404"/>
      <c r="I137" s="404"/>
      <c r="J137" s="404"/>
      <c r="K137" s="404"/>
      <c r="L137" s="404"/>
      <c r="M137" s="404"/>
    </row>
    <row r="138" ht="15.75" customHeight="1">
      <c r="A138" s="400"/>
      <c r="B138" s="401"/>
      <c r="C138" s="401"/>
      <c r="D138" s="402" t="str">
        <f t="shared" si="1"/>
        <v/>
      </c>
      <c r="E138" s="403"/>
      <c r="F138" s="403"/>
      <c r="G138" s="404"/>
      <c r="H138" s="404"/>
      <c r="I138" s="404"/>
      <c r="J138" s="404"/>
      <c r="K138" s="404"/>
      <c r="L138" s="404"/>
      <c r="M138" s="404"/>
    </row>
    <row r="139" ht="15.75" customHeight="1">
      <c r="A139" s="400"/>
      <c r="B139" s="401"/>
      <c r="C139" s="401"/>
      <c r="D139" s="402" t="str">
        <f t="shared" si="1"/>
        <v/>
      </c>
      <c r="E139" s="403"/>
      <c r="F139" s="403"/>
      <c r="G139" s="404"/>
      <c r="H139" s="404"/>
      <c r="I139" s="404"/>
      <c r="J139" s="404"/>
      <c r="K139" s="404"/>
      <c r="L139" s="404"/>
      <c r="M139" s="404"/>
    </row>
    <row r="140" ht="15.75" customHeight="1">
      <c r="A140" s="400"/>
      <c r="B140" s="401"/>
      <c r="C140" s="401"/>
      <c r="D140" s="402" t="str">
        <f t="shared" si="1"/>
        <v/>
      </c>
      <c r="E140" s="403"/>
      <c r="F140" s="403"/>
      <c r="G140" s="404"/>
      <c r="H140" s="404"/>
      <c r="I140" s="404"/>
      <c r="J140" s="404"/>
      <c r="K140" s="404"/>
      <c r="L140" s="404"/>
      <c r="M140" s="404"/>
    </row>
    <row r="141" ht="15.75" customHeight="1">
      <c r="A141" s="400"/>
      <c r="B141" s="401"/>
      <c r="C141" s="401"/>
      <c r="D141" s="402" t="str">
        <f t="shared" si="1"/>
        <v/>
      </c>
      <c r="E141" s="403"/>
      <c r="F141" s="403"/>
      <c r="G141" s="404"/>
      <c r="H141" s="404"/>
      <c r="I141" s="404"/>
      <c r="J141" s="404"/>
      <c r="K141" s="404"/>
      <c r="L141" s="404"/>
      <c r="M141" s="404"/>
    </row>
    <row r="142" ht="15.75" customHeight="1">
      <c r="A142" s="400"/>
      <c r="B142" s="401"/>
      <c r="C142" s="401"/>
      <c r="D142" s="402" t="str">
        <f t="shared" si="1"/>
        <v/>
      </c>
      <c r="E142" s="403"/>
      <c r="F142" s="403"/>
      <c r="G142" s="404"/>
      <c r="H142" s="404"/>
      <c r="I142" s="404"/>
      <c r="J142" s="404"/>
      <c r="K142" s="404"/>
      <c r="L142" s="404"/>
      <c r="M142" s="404"/>
    </row>
    <row r="143" ht="15.75" customHeight="1">
      <c r="A143" s="400"/>
      <c r="B143" s="401"/>
      <c r="C143" s="401"/>
      <c r="D143" s="402" t="str">
        <f t="shared" si="1"/>
        <v/>
      </c>
      <c r="E143" s="403"/>
      <c r="F143" s="403"/>
      <c r="G143" s="404"/>
      <c r="H143" s="404"/>
      <c r="I143" s="404"/>
      <c r="J143" s="404"/>
      <c r="K143" s="404"/>
      <c r="L143" s="404"/>
      <c r="M143" s="404"/>
    </row>
    <row r="144" ht="15.75" customHeight="1">
      <c r="A144" s="400"/>
      <c r="B144" s="401"/>
      <c r="C144" s="401"/>
      <c r="D144" s="402" t="str">
        <f t="shared" si="1"/>
        <v/>
      </c>
      <c r="E144" s="403"/>
      <c r="F144" s="403"/>
      <c r="G144" s="404"/>
      <c r="H144" s="404"/>
      <c r="I144" s="404"/>
      <c r="J144" s="404"/>
      <c r="K144" s="404"/>
      <c r="L144" s="404"/>
      <c r="M144" s="404"/>
    </row>
    <row r="145" ht="15.75" customHeight="1">
      <c r="A145" s="400"/>
      <c r="B145" s="401"/>
      <c r="C145" s="401"/>
      <c r="D145" s="402" t="str">
        <f t="shared" si="1"/>
        <v/>
      </c>
      <c r="E145" s="403"/>
      <c r="F145" s="403"/>
      <c r="G145" s="404"/>
      <c r="H145" s="404"/>
      <c r="I145" s="404"/>
      <c r="J145" s="404"/>
      <c r="K145" s="404"/>
      <c r="L145" s="404"/>
      <c r="M145" s="404"/>
    </row>
    <row r="146" ht="15.75" customHeight="1">
      <c r="A146" s="400"/>
      <c r="B146" s="401"/>
      <c r="C146" s="401"/>
      <c r="D146" s="402" t="str">
        <f t="shared" si="1"/>
        <v/>
      </c>
      <c r="E146" s="403"/>
      <c r="F146" s="403"/>
      <c r="G146" s="404"/>
      <c r="H146" s="404"/>
      <c r="I146" s="404"/>
      <c r="J146" s="404"/>
      <c r="K146" s="404"/>
      <c r="L146" s="404"/>
      <c r="M146" s="404"/>
    </row>
    <row r="147" ht="15.75" customHeight="1">
      <c r="A147" s="400"/>
      <c r="B147" s="401"/>
      <c r="C147" s="401"/>
      <c r="D147" s="402" t="str">
        <f t="shared" si="1"/>
        <v/>
      </c>
      <c r="E147" s="403"/>
      <c r="F147" s="403"/>
      <c r="G147" s="404"/>
      <c r="H147" s="404"/>
      <c r="I147" s="404"/>
      <c r="J147" s="404"/>
      <c r="K147" s="404"/>
      <c r="L147" s="404"/>
      <c r="M147" s="404"/>
    </row>
    <row r="148" ht="15.75" customHeight="1">
      <c r="A148" s="400"/>
      <c r="B148" s="401"/>
      <c r="C148" s="401"/>
      <c r="D148" s="402" t="str">
        <f t="shared" si="1"/>
        <v/>
      </c>
      <c r="E148" s="403"/>
      <c r="F148" s="403"/>
      <c r="G148" s="404"/>
      <c r="H148" s="404"/>
      <c r="I148" s="404"/>
      <c r="J148" s="404"/>
      <c r="K148" s="404"/>
      <c r="L148" s="404"/>
      <c r="M148" s="404"/>
    </row>
    <row r="149" ht="15.75" customHeight="1">
      <c r="A149" s="400"/>
      <c r="B149" s="401"/>
      <c r="C149" s="401"/>
      <c r="D149" s="402" t="str">
        <f t="shared" si="1"/>
        <v/>
      </c>
      <c r="E149" s="403"/>
      <c r="F149" s="403"/>
      <c r="G149" s="404"/>
      <c r="H149" s="404"/>
      <c r="I149" s="404"/>
      <c r="J149" s="404"/>
      <c r="K149" s="404"/>
      <c r="L149" s="404"/>
      <c r="M149" s="404"/>
    </row>
    <row r="150" ht="15.75" customHeight="1">
      <c r="A150" s="400"/>
      <c r="B150" s="401"/>
      <c r="C150" s="401"/>
      <c r="D150" s="402" t="str">
        <f t="shared" si="1"/>
        <v/>
      </c>
      <c r="E150" s="403"/>
      <c r="F150" s="403"/>
      <c r="G150" s="404"/>
      <c r="H150" s="404"/>
      <c r="I150" s="404"/>
      <c r="J150" s="404"/>
      <c r="K150" s="404"/>
      <c r="L150" s="404"/>
      <c r="M150" s="404"/>
    </row>
    <row r="151" ht="15.75" customHeight="1">
      <c r="A151" s="400"/>
      <c r="B151" s="401"/>
      <c r="C151" s="401"/>
      <c r="D151" s="402" t="str">
        <f t="shared" si="1"/>
        <v/>
      </c>
      <c r="E151" s="403"/>
      <c r="F151" s="403"/>
      <c r="G151" s="404"/>
      <c r="H151" s="404"/>
      <c r="I151" s="404"/>
      <c r="J151" s="404"/>
      <c r="K151" s="404"/>
      <c r="L151" s="404"/>
      <c r="M151" s="404"/>
    </row>
    <row r="152" ht="15.75" customHeight="1">
      <c r="A152" s="400"/>
      <c r="B152" s="401"/>
      <c r="C152" s="401"/>
      <c r="D152" s="402" t="str">
        <f t="shared" si="1"/>
        <v/>
      </c>
      <c r="E152" s="403"/>
      <c r="F152" s="403"/>
      <c r="G152" s="404"/>
      <c r="H152" s="404"/>
      <c r="I152" s="404"/>
      <c r="J152" s="404"/>
      <c r="K152" s="404"/>
      <c r="L152" s="404"/>
      <c r="M152" s="404"/>
    </row>
    <row r="153" ht="15.75" customHeight="1">
      <c r="A153" s="400"/>
      <c r="B153" s="401"/>
      <c r="C153" s="401"/>
      <c r="D153" s="402" t="str">
        <f t="shared" si="1"/>
        <v/>
      </c>
      <c r="E153" s="403"/>
      <c r="F153" s="403"/>
      <c r="G153" s="404"/>
      <c r="H153" s="404"/>
      <c r="I153" s="404"/>
      <c r="J153" s="404"/>
      <c r="K153" s="404"/>
      <c r="L153" s="404"/>
      <c r="M153" s="404"/>
    </row>
    <row r="154" ht="15.75" customHeight="1">
      <c r="A154" s="400"/>
      <c r="B154" s="401"/>
      <c r="C154" s="401"/>
      <c r="D154" s="402" t="str">
        <f t="shared" si="1"/>
        <v/>
      </c>
      <c r="E154" s="403"/>
      <c r="F154" s="403"/>
      <c r="G154" s="404"/>
      <c r="H154" s="404"/>
      <c r="I154" s="404"/>
      <c r="J154" s="404"/>
      <c r="K154" s="404"/>
      <c r="L154" s="404"/>
      <c r="M154" s="404"/>
    </row>
    <row r="155" ht="15.75" customHeight="1">
      <c r="A155" s="400"/>
      <c r="B155" s="401"/>
      <c r="C155" s="401"/>
      <c r="D155" s="402" t="str">
        <f t="shared" si="1"/>
        <v/>
      </c>
      <c r="E155" s="403"/>
      <c r="F155" s="403"/>
      <c r="G155" s="404"/>
      <c r="H155" s="404"/>
      <c r="I155" s="404"/>
      <c r="J155" s="404"/>
      <c r="K155" s="404"/>
      <c r="L155" s="404"/>
      <c r="M155" s="404"/>
    </row>
    <row r="156" ht="15.75" customHeight="1">
      <c r="A156" s="400"/>
      <c r="B156" s="401"/>
      <c r="C156" s="401"/>
      <c r="D156" s="402" t="str">
        <f t="shared" si="1"/>
        <v/>
      </c>
      <c r="E156" s="403"/>
      <c r="F156" s="403"/>
      <c r="G156" s="404"/>
      <c r="H156" s="404"/>
      <c r="I156" s="404"/>
      <c r="J156" s="404"/>
      <c r="K156" s="404"/>
      <c r="L156" s="404"/>
      <c r="M156" s="404"/>
    </row>
    <row r="157" ht="15.75" customHeight="1">
      <c r="A157" s="400"/>
      <c r="B157" s="401"/>
      <c r="C157" s="401"/>
      <c r="D157" s="402" t="str">
        <f t="shared" si="1"/>
        <v/>
      </c>
      <c r="E157" s="403"/>
      <c r="F157" s="403"/>
      <c r="G157" s="404"/>
      <c r="H157" s="404"/>
      <c r="I157" s="404"/>
      <c r="J157" s="404"/>
      <c r="K157" s="404"/>
      <c r="L157" s="404"/>
      <c r="M157" s="404"/>
    </row>
    <row r="158" ht="15.75" customHeight="1">
      <c r="A158" s="400"/>
      <c r="B158" s="401"/>
      <c r="C158" s="401"/>
      <c r="D158" s="402" t="str">
        <f t="shared" si="1"/>
        <v/>
      </c>
      <c r="E158" s="403"/>
      <c r="F158" s="403"/>
      <c r="G158" s="404"/>
      <c r="H158" s="404"/>
      <c r="I158" s="404"/>
      <c r="J158" s="404"/>
      <c r="K158" s="404"/>
      <c r="L158" s="404"/>
      <c r="M158" s="404"/>
    </row>
    <row r="159" ht="15.75" customHeight="1">
      <c r="A159" s="400"/>
      <c r="B159" s="401"/>
      <c r="C159" s="401"/>
      <c r="D159" s="402" t="str">
        <f t="shared" si="1"/>
        <v/>
      </c>
      <c r="E159" s="403"/>
      <c r="F159" s="403"/>
      <c r="G159" s="404"/>
      <c r="H159" s="404"/>
      <c r="I159" s="404"/>
      <c r="J159" s="404"/>
      <c r="K159" s="404"/>
      <c r="L159" s="404"/>
      <c r="M159" s="404"/>
    </row>
    <row r="160" ht="15.75" customHeight="1">
      <c r="A160" s="400"/>
      <c r="B160" s="401"/>
      <c r="C160" s="401"/>
      <c r="D160" s="402" t="str">
        <f t="shared" si="1"/>
        <v/>
      </c>
      <c r="E160" s="403"/>
      <c r="F160" s="403"/>
      <c r="G160" s="404"/>
      <c r="H160" s="404"/>
      <c r="I160" s="404"/>
      <c r="J160" s="404"/>
      <c r="K160" s="404"/>
      <c r="L160" s="404"/>
      <c r="M160" s="404"/>
    </row>
    <row r="161" ht="15.75" customHeight="1">
      <c r="A161" s="400"/>
      <c r="B161" s="401"/>
      <c r="C161" s="401"/>
      <c r="D161" s="402" t="str">
        <f t="shared" si="1"/>
        <v/>
      </c>
      <c r="E161" s="403"/>
      <c r="F161" s="403"/>
      <c r="G161" s="404"/>
      <c r="H161" s="404"/>
      <c r="I161" s="404"/>
      <c r="J161" s="404"/>
      <c r="K161" s="404"/>
      <c r="L161" s="404"/>
      <c r="M161" s="404"/>
    </row>
    <row r="162" ht="15.75" customHeight="1">
      <c r="A162" s="400"/>
      <c r="B162" s="401"/>
      <c r="C162" s="401"/>
      <c r="D162" s="402" t="str">
        <f t="shared" si="1"/>
        <v/>
      </c>
      <c r="E162" s="403"/>
      <c r="F162" s="403"/>
      <c r="G162" s="404"/>
      <c r="H162" s="404"/>
      <c r="I162" s="404"/>
      <c r="J162" s="404"/>
      <c r="K162" s="404"/>
      <c r="L162" s="404"/>
      <c r="M162" s="404"/>
    </row>
    <row r="163" ht="15.75" customHeight="1">
      <c r="A163" s="400"/>
      <c r="B163" s="401"/>
      <c r="C163" s="401"/>
      <c r="D163" s="402" t="str">
        <f t="shared" si="1"/>
        <v/>
      </c>
      <c r="E163" s="403"/>
      <c r="F163" s="403"/>
      <c r="G163" s="404"/>
      <c r="H163" s="404"/>
      <c r="I163" s="404"/>
      <c r="J163" s="404"/>
      <c r="K163" s="404"/>
      <c r="L163" s="404"/>
      <c r="M163" s="404"/>
    </row>
    <row r="164" ht="15.75" customHeight="1">
      <c r="A164" s="400"/>
      <c r="B164" s="401"/>
      <c r="C164" s="401"/>
      <c r="D164" s="402" t="str">
        <f t="shared" si="1"/>
        <v/>
      </c>
      <c r="E164" s="403"/>
      <c r="F164" s="403"/>
      <c r="G164" s="404"/>
      <c r="H164" s="404"/>
      <c r="I164" s="404"/>
      <c r="J164" s="404"/>
      <c r="K164" s="404"/>
      <c r="L164" s="404"/>
      <c r="M164" s="404"/>
    </row>
    <row r="165" ht="15.75" customHeight="1">
      <c r="A165" s="400"/>
      <c r="B165" s="401"/>
      <c r="C165" s="401"/>
      <c r="D165" s="402" t="str">
        <f t="shared" si="1"/>
        <v/>
      </c>
      <c r="E165" s="403"/>
      <c r="F165" s="403"/>
      <c r="G165" s="404"/>
      <c r="H165" s="404"/>
      <c r="I165" s="404"/>
      <c r="J165" s="404"/>
      <c r="K165" s="404"/>
      <c r="L165" s="404"/>
      <c r="M165" s="404"/>
    </row>
    <row r="166" ht="15.75" customHeight="1">
      <c r="A166" s="400"/>
      <c r="B166" s="401"/>
      <c r="C166" s="401"/>
      <c r="D166" s="402" t="str">
        <f t="shared" si="1"/>
        <v/>
      </c>
      <c r="E166" s="403"/>
      <c r="F166" s="403"/>
      <c r="G166" s="404"/>
      <c r="H166" s="404"/>
      <c r="I166" s="404"/>
      <c r="J166" s="404"/>
      <c r="K166" s="404"/>
      <c r="L166" s="404"/>
      <c r="M166" s="404"/>
    </row>
    <row r="167" ht="15.75" customHeight="1">
      <c r="A167" s="400"/>
      <c r="B167" s="401"/>
      <c r="C167" s="401"/>
      <c r="D167" s="402" t="str">
        <f t="shared" si="1"/>
        <v/>
      </c>
      <c r="E167" s="403"/>
      <c r="F167" s="403"/>
      <c r="G167" s="404"/>
      <c r="H167" s="404"/>
      <c r="I167" s="404"/>
      <c r="J167" s="404"/>
      <c r="K167" s="404"/>
      <c r="L167" s="404"/>
      <c r="M167" s="404"/>
    </row>
    <row r="168" ht="15.75" customHeight="1">
      <c r="A168" s="400"/>
      <c r="B168" s="401"/>
      <c r="C168" s="401"/>
      <c r="D168" s="402" t="str">
        <f t="shared" si="1"/>
        <v/>
      </c>
      <c r="E168" s="403"/>
      <c r="F168" s="403"/>
      <c r="G168" s="404"/>
      <c r="H168" s="404"/>
      <c r="I168" s="404"/>
      <c r="J168" s="404"/>
      <c r="K168" s="404"/>
      <c r="L168" s="404"/>
      <c r="M168" s="404"/>
    </row>
    <row r="169" ht="15.75" customHeight="1">
      <c r="A169" s="400"/>
      <c r="B169" s="401"/>
      <c r="C169" s="401"/>
      <c r="D169" s="402" t="str">
        <f t="shared" si="1"/>
        <v/>
      </c>
      <c r="E169" s="403"/>
      <c r="F169" s="403"/>
      <c r="G169" s="404"/>
      <c r="H169" s="404"/>
      <c r="I169" s="404"/>
      <c r="J169" s="404"/>
      <c r="K169" s="404"/>
      <c r="L169" s="404"/>
      <c r="M169" s="404"/>
    </row>
    <row r="170" ht="15.75" customHeight="1">
      <c r="A170" s="400"/>
      <c r="B170" s="401"/>
      <c r="C170" s="401"/>
      <c r="D170" s="402" t="str">
        <f t="shared" si="1"/>
        <v/>
      </c>
      <c r="E170" s="403"/>
      <c r="F170" s="403"/>
      <c r="G170" s="404"/>
      <c r="H170" s="404"/>
      <c r="I170" s="404"/>
      <c r="J170" s="404"/>
      <c r="K170" s="404"/>
      <c r="L170" s="404"/>
      <c r="M170" s="404"/>
    </row>
    <row r="171" ht="15.75" customHeight="1">
      <c r="A171" s="400"/>
      <c r="B171" s="401"/>
      <c r="C171" s="401"/>
      <c r="D171" s="402" t="str">
        <f t="shared" si="1"/>
        <v/>
      </c>
      <c r="E171" s="403"/>
      <c r="F171" s="403"/>
      <c r="G171" s="404"/>
      <c r="H171" s="404"/>
      <c r="I171" s="404"/>
      <c r="J171" s="404"/>
      <c r="K171" s="404"/>
      <c r="L171" s="404"/>
      <c r="M171" s="404"/>
    </row>
    <row r="172" ht="15.75" customHeight="1">
      <c r="A172" s="400"/>
      <c r="B172" s="401"/>
      <c r="C172" s="401"/>
      <c r="D172" s="402" t="str">
        <f t="shared" si="1"/>
        <v/>
      </c>
      <c r="E172" s="403"/>
      <c r="F172" s="403"/>
      <c r="G172" s="404"/>
      <c r="H172" s="404"/>
      <c r="I172" s="404"/>
      <c r="J172" s="404"/>
      <c r="K172" s="404"/>
      <c r="L172" s="404"/>
      <c r="M172" s="404"/>
    </row>
    <row r="173" ht="15.75" customHeight="1">
      <c r="A173" s="400"/>
      <c r="B173" s="401"/>
      <c r="C173" s="401"/>
      <c r="D173" s="402" t="str">
        <f t="shared" si="1"/>
        <v/>
      </c>
      <c r="E173" s="403"/>
      <c r="F173" s="403"/>
      <c r="G173" s="404"/>
      <c r="H173" s="404"/>
      <c r="I173" s="404"/>
      <c r="J173" s="404"/>
      <c r="K173" s="404"/>
      <c r="L173" s="404"/>
      <c r="M173" s="404"/>
    </row>
    <row r="174" ht="15.75" customHeight="1">
      <c r="A174" s="400"/>
      <c r="B174" s="401"/>
      <c r="C174" s="401"/>
      <c r="D174" s="402" t="str">
        <f t="shared" si="1"/>
        <v/>
      </c>
      <c r="E174" s="403"/>
      <c r="F174" s="403"/>
      <c r="G174" s="404"/>
      <c r="H174" s="404"/>
      <c r="I174" s="404"/>
      <c r="J174" s="404"/>
      <c r="K174" s="404"/>
      <c r="L174" s="404"/>
      <c r="M174" s="404"/>
    </row>
    <row r="175" ht="15.75" customHeight="1">
      <c r="A175" s="400"/>
      <c r="B175" s="401"/>
      <c r="C175" s="401"/>
      <c r="D175" s="402" t="str">
        <f t="shared" si="1"/>
        <v/>
      </c>
      <c r="E175" s="403"/>
      <c r="F175" s="403"/>
      <c r="G175" s="404"/>
      <c r="H175" s="404"/>
      <c r="I175" s="404"/>
      <c r="J175" s="404"/>
      <c r="K175" s="404"/>
      <c r="L175" s="404"/>
      <c r="M175" s="404"/>
    </row>
    <row r="176" ht="15.75" customHeight="1">
      <c r="A176" s="400"/>
      <c r="B176" s="401"/>
      <c r="C176" s="401"/>
      <c r="D176" s="402" t="str">
        <f t="shared" si="1"/>
        <v/>
      </c>
      <c r="E176" s="403"/>
      <c r="F176" s="403"/>
      <c r="G176" s="404"/>
      <c r="H176" s="404"/>
      <c r="I176" s="404"/>
      <c r="J176" s="404"/>
      <c r="K176" s="404"/>
      <c r="L176" s="404"/>
      <c r="M176" s="404"/>
    </row>
    <row r="177" ht="15.75" customHeight="1">
      <c r="A177" s="400"/>
      <c r="B177" s="401"/>
      <c r="C177" s="401"/>
      <c r="D177" s="402" t="str">
        <f t="shared" si="1"/>
        <v/>
      </c>
      <c r="E177" s="403"/>
      <c r="F177" s="403"/>
      <c r="G177" s="404"/>
      <c r="H177" s="404"/>
      <c r="I177" s="404"/>
      <c r="J177" s="404"/>
      <c r="K177" s="404"/>
      <c r="L177" s="404"/>
      <c r="M177" s="404"/>
    </row>
    <row r="178" ht="15.75" customHeight="1">
      <c r="A178" s="400"/>
      <c r="B178" s="401"/>
      <c r="C178" s="401"/>
      <c r="D178" s="402" t="str">
        <f t="shared" si="1"/>
        <v/>
      </c>
      <c r="E178" s="403"/>
      <c r="F178" s="403"/>
      <c r="G178" s="404"/>
      <c r="H178" s="404"/>
      <c r="I178" s="404"/>
      <c r="J178" s="404"/>
      <c r="K178" s="404"/>
      <c r="L178" s="404"/>
      <c r="M178" s="404"/>
    </row>
    <row r="179" ht="15.75" customHeight="1">
      <c r="A179" s="400"/>
      <c r="B179" s="401"/>
      <c r="C179" s="401"/>
      <c r="D179" s="402" t="str">
        <f t="shared" si="1"/>
        <v/>
      </c>
      <c r="E179" s="403"/>
      <c r="F179" s="403"/>
      <c r="G179" s="404"/>
      <c r="H179" s="404"/>
      <c r="I179" s="404"/>
      <c r="J179" s="404"/>
      <c r="K179" s="404"/>
      <c r="L179" s="404"/>
      <c r="M179" s="404"/>
    </row>
    <row r="180" ht="15.75" customHeight="1">
      <c r="A180" s="400"/>
      <c r="B180" s="401"/>
      <c r="C180" s="401"/>
      <c r="D180" s="402" t="str">
        <f t="shared" si="1"/>
        <v/>
      </c>
      <c r="E180" s="403"/>
      <c r="F180" s="403"/>
      <c r="G180" s="404"/>
      <c r="H180" s="404"/>
      <c r="I180" s="404"/>
      <c r="J180" s="404"/>
      <c r="K180" s="404"/>
      <c r="L180" s="404"/>
      <c r="M180" s="404"/>
    </row>
    <row r="181" ht="15.75" customHeight="1">
      <c r="A181" s="400"/>
      <c r="B181" s="401"/>
      <c r="C181" s="401"/>
      <c r="D181" s="402" t="str">
        <f t="shared" si="1"/>
        <v/>
      </c>
      <c r="E181" s="403"/>
      <c r="F181" s="403"/>
      <c r="G181" s="404"/>
      <c r="H181" s="404"/>
      <c r="I181" s="404"/>
      <c r="J181" s="404"/>
      <c r="K181" s="404"/>
      <c r="L181" s="404"/>
      <c r="M181" s="404"/>
    </row>
    <row r="182" ht="15.75" customHeight="1">
      <c r="A182" s="400"/>
      <c r="B182" s="401"/>
      <c r="C182" s="401"/>
      <c r="D182" s="402" t="str">
        <f t="shared" si="1"/>
        <v/>
      </c>
      <c r="E182" s="403"/>
      <c r="F182" s="403"/>
      <c r="G182" s="404"/>
      <c r="H182" s="404"/>
      <c r="I182" s="404"/>
      <c r="J182" s="404"/>
      <c r="K182" s="404"/>
      <c r="L182" s="404"/>
      <c r="M182" s="404"/>
    </row>
    <row r="183" ht="15.75" customHeight="1">
      <c r="A183" s="400"/>
      <c r="B183" s="401"/>
      <c r="C183" s="401"/>
      <c r="D183" s="402" t="str">
        <f t="shared" si="1"/>
        <v/>
      </c>
      <c r="E183" s="403"/>
      <c r="F183" s="403"/>
      <c r="G183" s="404"/>
      <c r="H183" s="404"/>
      <c r="I183" s="404"/>
      <c r="J183" s="404"/>
      <c r="K183" s="404"/>
      <c r="L183" s="404"/>
      <c r="M183" s="404"/>
    </row>
    <row r="184" ht="15.75" customHeight="1">
      <c r="A184" s="400"/>
      <c r="B184" s="401"/>
      <c r="C184" s="401"/>
      <c r="D184" s="402" t="str">
        <f t="shared" si="1"/>
        <v/>
      </c>
      <c r="E184" s="403"/>
      <c r="F184" s="403"/>
      <c r="G184" s="404"/>
      <c r="H184" s="404"/>
      <c r="I184" s="404"/>
      <c r="J184" s="404"/>
      <c r="K184" s="404"/>
      <c r="L184" s="404"/>
      <c r="M184" s="404"/>
    </row>
    <row r="185" ht="15.75" customHeight="1">
      <c r="A185" s="400"/>
      <c r="B185" s="401"/>
      <c r="C185" s="401"/>
      <c r="D185" s="402" t="str">
        <f t="shared" si="1"/>
        <v/>
      </c>
      <c r="E185" s="403"/>
      <c r="F185" s="403"/>
      <c r="G185" s="404"/>
      <c r="H185" s="404"/>
      <c r="I185" s="404"/>
      <c r="J185" s="404"/>
      <c r="K185" s="404"/>
      <c r="L185" s="404"/>
      <c r="M185" s="404"/>
    </row>
    <row r="186" ht="15.75" customHeight="1">
      <c r="A186" s="400"/>
      <c r="B186" s="401"/>
      <c r="C186" s="401"/>
      <c r="D186" s="402" t="str">
        <f t="shared" si="1"/>
        <v/>
      </c>
      <c r="E186" s="403"/>
      <c r="F186" s="403"/>
      <c r="G186" s="404"/>
      <c r="H186" s="404"/>
      <c r="I186" s="404"/>
      <c r="J186" s="404"/>
      <c r="K186" s="404"/>
      <c r="L186" s="404"/>
      <c r="M186" s="404"/>
    </row>
    <row r="187" ht="15.75" customHeight="1">
      <c r="A187" s="400"/>
      <c r="B187" s="401"/>
      <c r="C187" s="401"/>
      <c r="D187" s="402" t="str">
        <f t="shared" si="1"/>
        <v/>
      </c>
      <c r="E187" s="403"/>
      <c r="F187" s="403"/>
      <c r="G187" s="404"/>
      <c r="H187" s="404"/>
      <c r="I187" s="404"/>
      <c r="J187" s="404"/>
      <c r="K187" s="404"/>
      <c r="L187" s="404"/>
      <c r="M187" s="404"/>
    </row>
    <row r="188" ht="15.75" customHeight="1">
      <c r="A188" s="400"/>
      <c r="B188" s="401"/>
      <c r="C188" s="401"/>
      <c r="D188" s="402" t="str">
        <f t="shared" si="1"/>
        <v/>
      </c>
      <c r="E188" s="403"/>
      <c r="F188" s="403"/>
      <c r="G188" s="404"/>
      <c r="H188" s="404"/>
      <c r="I188" s="404"/>
      <c r="J188" s="404"/>
      <c r="K188" s="404"/>
      <c r="L188" s="404"/>
      <c r="M188" s="404"/>
    </row>
    <row r="189" ht="15.75" customHeight="1">
      <c r="A189" s="400"/>
      <c r="B189" s="401"/>
      <c r="C189" s="401"/>
      <c r="D189" s="402" t="str">
        <f t="shared" si="1"/>
        <v/>
      </c>
      <c r="E189" s="403"/>
      <c r="F189" s="403"/>
      <c r="G189" s="404"/>
      <c r="H189" s="404"/>
      <c r="I189" s="404"/>
      <c r="J189" s="404"/>
      <c r="K189" s="404"/>
      <c r="L189" s="404"/>
      <c r="M189" s="404"/>
    </row>
    <row r="190" ht="15.75" customHeight="1">
      <c r="A190" s="400"/>
      <c r="B190" s="401"/>
      <c r="C190" s="401"/>
      <c r="D190" s="402" t="str">
        <f t="shared" si="1"/>
        <v/>
      </c>
      <c r="E190" s="403"/>
      <c r="F190" s="403"/>
      <c r="G190" s="404"/>
      <c r="H190" s="404"/>
      <c r="I190" s="404"/>
      <c r="J190" s="404"/>
      <c r="K190" s="404"/>
      <c r="L190" s="404"/>
      <c r="M190" s="404"/>
    </row>
    <row r="191" ht="15.75" customHeight="1">
      <c r="A191" s="400"/>
      <c r="B191" s="401"/>
      <c r="C191" s="401"/>
      <c r="D191" s="402" t="str">
        <f t="shared" si="1"/>
        <v/>
      </c>
      <c r="E191" s="403"/>
      <c r="F191" s="403"/>
      <c r="G191" s="404"/>
      <c r="H191" s="404"/>
      <c r="I191" s="404"/>
      <c r="J191" s="404"/>
      <c r="K191" s="404"/>
      <c r="L191" s="404"/>
      <c r="M191" s="404"/>
    </row>
    <row r="192" ht="15.75" customHeight="1">
      <c r="A192" s="400"/>
      <c r="B192" s="401"/>
      <c r="C192" s="401"/>
      <c r="D192" s="402" t="str">
        <f t="shared" si="1"/>
        <v/>
      </c>
      <c r="E192" s="403"/>
      <c r="F192" s="403"/>
      <c r="G192" s="404"/>
      <c r="H192" s="404"/>
      <c r="I192" s="404"/>
      <c r="J192" s="404"/>
      <c r="K192" s="404"/>
      <c r="L192" s="404"/>
      <c r="M192" s="404"/>
    </row>
    <row r="193" ht="15.75" customHeight="1">
      <c r="A193" s="400"/>
      <c r="B193" s="401"/>
      <c r="C193" s="401"/>
      <c r="D193" s="402" t="str">
        <f t="shared" si="1"/>
        <v/>
      </c>
      <c r="E193" s="403"/>
      <c r="F193" s="403"/>
      <c r="G193" s="404"/>
      <c r="H193" s="404"/>
      <c r="I193" s="404"/>
      <c r="J193" s="404"/>
      <c r="K193" s="404"/>
      <c r="L193" s="404"/>
      <c r="M193" s="404"/>
    </row>
    <row r="194" ht="15.75" customHeight="1">
      <c r="A194" s="400"/>
      <c r="B194" s="401"/>
      <c r="C194" s="401"/>
      <c r="D194" s="402" t="str">
        <f t="shared" si="1"/>
        <v/>
      </c>
      <c r="E194" s="403"/>
      <c r="F194" s="403"/>
      <c r="G194" s="404"/>
      <c r="H194" s="404"/>
      <c r="I194" s="404"/>
      <c r="J194" s="404"/>
      <c r="K194" s="404"/>
      <c r="L194" s="404"/>
      <c r="M194" s="404"/>
    </row>
    <row r="195" ht="15.75" customHeight="1">
      <c r="A195" s="400"/>
      <c r="B195" s="401"/>
      <c r="C195" s="401"/>
      <c r="D195" s="402" t="str">
        <f t="shared" si="1"/>
        <v/>
      </c>
      <c r="E195" s="403"/>
      <c r="F195" s="403"/>
      <c r="G195" s="404"/>
      <c r="H195" s="404"/>
      <c r="I195" s="404"/>
      <c r="J195" s="404"/>
      <c r="K195" s="404"/>
      <c r="L195" s="404"/>
      <c r="M195" s="404"/>
    </row>
    <row r="196" ht="15.75" customHeight="1">
      <c r="A196" s="400"/>
      <c r="B196" s="401"/>
      <c r="C196" s="401"/>
      <c r="D196" s="402" t="str">
        <f t="shared" si="1"/>
        <v/>
      </c>
      <c r="E196" s="403"/>
      <c r="F196" s="403"/>
      <c r="G196" s="404"/>
      <c r="H196" s="404"/>
      <c r="I196" s="404"/>
      <c r="J196" s="404"/>
      <c r="K196" s="404"/>
      <c r="L196" s="404"/>
      <c r="M196" s="404"/>
    </row>
    <row r="197" ht="15.75" customHeight="1">
      <c r="A197" s="400"/>
      <c r="B197" s="401"/>
      <c r="C197" s="401"/>
      <c r="D197" s="402" t="str">
        <f t="shared" si="1"/>
        <v/>
      </c>
      <c r="E197" s="403"/>
      <c r="F197" s="403"/>
      <c r="G197" s="404"/>
      <c r="H197" s="404"/>
      <c r="I197" s="404"/>
      <c r="J197" s="404"/>
      <c r="K197" s="404"/>
      <c r="L197" s="404"/>
      <c r="M197" s="404"/>
    </row>
    <row r="198" ht="15.75" customHeight="1">
      <c r="A198" s="400"/>
      <c r="B198" s="401"/>
      <c r="C198" s="401"/>
      <c r="D198" s="402" t="str">
        <f t="shared" si="1"/>
        <v/>
      </c>
      <c r="E198" s="403"/>
      <c r="F198" s="403"/>
      <c r="G198" s="404"/>
      <c r="H198" s="404"/>
      <c r="I198" s="404"/>
      <c r="J198" s="404"/>
      <c r="K198" s="404"/>
      <c r="L198" s="404"/>
      <c r="M198" s="404"/>
    </row>
    <row r="199" ht="15.75" customHeight="1">
      <c r="A199" s="400"/>
      <c r="B199" s="401"/>
      <c r="C199" s="401"/>
      <c r="D199" s="402" t="str">
        <f t="shared" si="1"/>
        <v/>
      </c>
      <c r="E199" s="403"/>
      <c r="F199" s="403"/>
      <c r="G199" s="404"/>
      <c r="H199" s="404"/>
      <c r="I199" s="404"/>
      <c r="J199" s="404"/>
      <c r="K199" s="404"/>
      <c r="L199" s="404"/>
      <c r="M199" s="404"/>
    </row>
    <row r="200" ht="15.75" customHeight="1">
      <c r="A200" s="400"/>
      <c r="B200" s="401"/>
      <c r="C200" s="401"/>
      <c r="D200" s="402" t="str">
        <f t="shared" si="1"/>
        <v/>
      </c>
      <c r="E200" s="403"/>
      <c r="F200" s="403"/>
      <c r="G200" s="404"/>
      <c r="H200" s="404"/>
      <c r="I200" s="404"/>
      <c r="J200" s="404"/>
      <c r="K200" s="404"/>
      <c r="L200" s="404"/>
      <c r="M200" s="404"/>
    </row>
    <row r="201" ht="15.75" customHeight="1">
      <c r="A201" s="400"/>
      <c r="B201" s="401"/>
      <c r="C201" s="401"/>
      <c r="D201" s="402" t="str">
        <f t="shared" si="1"/>
        <v/>
      </c>
      <c r="E201" s="403"/>
      <c r="F201" s="403"/>
      <c r="G201" s="404"/>
      <c r="H201" s="404"/>
      <c r="I201" s="404"/>
      <c r="J201" s="404"/>
      <c r="K201" s="404"/>
      <c r="L201" s="404"/>
      <c r="M201" s="404"/>
    </row>
    <row r="202" ht="15.75" customHeight="1">
      <c r="A202" s="400"/>
      <c r="B202" s="401"/>
      <c r="C202" s="401"/>
      <c r="D202" s="402" t="str">
        <f t="shared" si="1"/>
        <v/>
      </c>
      <c r="E202" s="403"/>
      <c r="F202" s="403"/>
      <c r="G202" s="404"/>
      <c r="H202" s="404"/>
      <c r="I202" s="404"/>
      <c r="J202" s="404"/>
      <c r="K202" s="404"/>
      <c r="L202" s="404"/>
      <c r="M202" s="404"/>
    </row>
    <row r="203" ht="15.75" customHeight="1">
      <c r="A203" s="400"/>
      <c r="B203" s="401"/>
      <c r="C203" s="401"/>
      <c r="D203" s="402" t="str">
        <f t="shared" si="1"/>
        <v/>
      </c>
      <c r="E203" s="403"/>
      <c r="F203" s="403"/>
      <c r="G203" s="404"/>
      <c r="H203" s="404"/>
      <c r="I203" s="404"/>
      <c r="J203" s="404"/>
      <c r="K203" s="404"/>
      <c r="L203" s="404"/>
      <c r="M203" s="404"/>
    </row>
    <row r="204" ht="15.75" customHeight="1">
      <c r="A204" s="400"/>
      <c r="B204" s="401"/>
      <c r="C204" s="401"/>
      <c r="D204" s="402" t="str">
        <f t="shared" si="1"/>
        <v/>
      </c>
      <c r="E204" s="403"/>
      <c r="F204" s="403"/>
      <c r="G204" s="404"/>
      <c r="H204" s="404"/>
      <c r="I204" s="404"/>
      <c r="J204" s="404"/>
      <c r="K204" s="404"/>
      <c r="L204" s="404"/>
      <c r="M204" s="404"/>
    </row>
    <row r="205" ht="15.75" customHeight="1">
      <c r="A205" s="400"/>
      <c r="B205" s="401"/>
      <c r="C205" s="401"/>
      <c r="D205" s="402" t="str">
        <f t="shared" si="1"/>
        <v/>
      </c>
      <c r="E205" s="403"/>
      <c r="F205" s="403"/>
      <c r="G205" s="404"/>
      <c r="H205" s="404"/>
      <c r="I205" s="404"/>
      <c r="J205" s="404"/>
      <c r="K205" s="404"/>
      <c r="L205" s="404"/>
      <c r="M205" s="404"/>
    </row>
    <row r="206" ht="15.75" customHeight="1">
      <c r="A206" s="400"/>
      <c r="B206" s="401"/>
      <c r="C206" s="401"/>
      <c r="D206" s="402" t="str">
        <f t="shared" si="1"/>
        <v/>
      </c>
      <c r="E206" s="403"/>
      <c r="F206" s="403"/>
      <c r="G206" s="404"/>
      <c r="H206" s="404"/>
      <c r="I206" s="404"/>
      <c r="J206" s="404"/>
      <c r="K206" s="404"/>
      <c r="L206" s="404"/>
      <c r="M206" s="404"/>
    </row>
    <row r="207" ht="15.75" customHeight="1">
      <c r="A207" s="400"/>
      <c r="B207" s="401"/>
      <c r="C207" s="401"/>
      <c r="D207" s="402" t="str">
        <f t="shared" si="1"/>
        <v/>
      </c>
      <c r="E207" s="403"/>
      <c r="F207" s="403"/>
      <c r="G207" s="404"/>
      <c r="H207" s="404"/>
      <c r="I207" s="404"/>
      <c r="J207" s="404"/>
      <c r="K207" s="404"/>
      <c r="L207" s="404"/>
      <c r="M207" s="404"/>
    </row>
    <row r="208" ht="15.75" customHeight="1">
      <c r="A208" s="400"/>
      <c r="B208" s="401"/>
      <c r="C208" s="401"/>
      <c r="D208" s="402" t="str">
        <f t="shared" si="1"/>
        <v/>
      </c>
      <c r="E208" s="403"/>
      <c r="F208" s="403"/>
      <c r="G208" s="404"/>
      <c r="H208" s="404"/>
      <c r="I208" s="404"/>
      <c r="J208" s="404"/>
      <c r="K208" s="404"/>
      <c r="L208" s="404"/>
      <c r="M208" s="404"/>
    </row>
    <row r="209" ht="15.75" customHeight="1">
      <c r="A209" s="400"/>
      <c r="B209" s="401"/>
      <c r="C209" s="401"/>
      <c r="D209" s="402" t="str">
        <f t="shared" si="1"/>
        <v/>
      </c>
      <c r="E209" s="403"/>
      <c r="F209" s="403"/>
      <c r="G209" s="404"/>
      <c r="H209" s="404"/>
      <c r="I209" s="404"/>
      <c r="J209" s="404"/>
      <c r="K209" s="404"/>
      <c r="L209" s="404"/>
      <c r="M209" s="404"/>
    </row>
    <row r="210" ht="15.75" customHeight="1">
      <c r="A210" s="400"/>
      <c r="B210" s="401"/>
      <c r="C210" s="401"/>
      <c r="D210" s="402" t="str">
        <f t="shared" si="1"/>
        <v/>
      </c>
      <c r="E210" s="403"/>
      <c r="F210" s="403"/>
      <c r="G210" s="404"/>
      <c r="H210" s="404"/>
      <c r="I210" s="404"/>
      <c r="J210" s="404"/>
      <c r="K210" s="404"/>
      <c r="L210" s="404"/>
      <c r="M210" s="404"/>
    </row>
    <row r="211" ht="15.75" customHeight="1">
      <c r="A211" s="400"/>
      <c r="B211" s="401"/>
      <c r="C211" s="401"/>
      <c r="D211" s="402" t="str">
        <f t="shared" si="1"/>
        <v/>
      </c>
      <c r="E211" s="403"/>
      <c r="F211" s="403"/>
      <c r="G211" s="404"/>
      <c r="H211" s="404"/>
      <c r="I211" s="404"/>
      <c r="J211" s="404"/>
      <c r="K211" s="404"/>
      <c r="L211" s="404"/>
      <c r="M211" s="404"/>
    </row>
    <row r="212" ht="15.75" customHeight="1">
      <c r="A212" s="400"/>
      <c r="B212" s="401"/>
      <c r="C212" s="401"/>
      <c r="D212" s="402" t="str">
        <f t="shared" si="1"/>
        <v/>
      </c>
      <c r="E212" s="400"/>
      <c r="F212" s="400"/>
      <c r="G212" s="406"/>
      <c r="H212" s="406"/>
      <c r="I212" s="406"/>
      <c r="J212" s="406"/>
      <c r="K212" s="406"/>
      <c r="L212" s="406"/>
      <c r="M212" s="406"/>
    </row>
    <row r="213" ht="15.75" customHeight="1">
      <c r="A213" s="400"/>
      <c r="B213" s="401"/>
      <c r="C213" s="401"/>
      <c r="D213" s="402" t="str">
        <f t="shared" si="1"/>
        <v/>
      </c>
      <c r="E213" s="400"/>
      <c r="F213" s="400"/>
      <c r="G213" s="406"/>
      <c r="H213" s="406"/>
      <c r="I213" s="406"/>
      <c r="J213" s="406"/>
      <c r="K213" s="406"/>
      <c r="L213" s="406"/>
      <c r="M213" s="406"/>
    </row>
    <row r="214" ht="15.75" customHeight="1">
      <c r="A214" s="400"/>
      <c r="B214" s="401"/>
      <c r="C214" s="401"/>
      <c r="D214" s="402" t="str">
        <f t="shared" si="1"/>
        <v/>
      </c>
      <c r="E214" s="400"/>
      <c r="F214" s="400"/>
      <c r="G214" s="406"/>
      <c r="H214" s="406"/>
      <c r="I214" s="406"/>
      <c r="J214" s="406"/>
      <c r="K214" s="406"/>
      <c r="L214" s="406"/>
      <c r="M214" s="406"/>
    </row>
    <row r="215" ht="15.75" customHeight="1">
      <c r="A215" s="400"/>
      <c r="B215" s="401"/>
      <c r="C215" s="401"/>
      <c r="D215" s="402" t="str">
        <f t="shared" si="1"/>
        <v/>
      </c>
      <c r="E215" s="400"/>
      <c r="F215" s="400"/>
      <c r="G215" s="406"/>
      <c r="H215" s="406"/>
      <c r="I215" s="406"/>
      <c r="J215" s="406"/>
      <c r="K215" s="406"/>
      <c r="L215" s="406"/>
      <c r="M215" s="406"/>
    </row>
    <row r="216" ht="15.75" customHeight="1">
      <c r="A216" s="400"/>
      <c r="B216" s="401"/>
      <c r="C216" s="401"/>
      <c r="D216" s="402" t="str">
        <f t="shared" si="1"/>
        <v/>
      </c>
      <c r="E216" s="400"/>
      <c r="F216" s="400"/>
      <c r="G216" s="404"/>
      <c r="H216" s="404"/>
      <c r="I216" s="404"/>
      <c r="J216" s="404"/>
      <c r="K216" s="404"/>
      <c r="L216" s="404"/>
      <c r="M216" s="404"/>
    </row>
    <row r="217" ht="15.75" customHeight="1">
      <c r="A217" s="400"/>
      <c r="B217" s="401"/>
      <c r="C217" s="401"/>
      <c r="D217" s="402" t="str">
        <f t="shared" si="1"/>
        <v/>
      </c>
      <c r="E217" s="400"/>
      <c r="F217" s="400"/>
      <c r="G217" s="406"/>
      <c r="H217" s="406"/>
      <c r="I217" s="406"/>
      <c r="J217" s="406"/>
      <c r="K217" s="406"/>
      <c r="L217" s="406"/>
      <c r="M217" s="406"/>
    </row>
    <row r="218" ht="15.75" customHeight="1">
      <c r="A218" s="400"/>
      <c r="B218" s="401"/>
      <c r="C218" s="401"/>
      <c r="D218" s="402" t="str">
        <f t="shared" si="1"/>
        <v/>
      </c>
      <c r="E218" s="403"/>
      <c r="F218" s="403"/>
      <c r="G218" s="404"/>
      <c r="H218" s="404"/>
      <c r="I218" s="404"/>
      <c r="J218" s="404"/>
      <c r="K218" s="404"/>
      <c r="L218" s="404"/>
      <c r="M218" s="404"/>
    </row>
    <row r="219" ht="15.75" customHeight="1">
      <c r="A219" s="400"/>
      <c r="B219" s="401"/>
      <c r="C219" s="401"/>
      <c r="D219" s="402" t="str">
        <f t="shared" si="1"/>
        <v/>
      </c>
      <c r="E219" s="403"/>
      <c r="F219" s="403"/>
      <c r="G219" s="404"/>
      <c r="H219" s="404"/>
      <c r="I219" s="404"/>
      <c r="J219" s="404"/>
      <c r="K219" s="404"/>
      <c r="L219" s="404"/>
      <c r="M219" s="404"/>
    </row>
    <row r="220" ht="15.75" customHeight="1">
      <c r="A220" s="400"/>
      <c r="B220" s="401"/>
      <c r="C220" s="401"/>
      <c r="D220" s="402" t="str">
        <f t="shared" si="1"/>
        <v/>
      </c>
      <c r="E220" s="403"/>
      <c r="F220" s="403"/>
      <c r="G220" s="404"/>
      <c r="H220" s="404"/>
      <c r="I220" s="404"/>
      <c r="J220" s="404"/>
      <c r="K220" s="404"/>
      <c r="L220" s="404"/>
      <c r="M220" s="404"/>
    </row>
    <row r="221" ht="15.75" customHeight="1">
      <c r="A221" s="400"/>
      <c r="B221" s="401"/>
      <c r="C221" s="401"/>
      <c r="D221" s="402" t="str">
        <f t="shared" si="1"/>
        <v/>
      </c>
      <c r="E221" s="403"/>
      <c r="F221" s="403"/>
      <c r="G221" s="404"/>
      <c r="H221" s="404"/>
      <c r="I221" s="404"/>
      <c r="J221" s="404"/>
      <c r="K221" s="404"/>
      <c r="L221" s="404"/>
      <c r="M221" s="404"/>
    </row>
    <row r="222" ht="15.75" customHeight="1">
      <c r="A222" s="400"/>
      <c r="B222" s="401"/>
      <c r="C222" s="401"/>
      <c r="D222" s="402" t="str">
        <f t="shared" si="1"/>
        <v/>
      </c>
      <c r="E222" s="403"/>
      <c r="F222" s="403"/>
      <c r="G222" s="404"/>
      <c r="H222" s="404"/>
      <c r="I222" s="404"/>
      <c r="J222" s="404"/>
      <c r="K222" s="404"/>
      <c r="L222" s="404"/>
      <c r="M222" s="404"/>
    </row>
    <row r="223" ht="15.75" customHeight="1">
      <c r="A223" s="400"/>
      <c r="B223" s="401"/>
      <c r="C223" s="401"/>
      <c r="D223" s="402" t="str">
        <f t="shared" si="1"/>
        <v/>
      </c>
      <c r="E223" s="403"/>
      <c r="F223" s="403"/>
      <c r="G223" s="404"/>
      <c r="H223" s="404"/>
      <c r="I223" s="404"/>
      <c r="J223" s="404"/>
      <c r="K223" s="404"/>
      <c r="L223" s="404"/>
      <c r="M223" s="404"/>
    </row>
    <row r="224" ht="15.75" customHeight="1">
      <c r="A224" s="400"/>
      <c r="B224" s="401"/>
      <c r="C224" s="401"/>
      <c r="D224" s="402" t="str">
        <f t="shared" si="1"/>
        <v/>
      </c>
      <c r="E224" s="403"/>
      <c r="F224" s="403"/>
      <c r="G224" s="404"/>
      <c r="H224" s="404"/>
      <c r="I224" s="404"/>
      <c r="J224" s="404"/>
      <c r="K224" s="404"/>
      <c r="L224" s="404"/>
      <c r="M224" s="404"/>
    </row>
    <row r="225" ht="15.75" customHeight="1">
      <c r="A225" s="400"/>
      <c r="B225" s="401"/>
      <c r="C225" s="401"/>
      <c r="D225" s="402" t="str">
        <f t="shared" si="1"/>
        <v/>
      </c>
      <c r="E225" s="403"/>
      <c r="F225" s="403"/>
      <c r="G225" s="404"/>
      <c r="H225" s="404"/>
      <c r="I225" s="404"/>
      <c r="J225" s="404"/>
      <c r="K225" s="404"/>
      <c r="L225" s="404"/>
      <c r="M225" s="404"/>
    </row>
    <row r="226" ht="15.75" customHeight="1">
      <c r="A226" s="400"/>
      <c r="B226" s="401"/>
      <c r="C226" s="401"/>
      <c r="D226" s="402" t="str">
        <f t="shared" si="1"/>
        <v/>
      </c>
      <c r="E226" s="403"/>
      <c r="F226" s="403"/>
      <c r="G226" s="404"/>
      <c r="H226" s="404"/>
      <c r="I226" s="404"/>
      <c r="J226" s="404"/>
      <c r="K226" s="404"/>
      <c r="L226" s="404"/>
      <c r="M226" s="404"/>
    </row>
    <row r="227" ht="15.75" customHeight="1">
      <c r="A227" s="400"/>
      <c r="B227" s="401"/>
      <c r="C227" s="401"/>
      <c r="D227" s="402" t="str">
        <f t="shared" si="1"/>
        <v/>
      </c>
      <c r="E227" s="403"/>
      <c r="F227" s="403"/>
      <c r="G227" s="404"/>
      <c r="H227" s="404"/>
      <c r="I227" s="404"/>
      <c r="J227" s="404"/>
      <c r="K227" s="404"/>
      <c r="L227" s="404"/>
      <c r="M227" s="404"/>
    </row>
    <row r="228" ht="15.75" customHeight="1">
      <c r="A228" s="400"/>
      <c r="B228" s="401"/>
      <c r="C228" s="401"/>
      <c r="D228" s="402" t="str">
        <f t="shared" si="1"/>
        <v/>
      </c>
      <c r="E228" s="403"/>
      <c r="F228" s="403"/>
      <c r="G228" s="404"/>
      <c r="H228" s="404"/>
      <c r="I228" s="404"/>
      <c r="J228" s="404"/>
      <c r="K228" s="404"/>
      <c r="L228" s="404"/>
      <c r="M228" s="404"/>
    </row>
    <row r="229" ht="15.75" customHeight="1">
      <c r="A229" s="400"/>
      <c r="B229" s="401"/>
      <c r="C229" s="401"/>
      <c r="D229" s="402" t="str">
        <f t="shared" si="1"/>
        <v/>
      </c>
      <c r="E229" s="403"/>
      <c r="F229" s="403"/>
      <c r="G229" s="404"/>
      <c r="H229" s="404"/>
      <c r="I229" s="404"/>
      <c r="J229" s="404"/>
      <c r="K229" s="404"/>
      <c r="L229" s="404"/>
      <c r="M229" s="404"/>
    </row>
    <row r="230" ht="15.75" customHeight="1">
      <c r="A230" s="400"/>
      <c r="B230" s="401"/>
      <c r="C230" s="401"/>
      <c r="D230" s="402" t="str">
        <f t="shared" si="1"/>
        <v/>
      </c>
      <c r="E230" s="403"/>
      <c r="F230" s="403"/>
      <c r="G230" s="404"/>
      <c r="H230" s="404"/>
      <c r="I230" s="404"/>
      <c r="J230" s="404"/>
      <c r="K230" s="404"/>
      <c r="L230" s="404"/>
      <c r="M230" s="404"/>
    </row>
    <row r="231" ht="15.75" customHeight="1">
      <c r="A231" s="400"/>
      <c r="B231" s="401"/>
      <c r="C231" s="401"/>
      <c r="D231" s="402" t="str">
        <f t="shared" si="1"/>
        <v/>
      </c>
      <c r="E231" s="403"/>
      <c r="F231" s="403"/>
      <c r="G231" s="404"/>
      <c r="H231" s="404"/>
      <c r="I231" s="404"/>
      <c r="J231" s="404"/>
      <c r="K231" s="404"/>
      <c r="L231" s="404"/>
      <c r="M231" s="404"/>
    </row>
    <row r="232" ht="15.75" customHeight="1">
      <c r="A232" s="400"/>
      <c r="B232" s="401"/>
      <c r="C232" s="401"/>
      <c r="D232" s="402" t="str">
        <f t="shared" si="1"/>
        <v/>
      </c>
      <c r="E232" s="403"/>
      <c r="F232" s="403"/>
      <c r="G232" s="404"/>
      <c r="H232" s="404"/>
      <c r="I232" s="404"/>
      <c r="J232" s="404"/>
      <c r="K232" s="404"/>
      <c r="L232" s="404"/>
      <c r="M232" s="404"/>
    </row>
    <row r="233" ht="15.75" customHeight="1">
      <c r="A233" s="400"/>
      <c r="B233" s="401"/>
      <c r="C233" s="401"/>
      <c r="D233" s="402" t="str">
        <f t="shared" si="1"/>
        <v/>
      </c>
      <c r="E233" s="403"/>
      <c r="F233" s="403"/>
      <c r="G233" s="404"/>
      <c r="H233" s="404"/>
      <c r="I233" s="404"/>
      <c r="J233" s="404"/>
      <c r="K233" s="404"/>
      <c r="L233" s="404"/>
      <c r="M233" s="404"/>
    </row>
    <row r="234" ht="15.75" customHeight="1">
      <c r="A234" s="400"/>
      <c r="B234" s="401"/>
      <c r="C234" s="401"/>
      <c r="D234" s="402" t="str">
        <f t="shared" si="1"/>
        <v/>
      </c>
      <c r="E234" s="403"/>
      <c r="F234" s="403"/>
      <c r="G234" s="404"/>
      <c r="H234" s="404"/>
      <c r="I234" s="404"/>
      <c r="J234" s="404"/>
      <c r="K234" s="404"/>
      <c r="L234" s="404"/>
      <c r="M234" s="404"/>
    </row>
    <row r="235" ht="15.75" customHeight="1">
      <c r="A235" s="400"/>
      <c r="B235" s="401"/>
      <c r="C235" s="401"/>
      <c r="D235" s="402" t="str">
        <f t="shared" si="1"/>
        <v/>
      </c>
      <c r="E235" s="403"/>
      <c r="F235" s="403"/>
      <c r="G235" s="404"/>
      <c r="H235" s="404"/>
      <c r="I235" s="404"/>
      <c r="J235" s="404"/>
      <c r="K235" s="404"/>
      <c r="L235" s="404"/>
      <c r="M235" s="404"/>
    </row>
    <row r="236" ht="15.75" customHeight="1">
      <c r="A236" s="400"/>
      <c r="B236" s="401"/>
      <c r="C236" s="401"/>
      <c r="D236" s="402" t="str">
        <f t="shared" si="1"/>
        <v/>
      </c>
      <c r="E236" s="403"/>
      <c r="F236" s="403"/>
      <c r="G236" s="404"/>
      <c r="H236" s="404"/>
      <c r="I236" s="404"/>
      <c r="J236" s="404"/>
      <c r="K236" s="404"/>
      <c r="L236" s="404"/>
      <c r="M236" s="404"/>
    </row>
    <row r="237" ht="15.75" customHeight="1">
      <c r="A237" s="400"/>
      <c r="B237" s="401"/>
      <c r="C237" s="401"/>
      <c r="D237" s="402" t="str">
        <f t="shared" si="1"/>
        <v/>
      </c>
      <c r="E237" s="403"/>
      <c r="F237" s="403"/>
      <c r="G237" s="404"/>
      <c r="H237" s="404"/>
      <c r="I237" s="404"/>
      <c r="J237" s="404"/>
      <c r="K237" s="404"/>
      <c r="L237" s="404"/>
      <c r="M237" s="404"/>
    </row>
    <row r="238" ht="15.75" customHeight="1">
      <c r="A238" s="400"/>
      <c r="B238" s="401"/>
      <c r="C238" s="401"/>
      <c r="D238" s="402" t="str">
        <f t="shared" si="1"/>
        <v/>
      </c>
      <c r="E238" s="403"/>
      <c r="F238" s="403"/>
      <c r="G238" s="404"/>
      <c r="H238" s="404"/>
      <c r="I238" s="404"/>
      <c r="J238" s="404"/>
      <c r="K238" s="404"/>
      <c r="L238" s="404"/>
      <c r="M238" s="404"/>
    </row>
    <row r="239" ht="15.75" customHeight="1">
      <c r="A239" s="400"/>
      <c r="B239" s="401"/>
      <c r="C239" s="401"/>
      <c r="D239" s="402" t="str">
        <f t="shared" si="1"/>
        <v/>
      </c>
      <c r="E239" s="403"/>
      <c r="F239" s="403"/>
      <c r="G239" s="404"/>
      <c r="H239" s="404"/>
      <c r="I239" s="404"/>
      <c r="J239" s="404"/>
      <c r="K239" s="404"/>
      <c r="L239" s="404"/>
      <c r="M239" s="404"/>
    </row>
    <row r="240" ht="15.75" customHeight="1">
      <c r="A240" s="400"/>
      <c r="B240" s="401"/>
      <c r="C240" s="401"/>
      <c r="D240" s="402" t="str">
        <f t="shared" si="1"/>
        <v/>
      </c>
      <c r="E240" s="403"/>
      <c r="F240" s="403"/>
      <c r="G240" s="404"/>
      <c r="H240" s="404"/>
      <c r="I240" s="404"/>
      <c r="J240" s="404"/>
      <c r="K240" s="404"/>
      <c r="L240" s="404"/>
      <c r="M240" s="404"/>
    </row>
    <row r="241" ht="15.75" customHeight="1">
      <c r="A241" s="400"/>
      <c r="B241" s="401"/>
      <c r="C241" s="401"/>
      <c r="D241" s="402" t="str">
        <f t="shared" si="1"/>
        <v/>
      </c>
      <c r="E241" s="403"/>
      <c r="F241" s="403"/>
      <c r="G241" s="404"/>
      <c r="H241" s="404"/>
      <c r="I241" s="404"/>
      <c r="J241" s="404"/>
      <c r="K241" s="404"/>
      <c r="L241" s="404"/>
      <c r="M241" s="404"/>
    </row>
    <row r="242" ht="15.75" customHeight="1">
      <c r="A242" s="400"/>
      <c r="B242" s="401"/>
      <c r="C242" s="401"/>
      <c r="D242" s="402" t="str">
        <f t="shared" si="1"/>
        <v/>
      </c>
      <c r="E242" s="403"/>
      <c r="F242" s="403"/>
      <c r="G242" s="404"/>
      <c r="H242" s="404"/>
      <c r="I242" s="404"/>
      <c r="J242" s="404"/>
      <c r="K242" s="404"/>
      <c r="L242" s="404"/>
      <c r="M242" s="404"/>
    </row>
    <row r="243" ht="15.75" customHeight="1">
      <c r="A243" s="400"/>
      <c r="B243" s="401"/>
      <c r="C243" s="401"/>
      <c r="D243" s="402" t="str">
        <f t="shared" si="1"/>
        <v/>
      </c>
      <c r="E243" s="403"/>
      <c r="F243" s="403"/>
      <c r="G243" s="404"/>
      <c r="H243" s="404"/>
      <c r="I243" s="404"/>
      <c r="J243" s="404"/>
      <c r="K243" s="404"/>
      <c r="L243" s="404"/>
      <c r="M243" s="404"/>
    </row>
    <row r="244" ht="15.75" customHeight="1">
      <c r="A244" s="400"/>
      <c r="B244" s="401"/>
      <c r="C244" s="401"/>
      <c r="D244" s="402" t="str">
        <f t="shared" si="1"/>
        <v/>
      </c>
      <c r="E244" s="403"/>
      <c r="F244" s="403"/>
      <c r="G244" s="404"/>
      <c r="H244" s="404"/>
      <c r="I244" s="404"/>
      <c r="J244" s="404"/>
      <c r="K244" s="404"/>
      <c r="L244" s="404"/>
      <c r="M244" s="404"/>
    </row>
    <row r="245" ht="15.75" customHeight="1">
      <c r="A245" s="400"/>
      <c r="B245" s="401"/>
      <c r="C245" s="401"/>
      <c r="D245" s="402" t="str">
        <f t="shared" si="1"/>
        <v/>
      </c>
      <c r="E245" s="403"/>
      <c r="F245" s="403"/>
      <c r="G245" s="404"/>
      <c r="H245" s="404"/>
      <c r="I245" s="404"/>
      <c r="J245" s="404"/>
      <c r="K245" s="404"/>
      <c r="L245" s="404"/>
      <c r="M245" s="404"/>
    </row>
    <row r="246" ht="15.75" customHeight="1">
      <c r="A246" s="400"/>
      <c r="B246" s="401"/>
      <c r="C246" s="401"/>
      <c r="D246" s="402" t="str">
        <f t="shared" si="1"/>
        <v/>
      </c>
      <c r="E246" s="403"/>
      <c r="F246" s="403"/>
      <c r="G246" s="404"/>
      <c r="H246" s="404"/>
      <c r="I246" s="404"/>
      <c r="J246" s="404"/>
      <c r="K246" s="404"/>
      <c r="L246" s="404"/>
      <c r="M246" s="404"/>
    </row>
    <row r="247" ht="15.75" customHeight="1">
      <c r="A247" s="400"/>
      <c r="B247" s="401"/>
      <c r="C247" s="401"/>
      <c r="D247" s="402" t="str">
        <f t="shared" si="1"/>
        <v/>
      </c>
      <c r="E247" s="403"/>
      <c r="F247" s="403"/>
      <c r="G247" s="404"/>
      <c r="H247" s="404"/>
      <c r="I247" s="404"/>
      <c r="J247" s="404"/>
      <c r="K247" s="404"/>
      <c r="L247" s="404"/>
      <c r="M247" s="404"/>
    </row>
    <row r="248" ht="15.75" customHeight="1">
      <c r="A248" s="400"/>
      <c r="B248" s="401"/>
      <c r="C248" s="401"/>
      <c r="D248" s="402" t="str">
        <f t="shared" si="1"/>
        <v/>
      </c>
      <c r="E248" s="403"/>
      <c r="F248" s="403"/>
      <c r="G248" s="404"/>
      <c r="H248" s="404"/>
      <c r="I248" s="404"/>
      <c r="J248" s="404"/>
      <c r="K248" s="404"/>
      <c r="L248" s="404"/>
      <c r="M248" s="404"/>
    </row>
    <row r="249" ht="15.75" customHeight="1">
      <c r="A249" s="400"/>
      <c r="B249" s="401"/>
      <c r="C249" s="401"/>
      <c r="D249" s="402" t="str">
        <f t="shared" si="1"/>
        <v/>
      </c>
      <c r="E249" s="403"/>
      <c r="F249" s="403"/>
      <c r="G249" s="404"/>
      <c r="H249" s="404"/>
      <c r="I249" s="404"/>
      <c r="J249" s="404"/>
      <c r="K249" s="404"/>
      <c r="L249" s="404"/>
      <c r="M249" s="404"/>
    </row>
    <row r="250" ht="15.75" customHeight="1">
      <c r="A250" s="400"/>
      <c r="B250" s="401"/>
      <c r="C250" s="401"/>
      <c r="D250" s="402" t="str">
        <f t="shared" si="1"/>
        <v/>
      </c>
      <c r="E250" s="403"/>
      <c r="F250" s="403"/>
      <c r="G250" s="404"/>
      <c r="H250" s="404"/>
      <c r="I250" s="404"/>
      <c r="J250" s="404"/>
      <c r="K250" s="404"/>
      <c r="L250" s="404"/>
      <c r="M250" s="404"/>
    </row>
    <row r="251" ht="15.75" customHeight="1">
      <c r="A251" s="400"/>
      <c r="B251" s="401"/>
      <c r="C251" s="401"/>
      <c r="D251" s="402" t="str">
        <f t="shared" si="1"/>
        <v/>
      </c>
      <c r="E251" s="403"/>
      <c r="F251" s="403"/>
      <c r="G251" s="404"/>
      <c r="H251" s="404"/>
      <c r="I251" s="404"/>
      <c r="J251" s="404"/>
      <c r="K251" s="404"/>
      <c r="L251" s="404"/>
      <c r="M251" s="404"/>
    </row>
    <row r="252" ht="15.75" customHeight="1">
      <c r="A252" s="400"/>
      <c r="B252" s="401"/>
      <c r="C252" s="401"/>
      <c r="D252" s="402" t="str">
        <f t="shared" si="1"/>
        <v/>
      </c>
      <c r="E252" s="403"/>
      <c r="F252" s="403"/>
      <c r="G252" s="404"/>
      <c r="H252" s="404"/>
      <c r="I252" s="404"/>
      <c r="J252" s="404"/>
      <c r="K252" s="404"/>
      <c r="L252" s="404"/>
      <c r="M252" s="404"/>
    </row>
    <row r="253" ht="15.75" customHeight="1">
      <c r="A253" s="400"/>
      <c r="B253" s="401"/>
      <c r="C253" s="401"/>
      <c r="D253" s="402" t="str">
        <f t="shared" si="1"/>
        <v/>
      </c>
      <c r="E253" s="403"/>
      <c r="F253" s="403"/>
      <c r="G253" s="404"/>
      <c r="H253" s="404"/>
      <c r="I253" s="404"/>
      <c r="J253" s="404"/>
      <c r="K253" s="404"/>
      <c r="L253" s="404"/>
      <c r="M253" s="404"/>
    </row>
    <row r="254" ht="15.75" customHeight="1">
      <c r="A254" s="400"/>
      <c r="B254" s="401"/>
      <c r="C254" s="401"/>
      <c r="D254" s="402" t="str">
        <f t="shared" si="1"/>
        <v/>
      </c>
      <c r="E254" s="403"/>
      <c r="F254" s="403"/>
      <c r="G254" s="404"/>
      <c r="H254" s="404"/>
      <c r="I254" s="404"/>
      <c r="J254" s="404"/>
      <c r="K254" s="404"/>
      <c r="L254" s="404"/>
      <c r="M254" s="404"/>
    </row>
    <row r="255" ht="15.75" customHeight="1">
      <c r="A255" s="400"/>
      <c r="B255" s="401"/>
      <c r="C255" s="401"/>
      <c r="D255" s="402" t="str">
        <f t="shared" si="1"/>
        <v/>
      </c>
      <c r="E255" s="403"/>
      <c r="F255" s="403"/>
      <c r="G255" s="404"/>
      <c r="H255" s="404"/>
      <c r="I255" s="404"/>
      <c r="J255" s="404"/>
      <c r="K255" s="404"/>
      <c r="L255" s="404"/>
      <c r="M255" s="404"/>
    </row>
    <row r="256" ht="15.75" customHeight="1">
      <c r="A256" s="400"/>
      <c r="B256" s="401"/>
      <c r="C256" s="401"/>
      <c r="D256" s="402" t="str">
        <f t="shared" si="1"/>
        <v/>
      </c>
      <c r="E256" s="403"/>
      <c r="F256" s="403"/>
      <c r="G256" s="404"/>
      <c r="H256" s="404"/>
      <c r="I256" s="404"/>
      <c r="J256" s="404"/>
      <c r="K256" s="404"/>
      <c r="L256" s="404"/>
      <c r="M256" s="404"/>
    </row>
    <row r="257" ht="15.75" customHeight="1">
      <c r="A257" s="400"/>
      <c r="B257" s="401"/>
      <c r="C257" s="401"/>
      <c r="D257" s="402" t="str">
        <f t="shared" si="1"/>
        <v/>
      </c>
      <c r="E257" s="403"/>
      <c r="F257" s="403"/>
      <c r="G257" s="404"/>
      <c r="H257" s="404"/>
      <c r="I257" s="404"/>
      <c r="J257" s="404"/>
      <c r="K257" s="404"/>
      <c r="L257" s="404"/>
      <c r="M257" s="404"/>
    </row>
    <row r="258" ht="15.75" customHeight="1">
      <c r="A258" s="400"/>
      <c r="B258" s="401"/>
      <c r="C258" s="401"/>
      <c r="D258" s="402" t="str">
        <f t="shared" si="1"/>
        <v/>
      </c>
      <c r="E258" s="403"/>
      <c r="F258" s="403"/>
      <c r="G258" s="404"/>
      <c r="H258" s="404"/>
      <c r="I258" s="404"/>
      <c r="J258" s="404"/>
      <c r="K258" s="404"/>
      <c r="L258" s="404"/>
      <c r="M258" s="404"/>
    </row>
    <row r="259" ht="15.75" customHeight="1">
      <c r="A259" s="400"/>
      <c r="B259" s="401"/>
      <c r="C259" s="401"/>
      <c r="D259" s="402" t="str">
        <f t="shared" si="1"/>
        <v/>
      </c>
      <c r="E259" s="403"/>
      <c r="F259" s="403"/>
      <c r="G259" s="404"/>
      <c r="H259" s="404"/>
      <c r="I259" s="404"/>
      <c r="J259" s="404"/>
      <c r="K259" s="404"/>
      <c r="L259" s="404"/>
      <c r="M259" s="404"/>
    </row>
    <row r="260" ht="15.75" customHeight="1">
      <c r="A260" s="400"/>
      <c r="B260" s="401"/>
      <c r="C260" s="401"/>
      <c r="D260" s="402" t="str">
        <f t="shared" si="1"/>
        <v/>
      </c>
      <c r="E260" s="403"/>
      <c r="F260" s="403"/>
      <c r="G260" s="404"/>
      <c r="H260" s="404"/>
      <c r="I260" s="404"/>
      <c r="J260" s="404"/>
      <c r="K260" s="404"/>
      <c r="L260" s="404"/>
      <c r="M260" s="404"/>
    </row>
    <row r="261" ht="15.75" customHeight="1">
      <c r="A261" s="400"/>
      <c r="B261" s="401"/>
      <c r="C261" s="401"/>
      <c r="D261" s="402" t="str">
        <f t="shared" si="1"/>
        <v/>
      </c>
      <c r="E261" s="403"/>
      <c r="F261" s="403"/>
      <c r="G261" s="404"/>
      <c r="H261" s="404"/>
      <c r="I261" s="404"/>
      <c r="J261" s="404"/>
      <c r="K261" s="404"/>
      <c r="L261" s="404"/>
      <c r="M261" s="404"/>
    </row>
    <row r="262" ht="15.75" customHeight="1">
      <c r="A262" s="400"/>
      <c r="B262" s="401"/>
      <c r="C262" s="401"/>
      <c r="D262" s="402" t="str">
        <f t="shared" si="1"/>
        <v/>
      </c>
      <c r="E262" s="403"/>
      <c r="F262" s="403"/>
      <c r="G262" s="404"/>
      <c r="H262" s="404"/>
      <c r="I262" s="404"/>
      <c r="J262" s="404"/>
      <c r="K262" s="404"/>
      <c r="L262" s="404"/>
      <c r="M262" s="404"/>
    </row>
    <row r="263" ht="15.75" customHeight="1">
      <c r="A263" s="400"/>
      <c r="B263" s="401"/>
      <c r="C263" s="401"/>
      <c r="D263" s="402" t="str">
        <f t="shared" si="1"/>
        <v/>
      </c>
      <c r="E263" s="403"/>
      <c r="F263" s="403"/>
      <c r="G263" s="404"/>
      <c r="H263" s="404"/>
      <c r="I263" s="404"/>
      <c r="J263" s="404"/>
      <c r="K263" s="404"/>
      <c r="L263" s="404"/>
      <c r="M263" s="404"/>
    </row>
    <row r="264" ht="15.75" customHeight="1">
      <c r="A264" s="400"/>
      <c r="B264" s="401"/>
      <c r="C264" s="401"/>
      <c r="D264" s="402" t="str">
        <f t="shared" si="1"/>
        <v/>
      </c>
      <c r="E264" s="403"/>
      <c r="F264" s="403"/>
      <c r="G264" s="404"/>
      <c r="H264" s="404"/>
      <c r="I264" s="404"/>
      <c r="J264" s="404"/>
      <c r="K264" s="404"/>
      <c r="L264" s="404"/>
      <c r="M264" s="404"/>
    </row>
    <row r="265" ht="15.75" customHeight="1">
      <c r="A265" s="400"/>
      <c r="B265" s="401"/>
      <c r="C265" s="401"/>
      <c r="D265" s="402" t="str">
        <f t="shared" si="1"/>
        <v/>
      </c>
      <c r="E265" s="403"/>
      <c r="F265" s="403"/>
      <c r="G265" s="404"/>
      <c r="H265" s="404"/>
      <c r="I265" s="404"/>
      <c r="J265" s="404"/>
      <c r="K265" s="404"/>
      <c r="L265" s="404"/>
      <c r="M265" s="404"/>
    </row>
    <row r="266" ht="15.75" customHeight="1">
      <c r="A266" s="400"/>
      <c r="B266" s="401"/>
      <c r="C266" s="401"/>
      <c r="D266" s="402" t="str">
        <f t="shared" si="1"/>
        <v/>
      </c>
      <c r="E266" s="403"/>
      <c r="F266" s="403"/>
      <c r="G266" s="404"/>
      <c r="H266" s="404"/>
      <c r="I266" s="404"/>
      <c r="J266" s="404"/>
      <c r="K266" s="404"/>
      <c r="L266" s="404"/>
      <c r="M266" s="404"/>
    </row>
    <row r="267" ht="15.75" customHeight="1">
      <c r="A267" s="400"/>
      <c r="B267" s="401"/>
      <c r="C267" s="401"/>
      <c r="D267" s="402" t="str">
        <f t="shared" si="1"/>
        <v/>
      </c>
      <c r="E267" s="403"/>
      <c r="F267" s="403"/>
      <c r="G267" s="404"/>
      <c r="H267" s="404"/>
      <c r="I267" s="404"/>
      <c r="J267" s="404"/>
      <c r="K267" s="404"/>
      <c r="L267" s="404"/>
      <c r="M267" s="404"/>
    </row>
    <row r="268" ht="15.75" customHeight="1">
      <c r="A268" s="400"/>
      <c r="B268" s="401"/>
      <c r="C268" s="401"/>
      <c r="D268" s="402" t="str">
        <f t="shared" si="1"/>
        <v/>
      </c>
      <c r="E268" s="403"/>
      <c r="F268" s="403"/>
      <c r="G268" s="404"/>
      <c r="H268" s="404"/>
      <c r="I268" s="404"/>
      <c r="J268" s="404"/>
      <c r="K268" s="404"/>
      <c r="L268" s="404"/>
      <c r="M268" s="404"/>
    </row>
    <row r="269" ht="15.75" customHeight="1">
      <c r="A269" s="400"/>
      <c r="B269" s="401"/>
      <c r="C269" s="401"/>
      <c r="D269" s="402" t="str">
        <f t="shared" si="1"/>
        <v/>
      </c>
      <c r="E269" s="403"/>
      <c r="F269" s="403"/>
      <c r="G269" s="404"/>
      <c r="H269" s="404"/>
      <c r="I269" s="404"/>
      <c r="J269" s="404"/>
      <c r="K269" s="404"/>
      <c r="L269" s="404"/>
      <c r="M269" s="404"/>
    </row>
    <row r="270" ht="15.75" customHeight="1">
      <c r="A270" s="400"/>
      <c r="B270" s="401"/>
      <c r="C270" s="401"/>
      <c r="D270" s="402" t="str">
        <f t="shared" si="1"/>
        <v/>
      </c>
      <c r="E270" s="403"/>
      <c r="F270" s="403"/>
      <c r="G270" s="404"/>
      <c r="H270" s="404"/>
      <c r="I270" s="404"/>
      <c r="J270" s="404"/>
      <c r="K270" s="404"/>
      <c r="L270" s="404"/>
      <c r="M270" s="404"/>
    </row>
    <row r="271" ht="15.75" customHeight="1">
      <c r="A271" s="400"/>
      <c r="B271" s="401"/>
      <c r="C271" s="401"/>
      <c r="D271" s="402" t="str">
        <f t="shared" si="1"/>
        <v/>
      </c>
      <c r="E271" s="403"/>
      <c r="F271" s="403"/>
      <c r="G271" s="404"/>
      <c r="H271" s="404"/>
      <c r="I271" s="404"/>
      <c r="J271" s="404"/>
      <c r="K271" s="404"/>
      <c r="L271" s="404"/>
      <c r="M271" s="404"/>
    </row>
    <row r="272" ht="15.75" customHeight="1">
      <c r="A272" s="400"/>
      <c r="B272" s="401"/>
      <c r="C272" s="401"/>
      <c r="D272" s="402" t="str">
        <f t="shared" si="1"/>
        <v/>
      </c>
      <c r="E272" s="403"/>
      <c r="F272" s="403"/>
      <c r="G272" s="404"/>
      <c r="H272" s="404"/>
      <c r="I272" s="404"/>
      <c r="J272" s="404"/>
      <c r="K272" s="404"/>
      <c r="L272" s="404"/>
      <c r="M272" s="404"/>
    </row>
    <row r="273" ht="15.75" customHeight="1">
      <c r="A273" s="400"/>
      <c r="B273" s="401"/>
      <c r="C273" s="401"/>
      <c r="D273" s="402" t="str">
        <f t="shared" si="1"/>
        <v/>
      </c>
      <c r="E273" s="403"/>
      <c r="F273" s="403"/>
      <c r="G273" s="404"/>
      <c r="H273" s="404"/>
      <c r="I273" s="404"/>
      <c r="J273" s="404"/>
      <c r="K273" s="404"/>
      <c r="L273" s="404"/>
      <c r="M273" s="404"/>
    </row>
    <row r="274" ht="15.75" customHeight="1">
      <c r="A274" s="400"/>
      <c r="B274" s="401"/>
      <c r="C274" s="401"/>
      <c r="D274" s="402" t="str">
        <f t="shared" si="1"/>
        <v/>
      </c>
      <c r="E274" s="403"/>
      <c r="F274" s="403"/>
      <c r="G274" s="404"/>
      <c r="H274" s="404"/>
      <c r="I274" s="404"/>
      <c r="J274" s="404"/>
      <c r="K274" s="404"/>
      <c r="L274" s="404"/>
      <c r="M274" s="404"/>
    </row>
    <row r="275" ht="15.75" customHeight="1">
      <c r="A275" s="400"/>
      <c r="B275" s="401"/>
      <c r="C275" s="401"/>
      <c r="D275" s="402" t="str">
        <f t="shared" si="1"/>
        <v/>
      </c>
      <c r="E275" s="403"/>
      <c r="F275" s="403"/>
      <c r="G275" s="404"/>
      <c r="H275" s="404"/>
      <c r="I275" s="404"/>
      <c r="J275" s="404"/>
      <c r="K275" s="404"/>
      <c r="L275" s="404"/>
      <c r="M275" s="404"/>
    </row>
    <row r="276" ht="15.75" customHeight="1">
      <c r="A276" s="400"/>
      <c r="B276" s="401"/>
      <c r="C276" s="401"/>
      <c r="D276" s="402" t="str">
        <f t="shared" si="1"/>
        <v/>
      </c>
      <c r="E276" s="403"/>
      <c r="F276" s="403"/>
      <c r="G276" s="404"/>
      <c r="H276" s="404"/>
      <c r="I276" s="404"/>
      <c r="J276" s="404"/>
      <c r="K276" s="404"/>
      <c r="L276" s="404"/>
      <c r="M276" s="404"/>
    </row>
    <row r="277" ht="15.75" customHeight="1">
      <c r="A277" s="400"/>
      <c r="B277" s="401"/>
      <c r="C277" s="401"/>
      <c r="D277" s="402" t="str">
        <f t="shared" si="1"/>
        <v/>
      </c>
      <c r="E277" s="403"/>
      <c r="F277" s="403"/>
      <c r="G277" s="404"/>
      <c r="H277" s="404"/>
      <c r="I277" s="404"/>
      <c r="J277" s="404"/>
      <c r="K277" s="404"/>
      <c r="L277" s="404"/>
      <c r="M277" s="404"/>
    </row>
    <row r="278" ht="15.75" customHeight="1">
      <c r="A278" s="400"/>
      <c r="B278" s="401"/>
      <c r="C278" s="401"/>
      <c r="D278" s="402" t="str">
        <f t="shared" si="1"/>
        <v/>
      </c>
      <c r="E278" s="403"/>
      <c r="F278" s="403"/>
      <c r="G278" s="404"/>
      <c r="H278" s="404"/>
      <c r="I278" s="404"/>
      <c r="J278" s="404"/>
      <c r="K278" s="404"/>
      <c r="L278" s="404"/>
      <c r="M278" s="404"/>
    </row>
    <row r="279" ht="15.75" customHeight="1">
      <c r="A279" s="400"/>
      <c r="B279" s="401"/>
      <c r="C279" s="401"/>
      <c r="D279" s="402" t="str">
        <f t="shared" si="1"/>
        <v/>
      </c>
      <c r="E279" s="403"/>
      <c r="F279" s="403"/>
      <c r="G279" s="404"/>
      <c r="H279" s="404"/>
      <c r="I279" s="404"/>
      <c r="J279" s="404"/>
      <c r="K279" s="404"/>
      <c r="L279" s="404"/>
      <c r="M279" s="404"/>
    </row>
    <row r="280" ht="15.75" customHeight="1">
      <c r="A280" s="400"/>
      <c r="B280" s="401"/>
      <c r="C280" s="401"/>
      <c r="D280" s="402" t="str">
        <f t="shared" si="1"/>
        <v/>
      </c>
      <c r="E280" s="403"/>
      <c r="F280" s="403"/>
      <c r="G280" s="404"/>
      <c r="H280" s="404"/>
      <c r="I280" s="404"/>
      <c r="J280" s="404"/>
      <c r="K280" s="404"/>
      <c r="L280" s="404"/>
      <c r="M280" s="404"/>
    </row>
    <row r="281" ht="15.75" customHeight="1">
      <c r="A281" s="400"/>
      <c r="B281" s="401"/>
      <c r="C281" s="401"/>
      <c r="D281" s="402" t="str">
        <f t="shared" si="1"/>
        <v/>
      </c>
      <c r="E281" s="403"/>
      <c r="F281" s="403"/>
      <c r="G281" s="404"/>
      <c r="H281" s="404"/>
      <c r="I281" s="404"/>
      <c r="J281" s="404"/>
      <c r="K281" s="404"/>
      <c r="L281" s="404"/>
      <c r="M281" s="404"/>
    </row>
    <row r="282" ht="15.75" customHeight="1">
      <c r="A282" s="400"/>
      <c r="B282" s="401"/>
      <c r="C282" s="401"/>
      <c r="D282" s="402" t="str">
        <f t="shared" si="1"/>
        <v/>
      </c>
      <c r="E282" s="403"/>
      <c r="F282" s="403"/>
      <c r="G282" s="404"/>
      <c r="H282" s="404"/>
      <c r="I282" s="404"/>
      <c r="J282" s="404"/>
      <c r="K282" s="404"/>
      <c r="L282" s="404"/>
      <c r="M282" s="404"/>
    </row>
    <row r="283" ht="15.75" customHeight="1">
      <c r="A283" s="400"/>
      <c r="B283" s="401"/>
      <c r="C283" s="401"/>
      <c r="D283" s="402" t="str">
        <f t="shared" si="1"/>
        <v/>
      </c>
      <c r="E283" s="403"/>
      <c r="F283" s="403"/>
      <c r="G283" s="404"/>
      <c r="H283" s="404"/>
      <c r="I283" s="404"/>
      <c r="J283" s="404"/>
      <c r="K283" s="404"/>
      <c r="L283" s="404"/>
      <c r="M283" s="404"/>
    </row>
    <row r="284" ht="15.75" customHeight="1">
      <c r="A284" s="400"/>
      <c r="B284" s="401"/>
      <c r="C284" s="401"/>
      <c r="D284" s="402" t="str">
        <f t="shared" si="1"/>
        <v/>
      </c>
      <c r="E284" s="403"/>
      <c r="F284" s="403"/>
      <c r="G284" s="404"/>
      <c r="H284" s="404"/>
      <c r="I284" s="404"/>
      <c r="J284" s="404"/>
      <c r="K284" s="404"/>
      <c r="L284" s="404"/>
      <c r="M284" s="404"/>
    </row>
    <row r="285" ht="15.75" customHeight="1">
      <c r="A285" s="400"/>
      <c r="B285" s="401"/>
      <c r="C285" s="401"/>
      <c r="D285" s="402" t="str">
        <f t="shared" si="1"/>
        <v/>
      </c>
      <c r="E285" s="403"/>
      <c r="F285" s="403"/>
      <c r="G285" s="404"/>
      <c r="H285" s="404"/>
      <c r="I285" s="404"/>
      <c r="J285" s="404"/>
      <c r="K285" s="404"/>
      <c r="L285" s="404"/>
      <c r="M285" s="404"/>
    </row>
    <row r="286" ht="15.75" customHeight="1">
      <c r="A286" s="400"/>
      <c r="B286" s="401"/>
      <c r="C286" s="401"/>
      <c r="D286" s="402" t="str">
        <f t="shared" si="1"/>
        <v/>
      </c>
      <c r="E286" s="403"/>
      <c r="F286" s="403"/>
      <c r="G286" s="404"/>
      <c r="H286" s="404"/>
      <c r="I286" s="404"/>
      <c r="J286" s="404"/>
      <c r="K286" s="404"/>
      <c r="L286" s="404"/>
      <c r="M286" s="404"/>
    </row>
    <row r="287" ht="15.75" customHeight="1">
      <c r="A287" s="400"/>
      <c r="B287" s="401"/>
      <c r="C287" s="401"/>
      <c r="D287" s="402" t="str">
        <f t="shared" si="1"/>
        <v/>
      </c>
      <c r="E287" s="403"/>
      <c r="F287" s="403"/>
      <c r="G287" s="404"/>
      <c r="H287" s="404"/>
      <c r="I287" s="404"/>
      <c r="J287" s="404"/>
      <c r="K287" s="404"/>
      <c r="L287" s="404"/>
      <c r="M287" s="404"/>
    </row>
    <row r="288" ht="15.75" customHeight="1">
      <c r="A288" s="400"/>
      <c r="B288" s="401"/>
      <c r="C288" s="401"/>
      <c r="D288" s="402" t="str">
        <f t="shared" si="1"/>
        <v/>
      </c>
      <c r="E288" s="403"/>
      <c r="F288" s="403"/>
      <c r="G288" s="404"/>
      <c r="H288" s="404"/>
      <c r="I288" s="404"/>
      <c r="J288" s="404"/>
      <c r="K288" s="404"/>
      <c r="L288" s="404"/>
      <c r="M288" s="404"/>
    </row>
    <row r="289" ht="15.75" customHeight="1">
      <c r="A289" s="400"/>
      <c r="B289" s="401"/>
      <c r="C289" s="401"/>
      <c r="D289" s="402" t="str">
        <f t="shared" si="1"/>
        <v/>
      </c>
      <c r="E289" s="403"/>
      <c r="F289" s="403"/>
      <c r="G289" s="404"/>
      <c r="H289" s="404"/>
      <c r="I289" s="404"/>
      <c r="J289" s="404"/>
      <c r="K289" s="404"/>
      <c r="L289" s="404"/>
      <c r="M289" s="404"/>
    </row>
    <row r="290" ht="15.75" customHeight="1">
      <c r="A290" s="400"/>
      <c r="B290" s="401"/>
      <c r="C290" s="401"/>
      <c r="D290" s="402" t="str">
        <f t="shared" si="1"/>
        <v/>
      </c>
      <c r="E290" s="403"/>
      <c r="F290" s="403"/>
      <c r="G290" s="404"/>
      <c r="H290" s="404"/>
      <c r="I290" s="404"/>
      <c r="J290" s="404"/>
      <c r="K290" s="404"/>
      <c r="L290" s="404"/>
      <c r="M290" s="404"/>
    </row>
    <row r="291" ht="15.75" customHeight="1">
      <c r="A291" s="400"/>
      <c r="B291" s="401"/>
      <c r="C291" s="401"/>
      <c r="D291" s="402" t="str">
        <f t="shared" si="1"/>
        <v/>
      </c>
      <c r="E291" s="403"/>
      <c r="F291" s="403"/>
      <c r="G291" s="404"/>
      <c r="H291" s="404"/>
      <c r="I291" s="404"/>
      <c r="J291" s="404"/>
      <c r="K291" s="404"/>
      <c r="L291" s="404"/>
      <c r="M291" s="404"/>
    </row>
    <row r="292" ht="15.75" customHeight="1">
      <c r="A292" s="400"/>
      <c r="B292" s="401"/>
      <c r="C292" s="401"/>
      <c r="D292" s="402" t="str">
        <f t="shared" si="1"/>
        <v/>
      </c>
      <c r="E292" s="403"/>
      <c r="F292" s="403"/>
      <c r="G292" s="404"/>
      <c r="H292" s="404"/>
      <c r="I292" s="404"/>
      <c r="J292" s="404"/>
      <c r="K292" s="404"/>
      <c r="L292" s="404"/>
      <c r="M292" s="404"/>
    </row>
    <row r="293" ht="15.75" customHeight="1">
      <c r="A293" s="400"/>
      <c r="B293" s="401"/>
      <c r="C293" s="401"/>
      <c r="D293" s="402" t="str">
        <f t="shared" si="1"/>
        <v/>
      </c>
      <c r="E293" s="403"/>
      <c r="F293" s="403"/>
      <c r="G293" s="404"/>
      <c r="H293" s="404"/>
      <c r="I293" s="404"/>
      <c r="J293" s="404"/>
      <c r="K293" s="404"/>
      <c r="L293" s="404"/>
      <c r="M293" s="404"/>
    </row>
    <row r="294" ht="15.75" customHeight="1">
      <c r="A294" s="400"/>
      <c r="B294" s="401"/>
      <c r="C294" s="401"/>
      <c r="D294" s="402" t="str">
        <f t="shared" si="1"/>
        <v/>
      </c>
      <c r="E294" s="403"/>
      <c r="F294" s="403"/>
      <c r="G294" s="404"/>
      <c r="H294" s="404"/>
      <c r="I294" s="404"/>
      <c r="J294" s="404"/>
      <c r="K294" s="404"/>
      <c r="L294" s="404"/>
      <c r="M294" s="404"/>
    </row>
    <row r="295" ht="15.75" customHeight="1">
      <c r="A295" s="400"/>
      <c r="B295" s="401"/>
      <c r="C295" s="401"/>
      <c r="D295" s="402" t="str">
        <f t="shared" si="1"/>
        <v/>
      </c>
      <c r="E295" s="403"/>
      <c r="F295" s="403"/>
      <c r="G295" s="404"/>
      <c r="H295" s="404"/>
      <c r="I295" s="404"/>
      <c r="J295" s="404"/>
      <c r="K295" s="404"/>
      <c r="L295" s="404"/>
      <c r="M295" s="404"/>
    </row>
    <row r="296" ht="15.75" customHeight="1">
      <c r="A296" s="400"/>
      <c r="B296" s="401"/>
      <c r="C296" s="401"/>
      <c r="D296" s="402" t="str">
        <f t="shared" si="1"/>
        <v/>
      </c>
      <c r="E296" s="403"/>
      <c r="F296" s="403"/>
      <c r="G296" s="404"/>
      <c r="H296" s="404"/>
      <c r="I296" s="404"/>
      <c r="J296" s="404"/>
      <c r="K296" s="404"/>
      <c r="L296" s="404"/>
      <c r="M296" s="404"/>
    </row>
    <row r="297" ht="15.75" customHeight="1">
      <c r="A297" s="400"/>
      <c r="B297" s="401"/>
      <c r="C297" s="401"/>
      <c r="D297" s="402" t="str">
        <f t="shared" si="1"/>
        <v/>
      </c>
      <c r="E297" s="403"/>
      <c r="F297" s="403"/>
      <c r="G297" s="404"/>
      <c r="H297" s="404"/>
      <c r="I297" s="404"/>
      <c r="J297" s="404"/>
      <c r="K297" s="404"/>
      <c r="L297" s="404"/>
      <c r="M297" s="404"/>
    </row>
    <row r="298" ht="15.75" customHeight="1">
      <c r="A298" s="400"/>
      <c r="B298" s="401"/>
      <c r="C298" s="401"/>
      <c r="D298" s="402" t="str">
        <f t="shared" si="1"/>
        <v/>
      </c>
      <c r="E298" s="403"/>
      <c r="F298" s="403"/>
      <c r="G298" s="404"/>
      <c r="H298" s="404"/>
      <c r="I298" s="404"/>
      <c r="J298" s="404"/>
      <c r="K298" s="404"/>
      <c r="L298" s="404"/>
      <c r="M298" s="404"/>
    </row>
    <row r="299" ht="15.75" customHeight="1">
      <c r="A299" s="400"/>
      <c r="B299" s="401"/>
      <c r="C299" s="401"/>
      <c r="D299" s="402" t="str">
        <f t="shared" si="1"/>
        <v/>
      </c>
      <c r="E299" s="403"/>
      <c r="F299" s="403"/>
      <c r="G299" s="404"/>
      <c r="H299" s="404"/>
      <c r="I299" s="404"/>
      <c r="J299" s="404"/>
      <c r="K299" s="404"/>
      <c r="L299" s="404"/>
      <c r="M299" s="404"/>
    </row>
    <row r="300" ht="15.75" customHeight="1">
      <c r="A300" s="400"/>
      <c r="B300" s="401"/>
      <c r="C300" s="401"/>
      <c r="D300" s="402" t="str">
        <f t="shared" si="1"/>
        <v/>
      </c>
      <c r="E300" s="403"/>
      <c r="F300" s="403"/>
      <c r="G300" s="404"/>
      <c r="H300" s="404"/>
      <c r="I300" s="404"/>
      <c r="J300" s="404"/>
      <c r="K300" s="404"/>
      <c r="L300" s="404"/>
      <c r="M300" s="404"/>
    </row>
    <row r="301" ht="15.75" customHeight="1">
      <c r="A301" s="400"/>
      <c r="B301" s="401"/>
      <c r="C301" s="401"/>
      <c r="D301" s="402" t="str">
        <f t="shared" si="1"/>
        <v/>
      </c>
      <c r="E301" s="403"/>
      <c r="F301" s="403"/>
      <c r="G301" s="404"/>
      <c r="H301" s="404"/>
      <c r="I301" s="404"/>
      <c r="J301" s="404"/>
      <c r="K301" s="404"/>
      <c r="L301" s="404"/>
      <c r="M301" s="404"/>
    </row>
    <row r="302" ht="15.75" customHeight="1">
      <c r="A302" s="400"/>
      <c r="B302" s="401"/>
      <c r="C302" s="401"/>
      <c r="D302" s="402" t="str">
        <f t="shared" si="1"/>
        <v/>
      </c>
      <c r="E302" s="403"/>
      <c r="F302" s="403"/>
      <c r="G302" s="404"/>
      <c r="H302" s="404"/>
      <c r="I302" s="404"/>
      <c r="J302" s="404"/>
      <c r="K302" s="404"/>
      <c r="L302" s="404"/>
      <c r="M302" s="404"/>
    </row>
    <row r="303" ht="15.75" customHeight="1">
      <c r="A303" s="400"/>
      <c r="B303" s="401"/>
      <c r="C303" s="401"/>
      <c r="D303" s="402" t="str">
        <f t="shared" si="1"/>
        <v/>
      </c>
      <c r="E303" s="403"/>
      <c r="F303" s="403"/>
      <c r="G303" s="404"/>
      <c r="H303" s="404"/>
      <c r="I303" s="404"/>
      <c r="J303" s="404"/>
      <c r="K303" s="404"/>
      <c r="L303" s="404"/>
      <c r="M303" s="404"/>
    </row>
    <row r="304" ht="15.75" customHeight="1">
      <c r="A304" s="400"/>
      <c r="B304" s="401"/>
      <c r="C304" s="401"/>
      <c r="D304" s="402" t="str">
        <f t="shared" si="1"/>
        <v/>
      </c>
      <c r="E304" s="403"/>
      <c r="F304" s="403"/>
      <c r="G304" s="404"/>
      <c r="H304" s="404"/>
      <c r="I304" s="404"/>
      <c r="J304" s="404"/>
      <c r="K304" s="404"/>
      <c r="L304" s="404"/>
      <c r="M304" s="404"/>
    </row>
    <row r="305" ht="15.75" customHeight="1">
      <c r="A305" s="400"/>
      <c r="B305" s="401"/>
      <c r="C305" s="401"/>
      <c r="D305" s="402" t="str">
        <f t="shared" si="1"/>
        <v/>
      </c>
      <c r="E305" s="403"/>
      <c r="F305" s="403"/>
      <c r="G305" s="404"/>
      <c r="H305" s="404"/>
      <c r="I305" s="404"/>
      <c r="J305" s="404"/>
      <c r="K305" s="404"/>
      <c r="L305" s="404"/>
      <c r="M305" s="404"/>
    </row>
    <row r="306" ht="15.75" customHeight="1">
      <c r="A306" s="400"/>
      <c r="B306" s="401"/>
      <c r="C306" s="401"/>
      <c r="D306" s="402" t="str">
        <f t="shared" si="1"/>
        <v/>
      </c>
      <c r="E306" s="403"/>
      <c r="F306" s="403"/>
      <c r="G306" s="404"/>
      <c r="H306" s="404"/>
      <c r="I306" s="404"/>
      <c r="J306" s="404"/>
      <c r="K306" s="404"/>
      <c r="L306" s="404"/>
      <c r="M306" s="404"/>
    </row>
    <row r="307" ht="15.75" customHeight="1">
      <c r="A307" s="400"/>
      <c r="B307" s="401"/>
      <c r="C307" s="401"/>
      <c r="D307" s="402" t="str">
        <f t="shared" si="1"/>
        <v/>
      </c>
      <c r="E307" s="403"/>
      <c r="F307" s="403"/>
      <c r="G307" s="404"/>
      <c r="H307" s="404"/>
      <c r="I307" s="404"/>
      <c r="J307" s="404"/>
      <c r="K307" s="404"/>
      <c r="L307" s="404"/>
      <c r="M307" s="404"/>
    </row>
    <row r="308" ht="15.75" customHeight="1">
      <c r="A308" s="400"/>
      <c r="B308" s="401"/>
      <c r="C308" s="401"/>
      <c r="D308" s="402" t="str">
        <f t="shared" si="1"/>
        <v/>
      </c>
      <c r="E308" s="403"/>
      <c r="F308" s="403"/>
      <c r="G308" s="404"/>
      <c r="H308" s="404"/>
      <c r="I308" s="404"/>
      <c r="J308" s="404"/>
      <c r="K308" s="404"/>
      <c r="L308" s="404"/>
      <c r="M308" s="404"/>
    </row>
    <row r="309" ht="15.75" customHeight="1">
      <c r="A309" s="400"/>
      <c r="B309" s="401"/>
      <c r="C309" s="401"/>
      <c r="D309" s="402" t="str">
        <f t="shared" si="1"/>
        <v/>
      </c>
      <c r="E309" s="403"/>
      <c r="F309" s="403"/>
      <c r="G309" s="404"/>
      <c r="H309" s="404"/>
      <c r="I309" s="404"/>
      <c r="J309" s="404"/>
      <c r="K309" s="404"/>
      <c r="L309" s="404"/>
      <c r="M309" s="404"/>
    </row>
    <row r="310" ht="15.75" customHeight="1">
      <c r="A310" s="400"/>
      <c r="B310" s="401"/>
      <c r="C310" s="401"/>
      <c r="D310" s="402" t="str">
        <f t="shared" si="1"/>
        <v/>
      </c>
      <c r="E310" s="403"/>
      <c r="F310" s="403"/>
      <c r="G310" s="404"/>
      <c r="H310" s="404"/>
      <c r="I310" s="404"/>
      <c r="J310" s="404"/>
      <c r="K310" s="404"/>
      <c r="L310" s="404"/>
      <c r="M310" s="404"/>
    </row>
    <row r="311" ht="15.75" customHeight="1">
      <c r="A311" s="400"/>
      <c r="B311" s="401"/>
      <c r="C311" s="401"/>
      <c r="D311" s="402" t="str">
        <f t="shared" si="1"/>
        <v/>
      </c>
      <c r="E311" s="403"/>
      <c r="F311" s="403"/>
      <c r="G311" s="404"/>
      <c r="H311" s="404"/>
      <c r="I311" s="404"/>
      <c r="J311" s="404"/>
      <c r="K311" s="404"/>
      <c r="L311" s="404"/>
      <c r="M311" s="404"/>
    </row>
    <row r="312" ht="15.75" customHeight="1">
      <c r="A312" s="400"/>
      <c r="B312" s="401"/>
      <c r="C312" s="401"/>
      <c r="D312" s="402" t="str">
        <f t="shared" si="1"/>
        <v/>
      </c>
      <c r="E312" s="403"/>
      <c r="F312" s="403"/>
      <c r="G312" s="404"/>
      <c r="H312" s="404"/>
      <c r="I312" s="404"/>
      <c r="J312" s="404"/>
      <c r="K312" s="404"/>
      <c r="L312" s="404"/>
      <c r="M312" s="404"/>
    </row>
    <row r="313" ht="15.75" customHeight="1">
      <c r="A313" s="400"/>
      <c r="B313" s="401"/>
      <c r="C313" s="401"/>
      <c r="D313" s="402" t="str">
        <f t="shared" si="1"/>
        <v/>
      </c>
      <c r="E313" s="403"/>
      <c r="F313" s="403"/>
      <c r="G313" s="404"/>
      <c r="H313" s="404"/>
      <c r="I313" s="404"/>
      <c r="J313" s="404"/>
      <c r="K313" s="404"/>
      <c r="L313" s="404"/>
      <c r="M313" s="404"/>
    </row>
    <row r="314" ht="15.75" customHeight="1">
      <c r="A314" s="400"/>
      <c r="B314" s="401"/>
      <c r="C314" s="401"/>
      <c r="D314" s="402" t="str">
        <f t="shared" si="1"/>
        <v/>
      </c>
      <c r="E314" s="403"/>
      <c r="F314" s="403"/>
      <c r="G314" s="404"/>
      <c r="H314" s="404"/>
      <c r="I314" s="404"/>
      <c r="J314" s="404"/>
      <c r="K314" s="404"/>
      <c r="L314" s="404"/>
      <c r="M314" s="404"/>
    </row>
    <row r="315" ht="15.75" customHeight="1">
      <c r="A315" s="400"/>
      <c r="B315" s="401"/>
      <c r="C315" s="401"/>
      <c r="D315" s="402" t="str">
        <f t="shared" si="1"/>
        <v/>
      </c>
      <c r="E315" s="403"/>
      <c r="F315" s="403"/>
      <c r="G315" s="404"/>
      <c r="H315" s="404"/>
      <c r="I315" s="404"/>
      <c r="J315" s="404"/>
      <c r="K315" s="404"/>
      <c r="L315" s="404"/>
      <c r="M315" s="404"/>
    </row>
    <row r="316" ht="15.75" customHeight="1">
      <c r="A316" s="400"/>
      <c r="B316" s="401"/>
      <c r="C316" s="401"/>
      <c r="D316" s="402" t="str">
        <f t="shared" si="1"/>
        <v/>
      </c>
      <c r="E316" s="403"/>
      <c r="F316" s="403"/>
      <c r="G316" s="404"/>
      <c r="H316" s="404"/>
      <c r="I316" s="404"/>
      <c r="J316" s="404"/>
      <c r="K316" s="404"/>
      <c r="L316" s="404"/>
      <c r="M316" s="404"/>
    </row>
    <row r="317" ht="15.75" customHeight="1">
      <c r="A317" s="400"/>
      <c r="B317" s="401"/>
      <c r="C317" s="401"/>
      <c r="D317" s="402" t="str">
        <f t="shared" si="1"/>
        <v/>
      </c>
      <c r="E317" s="403"/>
      <c r="F317" s="403"/>
      <c r="G317" s="404"/>
      <c r="H317" s="404"/>
      <c r="I317" s="404"/>
      <c r="J317" s="404"/>
      <c r="K317" s="404"/>
      <c r="L317" s="404"/>
      <c r="M317" s="404"/>
    </row>
    <row r="318" ht="15.75" customHeight="1">
      <c r="A318" s="400"/>
      <c r="B318" s="401"/>
      <c r="C318" s="401"/>
      <c r="D318" s="402" t="str">
        <f t="shared" si="1"/>
        <v/>
      </c>
      <c r="E318" s="403"/>
      <c r="F318" s="403"/>
      <c r="G318" s="404"/>
      <c r="H318" s="404"/>
      <c r="I318" s="404"/>
      <c r="J318" s="404"/>
      <c r="K318" s="404"/>
      <c r="L318" s="404"/>
      <c r="M318" s="404"/>
    </row>
    <row r="319" ht="15.75" customHeight="1">
      <c r="A319" s="400"/>
      <c r="B319" s="401"/>
      <c r="C319" s="401"/>
      <c r="D319" s="402" t="str">
        <f t="shared" si="1"/>
        <v/>
      </c>
      <c r="E319" s="403"/>
      <c r="F319" s="403"/>
      <c r="G319" s="404"/>
      <c r="H319" s="404"/>
      <c r="I319" s="404"/>
      <c r="J319" s="404"/>
      <c r="K319" s="404"/>
      <c r="L319" s="404"/>
      <c r="M319" s="404"/>
    </row>
    <row r="320" ht="15.75" customHeight="1">
      <c r="A320" s="400"/>
      <c r="B320" s="401"/>
      <c r="C320" s="401"/>
      <c r="D320" s="402" t="str">
        <f t="shared" si="1"/>
        <v/>
      </c>
      <c r="E320" s="403"/>
      <c r="F320" s="403"/>
      <c r="G320" s="404"/>
      <c r="H320" s="404"/>
      <c r="I320" s="404"/>
      <c r="J320" s="404"/>
      <c r="K320" s="404"/>
      <c r="L320" s="404"/>
      <c r="M320" s="404"/>
    </row>
    <row r="321" ht="15.75" customHeight="1">
      <c r="A321" s="400"/>
      <c r="B321" s="401"/>
      <c r="C321" s="401"/>
      <c r="D321" s="402" t="str">
        <f t="shared" si="1"/>
        <v/>
      </c>
      <c r="E321" s="403"/>
      <c r="F321" s="403"/>
      <c r="G321" s="404"/>
      <c r="H321" s="404"/>
      <c r="I321" s="404"/>
      <c r="J321" s="404"/>
      <c r="K321" s="404"/>
      <c r="L321" s="404"/>
      <c r="M321" s="404"/>
    </row>
    <row r="322" ht="15.75" customHeight="1">
      <c r="A322" s="400"/>
      <c r="B322" s="401"/>
      <c r="C322" s="401"/>
      <c r="D322" s="402" t="str">
        <f t="shared" si="1"/>
        <v/>
      </c>
      <c r="E322" s="403"/>
      <c r="F322" s="403"/>
      <c r="G322" s="404"/>
      <c r="H322" s="404"/>
      <c r="I322" s="404"/>
      <c r="J322" s="404"/>
      <c r="K322" s="404"/>
      <c r="L322" s="404"/>
      <c r="M322" s="404"/>
    </row>
    <row r="323" ht="15.75" customHeight="1">
      <c r="A323" s="400"/>
      <c r="B323" s="401"/>
      <c r="C323" s="401"/>
      <c r="D323" s="402" t="str">
        <f t="shared" si="1"/>
        <v/>
      </c>
      <c r="E323" s="403"/>
      <c r="F323" s="403"/>
      <c r="G323" s="404"/>
      <c r="H323" s="404"/>
      <c r="I323" s="404"/>
      <c r="J323" s="404"/>
      <c r="K323" s="404"/>
      <c r="L323" s="404"/>
      <c r="M323" s="404"/>
    </row>
    <row r="324" ht="15.75" customHeight="1">
      <c r="A324" s="400"/>
      <c r="B324" s="401"/>
      <c r="C324" s="401"/>
      <c r="D324" s="402" t="str">
        <f t="shared" si="1"/>
        <v/>
      </c>
      <c r="E324" s="403"/>
      <c r="F324" s="403"/>
      <c r="G324" s="404"/>
      <c r="H324" s="404"/>
      <c r="I324" s="404"/>
      <c r="J324" s="404"/>
      <c r="K324" s="404"/>
      <c r="L324" s="404"/>
      <c r="M324" s="404"/>
    </row>
    <row r="325" ht="15.75" customHeight="1">
      <c r="A325" s="400"/>
      <c r="B325" s="401"/>
      <c r="C325" s="401"/>
      <c r="D325" s="402" t="str">
        <f t="shared" si="1"/>
        <v/>
      </c>
      <c r="E325" s="403"/>
      <c r="F325" s="403"/>
      <c r="G325" s="404"/>
      <c r="H325" s="404"/>
      <c r="I325" s="404"/>
      <c r="J325" s="404"/>
      <c r="K325" s="404"/>
      <c r="L325" s="404"/>
      <c r="M325" s="404"/>
    </row>
    <row r="326" ht="15.75" customHeight="1">
      <c r="A326" s="400"/>
      <c r="B326" s="401"/>
      <c r="C326" s="401"/>
      <c r="D326" s="402" t="str">
        <f t="shared" si="1"/>
        <v/>
      </c>
      <c r="E326" s="403"/>
      <c r="F326" s="403"/>
      <c r="G326" s="404"/>
      <c r="H326" s="404"/>
      <c r="I326" s="404"/>
      <c r="J326" s="404"/>
      <c r="K326" s="404"/>
      <c r="L326" s="404"/>
      <c r="M326" s="404"/>
    </row>
    <row r="327" ht="15.75" customHeight="1">
      <c r="A327" s="400"/>
      <c r="B327" s="401"/>
      <c r="C327" s="401"/>
      <c r="D327" s="402" t="str">
        <f t="shared" si="1"/>
        <v/>
      </c>
      <c r="E327" s="403"/>
      <c r="F327" s="403"/>
      <c r="G327" s="404"/>
      <c r="H327" s="404"/>
      <c r="I327" s="404"/>
      <c r="J327" s="404"/>
      <c r="K327" s="404"/>
      <c r="L327" s="404"/>
      <c r="M327" s="404"/>
    </row>
    <row r="328" ht="15.75" customHeight="1">
      <c r="A328" s="400"/>
      <c r="B328" s="401"/>
      <c r="C328" s="401"/>
      <c r="D328" s="402" t="str">
        <f t="shared" si="1"/>
        <v/>
      </c>
      <c r="E328" s="403"/>
      <c r="F328" s="403"/>
      <c r="G328" s="404"/>
      <c r="H328" s="404"/>
      <c r="I328" s="404"/>
      <c r="J328" s="404"/>
      <c r="K328" s="404"/>
      <c r="L328" s="404"/>
      <c r="M328" s="404"/>
    </row>
    <row r="329" ht="15.75" customHeight="1">
      <c r="A329" s="400"/>
      <c r="B329" s="401"/>
      <c r="C329" s="401"/>
      <c r="D329" s="402" t="str">
        <f t="shared" si="1"/>
        <v/>
      </c>
      <c r="E329" s="403"/>
      <c r="F329" s="403"/>
      <c r="G329" s="404"/>
      <c r="H329" s="404"/>
      <c r="I329" s="404"/>
      <c r="J329" s="404"/>
      <c r="K329" s="404"/>
      <c r="L329" s="404"/>
      <c r="M329" s="404"/>
    </row>
    <row r="330" ht="15.75" customHeight="1">
      <c r="A330" s="400"/>
      <c r="B330" s="401"/>
      <c r="C330" s="401"/>
      <c r="D330" s="402" t="str">
        <f t="shared" si="1"/>
        <v/>
      </c>
      <c r="E330" s="403"/>
      <c r="F330" s="403"/>
      <c r="G330" s="404"/>
      <c r="H330" s="404"/>
      <c r="I330" s="404"/>
      <c r="J330" s="404"/>
      <c r="K330" s="404"/>
      <c r="L330" s="404"/>
      <c r="M330" s="404"/>
    </row>
    <row r="331" ht="15.75" customHeight="1">
      <c r="A331" s="400"/>
      <c r="B331" s="401"/>
      <c r="C331" s="401"/>
      <c r="D331" s="402" t="str">
        <f t="shared" si="1"/>
        <v/>
      </c>
      <c r="E331" s="403"/>
      <c r="F331" s="403"/>
      <c r="G331" s="404"/>
      <c r="H331" s="404"/>
      <c r="I331" s="404"/>
      <c r="J331" s="404"/>
      <c r="K331" s="404"/>
      <c r="L331" s="404"/>
      <c r="M331" s="404"/>
    </row>
    <row r="332" ht="15.75" customHeight="1">
      <c r="A332" s="400"/>
      <c r="B332" s="401"/>
      <c r="C332" s="401"/>
      <c r="D332" s="402" t="str">
        <f t="shared" si="1"/>
        <v/>
      </c>
      <c r="E332" s="403"/>
      <c r="F332" s="403"/>
      <c r="G332" s="404"/>
      <c r="H332" s="404"/>
      <c r="I332" s="404"/>
      <c r="J332" s="404"/>
      <c r="K332" s="404"/>
      <c r="L332" s="404"/>
      <c r="M332" s="404"/>
    </row>
    <row r="333" ht="15.75" customHeight="1">
      <c r="A333" s="400"/>
      <c r="B333" s="401"/>
      <c r="C333" s="401"/>
      <c r="D333" s="402" t="str">
        <f t="shared" si="1"/>
        <v/>
      </c>
      <c r="E333" s="403"/>
      <c r="F333" s="403"/>
      <c r="G333" s="404"/>
      <c r="H333" s="404"/>
      <c r="I333" s="404"/>
      <c r="J333" s="404"/>
      <c r="K333" s="404"/>
      <c r="L333" s="404"/>
      <c r="M333" s="404"/>
    </row>
    <row r="334" ht="15.75" customHeight="1">
      <c r="A334" s="400"/>
      <c r="B334" s="401"/>
      <c r="C334" s="401"/>
      <c r="D334" s="402" t="str">
        <f t="shared" si="1"/>
        <v/>
      </c>
      <c r="E334" s="403"/>
      <c r="F334" s="403"/>
      <c r="G334" s="404"/>
      <c r="H334" s="404"/>
      <c r="I334" s="404"/>
      <c r="J334" s="404"/>
      <c r="K334" s="404"/>
      <c r="L334" s="404"/>
      <c r="M334" s="404"/>
    </row>
    <row r="335" ht="15.75" customHeight="1">
      <c r="A335" s="400"/>
      <c r="B335" s="401"/>
      <c r="C335" s="401"/>
      <c r="D335" s="402" t="str">
        <f t="shared" si="1"/>
        <v/>
      </c>
      <c r="E335" s="403"/>
      <c r="F335" s="403"/>
      <c r="G335" s="404"/>
      <c r="H335" s="404"/>
      <c r="I335" s="404"/>
      <c r="J335" s="404"/>
      <c r="K335" s="404"/>
      <c r="L335" s="404"/>
      <c r="M335" s="404"/>
    </row>
    <row r="336" ht="15.75" customHeight="1">
      <c r="A336" s="400"/>
      <c r="B336" s="401"/>
      <c r="C336" s="401"/>
      <c r="D336" s="402" t="str">
        <f t="shared" si="1"/>
        <v/>
      </c>
      <c r="E336" s="403"/>
      <c r="F336" s="403"/>
      <c r="G336" s="404"/>
      <c r="H336" s="404"/>
      <c r="I336" s="404"/>
      <c r="J336" s="404"/>
      <c r="K336" s="404"/>
      <c r="L336" s="404"/>
      <c r="M336" s="404"/>
    </row>
    <row r="337" ht="15.75" customHeight="1">
      <c r="A337" s="400"/>
      <c r="B337" s="401"/>
      <c r="C337" s="401"/>
      <c r="D337" s="402" t="str">
        <f t="shared" si="1"/>
        <v/>
      </c>
      <c r="E337" s="403"/>
      <c r="F337" s="403"/>
      <c r="G337" s="404"/>
      <c r="H337" s="404"/>
      <c r="I337" s="404"/>
      <c r="J337" s="404"/>
      <c r="K337" s="404"/>
      <c r="L337" s="404"/>
      <c r="M337" s="404"/>
    </row>
    <row r="338" ht="15.75" customHeight="1">
      <c r="A338" s="400"/>
      <c r="B338" s="401"/>
      <c r="C338" s="401"/>
      <c r="D338" s="402" t="str">
        <f t="shared" si="1"/>
        <v/>
      </c>
      <c r="E338" s="403"/>
      <c r="F338" s="403"/>
      <c r="G338" s="404"/>
      <c r="H338" s="404"/>
      <c r="I338" s="404"/>
      <c r="J338" s="404"/>
      <c r="K338" s="404"/>
      <c r="L338" s="404"/>
      <c r="M338" s="404"/>
    </row>
    <row r="339" ht="15.75" customHeight="1">
      <c r="A339" s="400"/>
      <c r="B339" s="401"/>
      <c r="C339" s="401"/>
      <c r="D339" s="402" t="str">
        <f t="shared" si="1"/>
        <v/>
      </c>
      <c r="E339" s="403"/>
      <c r="F339" s="403"/>
      <c r="G339" s="404"/>
      <c r="H339" s="404"/>
      <c r="I339" s="404"/>
      <c r="J339" s="404"/>
      <c r="K339" s="404"/>
      <c r="L339" s="404"/>
      <c r="M339" s="404"/>
    </row>
    <row r="340" ht="15.75" customHeight="1">
      <c r="A340" s="400"/>
      <c r="B340" s="401"/>
      <c r="C340" s="401"/>
      <c r="D340" s="402" t="str">
        <f t="shared" si="1"/>
        <v/>
      </c>
      <c r="E340" s="403"/>
      <c r="F340" s="403"/>
      <c r="G340" s="404"/>
      <c r="H340" s="404"/>
      <c r="I340" s="404"/>
      <c r="J340" s="404"/>
      <c r="K340" s="404"/>
      <c r="L340" s="404"/>
      <c r="M340" s="404"/>
    </row>
    <row r="341" ht="15.75" customHeight="1">
      <c r="A341" s="400"/>
      <c r="B341" s="401"/>
      <c r="C341" s="401"/>
      <c r="D341" s="402" t="str">
        <f t="shared" si="1"/>
        <v/>
      </c>
      <c r="E341" s="403"/>
      <c r="F341" s="403"/>
      <c r="G341" s="404"/>
      <c r="H341" s="404"/>
      <c r="I341" s="404"/>
      <c r="J341" s="404"/>
      <c r="K341" s="404"/>
      <c r="L341" s="404"/>
      <c r="M341" s="404"/>
    </row>
    <row r="342" ht="15.75" customHeight="1">
      <c r="A342" s="400"/>
      <c r="B342" s="401"/>
      <c r="C342" s="401"/>
      <c r="D342" s="402" t="str">
        <f t="shared" si="1"/>
        <v/>
      </c>
      <c r="E342" s="403"/>
      <c r="F342" s="403"/>
      <c r="G342" s="404"/>
      <c r="H342" s="404"/>
      <c r="I342" s="404"/>
      <c r="J342" s="404"/>
      <c r="K342" s="404"/>
      <c r="L342" s="404"/>
      <c r="M342" s="404"/>
    </row>
    <row r="343" ht="15.75" customHeight="1">
      <c r="A343" s="400"/>
      <c r="B343" s="401"/>
      <c r="C343" s="401"/>
      <c r="D343" s="402" t="str">
        <f t="shared" si="1"/>
        <v/>
      </c>
      <c r="E343" s="403"/>
      <c r="F343" s="403"/>
      <c r="G343" s="404"/>
      <c r="H343" s="404"/>
      <c r="I343" s="404"/>
      <c r="J343" s="404"/>
      <c r="K343" s="404"/>
      <c r="L343" s="404"/>
      <c r="M343" s="404"/>
    </row>
    <row r="344" ht="15.75" customHeight="1">
      <c r="A344" s="400"/>
      <c r="B344" s="401"/>
      <c r="C344" s="401"/>
      <c r="D344" s="402" t="str">
        <f t="shared" si="1"/>
        <v/>
      </c>
      <c r="E344" s="403"/>
      <c r="F344" s="403"/>
      <c r="G344" s="404"/>
      <c r="H344" s="404"/>
      <c r="I344" s="404"/>
      <c r="J344" s="404"/>
      <c r="K344" s="404"/>
      <c r="L344" s="404"/>
      <c r="M344" s="404"/>
    </row>
    <row r="345" ht="15.75" customHeight="1">
      <c r="A345" s="400"/>
      <c r="B345" s="401"/>
      <c r="C345" s="401"/>
      <c r="D345" s="402" t="str">
        <f t="shared" si="1"/>
        <v/>
      </c>
      <c r="E345" s="403"/>
      <c r="F345" s="403"/>
      <c r="G345" s="404"/>
      <c r="H345" s="404"/>
      <c r="I345" s="404"/>
      <c r="J345" s="404"/>
      <c r="K345" s="404"/>
      <c r="L345" s="404"/>
      <c r="M345" s="404"/>
    </row>
    <row r="346" ht="15.75" customHeight="1">
      <c r="A346" s="400"/>
      <c r="B346" s="401"/>
      <c r="C346" s="401"/>
      <c r="D346" s="402" t="str">
        <f t="shared" si="1"/>
        <v/>
      </c>
      <c r="E346" s="403"/>
      <c r="F346" s="403"/>
      <c r="G346" s="404"/>
      <c r="H346" s="404"/>
      <c r="I346" s="404"/>
      <c r="J346" s="404"/>
      <c r="K346" s="404"/>
      <c r="L346" s="404"/>
      <c r="M346" s="404"/>
    </row>
    <row r="347" ht="15.75" customHeight="1">
      <c r="A347" s="400"/>
      <c r="B347" s="401"/>
      <c r="C347" s="401"/>
      <c r="D347" s="402" t="str">
        <f t="shared" si="1"/>
        <v/>
      </c>
      <c r="E347" s="403"/>
      <c r="F347" s="403"/>
      <c r="G347" s="404"/>
      <c r="H347" s="404"/>
      <c r="I347" s="404"/>
      <c r="J347" s="404"/>
      <c r="K347" s="404"/>
      <c r="L347" s="404"/>
      <c r="M347" s="404"/>
    </row>
    <row r="348" ht="15.75" customHeight="1">
      <c r="A348" s="400"/>
      <c r="B348" s="401"/>
      <c r="C348" s="401"/>
      <c r="D348" s="402" t="str">
        <f t="shared" si="1"/>
        <v/>
      </c>
      <c r="E348" s="403"/>
      <c r="F348" s="403"/>
      <c r="G348" s="404"/>
      <c r="H348" s="404"/>
      <c r="I348" s="404"/>
      <c r="J348" s="404"/>
      <c r="K348" s="404"/>
      <c r="L348" s="404"/>
      <c r="M348" s="404"/>
    </row>
    <row r="349" ht="15.75" customHeight="1">
      <c r="A349" s="400"/>
      <c r="B349" s="401"/>
      <c r="C349" s="401"/>
      <c r="D349" s="402" t="str">
        <f t="shared" si="1"/>
        <v/>
      </c>
      <c r="E349" s="403"/>
      <c r="F349" s="403"/>
      <c r="G349" s="404"/>
      <c r="H349" s="404"/>
      <c r="I349" s="404"/>
      <c r="J349" s="404"/>
      <c r="K349" s="404"/>
      <c r="L349" s="404"/>
      <c r="M349" s="404"/>
    </row>
    <row r="350" ht="15.75" customHeight="1">
      <c r="A350" s="400"/>
      <c r="B350" s="401"/>
      <c r="C350" s="401"/>
      <c r="D350" s="402" t="str">
        <f t="shared" si="1"/>
        <v/>
      </c>
      <c r="E350" s="403"/>
      <c r="F350" s="403"/>
      <c r="G350" s="404"/>
      <c r="H350" s="404"/>
      <c r="I350" s="404"/>
      <c r="J350" s="404"/>
      <c r="K350" s="404"/>
      <c r="L350" s="404"/>
      <c r="M350" s="404"/>
    </row>
    <row r="351" ht="15.75" customHeight="1">
      <c r="A351" s="400"/>
      <c r="B351" s="401"/>
      <c r="C351" s="401"/>
      <c r="D351" s="402" t="str">
        <f t="shared" si="1"/>
        <v/>
      </c>
      <c r="E351" s="403"/>
      <c r="F351" s="403"/>
      <c r="G351" s="404"/>
      <c r="H351" s="404"/>
      <c r="I351" s="404"/>
      <c r="J351" s="404"/>
      <c r="K351" s="404"/>
      <c r="L351" s="404"/>
      <c r="M351" s="404"/>
    </row>
    <row r="352" ht="15.75" customHeight="1">
      <c r="A352" s="400"/>
      <c r="B352" s="401"/>
      <c r="C352" s="401"/>
      <c r="D352" s="402" t="str">
        <f t="shared" si="1"/>
        <v/>
      </c>
      <c r="E352" s="403"/>
      <c r="F352" s="403"/>
      <c r="G352" s="404"/>
      <c r="H352" s="404"/>
      <c r="I352" s="404"/>
      <c r="J352" s="404"/>
      <c r="K352" s="404"/>
      <c r="L352" s="404"/>
      <c r="M352" s="404"/>
    </row>
    <row r="353" ht="15.75" customHeight="1">
      <c r="A353" s="400"/>
      <c r="B353" s="401"/>
      <c r="C353" s="401"/>
      <c r="D353" s="402" t="str">
        <f t="shared" si="1"/>
        <v/>
      </c>
      <c r="E353" s="403"/>
      <c r="F353" s="403"/>
      <c r="G353" s="404"/>
      <c r="H353" s="404"/>
      <c r="I353" s="404"/>
      <c r="J353" s="404"/>
      <c r="K353" s="404"/>
      <c r="L353" s="404"/>
      <c r="M353" s="404"/>
    </row>
    <row r="354" ht="15.75" customHeight="1">
      <c r="A354" s="400"/>
      <c r="B354" s="401"/>
      <c r="C354" s="401"/>
      <c r="D354" s="402" t="str">
        <f t="shared" si="1"/>
        <v/>
      </c>
      <c r="E354" s="403"/>
      <c r="F354" s="403"/>
      <c r="G354" s="404"/>
      <c r="H354" s="404"/>
      <c r="I354" s="404"/>
      <c r="J354" s="404"/>
      <c r="K354" s="404"/>
      <c r="L354" s="404"/>
      <c r="M354" s="404"/>
    </row>
    <row r="355" ht="15.75" customHeight="1">
      <c r="A355" s="400"/>
      <c r="B355" s="401"/>
      <c r="C355" s="401"/>
      <c r="D355" s="402" t="str">
        <f t="shared" si="1"/>
        <v/>
      </c>
      <c r="E355" s="403"/>
      <c r="F355" s="403"/>
      <c r="G355" s="404"/>
      <c r="H355" s="404"/>
      <c r="I355" s="404"/>
      <c r="J355" s="404"/>
      <c r="K355" s="404"/>
      <c r="L355" s="404"/>
      <c r="M355" s="404"/>
    </row>
    <row r="356" ht="15.75" customHeight="1">
      <c r="A356" s="400"/>
      <c r="B356" s="401"/>
      <c r="C356" s="401"/>
      <c r="D356" s="402" t="str">
        <f t="shared" si="1"/>
        <v/>
      </c>
      <c r="E356" s="403"/>
      <c r="F356" s="403"/>
      <c r="G356" s="404"/>
      <c r="H356" s="404"/>
      <c r="I356" s="404"/>
      <c r="J356" s="404"/>
      <c r="K356" s="404"/>
      <c r="L356" s="404"/>
      <c r="M356" s="404"/>
    </row>
    <row r="357" ht="15.75" customHeight="1">
      <c r="A357" s="400"/>
      <c r="B357" s="401"/>
      <c r="C357" s="401"/>
      <c r="D357" s="402" t="str">
        <f t="shared" si="1"/>
        <v/>
      </c>
      <c r="E357" s="403"/>
      <c r="F357" s="403"/>
      <c r="G357" s="404"/>
      <c r="H357" s="404"/>
      <c r="I357" s="404"/>
      <c r="J357" s="404"/>
      <c r="K357" s="404"/>
      <c r="L357" s="404"/>
      <c r="M357" s="404"/>
    </row>
    <row r="358" ht="15.75" customHeight="1">
      <c r="A358" s="400"/>
      <c r="B358" s="401"/>
      <c r="C358" s="401"/>
      <c r="D358" s="402" t="str">
        <f t="shared" si="1"/>
        <v/>
      </c>
      <c r="E358" s="403"/>
      <c r="F358" s="403"/>
      <c r="G358" s="404"/>
      <c r="H358" s="404"/>
      <c r="I358" s="404"/>
      <c r="J358" s="404"/>
      <c r="K358" s="404"/>
      <c r="L358" s="404"/>
      <c r="M358" s="404"/>
    </row>
    <row r="359" ht="15.75" customHeight="1">
      <c r="A359" s="400"/>
      <c r="B359" s="401"/>
      <c r="C359" s="401"/>
      <c r="D359" s="402" t="str">
        <f t="shared" si="1"/>
        <v/>
      </c>
      <c r="E359" s="403"/>
      <c r="F359" s="403"/>
      <c r="G359" s="404"/>
      <c r="H359" s="404"/>
      <c r="I359" s="404"/>
      <c r="J359" s="404"/>
      <c r="K359" s="404"/>
      <c r="L359" s="404"/>
      <c r="M359" s="404"/>
    </row>
    <row r="360" ht="15.75" customHeight="1">
      <c r="A360" s="400"/>
      <c r="B360" s="401"/>
      <c r="C360" s="401"/>
      <c r="D360" s="402" t="str">
        <f t="shared" si="1"/>
        <v/>
      </c>
      <c r="E360" s="403"/>
      <c r="F360" s="403"/>
      <c r="G360" s="404"/>
      <c r="H360" s="404"/>
      <c r="I360" s="404"/>
      <c r="J360" s="404"/>
      <c r="K360" s="404"/>
      <c r="L360" s="404"/>
      <c r="M360" s="404"/>
    </row>
    <row r="361" ht="15.75" customHeight="1">
      <c r="A361" s="400"/>
      <c r="B361" s="401"/>
      <c r="C361" s="401"/>
      <c r="D361" s="402" t="str">
        <f t="shared" si="1"/>
        <v/>
      </c>
      <c r="E361" s="403"/>
      <c r="F361" s="403"/>
      <c r="G361" s="404"/>
      <c r="H361" s="404"/>
      <c r="I361" s="404"/>
      <c r="J361" s="404"/>
      <c r="K361" s="404"/>
      <c r="L361" s="404"/>
      <c r="M361" s="404"/>
    </row>
    <row r="362" ht="15.75" customHeight="1">
      <c r="A362" s="400"/>
      <c r="B362" s="401"/>
      <c r="C362" s="401"/>
      <c r="D362" s="402" t="str">
        <f t="shared" si="1"/>
        <v/>
      </c>
      <c r="E362" s="403"/>
      <c r="F362" s="403"/>
      <c r="G362" s="404"/>
      <c r="H362" s="404"/>
      <c r="I362" s="404"/>
      <c r="J362" s="404"/>
      <c r="K362" s="404"/>
      <c r="L362" s="404"/>
      <c r="M362" s="404"/>
    </row>
    <row r="363" ht="15.75" customHeight="1">
      <c r="A363" s="400"/>
      <c r="B363" s="401"/>
      <c r="C363" s="401"/>
      <c r="D363" s="402" t="str">
        <f t="shared" si="1"/>
        <v/>
      </c>
      <c r="E363" s="403"/>
      <c r="F363" s="403"/>
      <c r="G363" s="404"/>
      <c r="H363" s="404"/>
      <c r="I363" s="404"/>
      <c r="J363" s="404"/>
      <c r="K363" s="404"/>
      <c r="L363" s="404"/>
      <c r="M363" s="404"/>
    </row>
    <row r="364" ht="15.75" customHeight="1">
      <c r="A364" s="400"/>
      <c r="B364" s="401"/>
      <c r="C364" s="401"/>
      <c r="D364" s="402" t="str">
        <f t="shared" si="1"/>
        <v/>
      </c>
      <c r="E364" s="403"/>
      <c r="F364" s="403"/>
      <c r="G364" s="404"/>
      <c r="H364" s="404"/>
      <c r="I364" s="404"/>
      <c r="J364" s="404"/>
      <c r="K364" s="404"/>
      <c r="L364" s="404"/>
      <c r="M364" s="404"/>
    </row>
    <row r="365" ht="15.75" customHeight="1">
      <c r="A365" s="400"/>
      <c r="B365" s="401"/>
      <c r="C365" s="401"/>
      <c r="D365" s="402" t="str">
        <f t="shared" si="1"/>
        <v/>
      </c>
      <c r="E365" s="403"/>
      <c r="F365" s="403"/>
      <c r="G365" s="404"/>
      <c r="H365" s="404"/>
      <c r="I365" s="404"/>
      <c r="J365" s="404"/>
      <c r="K365" s="404"/>
      <c r="L365" s="404"/>
      <c r="M365" s="404"/>
    </row>
    <row r="366" ht="15.75" customHeight="1">
      <c r="A366" s="400"/>
      <c r="B366" s="401"/>
      <c r="C366" s="401"/>
      <c r="D366" s="402" t="str">
        <f t="shared" si="1"/>
        <v/>
      </c>
      <c r="E366" s="403"/>
      <c r="F366" s="403"/>
      <c r="G366" s="404"/>
      <c r="H366" s="404"/>
      <c r="I366" s="404"/>
      <c r="J366" s="404"/>
      <c r="K366" s="404"/>
      <c r="L366" s="404"/>
      <c r="M366" s="404"/>
    </row>
    <row r="367" ht="15.75" customHeight="1">
      <c r="A367" s="400"/>
      <c r="B367" s="401"/>
      <c r="C367" s="401"/>
      <c r="D367" s="402" t="str">
        <f t="shared" si="1"/>
        <v/>
      </c>
      <c r="E367" s="403"/>
      <c r="F367" s="403"/>
      <c r="G367" s="404"/>
      <c r="H367" s="404"/>
      <c r="I367" s="404"/>
      <c r="J367" s="404"/>
      <c r="K367" s="404"/>
      <c r="L367" s="404"/>
      <c r="M367" s="404"/>
    </row>
    <row r="368" ht="15.75" customHeight="1">
      <c r="A368" s="400"/>
      <c r="B368" s="401"/>
      <c r="C368" s="401"/>
      <c r="D368" s="402" t="str">
        <f t="shared" si="1"/>
        <v/>
      </c>
      <c r="E368" s="403"/>
      <c r="F368" s="403"/>
      <c r="G368" s="404"/>
      <c r="H368" s="404"/>
      <c r="I368" s="404"/>
      <c r="J368" s="404"/>
      <c r="K368" s="404"/>
      <c r="L368" s="404"/>
      <c r="M368" s="404"/>
    </row>
    <row r="369" ht="15.75" customHeight="1">
      <c r="A369" s="400"/>
      <c r="B369" s="401"/>
      <c r="C369" s="401"/>
      <c r="D369" s="402" t="str">
        <f t="shared" si="1"/>
        <v/>
      </c>
      <c r="E369" s="403"/>
      <c r="F369" s="403"/>
      <c r="G369" s="404"/>
      <c r="H369" s="404"/>
      <c r="I369" s="404"/>
      <c r="J369" s="404"/>
      <c r="K369" s="404"/>
      <c r="L369" s="404"/>
      <c r="M369" s="404"/>
    </row>
    <row r="370" ht="15.75" customHeight="1">
      <c r="A370" s="400"/>
      <c r="B370" s="401"/>
      <c r="C370" s="401"/>
      <c r="D370" s="402" t="str">
        <f t="shared" si="1"/>
        <v/>
      </c>
      <c r="E370" s="403"/>
      <c r="F370" s="403"/>
      <c r="G370" s="404"/>
      <c r="H370" s="404"/>
      <c r="I370" s="404"/>
      <c r="J370" s="404"/>
      <c r="K370" s="404"/>
      <c r="L370" s="404"/>
      <c r="M370" s="404"/>
    </row>
    <row r="371" ht="15.75" customHeight="1">
      <c r="A371" s="400"/>
      <c r="B371" s="401"/>
      <c r="C371" s="401"/>
      <c r="D371" s="402" t="str">
        <f t="shared" si="1"/>
        <v/>
      </c>
      <c r="E371" s="403"/>
      <c r="F371" s="403"/>
      <c r="G371" s="404"/>
      <c r="H371" s="404"/>
      <c r="I371" s="404"/>
      <c r="J371" s="404"/>
      <c r="K371" s="404"/>
      <c r="L371" s="404"/>
      <c r="M371" s="404"/>
    </row>
    <row r="372" ht="15.75" customHeight="1">
      <c r="A372" s="400"/>
      <c r="B372" s="401"/>
      <c r="C372" s="401"/>
      <c r="D372" s="402" t="str">
        <f t="shared" si="1"/>
        <v/>
      </c>
      <c r="E372" s="403"/>
      <c r="F372" s="403"/>
      <c r="G372" s="404"/>
      <c r="H372" s="404"/>
      <c r="I372" s="404"/>
      <c r="J372" s="404"/>
      <c r="K372" s="404"/>
      <c r="L372" s="404"/>
      <c r="M372" s="404"/>
    </row>
    <row r="373" ht="15.75" customHeight="1">
      <c r="A373" s="400"/>
      <c r="B373" s="401"/>
      <c r="C373" s="401"/>
      <c r="D373" s="402" t="str">
        <f t="shared" si="1"/>
        <v/>
      </c>
      <c r="E373" s="403"/>
      <c r="F373" s="403"/>
      <c r="G373" s="404"/>
      <c r="H373" s="404"/>
      <c r="I373" s="404"/>
      <c r="J373" s="404"/>
      <c r="K373" s="404"/>
      <c r="L373" s="404"/>
      <c r="M373" s="404"/>
    </row>
    <row r="374" ht="15.75" customHeight="1">
      <c r="A374" s="400"/>
      <c r="B374" s="401"/>
      <c r="C374" s="401"/>
      <c r="D374" s="402" t="str">
        <f t="shared" si="1"/>
        <v/>
      </c>
      <c r="E374" s="403"/>
      <c r="F374" s="403"/>
      <c r="G374" s="404"/>
      <c r="H374" s="404"/>
      <c r="I374" s="404"/>
      <c r="J374" s="404"/>
      <c r="K374" s="404"/>
      <c r="L374" s="404"/>
      <c r="M374" s="404"/>
    </row>
    <row r="375" ht="15.75" customHeight="1">
      <c r="A375" s="400"/>
      <c r="B375" s="401"/>
      <c r="C375" s="401"/>
      <c r="D375" s="402" t="str">
        <f t="shared" si="1"/>
        <v/>
      </c>
      <c r="E375" s="403"/>
      <c r="F375" s="403"/>
      <c r="G375" s="404"/>
      <c r="H375" s="404"/>
      <c r="I375" s="404"/>
      <c r="J375" s="404"/>
      <c r="K375" s="404"/>
      <c r="L375" s="404"/>
      <c r="M375" s="404"/>
    </row>
    <row r="376" ht="15.75" customHeight="1">
      <c r="A376" s="400"/>
      <c r="B376" s="401"/>
      <c r="C376" s="401"/>
      <c r="D376" s="402" t="str">
        <f t="shared" si="1"/>
        <v/>
      </c>
      <c r="E376" s="403"/>
      <c r="F376" s="403"/>
      <c r="G376" s="404"/>
      <c r="H376" s="404"/>
      <c r="I376" s="404"/>
      <c r="J376" s="404"/>
      <c r="K376" s="404"/>
      <c r="L376" s="404"/>
      <c r="M376" s="404"/>
    </row>
    <row r="377" ht="15.75" customHeight="1">
      <c r="A377" s="400"/>
      <c r="B377" s="401"/>
      <c r="C377" s="401"/>
      <c r="D377" s="402" t="str">
        <f t="shared" si="1"/>
        <v/>
      </c>
      <c r="E377" s="403"/>
      <c r="F377" s="403"/>
      <c r="G377" s="404"/>
      <c r="H377" s="404"/>
      <c r="I377" s="404"/>
      <c r="J377" s="404"/>
      <c r="K377" s="404"/>
      <c r="L377" s="404"/>
      <c r="M377" s="404"/>
    </row>
    <row r="378" ht="15.75" customHeight="1">
      <c r="A378" s="400"/>
      <c r="B378" s="401"/>
      <c r="C378" s="401"/>
      <c r="D378" s="402" t="str">
        <f t="shared" si="1"/>
        <v/>
      </c>
      <c r="E378" s="403"/>
      <c r="F378" s="403"/>
      <c r="G378" s="404"/>
      <c r="H378" s="404"/>
      <c r="I378" s="404"/>
      <c r="J378" s="404"/>
      <c r="K378" s="404"/>
      <c r="L378" s="404"/>
      <c r="M378" s="404"/>
    </row>
    <row r="379" ht="15.75" customHeight="1">
      <c r="A379" s="400"/>
      <c r="B379" s="401"/>
      <c r="C379" s="401"/>
      <c r="D379" s="402" t="str">
        <f t="shared" si="1"/>
        <v/>
      </c>
      <c r="E379" s="403"/>
      <c r="F379" s="403"/>
      <c r="G379" s="404"/>
      <c r="H379" s="404"/>
      <c r="I379" s="404"/>
      <c r="J379" s="404"/>
      <c r="K379" s="404"/>
      <c r="L379" s="404"/>
      <c r="M379" s="404"/>
    </row>
    <row r="380" ht="15.75" customHeight="1">
      <c r="A380" s="400"/>
      <c r="B380" s="401"/>
      <c r="C380" s="401"/>
      <c r="D380" s="402" t="str">
        <f t="shared" si="1"/>
        <v/>
      </c>
      <c r="E380" s="403"/>
      <c r="F380" s="403"/>
      <c r="G380" s="404"/>
      <c r="H380" s="404"/>
      <c r="I380" s="404"/>
      <c r="J380" s="404"/>
      <c r="K380" s="404"/>
      <c r="L380" s="404"/>
      <c r="M380" s="404"/>
    </row>
    <row r="381" ht="15.75" customHeight="1">
      <c r="A381" s="400"/>
      <c r="B381" s="401"/>
      <c r="C381" s="401"/>
      <c r="D381" s="402" t="str">
        <f t="shared" si="1"/>
        <v/>
      </c>
      <c r="E381" s="403"/>
      <c r="F381" s="403"/>
      <c r="G381" s="404"/>
      <c r="H381" s="404"/>
      <c r="I381" s="404"/>
      <c r="J381" s="404"/>
      <c r="K381" s="404"/>
      <c r="L381" s="404"/>
      <c r="M381" s="404"/>
    </row>
    <row r="382" ht="15.75" customHeight="1">
      <c r="A382" s="400"/>
      <c r="B382" s="401"/>
      <c r="C382" s="401"/>
      <c r="D382" s="402" t="str">
        <f t="shared" si="1"/>
        <v/>
      </c>
      <c r="E382" s="403"/>
      <c r="F382" s="403"/>
      <c r="G382" s="404"/>
      <c r="H382" s="404"/>
      <c r="I382" s="404"/>
      <c r="J382" s="404"/>
      <c r="K382" s="404"/>
      <c r="L382" s="404"/>
      <c r="M382" s="404"/>
    </row>
    <row r="383" ht="15.75" customHeight="1">
      <c r="A383" s="400"/>
      <c r="B383" s="401"/>
      <c r="C383" s="401"/>
      <c r="D383" s="402" t="str">
        <f t="shared" si="1"/>
        <v/>
      </c>
      <c r="E383" s="403"/>
      <c r="F383" s="403"/>
      <c r="G383" s="404"/>
      <c r="H383" s="404"/>
      <c r="I383" s="404"/>
      <c r="J383" s="404"/>
      <c r="K383" s="404"/>
      <c r="L383" s="404"/>
      <c r="M383" s="404"/>
    </row>
    <row r="384" ht="15.75" customHeight="1">
      <c r="A384" s="400"/>
      <c r="B384" s="401"/>
      <c r="C384" s="401"/>
      <c r="D384" s="402" t="str">
        <f t="shared" si="1"/>
        <v/>
      </c>
      <c r="E384" s="403"/>
      <c r="F384" s="403"/>
      <c r="G384" s="404"/>
      <c r="H384" s="404"/>
      <c r="I384" s="404"/>
      <c r="J384" s="404"/>
      <c r="K384" s="404"/>
      <c r="L384" s="404"/>
      <c r="M384" s="404"/>
    </row>
    <row r="385" ht="15.75" customHeight="1">
      <c r="A385" s="400"/>
      <c r="B385" s="401"/>
      <c r="C385" s="401"/>
      <c r="D385" s="402" t="str">
        <f t="shared" si="1"/>
        <v/>
      </c>
      <c r="E385" s="403"/>
      <c r="F385" s="403"/>
      <c r="G385" s="404"/>
      <c r="H385" s="404"/>
      <c r="I385" s="404"/>
      <c r="J385" s="404"/>
      <c r="K385" s="404"/>
      <c r="L385" s="404"/>
      <c r="M385" s="404"/>
    </row>
    <row r="386" ht="15.75" customHeight="1">
      <c r="A386" s="400"/>
      <c r="B386" s="401"/>
      <c r="C386" s="401"/>
      <c r="D386" s="402" t="str">
        <f t="shared" si="1"/>
        <v/>
      </c>
      <c r="E386" s="403"/>
      <c r="F386" s="403"/>
      <c r="G386" s="404"/>
      <c r="H386" s="404"/>
      <c r="I386" s="404"/>
      <c r="J386" s="404"/>
      <c r="K386" s="404"/>
      <c r="L386" s="404"/>
      <c r="M386" s="404"/>
    </row>
    <row r="387" ht="15.75" customHeight="1">
      <c r="A387" s="400"/>
      <c r="B387" s="401"/>
      <c r="C387" s="401"/>
      <c r="D387" s="402" t="str">
        <f t="shared" si="1"/>
        <v/>
      </c>
      <c r="E387" s="403"/>
      <c r="F387" s="403"/>
      <c r="G387" s="404"/>
      <c r="H387" s="404"/>
      <c r="I387" s="404"/>
      <c r="J387" s="404"/>
      <c r="K387" s="404"/>
      <c r="L387" s="404"/>
      <c r="M387" s="404"/>
    </row>
    <row r="388" ht="15.75" customHeight="1">
      <c r="A388" s="400"/>
      <c r="B388" s="401"/>
      <c r="C388" s="401"/>
      <c r="D388" s="402" t="str">
        <f t="shared" si="1"/>
        <v/>
      </c>
      <c r="E388" s="403"/>
      <c r="F388" s="403"/>
      <c r="G388" s="404"/>
      <c r="H388" s="404"/>
      <c r="I388" s="404"/>
      <c r="J388" s="404"/>
      <c r="K388" s="404"/>
      <c r="L388" s="404"/>
      <c r="M388" s="404"/>
    </row>
    <row r="389" ht="15.75" customHeight="1">
      <c r="A389" s="400"/>
      <c r="B389" s="401"/>
      <c r="C389" s="401"/>
      <c r="D389" s="402" t="str">
        <f t="shared" si="1"/>
        <v/>
      </c>
      <c r="E389" s="403"/>
      <c r="F389" s="403"/>
      <c r="G389" s="404"/>
      <c r="H389" s="404"/>
      <c r="I389" s="404"/>
      <c r="J389" s="404"/>
      <c r="K389" s="404"/>
      <c r="L389" s="404"/>
      <c r="M389" s="404"/>
    </row>
    <row r="390" ht="15.75" customHeight="1">
      <c r="A390" s="400"/>
      <c r="B390" s="401"/>
      <c r="C390" s="401"/>
      <c r="D390" s="402" t="str">
        <f t="shared" si="1"/>
        <v/>
      </c>
      <c r="E390" s="403"/>
      <c r="F390" s="403"/>
      <c r="G390" s="404"/>
      <c r="H390" s="404"/>
      <c r="I390" s="404"/>
      <c r="J390" s="404"/>
      <c r="K390" s="404"/>
      <c r="L390" s="404"/>
      <c r="M390" s="404"/>
    </row>
    <row r="391" ht="15.75" customHeight="1">
      <c r="A391" s="400"/>
      <c r="B391" s="401"/>
      <c r="C391" s="401"/>
      <c r="D391" s="402" t="str">
        <f t="shared" si="1"/>
        <v/>
      </c>
      <c r="E391" s="403"/>
      <c r="F391" s="403"/>
      <c r="G391" s="404"/>
      <c r="H391" s="404"/>
      <c r="I391" s="404"/>
      <c r="J391" s="404"/>
      <c r="K391" s="404"/>
      <c r="L391" s="404"/>
      <c r="M391" s="404"/>
    </row>
    <row r="392" ht="15.75" customHeight="1">
      <c r="A392" s="400"/>
      <c r="B392" s="401"/>
      <c r="C392" s="401"/>
      <c r="D392" s="402" t="str">
        <f t="shared" si="1"/>
        <v/>
      </c>
      <c r="E392" s="403"/>
      <c r="F392" s="403"/>
      <c r="G392" s="404"/>
      <c r="H392" s="404"/>
      <c r="I392" s="404"/>
      <c r="J392" s="404"/>
      <c r="K392" s="404"/>
      <c r="L392" s="404"/>
      <c r="M392" s="404"/>
    </row>
    <row r="393" ht="15.75" customHeight="1">
      <c r="A393" s="400"/>
      <c r="B393" s="401"/>
      <c r="C393" s="401"/>
      <c r="D393" s="402" t="str">
        <f t="shared" si="1"/>
        <v/>
      </c>
      <c r="E393" s="403"/>
      <c r="F393" s="403"/>
      <c r="G393" s="404"/>
      <c r="H393" s="404"/>
      <c r="I393" s="404"/>
      <c r="J393" s="404"/>
      <c r="K393" s="404"/>
      <c r="L393" s="404"/>
      <c r="M393" s="404"/>
    </row>
    <row r="394" ht="15.75" customHeight="1">
      <c r="A394" s="400"/>
      <c r="B394" s="401"/>
      <c r="C394" s="401"/>
      <c r="D394" s="402" t="str">
        <f t="shared" si="1"/>
        <v/>
      </c>
      <c r="E394" s="403"/>
      <c r="F394" s="403"/>
      <c r="G394" s="404"/>
      <c r="H394" s="404"/>
      <c r="I394" s="404"/>
      <c r="J394" s="404"/>
      <c r="K394" s="404"/>
      <c r="L394" s="404"/>
      <c r="M394" s="404"/>
    </row>
    <row r="395" ht="15.75" customHeight="1">
      <c r="A395" s="400"/>
      <c r="B395" s="401"/>
      <c r="C395" s="401"/>
      <c r="D395" s="402" t="str">
        <f t="shared" si="1"/>
        <v/>
      </c>
      <c r="E395" s="403"/>
      <c r="F395" s="403"/>
      <c r="G395" s="404"/>
      <c r="H395" s="404"/>
      <c r="I395" s="404"/>
      <c r="J395" s="404"/>
      <c r="K395" s="404"/>
      <c r="L395" s="404"/>
      <c r="M395" s="404"/>
    </row>
    <row r="396" ht="15.75" customHeight="1">
      <c r="A396" s="400"/>
      <c r="B396" s="401"/>
      <c r="C396" s="401"/>
      <c r="D396" s="402" t="str">
        <f t="shared" si="1"/>
        <v/>
      </c>
      <c r="E396" s="403"/>
      <c r="F396" s="403"/>
      <c r="G396" s="404"/>
      <c r="H396" s="404"/>
      <c r="I396" s="404"/>
      <c r="J396" s="404"/>
      <c r="K396" s="404"/>
      <c r="L396" s="404"/>
      <c r="M396" s="404"/>
    </row>
    <row r="397" ht="15.75" customHeight="1">
      <c r="A397" s="400"/>
      <c r="B397" s="401"/>
      <c r="C397" s="401"/>
      <c r="D397" s="402" t="str">
        <f t="shared" si="1"/>
        <v/>
      </c>
      <c r="E397" s="403"/>
      <c r="F397" s="403"/>
      <c r="G397" s="404"/>
      <c r="H397" s="404"/>
      <c r="I397" s="404"/>
      <c r="J397" s="404"/>
      <c r="K397" s="404"/>
      <c r="L397" s="404"/>
      <c r="M397" s="404"/>
    </row>
    <row r="398" ht="15.75" customHeight="1">
      <c r="A398" s="400"/>
      <c r="B398" s="401"/>
      <c r="C398" s="401"/>
      <c r="D398" s="402" t="str">
        <f t="shared" si="1"/>
        <v/>
      </c>
      <c r="E398" s="403"/>
      <c r="F398" s="403"/>
      <c r="G398" s="404"/>
      <c r="H398" s="404"/>
      <c r="I398" s="404"/>
      <c r="J398" s="404"/>
      <c r="K398" s="404"/>
      <c r="L398" s="404"/>
      <c r="M398" s="404"/>
    </row>
    <row r="399" ht="15.75" customHeight="1">
      <c r="A399" s="400"/>
      <c r="B399" s="401"/>
      <c r="C399" s="401"/>
      <c r="D399" s="402" t="str">
        <f t="shared" si="1"/>
        <v/>
      </c>
      <c r="E399" s="403"/>
      <c r="F399" s="403"/>
      <c r="G399" s="404"/>
      <c r="H399" s="404"/>
      <c r="I399" s="404"/>
      <c r="J399" s="404"/>
      <c r="K399" s="404"/>
      <c r="L399" s="404"/>
      <c r="M399" s="404"/>
    </row>
    <row r="400" ht="15.75" customHeight="1">
      <c r="A400" s="400"/>
      <c r="B400" s="401"/>
      <c r="C400" s="401"/>
      <c r="D400" s="402" t="str">
        <f t="shared" si="1"/>
        <v/>
      </c>
      <c r="E400" s="403"/>
      <c r="F400" s="403"/>
      <c r="G400" s="404"/>
      <c r="H400" s="404"/>
      <c r="I400" s="404"/>
      <c r="J400" s="404"/>
      <c r="K400" s="404"/>
      <c r="L400" s="404"/>
      <c r="M400" s="404"/>
    </row>
    <row r="401" ht="15.75" customHeight="1">
      <c r="A401" s="400"/>
      <c r="B401" s="401"/>
      <c r="C401" s="401"/>
      <c r="D401" s="402" t="str">
        <f t="shared" si="1"/>
        <v/>
      </c>
      <c r="E401" s="403"/>
      <c r="F401" s="403"/>
      <c r="G401" s="404"/>
      <c r="H401" s="404"/>
      <c r="I401" s="404"/>
      <c r="J401" s="404"/>
      <c r="K401" s="404"/>
      <c r="L401" s="404"/>
      <c r="M401" s="404"/>
    </row>
    <row r="402" ht="15.75" customHeight="1">
      <c r="A402" s="400"/>
      <c r="B402" s="401"/>
      <c r="C402" s="401"/>
      <c r="D402" s="402" t="str">
        <f t="shared" si="1"/>
        <v/>
      </c>
      <c r="E402" s="403"/>
      <c r="F402" s="403"/>
      <c r="G402" s="404"/>
      <c r="H402" s="404"/>
      <c r="I402" s="404"/>
      <c r="J402" s="404"/>
      <c r="K402" s="404"/>
      <c r="L402" s="404"/>
      <c r="M402" s="404"/>
    </row>
    <row r="403" ht="15.75" customHeight="1">
      <c r="A403" s="400"/>
      <c r="B403" s="401"/>
      <c r="C403" s="401"/>
      <c r="D403" s="402" t="str">
        <f t="shared" si="1"/>
        <v/>
      </c>
      <c r="E403" s="403"/>
      <c r="F403" s="403"/>
      <c r="G403" s="404"/>
      <c r="H403" s="404"/>
      <c r="I403" s="404"/>
      <c r="J403" s="404"/>
      <c r="K403" s="404"/>
      <c r="L403" s="404"/>
      <c r="M403" s="404"/>
    </row>
    <row r="404" ht="15.75" customHeight="1">
      <c r="A404" s="400"/>
      <c r="B404" s="401"/>
      <c r="C404" s="401"/>
      <c r="D404" s="402" t="str">
        <f t="shared" si="1"/>
        <v/>
      </c>
      <c r="E404" s="403"/>
      <c r="F404" s="403"/>
      <c r="G404" s="404"/>
      <c r="H404" s="404"/>
      <c r="I404" s="404"/>
      <c r="J404" s="404"/>
      <c r="K404" s="404"/>
      <c r="L404" s="404"/>
      <c r="M404" s="404"/>
    </row>
    <row r="405" ht="15.75" customHeight="1">
      <c r="A405" s="400"/>
      <c r="B405" s="401"/>
      <c r="C405" s="401"/>
      <c r="D405" s="402" t="str">
        <f t="shared" si="1"/>
        <v/>
      </c>
      <c r="E405" s="403"/>
      <c r="F405" s="403"/>
      <c r="G405" s="404"/>
      <c r="H405" s="404"/>
      <c r="I405" s="404"/>
      <c r="J405" s="404"/>
      <c r="K405" s="404"/>
      <c r="L405" s="404"/>
      <c r="M405" s="404"/>
    </row>
    <row r="406" ht="15.75" customHeight="1">
      <c r="A406" s="400"/>
      <c r="B406" s="401"/>
      <c r="C406" s="401"/>
      <c r="D406" s="402" t="str">
        <f t="shared" si="1"/>
        <v/>
      </c>
      <c r="E406" s="403"/>
      <c r="F406" s="403"/>
      <c r="G406" s="404"/>
      <c r="H406" s="404"/>
      <c r="I406" s="404"/>
      <c r="J406" s="404"/>
      <c r="K406" s="404"/>
      <c r="L406" s="404"/>
      <c r="M406" s="404"/>
    </row>
    <row r="407" ht="15.75" customHeight="1">
      <c r="A407" s="400"/>
      <c r="B407" s="401"/>
      <c r="C407" s="401"/>
      <c r="D407" s="402" t="str">
        <f t="shared" si="1"/>
        <v/>
      </c>
      <c r="E407" s="403"/>
      <c r="F407" s="403"/>
      <c r="G407" s="404"/>
      <c r="H407" s="404"/>
      <c r="I407" s="404"/>
      <c r="J407" s="404"/>
      <c r="K407" s="404"/>
      <c r="L407" s="404"/>
      <c r="M407" s="404"/>
    </row>
    <row r="408" ht="15.75" customHeight="1">
      <c r="A408" s="400"/>
      <c r="B408" s="401"/>
      <c r="C408" s="401"/>
      <c r="D408" s="402" t="str">
        <f t="shared" si="1"/>
        <v/>
      </c>
      <c r="E408" s="403"/>
      <c r="F408" s="403"/>
      <c r="G408" s="404"/>
      <c r="H408" s="404"/>
      <c r="I408" s="404"/>
      <c r="J408" s="404"/>
      <c r="K408" s="404"/>
      <c r="L408" s="404"/>
      <c r="M408" s="404"/>
    </row>
    <row r="409" ht="15.75" customHeight="1">
      <c r="A409" s="400"/>
      <c r="B409" s="401"/>
      <c r="C409" s="401"/>
      <c r="D409" s="402" t="str">
        <f t="shared" si="1"/>
        <v/>
      </c>
      <c r="E409" s="403"/>
      <c r="F409" s="403"/>
      <c r="G409" s="404"/>
      <c r="H409" s="404"/>
      <c r="I409" s="404"/>
      <c r="J409" s="404"/>
      <c r="K409" s="404"/>
      <c r="L409" s="404"/>
      <c r="M409" s="404"/>
    </row>
    <row r="410" ht="15.75" customHeight="1">
      <c r="A410" s="400"/>
      <c r="B410" s="401"/>
      <c r="C410" s="401"/>
      <c r="D410" s="402" t="str">
        <f t="shared" si="1"/>
        <v/>
      </c>
      <c r="E410" s="403"/>
      <c r="F410" s="403"/>
      <c r="G410" s="404"/>
      <c r="H410" s="404"/>
      <c r="I410" s="404"/>
      <c r="J410" s="404"/>
      <c r="K410" s="404"/>
      <c r="L410" s="404"/>
      <c r="M410" s="404"/>
    </row>
    <row r="411" ht="15.75" customHeight="1">
      <c r="A411" s="400"/>
      <c r="B411" s="401"/>
      <c r="C411" s="401"/>
      <c r="D411" s="402" t="str">
        <f t="shared" si="1"/>
        <v/>
      </c>
      <c r="E411" s="403"/>
      <c r="F411" s="403"/>
      <c r="G411" s="404"/>
      <c r="H411" s="404"/>
      <c r="I411" s="404"/>
      <c r="J411" s="404"/>
      <c r="K411" s="404"/>
      <c r="L411" s="404"/>
      <c r="M411" s="404"/>
    </row>
    <row r="412" ht="15.75" customHeight="1">
      <c r="A412" s="400"/>
      <c r="B412" s="401"/>
      <c r="C412" s="401"/>
      <c r="D412" s="402" t="str">
        <f t="shared" si="1"/>
        <v/>
      </c>
      <c r="E412" s="403"/>
      <c r="F412" s="403"/>
      <c r="G412" s="404"/>
      <c r="H412" s="404"/>
      <c r="I412" s="404"/>
      <c r="J412" s="404"/>
      <c r="K412" s="404"/>
      <c r="L412" s="404"/>
      <c r="M412" s="404"/>
    </row>
    <row r="413" ht="15.75" customHeight="1">
      <c r="A413" s="400"/>
      <c r="B413" s="401"/>
      <c r="C413" s="401"/>
      <c r="D413" s="402" t="str">
        <f t="shared" si="1"/>
        <v/>
      </c>
      <c r="E413" s="403"/>
      <c r="F413" s="403"/>
      <c r="G413" s="404"/>
      <c r="H413" s="404"/>
      <c r="I413" s="404"/>
      <c r="J413" s="404"/>
      <c r="K413" s="404"/>
      <c r="L413" s="404"/>
      <c r="M413" s="404"/>
    </row>
    <row r="414" ht="15.75" customHeight="1">
      <c r="A414" s="400"/>
      <c r="B414" s="401"/>
      <c r="C414" s="401"/>
      <c r="D414" s="402" t="str">
        <f t="shared" si="1"/>
        <v/>
      </c>
      <c r="E414" s="403"/>
      <c r="F414" s="403"/>
      <c r="G414" s="404"/>
      <c r="H414" s="404"/>
      <c r="I414" s="404"/>
      <c r="J414" s="404"/>
      <c r="K414" s="404"/>
      <c r="L414" s="404"/>
      <c r="M414" s="404"/>
    </row>
    <row r="415" ht="15.75" customHeight="1">
      <c r="A415" s="400"/>
      <c r="B415" s="401"/>
      <c r="C415" s="401"/>
      <c r="D415" s="402" t="str">
        <f t="shared" si="1"/>
        <v/>
      </c>
      <c r="E415" s="403"/>
      <c r="F415" s="403"/>
      <c r="G415" s="404"/>
      <c r="H415" s="404"/>
      <c r="I415" s="404"/>
      <c r="J415" s="404"/>
      <c r="K415" s="404"/>
      <c r="L415" s="404"/>
      <c r="M415" s="404"/>
    </row>
    <row r="416" ht="15.75" customHeight="1">
      <c r="A416" s="400"/>
      <c r="B416" s="401"/>
      <c r="C416" s="401"/>
      <c r="D416" s="402" t="str">
        <f t="shared" si="1"/>
        <v/>
      </c>
      <c r="E416" s="403"/>
      <c r="F416" s="403"/>
      <c r="G416" s="404"/>
      <c r="H416" s="404"/>
      <c r="I416" s="404"/>
      <c r="J416" s="404"/>
      <c r="K416" s="404"/>
      <c r="L416" s="404"/>
      <c r="M416" s="404"/>
    </row>
    <row r="417" ht="15.75" customHeight="1">
      <c r="A417" s="400"/>
      <c r="B417" s="401"/>
      <c r="C417" s="401"/>
      <c r="D417" s="402" t="str">
        <f t="shared" si="1"/>
        <v/>
      </c>
      <c r="E417" s="403"/>
      <c r="F417" s="403"/>
      <c r="G417" s="404"/>
      <c r="H417" s="404"/>
      <c r="I417" s="404"/>
      <c r="J417" s="404"/>
      <c r="K417" s="404"/>
      <c r="L417" s="404"/>
      <c r="M417" s="404"/>
    </row>
    <row r="418" ht="15.75" customHeight="1">
      <c r="A418" s="400"/>
      <c r="B418" s="401"/>
      <c r="C418" s="401"/>
      <c r="D418" s="402" t="str">
        <f t="shared" si="1"/>
        <v/>
      </c>
      <c r="E418" s="403"/>
      <c r="F418" s="403"/>
      <c r="G418" s="404"/>
      <c r="H418" s="404"/>
      <c r="I418" s="404"/>
      <c r="J418" s="404"/>
      <c r="K418" s="404"/>
      <c r="L418" s="404"/>
      <c r="M418" s="404"/>
    </row>
    <row r="419" ht="15.75" customHeight="1">
      <c r="A419" s="400"/>
      <c r="B419" s="401"/>
      <c r="C419" s="401"/>
      <c r="D419" s="402" t="str">
        <f t="shared" si="1"/>
        <v/>
      </c>
      <c r="E419" s="403"/>
      <c r="F419" s="403"/>
      <c r="G419" s="404"/>
      <c r="H419" s="404"/>
      <c r="I419" s="404"/>
      <c r="J419" s="404"/>
      <c r="K419" s="404"/>
      <c r="L419" s="404"/>
      <c r="M419" s="404"/>
    </row>
    <row r="420" ht="15.75" customHeight="1">
      <c r="A420" s="400"/>
      <c r="B420" s="401"/>
      <c r="C420" s="401"/>
      <c r="D420" s="402" t="str">
        <f t="shared" si="1"/>
        <v/>
      </c>
      <c r="E420" s="403"/>
      <c r="F420" s="403"/>
      <c r="G420" s="404"/>
      <c r="H420" s="404"/>
      <c r="I420" s="404"/>
      <c r="J420" s="404"/>
      <c r="K420" s="404"/>
      <c r="L420" s="404"/>
      <c r="M420" s="404"/>
    </row>
    <row r="421" ht="15.75" customHeight="1">
      <c r="A421" s="400"/>
      <c r="B421" s="401"/>
      <c r="C421" s="401"/>
      <c r="D421" s="402" t="str">
        <f t="shared" si="1"/>
        <v/>
      </c>
      <c r="E421" s="403"/>
      <c r="F421" s="403"/>
      <c r="G421" s="404"/>
      <c r="H421" s="404"/>
      <c r="I421" s="404"/>
      <c r="J421" s="404"/>
      <c r="K421" s="404"/>
      <c r="L421" s="404"/>
      <c r="M421" s="404"/>
    </row>
    <row r="422" ht="15.75" customHeight="1">
      <c r="A422" s="400"/>
      <c r="B422" s="401"/>
      <c r="C422" s="401"/>
      <c r="D422" s="402" t="str">
        <f t="shared" si="1"/>
        <v/>
      </c>
      <c r="E422" s="403"/>
      <c r="F422" s="403"/>
      <c r="G422" s="404"/>
      <c r="H422" s="404"/>
      <c r="I422" s="404"/>
      <c r="J422" s="404"/>
      <c r="K422" s="404"/>
      <c r="L422" s="404"/>
      <c r="M422" s="404"/>
    </row>
    <row r="423" ht="15.75" customHeight="1">
      <c r="A423" s="400"/>
      <c r="B423" s="401"/>
      <c r="C423" s="401"/>
      <c r="D423" s="402" t="str">
        <f t="shared" si="1"/>
        <v/>
      </c>
      <c r="E423" s="403"/>
      <c r="F423" s="403"/>
      <c r="G423" s="404"/>
      <c r="H423" s="404"/>
      <c r="I423" s="404"/>
      <c r="J423" s="404"/>
      <c r="K423" s="404"/>
      <c r="L423" s="404"/>
      <c r="M423" s="404"/>
    </row>
    <row r="424" ht="15.75" customHeight="1">
      <c r="A424" s="400"/>
      <c r="B424" s="401"/>
      <c r="C424" s="401"/>
      <c r="D424" s="402" t="str">
        <f t="shared" si="1"/>
        <v/>
      </c>
      <c r="E424" s="403"/>
      <c r="F424" s="403"/>
      <c r="G424" s="404"/>
      <c r="H424" s="404"/>
      <c r="I424" s="404"/>
      <c r="J424" s="404"/>
      <c r="K424" s="404"/>
      <c r="L424" s="404"/>
      <c r="M424" s="404"/>
    </row>
    <row r="425" ht="15.75" customHeight="1">
      <c r="A425" s="400"/>
      <c r="B425" s="401"/>
      <c r="C425" s="401"/>
      <c r="D425" s="402" t="str">
        <f t="shared" si="1"/>
        <v/>
      </c>
      <c r="E425" s="403"/>
      <c r="F425" s="403"/>
      <c r="G425" s="404"/>
      <c r="H425" s="404"/>
      <c r="I425" s="404"/>
      <c r="J425" s="404"/>
      <c r="K425" s="404"/>
      <c r="L425" s="404"/>
      <c r="M425" s="404"/>
    </row>
    <row r="426" ht="15.75" customHeight="1">
      <c r="A426" s="400"/>
      <c r="B426" s="401"/>
      <c r="C426" s="401"/>
      <c r="D426" s="402" t="str">
        <f t="shared" si="1"/>
        <v/>
      </c>
      <c r="E426" s="403"/>
      <c r="F426" s="403"/>
      <c r="G426" s="404"/>
      <c r="H426" s="404"/>
      <c r="I426" s="404"/>
      <c r="J426" s="404"/>
      <c r="K426" s="404"/>
      <c r="L426" s="404"/>
      <c r="M426" s="404"/>
    </row>
    <row r="427" ht="15.75" customHeight="1">
      <c r="A427" s="400"/>
      <c r="B427" s="401"/>
      <c r="C427" s="401"/>
      <c r="D427" s="402" t="str">
        <f t="shared" si="1"/>
        <v/>
      </c>
      <c r="E427" s="403"/>
      <c r="F427" s="403"/>
      <c r="G427" s="404"/>
      <c r="H427" s="404"/>
      <c r="I427" s="404"/>
      <c r="J427" s="404"/>
      <c r="K427" s="404"/>
      <c r="L427" s="404"/>
      <c r="M427" s="404"/>
    </row>
    <row r="428" ht="15.75" customHeight="1">
      <c r="A428" s="400"/>
      <c r="B428" s="401"/>
      <c r="C428" s="401"/>
      <c r="D428" s="402" t="str">
        <f t="shared" si="1"/>
        <v/>
      </c>
      <c r="E428" s="403"/>
      <c r="F428" s="403"/>
      <c r="G428" s="404"/>
      <c r="H428" s="404"/>
      <c r="I428" s="404"/>
      <c r="J428" s="404"/>
      <c r="K428" s="404"/>
      <c r="L428" s="404"/>
      <c r="M428" s="404"/>
    </row>
    <row r="429" ht="15.75" customHeight="1">
      <c r="A429" s="400"/>
      <c r="B429" s="401"/>
      <c r="C429" s="401"/>
      <c r="D429" s="402" t="str">
        <f t="shared" si="1"/>
        <v/>
      </c>
      <c r="E429" s="403"/>
      <c r="F429" s="403"/>
      <c r="G429" s="404"/>
      <c r="H429" s="404"/>
      <c r="I429" s="404"/>
      <c r="J429" s="404"/>
      <c r="K429" s="404"/>
      <c r="L429" s="404"/>
      <c r="M429" s="404"/>
    </row>
    <row r="430" ht="15.75" customHeight="1">
      <c r="A430" s="400"/>
      <c r="B430" s="401"/>
      <c r="C430" s="401"/>
      <c r="D430" s="402" t="str">
        <f t="shared" si="1"/>
        <v/>
      </c>
      <c r="E430" s="403"/>
      <c r="F430" s="403"/>
      <c r="G430" s="404"/>
      <c r="H430" s="404"/>
      <c r="I430" s="404"/>
      <c r="J430" s="404"/>
      <c r="K430" s="404"/>
      <c r="L430" s="404"/>
      <c r="M430" s="404"/>
    </row>
    <row r="431" ht="15.75" customHeight="1">
      <c r="A431" s="400"/>
      <c r="B431" s="401"/>
      <c r="C431" s="401"/>
      <c r="D431" s="402" t="str">
        <f t="shared" si="1"/>
        <v/>
      </c>
      <c r="E431" s="403"/>
      <c r="F431" s="403"/>
      <c r="G431" s="404"/>
      <c r="H431" s="404"/>
      <c r="I431" s="404"/>
      <c r="J431" s="404"/>
      <c r="K431" s="404"/>
      <c r="L431" s="404"/>
      <c r="M431" s="404"/>
    </row>
    <row r="432" ht="15.75" customHeight="1">
      <c r="A432" s="400"/>
      <c r="B432" s="401"/>
      <c r="C432" s="401"/>
      <c r="D432" s="402" t="str">
        <f t="shared" si="1"/>
        <v/>
      </c>
      <c r="E432" s="403"/>
      <c r="F432" s="403"/>
      <c r="G432" s="404"/>
      <c r="H432" s="404"/>
      <c r="I432" s="404"/>
      <c r="J432" s="404"/>
      <c r="K432" s="404"/>
      <c r="L432" s="404"/>
      <c r="M432" s="404"/>
    </row>
    <row r="433" ht="15.75" customHeight="1">
      <c r="A433" s="400"/>
      <c r="B433" s="401"/>
      <c r="C433" s="401"/>
      <c r="D433" s="402" t="str">
        <f t="shared" si="1"/>
        <v/>
      </c>
      <c r="E433" s="403"/>
      <c r="F433" s="403"/>
      <c r="G433" s="404"/>
      <c r="H433" s="404"/>
      <c r="I433" s="404"/>
      <c r="J433" s="404"/>
      <c r="K433" s="404"/>
      <c r="L433" s="404"/>
      <c r="M433" s="404"/>
    </row>
    <row r="434" ht="15.75" customHeight="1">
      <c r="A434" s="400"/>
      <c r="B434" s="401"/>
      <c r="C434" s="401"/>
      <c r="D434" s="402" t="str">
        <f t="shared" si="1"/>
        <v/>
      </c>
      <c r="E434" s="403"/>
      <c r="F434" s="403"/>
      <c r="G434" s="404"/>
      <c r="H434" s="404"/>
      <c r="I434" s="404"/>
      <c r="J434" s="404"/>
      <c r="K434" s="404"/>
      <c r="L434" s="404"/>
      <c r="M434" s="404"/>
    </row>
    <row r="435" ht="15.75" customHeight="1">
      <c r="A435" s="400"/>
      <c r="B435" s="401"/>
      <c r="C435" s="401"/>
      <c r="D435" s="402" t="str">
        <f t="shared" si="1"/>
        <v/>
      </c>
      <c r="E435" s="403"/>
      <c r="F435" s="403"/>
      <c r="G435" s="404"/>
      <c r="H435" s="404"/>
      <c r="I435" s="404"/>
      <c r="J435" s="404"/>
      <c r="K435" s="404"/>
      <c r="L435" s="404"/>
      <c r="M435" s="404"/>
    </row>
    <row r="436" ht="15.75" customHeight="1">
      <c r="A436" s="400"/>
      <c r="B436" s="401"/>
      <c r="C436" s="401"/>
      <c r="D436" s="402" t="str">
        <f t="shared" si="1"/>
        <v/>
      </c>
      <c r="E436" s="403"/>
      <c r="F436" s="403"/>
      <c r="G436" s="404"/>
      <c r="H436" s="404"/>
      <c r="I436" s="404"/>
      <c r="J436" s="404"/>
      <c r="K436" s="404"/>
      <c r="L436" s="404"/>
      <c r="M436" s="404"/>
    </row>
    <row r="437" ht="15.75" customHeight="1">
      <c r="A437" s="400"/>
      <c r="B437" s="401"/>
      <c r="C437" s="401"/>
      <c r="D437" s="402" t="str">
        <f t="shared" si="1"/>
        <v/>
      </c>
      <c r="E437" s="403"/>
      <c r="F437" s="403"/>
      <c r="G437" s="404"/>
      <c r="H437" s="404"/>
      <c r="I437" s="404"/>
      <c r="J437" s="404"/>
      <c r="K437" s="404"/>
      <c r="L437" s="404"/>
      <c r="M437" s="404"/>
    </row>
    <row r="438" ht="15.75" customHeight="1">
      <c r="A438" s="400"/>
      <c r="B438" s="401"/>
      <c r="C438" s="401"/>
      <c r="D438" s="402" t="str">
        <f t="shared" si="1"/>
        <v/>
      </c>
      <c r="E438" s="403"/>
      <c r="F438" s="403"/>
      <c r="G438" s="404"/>
      <c r="H438" s="404"/>
      <c r="I438" s="404"/>
      <c r="J438" s="404"/>
      <c r="K438" s="404"/>
      <c r="L438" s="404"/>
      <c r="M438" s="404"/>
    </row>
    <row r="439" ht="15.75" customHeight="1">
      <c r="A439" s="400"/>
      <c r="B439" s="401"/>
      <c r="C439" s="401"/>
      <c r="D439" s="402" t="str">
        <f t="shared" si="1"/>
        <v/>
      </c>
      <c r="E439" s="403"/>
      <c r="F439" s="403"/>
      <c r="G439" s="404"/>
      <c r="H439" s="404"/>
      <c r="I439" s="404"/>
      <c r="J439" s="404"/>
      <c r="K439" s="404"/>
      <c r="L439" s="404"/>
      <c r="M439" s="404"/>
    </row>
    <row r="440" ht="15.75" customHeight="1">
      <c r="A440" s="400"/>
      <c r="B440" s="401"/>
      <c r="C440" s="401"/>
      <c r="D440" s="402" t="str">
        <f t="shared" si="1"/>
        <v/>
      </c>
      <c r="E440" s="403"/>
      <c r="F440" s="403"/>
      <c r="G440" s="404"/>
      <c r="H440" s="404"/>
      <c r="I440" s="404"/>
      <c r="J440" s="404"/>
      <c r="K440" s="404"/>
      <c r="L440" s="404"/>
      <c r="M440" s="404"/>
    </row>
    <row r="441" ht="15.75" customHeight="1">
      <c r="A441" s="400"/>
      <c r="B441" s="401"/>
      <c r="C441" s="401"/>
      <c r="D441" s="402" t="str">
        <f t="shared" si="1"/>
        <v/>
      </c>
      <c r="E441" s="403"/>
      <c r="F441" s="403"/>
      <c r="G441" s="404"/>
      <c r="H441" s="404"/>
      <c r="I441" s="404"/>
      <c r="J441" s="404"/>
      <c r="K441" s="404"/>
      <c r="L441" s="404"/>
      <c r="M441" s="404"/>
    </row>
    <row r="442" ht="15.75" customHeight="1">
      <c r="A442" s="400"/>
      <c r="B442" s="401"/>
      <c r="C442" s="401"/>
      <c r="D442" s="402" t="str">
        <f t="shared" si="1"/>
        <v/>
      </c>
      <c r="E442" s="403"/>
      <c r="F442" s="403"/>
      <c r="G442" s="404"/>
      <c r="H442" s="404"/>
      <c r="I442" s="404"/>
      <c r="J442" s="404"/>
      <c r="K442" s="404"/>
      <c r="L442" s="404"/>
      <c r="M442" s="404"/>
    </row>
    <row r="443" ht="15.75" customHeight="1">
      <c r="A443" s="400"/>
      <c r="B443" s="401"/>
      <c r="C443" s="401"/>
      <c r="D443" s="402" t="str">
        <f t="shared" si="1"/>
        <v/>
      </c>
      <c r="E443" s="403"/>
      <c r="F443" s="403"/>
      <c r="G443" s="404"/>
      <c r="H443" s="404"/>
      <c r="I443" s="404"/>
      <c r="J443" s="404"/>
      <c r="K443" s="404"/>
      <c r="L443" s="404"/>
      <c r="M443" s="404"/>
    </row>
    <row r="444" ht="15.75" customHeight="1">
      <c r="A444" s="400"/>
      <c r="B444" s="401"/>
      <c r="C444" s="401"/>
      <c r="D444" s="402" t="str">
        <f t="shared" si="1"/>
        <v/>
      </c>
      <c r="E444" s="403"/>
      <c r="F444" s="403"/>
      <c r="G444" s="404"/>
      <c r="H444" s="404"/>
      <c r="I444" s="404"/>
      <c r="J444" s="404"/>
      <c r="K444" s="404"/>
      <c r="L444" s="404"/>
      <c r="M444" s="404"/>
    </row>
    <row r="445" ht="15.75" customHeight="1">
      <c r="A445" s="400"/>
      <c r="B445" s="401"/>
      <c r="C445" s="401"/>
      <c r="D445" s="402" t="str">
        <f t="shared" si="1"/>
        <v/>
      </c>
      <c r="E445" s="403"/>
      <c r="F445" s="403"/>
      <c r="G445" s="404"/>
      <c r="H445" s="404"/>
      <c r="I445" s="404"/>
      <c r="J445" s="404"/>
      <c r="K445" s="404"/>
      <c r="L445" s="404"/>
      <c r="M445" s="404"/>
    </row>
    <row r="446" ht="15.75" customHeight="1">
      <c r="A446" s="400"/>
      <c r="B446" s="401"/>
      <c r="C446" s="401"/>
      <c r="D446" s="402" t="str">
        <f t="shared" si="1"/>
        <v/>
      </c>
      <c r="E446" s="403"/>
      <c r="F446" s="403"/>
      <c r="G446" s="404"/>
      <c r="H446" s="404"/>
      <c r="I446" s="404"/>
      <c r="J446" s="404"/>
      <c r="K446" s="404"/>
      <c r="L446" s="404"/>
      <c r="M446" s="404"/>
    </row>
    <row r="447" ht="15.75" customHeight="1">
      <c r="A447" s="400"/>
      <c r="B447" s="401"/>
      <c r="C447" s="401"/>
      <c r="D447" s="402" t="str">
        <f t="shared" si="1"/>
        <v/>
      </c>
      <c r="E447" s="403"/>
      <c r="F447" s="403"/>
      <c r="G447" s="404"/>
      <c r="H447" s="404"/>
      <c r="I447" s="404"/>
      <c r="J447" s="404"/>
      <c r="K447" s="404"/>
      <c r="L447" s="404"/>
      <c r="M447" s="404"/>
    </row>
    <row r="448" ht="15.75" customHeight="1">
      <c r="A448" s="400"/>
      <c r="B448" s="401"/>
      <c r="C448" s="401"/>
      <c r="D448" s="402" t="str">
        <f t="shared" si="1"/>
        <v/>
      </c>
      <c r="E448" s="403"/>
      <c r="F448" s="403"/>
      <c r="G448" s="404"/>
      <c r="H448" s="404"/>
      <c r="I448" s="404"/>
      <c r="J448" s="404"/>
      <c r="K448" s="404"/>
      <c r="L448" s="404"/>
      <c r="M448" s="404"/>
    </row>
    <row r="449" ht="15.75" customHeight="1">
      <c r="A449" s="400"/>
      <c r="B449" s="401"/>
      <c r="C449" s="401"/>
      <c r="D449" s="402" t="str">
        <f t="shared" si="1"/>
        <v/>
      </c>
      <c r="E449" s="403"/>
      <c r="F449" s="403"/>
      <c r="G449" s="404"/>
      <c r="H449" s="404"/>
      <c r="I449" s="404"/>
      <c r="J449" s="404"/>
      <c r="K449" s="404"/>
      <c r="L449" s="404"/>
      <c r="M449" s="404"/>
    </row>
    <row r="450" ht="15.75" customHeight="1">
      <c r="A450" s="400"/>
      <c r="B450" s="401"/>
      <c r="C450" s="401"/>
      <c r="D450" s="402" t="str">
        <f t="shared" si="1"/>
        <v/>
      </c>
      <c r="E450" s="403"/>
      <c r="F450" s="403"/>
      <c r="G450" s="404"/>
      <c r="H450" s="404"/>
      <c r="I450" s="404"/>
      <c r="J450" s="404"/>
      <c r="K450" s="404"/>
      <c r="L450" s="404"/>
      <c r="M450" s="404"/>
    </row>
    <row r="451" ht="15.75" customHeight="1">
      <c r="A451" s="400"/>
      <c r="B451" s="401"/>
      <c r="C451" s="401"/>
      <c r="D451" s="402" t="str">
        <f t="shared" si="1"/>
        <v/>
      </c>
      <c r="E451" s="403"/>
      <c r="F451" s="403"/>
      <c r="G451" s="404"/>
      <c r="H451" s="404"/>
      <c r="I451" s="404"/>
      <c r="J451" s="404"/>
      <c r="K451" s="404"/>
      <c r="L451" s="404"/>
      <c r="M451" s="404"/>
    </row>
    <row r="452" ht="15.75" customHeight="1">
      <c r="A452" s="400"/>
      <c r="B452" s="401"/>
      <c r="C452" s="401"/>
      <c r="D452" s="402" t="str">
        <f t="shared" si="1"/>
        <v/>
      </c>
      <c r="E452" s="403"/>
      <c r="F452" s="403"/>
      <c r="G452" s="404"/>
      <c r="H452" s="404"/>
      <c r="I452" s="404"/>
      <c r="J452" s="404"/>
      <c r="K452" s="404"/>
      <c r="L452" s="404"/>
      <c r="M452" s="404"/>
    </row>
    <row r="453" ht="15.75" customHeight="1">
      <c r="A453" s="400"/>
      <c r="B453" s="401"/>
      <c r="C453" s="401"/>
      <c r="D453" s="402" t="str">
        <f t="shared" si="1"/>
        <v/>
      </c>
      <c r="E453" s="403"/>
      <c r="F453" s="403"/>
      <c r="G453" s="404"/>
      <c r="H453" s="404"/>
      <c r="I453" s="404"/>
      <c r="J453" s="404"/>
      <c r="K453" s="404"/>
      <c r="L453" s="404"/>
      <c r="M453" s="404"/>
    </row>
    <row r="454" ht="15.75" customHeight="1">
      <c r="A454" s="400"/>
      <c r="B454" s="401"/>
      <c r="C454" s="401"/>
      <c r="D454" s="402" t="str">
        <f t="shared" si="1"/>
        <v/>
      </c>
      <c r="E454" s="403"/>
      <c r="F454" s="403"/>
      <c r="G454" s="404"/>
      <c r="H454" s="404"/>
      <c r="I454" s="404"/>
      <c r="J454" s="404"/>
      <c r="K454" s="404"/>
      <c r="L454" s="404"/>
      <c r="M454" s="404"/>
    </row>
    <row r="455" ht="15.75" customHeight="1">
      <c r="A455" s="400"/>
      <c r="B455" s="401"/>
      <c r="C455" s="401"/>
      <c r="D455" s="402" t="str">
        <f t="shared" si="1"/>
        <v/>
      </c>
      <c r="E455" s="403"/>
      <c r="F455" s="403"/>
      <c r="G455" s="404"/>
      <c r="H455" s="404"/>
      <c r="I455" s="404"/>
      <c r="J455" s="404"/>
      <c r="K455" s="404"/>
      <c r="L455" s="404"/>
      <c r="M455" s="404"/>
    </row>
    <row r="456" ht="15.75" customHeight="1">
      <c r="A456" s="400"/>
      <c r="B456" s="401"/>
      <c r="C456" s="401"/>
      <c r="D456" s="402" t="str">
        <f t="shared" si="1"/>
        <v/>
      </c>
      <c r="E456" s="403"/>
      <c r="F456" s="403"/>
      <c r="G456" s="404"/>
      <c r="H456" s="404"/>
      <c r="I456" s="404"/>
      <c r="J456" s="404"/>
      <c r="K456" s="404"/>
      <c r="L456" s="404"/>
      <c r="M456" s="404"/>
    </row>
    <row r="457" ht="15.75" customHeight="1">
      <c r="A457" s="400"/>
      <c r="B457" s="401"/>
      <c r="C457" s="401"/>
      <c r="D457" s="402" t="str">
        <f t="shared" si="1"/>
        <v/>
      </c>
      <c r="E457" s="403"/>
      <c r="F457" s="403"/>
      <c r="G457" s="404"/>
      <c r="H457" s="404"/>
      <c r="I457" s="404"/>
      <c r="J457" s="404"/>
      <c r="K457" s="404"/>
      <c r="L457" s="404"/>
      <c r="M457" s="404"/>
    </row>
    <row r="458" ht="15.75" customHeight="1">
      <c r="A458" s="400"/>
      <c r="B458" s="401"/>
      <c r="C458" s="401"/>
      <c r="D458" s="402" t="str">
        <f t="shared" si="1"/>
        <v/>
      </c>
      <c r="E458" s="403"/>
      <c r="F458" s="403"/>
      <c r="G458" s="404"/>
      <c r="H458" s="404"/>
      <c r="I458" s="404"/>
      <c r="J458" s="404"/>
      <c r="K458" s="404"/>
      <c r="L458" s="404"/>
      <c r="M458" s="404"/>
    </row>
    <row r="459" ht="15.75" customHeight="1">
      <c r="A459" s="400"/>
      <c r="B459" s="401"/>
      <c r="C459" s="401"/>
      <c r="D459" s="402" t="str">
        <f t="shared" si="1"/>
        <v/>
      </c>
      <c r="E459" s="403"/>
      <c r="F459" s="403"/>
      <c r="G459" s="404"/>
      <c r="H459" s="404"/>
      <c r="I459" s="404"/>
      <c r="J459" s="404"/>
      <c r="K459" s="404"/>
      <c r="L459" s="404"/>
      <c r="M459" s="404"/>
    </row>
    <row r="460" ht="15.75" customHeight="1">
      <c r="A460" s="400"/>
      <c r="B460" s="401"/>
      <c r="C460" s="401"/>
      <c r="D460" s="402" t="str">
        <f t="shared" si="1"/>
        <v/>
      </c>
      <c r="E460" s="403"/>
      <c r="F460" s="403"/>
      <c r="G460" s="404"/>
      <c r="H460" s="404"/>
      <c r="I460" s="404"/>
      <c r="J460" s="404"/>
      <c r="K460" s="404"/>
      <c r="L460" s="404"/>
      <c r="M460" s="404"/>
    </row>
    <row r="461" ht="15.75" customHeight="1">
      <c r="A461" s="400"/>
      <c r="B461" s="401"/>
      <c r="C461" s="401"/>
      <c r="D461" s="402" t="str">
        <f t="shared" si="1"/>
        <v/>
      </c>
      <c r="E461" s="403"/>
      <c r="F461" s="403"/>
      <c r="G461" s="404"/>
      <c r="H461" s="404"/>
      <c r="I461" s="404"/>
      <c r="J461" s="404"/>
      <c r="K461" s="404"/>
      <c r="L461" s="404"/>
      <c r="M461" s="404"/>
    </row>
    <row r="462" ht="15.75" customHeight="1">
      <c r="A462" s="400"/>
      <c r="B462" s="401"/>
      <c r="C462" s="401"/>
      <c r="D462" s="402" t="str">
        <f t="shared" si="1"/>
        <v/>
      </c>
      <c r="E462" s="403"/>
      <c r="F462" s="403"/>
      <c r="G462" s="404"/>
      <c r="H462" s="404"/>
      <c r="I462" s="404"/>
      <c r="J462" s="404"/>
      <c r="K462" s="404"/>
      <c r="L462" s="404"/>
      <c r="M462" s="404"/>
    </row>
    <row r="463" ht="15.75" customHeight="1">
      <c r="A463" s="400"/>
      <c r="B463" s="401"/>
      <c r="C463" s="401"/>
      <c r="D463" s="402" t="str">
        <f t="shared" si="1"/>
        <v/>
      </c>
      <c r="E463" s="403"/>
      <c r="F463" s="403"/>
      <c r="G463" s="404"/>
      <c r="H463" s="404"/>
      <c r="I463" s="404"/>
      <c r="J463" s="404"/>
      <c r="K463" s="404"/>
      <c r="L463" s="404"/>
      <c r="M463" s="404"/>
    </row>
    <row r="464" ht="15.75" customHeight="1">
      <c r="A464" s="400"/>
      <c r="B464" s="401"/>
      <c r="C464" s="401"/>
      <c r="D464" s="402" t="str">
        <f t="shared" si="1"/>
        <v/>
      </c>
      <c r="E464" s="403"/>
      <c r="F464" s="403"/>
      <c r="G464" s="404"/>
      <c r="H464" s="404"/>
      <c r="I464" s="404"/>
      <c r="J464" s="404"/>
      <c r="K464" s="404"/>
      <c r="L464" s="404"/>
      <c r="M464" s="404"/>
    </row>
    <row r="465" ht="15.75" customHeight="1">
      <c r="A465" s="400"/>
      <c r="B465" s="401"/>
      <c r="C465" s="401"/>
      <c r="D465" s="402" t="str">
        <f t="shared" si="1"/>
        <v/>
      </c>
      <c r="E465" s="403"/>
      <c r="F465" s="403"/>
      <c r="G465" s="404"/>
      <c r="H465" s="404"/>
      <c r="I465" s="404"/>
      <c r="J465" s="404"/>
      <c r="K465" s="404"/>
      <c r="L465" s="404"/>
      <c r="M465" s="404"/>
    </row>
    <row r="466" ht="15.75" customHeight="1">
      <c r="A466" s="400"/>
      <c r="B466" s="401"/>
      <c r="C466" s="401"/>
      <c r="D466" s="402" t="str">
        <f t="shared" si="1"/>
        <v/>
      </c>
      <c r="E466" s="403"/>
      <c r="F466" s="403"/>
      <c r="G466" s="404"/>
      <c r="H466" s="404"/>
      <c r="I466" s="404"/>
      <c r="J466" s="404"/>
      <c r="K466" s="404"/>
      <c r="L466" s="404"/>
      <c r="M466" s="404"/>
    </row>
    <row r="467" ht="15.75" customHeight="1">
      <c r="A467" s="400"/>
      <c r="B467" s="401"/>
      <c r="C467" s="401"/>
      <c r="D467" s="402" t="str">
        <f t="shared" si="1"/>
        <v/>
      </c>
      <c r="E467" s="403"/>
      <c r="F467" s="403"/>
      <c r="G467" s="404"/>
      <c r="H467" s="404"/>
      <c r="I467" s="404"/>
      <c r="J467" s="404"/>
      <c r="K467" s="404"/>
      <c r="L467" s="404"/>
      <c r="M467" s="404"/>
    </row>
    <row r="468" ht="15.75" customHeight="1">
      <c r="A468" s="400"/>
      <c r="B468" s="401"/>
      <c r="C468" s="401"/>
      <c r="D468" s="402" t="str">
        <f t="shared" si="1"/>
        <v/>
      </c>
      <c r="E468" s="403"/>
      <c r="F468" s="403"/>
      <c r="G468" s="404"/>
      <c r="H468" s="404"/>
      <c r="I468" s="404"/>
      <c r="J468" s="404"/>
      <c r="K468" s="404"/>
      <c r="L468" s="404"/>
      <c r="M468" s="404"/>
    </row>
    <row r="469" ht="15.75" customHeight="1">
      <c r="A469" s="400"/>
      <c r="B469" s="401"/>
      <c r="C469" s="401"/>
      <c r="D469" s="402" t="str">
        <f t="shared" si="1"/>
        <v/>
      </c>
      <c r="E469" s="403"/>
      <c r="F469" s="403"/>
      <c r="G469" s="404"/>
      <c r="H469" s="404"/>
      <c r="I469" s="404"/>
      <c r="J469" s="404"/>
      <c r="K469" s="404"/>
      <c r="L469" s="404"/>
      <c r="M469" s="404"/>
    </row>
    <row r="470" ht="15.75" customHeight="1">
      <c r="A470" s="400"/>
      <c r="B470" s="401"/>
      <c r="C470" s="401"/>
      <c r="D470" s="402" t="str">
        <f t="shared" si="1"/>
        <v/>
      </c>
      <c r="E470" s="403"/>
      <c r="F470" s="403"/>
      <c r="G470" s="404"/>
      <c r="H470" s="404"/>
      <c r="I470" s="404"/>
      <c r="J470" s="404"/>
      <c r="K470" s="404"/>
      <c r="L470" s="404"/>
      <c r="M470" s="404"/>
    </row>
    <row r="471" ht="15.75" customHeight="1">
      <c r="A471" s="400"/>
      <c r="B471" s="401"/>
      <c r="C471" s="401"/>
      <c r="D471" s="402" t="str">
        <f t="shared" si="1"/>
        <v/>
      </c>
      <c r="E471" s="403"/>
      <c r="F471" s="403"/>
      <c r="G471" s="404"/>
      <c r="H471" s="404"/>
      <c r="I471" s="404"/>
      <c r="J471" s="404"/>
      <c r="K471" s="404"/>
      <c r="L471" s="404"/>
      <c r="M471" s="404"/>
    </row>
    <row r="472" ht="15.75" customHeight="1">
      <c r="A472" s="400"/>
      <c r="B472" s="401"/>
      <c r="C472" s="401"/>
      <c r="D472" s="402" t="str">
        <f t="shared" si="1"/>
        <v/>
      </c>
      <c r="E472" s="403"/>
      <c r="F472" s="403"/>
      <c r="G472" s="404"/>
      <c r="H472" s="404"/>
      <c r="I472" s="404"/>
      <c r="J472" s="404"/>
      <c r="K472" s="404"/>
      <c r="L472" s="404"/>
      <c r="M472" s="404"/>
    </row>
    <row r="473" ht="15.75" customHeight="1">
      <c r="A473" s="400"/>
      <c r="B473" s="401"/>
      <c r="C473" s="401"/>
      <c r="D473" s="402" t="str">
        <f t="shared" si="1"/>
        <v/>
      </c>
      <c r="E473" s="403"/>
      <c r="F473" s="403"/>
      <c r="G473" s="404"/>
      <c r="H473" s="404"/>
      <c r="I473" s="404"/>
      <c r="J473" s="404"/>
      <c r="K473" s="404"/>
      <c r="L473" s="404"/>
      <c r="M473" s="404"/>
    </row>
    <row r="474" ht="15.75" customHeight="1">
      <c r="A474" s="400"/>
      <c r="B474" s="401"/>
      <c r="C474" s="401"/>
      <c r="D474" s="402" t="str">
        <f t="shared" si="1"/>
        <v/>
      </c>
      <c r="E474" s="403"/>
      <c r="F474" s="403"/>
      <c r="G474" s="404"/>
      <c r="H474" s="404"/>
      <c r="I474" s="404"/>
      <c r="J474" s="404"/>
      <c r="K474" s="404"/>
      <c r="L474" s="404"/>
      <c r="M474" s="404"/>
    </row>
    <row r="475" ht="15.75" customHeight="1">
      <c r="A475" s="400"/>
      <c r="B475" s="401"/>
      <c r="C475" s="401"/>
      <c r="D475" s="402" t="str">
        <f t="shared" si="1"/>
        <v/>
      </c>
      <c r="E475" s="403"/>
      <c r="F475" s="403"/>
      <c r="G475" s="404"/>
      <c r="H475" s="404"/>
      <c r="I475" s="404"/>
      <c r="J475" s="404"/>
      <c r="K475" s="404"/>
      <c r="L475" s="404"/>
      <c r="M475" s="404"/>
    </row>
    <row r="476" ht="15.75" customHeight="1">
      <c r="A476" s="400"/>
      <c r="B476" s="401"/>
      <c r="C476" s="401"/>
      <c r="D476" s="402" t="str">
        <f t="shared" si="1"/>
        <v/>
      </c>
      <c r="E476" s="403"/>
      <c r="F476" s="403"/>
      <c r="G476" s="404"/>
      <c r="H476" s="404"/>
      <c r="I476" s="404"/>
      <c r="J476" s="404"/>
      <c r="K476" s="404"/>
      <c r="L476" s="404"/>
      <c r="M476" s="404"/>
    </row>
    <row r="477" ht="15.75" customHeight="1">
      <c r="A477" s="400"/>
      <c r="B477" s="401"/>
      <c r="C477" s="401"/>
      <c r="D477" s="402" t="str">
        <f t="shared" si="1"/>
        <v/>
      </c>
      <c r="E477" s="403"/>
      <c r="F477" s="403"/>
      <c r="G477" s="404"/>
      <c r="H477" s="404"/>
      <c r="I477" s="404"/>
      <c r="J477" s="404"/>
      <c r="K477" s="404"/>
      <c r="L477" s="404"/>
      <c r="M477" s="404"/>
    </row>
    <row r="478" ht="15.75" customHeight="1">
      <c r="A478" s="400"/>
      <c r="B478" s="401"/>
      <c r="C478" s="401"/>
      <c r="D478" s="402" t="str">
        <f t="shared" si="1"/>
        <v/>
      </c>
      <c r="E478" s="403"/>
      <c r="F478" s="403"/>
      <c r="G478" s="404"/>
      <c r="H478" s="404"/>
      <c r="I478" s="404"/>
      <c r="J478" s="404"/>
      <c r="K478" s="404"/>
      <c r="L478" s="404"/>
      <c r="M478" s="404"/>
    </row>
    <row r="479" ht="15.75" customHeight="1">
      <c r="A479" s="400"/>
      <c r="B479" s="401"/>
      <c r="C479" s="401"/>
      <c r="D479" s="402" t="str">
        <f t="shared" si="1"/>
        <v/>
      </c>
      <c r="E479" s="403"/>
      <c r="F479" s="403"/>
      <c r="G479" s="404"/>
      <c r="H479" s="404"/>
      <c r="I479" s="404"/>
      <c r="J479" s="404"/>
      <c r="K479" s="404"/>
      <c r="L479" s="404"/>
      <c r="M479" s="404"/>
    </row>
    <row r="480" ht="15.75" customHeight="1">
      <c r="A480" s="400"/>
      <c r="B480" s="401"/>
      <c r="C480" s="401"/>
      <c r="D480" s="402" t="str">
        <f t="shared" si="1"/>
        <v/>
      </c>
      <c r="E480" s="403"/>
      <c r="F480" s="403"/>
      <c r="G480" s="404"/>
      <c r="H480" s="404"/>
      <c r="I480" s="404"/>
      <c r="J480" s="404"/>
      <c r="K480" s="404"/>
      <c r="L480" s="404"/>
      <c r="M480" s="404"/>
    </row>
    <row r="481" ht="15.75" customHeight="1">
      <c r="A481" s="400"/>
      <c r="B481" s="401"/>
      <c r="C481" s="401"/>
      <c r="D481" s="402" t="str">
        <f t="shared" si="1"/>
        <v/>
      </c>
      <c r="E481" s="403"/>
      <c r="F481" s="403"/>
      <c r="G481" s="404"/>
      <c r="H481" s="404"/>
      <c r="I481" s="404"/>
      <c r="J481" s="404"/>
      <c r="K481" s="404"/>
      <c r="L481" s="404"/>
      <c r="M481" s="404"/>
    </row>
    <row r="482" ht="15.75" customHeight="1">
      <c r="A482" s="400"/>
      <c r="B482" s="401"/>
      <c r="C482" s="401"/>
      <c r="D482" s="402" t="str">
        <f t="shared" si="1"/>
        <v/>
      </c>
      <c r="E482" s="403"/>
      <c r="F482" s="403"/>
      <c r="G482" s="404"/>
      <c r="H482" s="404"/>
      <c r="I482" s="404"/>
      <c r="J482" s="404"/>
      <c r="K482" s="404"/>
      <c r="L482" s="404"/>
      <c r="M482" s="404"/>
    </row>
    <row r="483" ht="15.75" customHeight="1">
      <c r="A483" s="400"/>
      <c r="B483" s="401"/>
      <c r="C483" s="401"/>
      <c r="D483" s="402" t="str">
        <f t="shared" si="1"/>
        <v/>
      </c>
      <c r="E483" s="403"/>
      <c r="F483" s="403"/>
      <c r="G483" s="404"/>
      <c r="H483" s="404"/>
      <c r="I483" s="404"/>
      <c r="J483" s="404"/>
      <c r="K483" s="404"/>
      <c r="L483" s="404"/>
      <c r="M483" s="404"/>
    </row>
    <row r="484" ht="15.75" customHeight="1">
      <c r="A484" s="400"/>
      <c r="B484" s="401"/>
      <c r="C484" s="401"/>
      <c r="D484" s="402" t="str">
        <f t="shared" si="1"/>
        <v/>
      </c>
      <c r="E484" s="403"/>
      <c r="F484" s="403"/>
      <c r="G484" s="404"/>
      <c r="H484" s="404"/>
      <c r="I484" s="404"/>
      <c r="J484" s="404"/>
      <c r="K484" s="404"/>
      <c r="L484" s="404"/>
      <c r="M484" s="404"/>
    </row>
    <row r="485" ht="15.75" customHeight="1">
      <c r="A485" s="400"/>
      <c r="B485" s="401"/>
      <c r="C485" s="401"/>
      <c r="D485" s="402" t="str">
        <f t="shared" si="1"/>
        <v/>
      </c>
      <c r="E485" s="403"/>
      <c r="F485" s="403"/>
      <c r="G485" s="404"/>
      <c r="H485" s="404"/>
      <c r="I485" s="404"/>
      <c r="J485" s="404"/>
      <c r="K485" s="404"/>
      <c r="L485" s="404"/>
      <c r="M485" s="404"/>
    </row>
    <row r="486" ht="15.75" customHeight="1">
      <c r="A486" s="400"/>
      <c r="B486" s="401"/>
      <c r="C486" s="401"/>
      <c r="D486" s="402" t="str">
        <f t="shared" si="1"/>
        <v/>
      </c>
      <c r="E486" s="403"/>
      <c r="F486" s="403"/>
      <c r="G486" s="404"/>
      <c r="H486" s="404"/>
      <c r="I486" s="404"/>
      <c r="J486" s="404"/>
      <c r="K486" s="404"/>
      <c r="L486" s="404"/>
      <c r="M486" s="404"/>
    </row>
    <row r="487" ht="15.75" customHeight="1">
      <c r="A487" s="400"/>
      <c r="B487" s="401"/>
      <c r="C487" s="401"/>
      <c r="D487" s="402" t="str">
        <f t="shared" si="1"/>
        <v/>
      </c>
      <c r="E487" s="403"/>
      <c r="F487" s="403"/>
      <c r="G487" s="404"/>
      <c r="H487" s="404"/>
      <c r="I487" s="404"/>
      <c r="J487" s="404"/>
      <c r="K487" s="404"/>
      <c r="L487" s="404"/>
      <c r="M487" s="404"/>
    </row>
    <row r="488" ht="15.75" customHeight="1">
      <c r="A488" s="400"/>
      <c r="B488" s="401"/>
      <c r="C488" s="401"/>
      <c r="D488" s="402" t="str">
        <f t="shared" si="1"/>
        <v/>
      </c>
      <c r="E488" s="403"/>
      <c r="F488" s="403"/>
      <c r="G488" s="404"/>
      <c r="H488" s="404"/>
      <c r="I488" s="404"/>
      <c r="J488" s="404"/>
      <c r="K488" s="404"/>
      <c r="L488" s="404"/>
      <c r="M488" s="404"/>
    </row>
    <row r="489" ht="15.75" customHeight="1">
      <c r="A489" s="400"/>
      <c r="B489" s="401"/>
      <c r="C489" s="401"/>
      <c r="D489" s="402" t="str">
        <f t="shared" si="1"/>
        <v/>
      </c>
      <c r="E489" s="403"/>
      <c r="F489" s="403"/>
      <c r="G489" s="404"/>
      <c r="H489" s="404"/>
      <c r="I489" s="404"/>
      <c r="J489" s="404"/>
      <c r="K489" s="404"/>
      <c r="L489" s="404"/>
      <c r="M489" s="404"/>
    </row>
    <row r="490" ht="15.75" customHeight="1">
      <c r="A490" s="400"/>
      <c r="B490" s="401"/>
      <c r="C490" s="401"/>
      <c r="D490" s="402" t="str">
        <f t="shared" si="1"/>
        <v/>
      </c>
      <c r="E490" s="403"/>
      <c r="F490" s="403"/>
      <c r="G490" s="404"/>
      <c r="H490" s="404"/>
      <c r="I490" s="404"/>
      <c r="J490" s="404"/>
      <c r="K490" s="404"/>
      <c r="L490" s="404"/>
      <c r="M490" s="404"/>
    </row>
    <row r="491" ht="15.75" customHeight="1">
      <c r="A491" s="400"/>
      <c r="B491" s="401"/>
      <c r="C491" s="401"/>
      <c r="D491" s="402" t="str">
        <f t="shared" si="1"/>
        <v/>
      </c>
      <c r="E491" s="403"/>
      <c r="F491" s="403"/>
      <c r="G491" s="404"/>
      <c r="H491" s="404"/>
      <c r="I491" s="404"/>
      <c r="J491" s="404"/>
      <c r="K491" s="404"/>
      <c r="L491" s="404"/>
      <c r="M491" s="404"/>
    </row>
    <row r="492" ht="15.75" customHeight="1">
      <c r="A492" s="400"/>
      <c r="B492" s="401"/>
      <c r="C492" s="401"/>
      <c r="D492" s="402" t="str">
        <f t="shared" si="1"/>
        <v/>
      </c>
      <c r="E492" s="403"/>
      <c r="F492" s="403"/>
      <c r="G492" s="404"/>
      <c r="H492" s="404"/>
      <c r="I492" s="404"/>
      <c r="J492" s="404"/>
      <c r="K492" s="404"/>
      <c r="L492" s="404"/>
      <c r="M492" s="404"/>
    </row>
    <row r="493" ht="15.75" customHeight="1">
      <c r="A493" s="400"/>
      <c r="B493" s="401"/>
      <c r="C493" s="401"/>
      <c r="D493" s="402" t="str">
        <f t="shared" si="1"/>
        <v/>
      </c>
      <c r="E493" s="403"/>
      <c r="F493" s="403"/>
      <c r="G493" s="404"/>
      <c r="H493" s="404"/>
      <c r="I493" s="404"/>
      <c r="J493" s="404"/>
      <c r="K493" s="404"/>
      <c r="L493" s="404"/>
      <c r="M493" s="404"/>
    </row>
    <row r="494" ht="15.75" customHeight="1">
      <c r="A494" s="400"/>
      <c r="B494" s="401"/>
      <c r="C494" s="401"/>
      <c r="D494" s="402" t="str">
        <f t="shared" si="1"/>
        <v/>
      </c>
      <c r="E494" s="403"/>
      <c r="F494" s="403"/>
      <c r="G494" s="404"/>
      <c r="H494" s="404"/>
      <c r="I494" s="404"/>
      <c r="J494" s="404"/>
      <c r="K494" s="404"/>
      <c r="L494" s="404"/>
      <c r="M494" s="404"/>
    </row>
    <row r="495" ht="15.75" customHeight="1">
      <c r="A495" s="400"/>
      <c r="B495" s="401"/>
      <c r="C495" s="401"/>
      <c r="D495" s="402" t="str">
        <f t="shared" si="1"/>
        <v/>
      </c>
      <c r="E495" s="403"/>
      <c r="F495" s="403"/>
      <c r="G495" s="404"/>
      <c r="H495" s="404"/>
      <c r="I495" s="404"/>
      <c r="J495" s="404"/>
      <c r="K495" s="404"/>
      <c r="L495" s="404"/>
      <c r="M495" s="404"/>
    </row>
    <row r="496" ht="15.75" customHeight="1">
      <c r="A496" s="400"/>
      <c r="B496" s="401"/>
      <c r="C496" s="401"/>
      <c r="D496" s="402" t="str">
        <f t="shared" si="1"/>
        <v/>
      </c>
      <c r="E496" s="403"/>
      <c r="F496" s="403"/>
      <c r="G496" s="404"/>
      <c r="H496" s="404"/>
      <c r="I496" s="404"/>
      <c r="J496" s="404"/>
      <c r="K496" s="404"/>
      <c r="L496" s="404"/>
      <c r="M496" s="404"/>
    </row>
    <row r="497" ht="15.75" customHeight="1">
      <c r="A497" s="400"/>
      <c r="B497" s="401"/>
      <c r="C497" s="401"/>
      <c r="D497" s="402" t="str">
        <f t="shared" si="1"/>
        <v/>
      </c>
      <c r="E497" s="403"/>
      <c r="F497" s="403"/>
      <c r="G497" s="404"/>
      <c r="H497" s="404"/>
      <c r="I497" s="404"/>
      <c r="J497" s="404"/>
      <c r="K497" s="404"/>
      <c r="L497" s="404"/>
      <c r="M497" s="404"/>
    </row>
    <row r="498" ht="15.75" customHeight="1">
      <c r="A498" s="400"/>
      <c r="B498" s="401"/>
      <c r="C498" s="401"/>
      <c r="D498" s="402" t="str">
        <f t="shared" si="1"/>
        <v/>
      </c>
      <c r="E498" s="403"/>
      <c r="F498" s="403"/>
      <c r="G498" s="404"/>
      <c r="H498" s="404"/>
      <c r="I498" s="404"/>
      <c r="J498" s="404"/>
      <c r="K498" s="404"/>
      <c r="L498" s="404"/>
      <c r="M498" s="404"/>
    </row>
    <row r="499" ht="15.75" customHeight="1">
      <c r="A499" s="400"/>
      <c r="B499" s="401"/>
      <c r="C499" s="401"/>
      <c r="D499" s="402" t="str">
        <f t="shared" si="1"/>
        <v/>
      </c>
      <c r="E499" s="403"/>
      <c r="F499" s="403"/>
      <c r="G499" s="404"/>
      <c r="H499" s="404"/>
      <c r="I499" s="404"/>
      <c r="J499" s="404"/>
      <c r="K499" s="404"/>
      <c r="L499" s="404"/>
      <c r="M499" s="404"/>
    </row>
    <row r="500" ht="15.75" customHeight="1">
      <c r="A500" s="400"/>
      <c r="B500" s="401"/>
      <c r="C500" s="401"/>
      <c r="D500" s="402" t="str">
        <f t="shared" si="1"/>
        <v/>
      </c>
      <c r="E500" s="403"/>
      <c r="F500" s="403"/>
      <c r="G500" s="404"/>
      <c r="H500" s="404"/>
      <c r="I500" s="404"/>
      <c r="J500" s="404"/>
      <c r="K500" s="404"/>
      <c r="L500" s="404"/>
      <c r="M500" s="404"/>
    </row>
    <row r="501" ht="15.75" customHeight="1">
      <c r="A501" s="400"/>
      <c r="B501" s="401"/>
      <c r="C501" s="401"/>
      <c r="D501" s="402" t="str">
        <f t="shared" si="1"/>
        <v/>
      </c>
      <c r="E501" s="403"/>
      <c r="F501" s="403"/>
      <c r="G501" s="404"/>
      <c r="H501" s="404"/>
      <c r="I501" s="404"/>
      <c r="J501" s="404"/>
      <c r="K501" s="404"/>
      <c r="L501" s="404"/>
      <c r="M501" s="404"/>
    </row>
    <row r="502" ht="15.75" customHeight="1">
      <c r="A502" s="400"/>
      <c r="B502" s="401"/>
      <c r="C502" s="401"/>
      <c r="D502" s="402" t="str">
        <f t="shared" si="1"/>
        <v/>
      </c>
      <c r="E502" s="403"/>
      <c r="F502" s="403"/>
      <c r="G502" s="404"/>
      <c r="H502" s="404"/>
      <c r="I502" s="404"/>
      <c r="J502" s="404"/>
      <c r="K502" s="404"/>
      <c r="L502" s="404"/>
      <c r="M502" s="404"/>
    </row>
    <row r="503" ht="15.75" customHeight="1">
      <c r="A503" s="400"/>
      <c r="B503" s="401"/>
      <c r="C503" s="401"/>
      <c r="D503" s="402" t="str">
        <f t="shared" si="1"/>
        <v/>
      </c>
      <c r="E503" s="403"/>
      <c r="F503" s="403"/>
      <c r="G503" s="404"/>
      <c r="H503" s="404"/>
      <c r="I503" s="404"/>
      <c r="J503" s="404"/>
      <c r="K503" s="404"/>
      <c r="L503" s="404"/>
      <c r="M503" s="404"/>
    </row>
    <row r="504" ht="15.75" customHeight="1">
      <c r="A504" s="400"/>
      <c r="B504" s="401"/>
      <c r="C504" s="401"/>
      <c r="D504" s="402" t="str">
        <f t="shared" si="1"/>
        <v/>
      </c>
      <c r="E504" s="403"/>
      <c r="F504" s="403"/>
      <c r="G504" s="404"/>
      <c r="H504" s="404"/>
      <c r="I504" s="404"/>
      <c r="J504" s="404"/>
      <c r="K504" s="404"/>
      <c r="L504" s="404"/>
      <c r="M504" s="404"/>
    </row>
    <row r="505" ht="15.75" customHeight="1">
      <c r="A505" s="400"/>
      <c r="B505" s="401"/>
      <c r="C505" s="401"/>
      <c r="D505" s="402" t="str">
        <f t="shared" si="1"/>
        <v/>
      </c>
      <c r="E505" s="403"/>
      <c r="F505" s="403"/>
      <c r="G505" s="404"/>
      <c r="H505" s="404"/>
      <c r="I505" s="404"/>
      <c r="J505" s="404"/>
      <c r="K505" s="404"/>
      <c r="L505" s="404"/>
      <c r="M505" s="404"/>
    </row>
    <row r="506" ht="15.75" customHeight="1">
      <c r="A506" s="400"/>
      <c r="B506" s="401"/>
      <c r="C506" s="401"/>
      <c r="D506" s="402" t="str">
        <f t="shared" si="1"/>
        <v/>
      </c>
      <c r="E506" s="403"/>
      <c r="F506" s="403"/>
      <c r="G506" s="404"/>
      <c r="H506" s="404"/>
      <c r="I506" s="404"/>
      <c r="J506" s="404"/>
      <c r="K506" s="404"/>
      <c r="L506" s="404"/>
      <c r="M506" s="404"/>
    </row>
    <row r="507" ht="15.75" customHeight="1">
      <c r="A507" s="400"/>
      <c r="B507" s="401"/>
      <c r="C507" s="401"/>
      <c r="D507" s="402" t="str">
        <f t="shared" si="1"/>
        <v/>
      </c>
      <c r="E507" s="403"/>
      <c r="F507" s="403"/>
      <c r="G507" s="404"/>
      <c r="H507" s="404"/>
      <c r="I507" s="404"/>
      <c r="J507" s="404"/>
      <c r="K507" s="404"/>
      <c r="L507" s="404"/>
      <c r="M507" s="404"/>
    </row>
    <row r="508" ht="15.75" customHeight="1">
      <c r="A508" s="400"/>
      <c r="B508" s="401"/>
      <c r="C508" s="401"/>
      <c r="D508" s="402" t="str">
        <f t="shared" si="1"/>
        <v/>
      </c>
      <c r="E508" s="403"/>
      <c r="F508" s="403"/>
      <c r="G508" s="404"/>
      <c r="H508" s="404"/>
      <c r="I508" s="404"/>
      <c r="J508" s="404"/>
      <c r="K508" s="404"/>
      <c r="L508" s="404"/>
      <c r="M508" s="404"/>
    </row>
    <row r="509" ht="15.75" customHeight="1">
      <c r="A509" s="400"/>
      <c r="B509" s="401"/>
      <c r="C509" s="401"/>
      <c r="D509" s="402" t="str">
        <f t="shared" si="1"/>
        <v/>
      </c>
      <c r="E509" s="403"/>
      <c r="F509" s="403"/>
      <c r="G509" s="404"/>
      <c r="H509" s="404"/>
      <c r="I509" s="404"/>
      <c r="J509" s="404"/>
      <c r="K509" s="404"/>
      <c r="L509" s="404"/>
      <c r="M509" s="404"/>
    </row>
    <row r="510" ht="15.75" customHeight="1">
      <c r="A510" s="400"/>
      <c r="B510" s="401"/>
      <c r="C510" s="401"/>
      <c r="D510" s="402" t="str">
        <f t="shared" si="1"/>
        <v/>
      </c>
      <c r="E510" s="403"/>
      <c r="F510" s="403"/>
      <c r="G510" s="404"/>
      <c r="H510" s="404"/>
      <c r="I510" s="404"/>
      <c r="J510" s="404"/>
      <c r="K510" s="404"/>
      <c r="L510" s="404"/>
      <c r="M510" s="404"/>
    </row>
    <row r="511" ht="15.75" customHeight="1">
      <c r="A511" s="400"/>
      <c r="B511" s="401"/>
      <c r="C511" s="401"/>
      <c r="D511" s="402" t="str">
        <f t="shared" si="1"/>
        <v/>
      </c>
      <c r="E511" s="403"/>
      <c r="F511" s="403"/>
      <c r="G511" s="404"/>
      <c r="H511" s="404"/>
      <c r="I511" s="404"/>
      <c r="J511" s="404"/>
      <c r="K511" s="404"/>
      <c r="L511" s="404"/>
      <c r="M511" s="404"/>
    </row>
    <row r="512" ht="15.75" customHeight="1">
      <c r="A512" s="400"/>
      <c r="B512" s="401"/>
      <c r="C512" s="401"/>
      <c r="D512" s="402" t="str">
        <f t="shared" si="1"/>
        <v/>
      </c>
      <c r="E512" s="403"/>
      <c r="F512" s="403"/>
      <c r="G512" s="404"/>
      <c r="H512" s="404"/>
      <c r="I512" s="404"/>
      <c r="J512" s="404"/>
      <c r="K512" s="404"/>
      <c r="L512" s="404"/>
      <c r="M512" s="404"/>
    </row>
    <row r="513" ht="15.75" customHeight="1">
      <c r="A513" s="400"/>
      <c r="B513" s="401"/>
      <c r="C513" s="401"/>
      <c r="D513" s="402" t="str">
        <f t="shared" si="1"/>
        <v/>
      </c>
      <c r="E513" s="403"/>
      <c r="F513" s="403"/>
      <c r="G513" s="404"/>
      <c r="H513" s="404"/>
      <c r="I513" s="404"/>
      <c r="J513" s="404"/>
      <c r="K513" s="404"/>
      <c r="L513" s="404"/>
      <c r="M513" s="404"/>
    </row>
    <row r="514" ht="15.75" customHeight="1">
      <c r="A514" s="400"/>
      <c r="B514" s="401"/>
      <c r="C514" s="401"/>
      <c r="D514" s="402" t="str">
        <f t="shared" si="1"/>
        <v/>
      </c>
      <c r="E514" s="403"/>
      <c r="F514" s="403"/>
      <c r="G514" s="404"/>
      <c r="H514" s="404"/>
      <c r="I514" s="404"/>
      <c r="J514" s="404"/>
      <c r="K514" s="404"/>
      <c r="L514" s="404"/>
      <c r="M514" s="404"/>
    </row>
    <row r="515" ht="15.75" customHeight="1">
      <c r="A515" s="400"/>
      <c r="B515" s="401"/>
      <c r="C515" s="401"/>
      <c r="D515" s="402" t="str">
        <f t="shared" si="1"/>
        <v/>
      </c>
      <c r="E515" s="403"/>
      <c r="F515" s="403"/>
      <c r="G515" s="404"/>
      <c r="H515" s="404"/>
      <c r="I515" s="404"/>
      <c r="J515" s="404"/>
      <c r="K515" s="404"/>
      <c r="L515" s="404"/>
      <c r="M515" s="404"/>
    </row>
    <row r="516" ht="15.75" customHeight="1">
      <c r="A516" s="400"/>
      <c r="B516" s="401"/>
      <c r="C516" s="401"/>
      <c r="D516" s="402" t="str">
        <f t="shared" si="1"/>
        <v/>
      </c>
      <c r="E516" s="403"/>
      <c r="F516" s="403"/>
      <c r="G516" s="404"/>
      <c r="H516" s="404"/>
      <c r="I516" s="404"/>
      <c r="J516" s="404"/>
      <c r="K516" s="404"/>
      <c r="L516" s="404"/>
      <c r="M516" s="404"/>
    </row>
    <row r="517" ht="15.75" customHeight="1">
      <c r="A517" s="400"/>
      <c r="B517" s="401"/>
      <c r="C517" s="401"/>
      <c r="D517" s="402" t="str">
        <f t="shared" si="1"/>
        <v/>
      </c>
      <c r="E517" s="403"/>
      <c r="F517" s="403"/>
      <c r="G517" s="404"/>
      <c r="H517" s="404"/>
      <c r="I517" s="404"/>
      <c r="J517" s="404"/>
      <c r="K517" s="404"/>
      <c r="L517" s="404"/>
      <c r="M517" s="404"/>
    </row>
    <row r="518" ht="15.75" customHeight="1">
      <c r="A518" s="400"/>
      <c r="B518" s="401"/>
      <c r="C518" s="401"/>
      <c r="D518" s="402" t="str">
        <f t="shared" si="1"/>
        <v/>
      </c>
      <c r="E518" s="403"/>
      <c r="F518" s="403"/>
      <c r="G518" s="404"/>
      <c r="H518" s="404"/>
      <c r="I518" s="404"/>
      <c r="J518" s="404"/>
      <c r="K518" s="404"/>
      <c r="L518" s="404"/>
      <c r="M518" s="404"/>
    </row>
    <row r="519" ht="15.75" customHeight="1">
      <c r="A519" s="400"/>
      <c r="B519" s="401"/>
      <c r="C519" s="401"/>
      <c r="D519" s="402" t="str">
        <f t="shared" si="1"/>
        <v/>
      </c>
      <c r="E519" s="403"/>
      <c r="F519" s="403"/>
      <c r="G519" s="404"/>
      <c r="H519" s="404"/>
      <c r="I519" s="404"/>
      <c r="J519" s="404"/>
      <c r="K519" s="404"/>
      <c r="L519" s="404"/>
      <c r="M519" s="404"/>
    </row>
    <row r="520" ht="15.75" customHeight="1">
      <c r="A520" s="400"/>
      <c r="B520" s="401"/>
      <c r="C520" s="401"/>
      <c r="D520" s="402" t="str">
        <f t="shared" si="1"/>
        <v/>
      </c>
      <c r="E520" s="403"/>
      <c r="F520" s="403"/>
      <c r="G520" s="404"/>
      <c r="H520" s="404"/>
      <c r="I520" s="404"/>
      <c r="J520" s="404"/>
      <c r="K520" s="404"/>
      <c r="L520" s="404"/>
      <c r="M520" s="404"/>
    </row>
    <row r="521" ht="15.75" customHeight="1">
      <c r="A521" s="400"/>
      <c r="B521" s="401"/>
      <c r="C521" s="401"/>
      <c r="D521" s="402" t="str">
        <f t="shared" si="1"/>
        <v/>
      </c>
      <c r="E521" s="403"/>
      <c r="F521" s="403"/>
      <c r="G521" s="404"/>
      <c r="H521" s="404"/>
      <c r="I521" s="404"/>
      <c r="J521" s="404"/>
      <c r="K521" s="404"/>
      <c r="L521" s="404"/>
      <c r="M521" s="404"/>
    </row>
    <row r="522" ht="15.75" customHeight="1">
      <c r="A522" s="400"/>
      <c r="B522" s="401"/>
      <c r="C522" s="401"/>
      <c r="D522" s="402" t="str">
        <f t="shared" si="1"/>
        <v/>
      </c>
      <c r="E522" s="403"/>
      <c r="F522" s="403"/>
      <c r="G522" s="404"/>
      <c r="H522" s="404"/>
      <c r="I522" s="404"/>
      <c r="J522" s="404"/>
      <c r="K522" s="404"/>
      <c r="L522" s="404"/>
      <c r="M522" s="404"/>
    </row>
    <row r="523" ht="15.75" customHeight="1">
      <c r="A523" s="400"/>
      <c r="B523" s="401"/>
      <c r="C523" s="401"/>
      <c r="D523" s="402" t="str">
        <f t="shared" si="1"/>
        <v/>
      </c>
      <c r="E523" s="403"/>
      <c r="F523" s="403"/>
      <c r="G523" s="404"/>
      <c r="H523" s="404"/>
      <c r="I523" s="404"/>
      <c r="J523" s="404"/>
      <c r="K523" s="404"/>
      <c r="L523" s="404"/>
      <c r="M523" s="404"/>
    </row>
    <row r="524" ht="15.75" customHeight="1">
      <c r="A524" s="400"/>
      <c r="B524" s="401"/>
      <c r="C524" s="401"/>
      <c r="D524" s="402" t="str">
        <f t="shared" si="1"/>
        <v/>
      </c>
      <c r="E524" s="403"/>
      <c r="F524" s="403"/>
      <c r="G524" s="404"/>
      <c r="H524" s="404"/>
      <c r="I524" s="404"/>
      <c r="J524" s="404"/>
      <c r="K524" s="404"/>
      <c r="L524" s="404"/>
      <c r="M524" s="404"/>
    </row>
    <row r="525" ht="15.75" customHeight="1">
      <c r="A525" s="400"/>
      <c r="B525" s="401"/>
      <c r="C525" s="401"/>
      <c r="D525" s="402" t="str">
        <f t="shared" si="1"/>
        <v/>
      </c>
      <c r="E525" s="403"/>
      <c r="F525" s="403"/>
      <c r="G525" s="404"/>
      <c r="H525" s="404"/>
      <c r="I525" s="404"/>
      <c r="J525" s="404"/>
      <c r="K525" s="404"/>
      <c r="L525" s="404"/>
      <c r="M525" s="404"/>
    </row>
    <row r="526" ht="15.75" customHeight="1">
      <c r="A526" s="400"/>
      <c r="B526" s="401"/>
      <c r="C526" s="401"/>
      <c r="D526" s="402" t="str">
        <f t="shared" si="1"/>
        <v/>
      </c>
      <c r="E526" s="403"/>
      <c r="F526" s="403"/>
      <c r="G526" s="404"/>
      <c r="H526" s="404"/>
      <c r="I526" s="404"/>
      <c r="J526" s="404"/>
      <c r="K526" s="404"/>
      <c r="L526" s="404"/>
      <c r="M526" s="404"/>
    </row>
    <row r="527" ht="15.75" customHeight="1">
      <c r="A527" s="400"/>
      <c r="B527" s="401"/>
      <c r="C527" s="401"/>
      <c r="D527" s="402" t="str">
        <f t="shared" si="1"/>
        <v/>
      </c>
      <c r="E527" s="403"/>
      <c r="F527" s="403"/>
      <c r="G527" s="404"/>
      <c r="H527" s="404"/>
      <c r="I527" s="404"/>
      <c r="J527" s="404"/>
      <c r="K527" s="404"/>
      <c r="L527" s="404"/>
      <c r="M527" s="404"/>
    </row>
    <row r="528" ht="15.75" customHeight="1">
      <c r="A528" s="400"/>
      <c r="B528" s="401"/>
      <c r="C528" s="401"/>
      <c r="D528" s="402" t="str">
        <f t="shared" si="1"/>
        <v/>
      </c>
      <c r="E528" s="403"/>
      <c r="F528" s="403"/>
      <c r="G528" s="404"/>
      <c r="H528" s="404"/>
      <c r="I528" s="404"/>
      <c r="J528" s="404"/>
      <c r="K528" s="404"/>
      <c r="L528" s="404"/>
      <c r="M528" s="404"/>
    </row>
    <row r="529" ht="15.75" customHeight="1">
      <c r="A529" s="400"/>
      <c r="B529" s="401"/>
      <c r="C529" s="401"/>
      <c r="D529" s="402" t="str">
        <f t="shared" si="1"/>
        <v/>
      </c>
      <c r="E529" s="403"/>
      <c r="F529" s="403"/>
      <c r="G529" s="404"/>
      <c r="H529" s="404"/>
      <c r="I529" s="404"/>
      <c r="J529" s="404"/>
      <c r="K529" s="404"/>
      <c r="L529" s="404"/>
      <c r="M529" s="404"/>
    </row>
    <row r="530" ht="15.75" customHeight="1">
      <c r="A530" s="400"/>
      <c r="B530" s="401"/>
      <c r="C530" s="401"/>
      <c r="D530" s="402" t="str">
        <f t="shared" si="1"/>
        <v/>
      </c>
      <c r="E530" s="403"/>
      <c r="F530" s="403"/>
      <c r="G530" s="404"/>
      <c r="H530" s="404"/>
      <c r="I530" s="404"/>
      <c r="J530" s="404"/>
      <c r="K530" s="404"/>
      <c r="L530" s="404"/>
      <c r="M530" s="404"/>
    </row>
    <row r="531" ht="15.75" customHeight="1">
      <c r="A531" s="400"/>
      <c r="B531" s="401"/>
      <c r="C531" s="401"/>
      <c r="D531" s="402" t="str">
        <f t="shared" si="1"/>
        <v/>
      </c>
      <c r="E531" s="403"/>
      <c r="F531" s="403"/>
      <c r="G531" s="404"/>
      <c r="H531" s="404"/>
      <c r="I531" s="404"/>
      <c r="J531" s="404"/>
      <c r="K531" s="404"/>
      <c r="L531" s="404"/>
      <c r="M531" s="404"/>
    </row>
    <row r="532" ht="15.75" customHeight="1">
      <c r="A532" s="400"/>
      <c r="B532" s="401"/>
      <c r="C532" s="401"/>
      <c r="D532" s="402" t="str">
        <f t="shared" si="1"/>
        <v/>
      </c>
      <c r="E532" s="403"/>
      <c r="F532" s="403"/>
      <c r="G532" s="404"/>
      <c r="H532" s="404"/>
      <c r="I532" s="404"/>
      <c r="J532" s="404"/>
      <c r="K532" s="404"/>
      <c r="L532" s="404"/>
      <c r="M532" s="404"/>
    </row>
    <row r="533" ht="15.75" customHeight="1">
      <c r="A533" s="400"/>
      <c r="B533" s="401"/>
      <c r="C533" s="401"/>
      <c r="D533" s="402" t="str">
        <f t="shared" si="1"/>
        <v/>
      </c>
      <c r="E533" s="403"/>
      <c r="F533" s="403"/>
      <c r="G533" s="404"/>
      <c r="H533" s="404"/>
      <c r="I533" s="404"/>
      <c r="J533" s="404"/>
      <c r="K533" s="404"/>
      <c r="L533" s="404"/>
      <c r="M533" s="404"/>
    </row>
    <row r="534" ht="15.75" customHeight="1">
      <c r="A534" s="400"/>
      <c r="B534" s="401"/>
      <c r="C534" s="401"/>
      <c r="D534" s="402" t="str">
        <f t="shared" si="1"/>
        <v/>
      </c>
      <c r="E534" s="403"/>
      <c r="F534" s="403"/>
      <c r="G534" s="404"/>
      <c r="H534" s="404"/>
      <c r="I534" s="404"/>
      <c r="J534" s="404"/>
      <c r="K534" s="404"/>
      <c r="L534" s="404"/>
      <c r="M534" s="404"/>
    </row>
    <row r="535" ht="15.75" customHeight="1">
      <c r="A535" s="400"/>
      <c r="B535" s="401"/>
      <c r="C535" s="401"/>
      <c r="D535" s="402" t="str">
        <f t="shared" si="1"/>
        <v/>
      </c>
      <c r="E535" s="403"/>
      <c r="F535" s="403"/>
      <c r="G535" s="404"/>
      <c r="H535" s="404"/>
      <c r="I535" s="404"/>
      <c r="J535" s="404"/>
      <c r="K535" s="404"/>
      <c r="L535" s="404"/>
      <c r="M535" s="404"/>
    </row>
  </sheetData>
  <autoFilter ref="$A$1:$L$535"/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3.0"/>
    <col customWidth="1" min="5" max="6" width="6.75"/>
  </cols>
  <sheetData>
    <row r="1" ht="15.0" customHeight="1">
      <c r="A1" s="407" t="s">
        <v>161</v>
      </c>
      <c r="B1" s="408" t="s">
        <v>162</v>
      </c>
      <c r="C1" s="408" t="s">
        <v>6</v>
      </c>
      <c r="D1" s="407" t="s">
        <v>163</v>
      </c>
      <c r="E1" s="407" t="s">
        <v>164</v>
      </c>
      <c r="F1" s="407" t="s">
        <v>165</v>
      </c>
      <c r="G1" s="409" t="s">
        <v>53</v>
      </c>
      <c r="H1" s="409" t="s">
        <v>166</v>
      </c>
      <c r="I1" s="409" t="s">
        <v>55</v>
      </c>
      <c r="J1" s="409" t="s">
        <v>56</v>
      </c>
      <c r="K1" s="409" t="s">
        <v>167</v>
      </c>
      <c r="L1" s="409" t="s">
        <v>58</v>
      </c>
    </row>
    <row r="2" ht="15.75" customHeight="1">
      <c r="A2" s="400">
        <v>1.0</v>
      </c>
      <c r="B2" s="401" t="s">
        <v>42</v>
      </c>
      <c r="C2" s="401" t="s">
        <v>44</v>
      </c>
      <c r="D2" s="402" t="str">
        <f t="shared" ref="D2:D535" si="1">A2&amp;C2</f>
        <v>1Indiferente</v>
      </c>
      <c r="E2" s="403">
        <v>61.0</v>
      </c>
      <c r="F2" s="403">
        <v>351.0</v>
      </c>
      <c r="G2" s="404">
        <v>2747.5</v>
      </c>
      <c r="H2" s="404">
        <v>3758.73</v>
      </c>
      <c r="I2" s="404">
        <v>5006.49</v>
      </c>
      <c r="J2" s="404">
        <v>5052.0</v>
      </c>
      <c r="K2" s="404">
        <v>6189.59</v>
      </c>
      <c r="L2" s="404">
        <v>7922.79</v>
      </c>
    </row>
    <row r="3" ht="15.75" customHeight="1">
      <c r="A3" s="400">
        <v>1.0</v>
      </c>
      <c r="B3" s="401" t="s">
        <v>42</v>
      </c>
      <c r="C3" s="401" t="s">
        <v>29</v>
      </c>
      <c r="D3" s="402" t="str">
        <f t="shared" si="1"/>
        <v>1Júnior</v>
      </c>
      <c r="E3" s="403">
        <v>40.0</v>
      </c>
      <c r="F3" s="403">
        <v>130.0</v>
      </c>
      <c r="G3" s="404">
        <v>2468.17</v>
      </c>
      <c r="H3" s="404">
        <v>2944.09</v>
      </c>
      <c r="I3" s="404">
        <v>3642.17</v>
      </c>
      <c r="J3" s="404">
        <v>3493.9</v>
      </c>
      <c r="K3" s="404">
        <v>4224.13</v>
      </c>
      <c r="L3" s="404">
        <v>5456.83</v>
      </c>
    </row>
    <row r="4" ht="15.75" customHeight="1">
      <c r="A4" s="400">
        <v>1.0</v>
      </c>
      <c r="B4" s="401" t="s">
        <v>42</v>
      </c>
      <c r="C4" s="401" t="s">
        <v>24</v>
      </c>
      <c r="D4" s="402" t="str">
        <f t="shared" si="1"/>
        <v>1Pleno</v>
      </c>
      <c r="E4" s="403">
        <v>38.0</v>
      </c>
      <c r="F4" s="403">
        <v>128.0</v>
      </c>
      <c r="G4" s="404">
        <v>3480.14</v>
      </c>
      <c r="H4" s="404">
        <v>4665.99</v>
      </c>
      <c r="I4" s="404">
        <v>5399.83</v>
      </c>
      <c r="J4" s="404">
        <v>5248.63</v>
      </c>
      <c r="K4" s="404">
        <v>6311.23</v>
      </c>
      <c r="L4" s="404">
        <v>7135.86</v>
      </c>
    </row>
    <row r="5" ht="15.75" customHeight="1">
      <c r="A5" s="400">
        <v>1.0</v>
      </c>
      <c r="B5" s="401" t="s">
        <v>42</v>
      </c>
      <c r="C5" s="401" t="s">
        <v>18</v>
      </c>
      <c r="D5" s="402" t="str">
        <f t="shared" si="1"/>
        <v>1Sênior</v>
      </c>
      <c r="E5" s="403">
        <v>23.0</v>
      </c>
      <c r="F5" s="403">
        <v>52.0</v>
      </c>
      <c r="G5" s="404">
        <v>5928.64</v>
      </c>
      <c r="H5" s="404">
        <v>6791.87</v>
      </c>
      <c r="I5" s="404">
        <v>7984.54</v>
      </c>
      <c r="J5" s="404">
        <v>7851.14</v>
      </c>
      <c r="K5" s="404">
        <v>9534.06</v>
      </c>
      <c r="L5" s="404">
        <v>9921.51</v>
      </c>
    </row>
    <row r="6" ht="15.75" customHeight="1">
      <c r="A6" s="400">
        <v>1.0</v>
      </c>
      <c r="B6" s="401" t="s">
        <v>42</v>
      </c>
      <c r="C6" s="401" t="s">
        <v>168</v>
      </c>
      <c r="D6" s="402" t="str">
        <f t="shared" si="1"/>
        <v>1Master</v>
      </c>
      <c r="E6" s="403">
        <v>1.0</v>
      </c>
      <c r="F6" s="403">
        <v>1.0</v>
      </c>
      <c r="G6" s="404">
        <v>0.0</v>
      </c>
      <c r="H6" s="404">
        <v>0.0</v>
      </c>
      <c r="I6" s="404">
        <v>0.0</v>
      </c>
      <c r="J6" s="404">
        <v>0.0</v>
      </c>
      <c r="K6" s="404">
        <v>0.0</v>
      </c>
      <c r="L6" s="404">
        <v>0.0</v>
      </c>
    </row>
    <row r="7" ht="15.75" customHeight="1">
      <c r="A7" s="400">
        <v>1.0</v>
      </c>
      <c r="B7" s="401" t="s">
        <v>42</v>
      </c>
      <c r="C7" s="401" t="s">
        <v>169</v>
      </c>
      <c r="D7" s="402" t="str">
        <f t="shared" si="1"/>
        <v>1Especialista</v>
      </c>
      <c r="E7" s="403">
        <v>4.0</v>
      </c>
      <c r="F7" s="403">
        <v>12.0</v>
      </c>
      <c r="G7" s="404">
        <v>8294.38</v>
      </c>
      <c r="H7" s="404">
        <v>10580.85</v>
      </c>
      <c r="I7" s="404">
        <v>12969.46</v>
      </c>
      <c r="J7" s="404">
        <v>13201.08</v>
      </c>
      <c r="K7" s="404">
        <v>15243.04</v>
      </c>
      <c r="L7" s="404">
        <v>16888.61</v>
      </c>
    </row>
    <row r="8" ht="15.75" customHeight="1">
      <c r="A8" s="400">
        <v>1016.0</v>
      </c>
      <c r="B8" s="401" t="s">
        <v>43</v>
      </c>
      <c r="C8" s="401" t="s">
        <v>44</v>
      </c>
      <c r="D8" s="402" t="str">
        <f t="shared" si="1"/>
        <v>1016Indiferente</v>
      </c>
      <c r="E8" s="403">
        <v>11.0</v>
      </c>
      <c r="F8" s="403">
        <v>17.0</v>
      </c>
      <c r="G8" s="404">
        <v>5288.93</v>
      </c>
      <c r="H8" s="404">
        <v>7107.92</v>
      </c>
      <c r="I8" s="404">
        <v>8904.46</v>
      </c>
      <c r="J8" s="404">
        <v>9047.66</v>
      </c>
      <c r="K8" s="404">
        <v>10074.15</v>
      </c>
      <c r="L8" s="404">
        <v>12817.68</v>
      </c>
    </row>
    <row r="9" ht="15.75" customHeight="1">
      <c r="A9" s="400">
        <v>1016.0</v>
      </c>
      <c r="B9" s="401" t="s">
        <v>43</v>
      </c>
      <c r="C9" s="401" t="s">
        <v>29</v>
      </c>
      <c r="D9" s="402" t="str">
        <f t="shared" si="1"/>
        <v>1016Júnior</v>
      </c>
      <c r="E9" s="403">
        <v>0.0</v>
      </c>
      <c r="F9" s="403">
        <v>0.0</v>
      </c>
      <c r="G9" s="404">
        <v>0.0</v>
      </c>
      <c r="H9" s="404">
        <v>0.0</v>
      </c>
      <c r="I9" s="404">
        <v>0.0</v>
      </c>
      <c r="J9" s="404">
        <v>0.0</v>
      </c>
      <c r="K9" s="404">
        <v>0.0</v>
      </c>
      <c r="L9" s="404">
        <v>0.0</v>
      </c>
    </row>
    <row r="10" ht="15.75" customHeight="1">
      <c r="A10" s="400">
        <v>1016.0</v>
      </c>
      <c r="B10" s="401" t="s">
        <v>43</v>
      </c>
      <c r="C10" s="401" t="s">
        <v>24</v>
      </c>
      <c r="D10" s="402" t="str">
        <f t="shared" si="1"/>
        <v>1016Pleno</v>
      </c>
      <c r="E10" s="403">
        <v>2.0</v>
      </c>
      <c r="F10" s="403">
        <v>6.0</v>
      </c>
      <c r="G10" s="404">
        <v>0.0</v>
      </c>
      <c r="H10" s="404">
        <v>0.0</v>
      </c>
      <c r="I10" s="404">
        <v>0.0</v>
      </c>
      <c r="J10" s="404">
        <v>0.0</v>
      </c>
      <c r="K10" s="404">
        <v>0.0</v>
      </c>
      <c r="L10" s="404">
        <v>0.0</v>
      </c>
    </row>
    <row r="11" ht="15.75" customHeight="1">
      <c r="A11" s="400">
        <v>1016.0</v>
      </c>
      <c r="B11" s="401" t="s">
        <v>43</v>
      </c>
      <c r="C11" s="401" t="s">
        <v>18</v>
      </c>
      <c r="D11" s="402" t="str">
        <f t="shared" si="1"/>
        <v>1016Sênior</v>
      </c>
      <c r="E11" s="403">
        <v>4.0</v>
      </c>
      <c r="F11" s="403">
        <v>6.0</v>
      </c>
      <c r="G11" s="404">
        <v>3771.28</v>
      </c>
      <c r="H11" s="404">
        <v>6461.25</v>
      </c>
      <c r="I11" s="404">
        <v>8003.44</v>
      </c>
      <c r="J11" s="404">
        <v>9082.0</v>
      </c>
      <c r="K11" s="404">
        <v>9082.0</v>
      </c>
      <c r="L11" s="404">
        <v>11415.69</v>
      </c>
    </row>
    <row r="12" ht="15.75" customHeight="1">
      <c r="A12" s="400">
        <v>1016.0</v>
      </c>
      <c r="B12" s="401" t="s">
        <v>43</v>
      </c>
      <c r="C12" s="401" t="s">
        <v>168</v>
      </c>
      <c r="D12" s="402" t="str">
        <f t="shared" si="1"/>
        <v>1016Master</v>
      </c>
      <c r="E12" s="403">
        <v>0.0</v>
      </c>
      <c r="F12" s="403">
        <v>0.0</v>
      </c>
      <c r="G12" s="404">
        <v>0.0</v>
      </c>
      <c r="H12" s="404">
        <v>0.0</v>
      </c>
      <c r="I12" s="404">
        <v>0.0</v>
      </c>
      <c r="J12" s="404">
        <v>0.0</v>
      </c>
      <c r="K12" s="404">
        <v>0.0</v>
      </c>
      <c r="L12" s="404">
        <v>0.0</v>
      </c>
    </row>
    <row r="13" ht="15.75" customHeight="1">
      <c r="A13" s="400">
        <v>1016.0</v>
      </c>
      <c r="B13" s="401" t="s">
        <v>43</v>
      </c>
      <c r="C13" s="401" t="s">
        <v>169</v>
      </c>
      <c r="D13" s="402" t="str">
        <f t="shared" si="1"/>
        <v>1016Especialista</v>
      </c>
      <c r="E13" s="403">
        <v>2.0</v>
      </c>
      <c r="F13" s="403">
        <v>3.0</v>
      </c>
      <c r="G13" s="404">
        <v>0.0</v>
      </c>
      <c r="H13" s="404">
        <v>0.0</v>
      </c>
      <c r="I13" s="404">
        <v>0.0</v>
      </c>
      <c r="J13" s="404">
        <v>0.0</v>
      </c>
      <c r="K13" s="404">
        <v>0.0</v>
      </c>
      <c r="L13" s="404">
        <v>0.0</v>
      </c>
    </row>
    <row r="14" ht="15.75" customHeight="1">
      <c r="A14" s="400">
        <v>796.0</v>
      </c>
      <c r="B14" s="401" t="s">
        <v>33</v>
      </c>
      <c r="C14" s="401" t="s">
        <v>44</v>
      </c>
      <c r="D14" s="402" t="str">
        <f t="shared" si="1"/>
        <v>796Indiferente</v>
      </c>
      <c r="E14" s="403">
        <v>5.0</v>
      </c>
      <c r="F14" s="403">
        <v>6.0</v>
      </c>
      <c r="G14" s="404">
        <v>3861.76</v>
      </c>
      <c r="H14" s="404">
        <v>4236.09</v>
      </c>
      <c r="I14" s="404">
        <v>4589.94</v>
      </c>
      <c r="J14" s="404">
        <v>4672.16</v>
      </c>
      <c r="K14" s="404">
        <v>5047.15</v>
      </c>
      <c r="L14" s="404">
        <v>5070.66</v>
      </c>
    </row>
    <row r="15" ht="15.75" customHeight="1">
      <c r="A15" s="400">
        <v>796.0</v>
      </c>
      <c r="B15" s="401" t="s">
        <v>33</v>
      </c>
      <c r="C15" s="401" t="s">
        <v>29</v>
      </c>
      <c r="D15" s="402" t="str">
        <f t="shared" si="1"/>
        <v>796Júnior</v>
      </c>
      <c r="E15" s="403">
        <v>2.0</v>
      </c>
      <c r="F15" s="403">
        <v>3.0</v>
      </c>
      <c r="G15" s="404">
        <v>0.0</v>
      </c>
      <c r="H15" s="404">
        <v>0.0</v>
      </c>
      <c r="I15" s="404">
        <v>0.0</v>
      </c>
      <c r="J15" s="404">
        <v>0.0</v>
      </c>
      <c r="K15" s="404">
        <v>0.0</v>
      </c>
      <c r="L15" s="404">
        <v>0.0</v>
      </c>
    </row>
    <row r="16" ht="15.75" customHeight="1">
      <c r="A16" s="400">
        <v>796.0</v>
      </c>
      <c r="B16" s="401" t="s">
        <v>33</v>
      </c>
      <c r="C16" s="401" t="s">
        <v>24</v>
      </c>
      <c r="D16" s="402" t="str">
        <f t="shared" si="1"/>
        <v>796Pleno</v>
      </c>
      <c r="E16" s="403">
        <v>3.0</v>
      </c>
      <c r="F16" s="403">
        <v>3.0</v>
      </c>
      <c r="G16" s="404">
        <v>0.0</v>
      </c>
      <c r="H16" s="404">
        <v>0.0</v>
      </c>
      <c r="I16" s="404">
        <v>0.0</v>
      </c>
      <c r="J16" s="404">
        <v>0.0</v>
      </c>
      <c r="K16" s="404">
        <v>0.0</v>
      </c>
      <c r="L16" s="404">
        <v>0.0</v>
      </c>
    </row>
    <row r="17" ht="15.75" customHeight="1">
      <c r="A17" s="400">
        <v>796.0</v>
      </c>
      <c r="B17" s="401" t="s">
        <v>33</v>
      </c>
      <c r="C17" s="401" t="s">
        <v>18</v>
      </c>
      <c r="D17" s="402" t="str">
        <f t="shared" si="1"/>
        <v>796Sênior</v>
      </c>
      <c r="E17" s="403">
        <v>3.0</v>
      </c>
      <c r="F17" s="403">
        <v>5.0</v>
      </c>
      <c r="G17" s="404">
        <v>0.0</v>
      </c>
      <c r="H17" s="404">
        <v>0.0</v>
      </c>
      <c r="I17" s="404">
        <v>0.0</v>
      </c>
      <c r="J17" s="404">
        <v>0.0</v>
      </c>
      <c r="K17" s="404">
        <v>0.0</v>
      </c>
      <c r="L17" s="404">
        <v>0.0</v>
      </c>
    </row>
    <row r="18" ht="15.75" customHeight="1">
      <c r="A18" s="400">
        <v>796.0</v>
      </c>
      <c r="B18" s="401" t="s">
        <v>33</v>
      </c>
      <c r="C18" s="401" t="s">
        <v>168</v>
      </c>
      <c r="D18" s="402" t="str">
        <f t="shared" si="1"/>
        <v>796Master</v>
      </c>
      <c r="E18" s="403">
        <v>0.0</v>
      </c>
      <c r="F18" s="403">
        <v>0.0</v>
      </c>
      <c r="G18" s="404">
        <v>0.0</v>
      </c>
      <c r="H18" s="404">
        <v>0.0</v>
      </c>
      <c r="I18" s="404">
        <v>0.0</v>
      </c>
      <c r="J18" s="404">
        <v>0.0</v>
      </c>
      <c r="K18" s="404">
        <v>0.0</v>
      </c>
      <c r="L18" s="404">
        <v>0.0</v>
      </c>
    </row>
    <row r="19" ht="15.75" customHeight="1">
      <c r="A19" s="400">
        <v>796.0</v>
      </c>
      <c r="B19" s="401" t="s">
        <v>33</v>
      </c>
      <c r="C19" s="401" t="s">
        <v>169</v>
      </c>
      <c r="D19" s="402" t="str">
        <f t="shared" si="1"/>
        <v>796Especialista</v>
      </c>
      <c r="E19" s="403">
        <v>0.0</v>
      </c>
      <c r="F19" s="403">
        <v>0.0</v>
      </c>
      <c r="G19" s="404">
        <v>0.0</v>
      </c>
      <c r="H19" s="404">
        <v>0.0</v>
      </c>
      <c r="I19" s="404">
        <v>0.0</v>
      </c>
      <c r="J19" s="404">
        <v>0.0</v>
      </c>
      <c r="K19" s="404">
        <v>0.0</v>
      </c>
      <c r="L19" s="404">
        <v>0.0</v>
      </c>
    </row>
    <row r="20" ht="15.75" customHeight="1">
      <c r="A20" s="400"/>
      <c r="B20" s="401"/>
      <c r="C20" s="401"/>
      <c r="D20" s="402" t="str">
        <f t="shared" si="1"/>
        <v/>
      </c>
      <c r="E20" s="403"/>
      <c r="F20" s="403"/>
      <c r="G20" s="404"/>
      <c r="H20" s="404"/>
      <c r="I20" s="404"/>
      <c r="J20" s="404"/>
      <c r="K20" s="404"/>
      <c r="L20" s="404"/>
    </row>
    <row r="21" ht="15.75" customHeight="1">
      <c r="A21" s="400"/>
      <c r="B21" s="401"/>
      <c r="C21" s="401"/>
      <c r="D21" s="402" t="str">
        <f t="shared" si="1"/>
        <v/>
      </c>
      <c r="E21" s="403"/>
      <c r="F21" s="403"/>
      <c r="G21" s="404"/>
      <c r="H21" s="404"/>
      <c r="I21" s="404"/>
      <c r="J21" s="404"/>
      <c r="K21" s="404"/>
      <c r="L21" s="404"/>
    </row>
    <row r="22" ht="15.75" customHeight="1">
      <c r="A22" s="400"/>
      <c r="B22" s="401"/>
      <c r="C22" s="401"/>
      <c r="D22" s="402" t="str">
        <f t="shared" si="1"/>
        <v/>
      </c>
      <c r="E22" s="403"/>
      <c r="F22" s="403"/>
      <c r="G22" s="404"/>
      <c r="H22" s="404"/>
      <c r="I22" s="404"/>
      <c r="J22" s="404"/>
      <c r="K22" s="404"/>
      <c r="L22" s="404"/>
    </row>
    <row r="23" ht="15.75" customHeight="1">
      <c r="A23" s="400"/>
      <c r="B23" s="401"/>
      <c r="C23" s="401"/>
      <c r="D23" s="402" t="str">
        <f t="shared" si="1"/>
        <v/>
      </c>
      <c r="E23" s="403"/>
      <c r="F23" s="403"/>
      <c r="G23" s="404"/>
      <c r="H23" s="404"/>
      <c r="I23" s="404"/>
      <c r="J23" s="404"/>
      <c r="K23" s="404"/>
      <c r="L23" s="404"/>
    </row>
    <row r="24" ht="15.75" customHeight="1">
      <c r="A24" s="400"/>
      <c r="B24" s="401"/>
      <c r="C24" s="401"/>
      <c r="D24" s="402" t="str">
        <f t="shared" si="1"/>
        <v/>
      </c>
      <c r="E24" s="403"/>
      <c r="F24" s="403"/>
      <c r="G24" s="404"/>
      <c r="H24" s="404"/>
      <c r="I24" s="404"/>
      <c r="J24" s="404"/>
      <c r="K24" s="404"/>
      <c r="L24" s="404"/>
    </row>
    <row r="25" ht="15.75" customHeight="1">
      <c r="A25" s="400"/>
      <c r="B25" s="401"/>
      <c r="C25" s="401"/>
      <c r="D25" s="402" t="str">
        <f t="shared" si="1"/>
        <v/>
      </c>
      <c r="E25" s="403"/>
      <c r="F25" s="403"/>
      <c r="G25" s="404"/>
      <c r="H25" s="404"/>
      <c r="I25" s="404"/>
      <c r="J25" s="404"/>
      <c r="K25" s="404"/>
      <c r="L25" s="404"/>
    </row>
    <row r="26" ht="15.75" customHeight="1">
      <c r="A26" s="400"/>
      <c r="B26" s="401"/>
      <c r="C26" s="401"/>
      <c r="D26" s="402" t="str">
        <f t="shared" si="1"/>
        <v/>
      </c>
      <c r="E26" s="403"/>
      <c r="F26" s="403"/>
      <c r="G26" s="404"/>
      <c r="H26" s="404"/>
      <c r="I26" s="404"/>
      <c r="J26" s="404"/>
      <c r="K26" s="404"/>
      <c r="L26" s="404"/>
    </row>
    <row r="27" ht="15.75" customHeight="1">
      <c r="A27" s="400"/>
      <c r="B27" s="401"/>
      <c r="C27" s="401"/>
      <c r="D27" s="402" t="str">
        <f t="shared" si="1"/>
        <v/>
      </c>
      <c r="E27" s="403"/>
      <c r="F27" s="403"/>
      <c r="G27" s="404"/>
      <c r="H27" s="404"/>
      <c r="I27" s="404"/>
      <c r="J27" s="404"/>
      <c r="K27" s="404"/>
      <c r="L27" s="404"/>
    </row>
    <row r="28" ht="15.75" customHeight="1">
      <c r="A28" s="400"/>
      <c r="B28" s="401"/>
      <c r="C28" s="401"/>
      <c r="D28" s="402" t="str">
        <f t="shared" si="1"/>
        <v/>
      </c>
      <c r="E28" s="403"/>
      <c r="F28" s="403"/>
      <c r="G28" s="404"/>
      <c r="H28" s="404"/>
      <c r="I28" s="404"/>
      <c r="J28" s="404"/>
      <c r="K28" s="404"/>
      <c r="L28" s="404"/>
    </row>
    <row r="29" ht="15.75" customHeight="1">
      <c r="A29" s="400"/>
      <c r="B29" s="401"/>
      <c r="C29" s="401"/>
      <c r="D29" s="402" t="str">
        <f t="shared" si="1"/>
        <v/>
      </c>
      <c r="E29" s="403"/>
      <c r="F29" s="403"/>
      <c r="G29" s="404"/>
      <c r="H29" s="404"/>
      <c r="I29" s="404"/>
      <c r="J29" s="404"/>
      <c r="K29" s="404"/>
      <c r="L29" s="404"/>
    </row>
    <row r="30" ht="15.75" customHeight="1">
      <c r="A30" s="400"/>
      <c r="B30" s="401"/>
      <c r="C30" s="401"/>
      <c r="D30" s="402" t="str">
        <f t="shared" si="1"/>
        <v/>
      </c>
      <c r="E30" s="403"/>
      <c r="F30" s="403"/>
      <c r="G30" s="404"/>
      <c r="H30" s="404"/>
      <c r="I30" s="404"/>
      <c r="J30" s="404"/>
      <c r="K30" s="404"/>
      <c r="L30" s="404"/>
    </row>
    <row r="31" ht="15.75" customHeight="1">
      <c r="A31" s="400"/>
      <c r="B31" s="401"/>
      <c r="C31" s="401"/>
      <c r="D31" s="402" t="str">
        <f t="shared" si="1"/>
        <v/>
      </c>
      <c r="E31" s="403"/>
      <c r="F31" s="403"/>
      <c r="G31" s="404"/>
      <c r="H31" s="404"/>
      <c r="I31" s="404"/>
      <c r="J31" s="404"/>
      <c r="K31" s="404"/>
      <c r="L31" s="404"/>
    </row>
    <row r="32" ht="15.75" customHeight="1">
      <c r="A32" s="400"/>
      <c r="B32" s="401"/>
      <c r="C32" s="401"/>
      <c r="D32" s="402" t="str">
        <f t="shared" si="1"/>
        <v/>
      </c>
      <c r="E32" s="403"/>
      <c r="F32" s="403"/>
      <c r="G32" s="404"/>
      <c r="H32" s="404"/>
      <c r="I32" s="404"/>
      <c r="J32" s="404"/>
      <c r="K32" s="404"/>
      <c r="L32" s="404"/>
    </row>
    <row r="33" ht="15.75" customHeight="1">
      <c r="A33" s="400"/>
      <c r="B33" s="401"/>
      <c r="C33" s="401"/>
      <c r="D33" s="402" t="str">
        <f t="shared" si="1"/>
        <v/>
      </c>
      <c r="E33" s="403"/>
      <c r="F33" s="403"/>
      <c r="G33" s="404"/>
      <c r="H33" s="404"/>
      <c r="I33" s="404"/>
      <c r="J33" s="404"/>
      <c r="K33" s="404"/>
      <c r="L33" s="404"/>
    </row>
    <row r="34" ht="15.75" customHeight="1">
      <c r="A34" s="400"/>
      <c r="B34" s="401"/>
      <c r="C34" s="401"/>
      <c r="D34" s="402" t="str">
        <f t="shared" si="1"/>
        <v/>
      </c>
      <c r="E34" s="403"/>
      <c r="F34" s="403"/>
      <c r="G34" s="404"/>
      <c r="H34" s="404"/>
      <c r="I34" s="404"/>
      <c r="J34" s="404"/>
      <c r="K34" s="404"/>
      <c r="L34" s="404"/>
    </row>
    <row r="35" ht="15.75" customHeight="1">
      <c r="A35" s="400"/>
      <c r="B35" s="401"/>
      <c r="C35" s="401"/>
      <c r="D35" s="402" t="str">
        <f t="shared" si="1"/>
        <v/>
      </c>
      <c r="E35" s="403"/>
      <c r="F35" s="403"/>
      <c r="G35" s="404"/>
      <c r="H35" s="404"/>
      <c r="I35" s="404"/>
      <c r="J35" s="404"/>
      <c r="K35" s="404"/>
      <c r="L35" s="404"/>
    </row>
    <row r="36" ht="15.75" customHeight="1">
      <c r="A36" s="400"/>
      <c r="B36" s="401"/>
      <c r="C36" s="401"/>
      <c r="D36" s="402" t="str">
        <f t="shared" si="1"/>
        <v/>
      </c>
      <c r="E36" s="403"/>
      <c r="F36" s="403"/>
      <c r="G36" s="404"/>
      <c r="H36" s="404"/>
      <c r="I36" s="404"/>
      <c r="J36" s="404"/>
      <c r="K36" s="404"/>
      <c r="L36" s="404"/>
    </row>
    <row r="37" ht="15.75" customHeight="1">
      <c r="A37" s="400"/>
      <c r="B37" s="401"/>
      <c r="C37" s="401"/>
      <c r="D37" s="402" t="str">
        <f t="shared" si="1"/>
        <v/>
      </c>
      <c r="E37" s="403"/>
      <c r="F37" s="403"/>
      <c r="G37" s="404"/>
      <c r="H37" s="404"/>
      <c r="I37" s="404"/>
      <c r="J37" s="404"/>
      <c r="K37" s="404"/>
      <c r="L37" s="404"/>
    </row>
    <row r="38" ht="15.75" customHeight="1">
      <c r="A38" s="400"/>
      <c r="B38" s="401"/>
      <c r="C38" s="401"/>
      <c r="D38" s="402" t="str">
        <f t="shared" si="1"/>
        <v/>
      </c>
      <c r="E38" s="403"/>
      <c r="F38" s="403"/>
      <c r="G38" s="404"/>
      <c r="H38" s="404"/>
      <c r="I38" s="404"/>
      <c r="J38" s="404"/>
      <c r="K38" s="404"/>
      <c r="L38" s="404"/>
    </row>
    <row r="39" ht="15.75" customHeight="1">
      <c r="A39" s="400"/>
      <c r="B39" s="401"/>
      <c r="C39" s="401"/>
      <c r="D39" s="402" t="str">
        <f t="shared" si="1"/>
        <v/>
      </c>
      <c r="E39" s="403"/>
      <c r="F39" s="403"/>
      <c r="G39" s="404"/>
      <c r="H39" s="404"/>
      <c r="I39" s="404"/>
      <c r="J39" s="404"/>
      <c r="K39" s="404"/>
      <c r="L39" s="404"/>
    </row>
    <row r="40" ht="15.75" customHeight="1">
      <c r="A40" s="400"/>
      <c r="B40" s="401"/>
      <c r="C40" s="401"/>
      <c r="D40" s="402" t="str">
        <f t="shared" si="1"/>
        <v/>
      </c>
      <c r="E40" s="403"/>
      <c r="F40" s="403"/>
      <c r="G40" s="404"/>
      <c r="H40" s="404"/>
      <c r="I40" s="404"/>
      <c r="J40" s="404"/>
      <c r="K40" s="404"/>
      <c r="L40" s="404"/>
    </row>
    <row r="41" ht="15.75" customHeight="1">
      <c r="A41" s="400"/>
      <c r="B41" s="401"/>
      <c r="C41" s="401"/>
      <c r="D41" s="402" t="str">
        <f t="shared" si="1"/>
        <v/>
      </c>
      <c r="E41" s="403"/>
      <c r="F41" s="403"/>
      <c r="G41" s="404"/>
      <c r="H41" s="404"/>
      <c r="I41" s="404"/>
      <c r="J41" s="404"/>
      <c r="K41" s="404"/>
      <c r="L41" s="404"/>
    </row>
    <row r="42" ht="15.75" customHeight="1">
      <c r="A42" s="400"/>
      <c r="B42" s="401"/>
      <c r="C42" s="401"/>
      <c r="D42" s="402" t="str">
        <f t="shared" si="1"/>
        <v/>
      </c>
      <c r="E42" s="403"/>
      <c r="F42" s="403"/>
      <c r="G42" s="404"/>
      <c r="H42" s="404"/>
      <c r="I42" s="404"/>
      <c r="J42" s="404"/>
      <c r="K42" s="404"/>
      <c r="L42" s="404"/>
    </row>
    <row r="43" ht="15.75" customHeight="1">
      <c r="A43" s="400"/>
      <c r="B43" s="401"/>
      <c r="C43" s="401"/>
      <c r="D43" s="402" t="str">
        <f t="shared" si="1"/>
        <v/>
      </c>
      <c r="E43" s="403"/>
      <c r="F43" s="403"/>
      <c r="G43" s="404"/>
      <c r="H43" s="404"/>
      <c r="I43" s="404"/>
      <c r="J43" s="404"/>
      <c r="K43" s="404"/>
      <c r="L43" s="404"/>
    </row>
    <row r="44" ht="15.75" customHeight="1">
      <c r="A44" s="400"/>
      <c r="B44" s="401"/>
      <c r="C44" s="401"/>
      <c r="D44" s="402" t="str">
        <f t="shared" si="1"/>
        <v/>
      </c>
      <c r="E44" s="403"/>
      <c r="F44" s="403"/>
      <c r="G44" s="404"/>
      <c r="H44" s="404"/>
      <c r="I44" s="404"/>
      <c r="J44" s="404"/>
      <c r="K44" s="404"/>
      <c r="L44" s="404"/>
    </row>
    <row r="45" ht="15.75" customHeight="1">
      <c r="A45" s="400"/>
      <c r="B45" s="401"/>
      <c r="C45" s="401"/>
      <c r="D45" s="402" t="str">
        <f t="shared" si="1"/>
        <v/>
      </c>
      <c r="E45" s="403"/>
      <c r="F45" s="403"/>
      <c r="G45" s="404"/>
      <c r="H45" s="404"/>
      <c r="I45" s="404"/>
      <c r="J45" s="404"/>
      <c r="K45" s="404"/>
      <c r="L45" s="404"/>
    </row>
    <row r="46" ht="15.75" customHeight="1">
      <c r="A46" s="400"/>
      <c r="B46" s="401"/>
      <c r="C46" s="401"/>
      <c r="D46" s="402" t="str">
        <f t="shared" si="1"/>
        <v/>
      </c>
      <c r="E46" s="403"/>
      <c r="F46" s="403"/>
      <c r="G46" s="404"/>
      <c r="H46" s="404"/>
      <c r="I46" s="404"/>
      <c r="J46" s="404"/>
      <c r="K46" s="404"/>
      <c r="L46" s="404"/>
    </row>
    <row r="47" ht="15.75" customHeight="1">
      <c r="A47" s="400"/>
      <c r="B47" s="401"/>
      <c r="C47" s="401"/>
      <c r="D47" s="402" t="str">
        <f t="shared" si="1"/>
        <v/>
      </c>
      <c r="E47" s="403"/>
      <c r="F47" s="403"/>
      <c r="G47" s="404"/>
      <c r="H47" s="404"/>
      <c r="I47" s="404"/>
      <c r="J47" s="404"/>
      <c r="K47" s="404"/>
      <c r="L47" s="404"/>
    </row>
    <row r="48" ht="15.75" customHeight="1">
      <c r="A48" s="400"/>
      <c r="B48" s="401"/>
      <c r="C48" s="401"/>
      <c r="D48" s="402" t="str">
        <f t="shared" si="1"/>
        <v/>
      </c>
      <c r="E48" s="403"/>
      <c r="F48" s="403"/>
      <c r="G48" s="404"/>
      <c r="H48" s="404"/>
      <c r="I48" s="404"/>
      <c r="J48" s="404"/>
      <c r="K48" s="404"/>
      <c r="L48" s="404"/>
    </row>
    <row r="49" ht="15.75" customHeight="1">
      <c r="A49" s="400"/>
      <c r="B49" s="401"/>
      <c r="C49" s="401"/>
      <c r="D49" s="402" t="str">
        <f t="shared" si="1"/>
        <v/>
      </c>
      <c r="E49" s="403"/>
      <c r="F49" s="403"/>
      <c r="G49" s="404"/>
      <c r="H49" s="404"/>
      <c r="I49" s="404"/>
      <c r="J49" s="404"/>
      <c r="K49" s="404"/>
      <c r="L49" s="404"/>
    </row>
    <row r="50" ht="15.75" customHeight="1">
      <c r="A50" s="400"/>
      <c r="B50" s="401"/>
      <c r="C50" s="401"/>
      <c r="D50" s="402" t="str">
        <f t="shared" si="1"/>
        <v/>
      </c>
      <c r="E50" s="403"/>
      <c r="F50" s="403"/>
      <c r="G50" s="404"/>
      <c r="H50" s="404"/>
      <c r="I50" s="404"/>
      <c r="J50" s="404"/>
      <c r="K50" s="404"/>
      <c r="L50" s="404"/>
    </row>
    <row r="51" ht="15.75" customHeight="1">
      <c r="A51" s="400"/>
      <c r="B51" s="401"/>
      <c r="C51" s="401"/>
      <c r="D51" s="402" t="str">
        <f t="shared" si="1"/>
        <v/>
      </c>
      <c r="E51" s="403"/>
      <c r="F51" s="403"/>
      <c r="G51" s="404"/>
      <c r="H51" s="404"/>
      <c r="I51" s="404"/>
      <c r="J51" s="404"/>
      <c r="K51" s="404"/>
      <c r="L51" s="404"/>
    </row>
    <row r="52" ht="15.75" customHeight="1">
      <c r="A52" s="400"/>
      <c r="B52" s="401"/>
      <c r="C52" s="401"/>
      <c r="D52" s="402" t="str">
        <f t="shared" si="1"/>
        <v/>
      </c>
      <c r="E52" s="403"/>
      <c r="F52" s="403"/>
      <c r="G52" s="404"/>
      <c r="H52" s="404"/>
      <c r="I52" s="404"/>
      <c r="J52" s="404"/>
      <c r="K52" s="404"/>
      <c r="L52" s="404"/>
    </row>
    <row r="53" ht="15.75" customHeight="1">
      <c r="A53" s="400"/>
      <c r="B53" s="401"/>
      <c r="C53" s="401"/>
      <c r="D53" s="402" t="str">
        <f t="shared" si="1"/>
        <v/>
      </c>
      <c r="E53" s="403"/>
      <c r="F53" s="403"/>
      <c r="G53" s="404"/>
      <c r="H53" s="404"/>
      <c r="I53" s="404"/>
      <c r="J53" s="404"/>
      <c r="K53" s="404"/>
      <c r="L53" s="404"/>
    </row>
    <row r="54" ht="15.75" customHeight="1">
      <c r="A54" s="400"/>
      <c r="B54" s="401"/>
      <c r="C54" s="401"/>
      <c r="D54" s="402" t="str">
        <f t="shared" si="1"/>
        <v/>
      </c>
      <c r="E54" s="403"/>
      <c r="F54" s="403"/>
      <c r="G54" s="404"/>
      <c r="H54" s="404"/>
      <c r="I54" s="404"/>
      <c r="J54" s="404"/>
      <c r="K54" s="404"/>
      <c r="L54" s="404"/>
    </row>
    <row r="55" ht="15.75" customHeight="1">
      <c r="A55" s="400"/>
      <c r="B55" s="401"/>
      <c r="C55" s="401"/>
      <c r="D55" s="402" t="str">
        <f t="shared" si="1"/>
        <v/>
      </c>
      <c r="E55" s="403"/>
      <c r="F55" s="403"/>
      <c r="G55" s="404"/>
      <c r="H55" s="404"/>
      <c r="I55" s="404"/>
      <c r="J55" s="404"/>
      <c r="K55" s="404"/>
      <c r="L55" s="404"/>
    </row>
    <row r="56" ht="15.75" customHeight="1">
      <c r="A56" s="400"/>
      <c r="B56" s="401"/>
      <c r="C56" s="401"/>
      <c r="D56" s="402" t="str">
        <f t="shared" si="1"/>
        <v/>
      </c>
      <c r="E56" s="403"/>
      <c r="F56" s="403"/>
      <c r="G56" s="404"/>
      <c r="H56" s="404"/>
      <c r="I56" s="404"/>
      <c r="J56" s="404"/>
      <c r="K56" s="404"/>
      <c r="L56" s="404"/>
    </row>
    <row r="57" ht="15.75" customHeight="1">
      <c r="A57" s="400"/>
      <c r="B57" s="401"/>
      <c r="C57" s="401"/>
      <c r="D57" s="402" t="str">
        <f t="shared" si="1"/>
        <v/>
      </c>
      <c r="E57" s="403"/>
      <c r="F57" s="403"/>
      <c r="G57" s="404"/>
      <c r="H57" s="404"/>
      <c r="I57" s="404"/>
      <c r="J57" s="404"/>
      <c r="K57" s="404"/>
      <c r="L57" s="404"/>
    </row>
    <row r="58" ht="15.75" customHeight="1">
      <c r="A58" s="400"/>
      <c r="B58" s="401"/>
      <c r="C58" s="401"/>
      <c r="D58" s="402" t="str">
        <f t="shared" si="1"/>
        <v/>
      </c>
      <c r="E58" s="403"/>
      <c r="F58" s="403"/>
      <c r="G58" s="404"/>
      <c r="H58" s="404"/>
      <c r="I58" s="404"/>
      <c r="J58" s="404"/>
      <c r="K58" s="404"/>
      <c r="L58" s="404"/>
    </row>
    <row r="59" ht="15.75" customHeight="1">
      <c r="A59" s="400"/>
      <c r="B59" s="401"/>
      <c r="C59" s="401"/>
      <c r="D59" s="402" t="str">
        <f t="shared" si="1"/>
        <v/>
      </c>
      <c r="E59" s="403"/>
      <c r="F59" s="403"/>
      <c r="G59" s="404"/>
      <c r="H59" s="404"/>
      <c r="I59" s="404"/>
      <c r="J59" s="404"/>
      <c r="K59" s="404"/>
      <c r="L59" s="404"/>
    </row>
    <row r="60" ht="15.75" customHeight="1">
      <c r="A60" s="400"/>
      <c r="B60" s="401"/>
      <c r="C60" s="401"/>
      <c r="D60" s="402" t="str">
        <f t="shared" si="1"/>
        <v/>
      </c>
      <c r="E60" s="403"/>
      <c r="F60" s="403"/>
      <c r="G60" s="404"/>
      <c r="H60" s="404"/>
      <c r="I60" s="404"/>
      <c r="J60" s="404"/>
      <c r="K60" s="404"/>
      <c r="L60" s="404"/>
    </row>
    <row r="61" ht="15.75" customHeight="1">
      <c r="A61" s="400"/>
      <c r="B61" s="401"/>
      <c r="C61" s="401"/>
      <c r="D61" s="402" t="str">
        <f t="shared" si="1"/>
        <v/>
      </c>
      <c r="E61" s="403"/>
      <c r="F61" s="403"/>
      <c r="G61" s="404"/>
      <c r="H61" s="404"/>
      <c r="I61" s="404"/>
      <c r="J61" s="404"/>
      <c r="K61" s="404"/>
      <c r="L61" s="404"/>
    </row>
    <row r="62" ht="15.75" customHeight="1">
      <c r="A62" s="400"/>
      <c r="B62" s="401"/>
      <c r="C62" s="401"/>
      <c r="D62" s="402" t="str">
        <f t="shared" si="1"/>
        <v/>
      </c>
      <c r="E62" s="403"/>
      <c r="F62" s="403"/>
      <c r="G62" s="404"/>
      <c r="H62" s="404"/>
      <c r="I62" s="404"/>
      <c r="J62" s="404"/>
      <c r="K62" s="404"/>
      <c r="L62" s="404"/>
    </row>
    <row r="63" ht="15.75" customHeight="1">
      <c r="A63" s="400"/>
      <c r="B63" s="401"/>
      <c r="C63" s="401"/>
      <c r="D63" s="402" t="str">
        <f t="shared" si="1"/>
        <v/>
      </c>
      <c r="E63" s="403"/>
      <c r="F63" s="403"/>
      <c r="G63" s="404"/>
      <c r="H63" s="404"/>
      <c r="I63" s="404"/>
      <c r="J63" s="404"/>
      <c r="K63" s="404"/>
      <c r="L63" s="404"/>
    </row>
    <row r="64" ht="15.75" customHeight="1">
      <c r="A64" s="400"/>
      <c r="B64" s="401"/>
      <c r="C64" s="401"/>
      <c r="D64" s="402" t="str">
        <f t="shared" si="1"/>
        <v/>
      </c>
      <c r="E64" s="403"/>
      <c r="F64" s="403"/>
      <c r="G64" s="404"/>
      <c r="H64" s="404"/>
      <c r="I64" s="404"/>
      <c r="J64" s="404"/>
      <c r="K64" s="404"/>
      <c r="L64" s="404"/>
    </row>
    <row r="65" ht="15.75" customHeight="1">
      <c r="A65" s="400"/>
      <c r="B65" s="401"/>
      <c r="C65" s="401"/>
      <c r="D65" s="402" t="str">
        <f t="shared" si="1"/>
        <v/>
      </c>
      <c r="E65" s="403"/>
      <c r="F65" s="403"/>
      <c r="G65" s="404"/>
      <c r="H65" s="404"/>
      <c r="I65" s="404"/>
      <c r="J65" s="404"/>
      <c r="K65" s="404"/>
      <c r="L65" s="404"/>
    </row>
    <row r="66" ht="15.75" customHeight="1">
      <c r="A66" s="400"/>
      <c r="B66" s="401"/>
      <c r="C66" s="401"/>
      <c r="D66" s="402" t="str">
        <f t="shared" si="1"/>
        <v/>
      </c>
      <c r="E66" s="403"/>
      <c r="F66" s="403"/>
      <c r="G66" s="404"/>
      <c r="H66" s="404"/>
      <c r="I66" s="404"/>
      <c r="J66" s="404"/>
      <c r="K66" s="404"/>
      <c r="L66" s="404"/>
    </row>
    <row r="67" ht="15.75" customHeight="1">
      <c r="A67" s="400"/>
      <c r="B67" s="401"/>
      <c r="C67" s="401"/>
      <c r="D67" s="402" t="str">
        <f t="shared" si="1"/>
        <v/>
      </c>
      <c r="E67" s="403"/>
      <c r="F67" s="403"/>
      <c r="G67" s="404"/>
      <c r="H67" s="404"/>
      <c r="I67" s="404"/>
      <c r="J67" s="404"/>
      <c r="K67" s="404"/>
      <c r="L67" s="404"/>
    </row>
    <row r="68" ht="15.75" customHeight="1">
      <c r="A68" s="400"/>
      <c r="B68" s="401"/>
      <c r="C68" s="401"/>
      <c r="D68" s="402" t="str">
        <f t="shared" si="1"/>
        <v/>
      </c>
      <c r="E68" s="403"/>
      <c r="F68" s="403"/>
      <c r="G68" s="404"/>
      <c r="H68" s="404"/>
      <c r="I68" s="404"/>
      <c r="J68" s="404"/>
      <c r="K68" s="404"/>
      <c r="L68" s="404"/>
    </row>
    <row r="69" ht="15.75" customHeight="1">
      <c r="A69" s="400"/>
      <c r="B69" s="401"/>
      <c r="C69" s="401"/>
      <c r="D69" s="402" t="str">
        <f t="shared" si="1"/>
        <v/>
      </c>
      <c r="E69" s="403"/>
      <c r="F69" s="403"/>
      <c r="G69" s="404"/>
      <c r="H69" s="404"/>
      <c r="I69" s="404"/>
      <c r="J69" s="404"/>
      <c r="K69" s="404"/>
      <c r="L69" s="404"/>
    </row>
    <row r="70" ht="15.75" customHeight="1">
      <c r="A70" s="400"/>
      <c r="B70" s="401"/>
      <c r="C70" s="401"/>
      <c r="D70" s="402" t="str">
        <f t="shared" si="1"/>
        <v/>
      </c>
      <c r="E70" s="403"/>
      <c r="F70" s="403"/>
      <c r="G70" s="404"/>
      <c r="H70" s="404"/>
      <c r="I70" s="404"/>
      <c r="J70" s="404"/>
      <c r="K70" s="404"/>
      <c r="L70" s="404"/>
    </row>
    <row r="71" ht="15.75" customHeight="1">
      <c r="A71" s="400"/>
      <c r="B71" s="401"/>
      <c r="C71" s="401"/>
      <c r="D71" s="402" t="str">
        <f t="shared" si="1"/>
        <v/>
      </c>
      <c r="E71" s="403"/>
      <c r="F71" s="403"/>
      <c r="G71" s="404"/>
      <c r="H71" s="404"/>
      <c r="I71" s="404"/>
      <c r="J71" s="404"/>
      <c r="K71" s="404"/>
      <c r="L71" s="404"/>
    </row>
    <row r="72" ht="15.75" customHeight="1">
      <c r="A72" s="400"/>
      <c r="B72" s="401"/>
      <c r="C72" s="401"/>
      <c r="D72" s="402" t="str">
        <f t="shared" si="1"/>
        <v/>
      </c>
      <c r="E72" s="403"/>
      <c r="F72" s="403"/>
      <c r="G72" s="404"/>
      <c r="H72" s="404"/>
      <c r="I72" s="404"/>
      <c r="J72" s="404"/>
      <c r="K72" s="404"/>
      <c r="L72" s="404"/>
    </row>
    <row r="73" ht="15.75" customHeight="1">
      <c r="A73" s="400"/>
      <c r="B73" s="401"/>
      <c r="C73" s="401"/>
      <c r="D73" s="402" t="str">
        <f t="shared" si="1"/>
        <v/>
      </c>
      <c r="E73" s="403"/>
      <c r="F73" s="403"/>
      <c r="G73" s="404"/>
      <c r="H73" s="404"/>
      <c r="I73" s="404"/>
      <c r="J73" s="404"/>
      <c r="K73" s="404"/>
      <c r="L73" s="404"/>
    </row>
    <row r="74" ht="15.75" customHeight="1">
      <c r="A74" s="400"/>
      <c r="B74" s="401"/>
      <c r="C74" s="401"/>
      <c r="D74" s="402" t="str">
        <f t="shared" si="1"/>
        <v/>
      </c>
      <c r="E74" s="403"/>
      <c r="F74" s="403"/>
      <c r="G74" s="404"/>
      <c r="H74" s="404"/>
      <c r="I74" s="404"/>
      <c r="J74" s="404"/>
      <c r="K74" s="404"/>
      <c r="L74" s="404"/>
    </row>
    <row r="75" ht="15.75" customHeight="1">
      <c r="A75" s="400"/>
      <c r="B75" s="401"/>
      <c r="C75" s="401"/>
      <c r="D75" s="402" t="str">
        <f t="shared" si="1"/>
        <v/>
      </c>
      <c r="E75" s="403"/>
      <c r="F75" s="403"/>
      <c r="G75" s="404"/>
      <c r="H75" s="404"/>
      <c r="I75" s="404"/>
      <c r="J75" s="404"/>
      <c r="K75" s="404"/>
      <c r="L75" s="404"/>
    </row>
    <row r="76" ht="15.75" customHeight="1">
      <c r="A76" s="400"/>
      <c r="B76" s="401"/>
      <c r="C76" s="401"/>
      <c r="D76" s="402" t="str">
        <f t="shared" si="1"/>
        <v/>
      </c>
      <c r="E76" s="403"/>
      <c r="F76" s="403"/>
      <c r="G76" s="404"/>
      <c r="H76" s="404"/>
      <c r="I76" s="404"/>
      <c r="J76" s="404"/>
      <c r="K76" s="404"/>
      <c r="L76" s="404"/>
    </row>
    <row r="77" ht="15.75" customHeight="1">
      <c r="A77" s="400"/>
      <c r="B77" s="401"/>
      <c r="C77" s="401"/>
      <c r="D77" s="402" t="str">
        <f t="shared" si="1"/>
        <v/>
      </c>
      <c r="E77" s="403"/>
      <c r="F77" s="403"/>
      <c r="G77" s="404"/>
      <c r="H77" s="404"/>
      <c r="I77" s="404"/>
      <c r="J77" s="404"/>
      <c r="K77" s="404"/>
      <c r="L77" s="404"/>
    </row>
    <row r="78" ht="15.75" customHeight="1">
      <c r="A78" s="400"/>
      <c r="B78" s="401"/>
      <c r="C78" s="401"/>
      <c r="D78" s="402" t="str">
        <f t="shared" si="1"/>
        <v/>
      </c>
      <c r="E78" s="403"/>
      <c r="F78" s="403"/>
      <c r="G78" s="404"/>
      <c r="H78" s="404"/>
      <c r="I78" s="404"/>
      <c r="J78" s="404"/>
      <c r="K78" s="404"/>
      <c r="L78" s="404"/>
    </row>
    <row r="79" ht="15.75" customHeight="1">
      <c r="A79" s="400"/>
      <c r="B79" s="401"/>
      <c r="C79" s="401"/>
      <c r="D79" s="402" t="str">
        <f t="shared" si="1"/>
        <v/>
      </c>
      <c r="E79" s="403"/>
      <c r="F79" s="403"/>
      <c r="G79" s="404"/>
      <c r="H79" s="404"/>
      <c r="I79" s="404"/>
      <c r="J79" s="404"/>
      <c r="K79" s="404"/>
      <c r="L79" s="404"/>
    </row>
    <row r="80" ht="15.75" customHeight="1">
      <c r="A80" s="400"/>
      <c r="B80" s="401"/>
      <c r="C80" s="401"/>
      <c r="D80" s="402" t="str">
        <f t="shared" si="1"/>
        <v/>
      </c>
      <c r="E80" s="403"/>
      <c r="F80" s="403"/>
      <c r="G80" s="404"/>
      <c r="H80" s="404"/>
      <c r="I80" s="404"/>
      <c r="J80" s="404"/>
      <c r="K80" s="404"/>
      <c r="L80" s="404"/>
    </row>
    <row r="81" ht="15.75" customHeight="1">
      <c r="A81" s="400"/>
      <c r="B81" s="401"/>
      <c r="C81" s="401"/>
      <c r="D81" s="402" t="str">
        <f t="shared" si="1"/>
        <v/>
      </c>
      <c r="E81" s="403"/>
      <c r="F81" s="403"/>
      <c r="G81" s="404"/>
      <c r="H81" s="404"/>
      <c r="I81" s="404"/>
      <c r="J81" s="404"/>
      <c r="K81" s="404"/>
      <c r="L81" s="404"/>
    </row>
    <row r="82" ht="15.75" customHeight="1">
      <c r="A82" s="400"/>
      <c r="B82" s="401"/>
      <c r="C82" s="401"/>
      <c r="D82" s="402" t="str">
        <f t="shared" si="1"/>
        <v/>
      </c>
      <c r="E82" s="403"/>
      <c r="F82" s="403"/>
      <c r="G82" s="404"/>
      <c r="H82" s="404"/>
      <c r="I82" s="404"/>
      <c r="J82" s="404"/>
      <c r="K82" s="404"/>
      <c r="L82" s="404"/>
    </row>
    <row r="83" ht="15.75" customHeight="1">
      <c r="A83" s="400"/>
      <c r="B83" s="401"/>
      <c r="C83" s="401"/>
      <c r="D83" s="402" t="str">
        <f t="shared" si="1"/>
        <v/>
      </c>
      <c r="E83" s="403"/>
      <c r="F83" s="403"/>
      <c r="G83" s="404"/>
      <c r="H83" s="404"/>
      <c r="I83" s="404"/>
      <c r="J83" s="404"/>
      <c r="K83" s="404"/>
      <c r="L83" s="404"/>
    </row>
    <row r="84" ht="15.75" customHeight="1">
      <c r="A84" s="400"/>
      <c r="B84" s="401"/>
      <c r="C84" s="401"/>
      <c r="D84" s="402" t="str">
        <f t="shared" si="1"/>
        <v/>
      </c>
      <c r="E84" s="403"/>
      <c r="F84" s="403"/>
      <c r="G84" s="404"/>
      <c r="H84" s="404"/>
      <c r="I84" s="404"/>
      <c r="J84" s="404"/>
      <c r="K84" s="404"/>
      <c r="L84" s="404"/>
    </row>
    <row r="85" ht="15.75" customHeight="1">
      <c r="A85" s="400"/>
      <c r="B85" s="401"/>
      <c r="C85" s="401"/>
      <c r="D85" s="402" t="str">
        <f t="shared" si="1"/>
        <v/>
      </c>
      <c r="E85" s="403"/>
      <c r="F85" s="403"/>
      <c r="G85" s="404"/>
      <c r="H85" s="404"/>
      <c r="I85" s="404"/>
      <c r="J85" s="404"/>
      <c r="K85" s="404"/>
      <c r="L85" s="404"/>
    </row>
    <row r="86" ht="15.75" customHeight="1">
      <c r="A86" s="400"/>
      <c r="B86" s="401"/>
      <c r="C86" s="401"/>
      <c r="D86" s="402" t="str">
        <f t="shared" si="1"/>
        <v/>
      </c>
      <c r="E86" s="403"/>
      <c r="F86" s="403"/>
      <c r="G86" s="404"/>
      <c r="H86" s="404"/>
      <c r="I86" s="404"/>
      <c r="J86" s="404"/>
      <c r="K86" s="404"/>
      <c r="L86" s="404"/>
    </row>
    <row r="87" ht="15.75" customHeight="1">
      <c r="A87" s="400"/>
      <c r="B87" s="401"/>
      <c r="C87" s="401"/>
      <c r="D87" s="402" t="str">
        <f t="shared" si="1"/>
        <v/>
      </c>
      <c r="E87" s="403"/>
      <c r="F87" s="403"/>
      <c r="G87" s="404"/>
      <c r="H87" s="404"/>
      <c r="I87" s="404"/>
      <c r="J87" s="404"/>
      <c r="K87" s="404"/>
      <c r="L87" s="404"/>
    </row>
    <row r="88" ht="15.75" customHeight="1">
      <c r="A88" s="400"/>
      <c r="B88" s="401"/>
      <c r="C88" s="401"/>
      <c r="D88" s="402" t="str">
        <f t="shared" si="1"/>
        <v/>
      </c>
      <c r="E88" s="403"/>
      <c r="F88" s="403"/>
      <c r="G88" s="404"/>
      <c r="H88" s="404"/>
      <c r="I88" s="404"/>
      <c r="J88" s="404"/>
      <c r="K88" s="404"/>
      <c r="L88" s="404"/>
    </row>
    <row r="89" ht="15.75" customHeight="1">
      <c r="A89" s="400"/>
      <c r="B89" s="401"/>
      <c r="C89" s="401"/>
      <c r="D89" s="402" t="str">
        <f t="shared" si="1"/>
        <v/>
      </c>
      <c r="E89" s="403"/>
      <c r="F89" s="403"/>
      <c r="G89" s="404"/>
      <c r="H89" s="404"/>
      <c r="I89" s="404"/>
      <c r="J89" s="404"/>
      <c r="K89" s="404"/>
      <c r="L89" s="404"/>
    </row>
    <row r="90" ht="15.75" customHeight="1">
      <c r="A90" s="400"/>
      <c r="B90" s="401"/>
      <c r="C90" s="401"/>
      <c r="D90" s="402" t="str">
        <f t="shared" si="1"/>
        <v/>
      </c>
      <c r="E90" s="403"/>
      <c r="F90" s="403"/>
      <c r="G90" s="404"/>
      <c r="H90" s="404"/>
      <c r="I90" s="404"/>
      <c r="J90" s="404"/>
      <c r="K90" s="404"/>
      <c r="L90" s="404"/>
    </row>
    <row r="91" ht="15.75" customHeight="1">
      <c r="A91" s="400"/>
      <c r="B91" s="401"/>
      <c r="C91" s="401"/>
      <c r="D91" s="402" t="str">
        <f t="shared" si="1"/>
        <v/>
      </c>
      <c r="E91" s="403"/>
      <c r="F91" s="403"/>
      <c r="G91" s="404"/>
      <c r="H91" s="404"/>
      <c r="I91" s="404"/>
      <c r="J91" s="404"/>
      <c r="K91" s="404"/>
      <c r="L91" s="404"/>
    </row>
    <row r="92" ht="15.75" customHeight="1">
      <c r="A92" s="400"/>
      <c r="B92" s="401"/>
      <c r="C92" s="401"/>
      <c r="D92" s="402" t="str">
        <f t="shared" si="1"/>
        <v/>
      </c>
      <c r="E92" s="403"/>
      <c r="F92" s="403"/>
      <c r="G92" s="404"/>
      <c r="H92" s="404"/>
      <c r="I92" s="404"/>
      <c r="J92" s="404"/>
      <c r="K92" s="404"/>
      <c r="L92" s="404"/>
    </row>
    <row r="93" ht="15.75" customHeight="1">
      <c r="A93" s="400"/>
      <c r="B93" s="401"/>
      <c r="C93" s="401"/>
      <c r="D93" s="402" t="str">
        <f t="shared" si="1"/>
        <v/>
      </c>
      <c r="E93" s="403"/>
      <c r="F93" s="403"/>
      <c r="G93" s="404"/>
      <c r="H93" s="404"/>
      <c r="I93" s="404"/>
      <c r="J93" s="404"/>
      <c r="K93" s="404"/>
      <c r="L93" s="404"/>
    </row>
    <row r="94" ht="15.75" customHeight="1">
      <c r="A94" s="400"/>
      <c r="B94" s="401"/>
      <c r="C94" s="401"/>
      <c r="D94" s="402" t="str">
        <f t="shared" si="1"/>
        <v/>
      </c>
      <c r="E94" s="403"/>
      <c r="F94" s="403"/>
      <c r="G94" s="404"/>
      <c r="H94" s="404"/>
      <c r="I94" s="404"/>
      <c r="J94" s="404"/>
      <c r="K94" s="404"/>
      <c r="L94" s="404"/>
    </row>
    <row r="95" ht="15.75" customHeight="1">
      <c r="A95" s="400"/>
      <c r="B95" s="401"/>
      <c r="C95" s="401"/>
      <c r="D95" s="402" t="str">
        <f t="shared" si="1"/>
        <v/>
      </c>
      <c r="E95" s="403"/>
      <c r="F95" s="403"/>
      <c r="G95" s="404"/>
      <c r="H95" s="404"/>
      <c r="I95" s="404"/>
      <c r="J95" s="404"/>
      <c r="K95" s="404"/>
      <c r="L95" s="404"/>
    </row>
    <row r="96" ht="15.75" customHeight="1">
      <c r="A96" s="400"/>
      <c r="B96" s="401"/>
      <c r="C96" s="401"/>
      <c r="D96" s="402" t="str">
        <f t="shared" si="1"/>
        <v/>
      </c>
      <c r="E96" s="403"/>
      <c r="F96" s="403"/>
      <c r="G96" s="404"/>
      <c r="H96" s="404"/>
      <c r="I96" s="404"/>
      <c r="J96" s="404"/>
      <c r="K96" s="404"/>
      <c r="L96" s="404"/>
    </row>
    <row r="97" ht="15.75" customHeight="1">
      <c r="A97" s="400"/>
      <c r="B97" s="401"/>
      <c r="C97" s="401"/>
      <c r="D97" s="402" t="str">
        <f t="shared" si="1"/>
        <v/>
      </c>
      <c r="E97" s="403"/>
      <c r="F97" s="403"/>
      <c r="G97" s="404"/>
      <c r="H97" s="404"/>
      <c r="I97" s="404"/>
      <c r="J97" s="404"/>
      <c r="K97" s="404"/>
      <c r="L97" s="404"/>
    </row>
    <row r="98" ht="15.75" customHeight="1">
      <c r="A98" s="400"/>
      <c r="B98" s="401"/>
      <c r="C98" s="401"/>
      <c r="D98" s="402" t="str">
        <f t="shared" si="1"/>
        <v/>
      </c>
      <c r="E98" s="403"/>
      <c r="F98" s="403"/>
      <c r="G98" s="404"/>
      <c r="H98" s="404"/>
      <c r="I98" s="404"/>
      <c r="J98" s="404"/>
      <c r="K98" s="404"/>
      <c r="L98" s="404"/>
    </row>
    <row r="99" ht="15.75" customHeight="1">
      <c r="A99" s="400"/>
      <c r="B99" s="401"/>
      <c r="C99" s="401"/>
      <c r="D99" s="402" t="str">
        <f t="shared" si="1"/>
        <v/>
      </c>
      <c r="E99" s="403"/>
      <c r="F99" s="403"/>
      <c r="G99" s="404"/>
      <c r="H99" s="404"/>
      <c r="I99" s="404"/>
      <c r="J99" s="404"/>
      <c r="K99" s="404"/>
      <c r="L99" s="404"/>
    </row>
    <row r="100" ht="15.75" customHeight="1">
      <c r="A100" s="400"/>
      <c r="B100" s="401"/>
      <c r="C100" s="401"/>
      <c r="D100" s="402" t="str">
        <f t="shared" si="1"/>
        <v/>
      </c>
      <c r="E100" s="403"/>
      <c r="F100" s="403"/>
      <c r="G100" s="404"/>
      <c r="H100" s="404"/>
      <c r="I100" s="404"/>
      <c r="J100" s="404"/>
      <c r="K100" s="404"/>
      <c r="L100" s="404"/>
    </row>
    <row r="101" ht="15.75" customHeight="1">
      <c r="A101" s="400"/>
      <c r="B101" s="401"/>
      <c r="C101" s="401"/>
      <c r="D101" s="402" t="str">
        <f t="shared" si="1"/>
        <v/>
      </c>
      <c r="E101" s="403"/>
      <c r="F101" s="403"/>
      <c r="G101" s="404"/>
      <c r="H101" s="404"/>
      <c r="I101" s="404"/>
      <c r="J101" s="404"/>
      <c r="K101" s="404"/>
      <c r="L101" s="404"/>
    </row>
    <row r="102" ht="15.75" customHeight="1">
      <c r="A102" s="400"/>
      <c r="B102" s="401"/>
      <c r="C102" s="401"/>
      <c r="D102" s="402" t="str">
        <f t="shared" si="1"/>
        <v/>
      </c>
      <c r="E102" s="403"/>
      <c r="F102" s="403"/>
      <c r="G102" s="404"/>
      <c r="H102" s="404"/>
      <c r="I102" s="404"/>
      <c r="J102" s="404"/>
      <c r="K102" s="404"/>
      <c r="L102" s="404"/>
    </row>
    <row r="103" ht="15.75" customHeight="1">
      <c r="A103" s="400"/>
      <c r="B103" s="401"/>
      <c r="C103" s="401"/>
      <c r="D103" s="402" t="str">
        <f t="shared" si="1"/>
        <v/>
      </c>
      <c r="E103" s="403"/>
      <c r="F103" s="403"/>
      <c r="G103" s="404"/>
      <c r="H103" s="404"/>
      <c r="I103" s="404"/>
      <c r="J103" s="404"/>
      <c r="K103" s="404"/>
      <c r="L103" s="404"/>
    </row>
    <row r="104" ht="15.75" customHeight="1">
      <c r="A104" s="400"/>
      <c r="B104" s="401"/>
      <c r="C104" s="401"/>
      <c r="D104" s="402" t="str">
        <f t="shared" si="1"/>
        <v/>
      </c>
      <c r="E104" s="403"/>
      <c r="F104" s="403"/>
      <c r="G104" s="404"/>
      <c r="H104" s="404"/>
      <c r="I104" s="404"/>
      <c r="J104" s="404"/>
      <c r="K104" s="404"/>
      <c r="L104" s="404"/>
    </row>
    <row r="105" ht="15.75" customHeight="1">
      <c r="A105" s="400"/>
      <c r="B105" s="401"/>
      <c r="C105" s="401"/>
      <c r="D105" s="402" t="str">
        <f t="shared" si="1"/>
        <v/>
      </c>
      <c r="E105" s="403"/>
      <c r="F105" s="403"/>
      <c r="G105" s="404"/>
      <c r="H105" s="404"/>
      <c r="I105" s="404"/>
      <c r="J105" s="404"/>
      <c r="K105" s="404"/>
      <c r="L105" s="404"/>
    </row>
    <row r="106" ht="15.75" customHeight="1">
      <c r="A106" s="400"/>
      <c r="B106" s="401"/>
      <c r="C106" s="401"/>
      <c r="D106" s="402" t="str">
        <f t="shared" si="1"/>
        <v/>
      </c>
      <c r="E106" s="403"/>
      <c r="F106" s="403"/>
      <c r="G106" s="404"/>
      <c r="H106" s="404"/>
      <c r="I106" s="404"/>
      <c r="J106" s="404"/>
      <c r="K106" s="404"/>
      <c r="L106" s="404"/>
    </row>
    <row r="107" ht="15.75" customHeight="1">
      <c r="A107" s="400"/>
      <c r="B107" s="401"/>
      <c r="C107" s="401"/>
      <c r="D107" s="402" t="str">
        <f t="shared" si="1"/>
        <v/>
      </c>
      <c r="E107" s="403"/>
      <c r="F107" s="403"/>
      <c r="G107" s="404"/>
      <c r="H107" s="404"/>
      <c r="I107" s="404"/>
      <c r="J107" s="404"/>
      <c r="K107" s="404"/>
      <c r="L107" s="404"/>
    </row>
    <row r="108" ht="15.75" customHeight="1">
      <c r="A108" s="400"/>
      <c r="B108" s="401"/>
      <c r="C108" s="401"/>
      <c r="D108" s="402" t="str">
        <f t="shared" si="1"/>
        <v/>
      </c>
      <c r="E108" s="403"/>
      <c r="F108" s="403"/>
      <c r="G108" s="404"/>
      <c r="H108" s="404"/>
      <c r="I108" s="404"/>
      <c r="J108" s="404"/>
      <c r="K108" s="404"/>
      <c r="L108" s="404"/>
    </row>
    <row r="109" ht="15.75" customHeight="1">
      <c r="A109" s="400"/>
      <c r="B109" s="401"/>
      <c r="C109" s="401"/>
      <c r="D109" s="402" t="str">
        <f t="shared" si="1"/>
        <v/>
      </c>
      <c r="E109" s="403"/>
      <c r="F109" s="403"/>
      <c r="G109" s="404"/>
      <c r="H109" s="404"/>
      <c r="I109" s="404"/>
      <c r="J109" s="404"/>
      <c r="K109" s="404"/>
      <c r="L109" s="404"/>
    </row>
    <row r="110" ht="15.75" customHeight="1">
      <c r="A110" s="400"/>
      <c r="B110" s="401"/>
      <c r="C110" s="401"/>
      <c r="D110" s="402" t="str">
        <f t="shared" si="1"/>
        <v/>
      </c>
      <c r="E110" s="403"/>
      <c r="F110" s="403"/>
      <c r="G110" s="404"/>
      <c r="H110" s="404"/>
      <c r="I110" s="404"/>
      <c r="J110" s="404"/>
      <c r="K110" s="404"/>
      <c r="L110" s="404"/>
    </row>
    <row r="111" ht="15.75" customHeight="1">
      <c r="A111" s="400"/>
      <c r="B111" s="401"/>
      <c r="C111" s="401"/>
      <c r="D111" s="402" t="str">
        <f t="shared" si="1"/>
        <v/>
      </c>
      <c r="E111" s="403"/>
      <c r="F111" s="403"/>
      <c r="G111" s="404"/>
      <c r="H111" s="404"/>
      <c r="I111" s="404"/>
      <c r="J111" s="404"/>
      <c r="K111" s="404"/>
      <c r="L111" s="404"/>
    </row>
    <row r="112" ht="15.75" customHeight="1">
      <c r="A112" s="400"/>
      <c r="B112" s="401"/>
      <c r="C112" s="401"/>
      <c r="D112" s="402" t="str">
        <f t="shared" si="1"/>
        <v/>
      </c>
      <c r="E112" s="403"/>
      <c r="F112" s="403"/>
      <c r="G112" s="404"/>
      <c r="H112" s="404"/>
      <c r="I112" s="404"/>
      <c r="J112" s="404"/>
      <c r="K112" s="404"/>
      <c r="L112" s="404"/>
    </row>
    <row r="113" ht="15.75" customHeight="1">
      <c r="A113" s="400"/>
      <c r="B113" s="401"/>
      <c r="C113" s="401"/>
      <c r="D113" s="402" t="str">
        <f t="shared" si="1"/>
        <v/>
      </c>
      <c r="E113" s="403"/>
      <c r="F113" s="403"/>
      <c r="G113" s="404"/>
      <c r="H113" s="404"/>
      <c r="I113" s="404"/>
      <c r="J113" s="404"/>
      <c r="K113" s="404"/>
      <c r="L113" s="404"/>
    </row>
    <row r="114" ht="15.75" customHeight="1">
      <c r="A114" s="400"/>
      <c r="B114" s="401"/>
      <c r="C114" s="401"/>
      <c r="D114" s="402" t="str">
        <f t="shared" si="1"/>
        <v/>
      </c>
      <c r="E114" s="403"/>
      <c r="F114" s="403"/>
      <c r="G114" s="404"/>
      <c r="H114" s="404"/>
      <c r="I114" s="404"/>
      <c r="J114" s="404"/>
      <c r="K114" s="404"/>
      <c r="L114" s="404"/>
    </row>
    <row r="115" ht="15.75" customHeight="1">
      <c r="A115" s="400"/>
      <c r="B115" s="401"/>
      <c r="C115" s="401"/>
      <c r="D115" s="402" t="str">
        <f t="shared" si="1"/>
        <v/>
      </c>
      <c r="E115" s="403"/>
      <c r="F115" s="403"/>
      <c r="G115" s="404"/>
      <c r="H115" s="404"/>
      <c r="I115" s="404"/>
      <c r="J115" s="404"/>
      <c r="K115" s="404"/>
      <c r="L115" s="404"/>
    </row>
    <row r="116" ht="15.75" customHeight="1">
      <c r="A116" s="400"/>
      <c r="B116" s="401"/>
      <c r="C116" s="401"/>
      <c r="D116" s="402" t="str">
        <f t="shared" si="1"/>
        <v/>
      </c>
      <c r="E116" s="403"/>
      <c r="F116" s="403"/>
      <c r="G116" s="404"/>
      <c r="H116" s="404"/>
      <c r="I116" s="404"/>
      <c r="J116" s="404"/>
      <c r="K116" s="404"/>
      <c r="L116" s="404"/>
    </row>
    <row r="117" ht="15.75" customHeight="1">
      <c r="A117" s="400"/>
      <c r="B117" s="401"/>
      <c r="C117" s="401"/>
      <c r="D117" s="402" t="str">
        <f t="shared" si="1"/>
        <v/>
      </c>
      <c r="E117" s="403"/>
      <c r="F117" s="403"/>
      <c r="G117" s="404"/>
      <c r="H117" s="404"/>
      <c r="I117" s="404"/>
      <c r="J117" s="404"/>
      <c r="K117" s="404"/>
      <c r="L117" s="404"/>
    </row>
    <row r="118" ht="15.75" customHeight="1">
      <c r="A118" s="400"/>
      <c r="B118" s="401"/>
      <c r="C118" s="401"/>
      <c r="D118" s="402" t="str">
        <f t="shared" si="1"/>
        <v/>
      </c>
      <c r="E118" s="403"/>
      <c r="F118" s="403"/>
      <c r="G118" s="404"/>
      <c r="H118" s="404"/>
      <c r="I118" s="404"/>
      <c r="J118" s="404"/>
      <c r="K118" s="404"/>
      <c r="L118" s="404"/>
    </row>
    <row r="119" ht="15.75" customHeight="1">
      <c r="A119" s="400"/>
      <c r="B119" s="401"/>
      <c r="C119" s="401"/>
      <c r="D119" s="402" t="str">
        <f t="shared" si="1"/>
        <v/>
      </c>
      <c r="E119" s="403"/>
      <c r="F119" s="403"/>
      <c r="G119" s="404"/>
      <c r="H119" s="404"/>
      <c r="I119" s="404"/>
      <c r="J119" s="404"/>
      <c r="K119" s="404"/>
      <c r="L119" s="404"/>
    </row>
    <row r="120" ht="15.75" customHeight="1">
      <c r="A120" s="400"/>
      <c r="B120" s="401"/>
      <c r="C120" s="401"/>
      <c r="D120" s="402" t="str">
        <f t="shared" si="1"/>
        <v/>
      </c>
      <c r="E120" s="403"/>
      <c r="F120" s="403"/>
      <c r="G120" s="404"/>
      <c r="H120" s="404"/>
      <c r="I120" s="404"/>
      <c r="J120" s="404"/>
      <c r="K120" s="404"/>
      <c r="L120" s="404"/>
    </row>
    <row r="121" ht="15.75" customHeight="1">
      <c r="A121" s="400"/>
      <c r="B121" s="401"/>
      <c r="C121" s="401"/>
      <c r="D121" s="402" t="str">
        <f t="shared" si="1"/>
        <v/>
      </c>
      <c r="E121" s="403"/>
      <c r="F121" s="403"/>
      <c r="G121" s="404"/>
      <c r="H121" s="404"/>
      <c r="I121" s="404"/>
      <c r="J121" s="404"/>
      <c r="K121" s="404"/>
      <c r="L121" s="404"/>
    </row>
    <row r="122" ht="15.75" customHeight="1">
      <c r="A122" s="400"/>
      <c r="B122" s="401"/>
      <c r="C122" s="401"/>
      <c r="D122" s="402" t="str">
        <f t="shared" si="1"/>
        <v/>
      </c>
      <c r="E122" s="403"/>
      <c r="F122" s="403"/>
      <c r="G122" s="404"/>
      <c r="H122" s="404"/>
      <c r="I122" s="404"/>
      <c r="J122" s="404"/>
      <c r="K122" s="404"/>
      <c r="L122" s="404"/>
    </row>
    <row r="123" ht="15.75" customHeight="1">
      <c r="A123" s="400"/>
      <c r="B123" s="401"/>
      <c r="C123" s="401"/>
      <c r="D123" s="402" t="str">
        <f t="shared" si="1"/>
        <v/>
      </c>
      <c r="E123" s="403"/>
      <c r="F123" s="403"/>
      <c r="G123" s="404"/>
      <c r="H123" s="404"/>
      <c r="I123" s="404"/>
      <c r="J123" s="404"/>
      <c r="K123" s="404"/>
      <c r="L123" s="404"/>
    </row>
    <row r="124" ht="15.75" customHeight="1">
      <c r="A124" s="400"/>
      <c r="B124" s="401"/>
      <c r="C124" s="401"/>
      <c r="D124" s="402" t="str">
        <f t="shared" si="1"/>
        <v/>
      </c>
      <c r="E124" s="403"/>
      <c r="F124" s="403"/>
      <c r="G124" s="404"/>
      <c r="H124" s="404"/>
      <c r="I124" s="404"/>
      <c r="J124" s="404"/>
      <c r="K124" s="404"/>
      <c r="L124" s="404"/>
    </row>
    <row r="125" ht="15.75" customHeight="1">
      <c r="A125" s="400"/>
      <c r="B125" s="401"/>
      <c r="C125" s="401"/>
      <c r="D125" s="402" t="str">
        <f t="shared" si="1"/>
        <v/>
      </c>
      <c r="E125" s="403"/>
      <c r="F125" s="403"/>
      <c r="G125" s="404"/>
      <c r="H125" s="404"/>
      <c r="I125" s="404"/>
      <c r="J125" s="404"/>
      <c r="K125" s="404"/>
      <c r="L125" s="404"/>
    </row>
    <row r="126" ht="15.75" customHeight="1">
      <c r="A126" s="400"/>
      <c r="B126" s="401"/>
      <c r="C126" s="401"/>
      <c r="D126" s="402" t="str">
        <f t="shared" si="1"/>
        <v/>
      </c>
      <c r="E126" s="403"/>
      <c r="F126" s="403"/>
      <c r="G126" s="404"/>
      <c r="H126" s="404"/>
      <c r="I126" s="404"/>
      <c r="J126" s="404"/>
      <c r="K126" s="404"/>
      <c r="L126" s="404"/>
    </row>
    <row r="127" ht="15.75" customHeight="1">
      <c r="A127" s="400"/>
      <c r="B127" s="401"/>
      <c r="C127" s="401"/>
      <c r="D127" s="402" t="str">
        <f t="shared" si="1"/>
        <v/>
      </c>
      <c r="E127" s="403"/>
      <c r="F127" s="403"/>
      <c r="G127" s="404"/>
      <c r="H127" s="404"/>
      <c r="I127" s="404"/>
      <c r="J127" s="404"/>
      <c r="K127" s="404"/>
      <c r="L127" s="404"/>
    </row>
    <row r="128" ht="15.75" customHeight="1">
      <c r="A128" s="400"/>
      <c r="B128" s="401"/>
      <c r="C128" s="401"/>
      <c r="D128" s="402" t="str">
        <f t="shared" si="1"/>
        <v/>
      </c>
      <c r="E128" s="403"/>
      <c r="F128" s="403"/>
      <c r="G128" s="404"/>
      <c r="H128" s="404"/>
      <c r="I128" s="404"/>
      <c r="J128" s="404"/>
      <c r="K128" s="404"/>
      <c r="L128" s="404"/>
    </row>
    <row r="129" ht="15.75" customHeight="1">
      <c r="A129" s="400"/>
      <c r="B129" s="401"/>
      <c r="C129" s="401"/>
      <c r="D129" s="402" t="str">
        <f t="shared" si="1"/>
        <v/>
      </c>
      <c r="E129" s="403"/>
      <c r="F129" s="403"/>
      <c r="G129" s="404"/>
      <c r="H129" s="404"/>
      <c r="I129" s="404"/>
      <c r="J129" s="404"/>
      <c r="K129" s="404"/>
      <c r="L129" s="404"/>
    </row>
    <row r="130" ht="15.75" customHeight="1">
      <c r="A130" s="400"/>
      <c r="B130" s="401"/>
      <c r="C130" s="401"/>
      <c r="D130" s="402" t="str">
        <f t="shared" si="1"/>
        <v/>
      </c>
      <c r="E130" s="403"/>
      <c r="F130" s="403"/>
      <c r="G130" s="404"/>
      <c r="H130" s="404"/>
      <c r="I130" s="404"/>
      <c r="J130" s="404"/>
      <c r="K130" s="404"/>
      <c r="L130" s="404"/>
    </row>
    <row r="131" ht="15.75" customHeight="1">
      <c r="A131" s="400"/>
      <c r="B131" s="401"/>
      <c r="C131" s="401"/>
      <c r="D131" s="402" t="str">
        <f t="shared" si="1"/>
        <v/>
      </c>
      <c r="E131" s="403"/>
      <c r="F131" s="403"/>
      <c r="G131" s="404"/>
      <c r="H131" s="404"/>
      <c r="I131" s="404"/>
      <c r="J131" s="404"/>
      <c r="K131" s="404"/>
      <c r="L131" s="404"/>
    </row>
    <row r="132" ht="15.75" customHeight="1">
      <c r="A132" s="400"/>
      <c r="B132" s="401"/>
      <c r="C132" s="401"/>
      <c r="D132" s="402" t="str">
        <f t="shared" si="1"/>
        <v/>
      </c>
      <c r="E132" s="403"/>
      <c r="F132" s="403"/>
      <c r="G132" s="404"/>
      <c r="H132" s="404"/>
      <c r="I132" s="404"/>
      <c r="J132" s="404"/>
      <c r="K132" s="404"/>
      <c r="L132" s="404"/>
    </row>
    <row r="133" ht="15.75" customHeight="1">
      <c r="A133" s="400"/>
      <c r="B133" s="401"/>
      <c r="C133" s="401"/>
      <c r="D133" s="402" t="str">
        <f t="shared" si="1"/>
        <v/>
      </c>
      <c r="E133" s="403"/>
      <c r="F133" s="403"/>
      <c r="G133" s="404"/>
      <c r="H133" s="404"/>
      <c r="I133" s="404"/>
      <c r="J133" s="404"/>
      <c r="K133" s="404"/>
      <c r="L133" s="404"/>
    </row>
    <row r="134" ht="15.75" customHeight="1">
      <c r="A134" s="400"/>
      <c r="B134" s="401"/>
      <c r="C134" s="401"/>
      <c r="D134" s="402" t="str">
        <f t="shared" si="1"/>
        <v/>
      </c>
      <c r="E134" s="403"/>
      <c r="F134" s="403"/>
      <c r="G134" s="404"/>
      <c r="H134" s="404"/>
      <c r="I134" s="404"/>
      <c r="J134" s="404"/>
      <c r="K134" s="404"/>
      <c r="L134" s="404"/>
    </row>
    <row r="135" ht="15.75" customHeight="1">
      <c r="A135" s="400"/>
      <c r="B135" s="401"/>
      <c r="C135" s="401"/>
      <c r="D135" s="402" t="str">
        <f t="shared" si="1"/>
        <v/>
      </c>
      <c r="E135" s="403"/>
      <c r="F135" s="403"/>
      <c r="G135" s="404"/>
      <c r="H135" s="404"/>
      <c r="I135" s="404"/>
      <c r="J135" s="404"/>
      <c r="K135" s="404"/>
      <c r="L135" s="404"/>
    </row>
    <row r="136" ht="15.75" customHeight="1">
      <c r="A136" s="400"/>
      <c r="B136" s="401"/>
      <c r="C136" s="401"/>
      <c r="D136" s="402" t="str">
        <f t="shared" si="1"/>
        <v/>
      </c>
      <c r="E136" s="403"/>
      <c r="F136" s="403"/>
      <c r="G136" s="404"/>
      <c r="H136" s="404"/>
      <c r="I136" s="404"/>
      <c r="J136" s="404"/>
      <c r="K136" s="404"/>
      <c r="L136" s="404"/>
    </row>
    <row r="137" ht="15.75" customHeight="1">
      <c r="A137" s="400"/>
      <c r="B137" s="401"/>
      <c r="C137" s="401"/>
      <c r="D137" s="402" t="str">
        <f t="shared" si="1"/>
        <v/>
      </c>
      <c r="E137" s="403"/>
      <c r="F137" s="403"/>
      <c r="G137" s="404"/>
      <c r="H137" s="404"/>
      <c r="I137" s="404"/>
      <c r="J137" s="404"/>
      <c r="K137" s="404"/>
      <c r="L137" s="404"/>
    </row>
    <row r="138" ht="15.75" customHeight="1">
      <c r="A138" s="400"/>
      <c r="B138" s="401"/>
      <c r="C138" s="401"/>
      <c r="D138" s="402" t="str">
        <f t="shared" si="1"/>
        <v/>
      </c>
      <c r="E138" s="403"/>
      <c r="F138" s="403"/>
      <c r="G138" s="404"/>
      <c r="H138" s="404"/>
      <c r="I138" s="404"/>
      <c r="J138" s="404"/>
      <c r="K138" s="404"/>
      <c r="L138" s="404"/>
    </row>
    <row r="139" ht="15.75" customHeight="1">
      <c r="A139" s="400"/>
      <c r="B139" s="401"/>
      <c r="C139" s="401"/>
      <c r="D139" s="402" t="str">
        <f t="shared" si="1"/>
        <v/>
      </c>
      <c r="E139" s="403"/>
      <c r="F139" s="403"/>
      <c r="G139" s="404"/>
      <c r="H139" s="404"/>
      <c r="I139" s="404"/>
      <c r="J139" s="404"/>
      <c r="K139" s="404"/>
      <c r="L139" s="404"/>
    </row>
    <row r="140" ht="15.75" customHeight="1">
      <c r="A140" s="400"/>
      <c r="B140" s="401"/>
      <c r="C140" s="401"/>
      <c r="D140" s="402" t="str">
        <f t="shared" si="1"/>
        <v/>
      </c>
      <c r="E140" s="403"/>
      <c r="F140" s="403"/>
      <c r="G140" s="404"/>
      <c r="H140" s="404"/>
      <c r="I140" s="404"/>
      <c r="J140" s="404"/>
      <c r="K140" s="404"/>
      <c r="L140" s="404"/>
    </row>
    <row r="141" ht="15.75" customHeight="1">
      <c r="A141" s="400"/>
      <c r="B141" s="401"/>
      <c r="C141" s="401"/>
      <c r="D141" s="402" t="str">
        <f t="shared" si="1"/>
        <v/>
      </c>
      <c r="E141" s="403"/>
      <c r="F141" s="403"/>
      <c r="G141" s="404"/>
      <c r="H141" s="404"/>
      <c r="I141" s="404"/>
      <c r="J141" s="404"/>
      <c r="K141" s="404"/>
      <c r="L141" s="404"/>
    </row>
    <row r="142" ht="15.75" customHeight="1">
      <c r="A142" s="400"/>
      <c r="B142" s="401"/>
      <c r="C142" s="401"/>
      <c r="D142" s="402" t="str">
        <f t="shared" si="1"/>
        <v/>
      </c>
      <c r="E142" s="403"/>
      <c r="F142" s="403"/>
      <c r="G142" s="404"/>
      <c r="H142" s="404"/>
      <c r="I142" s="404"/>
      <c r="J142" s="404"/>
      <c r="K142" s="404"/>
      <c r="L142" s="404"/>
    </row>
    <row r="143" ht="15.75" customHeight="1">
      <c r="A143" s="400"/>
      <c r="B143" s="401"/>
      <c r="C143" s="401"/>
      <c r="D143" s="402" t="str">
        <f t="shared" si="1"/>
        <v/>
      </c>
      <c r="E143" s="403"/>
      <c r="F143" s="403"/>
      <c r="G143" s="404"/>
      <c r="H143" s="404"/>
      <c r="I143" s="404"/>
      <c r="J143" s="404"/>
      <c r="K143" s="404"/>
      <c r="L143" s="404"/>
    </row>
    <row r="144" ht="15.75" customHeight="1">
      <c r="A144" s="400"/>
      <c r="B144" s="401"/>
      <c r="C144" s="401"/>
      <c r="D144" s="402" t="str">
        <f t="shared" si="1"/>
        <v/>
      </c>
      <c r="E144" s="403"/>
      <c r="F144" s="403"/>
      <c r="G144" s="404"/>
      <c r="H144" s="404"/>
      <c r="I144" s="404"/>
      <c r="J144" s="404"/>
      <c r="K144" s="404"/>
      <c r="L144" s="404"/>
    </row>
    <row r="145" ht="15.75" customHeight="1">
      <c r="A145" s="400"/>
      <c r="B145" s="401"/>
      <c r="C145" s="401"/>
      <c r="D145" s="402" t="str">
        <f t="shared" si="1"/>
        <v/>
      </c>
      <c r="E145" s="403"/>
      <c r="F145" s="403"/>
      <c r="G145" s="404"/>
      <c r="H145" s="404"/>
      <c r="I145" s="404"/>
      <c r="J145" s="404"/>
      <c r="K145" s="404"/>
      <c r="L145" s="404"/>
    </row>
    <row r="146" ht="15.75" customHeight="1">
      <c r="A146" s="400"/>
      <c r="B146" s="401"/>
      <c r="C146" s="401"/>
      <c r="D146" s="402" t="str">
        <f t="shared" si="1"/>
        <v/>
      </c>
      <c r="E146" s="403"/>
      <c r="F146" s="403"/>
      <c r="G146" s="404"/>
      <c r="H146" s="404"/>
      <c r="I146" s="404"/>
      <c r="J146" s="404"/>
      <c r="K146" s="404"/>
      <c r="L146" s="404"/>
    </row>
    <row r="147" ht="15.75" customHeight="1">
      <c r="A147" s="400"/>
      <c r="B147" s="401"/>
      <c r="C147" s="401"/>
      <c r="D147" s="402" t="str">
        <f t="shared" si="1"/>
        <v/>
      </c>
      <c r="E147" s="403"/>
      <c r="F147" s="403"/>
      <c r="G147" s="404"/>
      <c r="H147" s="404"/>
      <c r="I147" s="404"/>
      <c r="J147" s="404"/>
      <c r="K147" s="404"/>
      <c r="L147" s="404"/>
    </row>
    <row r="148" ht="15.75" customHeight="1">
      <c r="A148" s="400"/>
      <c r="B148" s="401"/>
      <c r="C148" s="401"/>
      <c r="D148" s="402" t="str">
        <f t="shared" si="1"/>
        <v/>
      </c>
      <c r="E148" s="403"/>
      <c r="F148" s="403"/>
      <c r="G148" s="404"/>
      <c r="H148" s="404"/>
      <c r="I148" s="404"/>
      <c r="J148" s="404"/>
      <c r="K148" s="404"/>
      <c r="L148" s="404"/>
    </row>
    <row r="149" ht="15.75" customHeight="1">
      <c r="A149" s="400"/>
      <c r="B149" s="401"/>
      <c r="C149" s="401"/>
      <c r="D149" s="402" t="str">
        <f t="shared" si="1"/>
        <v/>
      </c>
      <c r="E149" s="403"/>
      <c r="F149" s="403"/>
      <c r="G149" s="404"/>
      <c r="H149" s="404"/>
      <c r="I149" s="404"/>
      <c r="J149" s="404"/>
      <c r="K149" s="404"/>
      <c r="L149" s="404"/>
    </row>
    <row r="150" ht="15.75" customHeight="1">
      <c r="A150" s="400"/>
      <c r="B150" s="401"/>
      <c r="C150" s="401"/>
      <c r="D150" s="402" t="str">
        <f t="shared" si="1"/>
        <v/>
      </c>
      <c r="E150" s="403"/>
      <c r="F150" s="403"/>
      <c r="G150" s="404"/>
      <c r="H150" s="404"/>
      <c r="I150" s="404"/>
      <c r="J150" s="404"/>
      <c r="K150" s="404"/>
      <c r="L150" s="404"/>
    </row>
    <row r="151" ht="15.75" customHeight="1">
      <c r="A151" s="400"/>
      <c r="B151" s="401"/>
      <c r="C151" s="401"/>
      <c r="D151" s="402" t="str">
        <f t="shared" si="1"/>
        <v/>
      </c>
      <c r="E151" s="403"/>
      <c r="F151" s="403"/>
      <c r="G151" s="404"/>
      <c r="H151" s="404"/>
      <c r="I151" s="404"/>
      <c r="J151" s="404"/>
      <c r="K151" s="404"/>
      <c r="L151" s="404"/>
    </row>
    <row r="152" ht="15.75" customHeight="1">
      <c r="A152" s="400"/>
      <c r="B152" s="401"/>
      <c r="C152" s="401"/>
      <c r="D152" s="402" t="str">
        <f t="shared" si="1"/>
        <v/>
      </c>
      <c r="E152" s="403"/>
      <c r="F152" s="403"/>
      <c r="G152" s="404"/>
      <c r="H152" s="404"/>
      <c r="I152" s="404"/>
      <c r="J152" s="404"/>
      <c r="K152" s="404"/>
      <c r="L152" s="404"/>
    </row>
    <row r="153" ht="15.75" customHeight="1">
      <c r="A153" s="400"/>
      <c r="B153" s="401"/>
      <c r="C153" s="401"/>
      <c r="D153" s="402" t="str">
        <f t="shared" si="1"/>
        <v/>
      </c>
      <c r="E153" s="403"/>
      <c r="F153" s="403"/>
      <c r="G153" s="404"/>
      <c r="H153" s="404"/>
      <c r="I153" s="404"/>
      <c r="J153" s="404"/>
      <c r="K153" s="404"/>
      <c r="L153" s="404"/>
    </row>
    <row r="154" ht="15.75" customHeight="1">
      <c r="A154" s="400"/>
      <c r="B154" s="401"/>
      <c r="C154" s="401"/>
      <c r="D154" s="402" t="str">
        <f t="shared" si="1"/>
        <v/>
      </c>
      <c r="E154" s="403"/>
      <c r="F154" s="403"/>
      <c r="G154" s="404"/>
      <c r="H154" s="404"/>
      <c r="I154" s="404"/>
      <c r="J154" s="404"/>
      <c r="K154" s="404"/>
      <c r="L154" s="404"/>
    </row>
    <row r="155" ht="15.75" customHeight="1">
      <c r="A155" s="400"/>
      <c r="B155" s="401"/>
      <c r="C155" s="401"/>
      <c r="D155" s="402" t="str">
        <f t="shared" si="1"/>
        <v/>
      </c>
      <c r="E155" s="403"/>
      <c r="F155" s="403"/>
      <c r="G155" s="404"/>
      <c r="H155" s="404"/>
      <c r="I155" s="404"/>
      <c r="J155" s="404"/>
      <c r="K155" s="404"/>
      <c r="L155" s="404"/>
    </row>
    <row r="156" ht="15.75" customHeight="1">
      <c r="A156" s="400"/>
      <c r="B156" s="401"/>
      <c r="C156" s="401"/>
      <c r="D156" s="402" t="str">
        <f t="shared" si="1"/>
        <v/>
      </c>
      <c r="E156" s="403"/>
      <c r="F156" s="403"/>
      <c r="G156" s="404"/>
      <c r="H156" s="404"/>
      <c r="I156" s="404"/>
      <c r="J156" s="404"/>
      <c r="K156" s="404"/>
      <c r="L156" s="404"/>
    </row>
    <row r="157" ht="15.75" customHeight="1">
      <c r="A157" s="400"/>
      <c r="B157" s="401"/>
      <c r="C157" s="401"/>
      <c r="D157" s="402" t="str">
        <f t="shared" si="1"/>
        <v/>
      </c>
      <c r="E157" s="403"/>
      <c r="F157" s="403"/>
      <c r="G157" s="404"/>
      <c r="H157" s="404"/>
      <c r="I157" s="404"/>
      <c r="J157" s="404"/>
      <c r="K157" s="404"/>
      <c r="L157" s="404"/>
    </row>
    <row r="158" ht="15.75" customHeight="1">
      <c r="A158" s="400"/>
      <c r="B158" s="401"/>
      <c r="C158" s="401"/>
      <c r="D158" s="402" t="str">
        <f t="shared" si="1"/>
        <v/>
      </c>
      <c r="E158" s="403"/>
      <c r="F158" s="403"/>
      <c r="G158" s="404"/>
      <c r="H158" s="404"/>
      <c r="I158" s="404"/>
      <c r="J158" s="404"/>
      <c r="K158" s="404"/>
      <c r="L158" s="404"/>
    </row>
    <row r="159" ht="15.75" customHeight="1">
      <c r="A159" s="400"/>
      <c r="B159" s="401"/>
      <c r="C159" s="401"/>
      <c r="D159" s="402" t="str">
        <f t="shared" si="1"/>
        <v/>
      </c>
      <c r="E159" s="403"/>
      <c r="F159" s="403"/>
      <c r="G159" s="404"/>
      <c r="H159" s="404"/>
      <c r="I159" s="404"/>
      <c r="J159" s="404"/>
      <c r="K159" s="404"/>
      <c r="L159" s="404"/>
    </row>
    <row r="160" ht="15.75" customHeight="1">
      <c r="A160" s="400"/>
      <c r="B160" s="401"/>
      <c r="C160" s="401"/>
      <c r="D160" s="402" t="str">
        <f t="shared" si="1"/>
        <v/>
      </c>
      <c r="E160" s="403"/>
      <c r="F160" s="403"/>
      <c r="G160" s="404"/>
      <c r="H160" s="404"/>
      <c r="I160" s="404"/>
      <c r="J160" s="404"/>
      <c r="K160" s="404"/>
      <c r="L160" s="404"/>
    </row>
    <row r="161" ht="15.75" customHeight="1">
      <c r="A161" s="400"/>
      <c r="B161" s="401"/>
      <c r="C161" s="401"/>
      <c r="D161" s="402" t="str">
        <f t="shared" si="1"/>
        <v/>
      </c>
      <c r="E161" s="403"/>
      <c r="F161" s="403"/>
      <c r="G161" s="404"/>
      <c r="H161" s="404"/>
      <c r="I161" s="404"/>
      <c r="J161" s="404"/>
      <c r="K161" s="404"/>
      <c r="L161" s="404"/>
    </row>
    <row r="162" ht="15.75" customHeight="1">
      <c r="A162" s="400"/>
      <c r="B162" s="401"/>
      <c r="C162" s="401"/>
      <c r="D162" s="402" t="str">
        <f t="shared" si="1"/>
        <v/>
      </c>
      <c r="E162" s="403"/>
      <c r="F162" s="403"/>
      <c r="G162" s="404"/>
      <c r="H162" s="404"/>
      <c r="I162" s="404"/>
      <c r="J162" s="404"/>
      <c r="K162" s="404"/>
      <c r="L162" s="404"/>
    </row>
    <row r="163" ht="15.75" customHeight="1">
      <c r="A163" s="400"/>
      <c r="B163" s="401"/>
      <c r="C163" s="401"/>
      <c r="D163" s="402" t="str">
        <f t="shared" si="1"/>
        <v/>
      </c>
      <c r="E163" s="403"/>
      <c r="F163" s="403"/>
      <c r="G163" s="404"/>
      <c r="H163" s="404"/>
      <c r="I163" s="404"/>
      <c r="J163" s="404"/>
      <c r="K163" s="404"/>
      <c r="L163" s="404"/>
    </row>
    <row r="164" ht="15.75" customHeight="1">
      <c r="A164" s="400"/>
      <c r="B164" s="401"/>
      <c r="C164" s="401"/>
      <c r="D164" s="402" t="str">
        <f t="shared" si="1"/>
        <v/>
      </c>
      <c r="E164" s="403"/>
      <c r="F164" s="403"/>
      <c r="G164" s="404"/>
      <c r="H164" s="404"/>
      <c r="I164" s="404"/>
      <c r="J164" s="404"/>
      <c r="K164" s="404"/>
      <c r="L164" s="404"/>
    </row>
    <row r="165" ht="15.75" customHeight="1">
      <c r="A165" s="400"/>
      <c r="B165" s="401"/>
      <c r="C165" s="401"/>
      <c r="D165" s="402" t="str">
        <f t="shared" si="1"/>
        <v/>
      </c>
      <c r="E165" s="403"/>
      <c r="F165" s="403"/>
      <c r="G165" s="404"/>
      <c r="H165" s="404"/>
      <c r="I165" s="404"/>
      <c r="J165" s="404"/>
      <c r="K165" s="404"/>
      <c r="L165" s="404"/>
    </row>
    <row r="166" ht="15.75" customHeight="1">
      <c r="A166" s="400"/>
      <c r="B166" s="401"/>
      <c r="C166" s="401"/>
      <c r="D166" s="402" t="str">
        <f t="shared" si="1"/>
        <v/>
      </c>
      <c r="E166" s="403"/>
      <c r="F166" s="403"/>
      <c r="G166" s="404"/>
      <c r="H166" s="404"/>
      <c r="I166" s="404"/>
      <c r="J166" s="404"/>
      <c r="K166" s="404"/>
      <c r="L166" s="404"/>
    </row>
    <row r="167" ht="15.75" customHeight="1">
      <c r="A167" s="400"/>
      <c r="B167" s="401"/>
      <c r="C167" s="401"/>
      <c r="D167" s="402" t="str">
        <f t="shared" si="1"/>
        <v/>
      </c>
      <c r="E167" s="403"/>
      <c r="F167" s="403"/>
      <c r="G167" s="404"/>
      <c r="H167" s="404"/>
      <c r="I167" s="404"/>
      <c r="J167" s="404"/>
      <c r="K167" s="404"/>
      <c r="L167" s="404"/>
    </row>
    <row r="168" ht="15.75" customHeight="1">
      <c r="A168" s="400"/>
      <c r="B168" s="401"/>
      <c r="C168" s="401"/>
      <c r="D168" s="402" t="str">
        <f t="shared" si="1"/>
        <v/>
      </c>
      <c r="E168" s="403"/>
      <c r="F168" s="403"/>
      <c r="G168" s="404"/>
      <c r="H168" s="404"/>
      <c r="I168" s="404"/>
      <c r="J168" s="404"/>
      <c r="K168" s="404"/>
      <c r="L168" s="404"/>
    </row>
    <row r="169" ht="15.75" customHeight="1">
      <c r="A169" s="400"/>
      <c r="B169" s="401"/>
      <c r="C169" s="401"/>
      <c r="D169" s="402" t="str">
        <f t="shared" si="1"/>
        <v/>
      </c>
      <c r="E169" s="403"/>
      <c r="F169" s="403"/>
      <c r="G169" s="404"/>
      <c r="H169" s="404"/>
      <c r="I169" s="404"/>
      <c r="J169" s="404"/>
      <c r="K169" s="404"/>
      <c r="L169" s="404"/>
    </row>
    <row r="170" ht="15.75" customHeight="1">
      <c r="A170" s="400"/>
      <c r="B170" s="401"/>
      <c r="C170" s="401"/>
      <c r="D170" s="402" t="str">
        <f t="shared" si="1"/>
        <v/>
      </c>
      <c r="E170" s="403"/>
      <c r="F170" s="403"/>
      <c r="G170" s="404"/>
      <c r="H170" s="404"/>
      <c r="I170" s="404"/>
      <c r="J170" s="404"/>
      <c r="K170" s="404"/>
      <c r="L170" s="404"/>
    </row>
    <row r="171" ht="15.75" customHeight="1">
      <c r="A171" s="400"/>
      <c r="B171" s="401"/>
      <c r="C171" s="401"/>
      <c r="D171" s="402" t="str">
        <f t="shared" si="1"/>
        <v/>
      </c>
      <c r="E171" s="403"/>
      <c r="F171" s="403"/>
      <c r="G171" s="404"/>
      <c r="H171" s="404"/>
      <c r="I171" s="404"/>
      <c r="J171" s="404"/>
      <c r="K171" s="404"/>
      <c r="L171" s="404"/>
    </row>
    <row r="172" ht="15.75" customHeight="1">
      <c r="A172" s="400"/>
      <c r="B172" s="401"/>
      <c r="C172" s="401"/>
      <c r="D172" s="402" t="str">
        <f t="shared" si="1"/>
        <v/>
      </c>
      <c r="E172" s="403"/>
      <c r="F172" s="403"/>
      <c r="G172" s="404"/>
      <c r="H172" s="404"/>
      <c r="I172" s="404"/>
      <c r="J172" s="404"/>
      <c r="K172" s="404"/>
      <c r="L172" s="404"/>
    </row>
    <row r="173" ht="15.75" customHeight="1">
      <c r="A173" s="400"/>
      <c r="B173" s="401"/>
      <c r="C173" s="401"/>
      <c r="D173" s="402" t="str">
        <f t="shared" si="1"/>
        <v/>
      </c>
      <c r="E173" s="403"/>
      <c r="F173" s="403"/>
      <c r="G173" s="404"/>
      <c r="H173" s="404"/>
      <c r="I173" s="404"/>
      <c r="J173" s="404"/>
      <c r="K173" s="404"/>
      <c r="L173" s="404"/>
    </row>
    <row r="174" ht="15.75" customHeight="1">
      <c r="A174" s="400"/>
      <c r="B174" s="401"/>
      <c r="C174" s="401"/>
      <c r="D174" s="402" t="str">
        <f t="shared" si="1"/>
        <v/>
      </c>
      <c r="E174" s="403"/>
      <c r="F174" s="403"/>
      <c r="G174" s="404"/>
      <c r="H174" s="404"/>
      <c r="I174" s="404"/>
      <c r="J174" s="404"/>
      <c r="K174" s="404"/>
      <c r="L174" s="404"/>
    </row>
    <row r="175" ht="15.75" customHeight="1">
      <c r="A175" s="400"/>
      <c r="B175" s="401"/>
      <c r="C175" s="401"/>
      <c r="D175" s="402" t="str">
        <f t="shared" si="1"/>
        <v/>
      </c>
      <c r="E175" s="403"/>
      <c r="F175" s="403"/>
      <c r="G175" s="404"/>
      <c r="H175" s="404"/>
      <c r="I175" s="404"/>
      <c r="J175" s="404"/>
      <c r="K175" s="404"/>
      <c r="L175" s="404"/>
    </row>
    <row r="176" ht="15.75" customHeight="1">
      <c r="A176" s="400"/>
      <c r="B176" s="401"/>
      <c r="C176" s="401"/>
      <c r="D176" s="402" t="str">
        <f t="shared" si="1"/>
        <v/>
      </c>
      <c r="E176" s="403"/>
      <c r="F176" s="403"/>
      <c r="G176" s="404"/>
      <c r="H176" s="404"/>
      <c r="I176" s="404"/>
      <c r="J176" s="404"/>
      <c r="K176" s="404"/>
      <c r="L176" s="404"/>
    </row>
    <row r="177" ht="15.75" customHeight="1">
      <c r="A177" s="400"/>
      <c r="B177" s="401"/>
      <c r="C177" s="401"/>
      <c r="D177" s="402" t="str">
        <f t="shared" si="1"/>
        <v/>
      </c>
      <c r="E177" s="403"/>
      <c r="F177" s="403"/>
      <c r="G177" s="404"/>
      <c r="H177" s="404"/>
      <c r="I177" s="404"/>
      <c r="J177" s="404"/>
      <c r="K177" s="404"/>
      <c r="L177" s="404"/>
    </row>
    <row r="178" ht="15.75" customHeight="1">
      <c r="A178" s="400"/>
      <c r="B178" s="401"/>
      <c r="C178" s="401"/>
      <c r="D178" s="402" t="str">
        <f t="shared" si="1"/>
        <v/>
      </c>
      <c r="E178" s="403"/>
      <c r="F178" s="403"/>
      <c r="G178" s="404"/>
      <c r="H178" s="404"/>
      <c r="I178" s="404"/>
      <c r="J178" s="404"/>
      <c r="K178" s="404"/>
      <c r="L178" s="404"/>
    </row>
    <row r="179" ht="15.75" customHeight="1">
      <c r="A179" s="400"/>
      <c r="B179" s="401"/>
      <c r="C179" s="401"/>
      <c r="D179" s="402" t="str">
        <f t="shared" si="1"/>
        <v/>
      </c>
      <c r="E179" s="403"/>
      <c r="F179" s="403"/>
      <c r="G179" s="404"/>
      <c r="H179" s="404"/>
      <c r="I179" s="404"/>
      <c r="J179" s="404"/>
      <c r="K179" s="404"/>
      <c r="L179" s="404"/>
    </row>
    <row r="180" ht="15.75" customHeight="1">
      <c r="A180" s="400"/>
      <c r="B180" s="401"/>
      <c r="C180" s="401"/>
      <c r="D180" s="402" t="str">
        <f t="shared" si="1"/>
        <v/>
      </c>
      <c r="E180" s="403"/>
      <c r="F180" s="403"/>
      <c r="G180" s="404"/>
      <c r="H180" s="404"/>
      <c r="I180" s="404"/>
      <c r="J180" s="404"/>
      <c r="K180" s="404"/>
      <c r="L180" s="404"/>
    </row>
    <row r="181" ht="15.75" customHeight="1">
      <c r="A181" s="400"/>
      <c r="B181" s="401"/>
      <c r="C181" s="401"/>
      <c r="D181" s="402" t="str">
        <f t="shared" si="1"/>
        <v/>
      </c>
      <c r="E181" s="403"/>
      <c r="F181" s="403"/>
      <c r="G181" s="404"/>
      <c r="H181" s="404"/>
      <c r="I181" s="404"/>
      <c r="J181" s="404"/>
      <c r="K181" s="404"/>
      <c r="L181" s="404"/>
    </row>
    <row r="182" ht="15.75" customHeight="1">
      <c r="A182" s="400"/>
      <c r="B182" s="401"/>
      <c r="C182" s="401"/>
      <c r="D182" s="402" t="str">
        <f t="shared" si="1"/>
        <v/>
      </c>
      <c r="E182" s="403"/>
      <c r="F182" s="403"/>
      <c r="G182" s="404"/>
      <c r="H182" s="404"/>
      <c r="I182" s="404"/>
      <c r="J182" s="404"/>
      <c r="K182" s="404"/>
      <c r="L182" s="404"/>
    </row>
    <row r="183" ht="15.75" customHeight="1">
      <c r="A183" s="400"/>
      <c r="B183" s="401"/>
      <c r="C183" s="401"/>
      <c r="D183" s="402" t="str">
        <f t="shared" si="1"/>
        <v/>
      </c>
      <c r="E183" s="403"/>
      <c r="F183" s="403"/>
      <c r="G183" s="404"/>
      <c r="H183" s="404"/>
      <c r="I183" s="404"/>
      <c r="J183" s="404"/>
      <c r="K183" s="404"/>
      <c r="L183" s="404"/>
    </row>
    <row r="184" ht="15.75" customHeight="1">
      <c r="A184" s="400"/>
      <c r="B184" s="401"/>
      <c r="C184" s="401"/>
      <c r="D184" s="402" t="str">
        <f t="shared" si="1"/>
        <v/>
      </c>
      <c r="E184" s="403"/>
      <c r="F184" s="403"/>
      <c r="G184" s="404"/>
      <c r="H184" s="404"/>
      <c r="I184" s="404"/>
      <c r="J184" s="404"/>
      <c r="K184" s="404"/>
      <c r="L184" s="404"/>
    </row>
    <row r="185" ht="15.75" customHeight="1">
      <c r="A185" s="400"/>
      <c r="B185" s="401"/>
      <c r="C185" s="401"/>
      <c r="D185" s="402" t="str">
        <f t="shared" si="1"/>
        <v/>
      </c>
      <c r="E185" s="403"/>
      <c r="F185" s="403"/>
      <c r="G185" s="404"/>
      <c r="H185" s="404"/>
      <c r="I185" s="404"/>
      <c r="J185" s="404"/>
      <c r="K185" s="404"/>
      <c r="L185" s="404"/>
    </row>
    <row r="186" ht="15.75" customHeight="1">
      <c r="A186" s="400"/>
      <c r="B186" s="401"/>
      <c r="C186" s="401"/>
      <c r="D186" s="402" t="str">
        <f t="shared" si="1"/>
        <v/>
      </c>
      <c r="E186" s="403"/>
      <c r="F186" s="403"/>
      <c r="G186" s="404"/>
      <c r="H186" s="404"/>
      <c r="I186" s="404"/>
      <c r="J186" s="404"/>
      <c r="K186" s="404"/>
      <c r="L186" s="404"/>
    </row>
    <row r="187" ht="15.75" customHeight="1">
      <c r="A187" s="400"/>
      <c r="B187" s="401"/>
      <c r="C187" s="401"/>
      <c r="D187" s="402" t="str">
        <f t="shared" si="1"/>
        <v/>
      </c>
      <c r="E187" s="403"/>
      <c r="F187" s="403"/>
      <c r="G187" s="404"/>
      <c r="H187" s="404"/>
      <c r="I187" s="404"/>
      <c r="J187" s="404"/>
      <c r="K187" s="404"/>
      <c r="L187" s="404"/>
    </row>
    <row r="188" ht="15.75" customHeight="1">
      <c r="A188" s="400"/>
      <c r="B188" s="401"/>
      <c r="C188" s="401"/>
      <c r="D188" s="402" t="str">
        <f t="shared" si="1"/>
        <v/>
      </c>
      <c r="E188" s="403"/>
      <c r="F188" s="403"/>
      <c r="G188" s="404"/>
      <c r="H188" s="404"/>
      <c r="I188" s="404"/>
      <c r="J188" s="404"/>
      <c r="K188" s="404"/>
      <c r="L188" s="404"/>
    </row>
    <row r="189" ht="15.75" customHeight="1">
      <c r="A189" s="400"/>
      <c r="B189" s="401"/>
      <c r="C189" s="401"/>
      <c r="D189" s="402" t="str">
        <f t="shared" si="1"/>
        <v/>
      </c>
      <c r="E189" s="403"/>
      <c r="F189" s="403"/>
      <c r="G189" s="404"/>
      <c r="H189" s="404"/>
      <c r="I189" s="404"/>
      <c r="J189" s="404"/>
      <c r="K189" s="404"/>
      <c r="L189" s="404"/>
    </row>
    <row r="190" ht="15.75" customHeight="1">
      <c r="A190" s="400"/>
      <c r="B190" s="401"/>
      <c r="C190" s="401"/>
      <c r="D190" s="402" t="str">
        <f t="shared" si="1"/>
        <v/>
      </c>
      <c r="E190" s="403"/>
      <c r="F190" s="403"/>
      <c r="G190" s="404"/>
      <c r="H190" s="404"/>
      <c r="I190" s="404"/>
      <c r="J190" s="404"/>
      <c r="K190" s="404"/>
      <c r="L190" s="404"/>
    </row>
    <row r="191" ht="15.75" customHeight="1">
      <c r="A191" s="400"/>
      <c r="B191" s="401"/>
      <c r="C191" s="401"/>
      <c r="D191" s="402" t="str">
        <f t="shared" si="1"/>
        <v/>
      </c>
      <c r="E191" s="403"/>
      <c r="F191" s="403"/>
      <c r="G191" s="404"/>
      <c r="H191" s="404"/>
      <c r="I191" s="404"/>
      <c r="J191" s="404"/>
      <c r="K191" s="404"/>
      <c r="L191" s="404"/>
    </row>
    <row r="192" ht="15.75" customHeight="1">
      <c r="A192" s="400"/>
      <c r="B192" s="401"/>
      <c r="C192" s="401"/>
      <c r="D192" s="402" t="str">
        <f t="shared" si="1"/>
        <v/>
      </c>
      <c r="E192" s="403"/>
      <c r="F192" s="403"/>
      <c r="G192" s="404"/>
      <c r="H192" s="404"/>
      <c r="I192" s="404"/>
      <c r="J192" s="404"/>
      <c r="K192" s="404"/>
      <c r="L192" s="404"/>
    </row>
    <row r="193" ht="15.75" customHeight="1">
      <c r="A193" s="400"/>
      <c r="B193" s="401"/>
      <c r="C193" s="401"/>
      <c r="D193" s="402" t="str">
        <f t="shared" si="1"/>
        <v/>
      </c>
      <c r="E193" s="403"/>
      <c r="F193" s="403"/>
      <c r="G193" s="404"/>
      <c r="H193" s="404"/>
      <c r="I193" s="404"/>
      <c r="J193" s="404"/>
      <c r="K193" s="404"/>
      <c r="L193" s="404"/>
    </row>
    <row r="194" ht="15.75" customHeight="1">
      <c r="A194" s="400"/>
      <c r="B194" s="401"/>
      <c r="C194" s="401"/>
      <c r="D194" s="402" t="str">
        <f t="shared" si="1"/>
        <v/>
      </c>
      <c r="E194" s="403"/>
      <c r="F194" s="403"/>
      <c r="G194" s="404"/>
      <c r="H194" s="404"/>
      <c r="I194" s="404"/>
      <c r="J194" s="404"/>
      <c r="K194" s="404"/>
      <c r="L194" s="404"/>
    </row>
    <row r="195" ht="15.75" customHeight="1">
      <c r="A195" s="400"/>
      <c r="B195" s="401"/>
      <c r="C195" s="401"/>
      <c r="D195" s="402" t="str">
        <f t="shared" si="1"/>
        <v/>
      </c>
      <c r="E195" s="403"/>
      <c r="F195" s="403"/>
      <c r="G195" s="404"/>
      <c r="H195" s="404"/>
      <c r="I195" s="404"/>
      <c r="J195" s="404"/>
      <c r="K195" s="404"/>
      <c r="L195" s="404"/>
    </row>
    <row r="196" ht="15.75" customHeight="1">
      <c r="A196" s="400"/>
      <c r="B196" s="401"/>
      <c r="C196" s="401"/>
      <c r="D196" s="402" t="str">
        <f t="shared" si="1"/>
        <v/>
      </c>
      <c r="E196" s="403"/>
      <c r="F196" s="403"/>
      <c r="G196" s="404"/>
      <c r="H196" s="404"/>
      <c r="I196" s="404"/>
      <c r="J196" s="404"/>
      <c r="K196" s="404"/>
      <c r="L196" s="404"/>
    </row>
    <row r="197" ht="15.75" customHeight="1">
      <c r="A197" s="400"/>
      <c r="B197" s="401"/>
      <c r="C197" s="401"/>
      <c r="D197" s="402" t="str">
        <f t="shared" si="1"/>
        <v/>
      </c>
      <c r="E197" s="403"/>
      <c r="F197" s="403"/>
      <c r="G197" s="404"/>
      <c r="H197" s="404"/>
      <c r="I197" s="404"/>
      <c r="J197" s="404"/>
      <c r="K197" s="404"/>
      <c r="L197" s="404"/>
    </row>
    <row r="198" ht="15.75" customHeight="1">
      <c r="A198" s="400"/>
      <c r="B198" s="401"/>
      <c r="C198" s="401"/>
      <c r="D198" s="402" t="str">
        <f t="shared" si="1"/>
        <v/>
      </c>
      <c r="E198" s="403"/>
      <c r="F198" s="403"/>
      <c r="G198" s="404"/>
      <c r="H198" s="404"/>
      <c r="I198" s="404"/>
      <c r="J198" s="404"/>
      <c r="K198" s="404"/>
      <c r="L198" s="404"/>
    </row>
    <row r="199" ht="15.75" customHeight="1">
      <c r="A199" s="400"/>
      <c r="B199" s="401"/>
      <c r="C199" s="401"/>
      <c r="D199" s="402" t="str">
        <f t="shared" si="1"/>
        <v/>
      </c>
      <c r="E199" s="403"/>
      <c r="F199" s="403"/>
      <c r="G199" s="404"/>
      <c r="H199" s="404"/>
      <c r="I199" s="404"/>
      <c r="J199" s="404"/>
      <c r="K199" s="404"/>
      <c r="L199" s="404"/>
    </row>
    <row r="200" ht="15.75" customHeight="1">
      <c r="A200" s="400"/>
      <c r="B200" s="401"/>
      <c r="C200" s="401"/>
      <c r="D200" s="402" t="str">
        <f t="shared" si="1"/>
        <v/>
      </c>
      <c r="E200" s="403"/>
      <c r="F200" s="403"/>
      <c r="G200" s="404"/>
      <c r="H200" s="404"/>
      <c r="I200" s="404"/>
      <c r="J200" s="404"/>
      <c r="K200" s="404"/>
      <c r="L200" s="404"/>
    </row>
    <row r="201" ht="15.75" customHeight="1">
      <c r="A201" s="400"/>
      <c r="B201" s="401"/>
      <c r="C201" s="401"/>
      <c r="D201" s="402" t="str">
        <f t="shared" si="1"/>
        <v/>
      </c>
      <c r="E201" s="403"/>
      <c r="F201" s="403"/>
      <c r="G201" s="404"/>
      <c r="H201" s="404"/>
      <c r="I201" s="404"/>
      <c r="J201" s="404"/>
      <c r="K201" s="404"/>
      <c r="L201" s="404"/>
    </row>
    <row r="202" ht="15.75" customHeight="1">
      <c r="A202" s="400"/>
      <c r="B202" s="401"/>
      <c r="C202" s="401"/>
      <c r="D202" s="402" t="str">
        <f t="shared" si="1"/>
        <v/>
      </c>
      <c r="E202" s="403"/>
      <c r="F202" s="403"/>
      <c r="G202" s="404"/>
      <c r="H202" s="404"/>
      <c r="I202" s="404"/>
      <c r="J202" s="404"/>
      <c r="K202" s="404"/>
      <c r="L202" s="404"/>
    </row>
    <row r="203" ht="15.75" customHeight="1">
      <c r="A203" s="400"/>
      <c r="B203" s="401"/>
      <c r="C203" s="401"/>
      <c r="D203" s="402" t="str">
        <f t="shared" si="1"/>
        <v/>
      </c>
      <c r="E203" s="403"/>
      <c r="F203" s="403"/>
      <c r="G203" s="404"/>
      <c r="H203" s="404"/>
      <c r="I203" s="404"/>
      <c r="J203" s="404"/>
      <c r="K203" s="404"/>
      <c r="L203" s="404"/>
    </row>
    <row r="204" ht="15.75" customHeight="1">
      <c r="A204" s="400"/>
      <c r="B204" s="401"/>
      <c r="C204" s="401"/>
      <c r="D204" s="402" t="str">
        <f t="shared" si="1"/>
        <v/>
      </c>
      <c r="E204" s="403"/>
      <c r="F204" s="403"/>
      <c r="G204" s="404"/>
      <c r="H204" s="404"/>
      <c r="I204" s="404"/>
      <c r="J204" s="404"/>
      <c r="K204" s="404"/>
      <c r="L204" s="404"/>
    </row>
    <row r="205" ht="15.75" customHeight="1">
      <c r="A205" s="400"/>
      <c r="B205" s="401"/>
      <c r="C205" s="401"/>
      <c r="D205" s="402" t="str">
        <f t="shared" si="1"/>
        <v/>
      </c>
      <c r="E205" s="403"/>
      <c r="F205" s="403"/>
      <c r="G205" s="404"/>
      <c r="H205" s="404"/>
      <c r="I205" s="404"/>
      <c r="J205" s="404"/>
      <c r="K205" s="404"/>
      <c r="L205" s="404"/>
    </row>
    <row r="206" ht="15.75" customHeight="1">
      <c r="A206" s="400"/>
      <c r="B206" s="401"/>
      <c r="C206" s="401"/>
      <c r="D206" s="402" t="str">
        <f t="shared" si="1"/>
        <v/>
      </c>
      <c r="E206" s="403"/>
      <c r="F206" s="403"/>
      <c r="G206" s="404"/>
      <c r="H206" s="404"/>
      <c r="I206" s="404"/>
      <c r="J206" s="404"/>
      <c r="K206" s="404"/>
      <c r="L206" s="404"/>
    </row>
    <row r="207" ht="15.75" customHeight="1">
      <c r="A207" s="400"/>
      <c r="B207" s="401"/>
      <c r="C207" s="401"/>
      <c r="D207" s="402" t="str">
        <f t="shared" si="1"/>
        <v/>
      </c>
      <c r="E207" s="403"/>
      <c r="F207" s="403"/>
      <c r="G207" s="404"/>
      <c r="H207" s="404"/>
      <c r="I207" s="404"/>
      <c r="J207" s="404"/>
      <c r="K207" s="404"/>
      <c r="L207" s="404"/>
    </row>
    <row r="208" ht="15.75" customHeight="1">
      <c r="A208" s="400"/>
      <c r="B208" s="401"/>
      <c r="C208" s="401"/>
      <c r="D208" s="402" t="str">
        <f t="shared" si="1"/>
        <v/>
      </c>
      <c r="E208" s="403"/>
      <c r="F208" s="403"/>
      <c r="G208" s="404"/>
      <c r="H208" s="404"/>
      <c r="I208" s="404"/>
      <c r="J208" s="404"/>
      <c r="K208" s="404"/>
      <c r="L208" s="404"/>
    </row>
    <row r="209" ht="15.75" customHeight="1">
      <c r="A209" s="400"/>
      <c r="B209" s="401"/>
      <c r="C209" s="401"/>
      <c r="D209" s="402" t="str">
        <f t="shared" si="1"/>
        <v/>
      </c>
      <c r="E209" s="403"/>
      <c r="F209" s="403"/>
      <c r="G209" s="404"/>
      <c r="H209" s="404"/>
      <c r="I209" s="404"/>
      <c r="J209" s="404"/>
      <c r="K209" s="404"/>
      <c r="L209" s="404"/>
    </row>
    <row r="210" ht="15.75" customHeight="1">
      <c r="A210" s="400"/>
      <c r="B210" s="401"/>
      <c r="C210" s="401"/>
      <c r="D210" s="402" t="str">
        <f t="shared" si="1"/>
        <v/>
      </c>
      <c r="E210" s="403"/>
      <c r="F210" s="403"/>
      <c r="G210" s="404"/>
      <c r="H210" s="404"/>
      <c r="I210" s="404"/>
      <c r="J210" s="404"/>
      <c r="K210" s="404"/>
      <c r="L210" s="404"/>
    </row>
    <row r="211" ht="15.75" customHeight="1">
      <c r="A211" s="400"/>
      <c r="B211" s="401"/>
      <c r="C211" s="401"/>
      <c r="D211" s="402" t="str">
        <f t="shared" si="1"/>
        <v/>
      </c>
      <c r="E211" s="403"/>
      <c r="F211" s="403"/>
      <c r="G211" s="404"/>
      <c r="H211" s="404"/>
      <c r="I211" s="404"/>
      <c r="J211" s="404"/>
      <c r="K211" s="404"/>
      <c r="L211" s="404"/>
    </row>
    <row r="212" ht="15.75" customHeight="1">
      <c r="A212" s="400"/>
      <c r="B212" s="401"/>
      <c r="C212" s="401"/>
      <c r="D212" s="402" t="str">
        <f t="shared" si="1"/>
        <v/>
      </c>
      <c r="E212" s="403"/>
      <c r="F212" s="403"/>
      <c r="G212" s="404"/>
      <c r="H212" s="404"/>
      <c r="I212" s="404"/>
      <c r="J212" s="404"/>
      <c r="K212" s="404"/>
      <c r="L212" s="404"/>
    </row>
    <row r="213" ht="15.75" customHeight="1">
      <c r="A213" s="400"/>
      <c r="B213" s="401"/>
      <c r="C213" s="401"/>
      <c r="D213" s="402" t="str">
        <f t="shared" si="1"/>
        <v/>
      </c>
      <c r="E213" s="403"/>
      <c r="F213" s="403"/>
      <c r="G213" s="404"/>
      <c r="H213" s="404"/>
      <c r="I213" s="404"/>
      <c r="J213" s="404"/>
      <c r="K213" s="404"/>
      <c r="L213" s="404"/>
    </row>
    <row r="214" ht="15.75" customHeight="1">
      <c r="A214" s="400"/>
      <c r="B214" s="401"/>
      <c r="C214" s="401"/>
      <c r="D214" s="402" t="str">
        <f t="shared" si="1"/>
        <v/>
      </c>
      <c r="E214" s="403"/>
      <c r="F214" s="403"/>
      <c r="G214" s="404"/>
      <c r="H214" s="404"/>
      <c r="I214" s="404"/>
      <c r="J214" s="404"/>
      <c r="K214" s="404"/>
      <c r="L214" s="404"/>
    </row>
    <row r="215" ht="15.75" customHeight="1">
      <c r="A215" s="400"/>
      <c r="B215" s="401"/>
      <c r="C215" s="401"/>
      <c r="D215" s="402" t="str">
        <f t="shared" si="1"/>
        <v/>
      </c>
      <c r="E215" s="403"/>
      <c r="F215" s="403"/>
      <c r="G215" s="404"/>
      <c r="H215" s="404"/>
      <c r="I215" s="404"/>
      <c r="J215" s="404"/>
      <c r="K215" s="404"/>
      <c r="L215" s="404"/>
    </row>
    <row r="216" ht="15.75" customHeight="1">
      <c r="A216" s="400"/>
      <c r="B216" s="401"/>
      <c r="C216" s="401"/>
      <c r="D216" s="402" t="str">
        <f t="shared" si="1"/>
        <v/>
      </c>
      <c r="E216" s="403"/>
      <c r="F216" s="403"/>
      <c r="G216" s="404"/>
      <c r="H216" s="404"/>
      <c r="I216" s="404"/>
      <c r="J216" s="404"/>
      <c r="K216" s="404"/>
      <c r="L216" s="404"/>
    </row>
    <row r="217" ht="15.75" customHeight="1">
      <c r="A217" s="400"/>
      <c r="B217" s="401"/>
      <c r="C217" s="401"/>
      <c r="D217" s="402" t="str">
        <f t="shared" si="1"/>
        <v/>
      </c>
      <c r="E217" s="403"/>
      <c r="F217" s="403"/>
      <c r="G217" s="404"/>
      <c r="H217" s="404"/>
      <c r="I217" s="404"/>
      <c r="J217" s="404"/>
      <c r="K217" s="404"/>
      <c r="L217" s="404"/>
    </row>
    <row r="218" ht="15.75" customHeight="1">
      <c r="A218" s="400"/>
      <c r="B218" s="401"/>
      <c r="C218" s="401"/>
      <c r="D218" s="402" t="str">
        <f t="shared" si="1"/>
        <v/>
      </c>
      <c r="E218" s="403"/>
      <c r="F218" s="403"/>
      <c r="G218" s="404"/>
      <c r="H218" s="404"/>
      <c r="I218" s="404"/>
      <c r="J218" s="404"/>
      <c r="K218" s="404"/>
      <c r="L218" s="404"/>
    </row>
    <row r="219" ht="15.75" customHeight="1">
      <c r="A219" s="400"/>
      <c r="B219" s="401"/>
      <c r="C219" s="401"/>
      <c r="D219" s="402" t="str">
        <f t="shared" si="1"/>
        <v/>
      </c>
      <c r="E219" s="403"/>
      <c r="F219" s="403"/>
      <c r="G219" s="404"/>
      <c r="H219" s="404"/>
      <c r="I219" s="404"/>
      <c r="J219" s="404"/>
      <c r="K219" s="404"/>
      <c r="L219" s="404"/>
    </row>
    <row r="220" ht="15.75" customHeight="1">
      <c r="A220" s="400"/>
      <c r="B220" s="401"/>
      <c r="C220" s="401"/>
      <c r="D220" s="402" t="str">
        <f t="shared" si="1"/>
        <v/>
      </c>
      <c r="E220" s="403"/>
      <c r="F220" s="403"/>
      <c r="G220" s="404"/>
      <c r="H220" s="404"/>
      <c r="I220" s="404"/>
      <c r="J220" s="404"/>
      <c r="K220" s="404"/>
      <c r="L220" s="404"/>
    </row>
    <row r="221" ht="15.75" customHeight="1">
      <c r="A221" s="400"/>
      <c r="B221" s="401"/>
      <c r="C221" s="401"/>
      <c r="D221" s="402" t="str">
        <f t="shared" si="1"/>
        <v/>
      </c>
      <c r="E221" s="403"/>
      <c r="F221" s="403"/>
      <c r="G221" s="404"/>
      <c r="H221" s="404"/>
      <c r="I221" s="404"/>
      <c r="J221" s="404"/>
      <c r="K221" s="404"/>
      <c r="L221" s="404"/>
    </row>
    <row r="222" ht="15.75" customHeight="1">
      <c r="A222" s="400"/>
      <c r="B222" s="401"/>
      <c r="C222" s="401"/>
      <c r="D222" s="402" t="str">
        <f t="shared" si="1"/>
        <v/>
      </c>
      <c r="E222" s="403"/>
      <c r="F222" s="403"/>
      <c r="G222" s="404"/>
      <c r="H222" s="404"/>
      <c r="I222" s="404"/>
      <c r="J222" s="404"/>
      <c r="K222" s="404"/>
      <c r="L222" s="404"/>
    </row>
    <row r="223" ht="15.75" customHeight="1">
      <c r="A223" s="400"/>
      <c r="B223" s="401"/>
      <c r="C223" s="401"/>
      <c r="D223" s="402" t="str">
        <f t="shared" si="1"/>
        <v/>
      </c>
      <c r="E223" s="403"/>
      <c r="F223" s="403"/>
      <c r="G223" s="404"/>
      <c r="H223" s="404"/>
      <c r="I223" s="404"/>
      <c r="J223" s="404"/>
      <c r="K223" s="404"/>
      <c r="L223" s="404"/>
    </row>
    <row r="224" ht="15.75" customHeight="1">
      <c r="A224" s="400"/>
      <c r="B224" s="401"/>
      <c r="C224" s="401"/>
      <c r="D224" s="402" t="str">
        <f t="shared" si="1"/>
        <v/>
      </c>
      <c r="E224" s="403"/>
      <c r="F224" s="403"/>
      <c r="G224" s="404"/>
      <c r="H224" s="404"/>
      <c r="I224" s="404"/>
      <c r="J224" s="404"/>
      <c r="K224" s="404"/>
      <c r="L224" s="404"/>
    </row>
    <row r="225" ht="15.75" customHeight="1">
      <c r="A225" s="400"/>
      <c r="B225" s="401"/>
      <c r="C225" s="401"/>
      <c r="D225" s="402" t="str">
        <f t="shared" si="1"/>
        <v/>
      </c>
      <c r="E225" s="403"/>
      <c r="F225" s="403"/>
      <c r="G225" s="404"/>
      <c r="H225" s="404"/>
      <c r="I225" s="404"/>
      <c r="J225" s="404"/>
      <c r="K225" s="404"/>
      <c r="L225" s="404"/>
    </row>
    <row r="226" ht="15.75" customHeight="1">
      <c r="A226" s="400"/>
      <c r="B226" s="401"/>
      <c r="C226" s="401"/>
      <c r="D226" s="402" t="str">
        <f t="shared" si="1"/>
        <v/>
      </c>
      <c r="E226" s="403"/>
      <c r="F226" s="403"/>
      <c r="G226" s="404"/>
      <c r="H226" s="404"/>
      <c r="I226" s="404"/>
      <c r="J226" s="404"/>
      <c r="K226" s="404"/>
      <c r="L226" s="404"/>
    </row>
    <row r="227" ht="15.75" customHeight="1">
      <c r="A227" s="400"/>
      <c r="B227" s="401"/>
      <c r="C227" s="401"/>
      <c r="D227" s="402" t="str">
        <f t="shared" si="1"/>
        <v/>
      </c>
      <c r="E227" s="403"/>
      <c r="F227" s="403"/>
      <c r="G227" s="404"/>
      <c r="H227" s="404"/>
      <c r="I227" s="404"/>
      <c r="J227" s="404"/>
      <c r="K227" s="404"/>
      <c r="L227" s="404"/>
    </row>
    <row r="228" ht="15.75" customHeight="1">
      <c r="A228" s="400"/>
      <c r="B228" s="401"/>
      <c r="C228" s="401"/>
      <c r="D228" s="402" t="str">
        <f t="shared" si="1"/>
        <v/>
      </c>
      <c r="E228" s="403"/>
      <c r="F228" s="403"/>
      <c r="G228" s="404"/>
      <c r="H228" s="404"/>
      <c r="I228" s="404"/>
      <c r="J228" s="404"/>
      <c r="K228" s="404"/>
      <c r="L228" s="404"/>
    </row>
    <row r="229" ht="15.75" customHeight="1">
      <c r="A229" s="400"/>
      <c r="B229" s="401"/>
      <c r="C229" s="401"/>
      <c r="D229" s="402" t="str">
        <f t="shared" si="1"/>
        <v/>
      </c>
      <c r="E229" s="403"/>
      <c r="F229" s="403"/>
      <c r="G229" s="404"/>
      <c r="H229" s="404"/>
      <c r="I229" s="404"/>
      <c r="J229" s="404"/>
      <c r="K229" s="404"/>
      <c r="L229" s="404"/>
    </row>
    <row r="230" ht="15.75" customHeight="1">
      <c r="A230" s="400"/>
      <c r="B230" s="401"/>
      <c r="C230" s="401"/>
      <c r="D230" s="402" t="str">
        <f t="shared" si="1"/>
        <v/>
      </c>
      <c r="E230" s="403"/>
      <c r="F230" s="403"/>
      <c r="G230" s="404"/>
      <c r="H230" s="404"/>
      <c r="I230" s="404"/>
      <c r="J230" s="404"/>
      <c r="K230" s="404"/>
      <c r="L230" s="404"/>
    </row>
    <row r="231" ht="15.75" customHeight="1">
      <c r="A231" s="400"/>
      <c r="B231" s="401"/>
      <c r="C231" s="401"/>
      <c r="D231" s="402" t="str">
        <f t="shared" si="1"/>
        <v/>
      </c>
      <c r="E231" s="403"/>
      <c r="F231" s="403"/>
      <c r="G231" s="404"/>
      <c r="H231" s="404"/>
      <c r="I231" s="404"/>
      <c r="J231" s="404"/>
      <c r="K231" s="404"/>
      <c r="L231" s="404"/>
    </row>
    <row r="232" ht="15.75" customHeight="1">
      <c r="A232" s="400"/>
      <c r="B232" s="401"/>
      <c r="C232" s="401"/>
      <c r="D232" s="402" t="str">
        <f t="shared" si="1"/>
        <v/>
      </c>
      <c r="E232" s="403"/>
      <c r="F232" s="403"/>
      <c r="G232" s="404"/>
      <c r="H232" s="404"/>
      <c r="I232" s="404"/>
      <c r="J232" s="404"/>
      <c r="K232" s="404"/>
      <c r="L232" s="404"/>
    </row>
    <row r="233" ht="15.75" customHeight="1">
      <c r="A233" s="400"/>
      <c r="B233" s="401"/>
      <c r="C233" s="401"/>
      <c r="D233" s="402" t="str">
        <f t="shared" si="1"/>
        <v/>
      </c>
      <c r="E233" s="403"/>
      <c r="F233" s="403"/>
      <c r="G233" s="404"/>
      <c r="H233" s="404"/>
      <c r="I233" s="404"/>
      <c r="J233" s="404"/>
      <c r="K233" s="404"/>
      <c r="L233" s="404"/>
    </row>
    <row r="234" ht="15.75" customHeight="1">
      <c r="A234" s="400"/>
      <c r="B234" s="401"/>
      <c r="C234" s="401"/>
      <c r="D234" s="402" t="str">
        <f t="shared" si="1"/>
        <v/>
      </c>
      <c r="E234" s="403"/>
      <c r="F234" s="403"/>
      <c r="G234" s="404"/>
      <c r="H234" s="404"/>
      <c r="I234" s="404"/>
      <c r="J234" s="404"/>
      <c r="K234" s="404"/>
      <c r="L234" s="404"/>
    </row>
    <row r="235" ht="15.75" customHeight="1">
      <c r="A235" s="400"/>
      <c r="B235" s="401"/>
      <c r="C235" s="401"/>
      <c r="D235" s="402" t="str">
        <f t="shared" si="1"/>
        <v/>
      </c>
      <c r="E235" s="403"/>
      <c r="F235" s="403"/>
      <c r="G235" s="404"/>
      <c r="H235" s="404"/>
      <c r="I235" s="404"/>
      <c r="J235" s="404"/>
      <c r="K235" s="404"/>
      <c r="L235" s="404"/>
    </row>
    <row r="236" ht="15.75" customHeight="1">
      <c r="A236" s="400"/>
      <c r="B236" s="401"/>
      <c r="C236" s="401"/>
      <c r="D236" s="402" t="str">
        <f t="shared" si="1"/>
        <v/>
      </c>
      <c r="E236" s="403"/>
      <c r="F236" s="403"/>
      <c r="G236" s="404"/>
      <c r="H236" s="404"/>
      <c r="I236" s="404"/>
      <c r="J236" s="404"/>
      <c r="K236" s="404"/>
      <c r="L236" s="404"/>
    </row>
    <row r="237" ht="15.75" customHeight="1">
      <c r="A237" s="400"/>
      <c r="B237" s="401"/>
      <c r="C237" s="401"/>
      <c r="D237" s="402" t="str">
        <f t="shared" si="1"/>
        <v/>
      </c>
      <c r="E237" s="403"/>
      <c r="F237" s="403"/>
      <c r="G237" s="404"/>
      <c r="H237" s="404"/>
      <c r="I237" s="404"/>
      <c r="J237" s="404"/>
      <c r="K237" s="404"/>
      <c r="L237" s="404"/>
    </row>
    <row r="238" ht="15.75" customHeight="1">
      <c r="A238" s="400"/>
      <c r="B238" s="401"/>
      <c r="C238" s="401"/>
      <c r="D238" s="402" t="str">
        <f t="shared" si="1"/>
        <v/>
      </c>
      <c r="E238" s="403"/>
      <c r="F238" s="403"/>
      <c r="G238" s="404"/>
      <c r="H238" s="404"/>
      <c r="I238" s="404"/>
      <c r="J238" s="404"/>
      <c r="K238" s="404"/>
      <c r="L238" s="404"/>
    </row>
    <row r="239" ht="15.75" customHeight="1">
      <c r="A239" s="400"/>
      <c r="B239" s="401"/>
      <c r="C239" s="401"/>
      <c r="D239" s="402" t="str">
        <f t="shared" si="1"/>
        <v/>
      </c>
      <c r="E239" s="403"/>
      <c r="F239" s="403"/>
      <c r="G239" s="404"/>
      <c r="H239" s="404"/>
      <c r="I239" s="404"/>
      <c r="J239" s="404"/>
      <c r="K239" s="404"/>
      <c r="L239" s="404"/>
    </row>
    <row r="240" ht="15.75" customHeight="1">
      <c r="A240" s="400"/>
      <c r="B240" s="401"/>
      <c r="C240" s="401"/>
      <c r="D240" s="402" t="str">
        <f t="shared" si="1"/>
        <v/>
      </c>
      <c r="E240" s="403"/>
      <c r="F240" s="403"/>
      <c r="G240" s="404"/>
      <c r="H240" s="404"/>
      <c r="I240" s="404"/>
      <c r="J240" s="404"/>
      <c r="K240" s="404"/>
      <c r="L240" s="404"/>
    </row>
    <row r="241" ht="15.75" customHeight="1">
      <c r="A241" s="400"/>
      <c r="B241" s="401"/>
      <c r="C241" s="401"/>
      <c r="D241" s="402" t="str">
        <f t="shared" si="1"/>
        <v/>
      </c>
      <c r="E241" s="403"/>
      <c r="F241" s="403"/>
      <c r="G241" s="404"/>
      <c r="H241" s="404"/>
      <c r="I241" s="404"/>
      <c r="J241" s="404"/>
      <c r="K241" s="404"/>
      <c r="L241" s="404"/>
    </row>
    <row r="242" ht="15.75" customHeight="1">
      <c r="A242" s="400"/>
      <c r="B242" s="401"/>
      <c r="C242" s="401"/>
      <c r="D242" s="402" t="str">
        <f t="shared" si="1"/>
        <v/>
      </c>
      <c r="E242" s="403"/>
      <c r="F242" s="403"/>
      <c r="G242" s="404"/>
      <c r="H242" s="404"/>
      <c r="I242" s="404"/>
      <c r="J242" s="404"/>
      <c r="K242" s="404"/>
      <c r="L242" s="404"/>
    </row>
    <row r="243" ht="15.75" customHeight="1">
      <c r="A243" s="400"/>
      <c r="B243" s="401"/>
      <c r="C243" s="401"/>
      <c r="D243" s="402" t="str">
        <f t="shared" si="1"/>
        <v/>
      </c>
      <c r="E243" s="403"/>
      <c r="F243" s="403"/>
      <c r="G243" s="404"/>
      <c r="H243" s="404"/>
      <c r="I243" s="404"/>
      <c r="J243" s="404"/>
      <c r="K243" s="404"/>
      <c r="L243" s="404"/>
    </row>
    <row r="244" ht="15.75" customHeight="1">
      <c r="A244" s="400"/>
      <c r="B244" s="401"/>
      <c r="C244" s="401"/>
      <c r="D244" s="402" t="str">
        <f t="shared" si="1"/>
        <v/>
      </c>
      <c r="E244" s="403"/>
      <c r="F244" s="403"/>
      <c r="G244" s="404"/>
      <c r="H244" s="404"/>
      <c r="I244" s="404"/>
      <c r="J244" s="404"/>
      <c r="K244" s="404"/>
      <c r="L244" s="404"/>
    </row>
    <row r="245" ht="15.75" customHeight="1">
      <c r="A245" s="400"/>
      <c r="B245" s="401"/>
      <c r="C245" s="401"/>
      <c r="D245" s="402" t="str">
        <f t="shared" si="1"/>
        <v/>
      </c>
      <c r="E245" s="403"/>
      <c r="F245" s="403"/>
      <c r="G245" s="404"/>
      <c r="H245" s="404"/>
      <c r="I245" s="404"/>
      <c r="J245" s="404"/>
      <c r="K245" s="404"/>
      <c r="L245" s="404"/>
    </row>
    <row r="246" ht="15.75" customHeight="1">
      <c r="A246" s="400"/>
      <c r="B246" s="401"/>
      <c r="C246" s="401"/>
      <c r="D246" s="402" t="str">
        <f t="shared" si="1"/>
        <v/>
      </c>
      <c r="E246" s="403"/>
      <c r="F246" s="403"/>
      <c r="G246" s="404"/>
      <c r="H246" s="404"/>
      <c r="I246" s="404"/>
      <c r="J246" s="404"/>
      <c r="K246" s="404"/>
      <c r="L246" s="404"/>
    </row>
    <row r="247" ht="15.75" customHeight="1">
      <c r="A247" s="400"/>
      <c r="B247" s="401"/>
      <c r="C247" s="401"/>
      <c r="D247" s="402" t="str">
        <f t="shared" si="1"/>
        <v/>
      </c>
      <c r="E247" s="403"/>
      <c r="F247" s="403"/>
      <c r="G247" s="404"/>
      <c r="H247" s="404"/>
      <c r="I247" s="404"/>
      <c r="J247" s="404"/>
      <c r="K247" s="404"/>
      <c r="L247" s="404"/>
    </row>
    <row r="248" ht="15.75" customHeight="1">
      <c r="A248" s="400"/>
      <c r="B248" s="401"/>
      <c r="C248" s="401"/>
      <c r="D248" s="402" t="str">
        <f t="shared" si="1"/>
        <v/>
      </c>
      <c r="E248" s="403"/>
      <c r="F248" s="403"/>
      <c r="G248" s="404"/>
      <c r="H248" s="404"/>
      <c r="I248" s="404"/>
      <c r="J248" s="404"/>
      <c r="K248" s="404"/>
      <c r="L248" s="404"/>
    </row>
    <row r="249" ht="15.75" customHeight="1">
      <c r="A249" s="400"/>
      <c r="B249" s="401"/>
      <c r="C249" s="401"/>
      <c r="D249" s="402" t="str">
        <f t="shared" si="1"/>
        <v/>
      </c>
      <c r="E249" s="403"/>
      <c r="F249" s="403"/>
      <c r="G249" s="404"/>
      <c r="H249" s="404"/>
      <c r="I249" s="404"/>
      <c r="J249" s="404"/>
      <c r="K249" s="404"/>
      <c r="L249" s="404"/>
    </row>
    <row r="250" ht="15.75" customHeight="1">
      <c r="A250" s="400"/>
      <c r="B250" s="401"/>
      <c r="C250" s="401"/>
      <c r="D250" s="402" t="str">
        <f t="shared" si="1"/>
        <v/>
      </c>
      <c r="E250" s="403"/>
      <c r="F250" s="403"/>
      <c r="G250" s="404"/>
      <c r="H250" s="404"/>
      <c r="I250" s="404"/>
      <c r="J250" s="404"/>
      <c r="K250" s="404"/>
      <c r="L250" s="404"/>
    </row>
    <row r="251" ht="15.75" customHeight="1">
      <c r="A251" s="400"/>
      <c r="B251" s="401"/>
      <c r="C251" s="401"/>
      <c r="D251" s="402" t="str">
        <f t="shared" si="1"/>
        <v/>
      </c>
      <c r="E251" s="403"/>
      <c r="F251" s="403"/>
      <c r="G251" s="404"/>
      <c r="H251" s="404"/>
      <c r="I251" s="404"/>
      <c r="J251" s="404"/>
      <c r="K251" s="404"/>
      <c r="L251" s="404"/>
    </row>
    <row r="252" ht="15.75" customHeight="1">
      <c r="A252" s="400"/>
      <c r="B252" s="401"/>
      <c r="C252" s="401"/>
      <c r="D252" s="402" t="str">
        <f t="shared" si="1"/>
        <v/>
      </c>
      <c r="E252" s="403"/>
      <c r="F252" s="403"/>
      <c r="G252" s="404"/>
      <c r="H252" s="404"/>
      <c r="I252" s="404"/>
      <c r="J252" s="404"/>
      <c r="K252" s="404"/>
      <c r="L252" s="404"/>
    </row>
    <row r="253" ht="15.75" customHeight="1">
      <c r="A253" s="400"/>
      <c r="B253" s="401"/>
      <c r="C253" s="401"/>
      <c r="D253" s="402" t="str">
        <f t="shared" si="1"/>
        <v/>
      </c>
      <c r="E253" s="403"/>
      <c r="F253" s="403"/>
      <c r="G253" s="404"/>
      <c r="H253" s="404"/>
      <c r="I253" s="404"/>
      <c r="J253" s="404"/>
      <c r="K253" s="404"/>
      <c r="L253" s="404"/>
    </row>
    <row r="254" ht="15.75" customHeight="1">
      <c r="A254" s="400"/>
      <c r="B254" s="401"/>
      <c r="C254" s="401"/>
      <c r="D254" s="402" t="str">
        <f t="shared" si="1"/>
        <v/>
      </c>
      <c r="E254" s="403"/>
      <c r="F254" s="403"/>
      <c r="G254" s="404"/>
      <c r="H254" s="404"/>
      <c r="I254" s="404"/>
      <c r="J254" s="404"/>
      <c r="K254" s="404"/>
      <c r="L254" s="404"/>
    </row>
    <row r="255" ht="15.75" customHeight="1">
      <c r="A255" s="400"/>
      <c r="B255" s="401"/>
      <c r="C255" s="401"/>
      <c r="D255" s="402" t="str">
        <f t="shared" si="1"/>
        <v/>
      </c>
      <c r="E255" s="403"/>
      <c r="F255" s="403"/>
      <c r="G255" s="404"/>
      <c r="H255" s="404"/>
      <c r="I255" s="404"/>
      <c r="J255" s="404"/>
      <c r="K255" s="404"/>
      <c r="L255" s="404"/>
    </row>
    <row r="256" ht="15.75" customHeight="1">
      <c r="A256" s="400"/>
      <c r="B256" s="401"/>
      <c r="C256" s="401"/>
      <c r="D256" s="402" t="str">
        <f t="shared" si="1"/>
        <v/>
      </c>
      <c r="E256" s="403"/>
      <c r="F256" s="403"/>
      <c r="G256" s="404"/>
      <c r="H256" s="404"/>
      <c r="I256" s="404"/>
      <c r="J256" s="404"/>
      <c r="K256" s="404"/>
      <c r="L256" s="404"/>
    </row>
    <row r="257" ht="15.75" customHeight="1">
      <c r="A257" s="400"/>
      <c r="B257" s="401"/>
      <c r="C257" s="401"/>
      <c r="D257" s="402" t="str">
        <f t="shared" si="1"/>
        <v/>
      </c>
      <c r="E257" s="403"/>
      <c r="F257" s="403"/>
      <c r="G257" s="404"/>
      <c r="H257" s="404"/>
      <c r="I257" s="404"/>
      <c r="J257" s="404"/>
      <c r="K257" s="404"/>
      <c r="L257" s="404"/>
    </row>
    <row r="258" ht="15.75" customHeight="1">
      <c r="A258" s="400"/>
      <c r="B258" s="401"/>
      <c r="C258" s="401"/>
      <c r="D258" s="402" t="str">
        <f t="shared" si="1"/>
        <v/>
      </c>
      <c r="E258" s="403"/>
      <c r="F258" s="403"/>
      <c r="G258" s="404"/>
      <c r="H258" s="404"/>
      <c r="I258" s="404"/>
      <c r="J258" s="404"/>
      <c r="K258" s="404"/>
      <c r="L258" s="404"/>
    </row>
    <row r="259" ht="15.75" customHeight="1">
      <c r="A259" s="400"/>
      <c r="B259" s="401"/>
      <c r="C259" s="401"/>
      <c r="D259" s="402" t="str">
        <f t="shared" si="1"/>
        <v/>
      </c>
      <c r="E259" s="403"/>
      <c r="F259" s="403"/>
      <c r="G259" s="404"/>
      <c r="H259" s="404"/>
      <c r="I259" s="404"/>
      <c r="J259" s="404"/>
      <c r="K259" s="404"/>
      <c r="L259" s="404"/>
    </row>
    <row r="260" ht="15.75" customHeight="1">
      <c r="A260" s="400"/>
      <c r="B260" s="401"/>
      <c r="C260" s="401"/>
      <c r="D260" s="402" t="str">
        <f t="shared" si="1"/>
        <v/>
      </c>
      <c r="E260" s="403"/>
      <c r="F260" s="403"/>
      <c r="G260" s="404"/>
      <c r="H260" s="404"/>
      <c r="I260" s="404"/>
      <c r="J260" s="404"/>
      <c r="K260" s="404"/>
      <c r="L260" s="404"/>
    </row>
    <row r="261" ht="15.75" customHeight="1">
      <c r="A261" s="400"/>
      <c r="B261" s="401"/>
      <c r="C261" s="401"/>
      <c r="D261" s="402" t="str">
        <f t="shared" si="1"/>
        <v/>
      </c>
      <c r="E261" s="403"/>
      <c r="F261" s="403"/>
      <c r="G261" s="404"/>
      <c r="H261" s="404"/>
      <c r="I261" s="404"/>
      <c r="J261" s="404"/>
      <c r="K261" s="404"/>
      <c r="L261" s="404"/>
    </row>
    <row r="262" ht="15.75" customHeight="1">
      <c r="A262" s="400"/>
      <c r="B262" s="401"/>
      <c r="C262" s="401"/>
      <c r="D262" s="402" t="str">
        <f t="shared" si="1"/>
        <v/>
      </c>
      <c r="E262" s="403"/>
      <c r="F262" s="403"/>
      <c r="G262" s="404"/>
      <c r="H262" s="404"/>
      <c r="I262" s="404"/>
      <c r="J262" s="404"/>
      <c r="K262" s="404"/>
      <c r="L262" s="404"/>
    </row>
    <row r="263" ht="15.75" customHeight="1">
      <c r="A263" s="400"/>
      <c r="B263" s="401"/>
      <c r="C263" s="401"/>
      <c r="D263" s="402" t="str">
        <f t="shared" si="1"/>
        <v/>
      </c>
      <c r="E263" s="403"/>
      <c r="F263" s="403"/>
      <c r="G263" s="404"/>
      <c r="H263" s="404"/>
      <c r="I263" s="404"/>
      <c r="J263" s="404"/>
      <c r="K263" s="404"/>
      <c r="L263" s="404"/>
    </row>
    <row r="264" ht="15.75" customHeight="1">
      <c r="A264" s="400"/>
      <c r="B264" s="401"/>
      <c r="C264" s="401"/>
      <c r="D264" s="402" t="str">
        <f t="shared" si="1"/>
        <v/>
      </c>
      <c r="E264" s="403"/>
      <c r="F264" s="403"/>
      <c r="G264" s="404"/>
      <c r="H264" s="404"/>
      <c r="I264" s="404"/>
      <c r="J264" s="404"/>
      <c r="K264" s="404"/>
      <c r="L264" s="404"/>
    </row>
    <row r="265" ht="15.75" customHeight="1">
      <c r="A265" s="400"/>
      <c r="B265" s="401"/>
      <c r="C265" s="401"/>
      <c r="D265" s="402" t="str">
        <f t="shared" si="1"/>
        <v/>
      </c>
      <c r="E265" s="403"/>
      <c r="F265" s="403"/>
      <c r="G265" s="404"/>
      <c r="H265" s="404"/>
      <c r="I265" s="404"/>
      <c r="J265" s="404"/>
      <c r="K265" s="404"/>
      <c r="L265" s="404"/>
    </row>
    <row r="266" ht="15.75" customHeight="1">
      <c r="A266" s="400"/>
      <c r="B266" s="401"/>
      <c r="C266" s="401"/>
      <c r="D266" s="402" t="str">
        <f t="shared" si="1"/>
        <v/>
      </c>
      <c r="E266" s="403"/>
      <c r="F266" s="403"/>
      <c r="G266" s="404"/>
      <c r="H266" s="404"/>
      <c r="I266" s="404"/>
      <c r="J266" s="404"/>
      <c r="K266" s="404"/>
      <c r="L266" s="404"/>
    </row>
    <row r="267" ht="15.75" customHeight="1">
      <c r="A267" s="400"/>
      <c r="B267" s="401"/>
      <c r="C267" s="401"/>
      <c r="D267" s="402" t="str">
        <f t="shared" si="1"/>
        <v/>
      </c>
      <c r="E267" s="403"/>
      <c r="F267" s="403"/>
      <c r="G267" s="404"/>
      <c r="H267" s="404"/>
      <c r="I267" s="404"/>
      <c r="J267" s="404"/>
      <c r="K267" s="404"/>
      <c r="L267" s="404"/>
    </row>
    <row r="268" ht="15.75" customHeight="1">
      <c r="A268" s="400"/>
      <c r="B268" s="401"/>
      <c r="C268" s="401"/>
      <c r="D268" s="402" t="str">
        <f t="shared" si="1"/>
        <v/>
      </c>
      <c r="E268" s="403"/>
      <c r="F268" s="403"/>
      <c r="G268" s="404"/>
      <c r="H268" s="404"/>
      <c r="I268" s="404"/>
      <c r="J268" s="404"/>
      <c r="K268" s="404"/>
      <c r="L268" s="404"/>
    </row>
    <row r="269" ht="15.75" customHeight="1">
      <c r="A269" s="400"/>
      <c r="B269" s="401"/>
      <c r="C269" s="401"/>
      <c r="D269" s="402" t="str">
        <f t="shared" si="1"/>
        <v/>
      </c>
      <c r="E269" s="403"/>
      <c r="F269" s="403"/>
      <c r="G269" s="404"/>
      <c r="H269" s="404"/>
      <c r="I269" s="404"/>
      <c r="J269" s="404"/>
      <c r="K269" s="404"/>
      <c r="L269" s="404"/>
    </row>
    <row r="270" ht="15.75" customHeight="1">
      <c r="A270" s="400"/>
      <c r="B270" s="401"/>
      <c r="C270" s="401"/>
      <c r="D270" s="402" t="str">
        <f t="shared" si="1"/>
        <v/>
      </c>
      <c r="E270" s="403"/>
      <c r="F270" s="403"/>
      <c r="G270" s="404"/>
      <c r="H270" s="404"/>
      <c r="I270" s="404"/>
      <c r="J270" s="404"/>
      <c r="K270" s="404"/>
      <c r="L270" s="404"/>
    </row>
    <row r="271" ht="15.75" customHeight="1">
      <c r="A271" s="400"/>
      <c r="B271" s="401"/>
      <c r="C271" s="401"/>
      <c r="D271" s="402" t="str">
        <f t="shared" si="1"/>
        <v/>
      </c>
      <c r="E271" s="403"/>
      <c r="F271" s="403"/>
      <c r="G271" s="404"/>
      <c r="H271" s="404"/>
      <c r="I271" s="404"/>
      <c r="J271" s="404"/>
      <c r="K271" s="404"/>
      <c r="L271" s="404"/>
    </row>
    <row r="272" ht="15.75" customHeight="1">
      <c r="A272" s="400"/>
      <c r="B272" s="401"/>
      <c r="C272" s="401"/>
      <c r="D272" s="402" t="str">
        <f t="shared" si="1"/>
        <v/>
      </c>
      <c r="E272" s="403"/>
      <c r="F272" s="403"/>
      <c r="G272" s="404"/>
      <c r="H272" s="404"/>
      <c r="I272" s="404"/>
      <c r="J272" s="404"/>
      <c r="K272" s="404"/>
      <c r="L272" s="404"/>
    </row>
    <row r="273" ht="15.75" customHeight="1">
      <c r="A273" s="400"/>
      <c r="B273" s="401"/>
      <c r="C273" s="401"/>
      <c r="D273" s="402" t="str">
        <f t="shared" si="1"/>
        <v/>
      </c>
      <c r="E273" s="403"/>
      <c r="F273" s="403"/>
      <c r="G273" s="404"/>
      <c r="H273" s="404"/>
      <c r="I273" s="404"/>
      <c r="J273" s="404"/>
      <c r="K273" s="404"/>
      <c r="L273" s="404"/>
    </row>
    <row r="274" ht="15.75" customHeight="1">
      <c r="A274" s="400"/>
      <c r="B274" s="401"/>
      <c r="C274" s="401"/>
      <c r="D274" s="402" t="str">
        <f t="shared" si="1"/>
        <v/>
      </c>
      <c r="E274" s="403"/>
      <c r="F274" s="403"/>
      <c r="G274" s="404"/>
      <c r="H274" s="404"/>
      <c r="I274" s="404"/>
      <c r="J274" s="404"/>
      <c r="K274" s="404"/>
      <c r="L274" s="404"/>
    </row>
    <row r="275" ht="15.75" customHeight="1">
      <c r="A275" s="400"/>
      <c r="B275" s="401"/>
      <c r="C275" s="401"/>
      <c r="D275" s="402" t="str">
        <f t="shared" si="1"/>
        <v/>
      </c>
      <c r="E275" s="403"/>
      <c r="F275" s="403"/>
      <c r="G275" s="404"/>
      <c r="H275" s="404"/>
      <c r="I275" s="404"/>
      <c r="J275" s="404"/>
      <c r="K275" s="404"/>
      <c r="L275" s="404"/>
    </row>
    <row r="276" ht="15.75" customHeight="1">
      <c r="A276" s="400"/>
      <c r="B276" s="401"/>
      <c r="C276" s="401"/>
      <c r="D276" s="402" t="str">
        <f t="shared" si="1"/>
        <v/>
      </c>
      <c r="E276" s="403"/>
      <c r="F276" s="403"/>
      <c r="G276" s="404"/>
      <c r="H276" s="404"/>
      <c r="I276" s="404"/>
      <c r="J276" s="404"/>
      <c r="K276" s="404"/>
      <c r="L276" s="404"/>
    </row>
    <row r="277" ht="15.75" customHeight="1">
      <c r="A277" s="400"/>
      <c r="B277" s="401"/>
      <c r="C277" s="401"/>
      <c r="D277" s="402" t="str">
        <f t="shared" si="1"/>
        <v/>
      </c>
      <c r="E277" s="403"/>
      <c r="F277" s="403"/>
      <c r="G277" s="404"/>
      <c r="H277" s="404"/>
      <c r="I277" s="404"/>
      <c r="J277" s="404"/>
      <c r="K277" s="404"/>
      <c r="L277" s="404"/>
    </row>
    <row r="278" ht="15.75" customHeight="1">
      <c r="A278" s="400"/>
      <c r="B278" s="401"/>
      <c r="C278" s="401"/>
      <c r="D278" s="402" t="str">
        <f t="shared" si="1"/>
        <v/>
      </c>
      <c r="E278" s="403"/>
      <c r="F278" s="403"/>
      <c r="G278" s="404"/>
      <c r="H278" s="404"/>
      <c r="I278" s="404"/>
      <c r="J278" s="404"/>
      <c r="K278" s="404"/>
      <c r="L278" s="404"/>
    </row>
    <row r="279" ht="15.75" customHeight="1">
      <c r="A279" s="400"/>
      <c r="B279" s="401"/>
      <c r="C279" s="401"/>
      <c r="D279" s="402" t="str">
        <f t="shared" si="1"/>
        <v/>
      </c>
      <c r="E279" s="403"/>
      <c r="F279" s="403"/>
      <c r="G279" s="404"/>
      <c r="H279" s="404"/>
      <c r="I279" s="404"/>
      <c r="J279" s="404"/>
      <c r="K279" s="404"/>
      <c r="L279" s="404"/>
    </row>
    <row r="280" ht="15.75" customHeight="1">
      <c r="A280" s="400"/>
      <c r="B280" s="401"/>
      <c r="C280" s="401"/>
      <c r="D280" s="402" t="str">
        <f t="shared" si="1"/>
        <v/>
      </c>
      <c r="E280" s="403"/>
      <c r="F280" s="403"/>
      <c r="G280" s="404"/>
      <c r="H280" s="404"/>
      <c r="I280" s="404"/>
      <c r="J280" s="404"/>
      <c r="K280" s="404"/>
      <c r="L280" s="404"/>
    </row>
    <row r="281" ht="15.75" customHeight="1">
      <c r="A281" s="400"/>
      <c r="B281" s="401"/>
      <c r="C281" s="401"/>
      <c r="D281" s="402" t="str">
        <f t="shared" si="1"/>
        <v/>
      </c>
      <c r="E281" s="403"/>
      <c r="F281" s="403"/>
      <c r="G281" s="404"/>
      <c r="H281" s="404"/>
      <c r="I281" s="404"/>
      <c r="J281" s="404"/>
      <c r="K281" s="404"/>
      <c r="L281" s="404"/>
    </row>
    <row r="282" ht="15.75" customHeight="1">
      <c r="A282" s="400"/>
      <c r="B282" s="401"/>
      <c r="C282" s="401"/>
      <c r="D282" s="402" t="str">
        <f t="shared" si="1"/>
        <v/>
      </c>
      <c r="E282" s="403"/>
      <c r="F282" s="403"/>
      <c r="G282" s="404"/>
      <c r="H282" s="404"/>
      <c r="I282" s="404"/>
      <c r="J282" s="404"/>
      <c r="K282" s="404"/>
      <c r="L282" s="404"/>
    </row>
    <row r="283" ht="15.75" customHeight="1">
      <c r="A283" s="400"/>
      <c r="B283" s="401"/>
      <c r="C283" s="401"/>
      <c r="D283" s="402" t="str">
        <f t="shared" si="1"/>
        <v/>
      </c>
      <c r="E283" s="403"/>
      <c r="F283" s="403"/>
      <c r="G283" s="404"/>
      <c r="H283" s="404"/>
      <c r="I283" s="404"/>
      <c r="J283" s="404"/>
      <c r="K283" s="404"/>
      <c r="L283" s="404"/>
    </row>
    <row r="284" ht="15.75" customHeight="1">
      <c r="A284" s="400"/>
      <c r="B284" s="401"/>
      <c r="C284" s="401"/>
      <c r="D284" s="402" t="str">
        <f t="shared" si="1"/>
        <v/>
      </c>
      <c r="E284" s="403"/>
      <c r="F284" s="403"/>
      <c r="G284" s="404"/>
      <c r="H284" s="404"/>
      <c r="I284" s="404"/>
      <c r="J284" s="404"/>
      <c r="K284" s="404"/>
      <c r="L284" s="404"/>
    </row>
    <row r="285" ht="15.75" customHeight="1">
      <c r="A285" s="400"/>
      <c r="B285" s="401"/>
      <c r="C285" s="401"/>
      <c r="D285" s="402" t="str">
        <f t="shared" si="1"/>
        <v/>
      </c>
      <c r="E285" s="403"/>
      <c r="F285" s="403"/>
      <c r="G285" s="404"/>
      <c r="H285" s="404"/>
      <c r="I285" s="404"/>
      <c r="J285" s="404"/>
      <c r="K285" s="404"/>
      <c r="L285" s="404"/>
    </row>
    <row r="286" ht="15.75" customHeight="1">
      <c r="A286" s="400"/>
      <c r="B286" s="401"/>
      <c r="C286" s="401"/>
      <c r="D286" s="402" t="str">
        <f t="shared" si="1"/>
        <v/>
      </c>
      <c r="E286" s="403"/>
      <c r="F286" s="403"/>
      <c r="G286" s="404"/>
      <c r="H286" s="404"/>
      <c r="I286" s="404"/>
      <c r="J286" s="404"/>
      <c r="K286" s="404"/>
      <c r="L286" s="404"/>
    </row>
    <row r="287" ht="15.75" customHeight="1">
      <c r="A287" s="400"/>
      <c r="B287" s="401"/>
      <c r="C287" s="401"/>
      <c r="D287" s="402" t="str">
        <f t="shared" si="1"/>
        <v/>
      </c>
      <c r="E287" s="403"/>
      <c r="F287" s="403"/>
      <c r="G287" s="404"/>
      <c r="H287" s="404"/>
      <c r="I287" s="404"/>
      <c r="J287" s="404"/>
      <c r="K287" s="404"/>
      <c r="L287" s="404"/>
    </row>
    <row r="288" ht="15.75" customHeight="1">
      <c r="A288" s="400"/>
      <c r="B288" s="401"/>
      <c r="C288" s="401"/>
      <c r="D288" s="402" t="str">
        <f t="shared" si="1"/>
        <v/>
      </c>
      <c r="E288" s="403"/>
      <c r="F288" s="403"/>
      <c r="G288" s="404"/>
      <c r="H288" s="404"/>
      <c r="I288" s="404"/>
      <c r="J288" s="404"/>
      <c r="K288" s="404"/>
      <c r="L288" s="404"/>
    </row>
    <row r="289" ht="15.75" customHeight="1">
      <c r="A289" s="400"/>
      <c r="B289" s="401"/>
      <c r="C289" s="401"/>
      <c r="D289" s="402" t="str">
        <f t="shared" si="1"/>
        <v/>
      </c>
      <c r="E289" s="403"/>
      <c r="F289" s="403"/>
      <c r="G289" s="404"/>
      <c r="H289" s="404"/>
      <c r="I289" s="404"/>
      <c r="J289" s="404"/>
      <c r="K289" s="404"/>
      <c r="L289" s="404"/>
    </row>
    <row r="290" ht="15.75" customHeight="1">
      <c r="A290" s="400"/>
      <c r="B290" s="401"/>
      <c r="C290" s="401"/>
      <c r="D290" s="402" t="str">
        <f t="shared" si="1"/>
        <v/>
      </c>
      <c r="E290" s="403"/>
      <c r="F290" s="403"/>
      <c r="G290" s="404"/>
      <c r="H290" s="404"/>
      <c r="I290" s="404"/>
      <c r="J290" s="404"/>
      <c r="K290" s="404"/>
      <c r="L290" s="404"/>
    </row>
    <row r="291" ht="15.75" customHeight="1">
      <c r="A291" s="400"/>
      <c r="B291" s="401"/>
      <c r="C291" s="401"/>
      <c r="D291" s="402" t="str">
        <f t="shared" si="1"/>
        <v/>
      </c>
      <c r="E291" s="403"/>
      <c r="F291" s="403"/>
      <c r="G291" s="404"/>
      <c r="H291" s="404"/>
      <c r="I291" s="404"/>
      <c r="J291" s="404"/>
      <c r="K291" s="404"/>
      <c r="L291" s="404"/>
    </row>
    <row r="292" ht="15.75" customHeight="1">
      <c r="A292" s="400"/>
      <c r="B292" s="401"/>
      <c r="C292" s="401"/>
      <c r="D292" s="402" t="str">
        <f t="shared" si="1"/>
        <v/>
      </c>
      <c r="E292" s="403"/>
      <c r="F292" s="403"/>
      <c r="G292" s="404"/>
      <c r="H292" s="404"/>
      <c r="I292" s="404"/>
      <c r="J292" s="404"/>
      <c r="K292" s="404"/>
      <c r="L292" s="404"/>
    </row>
    <row r="293" ht="15.75" customHeight="1">
      <c r="A293" s="400"/>
      <c r="B293" s="401"/>
      <c r="C293" s="401"/>
      <c r="D293" s="402" t="str">
        <f t="shared" si="1"/>
        <v/>
      </c>
      <c r="E293" s="403"/>
      <c r="F293" s="403"/>
      <c r="G293" s="404"/>
      <c r="H293" s="404"/>
      <c r="I293" s="404"/>
      <c r="J293" s="404"/>
      <c r="K293" s="404"/>
      <c r="L293" s="404"/>
    </row>
    <row r="294" ht="15.75" customHeight="1">
      <c r="A294" s="400"/>
      <c r="B294" s="401"/>
      <c r="C294" s="401"/>
      <c r="D294" s="402" t="str">
        <f t="shared" si="1"/>
        <v/>
      </c>
      <c r="E294" s="403"/>
      <c r="F294" s="403"/>
      <c r="G294" s="404"/>
      <c r="H294" s="404"/>
      <c r="I294" s="404"/>
      <c r="J294" s="404"/>
      <c r="K294" s="404"/>
      <c r="L294" s="404"/>
    </row>
    <row r="295" ht="15.75" customHeight="1">
      <c r="A295" s="400"/>
      <c r="B295" s="401"/>
      <c r="C295" s="401"/>
      <c r="D295" s="402" t="str">
        <f t="shared" si="1"/>
        <v/>
      </c>
      <c r="E295" s="403"/>
      <c r="F295" s="403"/>
      <c r="G295" s="404"/>
      <c r="H295" s="404"/>
      <c r="I295" s="404"/>
      <c r="J295" s="404"/>
      <c r="K295" s="404"/>
      <c r="L295" s="404"/>
    </row>
    <row r="296" ht="15.75" customHeight="1">
      <c r="A296" s="400"/>
      <c r="B296" s="401"/>
      <c r="C296" s="401"/>
      <c r="D296" s="402" t="str">
        <f t="shared" si="1"/>
        <v/>
      </c>
      <c r="E296" s="403"/>
      <c r="F296" s="403"/>
      <c r="G296" s="404"/>
      <c r="H296" s="404"/>
      <c r="I296" s="404"/>
      <c r="J296" s="404"/>
      <c r="K296" s="404"/>
      <c r="L296" s="404"/>
    </row>
    <row r="297" ht="15.75" customHeight="1">
      <c r="A297" s="400"/>
      <c r="B297" s="401"/>
      <c r="C297" s="401"/>
      <c r="D297" s="402" t="str">
        <f t="shared" si="1"/>
        <v/>
      </c>
      <c r="E297" s="403"/>
      <c r="F297" s="403"/>
      <c r="G297" s="404"/>
      <c r="H297" s="404"/>
      <c r="I297" s="404"/>
      <c r="J297" s="404"/>
      <c r="K297" s="404"/>
      <c r="L297" s="404"/>
    </row>
    <row r="298" ht="15.75" customHeight="1">
      <c r="A298" s="400"/>
      <c r="B298" s="401"/>
      <c r="C298" s="401"/>
      <c r="D298" s="402" t="str">
        <f t="shared" si="1"/>
        <v/>
      </c>
      <c r="E298" s="403"/>
      <c r="F298" s="403"/>
      <c r="G298" s="404"/>
      <c r="H298" s="404"/>
      <c r="I298" s="404"/>
      <c r="J298" s="404"/>
      <c r="K298" s="404"/>
      <c r="L298" s="404"/>
    </row>
    <row r="299" ht="15.75" customHeight="1">
      <c r="A299" s="400"/>
      <c r="B299" s="401"/>
      <c r="C299" s="401"/>
      <c r="D299" s="402" t="str">
        <f t="shared" si="1"/>
        <v/>
      </c>
      <c r="E299" s="403"/>
      <c r="F299" s="403"/>
      <c r="G299" s="404"/>
      <c r="H299" s="404"/>
      <c r="I299" s="404"/>
      <c r="J299" s="404"/>
      <c r="K299" s="404"/>
      <c r="L299" s="404"/>
    </row>
    <row r="300" ht="15.75" customHeight="1">
      <c r="A300" s="400"/>
      <c r="B300" s="401"/>
      <c r="C300" s="401"/>
      <c r="D300" s="402" t="str">
        <f t="shared" si="1"/>
        <v/>
      </c>
      <c r="E300" s="403"/>
      <c r="F300" s="403"/>
      <c r="G300" s="404"/>
      <c r="H300" s="404"/>
      <c r="I300" s="404"/>
      <c r="J300" s="404"/>
      <c r="K300" s="404"/>
      <c r="L300" s="404"/>
    </row>
    <row r="301" ht="15.75" customHeight="1">
      <c r="A301" s="400"/>
      <c r="B301" s="401"/>
      <c r="C301" s="401"/>
      <c r="D301" s="402" t="str">
        <f t="shared" si="1"/>
        <v/>
      </c>
      <c r="E301" s="403"/>
      <c r="F301" s="403"/>
      <c r="G301" s="404"/>
      <c r="H301" s="404"/>
      <c r="I301" s="404"/>
      <c r="J301" s="404"/>
      <c r="K301" s="404"/>
      <c r="L301" s="404"/>
    </row>
    <row r="302" ht="15.75" customHeight="1">
      <c r="A302" s="400"/>
      <c r="B302" s="401"/>
      <c r="C302" s="401"/>
      <c r="D302" s="402" t="str">
        <f t="shared" si="1"/>
        <v/>
      </c>
      <c r="E302" s="403"/>
      <c r="F302" s="403"/>
      <c r="G302" s="404"/>
      <c r="H302" s="404"/>
      <c r="I302" s="404"/>
      <c r="J302" s="404"/>
      <c r="K302" s="404"/>
      <c r="L302" s="404"/>
    </row>
    <row r="303" ht="15.75" customHeight="1">
      <c r="A303" s="400"/>
      <c r="B303" s="401"/>
      <c r="C303" s="401"/>
      <c r="D303" s="402" t="str">
        <f t="shared" si="1"/>
        <v/>
      </c>
      <c r="E303" s="403"/>
      <c r="F303" s="403"/>
      <c r="G303" s="404"/>
      <c r="H303" s="404"/>
      <c r="I303" s="404"/>
      <c r="J303" s="404"/>
      <c r="K303" s="404"/>
      <c r="L303" s="404"/>
    </row>
    <row r="304" ht="15.75" customHeight="1">
      <c r="A304" s="400"/>
      <c r="B304" s="401"/>
      <c r="C304" s="401"/>
      <c r="D304" s="402" t="str">
        <f t="shared" si="1"/>
        <v/>
      </c>
      <c r="E304" s="403"/>
      <c r="F304" s="403"/>
      <c r="G304" s="404"/>
      <c r="H304" s="404"/>
      <c r="I304" s="404"/>
      <c r="J304" s="404"/>
      <c r="K304" s="404"/>
      <c r="L304" s="404"/>
    </row>
    <row r="305" ht="15.75" customHeight="1">
      <c r="A305" s="400"/>
      <c r="B305" s="401"/>
      <c r="C305" s="401"/>
      <c r="D305" s="402" t="str">
        <f t="shared" si="1"/>
        <v/>
      </c>
      <c r="E305" s="403"/>
      <c r="F305" s="403"/>
      <c r="G305" s="404"/>
      <c r="H305" s="404"/>
      <c r="I305" s="404"/>
      <c r="J305" s="404"/>
      <c r="K305" s="404"/>
      <c r="L305" s="404"/>
    </row>
    <row r="306" ht="15.75" customHeight="1">
      <c r="A306" s="400"/>
      <c r="B306" s="401"/>
      <c r="C306" s="401"/>
      <c r="D306" s="402" t="str">
        <f t="shared" si="1"/>
        <v/>
      </c>
      <c r="E306" s="403"/>
      <c r="F306" s="403"/>
      <c r="G306" s="404"/>
      <c r="H306" s="404"/>
      <c r="I306" s="404"/>
      <c r="J306" s="404"/>
      <c r="K306" s="404"/>
      <c r="L306" s="404"/>
    </row>
    <row r="307" ht="15.75" customHeight="1">
      <c r="A307" s="400"/>
      <c r="B307" s="401"/>
      <c r="C307" s="401"/>
      <c r="D307" s="402" t="str">
        <f t="shared" si="1"/>
        <v/>
      </c>
      <c r="E307" s="403"/>
      <c r="F307" s="403"/>
      <c r="G307" s="404"/>
      <c r="H307" s="404"/>
      <c r="I307" s="404"/>
      <c r="J307" s="404"/>
      <c r="K307" s="404"/>
      <c r="L307" s="404"/>
    </row>
    <row r="308" ht="15.75" customHeight="1">
      <c r="A308" s="400"/>
      <c r="B308" s="401"/>
      <c r="C308" s="401"/>
      <c r="D308" s="402" t="str">
        <f t="shared" si="1"/>
        <v/>
      </c>
      <c r="E308" s="403"/>
      <c r="F308" s="403"/>
      <c r="G308" s="404"/>
      <c r="H308" s="404"/>
      <c r="I308" s="404"/>
      <c r="J308" s="404"/>
      <c r="K308" s="404"/>
      <c r="L308" s="404"/>
    </row>
    <row r="309" ht="15.75" customHeight="1">
      <c r="A309" s="400"/>
      <c r="B309" s="401"/>
      <c r="C309" s="401"/>
      <c r="D309" s="402" t="str">
        <f t="shared" si="1"/>
        <v/>
      </c>
      <c r="E309" s="403"/>
      <c r="F309" s="403"/>
      <c r="G309" s="404"/>
      <c r="H309" s="404"/>
      <c r="I309" s="404"/>
      <c r="J309" s="404"/>
      <c r="K309" s="404"/>
      <c r="L309" s="404"/>
    </row>
    <row r="310" ht="15.75" customHeight="1">
      <c r="A310" s="400"/>
      <c r="B310" s="401"/>
      <c r="C310" s="401"/>
      <c r="D310" s="402" t="str">
        <f t="shared" si="1"/>
        <v/>
      </c>
      <c r="E310" s="403"/>
      <c r="F310" s="403"/>
      <c r="G310" s="404"/>
      <c r="H310" s="404"/>
      <c r="I310" s="404"/>
      <c r="J310" s="404"/>
      <c r="K310" s="404"/>
      <c r="L310" s="404"/>
    </row>
    <row r="311" ht="15.75" customHeight="1">
      <c r="A311" s="400"/>
      <c r="B311" s="401"/>
      <c r="C311" s="401"/>
      <c r="D311" s="402" t="str">
        <f t="shared" si="1"/>
        <v/>
      </c>
      <c r="E311" s="403"/>
      <c r="F311" s="403"/>
      <c r="G311" s="404"/>
      <c r="H311" s="404"/>
      <c r="I311" s="404"/>
      <c r="J311" s="404"/>
      <c r="K311" s="404"/>
      <c r="L311" s="404"/>
    </row>
    <row r="312" ht="15.75" customHeight="1">
      <c r="A312" s="400"/>
      <c r="B312" s="401"/>
      <c r="C312" s="401"/>
      <c r="D312" s="402" t="str">
        <f t="shared" si="1"/>
        <v/>
      </c>
      <c r="E312" s="403"/>
      <c r="F312" s="403"/>
      <c r="G312" s="404"/>
      <c r="H312" s="404"/>
      <c r="I312" s="404"/>
      <c r="J312" s="404"/>
      <c r="K312" s="404"/>
      <c r="L312" s="404"/>
    </row>
    <row r="313" ht="15.75" customHeight="1">
      <c r="A313" s="400"/>
      <c r="B313" s="401"/>
      <c r="C313" s="401"/>
      <c r="D313" s="402" t="str">
        <f t="shared" si="1"/>
        <v/>
      </c>
      <c r="E313" s="403"/>
      <c r="F313" s="403"/>
      <c r="G313" s="404"/>
      <c r="H313" s="404"/>
      <c r="I313" s="404"/>
      <c r="J313" s="404"/>
      <c r="K313" s="404"/>
      <c r="L313" s="404"/>
    </row>
    <row r="314" ht="15.75" customHeight="1">
      <c r="A314" s="400"/>
      <c r="B314" s="401"/>
      <c r="C314" s="401"/>
      <c r="D314" s="402" t="str">
        <f t="shared" si="1"/>
        <v/>
      </c>
      <c r="E314" s="403"/>
      <c r="F314" s="403"/>
      <c r="G314" s="404"/>
      <c r="H314" s="404"/>
      <c r="I314" s="404"/>
      <c r="J314" s="404"/>
      <c r="K314" s="404"/>
      <c r="L314" s="404"/>
    </row>
    <row r="315" ht="15.75" customHeight="1">
      <c r="A315" s="400"/>
      <c r="B315" s="401"/>
      <c r="C315" s="401"/>
      <c r="D315" s="402" t="str">
        <f t="shared" si="1"/>
        <v/>
      </c>
      <c r="E315" s="403"/>
      <c r="F315" s="403"/>
      <c r="G315" s="404"/>
      <c r="H315" s="404"/>
      <c r="I315" s="404"/>
      <c r="J315" s="404"/>
      <c r="K315" s="404"/>
      <c r="L315" s="404"/>
    </row>
    <row r="316" ht="15.75" customHeight="1">
      <c r="A316" s="400"/>
      <c r="B316" s="401"/>
      <c r="C316" s="401"/>
      <c r="D316" s="402" t="str">
        <f t="shared" si="1"/>
        <v/>
      </c>
      <c r="E316" s="403"/>
      <c r="F316" s="403"/>
      <c r="G316" s="404"/>
      <c r="H316" s="404"/>
      <c r="I316" s="404"/>
      <c r="J316" s="404"/>
      <c r="K316" s="404"/>
      <c r="L316" s="404"/>
    </row>
    <row r="317" ht="15.75" customHeight="1">
      <c r="A317" s="400"/>
      <c r="B317" s="401"/>
      <c r="C317" s="401"/>
      <c r="D317" s="402" t="str">
        <f t="shared" si="1"/>
        <v/>
      </c>
      <c r="E317" s="403"/>
      <c r="F317" s="403"/>
      <c r="G317" s="404"/>
      <c r="H317" s="404"/>
      <c r="I317" s="404"/>
      <c r="J317" s="404"/>
      <c r="K317" s="404"/>
      <c r="L317" s="404"/>
    </row>
    <row r="318" ht="15.75" customHeight="1">
      <c r="A318" s="400"/>
      <c r="B318" s="401"/>
      <c r="C318" s="401"/>
      <c r="D318" s="402" t="str">
        <f t="shared" si="1"/>
        <v/>
      </c>
      <c r="E318" s="403"/>
      <c r="F318" s="403"/>
      <c r="G318" s="404"/>
      <c r="H318" s="404"/>
      <c r="I318" s="404"/>
      <c r="J318" s="404"/>
      <c r="K318" s="404"/>
      <c r="L318" s="404"/>
    </row>
    <row r="319" ht="15.75" customHeight="1">
      <c r="A319" s="400"/>
      <c r="B319" s="401"/>
      <c r="C319" s="401"/>
      <c r="D319" s="402" t="str">
        <f t="shared" si="1"/>
        <v/>
      </c>
      <c r="E319" s="403"/>
      <c r="F319" s="403"/>
      <c r="G319" s="404"/>
      <c r="H319" s="404"/>
      <c r="I319" s="404"/>
      <c r="J319" s="404"/>
      <c r="K319" s="404"/>
      <c r="L319" s="404"/>
    </row>
    <row r="320" ht="15.75" customHeight="1">
      <c r="A320" s="400"/>
      <c r="B320" s="401"/>
      <c r="C320" s="401"/>
      <c r="D320" s="402" t="str">
        <f t="shared" si="1"/>
        <v/>
      </c>
      <c r="E320" s="403"/>
      <c r="F320" s="403"/>
      <c r="G320" s="404"/>
      <c r="H320" s="404"/>
      <c r="I320" s="404"/>
      <c r="J320" s="404"/>
      <c r="K320" s="404"/>
      <c r="L320" s="404"/>
    </row>
    <row r="321" ht="15.75" customHeight="1">
      <c r="A321" s="400"/>
      <c r="B321" s="401"/>
      <c r="C321" s="401"/>
      <c r="D321" s="402" t="str">
        <f t="shared" si="1"/>
        <v/>
      </c>
      <c r="E321" s="403"/>
      <c r="F321" s="403"/>
      <c r="G321" s="404"/>
      <c r="H321" s="404"/>
      <c r="I321" s="404"/>
      <c r="J321" s="404"/>
      <c r="K321" s="404"/>
      <c r="L321" s="404"/>
    </row>
    <row r="322" ht="15.75" customHeight="1">
      <c r="A322" s="400"/>
      <c r="B322" s="401"/>
      <c r="C322" s="401"/>
      <c r="D322" s="402" t="str">
        <f t="shared" si="1"/>
        <v/>
      </c>
      <c r="E322" s="403"/>
      <c r="F322" s="403"/>
      <c r="G322" s="404"/>
      <c r="H322" s="404"/>
      <c r="I322" s="404"/>
      <c r="J322" s="404"/>
      <c r="K322" s="404"/>
      <c r="L322" s="404"/>
    </row>
    <row r="323" ht="15.75" customHeight="1">
      <c r="A323" s="400"/>
      <c r="B323" s="401"/>
      <c r="C323" s="401"/>
      <c r="D323" s="402" t="str">
        <f t="shared" si="1"/>
        <v/>
      </c>
      <c r="E323" s="403"/>
      <c r="F323" s="403"/>
      <c r="G323" s="404"/>
      <c r="H323" s="404"/>
      <c r="I323" s="404"/>
      <c r="J323" s="404"/>
      <c r="K323" s="404"/>
      <c r="L323" s="404"/>
    </row>
    <row r="324" ht="15.75" customHeight="1">
      <c r="A324" s="400"/>
      <c r="B324" s="401"/>
      <c r="C324" s="401"/>
      <c r="D324" s="402" t="str">
        <f t="shared" si="1"/>
        <v/>
      </c>
      <c r="E324" s="403"/>
      <c r="F324" s="403"/>
      <c r="G324" s="404"/>
      <c r="H324" s="404"/>
      <c r="I324" s="404"/>
      <c r="J324" s="404"/>
      <c r="K324" s="404"/>
      <c r="L324" s="404"/>
    </row>
    <row r="325" ht="15.75" customHeight="1">
      <c r="A325" s="400"/>
      <c r="B325" s="401"/>
      <c r="C325" s="401"/>
      <c r="D325" s="402" t="str">
        <f t="shared" si="1"/>
        <v/>
      </c>
      <c r="E325" s="403"/>
      <c r="F325" s="403"/>
      <c r="G325" s="404"/>
      <c r="H325" s="404"/>
      <c r="I325" s="404"/>
      <c r="J325" s="404"/>
      <c r="K325" s="404"/>
      <c r="L325" s="404"/>
    </row>
    <row r="326" ht="15.75" customHeight="1">
      <c r="A326" s="400"/>
      <c r="B326" s="401"/>
      <c r="C326" s="401"/>
      <c r="D326" s="402" t="str">
        <f t="shared" si="1"/>
        <v/>
      </c>
      <c r="E326" s="403"/>
      <c r="F326" s="403"/>
      <c r="G326" s="404"/>
      <c r="H326" s="404"/>
      <c r="I326" s="404"/>
      <c r="J326" s="404"/>
      <c r="K326" s="404"/>
      <c r="L326" s="404"/>
    </row>
    <row r="327" ht="15.75" customHeight="1">
      <c r="A327" s="400"/>
      <c r="B327" s="401"/>
      <c r="C327" s="401"/>
      <c r="D327" s="402" t="str">
        <f t="shared" si="1"/>
        <v/>
      </c>
      <c r="E327" s="403"/>
      <c r="F327" s="403"/>
      <c r="G327" s="404"/>
      <c r="H327" s="404"/>
      <c r="I327" s="404"/>
      <c r="J327" s="404"/>
      <c r="K327" s="404"/>
      <c r="L327" s="404"/>
    </row>
    <row r="328" ht="15.75" customHeight="1">
      <c r="A328" s="400"/>
      <c r="B328" s="401"/>
      <c r="C328" s="401"/>
      <c r="D328" s="402" t="str">
        <f t="shared" si="1"/>
        <v/>
      </c>
      <c r="E328" s="403"/>
      <c r="F328" s="403"/>
      <c r="G328" s="404"/>
      <c r="H328" s="404"/>
      <c r="I328" s="404"/>
      <c r="J328" s="404"/>
      <c r="K328" s="404"/>
      <c r="L328" s="404"/>
    </row>
    <row r="329" ht="15.75" customHeight="1">
      <c r="A329" s="400"/>
      <c r="B329" s="401"/>
      <c r="C329" s="401"/>
      <c r="D329" s="402" t="str">
        <f t="shared" si="1"/>
        <v/>
      </c>
      <c r="E329" s="403"/>
      <c r="F329" s="403"/>
      <c r="G329" s="404"/>
      <c r="H329" s="404"/>
      <c r="I329" s="404"/>
      <c r="J329" s="404"/>
      <c r="K329" s="404"/>
      <c r="L329" s="404"/>
    </row>
    <row r="330" ht="15.75" customHeight="1">
      <c r="A330" s="400"/>
      <c r="B330" s="401"/>
      <c r="C330" s="401"/>
      <c r="D330" s="402" t="str">
        <f t="shared" si="1"/>
        <v/>
      </c>
      <c r="E330" s="403"/>
      <c r="F330" s="403"/>
      <c r="G330" s="404"/>
      <c r="H330" s="404"/>
      <c r="I330" s="404"/>
      <c r="J330" s="404"/>
      <c r="K330" s="404"/>
      <c r="L330" s="404"/>
    </row>
    <row r="331" ht="15.75" customHeight="1">
      <c r="A331" s="400"/>
      <c r="B331" s="401"/>
      <c r="C331" s="401"/>
      <c r="D331" s="402" t="str">
        <f t="shared" si="1"/>
        <v/>
      </c>
      <c r="E331" s="403"/>
      <c r="F331" s="403"/>
      <c r="G331" s="404"/>
      <c r="H331" s="404"/>
      <c r="I331" s="404"/>
      <c r="J331" s="404"/>
      <c r="K331" s="404"/>
      <c r="L331" s="404"/>
    </row>
    <row r="332" ht="15.75" customHeight="1">
      <c r="A332" s="400"/>
      <c r="B332" s="401"/>
      <c r="C332" s="401"/>
      <c r="D332" s="402" t="str">
        <f t="shared" si="1"/>
        <v/>
      </c>
      <c r="E332" s="403"/>
      <c r="F332" s="403"/>
      <c r="G332" s="404"/>
      <c r="H332" s="404"/>
      <c r="I332" s="404"/>
      <c r="J332" s="404"/>
      <c r="K332" s="404"/>
      <c r="L332" s="404"/>
    </row>
    <row r="333" ht="15.75" customHeight="1">
      <c r="A333" s="400"/>
      <c r="B333" s="401"/>
      <c r="C333" s="401"/>
      <c r="D333" s="402" t="str">
        <f t="shared" si="1"/>
        <v/>
      </c>
      <c r="E333" s="403"/>
      <c r="F333" s="403"/>
      <c r="G333" s="404"/>
      <c r="H333" s="404"/>
      <c r="I333" s="404"/>
      <c r="J333" s="404"/>
      <c r="K333" s="404"/>
      <c r="L333" s="404"/>
    </row>
    <row r="334" ht="15.75" customHeight="1">
      <c r="A334" s="400"/>
      <c r="B334" s="401"/>
      <c r="C334" s="401"/>
      <c r="D334" s="402" t="str">
        <f t="shared" si="1"/>
        <v/>
      </c>
      <c r="E334" s="403"/>
      <c r="F334" s="403"/>
      <c r="G334" s="404"/>
      <c r="H334" s="404"/>
      <c r="I334" s="404"/>
      <c r="J334" s="404"/>
      <c r="K334" s="404"/>
      <c r="L334" s="404"/>
    </row>
    <row r="335" ht="15.75" customHeight="1">
      <c r="A335" s="400"/>
      <c r="B335" s="401"/>
      <c r="C335" s="401"/>
      <c r="D335" s="402" t="str">
        <f t="shared" si="1"/>
        <v/>
      </c>
      <c r="E335" s="403"/>
      <c r="F335" s="403"/>
      <c r="G335" s="404"/>
      <c r="H335" s="404"/>
      <c r="I335" s="404"/>
      <c r="J335" s="404"/>
      <c r="K335" s="404"/>
      <c r="L335" s="404"/>
    </row>
    <row r="336" ht="15.75" customHeight="1">
      <c r="A336" s="400"/>
      <c r="B336" s="401"/>
      <c r="C336" s="401"/>
      <c r="D336" s="402" t="str">
        <f t="shared" si="1"/>
        <v/>
      </c>
      <c r="E336" s="403"/>
      <c r="F336" s="403"/>
      <c r="G336" s="404"/>
      <c r="H336" s="404"/>
      <c r="I336" s="404"/>
      <c r="J336" s="404"/>
      <c r="K336" s="404"/>
      <c r="L336" s="404"/>
    </row>
    <row r="337" ht="15.75" customHeight="1">
      <c r="A337" s="400"/>
      <c r="B337" s="401"/>
      <c r="C337" s="401"/>
      <c r="D337" s="402" t="str">
        <f t="shared" si="1"/>
        <v/>
      </c>
      <c r="E337" s="403"/>
      <c r="F337" s="403"/>
      <c r="G337" s="404"/>
      <c r="H337" s="404"/>
      <c r="I337" s="404"/>
      <c r="J337" s="404"/>
      <c r="K337" s="404"/>
      <c r="L337" s="404"/>
    </row>
    <row r="338" ht="15.75" customHeight="1">
      <c r="A338" s="400"/>
      <c r="B338" s="401"/>
      <c r="C338" s="401"/>
      <c r="D338" s="402" t="str">
        <f t="shared" si="1"/>
        <v/>
      </c>
      <c r="E338" s="403"/>
      <c r="F338" s="403"/>
      <c r="G338" s="404"/>
      <c r="H338" s="404"/>
      <c r="I338" s="404"/>
      <c r="J338" s="404"/>
      <c r="K338" s="404"/>
      <c r="L338" s="404"/>
    </row>
    <row r="339" ht="15.75" customHeight="1">
      <c r="A339" s="400"/>
      <c r="B339" s="401"/>
      <c r="C339" s="401"/>
      <c r="D339" s="402" t="str">
        <f t="shared" si="1"/>
        <v/>
      </c>
      <c r="E339" s="403"/>
      <c r="F339" s="403"/>
      <c r="G339" s="404"/>
      <c r="H339" s="404"/>
      <c r="I339" s="404"/>
      <c r="J339" s="404"/>
      <c r="K339" s="404"/>
      <c r="L339" s="404"/>
    </row>
    <row r="340" ht="15.75" customHeight="1">
      <c r="A340" s="400"/>
      <c r="B340" s="401"/>
      <c r="C340" s="401"/>
      <c r="D340" s="402" t="str">
        <f t="shared" si="1"/>
        <v/>
      </c>
      <c r="E340" s="403"/>
      <c r="F340" s="403"/>
      <c r="G340" s="404"/>
      <c r="H340" s="404"/>
      <c r="I340" s="404"/>
      <c r="J340" s="404"/>
      <c r="K340" s="404"/>
      <c r="L340" s="404"/>
    </row>
    <row r="341" ht="15.75" customHeight="1">
      <c r="A341" s="400"/>
      <c r="B341" s="401"/>
      <c r="C341" s="401"/>
      <c r="D341" s="402" t="str">
        <f t="shared" si="1"/>
        <v/>
      </c>
      <c r="E341" s="403"/>
      <c r="F341" s="403"/>
      <c r="G341" s="404"/>
      <c r="H341" s="404"/>
      <c r="I341" s="404"/>
      <c r="J341" s="404"/>
      <c r="K341" s="404"/>
      <c r="L341" s="404"/>
    </row>
    <row r="342" ht="15.75" customHeight="1">
      <c r="A342" s="400"/>
      <c r="B342" s="401"/>
      <c r="C342" s="401"/>
      <c r="D342" s="402" t="str">
        <f t="shared" si="1"/>
        <v/>
      </c>
      <c r="E342" s="403"/>
      <c r="F342" s="403"/>
      <c r="G342" s="404"/>
      <c r="H342" s="404"/>
      <c r="I342" s="404"/>
      <c r="J342" s="404"/>
      <c r="K342" s="404"/>
      <c r="L342" s="404"/>
    </row>
    <row r="343" ht="15.75" customHeight="1">
      <c r="A343" s="400"/>
      <c r="B343" s="401"/>
      <c r="C343" s="401"/>
      <c r="D343" s="402" t="str">
        <f t="shared" si="1"/>
        <v/>
      </c>
      <c r="E343" s="403"/>
      <c r="F343" s="403"/>
      <c r="G343" s="404"/>
      <c r="H343" s="404"/>
      <c r="I343" s="404"/>
      <c r="J343" s="404"/>
      <c r="K343" s="404"/>
      <c r="L343" s="404"/>
    </row>
    <row r="344" ht="15.75" customHeight="1">
      <c r="A344" s="400"/>
      <c r="B344" s="401"/>
      <c r="C344" s="401"/>
      <c r="D344" s="402" t="str">
        <f t="shared" si="1"/>
        <v/>
      </c>
      <c r="E344" s="403"/>
      <c r="F344" s="403"/>
      <c r="G344" s="404"/>
      <c r="H344" s="404"/>
      <c r="I344" s="404"/>
      <c r="J344" s="404"/>
      <c r="K344" s="404"/>
      <c r="L344" s="404"/>
    </row>
    <row r="345" ht="15.75" customHeight="1">
      <c r="A345" s="400"/>
      <c r="B345" s="401"/>
      <c r="C345" s="401"/>
      <c r="D345" s="402" t="str">
        <f t="shared" si="1"/>
        <v/>
      </c>
      <c r="E345" s="403"/>
      <c r="F345" s="403"/>
      <c r="G345" s="404"/>
      <c r="H345" s="404"/>
      <c r="I345" s="404"/>
      <c r="J345" s="404"/>
      <c r="K345" s="404"/>
      <c r="L345" s="404"/>
    </row>
    <row r="346" ht="15.75" customHeight="1">
      <c r="A346" s="400"/>
      <c r="B346" s="401"/>
      <c r="C346" s="401"/>
      <c r="D346" s="402" t="str">
        <f t="shared" si="1"/>
        <v/>
      </c>
      <c r="E346" s="403"/>
      <c r="F346" s="403"/>
      <c r="G346" s="404"/>
      <c r="H346" s="404"/>
      <c r="I346" s="404"/>
      <c r="J346" s="404"/>
      <c r="K346" s="404"/>
      <c r="L346" s="404"/>
    </row>
    <row r="347" ht="15.75" customHeight="1">
      <c r="A347" s="400"/>
      <c r="B347" s="401"/>
      <c r="C347" s="401"/>
      <c r="D347" s="402" t="str">
        <f t="shared" si="1"/>
        <v/>
      </c>
      <c r="E347" s="403"/>
      <c r="F347" s="403"/>
      <c r="G347" s="404"/>
      <c r="H347" s="404"/>
      <c r="I347" s="404"/>
      <c r="J347" s="404"/>
      <c r="K347" s="404"/>
      <c r="L347" s="404"/>
    </row>
    <row r="348" ht="15.75" customHeight="1">
      <c r="A348" s="400"/>
      <c r="B348" s="401"/>
      <c r="C348" s="401"/>
      <c r="D348" s="402" t="str">
        <f t="shared" si="1"/>
        <v/>
      </c>
      <c r="E348" s="403"/>
      <c r="F348" s="403"/>
      <c r="G348" s="404"/>
      <c r="H348" s="404"/>
      <c r="I348" s="404"/>
      <c r="J348" s="404"/>
      <c r="K348" s="404"/>
      <c r="L348" s="404"/>
    </row>
    <row r="349" ht="15.75" customHeight="1">
      <c r="A349" s="400"/>
      <c r="B349" s="401"/>
      <c r="C349" s="401"/>
      <c r="D349" s="402" t="str">
        <f t="shared" si="1"/>
        <v/>
      </c>
      <c r="E349" s="403"/>
      <c r="F349" s="403"/>
      <c r="G349" s="404"/>
      <c r="H349" s="404"/>
      <c r="I349" s="404"/>
      <c r="J349" s="404"/>
      <c r="K349" s="404"/>
      <c r="L349" s="404"/>
    </row>
    <row r="350" ht="15.75" customHeight="1">
      <c r="A350" s="400"/>
      <c r="B350" s="401"/>
      <c r="C350" s="401"/>
      <c r="D350" s="402" t="str">
        <f t="shared" si="1"/>
        <v/>
      </c>
      <c r="E350" s="403"/>
      <c r="F350" s="403"/>
      <c r="G350" s="404"/>
      <c r="H350" s="404"/>
      <c r="I350" s="404"/>
      <c r="J350" s="404"/>
      <c r="K350" s="404"/>
      <c r="L350" s="404"/>
    </row>
    <row r="351" ht="15.75" customHeight="1">
      <c r="A351" s="400"/>
      <c r="B351" s="401"/>
      <c r="C351" s="401"/>
      <c r="D351" s="402" t="str">
        <f t="shared" si="1"/>
        <v/>
      </c>
      <c r="E351" s="403"/>
      <c r="F351" s="403"/>
      <c r="G351" s="404"/>
      <c r="H351" s="404"/>
      <c r="I351" s="404"/>
      <c r="J351" s="404"/>
      <c r="K351" s="404"/>
      <c r="L351" s="404"/>
    </row>
    <row r="352" ht="15.75" customHeight="1">
      <c r="A352" s="400"/>
      <c r="B352" s="401"/>
      <c r="C352" s="401"/>
      <c r="D352" s="402" t="str">
        <f t="shared" si="1"/>
        <v/>
      </c>
      <c r="E352" s="403"/>
      <c r="F352" s="403"/>
      <c r="G352" s="404"/>
      <c r="H352" s="404"/>
      <c r="I352" s="404"/>
      <c r="J352" s="404"/>
      <c r="K352" s="404"/>
      <c r="L352" s="404"/>
    </row>
    <row r="353" ht="15.75" customHeight="1">
      <c r="A353" s="400"/>
      <c r="B353" s="401"/>
      <c r="C353" s="401"/>
      <c r="D353" s="402" t="str">
        <f t="shared" si="1"/>
        <v/>
      </c>
      <c r="E353" s="403"/>
      <c r="F353" s="403"/>
      <c r="G353" s="404"/>
      <c r="H353" s="404"/>
      <c r="I353" s="404"/>
      <c r="J353" s="404"/>
      <c r="K353" s="404"/>
      <c r="L353" s="404"/>
    </row>
    <row r="354" ht="15.75" customHeight="1">
      <c r="A354" s="400"/>
      <c r="B354" s="401"/>
      <c r="C354" s="401"/>
      <c r="D354" s="402" t="str">
        <f t="shared" si="1"/>
        <v/>
      </c>
      <c r="E354" s="403"/>
      <c r="F354" s="403"/>
      <c r="G354" s="404"/>
      <c r="H354" s="404"/>
      <c r="I354" s="404"/>
      <c r="J354" s="404"/>
      <c r="K354" s="404"/>
      <c r="L354" s="404"/>
    </row>
    <row r="355" ht="15.75" customHeight="1">
      <c r="A355" s="400"/>
      <c r="B355" s="401"/>
      <c r="C355" s="401"/>
      <c r="D355" s="402" t="str">
        <f t="shared" si="1"/>
        <v/>
      </c>
      <c r="E355" s="403"/>
      <c r="F355" s="403"/>
      <c r="G355" s="404"/>
      <c r="H355" s="404"/>
      <c r="I355" s="404"/>
      <c r="J355" s="404"/>
      <c r="K355" s="404"/>
      <c r="L355" s="404"/>
    </row>
    <row r="356" ht="15.75" customHeight="1">
      <c r="A356" s="400"/>
      <c r="B356" s="401"/>
      <c r="C356" s="401"/>
      <c r="D356" s="402" t="str">
        <f t="shared" si="1"/>
        <v/>
      </c>
      <c r="E356" s="403"/>
      <c r="F356" s="403"/>
      <c r="G356" s="404"/>
      <c r="H356" s="404"/>
      <c r="I356" s="404"/>
      <c r="J356" s="404"/>
      <c r="K356" s="404"/>
      <c r="L356" s="404"/>
    </row>
    <row r="357" ht="15.75" customHeight="1">
      <c r="A357" s="400"/>
      <c r="B357" s="401"/>
      <c r="C357" s="401"/>
      <c r="D357" s="402" t="str">
        <f t="shared" si="1"/>
        <v/>
      </c>
      <c r="E357" s="403"/>
      <c r="F357" s="403"/>
      <c r="G357" s="404"/>
      <c r="H357" s="404"/>
      <c r="I357" s="404"/>
      <c r="J357" s="404"/>
      <c r="K357" s="404"/>
      <c r="L357" s="404"/>
    </row>
    <row r="358" ht="15.75" customHeight="1">
      <c r="A358" s="400"/>
      <c r="B358" s="401"/>
      <c r="C358" s="401"/>
      <c r="D358" s="402" t="str">
        <f t="shared" si="1"/>
        <v/>
      </c>
      <c r="E358" s="403"/>
      <c r="F358" s="403"/>
      <c r="G358" s="404"/>
      <c r="H358" s="404"/>
      <c r="I358" s="404"/>
      <c r="J358" s="404"/>
      <c r="K358" s="404"/>
      <c r="L358" s="404"/>
    </row>
    <row r="359" ht="15.75" customHeight="1">
      <c r="A359" s="400"/>
      <c r="B359" s="401"/>
      <c r="C359" s="401"/>
      <c r="D359" s="402" t="str">
        <f t="shared" si="1"/>
        <v/>
      </c>
      <c r="E359" s="403"/>
      <c r="F359" s="403"/>
      <c r="G359" s="404"/>
      <c r="H359" s="404"/>
      <c r="I359" s="404"/>
      <c r="J359" s="404"/>
      <c r="K359" s="404"/>
      <c r="L359" s="404"/>
    </row>
    <row r="360" ht="15.75" customHeight="1">
      <c r="A360" s="400"/>
      <c r="B360" s="401"/>
      <c r="C360" s="401"/>
      <c r="D360" s="402" t="str">
        <f t="shared" si="1"/>
        <v/>
      </c>
      <c r="E360" s="403"/>
      <c r="F360" s="403"/>
      <c r="G360" s="404"/>
      <c r="H360" s="404"/>
      <c r="I360" s="404"/>
      <c r="J360" s="404"/>
      <c r="K360" s="404"/>
      <c r="L360" s="404"/>
    </row>
    <row r="361" ht="15.75" customHeight="1">
      <c r="A361" s="400"/>
      <c r="B361" s="401"/>
      <c r="C361" s="401"/>
      <c r="D361" s="402" t="str">
        <f t="shared" si="1"/>
        <v/>
      </c>
      <c r="E361" s="403"/>
      <c r="F361" s="403"/>
      <c r="G361" s="404"/>
      <c r="H361" s="404"/>
      <c r="I361" s="404"/>
      <c r="J361" s="404"/>
      <c r="K361" s="404"/>
      <c r="L361" s="404"/>
    </row>
    <row r="362" ht="15.75" customHeight="1">
      <c r="A362" s="400"/>
      <c r="B362" s="401"/>
      <c r="C362" s="401"/>
      <c r="D362" s="402" t="str">
        <f t="shared" si="1"/>
        <v/>
      </c>
      <c r="E362" s="403"/>
      <c r="F362" s="403"/>
      <c r="G362" s="404"/>
      <c r="H362" s="404"/>
      <c r="I362" s="404"/>
      <c r="J362" s="404"/>
      <c r="K362" s="404"/>
      <c r="L362" s="404"/>
    </row>
    <row r="363" ht="15.75" customHeight="1">
      <c r="A363" s="400"/>
      <c r="B363" s="401"/>
      <c r="C363" s="401"/>
      <c r="D363" s="402" t="str">
        <f t="shared" si="1"/>
        <v/>
      </c>
      <c r="E363" s="403"/>
      <c r="F363" s="403"/>
      <c r="G363" s="404"/>
      <c r="H363" s="404"/>
      <c r="I363" s="404"/>
      <c r="J363" s="404"/>
      <c r="K363" s="404"/>
      <c r="L363" s="404"/>
    </row>
    <row r="364" ht="15.75" customHeight="1">
      <c r="A364" s="400"/>
      <c r="B364" s="401"/>
      <c r="C364" s="401"/>
      <c r="D364" s="402" t="str">
        <f t="shared" si="1"/>
        <v/>
      </c>
      <c r="E364" s="403"/>
      <c r="F364" s="403"/>
      <c r="G364" s="404"/>
      <c r="H364" s="404"/>
      <c r="I364" s="404"/>
      <c r="J364" s="404"/>
      <c r="K364" s="404"/>
      <c r="L364" s="404"/>
    </row>
    <row r="365" ht="15.75" customHeight="1">
      <c r="A365" s="400"/>
      <c r="B365" s="401"/>
      <c r="C365" s="401"/>
      <c r="D365" s="402" t="str">
        <f t="shared" si="1"/>
        <v/>
      </c>
      <c r="E365" s="403"/>
      <c r="F365" s="403"/>
      <c r="G365" s="404"/>
      <c r="H365" s="404"/>
      <c r="I365" s="404"/>
      <c r="J365" s="404"/>
      <c r="K365" s="404"/>
      <c r="L365" s="404"/>
    </row>
    <row r="366" ht="15.75" customHeight="1">
      <c r="A366" s="400"/>
      <c r="B366" s="401"/>
      <c r="C366" s="401"/>
      <c r="D366" s="402" t="str">
        <f t="shared" si="1"/>
        <v/>
      </c>
      <c r="E366" s="403"/>
      <c r="F366" s="403"/>
      <c r="G366" s="404"/>
      <c r="H366" s="404"/>
      <c r="I366" s="404"/>
      <c r="J366" s="404"/>
      <c r="K366" s="404"/>
      <c r="L366" s="404"/>
    </row>
    <row r="367" ht="15.75" customHeight="1">
      <c r="A367" s="400"/>
      <c r="B367" s="401"/>
      <c r="C367" s="401"/>
      <c r="D367" s="402" t="str">
        <f t="shared" si="1"/>
        <v/>
      </c>
      <c r="E367" s="403"/>
      <c r="F367" s="403"/>
      <c r="G367" s="404"/>
      <c r="H367" s="404"/>
      <c r="I367" s="404"/>
      <c r="J367" s="404"/>
      <c r="K367" s="404"/>
      <c r="L367" s="404"/>
    </row>
    <row r="368" ht="15.75" customHeight="1">
      <c r="A368" s="400"/>
      <c r="B368" s="401"/>
      <c r="C368" s="401"/>
      <c r="D368" s="402" t="str">
        <f t="shared" si="1"/>
        <v/>
      </c>
      <c r="E368" s="403"/>
      <c r="F368" s="403"/>
      <c r="G368" s="404"/>
      <c r="H368" s="404"/>
      <c r="I368" s="404"/>
      <c r="J368" s="404"/>
      <c r="K368" s="404"/>
      <c r="L368" s="404"/>
    </row>
    <row r="369" ht="15.75" customHeight="1">
      <c r="A369" s="400"/>
      <c r="B369" s="401"/>
      <c r="C369" s="401"/>
      <c r="D369" s="402" t="str">
        <f t="shared" si="1"/>
        <v/>
      </c>
      <c r="E369" s="403"/>
      <c r="F369" s="403"/>
      <c r="G369" s="404"/>
      <c r="H369" s="404"/>
      <c r="I369" s="404"/>
      <c r="J369" s="404"/>
      <c r="K369" s="404"/>
      <c r="L369" s="404"/>
    </row>
    <row r="370" ht="15.75" customHeight="1">
      <c r="A370" s="400"/>
      <c r="B370" s="401"/>
      <c r="C370" s="401"/>
      <c r="D370" s="402" t="str">
        <f t="shared" si="1"/>
        <v/>
      </c>
      <c r="E370" s="403"/>
      <c r="F370" s="403"/>
      <c r="G370" s="404"/>
      <c r="H370" s="404"/>
      <c r="I370" s="404"/>
      <c r="J370" s="404"/>
      <c r="K370" s="404"/>
      <c r="L370" s="404"/>
    </row>
    <row r="371" ht="15.75" customHeight="1">
      <c r="A371" s="400"/>
      <c r="B371" s="401"/>
      <c r="C371" s="401"/>
      <c r="D371" s="402" t="str">
        <f t="shared" si="1"/>
        <v/>
      </c>
      <c r="E371" s="403"/>
      <c r="F371" s="403"/>
      <c r="G371" s="404"/>
      <c r="H371" s="404"/>
      <c r="I371" s="404"/>
      <c r="J371" s="404"/>
      <c r="K371" s="404"/>
      <c r="L371" s="404"/>
    </row>
    <row r="372" ht="15.75" customHeight="1">
      <c r="A372" s="400"/>
      <c r="B372" s="401"/>
      <c r="C372" s="401"/>
      <c r="D372" s="402" t="str">
        <f t="shared" si="1"/>
        <v/>
      </c>
      <c r="E372" s="403"/>
      <c r="F372" s="403"/>
      <c r="G372" s="404"/>
      <c r="H372" s="404"/>
      <c r="I372" s="404"/>
      <c r="J372" s="404"/>
      <c r="K372" s="404"/>
      <c r="L372" s="404"/>
    </row>
    <row r="373" ht="15.75" customHeight="1">
      <c r="A373" s="400"/>
      <c r="B373" s="401"/>
      <c r="C373" s="401"/>
      <c r="D373" s="402" t="str">
        <f t="shared" si="1"/>
        <v/>
      </c>
      <c r="E373" s="403"/>
      <c r="F373" s="403"/>
      <c r="G373" s="404"/>
      <c r="H373" s="404"/>
      <c r="I373" s="404"/>
      <c r="J373" s="404"/>
      <c r="K373" s="404"/>
      <c r="L373" s="404"/>
    </row>
    <row r="374" ht="15.75" customHeight="1">
      <c r="A374" s="400"/>
      <c r="B374" s="401"/>
      <c r="C374" s="401"/>
      <c r="D374" s="402" t="str">
        <f t="shared" si="1"/>
        <v/>
      </c>
      <c r="E374" s="403"/>
      <c r="F374" s="403"/>
      <c r="G374" s="404"/>
      <c r="H374" s="404"/>
      <c r="I374" s="404"/>
      <c r="J374" s="404"/>
      <c r="K374" s="404"/>
      <c r="L374" s="404"/>
    </row>
    <row r="375" ht="15.75" customHeight="1">
      <c r="A375" s="400"/>
      <c r="B375" s="401"/>
      <c r="C375" s="401"/>
      <c r="D375" s="402" t="str">
        <f t="shared" si="1"/>
        <v/>
      </c>
      <c r="E375" s="403"/>
      <c r="F375" s="403"/>
      <c r="G375" s="404"/>
      <c r="H375" s="404"/>
      <c r="I375" s="404"/>
      <c r="J375" s="404"/>
      <c r="K375" s="404"/>
      <c r="L375" s="404"/>
    </row>
    <row r="376" ht="15.75" customHeight="1">
      <c r="A376" s="400"/>
      <c r="B376" s="401"/>
      <c r="C376" s="401"/>
      <c r="D376" s="402" t="str">
        <f t="shared" si="1"/>
        <v/>
      </c>
      <c r="E376" s="403"/>
      <c r="F376" s="403"/>
      <c r="G376" s="404"/>
      <c r="H376" s="404"/>
      <c r="I376" s="404"/>
      <c r="J376" s="404"/>
      <c r="K376" s="404"/>
      <c r="L376" s="404"/>
    </row>
    <row r="377" ht="15.75" customHeight="1">
      <c r="A377" s="400"/>
      <c r="B377" s="401"/>
      <c r="C377" s="401"/>
      <c r="D377" s="402" t="str">
        <f t="shared" si="1"/>
        <v/>
      </c>
      <c r="E377" s="403"/>
      <c r="F377" s="403"/>
      <c r="G377" s="404"/>
      <c r="H377" s="404"/>
      <c r="I377" s="404"/>
      <c r="J377" s="404"/>
      <c r="K377" s="404"/>
      <c r="L377" s="404"/>
    </row>
    <row r="378" ht="15.75" customHeight="1">
      <c r="A378" s="400"/>
      <c r="B378" s="401"/>
      <c r="C378" s="401"/>
      <c r="D378" s="402" t="str">
        <f t="shared" si="1"/>
        <v/>
      </c>
      <c r="E378" s="403"/>
      <c r="F378" s="403"/>
      <c r="G378" s="404"/>
      <c r="H378" s="404"/>
      <c r="I378" s="404"/>
      <c r="J378" s="404"/>
      <c r="K378" s="404"/>
      <c r="L378" s="404"/>
    </row>
    <row r="379" ht="15.75" customHeight="1">
      <c r="A379" s="400"/>
      <c r="B379" s="401"/>
      <c r="C379" s="401"/>
      <c r="D379" s="402" t="str">
        <f t="shared" si="1"/>
        <v/>
      </c>
      <c r="E379" s="403"/>
      <c r="F379" s="403"/>
      <c r="G379" s="404"/>
      <c r="H379" s="404"/>
      <c r="I379" s="404"/>
      <c r="J379" s="404"/>
      <c r="K379" s="404"/>
      <c r="L379" s="404"/>
    </row>
    <row r="380" ht="15.75" customHeight="1">
      <c r="A380" s="400"/>
      <c r="B380" s="401"/>
      <c r="C380" s="401"/>
      <c r="D380" s="402" t="str">
        <f t="shared" si="1"/>
        <v/>
      </c>
      <c r="E380" s="403"/>
      <c r="F380" s="403"/>
      <c r="G380" s="404"/>
      <c r="H380" s="404"/>
      <c r="I380" s="404"/>
      <c r="J380" s="404"/>
      <c r="K380" s="404"/>
      <c r="L380" s="404"/>
    </row>
    <row r="381" ht="15.75" customHeight="1">
      <c r="A381" s="400"/>
      <c r="B381" s="401"/>
      <c r="C381" s="401"/>
      <c r="D381" s="402" t="str">
        <f t="shared" si="1"/>
        <v/>
      </c>
      <c r="E381" s="403"/>
      <c r="F381" s="403"/>
      <c r="G381" s="404"/>
      <c r="H381" s="404"/>
      <c r="I381" s="404"/>
      <c r="J381" s="404"/>
      <c r="K381" s="404"/>
      <c r="L381" s="404"/>
    </row>
    <row r="382" ht="15.75" customHeight="1">
      <c r="A382" s="400"/>
      <c r="B382" s="401"/>
      <c r="C382" s="401"/>
      <c r="D382" s="402" t="str">
        <f t="shared" si="1"/>
        <v/>
      </c>
      <c r="E382" s="403"/>
      <c r="F382" s="403"/>
      <c r="G382" s="404"/>
      <c r="H382" s="404"/>
      <c r="I382" s="404"/>
      <c r="J382" s="404"/>
      <c r="K382" s="404"/>
      <c r="L382" s="404"/>
    </row>
    <row r="383" ht="15.75" customHeight="1">
      <c r="A383" s="400"/>
      <c r="B383" s="401"/>
      <c r="C383" s="401"/>
      <c r="D383" s="402" t="str">
        <f t="shared" si="1"/>
        <v/>
      </c>
      <c r="E383" s="403"/>
      <c r="F383" s="403"/>
      <c r="G383" s="404"/>
      <c r="H383" s="404"/>
      <c r="I383" s="404"/>
      <c r="J383" s="404"/>
      <c r="K383" s="404"/>
      <c r="L383" s="404"/>
    </row>
    <row r="384" ht="15.75" customHeight="1">
      <c r="A384" s="400"/>
      <c r="B384" s="401"/>
      <c r="C384" s="401"/>
      <c r="D384" s="402" t="str">
        <f t="shared" si="1"/>
        <v/>
      </c>
      <c r="E384" s="403"/>
      <c r="F384" s="403"/>
      <c r="G384" s="404"/>
      <c r="H384" s="404"/>
      <c r="I384" s="404"/>
      <c r="J384" s="404"/>
      <c r="K384" s="404"/>
      <c r="L384" s="404"/>
    </row>
    <row r="385" ht="15.75" customHeight="1">
      <c r="A385" s="400"/>
      <c r="B385" s="401"/>
      <c r="C385" s="401"/>
      <c r="D385" s="402" t="str">
        <f t="shared" si="1"/>
        <v/>
      </c>
      <c r="E385" s="403"/>
      <c r="F385" s="403"/>
      <c r="G385" s="404"/>
      <c r="H385" s="404"/>
      <c r="I385" s="404"/>
      <c r="J385" s="404"/>
      <c r="K385" s="404"/>
      <c r="L385" s="404"/>
    </row>
    <row r="386" ht="15.75" customHeight="1">
      <c r="A386" s="400"/>
      <c r="B386" s="401"/>
      <c r="C386" s="401"/>
      <c r="D386" s="402" t="str">
        <f t="shared" si="1"/>
        <v/>
      </c>
      <c r="E386" s="403"/>
      <c r="F386" s="403"/>
      <c r="G386" s="404"/>
      <c r="H386" s="404"/>
      <c r="I386" s="404"/>
      <c r="J386" s="404"/>
      <c r="K386" s="404"/>
      <c r="L386" s="404"/>
    </row>
    <row r="387" ht="15.75" customHeight="1">
      <c r="A387" s="400"/>
      <c r="B387" s="401"/>
      <c r="C387" s="401"/>
      <c r="D387" s="402" t="str">
        <f t="shared" si="1"/>
        <v/>
      </c>
      <c r="E387" s="403"/>
      <c r="F387" s="403"/>
      <c r="G387" s="404"/>
      <c r="H387" s="404"/>
      <c r="I387" s="404"/>
      <c r="J387" s="404"/>
      <c r="K387" s="404"/>
      <c r="L387" s="404"/>
    </row>
    <row r="388" ht="15.75" customHeight="1">
      <c r="A388" s="400"/>
      <c r="B388" s="401"/>
      <c r="C388" s="401"/>
      <c r="D388" s="402" t="str">
        <f t="shared" si="1"/>
        <v/>
      </c>
      <c r="E388" s="403"/>
      <c r="F388" s="403"/>
      <c r="G388" s="404"/>
      <c r="H388" s="404"/>
      <c r="I388" s="404"/>
      <c r="J388" s="404"/>
      <c r="K388" s="404"/>
      <c r="L388" s="404"/>
    </row>
    <row r="389" ht="15.75" customHeight="1">
      <c r="A389" s="400"/>
      <c r="B389" s="401"/>
      <c r="C389" s="401"/>
      <c r="D389" s="402" t="str">
        <f t="shared" si="1"/>
        <v/>
      </c>
      <c r="E389" s="403"/>
      <c r="F389" s="403"/>
      <c r="G389" s="404"/>
      <c r="H389" s="404"/>
      <c r="I389" s="404"/>
      <c r="J389" s="404"/>
      <c r="K389" s="404"/>
      <c r="L389" s="404"/>
    </row>
    <row r="390" ht="15.75" customHeight="1">
      <c r="A390" s="400"/>
      <c r="B390" s="401"/>
      <c r="C390" s="401"/>
      <c r="D390" s="402" t="str">
        <f t="shared" si="1"/>
        <v/>
      </c>
      <c r="E390" s="403"/>
      <c r="F390" s="403"/>
      <c r="G390" s="404"/>
      <c r="H390" s="404"/>
      <c r="I390" s="404"/>
      <c r="J390" s="404"/>
      <c r="K390" s="404"/>
      <c r="L390" s="404"/>
    </row>
    <row r="391" ht="15.75" customHeight="1">
      <c r="A391" s="400"/>
      <c r="B391" s="401"/>
      <c r="C391" s="401"/>
      <c r="D391" s="402" t="str">
        <f t="shared" si="1"/>
        <v/>
      </c>
      <c r="E391" s="403"/>
      <c r="F391" s="403"/>
      <c r="G391" s="404"/>
      <c r="H391" s="404"/>
      <c r="I391" s="404"/>
      <c r="J391" s="404"/>
      <c r="K391" s="404"/>
      <c r="L391" s="404"/>
    </row>
    <row r="392" ht="15.75" customHeight="1">
      <c r="A392" s="400"/>
      <c r="B392" s="401"/>
      <c r="C392" s="401"/>
      <c r="D392" s="402" t="str">
        <f t="shared" si="1"/>
        <v/>
      </c>
      <c r="E392" s="403"/>
      <c r="F392" s="403"/>
      <c r="G392" s="404"/>
      <c r="H392" s="404"/>
      <c r="I392" s="404"/>
      <c r="J392" s="404"/>
      <c r="K392" s="404"/>
      <c r="L392" s="404"/>
    </row>
    <row r="393" ht="15.75" customHeight="1">
      <c r="A393" s="400"/>
      <c r="B393" s="401"/>
      <c r="C393" s="401"/>
      <c r="D393" s="402" t="str">
        <f t="shared" si="1"/>
        <v/>
      </c>
      <c r="E393" s="403"/>
      <c r="F393" s="403"/>
      <c r="G393" s="404"/>
      <c r="H393" s="404"/>
      <c r="I393" s="404"/>
      <c r="J393" s="404"/>
      <c r="K393" s="404"/>
      <c r="L393" s="404"/>
    </row>
    <row r="394" ht="15.75" customHeight="1">
      <c r="A394" s="400"/>
      <c r="B394" s="401"/>
      <c r="C394" s="401"/>
      <c r="D394" s="402" t="str">
        <f t="shared" si="1"/>
        <v/>
      </c>
      <c r="E394" s="403"/>
      <c r="F394" s="403"/>
      <c r="G394" s="404"/>
      <c r="H394" s="404"/>
      <c r="I394" s="404"/>
      <c r="J394" s="404"/>
      <c r="K394" s="404"/>
      <c r="L394" s="404"/>
    </row>
    <row r="395" ht="15.75" customHeight="1">
      <c r="A395" s="400"/>
      <c r="B395" s="401"/>
      <c r="C395" s="401"/>
      <c r="D395" s="402" t="str">
        <f t="shared" si="1"/>
        <v/>
      </c>
      <c r="E395" s="403"/>
      <c r="F395" s="403"/>
      <c r="G395" s="404"/>
      <c r="H395" s="404"/>
      <c r="I395" s="404"/>
      <c r="J395" s="404"/>
      <c r="K395" s="404"/>
      <c r="L395" s="404"/>
    </row>
    <row r="396" ht="15.75" customHeight="1">
      <c r="A396" s="400"/>
      <c r="B396" s="401"/>
      <c r="C396" s="401"/>
      <c r="D396" s="402" t="str">
        <f t="shared" si="1"/>
        <v/>
      </c>
      <c r="E396" s="403"/>
      <c r="F396" s="403"/>
      <c r="G396" s="404"/>
      <c r="H396" s="404"/>
      <c r="I396" s="404"/>
      <c r="J396" s="404"/>
      <c r="K396" s="404"/>
      <c r="L396" s="404"/>
    </row>
    <row r="397" ht="15.75" customHeight="1">
      <c r="A397" s="400"/>
      <c r="B397" s="401"/>
      <c r="C397" s="401"/>
      <c r="D397" s="402" t="str">
        <f t="shared" si="1"/>
        <v/>
      </c>
      <c r="E397" s="403"/>
      <c r="F397" s="403"/>
      <c r="G397" s="404"/>
      <c r="H397" s="404"/>
      <c r="I397" s="404"/>
      <c r="J397" s="404"/>
      <c r="K397" s="404"/>
      <c r="L397" s="404"/>
    </row>
    <row r="398" ht="15.75" customHeight="1">
      <c r="A398" s="400"/>
      <c r="B398" s="401"/>
      <c r="C398" s="401"/>
      <c r="D398" s="402" t="str">
        <f t="shared" si="1"/>
        <v/>
      </c>
      <c r="E398" s="403"/>
      <c r="F398" s="403"/>
      <c r="G398" s="404"/>
      <c r="H398" s="404"/>
      <c r="I398" s="404"/>
      <c r="J398" s="404"/>
      <c r="K398" s="404"/>
      <c r="L398" s="404"/>
    </row>
    <row r="399" ht="15.75" customHeight="1">
      <c r="A399" s="400"/>
      <c r="B399" s="401"/>
      <c r="C399" s="401"/>
      <c r="D399" s="402" t="str">
        <f t="shared" si="1"/>
        <v/>
      </c>
      <c r="E399" s="403"/>
      <c r="F399" s="403"/>
      <c r="G399" s="404"/>
      <c r="H399" s="404"/>
      <c r="I399" s="404"/>
      <c r="J399" s="404"/>
      <c r="K399" s="404"/>
      <c r="L399" s="404"/>
    </row>
    <row r="400" ht="15.75" customHeight="1">
      <c r="A400" s="400"/>
      <c r="B400" s="401"/>
      <c r="C400" s="401"/>
      <c r="D400" s="402" t="str">
        <f t="shared" si="1"/>
        <v/>
      </c>
      <c r="E400" s="403"/>
      <c r="F400" s="403"/>
      <c r="G400" s="404"/>
      <c r="H400" s="404"/>
      <c r="I400" s="404"/>
      <c r="J400" s="404"/>
      <c r="K400" s="404"/>
      <c r="L400" s="404"/>
    </row>
    <row r="401" ht="15.75" customHeight="1">
      <c r="A401" s="400"/>
      <c r="B401" s="401"/>
      <c r="C401" s="401"/>
      <c r="D401" s="402" t="str">
        <f t="shared" si="1"/>
        <v/>
      </c>
      <c r="E401" s="403"/>
      <c r="F401" s="403"/>
      <c r="G401" s="404"/>
      <c r="H401" s="404"/>
      <c r="I401" s="404"/>
      <c r="J401" s="404"/>
      <c r="K401" s="404"/>
      <c r="L401" s="404"/>
    </row>
    <row r="402" ht="15.75" customHeight="1">
      <c r="A402" s="400"/>
      <c r="B402" s="401"/>
      <c r="C402" s="401"/>
      <c r="D402" s="402" t="str">
        <f t="shared" si="1"/>
        <v/>
      </c>
      <c r="E402" s="403"/>
      <c r="F402" s="403"/>
      <c r="G402" s="404"/>
      <c r="H402" s="404"/>
      <c r="I402" s="404"/>
      <c r="J402" s="404"/>
      <c r="K402" s="404"/>
      <c r="L402" s="404"/>
    </row>
    <row r="403" ht="15.75" customHeight="1">
      <c r="A403" s="400"/>
      <c r="B403" s="401"/>
      <c r="C403" s="401"/>
      <c r="D403" s="402" t="str">
        <f t="shared" si="1"/>
        <v/>
      </c>
      <c r="E403" s="403"/>
      <c r="F403" s="403"/>
      <c r="G403" s="404"/>
      <c r="H403" s="404"/>
      <c r="I403" s="404"/>
      <c r="J403" s="404"/>
      <c r="K403" s="404"/>
      <c r="L403" s="404"/>
    </row>
    <row r="404" ht="15.75" customHeight="1">
      <c r="A404" s="400"/>
      <c r="B404" s="401"/>
      <c r="C404" s="401"/>
      <c r="D404" s="402" t="str">
        <f t="shared" si="1"/>
        <v/>
      </c>
      <c r="E404" s="403"/>
      <c r="F404" s="403"/>
      <c r="G404" s="404"/>
      <c r="H404" s="404"/>
      <c r="I404" s="404"/>
      <c r="J404" s="404"/>
      <c r="K404" s="404"/>
      <c r="L404" s="404"/>
    </row>
    <row r="405" ht="15.75" customHeight="1">
      <c r="A405" s="400"/>
      <c r="B405" s="401"/>
      <c r="C405" s="401"/>
      <c r="D405" s="402" t="str">
        <f t="shared" si="1"/>
        <v/>
      </c>
      <c r="E405" s="403"/>
      <c r="F405" s="403"/>
      <c r="G405" s="404"/>
      <c r="H405" s="404"/>
      <c r="I405" s="404"/>
      <c r="J405" s="404"/>
      <c r="K405" s="404"/>
      <c r="L405" s="404"/>
    </row>
    <row r="406" ht="15.75" customHeight="1">
      <c r="A406" s="400"/>
      <c r="B406" s="401"/>
      <c r="C406" s="401"/>
      <c r="D406" s="402" t="str">
        <f t="shared" si="1"/>
        <v/>
      </c>
      <c r="E406" s="403"/>
      <c r="F406" s="403"/>
      <c r="G406" s="404"/>
      <c r="H406" s="404"/>
      <c r="I406" s="404"/>
      <c r="J406" s="404"/>
      <c r="K406" s="404"/>
      <c r="L406" s="404"/>
    </row>
    <row r="407" ht="15.75" customHeight="1">
      <c r="A407" s="400"/>
      <c r="B407" s="401"/>
      <c r="C407" s="401"/>
      <c r="D407" s="402" t="str">
        <f t="shared" si="1"/>
        <v/>
      </c>
      <c r="E407" s="403"/>
      <c r="F407" s="403"/>
      <c r="G407" s="404"/>
      <c r="H407" s="404"/>
      <c r="I407" s="404"/>
      <c r="J407" s="404"/>
      <c r="K407" s="404"/>
      <c r="L407" s="404"/>
    </row>
    <row r="408" ht="15.75" customHeight="1">
      <c r="A408" s="400"/>
      <c r="B408" s="401"/>
      <c r="C408" s="401"/>
      <c r="D408" s="402" t="str">
        <f t="shared" si="1"/>
        <v/>
      </c>
      <c r="E408" s="403"/>
      <c r="F408" s="403"/>
      <c r="G408" s="404"/>
      <c r="H408" s="404"/>
      <c r="I408" s="404"/>
      <c r="J408" s="404"/>
      <c r="K408" s="404"/>
      <c r="L408" s="404"/>
    </row>
    <row r="409" ht="15.75" customHeight="1">
      <c r="A409" s="400"/>
      <c r="B409" s="401"/>
      <c r="C409" s="401"/>
      <c r="D409" s="402" t="str">
        <f t="shared" si="1"/>
        <v/>
      </c>
      <c r="E409" s="403"/>
      <c r="F409" s="403"/>
      <c r="G409" s="404"/>
      <c r="H409" s="404"/>
      <c r="I409" s="404"/>
      <c r="J409" s="404"/>
      <c r="K409" s="404"/>
      <c r="L409" s="404"/>
    </row>
    <row r="410" ht="15.75" customHeight="1">
      <c r="A410" s="400"/>
      <c r="B410" s="401"/>
      <c r="C410" s="401"/>
      <c r="D410" s="402" t="str">
        <f t="shared" si="1"/>
        <v/>
      </c>
      <c r="E410" s="403"/>
      <c r="F410" s="403"/>
      <c r="G410" s="404"/>
      <c r="H410" s="404"/>
      <c r="I410" s="404"/>
      <c r="J410" s="404"/>
      <c r="K410" s="404"/>
      <c r="L410" s="404"/>
    </row>
    <row r="411" ht="15.75" customHeight="1">
      <c r="A411" s="400"/>
      <c r="B411" s="401"/>
      <c r="C411" s="401"/>
      <c r="D411" s="402" t="str">
        <f t="shared" si="1"/>
        <v/>
      </c>
      <c r="E411" s="403"/>
      <c r="F411" s="403"/>
      <c r="G411" s="404"/>
      <c r="H411" s="404"/>
      <c r="I411" s="404"/>
      <c r="J411" s="404"/>
      <c r="K411" s="404"/>
      <c r="L411" s="404"/>
    </row>
    <row r="412" ht="15.75" customHeight="1">
      <c r="A412" s="400"/>
      <c r="B412" s="401"/>
      <c r="C412" s="401"/>
      <c r="D412" s="402" t="str">
        <f t="shared" si="1"/>
        <v/>
      </c>
      <c r="E412" s="403"/>
      <c r="F412" s="403"/>
      <c r="G412" s="404"/>
      <c r="H412" s="404"/>
      <c r="I412" s="404"/>
      <c r="J412" s="404"/>
      <c r="K412" s="404"/>
      <c r="L412" s="404"/>
    </row>
    <row r="413" ht="15.75" customHeight="1">
      <c r="A413" s="400"/>
      <c r="B413" s="401"/>
      <c r="C413" s="401"/>
      <c r="D413" s="402" t="str">
        <f t="shared" si="1"/>
        <v/>
      </c>
      <c r="E413" s="403"/>
      <c r="F413" s="403"/>
      <c r="G413" s="404"/>
      <c r="H413" s="404"/>
      <c r="I413" s="404"/>
      <c r="J413" s="404"/>
      <c r="K413" s="404"/>
      <c r="L413" s="404"/>
    </row>
    <row r="414" ht="15.75" customHeight="1">
      <c r="A414" s="400"/>
      <c r="B414" s="401"/>
      <c r="C414" s="401"/>
      <c r="D414" s="402" t="str">
        <f t="shared" si="1"/>
        <v/>
      </c>
      <c r="E414" s="403"/>
      <c r="F414" s="403"/>
      <c r="G414" s="404"/>
      <c r="H414" s="404"/>
      <c r="I414" s="404"/>
      <c r="J414" s="404"/>
      <c r="K414" s="404"/>
      <c r="L414" s="404"/>
    </row>
    <row r="415" ht="15.75" customHeight="1">
      <c r="A415" s="400"/>
      <c r="B415" s="401"/>
      <c r="C415" s="401"/>
      <c r="D415" s="402" t="str">
        <f t="shared" si="1"/>
        <v/>
      </c>
      <c r="E415" s="403"/>
      <c r="F415" s="403"/>
      <c r="G415" s="404"/>
      <c r="H415" s="404"/>
      <c r="I415" s="404"/>
      <c r="J415" s="404"/>
      <c r="K415" s="404"/>
      <c r="L415" s="404"/>
    </row>
    <row r="416" ht="15.75" customHeight="1">
      <c r="A416" s="400"/>
      <c r="B416" s="401"/>
      <c r="C416" s="401"/>
      <c r="D416" s="402" t="str">
        <f t="shared" si="1"/>
        <v/>
      </c>
      <c r="E416" s="403"/>
      <c r="F416" s="403"/>
      <c r="G416" s="404"/>
      <c r="H416" s="404"/>
      <c r="I416" s="404"/>
      <c r="J416" s="404"/>
      <c r="K416" s="404"/>
      <c r="L416" s="404"/>
    </row>
    <row r="417" ht="15.75" customHeight="1">
      <c r="A417" s="400"/>
      <c r="B417" s="401"/>
      <c r="C417" s="401"/>
      <c r="D417" s="402" t="str">
        <f t="shared" si="1"/>
        <v/>
      </c>
      <c r="E417" s="403"/>
      <c r="F417" s="403"/>
      <c r="G417" s="404"/>
      <c r="H417" s="404"/>
      <c r="I417" s="404"/>
      <c r="J417" s="404"/>
      <c r="K417" s="404"/>
      <c r="L417" s="404"/>
    </row>
    <row r="418" ht="15.75" customHeight="1">
      <c r="A418" s="400"/>
      <c r="B418" s="401"/>
      <c r="C418" s="401"/>
      <c r="D418" s="402" t="str">
        <f t="shared" si="1"/>
        <v/>
      </c>
      <c r="E418" s="403"/>
      <c r="F418" s="403"/>
      <c r="G418" s="404"/>
      <c r="H418" s="404"/>
      <c r="I418" s="404"/>
      <c r="J418" s="404"/>
      <c r="K418" s="404"/>
      <c r="L418" s="404"/>
    </row>
    <row r="419" ht="15.75" customHeight="1">
      <c r="A419" s="400"/>
      <c r="B419" s="401"/>
      <c r="C419" s="401"/>
      <c r="D419" s="402" t="str">
        <f t="shared" si="1"/>
        <v/>
      </c>
      <c r="E419" s="403"/>
      <c r="F419" s="403"/>
      <c r="G419" s="404"/>
      <c r="H419" s="404"/>
      <c r="I419" s="404"/>
      <c r="J419" s="404"/>
      <c r="K419" s="404"/>
      <c r="L419" s="404"/>
    </row>
    <row r="420" ht="15.75" customHeight="1">
      <c r="A420" s="400"/>
      <c r="B420" s="401"/>
      <c r="C420" s="401"/>
      <c r="D420" s="402" t="str">
        <f t="shared" si="1"/>
        <v/>
      </c>
      <c r="E420" s="403"/>
      <c r="F420" s="403"/>
      <c r="G420" s="404"/>
      <c r="H420" s="404"/>
      <c r="I420" s="404"/>
      <c r="J420" s="404"/>
      <c r="K420" s="404"/>
      <c r="L420" s="404"/>
    </row>
    <row r="421" ht="15.75" customHeight="1">
      <c r="A421" s="400"/>
      <c r="B421" s="401"/>
      <c r="C421" s="401"/>
      <c r="D421" s="402" t="str">
        <f t="shared" si="1"/>
        <v/>
      </c>
      <c r="E421" s="403"/>
      <c r="F421" s="403"/>
      <c r="G421" s="404"/>
      <c r="H421" s="404"/>
      <c r="I421" s="404"/>
      <c r="J421" s="404"/>
      <c r="K421" s="404"/>
      <c r="L421" s="404"/>
    </row>
    <row r="422" ht="15.75" customHeight="1">
      <c r="A422" s="400"/>
      <c r="B422" s="401"/>
      <c r="C422" s="401"/>
      <c r="D422" s="402" t="str">
        <f t="shared" si="1"/>
        <v/>
      </c>
      <c r="E422" s="403"/>
      <c r="F422" s="403"/>
      <c r="G422" s="404"/>
      <c r="H422" s="404"/>
      <c r="I422" s="404"/>
      <c r="J422" s="404"/>
      <c r="K422" s="404"/>
      <c r="L422" s="404"/>
    </row>
    <row r="423" ht="15.75" customHeight="1">
      <c r="A423" s="400"/>
      <c r="B423" s="401"/>
      <c r="C423" s="401"/>
      <c r="D423" s="402" t="str">
        <f t="shared" si="1"/>
        <v/>
      </c>
      <c r="E423" s="403"/>
      <c r="F423" s="403"/>
      <c r="G423" s="404"/>
      <c r="H423" s="404"/>
      <c r="I423" s="404"/>
      <c r="J423" s="404"/>
      <c r="K423" s="404"/>
      <c r="L423" s="404"/>
    </row>
    <row r="424" ht="15.75" customHeight="1">
      <c r="A424" s="400"/>
      <c r="B424" s="401"/>
      <c r="C424" s="401"/>
      <c r="D424" s="402" t="str">
        <f t="shared" si="1"/>
        <v/>
      </c>
      <c r="E424" s="403"/>
      <c r="F424" s="403"/>
      <c r="G424" s="404"/>
      <c r="H424" s="404"/>
      <c r="I424" s="404"/>
      <c r="J424" s="404"/>
      <c r="K424" s="404"/>
      <c r="L424" s="404"/>
    </row>
    <row r="425" ht="15.75" customHeight="1">
      <c r="A425" s="400"/>
      <c r="B425" s="401"/>
      <c r="C425" s="401"/>
      <c r="D425" s="402" t="str">
        <f t="shared" si="1"/>
        <v/>
      </c>
      <c r="E425" s="403"/>
      <c r="F425" s="403"/>
      <c r="G425" s="404"/>
      <c r="H425" s="404"/>
      <c r="I425" s="404"/>
      <c r="J425" s="404"/>
      <c r="K425" s="404"/>
      <c r="L425" s="404"/>
    </row>
    <row r="426" ht="15.75" customHeight="1">
      <c r="A426" s="400"/>
      <c r="B426" s="401"/>
      <c r="C426" s="401"/>
      <c r="D426" s="402" t="str">
        <f t="shared" si="1"/>
        <v/>
      </c>
      <c r="E426" s="403"/>
      <c r="F426" s="403"/>
      <c r="G426" s="404"/>
      <c r="H426" s="404"/>
      <c r="I426" s="404"/>
      <c r="J426" s="404"/>
      <c r="K426" s="404"/>
      <c r="L426" s="404"/>
    </row>
    <row r="427" ht="15.75" customHeight="1">
      <c r="A427" s="400"/>
      <c r="B427" s="401"/>
      <c r="C427" s="401"/>
      <c r="D427" s="402" t="str">
        <f t="shared" si="1"/>
        <v/>
      </c>
      <c r="E427" s="403"/>
      <c r="F427" s="403"/>
      <c r="G427" s="404"/>
      <c r="H427" s="404"/>
      <c r="I427" s="404"/>
      <c r="J427" s="404"/>
      <c r="K427" s="404"/>
      <c r="L427" s="404"/>
    </row>
    <row r="428" ht="15.75" customHeight="1">
      <c r="A428" s="400"/>
      <c r="B428" s="401"/>
      <c r="C428" s="401"/>
      <c r="D428" s="402" t="str">
        <f t="shared" si="1"/>
        <v/>
      </c>
      <c r="E428" s="403"/>
      <c r="F428" s="403"/>
      <c r="G428" s="404"/>
      <c r="H428" s="404"/>
      <c r="I428" s="404"/>
      <c r="J428" s="404"/>
      <c r="K428" s="404"/>
      <c r="L428" s="404"/>
    </row>
    <row r="429" ht="15.75" customHeight="1">
      <c r="A429" s="400"/>
      <c r="B429" s="401"/>
      <c r="C429" s="401"/>
      <c r="D429" s="402" t="str">
        <f t="shared" si="1"/>
        <v/>
      </c>
      <c r="E429" s="403"/>
      <c r="F429" s="403"/>
      <c r="G429" s="404"/>
      <c r="H429" s="404"/>
      <c r="I429" s="404"/>
      <c r="J429" s="404"/>
      <c r="K429" s="404"/>
      <c r="L429" s="404"/>
    </row>
    <row r="430" ht="15.75" customHeight="1">
      <c r="A430" s="400"/>
      <c r="B430" s="401"/>
      <c r="C430" s="401"/>
      <c r="D430" s="402" t="str">
        <f t="shared" si="1"/>
        <v/>
      </c>
      <c r="E430" s="403"/>
      <c r="F430" s="403"/>
      <c r="G430" s="404"/>
      <c r="H430" s="404"/>
      <c r="I430" s="404"/>
      <c r="J430" s="404"/>
      <c r="K430" s="404"/>
      <c r="L430" s="404"/>
    </row>
    <row r="431" ht="15.75" customHeight="1">
      <c r="A431" s="400"/>
      <c r="B431" s="401"/>
      <c r="C431" s="401"/>
      <c r="D431" s="402" t="str">
        <f t="shared" si="1"/>
        <v/>
      </c>
      <c r="E431" s="403"/>
      <c r="F431" s="403"/>
      <c r="G431" s="404"/>
      <c r="H431" s="404"/>
      <c r="I431" s="404"/>
      <c r="J431" s="404"/>
      <c r="K431" s="404"/>
      <c r="L431" s="404"/>
    </row>
    <row r="432" ht="15.75" customHeight="1">
      <c r="A432" s="400"/>
      <c r="B432" s="401"/>
      <c r="C432" s="401"/>
      <c r="D432" s="402" t="str">
        <f t="shared" si="1"/>
        <v/>
      </c>
      <c r="E432" s="403"/>
      <c r="F432" s="403"/>
      <c r="G432" s="404"/>
      <c r="H432" s="404"/>
      <c r="I432" s="404"/>
      <c r="J432" s="404"/>
      <c r="K432" s="404"/>
      <c r="L432" s="404"/>
    </row>
    <row r="433" ht="15.75" customHeight="1">
      <c r="A433" s="400"/>
      <c r="B433" s="401"/>
      <c r="C433" s="401"/>
      <c r="D433" s="402" t="str">
        <f t="shared" si="1"/>
        <v/>
      </c>
      <c r="E433" s="403"/>
      <c r="F433" s="403"/>
      <c r="G433" s="404"/>
      <c r="H433" s="404"/>
      <c r="I433" s="404"/>
      <c r="J433" s="404"/>
      <c r="K433" s="404"/>
      <c r="L433" s="404"/>
    </row>
    <row r="434" ht="15.75" customHeight="1">
      <c r="A434" s="400"/>
      <c r="B434" s="401"/>
      <c r="C434" s="401"/>
      <c r="D434" s="402" t="str">
        <f t="shared" si="1"/>
        <v/>
      </c>
      <c r="E434" s="403"/>
      <c r="F434" s="403"/>
      <c r="G434" s="404"/>
      <c r="H434" s="404"/>
      <c r="I434" s="404"/>
      <c r="J434" s="404"/>
      <c r="K434" s="404"/>
      <c r="L434" s="404"/>
    </row>
    <row r="435" ht="15.75" customHeight="1">
      <c r="A435" s="400"/>
      <c r="B435" s="401"/>
      <c r="C435" s="401"/>
      <c r="D435" s="402" t="str">
        <f t="shared" si="1"/>
        <v/>
      </c>
      <c r="E435" s="403"/>
      <c r="F435" s="403"/>
      <c r="G435" s="404"/>
      <c r="H435" s="404"/>
      <c r="I435" s="404"/>
      <c r="J435" s="404"/>
      <c r="K435" s="404"/>
      <c r="L435" s="404"/>
    </row>
    <row r="436" ht="15.75" customHeight="1">
      <c r="A436" s="400"/>
      <c r="B436" s="401"/>
      <c r="C436" s="401"/>
      <c r="D436" s="402" t="str">
        <f t="shared" si="1"/>
        <v/>
      </c>
      <c r="E436" s="403"/>
      <c r="F436" s="403"/>
      <c r="G436" s="404"/>
      <c r="H436" s="404"/>
      <c r="I436" s="404"/>
      <c r="J436" s="404"/>
      <c r="K436" s="404"/>
      <c r="L436" s="404"/>
    </row>
    <row r="437" ht="15.75" customHeight="1">
      <c r="A437" s="400"/>
      <c r="B437" s="401"/>
      <c r="C437" s="401"/>
      <c r="D437" s="402" t="str">
        <f t="shared" si="1"/>
        <v/>
      </c>
      <c r="E437" s="403"/>
      <c r="F437" s="403"/>
      <c r="G437" s="404"/>
      <c r="H437" s="404"/>
      <c r="I437" s="404"/>
      <c r="J437" s="404"/>
      <c r="K437" s="404"/>
      <c r="L437" s="404"/>
    </row>
    <row r="438" ht="15.75" customHeight="1">
      <c r="A438" s="400"/>
      <c r="B438" s="401"/>
      <c r="C438" s="401"/>
      <c r="D438" s="402" t="str">
        <f t="shared" si="1"/>
        <v/>
      </c>
      <c r="E438" s="403"/>
      <c r="F438" s="403"/>
      <c r="G438" s="404"/>
      <c r="H438" s="404"/>
      <c r="I438" s="404"/>
      <c r="J438" s="404"/>
      <c r="K438" s="404"/>
      <c r="L438" s="404"/>
    </row>
    <row r="439" ht="15.75" customHeight="1">
      <c r="A439" s="400"/>
      <c r="B439" s="401"/>
      <c r="C439" s="401"/>
      <c r="D439" s="402" t="str">
        <f t="shared" si="1"/>
        <v/>
      </c>
      <c r="E439" s="403"/>
      <c r="F439" s="403"/>
      <c r="G439" s="404"/>
      <c r="H439" s="404"/>
      <c r="I439" s="404"/>
      <c r="J439" s="404"/>
      <c r="K439" s="404"/>
      <c r="L439" s="404"/>
    </row>
    <row r="440" ht="15.75" customHeight="1">
      <c r="A440" s="400"/>
      <c r="B440" s="401"/>
      <c r="C440" s="401"/>
      <c r="D440" s="402" t="str">
        <f t="shared" si="1"/>
        <v/>
      </c>
      <c r="E440" s="403"/>
      <c r="F440" s="403"/>
      <c r="G440" s="404"/>
      <c r="H440" s="404"/>
      <c r="I440" s="404"/>
      <c r="J440" s="404"/>
      <c r="K440" s="404"/>
      <c r="L440" s="404"/>
    </row>
    <row r="441" ht="15.75" customHeight="1">
      <c r="A441" s="400"/>
      <c r="B441" s="401"/>
      <c r="C441" s="401"/>
      <c r="D441" s="402" t="str">
        <f t="shared" si="1"/>
        <v/>
      </c>
      <c r="E441" s="403"/>
      <c r="F441" s="403"/>
      <c r="G441" s="404"/>
      <c r="H441" s="404"/>
      <c r="I441" s="404"/>
      <c r="J441" s="404"/>
      <c r="K441" s="404"/>
      <c r="L441" s="404"/>
    </row>
    <row r="442" ht="15.75" customHeight="1">
      <c r="A442" s="400"/>
      <c r="B442" s="401"/>
      <c r="C442" s="401"/>
      <c r="D442" s="402" t="str">
        <f t="shared" si="1"/>
        <v/>
      </c>
      <c r="E442" s="403"/>
      <c r="F442" s="403"/>
      <c r="G442" s="404"/>
      <c r="H442" s="404"/>
      <c r="I442" s="404"/>
      <c r="J442" s="404"/>
      <c r="K442" s="404"/>
      <c r="L442" s="404"/>
    </row>
    <row r="443" ht="15.75" customHeight="1">
      <c r="A443" s="400"/>
      <c r="B443" s="401"/>
      <c r="C443" s="401"/>
      <c r="D443" s="402" t="str">
        <f t="shared" si="1"/>
        <v/>
      </c>
      <c r="E443" s="403"/>
      <c r="F443" s="403"/>
      <c r="G443" s="404"/>
      <c r="H443" s="404"/>
      <c r="I443" s="404"/>
      <c r="J443" s="404"/>
      <c r="K443" s="404"/>
      <c r="L443" s="404"/>
    </row>
    <row r="444" ht="15.75" customHeight="1">
      <c r="A444" s="400"/>
      <c r="B444" s="401"/>
      <c r="C444" s="401"/>
      <c r="D444" s="402" t="str">
        <f t="shared" si="1"/>
        <v/>
      </c>
      <c r="E444" s="403"/>
      <c r="F444" s="403"/>
      <c r="G444" s="404"/>
      <c r="H444" s="404"/>
      <c r="I444" s="404"/>
      <c r="J444" s="404"/>
      <c r="K444" s="404"/>
      <c r="L444" s="404"/>
    </row>
    <row r="445" ht="15.75" customHeight="1">
      <c r="A445" s="400"/>
      <c r="B445" s="401"/>
      <c r="C445" s="401"/>
      <c r="D445" s="402" t="str">
        <f t="shared" si="1"/>
        <v/>
      </c>
      <c r="E445" s="403"/>
      <c r="F445" s="403"/>
      <c r="G445" s="404"/>
      <c r="H445" s="404"/>
      <c r="I445" s="404"/>
      <c r="J445" s="404"/>
      <c r="K445" s="404"/>
      <c r="L445" s="404"/>
    </row>
    <row r="446" ht="15.75" customHeight="1">
      <c r="A446" s="400"/>
      <c r="B446" s="401"/>
      <c r="C446" s="401"/>
      <c r="D446" s="402" t="str">
        <f t="shared" si="1"/>
        <v/>
      </c>
      <c r="E446" s="403"/>
      <c r="F446" s="403"/>
      <c r="G446" s="404"/>
      <c r="H446" s="404"/>
      <c r="I446" s="404"/>
      <c r="J446" s="404"/>
      <c r="K446" s="404"/>
      <c r="L446" s="404"/>
    </row>
    <row r="447" ht="15.75" customHeight="1">
      <c r="A447" s="400"/>
      <c r="B447" s="401"/>
      <c r="C447" s="401"/>
      <c r="D447" s="402" t="str">
        <f t="shared" si="1"/>
        <v/>
      </c>
      <c r="E447" s="403"/>
      <c r="F447" s="403"/>
      <c r="G447" s="404"/>
      <c r="H447" s="404"/>
      <c r="I447" s="404"/>
      <c r="J447" s="404"/>
      <c r="K447" s="404"/>
      <c r="L447" s="404"/>
    </row>
    <row r="448" ht="15.75" customHeight="1">
      <c r="A448" s="400"/>
      <c r="B448" s="401"/>
      <c r="C448" s="401"/>
      <c r="D448" s="402" t="str">
        <f t="shared" si="1"/>
        <v/>
      </c>
      <c r="E448" s="403"/>
      <c r="F448" s="403"/>
      <c r="G448" s="404"/>
      <c r="H448" s="404"/>
      <c r="I448" s="404"/>
      <c r="J448" s="404"/>
      <c r="K448" s="404"/>
      <c r="L448" s="404"/>
    </row>
    <row r="449" ht="15.75" customHeight="1">
      <c r="A449" s="400"/>
      <c r="B449" s="401"/>
      <c r="C449" s="401"/>
      <c r="D449" s="402" t="str">
        <f t="shared" si="1"/>
        <v/>
      </c>
      <c r="E449" s="403"/>
      <c r="F449" s="403"/>
      <c r="G449" s="404"/>
      <c r="H449" s="404"/>
      <c r="I449" s="404"/>
      <c r="J449" s="404"/>
      <c r="K449" s="404"/>
      <c r="L449" s="404"/>
    </row>
    <row r="450" ht="15.75" customHeight="1">
      <c r="A450" s="400"/>
      <c r="B450" s="401"/>
      <c r="C450" s="401"/>
      <c r="D450" s="402" t="str">
        <f t="shared" si="1"/>
        <v/>
      </c>
      <c r="E450" s="403"/>
      <c r="F450" s="403"/>
      <c r="G450" s="404"/>
      <c r="H450" s="404"/>
      <c r="I450" s="404"/>
      <c r="J450" s="404"/>
      <c r="K450" s="404"/>
      <c r="L450" s="404"/>
    </row>
    <row r="451" ht="15.75" customHeight="1">
      <c r="A451" s="400"/>
      <c r="B451" s="401"/>
      <c r="C451" s="401"/>
      <c r="D451" s="402" t="str">
        <f t="shared" si="1"/>
        <v/>
      </c>
      <c r="E451" s="403"/>
      <c r="F451" s="403"/>
      <c r="G451" s="404"/>
      <c r="H451" s="404"/>
      <c r="I451" s="404"/>
      <c r="J451" s="404"/>
      <c r="K451" s="404"/>
      <c r="L451" s="404"/>
    </row>
    <row r="452" ht="15.75" customHeight="1">
      <c r="A452" s="400"/>
      <c r="B452" s="401"/>
      <c r="C452" s="401"/>
      <c r="D452" s="402" t="str">
        <f t="shared" si="1"/>
        <v/>
      </c>
      <c r="E452" s="403"/>
      <c r="F452" s="403"/>
      <c r="G452" s="404"/>
      <c r="H452" s="404"/>
      <c r="I452" s="404"/>
      <c r="J452" s="404"/>
      <c r="K452" s="404"/>
      <c r="L452" s="404"/>
    </row>
    <row r="453" ht="15.75" customHeight="1">
      <c r="A453" s="400"/>
      <c r="B453" s="401"/>
      <c r="C453" s="401"/>
      <c r="D453" s="402" t="str">
        <f t="shared" si="1"/>
        <v/>
      </c>
      <c r="E453" s="403"/>
      <c r="F453" s="403"/>
      <c r="G453" s="404"/>
      <c r="H453" s="404"/>
      <c r="I453" s="404"/>
      <c r="J453" s="404"/>
      <c r="K453" s="404"/>
      <c r="L453" s="404"/>
    </row>
    <row r="454" ht="15.75" customHeight="1">
      <c r="A454" s="400"/>
      <c r="B454" s="401"/>
      <c r="C454" s="401"/>
      <c r="D454" s="402" t="str">
        <f t="shared" si="1"/>
        <v/>
      </c>
      <c r="E454" s="403"/>
      <c r="F454" s="403"/>
      <c r="G454" s="404"/>
      <c r="H454" s="404"/>
      <c r="I454" s="404"/>
      <c r="J454" s="404"/>
      <c r="K454" s="404"/>
      <c r="L454" s="404"/>
    </row>
    <row r="455" ht="15.75" customHeight="1">
      <c r="A455" s="400"/>
      <c r="B455" s="401"/>
      <c r="C455" s="401"/>
      <c r="D455" s="402" t="str">
        <f t="shared" si="1"/>
        <v/>
      </c>
      <c r="E455" s="403"/>
      <c r="F455" s="403"/>
      <c r="G455" s="404"/>
      <c r="H455" s="404"/>
      <c r="I455" s="404"/>
      <c r="J455" s="404"/>
      <c r="K455" s="404"/>
      <c r="L455" s="404"/>
    </row>
    <row r="456" ht="15.75" customHeight="1">
      <c r="A456" s="400"/>
      <c r="B456" s="401"/>
      <c r="C456" s="401"/>
      <c r="D456" s="402" t="str">
        <f t="shared" si="1"/>
        <v/>
      </c>
      <c r="E456" s="403"/>
      <c r="F456" s="403"/>
      <c r="G456" s="404"/>
      <c r="H456" s="404"/>
      <c r="I456" s="404"/>
      <c r="J456" s="404"/>
      <c r="K456" s="404"/>
      <c r="L456" s="404"/>
    </row>
    <row r="457" ht="15.75" customHeight="1">
      <c r="A457" s="400"/>
      <c r="B457" s="401"/>
      <c r="C457" s="401"/>
      <c r="D457" s="402" t="str">
        <f t="shared" si="1"/>
        <v/>
      </c>
      <c r="E457" s="403"/>
      <c r="F457" s="403"/>
      <c r="G457" s="404"/>
      <c r="H457" s="404"/>
      <c r="I457" s="404"/>
      <c r="J457" s="404"/>
      <c r="K457" s="404"/>
      <c r="L457" s="404"/>
    </row>
    <row r="458" ht="15.75" customHeight="1">
      <c r="A458" s="400"/>
      <c r="B458" s="401"/>
      <c r="C458" s="401"/>
      <c r="D458" s="402" t="str">
        <f t="shared" si="1"/>
        <v/>
      </c>
      <c r="E458" s="403"/>
      <c r="F458" s="403"/>
      <c r="G458" s="404"/>
      <c r="H458" s="404"/>
      <c r="I458" s="404"/>
      <c r="J458" s="404"/>
      <c r="K458" s="404"/>
      <c r="L458" s="404"/>
    </row>
    <row r="459" ht="15.75" customHeight="1">
      <c r="A459" s="400"/>
      <c r="B459" s="401"/>
      <c r="C459" s="401"/>
      <c r="D459" s="402" t="str">
        <f t="shared" si="1"/>
        <v/>
      </c>
      <c r="E459" s="403"/>
      <c r="F459" s="403"/>
      <c r="G459" s="404"/>
      <c r="H459" s="404"/>
      <c r="I459" s="404"/>
      <c r="J459" s="404"/>
      <c r="K459" s="404"/>
      <c r="L459" s="404"/>
    </row>
    <row r="460" ht="15.75" customHeight="1">
      <c r="A460" s="400"/>
      <c r="B460" s="401"/>
      <c r="C460" s="401"/>
      <c r="D460" s="402" t="str">
        <f t="shared" si="1"/>
        <v/>
      </c>
      <c r="E460" s="403"/>
      <c r="F460" s="403"/>
      <c r="G460" s="404"/>
      <c r="H460" s="404"/>
      <c r="I460" s="404"/>
      <c r="J460" s="404"/>
      <c r="K460" s="404"/>
      <c r="L460" s="404"/>
    </row>
    <row r="461" ht="15.75" customHeight="1">
      <c r="A461" s="400"/>
      <c r="B461" s="401"/>
      <c r="C461" s="401"/>
      <c r="D461" s="402" t="str">
        <f t="shared" si="1"/>
        <v/>
      </c>
      <c r="E461" s="403"/>
      <c r="F461" s="403"/>
      <c r="G461" s="404"/>
      <c r="H461" s="404"/>
      <c r="I461" s="404"/>
      <c r="J461" s="404"/>
      <c r="K461" s="404"/>
      <c r="L461" s="404"/>
    </row>
    <row r="462" ht="15.75" customHeight="1">
      <c r="A462" s="400"/>
      <c r="B462" s="401"/>
      <c r="C462" s="401"/>
      <c r="D462" s="402" t="str">
        <f t="shared" si="1"/>
        <v/>
      </c>
      <c r="E462" s="403"/>
      <c r="F462" s="403"/>
      <c r="G462" s="404"/>
      <c r="H462" s="404"/>
      <c r="I462" s="404"/>
      <c r="J462" s="404"/>
      <c r="K462" s="404"/>
      <c r="L462" s="404"/>
    </row>
    <row r="463" ht="15.75" customHeight="1">
      <c r="A463" s="400"/>
      <c r="B463" s="401"/>
      <c r="C463" s="401"/>
      <c r="D463" s="402" t="str">
        <f t="shared" si="1"/>
        <v/>
      </c>
      <c r="E463" s="403"/>
      <c r="F463" s="403"/>
      <c r="G463" s="404"/>
      <c r="H463" s="404"/>
      <c r="I463" s="404"/>
      <c r="J463" s="404"/>
      <c r="K463" s="404"/>
      <c r="L463" s="404"/>
    </row>
    <row r="464" ht="15.75" customHeight="1">
      <c r="A464" s="400"/>
      <c r="B464" s="401"/>
      <c r="C464" s="401"/>
      <c r="D464" s="402" t="str">
        <f t="shared" si="1"/>
        <v/>
      </c>
      <c r="E464" s="403"/>
      <c r="F464" s="403"/>
      <c r="G464" s="404"/>
      <c r="H464" s="404"/>
      <c r="I464" s="404"/>
      <c r="J464" s="404"/>
      <c r="K464" s="404"/>
      <c r="L464" s="404"/>
    </row>
    <row r="465" ht="15.75" customHeight="1">
      <c r="A465" s="400"/>
      <c r="B465" s="401"/>
      <c r="C465" s="401"/>
      <c r="D465" s="402" t="str">
        <f t="shared" si="1"/>
        <v/>
      </c>
      <c r="E465" s="403"/>
      <c r="F465" s="403"/>
      <c r="G465" s="404"/>
      <c r="H465" s="404"/>
      <c r="I465" s="404"/>
      <c r="J465" s="404"/>
      <c r="K465" s="404"/>
      <c r="L465" s="404"/>
    </row>
    <row r="466" ht="15.75" customHeight="1">
      <c r="A466" s="400"/>
      <c r="B466" s="401"/>
      <c r="C466" s="401"/>
      <c r="D466" s="402" t="str">
        <f t="shared" si="1"/>
        <v/>
      </c>
      <c r="E466" s="403"/>
      <c r="F466" s="403"/>
      <c r="G466" s="404"/>
      <c r="H466" s="404"/>
      <c r="I466" s="404"/>
      <c r="J466" s="404"/>
      <c r="K466" s="404"/>
      <c r="L466" s="404"/>
    </row>
    <row r="467" ht="15.75" customHeight="1">
      <c r="A467" s="400"/>
      <c r="B467" s="401"/>
      <c r="C467" s="401"/>
      <c r="D467" s="402" t="str">
        <f t="shared" si="1"/>
        <v/>
      </c>
      <c r="E467" s="403"/>
      <c r="F467" s="403"/>
      <c r="G467" s="404"/>
      <c r="H467" s="404"/>
      <c r="I467" s="404"/>
      <c r="J467" s="404"/>
      <c r="K467" s="404"/>
      <c r="L467" s="404"/>
    </row>
    <row r="468" ht="15.75" customHeight="1">
      <c r="A468" s="400"/>
      <c r="B468" s="401"/>
      <c r="C468" s="401"/>
      <c r="D468" s="402" t="str">
        <f t="shared" si="1"/>
        <v/>
      </c>
      <c r="E468" s="403"/>
      <c r="F468" s="403"/>
      <c r="G468" s="404"/>
      <c r="H468" s="404"/>
      <c r="I468" s="404"/>
      <c r="J468" s="404"/>
      <c r="K468" s="404"/>
      <c r="L468" s="404"/>
    </row>
    <row r="469" ht="15.75" customHeight="1">
      <c r="A469" s="400"/>
      <c r="B469" s="401"/>
      <c r="C469" s="401"/>
      <c r="D469" s="402" t="str">
        <f t="shared" si="1"/>
        <v/>
      </c>
      <c r="E469" s="403"/>
      <c r="F469" s="403"/>
      <c r="G469" s="404"/>
      <c r="H469" s="404"/>
      <c r="I469" s="404"/>
      <c r="J469" s="404"/>
      <c r="K469" s="404"/>
      <c r="L469" s="404"/>
    </row>
    <row r="470" ht="15.75" customHeight="1">
      <c r="A470" s="400"/>
      <c r="B470" s="401"/>
      <c r="C470" s="401"/>
      <c r="D470" s="402" t="str">
        <f t="shared" si="1"/>
        <v/>
      </c>
      <c r="E470" s="403"/>
      <c r="F470" s="403"/>
      <c r="G470" s="404"/>
      <c r="H470" s="404"/>
      <c r="I470" s="404"/>
      <c r="J470" s="404"/>
      <c r="K470" s="404"/>
      <c r="L470" s="404"/>
    </row>
    <row r="471" ht="15.75" customHeight="1">
      <c r="A471" s="400"/>
      <c r="B471" s="401"/>
      <c r="C471" s="401"/>
      <c r="D471" s="402" t="str">
        <f t="shared" si="1"/>
        <v/>
      </c>
      <c r="E471" s="403"/>
      <c r="F471" s="403"/>
      <c r="G471" s="404"/>
      <c r="H471" s="404"/>
      <c r="I471" s="404"/>
      <c r="J471" s="404"/>
      <c r="K471" s="404"/>
      <c r="L471" s="404"/>
    </row>
    <row r="472" ht="15.75" customHeight="1">
      <c r="A472" s="400"/>
      <c r="B472" s="401"/>
      <c r="C472" s="401"/>
      <c r="D472" s="402" t="str">
        <f t="shared" si="1"/>
        <v/>
      </c>
      <c r="E472" s="403"/>
      <c r="F472" s="403"/>
      <c r="G472" s="404"/>
      <c r="H472" s="404"/>
      <c r="I472" s="404"/>
      <c r="J472" s="404"/>
      <c r="K472" s="404"/>
      <c r="L472" s="404"/>
    </row>
    <row r="473" ht="15.75" customHeight="1">
      <c r="A473" s="400"/>
      <c r="B473" s="401"/>
      <c r="C473" s="401"/>
      <c r="D473" s="402" t="str">
        <f t="shared" si="1"/>
        <v/>
      </c>
      <c r="E473" s="403"/>
      <c r="F473" s="403"/>
      <c r="G473" s="404"/>
      <c r="H473" s="404"/>
      <c r="I473" s="404"/>
      <c r="J473" s="404"/>
      <c r="K473" s="404"/>
      <c r="L473" s="404"/>
    </row>
    <row r="474" ht="15.75" customHeight="1">
      <c r="A474" s="400"/>
      <c r="B474" s="401"/>
      <c r="C474" s="401"/>
      <c r="D474" s="402" t="str">
        <f t="shared" si="1"/>
        <v/>
      </c>
      <c r="E474" s="403"/>
      <c r="F474" s="403"/>
      <c r="G474" s="404"/>
      <c r="H474" s="404"/>
      <c r="I474" s="404"/>
      <c r="J474" s="404"/>
      <c r="K474" s="404"/>
      <c r="L474" s="404"/>
    </row>
    <row r="475" ht="15.75" customHeight="1">
      <c r="A475" s="400"/>
      <c r="B475" s="401"/>
      <c r="C475" s="401"/>
      <c r="D475" s="402" t="str">
        <f t="shared" si="1"/>
        <v/>
      </c>
      <c r="E475" s="403"/>
      <c r="F475" s="403"/>
      <c r="G475" s="404"/>
      <c r="H475" s="404"/>
      <c r="I475" s="404"/>
      <c r="J475" s="404"/>
      <c r="K475" s="404"/>
      <c r="L475" s="404"/>
    </row>
    <row r="476" ht="15.75" customHeight="1">
      <c r="A476" s="400"/>
      <c r="B476" s="401"/>
      <c r="C476" s="401"/>
      <c r="D476" s="402" t="str">
        <f t="shared" si="1"/>
        <v/>
      </c>
      <c r="E476" s="403"/>
      <c r="F476" s="403"/>
      <c r="G476" s="404"/>
      <c r="H476" s="404"/>
      <c r="I476" s="404"/>
      <c r="J476" s="404"/>
      <c r="K476" s="404"/>
      <c r="L476" s="404"/>
    </row>
    <row r="477" ht="15.75" customHeight="1">
      <c r="A477" s="400"/>
      <c r="B477" s="401"/>
      <c r="C477" s="401"/>
      <c r="D477" s="402" t="str">
        <f t="shared" si="1"/>
        <v/>
      </c>
      <c r="E477" s="403"/>
      <c r="F477" s="403"/>
      <c r="G477" s="404"/>
      <c r="H477" s="404"/>
      <c r="I477" s="404"/>
      <c r="J477" s="404"/>
      <c r="K477" s="404"/>
      <c r="L477" s="404"/>
    </row>
    <row r="478" ht="15.75" customHeight="1">
      <c r="A478" s="400"/>
      <c r="B478" s="401"/>
      <c r="C478" s="401"/>
      <c r="D478" s="402" t="str">
        <f t="shared" si="1"/>
        <v/>
      </c>
      <c r="E478" s="403"/>
      <c r="F478" s="403"/>
      <c r="G478" s="404"/>
      <c r="H478" s="404"/>
      <c r="I478" s="404"/>
      <c r="J478" s="404"/>
      <c r="K478" s="404"/>
      <c r="L478" s="404"/>
    </row>
    <row r="479" ht="15.75" customHeight="1">
      <c r="A479" s="400"/>
      <c r="B479" s="401"/>
      <c r="C479" s="401"/>
      <c r="D479" s="402" t="str">
        <f t="shared" si="1"/>
        <v/>
      </c>
      <c r="E479" s="403"/>
      <c r="F479" s="403"/>
      <c r="G479" s="404"/>
      <c r="H479" s="404"/>
      <c r="I479" s="404"/>
      <c r="J479" s="404"/>
      <c r="K479" s="404"/>
      <c r="L479" s="404"/>
    </row>
    <row r="480" ht="15.75" customHeight="1">
      <c r="A480" s="400"/>
      <c r="B480" s="401"/>
      <c r="C480" s="401"/>
      <c r="D480" s="402" t="str">
        <f t="shared" si="1"/>
        <v/>
      </c>
      <c r="E480" s="403"/>
      <c r="F480" s="403"/>
      <c r="G480" s="404"/>
      <c r="H480" s="404"/>
      <c r="I480" s="404"/>
      <c r="J480" s="404"/>
      <c r="K480" s="404"/>
      <c r="L480" s="404"/>
    </row>
    <row r="481" ht="15.75" customHeight="1">
      <c r="A481" s="400"/>
      <c r="B481" s="401"/>
      <c r="C481" s="401"/>
      <c r="D481" s="402" t="str">
        <f t="shared" si="1"/>
        <v/>
      </c>
      <c r="E481" s="403"/>
      <c r="F481" s="403"/>
      <c r="G481" s="404"/>
      <c r="H481" s="404"/>
      <c r="I481" s="404"/>
      <c r="J481" s="404"/>
      <c r="K481" s="404"/>
      <c r="L481" s="404"/>
    </row>
    <row r="482" ht="15.75" customHeight="1">
      <c r="A482" s="400"/>
      <c r="B482" s="401"/>
      <c r="C482" s="401"/>
      <c r="D482" s="402" t="str">
        <f t="shared" si="1"/>
        <v/>
      </c>
      <c r="E482" s="403"/>
      <c r="F482" s="403"/>
      <c r="G482" s="404"/>
      <c r="H482" s="404"/>
      <c r="I482" s="404"/>
      <c r="J482" s="404"/>
      <c r="K482" s="404"/>
      <c r="L482" s="404"/>
    </row>
    <row r="483" ht="15.75" customHeight="1">
      <c r="A483" s="400"/>
      <c r="B483" s="401"/>
      <c r="C483" s="401"/>
      <c r="D483" s="402" t="str">
        <f t="shared" si="1"/>
        <v/>
      </c>
      <c r="E483" s="403"/>
      <c r="F483" s="403"/>
      <c r="G483" s="404"/>
      <c r="H483" s="404"/>
      <c r="I483" s="404"/>
      <c r="J483" s="404"/>
      <c r="K483" s="404"/>
      <c r="L483" s="404"/>
    </row>
    <row r="484" ht="15.75" customHeight="1">
      <c r="A484" s="400"/>
      <c r="B484" s="401"/>
      <c r="C484" s="401"/>
      <c r="D484" s="402" t="str">
        <f t="shared" si="1"/>
        <v/>
      </c>
      <c r="E484" s="403"/>
      <c r="F484" s="403"/>
      <c r="G484" s="404"/>
      <c r="H484" s="404"/>
      <c r="I484" s="404"/>
      <c r="J484" s="404"/>
      <c r="K484" s="404"/>
      <c r="L484" s="404"/>
    </row>
    <row r="485" ht="15.75" customHeight="1">
      <c r="A485" s="400"/>
      <c r="B485" s="401"/>
      <c r="C485" s="401"/>
      <c r="D485" s="402" t="str">
        <f t="shared" si="1"/>
        <v/>
      </c>
      <c r="E485" s="403"/>
      <c r="F485" s="403"/>
      <c r="G485" s="404"/>
      <c r="H485" s="404"/>
      <c r="I485" s="404"/>
      <c r="J485" s="404"/>
      <c r="K485" s="404"/>
      <c r="L485" s="404"/>
    </row>
    <row r="486" ht="15.75" customHeight="1">
      <c r="A486" s="400"/>
      <c r="B486" s="401"/>
      <c r="C486" s="401"/>
      <c r="D486" s="402" t="str">
        <f t="shared" si="1"/>
        <v/>
      </c>
      <c r="E486" s="403"/>
      <c r="F486" s="403"/>
      <c r="G486" s="404"/>
      <c r="H486" s="404"/>
      <c r="I486" s="404"/>
      <c r="J486" s="404"/>
      <c r="K486" s="404"/>
      <c r="L486" s="404"/>
    </row>
    <row r="487" ht="15.75" customHeight="1">
      <c r="A487" s="400"/>
      <c r="B487" s="401"/>
      <c r="C487" s="401"/>
      <c r="D487" s="402" t="str">
        <f t="shared" si="1"/>
        <v/>
      </c>
      <c r="E487" s="403"/>
      <c r="F487" s="403"/>
      <c r="G487" s="404"/>
      <c r="H487" s="404"/>
      <c r="I487" s="404"/>
      <c r="J487" s="404"/>
      <c r="K487" s="404"/>
      <c r="L487" s="404"/>
    </row>
    <row r="488" ht="15.75" customHeight="1">
      <c r="A488" s="400"/>
      <c r="B488" s="401"/>
      <c r="C488" s="401"/>
      <c r="D488" s="402" t="str">
        <f t="shared" si="1"/>
        <v/>
      </c>
      <c r="E488" s="403"/>
      <c r="F488" s="403"/>
      <c r="G488" s="404"/>
      <c r="H488" s="404"/>
      <c r="I488" s="404"/>
      <c r="J488" s="404"/>
      <c r="K488" s="404"/>
      <c r="L488" s="404"/>
    </row>
    <row r="489" ht="15.75" customHeight="1">
      <c r="A489" s="400"/>
      <c r="B489" s="401"/>
      <c r="C489" s="401"/>
      <c r="D489" s="402" t="str">
        <f t="shared" si="1"/>
        <v/>
      </c>
      <c r="E489" s="403"/>
      <c r="F489" s="403"/>
      <c r="G489" s="404"/>
      <c r="H489" s="404"/>
      <c r="I489" s="404"/>
      <c r="J489" s="404"/>
      <c r="K489" s="404"/>
      <c r="L489" s="404"/>
    </row>
    <row r="490" ht="15.75" customHeight="1">
      <c r="A490" s="400"/>
      <c r="B490" s="401"/>
      <c r="C490" s="401"/>
      <c r="D490" s="402" t="str">
        <f t="shared" si="1"/>
        <v/>
      </c>
      <c r="E490" s="403"/>
      <c r="F490" s="403"/>
      <c r="G490" s="404"/>
      <c r="H490" s="404"/>
      <c r="I490" s="404"/>
      <c r="J490" s="404"/>
      <c r="K490" s="404"/>
      <c r="L490" s="404"/>
    </row>
    <row r="491" ht="15.75" customHeight="1">
      <c r="A491" s="400"/>
      <c r="B491" s="401"/>
      <c r="C491" s="401"/>
      <c r="D491" s="402" t="str">
        <f t="shared" si="1"/>
        <v/>
      </c>
      <c r="E491" s="403"/>
      <c r="F491" s="403"/>
      <c r="G491" s="404"/>
      <c r="H491" s="404"/>
      <c r="I491" s="404"/>
      <c r="J491" s="404"/>
      <c r="K491" s="404"/>
      <c r="L491" s="404"/>
    </row>
    <row r="492" ht="15.75" customHeight="1">
      <c r="A492" s="400"/>
      <c r="B492" s="401"/>
      <c r="C492" s="401"/>
      <c r="D492" s="402" t="str">
        <f t="shared" si="1"/>
        <v/>
      </c>
      <c r="E492" s="403"/>
      <c r="F492" s="403"/>
      <c r="G492" s="404"/>
      <c r="H492" s="404"/>
      <c r="I492" s="404"/>
      <c r="J492" s="404"/>
      <c r="K492" s="404"/>
      <c r="L492" s="404"/>
    </row>
    <row r="493" ht="15.75" customHeight="1">
      <c r="A493" s="400"/>
      <c r="B493" s="401"/>
      <c r="C493" s="401"/>
      <c r="D493" s="402" t="str">
        <f t="shared" si="1"/>
        <v/>
      </c>
      <c r="E493" s="403"/>
      <c r="F493" s="403"/>
      <c r="G493" s="404"/>
      <c r="H493" s="404"/>
      <c r="I493" s="404"/>
      <c r="J493" s="404"/>
      <c r="K493" s="404"/>
      <c r="L493" s="404"/>
    </row>
    <row r="494" ht="15.75" customHeight="1">
      <c r="A494" s="400"/>
      <c r="B494" s="401"/>
      <c r="C494" s="401"/>
      <c r="D494" s="402" t="str">
        <f t="shared" si="1"/>
        <v/>
      </c>
      <c r="E494" s="403"/>
      <c r="F494" s="403"/>
      <c r="G494" s="404"/>
      <c r="H494" s="404"/>
      <c r="I494" s="404"/>
      <c r="J494" s="404"/>
      <c r="K494" s="404"/>
      <c r="L494" s="404"/>
    </row>
    <row r="495" ht="15.75" customHeight="1">
      <c r="A495" s="400"/>
      <c r="B495" s="401"/>
      <c r="C495" s="401"/>
      <c r="D495" s="402" t="str">
        <f t="shared" si="1"/>
        <v/>
      </c>
      <c r="E495" s="403"/>
      <c r="F495" s="403"/>
      <c r="G495" s="404"/>
      <c r="H495" s="404"/>
      <c r="I495" s="404"/>
      <c r="J495" s="404"/>
      <c r="K495" s="404"/>
      <c r="L495" s="404"/>
    </row>
    <row r="496" ht="15.75" customHeight="1">
      <c r="A496" s="400"/>
      <c r="B496" s="401"/>
      <c r="C496" s="401"/>
      <c r="D496" s="402" t="str">
        <f t="shared" si="1"/>
        <v/>
      </c>
      <c r="E496" s="403"/>
      <c r="F496" s="403"/>
      <c r="G496" s="404"/>
      <c r="H496" s="404"/>
      <c r="I496" s="404"/>
      <c r="J496" s="404"/>
      <c r="K496" s="404"/>
      <c r="L496" s="404"/>
    </row>
    <row r="497" ht="15.75" customHeight="1">
      <c r="A497" s="400"/>
      <c r="B497" s="401"/>
      <c r="C497" s="401"/>
      <c r="D497" s="402" t="str">
        <f t="shared" si="1"/>
        <v/>
      </c>
      <c r="E497" s="403"/>
      <c r="F497" s="403"/>
      <c r="G497" s="404"/>
      <c r="H497" s="404"/>
      <c r="I497" s="404"/>
      <c r="J497" s="404"/>
      <c r="K497" s="404"/>
      <c r="L497" s="404"/>
    </row>
    <row r="498" ht="15.75" customHeight="1">
      <c r="A498" s="400"/>
      <c r="B498" s="401"/>
      <c r="C498" s="401"/>
      <c r="D498" s="402" t="str">
        <f t="shared" si="1"/>
        <v/>
      </c>
      <c r="E498" s="403"/>
      <c r="F498" s="403"/>
      <c r="G498" s="404"/>
      <c r="H498" s="404"/>
      <c r="I498" s="404"/>
      <c r="J498" s="404"/>
      <c r="K498" s="404"/>
      <c r="L498" s="404"/>
    </row>
    <row r="499" ht="15.75" customHeight="1">
      <c r="A499" s="400"/>
      <c r="B499" s="401"/>
      <c r="C499" s="401"/>
      <c r="D499" s="402" t="str">
        <f t="shared" si="1"/>
        <v/>
      </c>
      <c r="E499" s="403"/>
      <c r="F499" s="403"/>
      <c r="G499" s="404"/>
      <c r="H499" s="404"/>
      <c r="I499" s="404"/>
      <c r="J499" s="404"/>
      <c r="K499" s="404"/>
      <c r="L499" s="404"/>
    </row>
    <row r="500" ht="15.75" customHeight="1">
      <c r="A500" s="400"/>
      <c r="B500" s="401"/>
      <c r="C500" s="401"/>
      <c r="D500" s="402" t="str">
        <f t="shared" si="1"/>
        <v/>
      </c>
      <c r="E500" s="403"/>
      <c r="F500" s="403"/>
      <c r="G500" s="404"/>
      <c r="H500" s="404"/>
      <c r="I500" s="404"/>
      <c r="J500" s="404"/>
      <c r="K500" s="404"/>
      <c r="L500" s="404"/>
    </row>
    <row r="501" ht="15.75" customHeight="1">
      <c r="A501" s="400"/>
      <c r="B501" s="401"/>
      <c r="C501" s="401"/>
      <c r="D501" s="402" t="str">
        <f t="shared" si="1"/>
        <v/>
      </c>
      <c r="E501" s="403"/>
      <c r="F501" s="403"/>
      <c r="G501" s="404"/>
      <c r="H501" s="404"/>
      <c r="I501" s="404"/>
      <c r="J501" s="404"/>
      <c r="K501" s="404"/>
      <c r="L501" s="404"/>
    </row>
    <row r="502" ht="15.75" customHeight="1">
      <c r="A502" s="400"/>
      <c r="B502" s="401"/>
      <c r="C502" s="401"/>
      <c r="D502" s="402" t="str">
        <f t="shared" si="1"/>
        <v/>
      </c>
      <c r="E502" s="403"/>
      <c r="F502" s="403"/>
      <c r="G502" s="404"/>
      <c r="H502" s="404"/>
      <c r="I502" s="404"/>
      <c r="J502" s="404"/>
      <c r="K502" s="404"/>
      <c r="L502" s="404"/>
    </row>
    <row r="503" ht="15.75" customHeight="1">
      <c r="A503" s="400"/>
      <c r="B503" s="401"/>
      <c r="C503" s="401"/>
      <c r="D503" s="402" t="str">
        <f t="shared" si="1"/>
        <v/>
      </c>
      <c r="E503" s="403"/>
      <c r="F503" s="403"/>
      <c r="G503" s="404"/>
      <c r="H503" s="404"/>
      <c r="I503" s="404"/>
      <c r="J503" s="404"/>
      <c r="K503" s="404"/>
      <c r="L503" s="404"/>
    </row>
    <row r="504" ht="15.75" customHeight="1">
      <c r="A504" s="400"/>
      <c r="B504" s="401"/>
      <c r="C504" s="401"/>
      <c r="D504" s="402" t="str">
        <f t="shared" si="1"/>
        <v/>
      </c>
      <c r="E504" s="403"/>
      <c r="F504" s="403"/>
      <c r="G504" s="404"/>
      <c r="H504" s="404"/>
      <c r="I504" s="404"/>
      <c r="J504" s="404"/>
      <c r="K504" s="404"/>
      <c r="L504" s="404"/>
    </row>
    <row r="505" ht="15.75" customHeight="1">
      <c r="A505" s="400"/>
      <c r="B505" s="401"/>
      <c r="C505" s="401"/>
      <c r="D505" s="402" t="str">
        <f t="shared" si="1"/>
        <v/>
      </c>
      <c r="E505" s="403"/>
      <c r="F505" s="403"/>
      <c r="G505" s="404"/>
      <c r="H505" s="404"/>
      <c r="I505" s="404"/>
      <c r="J505" s="404"/>
      <c r="K505" s="404"/>
      <c r="L505" s="404"/>
    </row>
    <row r="506" ht="15.75" customHeight="1">
      <c r="A506" s="400"/>
      <c r="B506" s="401"/>
      <c r="C506" s="401"/>
      <c r="D506" s="402" t="str">
        <f t="shared" si="1"/>
        <v/>
      </c>
      <c r="E506" s="403"/>
      <c r="F506" s="403"/>
      <c r="G506" s="404"/>
      <c r="H506" s="404"/>
      <c r="I506" s="404"/>
      <c r="J506" s="404"/>
      <c r="K506" s="404"/>
      <c r="L506" s="404"/>
    </row>
    <row r="507" ht="15.75" customHeight="1">
      <c r="A507" s="400"/>
      <c r="B507" s="401"/>
      <c r="C507" s="401"/>
      <c r="D507" s="402" t="str">
        <f t="shared" si="1"/>
        <v/>
      </c>
      <c r="E507" s="403"/>
      <c r="F507" s="403"/>
      <c r="G507" s="404"/>
      <c r="H507" s="404"/>
      <c r="I507" s="404"/>
      <c r="J507" s="404"/>
      <c r="K507" s="404"/>
      <c r="L507" s="404"/>
    </row>
    <row r="508" ht="15.75" customHeight="1">
      <c r="A508" s="400"/>
      <c r="B508" s="401"/>
      <c r="C508" s="401"/>
      <c r="D508" s="402" t="str">
        <f t="shared" si="1"/>
        <v/>
      </c>
      <c r="E508" s="403"/>
      <c r="F508" s="403"/>
      <c r="G508" s="404"/>
      <c r="H508" s="404"/>
      <c r="I508" s="404"/>
      <c r="J508" s="404"/>
      <c r="K508" s="404"/>
      <c r="L508" s="404"/>
    </row>
    <row r="509" ht="15.75" customHeight="1">
      <c r="A509" s="400"/>
      <c r="B509" s="401"/>
      <c r="C509" s="401"/>
      <c r="D509" s="402" t="str">
        <f t="shared" si="1"/>
        <v/>
      </c>
      <c r="E509" s="403"/>
      <c r="F509" s="403"/>
      <c r="G509" s="404"/>
      <c r="H509" s="404"/>
      <c r="I509" s="404"/>
      <c r="J509" s="404"/>
      <c r="K509" s="404"/>
      <c r="L509" s="404"/>
    </row>
    <row r="510" ht="15.75" customHeight="1">
      <c r="A510" s="400"/>
      <c r="B510" s="401"/>
      <c r="C510" s="401"/>
      <c r="D510" s="402" t="str">
        <f t="shared" si="1"/>
        <v/>
      </c>
      <c r="E510" s="403"/>
      <c r="F510" s="403"/>
      <c r="G510" s="404"/>
      <c r="H510" s="404"/>
      <c r="I510" s="404"/>
      <c r="J510" s="404"/>
      <c r="K510" s="404"/>
      <c r="L510" s="404"/>
    </row>
    <row r="511" ht="15.75" customHeight="1">
      <c r="A511" s="400"/>
      <c r="B511" s="401"/>
      <c r="C511" s="401"/>
      <c r="D511" s="402" t="str">
        <f t="shared" si="1"/>
        <v/>
      </c>
      <c r="E511" s="403"/>
      <c r="F511" s="403"/>
      <c r="G511" s="404"/>
      <c r="H511" s="404"/>
      <c r="I511" s="404"/>
      <c r="J511" s="404"/>
      <c r="K511" s="404"/>
      <c r="L511" s="404"/>
    </row>
    <row r="512" ht="15.75" customHeight="1">
      <c r="A512" s="400"/>
      <c r="B512" s="401"/>
      <c r="C512" s="401"/>
      <c r="D512" s="402" t="str">
        <f t="shared" si="1"/>
        <v/>
      </c>
      <c r="E512" s="403"/>
      <c r="F512" s="403"/>
      <c r="G512" s="404"/>
      <c r="H512" s="404"/>
      <c r="I512" s="404"/>
      <c r="J512" s="404"/>
      <c r="K512" s="404"/>
      <c r="L512" s="404"/>
    </row>
    <row r="513" ht="15.75" customHeight="1">
      <c r="A513" s="400"/>
      <c r="B513" s="401"/>
      <c r="C513" s="401"/>
      <c r="D513" s="402" t="str">
        <f t="shared" si="1"/>
        <v/>
      </c>
      <c r="E513" s="403"/>
      <c r="F513" s="403"/>
      <c r="G513" s="404"/>
      <c r="H513" s="404"/>
      <c r="I513" s="404"/>
      <c r="J513" s="404"/>
      <c r="K513" s="404"/>
      <c r="L513" s="404"/>
    </row>
    <row r="514" ht="15.75" customHeight="1">
      <c r="A514" s="400"/>
      <c r="B514" s="401"/>
      <c r="C514" s="401"/>
      <c r="D514" s="402" t="str">
        <f t="shared" si="1"/>
        <v/>
      </c>
      <c r="E514" s="403"/>
      <c r="F514" s="403"/>
      <c r="G514" s="404"/>
      <c r="H514" s="404"/>
      <c r="I514" s="404"/>
      <c r="J514" s="404"/>
      <c r="K514" s="404"/>
      <c r="L514" s="404"/>
    </row>
    <row r="515" ht="15.75" customHeight="1">
      <c r="A515" s="400"/>
      <c r="B515" s="401"/>
      <c r="C515" s="401"/>
      <c r="D515" s="402" t="str">
        <f t="shared" si="1"/>
        <v/>
      </c>
      <c r="E515" s="403"/>
      <c r="F515" s="403"/>
      <c r="G515" s="404"/>
      <c r="H515" s="404"/>
      <c r="I515" s="404"/>
      <c r="J515" s="404"/>
      <c r="K515" s="404"/>
      <c r="L515" s="404"/>
    </row>
    <row r="516" ht="15.75" customHeight="1">
      <c r="A516" s="400"/>
      <c r="B516" s="401"/>
      <c r="C516" s="401"/>
      <c r="D516" s="402" t="str">
        <f t="shared" si="1"/>
        <v/>
      </c>
      <c r="E516" s="403"/>
      <c r="F516" s="403"/>
      <c r="G516" s="404"/>
      <c r="H516" s="404"/>
      <c r="I516" s="404"/>
      <c r="J516" s="404"/>
      <c r="K516" s="404"/>
      <c r="L516" s="404"/>
    </row>
    <row r="517" ht="15.75" customHeight="1">
      <c r="A517" s="400"/>
      <c r="B517" s="401"/>
      <c r="C517" s="401"/>
      <c r="D517" s="402" t="str">
        <f t="shared" si="1"/>
        <v/>
      </c>
      <c r="E517" s="403"/>
      <c r="F517" s="403"/>
      <c r="G517" s="404"/>
      <c r="H517" s="404"/>
      <c r="I517" s="404"/>
      <c r="J517" s="404"/>
      <c r="K517" s="404"/>
      <c r="L517" s="404"/>
    </row>
    <row r="518" ht="15.75" customHeight="1">
      <c r="A518" s="400"/>
      <c r="B518" s="401"/>
      <c r="C518" s="401"/>
      <c r="D518" s="402" t="str">
        <f t="shared" si="1"/>
        <v/>
      </c>
      <c r="E518" s="403"/>
      <c r="F518" s="403"/>
      <c r="G518" s="404"/>
      <c r="H518" s="404"/>
      <c r="I518" s="404"/>
      <c r="J518" s="404"/>
      <c r="K518" s="404"/>
      <c r="L518" s="404"/>
    </row>
    <row r="519" ht="15.75" customHeight="1">
      <c r="A519" s="400"/>
      <c r="B519" s="401"/>
      <c r="C519" s="401"/>
      <c r="D519" s="402" t="str">
        <f t="shared" si="1"/>
        <v/>
      </c>
      <c r="E519" s="403"/>
      <c r="F519" s="403"/>
      <c r="G519" s="404"/>
      <c r="H519" s="404"/>
      <c r="I519" s="404"/>
      <c r="J519" s="404"/>
      <c r="K519" s="404"/>
      <c r="L519" s="404"/>
    </row>
    <row r="520" ht="15.75" customHeight="1">
      <c r="A520" s="400"/>
      <c r="B520" s="401"/>
      <c r="C520" s="401"/>
      <c r="D520" s="402" t="str">
        <f t="shared" si="1"/>
        <v/>
      </c>
      <c r="E520" s="403"/>
      <c r="F520" s="403"/>
      <c r="G520" s="404"/>
      <c r="H520" s="404"/>
      <c r="I520" s="404"/>
      <c r="J520" s="404"/>
      <c r="K520" s="404"/>
      <c r="L520" s="404"/>
    </row>
    <row r="521" ht="15.75" customHeight="1">
      <c r="A521" s="400"/>
      <c r="B521" s="401"/>
      <c r="C521" s="401"/>
      <c r="D521" s="402" t="str">
        <f t="shared" si="1"/>
        <v/>
      </c>
      <c r="E521" s="403"/>
      <c r="F521" s="403"/>
      <c r="G521" s="404"/>
      <c r="H521" s="404"/>
      <c r="I521" s="404"/>
      <c r="J521" s="404"/>
      <c r="K521" s="404"/>
      <c r="L521" s="404"/>
    </row>
    <row r="522" ht="15.75" customHeight="1">
      <c r="A522" s="400"/>
      <c r="B522" s="401"/>
      <c r="C522" s="401"/>
      <c r="D522" s="402" t="str">
        <f t="shared" si="1"/>
        <v/>
      </c>
      <c r="E522" s="403"/>
      <c r="F522" s="403"/>
      <c r="G522" s="404"/>
      <c r="H522" s="404"/>
      <c r="I522" s="404"/>
      <c r="J522" s="404"/>
      <c r="K522" s="404"/>
      <c r="L522" s="404"/>
    </row>
    <row r="523" ht="15.75" customHeight="1">
      <c r="A523" s="400"/>
      <c r="B523" s="401"/>
      <c r="C523" s="401"/>
      <c r="D523" s="402" t="str">
        <f t="shared" si="1"/>
        <v/>
      </c>
      <c r="E523" s="403"/>
      <c r="F523" s="403"/>
      <c r="G523" s="404"/>
      <c r="H523" s="404"/>
      <c r="I523" s="404"/>
      <c r="J523" s="404"/>
      <c r="K523" s="404"/>
      <c r="L523" s="404"/>
    </row>
    <row r="524" ht="15.75" customHeight="1">
      <c r="A524" s="400"/>
      <c r="B524" s="401"/>
      <c r="C524" s="401"/>
      <c r="D524" s="402" t="str">
        <f t="shared" si="1"/>
        <v/>
      </c>
      <c r="E524" s="403"/>
      <c r="F524" s="403"/>
      <c r="G524" s="404"/>
      <c r="H524" s="404"/>
      <c r="I524" s="404"/>
      <c r="J524" s="404"/>
      <c r="K524" s="404"/>
      <c r="L524" s="404"/>
    </row>
    <row r="525" ht="15.75" customHeight="1">
      <c r="A525" s="400"/>
      <c r="B525" s="401"/>
      <c r="C525" s="401"/>
      <c r="D525" s="402" t="str">
        <f t="shared" si="1"/>
        <v/>
      </c>
      <c r="E525" s="403"/>
      <c r="F525" s="403"/>
      <c r="G525" s="404"/>
      <c r="H525" s="404"/>
      <c r="I525" s="404"/>
      <c r="J525" s="404"/>
      <c r="K525" s="404"/>
      <c r="L525" s="404"/>
    </row>
    <row r="526" ht="15.75" customHeight="1">
      <c r="A526" s="400"/>
      <c r="B526" s="401"/>
      <c r="C526" s="401"/>
      <c r="D526" s="402" t="str">
        <f t="shared" si="1"/>
        <v/>
      </c>
      <c r="E526" s="403"/>
      <c r="F526" s="403"/>
      <c r="G526" s="404"/>
      <c r="H526" s="404"/>
      <c r="I526" s="404"/>
      <c r="J526" s="404"/>
      <c r="K526" s="404"/>
      <c r="L526" s="404"/>
    </row>
    <row r="527" ht="15.75" customHeight="1">
      <c r="A527" s="400"/>
      <c r="B527" s="401"/>
      <c r="C527" s="401"/>
      <c r="D527" s="402" t="str">
        <f t="shared" si="1"/>
        <v/>
      </c>
      <c r="E527" s="403"/>
      <c r="F527" s="403"/>
      <c r="G527" s="404"/>
      <c r="H527" s="404"/>
      <c r="I527" s="404"/>
      <c r="J527" s="404"/>
      <c r="K527" s="404"/>
      <c r="L527" s="404"/>
    </row>
    <row r="528" ht="15.75" customHeight="1">
      <c r="A528" s="400"/>
      <c r="B528" s="401"/>
      <c r="C528" s="401"/>
      <c r="D528" s="402" t="str">
        <f t="shared" si="1"/>
        <v/>
      </c>
      <c r="E528" s="403"/>
      <c r="F528" s="403"/>
      <c r="G528" s="404"/>
      <c r="H528" s="404"/>
      <c r="I528" s="404"/>
      <c r="J528" s="404"/>
      <c r="K528" s="404"/>
      <c r="L528" s="404"/>
    </row>
    <row r="529" ht="15.75" customHeight="1">
      <c r="A529" s="400"/>
      <c r="B529" s="401"/>
      <c r="C529" s="401"/>
      <c r="D529" s="402" t="str">
        <f t="shared" si="1"/>
        <v/>
      </c>
      <c r="E529" s="403"/>
      <c r="F529" s="403"/>
      <c r="G529" s="404"/>
      <c r="H529" s="404"/>
      <c r="I529" s="404"/>
      <c r="J529" s="404"/>
      <c r="K529" s="404"/>
      <c r="L529" s="404"/>
    </row>
    <row r="530" ht="15.75" customHeight="1">
      <c r="A530" s="400"/>
      <c r="B530" s="401"/>
      <c r="C530" s="401"/>
      <c r="D530" s="402" t="str">
        <f t="shared" si="1"/>
        <v/>
      </c>
      <c r="E530" s="403"/>
      <c r="F530" s="403"/>
      <c r="G530" s="404"/>
      <c r="H530" s="404"/>
      <c r="I530" s="404"/>
      <c r="J530" s="404"/>
      <c r="K530" s="404"/>
      <c r="L530" s="404"/>
    </row>
    <row r="531" ht="15.75" customHeight="1">
      <c r="A531" s="400"/>
      <c r="B531" s="401"/>
      <c r="C531" s="401"/>
      <c r="D531" s="402" t="str">
        <f t="shared" si="1"/>
        <v/>
      </c>
      <c r="E531" s="403"/>
      <c r="F531" s="403"/>
      <c r="G531" s="404"/>
      <c r="H531" s="404"/>
      <c r="I531" s="404"/>
      <c r="J531" s="404"/>
      <c r="K531" s="404"/>
      <c r="L531" s="404"/>
    </row>
    <row r="532" ht="15.75" customHeight="1">
      <c r="A532" s="400"/>
      <c r="B532" s="401"/>
      <c r="C532" s="401"/>
      <c r="D532" s="402" t="str">
        <f t="shared" si="1"/>
        <v/>
      </c>
      <c r="E532" s="403"/>
      <c r="F532" s="403"/>
      <c r="G532" s="404"/>
      <c r="H532" s="404"/>
      <c r="I532" s="404"/>
      <c r="J532" s="404"/>
      <c r="K532" s="404"/>
      <c r="L532" s="404"/>
    </row>
    <row r="533" ht="15.75" customHeight="1">
      <c r="A533" s="400"/>
      <c r="B533" s="401"/>
      <c r="C533" s="401"/>
      <c r="D533" s="402" t="str">
        <f t="shared" si="1"/>
        <v/>
      </c>
      <c r="E533" s="403"/>
      <c r="F533" s="403"/>
      <c r="G533" s="404"/>
      <c r="H533" s="404"/>
      <c r="I533" s="404"/>
      <c r="J533" s="404"/>
      <c r="K533" s="404"/>
      <c r="L533" s="404"/>
    </row>
    <row r="534" ht="15.75" customHeight="1">
      <c r="A534" s="400"/>
      <c r="B534" s="401"/>
      <c r="C534" s="401"/>
      <c r="D534" s="402" t="str">
        <f t="shared" si="1"/>
        <v/>
      </c>
      <c r="E534" s="403"/>
      <c r="F534" s="403"/>
      <c r="G534" s="404"/>
      <c r="H534" s="404"/>
      <c r="I534" s="404"/>
      <c r="J534" s="404"/>
      <c r="K534" s="404"/>
      <c r="L534" s="404"/>
    </row>
    <row r="535" ht="15.75" customHeight="1">
      <c r="A535" s="400"/>
      <c r="B535" s="401"/>
      <c r="C535" s="401"/>
      <c r="D535" s="402" t="str">
        <f t="shared" si="1"/>
        <v/>
      </c>
      <c r="E535" s="403"/>
      <c r="F535" s="403"/>
      <c r="G535" s="404"/>
      <c r="H535" s="404"/>
      <c r="I535" s="404"/>
      <c r="J535" s="404"/>
      <c r="K535" s="404"/>
      <c r="L535" s="404"/>
    </row>
  </sheetData>
  <autoFilter ref="$A$1:$L$535"/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75"/>
    <col customWidth="1" min="2" max="2" width="18.38"/>
    <col customWidth="1" min="3" max="3" width="36.5"/>
    <col customWidth="1" min="4" max="4" width="18.25"/>
    <col customWidth="1" min="5" max="5" width="17.63"/>
    <col customWidth="1" min="6" max="6" width="13.0"/>
    <col customWidth="1" min="7" max="7" width="28.38"/>
    <col customWidth="1" min="8" max="8" width="13.0"/>
    <col customWidth="1" hidden="1" min="9" max="9" width="19.75"/>
    <col customWidth="1" min="10" max="10" width="19.0"/>
    <col customWidth="1" min="11" max="11" width="14.25"/>
    <col customWidth="1" min="12" max="12" width="10.88"/>
    <col customWidth="1" min="13" max="13" width="8.25"/>
    <col customWidth="1" min="14" max="14" width="10.13"/>
    <col customWidth="1" min="15" max="15" width="10.88"/>
    <col customWidth="1" min="16" max="16" width="14.0"/>
    <col customWidth="1" min="17" max="17" width="17.0"/>
    <col customWidth="1" min="18" max="18" width="27.38"/>
    <col customWidth="1" min="19" max="19" width="14.13"/>
    <col customWidth="1" min="20" max="20" width="10.88"/>
    <col customWidth="1" min="21" max="21" width="8.25"/>
    <col customWidth="1" min="22" max="22" width="10.13"/>
    <col customWidth="1" min="23" max="23" width="10.88"/>
    <col customWidth="1" min="24" max="24" width="14.0"/>
    <col customWidth="1" min="25" max="25" width="17.0"/>
    <col customWidth="1" min="26" max="26" width="21.5"/>
    <col customWidth="1" hidden="1" min="27" max="27" width="21.5"/>
  </cols>
  <sheetData>
    <row r="1">
      <c r="A1" s="74" t="s">
        <v>170</v>
      </c>
      <c r="B1" s="410"/>
      <c r="C1" s="410"/>
      <c r="D1" s="410"/>
      <c r="E1" s="410"/>
      <c r="F1" s="410"/>
      <c r="G1" s="410"/>
      <c r="H1" s="410"/>
      <c r="I1" s="410"/>
      <c r="J1" s="410"/>
      <c r="K1" s="75" t="str">
        <f>'Informações Relevantes Cenários'!A1</f>
        <v>Cenário 01: Pesquisa TI - Nacional</v>
      </c>
      <c r="L1" s="80"/>
      <c r="M1" s="80"/>
      <c r="N1" s="80"/>
      <c r="O1" s="80"/>
      <c r="P1" s="81"/>
      <c r="Q1" s="78" t="str">
        <f>"% da "&amp;'Painel Geral'!B5</f>
        <v>% da Mediana</v>
      </c>
      <c r="R1" s="78" t="s">
        <v>47</v>
      </c>
      <c r="S1" s="79" t="str">
        <f>'Informações Relevantes Cenários'!C1</f>
        <v>Cenário 02: Pesquisa TI - Corte por Santa Catarina</v>
      </c>
      <c r="T1" s="80"/>
      <c r="U1" s="80"/>
      <c r="V1" s="80"/>
      <c r="W1" s="80"/>
      <c r="X1" s="81"/>
      <c r="Y1" s="82" t="str">
        <f>"% da "&amp;'Painel Geral'!B5</f>
        <v>% da Mediana</v>
      </c>
      <c r="Z1" s="82" t="s">
        <v>47</v>
      </c>
      <c r="AA1" s="139"/>
    </row>
    <row r="2" ht="6.0" customHeight="1">
      <c r="A2" s="83"/>
      <c r="B2" s="411"/>
      <c r="C2" s="412"/>
      <c r="D2" s="412"/>
      <c r="E2" s="412"/>
      <c r="F2" s="413"/>
      <c r="G2" s="412"/>
      <c r="H2" s="413"/>
      <c r="I2" s="412"/>
      <c r="J2" s="414"/>
      <c r="K2" s="89"/>
      <c r="L2" s="90"/>
      <c r="M2" s="90"/>
      <c r="N2" s="90"/>
      <c r="O2" s="90"/>
      <c r="P2" s="91"/>
      <c r="Q2" s="92"/>
      <c r="R2" s="91"/>
      <c r="S2" s="93"/>
      <c r="T2" s="94"/>
      <c r="U2" s="94"/>
      <c r="V2" s="94"/>
      <c r="W2" s="94"/>
      <c r="X2" s="95"/>
      <c r="Y2" s="96"/>
      <c r="Z2" s="97"/>
      <c r="AA2" s="412"/>
    </row>
    <row r="3">
      <c r="A3" s="98" t="s">
        <v>37</v>
      </c>
      <c r="B3" s="415" t="s">
        <v>3</v>
      </c>
      <c r="C3" s="416" t="s">
        <v>38</v>
      </c>
      <c r="D3" s="417" t="s">
        <v>8</v>
      </c>
      <c r="E3" s="416" t="s">
        <v>7</v>
      </c>
      <c r="F3" s="416" t="s">
        <v>39</v>
      </c>
      <c r="G3" s="416" t="s">
        <v>40</v>
      </c>
      <c r="H3" s="418" t="s">
        <v>6</v>
      </c>
      <c r="I3" s="419" t="s">
        <v>51</v>
      </c>
      <c r="J3" s="420" t="s">
        <v>171</v>
      </c>
      <c r="K3" s="105" t="s">
        <v>53</v>
      </c>
      <c r="L3" s="106" t="s">
        <v>54</v>
      </c>
      <c r="M3" s="106" t="s">
        <v>55</v>
      </c>
      <c r="N3" s="106" t="s">
        <v>56</v>
      </c>
      <c r="O3" s="106" t="s">
        <v>57</v>
      </c>
      <c r="P3" s="107" t="s">
        <v>58</v>
      </c>
      <c r="Q3" s="108" t="s">
        <v>59</v>
      </c>
      <c r="R3" s="109" t="s">
        <v>60</v>
      </c>
      <c r="S3" s="110" t="s">
        <v>53</v>
      </c>
      <c r="T3" s="111" t="s">
        <v>54</v>
      </c>
      <c r="U3" s="111" t="s">
        <v>55</v>
      </c>
      <c r="V3" s="111" t="s">
        <v>56</v>
      </c>
      <c r="W3" s="111" t="s">
        <v>57</v>
      </c>
      <c r="X3" s="112" t="s">
        <v>58</v>
      </c>
      <c r="Y3" s="113" t="s">
        <v>61</v>
      </c>
      <c r="Z3" s="114" t="s">
        <v>62</v>
      </c>
      <c r="AA3" s="416" t="s">
        <v>172</v>
      </c>
    </row>
    <row r="4" ht="15.75" customHeight="1">
      <c r="A4" s="132">
        <v>3.0</v>
      </c>
      <c r="B4" s="21">
        <v>15.0</v>
      </c>
      <c r="C4" s="421" t="str">
        <f>VLOOKUP(A4,Jobmatch!A:E,2,0)</f>
        <v>Engenheiro de Software Full Stack Sr</v>
      </c>
      <c r="D4" s="422" t="str">
        <f>VLOOKUP(B4,'Folha de Pagamento'!B:G,6,0)</f>
        <v>DEV</v>
      </c>
      <c r="E4" s="421" t="str">
        <f>VLOOKUP(A4,Jobmatch!A:E,4,0)</f>
        <v>Tático</v>
      </c>
      <c r="F4" s="423">
        <f>VLOOKUP(A4,Jobmatch!A:F,5,0)</f>
        <v>1</v>
      </c>
      <c r="G4" s="422" t="str">
        <f>VLOOKUP(A4,Jobmatch!A:G,6,0)</f>
        <v>Desenvolvedor</v>
      </c>
      <c r="H4" s="424" t="str">
        <f>VLOOKUP(A4,Jobmatch!A:H,7,0)</f>
        <v>Sênior</v>
      </c>
      <c r="I4" s="425" t="str">
        <f t="shared" ref="I4:I36" si="1">F4&amp;H4</f>
        <v>1Sênior</v>
      </c>
      <c r="J4" s="426">
        <f>IFERROR(VLOOKUP(B4,'Folha de Pagamento'!B:I,8,0),"")</f>
        <v>6458.4</v>
      </c>
      <c r="K4" s="124">
        <f>IFERROR(VLOOKUP(I4,'C-01'!$D:$L,4,0),"")</f>
        <v>5873.21</v>
      </c>
      <c r="L4" s="125">
        <f>IFERROR(VLOOKUP(I4,'C-01'!$D:$L,5,0),"")</f>
        <v>7005.56</v>
      </c>
      <c r="M4" s="125">
        <f>IFERROR(VLOOKUP(I4,'C-01'!$D:$L,6,0),"")</f>
        <v>8047.78</v>
      </c>
      <c r="N4" s="125">
        <f>IFERROR(VLOOKUP(I4,'C-01'!$D:$L,7,0),"")</f>
        <v>7999.87</v>
      </c>
      <c r="O4" s="125">
        <f>IFERROR(VLOOKUP(I4,'C-01'!$D:$L,8,0),"")</f>
        <v>9271.4</v>
      </c>
      <c r="P4" s="124">
        <f>IFERROR(VLOOKUP(I4,'C-01'!$D:$L,9,0),"")</f>
        <v>10095.14</v>
      </c>
      <c r="Q4" s="126">
        <f>IFS('Painel Geral'!$B$5="Mediana",IFERROR(IF(OR(J4="",N4=0,N4=""),"",($J4/$N4)),""),'Painel Geral'!$B$5="Menor Salário",IFERROR(IF(OR(J4="",N4=0,N4=""),"",($J4/$K4)),""),'Painel Geral'!$B$5="1º Quartil",IFERROR(IF(OR(J4="",N4=0,N4=""),"",($J4/$L4)),""),'Painel Geral'!$B$5="Média",IFERROR(IF(OR(J4="",N4=0,N4=""),"",($J4/$M4)),""),'Painel Geral'!$B$5="3º Quartil",IFERROR(IF(OR(J4="",N4=0,N4=""),"",($J4/$O4)),""),'Painel Geral'!$B$5="Maior Salário",IFERROR(IF(OR(J4="",N4=0,N4=""),"",($J4/$P4)),""))</f>
        <v>0.8073131188</v>
      </c>
      <c r="R4" s="127" t="str">
        <f t="shared" ref="R4:R36" si="2">IFS(OR(K4="",K4=0,J4="", J4=0),"",Q4&lt;=80%,"Muito Defasado",Q4&lt;=90%,"Defasado",Q4&lt;=100%,"Na Média",Q4&lt;=110%,"Competitivo",Q4&lt;=120%,"Muito Competitivo",Q4&gt;120%,"Agressivo")</f>
        <v>Defasado</v>
      </c>
      <c r="S4" s="128">
        <f>IFERROR(VLOOKUP($I4,'C-02'!$D:$L,4,0),"")</f>
        <v>5928.64</v>
      </c>
      <c r="T4" s="128">
        <f>IFERROR(VLOOKUP($I4,'C-02'!$D:$L,5,FALSE),"")</f>
        <v>6791.87</v>
      </c>
      <c r="U4" s="128">
        <f>IFERROR(VLOOKUP($I4,'C-02'!$D:$L,6,FALSE),"")</f>
        <v>7984.54</v>
      </c>
      <c r="V4" s="128">
        <f>IFERROR(VLOOKUP($I4,'C-02'!$D:$L,7,FALSE),"")</f>
        <v>7851.14</v>
      </c>
      <c r="W4" s="128">
        <f>IFERROR(VLOOKUP($I4,'C-02'!$D:$L,8,FALSE),"")</f>
        <v>9534.06</v>
      </c>
      <c r="X4" s="128">
        <f>IFERROR(VLOOKUP($I4,'C-02'!$D:$L,9,FALSE),"")</f>
        <v>9921.51</v>
      </c>
      <c r="Y4" s="129">
        <f>IFS('Painel Geral'!$B$5="Mediana",IFERROR(IF(OR(J4="",V4=0,V4=""),"",($J4/$V4)),""),'Painel Geral'!$B$5="Menor Salário",IFERROR(IF(OR(J4="",V4=0,V4=""),"",($J4/$S4)),""),'Painel Geral'!$B$5="1º Quartil",IFERROR(IF(OR(J4="",V4=0,V4=""),"",($J4/$T4)),""),'Painel Geral'!$B$5="Média",IFERROR(IF(OR(J4="",V4=0,V4=""),"",($J4/$U4)),""),'Painel Geral'!$B$5="3º Quartil",IFERROR(IF(OR(J4="",V4=0,V4=""),"",($J4/$W4)),""),'Painel Geral'!$B$5="Maior Salário",IFERROR(IF(OR(J4="",V4=0,V4=""),"",($J4/$X4)),""))</f>
        <v>0.8226066533</v>
      </c>
      <c r="Z4" s="130" t="str">
        <f t="shared" ref="Z4:Z36" si="3">IFS(OR(S4="",S4=0,J4="", J4=0),"",Y4&lt;=80%,"Muito Defasado",Y4&lt;=90%,"Defasado",Y4&lt;=100%,"Na Média",Y4&lt;=110%,"Competitivo",Y4&lt;=120%,"Muito Competitivo",Y4&gt;120%,"Agressivo")</f>
        <v>Defasado</v>
      </c>
      <c r="AA4" s="427">
        <f>VLOOKUP(A4,'Cálculos Comparativos'!$A:$F,4,0)</f>
        <v>6458.4</v>
      </c>
    </row>
    <row r="5" ht="15.75" customHeight="1">
      <c r="A5" s="132">
        <v>3.0</v>
      </c>
      <c r="B5" s="21">
        <v>50.0</v>
      </c>
      <c r="C5" s="421" t="str">
        <f>VLOOKUP(A5,Jobmatch!A:E,2,0)</f>
        <v>Engenheiro de Software Full Stack Sr</v>
      </c>
      <c r="D5" s="422" t="str">
        <f>VLOOKUP(B5,'Folha de Pagamento'!B:G,6,0)</f>
        <v>DEV</v>
      </c>
      <c r="E5" s="421" t="str">
        <f>VLOOKUP(A5,Jobmatch!A:E,4,0)</f>
        <v>Tático</v>
      </c>
      <c r="F5" s="423">
        <f>VLOOKUP(A5,Jobmatch!A:F,5,0)</f>
        <v>1</v>
      </c>
      <c r="G5" s="422" t="str">
        <f>VLOOKUP(A5,Jobmatch!A:G,6,0)</f>
        <v>Desenvolvedor</v>
      </c>
      <c r="H5" s="424" t="str">
        <f>VLOOKUP(A5,Jobmatch!A:H,7,0)</f>
        <v>Sênior</v>
      </c>
      <c r="I5" s="425" t="str">
        <f t="shared" si="1"/>
        <v>1Sênior</v>
      </c>
      <c r="J5" s="426">
        <f>IFERROR(VLOOKUP(B5,'Folha de Pagamento'!B:I,8,0),"")</f>
        <v>6458.4</v>
      </c>
      <c r="K5" s="124">
        <f>IFERROR(VLOOKUP(I5,'C-01'!$D:$L,4,0),"")</f>
        <v>5873.21</v>
      </c>
      <c r="L5" s="125">
        <f>IFERROR(VLOOKUP(I5,'C-01'!$D:$L,5,0),"")</f>
        <v>7005.56</v>
      </c>
      <c r="M5" s="125">
        <f>IFERROR(VLOOKUP(I5,'C-01'!$D:$L,6,0),"")</f>
        <v>8047.78</v>
      </c>
      <c r="N5" s="125">
        <f>IFERROR(VLOOKUP(I5,'C-01'!$D:$L,7,0),"")</f>
        <v>7999.87</v>
      </c>
      <c r="O5" s="125">
        <f>IFERROR(VLOOKUP(I5,'C-01'!$D:$L,8,0),"")</f>
        <v>9271.4</v>
      </c>
      <c r="P5" s="124">
        <f>IFERROR(VLOOKUP(I5,'C-01'!$D:$L,9,0),"")</f>
        <v>10095.14</v>
      </c>
      <c r="Q5" s="126">
        <f>IFS('Painel Geral'!$B$5="Mediana",IFERROR(IF(OR(J5="",N5=0,N5=""),"",($J5/$N5)),""),'Painel Geral'!$B$5="Menor Salário",IFERROR(IF(OR(J5="",N5=0,N5=""),"",($J5/$K5)),""),'Painel Geral'!$B$5="1º Quartil",IFERROR(IF(OR(J5="",N5=0,N5=""),"",($J5/$L5)),""),'Painel Geral'!$B$5="Média",IFERROR(IF(OR(J5="",N5=0,N5=""),"",($J5/$M5)),""),'Painel Geral'!$B$5="3º Quartil",IFERROR(IF(OR(J5="",N5=0,N5=""),"",($J5/$O5)),""),'Painel Geral'!$B$5="Maior Salário",IFERROR(IF(OR(J5="",N5=0,N5=""),"",($J5/$P5)),""))</f>
        <v>0.8073131188</v>
      </c>
      <c r="R5" s="127" t="str">
        <f t="shared" si="2"/>
        <v>Defasado</v>
      </c>
      <c r="S5" s="128">
        <f>IFERROR(VLOOKUP($I5,'C-02'!$D:$L,4,0),"")</f>
        <v>5928.64</v>
      </c>
      <c r="T5" s="128">
        <f>IFERROR(VLOOKUP($I5,'C-02'!$D:$L,5,FALSE),"")</f>
        <v>6791.87</v>
      </c>
      <c r="U5" s="128">
        <f>IFERROR(VLOOKUP($I5,'C-02'!$D:$L,6,FALSE),"")</f>
        <v>7984.54</v>
      </c>
      <c r="V5" s="128">
        <f>IFERROR(VLOOKUP($I5,'C-02'!$D:$L,7,FALSE),"")</f>
        <v>7851.14</v>
      </c>
      <c r="W5" s="128">
        <f>IFERROR(VLOOKUP($I5,'C-02'!$D:$L,8,FALSE),"")</f>
        <v>9534.06</v>
      </c>
      <c r="X5" s="128">
        <f>IFERROR(VLOOKUP($I5,'C-02'!$D:$L,9,FALSE),"")</f>
        <v>9921.51</v>
      </c>
      <c r="Y5" s="129">
        <f>IFS('Painel Geral'!$B$5="Mediana",IFERROR(IF(OR(J5="",V5=0,V5=""),"",($J5/$V5)),""),'Painel Geral'!$B$5="Menor Salário",IFERROR(IF(OR(J5="",V5=0,V5=""),"",($J5/$S5)),""),'Painel Geral'!$B$5="1º Quartil",IFERROR(IF(OR(J5="",V5=0,V5=""),"",($J5/$T5)),""),'Painel Geral'!$B$5="Média",IFERROR(IF(OR(J5="",V5=0,V5=""),"",($J5/$U5)),""),'Painel Geral'!$B$5="3º Quartil",IFERROR(IF(OR(J5="",V5=0,V5=""),"",($J5/$W5)),""),'Painel Geral'!$B$5="Maior Salário",IFERROR(IF(OR(J5="",V5=0,V5=""),"",($J5/$X5)),""))</f>
        <v>0.8226066533</v>
      </c>
      <c r="Z5" s="130" t="str">
        <f t="shared" si="3"/>
        <v>Defasado</v>
      </c>
      <c r="AA5" s="427">
        <f>VLOOKUP(A5,'Cálculos Comparativos'!$A:$F,4,0)</f>
        <v>6458.4</v>
      </c>
    </row>
    <row r="6" ht="15.75" customHeight="1">
      <c r="A6" s="132">
        <v>2.0</v>
      </c>
      <c r="B6" s="21">
        <v>14.0</v>
      </c>
      <c r="C6" s="421" t="str">
        <f>VLOOKUP(A6,Jobmatch!A:E,2,0)</f>
        <v>Engenheiro de Software Full Stack Pl</v>
      </c>
      <c r="D6" s="422" t="str">
        <f>VLOOKUP(B6,'Folha de Pagamento'!B:G,6,0)</f>
        <v>DEV</v>
      </c>
      <c r="E6" s="421" t="str">
        <f>VLOOKUP(A6,Jobmatch!A:E,4,0)</f>
        <v>Operacional</v>
      </c>
      <c r="F6" s="423">
        <f>VLOOKUP(A6,Jobmatch!A:F,5,0)</f>
        <v>1</v>
      </c>
      <c r="G6" s="422" t="str">
        <f>VLOOKUP(A6,Jobmatch!A:G,6,0)</f>
        <v>Desenvolvedor</v>
      </c>
      <c r="H6" s="424" t="str">
        <f>VLOOKUP(A6,Jobmatch!A:H,7,0)</f>
        <v>Pleno</v>
      </c>
      <c r="I6" s="425" t="str">
        <f t="shared" si="1"/>
        <v>1Pleno</v>
      </c>
      <c r="J6" s="426">
        <f>IFERROR(VLOOKUP(B6,'Folha de Pagamento'!B:I,8,0),"")</f>
        <v>4305.6</v>
      </c>
      <c r="K6" s="124">
        <f>IFERROR(VLOOKUP(I6,'C-01'!$D:$L,4,0),"")</f>
        <v>3358.05</v>
      </c>
      <c r="L6" s="125">
        <f>IFERROR(VLOOKUP(I6,'C-01'!$D:$L,5,0),"")</f>
        <v>4730.15</v>
      </c>
      <c r="M6" s="125">
        <f>IFERROR(VLOOKUP(I6,'C-01'!$D:$L,6,0),"")</f>
        <v>5379.82</v>
      </c>
      <c r="N6" s="125">
        <f>IFERROR(VLOOKUP(I6,'C-01'!$D:$L,7,0),"")</f>
        <v>5342.35</v>
      </c>
      <c r="O6" s="125">
        <f>IFERROR(VLOOKUP(I6,'C-01'!$D:$L,8,0),"")</f>
        <v>5995.34</v>
      </c>
      <c r="P6" s="124">
        <f>IFERROR(VLOOKUP(I6,'C-01'!$D:$L,9,0),"")</f>
        <v>7790.91</v>
      </c>
      <c r="Q6" s="126">
        <f>IFS('Painel Geral'!$B$5="Mediana",IFERROR(IF(OR(J6="",N6=0,N6=""),"",($J6/$N6)),""),'Painel Geral'!$B$5="Menor Salário",IFERROR(IF(OR(J6="",N6=0,N6=""),"",($J6/$K6)),""),'Painel Geral'!$B$5="1º Quartil",IFERROR(IF(OR(J6="",N6=0,N6=""),"",($J6/$L6)),""),'Painel Geral'!$B$5="Média",IFERROR(IF(OR(J6="",N6=0,N6=""),"",($J6/$M6)),""),'Painel Geral'!$B$5="3º Quartil",IFERROR(IF(OR(J6="",N6=0,N6=""),"",($J6/$O6)),""),'Painel Geral'!$B$5="Maior Salário",IFERROR(IF(OR(J6="",N6=0,N6=""),"",($J6/$P6)),""))</f>
        <v>0.805937462</v>
      </c>
      <c r="R6" s="127" t="str">
        <f t="shared" si="2"/>
        <v>Defasado</v>
      </c>
      <c r="S6" s="128">
        <f>IFERROR(VLOOKUP($I6,'C-02'!$D:$L,4,0),"")</f>
        <v>3480.14</v>
      </c>
      <c r="T6" s="128">
        <f>IFERROR(VLOOKUP($I6,'C-02'!$D:$L,5,FALSE),"")</f>
        <v>4665.99</v>
      </c>
      <c r="U6" s="128">
        <f>IFERROR(VLOOKUP($I6,'C-02'!$D:$L,6,FALSE),"")</f>
        <v>5399.83</v>
      </c>
      <c r="V6" s="128">
        <f>IFERROR(VLOOKUP($I6,'C-02'!$D:$L,7,FALSE),"")</f>
        <v>5248.63</v>
      </c>
      <c r="W6" s="128">
        <f>IFERROR(VLOOKUP($I6,'C-02'!$D:$L,8,FALSE),"")</f>
        <v>6311.23</v>
      </c>
      <c r="X6" s="128">
        <f>IFERROR(VLOOKUP($I6,'C-02'!$D:$L,9,FALSE),"")</f>
        <v>7135.86</v>
      </c>
      <c r="Y6" s="129">
        <f>IFS('Painel Geral'!$B$5="Mediana",IFERROR(IF(OR(J6="",V6=0,V6=""),"",($J6/$V6)),""),'Painel Geral'!$B$5="Menor Salário",IFERROR(IF(OR(J6="",V6=0,V6=""),"",($J6/$S6)),""),'Painel Geral'!$B$5="1º Quartil",IFERROR(IF(OR(J6="",V6=0,V6=""),"",($J6/$T6)),""),'Painel Geral'!$B$5="Média",IFERROR(IF(OR(J6="",V6=0,V6=""),"",($J6/$U6)),""),'Painel Geral'!$B$5="3º Quartil",IFERROR(IF(OR(J6="",V6=0,V6=""),"",($J6/$W6)),""),'Painel Geral'!$B$5="Maior Salário",IFERROR(IF(OR(J6="",V6=0,V6=""),"",($J6/$X6)),""))</f>
        <v>0.8203283524</v>
      </c>
      <c r="Z6" s="130" t="str">
        <f t="shared" si="3"/>
        <v>Defasado</v>
      </c>
      <c r="AA6" s="427">
        <f>VLOOKUP(A6,'Cálculos Comparativos'!$A:$F,4,0)</f>
        <v>4305.6</v>
      </c>
    </row>
    <row r="7" ht="15.75" customHeight="1">
      <c r="A7" s="132">
        <v>2.0</v>
      </c>
      <c r="B7" s="21">
        <v>42.0</v>
      </c>
      <c r="C7" s="421" t="str">
        <f>VLOOKUP(A7,Jobmatch!A:E,2,0)</f>
        <v>Engenheiro de Software Full Stack Pl</v>
      </c>
      <c r="D7" s="422" t="str">
        <f>VLOOKUP(B7,'Folha de Pagamento'!B:G,6,0)</f>
        <v>DEV</v>
      </c>
      <c r="E7" s="421" t="str">
        <f>VLOOKUP(A7,Jobmatch!A:E,4,0)</f>
        <v>Operacional</v>
      </c>
      <c r="F7" s="423">
        <f>VLOOKUP(A7,Jobmatch!A:F,5,0)</f>
        <v>1</v>
      </c>
      <c r="G7" s="422" t="str">
        <f>VLOOKUP(A7,Jobmatch!A:G,6,0)</f>
        <v>Desenvolvedor</v>
      </c>
      <c r="H7" s="424" t="str">
        <f>VLOOKUP(A7,Jobmatch!A:H,7,0)</f>
        <v>Pleno</v>
      </c>
      <c r="I7" s="425" t="str">
        <f t="shared" si="1"/>
        <v>1Pleno</v>
      </c>
      <c r="J7" s="426">
        <f>IFERROR(VLOOKUP(B7,'Folha de Pagamento'!B:I,8,0),"")</f>
        <v>4305.6</v>
      </c>
      <c r="K7" s="124">
        <f>IFERROR(VLOOKUP(I7,'C-01'!$D:$L,4,0),"")</f>
        <v>3358.05</v>
      </c>
      <c r="L7" s="125">
        <f>IFERROR(VLOOKUP(I7,'C-01'!$D:$L,5,0),"")</f>
        <v>4730.15</v>
      </c>
      <c r="M7" s="125">
        <f>IFERROR(VLOOKUP(I7,'C-01'!$D:$L,6,0),"")</f>
        <v>5379.82</v>
      </c>
      <c r="N7" s="125">
        <f>IFERROR(VLOOKUP(I7,'C-01'!$D:$L,7,0),"")</f>
        <v>5342.35</v>
      </c>
      <c r="O7" s="125">
        <f>IFERROR(VLOOKUP(I7,'C-01'!$D:$L,8,0),"")</f>
        <v>5995.34</v>
      </c>
      <c r="P7" s="124">
        <f>IFERROR(VLOOKUP(I7,'C-01'!$D:$L,9,0),"")</f>
        <v>7790.91</v>
      </c>
      <c r="Q7" s="126">
        <f>IFS('Painel Geral'!$B$5="Mediana",IFERROR(IF(OR(J7="",N7=0,N7=""),"",($J7/$N7)),""),'Painel Geral'!$B$5="Menor Salário",IFERROR(IF(OR(J7="",N7=0,N7=""),"",($J7/$K7)),""),'Painel Geral'!$B$5="1º Quartil",IFERROR(IF(OR(J7="",N7=0,N7=""),"",($J7/$L7)),""),'Painel Geral'!$B$5="Média",IFERROR(IF(OR(J7="",N7=0,N7=""),"",($J7/$M7)),""),'Painel Geral'!$B$5="3º Quartil",IFERROR(IF(OR(J7="",N7=0,N7=""),"",($J7/$O7)),""),'Painel Geral'!$B$5="Maior Salário",IFERROR(IF(OR(J7="",N7=0,N7=""),"",($J7/$P7)),""))</f>
        <v>0.805937462</v>
      </c>
      <c r="R7" s="127" t="str">
        <f t="shared" si="2"/>
        <v>Defasado</v>
      </c>
      <c r="S7" s="128">
        <f>IFERROR(VLOOKUP($I7,'C-02'!$D:$L,4,0),"")</f>
        <v>3480.14</v>
      </c>
      <c r="T7" s="128">
        <f>IFERROR(VLOOKUP($I7,'C-02'!$D:$L,5,FALSE),"")</f>
        <v>4665.99</v>
      </c>
      <c r="U7" s="128">
        <f>IFERROR(VLOOKUP($I7,'C-02'!$D:$L,6,FALSE),"")</f>
        <v>5399.83</v>
      </c>
      <c r="V7" s="128">
        <f>IFERROR(VLOOKUP($I7,'C-02'!$D:$L,7,FALSE),"")</f>
        <v>5248.63</v>
      </c>
      <c r="W7" s="128">
        <f>IFERROR(VLOOKUP($I7,'C-02'!$D:$L,8,FALSE),"")</f>
        <v>6311.23</v>
      </c>
      <c r="X7" s="128">
        <f>IFERROR(VLOOKUP($I7,'C-02'!$D:$L,9,FALSE),"")</f>
        <v>7135.86</v>
      </c>
      <c r="Y7" s="129">
        <f>IFS('Painel Geral'!$B$5="Mediana",IFERROR(IF(OR(J7="",V7=0,V7=""),"",($J7/$V7)),""),'Painel Geral'!$B$5="Menor Salário",IFERROR(IF(OR(J7="",V7=0,V7=""),"",($J7/$S7)),""),'Painel Geral'!$B$5="1º Quartil",IFERROR(IF(OR(J7="",V7=0,V7=""),"",($J7/$T7)),""),'Painel Geral'!$B$5="Média",IFERROR(IF(OR(J7="",V7=0,V7=""),"",($J7/$U7)),""),'Painel Geral'!$B$5="3º Quartil",IFERROR(IF(OR(J7="",V7=0,V7=""),"",($J7/$W7)),""),'Painel Geral'!$B$5="Maior Salário",IFERROR(IF(OR(J7="",V7=0,V7=""),"",($J7/$X7)),""))</f>
        <v>0.8203283524</v>
      </c>
      <c r="Z7" s="130" t="str">
        <f t="shared" si="3"/>
        <v>Defasado</v>
      </c>
      <c r="AA7" s="427">
        <f>VLOOKUP(A7,'Cálculos Comparativos'!$A:$F,4,0)</f>
        <v>4305.6</v>
      </c>
    </row>
    <row r="8" ht="15.75" customHeight="1">
      <c r="A8" s="132">
        <v>2.0</v>
      </c>
      <c r="B8" s="21">
        <v>36.0</v>
      </c>
      <c r="C8" s="421" t="str">
        <f>VLOOKUP(A8,Jobmatch!A:E,2,0)</f>
        <v>Engenheiro de Software Full Stack Pl</v>
      </c>
      <c r="D8" s="422" t="str">
        <f>VLOOKUP(B8,'Folha de Pagamento'!B:G,6,0)</f>
        <v>DEV</v>
      </c>
      <c r="E8" s="421" t="str">
        <f>VLOOKUP(A8,Jobmatch!A:E,4,0)</f>
        <v>Operacional</v>
      </c>
      <c r="F8" s="423">
        <f>VLOOKUP(A8,Jobmatch!A:F,5,0)</f>
        <v>1</v>
      </c>
      <c r="G8" s="422" t="str">
        <f>VLOOKUP(A8,Jobmatch!A:G,6,0)</f>
        <v>Desenvolvedor</v>
      </c>
      <c r="H8" s="424" t="str">
        <f>VLOOKUP(A8,Jobmatch!A:H,7,0)</f>
        <v>Pleno</v>
      </c>
      <c r="I8" s="425" t="str">
        <f t="shared" si="1"/>
        <v>1Pleno</v>
      </c>
      <c r="J8" s="426">
        <f>IFERROR(VLOOKUP(B8,'Folha de Pagamento'!B:I,8,0),"")</f>
        <v>4305.6</v>
      </c>
      <c r="K8" s="124">
        <f>IFERROR(VLOOKUP(I8,'C-01'!$D:$L,4,0),"")</f>
        <v>3358.05</v>
      </c>
      <c r="L8" s="125">
        <f>IFERROR(VLOOKUP(I8,'C-01'!$D:$L,5,0),"")</f>
        <v>4730.15</v>
      </c>
      <c r="M8" s="125">
        <f>IFERROR(VLOOKUP(I8,'C-01'!$D:$L,6,0),"")</f>
        <v>5379.82</v>
      </c>
      <c r="N8" s="125">
        <f>IFERROR(VLOOKUP(I8,'C-01'!$D:$L,7,0),"")</f>
        <v>5342.35</v>
      </c>
      <c r="O8" s="125">
        <f>IFERROR(VLOOKUP(I8,'C-01'!$D:$L,8,0),"")</f>
        <v>5995.34</v>
      </c>
      <c r="P8" s="124">
        <f>IFERROR(VLOOKUP(I8,'C-01'!$D:$L,9,0),"")</f>
        <v>7790.91</v>
      </c>
      <c r="Q8" s="126">
        <f>IFS('Painel Geral'!$B$5="Mediana",IFERROR(IF(OR(J8="",N8=0,N8=""),"",($J8/$N8)),""),'Painel Geral'!$B$5="Menor Salário",IFERROR(IF(OR(J8="",N8=0,N8=""),"",($J8/$K8)),""),'Painel Geral'!$B$5="1º Quartil",IFERROR(IF(OR(J8="",N8=0,N8=""),"",($J8/$L8)),""),'Painel Geral'!$B$5="Média",IFERROR(IF(OR(J8="",N8=0,N8=""),"",($J8/$M8)),""),'Painel Geral'!$B$5="3º Quartil",IFERROR(IF(OR(J8="",N8=0,N8=""),"",($J8/$O8)),""),'Painel Geral'!$B$5="Maior Salário",IFERROR(IF(OR(J8="",N8=0,N8=""),"",($J8/$P8)),""))</f>
        <v>0.805937462</v>
      </c>
      <c r="R8" s="127" t="str">
        <f t="shared" si="2"/>
        <v>Defasado</v>
      </c>
      <c r="S8" s="128">
        <f>IFERROR(VLOOKUP($I8,'C-02'!$D:$L,4,0),"")</f>
        <v>3480.14</v>
      </c>
      <c r="T8" s="128">
        <f>IFERROR(VLOOKUP($I8,'C-02'!$D:$L,5,FALSE),"")</f>
        <v>4665.99</v>
      </c>
      <c r="U8" s="128">
        <f>IFERROR(VLOOKUP($I8,'C-02'!$D:$L,6,FALSE),"")</f>
        <v>5399.83</v>
      </c>
      <c r="V8" s="128">
        <f>IFERROR(VLOOKUP($I8,'C-02'!$D:$L,7,FALSE),"")</f>
        <v>5248.63</v>
      </c>
      <c r="W8" s="128">
        <f>IFERROR(VLOOKUP($I8,'C-02'!$D:$L,8,FALSE),"")</f>
        <v>6311.23</v>
      </c>
      <c r="X8" s="128">
        <f>IFERROR(VLOOKUP($I8,'C-02'!$D:$L,9,FALSE),"")</f>
        <v>7135.86</v>
      </c>
      <c r="Y8" s="129">
        <f>IFS('Painel Geral'!$B$5="Mediana",IFERROR(IF(OR(J8="",V8=0,V8=""),"",($J8/$V8)),""),'Painel Geral'!$B$5="Menor Salário",IFERROR(IF(OR(J8="",V8=0,V8=""),"",($J8/$S8)),""),'Painel Geral'!$B$5="1º Quartil",IFERROR(IF(OR(J8="",V8=0,V8=""),"",($J8/$T8)),""),'Painel Geral'!$B$5="Média",IFERROR(IF(OR(J8="",V8=0,V8=""),"",($J8/$U8)),""),'Painel Geral'!$B$5="3º Quartil",IFERROR(IF(OR(J8="",V8=0,V8=""),"",($J8/$W8)),""),'Painel Geral'!$B$5="Maior Salário",IFERROR(IF(OR(J8="",V8=0,V8=""),"",($J8/$X8)),""))</f>
        <v>0.8203283524</v>
      </c>
      <c r="Z8" s="130" t="str">
        <f t="shared" si="3"/>
        <v>Defasado</v>
      </c>
      <c r="AA8" s="427">
        <f>VLOOKUP(A8,'Cálculos Comparativos'!$A:$F,4,0)</f>
        <v>4305.6</v>
      </c>
    </row>
    <row r="9" ht="15.75" customHeight="1">
      <c r="A9" s="132">
        <v>2.0</v>
      </c>
      <c r="B9" s="21">
        <v>37.0</v>
      </c>
      <c r="C9" s="421" t="str">
        <f>VLOOKUP(A9,Jobmatch!A:E,2,0)</f>
        <v>Engenheiro de Software Full Stack Pl</v>
      </c>
      <c r="D9" s="422" t="str">
        <f>VLOOKUP(B9,'Folha de Pagamento'!B:G,6,0)</f>
        <v>DEV</v>
      </c>
      <c r="E9" s="421" t="str">
        <f>VLOOKUP(A9,Jobmatch!A:E,4,0)</f>
        <v>Operacional</v>
      </c>
      <c r="F9" s="423">
        <f>VLOOKUP(A9,Jobmatch!A:F,5,0)</f>
        <v>1</v>
      </c>
      <c r="G9" s="422" t="str">
        <f>VLOOKUP(A9,Jobmatch!A:G,6,0)</f>
        <v>Desenvolvedor</v>
      </c>
      <c r="H9" s="424" t="str">
        <f>VLOOKUP(A9,Jobmatch!A:H,7,0)</f>
        <v>Pleno</v>
      </c>
      <c r="I9" s="425" t="str">
        <f t="shared" si="1"/>
        <v>1Pleno</v>
      </c>
      <c r="J9" s="426">
        <f>IFERROR(VLOOKUP(B9,'Folha de Pagamento'!B:I,8,0),"")</f>
        <v>4305.6</v>
      </c>
      <c r="K9" s="124">
        <f>IFERROR(VLOOKUP(I9,'C-01'!$D:$L,4,0),"")</f>
        <v>3358.05</v>
      </c>
      <c r="L9" s="125">
        <f>IFERROR(VLOOKUP(I9,'C-01'!$D:$L,5,0),"")</f>
        <v>4730.15</v>
      </c>
      <c r="M9" s="125">
        <f>IFERROR(VLOOKUP(I9,'C-01'!$D:$L,6,0),"")</f>
        <v>5379.82</v>
      </c>
      <c r="N9" s="125">
        <f>IFERROR(VLOOKUP(I9,'C-01'!$D:$L,7,0),"")</f>
        <v>5342.35</v>
      </c>
      <c r="O9" s="125">
        <f>IFERROR(VLOOKUP(I9,'C-01'!$D:$L,8,0),"")</f>
        <v>5995.34</v>
      </c>
      <c r="P9" s="124">
        <f>IFERROR(VLOOKUP(I9,'C-01'!$D:$L,9,0),"")</f>
        <v>7790.91</v>
      </c>
      <c r="Q9" s="126">
        <f>IFS('Painel Geral'!$B$5="Mediana",IFERROR(IF(OR(J9="",N9=0,N9=""),"",($J9/$N9)),""),'Painel Geral'!$B$5="Menor Salário",IFERROR(IF(OR(J9="",N9=0,N9=""),"",($J9/$K9)),""),'Painel Geral'!$B$5="1º Quartil",IFERROR(IF(OR(J9="",N9=0,N9=""),"",($J9/$L9)),""),'Painel Geral'!$B$5="Média",IFERROR(IF(OR(J9="",N9=0,N9=""),"",($J9/$M9)),""),'Painel Geral'!$B$5="3º Quartil",IFERROR(IF(OR(J9="",N9=0,N9=""),"",($J9/$O9)),""),'Painel Geral'!$B$5="Maior Salário",IFERROR(IF(OR(J9="",N9=0,N9=""),"",($J9/$P9)),""))</f>
        <v>0.805937462</v>
      </c>
      <c r="R9" s="127" t="str">
        <f t="shared" si="2"/>
        <v>Defasado</v>
      </c>
      <c r="S9" s="128">
        <f>IFERROR(VLOOKUP($I9,'C-02'!$D:$L,4,0),"")</f>
        <v>3480.14</v>
      </c>
      <c r="T9" s="128">
        <f>IFERROR(VLOOKUP($I9,'C-02'!$D:$L,5,FALSE),"")</f>
        <v>4665.99</v>
      </c>
      <c r="U9" s="128">
        <f>IFERROR(VLOOKUP($I9,'C-02'!$D:$L,6,FALSE),"")</f>
        <v>5399.83</v>
      </c>
      <c r="V9" s="128">
        <f>IFERROR(VLOOKUP($I9,'C-02'!$D:$L,7,FALSE),"")</f>
        <v>5248.63</v>
      </c>
      <c r="W9" s="128">
        <f>IFERROR(VLOOKUP($I9,'C-02'!$D:$L,8,FALSE),"")</f>
        <v>6311.23</v>
      </c>
      <c r="X9" s="128">
        <f>IFERROR(VLOOKUP($I9,'C-02'!$D:$L,9,FALSE),"")</f>
        <v>7135.86</v>
      </c>
      <c r="Y9" s="129">
        <f>IFS('Painel Geral'!$B$5="Mediana",IFERROR(IF(OR(J9="",V9=0,V9=""),"",($J9/$V9)),""),'Painel Geral'!$B$5="Menor Salário",IFERROR(IF(OR(J9="",V9=0,V9=""),"",($J9/$S9)),""),'Painel Geral'!$B$5="1º Quartil",IFERROR(IF(OR(J9="",V9=0,V9=""),"",($J9/$T9)),""),'Painel Geral'!$B$5="Média",IFERROR(IF(OR(J9="",V9=0,V9=""),"",($J9/$U9)),""),'Painel Geral'!$B$5="3º Quartil",IFERROR(IF(OR(J9="",V9=0,V9=""),"",($J9/$W9)),""),'Painel Geral'!$B$5="Maior Salário",IFERROR(IF(OR(J9="",V9=0,V9=""),"",($J9/$X9)),""))</f>
        <v>0.8203283524</v>
      </c>
      <c r="Z9" s="130" t="str">
        <f t="shared" si="3"/>
        <v>Defasado</v>
      </c>
      <c r="AA9" s="427">
        <f>VLOOKUP(A9,'Cálculos Comparativos'!$A:$F,4,0)</f>
        <v>4305.6</v>
      </c>
    </row>
    <row r="10" ht="15.75" customHeight="1">
      <c r="A10" s="132">
        <v>2.0</v>
      </c>
      <c r="B10" s="21">
        <v>38.0</v>
      </c>
      <c r="C10" s="421" t="str">
        <f>VLOOKUP(A10,Jobmatch!A:E,2,0)</f>
        <v>Engenheiro de Software Full Stack Pl</v>
      </c>
      <c r="D10" s="422" t="str">
        <f>VLOOKUP(B10,'Folha de Pagamento'!B:G,6,0)</f>
        <v>DEV</v>
      </c>
      <c r="E10" s="421" t="str">
        <f>VLOOKUP(A10,Jobmatch!A:E,4,0)</f>
        <v>Operacional</v>
      </c>
      <c r="F10" s="423">
        <f>VLOOKUP(A10,Jobmatch!A:F,5,0)</f>
        <v>1</v>
      </c>
      <c r="G10" s="422" t="str">
        <f>VLOOKUP(A10,Jobmatch!A:G,6,0)</f>
        <v>Desenvolvedor</v>
      </c>
      <c r="H10" s="424" t="str">
        <f>VLOOKUP(A10,Jobmatch!A:H,7,0)</f>
        <v>Pleno</v>
      </c>
      <c r="I10" s="425" t="str">
        <f t="shared" si="1"/>
        <v>1Pleno</v>
      </c>
      <c r="J10" s="426">
        <f>IFERROR(VLOOKUP(B10,'Folha de Pagamento'!B:I,8,0),"")</f>
        <v>4305.6</v>
      </c>
      <c r="K10" s="124">
        <f>IFERROR(VLOOKUP(I10,'C-01'!$D:$L,4,0),"")</f>
        <v>3358.05</v>
      </c>
      <c r="L10" s="125">
        <f>IFERROR(VLOOKUP(I10,'C-01'!$D:$L,5,0),"")</f>
        <v>4730.15</v>
      </c>
      <c r="M10" s="125">
        <f>IFERROR(VLOOKUP(I10,'C-01'!$D:$L,6,0),"")</f>
        <v>5379.82</v>
      </c>
      <c r="N10" s="125">
        <f>IFERROR(VLOOKUP(I10,'C-01'!$D:$L,7,0),"")</f>
        <v>5342.35</v>
      </c>
      <c r="O10" s="125">
        <f>IFERROR(VLOOKUP(I10,'C-01'!$D:$L,8,0),"")</f>
        <v>5995.34</v>
      </c>
      <c r="P10" s="124">
        <f>IFERROR(VLOOKUP(I10,'C-01'!$D:$L,9,0),"")</f>
        <v>7790.91</v>
      </c>
      <c r="Q10" s="126">
        <f>IFS('Painel Geral'!$B$5="Mediana",IFERROR(IF(OR(J10="",N10=0,N10=""),"",($J10/$N10)),""),'Painel Geral'!$B$5="Menor Salário",IFERROR(IF(OR(J10="",N10=0,N10=""),"",($J10/$K10)),""),'Painel Geral'!$B$5="1º Quartil",IFERROR(IF(OR(J10="",N10=0,N10=""),"",($J10/$L10)),""),'Painel Geral'!$B$5="Média",IFERROR(IF(OR(J10="",N10=0,N10=""),"",($J10/$M10)),""),'Painel Geral'!$B$5="3º Quartil",IFERROR(IF(OR(J10="",N10=0,N10=""),"",($J10/$O10)),""),'Painel Geral'!$B$5="Maior Salário",IFERROR(IF(OR(J10="",N10=0,N10=""),"",($J10/$P10)),""))</f>
        <v>0.805937462</v>
      </c>
      <c r="R10" s="127" t="str">
        <f t="shared" si="2"/>
        <v>Defasado</v>
      </c>
      <c r="S10" s="128">
        <f>IFERROR(VLOOKUP($I10,'C-02'!$D:$L,4,0),"")</f>
        <v>3480.14</v>
      </c>
      <c r="T10" s="128">
        <f>IFERROR(VLOOKUP($I10,'C-02'!$D:$L,5,FALSE),"")</f>
        <v>4665.99</v>
      </c>
      <c r="U10" s="128">
        <f>IFERROR(VLOOKUP($I10,'C-02'!$D:$L,6,FALSE),"")</f>
        <v>5399.83</v>
      </c>
      <c r="V10" s="128">
        <f>IFERROR(VLOOKUP($I10,'C-02'!$D:$L,7,FALSE),"")</f>
        <v>5248.63</v>
      </c>
      <c r="W10" s="128">
        <f>IFERROR(VLOOKUP($I10,'C-02'!$D:$L,8,FALSE),"")</f>
        <v>6311.23</v>
      </c>
      <c r="X10" s="128">
        <f>IFERROR(VLOOKUP($I10,'C-02'!$D:$L,9,FALSE),"")</f>
        <v>7135.86</v>
      </c>
      <c r="Y10" s="129">
        <f>IFS('Painel Geral'!$B$5="Mediana",IFERROR(IF(OR(J10="",V10=0,V10=""),"",($J10/$V10)),""),'Painel Geral'!$B$5="Menor Salário",IFERROR(IF(OR(J10="",V10=0,V10=""),"",($J10/$S10)),""),'Painel Geral'!$B$5="1º Quartil",IFERROR(IF(OR(J10="",V10=0,V10=""),"",($J10/$T10)),""),'Painel Geral'!$B$5="Média",IFERROR(IF(OR(J10="",V10=0,V10=""),"",($J10/$U10)),""),'Painel Geral'!$B$5="3º Quartil",IFERROR(IF(OR(J10="",V10=0,V10=""),"",($J10/$W10)),""),'Painel Geral'!$B$5="Maior Salário",IFERROR(IF(OR(J10="",V10=0,V10=""),"",($J10/$X10)),""))</f>
        <v>0.8203283524</v>
      </c>
      <c r="Z10" s="130" t="str">
        <f t="shared" si="3"/>
        <v>Defasado</v>
      </c>
      <c r="AA10" s="427">
        <f>VLOOKUP(A10,'Cálculos Comparativos'!$A:$F,4,0)</f>
        <v>4305.6</v>
      </c>
    </row>
    <row r="11" ht="15.75" customHeight="1">
      <c r="A11" s="132">
        <v>1.0</v>
      </c>
      <c r="B11" s="21">
        <v>20.0</v>
      </c>
      <c r="C11" s="422" t="str">
        <f>VLOOKUP(A11,Jobmatch!A:E,2,0)</f>
        <v>Engenheiro de Software Full Stack Jr</v>
      </c>
      <c r="D11" s="422" t="str">
        <f>VLOOKUP(B11,'Folha de Pagamento'!B:G,6,0)</f>
        <v>DEV</v>
      </c>
      <c r="E11" s="421" t="str">
        <f>VLOOKUP(A11,Jobmatch!A:E,4,0)</f>
        <v>Operacional</v>
      </c>
      <c r="F11" s="423">
        <f>VLOOKUP(A11,Jobmatch!A:F,5,0)</f>
        <v>1</v>
      </c>
      <c r="G11" s="422" t="str">
        <f>VLOOKUP(A11,Jobmatch!A:G,6,0)</f>
        <v>Desenvolvedor</v>
      </c>
      <c r="H11" s="424" t="str">
        <f>VLOOKUP(A11,Jobmatch!A:H,7,0)</f>
        <v>Júnior</v>
      </c>
      <c r="I11" s="425" t="str">
        <f t="shared" si="1"/>
        <v>1Júnior</v>
      </c>
      <c r="J11" s="426">
        <f>IFERROR(VLOOKUP(B11,'Folha de Pagamento'!B:I,8,0),"")</f>
        <v>2489.18</v>
      </c>
      <c r="K11" s="124">
        <f>IFERROR(VLOOKUP(I11,'C-01'!$D:$L,4,0),"")</f>
        <v>2030.9</v>
      </c>
      <c r="L11" s="125">
        <f>IFERROR(VLOOKUP(I11,'C-01'!$D:$L,5,0),"")</f>
        <v>2706.62</v>
      </c>
      <c r="M11" s="125">
        <f>IFERROR(VLOOKUP(I11,'C-01'!$D:$L,6,0),"")</f>
        <v>3370.79</v>
      </c>
      <c r="N11" s="125">
        <f>IFERROR(VLOOKUP(I11,'C-01'!$D:$L,7,0),"")</f>
        <v>3379.04</v>
      </c>
      <c r="O11" s="125">
        <f>IFERROR(VLOOKUP(I11,'C-01'!$D:$L,8,0),"")</f>
        <v>3870.49</v>
      </c>
      <c r="P11" s="124">
        <f>IFERROR(VLOOKUP(I11,'C-01'!$D:$L,9,0),"")</f>
        <v>5268.74</v>
      </c>
      <c r="Q11" s="126">
        <f>IFS('Painel Geral'!$B$5="Mediana",IFERROR(IF(OR(J11="",N11=0,N11=""),"",($J11/$N11)),""),'Painel Geral'!$B$5="Menor Salário",IFERROR(IF(OR(J11="",N11=0,N11=""),"",($J11/$K11)),""),'Painel Geral'!$B$5="1º Quartil",IFERROR(IF(OR(J11="",N11=0,N11=""),"",($J11/$L11)),""),'Painel Geral'!$B$5="Média",IFERROR(IF(OR(J11="",N11=0,N11=""),"",($J11/$M11)),""),'Painel Geral'!$B$5="3º Quartil",IFERROR(IF(OR(J11="",N11=0,N11=""),"",($J11/$O11)),""),'Painel Geral'!$B$5="Maior Salário",IFERROR(IF(OR(J11="",N11=0,N11=""),"",($J11/$P11)),""))</f>
        <v>0.7366530139</v>
      </c>
      <c r="R11" s="127" t="str">
        <f t="shared" si="2"/>
        <v>Muito Defasado</v>
      </c>
      <c r="S11" s="128">
        <f>IFERROR(VLOOKUP($I11,'C-02'!$D:$L,4,0),"")</f>
        <v>2468.17</v>
      </c>
      <c r="T11" s="128">
        <f>IFERROR(VLOOKUP($I11,'C-02'!$D:$L,5,FALSE),"")</f>
        <v>2944.09</v>
      </c>
      <c r="U11" s="128">
        <f>IFERROR(VLOOKUP($I11,'C-02'!$D:$L,6,FALSE),"")</f>
        <v>3642.17</v>
      </c>
      <c r="V11" s="128">
        <f>IFERROR(VLOOKUP($I11,'C-02'!$D:$L,7,FALSE),"")</f>
        <v>3493.9</v>
      </c>
      <c r="W11" s="128">
        <f>IFERROR(VLOOKUP($I11,'C-02'!$D:$L,8,FALSE),"")</f>
        <v>4224.13</v>
      </c>
      <c r="X11" s="128">
        <f>IFERROR(VLOOKUP($I11,'C-02'!$D:$L,9,FALSE),"")</f>
        <v>5456.83</v>
      </c>
      <c r="Y11" s="129">
        <f>IFS('Painel Geral'!$B$5="Mediana",IFERROR(IF(OR(J11="",V11=0,V11=""),"",($J11/$V11)),""),'Painel Geral'!$B$5="Menor Salário",IFERROR(IF(OR(J11="",V11=0,V11=""),"",($J11/$S11)),""),'Painel Geral'!$B$5="1º Quartil",IFERROR(IF(OR(J11="",V11=0,V11=""),"",($J11/$T11)),""),'Painel Geral'!$B$5="Média",IFERROR(IF(OR(J11="",V11=0,V11=""),"",($J11/$U11)),""),'Painel Geral'!$B$5="3º Quartil",IFERROR(IF(OR(J11="",V11=0,V11=""),"",($J11/$W11)),""),'Painel Geral'!$B$5="Maior Salário",IFERROR(IF(OR(J11="",V11=0,V11=""),"",($J11/$X11)),""))</f>
        <v>0.7124359598</v>
      </c>
      <c r="Z11" s="130" t="str">
        <f t="shared" si="3"/>
        <v>Muito Defasado</v>
      </c>
      <c r="AA11" s="427">
        <f>VLOOKUP(A11,'Cálculos Comparativos'!$A:$F,4,0)</f>
        <v>2489.18</v>
      </c>
    </row>
    <row r="12" ht="15.75" customHeight="1">
      <c r="A12" s="132">
        <v>1.0</v>
      </c>
      <c r="B12" s="21">
        <v>54.0</v>
      </c>
      <c r="C12" s="422" t="str">
        <f>VLOOKUP(A12,Jobmatch!A:E,2,0)</f>
        <v>Engenheiro de Software Full Stack Jr</v>
      </c>
      <c r="D12" s="422" t="str">
        <f>VLOOKUP(B12,'Folha de Pagamento'!B:G,6,0)</f>
        <v>DEV</v>
      </c>
      <c r="E12" s="421" t="str">
        <f>VLOOKUP(A12,Jobmatch!A:E,4,0)</f>
        <v>Operacional</v>
      </c>
      <c r="F12" s="423">
        <f>VLOOKUP(A12,Jobmatch!A:F,5,0)</f>
        <v>1</v>
      </c>
      <c r="G12" s="422" t="str">
        <f>VLOOKUP(A12,Jobmatch!A:G,6,0)</f>
        <v>Desenvolvedor</v>
      </c>
      <c r="H12" s="424" t="str">
        <f>VLOOKUP(A12,Jobmatch!A:H,7,0)</f>
        <v>Júnior</v>
      </c>
      <c r="I12" s="425" t="str">
        <f t="shared" si="1"/>
        <v>1Júnior</v>
      </c>
      <c r="J12" s="426">
        <f>IFERROR(VLOOKUP(B12,'Folha de Pagamento'!B:I,8,0),"")</f>
        <v>2489.18</v>
      </c>
      <c r="K12" s="124">
        <f>IFERROR(VLOOKUP(I12,'C-01'!$D:$L,4,0),"")</f>
        <v>2030.9</v>
      </c>
      <c r="L12" s="125">
        <f>IFERROR(VLOOKUP(I12,'C-01'!$D:$L,5,0),"")</f>
        <v>2706.62</v>
      </c>
      <c r="M12" s="125">
        <f>IFERROR(VLOOKUP(I12,'C-01'!$D:$L,6,0),"")</f>
        <v>3370.79</v>
      </c>
      <c r="N12" s="125">
        <f>IFERROR(VLOOKUP(I12,'C-01'!$D:$L,7,0),"")</f>
        <v>3379.04</v>
      </c>
      <c r="O12" s="125">
        <f>IFERROR(VLOOKUP(I12,'C-01'!$D:$L,8,0),"")</f>
        <v>3870.49</v>
      </c>
      <c r="P12" s="124">
        <f>IFERROR(VLOOKUP(I12,'C-01'!$D:$L,9,0),"")</f>
        <v>5268.74</v>
      </c>
      <c r="Q12" s="126">
        <f>IFS('Painel Geral'!$B$5="Mediana",IFERROR(IF(OR(J12="",N12=0,N12=""),"",($J12/$N12)),""),'Painel Geral'!$B$5="Menor Salário",IFERROR(IF(OR(J12="",N12=0,N12=""),"",($J12/$K12)),""),'Painel Geral'!$B$5="1º Quartil",IFERROR(IF(OR(J12="",N12=0,N12=""),"",($J12/$L12)),""),'Painel Geral'!$B$5="Média",IFERROR(IF(OR(J12="",N12=0,N12=""),"",($J12/$M12)),""),'Painel Geral'!$B$5="3º Quartil",IFERROR(IF(OR(J12="",N12=0,N12=""),"",($J12/$O12)),""),'Painel Geral'!$B$5="Maior Salário",IFERROR(IF(OR(J12="",N12=0,N12=""),"",($J12/$P12)),""))</f>
        <v>0.7366530139</v>
      </c>
      <c r="R12" s="127" t="str">
        <f t="shared" si="2"/>
        <v>Muito Defasado</v>
      </c>
      <c r="S12" s="128">
        <f>IFERROR(VLOOKUP($I12,'C-02'!$D:$L,4,0),"")</f>
        <v>2468.17</v>
      </c>
      <c r="T12" s="128">
        <f>IFERROR(VLOOKUP($I12,'C-02'!$D:$L,5,FALSE),"")</f>
        <v>2944.09</v>
      </c>
      <c r="U12" s="128">
        <f>IFERROR(VLOOKUP($I12,'C-02'!$D:$L,6,FALSE),"")</f>
        <v>3642.17</v>
      </c>
      <c r="V12" s="128">
        <f>IFERROR(VLOOKUP($I12,'C-02'!$D:$L,7,FALSE),"")</f>
        <v>3493.9</v>
      </c>
      <c r="W12" s="128">
        <f>IFERROR(VLOOKUP($I12,'C-02'!$D:$L,8,FALSE),"")</f>
        <v>4224.13</v>
      </c>
      <c r="X12" s="128">
        <f>IFERROR(VLOOKUP($I12,'C-02'!$D:$L,9,FALSE),"")</f>
        <v>5456.83</v>
      </c>
      <c r="Y12" s="129">
        <f>IFS('Painel Geral'!$B$5="Mediana",IFERROR(IF(OR(J12="",V12=0,V12=""),"",($J12/$V12)),""),'Painel Geral'!$B$5="Menor Salário",IFERROR(IF(OR(J12="",V12=0,V12=""),"",($J12/$S12)),""),'Painel Geral'!$B$5="1º Quartil",IFERROR(IF(OR(J12="",V12=0,V12=""),"",($J12/$T12)),""),'Painel Geral'!$B$5="Média",IFERROR(IF(OR(J12="",V12=0,V12=""),"",($J12/$U12)),""),'Painel Geral'!$B$5="3º Quartil",IFERROR(IF(OR(J12="",V12=0,V12=""),"",($J12/$W12)),""),'Painel Geral'!$B$5="Maior Salário",IFERROR(IF(OR(J12="",V12=0,V12=""),"",($J12/$X12)),""))</f>
        <v>0.7124359598</v>
      </c>
      <c r="Z12" s="130" t="str">
        <f t="shared" si="3"/>
        <v>Muito Defasado</v>
      </c>
      <c r="AA12" s="427">
        <f>VLOOKUP(A12,'Cálculos Comparativos'!$A:$F,4,0)</f>
        <v>2489.18</v>
      </c>
    </row>
    <row r="13" ht="15.75" customHeight="1">
      <c r="A13" s="132">
        <v>1.0</v>
      </c>
      <c r="B13" s="21">
        <v>8.0</v>
      </c>
      <c r="C13" s="422" t="str">
        <f>VLOOKUP(A13,Jobmatch!A:E,2,0)</f>
        <v>Engenheiro de Software Full Stack Jr</v>
      </c>
      <c r="D13" s="422" t="str">
        <f>VLOOKUP(B13,'Folha de Pagamento'!B:G,6,0)</f>
        <v>DEV</v>
      </c>
      <c r="E13" s="421" t="str">
        <f>VLOOKUP(A13,Jobmatch!A:E,4,0)</f>
        <v>Operacional</v>
      </c>
      <c r="F13" s="423">
        <f>VLOOKUP(A13,Jobmatch!A:F,5,0)</f>
        <v>1</v>
      </c>
      <c r="G13" s="422" t="str">
        <f>VLOOKUP(A13,Jobmatch!A:G,6,0)</f>
        <v>Desenvolvedor</v>
      </c>
      <c r="H13" s="424" t="str">
        <f>VLOOKUP(A13,Jobmatch!A:H,7,0)</f>
        <v>Júnior</v>
      </c>
      <c r="I13" s="425" t="str">
        <f t="shared" si="1"/>
        <v>1Júnior</v>
      </c>
      <c r="J13" s="426">
        <f>IFERROR(VLOOKUP(B13,'Folha de Pagamento'!B:I,8,0),"")</f>
        <v>2489.18</v>
      </c>
      <c r="K13" s="124">
        <f>IFERROR(VLOOKUP(I13,'C-01'!$D:$L,4,0),"")</f>
        <v>2030.9</v>
      </c>
      <c r="L13" s="125">
        <f>IFERROR(VLOOKUP(I13,'C-01'!$D:$L,5,0),"")</f>
        <v>2706.62</v>
      </c>
      <c r="M13" s="125">
        <f>IFERROR(VLOOKUP(I13,'C-01'!$D:$L,6,0),"")</f>
        <v>3370.79</v>
      </c>
      <c r="N13" s="125">
        <f>IFERROR(VLOOKUP(I13,'C-01'!$D:$L,7,0),"")</f>
        <v>3379.04</v>
      </c>
      <c r="O13" s="125">
        <f>IFERROR(VLOOKUP(I13,'C-01'!$D:$L,8,0),"")</f>
        <v>3870.49</v>
      </c>
      <c r="P13" s="124">
        <f>IFERROR(VLOOKUP(I13,'C-01'!$D:$L,9,0),"")</f>
        <v>5268.74</v>
      </c>
      <c r="Q13" s="126">
        <f>IFS('Painel Geral'!$B$5="Mediana",IFERROR(IF(OR(J13="",N13=0,N13=""),"",($J13/$N13)),""),'Painel Geral'!$B$5="Menor Salário",IFERROR(IF(OR(J13="",N13=0,N13=""),"",($J13/$K13)),""),'Painel Geral'!$B$5="1º Quartil",IFERROR(IF(OR(J13="",N13=0,N13=""),"",($J13/$L13)),""),'Painel Geral'!$B$5="Média",IFERROR(IF(OR(J13="",N13=0,N13=""),"",($J13/$M13)),""),'Painel Geral'!$B$5="3º Quartil",IFERROR(IF(OR(J13="",N13=0,N13=""),"",($J13/$O13)),""),'Painel Geral'!$B$5="Maior Salário",IFERROR(IF(OR(J13="",N13=0,N13=""),"",($J13/$P13)),""))</f>
        <v>0.7366530139</v>
      </c>
      <c r="R13" s="127" t="str">
        <f t="shared" si="2"/>
        <v>Muito Defasado</v>
      </c>
      <c r="S13" s="128">
        <f>IFERROR(VLOOKUP($I13,'C-02'!$D:$L,4,0),"")</f>
        <v>2468.17</v>
      </c>
      <c r="T13" s="128">
        <f>IFERROR(VLOOKUP($I13,'C-02'!$D:$L,5,FALSE),"")</f>
        <v>2944.09</v>
      </c>
      <c r="U13" s="128">
        <f>IFERROR(VLOOKUP($I13,'C-02'!$D:$L,6,FALSE),"")</f>
        <v>3642.17</v>
      </c>
      <c r="V13" s="128">
        <f>IFERROR(VLOOKUP($I13,'C-02'!$D:$L,7,FALSE),"")</f>
        <v>3493.9</v>
      </c>
      <c r="W13" s="128">
        <f>IFERROR(VLOOKUP($I13,'C-02'!$D:$L,8,FALSE),"")</f>
        <v>4224.13</v>
      </c>
      <c r="X13" s="128">
        <f>IFERROR(VLOOKUP($I13,'C-02'!$D:$L,9,FALSE),"")</f>
        <v>5456.83</v>
      </c>
      <c r="Y13" s="129">
        <f>IFS('Painel Geral'!$B$5="Mediana",IFERROR(IF(OR(J13="",V13=0,V13=""),"",($J13/$V13)),""),'Painel Geral'!$B$5="Menor Salário",IFERROR(IF(OR(J13="",V13=0,V13=""),"",($J13/$S13)),""),'Painel Geral'!$B$5="1º Quartil",IFERROR(IF(OR(J13="",V13=0,V13=""),"",($J13/$T13)),""),'Painel Geral'!$B$5="Média",IFERROR(IF(OR(J13="",V13=0,V13=""),"",($J13/$U13)),""),'Painel Geral'!$B$5="3º Quartil",IFERROR(IF(OR(J13="",V13=0,V13=""),"",($J13/$W13)),""),'Painel Geral'!$B$5="Maior Salário",IFERROR(IF(OR(J13="",V13=0,V13=""),"",($J13/$X13)),""))</f>
        <v>0.7124359598</v>
      </c>
      <c r="Z13" s="130" t="str">
        <f t="shared" si="3"/>
        <v>Muito Defasado</v>
      </c>
      <c r="AA13" s="427">
        <f>VLOOKUP(A13,'Cálculos Comparativos'!$A:$F,4,0)</f>
        <v>2489.18</v>
      </c>
    </row>
    <row r="14" ht="15.75" customHeight="1">
      <c r="A14" s="132">
        <v>1.0</v>
      </c>
      <c r="B14" s="21">
        <v>41.0</v>
      </c>
      <c r="C14" s="422" t="str">
        <f>VLOOKUP(A14,Jobmatch!A:E,2,0)</f>
        <v>Engenheiro de Software Full Stack Jr</v>
      </c>
      <c r="D14" s="422" t="str">
        <f>VLOOKUP(B14,'Folha de Pagamento'!B:G,6,0)</f>
        <v>DEV</v>
      </c>
      <c r="E14" s="421" t="str">
        <f>VLOOKUP(A14,Jobmatch!A:E,4,0)</f>
        <v>Operacional</v>
      </c>
      <c r="F14" s="423">
        <f>VLOOKUP(A14,Jobmatch!A:F,5,0)</f>
        <v>1</v>
      </c>
      <c r="G14" s="422" t="str">
        <f>VLOOKUP(A14,Jobmatch!A:G,6,0)</f>
        <v>Desenvolvedor</v>
      </c>
      <c r="H14" s="424" t="str">
        <f>VLOOKUP(A14,Jobmatch!A:H,7,0)</f>
        <v>Júnior</v>
      </c>
      <c r="I14" s="425" t="str">
        <f t="shared" si="1"/>
        <v>1Júnior</v>
      </c>
      <c r="J14" s="426">
        <f>IFERROR(VLOOKUP(B14,'Folha de Pagamento'!B:I,8,0),"")</f>
        <v>2489.18</v>
      </c>
      <c r="K14" s="124">
        <f>IFERROR(VLOOKUP(I14,'C-01'!$D:$L,4,0),"")</f>
        <v>2030.9</v>
      </c>
      <c r="L14" s="125">
        <f>IFERROR(VLOOKUP(I14,'C-01'!$D:$L,5,0),"")</f>
        <v>2706.62</v>
      </c>
      <c r="M14" s="125">
        <f>IFERROR(VLOOKUP(I14,'C-01'!$D:$L,6,0),"")</f>
        <v>3370.79</v>
      </c>
      <c r="N14" s="125">
        <f>IFERROR(VLOOKUP(I14,'C-01'!$D:$L,7,0),"")</f>
        <v>3379.04</v>
      </c>
      <c r="O14" s="125">
        <f>IFERROR(VLOOKUP(I14,'C-01'!$D:$L,8,0),"")</f>
        <v>3870.49</v>
      </c>
      <c r="P14" s="124">
        <f>IFERROR(VLOOKUP(I14,'C-01'!$D:$L,9,0),"")</f>
        <v>5268.74</v>
      </c>
      <c r="Q14" s="126">
        <f>IFS('Painel Geral'!$B$5="Mediana",IFERROR(IF(OR(J14="",N14=0,N14=""),"",($J14/$N14)),""),'Painel Geral'!$B$5="Menor Salário",IFERROR(IF(OR(J14="",N14=0,N14=""),"",($J14/$K14)),""),'Painel Geral'!$B$5="1º Quartil",IFERROR(IF(OR(J14="",N14=0,N14=""),"",($J14/$L14)),""),'Painel Geral'!$B$5="Média",IFERROR(IF(OR(J14="",N14=0,N14=""),"",($J14/$M14)),""),'Painel Geral'!$B$5="3º Quartil",IFERROR(IF(OR(J14="",N14=0,N14=""),"",($J14/$O14)),""),'Painel Geral'!$B$5="Maior Salário",IFERROR(IF(OR(J14="",N14=0,N14=""),"",($J14/$P14)),""))</f>
        <v>0.7366530139</v>
      </c>
      <c r="R14" s="127" t="str">
        <f t="shared" si="2"/>
        <v>Muito Defasado</v>
      </c>
      <c r="S14" s="128">
        <f>IFERROR(VLOOKUP($I14,'C-02'!$D:$L,4,0),"")</f>
        <v>2468.17</v>
      </c>
      <c r="T14" s="128">
        <f>IFERROR(VLOOKUP($I14,'C-02'!$D:$L,5,FALSE),"")</f>
        <v>2944.09</v>
      </c>
      <c r="U14" s="128">
        <f>IFERROR(VLOOKUP($I14,'C-02'!$D:$L,6,FALSE),"")</f>
        <v>3642.17</v>
      </c>
      <c r="V14" s="128">
        <f>IFERROR(VLOOKUP($I14,'C-02'!$D:$L,7,FALSE),"")</f>
        <v>3493.9</v>
      </c>
      <c r="W14" s="128">
        <f>IFERROR(VLOOKUP($I14,'C-02'!$D:$L,8,FALSE),"")</f>
        <v>4224.13</v>
      </c>
      <c r="X14" s="128">
        <f>IFERROR(VLOOKUP($I14,'C-02'!$D:$L,9,FALSE),"")</f>
        <v>5456.83</v>
      </c>
      <c r="Y14" s="129">
        <f>IFS('Painel Geral'!$B$5="Mediana",IFERROR(IF(OR(J14="",V14=0,V14=""),"",($J14/$V14)),""),'Painel Geral'!$B$5="Menor Salário",IFERROR(IF(OR(J14="",V14=0,V14=""),"",($J14/$S14)),""),'Painel Geral'!$B$5="1º Quartil",IFERROR(IF(OR(J14="",V14=0,V14=""),"",($J14/$T14)),""),'Painel Geral'!$B$5="Média",IFERROR(IF(OR(J14="",V14=0,V14=""),"",($J14/$U14)),""),'Painel Geral'!$B$5="3º Quartil",IFERROR(IF(OR(J14="",V14=0,V14=""),"",($J14/$W14)),""),'Painel Geral'!$B$5="Maior Salário",IFERROR(IF(OR(J14="",V14=0,V14=""),"",($J14/$X14)),""))</f>
        <v>0.7124359598</v>
      </c>
      <c r="Z14" s="130" t="str">
        <f t="shared" si="3"/>
        <v>Muito Defasado</v>
      </c>
      <c r="AA14" s="427">
        <f>VLOOKUP(A14,'Cálculos Comparativos'!$A:$F,4,0)</f>
        <v>2489.18</v>
      </c>
    </row>
    <row r="15" ht="15.75" customHeight="1">
      <c r="A15" s="132">
        <v>1.0</v>
      </c>
      <c r="B15" s="21">
        <v>46.0</v>
      </c>
      <c r="C15" s="422" t="str">
        <f>VLOOKUP(A15,Jobmatch!A:E,2,0)</f>
        <v>Engenheiro de Software Full Stack Jr</v>
      </c>
      <c r="D15" s="422" t="str">
        <f>VLOOKUP(B15,'Folha de Pagamento'!B:G,6,0)</f>
        <v>DEV</v>
      </c>
      <c r="E15" s="421" t="str">
        <f>VLOOKUP(A15,Jobmatch!A:E,4,0)</f>
        <v>Operacional</v>
      </c>
      <c r="F15" s="423">
        <f>VLOOKUP(A15,Jobmatch!A:F,5,0)</f>
        <v>1</v>
      </c>
      <c r="G15" s="422" t="str">
        <f>VLOOKUP(A15,Jobmatch!A:G,6,0)</f>
        <v>Desenvolvedor</v>
      </c>
      <c r="H15" s="424" t="str">
        <f>VLOOKUP(A15,Jobmatch!A:H,7,0)</f>
        <v>Júnior</v>
      </c>
      <c r="I15" s="425" t="str">
        <f t="shared" si="1"/>
        <v>1Júnior</v>
      </c>
      <c r="J15" s="426">
        <f>IFERROR(VLOOKUP(B15,'Folha de Pagamento'!B:I,8,0),"")</f>
        <v>2489.18</v>
      </c>
      <c r="K15" s="124">
        <f>IFERROR(VLOOKUP(I15,'C-01'!$D:$L,4,0),"")</f>
        <v>2030.9</v>
      </c>
      <c r="L15" s="125">
        <f>IFERROR(VLOOKUP(I15,'C-01'!$D:$L,5,0),"")</f>
        <v>2706.62</v>
      </c>
      <c r="M15" s="125">
        <f>IFERROR(VLOOKUP(I15,'C-01'!$D:$L,6,0),"")</f>
        <v>3370.79</v>
      </c>
      <c r="N15" s="125">
        <f>IFERROR(VLOOKUP(I15,'C-01'!$D:$L,7,0),"")</f>
        <v>3379.04</v>
      </c>
      <c r="O15" s="125">
        <f>IFERROR(VLOOKUP(I15,'C-01'!$D:$L,8,0),"")</f>
        <v>3870.49</v>
      </c>
      <c r="P15" s="124">
        <f>IFERROR(VLOOKUP(I15,'C-01'!$D:$L,9,0),"")</f>
        <v>5268.74</v>
      </c>
      <c r="Q15" s="126">
        <f>IFS('Painel Geral'!$B$5="Mediana",IFERROR(IF(OR(J15="",N15=0,N15=""),"",($J15/$N15)),""),'Painel Geral'!$B$5="Menor Salário",IFERROR(IF(OR(J15="",N15=0,N15=""),"",($J15/$K15)),""),'Painel Geral'!$B$5="1º Quartil",IFERROR(IF(OR(J15="",N15=0,N15=""),"",($J15/$L15)),""),'Painel Geral'!$B$5="Média",IFERROR(IF(OR(J15="",N15=0,N15=""),"",($J15/$M15)),""),'Painel Geral'!$B$5="3º Quartil",IFERROR(IF(OR(J15="",N15=0,N15=""),"",($J15/$O15)),""),'Painel Geral'!$B$5="Maior Salário",IFERROR(IF(OR(J15="",N15=0,N15=""),"",($J15/$P15)),""))</f>
        <v>0.7366530139</v>
      </c>
      <c r="R15" s="127" t="str">
        <f t="shared" si="2"/>
        <v>Muito Defasado</v>
      </c>
      <c r="S15" s="128">
        <f>IFERROR(VLOOKUP($I15,'C-02'!$D:$L,4,0),"")</f>
        <v>2468.17</v>
      </c>
      <c r="T15" s="128">
        <f>IFERROR(VLOOKUP($I15,'C-02'!$D:$L,5,FALSE),"")</f>
        <v>2944.09</v>
      </c>
      <c r="U15" s="128">
        <f>IFERROR(VLOOKUP($I15,'C-02'!$D:$L,6,FALSE),"")</f>
        <v>3642.17</v>
      </c>
      <c r="V15" s="128">
        <f>IFERROR(VLOOKUP($I15,'C-02'!$D:$L,7,FALSE),"")</f>
        <v>3493.9</v>
      </c>
      <c r="W15" s="128">
        <f>IFERROR(VLOOKUP($I15,'C-02'!$D:$L,8,FALSE),"")</f>
        <v>4224.13</v>
      </c>
      <c r="X15" s="128">
        <f>IFERROR(VLOOKUP($I15,'C-02'!$D:$L,9,FALSE),"")</f>
        <v>5456.83</v>
      </c>
      <c r="Y15" s="129">
        <f>IFS('Painel Geral'!$B$5="Mediana",IFERROR(IF(OR(J15="",V15=0,V15=""),"",($J15/$V15)),""),'Painel Geral'!$B$5="Menor Salário",IFERROR(IF(OR(J15="",V15=0,V15=""),"",($J15/$S15)),""),'Painel Geral'!$B$5="1º Quartil",IFERROR(IF(OR(J15="",V15=0,V15=""),"",($J15/$T15)),""),'Painel Geral'!$B$5="Média",IFERROR(IF(OR(J15="",V15=0,V15=""),"",($J15/$U15)),""),'Painel Geral'!$B$5="3º Quartil",IFERROR(IF(OR(J15="",V15=0,V15=""),"",($J15/$W15)),""),'Painel Geral'!$B$5="Maior Salário",IFERROR(IF(OR(J15="",V15=0,V15=""),"",($J15/$X15)),""))</f>
        <v>0.7124359598</v>
      </c>
      <c r="Z15" s="130" t="str">
        <f t="shared" si="3"/>
        <v>Muito Defasado</v>
      </c>
      <c r="AA15" s="427"/>
    </row>
    <row r="16" ht="15.75" customHeight="1">
      <c r="A16" s="132">
        <v>1.0</v>
      </c>
      <c r="B16" s="21">
        <v>40.0</v>
      </c>
      <c r="C16" s="422" t="str">
        <f>VLOOKUP(A16,Jobmatch!A:E,2,0)</f>
        <v>Engenheiro de Software Full Stack Jr</v>
      </c>
      <c r="D16" s="422" t="str">
        <f>VLOOKUP(B16,'Folha de Pagamento'!B:G,6,0)</f>
        <v>DEV</v>
      </c>
      <c r="E16" s="421" t="str">
        <f>VLOOKUP(A16,Jobmatch!A:E,4,0)</f>
        <v>Operacional</v>
      </c>
      <c r="F16" s="423">
        <f>VLOOKUP(A16,Jobmatch!A:F,5,0)</f>
        <v>1</v>
      </c>
      <c r="G16" s="422" t="str">
        <f>VLOOKUP(A16,Jobmatch!A:G,6,0)</f>
        <v>Desenvolvedor</v>
      </c>
      <c r="H16" s="424" t="str">
        <f>VLOOKUP(A16,Jobmatch!A:H,7,0)</f>
        <v>Júnior</v>
      </c>
      <c r="I16" s="425" t="str">
        <f t="shared" si="1"/>
        <v>1Júnior</v>
      </c>
      <c r="J16" s="426">
        <f>IFERROR(VLOOKUP(B16,'Folha de Pagamento'!B:I,8,0),"")</f>
        <v>2489.18</v>
      </c>
      <c r="K16" s="124">
        <f>IFERROR(VLOOKUP(I16,'C-01'!$D:$L,4,0),"")</f>
        <v>2030.9</v>
      </c>
      <c r="L16" s="125">
        <f>IFERROR(VLOOKUP(I16,'C-01'!$D:$L,5,0),"")</f>
        <v>2706.62</v>
      </c>
      <c r="M16" s="125">
        <f>IFERROR(VLOOKUP(I16,'C-01'!$D:$L,6,0),"")</f>
        <v>3370.79</v>
      </c>
      <c r="N16" s="125">
        <f>IFERROR(VLOOKUP(I16,'C-01'!$D:$L,7,0),"")</f>
        <v>3379.04</v>
      </c>
      <c r="O16" s="125">
        <f>IFERROR(VLOOKUP(I16,'C-01'!$D:$L,8,0),"")</f>
        <v>3870.49</v>
      </c>
      <c r="P16" s="124">
        <f>IFERROR(VLOOKUP(I16,'C-01'!$D:$L,9,0),"")</f>
        <v>5268.74</v>
      </c>
      <c r="Q16" s="126">
        <f>IFS('Painel Geral'!$B$5="Mediana",IFERROR(IF(OR(J16="",N16=0,N16=""),"",($J16/$N16)),""),'Painel Geral'!$B$5="Menor Salário",IFERROR(IF(OR(J16="",N16=0,N16=""),"",($J16/$K16)),""),'Painel Geral'!$B$5="1º Quartil",IFERROR(IF(OR(J16="",N16=0,N16=""),"",($J16/$L16)),""),'Painel Geral'!$B$5="Média",IFERROR(IF(OR(J16="",N16=0,N16=""),"",($J16/$M16)),""),'Painel Geral'!$B$5="3º Quartil",IFERROR(IF(OR(J16="",N16=0,N16=""),"",($J16/$O16)),""),'Painel Geral'!$B$5="Maior Salário",IFERROR(IF(OR(J16="",N16=0,N16=""),"",($J16/$P16)),""))</f>
        <v>0.7366530139</v>
      </c>
      <c r="R16" s="127" t="str">
        <f t="shared" si="2"/>
        <v>Muito Defasado</v>
      </c>
      <c r="S16" s="128">
        <f>IFERROR(VLOOKUP($I16,'C-02'!$D:$L,4,0),"")</f>
        <v>2468.17</v>
      </c>
      <c r="T16" s="128">
        <f>IFERROR(VLOOKUP($I16,'C-02'!$D:$L,5,FALSE),"")</f>
        <v>2944.09</v>
      </c>
      <c r="U16" s="128">
        <f>IFERROR(VLOOKUP($I16,'C-02'!$D:$L,6,FALSE),"")</f>
        <v>3642.17</v>
      </c>
      <c r="V16" s="128">
        <f>IFERROR(VLOOKUP($I16,'C-02'!$D:$L,7,FALSE),"")</f>
        <v>3493.9</v>
      </c>
      <c r="W16" s="128">
        <f>IFERROR(VLOOKUP($I16,'C-02'!$D:$L,8,FALSE),"")</f>
        <v>4224.13</v>
      </c>
      <c r="X16" s="128">
        <f>IFERROR(VLOOKUP($I16,'C-02'!$D:$L,9,FALSE),"")</f>
        <v>5456.83</v>
      </c>
      <c r="Y16" s="129">
        <f>IFS('Painel Geral'!$B$5="Mediana",IFERROR(IF(OR(J16="",V16=0,V16=""),"",($J16/$V16)),""),'Painel Geral'!$B$5="Menor Salário",IFERROR(IF(OR(J16="",V16=0,V16=""),"",($J16/$S16)),""),'Painel Geral'!$B$5="1º Quartil",IFERROR(IF(OR(J16="",V16=0,V16=""),"",($J16/$T16)),""),'Painel Geral'!$B$5="Média",IFERROR(IF(OR(J16="",V16=0,V16=""),"",($J16/$U16)),""),'Painel Geral'!$B$5="3º Quartil",IFERROR(IF(OR(J16="",V16=0,V16=""),"",($J16/$W16)),""),'Painel Geral'!$B$5="Maior Salário",IFERROR(IF(OR(J16="",V16=0,V16=""),"",($J16/$X16)),""))</f>
        <v>0.7124359598</v>
      </c>
      <c r="Z16" s="130" t="str">
        <f t="shared" si="3"/>
        <v>Muito Defasado</v>
      </c>
      <c r="AA16" s="427">
        <f>VLOOKUP(A16,'Cálculos Comparativos'!$A:$F,4,0)</f>
        <v>2489.18</v>
      </c>
    </row>
    <row r="17" ht="15.75" customHeight="1">
      <c r="A17" s="132">
        <v>1.0</v>
      </c>
      <c r="B17" s="21">
        <v>39.0</v>
      </c>
      <c r="C17" s="422" t="str">
        <f>VLOOKUP(A17,Jobmatch!A:E,2,0)</f>
        <v>Engenheiro de Software Full Stack Jr</v>
      </c>
      <c r="D17" s="422" t="str">
        <f>VLOOKUP(B17,'Folha de Pagamento'!B:G,6,0)</f>
        <v>DEV</v>
      </c>
      <c r="E17" s="421" t="str">
        <f>VLOOKUP(A17,Jobmatch!A:E,4,0)</f>
        <v>Operacional</v>
      </c>
      <c r="F17" s="423">
        <f>VLOOKUP(A17,Jobmatch!A:F,5,0)</f>
        <v>1</v>
      </c>
      <c r="G17" s="422" t="str">
        <f>VLOOKUP(A17,Jobmatch!A:G,6,0)</f>
        <v>Desenvolvedor</v>
      </c>
      <c r="H17" s="424" t="str">
        <f>VLOOKUP(A17,Jobmatch!A:H,7,0)</f>
        <v>Júnior</v>
      </c>
      <c r="I17" s="425" t="str">
        <f t="shared" si="1"/>
        <v>1Júnior</v>
      </c>
      <c r="J17" s="426">
        <f>IFERROR(VLOOKUP(B17,'Folha de Pagamento'!B:I,8,0),"")</f>
        <v>2489.18</v>
      </c>
      <c r="K17" s="124">
        <f>IFERROR(VLOOKUP(I17,'C-01'!$D:$L,4,0),"")</f>
        <v>2030.9</v>
      </c>
      <c r="L17" s="125">
        <f>IFERROR(VLOOKUP(I17,'C-01'!$D:$L,5,0),"")</f>
        <v>2706.62</v>
      </c>
      <c r="M17" s="125">
        <f>IFERROR(VLOOKUP(I17,'C-01'!$D:$L,6,0),"")</f>
        <v>3370.79</v>
      </c>
      <c r="N17" s="125">
        <f>IFERROR(VLOOKUP(I17,'C-01'!$D:$L,7,0),"")</f>
        <v>3379.04</v>
      </c>
      <c r="O17" s="125">
        <f>IFERROR(VLOOKUP(I17,'C-01'!$D:$L,8,0),"")</f>
        <v>3870.49</v>
      </c>
      <c r="P17" s="124">
        <f>IFERROR(VLOOKUP(I17,'C-01'!$D:$L,9,0),"")</f>
        <v>5268.74</v>
      </c>
      <c r="Q17" s="126">
        <f>IFS('Painel Geral'!$B$5="Mediana",IFERROR(IF(OR(J17="",N17=0,N17=""),"",($J17/$N17)),""),'Painel Geral'!$B$5="Menor Salário",IFERROR(IF(OR(J17="",N17=0,N17=""),"",($J17/$K17)),""),'Painel Geral'!$B$5="1º Quartil",IFERROR(IF(OR(J17="",N17=0,N17=""),"",($J17/$L17)),""),'Painel Geral'!$B$5="Média",IFERROR(IF(OR(J17="",N17=0,N17=""),"",($J17/$M17)),""),'Painel Geral'!$B$5="3º Quartil",IFERROR(IF(OR(J17="",N17=0,N17=""),"",($J17/$O17)),""),'Painel Geral'!$B$5="Maior Salário",IFERROR(IF(OR(J17="",N17=0,N17=""),"",($J17/$P17)),""))</f>
        <v>0.7366530139</v>
      </c>
      <c r="R17" s="127" t="str">
        <f t="shared" si="2"/>
        <v>Muito Defasado</v>
      </c>
      <c r="S17" s="128">
        <f>IFERROR(VLOOKUP($I17,'C-02'!$D:$L,4,0),"")</f>
        <v>2468.17</v>
      </c>
      <c r="T17" s="128">
        <f>IFERROR(VLOOKUP($I17,'C-02'!$D:$L,5,FALSE),"")</f>
        <v>2944.09</v>
      </c>
      <c r="U17" s="128">
        <f>IFERROR(VLOOKUP($I17,'C-02'!$D:$L,6,FALSE),"")</f>
        <v>3642.17</v>
      </c>
      <c r="V17" s="128">
        <f>IFERROR(VLOOKUP($I17,'C-02'!$D:$L,7,FALSE),"")</f>
        <v>3493.9</v>
      </c>
      <c r="W17" s="128">
        <f>IFERROR(VLOOKUP($I17,'C-02'!$D:$L,8,FALSE),"")</f>
        <v>4224.13</v>
      </c>
      <c r="X17" s="128">
        <f>IFERROR(VLOOKUP($I17,'C-02'!$D:$L,9,FALSE),"")</f>
        <v>5456.83</v>
      </c>
      <c r="Y17" s="129">
        <f>IFS('Painel Geral'!$B$5="Mediana",IFERROR(IF(OR(J17="",V17=0,V17=""),"",($J17/$V17)),""),'Painel Geral'!$B$5="Menor Salário",IFERROR(IF(OR(J17="",V17=0,V17=""),"",($J17/$S17)),""),'Painel Geral'!$B$5="1º Quartil",IFERROR(IF(OR(J17="",V17=0,V17=""),"",($J17/$T17)),""),'Painel Geral'!$B$5="Média",IFERROR(IF(OR(J17="",V17=0,V17=""),"",($J17/$U17)),""),'Painel Geral'!$B$5="3º Quartil",IFERROR(IF(OR(J17="",V17=0,V17=""),"",($J17/$W17)),""),'Painel Geral'!$B$5="Maior Salário",IFERROR(IF(OR(J17="",V17=0,V17=""),"",($J17/$X17)),""))</f>
        <v>0.7124359598</v>
      </c>
      <c r="Z17" s="130" t="str">
        <f t="shared" si="3"/>
        <v>Muito Defasado</v>
      </c>
      <c r="AA17" s="427">
        <f>VLOOKUP(A17,'Cálculos Comparativos'!$A:$F,4,0)</f>
        <v>2489.18</v>
      </c>
    </row>
    <row r="18" ht="15.75" customHeight="1">
      <c r="A18" s="132">
        <v>1.0</v>
      </c>
      <c r="B18" s="21">
        <v>19.0</v>
      </c>
      <c r="C18" s="422" t="str">
        <f>VLOOKUP(A18,Jobmatch!A:E,2,0)</f>
        <v>Engenheiro de Software Full Stack Jr</v>
      </c>
      <c r="D18" s="422" t="str">
        <f>VLOOKUP(B18,'Folha de Pagamento'!B:G,6,0)</f>
        <v>DEV</v>
      </c>
      <c r="E18" s="421" t="str">
        <f>VLOOKUP(A18,Jobmatch!A:E,4,0)</f>
        <v>Operacional</v>
      </c>
      <c r="F18" s="423">
        <f>VLOOKUP(A18,Jobmatch!A:F,5,0)</f>
        <v>1</v>
      </c>
      <c r="G18" s="422" t="str">
        <f>VLOOKUP(A18,Jobmatch!A:G,6,0)</f>
        <v>Desenvolvedor</v>
      </c>
      <c r="H18" s="424" t="str">
        <f>VLOOKUP(A18,Jobmatch!A:H,7,0)</f>
        <v>Júnior</v>
      </c>
      <c r="I18" s="425" t="str">
        <f t="shared" si="1"/>
        <v>1Júnior</v>
      </c>
      <c r="J18" s="426">
        <f>IFERROR(VLOOKUP(B18,'Folha de Pagamento'!B:I,8,0),"")</f>
        <v>2489.18</v>
      </c>
      <c r="K18" s="124">
        <f>IFERROR(VLOOKUP(I18,'C-01'!$D:$L,4,0),"")</f>
        <v>2030.9</v>
      </c>
      <c r="L18" s="125">
        <f>IFERROR(VLOOKUP(I18,'C-01'!$D:$L,5,0),"")</f>
        <v>2706.62</v>
      </c>
      <c r="M18" s="125">
        <f>IFERROR(VLOOKUP(I18,'C-01'!$D:$L,6,0),"")</f>
        <v>3370.79</v>
      </c>
      <c r="N18" s="125">
        <f>IFERROR(VLOOKUP(I18,'C-01'!$D:$L,7,0),"")</f>
        <v>3379.04</v>
      </c>
      <c r="O18" s="125">
        <f>IFERROR(VLOOKUP(I18,'C-01'!$D:$L,8,0),"")</f>
        <v>3870.49</v>
      </c>
      <c r="P18" s="124">
        <f>IFERROR(VLOOKUP(I18,'C-01'!$D:$L,9,0),"")</f>
        <v>5268.74</v>
      </c>
      <c r="Q18" s="126">
        <f>IFS('Painel Geral'!$B$5="Mediana",IFERROR(IF(OR(J18="",N18=0,N18=""),"",($J18/$N18)),""),'Painel Geral'!$B$5="Menor Salário",IFERROR(IF(OR(J18="",N18=0,N18=""),"",($J18/$K18)),""),'Painel Geral'!$B$5="1º Quartil",IFERROR(IF(OR(J18="",N18=0,N18=""),"",($J18/$L18)),""),'Painel Geral'!$B$5="Média",IFERROR(IF(OR(J18="",N18=0,N18=""),"",($J18/$M18)),""),'Painel Geral'!$B$5="3º Quartil",IFERROR(IF(OR(J18="",N18=0,N18=""),"",($J18/$O18)),""),'Painel Geral'!$B$5="Maior Salário",IFERROR(IF(OR(J18="",N18=0,N18=""),"",($J18/$P18)),""))</f>
        <v>0.7366530139</v>
      </c>
      <c r="R18" s="127" t="str">
        <f t="shared" si="2"/>
        <v>Muito Defasado</v>
      </c>
      <c r="S18" s="128">
        <f>IFERROR(VLOOKUP($I18,'C-02'!$D:$L,4,0),"")</f>
        <v>2468.17</v>
      </c>
      <c r="T18" s="128">
        <f>IFERROR(VLOOKUP($I18,'C-02'!$D:$L,5,FALSE),"")</f>
        <v>2944.09</v>
      </c>
      <c r="U18" s="128">
        <f>IFERROR(VLOOKUP($I18,'C-02'!$D:$L,6,FALSE),"")</f>
        <v>3642.17</v>
      </c>
      <c r="V18" s="128">
        <f>IFERROR(VLOOKUP($I18,'C-02'!$D:$L,7,FALSE),"")</f>
        <v>3493.9</v>
      </c>
      <c r="W18" s="128">
        <f>IFERROR(VLOOKUP($I18,'C-02'!$D:$L,8,FALSE),"")</f>
        <v>4224.13</v>
      </c>
      <c r="X18" s="128">
        <f>IFERROR(VLOOKUP($I18,'C-02'!$D:$L,9,FALSE),"")</f>
        <v>5456.83</v>
      </c>
      <c r="Y18" s="129">
        <f>IFS('Painel Geral'!$B$5="Mediana",IFERROR(IF(OR(J18="",V18=0,V18=""),"",($J18/$V18)),""),'Painel Geral'!$B$5="Menor Salário",IFERROR(IF(OR(J18="",V18=0,V18=""),"",($J18/$S18)),""),'Painel Geral'!$B$5="1º Quartil",IFERROR(IF(OR(J18="",V18=0,V18=""),"",($J18/$T18)),""),'Painel Geral'!$B$5="Média",IFERROR(IF(OR(J18="",V18=0,V18=""),"",($J18/$U18)),""),'Painel Geral'!$B$5="3º Quartil",IFERROR(IF(OR(J18="",V18=0,V18=""),"",($J18/$W18)),""),'Painel Geral'!$B$5="Maior Salário",IFERROR(IF(OR(J18="",V18=0,V18=""),"",($J18/$X18)),""))</f>
        <v>0.7124359598</v>
      </c>
      <c r="Z18" s="130" t="str">
        <f t="shared" si="3"/>
        <v>Muito Defasado</v>
      </c>
      <c r="AA18" s="427">
        <f>VLOOKUP(A18,'Cálculos Comparativos'!$A:$F,4,0)</f>
        <v>2489.18</v>
      </c>
    </row>
    <row r="19" ht="15.75" customHeight="1">
      <c r="A19" s="132">
        <v>1.0</v>
      </c>
      <c r="B19" s="39">
        <v>19.0</v>
      </c>
      <c r="C19" s="422" t="str">
        <f>VLOOKUP(A19,Jobmatch!A:E,2,0)</f>
        <v>Engenheiro de Software Full Stack Jr</v>
      </c>
      <c r="D19" s="422" t="str">
        <f>VLOOKUP(B19,'Folha de Pagamento'!B:G,6,0)</f>
        <v>DEV</v>
      </c>
      <c r="E19" s="421" t="str">
        <f>VLOOKUP(A19,Jobmatch!A:E,4,0)</f>
        <v>Operacional</v>
      </c>
      <c r="F19" s="423">
        <f>VLOOKUP(A19,Jobmatch!A:F,5,0)</f>
        <v>1</v>
      </c>
      <c r="G19" s="422" t="str">
        <f>VLOOKUP(A19,Jobmatch!A:G,6,0)</f>
        <v>Desenvolvedor</v>
      </c>
      <c r="H19" s="424" t="str">
        <f>VLOOKUP(A19,Jobmatch!A:H,7,0)</f>
        <v>Júnior</v>
      </c>
      <c r="I19" s="425" t="str">
        <f t="shared" si="1"/>
        <v>1Júnior</v>
      </c>
      <c r="J19" s="426">
        <f>IFERROR(VLOOKUP(B19,'Folha de Pagamento'!B:I,8,0),"")</f>
        <v>2489.18</v>
      </c>
      <c r="K19" s="124">
        <f>IFERROR(VLOOKUP(I19,'C-01'!$D:$L,4,0),"")</f>
        <v>2030.9</v>
      </c>
      <c r="L19" s="125">
        <f>IFERROR(VLOOKUP(I19,'C-01'!$D:$L,5,0),"")</f>
        <v>2706.62</v>
      </c>
      <c r="M19" s="125">
        <f>IFERROR(VLOOKUP(I19,'C-01'!$D:$L,6,0),"")</f>
        <v>3370.79</v>
      </c>
      <c r="N19" s="125">
        <f>IFERROR(VLOOKUP(I19,'C-01'!$D:$L,7,0),"")</f>
        <v>3379.04</v>
      </c>
      <c r="O19" s="125">
        <f>IFERROR(VLOOKUP(I19,'C-01'!$D:$L,8,0),"")</f>
        <v>3870.49</v>
      </c>
      <c r="P19" s="124">
        <f>IFERROR(VLOOKUP(I19,'C-01'!$D:$L,9,0),"")</f>
        <v>5268.74</v>
      </c>
      <c r="Q19" s="126">
        <f>IFS('Painel Geral'!$B$5="Mediana",IFERROR(IF(OR(J19="",N19=0,N19=""),"",($J19/$N19)),""),'Painel Geral'!$B$5="Menor Salário",IFERROR(IF(OR(J19="",N19=0,N19=""),"",($J19/$K19)),""),'Painel Geral'!$B$5="1º Quartil",IFERROR(IF(OR(J19="",N19=0,N19=""),"",($J19/$L19)),""),'Painel Geral'!$B$5="Média",IFERROR(IF(OR(J19="",N19=0,N19=""),"",($J19/$M19)),""),'Painel Geral'!$B$5="3º Quartil",IFERROR(IF(OR(J19="",N19=0,N19=""),"",($J19/$O19)),""),'Painel Geral'!$B$5="Maior Salário",IFERROR(IF(OR(J19="",N19=0,N19=""),"",($J19/$P19)),""))</f>
        <v>0.7366530139</v>
      </c>
      <c r="R19" s="127" t="str">
        <f t="shared" si="2"/>
        <v>Muito Defasado</v>
      </c>
      <c r="S19" s="128">
        <f>IFERROR(VLOOKUP($I19,'C-02'!$D:$L,4,0),"")</f>
        <v>2468.17</v>
      </c>
      <c r="T19" s="128">
        <f>IFERROR(VLOOKUP($I19,'C-02'!$D:$L,5,FALSE),"")</f>
        <v>2944.09</v>
      </c>
      <c r="U19" s="128">
        <f>IFERROR(VLOOKUP($I19,'C-02'!$D:$L,6,FALSE),"")</f>
        <v>3642.17</v>
      </c>
      <c r="V19" s="128">
        <f>IFERROR(VLOOKUP($I19,'C-02'!$D:$L,7,FALSE),"")</f>
        <v>3493.9</v>
      </c>
      <c r="W19" s="128">
        <f>IFERROR(VLOOKUP($I19,'C-02'!$D:$L,8,FALSE),"")</f>
        <v>4224.13</v>
      </c>
      <c r="X19" s="128">
        <f>IFERROR(VLOOKUP($I19,'C-02'!$D:$L,9,FALSE),"")</f>
        <v>5456.83</v>
      </c>
      <c r="Y19" s="129">
        <f>IFS('Painel Geral'!$B$5="Mediana",IFERROR(IF(OR(J19="",V19=0,V19=""),"",($J19/$V19)),""),'Painel Geral'!$B$5="Menor Salário",IFERROR(IF(OR(J19="",V19=0,V19=""),"",($J19/$S19)),""),'Painel Geral'!$B$5="1º Quartil",IFERROR(IF(OR(J19="",V19=0,V19=""),"",($J19/$T19)),""),'Painel Geral'!$B$5="Média",IFERROR(IF(OR(J19="",V19=0,V19=""),"",($J19/$U19)),""),'Painel Geral'!$B$5="3º Quartil",IFERROR(IF(OR(J19="",V19=0,V19=""),"",($J19/$W19)),""),'Painel Geral'!$B$5="Maior Salário",IFERROR(IF(OR(J19="",V19=0,V19=""),"",($J19/$X19)),""))</f>
        <v>0.7124359598</v>
      </c>
      <c r="Z19" s="130" t="str">
        <f t="shared" si="3"/>
        <v>Muito Defasado</v>
      </c>
      <c r="AA19" s="427">
        <f>VLOOKUP(A19,'Cálculos Comparativos'!$A:$F,4,0)</f>
        <v>2489.18</v>
      </c>
    </row>
    <row r="20" ht="15.75" customHeight="1">
      <c r="A20" s="132">
        <v>1.0</v>
      </c>
      <c r="B20" s="21">
        <v>21.0</v>
      </c>
      <c r="C20" s="422" t="str">
        <f>VLOOKUP(A20,Jobmatch!A:E,2,0)</f>
        <v>Engenheiro de Software Full Stack Jr</v>
      </c>
      <c r="D20" s="422" t="str">
        <f>VLOOKUP(B20,'Folha de Pagamento'!B:G,6,0)</f>
        <v>DEV</v>
      </c>
      <c r="E20" s="421" t="str">
        <f>VLOOKUP(A20,Jobmatch!A:E,4,0)</f>
        <v>Operacional</v>
      </c>
      <c r="F20" s="423">
        <f>VLOOKUP(A20,Jobmatch!A:F,5,0)</f>
        <v>1</v>
      </c>
      <c r="G20" s="422" t="str">
        <f>VLOOKUP(A20,Jobmatch!A:G,6,0)</f>
        <v>Desenvolvedor</v>
      </c>
      <c r="H20" s="424" t="str">
        <f>VLOOKUP(A20,Jobmatch!A:H,7,0)</f>
        <v>Júnior</v>
      </c>
      <c r="I20" s="425" t="str">
        <f t="shared" si="1"/>
        <v>1Júnior</v>
      </c>
      <c r="J20" s="426">
        <f>IFERROR(VLOOKUP(B20,'Folha de Pagamento'!B:I,8,0),"")</f>
        <v>2489.18</v>
      </c>
      <c r="K20" s="124">
        <f>IFERROR(VLOOKUP(I20,'C-01'!$D:$L,4,0),"")</f>
        <v>2030.9</v>
      </c>
      <c r="L20" s="125">
        <f>IFERROR(VLOOKUP(I20,'C-01'!$D:$L,5,0),"")</f>
        <v>2706.62</v>
      </c>
      <c r="M20" s="125">
        <f>IFERROR(VLOOKUP(I20,'C-01'!$D:$L,6,0),"")</f>
        <v>3370.79</v>
      </c>
      <c r="N20" s="125">
        <f>IFERROR(VLOOKUP(I20,'C-01'!$D:$L,7,0),"")</f>
        <v>3379.04</v>
      </c>
      <c r="O20" s="125">
        <f>IFERROR(VLOOKUP(I20,'C-01'!$D:$L,8,0),"")</f>
        <v>3870.49</v>
      </c>
      <c r="P20" s="124">
        <f>IFERROR(VLOOKUP(I20,'C-01'!$D:$L,9,0),"")</f>
        <v>5268.74</v>
      </c>
      <c r="Q20" s="126">
        <f>IFS('Painel Geral'!$B$5="Mediana",IFERROR(IF(OR(J20="",N20=0,N20=""),"",($J20/$N20)),""),'Painel Geral'!$B$5="Menor Salário",IFERROR(IF(OR(J20="",N20=0,N20=""),"",($J20/$K20)),""),'Painel Geral'!$B$5="1º Quartil",IFERROR(IF(OR(J20="",N20=0,N20=""),"",($J20/$L20)),""),'Painel Geral'!$B$5="Média",IFERROR(IF(OR(J20="",N20=0,N20=""),"",($J20/$M20)),""),'Painel Geral'!$B$5="3º Quartil",IFERROR(IF(OR(J20="",N20=0,N20=""),"",($J20/$O20)),""),'Painel Geral'!$B$5="Maior Salário",IFERROR(IF(OR(J20="",N20=0,N20=""),"",($J20/$P20)),""))</f>
        <v>0.7366530139</v>
      </c>
      <c r="R20" s="127" t="str">
        <f t="shared" si="2"/>
        <v>Muito Defasado</v>
      </c>
      <c r="S20" s="128">
        <f>IFERROR(VLOOKUP($I20,'C-02'!$D:$L,4,0),"")</f>
        <v>2468.17</v>
      </c>
      <c r="T20" s="128">
        <f>IFERROR(VLOOKUP($I20,'C-02'!$D:$L,5,FALSE),"")</f>
        <v>2944.09</v>
      </c>
      <c r="U20" s="128">
        <f>IFERROR(VLOOKUP($I20,'C-02'!$D:$L,6,FALSE),"")</f>
        <v>3642.17</v>
      </c>
      <c r="V20" s="128">
        <f>IFERROR(VLOOKUP($I20,'C-02'!$D:$L,7,FALSE),"")</f>
        <v>3493.9</v>
      </c>
      <c r="W20" s="128">
        <f>IFERROR(VLOOKUP($I20,'C-02'!$D:$L,8,FALSE),"")</f>
        <v>4224.13</v>
      </c>
      <c r="X20" s="128">
        <f>IFERROR(VLOOKUP($I20,'C-02'!$D:$L,9,FALSE),"")</f>
        <v>5456.83</v>
      </c>
      <c r="Y20" s="129">
        <f>IFS('Painel Geral'!$B$5="Mediana",IFERROR(IF(OR(J20="",V20=0,V20=""),"",($J20/$V20)),""),'Painel Geral'!$B$5="Menor Salário",IFERROR(IF(OR(J20="",V20=0,V20=""),"",($J20/$S20)),""),'Painel Geral'!$B$5="1º Quartil",IFERROR(IF(OR(J20="",V20=0,V20=""),"",($J20/$T20)),""),'Painel Geral'!$B$5="Média",IFERROR(IF(OR(J20="",V20=0,V20=""),"",($J20/$U20)),""),'Painel Geral'!$B$5="3º Quartil",IFERROR(IF(OR(J20="",V20=0,V20=""),"",($J20/$W20)),""),'Painel Geral'!$B$5="Maior Salário",IFERROR(IF(OR(J20="",V20=0,V20=""),"",($J20/$X20)),""))</f>
        <v>0.7124359598</v>
      </c>
      <c r="Z20" s="130" t="str">
        <f t="shared" si="3"/>
        <v>Muito Defasado</v>
      </c>
      <c r="AA20" s="427">
        <f>VLOOKUP(A20,'Cálculos Comparativos'!$A:$F,4,0)</f>
        <v>2489.18</v>
      </c>
    </row>
    <row r="21" ht="15.75" customHeight="1">
      <c r="A21" s="132">
        <v>1.0</v>
      </c>
      <c r="B21" s="21">
        <v>45.0</v>
      </c>
      <c r="C21" s="422" t="str">
        <f>VLOOKUP(A21,Jobmatch!A:E,2,0)</f>
        <v>Engenheiro de Software Full Stack Jr</v>
      </c>
      <c r="D21" s="422" t="str">
        <f>VLOOKUP(B21,'Folha de Pagamento'!B:G,6,0)</f>
        <v>DEV</v>
      </c>
      <c r="E21" s="421" t="str">
        <f>VLOOKUP(A21,Jobmatch!A:E,4,0)</f>
        <v>Operacional</v>
      </c>
      <c r="F21" s="423">
        <f>VLOOKUP(A21,Jobmatch!A:F,5,0)</f>
        <v>1</v>
      </c>
      <c r="G21" s="422" t="str">
        <f>VLOOKUP(A21,Jobmatch!A:G,6,0)</f>
        <v>Desenvolvedor</v>
      </c>
      <c r="H21" s="424" t="str">
        <f>VLOOKUP(A21,Jobmatch!A:H,7,0)</f>
        <v>Júnior</v>
      </c>
      <c r="I21" s="425" t="str">
        <f t="shared" si="1"/>
        <v>1Júnior</v>
      </c>
      <c r="J21" s="426">
        <f>IFERROR(VLOOKUP(B21,'Folha de Pagamento'!B:I,8,0),"")</f>
        <v>2489.18</v>
      </c>
      <c r="K21" s="124">
        <f>IFERROR(VLOOKUP(I21,'C-01'!$D:$L,4,0),"")</f>
        <v>2030.9</v>
      </c>
      <c r="L21" s="125">
        <f>IFERROR(VLOOKUP(I21,'C-01'!$D:$L,5,0),"")</f>
        <v>2706.62</v>
      </c>
      <c r="M21" s="125">
        <f>IFERROR(VLOOKUP(I21,'C-01'!$D:$L,6,0),"")</f>
        <v>3370.79</v>
      </c>
      <c r="N21" s="125">
        <f>IFERROR(VLOOKUP(I21,'C-01'!$D:$L,7,0),"")</f>
        <v>3379.04</v>
      </c>
      <c r="O21" s="125">
        <f>IFERROR(VLOOKUP(I21,'C-01'!$D:$L,8,0),"")</f>
        <v>3870.49</v>
      </c>
      <c r="P21" s="124">
        <f>IFERROR(VLOOKUP(I21,'C-01'!$D:$L,9,0),"")</f>
        <v>5268.74</v>
      </c>
      <c r="Q21" s="126">
        <f>IFS('Painel Geral'!$B$5="Mediana",IFERROR(IF(OR(J21="",N21=0,N21=""),"",($J21/$N21)),""),'Painel Geral'!$B$5="Menor Salário",IFERROR(IF(OR(J21="",N21=0,N21=""),"",($J21/$K21)),""),'Painel Geral'!$B$5="1º Quartil",IFERROR(IF(OR(J21="",N21=0,N21=""),"",($J21/$L21)),""),'Painel Geral'!$B$5="Média",IFERROR(IF(OR(J21="",N21=0,N21=""),"",($J21/$M21)),""),'Painel Geral'!$B$5="3º Quartil",IFERROR(IF(OR(J21="",N21=0,N21=""),"",($J21/$O21)),""),'Painel Geral'!$B$5="Maior Salário",IFERROR(IF(OR(J21="",N21=0,N21=""),"",($J21/$P21)),""))</f>
        <v>0.7366530139</v>
      </c>
      <c r="R21" s="127" t="str">
        <f t="shared" si="2"/>
        <v>Muito Defasado</v>
      </c>
      <c r="S21" s="128">
        <f>IFERROR(VLOOKUP($I21,'C-02'!$D:$L,4,0),"")</f>
        <v>2468.17</v>
      </c>
      <c r="T21" s="128">
        <f>IFERROR(VLOOKUP($I21,'C-02'!$D:$L,5,FALSE),"")</f>
        <v>2944.09</v>
      </c>
      <c r="U21" s="128">
        <f>IFERROR(VLOOKUP($I21,'C-02'!$D:$L,6,FALSE),"")</f>
        <v>3642.17</v>
      </c>
      <c r="V21" s="128">
        <f>IFERROR(VLOOKUP($I21,'C-02'!$D:$L,7,FALSE),"")</f>
        <v>3493.9</v>
      </c>
      <c r="W21" s="128">
        <f>IFERROR(VLOOKUP($I21,'C-02'!$D:$L,8,FALSE),"")</f>
        <v>4224.13</v>
      </c>
      <c r="X21" s="128">
        <f>IFERROR(VLOOKUP($I21,'C-02'!$D:$L,9,FALSE),"")</f>
        <v>5456.83</v>
      </c>
      <c r="Y21" s="129">
        <f>IFS('Painel Geral'!$B$5="Mediana",IFERROR(IF(OR(J21="",V21=0,V21=""),"",($J21/$V21)),""),'Painel Geral'!$B$5="Menor Salário",IFERROR(IF(OR(J21="",V21=0,V21=""),"",($J21/$S21)),""),'Painel Geral'!$B$5="1º Quartil",IFERROR(IF(OR(J21="",V21=0,V21=""),"",($J21/$T21)),""),'Painel Geral'!$B$5="Média",IFERROR(IF(OR(J21="",V21=0,V21=""),"",($J21/$U21)),""),'Painel Geral'!$B$5="3º Quartil",IFERROR(IF(OR(J21="",V21=0,V21=""),"",($J21/$W21)),""),'Painel Geral'!$B$5="Maior Salário",IFERROR(IF(OR(J21="",V21=0,V21=""),"",($J21/$X21)),""))</f>
        <v>0.7124359598</v>
      </c>
      <c r="Z21" s="130" t="str">
        <f t="shared" si="3"/>
        <v>Muito Defasado</v>
      </c>
      <c r="AA21" s="427">
        <f>VLOOKUP(A21,'Cálculos Comparativos'!$A:$F,4,0)</f>
        <v>2489.18</v>
      </c>
    </row>
    <row r="22" ht="15.75" customHeight="1">
      <c r="A22" s="132">
        <v>1.0</v>
      </c>
      <c r="B22" s="21">
        <v>13.0</v>
      </c>
      <c r="C22" s="422" t="str">
        <f>VLOOKUP(A22,Jobmatch!A:E,2,0)</f>
        <v>Engenheiro de Software Full Stack Jr</v>
      </c>
      <c r="D22" s="422" t="str">
        <f>VLOOKUP(B22,'Folha de Pagamento'!B:G,6,0)</f>
        <v>DEV</v>
      </c>
      <c r="E22" s="421" t="str">
        <f>VLOOKUP(A22,Jobmatch!A:E,4,0)</f>
        <v>Operacional</v>
      </c>
      <c r="F22" s="423">
        <f>VLOOKUP(A22,Jobmatch!A:F,5,0)</f>
        <v>1</v>
      </c>
      <c r="G22" s="422" t="str">
        <f>VLOOKUP(A22,Jobmatch!A:G,6,0)</f>
        <v>Desenvolvedor</v>
      </c>
      <c r="H22" s="424" t="str">
        <f>VLOOKUP(A22,Jobmatch!A:H,7,0)</f>
        <v>Júnior</v>
      </c>
      <c r="I22" s="425" t="str">
        <f t="shared" si="1"/>
        <v>1Júnior</v>
      </c>
      <c r="J22" s="426">
        <f>IFERROR(VLOOKUP(B22,'Folha de Pagamento'!B:I,8,0),"")</f>
        <v>2489.18</v>
      </c>
      <c r="K22" s="124">
        <f>IFERROR(VLOOKUP(I22,'C-01'!$D:$L,4,0),"")</f>
        <v>2030.9</v>
      </c>
      <c r="L22" s="125">
        <f>IFERROR(VLOOKUP(I22,'C-01'!$D:$L,5,0),"")</f>
        <v>2706.62</v>
      </c>
      <c r="M22" s="125">
        <f>IFERROR(VLOOKUP(I22,'C-01'!$D:$L,6,0),"")</f>
        <v>3370.79</v>
      </c>
      <c r="N22" s="125">
        <f>IFERROR(VLOOKUP(I22,'C-01'!$D:$L,7,0),"")</f>
        <v>3379.04</v>
      </c>
      <c r="O22" s="125">
        <f>IFERROR(VLOOKUP(I22,'C-01'!$D:$L,8,0),"")</f>
        <v>3870.49</v>
      </c>
      <c r="P22" s="124">
        <f>IFERROR(VLOOKUP(I22,'C-01'!$D:$L,9,0),"")</f>
        <v>5268.74</v>
      </c>
      <c r="Q22" s="126">
        <f>IFS('Painel Geral'!$B$5="Mediana",IFERROR(IF(OR(J22="",N22=0,N22=""),"",($J22/$N22)),""),'Painel Geral'!$B$5="Menor Salário",IFERROR(IF(OR(J22="",N22=0,N22=""),"",($J22/$K22)),""),'Painel Geral'!$B$5="1º Quartil",IFERROR(IF(OR(J22="",N22=0,N22=""),"",($J22/$L22)),""),'Painel Geral'!$B$5="Média",IFERROR(IF(OR(J22="",N22=0,N22=""),"",($J22/$M22)),""),'Painel Geral'!$B$5="3º Quartil",IFERROR(IF(OR(J22="",N22=0,N22=""),"",($J22/$O22)),""),'Painel Geral'!$B$5="Maior Salário",IFERROR(IF(OR(J22="",N22=0,N22=""),"",($J22/$P22)),""))</f>
        <v>0.7366530139</v>
      </c>
      <c r="R22" s="127" t="str">
        <f t="shared" si="2"/>
        <v>Muito Defasado</v>
      </c>
      <c r="S22" s="128">
        <f>IFERROR(VLOOKUP($I22,'C-02'!$D:$L,4,0),"")</f>
        <v>2468.17</v>
      </c>
      <c r="T22" s="128">
        <f>IFERROR(VLOOKUP($I22,'C-02'!$D:$L,5,FALSE),"")</f>
        <v>2944.09</v>
      </c>
      <c r="U22" s="128">
        <f>IFERROR(VLOOKUP($I22,'C-02'!$D:$L,6,FALSE),"")</f>
        <v>3642.17</v>
      </c>
      <c r="V22" s="128">
        <f>IFERROR(VLOOKUP($I22,'C-02'!$D:$L,7,FALSE),"")</f>
        <v>3493.9</v>
      </c>
      <c r="W22" s="128">
        <f>IFERROR(VLOOKUP($I22,'C-02'!$D:$L,8,FALSE),"")</f>
        <v>4224.13</v>
      </c>
      <c r="X22" s="128">
        <f>IFERROR(VLOOKUP($I22,'C-02'!$D:$L,9,FALSE),"")</f>
        <v>5456.83</v>
      </c>
      <c r="Y22" s="129">
        <f>IFS('Painel Geral'!$B$5="Mediana",IFERROR(IF(OR(J22="",V22=0,V22=""),"",($J22/$V22)),""),'Painel Geral'!$B$5="Menor Salário",IFERROR(IF(OR(J22="",V22=0,V22=""),"",($J22/$S22)),""),'Painel Geral'!$B$5="1º Quartil",IFERROR(IF(OR(J22="",V22=0,V22=""),"",($J22/$T22)),""),'Painel Geral'!$B$5="Média",IFERROR(IF(OR(J22="",V22=0,V22=""),"",($J22/$U22)),""),'Painel Geral'!$B$5="3º Quartil",IFERROR(IF(OR(J22="",V22=0,V22=""),"",($J22/$W22)),""),'Painel Geral'!$B$5="Maior Salário",IFERROR(IF(OR(J22="",V22=0,V22=""),"",($J22/$X22)),""))</f>
        <v>0.7124359598</v>
      </c>
      <c r="Z22" s="130" t="str">
        <f t="shared" si="3"/>
        <v>Muito Defasado</v>
      </c>
      <c r="AA22" s="427">
        <f>VLOOKUP(A22,'Cálculos Comparativos'!$A:$F,4,0)</f>
        <v>2489.18</v>
      </c>
    </row>
    <row r="23" ht="15.75" customHeight="1">
      <c r="A23" s="132">
        <v>1.0</v>
      </c>
      <c r="B23" s="21">
        <v>22.0</v>
      </c>
      <c r="C23" s="422" t="str">
        <f>VLOOKUP(A23,Jobmatch!A:E,2,0)</f>
        <v>Engenheiro de Software Full Stack Jr</v>
      </c>
      <c r="D23" s="422" t="str">
        <f>VLOOKUP(B23,'Folha de Pagamento'!B:G,6,0)</f>
        <v>DEV</v>
      </c>
      <c r="E23" s="421" t="str">
        <f>VLOOKUP(A23,Jobmatch!A:E,4,0)</f>
        <v>Operacional</v>
      </c>
      <c r="F23" s="423">
        <f>VLOOKUP(A23,Jobmatch!A:F,5,0)</f>
        <v>1</v>
      </c>
      <c r="G23" s="422" t="str">
        <f>VLOOKUP(A23,Jobmatch!A:G,6,0)</f>
        <v>Desenvolvedor</v>
      </c>
      <c r="H23" s="424" t="str">
        <f>VLOOKUP(A23,Jobmatch!A:H,7,0)</f>
        <v>Júnior</v>
      </c>
      <c r="I23" s="425" t="str">
        <f t="shared" si="1"/>
        <v>1Júnior</v>
      </c>
      <c r="J23" s="426">
        <f>IFERROR(VLOOKUP(B23,'Folha de Pagamento'!B:I,8,0),"")</f>
        <v>2489.18</v>
      </c>
      <c r="K23" s="124">
        <f>IFERROR(VLOOKUP(I23,'C-01'!$D:$L,4,0),"")</f>
        <v>2030.9</v>
      </c>
      <c r="L23" s="125">
        <f>IFERROR(VLOOKUP(I23,'C-01'!$D:$L,5,0),"")</f>
        <v>2706.62</v>
      </c>
      <c r="M23" s="125">
        <f>IFERROR(VLOOKUP(I23,'C-01'!$D:$L,6,0),"")</f>
        <v>3370.79</v>
      </c>
      <c r="N23" s="125">
        <f>IFERROR(VLOOKUP(I23,'C-01'!$D:$L,7,0),"")</f>
        <v>3379.04</v>
      </c>
      <c r="O23" s="125">
        <f>IFERROR(VLOOKUP(I23,'C-01'!$D:$L,8,0),"")</f>
        <v>3870.49</v>
      </c>
      <c r="P23" s="124">
        <f>IFERROR(VLOOKUP(I23,'C-01'!$D:$L,9,0),"")</f>
        <v>5268.74</v>
      </c>
      <c r="Q23" s="126">
        <f>IFS('Painel Geral'!$B$5="Mediana",IFERROR(IF(OR(J23="",N23=0,N23=""),"",($J23/$N23)),""),'Painel Geral'!$B$5="Menor Salário",IFERROR(IF(OR(J23="",N23=0,N23=""),"",($J23/$K23)),""),'Painel Geral'!$B$5="1º Quartil",IFERROR(IF(OR(J23="",N23=0,N23=""),"",($J23/$L23)),""),'Painel Geral'!$B$5="Média",IFERROR(IF(OR(J23="",N23=0,N23=""),"",($J23/$M23)),""),'Painel Geral'!$B$5="3º Quartil",IFERROR(IF(OR(J23="",N23=0,N23=""),"",($J23/$O23)),""),'Painel Geral'!$B$5="Maior Salário",IFERROR(IF(OR(J23="",N23=0,N23=""),"",($J23/$P23)),""))</f>
        <v>0.7366530139</v>
      </c>
      <c r="R23" s="127" t="str">
        <f t="shared" si="2"/>
        <v>Muito Defasado</v>
      </c>
      <c r="S23" s="128">
        <f>IFERROR(VLOOKUP($I23,'C-02'!$D:$L,4,0),"")</f>
        <v>2468.17</v>
      </c>
      <c r="T23" s="128">
        <f>IFERROR(VLOOKUP($I23,'C-02'!$D:$L,5,FALSE),"")</f>
        <v>2944.09</v>
      </c>
      <c r="U23" s="128">
        <f>IFERROR(VLOOKUP($I23,'C-02'!$D:$L,6,FALSE),"")</f>
        <v>3642.17</v>
      </c>
      <c r="V23" s="128">
        <f>IFERROR(VLOOKUP($I23,'C-02'!$D:$L,7,FALSE),"")</f>
        <v>3493.9</v>
      </c>
      <c r="W23" s="128">
        <f>IFERROR(VLOOKUP($I23,'C-02'!$D:$L,8,FALSE),"")</f>
        <v>4224.13</v>
      </c>
      <c r="X23" s="128">
        <f>IFERROR(VLOOKUP($I23,'C-02'!$D:$L,9,FALSE),"")</f>
        <v>5456.83</v>
      </c>
      <c r="Y23" s="129">
        <f>IFS('Painel Geral'!$B$5="Mediana",IFERROR(IF(OR(J23="",V23=0,V23=""),"",($J23/$V23)),""),'Painel Geral'!$B$5="Menor Salário",IFERROR(IF(OR(J23="",V23=0,V23=""),"",($J23/$S23)),""),'Painel Geral'!$B$5="1º Quartil",IFERROR(IF(OR(J23="",V23=0,V23=""),"",($J23/$T23)),""),'Painel Geral'!$B$5="Média",IFERROR(IF(OR(J23="",V23=0,V23=""),"",($J23/$U23)),""),'Painel Geral'!$B$5="3º Quartil",IFERROR(IF(OR(J23="",V23=0,V23=""),"",($J23/$W23)),""),'Painel Geral'!$B$5="Maior Salário",IFERROR(IF(OR(J23="",V23=0,V23=""),"",($J23/$X23)),""))</f>
        <v>0.7124359598</v>
      </c>
      <c r="Z23" s="130" t="str">
        <f t="shared" si="3"/>
        <v>Muito Defasado</v>
      </c>
      <c r="AA23" s="427">
        <f>VLOOKUP(A23,'Cálculos Comparativos'!$A:$F,4,0)</f>
        <v>2489.18</v>
      </c>
    </row>
    <row r="24" ht="15.75" customHeight="1">
      <c r="A24" s="132">
        <v>1.0</v>
      </c>
      <c r="B24" s="21">
        <v>1.0</v>
      </c>
      <c r="C24" s="422" t="str">
        <f>VLOOKUP(A24,Jobmatch!A:E,2,0)</f>
        <v>Engenheiro de Software Full Stack Jr</v>
      </c>
      <c r="D24" s="422" t="str">
        <f>VLOOKUP(B24,'Folha de Pagamento'!B:G,6,0)</f>
        <v>DEV</v>
      </c>
      <c r="E24" s="421" t="str">
        <f>VLOOKUP(A24,Jobmatch!A:E,4,0)</f>
        <v>Operacional</v>
      </c>
      <c r="F24" s="423">
        <f>VLOOKUP(A24,Jobmatch!A:F,5,0)</f>
        <v>1</v>
      </c>
      <c r="G24" s="422" t="str">
        <f>VLOOKUP(A24,Jobmatch!A:G,6,0)</f>
        <v>Desenvolvedor</v>
      </c>
      <c r="H24" s="424" t="str">
        <f>VLOOKUP(A24,Jobmatch!A:H,7,0)</f>
        <v>Júnior</v>
      </c>
      <c r="I24" s="425" t="str">
        <f t="shared" si="1"/>
        <v>1Júnior</v>
      </c>
      <c r="J24" s="426">
        <f>IFERROR(VLOOKUP(B24,'Folha de Pagamento'!B:I,8,0),"")</f>
        <v>2489.18</v>
      </c>
      <c r="K24" s="124">
        <f>IFERROR(VLOOKUP(I24,'C-01'!$D:$L,4,0),"")</f>
        <v>2030.9</v>
      </c>
      <c r="L24" s="125">
        <f>IFERROR(VLOOKUP(I24,'C-01'!$D:$L,5,0),"")</f>
        <v>2706.62</v>
      </c>
      <c r="M24" s="125">
        <f>IFERROR(VLOOKUP(I24,'C-01'!$D:$L,6,0),"")</f>
        <v>3370.79</v>
      </c>
      <c r="N24" s="125">
        <f>IFERROR(VLOOKUP(I24,'C-01'!$D:$L,7,0),"")</f>
        <v>3379.04</v>
      </c>
      <c r="O24" s="125">
        <f>IFERROR(VLOOKUP(I24,'C-01'!$D:$L,8,0),"")</f>
        <v>3870.49</v>
      </c>
      <c r="P24" s="124">
        <f>IFERROR(VLOOKUP(I24,'C-01'!$D:$L,9,0),"")</f>
        <v>5268.74</v>
      </c>
      <c r="Q24" s="126">
        <f>IFS('Painel Geral'!$B$5="Mediana",IFERROR(IF(OR(J24="",N24=0,N24=""),"",($J24/$N24)),""),'Painel Geral'!$B$5="Menor Salário",IFERROR(IF(OR(J24="",N24=0,N24=""),"",($J24/$K24)),""),'Painel Geral'!$B$5="1º Quartil",IFERROR(IF(OR(J24="",N24=0,N24=""),"",($J24/$L24)),""),'Painel Geral'!$B$5="Média",IFERROR(IF(OR(J24="",N24=0,N24=""),"",($J24/$M24)),""),'Painel Geral'!$B$5="3º Quartil",IFERROR(IF(OR(J24="",N24=0,N24=""),"",($J24/$O24)),""),'Painel Geral'!$B$5="Maior Salário",IFERROR(IF(OR(J24="",N24=0,N24=""),"",($J24/$P24)),""))</f>
        <v>0.7366530139</v>
      </c>
      <c r="R24" s="127" t="str">
        <f t="shared" si="2"/>
        <v>Muito Defasado</v>
      </c>
      <c r="S24" s="128">
        <f>IFERROR(VLOOKUP($I24,'C-02'!$D:$L,4,0),"")</f>
        <v>2468.17</v>
      </c>
      <c r="T24" s="128">
        <f>IFERROR(VLOOKUP($I24,'C-02'!$D:$L,5,FALSE),"")</f>
        <v>2944.09</v>
      </c>
      <c r="U24" s="128">
        <f>IFERROR(VLOOKUP($I24,'C-02'!$D:$L,6,FALSE),"")</f>
        <v>3642.17</v>
      </c>
      <c r="V24" s="128">
        <f>IFERROR(VLOOKUP($I24,'C-02'!$D:$L,7,FALSE),"")</f>
        <v>3493.9</v>
      </c>
      <c r="W24" s="128">
        <f>IFERROR(VLOOKUP($I24,'C-02'!$D:$L,8,FALSE),"")</f>
        <v>4224.13</v>
      </c>
      <c r="X24" s="128">
        <f>IFERROR(VLOOKUP($I24,'C-02'!$D:$L,9,FALSE),"")</f>
        <v>5456.83</v>
      </c>
      <c r="Y24" s="129">
        <f>IFS('Painel Geral'!$B$5="Mediana",IFERROR(IF(OR(J24="",V24=0,V24=""),"",($J24/$V24)),""),'Painel Geral'!$B$5="Menor Salário",IFERROR(IF(OR(J24="",V24=0,V24=""),"",($J24/$S24)),""),'Painel Geral'!$B$5="1º Quartil",IFERROR(IF(OR(J24="",V24=0,V24=""),"",($J24/$T24)),""),'Painel Geral'!$B$5="Média",IFERROR(IF(OR(J24="",V24=0,V24=""),"",($J24/$U24)),""),'Painel Geral'!$B$5="3º Quartil",IFERROR(IF(OR(J24="",V24=0,V24=""),"",($J24/$W24)),""),'Painel Geral'!$B$5="Maior Salário",IFERROR(IF(OR(J24="",V24=0,V24=""),"",($J24/$X24)),""))</f>
        <v>0.7124359598</v>
      </c>
      <c r="Z24" s="130" t="str">
        <f t="shared" si="3"/>
        <v>Muito Defasado</v>
      </c>
      <c r="AA24" s="427">
        <f>VLOOKUP(A24,'Cálculos Comparativos'!$A:$F,4,0)</f>
        <v>2489.18</v>
      </c>
    </row>
    <row r="25" ht="15.75" customHeight="1">
      <c r="A25" s="132">
        <v>1.0</v>
      </c>
      <c r="B25" s="21">
        <v>9.0</v>
      </c>
      <c r="C25" s="422" t="str">
        <f>VLOOKUP(A25,Jobmatch!A:E,2,0)</f>
        <v>Engenheiro de Software Full Stack Jr</v>
      </c>
      <c r="D25" s="422" t="str">
        <f>VLOOKUP(B25,'Folha de Pagamento'!B:G,6,0)</f>
        <v>DEV</v>
      </c>
      <c r="E25" s="421" t="str">
        <f>VLOOKUP(A25,Jobmatch!A:E,4,0)</f>
        <v>Operacional</v>
      </c>
      <c r="F25" s="423">
        <f>VLOOKUP(A25,Jobmatch!A:F,5,0)</f>
        <v>1</v>
      </c>
      <c r="G25" s="422" t="str">
        <f>VLOOKUP(A25,Jobmatch!A:G,6,0)</f>
        <v>Desenvolvedor</v>
      </c>
      <c r="H25" s="424" t="str">
        <f>VLOOKUP(A25,Jobmatch!A:H,7,0)</f>
        <v>Júnior</v>
      </c>
      <c r="I25" s="425" t="str">
        <f t="shared" si="1"/>
        <v>1Júnior</v>
      </c>
      <c r="J25" s="426">
        <f>IFERROR(VLOOKUP(B25,'Folha de Pagamento'!B:I,8,0),"")</f>
        <v>2489.18</v>
      </c>
      <c r="K25" s="124">
        <f>IFERROR(VLOOKUP(I25,'C-01'!$D:$L,4,0),"")</f>
        <v>2030.9</v>
      </c>
      <c r="L25" s="125">
        <f>IFERROR(VLOOKUP(I25,'C-01'!$D:$L,5,0),"")</f>
        <v>2706.62</v>
      </c>
      <c r="M25" s="125">
        <f>IFERROR(VLOOKUP(I25,'C-01'!$D:$L,6,0),"")</f>
        <v>3370.79</v>
      </c>
      <c r="N25" s="125">
        <f>IFERROR(VLOOKUP(I25,'C-01'!$D:$L,7,0),"")</f>
        <v>3379.04</v>
      </c>
      <c r="O25" s="125">
        <f>IFERROR(VLOOKUP(I25,'C-01'!$D:$L,8,0),"")</f>
        <v>3870.49</v>
      </c>
      <c r="P25" s="124">
        <f>IFERROR(VLOOKUP(I25,'C-01'!$D:$L,9,0),"")</f>
        <v>5268.74</v>
      </c>
      <c r="Q25" s="126">
        <f>IFS('Painel Geral'!$B$5="Mediana",IFERROR(IF(OR(J25="",N25=0,N25=""),"",($J25/$N25)),""),'Painel Geral'!$B$5="Menor Salário",IFERROR(IF(OR(J25="",N25=0,N25=""),"",($J25/$K25)),""),'Painel Geral'!$B$5="1º Quartil",IFERROR(IF(OR(J25="",N25=0,N25=""),"",($J25/$L25)),""),'Painel Geral'!$B$5="Média",IFERROR(IF(OR(J25="",N25=0,N25=""),"",($J25/$M25)),""),'Painel Geral'!$B$5="3º Quartil",IFERROR(IF(OR(J25="",N25=0,N25=""),"",($J25/$O25)),""),'Painel Geral'!$B$5="Maior Salário",IFERROR(IF(OR(J25="",N25=0,N25=""),"",($J25/$P25)),""))</f>
        <v>0.7366530139</v>
      </c>
      <c r="R25" s="127" t="str">
        <f t="shared" si="2"/>
        <v>Muito Defasado</v>
      </c>
      <c r="S25" s="128">
        <f>IFERROR(VLOOKUP($I25,'C-02'!$D:$L,4,0),"")</f>
        <v>2468.17</v>
      </c>
      <c r="T25" s="128">
        <f>IFERROR(VLOOKUP($I25,'C-02'!$D:$L,5,FALSE),"")</f>
        <v>2944.09</v>
      </c>
      <c r="U25" s="128">
        <f>IFERROR(VLOOKUP($I25,'C-02'!$D:$L,6,FALSE),"")</f>
        <v>3642.17</v>
      </c>
      <c r="V25" s="128">
        <f>IFERROR(VLOOKUP($I25,'C-02'!$D:$L,7,FALSE),"")</f>
        <v>3493.9</v>
      </c>
      <c r="W25" s="128">
        <f>IFERROR(VLOOKUP($I25,'C-02'!$D:$L,8,FALSE),"")</f>
        <v>4224.13</v>
      </c>
      <c r="X25" s="128">
        <f>IFERROR(VLOOKUP($I25,'C-02'!$D:$L,9,FALSE),"")</f>
        <v>5456.83</v>
      </c>
      <c r="Y25" s="129">
        <f>IFS('Painel Geral'!$B$5="Mediana",IFERROR(IF(OR(J25="",V25=0,V25=""),"",($J25/$V25)),""),'Painel Geral'!$B$5="Menor Salário",IFERROR(IF(OR(J25="",V25=0,V25=""),"",($J25/$S25)),""),'Painel Geral'!$B$5="1º Quartil",IFERROR(IF(OR(J25="",V25=0,V25=""),"",($J25/$T25)),""),'Painel Geral'!$B$5="Média",IFERROR(IF(OR(J25="",V25=0,V25=""),"",($J25/$U25)),""),'Painel Geral'!$B$5="3º Quartil",IFERROR(IF(OR(J25="",V25=0,V25=""),"",($J25/$W25)),""),'Painel Geral'!$B$5="Maior Salário",IFERROR(IF(OR(J25="",V25=0,V25=""),"",($J25/$X25)),""))</f>
        <v>0.7124359598</v>
      </c>
      <c r="Z25" s="130" t="str">
        <f t="shared" si="3"/>
        <v>Muito Defasado</v>
      </c>
      <c r="AA25" s="427">
        <f>VLOOKUP(A25,'Cálculos Comparativos'!$A:$F,4,0)</f>
        <v>2489.18</v>
      </c>
    </row>
    <row r="26" ht="15.75" customHeight="1">
      <c r="A26" s="132">
        <v>1.0</v>
      </c>
      <c r="B26" s="21">
        <v>2.0</v>
      </c>
      <c r="C26" s="422" t="str">
        <f>VLOOKUP(A26,Jobmatch!A:E,2,0)</f>
        <v>Engenheiro de Software Full Stack Jr</v>
      </c>
      <c r="D26" s="422" t="str">
        <f>VLOOKUP(B26,'Folha de Pagamento'!B:G,6,0)</f>
        <v>DEV</v>
      </c>
      <c r="E26" s="421" t="str">
        <f>VLOOKUP(A26,Jobmatch!A:E,4,0)</f>
        <v>Operacional</v>
      </c>
      <c r="F26" s="423">
        <f>VLOOKUP(A26,Jobmatch!A:F,5,0)</f>
        <v>1</v>
      </c>
      <c r="G26" s="422" t="str">
        <f>VLOOKUP(A26,Jobmatch!A:G,6,0)</f>
        <v>Desenvolvedor</v>
      </c>
      <c r="H26" s="424" t="str">
        <f>VLOOKUP(A26,Jobmatch!A:H,7,0)</f>
        <v>Júnior</v>
      </c>
      <c r="I26" s="425" t="str">
        <f t="shared" si="1"/>
        <v>1Júnior</v>
      </c>
      <c r="J26" s="426">
        <f>IFERROR(VLOOKUP(B26,'Folha de Pagamento'!B:I,8,0),"")</f>
        <v>2489.18</v>
      </c>
      <c r="K26" s="124">
        <f>IFERROR(VLOOKUP(I26,'C-01'!$D:$L,4,0),"")</f>
        <v>2030.9</v>
      </c>
      <c r="L26" s="125">
        <f>IFERROR(VLOOKUP(I26,'C-01'!$D:$L,5,0),"")</f>
        <v>2706.62</v>
      </c>
      <c r="M26" s="125">
        <f>IFERROR(VLOOKUP(I26,'C-01'!$D:$L,6,0),"")</f>
        <v>3370.79</v>
      </c>
      <c r="N26" s="125">
        <f>IFERROR(VLOOKUP(I26,'C-01'!$D:$L,7,0),"")</f>
        <v>3379.04</v>
      </c>
      <c r="O26" s="125">
        <f>IFERROR(VLOOKUP(I26,'C-01'!$D:$L,8,0),"")</f>
        <v>3870.49</v>
      </c>
      <c r="P26" s="124">
        <f>IFERROR(VLOOKUP(I26,'C-01'!$D:$L,9,0),"")</f>
        <v>5268.74</v>
      </c>
      <c r="Q26" s="126">
        <f>IFS('Painel Geral'!$B$5="Mediana",IFERROR(IF(OR(J26="",N26=0,N26=""),"",($J26/$N26)),""),'Painel Geral'!$B$5="Menor Salário",IFERROR(IF(OR(J26="",N26=0,N26=""),"",($J26/$K26)),""),'Painel Geral'!$B$5="1º Quartil",IFERROR(IF(OR(J26="",N26=0,N26=""),"",($J26/$L26)),""),'Painel Geral'!$B$5="Média",IFERROR(IF(OR(J26="",N26=0,N26=""),"",($J26/$M26)),""),'Painel Geral'!$B$5="3º Quartil",IFERROR(IF(OR(J26="",N26=0,N26=""),"",($J26/$O26)),""),'Painel Geral'!$B$5="Maior Salário",IFERROR(IF(OR(J26="",N26=0,N26=""),"",($J26/$P26)),""))</f>
        <v>0.7366530139</v>
      </c>
      <c r="R26" s="127" t="str">
        <f t="shared" si="2"/>
        <v>Muito Defasado</v>
      </c>
      <c r="S26" s="128">
        <f>IFERROR(VLOOKUP($I26,'C-02'!$D:$L,4,0),"")</f>
        <v>2468.17</v>
      </c>
      <c r="T26" s="128">
        <f>IFERROR(VLOOKUP($I26,'C-02'!$D:$L,5,FALSE),"")</f>
        <v>2944.09</v>
      </c>
      <c r="U26" s="128">
        <f>IFERROR(VLOOKUP($I26,'C-02'!$D:$L,6,FALSE),"")</f>
        <v>3642.17</v>
      </c>
      <c r="V26" s="128">
        <f>IFERROR(VLOOKUP($I26,'C-02'!$D:$L,7,FALSE),"")</f>
        <v>3493.9</v>
      </c>
      <c r="W26" s="128">
        <f>IFERROR(VLOOKUP($I26,'C-02'!$D:$L,8,FALSE),"")</f>
        <v>4224.13</v>
      </c>
      <c r="X26" s="128">
        <f>IFERROR(VLOOKUP($I26,'C-02'!$D:$L,9,FALSE),"")</f>
        <v>5456.83</v>
      </c>
      <c r="Y26" s="129">
        <f>IFS('Painel Geral'!$B$5="Mediana",IFERROR(IF(OR(J26="",V26=0,V26=""),"",($J26/$V26)),""),'Painel Geral'!$B$5="Menor Salário",IFERROR(IF(OR(J26="",V26=0,V26=""),"",($J26/$S26)),""),'Painel Geral'!$B$5="1º Quartil",IFERROR(IF(OR(J26="",V26=0,V26=""),"",($J26/$T26)),""),'Painel Geral'!$B$5="Média",IFERROR(IF(OR(J26="",V26=0,V26=""),"",($J26/$U26)),""),'Painel Geral'!$B$5="3º Quartil",IFERROR(IF(OR(J26="",V26=0,V26=""),"",($J26/$W26)),""),'Painel Geral'!$B$5="Maior Salário",IFERROR(IF(OR(J26="",V26=0,V26=""),"",($J26/$X26)),""))</f>
        <v>0.7124359598</v>
      </c>
      <c r="Z26" s="130" t="str">
        <f t="shared" si="3"/>
        <v>Muito Defasado</v>
      </c>
      <c r="AA26" s="427">
        <f>VLOOKUP(A26,'Cálculos Comparativos'!$A:$F,4,0)</f>
        <v>2489.18</v>
      </c>
    </row>
    <row r="27" ht="15.75" customHeight="1">
      <c r="A27" s="132">
        <v>1.0</v>
      </c>
      <c r="B27" s="21">
        <v>43.0</v>
      </c>
      <c r="C27" s="422" t="str">
        <f>VLOOKUP(A27,Jobmatch!A:E,2,0)</f>
        <v>Engenheiro de Software Full Stack Jr</v>
      </c>
      <c r="D27" s="422" t="str">
        <f>VLOOKUP(B27,'Folha de Pagamento'!B:G,6,0)</f>
        <v>DEV</v>
      </c>
      <c r="E27" s="421" t="str">
        <f>VLOOKUP(A27,Jobmatch!A:E,4,0)</f>
        <v>Operacional</v>
      </c>
      <c r="F27" s="423">
        <f>VLOOKUP(A27,Jobmatch!A:F,5,0)</f>
        <v>1</v>
      </c>
      <c r="G27" s="422" t="str">
        <f>VLOOKUP(A27,Jobmatch!A:G,6,0)</f>
        <v>Desenvolvedor</v>
      </c>
      <c r="H27" s="424" t="str">
        <f>VLOOKUP(A27,Jobmatch!A:H,7,0)</f>
        <v>Júnior</v>
      </c>
      <c r="I27" s="425" t="str">
        <f t="shared" si="1"/>
        <v>1Júnior</v>
      </c>
      <c r="J27" s="426">
        <f>IFERROR(VLOOKUP(B27,'Folha de Pagamento'!B:I,8,0),"")</f>
        <v>2489.18</v>
      </c>
      <c r="K27" s="124">
        <f>IFERROR(VLOOKUP(I27,'C-01'!$D:$L,4,0),"")</f>
        <v>2030.9</v>
      </c>
      <c r="L27" s="125">
        <f>IFERROR(VLOOKUP(I27,'C-01'!$D:$L,5,0),"")</f>
        <v>2706.62</v>
      </c>
      <c r="M27" s="125">
        <f>IFERROR(VLOOKUP(I27,'C-01'!$D:$L,6,0),"")</f>
        <v>3370.79</v>
      </c>
      <c r="N27" s="125">
        <f>IFERROR(VLOOKUP(I27,'C-01'!$D:$L,7,0),"")</f>
        <v>3379.04</v>
      </c>
      <c r="O27" s="125">
        <f>IFERROR(VLOOKUP(I27,'C-01'!$D:$L,8,0),"")</f>
        <v>3870.49</v>
      </c>
      <c r="P27" s="124">
        <f>IFERROR(VLOOKUP(I27,'C-01'!$D:$L,9,0),"")</f>
        <v>5268.74</v>
      </c>
      <c r="Q27" s="126">
        <f>IFS('Painel Geral'!$B$5="Mediana",IFERROR(IF(OR(J27="",N27=0,N27=""),"",($J27/$N27)),""),'Painel Geral'!$B$5="Menor Salário",IFERROR(IF(OR(J27="",N27=0,N27=""),"",($J27/$K27)),""),'Painel Geral'!$B$5="1º Quartil",IFERROR(IF(OR(J27="",N27=0,N27=""),"",($J27/$L27)),""),'Painel Geral'!$B$5="Média",IFERROR(IF(OR(J27="",N27=0,N27=""),"",($J27/$M27)),""),'Painel Geral'!$B$5="3º Quartil",IFERROR(IF(OR(J27="",N27=0,N27=""),"",($J27/$O27)),""),'Painel Geral'!$B$5="Maior Salário",IFERROR(IF(OR(J27="",N27=0,N27=""),"",($J27/$P27)),""))</f>
        <v>0.7366530139</v>
      </c>
      <c r="R27" s="127" t="str">
        <f t="shared" si="2"/>
        <v>Muito Defasado</v>
      </c>
      <c r="S27" s="128">
        <f>IFERROR(VLOOKUP($I27,'C-02'!$D:$L,4,0),"")</f>
        <v>2468.17</v>
      </c>
      <c r="T27" s="128">
        <f>IFERROR(VLOOKUP($I27,'C-02'!$D:$L,5,FALSE),"")</f>
        <v>2944.09</v>
      </c>
      <c r="U27" s="128">
        <f>IFERROR(VLOOKUP($I27,'C-02'!$D:$L,6,FALSE),"")</f>
        <v>3642.17</v>
      </c>
      <c r="V27" s="128">
        <f>IFERROR(VLOOKUP($I27,'C-02'!$D:$L,7,FALSE),"")</f>
        <v>3493.9</v>
      </c>
      <c r="W27" s="128">
        <f>IFERROR(VLOOKUP($I27,'C-02'!$D:$L,8,FALSE),"")</f>
        <v>4224.13</v>
      </c>
      <c r="X27" s="128">
        <f>IFERROR(VLOOKUP($I27,'C-02'!$D:$L,9,FALSE),"")</f>
        <v>5456.83</v>
      </c>
      <c r="Y27" s="129">
        <f>IFS('Painel Geral'!$B$5="Mediana",IFERROR(IF(OR(J27="",V27=0,V27=""),"",($J27/$V27)),""),'Painel Geral'!$B$5="Menor Salário",IFERROR(IF(OR(J27="",V27=0,V27=""),"",($J27/$S27)),""),'Painel Geral'!$B$5="1º Quartil",IFERROR(IF(OR(J27="",V27=0,V27=""),"",($J27/$T27)),""),'Painel Geral'!$B$5="Média",IFERROR(IF(OR(J27="",V27=0,V27=""),"",($J27/$U27)),""),'Painel Geral'!$B$5="3º Quartil",IFERROR(IF(OR(J27="",V27=0,V27=""),"",($J27/$W27)),""),'Painel Geral'!$B$5="Maior Salário",IFERROR(IF(OR(J27="",V27=0,V27=""),"",($J27/$X27)),""))</f>
        <v>0.7124359598</v>
      </c>
      <c r="Z27" s="130" t="str">
        <f t="shared" si="3"/>
        <v>Muito Defasado</v>
      </c>
      <c r="AA27" s="427">
        <f>VLOOKUP(A27,'Cálculos Comparativos'!$A:$F,4,0)</f>
        <v>2489.18</v>
      </c>
    </row>
    <row r="28" ht="15.75" customHeight="1">
      <c r="A28" s="132">
        <v>1.0</v>
      </c>
      <c r="B28" s="21">
        <v>44.0</v>
      </c>
      <c r="C28" s="422" t="str">
        <f>VLOOKUP(A28,Jobmatch!A:E,2,0)</f>
        <v>Engenheiro de Software Full Stack Jr</v>
      </c>
      <c r="D28" s="422" t="str">
        <f>VLOOKUP(B28,'Folha de Pagamento'!B:G,6,0)</f>
        <v>DEV</v>
      </c>
      <c r="E28" s="421" t="str">
        <f>VLOOKUP(A28,Jobmatch!A:E,4,0)</f>
        <v>Operacional</v>
      </c>
      <c r="F28" s="423">
        <f>VLOOKUP(A28,Jobmatch!A:F,5,0)</f>
        <v>1</v>
      </c>
      <c r="G28" s="422" t="str">
        <f>VLOOKUP(A28,Jobmatch!A:G,6,0)</f>
        <v>Desenvolvedor</v>
      </c>
      <c r="H28" s="424" t="str">
        <f>VLOOKUP(A28,Jobmatch!A:H,7,0)</f>
        <v>Júnior</v>
      </c>
      <c r="I28" s="425" t="str">
        <f t="shared" si="1"/>
        <v>1Júnior</v>
      </c>
      <c r="J28" s="426">
        <f>IFERROR(VLOOKUP(B28,'Folha de Pagamento'!B:I,8,0),"")</f>
        <v>2489.18</v>
      </c>
      <c r="K28" s="124">
        <f>IFERROR(VLOOKUP(I28,'C-01'!$D:$L,4,0),"")</f>
        <v>2030.9</v>
      </c>
      <c r="L28" s="125">
        <f>IFERROR(VLOOKUP(I28,'C-01'!$D:$L,5,0),"")</f>
        <v>2706.62</v>
      </c>
      <c r="M28" s="125">
        <f>IFERROR(VLOOKUP(I28,'C-01'!$D:$L,6,0),"")</f>
        <v>3370.79</v>
      </c>
      <c r="N28" s="125">
        <f>IFERROR(VLOOKUP(I28,'C-01'!$D:$L,7,0),"")</f>
        <v>3379.04</v>
      </c>
      <c r="O28" s="125">
        <f>IFERROR(VLOOKUP(I28,'C-01'!$D:$L,8,0),"")</f>
        <v>3870.49</v>
      </c>
      <c r="P28" s="124">
        <f>IFERROR(VLOOKUP(I28,'C-01'!$D:$L,9,0),"")</f>
        <v>5268.74</v>
      </c>
      <c r="Q28" s="126">
        <f>IFS('Painel Geral'!$B$5="Mediana",IFERROR(IF(OR(J28="",N28=0,N28=""),"",($J28/$N28)),""),'Painel Geral'!$B$5="Menor Salário",IFERROR(IF(OR(J28="",N28=0,N28=""),"",($J28/$K28)),""),'Painel Geral'!$B$5="1º Quartil",IFERROR(IF(OR(J28="",N28=0,N28=""),"",($J28/$L28)),""),'Painel Geral'!$B$5="Média",IFERROR(IF(OR(J28="",N28=0,N28=""),"",($J28/$M28)),""),'Painel Geral'!$B$5="3º Quartil",IFERROR(IF(OR(J28="",N28=0,N28=""),"",($J28/$O28)),""),'Painel Geral'!$B$5="Maior Salário",IFERROR(IF(OR(J28="",N28=0,N28=""),"",($J28/$P28)),""))</f>
        <v>0.7366530139</v>
      </c>
      <c r="R28" s="127" t="str">
        <f t="shared" si="2"/>
        <v>Muito Defasado</v>
      </c>
      <c r="S28" s="128">
        <f>IFERROR(VLOOKUP($I28,'C-02'!$D:$L,4,0),"")</f>
        <v>2468.17</v>
      </c>
      <c r="T28" s="128">
        <f>IFERROR(VLOOKUP($I28,'C-02'!$D:$L,5,FALSE),"")</f>
        <v>2944.09</v>
      </c>
      <c r="U28" s="128">
        <f>IFERROR(VLOOKUP($I28,'C-02'!$D:$L,6,FALSE),"")</f>
        <v>3642.17</v>
      </c>
      <c r="V28" s="128">
        <f>IFERROR(VLOOKUP($I28,'C-02'!$D:$L,7,FALSE),"")</f>
        <v>3493.9</v>
      </c>
      <c r="W28" s="128">
        <f>IFERROR(VLOOKUP($I28,'C-02'!$D:$L,8,FALSE),"")</f>
        <v>4224.13</v>
      </c>
      <c r="X28" s="128">
        <f>IFERROR(VLOOKUP($I28,'C-02'!$D:$L,9,FALSE),"")</f>
        <v>5456.83</v>
      </c>
      <c r="Y28" s="129">
        <f>IFS('Painel Geral'!$B$5="Mediana",IFERROR(IF(OR(J28="",V28=0,V28=""),"",($J28/$V28)),""),'Painel Geral'!$B$5="Menor Salário",IFERROR(IF(OR(J28="",V28=0,V28=""),"",($J28/$S28)),""),'Painel Geral'!$B$5="1º Quartil",IFERROR(IF(OR(J28="",V28=0,V28=""),"",($J28/$T28)),""),'Painel Geral'!$B$5="Média",IFERROR(IF(OR(J28="",V28=0,V28=""),"",($J28/$U28)),""),'Painel Geral'!$B$5="3º Quartil",IFERROR(IF(OR(J28="",V28=0,V28=""),"",($J28/$W28)),""),'Painel Geral'!$B$5="Maior Salário",IFERROR(IF(OR(J28="",V28=0,V28=""),"",($J28/$X28)),""))</f>
        <v>0.7124359598</v>
      </c>
      <c r="Z28" s="130" t="str">
        <f t="shared" si="3"/>
        <v>Muito Defasado</v>
      </c>
      <c r="AA28" s="427">
        <f>VLOOKUP(A28,'Cálculos Comparativos'!$A:$F,4,0)</f>
        <v>2489.18</v>
      </c>
    </row>
    <row r="29" ht="15.75" customHeight="1">
      <c r="A29" s="132">
        <v>1.0</v>
      </c>
      <c r="B29" s="21">
        <v>24.0</v>
      </c>
      <c r="C29" s="422" t="str">
        <f>VLOOKUP(A29,Jobmatch!A:E,2,0)</f>
        <v>Engenheiro de Software Full Stack Jr</v>
      </c>
      <c r="D29" s="422" t="str">
        <f>VLOOKUP(B29,'Folha de Pagamento'!B:G,6,0)</f>
        <v>DEV</v>
      </c>
      <c r="E29" s="421" t="str">
        <f>VLOOKUP(A29,Jobmatch!A:E,4,0)</f>
        <v>Operacional</v>
      </c>
      <c r="F29" s="423">
        <f>VLOOKUP(A29,Jobmatch!A:F,5,0)</f>
        <v>1</v>
      </c>
      <c r="G29" s="422" t="str">
        <f>VLOOKUP(A29,Jobmatch!A:G,6,0)</f>
        <v>Desenvolvedor</v>
      </c>
      <c r="H29" s="424" t="str">
        <f>VLOOKUP(A29,Jobmatch!A:H,7,0)</f>
        <v>Júnior</v>
      </c>
      <c r="I29" s="425" t="str">
        <f t="shared" si="1"/>
        <v>1Júnior</v>
      </c>
      <c r="J29" s="426">
        <f>IFERROR(VLOOKUP(B29,'Folha de Pagamento'!B:I,8,0),"")</f>
        <v>2489.18</v>
      </c>
      <c r="K29" s="124">
        <f>IFERROR(VLOOKUP(I29,'C-01'!$D:$L,4,0),"")</f>
        <v>2030.9</v>
      </c>
      <c r="L29" s="125">
        <f>IFERROR(VLOOKUP(I29,'C-01'!$D:$L,5,0),"")</f>
        <v>2706.62</v>
      </c>
      <c r="M29" s="125">
        <f>IFERROR(VLOOKUP(I29,'C-01'!$D:$L,6,0),"")</f>
        <v>3370.79</v>
      </c>
      <c r="N29" s="125">
        <f>IFERROR(VLOOKUP(I29,'C-01'!$D:$L,7,0),"")</f>
        <v>3379.04</v>
      </c>
      <c r="O29" s="125">
        <f>IFERROR(VLOOKUP(I29,'C-01'!$D:$L,8,0),"")</f>
        <v>3870.49</v>
      </c>
      <c r="P29" s="124">
        <f>IFERROR(VLOOKUP(I29,'C-01'!$D:$L,9,0),"")</f>
        <v>5268.74</v>
      </c>
      <c r="Q29" s="126">
        <f>IFS('Painel Geral'!$B$5="Mediana",IFERROR(IF(OR(J29="",N29=0,N29=""),"",($J29/$N29)),""),'Painel Geral'!$B$5="Menor Salário",IFERROR(IF(OR(J29="",N29=0,N29=""),"",($J29/$K29)),""),'Painel Geral'!$B$5="1º Quartil",IFERROR(IF(OR(J29="",N29=0,N29=""),"",($J29/$L29)),""),'Painel Geral'!$B$5="Média",IFERROR(IF(OR(J29="",N29=0,N29=""),"",($J29/$M29)),""),'Painel Geral'!$B$5="3º Quartil",IFERROR(IF(OR(J29="",N29=0,N29=""),"",($J29/$O29)),""),'Painel Geral'!$B$5="Maior Salário",IFERROR(IF(OR(J29="",N29=0,N29=""),"",($J29/$P29)),""))</f>
        <v>0.7366530139</v>
      </c>
      <c r="R29" s="127" t="str">
        <f t="shared" si="2"/>
        <v>Muito Defasado</v>
      </c>
      <c r="S29" s="128">
        <f>IFERROR(VLOOKUP($I29,'C-02'!$D:$L,4,0),"")</f>
        <v>2468.17</v>
      </c>
      <c r="T29" s="128">
        <f>IFERROR(VLOOKUP($I29,'C-02'!$D:$L,5,FALSE),"")</f>
        <v>2944.09</v>
      </c>
      <c r="U29" s="128">
        <f>IFERROR(VLOOKUP($I29,'C-02'!$D:$L,6,FALSE),"")</f>
        <v>3642.17</v>
      </c>
      <c r="V29" s="128">
        <f>IFERROR(VLOOKUP($I29,'C-02'!$D:$L,7,FALSE),"")</f>
        <v>3493.9</v>
      </c>
      <c r="W29" s="128">
        <f>IFERROR(VLOOKUP($I29,'C-02'!$D:$L,8,FALSE),"")</f>
        <v>4224.13</v>
      </c>
      <c r="X29" s="128">
        <f>IFERROR(VLOOKUP($I29,'C-02'!$D:$L,9,FALSE),"")</f>
        <v>5456.83</v>
      </c>
      <c r="Y29" s="129">
        <f>IFS('Painel Geral'!$B$5="Mediana",IFERROR(IF(OR(J29="",V29=0,V29=""),"",($J29/$V29)),""),'Painel Geral'!$B$5="Menor Salário",IFERROR(IF(OR(J29="",V29=0,V29=""),"",($J29/$S29)),""),'Painel Geral'!$B$5="1º Quartil",IFERROR(IF(OR(J29="",V29=0,V29=""),"",($J29/$T29)),""),'Painel Geral'!$B$5="Média",IFERROR(IF(OR(J29="",V29=0,V29=""),"",($J29/$U29)),""),'Painel Geral'!$B$5="3º Quartil",IFERROR(IF(OR(J29="",V29=0,V29=""),"",($J29/$W29)),""),'Painel Geral'!$B$5="Maior Salário",IFERROR(IF(OR(J29="",V29=0,V29=""),"",($J29/$X29)),""))</f>
        <v>0.7124359598</v>
      </c>
      <c r="Z29" s="130" t="str">
        <f t="shared" si="3"/>
        <v>Muito Defasado</v>
      </c>
      <c r="AA29" s="427">
        <f>VLOOKUP(A29,'Cálculos Comparativos'!$A:$F,4,0)</f>
        <v>2489.18</v>
      </c>
    </row>
    <row r="30" ht="15.75" customHeight="1">
      <c r="A30" s="132">
        <v>1.0</v>
      </c>
      <c r="B30" s="21">
        <v>4.0</v>
      </c>
      <c r="C30" s="422" t="str">
        <f>VLOOKUP(A30,Jobmatch!A:E,2,0)</f>
        <v>Engenheiro de Software Full Stack Jr</v>
      </c>
      <c r="D30" s="422" t="str">
        <f>VLOOKUP(B30,'Folha de Pagamento'!B:G,6,0)</f>
        <v>DEV</v>
      </c>
      <c r="E30" s="421" t="str">
        <f>VLOOKUP(A30,Jobmatch!A:E,4,0)</f>
        <v>Operacional</v>
      </c>
      <c r="F30" s="423">
        <f>VLOOKUP(A30,Jobmatch!A:F,5,0)</f>
        <v>1</v>
      </c>
      <c r="G30" s="422" t="str">
        <f>VLOOKUP(A30,Jobmatch!A:G,6,0)</f>
        <v>Desenvolvedor</v>
      </c>
      <c r="H30" s="424" t="str">
        <f>VLOOKUP(A30,Jobmatch!A:H,7,0)</f>
        <v>Júnior</v>
      </c>
      <c r="I30" s="425" t="str">
        <f t="shared" si="1"/>
        <v>1Júnior</v>
      </c>
      <c r="J30" s="426">
        <f>IFERROR(VLOOKUP(B30,'Folha de Pagamento'!B:I,8,0),"")</f>
        <v>2489.18</v>
      </c>
      <c r="K30" s="124">
        <f>IFERROR(VLOOKUP(I30,'C-01'!$D:$L,4,0),"")</f>
        <v>2030.9</v>
      </c>
      <c r="L30" s="125">
        <f>IFERROR(VLOOKUP(I30,'C-01'!$D:$L,5,0),"")</f>
        <v>2706.62</v>
      </c>
      <c r="M30" s="125">
        <f>IFERROR(VLOOKUP(I30,'C-01'!$D:$L,6,0),"")</f>
        <v>3370.79</v>
      </c>
      <c r="N30" s="125">
        <f>IFERROR(VLOOKUP(I30,'C-01'!$D:$L,7,0),"")</f>
        <v>3379.04</v>
      </c>
      <c r="O30" s="125">
        <f>IFERROR(VLOOKUP(I30,'C-01'!$D:$L,8,0),"")</f>
        <v>3870.49</v>
      </c>
      <c r="P30" s="124">
        <f>IFERROR(VLOOKUP(I30,'C-01'!$D:$L,9,0),"")</f>
        <v>5268.74</v>
      </c>
      <c r="Q30" s="126">
        <f>IFS('Painel Geral'!$B$5="Mediana",IFERROR(IF(OR(J30="",N30=0,N30=""),"",($J30/$N30)),""),'Painel Geral'!$B$5="Menor Salário",IFERROR(IF(OR(J30="",N30=0,N30=""),"",($J30/$K30)),""),'Painel Geral'!$B$5="1º Quartil",IFERROR(IF(OR(J30="",N30=0,N30=""),"",($J30/$L30)),""),'Painel Geral'!$B$5="Média",IFERROR(IF(OR(J30="",N30=0,N30=""),"",($J30/$M30)),""),'Painel Geral'!$B$5="3º Quartil",IFERROR(IF(OR(J30="",N30=0,N30=""),"",($J30/$O30)),""),'Painel Geral'!$B$5="Maior Salário",IFERROR(IF(OR(J30="",N30=0,N30=""),"",($J30/$P30)),""))</f>
        <v>0.7366530139</v>
      </c>
      <c r="R30" s="127" t="str">
        <f t="shared" si="2"/>
        <v>Muito Defasado</v>
      </c>
      <c r="S30" s="128">
        <f>IFERROR(VLOOKUP($I30,'C-02'!$D:$L,4,0),"")</f>
        <v>2468.17</v>
      </c>
      <c r="T30" s="128">
        <f>IFERROR(VLOOKUP($I30,'C-02'!$D:$L,5,FALSE),"")</f>
        <v>2944.09</v>
      </c>
      <c r="U30" s="128">
        <f>IFERROR(VLOOKUP($I30,'C-02'!$D:$L,6,FALSE),"")</f>
        <v>3642.17</v>
      </c>
      <c r="V30" s="128">
        <f>IFERROR(VLOOKUP($I30,'C-02'!$D:$L,7,FALSE),"")</f>
        <v>3493.9</v>
      </c>
      <c r="W30" s="128">
        <f>IFERROR(VLOOKUP($I30,'C-02'!$D:$L,8,FALSE),"")</f>
        <v>4224.13</v>
      </c>
      <c r="X30" s="128">
        <f>IFERROR(VLOOKUP($I30,'C-02'!$D:$L,9,FALSE),"")</f>
        <v>5456.83</v>
      </c>
      <c r="Y30" s="129">
        <f>IFS('Painel Geral'!$B$5="Mediana",IFERROR(IF(OR(J30="",V30=0,V30=""),"",($J30/$V30)),""),'Painel Geral'!$B$5="Menor Salário",IFERROR(IF(OR(J30="",V30=0,V30=""),"",($J30/$S30)),""),'Painel Geral'!$B$5="1º Quartil",IFERROR(IF(OR(J30="",V30=0,V30=""),"",($J30/$T30)),""),'Painel Geral'!$B$5="Média",IFERROR(IF(OR(J30="",V30=0,V30=""),"",($J30/$U30)),""),'Painel Geral'!$B$5="3º Quartil",IFERROR(IF(OR(J30="",V30=0,V30=""),"",($J30/$W30)),""),'Painel Geral'!$B$5="Maior Salário",IFERROR(IF(OR(J30="",V30=0,V30=""),"",($J30/$X30)),""))</f>
        <v>0.7124359598</v>
      </c>
      <c r="Z30" s="130" t="str">
        <f t="shared" si="3"/>
        <v>Muito Defasado</v>
      </c>
      <c r="AA30" s="427">
        <f>VLOOKUP(A30,'Cálculos Comparativos'!$A:$F,4,0)</f>
        <v>2489.18</v>
      </c>
    </row>
    <row r="31" ht="15.75" customHeight="1">
      <c r="A31" s="132">
        <v>1.0</v>
      </c>
      <c r="B31" s="21">
        <v>27.0</v>
      </c>
      <c r="C31" s="422" t="str">
        <f>VLOOKUP(A31,Jobmatch!A:E,2,0)</f>
        <v>Engenheiro de Software Full Stack Jr</v>
      </c>
      <c r="D31" s="422" t="str">
        <f>VLOOKUP(B31,'Folha de Pagamento'!B:G,6,0)</f>
        <v>DEV</v>
      </c>
      <c r="E31" s="421" t="str">
        <f>VLOOKUP(A31,Jobmatch!A:E,4,0)</f>
        <v>Operacional</v>
      </c>
      <c r="F31" s="423">
        <f>VLOOKUP(A31,Jobmatch!A:F,5,0)</f>
        <v>1</v>
      </c>
      <c r="G31" s="422" t="str">
        <f>VLOOKUP(A31,Jobmatch!A:G,6,0)</f>
        <v>Desenvolvedor</v>
      </c>
      <c r="H31" s="424" t="str">
        <f>VLOOKUP(A31,Jobmatch!A:H,7,0)</f>
        <v>Júnior</v>
      </c>
      <c r="I31" s="425" t="str">
        <f t="shared" si="1"/>
        <v>1Júnior</v>
      </c>
      <c r="J31" s="426">
        <f>IFERROR(VLOOKUP(B31,'Folha de Pagamento'!B:I,8,0),"")</f>
        <v>2489.18</v>
      </c>
      <c r="K31" s="124">
        <f>IFERROR(VLOOKUP(I31,'C-01'!$D:$L,4,0),"")</f>
        <v>2030.9</v>
      </c>
      <c r="L31" s="125">
        <f>IFERROR(VLOOKUP(I31,'C-01'!$D:$L,5,0),"")</f>
        <v>2706.62</v>
      </c>
      <c r="M31" s="125">
        <f>IFERROR(VLOOKUP(I31,'C-01'!$D:$L,6,0),"")</f>
        <v>3370.79</v>
      </c>
      <c r="N31" s="125">
        <f>IFERROR(VLOOKUP(I31,'C-01'!$D:$L,7,0),"")</f>
        <v>3379.04</v>
      </c>
      <c r="O31" s="125">
        <f>IFERROR(VLOOKUP(I31,'C-01'!$D:$L,8,0),"")</f>
        <v>3870.49</v>
      </c>
      <c r="P31" s="124">
        <f>IFERROR(VLOOKUP(I31,'C-01'!$D:$L,9,0),"")</f>
        <v>5268.74</v>
      </c>
      <c r="Q31" s="126">
        <f>IFS('Painel Geral'!$B$5="Mediana",IFERROR(IF(OR(J31="",N31=0,N31=""),"",($J31/$N31)),""),'Painel Geral'!$B$5="Menor Salário",IFERROR(IF(OR(J31="",N31=0,N31=""),"",($J31/$K31)),""),'Painel Geral'!$B$5="1º Quartil",IFERROR(IF(OR(J31="",N31=0,N31=""),"",($J31/$L31)),""),'Painel Geral'!$B$5="Média",IFERROR(IF(OR(J31="",N31=0,N31=""),"",($J31/$M31)),""),'Painel Geral'!$B$5="3º Quartil",IFERROR(IF(OR(J31="",N31=0,N31=""),"",($J31/$O31)),""),'Painel Geral'!$B$5="Maior Salário",IFERROR(IF(OR(J31="",N31=0,N31=""),"",($J31/$P31)),""))</f>
        <v>0.7366530139</v>
      </c>
      <c r="R31" s="127" t="str">
        <f t="shared" si="2"/>
        <v>Muito Defasado</v>
      </c>
      <c r="S31" s="128">
        <f>IFERROR(VLOOKUP($I31,'C-02'!$D:$L,4,0),"")</f>
        <v>2468.17</v>
      </c>
      <c r="T31" s="128">
        <f>IFERROR(VLOOKUP($I31,'C-02'!$D:$L,5,FALSE),"")</f>
        <v>2944.09</v>
      </c>
      <c r="U31" s="128">
        <f>IFERROR(VLOOKUP($I31,'C-02'!$D:$L,6,FALSE),"")</f>
        <v>3642.17</v>
      </c>
      <c r="V31" s="128">
        <f>IFERROR(VLOOKUP($I31,'C-02'!$D:$L,7,FALSE),"")</f>
        <v>3493.9</v>
      </c>
      <c r="W31" s="128">
        <f>IFERROR(VLOOKUP($I31,'C-02'!$D:$L,8,FALSE),"")</f>
        <v>4224.13</v>
      </c>
      <c r="X31" s="128">
        <f>IFERROR(VLOOKUP($I31,'C-02'!$D:$L,9,FALSE),"")</f>
        <v>5456.83</v>
      </c>
      <c r="Y31" s="129">
        <f>IFS('Painel Geral'!$B$5="Mediana",IFERROR(IF(OR(J31="",V31=0,V31=""),"",($J31/$V31)),""),'Painel Geral'!$B$5="Menor Salário",IFERROR(IF(OR(J31="",V31=0,V31=""),"",($J31/$S31)),""),'Painel Geral'!$B$5="1º Quartil",IFERROR(IF(OR(J31="",V31=0,V31=""),"",($J31/$T31)),""),'Painel Geral'!$B$5="Média",IFERROR(IF(OR(J31="",V31=0,V31=""),"",($J31/$U31)),""),'Painel Geral'!$B$5="3º Quartil",IFERROR(IF(OR(J31="",V31=0,V31=""),"",($J31/$W31)),""),'Painel Geral'!$B$5="Maior Salário",IFERROR(IF(OR(J31="",V31=0,V31=""),"",($J31/$X31)),""))</f>
        <v>0.7124359598</v>
      </c>
      <c r="Z31" s="130" t="str">
        <f t="shared" si="3"/>
        <v>Muito Defasado</v>
      </c>
      <c r="AA31" s="427"/>
    </row>
    <row r="32" ht="15.75" customHeight="1">
      <c r="A32" s="132">
        <v>1.0</v>
      </c>
      <c r="B32" s="21">
        <v>381.0</v>
      </c>
      <c r="C32" s="422" t="str">
        <f>VLOOKUP(A32,Jobmatch!A:E,2,0)</f>
        <v>Engenheiro de Software Full Stack Jr</v>
      </c>
      <c r="D32" s="422" t="str">
        <f>VLOOKUP(B32,'Folha de Pagamento'!B:G,6,0)</f>
        <v>DEV</v>
      </c>
      <c r="E32" s="421" t="str">
        <f>VLOOKUP(A32,Jobmatch!A:E,4,0)</f>
        <v>Operacional</v>
      </c>
      <c r="F32" s="423">
        <f>VLOOKUP(A32,Jobmatch!A:F,5,0)</f>
        <v>1</v>
      </c>
      <c r="G32" s="422" t="str">
        <f>VLOOKUP(A32,Jobmatch!A:G,6,0)</f>
        <v>Desenvolvedor</v>
      </c>
      <c r="H32" s="424" t="str">
        <f>VLOOKUP(A32,Jobmatch!A:H,7,0)</f>
        <v>Júnior</v>
      </c>
      <c r="I32" s="425" t="str">
        <f t="shared" si="1"/>
        <v>1Júnior</v>
      </c>
      <c r="J32" s="426">
        <f>IFERROR(VLOOKUP(B32,'Folha de Pagamento'!B:I,8,0),"")</f>
        <v>2489.18</v>
      </c>
      <c r="K32" s="124">
        <f>IFERROR(VLOOKUP(I32,'C-01'!$D:$L,4,0),"")</f>
        <v>2030.9</v>
      </c>
      <c r="L32" s="125">
        <f>IFERROR(VLOOKUP(I32,'C-01'!$D:$L,5,0),"")</f>
        <v>2706.62</v>
      </c>
      <c r="M32" s="125">
        <f>IFERROR(VLOOKUP(I32,'C-01'!$D:$L,6,0),"")</f>
        <v>3370.79</v>
      </c>
      <c r="N32" s="125">
        <f>IFERROR(VLOOKUP(I32,'C-01'!$D:$L,7,0),"")</f>
        <v>3379.04</v>
      </c>
      <c r="O32" s="125">
        <f>IFERROR(VLOOKUP(I32,'C-01'!$D:$L,8,0),"")</f>
        <v>3870.49</v>
      </c>
      <c r="P32" s="124">
        <f>IFERROR(VLOOKUP(I32,'C-01'!$D:$L,9,0),"")</f>
        <v>5268.74</v>
      </c>
      <c r="Q32" s="126">
        <f>IFS('Painel Geral'!$B$5="Mediana",IFERROR(IF(OR(J32="",N32=0,N32=""),"",($J32/$N32)),""),'Painel Geral'!$B$5="Menor Salário",IFERROR(IF(OR(J32="",N32=0,N32=""),"",($J32/$K32)),""),'Painel Geral'!$B$5="1º Quartil",IFERROR(IF(OR(J32="",N32=0,N32=""),"",($J32/$L32)),""),'Painel Geral'!$B$5="Média",IFERROR(IF(OR(J32="",N32=0,N32=""),"",($J32/$M32)),""),'Painel Geral'!$B$5="3º Quartil",IFERROR(IF(OR(J32="",N32=0,N32=""),"",($J32/$O32)),""),'Painel Geral'!$B$5="Maior Salário",IFERROR(IF(OR(J32="",N32=0,N32=""),"",($J32/$P32)),""))</f>
        <v>0.7366530139</v>
      </c>
      <c r="R32" s="127" t="str">
        <f t="shared" si="2"/>
        <v>Muito Defasado</v>
      </c>
      <c r="S32" s="128">
        <f>IFERROR(VLOOKUP($I32,'C-02'!$D:$L,4,0),"")</f>
        <v>2468.17</v>
      </c>
      <c r="T32" s="128">
        <f>IFERROR(VLOOKUP($I32,'C-02'!$D:$L,5,FALSE),"")</f>
        <v>2944.09</v>
      </c>
      <c r="U32" s="128">
        <f>IFERROR(VLOOKUP($I32,'C-02'!$D:$L,6,FALSE),"")</f>
        <v>3642.17</v>
      </c>
      <c r="V32" s="128">
        <f>IFERROR(VLOOKUP($I32,'C-02'!$D:$L,7,FALSE),"")</f>
        <v>3493.9</v>
      </c>
      <c r="W32" s="128">
        <f>IFERROR(VLOOKUP($I32,'C-02'!$D:$L,8,FALSE),"")</f>
        <v>4224.13</v>
      </c>
      <c r="X32" s="128">
        <f>IFERROR(VLOOKUP($I32,'C-02'!$D:$L,9,FALSE),"")</f>
        <v>5456.83</v>
      </c>
      <c r="Y32" s="129">
        <f>IFS('Painel Geral'!$B$5="Mediana",IFERROR(IF(OR(J32="",V32=0,V32=""),"",($J32/$V32)),""),'Painel Geral'!$B$5="Menor Salário",IFERROR(IF(OR(J32="",V32=0,V32=""),"",($J32/$S32)),""),'Painel Geral'!$B$5="1º Quartil",IFERROR(IF(OR(J32="",V32=0,V32=""),"",($J32/$T32)),""),'Painel Geral'!$B$5="Média",IFERROR(IF(OR(J32="",V32=0,V32=""),"",($J32/$U32)),""),'Painel Geral'!$B$5="3º Quartil",IFERROR(IF(OR(J32="",V32=0,V32=""),"",($J32/$W32)),""),'Painel Geral'!$B$5="Maior Salário",IFERROR(IF(OR(J32="",V32=0,V32=""),"",($J32/$X32)),""))</f>
        <v>0.7124359598</v>
      </c>
      <c r="Z32" s="130" t="str">
        <f t="shared" si="3"/>
        <v>Muito Defasado</v>
      </c>
      <c r="AA32" s="427"/>
    </row>
    <row r="33" ht="15.75" customHeight="1">
      <c r="A33" s="132">
        <v>1.0</v>
      </c>
      <c r="B33" s="21">
        <v>34.0</v>
      </c>
      <c r="C33" s="422" t="str">
        <f>VLOOKUP(A33,Jobmatch!A:E,2,0)</f>
        <v>Engenheiro de Software Full Stack Jr</v>
      </c>
      <c r="D33" s="422" t="str">
        <f>VLOOKUP(B33,'Folha de Pagamento'!B:G,6,0)</f>
        <v>DEV</v>
      </c>
      <c r="E33" s="421" t="str">
        <f>VLOOKUP(A33,Jobmatch!A:E,4,0)</f>
        <v>Operacional</v>
      </c>
      <c r="F33" s="423">
        <f>VLOOKUP(A33,Jobmatch!A:F,5,0)</f>
        <v>1</v>
      </c>
      <c r="G33" s="422" t="str">
        <f>VLOOKUP(A33,Jobmatch!A:G,6,0)</f>
        <v>Desenvolvedor</v>
      </c>
      <c r="H33" s="424" t="str">
        <f>VLOOKUP(A33,Jobmatch!A:H,7,0)</f>
        <v>Júnior</v>
      </c>
      <c r="I33" s="425" t="str">
        <f t="shared" si="1"/>
        <v>1Júnior</v>
      </c>
      <c r="J33" s="426">
        <f>IFERROR(VLOOKUP(B33,'Folha de Pagamento'!B:I,8,0),"")</f>
        <v>2489.18</v>
      </c>
      <c r="K33" s="124">
        <f>IFERROR(VLOOKUP(I33,'C-01'!$D:$L,4,0),"")</f>
        <v>2030.9</v>
      </c>
      <c r="L33" s="125">
        <f>IFERROR(VLOOKUP(I33,'C-01'!$D:$L,5,0),"")</f>
        <v>2706.62</v>
      </c>
      <c r="M33" s="125">
        <f>IFERROR(VLOOKUP(I33,'C-01'!$D:$L,6,0),"")</f>
        <v>3370.79</v>
      </c>
      <c r="N33" s="125">
        <f>IFERROR(VLOOKUP(I33,'C-01'!$D:$L,7,0),"")</f>
        <v>3379.04</v>
      </c>
      <c r="O33" s="125">
        <f>IFERROR(VLOOKUP(I33,'C-01'!$D:$L,8,0),"")</f>
        <v>3870.49</v>
      </c>
      <c r="P33" s="124">
        <f>IFERROR(VLOOKUP(I33,'C-01'!$D:$L,9,0),"")</f>
        <v>5268.74</v>
      </c>
      <c r="Q33" s="126">
        <f>IFS('Painel Geral'!$B$5="Mediana",IFERROR(IF(OR(J33="",N33=0,N33=""),"",($J33/$N33)),""),'Painel Geral'!$B$5="Menor Salário",IFERROR(IF(OR(J33="",N33=0,N33=""),"",($J33/$K33)),""),'Painel Geral'!$B$5="1º Quartil",IFERROR(IF(OR(J33="",N33=0,N33=""),"",($J33/$L33)),""),'Painel Geral'!$B$5="Média",IFERROR(IF(OR(J33="",N33=0,N33=""),"",($J33/$M33)),""),'Painel Geral'!$B$5="3º Quartil",IFERROR(IF(OR(J33="",N33=0,N33=""),"",($J33/$O33)),""),'Painel Geral'!$B$5="Maior Salário",IFERROR(IF(OR(J33="",N33=0,N33=""),"",($J33/$P33)),""))</f>
        <v>0.7366530139</v>
      </c>
      <c r="R33" s="127" t="str">
        <f t="shared" si="2"/>
        <v>Muito Defasado</v>
      </c>
      <c r="S33" s="128">
        <f>IFERROR(VLOOKUP($I33,'C-02'!$D:$L,4,0),"")</f>
        <v>2468.17</v>
      </c>
      <c r="T33" s="128">
        <f>IFERROR(VLOOKUP($I33,'C-02'!$D:$L,5,FALSE),"")</f>
        <v>2944.09</v>
      </c>
      <c r="U33" s="128">
        <f>IFERROR(VLOOKUP($I33,'C-02'!$D:$L,6,FALSE),"")</f>
        <v>3642.17</v>
      </c>
      <c r="V33" s="128">
        <f>IFERROR(VLOOKUP($I33,'C-02'!$D:$L,7,FALSE),"")</f>
        <v>3493.9</v>
      </c>
      <c r="W33" s="128">
        <f>IFERROR(VLOOKUP($I33,'C-02'!$D:$L,8,FALSE),"")</f>
        <v>4224.13</v>
      </c>
      <c r="X33" s="128">
        <f>IFERROR(VLOOKUP($I33,'C-02'!$D:$L,9,FALSE),"")</f>
        <v>5456.83</v>
      </c>
      <c r="Y33" s="129">
        <f>IFS('Painel Geral'!$B$5="Mediana",IFERROR(IF(OR(J33="",V33=0,V33=""),"",($J33/$V33)),""),'Painel Geral'!$B$5="Menor Salário",IFERROR(IF(OR(J33="",V33=0,V33=""),"",($J33/$S33)),""),'Painel Geral'!$B$5="1º Quartil",IFERROR(IF(OR(J33="",V33=0,V33=""),"",($J33/$T33)),""),'Painel Geral'!$B$5="Média",IFERROR(IF(OR(J33="",V33=0,V33=""),"",($J33/$U33)),""),'Painel Geral'!$B$5="3º Quartil",IFERROR(IF(OR(J33="",V33=0,V33=""),"",($J33/$W33)),""),'Painel Geral'!$B$5="Maior Salário",IFERROR(IF(OR(J33="",V33=0,V33=""),"",($J33/$X33)),""))</f>
        <v>0.7124359598</v>
      </c>
      <c r="Z33" s="130" t="str">
        <f t="shared" si="3"/>
        <v>Muito Defasado</v>
      </c>
      <c r="AA33" s="427"/>
    </row>
    <row r="34" ht="15.75" customHeight="1">
      <c r="A34" s="132">
        <v>4.0</v>
      </c>
      <c r="B34" s="21">
        <v>33.0</v>
      </c>
      <c r="C34" s="421" t="str">
        <f>VLOOKUP(A34,Jobmatch!A:E,2,0)</f>
        <v>Analista de Requisitos</v>
      </c>
      <c r="D34" s="422" t="str">
        <f>VLOOKUP(B34,'Folha de Pagamento'!B:G,6,0)</f>
        <v>DEV</v>
      </c>
      <c r="E34" s="421" t="str">
        <f>VLOOKUP(A34,Jobmatch!A:E,4,0)</f>
        <v>Operacional</v>
      </c>
      <c r="F34" s="423">
        <f>VLOOKUP(A34,Jobmatch!A:F,5,0)</f>
        <v>796</v>
      </c>
      <c r="G34" s="422" t="str">
        <f>VLOOKUP(A34,Jobmatch!A:G,6,0)</f>
        <v>Analista de Requisitos</v>
      </c>
      <c r="H34" s="424" t="str">
        <f>VLOOKUP(A34,Jobmatch!A:H,7,0)</f>
        <v>Júnior</v>
      </c>
      <c r="I34" s="425" t="str">
        <f t="shared" si="1"/>
        <v>796Júnior</v>
      </c>
      <c r="J34" s="426">
        <f>IFERROR(VLOOKUP(B34,'Folha de Pagamento'!B:I,8,0),"")</f>
        <v>2489.18</v>
      </c>
      <c r="K34" s="124">
        <f>IFERROR(VLOOKUP(I34,'C-01'!$D:$L,4,0),"")</f>
        <v>2626.68</v>
      </c>
      <c r="L34" s="125">
        <f>IFERROR(VLOOKUP(I34,'C-01'!$D:$L,5,0),"")</f>
        <v>3508.61</v>
      </c>
      <c r="M34" s="125">
        <f>IFERROR(VLOOKUP(I34,'C-01'!$D:$L,6,0),"")</f>
        <v>4174.12</v>
      </c>
      <c r="N34" s="125">
        <f>IFERROR(VLOOKUP(I34,'C-01'!$D:$L,7,0),"")</f>
        <v>3618.72</v>
      </c>
      <c r="O34" s="125">
        <f>IFERROR(VLOOKUP(I34,'C-01'!$D:$L,8,0),"")</f>
        <v>5081.15</v>
      </c>
      <c r="P34" s="124">
        <f>IFERROR(VLOOKUP(I34,'C-01'!$D:$L,9,0),"")</f>
        <v>5977.75</v>
      </c>
      <c r="Q34" s="126">
        <f>IFS('Painel Geral'!$B$5="Mediana",IFERROR(IF(OR(J34="",N34=0,N34=""),"",($J34/$N34)),""),'Painel Geral'!$B$5="Menor Salário",IFERROR(IF(OR(J34="",N34=0,N34=""),"",($J34/$K34)),""),'Painel Geral'!$B$5="1º Quartil",IFERROR(IF(OR(J34="",N34=0,N34=""),"",($J34/$L34)),""),'Painel Geral'!$B$5="Média",IFERROR(IF(OR(J34="",N34=0,N34=""),"",($J34/$M34)),""),'Painel Geral'!$B$5="3º Quartil",IFERROR(IF(OR(J34="",N34=0,N34=""),"",($J34/$O34)),""),'Painel Geral'!$B$5="Maior Salário",IFERROR(IF(OR(J34="",N34=0,N34=""),"",($J34/$P34)),""))</f>
        <v>0.6878620065</v>
      </c>
      <c r="R34" s="127" t="str">
        <f t="shared" si="2"/>
        <v>Muito Defasado</v>
      </c>
      <c r="S34" s="128">
        <f>IFERROR(VLOOKUP($I34,'C-02'!$D:$L,4,0),"")</f>
        <v>0</v>
      </c>
      <c r="T34" s="128">
        <f>IFERROR(VLOOKUP($I34,'C-02'!$D:$L,5,FALSE),"")</f>
        <v>0</v>
      </c>
      <c r="U34" s="128">
        <f>IFERROR(VLOOKUP($I34,'C-02'!$D:$L,6,FALSE),"")</f>
        <v>0</v>
      </c>
      <c r="V34" s="128">
        <f>IFERROR(VLOOKUP($I34,'C-02'!$D:$L,7,FALSE),"")</f>
        <v>0</v>
      </c>
      <c r="W34" s="128">
        <f>IFERROR(VLOOKUP($I34,'C-02'!$D:$L,8,FALSE),"")</f>
        <v>0</v>
      </c>
      <c r="X34" s="128">
        <f>IFERROR(VLOOKUP($I34,'C-02'!$D:$L,9,FALSE),"")</f>
        <v>0</v>
      </c>
      <c r="Y34" s="129" t="str">
        <f>IFS('Painel Geral'!$B$5="Mediana",IFERROR(IF(OR(J34="",V34=0,V34=""),"",($J34/$V34)),""),'Painel Geral'!$B$5="Menor Salário",IFERROR(IF(OR(J34="",V34=0,V34=""),"",($J34/$S34)),""),'Painel Geral'!$B$5="1º Quartil",IFERROR(IF(OR(J34="",V34=0,V34=""),"",($J34/$T34)),""),'Painel Geral'!$B$5="Média",IFERROR(IF(OR(J34="",V34=0,V34=""),"",($J34/$U34)),""),'Painel Geral'!$B$5="3º Quartil",IFERROR(IF(OR(J34="",V34=0,V34=""),"",($J34/$W34)),""),'Painel Geral'!$B$5="Maior Salário",IFERROR(IF(OR(J34="",V34=0,V34=""),"",($J34/$X34)),""))</f>
        <v/>
      </c>
      <c r="Z34" s="130" t="str">
        <f t="shared" si="3"/>
        <v/>
      </c>
      <c r="AA34" s="427"/>
    </row>
    <row r="35" ht="15.75" customHeight="1">
      <c r="A35" s="132">
        <v>4.0</v>
      </c>
      <c r="B35" s="21">
        <v>49.0</v>
      </c>
      <c r="C35" s="421" t="str">
        <f>VLOOKUP(A35,Jobmatch!A:E,2,0)</f>
        <v>Analista de Requisitos</v>
      </c>
      <c r="D35" s="422" t="str">
        <f>VLOOKUP(B35,'Folha de Pagamento'!B:G,6,0)</f>
        <v>DEV</v>
      </c>
      <c r="E35" s="421" t="str">
        <f>VLOOKUP(A35,Jobmatch!A:E,4,0)</f>
        <v>Operacional</v>
      </c>
      <c r="F35" s="423">
        <f>VLOOKUP(A35,Jobmatch!A:F,5,0)</f>
        <v>796</v>
      </c>
      <c r="G35" s="422" t="str">
        <f>VLOOKUP(A35,Jobmatch!A:G,6,0)</f>
        <v>Analista de Requisitos</v>
      </c>
      <c r="H35" s="424" t="str">
        <f>VLOOKUP(A35,Jobmatch!A:H,7,0)</f>
        <v>Júnior</v>
      </c>
      <c r="I35" s="425" t="str">
        <f t="shared" si="1"/>
        <v>796Júnior</v>
      </c>
      <c r="J35" s="426">
        <f>IFERROR(VLOOKUP(B35,'Folha de Pagamento'!B:I,8,0),"")</f>
        <v>3229.2</v>
      </c>
      <c r="K35" s="124">
        <f>IFERROR(VLOOKUP(I35,'C-01'!$D:$L,4,0),"")</f>
        <v>2626.68</v>
      </c>
      <c r="L35" s="125">
        <f>IFERROR(VLOOKUP(I35,'C-01'!$D:$L,5,0),"")</f>
        <v>3508.61</v>
      </c>
      <c r="M35" s="125">
        <f>IFERROR(VLOOKUP(I35,'C-01'!$D:$L,6,0),"")</f>
        <v>4174.12</v>
      </c>
      <c r="N35" s="125">
        <f>IFERROR(VLOOKUP(I35,'C-01'!$D:$L,7,0),"")</f>
        <v>3618.72</v>
      </c>
      <c r="O35" s="125">
        <f>IFERROR(VLOOKUP(I35,'C-01'!$D:$L,8,0),"")</f>
        <v>5081.15</v>
      </c>
      <c r="P35" s="124">
        <f>IFERROR(VLOOKUP(I35,'C-01'!$D:$L,9,0),"")</f>
        <v>5977.75</v>
      </c>
      <c r="Q35" s="126">
        <f>IFS('Painel Geral'!$B$5="Mediana",IFERROR(IF(OR(J35="",N35=0,N35=""),"",($J35/$N35)),""),'Painel Geral'!$B$5="Menor Salário",IFERROR(IF(OR(J35="",N35=0,N35=""),"",($J35/$K35)),""),'Painel Geral'!$B$5="1º Quartil",IFERROR(IF(OR(J35="",N35=0,N35=""),"",($J35/$L35)),""),'Painel Geral'!$B$5="Média",IFERROR(IF(OR(J35="",N35=0,N35=""),"",($J35/$M35)),""),'Painel Geral'!$B$5="3º Quartil",IFERROR(IF(OR(J35="",N35=0,N35=""),"",($J35/$O35)),""),'Painel Geral'!$B$5="Maior Salário",IFERROR(IF(OR(J35="",N35=0,N35=""),"",($J35/$P35)),""))</f>
        <v>0.8923597294</v>
      </c>
      <c r="R35" s="127" t="str">
        <f t="shared" si="2"/>
        <v>Defasado</v>
      </c>
      <c r="S35" s="128">
        <f>IFERROR(VLOOKUP($I35,'C-02'!$D:$L,4,0),"")</f>
        <v>0</v>
      </c>
      <c r="T35" s="128">
        <f>IFERROR(VLOOKUP($I35,'C-02'!$D:$L,5,FALSE),"")</f>
        <v>0</v>
      </c>
      <c r="U35" s="128">
        <f>IFERROR(VLOOKUP($I35,'C-02'!$D:$L,6,FALSE),"")</f>
        <v>0</v>
      </c>
      <c r="V35" s="128">
        <f>IFERROR(VLOOKUP($I35,'C-02'!$D:$L,7,FALSE),"")</f>
        <v>0</v>
      </c>
      <c r="W35" s="128">
        <f>IFERROR(VLOOKUP($I35,'C-02'!$D:$L,8,FALSE),"")</f>
        <v>0</v>
      </c>
      <c r="X35" s="128">
        <f>IFERROR(VLOOKUP($I35,'C-02'!$D:$L,9,FALSE),"")</f>
        <v>0</v>
      </c>
      <c r="Y35" s="129" t="str">
        <f>IFS('Painel Geral'!$B$5="Mediana",IFERROR(IF(OR(J35="",V35=0,V35=""),"",($J35/$V35)),""),'Painel Geral'!$B$5="Menor Salário",IFERROR(IF(OR(J35="",V35=0,V35=""),"",($J35/$S35)),""),'Painel Geral'!$B$5="1º Quartil",IFERROR(IF(OR(J35="",V35=0,V35=""),"",($J35/$T35)),""),'Painel Geral'!$B$5="Média",IFERROR(IF(OR(J35="",V35=0,V35=""),"",($J35/$U35)),""),'Painel Geral'!$B$5="3º Quartil",IFERROR(IF(OR(J35="",V35=0,V35=""),"",($J35/$W35)),""),'Painel Geral'!$B$5="Maior Salário",IFERROR(IF(OR(J35="",V35=0,V35=""),"",($J35/$X35)),""))</f>
        <v/>
      </c>
      <c r="Z35" s="130" t="str">
        <f t="shared" si="3"/>
        <v/>
      </c>
      <c r="AA35" s="427"/>
    </row>
    <row r="36" ht="15.75" customHeight="1">
      <c r="A36" s="132">
        <v>5.0</v>
      </c>
      <c r="B36" s="21">
        <v>3.0</v>
      </c>
      <c r="C36" s="421" t="str">
        <f>VLOOKUP(A36,Jobmatch!A:E,2,0)</f>
        <v>Lider</v>
      </c>
      <c r="D36" s="422" t="str">
        <f>VLOOKUP(B36,'Folha de Pagamento'!B:G,6,0)</f>
        <v>DEV</v>
      </c>
      <c r="E36" s="421" t="str">
        <f>VLOOKUP(A36,Jobmatch!A:E,4,0)</f>
        <v>Estratégico</v>
      </c>
      <c r="F36" s="423">
        <f>VLOOKUP(A36,Jobmatch!A:F,5,0)</f>
        <v>1016</v>
      </c>
      <c r="G36" s="422" t="str">
        <f>VLOOKUP(A36,Jobmatch!A:G,6,0)</f>
        <v>Líder Técnico</v>
      </c>
      <c r="H36" s="424" t="str">
        <f>VLOOKUP(A36,Jobmatch!A:H,7,0)</f>
        <v>Indiferente</v>
      </c>
      <c r="I36" s="425" t="str">
        <f t="shared" si="1"/>
        <v>1016Indiferente</v>
      </c>
      <c r="J36" s="426">
        <f>IFERROR(VLOOKUP(B36,'Folha de Pagamento'!B:I,8,0),"")</f>
        <v>8611.2</v>
      </c>
      <c r="K36" s="124">
        <f>IFERROR(VLOOKUP(I36,'C-01'!$D:$L,4,0),"")</f>
        <v>5639.53</v>
      </c>
      <c r="L36" s="125">
        <f>IFERROR(VLOOKUP(I36,'C-01'!$D:$L,5,0),"")</f>
        <v>7452.03</v>
      </c>
      <c r="M36" s="125">
        <f>IFERROR(VLOOKUP(I36,'C-01'!$D:$L,6,0),"")</f>
        <v>8919.44</v>
      </c>
      <c r="N36" s="125">
        <f>IFERROR(VLOOKUP(I36,'C-01'!$D:$L,7,0),"")</f>
        <v>8929.22</v>
      </c>
      <c r="O36" s="125">
        <f>IFERROR(VLOOKUP(I36,'C-01'!$D:$L,8,0),"")</f>
        <v>10057.47</v>
      </c>
      <c r="P36" s="124">
        <f>IFERROR(VLOOKUP(I36,'C-01'!$D:$L,9,0),"")</f>
        <v>12817.68</v>
      </c>
      <c r="Q36" s="126">
        <f>IFS('Painel Geral'!$B$5="Mediana",IFERROR(IF(OR(J36="",N36=0,N36=""),"",($J36/$N36)),""),'Painel Geral'!$B$5="Menor Salário",IFERROR(IF(OR(J36="",N36=0,N36=""),"",($J36/$K36)),""),'Painel Geral'!$B$5="1º Quartil",IFERROR(IF(OR(J36="",N36=0,N36=""),"",($J36/$L36)),""),'Painel Geral'!$B$5="Média",IFERROR(IF(OR(J36="",N36=0,N36=""),"",($J36/$M36)),""),'Painel Geral'!$B$5="3º Quartil",IFERROR(IF(OR(J36="",N36=0,N36=""),"",($J36/$O36)),""),'Painel Geral'!$B$5="Maior Salário",IFERROR(IF(OR(J36="",N36=0,N36=""),"",($J36/$P36)),""))</f>
        <v>0.9643843471</v>
      </c>
      <c r="R36" s="127" t="str">
        <f t="shared" si="2"/>
        <v>Na Média</v>
      </c>
      <c r="S36" s="128">
        <f>IFERROR(VLOOKUP($I36,'C-02'!$D:$L,4,0),"")</f>
        <v>5288.93</v>
      </c>
      <c r="T36" s="128">
        <f>IFERROR(VLOOKUP($I36,'C-02'!$D:$L,5,FALSE),"")</f>
        <v>7107.92</v>
      </c>
      <c r="U36" s="128">
        <f>IFERROR(VLOOKUP($I36,'C-02'!$D:$L,6,FALSE),"")</f>
        <v>8904.46</v>
      </c>
      <c r="V36" s="128">
        <f>IFERROR(VLOOKUP($I36,'C-02'!$D:$L,7,FALSE),"")</f>
        <v>9047.66</v>
      </c>
      <c r="W36" s="128">
        <f>IFERROR(VLOOKUP($I36,'C-02'!$D:$L,8,FALSE),"")</f>
        <v>10074.15</v>
      </c>
      <c r="X36" s="128">
        <f>IFERROR(VLOOKUP($I36,'C-02'!$D:$L,9,FALSE),"")</f>
        <v>12817.68</v>
      </c>
      <c r="Y36" s="129">
        <f>IFS('Painel Geral'!$B$5="Mediana",IFERROR(IF(OR(J36="",V36=0,V36=""),"",($J36/$V36)),""),'Painel Geral'!$B$5="Menor Salário",IFERROR(IF(OR(J36="",V36=0,V36=""),"",($J36/$S36)),""),'Painel Geral'!$B$5="1º Quartil",IFERROR(IF(OR(J36="",V36=0,V36=""),"",($J36/$T36)),""),'Painel Geral'!$B$5="Média",IFERROR(IF(OR(J36="",V36=0,V36=""),"",($J36/$U36)),""),'Painel Geral'!$B$5="3º Quartil",IFERROR(IF(OR(J36="",V36=0,V36=""),"",($J36/$W36)),""),'Painel Geral'!$B$5="Maior Salário",IFERROR(IF(OR(J36="",V36=0,V36=""),"",($J36/$X36)),""))</f>
        <v>0.9517599026</v>
      </c>
      <c r="Z36" s="130" t="str">
        <f t="shared" si="3"/>
        <v>Na Média</v>
      </c>
      <c r="AA36" s="427"/>
    </row>
  </sheetData>
  <autoFilter ref="$A$3:$AA$36"/>
  <customSheetViews>
    <customSheetView guid="{0CE128BF-1F52-4C57-A482-C30D70A769EB}" filter="1" showAutoFilter="1">
      <autoFilter ref="$A$3:$R$3"/>
    </customSheetView>
    <customSheetView guid="{81F904FE-28E0-4D74-B51D-7D792BB873D6}" filter="1" showAutoFilter="1">
      <autoFilter ref="$A$3:$R$3"/>
    </customSheetView>
    <customSheetView guid="{B3136B7F-1AF2-41D2-A6A0-D5C371117022}" filter="1" showAutoFilter="1">
      <autoFilter ref="$A$3:$R$3"/>
    </customSheetView>
    <customSheetView guid="{E2DF9EE9-5351-4C87-95C7-C6BC8ECC27A0}" filter="1" showAutoFilter="1">
      <autoFilter ref="$A$3:$R$3"/>
    </customSheetView>
    <customSheetView guid="{16267D53-AE4F-493A-9FCA-C37DCDE82F3A}" filter="1" showAutoFilter="1">
      <autoFilter ref="$A$3:$R$3"/>
    </customSheetView>
    <customSheetView guid="{9CC14AB5-3CFC-4A92-B1CE-63A67826BEAF}" filter="1" showAutoFilter="1">
      <autoFilter ref="$A$3:$R$3"/>
    </customSheetView>
    <customSheetView guid="{F5D8333B-E41C-4D3E-BD2D-109338363F36}" filter="1" showAutoFilter="1">
      <autoFilter ref="$A$1:$R$1"/>
    </customSheetView>
  </customSheetViews>
  <mergeCells count="3">
    <mergeCell ref="A1:J1"/>
    <mergeCell ref="K1:P1"/>
    <mergeCell ref="S1:X1"/>
  </mergeCells>
  <printOptions/>
  <pageMargins bottom="0.787401575" footer="0.0" header="0.0" left="0.511811024" right="0.511811024" top="0.787401575"/>
  <pageSetup orientation="landscape"/>
  <drawing r:id="rId1"/>
</worksheet>
</file>