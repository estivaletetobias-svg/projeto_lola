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tura Salarial" sheetId="1" r:id="rId4"/>
    <sheet state="visible" name="Tabela Salarial" sheetId="2" r:id="rId5"/>
    <sheet state="visible" name="Estudo Comparativo" sheetId="3" r:id="rId6"/>
    <sheet state="visible" name="Previsão Custo Enquadramento" sheetId="4" r:id="rId7"/>
    <sheet state="visible" name="Cargos da Estrutura_Cálculo" sheetId="5" r:id="rId8"/>
  </sheets>
  <definedNames>
    <definedName hidden="1" localSheetId="0" name="_xlnm._FilterDatabase">'Estrutura Salarial'!$A$6:$T$17</definedName>
    <definedName hidden="1" localSheetId="3" name="_xlnm._FilterDatabase">'Previsão Custo Enquadramento'!$A$1:$Q$34</definedName>
    <definedName hidden="1" localSheetId="4" name="_xlnm._FilterDatabase">'Cargos da Estrutura_Cálculo'!$B$2:$D$14</definedName>
  </definedNames>
  <calcPr/>
  <extLst>
    <ext uri="GoogleSheetsCustomDataVersion2">
      <go:sheetsCustomData xmlns:go="http://customooxmlschemas.google.com/" r:id="rId9" roundtripDataChecksum="VTJIwUr53IExyXhy/jzvLhj7UeN4nr0bya722lHBXwA="/>
    </ext>
  </extLst>
</workbook>
</file>

<file path=xl/sharedStrings.xml><?xml version="1.0" encoding="utf-8"?>
<sst xmlns="http://schemas.openxmlformats.org/spreadsheetml/2006/main" count="322" uniqueCount="116">
  <si>
    <t xml:space="preserve">                             Estrutura Salarial Nodetech</t>
  </si>
  <si>
    <t>Desempenho Inicial</t>
  </si>
  <si>
    <t>Ideal</t>
  </si>
  <si>
    <t>Alto Desempenho</t>
  </si>
  <si>
    <t>Cargo</t>
  </si>
  <si>
    <t>Área</t>
  </si>
  <si>
    <t>Média Nodetech</t>
  </si>
  <si>
    <t>Referência
Pesquisa</t>
  </si>
  <si>
    <t>Grade</t>
  </si>
  <si>
    <t>Técnico Infraestrutura</t>
  </si>
  <si>
    <t>DEV</t>
  </si>
  <si>
    <t>Analista Infraestrutura Jr</t>
  </si>
  <si>
    <t>Desenvolvedor Jr</t>
  </si>
  <si>
    <t>R$ 2.489,18</t>
  </si>
  <si>
    <t>Analista Requisitos Jr</t>
  </si>
  <si>
    <t>R$ 2.859,19</t>
  </si>
  <si>
    <t>Analista Infraestrutura Pl</t>
  </si>
  <si>
    <t>Desenvolvedor Pl</t>
  </si>
  <si>
    <t>R$ 4.305,60</t>
  </si>
  <si>
    <t>Analista Requisitos Pl</t>
  </si>
  <si>
    <t>Analista Infraestrutura Sr</t>
  </si>
  <si>
    <t>Desenvolvedor Sr</t>
  </si>
  <si>
    <t>R$ 6.458,40</t>
  </si>
  <si>
    <t>Analista Requisitos Sr</t>
  </si>
  <si>
    <t>Líder Técnico</t>
  </si>
  <si>
    <t>R$ 8.611,20</t>
  </si>
  <si>
    <r>
      <rPr>
        <rFont val="Arial"/>
        <b val="0"/>
        <color theme="1"/>
        <sz val="22.0"/>
      </rPr>
      <t>Tabela Salarial</t>
    </r>
    <r>
      <rPr>
        <rFont val="Arial"/>
        <b val="0"/>
        <color theme="1"/>
        <sz val="11.0"/>
      </rPr>
      <t xml:space="preserve">
Amplitude Horizontal (no mesmo Nível): 50%</t>
    </r>
  </si>
  <si>
    <t>Grades</t>
  </si>
  <si>
    <t xml:space="preserve">  Impacto Financeiro Unidade:</t>
  </si>
  <si>
    <t>Todas</t>
  </si>
  <si>
    <t>Necessário para Mín.</t>
  </si>
  <si>
    <t>Movimento Todos para 100% da Tabela</t>
  </si>
  <si>
    <t>Estratégico: Líderes;
Tático: Desenvolvedores Sr;
Operacional: Demais Cargos;</t>
  </si>
  <si>
    <t>Excedente acima Max.</t>
  </si>
  <si>
    <t>Ranking</t>
  </si>
  <si>
    <t>Áreas com maior impacto:</t>
  </si>
  <si>
    <r>
      <rPr>
        <rFont val="Calibri"/>
        <color rgb="FFFF0000"/>
        <sz val="9.0"/>
      </rPr>
      <t xml:space="preserve">• </t>
    </r>
    <r>
      <rPr>
        <rFont val="Calibri"/>
        <color theme="1"/>
        <sz val="9.0"/>
      </rPr>
      <t>DEV</t>
    </r>
  </si>
  <si>
    <t>Áreas com menor impacto:</t>
  </si>
  <si>
    <t xml:space="preserve">• </t>
  </si>
  <si>
    <t>Cod do funcionário</t>
  </si>
  <si>
    <t>Cargo Atual</t>
  </si>
  <si>
    <t>Cargo Estrutura Salarial</t>
  </si>
  <si>
    <t>Nível Organizacional</t>
  </si>
  <si>
    <t>Tipo de Contratação</t>
  </si>
  <si>
    <t>Carga Horária</t>
  </si>
  <si>
    <t>Salário</t>
  </si>
  <si>
    <t>Grade Tabela</t>
  </si>
  <si>
    <t>Tabela - Inicial Faixa</t>
  </si>
  <si>
    <t>Dif Tabela</t>
  </si>
  <si>
    <t>Dif Enquadramento Tabela</t>
  </si>
  <si>
    <t>Posicionamento na Tabela</t>
  </si>
  <si>
    <t>Tabela - 100%</t>
  </si>
  <si>
    <t>Dif 100%</t>
  </si>
  <si>
    <t>Todos 100%</t>
  </si>
  <si>
    <t>Atual - Máximo</t>
  </si>
  <si>
    <t>15</t>
  </si>
  <si>
    <t>Engenheiro de Software Full Stack</t>
  </si>
  <si>
    <t>Tático</t>
  </si>
  <si>
    <t>CLT</t>
  </si>
  <si>
    <t>50</t>
  </si>
  <si>
    <t>14</t>
  </si>
  <si>
    <t>Operacional</t>
  </si>
  <si>
    <t>42</t>
  </si>
  <si>
    <t>36</t>
  </si>
  <si>
    <t>37</t>
  </si>
  <si>
    <t>38</t>
  </si>
  <si>
    <t>20</t>
  </si>
  <si>
    <t>54</t>
  </si>
  <si>
    <t>8</t>
  </si>
  <si>
    <t>41</t>
  </si>
  <si>
    <t>46</t>
  </si>
  <si>
    <t>40</t>
  </si>
  <si>
    <t>39</t>
  </si>
  <si>
    <t>19</t>
  </si>
  <si>
    <t>21</t>
  </si>
  <si>
    <t>45</t>
  </si>
  <si>
    <t>13</t>
  </si>
  <si>
    <t>22</t>
  </si>
  <si>
    <t>1</t>
  </si>
  <si>
    <t>9</t>
  </si>
  <si>
    <t>2</t>
  </si>
  <si>
    <t>43</t>
  </si>
  <si>
    <t>44</t>
  </si>
  <si>
    <t>24</t>
  </si>
  <si>
    <t>4</t>
  </si>
  <si>
    <t>27</t>
  </si>
  <si>
    <t>381</t>
  </si>
  <si>
    <t>34</t>
  </si>
  <si>
    <t>33</t>
  </si>
  <si>
    <t>Analista de Requisitos</t>
  </si>
  <si>
    <t>49</t>
  </si>
  <si>
    <t>3</t>
  </si>
  <si>
    <t>Lider</t>
  </si>
  <si>
    <t>Estratégico</t>
  </si>
  <si>
    <t>Lista de cargos da estrutura</t>
  </si>
  <si>
    <t>Nº de Colaboradores</t>
  </si>
  <si>
    <t>Dados de Ocupação de Cargos</t>
  </si>
  <si>
    <t>Nº Total de Cargos</t>
  </si>
  <si>
    <t>Cargos com ocupantes</t>
  </si>
  <si>
    <t>Cargos sem ocupantes</t>
  </si>
  <si>
    <t>Abaixo do Mínimo</t>
  </si>
  <si>
    <t>Entre Mínimo e 100%</t>
  </si>
  <si>
    <t>Entre 100% e Máximo</t>
  </si>
  <si>
    <t>Acima do Máximo</t>
  </si>
  <si>
    <t>Todos</t>
  </si>
  <si>
    <t>Abaixo da Estrutura Salarial</t>
  </si>
  <si>
    <t>Dentro da Estrutura Salarial</t>
  </si>
  <si>
    <t>Acima da Estrutura Salarial</t>
  </si>
  <si>
    <t>Total</t>
  </si>
  <si>
    <t>Número de Profissionais</t>
  </si>
  <si>
    <t>Enquadrar</t>
  </si>
  <si>
    <t>Dentro da Estrutura</t>
  </si>
  <si>
    <t>Red Flag</t>
  </si>
  <si>
    <t>Valor de Enquadramento</t>
  </si>
  <si>
    <t>Área de atenção</t>
  </si>
  <si>
    <t>Valor para 80%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</si>
</sst>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]#,##0.00"/>
  </numFmts>
  <fonts count="32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rgb="FF000000"/>
      <name val="Calibri"/>
    </font>
    <font>
      <b/>
      <sz val="11.0"/>
      <color theme="1"/>
      <name val="Calibri"/>
    </font>
    <font>
      <b/>
      <sz val="17.0"/>
      <color theme="1"/>
      <name val="Arial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0"/>
      <name val="Calibri"/>
    </font>
    <font/>
    <font>
      <b/>
      <sz val="11.0"/>
      <color rgb="FFFFFFFF"/>
      <name val="Calibri"/>
    </font>
    <font>
      <sz val="11.0"/>
      <color rgb="FF1D1C1D"/>
      <name val="Lato"/>
    </font>
    <font>
      <sz val="11.0"/>
      <color rgb="FF000000"/>
      <name val="Calibri"/>
    </font>
    <font>
      <sz val="9.0"/>
      <color theme="1"/>
      <name val="Calibri"/>
    </font>
    <font>
      <b/>
      <sz val="12.0"/>
      <color theme="0"/>
      <name val="Calibri"/>
    </font>
    <font>
      <b/>
      <sz val="18.0"/>
      <color rgb="FF021CCA"/>
      <name val="Calibri"/>
    </font>
    <font>
      <b/>
      <sz val="8.0"/>
      <color rgb="FF002060"/>
      <name val="Calibri"/>
    </font>
    <font>
      <sz val="9.0"/>
      <color rgb="FF666666"/>
      <name val="Calibri"/>
    </font>
    <font>
      <b/>
      <sz val="10.0"/>
      <color rgb="FF000000"/>
      <name val="Calibri"/>
    </font>
    <font>
      <b/>
      <sz val="18.0"/>
      <color rgb="FFFF0000"/>
      <name val="Calibri"/>
    </font>
    <font>
      <sz val="9.0"/>
      <color rgb="FFFF0000"/>
      <name val="Calibri"/>
    </font>
    <font>
      <b/>
      <sz val="10.0"/>
      <color rgb="FFFF0000"/>
      <name val="Calibri"/>
    </font>
    <font>
      <b/>
      <sz val="9.0"/>
      <color rgb="FF021CCA"/>
      <name val="Calibri"/>
    </font>
    <font>
      <sz val="9.0"/>
      <color rgb="FF9BBB59"/>
      <name val="Calibri"/>
    </font>
    <font>
      <sz val="8.0"/>
      <color rgb="FF666666"/>
      <name val="Calibri"/>
    </font>
    <font>
      <sz val="10.0"/>
      <color theme="1"/>
      <name val="Calibri"/>
    </font>
    <font>
      <sz val="11.0"/>
      <color theme="0"/>
      <name val="Calibri"/>
    </font>
    <font>
      <color rgb="FFFFFFFF"/>
      <name val="Calibri"/>
    </font>
    <font>
      <sz val="12.0"/>
      <color theme="1"/>
      <name val="Calibri"/>
    </font>
    <font>
      <u/>
      <color theme="1"/>
      <name val="Calibri"/>
    </font>
    <font>
      <color theme="0"/>
      <name val="Calibri"/>
    </font>
    <font>
      <sz val="10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E5B8B7"/>
        <bgColor rgb="FFE5B8B7"/>
      </patternFill>
    </fill>
    <fill>
      <patternFill patternType="solid">
        <fgColor rgb="FF70AD47"/>
        <bgColor rgb="FF70AD47"/>
      </patternFill>
    </fill>
    <fill>
      <patternFill patternType="solid">
        <fgColor rgb="FF0B5394"/>
        <bgColor rgb="FF0B5394"/>
      </patternFill>
    </fill>
    <fill>
      <patternFill patternType="solid">
        <fgColor rgb="FFED7D31"/>
        <bgColor rgb="FFED7D31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</fills>
  <borders count="6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595959"/>
      </top>
      <bottom/>
    </border>
    <border>
      <left style="thin">
        <color rgb="FF000000"/>
      </left>
      <top style="thin">
        <color rgb="FF595959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595959"/>
      </top>
      <bottom style="thin">
        <color rgb="FF59595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FFFFFF"/>
      </right>
      <top style="medium">
        <color rgb="FF000000"/>
      </top>
    </border>
    <border>
      <left style="thin">
        <color rgb="FFFFFFFF"/>
      </left>
      <top style="medium">
        <color rgb="FF000000"/>
      </top>
      <bottom style="thin">
        <color rgb="FFFFFFFF"/>
      </bottom>
    </border>
    <border>
      <top style="medium">
        <color rgb="FF000000"/>
      </top>
      <bottom style="thin">
        <color rgb="FFFFFFFF"/>
      </bottom>
    </border>
    <border>
      <right style="medium">
        <color rgb="FF000000"/>
      </right>
      <top style="medium">
        <color rgb="FF000000"/>
      </top>
      <bottom style="thin">
        <color rgb="FFFFFFFF"/>
      </bottom>
    </border>
    <border>
      <left style="medium">
        <color rgb="FF000000"/>
      </left>
      <right style="thin">
        <color rgb="FFFFFFFF"/>
      </right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</border>
    <border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left style="thin">
        <color rgb="FFFFFFFF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bottom style="thin">
        <color rgb="FF999999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bottom style="thin">
        <color rgb="FFFFFFFF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bottom style="thin">
        <color rgb="FFD9D9D9"/>
      </bottom>
    </border>
    <border>
      <top style="thin">
        <color rgb="FFD9D9D9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2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2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2" fillId="3" fontId="8" numFmtId="0" xfId="0" applyAlignment="1" applyBorder="1" applyFill="1" applyFont="1">
      <alignment horizontal="center" vertical="center"/>
    </xf>
    <xf borderId="3" fillId="3" fontId="8" numFmtId="0" xfId="0" applyAlignment="1" applyBorder="1" applyFont="1">
      <alignment horizontal="center" vertical="center"/>
    </xf>
    <xf borderId="4" fillId="3" fontId="8" numFmtId="0" xfId="0" applyAlignment="1" applyBorder="1" applyFont="1">
      <alignment horizontal="center" vertical="center"/>
    </xf>
    <xf borderId="5" fillId="3" fontId="8" numFmtId="0" xfId="0" applyAlignment="1" applyBorder="1" applyFont="1">
      <alignment horizontal="center" vertical="center"/>
    </xf>
    <xf borderId="6" fillId="0" fontId="9" numFmtId="0" xfId="0" applyBorder="1" applyFont="1"/>
    <xf borderId="7" fillId="3" fontId="8" numFmtId="0" xfId="0" applyAlignment="1" applyBorder="1" applyFont="1">
      <alignment horizontal="center" vertical="center"/>
    </xf>
    <xf borderId="8" fillId="3" fontId="10" numFmtId="0" xfId="0" applyAlignment="1" applyBorder="1" applyFont="1">
      <alignment horizontal="center" vertical="center"/>
    </xf>
    <xf borderId="9" fillId="3" fontId="10" numFmtId="0" xfId="0" applyAlignment="1" applyBorder="1" applyFont="1">
      <alignment horizontal="center" vertical="center"/>
    </xf>
    <xf borderId="10" fillId="3" fontId="10" numFmtId="9" xfId="0" applyAlignment="1" applyBorder="1" applyFont="1" applyNumberFormat="1">
      <alignment horizontal="center"/>
    </xf>
    <xf borderId="10" fillId="0" fontId="2" numFmtId="1" xfId="0" applyBorder="1" applyFont="1" applyNumberFormat="1"/>
    <xf borderId="10" fillId="0" fontId="2" numFmtId="0" xfId="0" applyAlignment="1" applyBorder="1" applyFont="1">
      <alignment vertical="bottom"/>
    </xf>
    <xf borderId="11" fillId="0" fontId="2" numFmtId="164" xfId="0" applyBorder="1" applyFont="1" applyNumberFormat="1"/>
    <xf borderId="11" fillId="0" fontId="2" numFmtId="165" xfId="0" applyAlignment="1" applyBorder="1" applyFont="1" applyNumberFormat="1">
      <alignment horizontal="center"/>
    </xf>
    <xf borderId="11" fillId="4" fontId="2" numFmtId="0" xfId="0" applyAlignment="1" applyBorder="1" applyFill="1" applyFont="1">
      <alignment horizontal="center"/>
    </xf>
    <xf borderId="10" fillId="0" fontId="2" numFmtId="4" xfId="0" applyAlignment="1" applyBorder="1" applyFont="1" applyNumberFormat="1">
      <alignment horizontal="center"/>
    </xf>
    <xf borderId="10" fillId="5" fontId="4" numFmtId="4" xfId="0" applyAlignment="1" applyBorder="1" applyFill="1" applyFont="1" applyNumberFormat="1">
      <alignment horizontal="center"/>
    </xf>
    <xf borderId="11" fillId="0" fontId="2" numFmtId="164" xfId="0" applyAlignment="1" applyBorder="1" applyFont="1" applyNumberFormat="1">
      <alignment horizontal="center"/>
    </xf>
    <xf borderId="11" fillId="6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center"/>
    </xf>
    <xf borderId="1" fillId="2" fontId="2" numFmtId="9" xfId="0" applyAlignment="1" applyBorder="1" applyFont="1" applyNumberFormat="1">
      <alignment vertical="center"/>
    </xf>
    <xf borderId="12" fillId="2" fontId="2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shrinkToFit="0" vertical="center" wrapText="1"/>
    </xf>
    <xf borderId="14" fillId="0" fontId="9" numFmtId="0" xfId="0" applyBorder="1" applyFont="1"/>
    <xf borderId="15" fillId="0" fontId="9" numFmtId="0" xfId="0" applyBorder="1" applyFont="1"/>
    <xf borderId="0" fillId="0" fontId="4" numFmtId="0" xfId="0" applyAlignment="1" applyFont="1">
      <alignment horizontal="center" vertical="center"/>
    </xf>
    <xf borderId="16" fillId="0" fontId="9" numFmtId="0" xfId="0" applyBorder="1" applyFont="1"/>
    <xf borderId="17" fillId="0" fontId="9" numFmtId="0" xfId="0" applyBorder="1" applyFont="1"/>
    <xf borderId="18" fillId="0" fontId="9" numFmtId="0" xfId="0" applyBorder="1" applyFont="1"/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9" fillId="3" fontId="10" numFmtId="0" xfId="0" applyAlignment="1" applyBorder="1" applyFont="1">
      <alignment horizontal="center" vertical="center"/>
    </xf>
    <xf borderId="20" fillId="3" fontId="10" numFmtId="0" xfId="0" applyAlignment="1" applyBorder="1" applyFont="1">
      <alignment horizontal="center" vertical="center"/>
    </xf>
    <xf borderId="21" fillId="0" fontId="9" numFmtId="0" xfId="0" applyBorder="1" applyFont="1"/>
    <xf borderId="22" fillId="0" fontId="9" numFmtId="0" xfId="0" applyBorder="1" applyFont="1"/>
    <xf borderId="23" fillId="0" fontId="9" numFmtId="0" xfId="0" applyBorder="1" applyFont="1"/>
    <xf borderId="24" fillId="3" fontId="10" numFmtId="9" xfId="0" applyAlignment="1" applyBorder="1" applyFont="1" applyNumberFormat="1">
      <alignment horizontal="center"/>
    </xf>
    <xf borderId="25" fillId="3" fontId="10" numFmtId="9" xfId="0" applyAlignment="1" applyBorder="1" applyFont="1" applyNumberFormat="1">
      <alignment horizontal="center"/>
    </xf>
    <xf borderId="26" fillId="2" fontId="2" numFmtId="0" xfId="0" applyAlignment="1" applyBorder="1" applyFont="1">
      <alignment horizontal="center" vertical="center"/>
    </xf>
    <xf borderId="0" fillId="0" fontId="11" numFmtId="0" xfId="0" applyAlignment="1" applyFont="1">
      <alignment horizontal="left"/>
    </xf>
    <xf borderId="27" fillId="0" fontId="4" numFmtId="0" xfId="0" applyAlignment="1" applyBorder="1" applyFont="1">
      <alignment horizontal="center" vertical="center"/>
    </xf>
    <xf borderId="28" fillId="0" fontId="2" numFmtId="4" xfId="0" applyAlignment="1" applyBorder="1" applyFont="1" applyNumberFormat="1">
      <alignment horizontal="center"/>
    </xf>
    <xf borderId="29" fillId="7" fontId="4" numFmtId="4" xfId="0" applyAlignment="1" applyBorder="1" applyFill="1" applyFont="1" applyNumberFormat="1">
      <alignment horizontal="center"/>
    </xf>
    <xf borderId="30" fillId="0" fontId="2" numFmtId="4" xfId="0" applyAlignment="1" applyBorder="1" applyFont="1" applyNumberFormat="1">
      <alignment horizontal="center"/>
    </xf>
    <xf borderId="31" fillId="0" fontId="2" numFmtId="4" xfId="0" applyAlignment="1" applyBorder="1" applyFont="1" applyNumberFormat="1">
      <alignment horizontal="center"/>
    </xf>
    <xf borderId="26" fillId="2" fontId="2" numFmtId="10" xfId="0" applyAlignment="1" applyBorder="1" applyFont="1" applyNumberFormat="1">
      <alignment horizontal="center" vertical="center"/>
    </xf>
    <xf borderId="26" fillId="2" fontId="12" numFmtId="10" xfId="0" applyAlignment="1" applyBorder="1" applyFont="1" applyNumberFormat="1">
      <alignment vertical="center"/>
    </xf>
    <xf borderId="32" fillId="0" fontId="4" numFmtId="0" xfId="0" applyAlignment="1" applyBorder="1" applyFont="1">
      <alignment horizontal="center" vertical="center"/>
    </xf>
    <xf borderId="33" fillId="0" fontId="2" numFmtId="4" xfId="0" applyAlignment="1" applyBorder="1" applyFont="1" applyNumberFormat="1">
      <alignment horizontal="center"/>
    </xf>
    <xf borderId="34" fillId="7" fontId="4" numFmtId="4" xfId="0" applyAlignment="1" applyBorder="1" applyFont="1" applyNumberFormat="1">
      <alignment horizontal="center"/>
    </xf>
    <xf borderId="35" fillId="0" fontId="2" numFmtId="4" xfId="0" applyAlignment="1" applyBorder="1" applyFont="1" applyNumberFormat="1">
      <alignment horizontal="center"/>
    </xf>
    <xf borderId="36" fillId="0" fontId="2" numFmtId="4" xfId="0" applyAlignment="1" applyBorder="1" applyFont="1" applyNumberFormat="1">
      <alignment horizontal="center"/>
    </xf>
    <xf borderId="0" fillId="2" fontId="2" numFmtId="0" xfId="0" applyAlignment="1" applyFont="1">
      <alignment vertical="center"/>
    </xf>
    <xf borderId="0" fillId="0" fontId="2" numFmtId="4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0" fillId="2" fontId="2" numFmtId="0" xfId="0" applyAlignment="1" applyFont="1">
      <alignment horizontal="center" vertical="center"/>
    </xf>
    <xf borderId="37" fillId="0" fontId="1" numFmtId="0" xfId="0" applyBorder="1" applyFont="1"/>
    <xf borderId="38" fillId="0" fontId="1" numFmtId="0" xfId="0" applyAlignment="1" applyBorder="1" applyFont="1">
      <alignment shrinkToFit="0" vertical="center" wrapText="0"/>
    </xf>
    <xf borderId="0" fillId="0" fontId="13" numFmtId="0" xfId="0" applyAlignment="1" applyFont="1">
      <alignment shrinkToFit="0" vertical="center" wrapText="1"/>
    </xf>
    <xf borderId="39" fillId="0" fontId="1" numFmtId="0" xfId="0" applyBorder="1" applyFont="1"/>
    <xf borderId="38" fillId="0" fontId="1" numFmtId="0" xfId="0" applyAlignment="1" applyBorder="1" applyFont="1">
      <alignment vertical="center"/>
    </xf>
    <xf borderId="40" fillId="0" fontId="1" numFmtId="0" xfId="0" applyAlignment="1" applyBorder="1" applyFont="1">
      <alignment vertical="center"/>
    </xf>
    <xf borderId="41" fillId="0" fontId="1" numFmtId="0" xfId="0" applyAlignment="1" applyBorder="1" applyFont="1">
      <alignment vertical="center"/>
    </xf>
    <xf borderId="42" fillId="8" fontId="14" numFmtId="165" xfId="0" applyAlignment="1" applyBorder="1" applyFill="1" applyFont="1" applyNumberFormat="1">
      <alignment horizontal="right" vertical="center"/>
    </xf>
    <xf borderId="43" fillId="8" fontId="14" numFmtId="10" xfId="0" applyAlignment="1" applyBorder="1" applyFont="1" applyNumberFormat="1">
      <alignment vertical="center"/>
    </xf>
    <xf borderId="0" fillId="0" fontId="1" numFmtId="10" xfId="0" applyFont="1" applyNumberFormat="1"/>
    <xf borderId="0" fillId="0" fontId="15" numFmtId="10" xfId="0" applyAlignment="1" applyFont="1" applyNumberFormat="1">
      <alignment horizontal="center" vertical="top"/>
    </xf>
    <xf borderId="0" fillId="0" fontId="16" numFmtId="0" xfId="0" applyAlignment="1" applyFont="1">
      <alignment horizontal="center" shrinkToFit="0" vertical="top" wrapText="1"/>
    </xf>
    <xf borderId="42" fillId="9" fontId="14" numFmtId="165" xfId="0" applyAlignment="1" applyBorder="1" applyFill="1" applyFont="1" applyNumberFormat="1">
      <alignment horizontal="right" vertical="center"/>
    </xf>
    <xf borderId="43" fillId="9" fontId="14" numFmtId="10" xfId="0" applyAlignment="1" applyBorder="1" applyFont="1" applyNumberFormat="1">
      <alignment vertical="center"/>
    </xf>
    <xf borderId="0" fillId="0" fontId="17" numFmtId="0" xfId="0" applyAlignment="1" applyFont="1">
      <alignment horizontal="right"/>
    </xf>
    <xf borderId="0" fillId="0" fontId="16" numFmtId="0" xfId="0" applyAlignment="1" applyFont="1">
      <alignment shrinkToFit="0" wrapText="1"/>
    </xf>
    <xf borderId="42" fillId="10" fontId="14" numFmtId="165" xfId="0" applyAlignment="1" applyBorder="1" applyFill="1" applyFont="1" applyNumberFormat="1">
      <alignment horizontal="right" vertical="center"/>
    </xf>
    <xf borderId="43" fillId="10" fontId="14" numFmtId="10" xfId="0" applyAlignment="1" applyBorder="1" applyFont="1" applyNumberFormat="1">
      <alignment vertical="center"/>
    </xf>
    <xf borderId="40" fillId="0" fontId="1" numFmtId="0" xfId="0" applyAlignment="1" applyBorder="1" applyFont="1">
      <alignment horizontal="center" vertical="center"/>
    </xf>
    <xf borderId="44" fillId="0" fontId="9" numFmtId="0" xfId="0" applyBorder="1" applyFont="1"/>
    <xf borderId="38" fillId="0" fontId="1" numFmtId="0" xfId="0" applyBorder="1" applyFont="1"/>
    <xf borderId="38" fillId="0" fontId="9" numFmtId="0" xfId="0" applyBorder="1" applyFont="1"/>
    <xf borderId="38" fillId="0" fontId="18" numFmtId="0" xfId="0" applyAlignment="1" applyBorder="1" applyFont="1">
      <alignment horizontal="left"/>
    </xf>
    <xf borderId="38" fillId="0" fontId="13" numFmtId="0" xfId="0" applyAlignment="1" applyBorder="1" applyFont="1">
      <alignment horizontal="left" vertical="top"/>
    </xf>
    <xf borderId="0" fillId="0" fontId="19" numFmtId="10" xfId="0" applyAlignment="1" applyFont="1" applyNumberFormat="1">
      <alignment horizontal="center"/>
    </xf>
    <xf borderId="0" fillId="0" fontId="15" numFmtId="10" xfId="0" applyAlignment="1" applyFont="1" applyNumberFormat="1">
      <alignment horizontal="center" vertical="bottom"/>
    </xf>
    <xf borderId="0" fillId="0" fontId="20" numFmtId="10" xfId="0" applyAlignment="1" applyFont="1" applyNumberFormat="1">
      <alignment horizontal="center" vertical="top"/>
    </xf>
    <xf borderId="0" fillId="0" fontId="21" numFmtId="0" xfId="0" applyAlignment="1" applyFont="1">
      <alignment horizontal="right" shrinkToFit="0" wrapText="1"/>
    </xf>
    <xf borderId="0" fillId="0" fontId="13" numFmtId="0" xfId="0" applyAlignment="1" applyFont="1">
      <alignment horizontal="left" vertical="top"/>
    </xf>
    <xf borderId="0" fillId="0" fontId="22" numFmtId="0" xfId="0" applyAlignment="1" applyFont="1">
      <alignment horizontal="center" shrinkToFit="0" vertical="top" wrapText="1"/>
    </xf>
    <xf borderId="38" fillId="0" fontId="23" numFmtId="0" xfId="0" applyAlignment="1" applyBorder="1" applyFont="1">
      <alignment horizontal="left" shrinkToFit="0" vertical="top" wrapText="1"/>
    </xf>
    <xf borderId="0" fillId="0" fontId="24" numFmtId="0" xfId="0" applyAlignment="1" applyFont="1">
      <alignment horizontal="right" shrinkToFit="0" vertical="top" wrapText="1"/>
    </xf>
    <xf borderId="42" fillId="0" fontId="9" numFmtId="0" xfId="0" applyBorder="1" applyFont="1"/>
    <xf borderId="37" fillId="0" fontId="9" numFmtId="0" xfId="0" applyBorder="1" applyFont="1"/>
    <xf borderId="42" fillId="0" fontId="1" numFmtId="0" xfId="0" applyBorder="1" applyFont="1"/>
    <xf borderId="45" fillId="0" fontId="1" numFmtId="0" xfId="0" applyBorder="1" applyFont="1"/>
    <xf borderId="0" fillId="11" fontId="2" numFmtId="0" xfId="0" applyAlignment="1" applyFill="1" applyFont="1">
      <alignment horizontal="center" vertical="bottom"/>
    </xf>
    <xf borderId="0" fillId="11" fontId="2" numFmtId="4" xfId="0" applyAlignment="1" applyFont="1" applyNumberFormat="1">
      <alignment horizontal="center" vertical="bottom"/>
    </xf>
    <xf borderId="0" fillId="12" fontId="2" numFmtId="0" xfId="0" applyAlignment="1" applyFill="1" applyFont="1">
      <alignment horizontal="center" vertical="bottom"/>
    </xf>
    <xf borderId="0" fillId="13" fontId="2" numFmtId="0" xfId="0" applyFill="1" applyFont="1"/>
    <xf borderId="0" fillId="14" fontId="2" numFmtId="0" xfId="0" applyFill="1" applyFont="1"/>
    <xf borderId="0" fillId="0" fontId="25" numFmtId="49" xfId="0" applyAlignment="1" applyFont="1" applyNumberFormat="1">
      <alignment horizontal="left" vertical="bottom"/>
    </xf>
    <xf borderId="0" fillId="0" fontId="25" numFmtId="0" xfId="0" applyFont="1"/>
    <xf borderId="0" fillId="0" fontId="25" numFmtId="1" xfId="0" applyFont="1" applyNumberFormat="1"/>
    <xf borderId="0" fillId="0" fontId="25" numFmtId="164" xfId="0" applyAlignment="1" applyFont="1" applyNumberFormat="1">
      <alignment horizontal="right" vertical="bottom"/>
    </xf>
    <xf borderId="0" fillId="2" fontId="25" numFmtId="4" xfId="0" applyFont="1" applyNumberFormat="1"/>
    <xf borderId="0" fillId="0" fontId="25" numFmtId="10" xfId="0" applyFont="1" applyNumberFormat="1"/>
    <xf borderId="0" fillId="0" fontId="25" numFmtId="2" xfId="0" applyFont="1" applyNumberFormat="1"/>
    <xf borderId="0" fillId="0" fontId="25" numFmtId="4" xfId="0" applyFont="1" applyNumberFormat="1"/>
    <xf borderId="46" fillId="3" fontId="26" numFmtId="0" xfId="0" applyBorder="1" applyFont="1"/>
    <xf borderId="47" fillId="0" fontId="9" numFmtId="0" xfId="0" applyBorder="1" applyFont="1"/>
    <xf borderId="48" fillId="0" fontId="9" numFmtId="0" xfId="0" applyBorder="1" applyFont="1"/>
    <xf borderId="49" fillId="3" fontId="10" numFmtId="0" xfId="0" applyAlignment="1" applyBorder="1" applyFont="1">
      <alignment horizontal="center"/>
    </xf>
    <xf borderId="0" fillId="3" fontId="27" numFmtId="0" xfId="0" applyAlignment="1" applyFont="1">
      <alignment horizontal="center" shrinkToFit="0" textRotation="90" vertical="center" wrapText="1"/>
    </xf>
    <xf borderId="50" fillId="3" fontId="10" numFmtId="0" xfId="0" applyAlignment="1" applyBorder="1" applyFont="1">
      <alignment horizontal="center" vertical="center"/>
    </xf>
    <xf borderId="51" fillId="0" fontId="28" numFmtId="0" xfId="0" applyAlignment="1" applyBorder="1" applyFont="1">
      <alignment horizontal="center" vertical="center"/>
    </xf>
    <xf borderId="0" fillId="0" fontId="29" numFmtId="0" xfId="0" applyFont="1"/>
    <xf borderId="52" fillId="4" fontId="1" numFmtId="1" xfId="0" applyBorder="1" applyFont="1" applyNumberFormat="1"/>
    <xf borderId="52" fillId="0" fontId="1" numFmtId="0" xfId="0" applyAlignment="1" applyBorder="1" applyFont="1">
      <alignment horizontal="center" vertical="center"/>
    </xf>
    <xf borderId="52" fillId="0" fontId="1" numFmtId="0" xfId="0" applyBorder="1" applyFont="1"/>
    <xf borderId="53" fillId="0" fontId="9" numFmtId="0" xfId="0" applyBorder="1" applyFont="1"/>
    <xf borderId="54" fillId="0" fontId="9" numFmtId="0" xfId="0" applyBorder="1" applyFont="1"/>
    <xf borderId="51" fillId="0" fontId="28" numFmtId="3" xfId="0" applyAlignment="1" applyBorder="1" applyFont="1" applyNumberFormat="1">
      <alignment horizontal="center" vertical="center"/>
    </xf>
    <xf borderId="55" fillId="3" fontId="27" numFmtId="0" xfId="0" applyBorder="1" applyFont="1"/>
    <xf borderId="55" fillId="3" fontId="30" numFmtId="0" xfId="0" applyBorder="1" applyFont="1"/>
    <xf borderId="56" fillId="0" fontId="1" numFmtId="10" xfId="0" applyBorder="1" applyFont="1" applyNumberFormat="1"/>
    <xf borderId="54" fillId="0" fontId="1" numFmtId="10" xfId="0" applyBorder="1" applyFont="1" applyNumberFormat="1"/>
    <xf borderId="57" fillId="0" fontId="1" numFmtId="10" xfId="0" applyBorder="1" applyFont="1" applyNumberFormat="1"/>
    <xf borderId="58" fillId="0" fontId="1" numFmtId="10" xfId="0" applyBorder="1" applyFont="1" applyNumberFormat="1"/>
    <xf borderId="52" fillId="0" fontId="1" numFmtId="10" xfId="0" applyBorder="1" applyFont="1" applyNumberFormat="1"/>
    <xf borderId="59" fillId="0" fontId="1" numFmtId="10" xfId="0" applyBorder="1" applyFont="1" applyNumberFormat="1"/>
    <xf borderId="60" fillId="0" fontId="1" numFmtId="10" xfId="0" applyBorder="1" applyFont="1" applyNumberFormat="1"/>
    <xf borderId="51" fillId="0" fontId="1" numFmtId="10" xfId="0" applyBorder="1" applyFont="1" applyNumberFormat="1"/>
    <xf borderId="61" fillId="0" fontId="1" numFmtId="10" xfId="0" applyBorder="1" applyFont="1" applyNumberFormat="1"/>
    <xf borderId="0" fillId="4" fontId="1" numFmtId="1" xfId="0" applyFont="1" applyNumberFormat="1"/>
    <xf borderId="0" fillId="0" fontId="1" numFmtId="0" xfId="0" applyAlignment="1" applyFont="1">
      <alignment horizontal="center" vertical="center"/>
    </xf>
    <xf borderId="0" fillId="0" fontId="1" numFmtId="0" xfId="0" applyFont="1"/>
    <xf borderId="62" fillId="0" fontId="1" numFmtId="0" xfId="0" applyBorder="1" applyFont="1"/>
    <xf borderId="0" fillId="3" fontId="30" numFmtId="0" xfId="0" applyAlignment="1" applyFont="1">
      <alignment shrinkToFit="0" wrapText="1"/>
    </xf>
    <xf borderId="63" fillId="0" fontId="1" numFmtId="0" xfId="0" applyBorder="1" applyFont="1"/>
    <xf borderId="49" fillId="3" fontId="27" numFmtId="0" xfId="0" applyBorder="1" applyFont="1"/>
    <xf borderId="49" fillId="3" fontId="27" numFmtId="0" xfId="0" applyAlignment="1" applyBorder="1" applyFont="1">
      <alignment shrinkToFit="0" wrapText="1"/>
    </xf>
    <xf borderId="0" fillId="0" fontId="25" numFmtId="0" xfId="0" applyAlignment="1" applyFont="1">
      <alignment horizontal="center" vertical="center"/>
    </xf>
    <xf borderId="52" fillId="0" fontId="1" numFmtId="2" xfId="0" applyBorder="1" applyFont="1" applyNumberFormat="1"/>
    <xf borderId="64" fillId="0" fontId="9" numFmtId="0" xfId="0" applyBorder="1" applyFont="1"/>
    <xf borderId="0" fillId="0" fontId="31" numFmtId="2" xfId="0" applyFont="1" applyNumberFormat="1"/>
    <xf borderId="0" fillId="0" fontId="1" numFmtId="2" xfId="0" applyFont="1" applyNumberFormat="1"/>
    <xf borderId="65" fillId="0" fontId="1" numFmtId="0" xfId="0" applyBorder="1" applyFont="1"/>
    <xf borderId="62" fillId="0" fontId="9" numFmtId="0" xfId="0" applyBorder="1" applyFont="1"/>
    <xf borderId="63" fillId="0" fontId="1" numFmtId="2" xfId="0" applyBorder="1" applyFont="1" applyNumberFormat="1"/>
    <xf borderId="0" fillId="4" fontId="2" numFmtId="0" xfId="0" applyAlignment="1" applyFont="1">
      <alignment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Posicionamentos em relação à Estrutura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'Cargos da Estrutura_Cálculo'!$G$10</c:f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'Cargos da Estrutura_Cálculo'!$F$11:$F$14</c:f>
            </c:strRef>
          </c:cat>
          <c:val>
            <c:numRef>
              <c:f>'Cargos da Estrutura_Cálculo'!$G$11:$G$14</c:f>
              <c:numCache/>
            </c:numRef>
          </c:val>
        </c:ser>
        <c:ser>
          <c:idx val="1"/>
          <c:order val="1"/>
          <c:tx>
            <c:strRef>
              <c:f>'Cargos da Estrutura_Cálculo'!$H$10</c:f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'Cargos da Estrutura_Cálculo'!$F$11:$F$14</c:f>
            </c:strRef>
          </c:cat>
          <c:val>
            <c:numRef>
              <c:f>'Cargos da Estrutura_Cálculo'!$H$11:$H$14</c:f>
              <c:numCache/>
            </c:numRef>
          </c:val>
        </c:ser>
        <c:ser>
          <c:idx val="2"/>
          <c:order val="2"/>
          <c:tx>
            <c:strRef>
              <c:f>'Cargos da Estrutura_Cálculo'!$I$10</c:f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'Cargos da Estrutura_Cálculo'!$F$11:$F$14</c:f>
            </c:strRef>
          </c:cat>
          <c:val>
            <c:numRef>
              <c:f>'Cargos da Estrutura_Cálculo'!$I$11:$I$14</c:f>
              <c:numCache/>
            </c:numRef>
          </c:val>
        </c:ser>
        <c:ser>
          <c:idx val="3"/>
          <c:order val="3"/>
          <c:tx>
            <c:strRef>
              <c:f>'Cargos da Estrutura_Cálculo'!$J$10</c:f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'Cargos da Estrutura_Cálculo'!$F$11:$F$14</c:f>
            </c:strRef>
          </c:cat>
          <c:val>
            <c:numRef>
              <c:f>'Cargos da Estrutura_Cálculo'!$J$11:$J$14</c:f>
              <c:numCache/>
            </c:numRef>
          </c:val>
        </c:ser>
        <c:overlap val="100"/>
        <c:axId val="1094636146"/>
        <c:axId val="960958982"/>
      </c:barChart>
      <c:catAx>
        <c:axId val="1094636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60958982"/>
      </c:catAx>
      <c:valAx>
        <c:axId val="960958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463614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Movimento Proposto: Enquadramento para os 80%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'Cargos da Estrutura_Cálculo'!$G$23</c:f>
            </c:strRef>
          </c:tx>
          <c:dPt>
            <c:idx val="0"/>
            <c:spPr>
              <a:solidFill>
                <a:srgbClr val="021CCA"/>
              </a:solidFill>
            </c:spPr>
          </c:dPt>
          <c:dPt>
            <c:idx val="1"/>
            <c:spPr>
              <a:solidFill>
                <a:srgbClr val="F3F3F3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'Cargos da Estrutura_Cálculo'!$F$24:$F$26</c:f>
            </c:strRef>
          </c:cat>
          <c:val>
            <c:numRef>
              <c:f>'Cargos da Estrutura_Cálculo'!$G$24:$G$26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Cargos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21CCA"/>
              </a:solidFill>
            </c:spPr>
          </c:dPt>
          <c:dPt>
            <c:idx val="1"/>
            <c:explosion val="0"/>
            <c:spPr>
              <a:solidFill>
                <a:srgbClr val="F3F3F3"/>
              </a:solidFill>
            </c:spPr>
          </c:dPt>
          <c:dPt>
            <c:idx val="2"/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'Cargos da Estrutura_Cálculo'!$G$5:$G$8</c:f>
            </c:strRef>
          </c:cat>
          <c:val>
            <c:numRef>
              <c:f>'Cargos da Estrutura_Cálculo'!$H$5:$H$8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Red Flags                                     </a:t>
            </a:r>
          </a:p>
        </c:rich>
      </c:tx>
      <c:overlay val="0"/>
    </c:title>
    <c:plotArea>
      <c:layout>
        <c:manualLayout>
          <c:xMode val="edge"/>
          <c:yMode val="edge"/>
          <c:x val="0.03305322128851544"/>
          <c:y val="0.1426553672316385"/>
          <c:w val="0.6210084033613446"/>
          <c:h val="0.807344632768361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3F3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'Cargos da Estrutura_Cálculo'!$F$31:$F$32</c:f>
            </c:strRef>
          </c:cat>
          <c:val>
            <c:numRef>
              <c:f>'Cargos da Estrutura_Cálculo'!$G$31:$G$32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9525</xdr:rowOff>
    </xdr:from>
    <xdr:ext cx="1485900" cy="390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</xdr:row>
      <xdr:rowOff>76200</xdr:rowOff>
    </xdr:from>
    <xdr:ext cx="1485900" cy="390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95250</xdr:rowOff>
    </xdr:from>
    <xdr:ext cx="5343525" cy="2200275"/>
    <xdr:graphicFrame>
      <xdr:nvGraphicFramePr>
        <xdr:cNvPr id="138952362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</xdr:colOff>
      <xdr:row>11</xdr:row>
      <xdr:rowOff>0</xdr:rowOff>
    </xdr:from>
    <xdr:ext cx="3467100" cy="2247900"/>
    <xdr:graphicFrame>
      <xdr:nvGraphicFramePr>
        <xdr:cNvPr id="27761453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85725</xdr:colOff>
      <xdr:row>0</xdr:row>
      <xdr:rowOff>95250</xdr:rowOff>
    </xdr:from>
    <xdr:ext cx="3400425" cy="2200275"/>
    <xdr:graphicFrame>
      <xdr:nvGraphicFramePr>
        <xdr:cNvPr id="1508029001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95250</xdr:colOff>
      <xdr:row>11</xdr:row>
      <xdr:rowOff>0</xdr:rowOff>
    </xdr:from>
    <xdr:ext cx="3400425" cy="2247900"/>
    <xdr:graphicFrame>
      <xdr:nvGraphicFramePr>
        <xdr:cNvPr id="393461471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142875</xdr:colOff>
      <xdr:row>14</xdr:row>
      <xdr:rowOff>190500</xdr:rowOff>
    </xdr:from>
    <xdr:ext cx="2971800" cy="819150"/>
    <xdr:pic>
      <xdr:nvPicPr>
        <xdr:cNvPr id="0" name="image2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.43"/>
    <col customWidth="1" min="2" max="2" width="31.71"/>
    <col customWidth="1" min="3" max="3" width="19.86"/>
    <col customWidth="1" min="4" max="4" width="19.0"/>
    <col customWidth="1" min="5" max="5" width="14.29"/>
    <col customWidth="1" min="6" max="6" width="9.29"/>
    <col customWidth="1" min="7" max="9" width="10.43"/>
    <col customWidth="1" min="10" max="10" width="11.43"/>
    <col customWidth="1" min="11" max="15" width="10.43"/>
    <col customWidth="1" min="16" max="16" width="6.29"/>
    <col customWidth="1" min="17" max="19" width="3.43"/>
    <col customWidth="1" min="20" max="20" width="8.57"/>
  </cols>
  <sheetData>
    <row r="1">
      <c r="A1" s="1"/>
      <c r="B1" s="2"/>
      <c r="C1" s="3"/>
      <c r="D1" s="2"/>
      <c r="E1" s="4"/>
      <c r="F1" s="2"/>
      <c r="G1" s="2"/>
      <c r="H1" s="2"/>
      <c r="I1" s="2"/>
      <c r="J1" s="5"/>
      <c r="K1" s="2"/>
      <c r="L1" s="2"/>
      <c r="M1" s="2"/>
      <c r="N1" s="2"/>
      <c r="O1" s="2"/>
      <c r="P1" s="6"/>
      <c r="Q1" s="6"/>
      <c r="R1" s="6"/>
      <c r="S1" s="6"/>
      <c r="T1" s="6"/>
    </row>
    <row r="2" ht="24.0" customHeight="1">
      <c r="A2" s="1"/>
      <c r="B2" s="7" t="s">
        <v>0</v>
      </c>
      <c r="E2" s="8"/>
      <c r="F2" s="8"/>
      <c r="G2" s="9"/>
      <c r="I2" s="10"/>
      <c r="J2" s="10"/>
      <c r="K2" s="10"/>
      <c r="L2" s="10"/>
      <c r="M2" s="10"/>
      <c r="N2" s="10"/>
      <c r="O2" s="10"/>
      <c r="P2" s="6"/>
      <c r="Q2" s="6"/>
      <c r="R2" s="6"/>
      <c r="S2" s="6"/>
      <c r="T2" s="6"/>
    </row>
    <row r="3" ht="24.0" customHeight="1">
      <c r="A3" s="1"/>
      <c r="E3" s="8"/>
      <c r="F3" s="8"/>
      <c r="G3" s="9"/>
      <c r="I3" s="10"/>
      <c r="J3" s="10"/>
      <c r="K3" s="10"/>
      <c r="L3" s="10"/>
      <c r="M3" s="10"/>
      <c r="N3" s="10"/>
      <c r="O3" s="10"/>
      <c r="P3" s="6"/>
      <c r="Q3" s="6"/>
      <c r="R3" s="6"/>
      <c r="S3" s="6"/>
      <c r="T3" s="6"/>
    </row>
    <row r="4" ht="4.5" customHeight="1">
      <c r="A4" s="1"/>
      <c r="B4" s="10"/>
      <c r="C4" s="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6"/>
      <c r="Q4" s="6"/>
      <c r="R4" s="6"/>
      <c r="S4" s="6"/>
      <c r="T4" s="6"/>
    </row>
    <row r="5" ht="22.5" customHeight="1">
      <c r="A5" s="1"/>
      <c r="B5" s="11"/>
      <c r="C5" s="12"/>
      <c r="D5" s="13"/>
      <c r="E5" s="13"/>
      <c r="F5" s="13"/>
      <c r="G5" s="14" t="s">
        <v>1</v>
      </c>
      <c r="H5" s="15"/>
      <c r="I5" s="15"/>
      <c r="J5" s="15"/>
      <c r="K5" s="16" t="s">
        <v>2</v>
      </c>
      <c r="L5" s="14" t="s">
        <v>3</v>
      </c>
      <c r="M5" s="15"/>
      <c r="N5" s="15"/>
      <c r="O5" s="15"/>
      <c r="P5" s="6"/>
      <c r="Q5" s="6"/>
      <c r="R5" s="6"/>
      <c r="S5" s="6"/>
      <c r="T5" s="6"/>
    </row>
    <row r="6">
      <c r="A6" s="1"/>
      <c r="B6" s="17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9">
        <v>0.8</v>
      </c>
      <c r="H6" s="19">
        <v>0.85</v>
      </c>
      <c r="I6" s="19">
        <v>0.9</v>
      </c>
      <c r="J6" s="19">
        <v>0.95</v>
      </c>
      <c r="K6" s="19">
        <v>1.0</v>
      </c>
      <c r="L6" s="19">
        <v>1.05</v>
      </c>
      <c r="M6" s="19">
        <v>1.1</v>
      </c>
      <c r="N6" s="19">
        <v>1.15</v>
      </c>
      <c r="O6" s="19">
        <v>1.2</v>
      </c>
      <c r="P6" s="6"/>
      <c r="Q6" s="6"/>
      <c r="R6" s="6"/>
      <c r="S6" s="6"/>
      <c r="T6" s="6"/>
    </row>
    <row r="7" ht="18.75" customHeight="1">
      <c r="A7" s="1"/>
      <c r="B7" s="20" t="s">
        <v>9</v>
      </c>
      <c r="C7" s="21" t="s">
        <v>10</v>
      </c>
      <c r="D7" s="22"/>
      <c r="E7" s="23">
        <v>2220.51</v>
      </c>
      <c r="F7" s="24">
        <v>10.0</v>
      </c>
      <c r="G7" s="25">
        <f t="shared" ref="G7:G17" si="1">IFERROR((K7*$G$6)," ")</f>
        <v>1852.8</v>
      </c>
      <c r="H7" s="25">
        <f t="shared" ref="H7:H17" si="2">IFERROR((K7*$H$6)," ")</f>
        <v>1968.6</v>
      </c>
      <c r="I7" s="25">
        <f t="shared" ref="I7:I17" si="3">IFERROR((K7*$I$6)," ")</f>
        <v>2084.4</v>
      </c>
      <c r="J7" s="25">
        <f t="shared" ref="J7:J17" si="4">IFERROR((K7*$J$6)," ")</f>
        <v>2200.2</v>
      </c>
      <c r="K7" s="26">
        <f>VLOOKUP(F7,'Tabela Salarial'!$B:$G,6,0)</f>
        <v>2316</v>
      </c>
      <c r="L7" s="25">
        <f t="shared" ref="L7:L17" si="5">IFERROR((K7*$L$6)," ")</f>
        <v>2431.8</v>
      </c>
      <c r="M7" s="25">
        <f t="shared" ref="M7:M17" si="6">IFERROR((K7*$M$6)," ")</f>
        <v>2547.6</v>
      </c>
      <c r="N7" s="25">
        <f t="shared" ref="N7:N17" si="7">IFERROR((K7*$N$6)," ")</f>
        <v>2663.4</v>
      </c>
      <c r="O7" s="25">
        <f t="shared" ref="O7:O17" si="8">IFERROR((K7*$O$6)," ")</f>
        <v>2779.2</v>
      </c>
      <c r="P7" s="6"/>
      <c r="Q7" s="6"/>
      <c r="R7" s="6"/>
      <c r="S7" s="6"/>
      <c r="T7" s="6"/>
    </row>
    <row r="8" ht="18.75" customHeight="1">
      <c r="A8" s="1"/>
      <c r="B8" s="20" t="s">
        <v>11</v>
      </c>
      <c r="C8" s="21" t="s">
        <v>10</v>
      </c>
      <c r="D8" s="27"/>
      <c r="E8" s="23">
        <v>2644.46</v>
      </c>
      <c r="F8" s="24">
        <v>12.0</v>
      </c>
      <c r="G8" s="25">
        <f t="shared" si="1"/>
        <v>2603.648</v>
      </c>
      <c r="H8" s="25">
        <f t="shared" si="2"/>
        <v>2766.376</v>
      </c>
      <c r="I8" s="25">
        <f t="shared" si="3"/>
        <v>2929.104</v>
      </c>
      <c r="J8" s="25">
        <f t="shared" si="4"/>
        <v>3091.832</v>
      </c>
      <c r="K8" s="26">
        <f>VLOOKUP(F8,'Tabela Salarial'!$B:$G,6,0)</f>
        <v>3254.56</v>
      </c>
      <c r="L8" s="25">
        <f t="shared" si="5"/>
        <v>3417.288</v>
      </c>
      <c r="M8" s="25">
        <f t="shared" si="6"/>
        <v>3580.016</v>
      </c>
      <c r="N8" s="25">
        <f t="shared" si="7"/>
        <v>3742.744</v>
      </c>
      <c r="O8" s="25">
        <f t="shared" si="8"/>
        <v>3905.472</v>
      </c>
      <c r="P8" s="6"/>
      <c r="Q8" s="6"/>
      <c r="R8" s="6"/>
      <c r="S8" s="6"/>
      <c r="T8" s="6"/>
    </row>
    <row r="9" ht="18.75" customHeight="1">
      <c r="A9" s="1"/>
      <c r="B9" s="20" t="s">
        <v>12</v>
      </c>
      <c r="C9" s="21" t="s">
        <v>10</v>
      </c>
      <c r="D9" s="27" t="s">
        <v>13</v>
      </c>
      <c r="E9" s="23">
        <v>3379.04</v>
      </c>
      <c r="F9" s="24">
        <v>13.0</v>
      </c>
      <c r="G9" s="25">
        <f t="shared" si="1"/>
        <v>3230.952</v>
      </c>
      <c r="H9" s="25">
        <f t="shared" si="2"/>
        <v>3432.8865</v>
      </c>
      <c r="I9" s="25">
        <f t="shared" si="3"/>
        <v>3634.821</v>
      </c>
      <c r="J9" s="25">
        <f t="shared" si="4"/>
        <v>3836.7555</v>
      </c>
      <c r="K9" s="26">
        <f>VLOOKUP(F9,'Tabela Salarial'!$B:$G,6,0)</f>
        <v>4038.69</v>
      </c>
      <c r="L9" s="25">
        <f t="shared" si="5"/>
        <v>4240.6245</v>
      </c>
      <c r="M9" s="25">
        <f t="shared" si="6"/>
        <v>4442.559</v>
      </c>
      <c r="N9" s="25">
        <f t="shared" si="7"/>
        <v>4644.4935</v>
      </c>
      <c r="O9" s="25">
        <f t="shared" si="8"/>
        <v>4846.428</v>
      </c>
      <c r="P9" s="6"/>
      <c r="Q9" s="6"/>
      <c r="R9" s="6"/>
      <c r="S9" s="6"/>
      <c r="T9" s="6"/>
    </row>
    <row r="10" ht="18.75" customHeight="1">
      <c r="A10" s="1"/>
      <c r="B10" s="20" t="s">
        <v>14</v>
      </c>
      <c r="C10" s="21" t="s">
        <v>10</v>
      </c>
      <c r="D10" s="27" t="s">
        <v>15</v>
      </c>
      <c r="E10" s="23">
        <v>3618.72</v>
      </c>
      <c r="F10" s="28">
        <v>13.0</v>
      </c>
      <c r="G10" s="25">
        <f t="shared" si="1"/>
        <v>3230.952</v>
      </c>
      <c r="H10" s="25">
        <f t="shared" si="2"/>
        <v>3432.8865</v>
      </c>
      <c r="I10" s="25">
        <f t="shared" si="3"/>
        <v>3634.821</v>
      </c>
      <c r="J10" s="25">
        <f t="shared" si="4"/>
        <v>3836.7555</v>
      </c>
      <c r="K10" s="26">
        <f>VLOOKUP(F10,'Tabela Salarial'!$B:$G,6,0)</f>
        <v>4038.69</v>
      </c>
      <c r="L10" s="25">
        <f t="shared" si="5"/>
        <v>4240.6245</v>
      </c>
      <c r="M10" s="25">
        <f t="shared" si="6"/>
        <v>4442.559</v>
      </c>
      <c r="N10" s="25">
        <f t="shared" si="7"/>
        <v>4644.4935</v>
      </c>
      <c r="O10" s="25">
        <f t="shared" si="8"/>
        <v>4846.428</v>
      </c>
      <c r="P10" s="6"/>
      <c r="Q10" s="6"/>
      <c r="R10" s="6"/>
      <c r="S10" s="6"/>
      <c r="T10" s="6"/>
    </row>
    <row r="11" ht="18.75" customHeight="1">
      <c r="A11" s="1"/>
      <c r="B11" s="20" t="s">
        <v>16</v>
      </c>
      <c r="C11" s="21" t="s">
        <v>10</v>
      </c>
      <c r="D11" s="27"/>
      <c r="E11" s="23">
        <v>4178.94</v>
      </c>
      <c r="F11" s="24">
        <v>13.0</v>
      </c>
      <c r="G11" s="25">
        <f t="shared" si="1"/>
        <v>3230.952</v>
      </c>
      <c r="H11" s="25">
        <f t="shared" si="2"/>
        <v>3432.8865</v>
      </c>
      <c r="I11" s="25">
        <f t="shared" si="3"/>
        <v>3634.821</v>
      </c>
      <c r="J11" s="25">
        <f t="shared" si="4"/>
        <v>3836.7555</v>
      </c>
      <c r="K11" s="26">
        <f>VLOOKUP(F11,'Tabela Salarial'!$B:$G,6,0)</f>
        <v>4038.69</v>
      </c>
      <c r="L11" s="25">
        <f t="shared" si="5"/>
        <v>4240.6245</v>
      </c>
      <c r="M11" s="25">
        <f t="shared" si="6"/>
        <v>4442.559</v>
      </c>
      <c r="N11" s="25">
        <f t="shared" si="7"/>
        <v>4644.4935</v>
      </c>
      <c r="O11" s="25">
        <f t="shared" si="8"/>
        <v>4846.428</v>
      </c>
      <c r="P11" s="6"/>
      <c r="Q11" s="6"/>
      <c r="R11" s="6"/>
      <c r="S11" s="6"/>
      <c r="T11" s="6"/>
    </row>
    <row r="12" ht="18.75" customHeight="1">
      <c r="A12" s="1"/>
      <c r="B12" s="20" t="s">
        <v>17</v>
      </c>
      <c r="C12" s="21" t="s">
        <v>10</v>
      </c>
      <c r="D12" s="27" t="s">
        <v>18</v>
      </c>
      <c r="E12" s="23">
        <v>5342.35</v>
      </c>
      <c r="F12" s="24">
        <v>14.0</v>
      </c>
      <c r="G12" s="25">
        <f t="shared" si="1"/>
        <v>3973.504</v>
      </c>
      <c r="H12" s="25">
        <f t="shared" si="2"/>
        <v>4221.848</v>
      </c>
      <c r="I12" s="25">
        <f t="shared" si="3"/>
        <v>4470.192</v>
      </c>
      <c r="J12" s="25">
        <f t="shared" si="4"/>
        <v>4718.536</v>
      </c>
      <c r="K12" s="26">
        <f>VLOOKUP(F12,'Tabela Salarial'!$B:$G,6,0)</f>
        <v>4966.88</v>
      </c>
      <c r="L12" s="25">
        <f t="shared" si="5"/>
        <v>5215.224</v>
      </c>
      <c r="M12" s="25">
        <f t="shared" si="6"/>
        <v>5463.568</v>
      </c>
      <c r="N12" s="25">
        <f t="shared" si="7"/>
        <v>5711.912</v>
      </c>
      <c r="O12" s="25">
        <f t="shared" si="8"/>
        <v>5960.256</v>
      </c>
      <c r="P12" s="6"/>
      <c r="Q12" s="6"/>
      <c r="R12" s="6"/>
      <c r="S12" s="6"/>
      <c r="T12" s="6"/>
    </row>
    <row r="13" ht="18.75" customHeight="1">
      <c r="A13" s="1"/>
      <c r="B13" s="20" t="s">
        <v>19</v>
      </c>
      <c r="C13" s="21" t="s">
        <v>10</v>
      </c>
      <c r="D13" s="27"/>
      <c r="E13" s="23">
        <v>4465.27</v>
      </c>
      <c r="F13" s="24">
        <v>14.0</v>
      </c>
      <c r="G13" s="25">
        <f t="shared" si="1"/>
        <v>3973.504</v>
      </c>
      <c r="H13" s="25">
        <f t="shared" si="2"/>
        <v>4221.848</v>
      </c>
      <c r="I13" s="25">
        <f t="shared" si="3"/>
        <v>4470.192</v>
      </c>
      <c r="J13" s="25">
        <f t="shared" si="4"/>
        <v>4718.536</v>
      </c>
      <c r="K13" s="26">
        <f>VLOOKUP(F13,'Tabela Salarial'!$B:$G,6,0)</f>
        <v>4966.88</v>
      </c>
      <c r="L13" s="25">
        <f t="shared" si="5"/>
        <v>5215.224</v>
      </c>
      <c r="M13" s="25">
        <f t="shared" si="6"/>
        <v>5463.568</v>
      </c>
      <c r="N13" s="25">
        <f t="shared" si="7"/>
        <v>5711.912</v>
      </c>
      <c r="O13" s="25">
        <f t="shared" si="8"/>
        <v>5960.256</v>
      </c>
      <c r="P13" s="6"/>
      <c r="Q13" s="6"/>
      <c r="R13" s="6"/>
      <c r="S13" s="6"/>
      <c r="T13" s="6"/>
    </row>
    <row r="14" ht="18.75" customHeight="1">
      <c r="A14" s="1"/>
      <c r="B14" s="20" t="s">
        <v>20</v>
      </c>
      <c r="C14" s="21" t="s">
        <v>10</v>
      </c>
      <c r="D14" s="27"/>
      <c r="E14" s="23">
        <v>5574.65</v>
      </c>
      <c r="F14" s="24">
        <v>14.0</v>
      </c>
      <c r="G14" s="25">
        <f t="shared" si="1"/>
        <v>3973.504</v>
      </c>
      <c r="H14" s="25">
        <f t="shared" si="2"/>
        <v>4221.848</v>
      </c>
      <c r="I14" s="25">
        <f t="shared" si="3"/>
        <v>4470.192</v>
      </c>
      <c r="J14" s="25">
        <f t="shared" si="4"/>
        <v>4718.536</v>
      </c>
      <c r="K14" s="26">
        <f>VLOOKUP(F14,'Tabela Salarial'!$B:$G,6,0)</f>
        <v>4966.88</v>
      </c>
      <c r="L14" s="25">
        <f t="shared" si="5"/>
        <v>5215.224</v>
      </c>
      <c r="M14" s="25">
        <f t="shared" si="6"/>
        <v>5463.568</v>
      </c>
      <c r="N14" s="25">
        <f t="shared" si="7"/>
        <v>5711.912</v>
      </c>
      <c r="O14" s="25">
        <f t="shared" si="8"/>
        <v>5960.256</v>
      </c>
      <c r="P14" s="6"/>
      <c r="Q14" s="6"/>
      <c r="R14" s="6"/>
      <c r="S14" s="6"/>
      <c r="T14" s="6"/>
    </row>
    <row r="15" ht="18.75" customHeight="1">
      <c r="A15" s="1"/>
      <c r="B15" s="20" t="s">
        <v>21</v>
      </c>
      <c r="C15" s="21" t="s">
        <v>10</v>
      </c>
      <c r="D15" s="27" t="s">
        <v>22</v>
      </c>
      <c r="E15" s="23">
        <v>7999.87</v>
      </c>
      <c r="F15" s="28">
        <v>15.0</v>
      </c>
      <c r="G15" s="25">
        <f t="shared" si="1"/>
        <v>4791.8</v>
      </c>
      <c r="H15" s="25">
        <f t="shared" si="2"/>
        <v>5091.2875</v>
      </c>
      <c r="I15" s="25">
        <f t="shared" si="3"/>
        <v>5390.775</v>
      </c>
      <c r="J15" s="25">
        <f t="shared" si="4"/>
        <v>5690.2625</v>
      </c>
      <c r="K15" s="26">
        <f>VLOOKUP(F15,'Tabela Salarial'!$B:$G,6,0)</f>
        <v>5989.75</v>
      </c>
      <c r="L15" s="25">
        <f t="shared" si="5"/>
        <v>6289.2375</v>
      </c>
      <c r="M15" s="25">
        <f t="shared" si="6"/>
        <v>6588.725</v>
      </c>
      <c r="N15" s="25">
        <f t="shared" si="7"/>
        <v>6888.2125</v>
      </c>
      <c r="O15" s="25">
        <f t="shared" si="8"/>
        <v>7187.7</v>
      </c>
      <c r="P15" s="6"/>
      <c r="Q15" s="6"/>
      <c r="R15" s="6"/>
      <c r="S15" s="6"/>
      <c r="T15" s="6"/>
    </row>
    <row r="16" ht="18.75" customHeight="1">
      <c r="A16" s="1"/>
      <c r="B16" s="20" t="s">
        <v>23</v>
      </c>
      <c r="C16" s="21" t="s">
        <v>10</v>
      </c>
      <c r="D16" s="27"/>
      <c r="E16" s="23">
        <v>7264.21</v>
      </c>
      <c r="F16" s="28">
        <v>15.0</v>
      </c>
      <c r="G16" s="25">
        <f t="shared" si="1"/>
        <v>4791.8</v>
      </c>
      <c r="H16" s="25">
        <f t="shared" si="2"/>
        <v>5091.2875</v>
      </c>
      <c r="I16" s="25">
        <f t="shared" si="3"/>
        <v>5390.775</v>
      </c>
      <c r="J16" s="25">
        <f t="shared" si="4"/>
        <v>5690.2625</v>
      </c>
      <c r="K16" s="26">
        <f>VLOOKUP(F16,'Tabela Salarial'!$B:$G,6,0)</f>
        <v>5989.75</v>
      </c>
      <c r="L16" s="25">
        <f t="shared" si="5"/>
        <v>6289.2375</v>
      </c>
      <c r="M16" s="25">
        <f t="shared" si="6"/>
        <v>6588.725</v>
      </c>
      <c r="N16" s="25">
        <f t="shared" si="7"/>
        <v>6888.2125</v>
      </c>
      <c r="O16" s="25">
        <f t="shared" si="8"/>
        <v>7187.7</v>
      </c>
      <c r="P16" s="6"/>
      <c r="Q16" s="6"/>
      <c r="R16" s="6"/>
      <c r="S16" s="6"/>
      <c r="T16" s="6"/>
    </row>
    <row r="17" ht="18.75" customHeight="1">
      <c r="A17" s="1"/>
      <c r="B17" s="20" t="s">
        <v>24</v>
      </c>
      <c r="C17" s="21" t="s">
        <v>10</v>
      </c>
      <c r="D17" s="27" t="s">
        <v>25</v>
      </c>
      <c r="E17" s="23">
        <v>8929.22</v>
      </c>
      <c r="F17" s="24">
        <v>18.0</v>
      </c>
      <c r="G17" s="25">
        <f t="shared" si="1"/>
        <v>7306.112</v>
      </c>
      <c r="H17" s="25">
        <f t="shared" si="2"/>
        <v>7762.744</v>
      </c>
      <c r="I17" s="25">
        <f t="shared" si="3"/>
        <v>8219.376</v>
      </c>
      <c r="J17" s="25">
        <f t="shared" si="4"/>
        <v>8676.008</v>
      </c>
      <c r="K17" s="26">
        <f>VLOOKUP(F17,'Tabela Salarial'!$B:$G,6,0)</f>
        <v>9132.64</v>
      </c>
      <c r="L17" s="25">
        <f t="shared" si="5"/>
        <v>9589.272</v>
      </c>
      <c r="M17" s="25">
        <f t="shared" si="6"/>
        <v>10045.904</v>
      </c>
      <c r="N17" s="25">
        <f t="shared" si="7"/>
        <v>10502.536</v>
      </c>
      <c r="O17" s="25">
        <f t="shared" si="8"/>
        <v>10959.168</v>
      </c>
      <c r="P17" s="6"/>
      <c r="Q17" s="6"/>
      <c r="R17" s="6"/>
      <c r="S17" s="6"/>
      <c r="T17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T$17">
    <sortState ref="A6:T17">
      <sortCondition ref="F6:F17"/>
      <sortCondition ref="C6:C17"/>
      <sortCondition ref="B6:B17"/>
    </sortState>
  </autoFilter>
  <mergeCells count="3">
    <mergeCell ref="B2:D3"/>
    <mergeCell ref="G5:J5"/>
    <mergeCell ref="L5:O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 fitToPage="1"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11" width="17.29"/>
    <col customWidth="1" min="12" max="12" width="9.57"/>
    <col customWidth="1" min="13" max="13" width="11.29"/>
    <col customWidth="1" min="14" max="24" width="17.29"/>
  </cols>
  <sheetData>
    <row r="1" ht="45.0" customHeight="1">
      <c r="A1" s="2"/>
      <c r="B1" s="29"/>
      <c r="C1" s="2"/>
      <c r="D1" s="2"/>
      <c r="E1" s="30"/>
      <c r="F1" s="30"/>
      <c r="G1" s="30"/>
      <c r="H1" s="2"/>
      <c r="I1" s="2"/>
      <c r="J1" s="2"/>
      <c r="K1" s="2"/>
      <c r="L1" s="31"/>
      <c r="M1" s="3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30.75" customHeight="1">
      <c r="A2" s="2"/>
      <c r="B2" s="32" t="s">
        <v>26</v>
      </c>
      <c r="C2" s="33"/>
      <c r="D2" s="33"/>
      <c r="E2" s="33"/>
      <c r="F2" s="33"/>
      <c r="G2" s="33"/>
      <c r="H2" s="33"/>
      <c r="I2" s="33"/>
      <c r="J2" s="33"/>
      <c r="K2" s="34"/>
      <c r="L2" s="35"/>
      <c r="M2" s="35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30.75" customHeight="1">
      <c r="A3" s="2"/>
      <c r="B3" s="36"/>
      <c r="C3" s="37"/>
      <c r="D3" s="37"/>
      <c r="E3" s="37"/>
      <c r="F3" s="37"/>
      <c r="G3" s="37"/>
      <c r="H3" s="37"/>
      <c r="I3" s="37"/>
      <c r="J3" s="37"/>
      <c r="K3" s="38"/>
      <c r="L3" s="39"/>
      <c r="M3" s="40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0.25" customHeight="1">
      <c r="A4" s="2"/>
      <c r="B4" s="41" t="s">
        <v>27</v>
      </c>
      <c r="C4" s="42"/>
      <c r="D4" s="43"/>
      <c r="E4" s="43"/>
      <c r="F4" s="43"/>
      <c r="G4" s="43"/>
      <c r="H4" s="43"/>
      <c r="I4" s="43"/>
      <c r="J4" s="43"/>
      <c r="K4" s="44"/>
      <c r="L4" s="39"/>
      <c r="M4" s="40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45.0" customHeight="1">
      <c r="A5" s="2"/>
      <c r="B5" s="45"/>
      <c r="C5" s="46">
        <v>0.8</v>
      </c>
      <c r="D5" s="46">
        <v>0.85</v>
      </c>
      <c r="E5" s="46">
        <v>0.9</v>
      </c>
      <c r="F5" s="46">
        <v>0.95</v>
      </c>
      <c r="G5" s="46">
        <v>1.0</v>
      </c>
      <c r="H5" s="46">
        <v>1.05</v>
      </c>
      <c r="I5" s="46">
        <v>1.1</v>
      </c>
      <c r="J5" s="46">
        <v>1.15</v>
      </c>
      <c r="K5" s="47">
        <v>1.2</v>
      </c>
      <c r="L5" s="48"/>
      <c r="M5" s="49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8.75" customHeight="1">
      <c r="A6" s="2"/>
      <c r="B6" s="50">
        <v>10.0</v>
      </c>
      <c r="C6" s="51">
        <f t="shared" ref="C6:C14" si="1">ROUND(G6*$C$5,2)</f>
        <v>1852.8</v>
      </c>
      <c r="D6" s="51">
        <f t="shared" ref="D6:D14" si="2">G6*$D$5</f>
        <v>1968.6</v>
      </c>
      <c r="E6" s="51">
        <f t="shared" ref="E6:E14" si="3">G6*$E$5</f>
        <v>2084.4</v>
      </c>
      <c r="F6" s="51">
        <f t="shared" ref="F6:F14" si="4">G6*$F$5</f>
        <v>2200.2</v>
      </c>
      <c r="G6" s="52">
        <v>2316.0</v>
      </c>
      <c r="H6" s="51">
        <f t="shared" ref="H6:H14" si="5">G6*$H$5</f>
        <v>2431.8</v>
      </c>
      <c r="I6" s="53">
        <f t="shared" ref="I6:I14" si="6">G6*$I$5</f>
        <v>2547.6</v>
      </c>
      <c r="J6" s="53">
        <f t="shared" ref="J6:J14" si="7">G6*$J$5</f>
        <v>2663.4</v>
      </c>
      <c r="K6" s="54">
        <f t="shared" ref="K6:K14" si="8">G6*$K$5</f>
        <v>2779.2</v>
      </c>
      <c r="L6" s="48"/>
      <c r="M6" s="49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8.75" customHeight="1">
      <c r="A7" s="2"/>
      <c r="B7" s="50">
        <v>11.0</v>
      </c>
      <c r="C7" s="51">
        <f t="shared" si="1"/>
        <v>2131.1</v>
      </c>
      <c r="D7" s="51">
        <f t="shared" si="2"/>
        <v>2264.2895</v>
      </c>
      <c r="E7" s="51">
        <f t="shared" si="3"/>
        <v>2397.483</v>
      </c>
      <c r="F7" s="51">
        <f t="shared" si="4"/>
        <v>2530.6765</v>
      </c>
      <c r="G7" s="52">
        <v>2663.87</v>
      </c>
      <c r="H7" s="51">
        <f t="shared" si="5"/>
        <v>2797.0635</v>
      </c>
      <c r="I7" s="53">
        <f t="shared" si="6"/>
        <v>2930.257</v>
      </c>
      <c r="J7" s="53">
        <f t="shared" si="7"/>
        <v>3063.4505</v>
      </c>
      <c r="K7" s="54">
        <f t="shared" si="8"/>
        <v>3196.644</v>
      </c>
      <c r="L7" s="55"/>
      <c r="M7" s="49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8.75" customHeight="1">
      <c r="A8" s="2"/>
      <c r="B8" s="50">
        <v>12.0</v>
      </c>
      <c r="C8" s="51">
        <f t="shared" si="1"/>
        <v>2603.65</v>
      </c>
      <c r="D8" s="51">
        <f t="shared" si="2"/>
        <v>2766.376</v>
      </c>
      <c r="E8" s="51">
        <f t="shared" si="3"/>
        <v>2929.104</v>
      </c>
      <c r="F8" s="51">
        <f t="shared" si="4"/>
        <v>3091.832</v>
      </c>
      <c r="G8" s="52">
        <v>3254.56</v>
      </c>
      <c r="H8" s="51">
        <f t="shared" si="5"/>
        <v>3417.288</v>
      </c>
      <c r="I8" s="53">
        <f t="shared" si="6"/>
        <v>3580.016</v>
      </c>
      <c r="J8" s="53">
        <f t="shared" si="7"/>
        <v>3742.744</v>
      </c>
      <c r="K8" s="54">
        <f t="shared" si="8"/>
        <v>3905.472</v>
      </c>
      <c r="L8" s="48"/>
      <c r="M8" s="49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8.75" customHeight="1">
      <c r="A9" s="2"/>
      <c r="B9" s="50">
        <v>13.0</v>
      </c>
      <c r="C9" s="51">
        <f t="shared" si="1"/>
        <v>3230.95</v>
      </c>
      <c r="D9" s="51">
        <f t="shared" si="2"/>
        <v>3432.8865</v>
      </c>
      <c r="E9" s="51">
        <f t="shared" si="3"/>
        <v>3634.821</v>
      </c>
      <c r="F9" s="51">
        <f t="shared" si="4"/>
        <v>3836.7555</v>
      </c>
      <c r="G9" s="52">
        <v>4038.69</v>
      </c>
      <c r="H9" s="51">
        <f t="shared" si="5"/>
        <v>4240.6245</v>
      </c>
      <c r="I9" s="53">
        <f t="shared" si="6"/>
        <v>4442.559</v>
      </c>
      <c r="J9" s="53">
        <f t="shared" si="7"/>
        <v>4644.4935</v>
      </c>
      <c r="K9" s="54">
        <f t="shared" si="8"/>
        <v>4846.428</v>
      </c>
      <c r="L9" s="48"/>
      <c r="M9" s="49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8.75" customHeight="1">
      <c r="A10" s="2"/>
      <c r="B10" s="50">
        <v>14.0</v>
      </c>
      <c r="C10" s="51">
        <f t="shared" si="1"/>
        <v>3973.5</v>
      </c>
      <c r="D10" s="51">
        <f t="shared" si="2"/>
        <v>4221.848</v>
      </c>
      <c r="E10" s="51">
        <f t="shared" si="3"/>
        <v>4470.192</v>
      </c>
      <c r="F10" s="51">
        <f t="shared" si="4"/>
        <v>4718.536</v>
      </c>
      <c r="G10" s="52">
        <v>4966.88</v>
      </c>
      <c r="H10" s="51">
        <f t="shared" si="5"/>
        <v>5215.224</v>
      </c>
      <c r="I10" s="53">
        <f t="shared" si="6"/>
        <v>5463.568</v>
      </c>
      <c r="J10" s="53">
        <f t="shared" si="7"/>
        <v>5711.912</v>
      </c>
      <c r="K10" s="54">
        <f t="shared" si="8"/>
        <v>5960.256</v>
      </c>
      <c r="L10" s="56"/>
      <c r="M10" s="4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8.75" customHeight="1">
      <c r="A11" s="2"/>
      <c r="B11" s="50">
        <v>15.0</v>
      </c>
      <c r="C11" s="51">
        <f t="shared" si="1"/>
        <v>4791.8</v>
      </c>
      <c r="D11" s="51">
        <f t="shared" si="2"/>
        <v>5091.2875</v>
      </c>
      <c r="E11" s="51">
        <f t="shared" si="3"/>
        <v>5390.775</v>
      </c>
      <c r="F11" s="51">
        <f t="shared" si="4"/>
        <v>5690.2625</v>
      </c>
      <c r="G11" s="52">
        <v>5989.75</v>
      </c>
      <c r="H11" s="51">
        <f t="shared" si="5"/>
        <v>6289.2375</v>
      </c>
      <c r="I11" s="53">
        <f t="shared" si="6"/>
        <v>6588.725</v>
      </c>
      <c r="J11" s="53">
        <f t="shared" si="7"/>
        <v>6888.2125</v>
      </c>
      <c r="K11" s="54">
        <f t="shared" si="8"/>
        <v>7187.7</v>
      </c>
      <c r="L11" s="48"/>
      <c r="M11" s="4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8.75" customHeight="1">
      <c r="A12" s="2"/>
      <c r="B12" s="50">
        <v>16.0</v>
      </c>
      <c r="C12" s="51">
        <f t="shared" si="1"/>
        <v>5646.34</v>
      </c>
      <c r="D12" s="51">
        <f t="shared" si="2"/>
        <v>5999.232</v>
      </c>
      <c r="E12" s="51">
        <f t="shared" si="3"/>
        <v>6352.128</v>
      </c>
      <c r="F12" s="51">
        <f t="shared" si="4"/>
        <v>6705.024</v>
      </c>
      <c r="G12" s="52">
        <v>7057.92</v>
      </c>
      <c r="H12" s="51">
        <f t="shared" si="5"/>
        <v>7410.816</v>
      </c>
      <c r="I12" s="53">
        <f t="shared" si="6"/>
        <v>7763.712</v>
      </c>
      <c r="J12" s="53">
        <f t="shared" si="7"/>
        <v>8116.608</v>
      </c>
      <c r="K12" s="54">
        <f t="shared" si="8"/>
        <v>8469.504</v>
      </c>
      <c r="L12" s="48"/>
      <c r="M12" s="4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8.75" customHeight="1">
      <c r="A13" s="2"/>
      <c r="B13" s="50">
        <v>17.0</v>
      </c>
      <c r="C13" s="51">
        <f t="shared" si="1"/>
        <v>6497.61</v>
      </c>
      <c r="D13" s="51">
        <f t="shared" si="2"/>
        <v>6903.7085</v>
      </c>
      <c r="E13" s="51">
        <f t="shared" si="3"/>
        <v>7309.809</v>
      </c>
      <c r="F13" s="51">
        <f t="shared" si="4"/>
        <v>7715.9095</v>
      </c>
      <c r="G13" s="52">
        <v>8122.01</v>
      </c>
      <c r="H13" s="51">
        <f t="shared" si="5"/>
        <v>8528.1105</v>
      </c>
      <c r="I13" s="53">
        <f t="shared" si="6"/>
        <v>8934.211</v>
      </c>
      <c r="J13" s="53">
        <f t="shared" si="7"/>
        <v>9340.3115</v>
      </c>
      <c r="K13" s="54">
        <f t="shared" si="8"/>
        <v>9746.412</v>
      </c>
      <c r="L13" s="48"/>
      <c r="M13" s="4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8.75" customHeight="1">
      <c r="A14" s="2"/>
      <c r="B14" s="57">
        <v>18.0</v>
      </c>
      <c r="C14" s="58">
        <f t="shared" si="1"/>
        <v>7306.11</v>
      </c>
      <c r="D14" s="58">
        <f t="shared" si="2"/>
        <v>7762.744</v>
      </c>
      <c r="E14" s="58">
        <f t="shared" si="3"/>
        <v>8219.376</v>
      </c>
      <c r="F14" s="58">
        <f t="shared" si="4"/>
        <v>8676.008</v>
      </c>
      <c r="G14" s="59">
        <v>9132.64</v>
      </c>
      <c r="H14" s="58">
        <f t="shared" si="5"/>
        <v>9589.272</v>
      </c>
      <c r="I14" s="60">
        <f t="shared" si="6"/>
        <v>10045.904</v>
      </c>
      <c r="J14" s="60">
        <f t="shared" si="7"/>
        <v>10502.536</v>
      </c>
      <c r="K14" s="61">
        <f t="shared" si="8"/>
        <v>10959.168</v>
      </c>
      <c r="L14" s="48"/>
      <c r="M14" s="4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8.75" customHeight="1">
      <c r="A15" s="62"/>
      <c r="B15" s="39"/>
      <c r="C15" s="63"/>
      <c r="D15" s="63"/>
      <c r="E15" s="63"/>
      <c r="F15" s="63"/>
      <c r="G15" s="64"/>
      <c r="H15" s="63"/>
      <c r="I15" s="63"/>
      <c r="J15" s="63"/>
      <c r="K15" s="63"/>
      <c r="L15" s="65"/>
      <c r="M15" s="4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K3"/>
    <mergeCell ref="B4:B5"/>
    <mergeCell ref="C4:K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5.14"/>
    <col customWidth="1" min="3" max="3" width="15.43"/>
    <col customWidth="1" min="4" max="4" width="3.0"/>
    <col customWidth="1" min="5" max="5" width="9.29"/>
    <col customWidth="1" min="6" max="6" width="17.43"/>
    <col customWidth="1" min="9" max="9" width="11.86"/>
    <col customWidth="1" min="10" max="10" width="14.71"/>
    <col customWidth="1" min="11" max="11" width="4.29"/>
    <col customWidth="1" min="12" max="12" width="22.71"/>
    <col customWidth="1" min="13" max="13" width="17.14"/>
    <col customWidth="1" min="14" max="14" width="4.71"/>
  </cols>
  <sheetData>
    <row r="1" ht="8.25" customHeight="1">
      <c r="K1" s="66"/>
      <c r="L1" s="66"/>
      <c r="M1" s="66"/>
      <c r="N1" s="66"/>
    </row>
    <row r="2" ht="21.75" customHeight="1">
      <c r="K2" s="67" t="s">
        <v>28</v>
      </c>
      <c r="M2" s="68" t="s">
        <v>29</v>
      </c>
      <c r="N2" s="69"/>
    </row>
    <row r="3">
      <c r="K3" s="70"/>
      <c r="L3" s="1"/>
      <c r="M3" s="1"/>
      <c r="N3" s="69"/>
    </row>
    <row r="4">
      <c r="K4" s="70"/>
      <c r="L4" s="71" t="s">
        <v>30</v>
      </c>
      <c r="M4" s="72"/>
      <c r="N4" s="69"/>
    </row>
    <row r="5" ht="21.75" customHeight="1">
      <c r="K5" s="70"/>
      <c r="L5" s="73">
        <f>IF(M2="Todas",SUM('Previsão Custo Enquadramento'!L:L),SUMIFS('Previsão Custo Enquadramento'!L:L,'Previsão Custo Enquadramento'!D:D,$M$2))</f>
        <v>17804.23</v>
      </c>
      <c r="M5" s="74">
        <f>IF(M2="Todas",SUM('Previsão Custo Enquadramento'!L:L)/SUM('Previsão Custo Enquadramento'!H:H),SUMIFS('Previsão Custo Enquadramento'!L:L,'Previsão Custo Enquadramento'!D:D,$M$2)/SUM('Previsão Custo Enquadramento'!H:H))</f>
        <v>0.1679240055</v>
      </c>
      <c r="N5" s="69"/>
      <c r="P5" s="75"/>
    </row>
    <row r="6">
      <c r="B6" s="76">
        <f>'Cargos da Estrutura_Cálculo'!H5/'Cargos da Estrutura_Cálculo'!H3</f>
        <v>0.4545454545</v>
      </c>
      <c r="K6" s="70"/>
      <c r="L6" s="1"/>
      <c r="M6" s="1"/>
      <c r="N6" s="69"/>
      <c r="P6" s="75"/>
    </row>
    <row r="7">
      <c r="K7" s="70"/>
      <c r="L7" s="71" t="s">
        <v>31</v>
      </c>
      <c r="M7" s="72"/>
      <c r="N7" s="69"/>
      <c r="P7" s="75"/>
    </row>
    <row r="8" ht="24.75" customHeight="1">
      <c r="I8" s="77" t="s">
        <v>32</v>
      </c>
      <c r="K8" s="70"/>
      <c r="L8" s="78">
        <f>IF(M2="Todas",SUM('Previsão Custo Enquadramento'!P:P),SUMIFS('Previsão Custo Enquadramento'!P:P,'Previsão Custo Enquadramento'!D:D,$M$2))</f>
        <v>41825.57</v>
      </c>
      <c r="M8" s="79">
        <f>IF(M2="Todas",SUM('Previsão Custo Enquadramento'!P:P)/SUM('Previsão Custo Enquadramento'!H:H),SUMIFS('Previsão Custo Enquadramento'!P:P,'Previsão Custo Enquadramento'!D:D,$M$2)/SUM('Previsão Custo Enquadramento'!H:H))</f>
        <v>0.3944858747</v>
      </c>
      <c r="N8" s="69"/>
    </row>
    <row r="9">
      <c r="K9" s="70"/>
      <c r="L9" s="1"/>
      <c r="M9" s="1"/>
      <c r="N9" s="69"/>
    </row>
    <row r="10">
      <c r="C10" s="80" t="str">
        <f>"Total:"&amp;" "&amp;'Cargos da Estrutura_Cálculo'!H3</f>
        <v>Total: 11</v>
      </c>
      <c r="K10" s="70"/>
      <c r="L10" s="71" t="s">
        <v>33</v>
      </c>
      <c r="M10" s="72"/>
      <c r="N10" s="69"/>
      <c r="Q10" s="75"/>
    </row>
    <row r="11" ht="26.25" customHeight="1">
      <c r="J11" s="81"/>
      <c r="K11" s="70"/>
      <c r="L11" s="82">
        <f>IF(M2="Todas",-SUMIF('Previsão Custo Enquadramento'!M:M,"&gt;120%",'Previsão Custo Enquadramento'!Q:Q),-SUMIFS('Previsão Custo Enquadramento'!Q:Q,'Previsão Custo Enquadramento'!M:M,"&gt;120%",'Previsão Custo Enquadramento'!D:D,$M$2))</f>
        <v>0</v>
      </c>
      <c r="M11" s="83">
        <f>L11/SUM('Previsão Custo Enquadramento'!H:H)</f>
        <v>0</v>
      </c>
      <c r="N11" s="69"/>
    </row>
    <row r="12">
      <c r="E12" s="84" t="s">
        <v>34</v>
      </c>
      <c r="F12" s="85"/>
      <c r="G12" s="86"/>
      <c r="J12" s="81"/>
      <c r="K12" s="70"/>
      <c r="L12" s="1"/>
      <c r="M12" s="1"/>
      <c r="N12" s="69"/>
      <c r="Q12" s="75"/>
    </row>
    <row r="13">
      <c r="E13" s="87"/>
      <c r="G13" s="86"/>
      <c r="J13" s="81"/>
      <c r="K13" s="70"/>
      <c r="L13" s="1"/>
      <c r="M13" s="1"/>
      <c r="N13" s="69"/>
    </row>
    <row r="14">
      <c r="E14" s="88" t="s">
        <v>35</v>
      </c>
      <c r="G14" s="86"/>
      <c r="K14" s="86"/>
      <c r="N14" s="69"/>
    </row>
    <row r="15">
      <c r="E15" s="89" t="s">
        <v>36</v>
      </c>
      <c r="G15" s="86"/>
      <c r="K15" s="86"/>
      <c r="N15" s="69"/>
    </row>
    <row r="16">
      <c r="B16" s="90">
        <f>'Cargos da Estrutura_Cálculo'!G31/('Cargos da Estrutura_Cálculo'!G31+'Cargos da Estrutura_Cálculo'!G32)</f>
        <v>0.7575757576</v>
      </c>
      <c r="C16" s="90"/>
      <c r="E16" s="87"/>
      <c r="G16" s="86"/>
      <c r="H16" s="91">
        <f>'Cargos da Estrutura_Cálculo'!G24/('Cargos da Estrutura_Cálculo'!G24+'Cargos da Estrutura_Cálculo'!G25)</f>
        <v>0.7575757576</v>
      </c>
      <c r="K16" s="86"/>
      <c r="N16" s="69"/>
    </row>
    <row r="17" ht="18.0" customHeight="1">
      <c r="C17" s="90"/>
      <c r="E17" s="87"/>
      <c r="G17" s="86"/>
      <c r="K17" s="86"/>
      <c r="N17" s="69"/>
    </row>
    <row r="18" ht="13.5" customHeight="1">
      <c r="B18" s="92" t="str">
        <f>"de "&amp;('Cargos da Estrutura_Cálculo'!G31+'Cargos da Estrutura_Cálculo'!G32)&amp;"
funcionários"</f>
        <v>de 33
funcionários</v>
      </c>
      <c r="C18" s="93" t="str">
        <f>'Cargos da Estrutura_Cálculo'!G29</f>
        <v>DEV</v>
      </c>
      <c r="E18" s="88" t="s">
        <v>37</v>
      </c>
      <c r="F18" s="94"/>
      <c r="G18" s="86"/>
      <c r="H18" s="95" t="str">
        <f>"de "&amp;('Cargos da Estrutura_Cálculo'!G24+'Cargos da Estrutura_Cálculo'!G25)&amp;"
 funcionários"</f>
        <v>de 33
 funcionários</v>
      </c>
      <c r="K18" s="86"/>
      <c r="N18" s="69"/>
    </row>
    <row r="19" ht="12.0" customHeight="1">
      <c r="E19" s="96" t="s">
        <v>38</v>
      </c>
      <c r="G19" s="86"/>
      <c r="K19" s="86"/>
      <c r="N19" s="69"/>
    </row>
    <row r="20">
      <c r="E20" s="87"/>
      <c r="G20" s="86"/>
      <c r="K20" s="86"/>
      <c r="N20" s="69"/>
    </row>
    <row r="21" ht="15.75" customHeight="1">
      <c r="C21" s="97" t="str">
        <f>"Total para Enquadramento:"&amp;" "&amp;FIXED('Cargos da Estrutura_Cálculo'!G34,2)</f>
        <v>Total para Enquadramento: 17,804.23</v>
      </c>
      <c r="E21" s="87"/>
      <c r="G21" s="86"/>
      <c r="K21" s="86"/>
      <c r="N21" s="69"/>
    </row>
    <row r="22" ht="30.75" customHeight="1">
      <c r="E22" s="98"/>
      <c r="F22" s="99"/>
      <c r="G22" s="86"/>
      <c r="K22" s="100"/>
      <c r="L22" s="66"/>
      <c r="M22" s="66"/>
      <c r="N22" s="10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6:B17"/>
    <mergeCell ref="B18:B19"/>
    <mergeCell ref="C18:C20"/>
    <mergeCell ref="E19:F22"/>
    <mergeCell ref="C21:C22"/>
    <mergeCell ref="K2:L2"/>
    <mergeCell ref="B6:C7"/>
    <mergeCell ref="B8:C8"/>
    <mergeCell ref="I8:J10"/>
    <mergeCell ref="E12:F13"/>
    <mergeCell ref="E15:F17"/>
    <mergeCell ref="H16:I17"/>
    <mergeCell ref="H18:I19"/>
  </mergeCells>
  <dataValidations>
    <dataValidation type="list" allowBlank="1" sqref="M2">
      <formula1>'Cargos da Estrutura_Cálculo'!$I$29:$I$54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0.57"/>
    <col customWidth="1" min="2" max="2" width="27.29"/>
    <col customWidth="1" min="3" max="3" width="31.43"/>
    <col customWidth="1" min="4" max="4" width="8.14"/>
    <col customWidth="1" min="5" max="5" width="21.71"/>
    <col customWidth="1" min="6" max="6" width="21.43"/>
    <col customWidth="1" min="7" max="7" width="15.86"/>
    <col customWidth="1" min="9" max="9" width="15.29"/>
    <col customWidth="1" min="10" max="10" width="21.29"/>
    <col customWidth="1" min="11" max="11" width="12.57"/>
    <col customWidth="1" min="12" max="12" width="27.0"/>
    <col customWidth="1" min="13" max="13" width="26.71"/>
    <col customWidth="1" hidden="1" min="14" max="17" width="14.43"/>
  </cols>
  <sheetData>
    <row r="1">
      <c r="A1" s="102" t="s">
        <v>39</v>
      </c>
      <c r="B1" s="102" t="s">
        <v>40</v>
      </c>
      <c r="C1" s="102" t="s">
        <v>41</v>
      </c>
      <c r="D1" s="102" t="s">
        <v>5</v>
      </c>
      <c r="E1" s="102" t="s">
        <v>42</v>
      </c>
      <c r="F1" s="102" t="s">
        <v>43</v>
      </c>
      <c r="G1" s="102" t="s">
        <v>44</v>
      </c>
      <c r="H1" s="103" t="s">
        <v>45</v>
      </c>
      <c r="I1" s="104" t="s">
        <v>46</v>
      </c>
      <c r="J1" s="104" t="s">
        <v>47</v>
      </c>
      <c r="K1" s="104" t="s">
        <v>48</v>
      </c>
      <c r="L1" s="104" t="s">
        <v>49</v>
      </c>
      <c r="M1" s="104" t="s">
        <v>50</v>
      </c>
      <c r="N1" s="105" t="s">
        <v>51</v>
      </c>
      <c r="O1" s="105" t="s">
        <v>52</v>
      </c>
      <c r="P1" s="105" t="s">
        <v>53</v>
      </c>
      <c r="Q1" s="106" t="s">
        <v>54</v>
      </c>
    </row>
    <row r="2" ht="12.75" customHeight="1">
      <c r="A2" s="107" t="s">
        <v>55</v>
      </c>
      <c r="B2" s="108" t="s">
        <v>56</v>
      </c>
      <c r="C2" s="109" t="s">
        <v>21</v>
      </c>
      <c r="D2" s="108" t="s">
        <v>10</v>
      </c>
      <c r="E2" s="108" t="s">
        <v>57</v>
      </c>
      <c r="F2" s="108" t="s">
        <v>58</v>
      </c>
      <c r="G2" s="108">
        <v>160.0</v>
      </c>
      <c r="H2" s="110">
        <v>6458.4</v>
      </c>
      <c r="I2" s="108">
        <f>VLOOKUP(C2,'Estrutura Salarial'!B:F,5,0)</f>
        <v>15</v>
      </c>
      <c r="J2" s="111">
        <f>IFERROR(VLOOKUP(I2,'Tabela Salarial'!B:C,2,0),"")</f>
        <v>4791.8</v>
      </c>
      <c r="K2" s="111">
        <f t="shared" ref="K2:K34" si="1">J2-H2</f>
        <v>-1666.6</v>
      </c>
      <c r="L2" s="111">
        <f t="shared" ref="L2:L34" si="2">IF(K2&lt;0,0,if(K2&gt;0,K2,if(K2=0,0,"")))</f>
        <v>0</v>
      </c>
      <c r="M2" s="112">
        <f>H2/(VLOOKUP(I2,'Tabela Salarial'!B:G,6,0))</f>
        <v>1.078241997</v>
      </c>
      <c r="N2" s="113">
        <f>IFERROR(VLOOKUP(I2,'Tabela Salarial'!B:G,6,0),"")</f>
        <v>5989.75</v>
      </c>
      <c r="O2" s="114">
        <f t="shared" ref="O2:O34" si="3">N2-H2</f>
        <v>-468.65</v>
      </c>
      <c r="P2" s="114">
        <f t="shared" ref="P2:P34" si="4">IF(O2&lt;0,0,if(O2&gt;0,O2,if(O2=0,0,"")))</f>
        <v>0</v>
      </c>
      <c r="Q2" s="114">
        <f>(VLOOKUP(I2,'Tabela Salarial'!B:K,10,0))-H2</f>
        <v>729.3</v>
      </c>
    </row>
    <row r="3" ht="12.75" customHeight="1">
      <c r="A3" s="107" t="s">
        <v>59</v>
      </c>
      <c r="B3" s="108" t="s">
        <v>56</v>
      </c>
      <c r="C3" s="109" t="s">
        <v>21</v>
      </c>
      <c r="D3" s="108" t="s">
        <v>10</v>
      </c>
      <c r="E3" s="108" t="s">
        <v>57</v>
      </c>
      <c r="F3" s="108" t="s">
        <v>58</v>
      </c>
      <c r="G3" s="108">
        <v>160.0</v>
      </c>
      <c r="H3" s="110">
        <v>6458.4</v>
      </c>
      <c r="I3" s="108">
        <f>VLOOKUP(C3,'Estrutura Salarial'!B:F,5,0)</f>
        <v>15</v>
      </c>
      <c r="J3" s="111">
        <f>IFERROR(VLOOKUP(I3,'Tabela Salarial'!B:C,2,0),"")</f>
        <v>4791.8</v>
      </c>
      <c r="K3" s="111">
        <f t="shared" si="1"/>
        <v>-1666.6</v>
      </c>
      <c r="L3" s="111">
        <f t="shared" si="2"/>
        <v>0</v>
      </c>
      <c r="M3" s="112">
        <f>H3/(VLOOKUP(I3,'Tabela Salarial'!B:G,6,0))</f>
        <v>1.078241997</v>
      </c>
      <c r="N3" s="113">
        <f>IFERROR(VLOOKUP(I3,'Tabela Salarial'!B:G,6,0),"")</f>
        <v>5989.75</v>
      </c>
      <c r="O3" s="114">
        <f t="shared" si="3"/>
        <v>-468.65</v>
      </c>
      <c r="P3" s="114">
        <f t="shared" si="4"/>
        <v>0</v>
      </c>
      <c r="Q3" s="114">
        <f>(VLOOKUP(I3,'Tabela Salarial'!B:K,10,0))-H3</f>
        <v>729.3</v>
      </c>
    </row>
    <row r="4" ht="12.75" customHeight="1">
      <c r="A4" s="107" t="s">
        <v>60</v>
      </c>
      <c r="B4" s="108" t="s">
        <v>56</v>
      </c>
      <c r="C4" s="109" t="s">
        <v>17</v>
      </c>
      <c r="D4" s="108" t="s">
        <v>10</v>
      </c>
      <c r="E4" s="108" t="s">
        <v>61</v>
      </c>
      <c r="F4" s="108" t="s">
        <v>58</v>
      </c>
      <c r="G4" s="108">
        <v>160.0</v>
      </c>
      <c r="H4" s="110">
        <v>4305.6</v>
      </c>
      <c r="I4" s="108">
        <f>VLOOKUP(C4,'Estrutura Salarial'!B:F,5,0)</f>
        <v>14</v>
      </c>
      <c r="J4" s="111">
        <f>IFERROR(VLOOKUP(I4,'Tabela Salarial'!B:C,2,0),"")</f>
        <v>3973.5</v>
      </c>
      <c r="K4" s="111">
        <f t="shared" si="1"/>
        <v>-332.1</v>
      </c>
      <c r="L4" s="111">
        <f t="shared" si="2"/>
        <v>0</v>
      </c>
      <c r="M4" s="112">
        <f>H4/(VLOOKUP(I4,'Tabela Salarial'!B:G,6,0))</f>
        <v>0.8668620945</v>
      </c>
      <c r="N4" s="113">
        <f>IFERROR(VLOOKUP(I4,'Tabela Salarial'!B:G,6,0),"")</f>
        <v>4966.88</v>
      </c>
      <c r="O4" s="114">
        <f t="shared" si="3"/>
        <v>661.28</v>
      </c>
      <c r="P4" s="114">
        <f t="shared" si="4"/>
        <v>661.28</v>
      </c>
      <c r="Q4" s="114">
        <f>(VLOOKUP(I4,'Tabela Salarial'!B:K,10,0))-H4</f>
        <v>1654.656</v>
      </c>
    </row>
    <row r="5" ht="12.75" customHeight="1">
      <c r="A5" s="107" t="s">
        <v>62</v>
      </c>
      <c r="B5" s="108" t="s">
        <v>56</v>
      </c>
      <c r="C5" s="109" t="s">
        <v>17</v>
      </c>
      <c r="D5" s="108" t="s">
        <v>10</v>
      </c>
      <c r="E5" s="108" t="s">
        <v>61</v>
      </c>
      <c r="F5" s="108" t="s">
        <v>58</v>
      </c>
      <c r="G5" s="108">
        <v>160.0</v>
      </c>
      <c r="H5" s="110">
        <v>4305.6</v>
      </c>
      <c r="I5" s="108">
        <f>VLOOKUP(C5,'Estrutura Salarial'!B:F,5,0)</f>
        <v>14</v>
      </c>
      <c r="J5" s="111">
        <f>IFERROR(VLOOKUP(I5,'Tabela Salarial'!B:C,2,0),"")</f>
        <v>3973.5</v>
      </c>
      <c r="K5" s="111">
        <f t="shared" si="1"/>
        <v>-332.1</v>
      </c>
      <c r="L5" s="111">
        <f t="shared" si="2"/>
        <v>0</v>
      </c>
      <c r="M5" s="112">
        <f>H5/(VLOOKUP(I5,'Tabela Salarial'!B:G,6,0))</f>
        <v>0.8668620945</v>
      </c>
      <c r="N5" s="113">
        <f>IFERROR(VLOOKUP(I5,'Tabela Salarial'!B:G,6,0),"")</f>
        <v>4966.88</v>
      </c>
      <c r="O5" s="114">
        <f t="shared" si="3"/>
        <v>661.28</v>
      </c>
      <c r="P5" s="114">
        <f t="shared" si="4"/>
        <v>661.28</v>
      </c>
      <c r="Q5" s="114">
        <f>(VLOOKUP(I5,'Tabela Salarial'!B:K,10,0))-H5</f>
        <v>1654.656</v>
      </c>
    </row>
    <row r="6" ht="12.75" customHeight="1">
      <c r="A6" s="107" t="s">
        <v>63</v>
      </c>
      <c r="B6" s="108" t="s">
        <v>56</v>
      </c>
      <c r="C6" s="109" t="s">
        <v>17</v>
      </c>
      <c r="D6" s="108" t="s">
        <v>10</v>
      </c>
      <c r="E6" s="108" t="s">
        <v>61</v>
      </c>
      <c r="F6" s="108" t="s">
        <v>58</v>
      </c>
      <c r="G6" s="108">
        <v>160.0</v>
      </c>
      <c r="H6" s="110">
        <v>4305.6</v>
      </c>
      <c r="I6" s="108">
        <f>VLOOKUP(C6,'Estrutura Salarial'!B:F,5,0)</f>
        <v>14</v>
      </c>
      <c r="J6" s="111">
        <f>IFERROR(VLOOKUP(I6,'Tabela Salarial'!B:C,2,0),"")</f>
        <v>3973.5</v>
      </c>
      <c r="K6" s="111">
        <f t="shared" si="1"/>
        <v>-332.1</v>
      </c>
      <c r="L6" s="111">
        <f t="shared" si="2"/>
        <v>0</v>
      </c>
      <c r="M6" s="112">
        <f>H6/(VLOOKUP(I6,'Tabela Salarial'!B:G,6,0))</f>
        <v>0.8668620945</v>
      </c>
      <c r="N6" s="113">
        <f>IFERROR(VLOOKUP(I6,'Tabela Salarial'!B:G,6,0),"")</f>
        <v>4966.88</v>
      </c>
      <c r="O6" s="114">
        <f t="shared" si="3"/>
        <v>661.28</v>
      </c>
      <c r="P6" s="114">
        <f t="shared" si="4"/>
        <v>661.28</v>
      </c>
      <c r="Q6" s="114">
        <f>(VLOOKUP(I6,'Tabela Salarial'!B:K,10,0))-H6</f>
        <v>1654.656</v>
      </c>
    </row>
    <row r="7" ht="12.75" customHeight="1">
      <c r="A7" s="107" t="s">
        <v>64</v>
      </c>
      <c r="B7" s="108" t="s">
        <v>56</v>
      </c>
      <c r="C7" s="109" t="s">
        <v>17</v>
      </c>
      <c r="D7" s="108" t="s">
        <v>10</v>
      </c>
      <c r="E7" s="108" t="s">
        <v>61</v>
      </c>
      <c r="F7" s="108" t="s">
        <v>58</v>
      </c>
      <c r="G7" s="108">
        <v>160.0</v>
      </c>
      <c r="H7" s="110">
        <v>4305.6</v>
      </c>
      <c r="I7" s="108">
        <f>VLOOKUP(C7,'Estrutura Salarial'!B:F,5,0)</f>
        <v>14</v>
      </c>
      <c r="J7" s="111">
        <f>IFERROR(VLOOKUP(I7,'Tabela Salarial'!B:C,2,0),"")</f>
        <v>3973.5</v>
      </c>
      <c r="K7" s="111">
        <f t="shared" si="1"/>
        <v>-332.1</v>
      </c>
      <c r="L7" s="111">
        <f t="shared" si="2"/>
        <v>0</v>
      </c>
      <c r="M7" s="112">
        <f>H7/(VLOOKUP(I7,'Tabela Salarial'!B:G,6,0))</f>
        <v>0.8668620945</v>
      </c>
      <c r="N7" s="113">
        <f>IFERROR(VLOOKUP(I7,'Tabela Salarial'!B:G,6,0),"")</f>
        <v>4966.88</v>
      </c>
      <c r="O7" s="114">
        <f t="shared" si="3"/>
        <v>661.28</v>
      </c>
      <c r="P7" s="114">
        <f t="shared" si="4"/>
        <v>661.28</v>
      </c>
      <c r="Q7" s="114">
        <f>(VLOOKUP(I7,'Tabela Salarial'!B:K,10,0))-H7</f>
        <v>1654.656</v>
      </c>
    </row>
    <row r="8" ht="12.75" customHeight="1">
      <c r="A8" s="107" t="s">
        <v>65</v>
      </c>
      <c r="B8" s="108" t="s">
        <v>56</v>
      </c>
      <c r="C8" s="109" t="s">
        <v>17</v>
      </c>
      <c r="D8" s="108" t="s">
        <v>10</v>
      </c>
      <c r="E8" s="108" t="s">
        <v>61</v>
      </c>
      <c r="F8" s="108" t="s">
        <v>58</v>
      </c>
      <c r="G8" s="108">
        <v>160.0</v>
      </c>
      <c r="H8" s="110">
        <v>4305.6</v>
      </c>
      <c r="I8" s="108">
        <f>VLOOKUP(C8,'Estrutura Salarial'!B:F,5,0)</f>
        <v>14</v>
      </c>
      <c r="J8" s="111">
        <f>IFERROR(VLOOKUP(I8,'Tabela Salarial'!B:C,2,0),"")</f>
        <v>3973.5</v>
      </c>
      <c r="K8" s="111">
        <f t="shared" si="1"/>
        <v>-332.1</v>
      </c>
      <c r="L8" s="111">
        <f t="shared" si="2"/>
        <v>0</v>
      </c>
      <c r="M8" s="112">
        <f>H8/(VLOOKUP(I8,'Tabela Salarial'!B:G,6,0))</f>
        <v>0.8668620945</v>
      </c>
      <c r="N8" s="113">
        <f>IFERROR(VLOOKUP(I8,'Tabela Salarial'!B:G,6,0),"")</f>
        <v>4966.88</v>
      </c>
      <c r="O8" s="114">
        <f t="shared" si="3"/>
        <v>661.28</v>
      </c>
      <c r="P8" s="114">
        <f t="shared" si="4"/>
        <v>661.28</v>
      </c>
      <c r="Q8" s="114">
        <f>(VLOOKUP(I8,'Tabela Salarial'!B:K,10,0))-H8</f>
        <v>1654.656</v>
      </c>
    </row>
    <row r="9" ht="12.75" customHeight="1">
      <c r="A9" s="107" t="s">
        <v>66</v>
      </c>
      <c r="B9" s="108" t="s">
        <v>56</v>
      </c>
      <c r="C9" s="109" t="s">
        <v>12</v>
      </c>
      <c r="D9" s="108" t="s">
        <v>10</v>
      </c>
      <c r="E9" s="108" t="s">
        <v>61</v>
      </c>
      <c r="F9" s="108" t="s">
        <v>58</v>
      </c>
      <c r="G9" s="108">
        <v>160.0</v>
      </c>
      <c r="H9" s="110">
        <v>2489.18</v>
      </c>
      <c r="I9" s="108">
        <f>VLOOKUP(C9,'Estrutura Salarial'!B:F,5,0)</f>
        <v>13</v>
      </c>
      <c r="J9" s="111">
        <f>IFERROR(VLOOKUP(I9,'Tabela Salarial'!B:C,2,0),"")</f>
        <v>3230.95</v>
      </c>
      <c r="K9" s="111">
        <f t="shared" si="1"/>
        <v>741.77</v>
      </c>
      <c r="L9" s="111">
        <f t="shared" si="2"/>
        <v>741.77</v>
      </c>
      <c r="M9" s="112">
        <f>H9/(VLOOKUP(I9,'Tabela Salarial'!B:G,6,0))</f>
        <v>0.6163335141</v>
      </c>
      <c r="N9" s="113">
        <f>IFERROR(VLOOKUP(I9,'Tabela Salarial'!B:G,6,0),"")</f>
        <v>4038.69</v>
      </c>
      <c r="O9" s="114">
        <f t="shared" si="3"/>
        <v>1549.51</v>
      </c>
      <c r="P9" s="114">
        <f t="shared" si="4"/>
        <v>1549.51</v>
      </c>
      <c r="Q9" s="114">
        <f>(VLOOKUP(I9,'Tabela Salarial'!B:K,10,0))-H9</f>
        <v>2357.248</v>
      </c>
    </row>
    <row r="10" ht="12.75" customHeight="1">
      <c r="A10" s="107" t="s">
        <v>67</v>
      </c>
      <c r="B10" s="108" t="s">
        <v>56</v>
      </c>
      <c r="C10" s="109" t="s">
        <v>12</v>
      </c>
      <c r="D10" s="108" t="s">
        <v>10</v>
      </c>
      <c r="E10" s="108" t="s">
        <v>61</v>
      </c>
      <c r="F10" s="108" t="s">
        <v>58</v>
      </c>
      <c r="G10" s="108">
        <v>160.0</v>
      </c>
      <c r="H10" s="110">
        <v>2489.18</v>
      </c>
      <c r="I10" s="108">
        <f>VLOOKUP(C10,'Estrutura Salarial'!B:F,5,0)</f>
        <v>13</v>
      </c>
      <c r="J10" s="111">
        <f>IFERROR(VLOOKUP(I10,'Tabela Salarial'!B:C,2,0),"")</f>
        <v>3230.95</v>
      </c>
      <c r="K10" s="111">
        <f t="shared" si="1"/>
        <v>741.77</v>
      </c>
      <c r="L10" s="111">
        <f t="shared" si="2"/>
        <v>741.77</v>
      </c>
      <c r="M10" s="112">
        <f>H10/(VLOOKUP(I10,'Tabela Salarial'!B:G,6,0))</f>
        <v>0.6163335141</v>
      </c>
      <c r="N10" s="113">
        <f>IFERROR(VLOOKUP(I10,'Tabela Salarial'!B:G,6,0),"")</f>
        <v>4038.69</v>
      </c>
      <c r="O10" s="114">
        <f t="shared" si="3"/>
        <v>1549.51</v>
      </c>
      <c r="P10" s="114">
        <f t="shared" si="4"/>
        <v>1549.51</v>
      </c>
      <c r="Q10" s="114">
        <f>(VLOOKUP(I10,'Tabela Salarial'!B:K,10,0))-H10</f>
        <v>2357.248</v>
      </c>
    </row>
    <row r="11" ht="12.75" customHeight="1">
      <c r="A11" s="107" t="s">
        <v>68</v>
      </c>
      <c r="B11" s="108" t="s">
        <v>56</v>
      </c>
      <c r="C11" s="109" t="s">
        <v>12</v>
      </c>
      <c r="D11" s="108" t="s">
        <v>10</v>
      </c>
      <c r="E11" s="108" t="s">
        <v>61</v>
      </c>
      <c r="F11" s="108" t="s">
        <v>58</v>
      </c>
      <c r="G11" s="108">
        <v>160.0</v>
      </c>
      <c r="H11" s="110">
        <v>2489.18</v>
      </c>
      <c r="I11" s="108">
        <f>VLOOKUP(C11,'Estrutura Salarial'!B:F,5,0)</f>
        <v>13</v>
      </c>
      <c r="J11" s="111">
        <f>IFERROR(VLOOKUP(I11,'Tabela Salarial'!B:C,2,0),"")</f>
        <v>3230.95</v>
      </c>
      <c r="K11" s="111">
        <f t="shared" si="1"/>
        <v>741.77</v>
      </c>
      <c r="L11" s="111">
        <f t="shared" si="2"/>
        <v>741.77</v>
      </c>
      <c r="M11" s="112">
        <f>H11/(VLOOKUP(I11,'Tabela Salarial'!B:G,6,0))</f>
        <v>0.6163335141</v>
      </c>
      <c r="N11" s="113">
        <f>IFERROR(VLOOKUP(I11,'Tabela Salarial'!B:G,6,0),"")</f>
        <v>4038.69</v>
      </c>
      <c r="O11" s="114">
        <f t="shared" si="3"/>
        <v>1549.51</v>
      </c>
      <c r="P11" s="114">
        <f t="shared" si="4"/>
        <v>1549.51</v>
      </c>
      <c r="Q11" s="114">
        <f>(VLOOKUP(I11,'Tabela Salarial'!B:K,10,0))-H11</f>
        <v>2357.248</v>
      </c>
    </row>
    <row r="12" ht="12.75" customHeight="1">
      <c r="A12" s="107" t="s">
        <v>69</v>
      </c>
      <c r="B12" s="108" t="s">
        <v>56</v>
      </c>
      <c r="C12" s="109" t="s">
        <v>12</v>
      </c>
      <c r="D12" s="108" t="s">
        <v>10</v>
      </c>
      <c r="E12" s="108" t="s">
        <v>61</v>
      </c>
      <c r="F12" s="108" t="s">
        <v>58</v>
      </c>
      <c r="G12" s="108">
        <v>160.0</v>
      </c>
      <c r="H12" s="110">
        <v>2489.18</v>
      </c>
      <c r="I12" s="108">
        <f>VLOOKUP(C12,'Estrutura Salarial'!B:F,5,0)</f>
        <v>13</v>
      </c>
      <c r="J12" s="111">
        <f>IFERROR(VLOOKUP(I12,'Tabela Salarial'!B:C,2,0),"")</f>
        <v>3230.95</v>
      </c>
      <c r="K12" s="111">
        <f t="shared" si="1"/>
        <v>741.77</v>
      </c>
      <c r="L12" s="111">
        <f t="shared" si="2"/>
        <v>741.77</v>
      </c>
      <c r="M12" s="112">
        <f>H12/(VLOOKUP(I12,'Tabela Salarial'!B:G,6,0))</f>
        <v>0.6163335141</v>
      </c>
      <c r="N12" s="113">
        <f>IFERROR(VLOOKUP(I12,'Tabela Salarial'!B:G,6,0),"")</f>
        <v>4038.69</v>
      </c>
      <c r="O12" s="114">
        <f t="shared" si="3"/>
        <v>1549.51</v>
      </c>
      <c r="P12" s="114">
        <f t="shared" si="4"/>
        <v>1549.51</v>
      </c>
      <c r="Q12" s="114">
        <f>(VLOOKUP(I12,'Tabela Salarial'!B:K,10,0))-H12</f>
        <v>2357.248</v>
      </c>
    </row>
    <row r="13" ht="12.75" customHeight="1">
      <c r="A13" s="107" t="s">
        <v>70</v>
      </c>
      <c r="B13" s="108" t="s">
        <v>56</v>
      </c>
      <c r="C13" s="109" t="s">
        <v>12</v>
      </c>
      <c r="D13" s="108" t="s">
        <v>10</v>
      </c>
      <c r="E13" s="108" t="s">
        <v>61</v>
      </c>
      <c r="F13" s="108" t="s">
        <v>58</v>
      </c>
      <c r="G13" s="108">
        <v>160.0</v>
      </c>
      <c r="H13" s="110">
        <v>2489.18</v>
      </c>
      <c r="I13" s="108">
        <f>VLOOKUP(C13,'Estrutura Salarial'!B:F,5,0)</f>
        <v>13</v>
      </c>
      <c r="J13" s="111">
        <f>IFERROR(VLOOKUP(I13,'Tabela Salarial'!B:C,2,0),"")</f>
        <v>3230.95</v>
      </c>
      <c r="K13" s="111">
        <f t="shared" si="1"/>
        <v>741.77</v>
      </c>
      <c r="L13" s="111">
        <f t="shared" si="2"/>
        <v>741.77</v>
      </c>
      <c r="M13" s="112">
        <f>H13/(VLOOKUP(I13,'Tabela Salarial'!B:G,6,0))</f>
        <v>0.6163335141</v>
      </c>
      <c r="N13" s="113">
        <f>IFERROR(VLOOKUP(I13,'Tabela Salarial'!B:G,6,0),"")</f>
        <v>4038.69</v>
      </c>
      <c r="O13" s="114">
        <f t="shared" si="3"/>
        <v>1549.51</v>
      </c>
      <c r="P13" s="114">
        <f t="shared" si="4"/>
        <v>1549.51</v>
      </c>
      <c r="Q13" s="114">
        <f>(VLOOKUP(I13,'Tabela Salarial'!B:K,10,0))-H13</f>
        <v>2357.248</v>
      </c>
    </row>
    <row r="14" ht="12.75" customHeight="1">
      <c r="A14" s="107" t="s">
        <v>71</v>
      </c>
      <c r="B14" s="108" t="s">
        <v>56</v>
      </c>
      <c r="C14" s="109" t="s">
        <v>12</v>
      </c>
      <c r="D14" s="108" t="s">
        <v>10</v>
      </c>
      <c r="E14" s="108" t="s">
        <v>61</v>
      </c>
      <c r="F14" s="108" t="s">
        <v>58</v>
      </c>
      <c r="G14" s="108">
        <v>160.0</v>
      </c>
      <c r="H14" s="110">
        <v>2489.18</v>
      </c>
      <c r="I14" s="108">
        <f>VLOOKUP(C14,'Estrutura Salarial'!B:F,5,0)</f>
        <v>13</v>
      </c>
      <c r="J14" s="111">
        <f>IFERROR(VLOOKUP(I14,'Tabela Salarial'!B:C,2,0),"")</f>
        <v>3230.95</v>
      </c>
      <c r="K14" s="111">
        <f t="shared" si="1"/>
        <v>741.77</v>
      </c>
      <c r="L14" s="111">
        <f t="shared" si="2"/>
        <v>741.77</v>
      </c>
      <c r="M14" s="112">
        <f>H14/(VLOOKUP(I14,'Tabela Salarial'!B:G,6,0))</f>
        <v>0.6163335141</v>
      </c>
      <c r="N14" s="113">
        <f>IFERROR(VLOOKUP(I14,'Tabela Salarial'!B:G,6,0),"")</f>
        <v>4038.69</v>
      </c>
      <c r="O14" s="114">
        <f t="shared" si="3"/>
        <v>1549.51</v>
      </c>
      <c r="P14" s="114">
        <f t="shared" si="4"/>
        <v>1549.51</v>
      </c>
      <c r="Q14" s="114">
        <f>(VLOOKUP(I14,'Tabela Salarial'!B:K,10,0))-H14</f>
        <v>2357.248</v>
      </c>
    </row>
    <row r="15" ht="12.75" customHeight="1">
      <c r="A15" s="107" t="s">
        <v>72</v>
      </c>
      <c r="B15" s="108" t="s">
        <v>56</v>
      </c>
      <c r="C15" s="109" t="s">
        <v>12</v>
      </c>
      <c r="D15" s="108" t="s">
        <v>10</v>
      </c>
      <c r="E15" s="108" t="s">
        <v>61</v>
      </c>
      <c r="F15" s="108" t="s">
        <v>58</v>
      </c>
      <c r="G15" s="108">
        <v>160.0</v>
      </c>
      <c r="H15" s="110">
        <v>2489.18</v>
      </c>
      <c r="I15" s="108">
        <f>VLOOKUP(C15,'Estrutura Salarial'!B:F,5,0)</f>
        <v>13</v>
      </c>
      <c r="J15" s="111">
        <f>IFERROR(VLOOKUP(I15,'Tabela Salarial'!B:C,2,0),"")</f>
        <v>3230.95</v>
      </c>
      <c r="K15" s="111">
        <f t="shared" si="1"/>
        <v>741.77</v>
      </c>
      <c r="L15" s="111">
        <f t="shared" si="2"/>
        <v>741.77</v>
      </c>
      <c r="M15" s="112">
        <f>H15/(VLOOKUP(I15,'Tabela Salarial'!B:G,6,0))</f>
        <v>0.6163335141</v>
      </c>
      <c r="N15" s="113">
        <f>IFERROR(VLOOKUP(I15,'Tabela Salarial'!B:G,6,0),"")</f>
        <v>4038.69</v>
      </c>
      <c r="O15" s="114">
        <f t="shared" si="3"/>
        <v>1549.51</v>
      </c>
      <c r="P15" s="114">
        <f t="shared" si="4"/>
        <v>1549.51</v>
      </c>
      <c r="Q15" s="114">
        <f>(VLOOKUP(I15,'Tabela Salarial'!B:K,10,0))-H15</f>
        <v>2357.248</v>
      </c>
    </row>
    <row r="16" ht="12.75" customHeight="1">
      <c r="A16" s="107" t="s">
        <v>73</v>
      </c>
      <c r="B16" s="108" t="s">
        <v>56</v>
      </c>
      <c r="C16" s="109" t="s">
        <v>12</v>
      </c>
      <c r="D16" s="108" t="s">
        <v>10</v>
      </c>
      <c r="E16" s="108" t="s">
        <v>61</v>
      </c>
      <c r="F16" s="108" t="s">
        <v>58</v>
      </c>
      <c r="G16" s="108">
        <v>160.0</v>
      </c>
      <c r="H16" s="110">
        <v>2489.18</v>
      </c>
      <c r="I16" s="108">
        <f>VLOOKUP(C16,'Estrutura Salarial'!B:F,5,0)</f>
        <v>13</v>
      </c>
      <c r="J16" s="111">
        <f>IFERROR(VLOOKUP(I16,'Tabela Salarial'!B:C,2,0),"")</f>
        <v>3230.95</v>
      </c>
      <c r="K16" s="111">
        <f t="shared" si="1"/>
        <v>741.77</v>
      </c>
      <c r="L16" s="111">
        <f t="shared" si="2"/>
        <v>741.77</v>
      </c>
      <c r="M16" s="112">
        <f>H16/(VLOOKUP(I16,'Tabela Salarial'!B:G,6,0))</f>
        <v>0.6163335141</v>
      </c>
      <c r="N16" s="113">
        <f>IFERROR(VLOOKUP(I16,'Tabela Salarial'!B:G,6,0),"")</f>
        <v>4038.69</v>
      </c>
      <c r="O16" s="114">
        <f t="shared" si="3"/>
        <v>1549.51</v>
      </c>
      <c r="P16" s="114">
        <f t="shared" si="4"/>
        <v>1549.51</v>
      </c>
      <c r="Q16" s="114">
        <f>(VLOOKUP(I16,'Tabela Salarial'!B:K,10,0))-H16</f>
        <v>2357.248</v>
      </c>
    </row>
    <row r="17" ht="12.75" customHeight="1">
      <c r="A17" s="107" t="s">
        <v>73</v>
      </c>
      <c r="B17" s="108" t="s">
        <v>56</v>
      </c>
      <c r="C17" s="109" t="s">
        <v>12</v>
      </c>
      <c r="D17" s="108" t="s">
        <v>10</v>
      </c>
      <c r="E17" s="108" t="s">
        <v>61</v>
      </c>
      <c r="F17" s="108" t="s">
        <v>58</v>
      </c>
      <c r="G17" s="108">
        <v>160.0</v>
      </c>
      <c r="H17" s="110">
        <v>2489.18</v>
      </c>
      <c r="I17" s="108">
        <f>VLOOKUP(C17,'Estrutura Salarial'!B:F,5,0)</f>
        <v>13</v>
      </c>
      <c r="J17" s="111">
        <f>IFERROR(VLOOKUP(I17,'Tabela Salarial'!B:C,2,0),"")</f>
        <v>3230.95</v>
      </c>
      <c r="K17" s="111">
        <f t="shared" si="1"/>
        <v>741.77</v>
      </c>
      <c r="L17" s="111">
        <f t="shared" si="2"/>
        <v>741.77</v>
      </c>
      <c r="M17" s="112">
        <f>H17/(VLOOKUP(I17,'Tabela Salarial'!B:G,6,0))</f>
        <v>0.6163335141</v>
      </c>
      <c r="N17" s="113">
        <f>IFERROR(VLOOKUP(I17,'Tabela Salarial'!B:G,6,0),"")</f>
        <v>4038.69</v>
      </c>
      <c r="O17" s="114">
        <f t="shared" si="3"/>
        <v>1549.51</v>
      </c>
      <c r="P17" s="114">
        <f t="shared" si="4"/>
        <v>1549.51</v>
      </c>
      <c r="Q17" s="114">
        <f>(VLOOKUP(I17,'Tabela Salarial'!B:K,10,0))-H17</f>
        <v>2357.248</v>
      </c>
    </row>
    <row r="18" ht="12.75" customHeight="1">
      <c r="A18" s="107" t="s">
        <v>74</v>
      </c>
      <c r="B18" s="108" t="s">
        <v>56</v>
      </c>
      <c r="C18" s="109" t="s">
        <v>12</v>
      </c>
      <c r="D18" s="108" t="s">
        <v>10</v>
      </c>
      <c r="E18" s="108" t="s">
        <v>61</v>
      </c>
      <c r="F18" s="108" t="s">
        <v>58</v>
      </c>
      <c r="G18" s="108">
        <v>160.0</v>
      </c>
      <c r="H18" s="110">
        <v>2489.18</v>
      </c>
      <c r="I18" s="108">
        <f>VLOOKUP(C18,'Estrutura Salarial'!B:F,5,0)</f>
        <v>13</v>
      </c>
      <c r="J18" s="111">
        <f>IFERROR(VLOOKUP(I18,'Tabela Salarial'!B:C,2,0),"")</f>
        <v>3230.95</v>
      </c>
      <c r="K18" s="111">
        <f t="shared" si="1"/>
        <v>741.77</v>
      </c>
      <c r="L18" s="111">
        <f t="shared" si="2"/>
        <v>741.77</v>
      </c>
      <c r="M18" s="112">
        <f>H18/(VLOOKUP(I18,'Tabela Salarial'!B:G,6,0))</f>
        <v>0.6163335141</v>
      </c>
      <c r="N18" s="113">
        <f>IFERROR(VLOOKUP(I18,'Tabela Salarial'!B:G,6,0),"")</f>
        <v>4038.69</v>
      </c>
      <c r="O18" s="114">
        <f t="shared" si="3"/>
        <v>1549.51</v>
      </c>
      <c r="P18" s="114">
        <f t="shared" si="4"/>
        <v>1549.51</v>
      </c>
      <c r="Q18" s="114">
        <f>(VLOOKUP(I18,'Tabela Salarial'!B:K,10,0))-H18</f>
        <v>2357.248</v>
      </c>
    </row>
    <row r="19" ht="12.75" customHeight="1">
      <c r="A19" s="107" t="s">
        <v>75</v>
      </c>
      <c r="B19" s="108" t="s">
        <v>56</v>
      </c>
      <c r="C19" s="109" t="s">
        <v>12</v>
      </c>
      <c r="D19" s="108" t="s">
        <v>10</v>
      </c>
      <c r="E19" s="108" t="s">
        <v>61</v>
      </c>
      <c r="F19" s="108" t="s">
        <v>58</v>
      </c>
      <c r="G19" s="108">
        <v>160.0</v>
      </c>
      <c r="H19" s="110">
        <v>2489.18</v>
      </c>
      <c r="I19" s="108">
        <f>VLOOKUP(C19,'Estrutura Salarial'!B:F,5,0)</f>
        <v>13</v>
      </c>
      <c r="J19" s="111">
        <f>IFERROR(VLOOKUP(I19,'Tabela Salarial'!B:C,2,0),"")</f>
        <v>3230.95</v>
      </c>
      <c r="K19" s="111">
        <f t="shared" si="1"/>
        <v>741.77</v>
      </c>
      <c r="L19" s="111">
        <f t="shared" si="2"/>
        <v>741.77</v>
      </c>
      <c r="M19" s="112">
        <f>H19/(VLOOKUP(I19,'Tabela Salarial'!B:G,6,0))</f>
        <v>0.6163335141</v>
      </c>
      <c r="N19" s="113">
        <f>IFERROR(VLOOKUP(I19,'Tabela Salarial'!B:G,6,0),"")</f>
        <v>4038.69</v>
      </c>
      <c r="O19" s="114">
        <f t="shared" si="3"/>
        <v>1549.51</v>
      </c>
      <c r="P19" s="114">
        <f t="shared" si="4"/>
        <v>1549.51</v>
      </c>
      <c r="Q19" s="114">
        <f>(VLOOKUP(I19,'Tabela Salarial'!B:K,10,0))-H19</f>
        <v>2357.248</v>
      </c>
    </row>
    <row r="20" ht="12.75" customHeight="1">
      <c r="A20" s="107" t="s">
        <v>76</v>
      </c>
      <c r="B20" s="108" t="s">
        <v>56</v>
      </c>
      <c r="C20" s="109" t="s">
        <v>12</v>
      </c>
      <c r="D20" s="108" t="s">
        <v>10</v>
      </c>
      <c r="E20" s="108" t="s">
        <v>61</v>
      </c>
      <c r="F20" s="108" t="s">
        <v>58</v>
      </c>
      <c r="G20" s="108">
        <v>160.0</v>
      </c>
      <c r="H20" s="110">
        <v>2489.18</v>
      </c>
      <c r="I20" s="108">
        <f>VLOOKUP(C20,'Estrutura Salarial'!B:F,5,0)</f>
        <v>13</v>
      </c>
      <c r="J20" s="111">
        <f>IFERROR(VLOOKUP(I20,'Tabela Salarial'!B:C,2,0),"")</f>
        <v>3230.95</v>
      </c>
      <c r="K20" s="111">
        <f t="shared" si="1"/>
        <v>741.77</v>
      </c>
      <c r="L20" s="111">
        <f t="shared" si="2"/>
        <v>741.77</v>
      </c>
      <c r="M20" s="112">
        <f>H20/(VLOOKUP(I20,'Tabela Salarial'!B:G,6,0))</f>
        <v>0.6163335141</v>
      </c>
      <c r="N20" s="113">
        <f>IFERROR(VLOOKUP(I20,'Tabela Salarial'!B:G,6,0),"")</f>
        <v>4038.69</v>
      </c>
      <c r="O20" s="114">
        <f t="shared" si="3"/>
        <v>1549.51</v>
      </c>
      <c r="P20" s="114">
        <f t="shared" si="4"/>
        <v>1549.51</v>
      </c>
      <c r="Q20" s="114">
        <f>(VLOOKUP(I20,'Tabela Salarial'!B:K,10,0))-H20</f>
        <v>2357.248</v>
      </c>
    </row>
    <row r="21" ht="12.75" customHeight="1">
      <c r="A21" s="107" t="s">
        <v>77</v>
      </c>
      <c r="B21" s="108" t="s">
        <v>56</v>
      </c>
      <c r="C21" s="109" t="s">
        <v>12</v>
      </c>
      <c r="D21" s="108" t="s">
        <v>10</v>
      </c>
      <c r="E21" s="108" t="s">
        <v>61</v>
      </c>
      <c r="F21" s="108" t="s">
        <v>58</v>
      </c>
      <c r="G21" s="108">
        <v>160.0</v>
      </c>
      <c r="H21" s="110">
        <v>2489.18</v>
      </c>
      <c r="I21" s="108">
        <f>VLOOKUP(C21,'Estrutura Salarial'!B:F,5,0)</f>
        <v>13</v>
      </c>
      <c r="J21" s="111">
        <f>IFERROR(VLOOKUP(I21,'Tabela Salarial'!B:C,2,0),"")</f>
        <v>3230.95</v>
      </c>
      <c r="K21" s="111">
        <f t="shared" si="1"/>
        <v>741.77</v>
      </c>
      <c r="L21" s="111">
        <f t="shared" si="2"/>
        <v>741.77</v>
      </c>
      <c r="M21" s="112">
        <f>H21/(VLOOKUP(I21,'Tabela Salarial'!B:G,6,0))</f>
        <v>0.6163335141</v>
      </c>
      <c r="N21" s="113">
        <f>IFERROR(VLOOKUP(I21,'Tabela Salarial'!B:G,6,0),"")</f>
        <v>4038.69</v>
      </c>
      <c r="O21" s="114">
        <f t="shared" si="3"/>
        <v>1549.51</v>
      </c>
      <c r="P21" s="114">
        <f t="shared" si="4"/>
        <v>1549.51</v>
      </c>
      <c r="Q21" s="114">
        <f>(VLOOKUP(I21,'Tabela Salarial'!B:K,10,0))-H21</f>
        <v>2357.248</v>
      </c>
    </row>
    <row r="22" ht="12.75" customHeight="1">
      <c r="A22" s="107" t="s">
        <v>78</v>
      </c>
      <c r="B22" s="108" t="s">
        <v>56</v>
      </c>
      <c r="C22" s="109" t="s">
        <v>12</v>
      </c>
      <c r="D22" s="108" t="s">
        <v>10</v>
      </c>
      <c r="E22" s="108" t="s">
        <v>61</v>
      </c>
      <c r="F22" s="108" t="s">
        <v>58</v>
      </c>
      <c r="G22" s="108">
        <v>160.0</v>
      </c>
      <c r="H22" s="110">
        <v>2489.18</v>
      </c>
      <c r="I22" s="108">
        <f>VLOOKUP(C22,'Estrutura Salarial'!B:F,5,0)</f>
        <v>13</v>
      </c>
      <c r="J22" s="111">
        <f>IFERROR(VLOOKUP(I22,'Tabela Salarial'!B:C,2,0),"")</f>
        <v>3230.95</v>
      </c>
      <c r="K22" s="111">
        <f t="shared" si="1"/>
        <v>741.77</v>
      </c>
      <c r="L22" s="111">
        <f t="shared" si="2"/>
        <v>741.77</v>
      </c>
      <c r="M22" s="112">
        <f>H22/(VLOOKUP(I22,'Tabela Salarial'!B:G,6,0))</f>
        <v>0.6163335141</v>
      </c>
      <c r="N22" s="113">
        <f>IFERROR(VLOOKUP(I22,'Tabela Salarial'!B:G,6,0),"")</f>
        <v>4038.69</v>
      </c>
      <c r="O22" s="114">
        <f t="shared" si="3"/>
        <v>1549.51</v>
      </c>
      <c r="P22" s="114">
        <f t="shared" si="4"/>
        <v>1549.51</v>
      </c>
      <c r="Q22" s="114">
        <f>(VLOOKUP(I22,'Tabela Salarial'!B:K,10,0))-H22</f>
        <v>2357.248</v>
      </c>
    </row>
    <row r="23" ht="12.75" customHeight="1">
      <c r="A23" s="107" t="s">
        <v>79</v>
      </c>
      <c r="B23" s="108" t="s">
        <v>56</v>
      </c>
      <c r="C23" s="109" t="s">
        <v>12</v>
      </c>
      <c r="D23" s="108" t="s">
        <v>10</v>
      </c>
      <c r="E23" s="108" t="s">
        <v>61</v>
      </c>
      <c r="F23" s="108" t="s">
        <v>58</v>
      </c>
      <c r="G23" s="108">
        <v>160.0</v>
      </c>
      <c r="H23" s="110">
        <v>2489.18</v>
      </c>
      <c r="I23" s="108">
        <f>VLOOKUP(C23,'Estrutura Salarial'!B:F,5,0)</f>
        <v>13</v>
      </c>
      <c r="J23" s="111">
        <f>IFERROR(VLOOKUP(I23,'Tabela Salarial'!B:C,2,0),"")</f>
        <v>3230.95</v>
      </c>
      <c r="K23" s="111">
        <f t="shared" si="1"/>
        <v>741.77</v>
      </c>
      <c r="L23" s="111">
        <f t="shared" si="2"/>
        <v>741.77</v>
      </c>
      <c r="M23" s="112">
        <f>H23/(VLOOKUP(I23,'Tabela Salarial'!B:G,6,0))</f>
        <v>0.6163335141</v>
      </c>
      <c r="N23" s="113">
        <f>IFERROR(VLOOKUP(I23,'Tabela Salarial'!B:G,6,0),"")</f>
        <v>4038.69</v>
      </c>
      <c r="O23" s="114">
        <f t="shared" si="3"/>
        <v>1549.51</v>
      </c>
      <c r="P23" s="114">
        <f t="shared" si="4"/>
        <v>1549.51</v>
      </c>
      <c r="Q23" s="114">
        <f>(VLOOKUP(I23,'Tabela Salarial'!B:K,10,0))-H23</f>
        <v>2357.248</v>
      </c>
    </row>
    <row r="24" ht="12.75" customHeight="1">
      <c r="A24" s="107" t="s">
        <v>80</v>
      </c>
      <c r="B24" s="108" t="s">
        <v>56</v>
      </c>
      <c r="C24" s="109" t="s">
        <v>12</v>
      </c>
      <c r="D24" s="108" t="s">
        <v>10</v>
      </c>
      <c r="E24" s="108" t="s">
        <v>61</v>
      </c>
      <c r="F24" s="108" t="s">
        <v>58</v>
      </c>
      <c r="G24" s="108">
        <v>160.0</v>
      </c>
      <c r="H24" s="110">
        <v>2489.18</v>
      </c>
      <c r="I24" s="108">
        <f>VLOOKUP(C24,'Estrutura Salarial'!B:F,5,0)</f>
        <v>13</v>
      </c>
      <c r="J24" s="111">
        <f>IFERROR(VLOOKUP(I24,'Tabela Salarial'!B:C,2,0),"")</f>
        <v>3230.95</v>
      </c>
      <c r="K24" s="111">
        <f t="shared" si="1"/>
        <v>741.77</v>
      </c>
      <c r="L24" s="111">
        <f t="shared" si="2"/>
        <v>741.77</v>
      </c>
      <c r="M24" s="112">
        <f>H24/(VLOOKUP(I24,'Tabela Salarial'!B:G,6,0))</f>
        <v>0.6163335141</v>
      </c>
      <c r="N24" s="113">
        <f>IFERROR(VLOOKUP(I24,'Tabela Salarial'!B:G,6,0),"")</f>
        <v>4038.69</v>
      </c>
      <c r="O24" s="114">
        <f t="shared" si="3"/>
        <v>1549.51</v>
      </c>
      <c r="P24" s="114">
        <f t="shared" si="4"/>
        <v>1549.51</v>
      </c>
      <c r="Q24" s="114">
        <f>(VLOOKUP(I24,'Tabela Salarial'!B:K,10,0))-H24</f>
        <v>2357.248</v>
      </c>
    </row>
    <row r="25" ht="12.75" customHeight="1">
      <c r="A25" s="107" t="s">
        <v>81</v>
      </c>
      <c r="B25" s="108" t="s">
        <v>56</v>
      </c>
      <c r="C25" s="109" t="s">
        <v>12</v>
      </c>
      <c r="D25" s="108" t="s">
        <v>10</v>
      </c>
      <c r="E25" s="108" t="s">
        <v>61</v>
      </c>
      <c r="F25" s="108" t="s">
        <v>58</v>
      </c>
      <c r="G25" s="108">
        <v>160.0</v>
      </c>
      <c r="H25" s="110">
        <v>2489.18</v>
      </c>
      <c r="I25" s="108">
        <f>VLOOKUP(C25,'Estrutura Salarial'!B:F,5,0)</f>
        <v>13</v>
      </c>
      <c r="J25" s="111">
        <f>IFERROR(VLOOKUP(I25,'Tabela Salarial'!B:C,2,0),"")</f>
        <v>3230.95</v>
      </c>
      <c r="K25" s="111">
        <f t="shared" si="1"/>
        <v>741.77</v>
      </c>
      <c r="L25" s="111">
        <f t="shared" si="2"/>
        <v>741.77</v>
      </c>
      <c r="M25" s="112">
        <f>H25/(VLOOKUP(I25,'Tabela Salarial'!B:G,6,0))</f>
        <v>0.6163335141</v>
      </c>
      <c r="N25" s="113">
        <f>IFERROR(VLOOKUP(I25,'Tabela Salarial'!B:G,6,0),"")</f>
        <v>4038.69</v>
      </c>
      <c r="O25" s="114">
        <f t="shared" si="3"/>
        <v>1549.51</v>
      </c>
      <c r="P25" s="114">
        <f t="shared" si="4"/>
        <v>1549.51</v>
      </c>
      <c r="Q25" s="114">
        <f>(VLOOKUP(I25,'Tabela Salarial'!B:K,10,0))-H25</f>
        <v>2357.248</v>
      </c>
    </row>
    <row r="26" ht="12.75" customHeight="1">
      <c r="A26" s="107" t="s">
        <v>82</v>
      </c>
      <c r="B26" s="108" t="s">
        <v>56</v>
      </c>
      <c r="C26" s="109" t="s">
        <v>12</v>
      </c>
      <c r="D26" s="108" t="s">
        <v>10</v>
      </c>
      <c r="E26" s="108" t="s">
        <v>61</v>
      </c>
      <c r="F26" s="108" t="s">
        <v>58</v>
      </c>
      <c r="G26" s="108">
        <v>160.0</v>
      </c>
      <c r="H26" s="110">
        <v>2489.18</v>
      </c>
      <c r="I26" s="108">
        <f>VLOOKUP(C26,'Estrutura Salarial'!B:F,5,0)</f>
        <v>13</v>
      </c>
      <c r="J26" s="111">
        <f>IFERROR(VLOOKUP(I26,'Tabela Salarial'!B:C,2,0),"")</f>
        <v>3230.95</v>
      </c>
      <c r="K26" s="111">
        <f t="shared" si="1"/>
        <v>741.77</v>
      </c>
      <c r="L26" s="111">
        <f t="shared" si="2"/>
        <v>741.77</v>
      </c>
      <c r="M26" s="112">
        <f>H26/(VLOOKUP(I26,'Tabela Salarial'!B:G,6,0))</f>
        <v>0.6163335141</v>
      </c>
      <c r="N26" s="113">
        <f>IFERROR(VLOOKUP(I26,'Tabela Salarial'!B:G,6,0),"")</f>
        <v>4038.69</v>
      </c>
      <c r="O26" s="114">
        <f t="shared" si="3"/>
        <v>1549.51</v>
      </c>
      <c r="P26" s="114">
        <f t="shared" si="4"/>
        <v>1549.51</v>
      </c>
      <c r="Q26" s="114">
        <f>(VLOOKUP(I26,'Tabela Salarial'!B:K,10,0))-H26</f>
        <v>2357.248</v>
      </c>
    </row>
    <row r="27" ht="12.75" customHeight="1">
      <c r="A27" s="107" t="s">
        <v>83</v>
      </c>
      <c r="B27" s="108" t="s">
        <v>56</v>
      </c>
      <c r="C27" s="109" t="s">
        <v>12</v>
      </c>
      <c r="D27" s="108" t="s">
        <v>10</v>
      </c>
      <c r="E27" s="108" t="s">
        <v>61</v>
      </c>
      <c r="F27" s="108" t="s">
        <v>58</v>
      </c>
      <c r="G27" s="108">
        <v>160.0</v>
      </c>
      <c r="H27" s="110">
        <v>2489.18</v>
      </c>
      <c r="I27" s="108">
        <f>VLOOKUP(C27,'Estrutura Salarial'!B:F,5,0)</f>
        <v>13</v>
      </c>
      <c r="J27" s="111">
        <f>IFERROR(VLOOKUP(I27,'Tabela Salarial'!B:C,2,0),"")</f>
        <v>3230.95</v>
      </c>
      <c r="K27" s="111">
        <f t="shared" si="1"/>
        <v>741.77</v>
      </c>
      <c r="L27" s="111">
        <f t="shared" si="2"/>
        <v>741.77</v>
      </c>
      <c r="M27" s="112">
        <f>H27/(VLOOKUP(I27,'Tabela Salarial'!B:G,6,0))</f>
        <v>0.6163335141</v>
      </c>
      <c r="N27" s="113">
        <f>IFERROR(VLOOKUP(I27,'Tabela Salarial'!B:G,6,0),"")</f>
        <v>4038.69</v>
      </c>
      <c r="O27" s="114">
        <f t="shared" si="3"/>
        <v>1549.51</v>
      </c>
      <c r="P27" s="114">
        <f t="shared" si="4"/>
        <v>1549.51</v>
      </c>
      <c r="Q27" s="114">
        <f>(VLOOKUP(I27,'Tabela Salarial'!B:K,10,0))-H27</f>
        <v>2357.248</v>
      </c>
    </row>
    <row r="28" ht="12.75" customHeight="1">
      <c r="A28" s="107" t="s">
        <v>84</v>
      </c>
      <c r="B28" s="108" t="s">
        <v>56</v>
      </c>
      <c r="C28" s="109" t="s">
        <v>12</v>
      </c>
      <c r="D28" s="108" t="s">
        <v>10</v>
      </c>
      <c r="E28" s="108" t="s">
        <v>61</v>
      </c>
      <c r="F28" s="108" t="s">
        <v>58</v>
      </c>
      <c r="G28" s="108">
        <v>160.0</v>
      </c>
      <c r="H28" s="110">
        <v>2489.18</v>
      </c>
      <c r="I28" s="108">
        <f>VLOOKUP(C28,'Estrutura Salarial'!B:F,5,0)</f>
        <v>13</v>
      </c>
      <c r="J28" s="111">
        <f>IFERROR(VLOOKUP(I28,'Tabela Salarial'!B:C,2,0),"")</f>
        <v>3230.95</v>
      </c>
      <c r="K28" s="111">
        <f t="shared" si="1"/>
        <v>741.77</v>
      </c>
      <c r="L28" s="111">
        <f t="shared" si="2"/>
        <v>741.77</v>
      </c>
      <c r="M28" s="112">
        <f>H28/(VLOOKUP(I28,'Tabela Salarial'!B:G,6,0))</f>
        <v>0.6163335141</v>
      </c>
      <c r="N28" s="113">
        <f>IFERROR(VLOOKUP(I28,'Tabela Salarial'!B:G,6,0),"")</f>
        <v>4038.69</v>
      </c>
      <c r="O28" s="114">
        <f t="shared" si="3"/>
        <v>1549.51</v>
      </c>
      <c r="P28" s="114">
        <f t="shared" si="4"/>
        <v>1549.51</v>
      </c>
      <c r="Q28" s="114">
        <f>(VLOOKUP(I28,'Tabela Salarial'!B:K,10,0))-H28</f>
        <v>2357.248</v>
      </c>
    </row>
    <row r="29" ht="12.75" customHeight="1">
      <c r="A29" s="107" t="s">
        <v>85</v>
      </c>
      <c r="B29" s="108" t="s">
        <v>56</v>
      </c>
      <c r="C29" s="109" t="s">
        <v>12</v>
      </c>
      <c r="D29" s="108" t="s">
        <v>10</v>
      </c>
      <c r="E29" s="108" t="s">
        <v>61</v>
      </c>
      <c r="F29" s="108" t="s">
        <v>58</v>
      </c>
      <c r="G29" s="108">
        <v>160.0</v>
      </c>
      <c r="H29" s="110">
        <v>2489.18</v>
      </c>
      <c r="I29" s="108">
        <f>VLOOKUP(C29,'Estrutura Salarial'!B:F,5,0)</f>
        <v>13</v>
      </c>
      <c r="J29" s="111">
        <f>IFERROR(VLOOKUP(I29,'Tabela Salarial'!B:C,2,0),"")</f>
        <v>3230.95</v>
      </c>
      <c r="K29" s="111">
        <f t="shared" si="1"/>
        <v>741.77</v>
      </c>
      <c r="L29" s="111">
        <f t="shared" si="2"/>
        <v>741.77</v>
      </c>
      <c r="M29" s="112">
        <f>H29/(VLOOKUP(I29,'Tabela Salarial'!B:G,6,0))</f>
        <v>0.6163335141</v>
      </c>
      <c r="N29" s="113">
        <f>IFERROR(VLOOKUP(I29,'Tabela Salarial'!B:G,6,0),"")</f>
        <v>4038.69</v>
      </c>
      <c r="O29" s="114">
        <f t="shared" si="3"/>
        <v>1549.51</v>
      </c>
      <c r="P29" s="114">
        <f t="shared" si="4"/>
        <v>1549.51</v>
      </c>
      <c r="Q29" s="114">
        <f>(VLOOKUP(I29,'Tabela Salarial'!B:K,10,0))-H29</f>
        <v>2357.248</v>
      </c>
    </row>
    <row r="30" ht="12.75" customHeight="1">
      <c r="A30" s="107" t="s">
        <v>86</v>
      </c>
      <c r="B30" s="108" t="s">
        <v>56</v>
      </c>
      <c r="C30" s="109" t="s">
        <v>12</v>
      </c>
      <c r="D30" s="108" t="s">
        <v>10</v>
      </c>
      <c r="E30" s="108" t="s">
        <v>61</v>
      </c>
      <c r="F30" s="108" t="s">
        <v>58</v>
      </c>
      <c r="G30" s="108">
        <v>160.0</v>
      </c>
      <c r="H30" s="110">
        <v>2489.18</v>
      </c>
      <c r="I30" s="108">
        <f>VLOOKUP(C30,'Estrutura Salarial'!B:F,5,0)</f>
        <v>13</v>
      </c>
      <c r="J30" s="111">
        <f>IFERROR(VLOOKUP(I30,'Tabela Salarial'!B:C,2,0),"")</f>
        <v>3230.95</v>
      </c>
      <c r="K30" s="111">
        <f t="shared" si="1"/>
        <v>741.77</v>
      </c>
      <c r="L30" s="111">
        <f t="shared" si="2"/>
        <v>741.77</v>
      </c>
      <c r="M30" s="112">
        <f>H30/(VLOOKUP(I30,'Tabela Salarial'!B:G,6,0))</f>
        <v>0.6163335141</v>
      </c>
      <c r="N30" s="113">
        <f>IFERROR(VLOOKUP(I30,'Tabela Salarial'!B:G,6,0),"")</f>
        <v>4038.69</v>
      </c>
      <c r="O30" s="114">
        <f t="shared" si="3"/>
        <v>1549.51</v>
      </c>
      <c r="P30" s="114">
        <f t="shared" si="4"/>
        <v>1549.51</v>
      </c>
      <c r="Q30" s="114">
        <f>(VLOOKUP(I30,'Tabela Salarial'!B:K,10,0))-H30</f>
        <v>2357.248</v>
      </c>
    </row>
    <row r="31" ht="12.75" customHeight="1">
      <c r="A31" s="107" t="s">
        <v>87</v>
      </c>
      <c r="B31" s="108" t="s">
        <v>56</v>
      </c>
      <c r="C31" s="109" t="s">
        <v>12</v>
      </c>
      <c r="D31" s="108" t="s">
        <v>10</v>
      </c>
      <c r="E31" s="108" t="s">
        <v>61</v>
      </c>
      <c r="F31" s="108" t="s">
        <v>58</v>
      </c>
      <c r="G31" s="108">
        <v>160.0</v>
      </c>
      <c r="H31" s="110">
        <v>2489.18</v>
      </c>
      <c r="I31" s="108">
        <f>VLOOKUP(C31,'Estrutura Salarial'!B:F,5,0)</f>
        <v>13</v>
      </c>
      <c r="J31" s="111">
        <f>IFERROR(VLOOKUP(I31,'Tabela Salarial'!B:C,2,0),"")</f>
        <v>3230.95</v>
      </c>
      <c r="K31" s="111">
        <f t="shared" si="1"/>
        <v>741.77</v>
      </c>
      <c r="L31" s="111">
        <f t="shared" si="2"/>
        <v>741.77</v>
      </c>
      <c r="M31" s="112">
        <f>H31/(VLOOKUP(I31,'Tabela Salarial'!B:G,6,0))</f>
        <v>0.6163335141</v>
      </c>
      <c r="N31" s="113">
        <f>IFERROR(VLOOKUP(I31,'Tabela Salarial'!B:G,6,0),"")</f>
        <v>4038.69</v>
      </c>
      <c r="O31" s="114">
        <f t="shared" si="3"/>
        <v>1549.51</v>
      </c>
      <c r="P31" s="114">
        <f t="shared" si="4"/>
        <v>1549.51</v>
      </c>
      <c r="Q31" s="114">
        <f>(VLOOKUP(I31,'Tabela Salarial'!B:K,10,0))-H31</f>
        <v>2357.248</v>
      </c>
    </row>
    <row r="32" ht="12.75" customHeight="1">
      <c r="A32" s="107" t="s">
        <v>88</v>
      </c>
      <c r="B32" s="108" t="s">
        <v>89</v>
      </c>
      <c r="C32" s="109" t="s">
        <v>14</v>
      </c>
      <c r="D32" s="108" t="s">
        <v>10</v>
      </c>
      <c r="E32" s="108" t="s">
        <v>61</v>
      </c>
      <c r="F32" s="108" t="s">
        <v>58</v>
      </c>
      <c r="G32" s="108">
        <v>160.0</v>
      </c>
      <c r="H32" s="110">
        <v>2489.18</v>
      </c>
      <c r="I32" s="108">
        <f>VLOOKUP(C32,'Estrutura Salarial'!B:F,5,0)</f>
        <v>13</v>
      </c>
      <c r="J32" s="111">
        <f>IFERROR(VLOOKUP(I32,'Tabela Salarial'!B:C,2,0),"")</f>
        <v>3230.95</v>
      </c>
      <c r="K32" s="111">
        <f t="shared" si="1"/>
        <v>741.77</v>
      </c>
      <c r="L32" s="111">
        <f t="shared" si="2"/>
        <v>741.77</v>
      </c>
      <c r="M32" s="112">
        <f>H32/(VLOOKUP(I32,'Tabela Salarial'!B:G,6,0))</f>
        <v>0.6163335141</v>
      </c>
      <c r="N32" s="113">
        <f>IFERROR(VLOOKUP(I32,'Tabela Salarial'!B:G,6,0),"")</f>
        <v>4038.69</v>
      </c>
      <c r="O32" s="114">
        <f t="shared" si="3"/>
        <v>1549.51</v>
      </c>
      <c r="P32" s="114">
        <f t="shared" si="4"/>
        <v>1549.51</v>
      </c>
      <c r="Q32" s="114">
        <f>(VLOOKUP(I32,'Tabela Salarial'!B:K,10,0))-H32</f>
        <v>2357.248</v>
      </c>
    </row>
    <row r="33" ht="12.75" customHeight="1">
      <c r="A33" s="107" t="s">
        <v>90</v>
      </c>
      <c r="B33" s="108" t="s">
        <v>89</v>
      </c>
      <c r="C33" s="109" t="s">
        <v>14</v>
      </c>
      <c r="D33" s="108" t="s">
        <v>10</v>
      </c>
      <c r="E33" s="108" t="s">
        <v>61</v>
      </c>
      <c r="F33" s="108" t="s">
        <v>58</v>
      </c>
      <c r="G33" s="108">
        <v>160.0</v>
      </c>
      <c r="H33" s="110">
        <v>3229.2</v>
      </c>
      <c r="I33" s="108">
        <f>VLOOKUP(C33,'Estrutura Salarial'!B:F,5,0)</f>
        <v>13</v>
      </c>
      <c r="J33" s="111">
        <f>IFERROR(VLOOKUP(I33,'Tabela Salarial'!B:C,2,0),"")</f>
        <v>3230.95</v>
      </c>
      <c r="K33" s="111">
        <f t="shared" si="1"/>
        <v>1.75</v>
      </c>
      <c r="L33" s="111">
        <f t="shared" si="2"/>
        <v>1.75</v>
      </c>
      <c r="M33" s="112">
        <f>H33/(VLOOKUP(I33,'Tabela Salarial'!B:G,6,0))</f>
        <v>0.799566196</v>
      </c>
      <c r="N33" s="113">
        <f>IFERROR(VLOOKUP(I33,'Tabela Salarial'!B:G,6,0),"")</f>
        <v>4038.69</v>
      </c>
      <c r="O33" s="114">
        <f t="shared" si="3"/>
        <v>809.49</v>
      </c>
      <c r="P33" s="114">
        <f t="shared" si="4"/>
        <v>809.49</v>
      </c>
      <c r="Q33" s="114">
        <f>(VLOOKUP(I33,'Tabela Salarial'!B:K,10,0))-H33</f>
        <v>1617.228</v>
      </c>
    </row>
    <row r="34" ht="12.75" customHeight="1">
      <c r="A34" s="107" t="s">
        <v>91</v>
      </c>
      <c r="B34" s="108" t="s">
        <v>92</v>
      </c>
      <c r="C34" s="109" t="s">
        <v>24</v>
      </c>
      <c r="D34" s="108" t="s">
        <v>10</v>
      </c>
      <c r="E34" s="108" t="s">
        <v>93</v>
      </c>
      <c r="F34" s="108" t="s">
        <v>58</v>
      </c>
      <c r="G34" s="108">
        <v>160.0</v>
      </c>
      <c r="H34" s="110">
        <v>8611.2</v>
      </c>
      <c r="I34" s="108">
        <f>VLOOKUP(C34,'Estrutura Salarial'!B:F,5,0)</f>
        <v>18</v>
      </c>
      <c r="J34" s="111">
        <f>IFERROR(VLOOKUP(I34,'Tabela Salarial'!B:C,2,0),"")</f>
        <v>7306.11</v>
      </c>
      <c r="K34" s="111">
        <f t="shared" si="1"/>
        <v>-1305.09</v>
      </c>
      <c r="L34" s="111">
        <f t="shared" si="2"/>
        <v>0</v>
      </c>
      <c r="M34" s="112">
        <f>H34/(VLOOKUP(I34,'Tabela Salarial'!B:G,6,0))</f>
        <v>0.9429036949</v>
      </c>
      <c r="N34" s="113">
        <f>IFERROR(VLOOKUP(I34,'Tabela Salarial'!B:G,6,0),"")</f>
        <v>9132.64</v>
      </c>
      <c r="O34" s="114">
        <f t="shared" si="3"/>
        <v>521.44</v>
      </c>
      <c r="P34" s="114">
        <f t="shared" si="4"/>
        <v>521.44</v>
      </c>
      <c r="Q34" s="114">
        <f>(VLOOKUP(I34,'Tabela Salarial'!B:K,10,0))-H34</f>
        <v>2347.968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34">
    <sortState ref="A1:Q34">
      <sortCondition ref="M1:M34"/>
    </sortState>
  </autoFilter>
  <conditionalFormatting sqref="M2:M34">
    <cfRule type="cellIs" dxfId="0" priority="1" operator="lessThan">
      <formula>"80%"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5.29"/>
    <col customWidth="1" min="3" max="3" width="27.86"/>
    <col customWidth="1" min="4" max="4" width="24.43"/>
    <col customWidth="1" min="5" max="5" width="7.29"/>
    <col customWidth="1" min="6" max="6" width="11.14"/>
    <col customWidth="1" min="7" max="7" width="24.43"/>
    <col customWidth="1" min="8" max="8" width="24.57"/>
    <col customWidth="1" min="9" max="9" width="32.14"/>
    <col customWidth="1" min="10" max="10" width="25.57"/>
  </cols>
  <sheetData>
    <row r="1" ht="9.75" customHeight="1"/>
    <row r="2">
      <c r="B2" s="115" t="s">
        <v>94</v>
      </c>
      <c r="C2" s="116"/>
      <c r="D2" s="117"/>
    </row>
    <row r="3">
      <c r="B3" s="118" t="s">
        <v>4</v>
      </c>
      <c r="C3" s="118" t="s">
        <v>5</v>
      </c>
      <c r="D3" s="118" t="s">
        <v>95</v>
      </c>
      <c r="F3" s="119" t="s">
        <v>96</v>
      </c>
      <c r="G3" s="120" t="s">
        <v>97</v>
      </c>
      <c r="H3" s="121">
        <f>IF('Estudo Comparativo'!M2="Todas",COUNTA(B4:B88),COUNTIF(C4:C88,'Estudo Comparativo'!M2))</f>
        <v>11</v>
      </c>
      <c r="I3" s="122"/>
    </row>
    <row r="4">
      <c r="B4" s="123" t="s">
        <v>12</v>
      </c>
      <c r="C4" s="124" t="s">
        <v>10</v>
      </c>
      <c r="D4" s="125">
        <f>COUNTIF('Previsão Custo Enquadramento'!C:C,B4)</f>
        <v>23</v>
      </c>
      <c r="G4" s="126"/>
      <c r="H4" s="127"/>
    </row>
    <row r="5">
      <c r="B5" s="123" t="s">
        <v>17</v>
      </c>
      <c r="C5" s="124" t="s">
        <v>10</v>
      </c>
      <c r="D5" s="125">
        <f>COUNTIF('Previsão Custo Enquadramento'!C:C,B5)</f>
        <v>5</v>
      </c>
      <c r="G5" s="120" t="s">
        <v>98</v>
      </c>
      <c r="H5" s="128">
        <f>IF('Estudo Comparativo'!M2="Todas",COUNTIF(D4:D88,"&gt;0"),COUNTIFS(C4:C88,'Estudo Comparativo'!M2,D4:D88,"&gt;0"))</f>
        <v>5</v>
      </c>
      <c r="M5" s="75"/>
    </row>
    <row r="6">
      <c r="B6" s="123" t="s">
        <v>21</v>
      </c>
      <c r="C6" s="124" t="s">
        <v>10</v>
      </c>
      <c r="D6" s="125">
        <f>COUNTIF('Previsão Custo Enquadramento'!C:C,B6)</f>
        <v>2</v>
      </c>
      <c r="G6" s="126"/>
      <c r="H6" s="127"/>
      <c r="M6" s="75"/>
    </row>
    <row r="7">
      <c r="B7" s="123" t="s">
        <v>14</v>
      </c>
      <c r="C7" s="124" t="s">
        <v>10</v>
      </c>
      <c r="D7" s="125">
        <f>COUNTIF('Previsão Custo Enquadramento'!C:C,B7)</f>
        <v>2</v>
      </c>
      <c r="G7" s="120" t="s">
        <v>99</v>
      </c>
      <c r="H7" s="128">
        <f>IF('Estudo Comparativo'!M2="Todas",COUNTIF(D4:D88,"=0"),COUNTIFS(C4:C88,'Estudo Comparativo'!M2,D4:D88,"=0"))
</f>
        <v>6</v>
      </c>
      <c r="M7" s="75"/>
    </row>
    <row r="8">
      <c r="B8" s="123" t="s">
        <v>19</v>
      </c>
      <c r="C8" s="124" t="s">
        <v>10</v>
      </c>
      <c r="D8" s="125">
        <f>COUNTIF('Previsão Custo Enquadramento'!C:C,B8)</f>
        <v>0</v>
      </c>
      <c r="G8" s="126"/>
      <c r="H8" s="127"/>
      <c r="M8" s="75"/>
    </row>
    <row r="9">
      <c r="B9" s="123" t="s">
        <v>23</v>
      </c>
      <c r="C9" s="124" t="s">
        <v>10</v>
      </c>
      <c r="D9" s="125">
        <f>COUNTIF('Previsão Custo Enquadramento'!C:C,B9)</f>
        <v>0</v>
      </c>
      <c r="M9" s="75"/>
    </row>
    <row r="10">
      <c r="B10" s="123" t="s">
        <v>24</v>
      </c>
      <c r="C10" s="124" t="s">
        <v>10</v>
      </c>
      <c r="D10" s="125">
        <f>COUNTIF('Previsão Custo Enquadramento'!C:C,B10)</f>
        <v>1</v>
      </c>
      <c r="G10" s="129" t="s">
        <v>100</v>
      </c>
      <c r="H10" s="129" t="s">
        <v>101</v>
      </c>
      <c r="I10" s="129" t="s">
        <v>102</v>
      </c>
      <c r="J10" s="129" t="s">
        <v>103</v>
      </c>
      <c r="M10" s="75"/>
    </row>
    <row r="11">
      <c r="B11" s="123" t="s">
        <v>9</v>
      </c>
      <c r="C11" s="124" t="s">
        <v>10</v>
      </c>
      <c r="D11" s="125">
        <f>COUNTIF('Previsão Custo Enquadramento'!C:C,B11)</f>
        <v>0</v>
      </c>
      <c r="F11" s="130" t="s">
        <v>61</v>
      </c>
      <c r="G11" s="131">
        <f>IF('Estudo Comparativo'!M2="Todas",COUNTIFS('Previsão Custo Enquadramento'!E:E,"Operacional",'Previsão Custo Enquadramento'!M:M,"&lt;80%")/COUNTIF('Previsão Custo Enquadramento'!E:E,"Operacional"),COUNTIFS('Previsão Custo Enquadramento'!E:E,"Operacional",'Previsão Custo Enquadramento'!M:M,"&lt;80%",'Previsão Custo Enquadramento'!D:D,'Estudo Comparativo'!M2)/COUNTIFS('Previsão Custo Enquadramento'!E:E,"Operacional",'Previsão Custo Enquadramento'!D:D,'Estudo Comparativo'!M2))</f>
        <v>0.8333333333</v>
      </c>
      <c r="H11" s="132">
        <f>IF('Estudo Comparativo'!M2="Todas",COUNTIFS('Previsão Custo Enquadramento'!E:E,"Operacional",'Previsão Custo Enquadramento'!M:M,"&gt;=80%",'Previsão Custo Enquadramento'!M:M,"&lt;100%")/COUNTIF('Previsão Custo Enquadramento'!E:E,"Operacional"),COUNTIFS('Previsão Custo Enquadramento'!E:E,"Operacional",'Previsão Custo Enquadramento'!M:M,"&gt;=80%",'Previsão Custo Enquadramento'!M:M,"&lt;100%",'Previsão Custo Enquadramento'!D:D,'Estudo Comparativo'!M2)/COUNTIFS('Previsão Custo Enquadramento'!E:E,"Operacional",'Previsão Custo Enquadramento'!D:D,'Estudo Comparativo'!M2))</f>
        <v>0.1666666667</v>
      </c>
      <c r="I11" s="132">
        <f>IF('Estudo Comparativo'!M2="Todas",COUNTIFS('Previsão Custo Enquadramento'!E:E,"Operacional",'Previsão Custo Enquadramento'!M:M,"&gt;=100%",'Previsão Custo Enquadramento'!M:M,"&lt;=120%")/COUNTIF('Previsão Custo Enquadramento'!E:E,"Operacional"),COUNTIFS('Previsão Custo Enquadramento'!E:E,"Operacional",'Previsão Custo Enquadramento'!M:M,"&gt;=100%",'Previsão Custo Enquadramento'!M:M,"&lt;=120%",'Previsão Custo Enquadramento'!D:D,'Estudo Comparativo'!M2)/COUNTIFS('Previsão Custo Enquadramento'!E:E,"Operacional",'Previsão Custo Enquadramento'!D:D,'Estudo Comparativo'!M2))</f>
        <v>0</v>
      </c>
      <c r="J11" s="133">
        <f>IF('Estudo Comparativo'!M2="Todas",COUNTIFS('Previsão Custo Enquadramento'!E:E,"Operacional",'Previsão Custo Enquadramento'!M:M,"&gt;120%")/COUNTIF('Previsão Custo Enquadramento'!E:E,"Operacional"),COUNTIFS('Previsão Custo Enquadramento'!E:E,"Operacional",'Previsão Custo Enquadramento'!M:M,"&gt;120%",'Previsão Custo Enquadramento'!D:D,'Estudo Comparativo'!M2)/COUNTIFS('Previsão Custo Enquadramento'!E:E,"Operacional",'Previsão Custo Enquadramento'!D:D,'Estudo Comparativo'!M2))</f>
        <v>0</v>
      </c>
      <c r="M11" s="75"/>
    </row>
    <row r="12">
      <c r="B12" s="123" t="s">
        <v>11</v>
      </c>
      <c r="C12" s="124" t="s">
        <v>10</v>
      </c>
      <c r="D12" s="125">
        <f>COUNTIF('Previsão Custo Enquadramento'!C:C,B12)</f>
        <v>0</v>
      </c>
      <c r="F12" s="130" t="s">
        <v>57</v>
      </c>
      <c r="G12" s="134">
        <f>IF('Estudo Comparativo'!M2="Todas",COUNTIFS('Previsão Custo Enquadramento'!E:E,"Tático",'Previsão Custo Enquadramento'!M:M,"&lt;80%")/COUNTIF('Previsão Custo Enquadramento'!E:E,"Tático"),COUNTIFS('Previsão Custo Enquadramento'!E:E,"Tático",'Previsão Custo Enquadramento'!M:M,"&lt;80%",'Previsão Custo Enquadramento'!D:D,'Estudo Comparativo'!M2)/COUNTIFS('Previsão Custo Enquadramento'!E:E,"Tático",'Previsão Custo Enquadramento'!D:D,'Estudo Comparativo'!M2))</f>
        <v>0</v>
      </c>
      <c r="H12" s="135">
        <f>IF('Estudo Comparativo'!M2="Todas",COUNTIFS('Previsão Custo Enquadramento'!E:E,"Tático",'Previsão Custo Enquadramento'!M:M,"&gt;=80%",'Previsão Custo Enquadramento'!M:M,"&lt;100%")/COUNTIF('Previsão Custo Enquadramento'!E:E,"Tático"),COUNTIFS('Previsão Custo Enquadramento'!E:E,"Tático",'Previsão Custo Enquadramento'!M:M,"&gt;=80%",'Previsão Custo Enquadramento'!M:M,"&lt;100%",'Previsão Custo Enquadramento'!D:D,'Estudo Comparativo'!M2)/COUNTIFS('Previsão Custo Enquadramento'!E:E,"Tático",'Previsão Custo Enquadramento'!D:D,'Estudo Comparativo'!M2))</f>
        <v>0</v>
      </c>
      <c r="I12" s="135">
        <f>IF('Estudo Comparativo'!M2="Todas",COUNTIFS('Previsão Custo Enquadramento'!E:E,"Tático",'Previsão Custo Enquadramento'!M:M,"&gt;=100%",'Previsão Custo Enquadramento'!M:M,"&lt;=120%")/COUNTIF('Previsão Custo Enquadramento'!E:E,"Tático"),COUNTIFS('Previsão Custo Enquadramento'!E:E,"Tático",'Previsão Custo Enquadramento'!M:M,"&gt;=100%",'Previsão Custo Enquadramento'!M:M,"&lt;=120%",'Previsão Custo Enquadramento'!D:D,'Estudo Comparativo'!M2)/COUNTIFS('Previsão Custo Enquadramento'!E:E,"Tático",'Previsão Custo Enquadramento'!D:D,'Estudo Comparativo'!M2))</f>
        <v>1</v>
      </c>
      <c r="J12" s="136">
        <f>IF('Estudo Comparativo'!M2="Todas",COUNTIFS('Previsão Custo Enquadramento'!E:E,"Tático",'Previsão Custo Enquadramento'!M:M,"&gt;120%")/COUNTIF('Previsão Custo Enquadramento'!E:E,"Tático"),COUNTIFS('Previsão Custo Enquadramento'!E:E,"Tático",'Previsão Custo Enquadramento'!M:M,"&gt;120%",'Previsão Custo Enquadramento'!D:D,'Estudo Comparativo'!M2)/COUNTIFS('Previsão Custo Enquadramento'!E:E,"Tático",'Previsão Custo Enquadramento'!D:D,'Estudo Comparativo'!M2))</f>
        <v>0</v>
      </c>
      <c r="M12" s="75"/>
    </row>
    <row r="13">
      <c r="B13" s="123" t="s">
        <v>16</v>
      </c>
      <c r="C13" s="124" t="s">
        <v>10</v>
      </c>
      <c r="D13" s="125">
        <f>COUNTIF('Previsão Custo Enquadramento'!C:C,B13)</f>
        <v>0</v>
      </c>
      <c r="F13" s="130" t="s">
        <v>93</v>
      </c>
      <c r="G13" s="134">
        <f>IF('Estudo Comparativo'!M2="Todas",COUNTIFS('Previsão Custo Enquadramento'!E:E,"Estratégico",'Previsão Custo Enquadramento'!M:M,"&lt;80%")/COUNTIF('Previsão Custo Enquadramento'!E:E,"Estratégico"),COUNTIFS('Previsão Custo Enquadramento'!E:E,"Estratégico",'Previsão Custo Enquadramento'!M:M,"&lt;80%",'Previsão Custo Enquadramento'!D:D,'Estudo Comparativo'!M2)/COUNTIFS('Previsão Custo Enquadramento'!E:E,"Estratégico",'Previsão Custo Enquadramento'!D:D,'Estudo Comparativo'!M2))</f>
        <v>0</v>
      </c>
      <c r="H13" s="135">
        <f>IF('Estudo Comparativo'!M2="Todas",COUNTIFS('Previsão Custo Enquadramento'!E:E,"Estratégico",'Previsão Custo Enquadramento'!M:M,"&gt;=80%",'Previsão Custo Enquadramento'!M:M,"&lt;100%")/COUNTIF('Previsão Custo Enquadramento'!E:E,"Estratégico"),COUNTIFS('Previsão Custo Enquadramento'!E:E,"Estratégico",'Previsão Custo Enquadramento'!M:M,"&gt;=80%",'Previsão Custo Enquadramento'!M:M,"&lt;100%",'Previsão Custo Enquadramento'!D:D,'Estudo Comparativo'!M2)/COUNTIFS('Previsão Custo Enquadramento'!E:E,"Estratégico",'Previsão Custo Enquadramento'!D:D,'Estudo Comparativo'!M2))</f>
        <v>1</v>
      </c>
      <c r="I13" s="135">
        <f>IF('Estudo Comparativo'!M2="Todas",COUNTIFS('Previsão Custo Enquadramento'!E:E,"Estratégico",'Previsão Custo Enquadramento'!M:M,"&gt;=100%",'Previsão Custo Enquadramento'!M:M,"&lt;=120%")/COUNTIF('Previsão Custo Enquadramento'!E:E,"Estratégico"),COUNTIFS('Previsão Custo Enquadramento'!E:E,"Estratégico",'Previsão Custo Enquadramento'!M:M,"&gt;=100%",'Previsão Custo Enquadramento'!M:M,"&lt;=120%",'Previsão Custo Enquadramento'!D:D,'Estudo Comparativo'!M2)/COUNTIFS('Previsão Custo Enquadramento'!E:E,"Estratégico",'Previsão Custo Enquadramento'!D:D,'Estudo Comparativo'!M2))</f>
        <v>0</v>
      </c>
      <c r="J13" s="136">
        <f>IF('Estudo Comparativo'!M2="Todas",COUNTIFS('Previsão Custo Enquadramento'!E:E,"Estratégico",'Previsão Custo Enquadramento'!M:M,"&gt;120%")/COUNTIF('Previsão Custo Enquadramento'!E:E,"Estratégico"),COUNTIFS('Previsão Custo Enquadramento'!E:E,"Estratégico",'Previsão Custo Enquadramento'!M:M,"&gt;120%",'Previsão Custo Enquadramento'!D:D,'Estudo Comparativo'!M2)/COUNTIFS('Previsão Custo Enquadramento'!E:E,"Estratégico",'Previsão Custo Enquadramento'!D:D,'Estudo Comparativo'!M2))</f>
        <v>0</v>
      </c>
      <c r="M13" s="75"/>
    </row>
    <row r="14">
      <c r="B14" s="123" t="s">
        <v>20</v>
      </c>
      <c r="C14" s="124" t="s">
        <v>10</v>
      </c>
      <c r="D14" s="125">
        <f>COUNTIF('Previsão Custo Enquadramento'!C:C,B14)</f>
        <v>0</v>
      </c>
      <c r="F14" s="130" t="s">
        <v>104</v>
      </c>
      <c r="G14" s="137">
        <f>IF('Estudo Comparativo'!M2="Todas",COUNTIF('Previsão Custo Enquadramento'!M:M,"&lt;80%")/count('Previsão Custo Enquadramento'!M2:M336),COUNTIFS('Previsão Custo Enquadramento'!M:M,"&lt;80%",'Previsão Custo Enquadramento'!D:D,'Estudo Comparativo'!M2)/COUNTIF('Previsão Custo Enquadramento'!D:D,'Estudo Comparativo'!M2))</f>
        <v>0.7575757576</v>
      </c>
      <c r="H14" s="138">
        <f>IF('Estudo Comparativo'!M2="Todas",COUNTIFS('Previsão Custo Enquadramento'!M:M,"&gt;=80%",'Previsão Custo Enquadramento'!M:M,"&lt;100%")/count('Previsão Custo Enquadramento'!M2:M336),COUNTIFS('Previsão Custo Enquadramento'!M:M,"&gt;=80%",'Previsão Custo Enquadramento'!M:M,"&lt;100%",'Previsão Custo Enquadramento'!D:D,'Estudo Comparativo'!M2)/COUNTIF('Previsão Custo Enquadramento'!D:D,'Estudo Comparativo'!M2))</f>
        <v>0.1818181818</v>
      </c>
      <c r="I14" s="138">
        <f>IF('Estudo Comparativo'!M2="Todas",COUNTIFS('Previsão Custo Enquadramento'!M:M,"&gt;=100%",'Previsão Custo Enquadramento'!M:M,"&lt;=120%")/count('Previsão Custo Enquadramento'!M2:M336),COUNTIFS('Previsão Custo Enquadramento'!M:M,"&gt;=100%",'Previsão Custo Enquadramento'!M:M,"&lt;=120%",'Previsão Custo Enquadramento'!D:D,'Estudo Comparativo'!M2)/countif('Previsão Custo Enquadramento'!D:D,'Estudo Comparativo'!M2))</f>
        <v>0.06060606061</v>
      </c>
      <c r="J14" s="139">
        <f>IF('Estudo Comparativo'!M2="Todas",COUNTIFS('Previsão Custo Enquadramento'!M:M,"&gt;120%")/count('Previsão Custo Enquadramento'!M2:M336),COUNTIFS('Previsão Custo Enquadramento'!M:M,"&gt;120%",'Previsão Custo Enquadramento'!D:D,'Estudo Comparativo'!M2)/countiF('Previsão Custo Enquadramento'!D:D,'Estudo Comparativo'!M2))</f>
        <v>0</v>
      </c>
      <c r="M14" s="75"/>
    </row>
    <row r="15">
      <c r="B15" s="140"/>
      <c r="C15" s="141"/>
      <c r="D15" s="142"/>
      <c r="M15" s="75"/>
    </row>
    <row r="16">
      <c r="B16" s="140"/>
      <c r="C16" s="141"/>
      <c r="D16" s="142"/>
      <c r="G16" s="129" t="s">
        <v>105</v>
      </c>
      <c r="H16" s="129" t="s">
        <v>106</v>
      </c>
      <c r="I16" s="129" t="s">
        <v>107</v>
      </c>
      <c r="M16" s="75"/>
    </row>
    <row r="17">
      <c r="B17" s="140"/>
      <c r="C17" s="141"/>
      <c r="D17" s="142"/>
      <c r="F17" s="130" t="s">
        <v>61</v>
      </c>
      <c r="G17" s="131">
        <f>IF('Estudo Comparativo'!M2="Todas",COUNTIFS('Previsão Custo Enquadramento'!E:E,"Operacional",'Previsão Custo Enquadramento'!M:M,"&lt;80%")/COUNTIF('Previsão Custo Enquadramento'!E:E,"Operacional"),COUNTIFS('Previsão Custo Enquadramento'!E:E,"Operacional",'Previsão Custo Enquadramento'!M:M,"&lt;80%",'Previsão Custo Enquadramento'!D:D,'Estudo Comparativo'!M2)/COUNTIFS('Previsão Custo Enquadramento'!E:E,"Operacional",'Previsão Custo Enquadramento'!D:D,'Estudo Comparativo'!M2))</f>
        <v>0.8333333333</v>
      </c>
      <c r="H17" s="132">
        <f>IF('Estudo Comparativo'!M2="Todas",COUNTIFS('Previsão Custo Enquadramento'!E:E,"Operacional",'Previsão Custo Enquadramento'!M:M,"&gt;=80%",'Previsão Custo Enquadramento'!M:M,"&lt;=120%")/COUNTIF('Previsão Custo Enquadramento'!E:E,"Operacional"),COUNTIFS('Previsão Custo Enquadramento'!E:E,"Operacional",'Previsão Custo Enquadramento'!M:M,"&gt;=80%",'Previsão Custo Enquadramento'!M:M,"&lt;=120%",'Previsão Custo Enquadramento'!D:D,'Estudo Comparativo'!M2)/COUNTIFS('Previsão Custo Enquadramento'!E:E,"Operacional",'Previsão Custo Enquadramento'!D:D,'Estudo Comparativo'!M2))</f>
        <v>0.1666666667</v>
      </c>
      <c r="I17" s="133">
        <f>IF('Estudo Comparativo'!M2="Todas",COUNTIFS('Previsão Custo Enquadramento'!E:E,"Operacional",'Previsão Custo Enquadramento'!M:M,"&gt;120%")/COUNTIF('Previsão Custo Enquadramento'!E:E,"Operacional"),COUNTIFS('Previsão Custo Enquadramento'!E:E,"Operacional",'Previsão Custo Enquadramento'!M:M,"&gt;120%",'Previsão Custo Enquadramento'!D:D,'Estudo Comparativo'!M2)/COUNTIFS('Previsão Custo Enquadramento'!E:E,"Operacional",'Previsão Custo Enquadramento'!D:D,'Estudo Comparativo'!M2))</f>
        <v>0</v>
      </c>
      <c r="M17" s="75"/>
    </row>
    <row r="18">
      <c r="B18" s="140"/>
      <c r="C18" s="141"/>
      <c r="D18" s="142"/>
      <c r="F18" s="129" t="s">
        <v>57</v>
      </c>
      <c r="G18" s="134">
        <f>IF('Estudo Comparativo'!M2="Todas",COUNTIFS('Previsão Custo Enquadramento'!E:E,"Tático",'Previsão Custo Enquadramento'!M:M,"&lt;80%")/COUNTIF('Previsão Custo Enquadramento'!E:E,"Tático"),COUNTIFS('Previsão Custo Enquadramento'!E:E,"Tático",'Previsão Custo Enquadramento'!M:M,"&lt;80%",'Previsão Custo Enquadramento'!D:D,'Estudo Comparativo'!M2)/COUNTIFS('Previsão Custo Enquadramento'!E:E,"Tático",'Previsão Custo Enquadramento'!D:D,'Estudo Comparativo'!M2))</f>
        <v>0</v>
      </c>
      <c r="H18" s="135">
        <f>IF('Estudo Comparativo'!M2="Todas",COUNTIFS('Previsão Custo Enquadramento'!E:E,"Tático",'Previsão Custo Enquadramento'!M:M,"&gt;=80%",'Previsão Custo Enquadramento'!M:M,"&lt;=120%")/COUNTIF('Previsão Custo Enquadramento'!E:E,"Tático"),COUNTIFS('Previsão Custo Enquadramento'!E:E,"Tático",'Previsão Custo Enquadramento'!M:M,"&gt;=80%",'Previsão Custo Enquadramento'!M:M,"&lt;=120%",'Previsão Custo Enquadramento'!D:D,'Estudo Comparativo'!M2)/COUNTIFS('Previsão Custo Enquadramento'!E:E,"Tático",'Previsão Custo Enquadramento'!D:D,'Estudo Comparativo'!M2))</f>
        <v>1</v>
      </c>
      <c r="I18" s="136">
        <f>IF('Estudo Comparativo'!M2="Todas",COUNTIFS('Previsão Custo Enquadramento'!E:E,"Tático",'Previsão Custo Enquadramento'!M:M,"&gt;120%")/COUNTIF('Previsão Custo Enquadramento'!E:E,"Tático"),COUNTIFS('Previsão Custo Enquadramento'!E:E,"Tático",'Previsão Custo Enquadramento'!M:M,"&gt;120%",'Previsão Custo Enquadramento'!D:D,'Estudo Comparativo'!M2)/COUNTIFS('Previsão Custo Enquadramento'!E:E,"Tático",'Previsão Custo Enquadramento'!D:D,'Estudo Comparativo'!M2))</f>
        <v>0</v>
      </c>
      <c r="M18" s="75"/>
    </row>
    <row r="19">
      <c r="B19" s="140"/>
      <c r="C19" s="141"/>
      <c r="D19" s="142"/>
      <c r="F19" s="129" t="s">
        <v>93</v>
      </c>
      <c r="G19" s="134">
        <f>IF('Estudo Comparativo'!M2="Todas",COUNTIFS('Previsão Custo Enquadramento'!E:E,"Estratégico",'Previsão Custo Enquadramento'!M:M,"&lt;80%")/COUNTIF('Previsão Custo Enquadramento'!E:E,"Estratégico"),COUNTIFS('Previsão Custo Enquadramento'!E:E,"Estratégico",'Previsão Custo Enquadramento'!M:M,"&lt;80%",'Previsão Custo Enquadramento'!D:D,'Estudo Comparativo'!M2)/COUNTIFS('Previsão Custo Enquadramento'!E:E,"Estratégico",'Previsão Custo Enquadramento'!D:D,'Estudo Comparativo'!M2))</f>
        <v>0</v>
      </c>
      <c r="H19" s="135">
        <f>IF('Estudo Comparativo'!M2="Todas",COUNTIFS('Previsão Custo Enquadramento'!E:E,"Estratégico",'Previsão Custo Enquadramento'!M:M,"&gt;=80%",'Previsão Custo Enquadramento'!M:M,"&lt;=120%")/COUNTIF('Previsão Custo Enquadramento'!E:E,"Estratégico"),COUNTIFS('Previsão Custo Enquadramento'!E:E,"Estratégico",'Previsão Custo Enquadramento'!M:M,"&gt;=80%",'Previsão Custo Enquadramento'!M:M,"&lt;=120%",'Previsão Custo Enquadramento'!D:D,'Estudo Comparativo'!M2)/COUNTIFS('Previsão Custo Enquadramento'!E:E,"Estratégico",'Previsão Custo Enquadramento'!D:D,'Estudo Comparativo'!M2))</f>
        <v>1</v>
      </c>
      <c r="I19" s="136">
        <f>IF('Estudo Comparativo'!M2="Todas",COUNTIFS('Previsão Custo Enquadramento'!E:E,"Estratégico",'Previsão Custo Enquadramento'!M:M,"&gt;120%")/COUNTIF('Previsão Custo Enquadramento'!E:E,"Estratégico"),COUNTIFS('Previsão Custo Enquadramento'!E:E,"Estratégico",'Previsão Custo Enquadramento'!M:M,"&gt;120%",'Previsão Custo Enquadramento'!D:D,'Estudo Comparativo'!M2)/COUNTIFS('Previsão Custo Enquadramento'!E:E,"Estratégico",'Previsão Custo Enquadramento'!D:D,'Estudo Comparativo'!M2))</f>
        <v>0</v>
      </c>
      <c r="M19" s="75"/>
    </row>
    <row r="20">
      <c r="B20" s="140"/>
      <c r="C20" s="141"/>
      <c r="D20" s="142"/>
      <c r="F20" s="129" t="s">
        <v>108</v>
      </c>
      <c r="G20" s="137">
        <f>IF('Estudo Comparativo'!M2="Todas",COUNTIF('Previsão Custo Enquadramento'!M:M,"&lt;80%")/count('Previsão Custo Enquadramento'!M2:M336),COUNTIFS('Previsão Custo Enquadramento'!M:M,"&lt;80%",'Previsão Custo Enquadramento'!D:D,'Estudo Comparativo'!M2)/countIF('Previsão Custo Enquadramento'!D:D,'Estudo Comparativo'!M2))</f>
        <v>0.7575757576</v>
      </c>
      <c r="H20" s="138">
        <f>IF('Estudo Comparativo'!M2="Todas",COUNTIFS('Previsão Custo Enquadramento'!M:M,"&gt;80%",'Previsão Custo Enquadramento'!M:M,"&lt;=120%")/COUNT('Previsão Custo Enquadramento'!M2:M336),COUNTIFS('Previsão Custo Enquadramento'!M:M,"&gt;80%",'Previsão Custo Enquadramento'!M:M,"&lt;=120%",'Previsão Custo Enquadramento'!D:D,'Estudo Comparativo'!M2)/COUNTIF('Previsão Custo Enquadramento'!D:D,'Estudo Comparativo'!M2))</f>
        <v>0.2424242424</v>
      </c>
      <c r="I20" s="139">
        <f>IF('Estudo Comparativo'!M2="Todas",COUNTIF('Previsão Custo Enquadramento'!M:M,"&gt;120%")/COUNT('Previsão Custo Enquadramento'!M2:M336),COUNTIFS('Previsão Custo Enquadramento'!M:M,"&gt;120%",'Previsão Custo Enquadramento'!D:D,'Estudo Comparativo'!M2)/COUNTIF('Previsão Custo Enquadramento'!D:D,'Estudo Comparativo'!M2))</f>
        <v>0</v>
      </c>
      <c r="M20" s="75"/>
    </row>
    <row r="21" ht="15.75" customHeight="1">
      <c r="B21" s="140"/>
      <c r="C21" s="141"/>
      <c r="D21" s="142"/>
      <c r="M21" s="75"/>
    </row>
    <row r="22" ht="15.75" customHeight="1">
      <c r="B22" s="140"/>
      <c r="C22" s="141"/>
      <c r="D22" s="142"/>
      <c r="M22" s="75"/>
    </row>
    <row r="23" ht="15.75" customHeight="1">
      <c r="B23" s="140"/>
      <c r="C23" s="141"/>
      <c r="D23" s="142"/>
      <c r="G23" s="129" t="s">
        <v>109</v>
      </c>
      <c r="M23" s="75"/>
    </row>
    <row r="24" ht="15.75" customHeight="1">
      <c r="B24" s="140"/>
      <c r="C24" s="141"/>
      <c r="D24" s="142"/>
      <c r="F24" s="129" t="s">
        <v>110</v>
      </c>
      <c r="G24" s="143">
        <f>IF('Estudo Comparativo'!M2="Todas",COUNTIF('Previsão Custo Enquadramento'!K:K,"&gt;0"),COUNTIFS('Previsão Custo Enquadramento'!K:K,"&gt;0",'Previsão Custo Enquadramento'!D:D,'Estudo Comparativo'!M2))</f>
        <v>25</v>
      </c>
      <c r="M24" s="75"/>
    </row>
    <row r="25" ht="15.75" customHeight="1">
      <c r="B25" s="140"/>
      <c r="C25" s="141"/>
      <c r="D25" s="142"/>
      <c r="F25" s="144" t="s">
        <v>111</v>
      </c>
      <c r="G25" s="145">
        <f>IF('Estudo Comparativo'!M2="Todas",COUNTIF('Previsão Custo Enquadramento'!K:K,"&lt;=0"),COUNTIFS('Previsão Custo Enquadramento'!K:K,"&lt;=0",'Previsão Custo Enquadramento'!D:D,'Estudo Comparativo'!M2))</f>
        <v>8</v>
      </c>
      <c r="M25" s="75"/>
    </row>
    <row r="26" ht="15.75" customHeight="1">
      <c r="B26" s="140"/>
      <c r="C26" s="141"/>
      <c r="D26" s="142"/>
      <c r="M26" s="75"/>
    </row>
    <row r="27" ht="15.75" customHeight="1">
      <c r="B27" s="140"/>
      <c r="C27" s="141"/>
      <c r="D27" s="142"/>
      <c r="M27" s="75"/>
    </row>
    <row r="28" ht="15.75" customHeight="1">
      <c r="B28" s="140"/>
      <c r="C28" s="141"/>
      <c r="D28" s="142"/>
      <c r="G28" s="129" t="s">
        <v>112</v>
      </c>
      <c r="I28" s="146" t="s">
        <v>5</v>
      </c>
      <c r="J28" s="146" t="s">
        <v>113</v>
      </c>
      <c r="M28" s="75"/>
    </row>
    <row r="29" ht="15.75" customHeight="1">
      <c r="B29" s="140"/>
      <c r="C29" s="141"/>
      <c r="D29" s="142"/>
      <c r="F29" s="147" t="s">
        <v>114</v>
      </c>
      <c r="G29" s="148" t="s">
        <v>10</v>
      </c>
      <c r="I29" s="124" t="s">
        <v>10</v>
      </c>
      <c r="J29" s="149">
        <f>SUMIFS('Previsão Custo Enquadramento'!L:L,'Previsão Custo Enquadramento'!D:D,I29)</f>
        <v>17804.23</v>
      </c>
      <c r="M29" s="75"/>
    </row>
    <row r="30" ht="15.75" customHeight="1">
      <c r="B30" s="140"/>
      <c r="C30" s="141"/>
      <c r="D30" s="142"/>
      <c r="F30" s="150"/>
      <c r="I30" s="151" t="s">
        <v>29</v>
      </c>
      <c r="J30" s="152"/>
      <c r="M30" s="75"/>
    </row>
    <row r="31" ht="15.75" customHeight="1">
      <c r="B31" s="140"/>
      <c r="C31" s="141"/>
      <c r="D31" s="142"/>
      <c r="F31" s="129" t="s">
        <v>110</v>
      </c>
      <c r="G31" s="153">
        <f>COUNTIFS('Previsão Custo Enquadramento'!K:K,"&gt;0",'Previsão Custo Enquadramento'!D:D,G29)</f>
        <v>25</v>
      </c>
      <c r="I31" s="141"/>
      <c r="J31" s="152"/>
      <c r="M31" s="75"/>
    </row>
    <row r="32" ht="15.75" customHeight="1">
      <c r="B32" s="140"/>
      <c r="C32" s="141"/>
      <c r="D32" s="142"/>
      <c r="F32" s="144" t="s">
        <v>111</v>
      </c>
      <c r="G32" s="145">
        <f>COUNTIFS('Previsão Custo Enquadramento'!K:K,"&lt;=0",'Previsão Custo Enquadramento'!D:D,G29)</f>
        <v>8</v>
      </c>
      <c r="I32" s="141"/>
      <c r="J32" s="152"/>
      <c r="M32" s="75"/>
    </row>
    <row r="33" ht="15.75" customHeight="1">
      <c r="B33" s="140"/>
      <c r="C33" s="141"/>
      <c r="D33" s="142"/>
      <c r="G33" s="154"/>
      <c r="I33" s="141"/>
      <c r="J33" s="152"/>
      <c r="M33" s="75"/>
    </row>
    <row r="34" ht="15.75" customHeight="1">
      <c r="B34" s="140"/>
      <c r="C34" s="141"/>
      <c r="D34" s="142"/>
      <c r="F34" s="147" t="s">
        <v>115</v>
      </c>
      <c r="G34" s="155">
        <f>SUMIFS('Previsão Custo Enquadramento'!L:L,'Previsão Custo Enquadramento'!D:D,G29)</f>
        <v>17804.23</v>
      </c>
      <c r="I34" s="141"/>
      <c r="J34" s="152"/>
      <c r="M34" s="75"/>
    </row>
    <row r="35" ht="15.75" customHeight="1">
      <c r="B35" s="140"/>
      <c r="C35" s="141"/>
      <c r="D35" s="142"/>
      <c r="F35" s="150"/>
      <c r="I35" s="141"/>
      <c r="J35" s="152"/>
      <c r="M35" s="75"/>
    </row>
    <row r="36" ht="15.75" customHeight="1">
      <c r="B36" s="140"/>
      <c r="C36" s="141"/>
      <c r="D36" s="142"/>
      <c r="I36" s="141"/>
      <c r="J36" s="152"/>
      <c r="M36" s="75"/>
    </row>
    <row r="37" ht="15.75" customHeight="1">
      <c r="B37" s="140"/>
      <c r="C37" s="141"/>
      <c r="D37" s="142"/>
      <c r="I37" s="141"/>
      <c r="J37" s="152"/>
      <c r="M37" s="75"/>
    </row>
    <row r="38" ht="15.75" customHeight="1">
      <c r="B38" s="140"/>
      <c r="C38" s="141"/>
      <c r="D38" s="142"/>
      <c r="I38" s="141"/>
      <c r="J38" s="152"/>
      <c r="M38" s="75"/>
    </row>
    <row r="39" ht="15.75" customHeight="1">
      <c r="B39" s="140"/>
      <c r="C39" s="141"/>
      <c r="D39" s="142"/>
      <c r="I39" s="141"/>
      <c r="J39" s="152"/>
      <c r="M39" s="75"/>
    </row>
    <row r="40" ht="15.75" customHeight="1">
      <c r="B40" s="140"/>
      <c r="C40" s="141"/>
      <c r="D40" s="142"/>
      <c r="I40" s="141"/>
      <c r="J40" s="152"/>
      <c r="M40" s="75"/>
    </row>
    <row r="41" ht="15.75" customHeight="1">
      <c r="B41" s="140"/>
      <c r="C41" s="141"/>
      <c r="D41" s="142"/>
      <c r="I41" s="141"/>
      <c r="J41" s="152"/>
    </row>
    <row r="42" ht="15.75" customHeight="1">
      <c r="B42" s="140"/>
      <c r="C42" s="141"/>
      <c r="D42" s="142"/>
      <c r="I42" s="141"/>
      <c r="J42" s="152"/>
    </row>
    <row r="43" ht="15.75" customHeight="1">
      <c r="B43" s="140"/>
      <c r="C43" s="141"/>
      <c r="D43" s="142"/>
      <c r="I43" s="141"/>
      <c r="J43" s="152"/>
    </row>
    <row r="44" ht="15.75" customHeight="1">
      <c r="B44" s="140"/>
      <c r="C44" s="141"/>
      <c r="D44" s="142"/>
      <c r="I44" s="141"/>
      <c r="J44" s="152"/>
    </row>
    <row r="45" ht="15.75" customHeight="1">
      <c r="B45" s="140"/>
      <c r="C45" s="141"/>
      <c r="D45" s="142"/>
      <c r="I45" s="141"/>
      <c r="J45" s="152"/>
    </row>
    <row r="46" ht="15.75" customHeight="1">
      <c r="B46" s="140"/>
      <c r="C46" s="141"/>
      <c r="D46" s="142"/>
      <c r="I46" s="141"/>
      <c r="J46" s="152"/>
    </row>
    <row r="47" ht="15.75" customHeight="1">
      <c r="B47" s="140"/>
      <c r="C47" s="141"/>
      <c r="D47" s="142"/>
      <c r="I47" s="141"/>
      <c r="J47" s="152"/>
    </row>
    <row r="48" ht="15.75" customHeight="1">
      <c r="B48" s="140"/>
      <c r="C48" s="141"/>
      <c r="D48" s="142"/>
      <c r="I48" s="141"/>
      <c r="J48" s="152"/>
    </row>
    <row r="49" ht="15.75" customHeight="1">
      <c r="B49" s="140"/>
      <c r="C49" s="141"/>
      <c r="D49" s="142"/>
      <c r="I49" s="141"/>
      <c r="J49" s="152"/>
    </row>
    <row r="50" ht="15.75" customHeight="1">
      <c r="B50" s="140"/>
      <c r="C50" s="141"/>
      <c r="D50" s="142"/>
      <c r="I50" s="141"/>
      <c r="J50" s="152"/>
    </row>
    <row r="51" ht="15.75" customHeight="1">
      <c r="B51" s="140"/>
      <c r="C51" s="141"/>
      <c r="D51" s="142"/>
      <c r="I51" s="141"/>
      <c r="J51" s="152"/>
    </row>
    <row r="52" ht="15.75" customHeight="1">
      <c r="B52" s="140"/>
      <c r="C52" s="141"/>
      <c r="D52" s="142"/>
      <c r="I52" s="141"/>
      <c r="J52" s="152"/>
    </row>
    <row r="53" ht="15.75" customHeight="1">
      <c r="B53" s="140"/>
      <c r="C53" s="141"/>
      <c r="D53" s="142"/>
      <c r="I53" s="141"/>
      <c r="J53" s="152"/>
    </row>
    <row r="54" ht="15.75" customHeight="1">
      <c r="B54" s="140"/>
      <c r="C54" s="141"/>
      <c r="D54" s="142"/>
      <c r="I54" s="141"/>
      <c r="J54" s="152"/>
    </row>
    <row r="55" ht="15.75" customHeight="1">
      <c r="B55" s="140"/>
      <c r="C55" s="141"/>
      <c r="D55" s="142"/>
    </row>
    <row r="56" ht="15.75" customHeight="1">
      <c r="B56" s="140"/>
      <c r="C56" s="141"/>
      <c r="D56" s="142"/>
      <c r="I56" s="113"/>
      <c r="J56" s="152"/>
    </row>
    <row r="57" ht="15.75" customHeight="1">
      <c r="B57" s="140"/>
      <c r="C57" s="141"/>
      <c r="D57" s="142"/>
      <c r="I57" s="113"/>
      <c r="J57" s="152"/>
    </row>
    <row r="58" ht="15.75" customHeight="1">
      <c r="B58" s="140"/>
      <c r="C58" s="141"/>
      <c r="D58" s="142"/>
      <c r="I58" s="113"/>
      <c r="J58" s="152"/>
    </row>
    <row r="59" ht="15.75" customHeight="1">
      <c r="B59" s="140"/>
      <c r="C59" s="141"/>
      <c r="D59" s="142"/>
      <c r="I59" s="113"/>
      <c r="J59" s="152"/>
    </row>
    <row r="60" ht="15.75" customHeight="1">
      <c r="B60" s="140"/>
      <c r="C60" s="141"/>
      <c r="D60" s="142"/>
      <c r="I60" s="113"/>
      <c r="J60" s="152"/>
    </row>
    <row r="61" ht="15.75" customHeight="1">
      <c r="B61" s="140"/>
      <c r="C61" s="141"/>
      <c r="D61" s="142"/>
      <c r="I61" s="113"/>
      <c r="J61" s="152"/>
    </row>
    <row r="62" ht="15.75" customHeight="1">
      <c r="B62" s="140"/>
      <c r="C62" s="141"/>
      <c r="D62" s="142"/>
      <c r="I62" s="113"/>
      <c r="J62" s="152"/>
    </row>
    <row r="63" ht="15.75" customHeight="1">
      <c r="B63" s="140"/>
      <c r="C63" s="141"/>
      <c r="D63" s="142"/>
      <c r="I63" s="113"/>
      <c r="J63" s="152"/>
    </row>
    <row r="64" ht="15.75" customHeight="1">
      <c r="B64" s="140"/>
      <c r="C64" s="141"/>
      <c r="D64" s="142"/>
      <c r="I64" s="113"/>
      <c r="J64" s="152"/>
    </row>
    <row r="65" ht="15.75" customHeight="1">
      <c r="B65" s="140"/>
      <c r="C65" s="141"/>
      <c r="D65" s="142"/>
      <c r="I65" s="113"/>
      <c r="J65" s="152"/>
    </row>
    <row r="66" ht="15.75" customHeight="1">
      <c r="B66" s="140"/>
      <c r="C66" s="141"/>
      <c r="D66" s="142"/>
      <c r="I66" s="113"/>
      <c r="J66" s="152"/>
    </row>
    <row r="67" ht="15.75" customHeight="1">
      <c r="B67" s="140"/>
      <c r="C67" s="141"/>
      <c r="D67" s="142"/>
      <c r="I67" s="113"/>
      <c r="J67" s="152"/>
    </row>
    <row r="68" ht="15.75" customHeight="1">
      <c r="B68" s="140"/>
      <c r="C68" s="141"/>
      <c r="D68" s="142"/>
      <c r="I68" s="113"/>
      <c r="J68" s="152"/>
    </row>
    <row r="69" ht="15.75" customHeight="1">
      <c r="B69" s="140"/>
      <c r="C69" s="141"/>
      <c r="D69" s="142"/>
      <c r="I69" s="113"/>
      <c r="J69" s="152"/>
    </row>
    <row r="70" ht="15.75" customHeight="1">
      <c r="B70" s="140"/>
      <c r="C70" s="141"/>
      <c r="D70" s="142"/>
      <c r="I70" s="113"/>
      <c r="J70" s="152"/>
    </row>
    <row r="71" ht="15.75" customHeight="1">
      <c r="B71" s="140"/>
      <c r="C71" s="141"/>
      <c r="D71" s="142"/>
      <c r="I71" s="113"/>
      <c r="J71" s="152"/>
    </row>
    <row r="72" ht="15.75" customHeight="1">
      <c r="B72" s="140"/>
      <c r="C72" s="141"/>
      <c r="D72" s="142"/>
      <c r="I72" s="113"/>
      <c r="J72" s="152"/>
    </row>
    <row r="73" ht="15.75" customHeight="1">
      <c r="B73" s="140"/>
      <c r="C73" s="141"/>
      <c r="D73" s="142"/>
      <c r="I73" s="113"/>
      <c r="J73" s="152"/>
    </row>
    <row r="74" ht="15.75" customHeight="1">
      <c r="B74" s="140"/>
      <c r="C74" s="141"/>
      <c r="D74" s="142"/>
      <c r="I74" s="113"/>
      <c r="J74" s="152"/>
    </row>
    <row r="75" ht="15.75" customHeight="1">
      <c r="B75" s="140"/>
      <c r="C75" s="141"/>
      <c r="D75" s="142"/>
      <c r="I75" s="113"/>
      <c r="J75" s="152"/>
    </row>
    <row r="76" ht="15.75" customHeight="1">
      <c r="B76" s="140"/>
      <c r="C76" s="141"/>
      <c r="D76" s="142"/>
      <c r="I76" s="113"/>
      <c r="J76" s="152"/>
    </row>
    <row r="77" ht="15.75" customHeight="1">
      <c r="B77" s="140"/>
      <c r="C77" s="141"/>
      <c r="D77" s="142"/>
      <c r="I77" s="113"/>
      <c r="J77" s="152"/>
    </row>
    <row r="78" ht="15.75" customHeight="1">
      <c r="B78" s="140"/>
      <c r="C78" s="141"/>
      <c r="D78" s="142"/>
      <c r="I78" s="113"/>
      <c r="J78" s="152"/>
    </row>
    <row r="79" ht="15.75" customHeight="1">
      <c r="B79" s="140"/>
      <c r="C79" s="141"/>
      <c r="D79" s="142"/>
      <c r="I79" s="113"/>
      <c r="J79" s="152"/>
    </row>
    <row r="80" ht="15.75" customHeight="1">
      <c r="B80" s="140"/>
      <c r="C80" s="141"/>
      <c r="D80" s="142"/>
      <c r="I80" s="113"/>
      <c r="J80" s="152"/>
    </row>
    <row r="81" ht="15.75" customHeight="1">
      <c r="B81" s="140"/>
      <c r="C81" s="141"/>
      <c r="D81" s="142"/>
      <c r="I81" s="113"/>
      <c r="J81" s="152"/>
    </row>
    <row r="82" ht="15.75" customHeight="1">
      <c r="B82" s="140"/>
      <c r="C82" s="141"/>
      <c r="D82" s="142"/>
      <c r="I82" s="113"/>
      <c r="J82" s="152"/>
    </row>
    <row r="83" ht="15.75" customHeight="1">
      <c r="B83" s="140"/>
      <c r="C83" s="141"/>
      <c r="D83" s="142"/>
      <c r="I83" s="113"/>
      <c r="J83" s="152"/>
    </row>
    <row r="84" ht="15.75" customHeight="1">
      <c r="B84" s="140"/>
      <c r="C84" s="141"/>
      <c r="D84" s="142"/>
      <c r="I84" s="113"/>
      <c r="J84" s="152"/>
    </row>
    <row r="85" ht="15.75" customHeight="1">
      <c r="B85" s="140"/>
      <c r="C85" s="141"/>
      <c r="D85" s="142"/>
      <c r="I85" s="113"/>
      <c r="J85" s="152"/>
    </row>
    <row r="86" ht="15.75" customHeight="1">
      <c r="B86" s="140"/>
      <c r="C86" s="141"/>
      <c r="D86" s="142"/>
      <c r="I86" s="113"/>
      <c r="J86" s="152"/>
    </row>
    <row r="87" ht="15.75" customHeight="1">
      <c r="B87" s="140"/>
      <c r="C87" s="141"/>
      <c r="D87" s="142"/>
      <c r="I87" s="113"/>
      <c r="J87" s="152"/>
    </row>
    <row r="88" ht="15.75" customHeight="1">
      <c r="B88" s="140"/>
      <c r="C88" s="141"/>
      <c r="D88" s="142"/>
      <c r="I88" s="113"/>
      <c r="J88" s="152"/>
    </row>
    <row r="89" ht="15.75" customHeight="1">
      <c r="B89" s="156"/>
      <c r="C89" s="157"/>
      <c r="D89" s="142"/>
      <c r="I89" s="157"/>
      <c r="J89" s="152"/>
    </row>
    <row r="90" ht="15.75" customHeight="1">
      <c r="B90" s="156"/>
      <c r="C90" s="157"/>
      <c r="D90" s="142"/>
      <c r="I90" s="157"/>
      <c r="J90" s="152"/>
    </row>
    <row r="91" ht="15.75" customHeight="1">
      <c r="B91" s="156"/>
      <c r="C91" s="157"/>
      <c r="D91" s="142"/>
      <c r="I91" s="157"/>
      <c r="J91" s="152"/>
    </row>
    <row r="92" ht="15.75" customHeight="1">
      <c r="B92" s="156"/>
      <c r="C92" s="157"/>
      <c r="D92" s="142"/>
      <c r="I92" s="157"/>
      <c r="J92" s="152"/>
    </row>
    <row r="93" ht="15.75" customHeight="1">
      <c r="B93" s="156"/>
      <c r="C93" s="157"/>
      <c r="D93" s="142"/>
      <c r="I93" s="157"/>
      <c r="J93" s="152"/>
    </row>
    <row r="94" ht="15.75" customHeight="1">
      <c r="B94" s="156"/>
      <c r="C94" s="157"/>
      <c r="D94" s="142"/>
      <c r="I94" s="157"/>
      <c r="J94" s="152"/>
    </row>
    <row r="95" ht="15.75" customHeight="1">
      <c r="B95" s="156"/>
      <c r="C95" s="157"/>
      <c r="D95" s="142"/>
      <c r="I95" s="157"/>
      <c r="J95" s="152"/>
    </row>
    <row r="96" ht="15.75" customHeight="1">
      <c r="B96" s="156"/>
      <c r="C96" s="157"/>
      <c r="D96" s="142"/>
      <c r="I96" s="157"/>
      <c r="J96" s="152"/>
    </row>
    <row r="97" ht="15.75" customHeight="1">
      <c r="B97" s="156"/>
      <c r="C97" s="157"/>
      <c r="D97" s="142"/>
      <c r="I97" s="157"/>
      <c r="J97" s="152"/>
    </row>
    <row r="98" ht="15.75" customHeight="1">
      <c r="B98" s="156"/>
      <c r="C98" s="157"/>
      <c r="D98" s="142"/>
      <c r="I98" s="157"/>
      <c r="J98" s="152"/>
    </row>
    <row r="99" ht="15.75" customHeight="1">
      <c r="B99" s="156"/>
      <c r="C99" s="157"/>
      <c r="D99" s="142"/>
      <c r="I99" s="157"/>
      <c r="J99" s="152"/>
    </row>
    <row r="100" ht="15.75" customHeight="1">
      <c r="B100" s="156"/>
      <c r="C100" s="157"/>
      <c r="D100" s="142"/>
      <c r="I100" s="157"/>
      <c r="J100" s="152"/>
    </row>
    <row r="101" ht="15.75" customHeight="1">
      <c r="B101" s="156"/>
      <c r="C101" s="157"/>
      <c r="D101" s="142"/>
      <c r="I101" s="157"/>
      <c r="J101" s="152"/>
    </row>
    <row r="102" ht="15.75" customHeight="1">
      <c r="B102" s="156"/>
      <c r="C102" s="157"/>
      <c r="D102" s="142"/>
      <c r="I102" s="157"/>
      <c r="J102" s="152"/>
    </row>
    <row r="103" ht="15.75" customHeight="1">
      <c r="B103" s="156"/>
      <c r="C103" s="157"/>
      <c r="D103" s="142"/>
      <c r="I103" s="157"/>
      <c r="J103" s="152"/>
    </row>
    <row r="104" ht="15.75" customHeight="1">
      <c r="B104" s="156"/>
      <c r="C104" s="157"/>
      <c r="D104" s="142"/>
      <c r="I104" s="157"/>
      <c r="J104" s="152"/>
    </row>
    <row r="105" ht="15.75" customHeight="1">
      <c r="B105" s="156"/>
      <c r="C105" s="157"/>
      <c r="D105" s="142"/>
      <c r="I105" s="157"/>
      <c r="J105" s="152"/>
    </row>
    <row r="106" ht="15.75" customHeight="1">
      <c r="B106" s="156"/>
      <c r="C106" s="157"/>
      <c r="D106" s="142"/>
      <c r="I106" s="157"/>
      <c r="J106" s="152"/>
    </row>
    <row r="107" ht="15.75" customHeight="1">
      <c r="B107" s="156"/>
      <c r="C107" s="157"/>
      <c r="D107" s="142"/>
      <c r="I107" s="157"/>
      <c r="J107" s="152"/>
    </row>
    <row r="108" ht="15.75" customHeight="1">
      <c r="B108" s="156"/>
      <c r="C108" s="157"/>
      <c r="D108" s="142"/>
      <c r="I108" s="157"/>
      <c r="J108" s="152"/>
    </row>
    <row r="109" ht="15.75" customHeight="1">
      <c r="B109" s="156"/>
      <c r="C109" s="157"/>
      <c r="D109" s="142"/>
      <c r="I109" s="157"/>
      <c r="J109" s="152"/>
    </row>
    <row r="110" ht="15.75" customHeight="1">
      <c r="B110" s="156"/>
      <c r="C110" s="157"/>
      <c r="D110" s="142"/>
      <c r="I110" s="157"/>
      <c r="J110" s="152"/>
    </row>
    <row r="111" ht="15.75" customHeight="1">
      <c r="B111" s="156"/>
      <c r="C111" s="157"/>
      <c r="D111" s="142"/>
      <c r="I111" s="157"/>
      <c r="J111" s="152"/>
    </row>
    <row r="112" ht="15.75" customHeight="1">
      <c r="B112" s="156"/>
      <c r="C112" s="157"/>
      <c r="D112" s="142"/>
      <c r="I112" s="157"/>
      <c r="J112" s="152"/>
    </row>
    <row r="113" ht="15.75" customHeight="1">
      <c r="B113" s="156"/>
      <c r="C113" s="157"/>
      <c r="D113" s="142"/>
      <c r="I113" s="157"/>
      <c r="J113" s="152"/>
    </row>
    <row r="114" ht="15.75" customHeight="1">
      <c r="B114" s="156"/>
      <c r="C114" s="157"/>
      <c r="D114" s="142"/>
      <c r="I114" s="157"/>
      <c r="J114" s="152"/>
    </row>
    <row r="115" ht="15.75" customHeight="1">
      <c r="B115" s="156"/>
      <c r="C115" s="157"/>
      <c r="D115" s="142"/>
      <c r="I115" s="157"/>
      <c r="J115" s="152"/>
    </row>
    <row r="116" ht="15.75" customHeight="1">
      <c r="B116" s="156"/>
      <c r="C116" s="157"/>
      <c r="D116" s="142"/>
      <c r="I116" s="157"/>
      <c r="J116" s="152"/>
    </row>
    <row r="117" ht="15.75" customHeight="1">
      <c r="B117" s="156"/>
      <c r="C117" s="157"/>
      <c r="D117" s="142"/>
      <c r="I117" s="157"/>
      <c r="J117" s="152"/>
    </row>
    <row r="118" ht="15.75" customHeight="1">
      <c r="B118" s="156"/>
      <c r="C118" s="157"/>
      <c r="D118" s="142"/>
      <c r="I118" s="157"/>
      <c r="J118" s="152"/>
    </row>
    <row r="119" ht="15.75" customHeight="1">
      <c r="B119" s="156"/>
      <c r="C119" s="157"/>
      <c r="D119" s="142"/>
      <c r="I119" s="157"/>
      <c r="J119" s="152"/>
    </row>
    <row r="120" ht="15.75" customHeight="1">
      <c r="B120" s="156"/>
      <c r="C120" s="157"/>
      <c r="D120" s="142"/>
      <c r="I120" s="157"/>
      <c r="J120" s="152"/>
    </row>
    <row r="121" ht="15.75" customHeight="1">
      <c r="B121" s="156"/>
      <c r="C121" s="157"/>
      <c r="D121" s="142"/>
      <c r="I121" s="157"/>
      <c r="J121" s="152"/>
    </row>
    <row r="122" ht="15.75" customHeight="1">
      <c r="B122" s="156"/>
      <c r="C122" s="157"/>
      <c r="D122" s="142"/>
      <c r="I122" s="157"/>
      <c r="J122" s="152"/>
    </row>
    <row r="123" ht="15.75" customHeight="1">
      <c r="B123" s="156"/>
      <c r="C123" s="157"/>
      <c r="D123" s="142"/>
      <c r="I123" s="157"/>
      <c r="J123" s="152"/>
    </row>
    <row r="124" ht="15.75" customHeight="1">
      <c r="B124" s="156"/>
      <c r="C124" s="157"/>
      <c r="D124" s="142"/>
      <c r="I124" s="157"/>
      <c r="J124" s="152"/>
    </row>
    <row r="125" ht="15.75" customHeight="1">
      <c r="B125" s="156"/>
      <c r="C125" s="157"/>
      <c r="D125" s="142"/>
      <c r="I125" s="157"/>
      <c r="J125" s="152"/>
    </row>
    <row r="126" ht="15.75" customHeight="1">
      <c r="B126" s="156"/>
      <c r="C126" s="157"/>
      <c r="D126" s="142"/>
      <c r="I126" s="157"/>
      <c r="J126" s="152"/>
    </row>
    <row r="127" ht="15.75" customHeight="1">
      <c r="B127" s="156"/>
      <c r="C127" s="157"/>
      <c r="D127" s="142"/>
      <c r="I127" s="157"/>
      <c r="J127" s="152"/>
    </row>
    <row r="128" ht="15.75" customHeight="1">
      <c r="B128" s="156"/>
      <c r="C128" s="157"/>
      <c r="D128" s="142"/>
      <c r="I128" s="157"/>
      <c r="J128" s="152"/>
    </row>
    <row r="129" ht="15.75" customHeight="1">
      <c r="B129" s="156"/>
      <c r="C129" s="157"/>
      <c r="D129" s="142"/>
      <c r="I129" s="157"/>
      <c r="J129" s="152"/>
    </row>
    <row r="130" ht="15.75" customHeight="1">
      <c r="B130" s="156"/>
      <c r="C130" s="157"/>
      <c r="D130" s="142"/>
      <c r="I130" s="157"/>
      <c r="J130" s="152"/>
    </row>
    <row r="131" ht="15.75" customHeight="1">
      <c r="B131" s="156"/>
      <c r="C131" s="157"/>
      <c r="D131" s="142"/>
      <c r="I131" s="157"/>
      <c r="J131" s="152"/>
    </row>
    <row r="132" ht="15.75" customHeight="1">
      <c r="B132" s="156"/>
      <c r="C132" s="157"/>
      <c r="D132" s="142"/>
      <c r="I132" s="157"/>
      <c r="J132" s="152"/>
    </row>
    <row r="133" ht="15.75" customHeight="1">
      <c r="B133" s="156"/>
      <c r="C133" s="157"/>
      <c r="D133" s="142"/>
      <c r="I133" s="157"/>
      <c r="J133" s="152"/>
    </row>
    <row r="134" ht="15.75" customHeight="1">
      <c r="B134" s="156"/>
      <c r="C134" s="157"/>
      <c r="D134" s="142"/>
      <c r="I134" s="157"/>
      <c r="J134" s="152"/>
    </row>
    <row r="135" ht="15.75" customHeight="1">
      <c r="B135" s="156"/>
      <c r="C135" s="157"/>
      <c r="D135" s="142"/>
      <c r="I135" s="157"/>
      <c r="J135" s="152"/>
    </row>
    <row r="136" ht="15.75" customHeight="1">
      <c r="B136" s="156"/>
      <c r="C136" s="157"/>
      <c r="D136" s="142"/>
      <c r="I136" s="157"/>
      <c r="J136" s="152"/>
    </row>
    <row r="137" ht="15.75" customHeight="1">
      <c r="B137" s="156"/>
      <c r="C137" s="157"/>
      <c r="D137" s="142"/>
      <c r="I137" s="157"/>
      <c r="J137" s="152"/>
    </row>
    <row r="138" ht="15.75" customHeight="1">
      <c r="B138" s="156"/>
      <c r="C138" s="157"/>
      <c r="D138" s="142"/>
      <c r="I138" s="157"/>
      <c r="J138" s="152"/>
    </row>
    <row r="139" ht="15.75" customHeight="1">
      <c r="B139" s="156"/>
      <c r="C139" s="157"/>
      <c r="D139" s="142"/>
      <c r="I139" s="157"/>
      <c r="J139" s="152"/>
    </row>
    <row r="140" ht="15.75" customHeight="1">
      <c r="B140" s="156"/>
      <c r="C140" s="157"/>
      <c r="D140" s="142"/>
      <c r="I140" s="157"/>
      <c r="J140" s="152"/>
    </row>
    <row r="141" ht="15.75" customHeight="1">
      <c r="B141" s="156"/>
      <c r="C141" s="157"/>
      <c r="D141" s="142"/>
      <c r="I141" s="157"/>
      <c r="J141" s="152"/>
    </row>
    <row r="142" ht="15.75" customHeight="1">
      <c r="B142" s="156"/>
      <c r="C142" s="157"/>
      <c r="D142" s="142"/>
      <c r="I142" s="157"/>
      <c r="J142" s="152"/>
    </row>
    <row r="143" ht="15.75" customHeight="1">
      <c r="B143" s="156"/>
      <c r="C143" s="157"/>
      <c r="D143" s="142"/>
      <c r="I143" s="157"/>
      <c r="J143" s="152"/>
    </row>
    <row r="144" ht="15.75" customHeight="1">
      <c r="B144" s="156"/>
      <c r="C144" s="157"/>
      <c r="D144" s="142"/>
      <c r="I144" s="157"/>
      <c r="J144" s="152"/>
    </row>
    <row r="145" ht="15.75" customHeight="1">
      <c r="B145" s="156"/>
      <c r="C145" s="157"/>
      <c r="D145" s="142"/>
      <c r="I145" s="157"/>
      <c r="J145" s="152"/>
    </row>
    <row r="146" ht="15.75" customHeight="1">
      <c r="B146" s="156"/>
      <c r="C146" s="157"/>
      <c r="D146" s="142"/>
      <c r="I146" s="157"/>
      <c r="J146" s="152"/>
    </row>
    <row r="147" ht="15.75" customHeight="1">
      <c r="B147" s="156"/>
      <c r="C147" s="157"/>
      <c r="D147" s="142"/>
      <c r="I147" s="157"/>
      <c r="J147" s="152"/>
    </row>
    <row r="148" ht="15.75" customHeight="1">
      <c r="B148" s="156"/>
      <c r="C148" s="157"/>
      <c r="D148" s="142"/>
      <c r="I148" s="157"/>
      <c r="J148" s="152"/>
    </row>
    <row r="149" ht="15.75" customHeight="1">
      <c r="B149" s="156"/>
      <c r="C149" s="157"/>
      <c r="D149" s="142"/>
      <c r="I149" s="157"/>
      <c r="J149" s="152"/>
    </row>
    <row r="150" ht="15.75" customHeight="1">
      <c r="B150" s="156"/>
      <c r="C150" s="157"/>
      <c r="D150" s="142"/>
      <c r="I150" s="157"/>
      <c r="J150" s="152"/>
    </row>
    <row r="151" ht="15.75" customHeight="1">
      <c r="B151" s="156"/>
      <c r="C151" s="157"/>
      <c r="D151" s="142"/>
      <c r="I151" s="157"/>
      <c r="J151" s="152"/>
    </row>
    <row r="152" ht="15.75" customHeight="1">
      <c r="B152" s="156"/>
      <c r="C152" s="157"/>
      <c r="D152" s="142"/>
      <c r="I152" s="157"/>
      <c r="J152" s="152"/>
    </row>
    <row r="153" ht="15.75" customHeight="1">
      <c r="B153" s="156"/>
      <c r="C153" s="157"/>
      <c r="D153" s="142"/>
      <c r="I153" s="157"/>
      <c r="J153" s="152"/>
    </row>
    <row r="154" ht="15.75" customHeight="1">
      <c r="B154" s="156"/>
      <c r="C154" s="157"/>
      <c r="D154" s="142"/>
      <c r="I154" s="157"/>
      <c r="J154" s="152"/>
    </row>
    <row r="155" ht="15.75" customHeight="1">
      <c r="B155" s="156"/>
      <c r="C155" s="157"/>
      <c r="D155" s="142"/>
      <c r="I155" s="157"/>
      <c r="J155" s="152"/>
    </row>
    <row r="156" ht="15.75" customHeight="1">
      <c r="B156" s="156"/>
      <c r="C156" s="157"/>
      <c r="D156" s="142"/>
      <c r="I156" s="157"/>
      <c r="J156" s="152"/>
    </row>
    <row r="157" ht="15.75" customHeight="1">
      <c r="B157" s="156"/>
      <c r="C157" s="157"/>
      <c r="D157" s="142"/>
      <c r="I157" s="157"/>
      <c r="J157" s="152"/>
    </row>
    <row r="158" ht="15.75" customHeight="1">
      <c r="B158" s="156"/>
      <c r="C158" s="157"/>
      <c r="D158" s="142"/>
      <c r="I158" s="157"/>
      <c r="J158" s="152"/>
    </row>
    <row r="159" ht="15.75" customHeight="1">
      <c r="B159" s="156"/>
      <c r="C159" s="157"/>
      <c r="D159" s="142"/>
      <c r="I159" s="157"/>
      <c r="J159" s="152"/>
    </row>
    <row r="160" ht="15.75" customHeight="1">
      <c r="B160" s="156"/>
      <c r="C160" s="157"/>
      <c r="D160" s="142"/>
      <c r="I160" s="157"/>
      <c r="J160" s="152"/>
    </row>
    <row r="161" ht="15.75" customHeight="1">
      <c r="B161" s="156"/>
      <c r="C161" s="157"/>
      <c r="D161" s="142"/>
      <c r="I161" s="157"/>
      <c r="J161" s="152"/>
    </row>
    <row r="162" ht="15.75" customHeight="1">
      <c r="B162" s="156"/>
      <c r="C162" s="157"/>
      <c r="D162" s="142"/>
      <c r="I162" s="157"/>
      <c r="J162" s="152"/>
    </row>
    <row r="163" ht="15.75" customHeight="1">
      <c r="B163" s="156"/>
      <c r="C163" s="157"/>
      <c r="D163" s="142"/>
      <c r="I163" s="157"/>
      <c r="J163" s="152"/>
    </row>
    <row r="164" ht="15.75" customHeight="1">
      <c r="B164" s="156"/>
      <c r="C164" s="157"/>
      <c r="D164" s="142"/>
      <c r="I164" s="157"/>
      <c r="J164" s="152"/>
    </row>
    <row r="165" ht="15.75" customHeight="1">
      <c r="B165" s="156"/>
      <c r="C165" s="157"/>
      <c r="D165" s="142"/>
      <c r="I165" s="157"/>
      <c r="J165" s="152"/>
    </row>
    <row r="166" ht="15.75" customHeight="1">
      <c r="B166" s="156"/>
      <c r="C166" s="157"/>
      <c r="D166" s="142"/>
      <c r="I166" s="157"/>
      <c r="J166" s="152"/>
    </row>
    <row r="167" ht="15.75" customHeight="1">
      <c r="B167" s="156"/>
      <c r="C167" s="157"/>
      <c r="D167" s="142"/>
      <c r="I167" s="157"/>
      <c r="J167" s="152"/>
    </row>
    <row r="168" ht="15.75" customHeight="1">
      <c r="B168" s="156"/>
      <c r="C168" s="157"/>
      <c r="D168" s="142"/>
      <c r="I168" s="157"/>
      <c r="J168" s="152"/>
    </row>
    <row r="169" ht="15.75" customHeight="1">
      <c r="B169" s="156"/>
      <c r="C169" s="157"/>
      <c r="D169" s="142"/>
      <c r="I169" s="157"/>
      <c r="J169" s="152"/>
    </row>
    <row r="170" ht="15.75" customHeight="1">
      <c r="B170" s="156"/>
      <c r="C170" s="157"/>
      <c r="D170" s="142"/>
      <c r="I170" s="157"/>
      <c r="J170" s="152"/>
    </row>
    <row r="171" ht="15.75" customHeight="1">
      <c r="B171" s="156"/>
      <c r="C171" s="157"/>
      <c r="D171" s="142"/>
      <c r="I171" s="157"/>
      <c r="J171" s="152"/>
    </row>
    <row r="172" ht="15.75" customHeight="1">
      <c r="B172" s="156"/>
      <c r="C172" s="157"/>
      <c r="D172" s="142"/>
      <c r="I172" s="157"/>
      <c r="J172" s="152"/>
    </row>
    <row r="173" ht="15.75" customHeight="1">
      <c r="B173" s="156"/>
      <c r="C173" s="157"/>
      <c r="D173" s="142"/>
      <c r="I173" s="157"/>
      <c r="J173" s="152"/>
    </row>
    <row r="174" ht="15.75" customHeight="1">
      <c r="B174" s="156"/>
      <c r="C174" s="157"/>
      <c r="D174" s="142"/>
      <c r="I174" s="157"/>
      <c r="J174" s="152"/>
    </row>
    <row r="175" ht="15.75" customHeight="1">
      <c r="B175" s="156"/>
      <c r="C175" s="157"/>
      <c r="D175" s="142"/>
      <c r="I175" s="157"/>
      <c r="J175" s="152"/>
    </row>
    <row r="176" ht="15.75" customHeight="1">
      <c r="B176" s="156"/>
      <c r="C176" s="157"/>
      <c r="D176" s="142"/>
      <c r="I176" s="157"/>
      <c r="J176" s="152"/>
    </row>
    <row r="177" ht="15.75" customHeight="1">
      <c r="B177" s="156"/>
      <c r="C177" s="157"/>
      <c r="D177" s="142"/>
      <c r="I177" s="157"/>
      <c r="J177" s="152"/>
    </row>
    <row r="178" ht="15.75" customHeight="1">
      <c r="B178" s="156"/>
      <c r="C178" s="157"/>
      <c r="D178" s="142"/>
      <c r="I178" s="157"/>
      <c r="J178" s="152"/>
    </row>
    <row r="179" ht="15.75" customHeight="1">
      <c r="B179" s="156"/>
      <c r="C179" s="157"/>
      <c r="D179" s="142"/>
      <c r="I179" s="157"/>
      <c r="J179" s="152"/>
    </row>
    <row r="180" ht="15.75" customHeight="1">
      <c r="B180" s="156"/>
      <c r="C180" s="157"/>
      <c r="D180" s="142"/>
      <c r="I180" s="157"/>
      <c r="J180" s="152"/>
    </row>
    <row r="181" ht="15.75" customHeight="1">
      <c r="B181" s="156"/>
      <c r="C181" s="157"/>
      <c r="D181" s="142"/>
      <c r="I181" s="157"/>
      <c r="J181" s="152"/>
    </row>
    <row r="182" ht="15.75" customHeight="1">
      <c r="B182" s="156"/>
      <c r="C182" s="157"/>
      <c r="D182" s="142"/>
      <c r="I182" s="157"/>
      <c r="J182" s="152"/>
    </row>
    <row r="183" ht="15.75" customHeight="1">
      <c r="B183" s="156"/>
      <c r="C183" s="157"/>
      <c r="D183" s="142"/>
      <c r="I183" s="157"/>
      <c r="J183" s="152"/>
    </row>
    <row r="184" ht="15.75" customHeight="1">
      <c r="B184" s="156"/>
      <c r="C184" s="157"/>
      <c r="D184" s="142"/>
      <c r="I184" s="157"/>
      <c r="J184" s="152"/>
    </row>
    <row r="185" ht="15.75" customHeight="1">
      <c r="B185" s="156"/>
      <c r="C185" s="157"/>
      <c r="D185" s="142"/>
      <c r="I185" s="157"/>
      <c r="J185" s="152"/>
    </row>
    <row r="186" ht="15.75" customHeight="1">
      <c r="B186" s="156"/>
      <c r="C186" s="157"/>
      <c r="D186" s="142"/>
      <c r="I186" s="157"/>
      <c r="J186" s="152"/>
    </row>
    <row r="187" ht="15.75" customHeight="1">
      <c r="B187" s="156"/>
      <c r="C187" s="157"/>
      <c r="D187" s="142"/>
      <c r="I187" s="157"/>
      <c r="J187" s="152"/>
    </row>
    <row r="188" ht="15.75" customHeight="1">
      <c r="B188" s="156"/>
      <c r="C188" s="157"/>
      <c r="D188" s="142"/>
      <c r="I188" s="157"/>
      <c r="J188" s="152"/>
    </row>
    <row r="189" ht="15.75" customHeight="1">
      <c r="B189" s="156"/>
      <c r="C189" s="157"/>
      <c r="D189" s="142"/>
      <c r="I189" s="157"/>
      <c r="J189" s="152"/>
    </row>
    <row r="190" ht="15.75" customHeight="1">
      <c r="B190" s="156"/>
      <c r="C190" s="157"/>
      <c r="D190" s="142"/>
      <c r="I190" s="157"/>
      <c r="J190" s="152"/>
    </row>
    <row r="191" ht="15.75" customHeight="1">
      <c r="B191" s="156"/>
      <c r="C191" s="157"/>
      <c r="D191" s="142"/>
      <c r="I191" s="157"/>
      <c r="J191" s="152"/>
    </row>
    <row r="192" ht="15.75" customHeight="1">
      <c r="B192" s="156"/>
      <c r="C192" s="157"/>
      <c r="D192" s="142"/>
      <c r="I192" s="157"/>
      <c r="J192" s="152"/>
    </row>
    <row r="193" ht="15.75" customHeight="1">
      <c r="B193" s="156"/>
      <c r="C193" s="157"/>
      <c r="D193" s="142"/>
      <c r="I193" s="157"/>
      <c r="J193" s="152"/>
    </row>
    <row r="194" ht="15.75" customHeight="1">
      <c r="B194" s="156"/>
      <c r="C194" s="157"/>
      <c r="D194" s="142"/>
      <c r="I194" s="157"/>
      <c r="J194" s="152"/>
    </row>
    <row r="195" ht="15.75" customHeight="1">
      <c r="B195" s="156"/>
      <c r="C195" s="157"/>
      <c r="D195" s="142"/>
      <c r="I195" s="157"/>
      <c r="J195" s="152"/>
    </row>
    <row r="196" ht="15.75" customHeight="1">
      <c r="B196" s="156"/>
      <c r="C196" s="157"/>
      <c r="D196" s="142"/>
      <c r="I196" s="157"/>
      <c r="J196" s="152"/>
    </row>
    <row r="197" ht="15.75" customHeight="1">
      <c r="B197" s="156"/>
      <c r="C197" s="157"/>
      <c r="D197" s="142"/>
      <c r="I197" s="157"/>
      <c r="J197" s="152"/>
    </row>
    <row r="198" ht="15.75" customHeight="1">
      <c r="B198" s="156"/>
      <c r="C198" s="157"/>
      <c r="D198" s="142"/>
      <c r="I198" s="157"/>
      <c r="J198" s="152"/>
    </row>
    <row r="199" ht="15.75" customHeight="1">
      <c r="B199" s="156"/>
      <c r="C199" s="157"/>
      <c r="D199" s="142"/>
      <c r="I199" s="157"/>
      <c r="J199" s="152"/>
    </row>
    <row r="200" ht="15.75" customHeight="1">
      <c r="B200" s="156"/>
      <c r="C200" s="157"/>
      <c r="D200" s="142"/>
      <c r="I200" s="157"/>
      <c r="J200" s="152"/>
    </row>
    <row r="201" ht="15.75" customHeight="1">
      <c r="B201" s="156"/>
      <c r="C201" s="157"/>
      <c r="D201" s="142"/>
      <c r="I201" s="157"/>
      <c r="J201" s="152"/>
    </row>
    <row r="202" ht="15.75" customHeight="1">
      <c r="B202" s="156"/>
      <c r="C202" s="157"/>
      <c r="D202" s="142"/>
      <c r="I202" s="157"/>
      <c r="J202" s="152"/>
    </row>
    <row r="203" ht="15.75" customHeight="1">
      <c r="B203" s="156"/>
      <c r="C203" s="157"/>
      <c r="D203" s="142"/>
      <c r="I203" s="157"/>
      <c r="J203" s="152"/>
    </row>
    <row r="204" ht="15.75" customHeight="1">
      <c r="B204" s="156"/>
      <c r="C204" s="157"/>
      <c r="D204" s="142"/>
      <c r="I204" s="157"/>
      <c r="J204" s="152"/>
    </row>
    <row r="205" ht="15.75" customHeight="1">
      <c r="B205" s="156"/>
      <c r="C205" s="157"/>
      <c r="D205" s="142"/>
      <c r="I205" s="157"/>
      <c r="J205" s="152"/>
    </row>
    <row r="206" ht="15.75" customHeight="1">
      <c r="B206" s="156"/>
      <c r="C206" s="157"/>
      <c r="D206" s="142"/>
      <c r="I206" s="157"/>
      <c r="J206" s="152"/>
    </row>
    <row r="207" ht="15.75" customHeight="1">
      <c r="B207" s="156"/>
      <c r="C207" s="157"/>
      <c r="D207" s="142"/>
      <c r="I207" s="157"/>
      <c r="J207" s="152"/>
    </row>
    <row r="208" ht="15.75" customHeight="1">
      <c r="B208" s="156"/>
      <c r="C208" s="157"/>
      <c r="D208" s="142"/>
      <c r="I208" s="157"/>
      <c r="J208" s="152"/>
    </row>
    <row r="209" ht="15.75" customHeight="1">
      <c r="B209" s="156"/>
      <c r="C209" s="157"/>
      <c r="D209" s="142"/>
      <c r="I209" s="157"/>
      <c r="J209" s="152"/>
    </row>
    <row r="210" ht="15.75" customHeight="1">
      <c r="B210" s="156"/>
      <c r="C210" s="157"/>
      <c r="D210" s="142"/>
      <c r="I210" s="157"/>
      <c r="J210" s="152"/>
    </row>
    <row r="211" ht="15.75" customHeight="1">
      <c r="B211" s="156"/>
      <c r="C211" s="157"/>
      <c r="D211" s="142"/>
      <c r="I211" s="157"/>
      <c r="J211" s="152"/>
    </row>
    <row r="212" ht="15.75" customHeight="1">
      <c r="B212" s="156"/>
      <c r="C212" s="157"/>
      <c r="D212" s="142"/>
      <c r="I212" s="157"/>
      <c r="J212" s="152"/>
    </row>
    <row r="213" ht="15.75" customHeight="1">
      <c r="B213" s="156"/>
      <c r="C213" s="157"/>
      <c r="D213" s="142"/>
      <c r="I213" s="157"/>
      <c r="J213" s="152"/>
    </row>
    <row r="214" ht="15.75" customHeight="1">
      <c r="B214" s="156"/>
      <c r="C214" s="157"/>
      <c r="D214" s="142"/>
      <c r="I214" s="157"/>
      <c r="J214" s="152"/>
    </row>
    <row r="215" ht="15.75" customHeight="1">
      <c r="B215" s="156"/>
      <c r="C215" s="157"/>
      <c r="D215" s="142"/>
      <c r="I215" s="157"/>
      <c r="J215" s="152"/>
    </row>
    <row r="216" ht="15.75" customHeight="1">
      <c r="B216" s="156"/>
      <c r="C216" s="157"/>
      <c r="D216" s="142"/>
      <c r="I216" s="157"/>
      <c r="J216" s="152"/>
    </row>
    <row r="217" ht="15.75" customHeight="1">
      <c r="B217" s="156"/>
      <c r="C217" s="157"/>
      <c r="D217" s="142"/>
      <c r="I217" s="157"/>
      <c r="J217" s="152"/>
    </row>
    <row r="218" ht="15.75" customHeight="1">
      <c r="B218" s="156"/>
      <c r="C218" s="157"/>
      <c r="D218" s="142"/>
      <c r="I218" s="157"/>
      <c r="J218" s="152"/>
    </row>
    <row r="219" ht="15.75" customHeight="1">
      <c r="B219" s="156"/>
      <c r="C219" s="157"/>
      <c r="D219" s="142"/>
      <c r="I219" s="157"/>
      <c r="J219" s="152"/>
    </row>
    <row r="220" ht="15.75" customHeight="1">
      <c r="B220" s="156"/>
      <c r="C220" s="157"/>
      <c r="D220" s="142"/>
      <c r="I220" s="157"/>
      <c r="J220" s="152"/>
    </row>
    <row r="221" ht="15.75" customHeight="1">
      <c r="B221" s="156"/>
      <c r="C221" s="157"/>
      <c r="D221" s="142"/>
      <c r="I221" s="157"/>
      <c r="J221" s="152"/>
    </row>
    <row r="222" ht="15.75" customHeight="1">
      <c r="B222" s="156"/>
      <c r="C222" s="157"/>
      <c r="D222" s="142"/>
      <c r="I222" s="157"/>
      <c r="J222" s="152"/>
    </row>
    <row r="223" ht="15.75" customHeight="1">
      <c r="B223" s="156"/>
      <c r="C223" s="157"/>
      <c r="D223" s="142"/>
      <c r="I223" s="157"/>
      <c r="J223" s="152"/>
    </row>
    <row r="224" ht="15.75" customHeight="1">
      <c r="B224" s="156"/>
      <c r="C224" s="157"/>
      <c r="D224" s="142"/>
      <c r="I224" s="157"/>
      <c r="J224" s="152"/>
    </row>
    <row r="225" ht="15.75" customHeight="1">
      <c r="B225" s="156"/>
      <c r="C225" s="157"/>
      <c r="D225" s="142"/>
      <c r="I225" s="157"/>
      <c r="J225" s="152"/>
    </row>
    <row r="226" ht="15.75" customHeight="1">
      <c r="B226" s="156"/>
      <c r="C226" s="157"/>
      <c r="D226" s="142"/>
      <c r="I226" s="157"/>
      <c r="J226" s="152"/>
    </row>
    <row r="227" ht="15.75" customHeight="1">
      <c r="B227" s="156"/>
      <c r="C227" s="157"/>
      <c r="D227" s="142"/>
      <c r="I227" s="157"/>
      <c r="J227" s="152"/>
    </row>
    <row r="228" ht="15.75" customHeight="1">
      <c r="B228" s="156"/>
      <c r="C228" s="157"/>
      <c r="D228" s="142"/>
      <c r="I228" s="157"/>
      <c r="J228" s="152"/>
    </row>
    <row r="229" ht="15.75" customHeight="1">
      <c r="B229" s="156"/>
      <c r="C229" s="157"/>
      <c r="D229" s="142"/>
      <c r="I229" s="157"/>
      <c r="J229" s="152"/>
    </row>
    <row r="230" ht="15.75" customHeight="1">
      <c r="B230" s="156"/>
      <c r="C230" s="157"/>
      <c r="D230" s="142"/>
      <c r="I230" s="157"/>
      <c r="J230" s="152"/>
    </row>
    <row r="231" ht="15.75" customHeight="1">
      <c r="B231" s="156"/>
      <c r="C231" s="157"/>
      <c r="D231" s="142"/>
      <c r="I231" s="157"/>
      <c r="J231" s="152"/>
    </row>
    <row r="232" ht="15.75" customHeight="1">
      <c r="B232" s="156"/>
      <c r="C232" s="157"/>
      <c r="D232" s="142"/>
      <c r="I232" s="157"/>
      <c r="J232" s="152"/>
    </row>
    <row r="233" ht="15.75" customHeight="1">
      <c r="B233" s="156"/>
      <c r="C233" s="157"/>
      <c r="D233" s="142"/>
      <c r="I233" s="157"/>
      <c r="J233" s="152"/>
    </row>
    <row r="234" ht="15.75" customHeight="1">
      <c r="B234" s="156"/>
      <c r="C234" s="157"/>
      <c r="D234" s="142"/>
      <c r="I234" s="157"/>
      <c r="J234" s="15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D$14"/>
  <mergeCells count="16">
    <mergeCell ref="B2:D2"/>
    <mergeCell ref="G3:G4"/>
    <mergeCell ref="H3:H4"/>
    <mergeCell ref="G5:G6"/>
    <mergeCell ref="H5:H6"/>
    <mergeCell ref="G7:G8"/>
    <mergeCell ref="H7:H8"/>
    <mergeCell ref="F34:F35"/>
    <mergeCell ref="G34:G35"/>
    <mergeCell ref="F3:F8"/>
    <mergeCell ref="F25:F26"/>
    <mergeCell ref="G25:G26"/>
    <mergeCell ref="F29:F30"/>
    <mergeCell ref="G29:G30"/>
    <mergeCell ref="F32:F33"/>
    <mergeCell ref="G32:G33"/>
  </mergeCells>
  <drawing r:id="rId1"/>
</worksheet>
</file>