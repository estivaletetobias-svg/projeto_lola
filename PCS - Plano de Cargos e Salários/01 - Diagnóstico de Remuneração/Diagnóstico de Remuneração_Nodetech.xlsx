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 de Pagamento" sheetId="1" r:id="rId4"/>
    <sheet state="visible" name="Jobmatch" sheetId="2" r:id="rId5"/>
    <sheet state="visible" name="Cálculos Comparativos" sheetId="3" r:id="rId6"/>
    <sheet state="visible" name="Painel Geral" sheetId="4" r:id="rId7"/>
    <sheet state="visible" name="Painel Áreas" sheetId="5" r:id="rId8"/>
    <sheet state="visible" name="Informações Relevantes Cenários" sheetId="6" r:id="rId9"/>
    <sheet state="visible" name="C-01" sheetId="7" r:id="rId10"/>
    <sheet state="visible" name="C-02" sheetId="8" r:id="rId11"/>
    <sheet state="visible" name="Comparativo por Funcionário" sheetId="9" r:id="rId12"/>
  </sheets>
  <definedNames>
    <definedName hidden="1" localSheetId="0" name="_xlnm._FilterDatabase">'Folha de Pagamento'!$A$3:$N$657</definedName>
    <definedName hidden="1" localSheetId="1" name="_xlnm._FilterDatabase">Jobmatch!$A$3:$H$161</definedName>
    <definedName hidden="1" localSheetId="2" name="_xlnm._FilterDatabase">'Cálculos Comparativos'!$A$3:$AA$8</definedName>
    <definedName hidden="1" localSheetId="6" name="_xlnm._FilterDatabase">'C-01'!$A$1:$L$535</definedName>
    <definedName hidden="1" localSheetId="7" name="_xlnm._FilterDatabase">'C-02'!$A$1:$L$535</definedName>
    <definedName hidden="1" localSheetId="8" name="_xlnm._FilterDatabase">'Comparativo por Funcionário'!$A$3:$AA$36</definedName>
    <definedName hidden="1" localSheetId="2" name="Z_EE9F01A5_0436_48C6_B742_C4022DB527FD_.wvu.FilterData">'Cálculos Comparativos'!$A$3:$S$8</definedName>
    <definedName hidden="1" localSheetId="8" name="Z_EE9F01A5_0436_48C6_B742_C4022DB527FD_.wvu.FilterData">'Comparativo por Funcionário'!$A$3:$R$3</definedName>
    <definedName hidden="1" localSheetId="2" name="Z_78E8F05D_0080_488D_908C_3158FEB1729F_.wvu.FilterData">'Cálculos Comparativos'!$A$3:$S$8</definedName>
    <definedName hidden="1" localSheetId="8" name="Z_78E8F05D_0080_488D_908C_3158FEB1729F_.wvu.FilterData">'Comparativo por Funcionário'!$A$3:$R$3</definedName>
    <definedName hidden="1" localSheetId="2" name="Z_22391ECF_48A7_4EAB_BDE6_2A1198107D8A_.wvu.FilterData">'Cálculos Comparativos'!$A$3:$S$8</definedName>
    <definedName hidden="1" localSheetId="8" name="Z_22391ECF_48A7_4EAB_BDE6_2A1198107D8A_.wvu.FilterData">'Comparativo por Funcionário'!$A$3:$R$3</definedName>
    <definedName hidden="1" localSheetId="1" name="Z_73B74B80_3E82_4F85_B5CD_7B8C53BEB6D2_.wvu.FilterData">Jobmatch!$A$3:$H$70</definedName>
    <definedName hidden="1" localSheetId="2" name="Z_73B74B80_3E82_4F85_B5CD_7B8C53BEB6D2_.wvu.FilterData">'Cálculos Comparativos'!$A$3:$S$8</definedName>
    <definedName hidden="1" localSheetId="8" name="Z_73B74B80_3E82_4F85_B5CD_7B8C53BEB6D2_.wvu.FilterData">'Comparativo por Funcionário'!$A$3:$R$3</definedName>
    <definedName hidden="1" localSheetId="2" name="Z_54B4D6D9_2A38_479D_8BE6_B602A9EAF984_.wvu.FilterData">'Cálculos Comparativos'!$A$3:$S$8</definedName>
    <definedName hidden="1" localSheetId="8" name="Z_54B4D6D9_2A38_479D_8BE6_B602A9EAF984_.wvu.FilterData">'Comparativo por Funcionário'!$A$3:$R$3</definedName>
    <definedName hidden="1" localSheetId="2" name="Z_A1F457B6_5FCF_40EF_A04C_19D6DF5C42FB_.wvu.FilterData">'Cálculos Comparativos'!$B$1:$S$1</definedName>
    <definedName hidden="1" localSheetId="8" name="Z_A1F457B6_5FCF_40EF_A04C_19D6DF5C42FB_.wvu.FilterData">'Comparativo por Funcionário'!$A$1:$R$1</definedName>
    <definedName hidden="1" localSheetId="1" name="Z_467239E0_E671_4976_8A46_FD655DE95EE1_.wvu.FilterData">Jobmatch!$A$3:$H$70</definedName>
    <definedName hidden="1" localSheetId="2" name="Z_467239E0_E671_4976_8A46_FD655DE95EE1_.wvu.FilterData">'Cálculos Comparativos'!$A$3:$S$8</definedName>
    <definedName hidden="1" localSheetId="8" name="Z_467239E0_E671_4976_8A46_FD655DE95EE1_.wvu.FilterData">'Comparativo por Funcionário'!$A$3:$R$3</definedName>
  </definedNames>
  <calcPr/>
  <customWorkbookViews>
    <customWorkbookView activeSheetId="0" maximized="1" windowHeight="0" windowWidth="0" guid="{22391ECF-48A7-4EAB-BDE6-2A1198107D8A}" name="Filter 6"/>
    <customWorkbookView activeSheetId="0" maximized="1" windowHeight="0" windowWidth="0" guid="{54B4D6D9-2A38-479D-8BE6-B602A9EAF984}" name="Filter 7"/>
    <customWorkbookView activeSheetId="0" maximized="1" windowHeight="0" windowWidth="0" guid="{78E8F05D-0080-488D-908C-3158FEB1729F}" name="Filter 4"/>
    <customWorkbookView activeSheetId="0" maximized="1" windowHeight="0" windowWidth="0" guid="{EE9F01A5-0436-48C6-B742-C4022DB527FD}" name="Filter 5"/>
    <customWorkbookView activeSheetId="0" maximized="1" windowHeight="0" windowWidth="0" guid="{73B74B80-3E82-4F85-B5CD-7B8C53BEB6D2}" name="Filter 2"/>
    <customWorkbookView activeSheetId="0" maximized="1" windowHeight="0" windowWidth="0" guid="{467239E0-E671-4976-8A46-FD655DE95EE1}" name="Filter 3"/>
    <customWorkbookView activeSheetId="0" maximized="1" windowHeight="0" windowWidth="0" guid="{A1F457B6-5FCF-40EF-A04C-19D6DF5C42FB}" name="Filter 1"/>
  </customWorkbookViews>
  <extLst>
    <ext uri="GoogleSheetsCustomDataVersion2">
      <go:sheetsCustomData xmlns:go="http://customooxmlschemas.google.com/" r:id="rId13" roundtripDataChecksum="hAlNOupplUY36zDqkwilzqWssKA4BtcAR4J0M03ipb4="/>
    </ext>
  </extLst>
</workbook>
</file>

<file path=xl/sharedStrings.xml><?xml version="1.0" encoding="utf-8"?>
<sst xmlns="http://schemas.openxmlformats.org/spreadsheetml/2006/main" count="631" uniqueCount="135">
  <si>
    <t>Folha de Pagamento</t>
  </si>
  <si>
    <t>CNPJ da empresa: 
Referência da Folha de Pagamento: 09/2025
Quantidade de horas mensais usada: 160h
Data de Construção: 06/10/2025</t>
  </si>
  <si>
    <t>Cod. do cargo</t>
  </si>
  <si>
    <t>Cod. do funcionário</t>
  </si>
  <si>
    <t>Cargo atual</t>
  </si>
  <si>
    <t>Novo Cargo</t>
  </si>
  <si>
    <t>Senioridade</t>
  </si>
  <si>
    <t>Nível Organizacional</t>
  </si>
  <si>
    <t>Área</t>
  </si>
  <si>
    <t>Carga Horária</t>
  </si>
  <si>
    <t>Salários</t>
  </si>
  <si>
    <t>Tipo de Contratação</t>
  </si>
  <si>
    <t>CBO</t>
  </si>
  <si>
    <t>Gênero</t>
  </si>
  <si>
    <t>Data de Admissão</t>
  </si>
  <si>
    <t xml:space="preserve">Observações </t>
  </si>
  <si>
    <t>Engenheiro de Software Full Stack</t>
  </si>
  <si>
    <t>Engenheiro de Software Full Stack Sr</t>
  </si>
  <si>
    <t>Sênior</t>
  </si>
  <si>
    <t>Tático</t>
  </si>
  <si>
    <t>DEV</t>
  </si>
  <si>
    <t>CLT</t>
  </si>
  <si>
    <t>Masculino</t>
  </si>
  <si>
    <t>Engenheiro de Software Full Stack Pl</t>
  </si>
  <si>
    <t>Pleno</t>
  </si>
  <si>
    <t>Operacional</t>
  </si>
  <si>
    <t>1/13/2025</t>
  </si>
  <si>
    <t>Feminino</t>
  </si>
  <si>
    <t>Engenheiro de Software Full Stack Jr</t>
  </si>
  <si>
    <t>Júnior</t>
  </si>
  <si>
    <t>2/19/2024</t>
  </si>
  <si>
    <t>9/16/2024</t>
  </si>
  <si>
    <t>10/14/2024</t>
  </si>
  <si>
    <t>Analista de Requisitos</t>
  </si>
  <si>
    <t>Lider</t>
  </si>
  <si>
    <t>Estratégico</t>
  </si>
  <si>
    <t>Jobmatch</t>
  </si>
  <si>
    <t>Cod.</t>
  </si>
  <si>
    <t>Cargos Empresa</t>
  </si>
  <si>
    <t>Cod. Pesquisa</t>
  </si>
  <si>
    <t>Cargos Pesquisa</t>
  </si>
  <si>
    <t>Observações</t>
  </si>
  <si>
    <t>Desenvolvedor</t>
  </si>
  <si>
    <t>Líder Técnico</t>
  </si>
  <si>
    <t>Indiferente</t>
  </si>
  <si>
    <t>DADOS PARA COMPARAÇÃO</t>
  </si>
  <si>
    <t>Posicionamento</t>
  </si>
  <si>
    <t>Média Empresa</t>
  </si>
  <si>
    <t>Cod. Área</t>
  </si>
  <si>
    <t>Código+Senioridade</t>
  </si>
  <si>
    <t>Qtd de Colab</t>
  </si>
  <si>
    <t>Menor Salário</t>
  </si>
  <si>
    <t>1º Quartil</t>
  </si>
  <si>
    <t>Média</t>
  </si>
  <si>
    <t>Mediana</t>
  </si>
  <si>
    <t>3º Quartil</t>
  </si>
  <si>
    <t>Maior Salário</t>
  </si>
  <si>
    <t>C-01</t>
  </si>
  <si>
    <t>C-01 (Posicionamento)</t>
  </si>
  <si>
    <t>C-02</t>
  </si>
  <si>
    <t>C-02 (Posicionamento)</t>
  </si>
  <si>
    <t>Posicionamento e Gráficos em Relação à:</t>
  </si>
  <si>
    <t>▇</t>
  </si>
  <si>
    <t>&lt;=80%</t>
  </si>
  <si>
    <t>Muito Defasado</t>
  </si>
  <si>
    <t>80% - 90%</t>
  </si>
  <si>
    <t>Defasado</t>
  </si>
  <si>
    <t>90% - 100%</t>
  </si>
  <si>
    <t>Na Média</t>
  </si>
  <si>
    <t>100% - 110%</t>
  </si>
  <si>
    <t>Competitivo</t>
  </si>
  <si>
    <t>110% - 120%</t>
  </si>
  <si>
    <t>Muito Competitivo</t>
  </si>
  <si>
    <t>&gt;120%</t>
  </si>
  <si>
    <t>Agressivo</t>
  </si>
  <si>
    <t>Cenário 1</t>
  </si>
  <si>
    <t>Cenário 2</t>
  </si>
  <si>
    <t>cargos com amostra</t>
  </si>
  <si>
    <t xml:space="preserve"> </t>
  </si>
  <si>
    <t>Posição</t>
  </si>
  <si>
    <t>Percentual</t>
  </si>
  <si>
    <t>Qtde de Cargos</t>
  </si>
  <si>
    <t>Total Geral</t>
  </si>
  <si>
    <t>ANÁLISE DE SALÁRIOS</t>
  </si>
  <si>
    <t>NÍVEIS ORGANIZACIONAIS</t>
  </si>
  <si>
    <t>C1</t>
  </si>
  <si>
    <t>C2</t>
  </si>
  <si>
    <t>Nº de Cargos Total</t>
  </si>
  <si>
    <t>Classificado pelo C-01</t>
  </si>
  <si>
    <t>Média empresa</t>
  </si>
  <si>
    <t>Classificado pelo C-02</t>
  </si>
  <si>
    <t>(Para alterar o dado de comparação use a aba Painel Geral)</t>
  </si>
  <si>
    <t xml:space="preserve">ANÁLISE DE </t>
  </si>
  <si>
    <t>COMPARATIVOS SALARIAIS</t>
  </si>
  <si>
    <t>POR ÁREAS</t>
  </si>
  <si>
    <t>Percentual C-01</t>
  </si>
  <si>
    <t>Percentual C-02</t>
  </si>
  <si>
    <t>Qtd Cargos</t>
  </si>
  <si>
    <t>Cód Cargo</t>
  </si>
  <si>
    <t>Cargo Empresa</t>
  </si>
  <si>
    <t>- C-01</t>
  </si>
  <si>
    <t>- C-02</t>
  </si>
  <si>
    <t>Cenário 01: Pesquisa TI - Nacional</t>
  </si>
  <si>
    <t>Cenário 02: Pesquisa TI - Corte por Santa Catarina</t>
  </si>
  <si>
    <t>Plooral Salary Research :: Remuneração Inteligente</t>
  </si>
  <si>
    <t>11º Pesquisa Salarial Nacional de Tecnologia - 2024</t>
  </si>
  <si>
    <t>Período de Coleta: 11/07/2024 à 20/09/2024</t>
  </si>
  <si>
    <t>Divulgação dos Resultados: 23/10/2024</t>
  </si>
  <si>
    <t>Carga Horária: 160 horas</t>
  </si>
  <si>
    <t>INPC Acumulado Aplicado: 4,94%</t>
  </si>
  <si>
    <t>* O índice acumulado aplicado pode variar havendo diferentes coletas no escopo da pesquisa.</t>
  </si>
  <si>
    <t>FILTROS UTILIZADOS</t>
  </si>
  <si>
    <t>Segmentos de Negócio: Não Definido</t>
  </si>
  <si>
    <t>Áreas de Atuação: Não Definido</t>
  </si>
  <si>
    <t>Formas de Contratação: CLT</t>
  </si>
  <si>
    <t>Porte (Colaboradores): Não Definido</t>
  </si>
  <si>
    <t>Porte (Colaboradores): Pequena (de 20 a 99 colaboradores)</t>
  </si>
  <si>
    <t>Porte (Receita Bruta): Não Definido</t>
  </si>
  <si>
    <t>Região: Não Definido</t>
  </si>
  <si>
    <t>Estado: Não Definido</t>
  </si>
  <si>
    <t>Cidade: Não Definido</t>
  </si>
  <si>
    <t>Atenção: Os dados contidos neste documento são para uso exclusivo do cliente Nodetech.</t>
  </si>
  <si>
    <t>© 2015-2025 Plooral Salary Research</t>
  </si>
  <si>
    <t>Código do Cargo</t>
  </si>
  <si>
    <t>Nome do Cargo</t>
  </si>
  <si>
    <t>Código do CargoSenioridade</t>
  </si>
  <si>
    <t>Dados Estatísticos - Empresas</t>
  </si>
  <si>
    <t>Dados Estatísticos - Salários</t>
  </si>
  <si>
    <t>1o Quartil</t>
  </si>
  <si>
    <t>3o Quartil</t>
  </si>
  <si>
    <t>Master</t>
  </si>
  <si>
    <t>Especialista</t>
  </si>
  <si>
    <t>DADOS PARA COMPARAÇÃO - POR FUNCIONÁRIO</t>
  </si>
  <si>
    <t>Salário Funcionário</t>
  </si>
  <si>
    <t>Cod. Setor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</si>
</sst>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$]#,##0.00"/>
    <numFmt numFmtId="165" formatCode="[$R$ -416]#,##0.00"/>
    <numFmt numFmtId="166" formatCode="yyyy-mm"/>
    <numFmt numFmtId="167" formatCode="d/m/yyyy"/>
    <numFmt numFmtId="168" formatCode="dd/mm/yyyy"/>
    <numFmt numFmtId="169" formatCode="yyyy-m"/>
  </numFmts>
  <fonts count="74">
    <font>
      <sz val="10.0"/>
      <color rgb="FF000000"/>
      <name val="Arial"/>
      <scheme val="minor"/>
    </font>
    <font>
      <b/>
      <sz val="10.0"/>
      <color theme="1"/>
      <name val="Arial"/>
    </font>
    <font>
      <sz val="18.0"/>
      <color rgb="FF434343"/>
      <name val="Montserrat"/>
    </font>
    <font/>
    <font>
      <sz val="10.0"/>
      <color rgb="FF434343"/>
      <name val="Montserrat"/>
    </font>
    <font>
      <sz val="10.0"/>
      <color theme="1"/>
      <name val="Arial"/>
    </font>
    <font>
      <color theme="1"/>
      <name val="Calibri"/>
    </font>
    <font>
      <color theme="1"/>
      <name val="Arial"/>
    </font>
    <font>
      <color theme="1"/>
      <name val="Arial"/>
      <scheme val="minor"/>
    </font>
    <font>
      <sz val="24.0"/>
      <color rgb="FF434343"/>
      <name val="Montserrat"/>
    </font>
    <font>
      <b/>
      <sz val="16.0"/>
      <color rgb="FF434343"/>
      <name val="Calibri"/>
    </font>
    <font>
      <b/>
      <sz val="12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18.0"/>
      <color rgb="FFFFFFFF"/>
      <name val="Calibri"/>
    </font>
    <font>
      <b/>
      <sz val="18.0"/>
      <color rgb="FF434343"/>
      <name val="Calibri"/>
    </font>
    <font>
      <b/>
      <sz val="18.0"/>
      <color rgb="FF000000"/>
      <name val="Calibri"/>
    </font>
    <font>
      <sz val="10.0"/>
      <color rgb="FFFFFFFF"/>
      <name val="Calibri"/>
    </font>
    <font>
      <color rgb="FF434343"/>
      <name val="Calibri"/>
    </font>
    <font>
      <color rgb="FF000000"/>
      <name val="Calibri"/>
    </font>
    <font>
      <b/>
      <sz val="14.0"/>
      <color rgb="FF434343"/>
      <name val="Montserrat"/>
    </font>
    <font>
      <b/>
      <color rgb="FF434343"/>
      <name val="Calibri"/>
    </font>
    <font>
      <color rgb="FFFFFFFF"/>
      <name val="Calibri"/>
    </font>
    <font>
      <sz val="13.0"/>
      <color theme="5"/>
      <name val="Arial"/>
    </font>
    <font>
      <b/>
      <sz val="14.0"/>
      <color rgb="FFFFFFFF"/>
      <name val="Montserrat"/>
    </font>
    <font>
      <sz val="14.0"/>
      <color rgb="FF434343"/>
      <name val="Montserrat"/>
    </font>
    <font>
      <sz val="13.0"/>
      <color theme="7"/>
      <name val="Arial"/>
    </font>
    <font>
      <b/>
      <color rgb="FF000000"/>
      <name val="Calibri"/>
    </font>
    <font>
      <sz val="14.0"/>
      <color rgb="FFFFFFFF"/>
      <name val="Montserrat"/>
    </font>
    <font>
      <sz val="14.0"/>
      <color theme="1"/>
      <name val="Montserrat"/>
    </font>
    <font>
      <sz val="13.0"/>
      <color theme="9"/>
      <name val="Arial"/>
    </font>
    <font>
      <sz val="18.0"/>
      <color rgb="FFFFFFFF"/>
      <name val="Calibri"/>
    </font>
    <font>
      <sz val="13.0"/>
      <color theme="8"/>
      <name val="Arial"/>
    </font>
    <font>
      <sz val="13.0"/>
      <color theme="4"/>
      <name val="Arial"/>
    </font>
    <font>
      <sz val="13.0"/>
      <color rgb="FF0533CA"/>
      <name val="Arial"/>
    </font>
    <font>
      <b/>
      <sz val="20.0"/>
      <color rgb="FFF1C232"/>
      <name val="Calibri"/>
    </font>
    <font>
      <b/>
      <sz val="20.0"/>
      <color rgb="FF1B5BFF"/>
      <name val="Calibri"/>
    </font>
    <font>
      <b/>
      <sz val="24.0"/>
      <color rgb="FFF1C232"/>
      <name val="Calibri"/>
    </font>
    <font>
      <b/>
      <sz val="24.0"/>
      <color rgb="FF1B5BFF"/>
      <name val="Calibri"/>
    </font>
    <font>
      <sz val="14.0"/>
      <color rgb="FFFFFFFF"/>
      <name val="Calibri"/>
    </font>
    <font>
      <b/>
      <color rgb="FFFFFFFF"/>
      <name val="Calibri"/>
    </font>
    <font>
      <sz val="22.0"/>
      <color rgb="FF1200D3"/>
      <name val="Montserrat"/>
    </font>
    <font>
      <b/>
      <sz val="22.0"/>
      <color rgb="FFF7BF34"/>
      <name val="Montserrat"/>
    </font>
    <font>
      <b/>
      <sz val="16.0"/>
      <color rgb="FFF1C232"/>
      <name val="Calibri"/>
    </font>
    <font>
      <sz val="12.0"/>
      <color rgb="FFFFFFFF"/>
      <name val="Calibri"/>
    </font>
    <font>
      <b/>
      <sz val="16.0"/>
      <color rgb="FF1B5BFF"/>
      <name val="Calibri"/>
    </font>
    <font>
      <b/>
      <sz val="16.0"/>
      <color theme="5"/>
      <name val="Calibri"/>
    </font>
    <font>
      <b/>
      <sz val="12.0"/>
      <color rgb="FF0533CA"/>
      <name val="Calibri"/>
    </font>
    <font>
      <b/>
      <sz val="12.0"/>
      <color rgb="FF434343"/>
      <name val="Calibri"/>
    </font>
    <font>
      <b/>
      <sz val="11.0"/>
      <color rgb="FF434343"/>
      <name val="Calibri"/>
    </font>
    <font>
      <b/>
      <sz val="11.0"/>
      <color rgb="FFFFFFFF"/>
      <name val="Calibri"/>
    </font>
    <font>
      <color rgb="FF999999"/>
      <name val="Calibri"/>
    </font>
    <font>
      <sz val="9.0"/>
      <color rgb="FFFFFFFF"/>
      <name val="Arial"/>
    </font>
    <font>
      <b/>
      <sz val="12.0"/>
      <color rgb="FFFF0000"/>
      <name val="Calibri"/>
    </font>
    <font>
      <b/>
      <sz val="12.0"/>
      <color rgb="FFF1C232"/>
      <name val="Arial"/>
    </font>
    <font>
      <b/>
      <sz val="12.0"/>
      <color rgb="FF1B5BFF"/>
      <name val="Calibri"/>
    </font>
    <font>
      <color rgb="FFFFFFFF"/>
      <name val="Arial"/>
    </font>
    <font>
      <b/>
      <sz val="19.0"/>
      <color rgb="FF434343"/>
      <name val="Montserrat"/>
    </font>
    <font>
      <b/>
      <sz val="24.0"/>
      <color theme="5"/>
      <name val="Calibri"/>
    </font>
    <font>
      <i/>
      <sz val="9.0"/>
      <color theme="1"/>
      <name val="Montserrat"/>
    </font>
    <font>
      <sz val="19.0"/>
      <color rgb="FF1200D3"/>
      <name val="Montserrat"/>
    </font>
    <font>
      <b/>
      <sz val="19.0"/>
      <color rgb="FFF7BF34"/>
      <name val="Montserrat"/>
    </font>
    <font>
      <b/>
      <sz val="24.0"/>
      <color rgb="FFFF9900"/>
      <name val="Calibri"/>
    </font>
    <font>
      <sz val="19.0"/>
      <color theme="1"/>
      <name val="Arial"/>
    </font>
    <font>
      <b/>
      <sz val="16.0"/>
      <color rgb="FFFFFFFF"/>
      <name val="Montserrat"/>
    </font>
    <font>
      <b/>
      <sz val="18.0"/>
      <color rgb="FFFFFFFF"/>
      <name val="Montserrat"/>
    </font>
    <font>
      <sz val="12.0"/>
      <color theme="1"/>
      <name val="Calibri"/>
    </font>
    <font>
      <color rgb="FF000000"/>
      <name val="Arial"/>
    </font>
    <font>
      <b/>
      <sz val="12.0"/>
      <color rgb="FFFFFFFF"/>
      <name val="Calibri"/>
    </font>
    <font>
      <b/>
      <sz val="10.0"/>
      <color rgb="FFFFFFFF"/>
      <name val="Calibri"/>
    </font>
    <font>
      <b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9CF67"/>
        <bgColor rgb="FFF9CF67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BF9000"/>
        <bgColor rgb="FFBF9000"/>
      </patternFill>
    </fill>
    <fill>
      <patternFill patternType="solid">
        <fgColor rgb="FF1B5BFF"/>
        <bgColor rgb="FF1B5BFF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1C232"/>
        <bgColor rgb="FFF1C232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56">
    <border/>
    <border>
      <top style="thin">
        <color rgb="FFCCCCCC"/>
      </top>
      <bottom style="thin">
        <color rgb="FFCCCCCC"/>
      </bottom>
    </border>
    <border>
      <left/>
      <right/>
      <bottom/>
    </border>
    <border>
      <left style="thin">
        <color rgb="FFCCCCCC"/>
      </left>
      <right style="thin">
        <color rgb="FFCCCCCC"/>
      </right>
      <top style="double">
        <color rgb="FF666666"/>
      </top>
    </border>
    <border>
      <left style="thin">
        <color rgb="FFCCCCCC"/>
      </left>
      <right style="thin">
        <color rgb="FFCCCCCC"/>
      </right>
      <top style="double">
        <color rgb="FF666666"/>
      </top>
      <bottom/>
    </border>
    <border>
      <left style="thin">
        <color rgb="FFCCCCCC"/>
      </left>
      <right style="thin">
        <color rgb="FFCCCCCC"/>
      </right>
      <top style="double">
        <color rgb="FF666666"/>
      </top>
      <bottom style="thin">
        <color rgb="FFCCCCCC"/>
      </bottom>
    </border>
    <border>
      <left style="thin">
        <color rgb="FFCCCCCC"/>
      </left>
      <right/>
      <top style="double">
        <color rgb="FF666666"/>
      </top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666666"/>
      </top>
      <bottom style="thin">
        <color rgb="FFCCCCCC"/>
      </bottom>
    </border>
    <border>
      <left style="thin">
        <color rgb="FF666666"/>
      </left>
      <top style="thin">
        <color rgb="FF666666"/>
      </top>
      <bottom style="thin">
        <color rgb="FFCCCCCC"/>
      </bottom>
    </border>
    <border>
      <left style="thin">
        <color rgb="FFAEABAB"/>
      </left>
      <top style="thin">
        <color rgb="FFAEABAB"/>
      </top>
    </border>
    <border>
      <top style="thin">
        <color rgb="FFAEABAB"/>
      </top>
    </border>
    <border>
      <right style="thin">
        <color rgb="FFAEABAB"/>
      </right>
      <top style="thin">
        <color rgb="FFAEABAB"/>
      </top>
    </border>
    <border>
      <left style="thin">
        <color rgb="FFAEABAB"/>
      </left>
      <right style="thin">
        <color rgb="FFAEABAB"/>
      </right>
      <top style="thin">
        <color rgb="FFAEABAB"/>
      </top>
    </border>
    <border>
      <left style="thin">
        <color rgb="FF666666"/>
      </left>
      <right/>
      <bottom/>
    </border>
    <border>
      <left/>
      <right style="thin">
        <color rgb="FF666666"/>
      </right>
      <bottom/>
    </border>
    <border>
      <left/>
      <bottom/>
    </border>
    <border>
      <left style="thin">
        <color rgb="FF666666"/>
      </left>
      <right/>
      <top/>
      <bottom/>
    </border>
    <border>
      <left/>
      <right/>
      <top/>
      <bottom/>
    </border>
    <border>
      <left/>
      <right/>
      <top/>
      <bottom style="double">
        <color rgb="FF666666"/>
      </bottom>
    </border>
    <border>
      <left style="thin">
        <color rgb="FF666666"/>
      </left>
      <right style="thin">
        <color rgb="FFCCCCCC"/>
      </right>
      <top style="double">
        <color rgb="FF666666"/>
      </top>
      <bottom style="thin">
        <color rgb="FF666666"/>
      </bottom>
    </border>
    <border>
      <left style="thin">
        <color rgb="FFCCCCCC"/>
      </left>
      <right style="thin">
        <color rgb="FFCCCCCC"/>
      </right>
      <top style="double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double">
        <color rgb="FF666666"/>
      </top>
      <bottom/>
    </border>
    <border>
      <left style="thin">
        <color rgb="FFCCCCCC"/>
      </left>
      <right/>
      <top style="double">
        <color rgb="FF666666"/>
      </top>
      <bottom style="thin">
        <color rgb="FF666666"/>
      </bottom>
    </border>
    <border>
      <left/>
      <right/>
      <top style="double">
        <color rgb="FF666666"/>
      </top>
      <bottom/>
    </border>
    <border>
      <left style="thin">
        <color rgb="FFCCCCCC"/>
      </left>
      <right style="thin">
        <color rgb="FF666666"/>
      </right>
      <top style="double">
        <color rgb="FF666666"/>
      </top>
      <bottom style="thin">
        <color rgb="FF666666"/>
      </bottom>
    </border>
    <border>
      <left/>
      <right/>
      <top style="double">
        <color rgb="FF666666"/>
      </top>
      <bottom style="thin">
        <color rgb="FF666666"/>
      </bottom>
    </border>
    <border>
      <left style="thin">
        <color rgb="FF666666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AEABAB"/>
      </left>
      <right style="thin">
        <color rgb="FFAEABAB"/>
      </right>
      <top style="thin">
        <color rgb="FFCCCCCC"/>
      </top>
      <bottom style="thin">
        <color rgb="FFCCCCCC"/>
      </bottom>
    </border>
    <border>
      <right style="thin">
        <color rgb="FFAEABAB"/>
      </right>
      <top style="thin">
        <color rgb="FFCCCCCC"/>
      </top>
      <bottom style="thin">
        <color rgb="FFCCCCCC"/>
      </bottom>
    </border>
    <border>
      <bottom style="medium">
        <color rgb="FFF1C232"/>
      </bottom>
    </border>
    <border>
      <bottom style="medium">
        <color rgb="FF1B5BFF"/>
      </bottom>
    </border>
    <border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bottom style="dotted">
        <color rgb="FFF9CF67"/>
      </bottom>
    </border>
    <border>
      <top style="dotted">
        <color rgb="FFF9CF67"/>
      </top>
      <bottom style="dotted">
        <color rgb="FFF9CF67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bottom style="medium">
        <color rgb="FFFFC000"/>
      </bottom>
    </border>
    <border>
      <top style="dotted">
        <color rgb="FFFFC000"/>
      </top>
    </border>
    <border>
      <left style="thin">
        <color rgb="FFD9D9D9"/>
      </left>
    </border>
    <border>
      <right/>
      <top/>
      <bottom/>
    </border>
    <border>
      <left/>
      <right style="thin">
        <color rgb="FF666666"/>
      </right>
      <top/>
      <bottom/>
    </border>
    <border>
      <right style="thin">
        <color rgb="FFCCCCCC"/>
      </right>
      <top style="double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3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Border="1" applyFont="1"/>
    <xf borderId="1" fillId="0" fontId="4" numFmtId="0" xfId="0" applyAlignment="1" applyBorder="1" applyFont="1">
      <alignment horizontal="left" vertical="center"/>
    </xf>
    <xf borderId="2" fillId="2" fontId="5" numFmtId="0" xfId="0" applyAlignment="1" applyBorder="1" applyFill="1" applyFont="1">
      <alignment vertical="center"/>
    </xf>
    <xf borderId="2" fillId="2" fontId="5" numFmtId="0" xfId="0" applyAlignment="1" applyBorder="1" applyFont="1">
      <alignment horizontal="center" vertical="center"/>
    </xf>
    <xf borderId="2" fillId="2" fontId="5" numFmtId="3" xfId="0" applyAlignment="1" applyBorder="1" applyFont="1" applyNumberFormat="1">
      <alignment horizontal="left" vertical="center"/>
    </xf>
    <xf borderId="2" fillId="2" fontId="5" numFmtId="164" xfId="0" applyAlignment="1" applyBorder="1" applyFont="1" applyNumberForma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5" numFmtId="0" xfId="0" applyAlignment="1" applyFont="1">
      <alignment vertical="center"/>
    </xf>
    <xf borderId="3" fillId="3" fontId="5" numFmtId="0" xfId="0" applyAlignment="1" applyBorder="1" applyFill="1" applyFont="1">
      <alignment horizontal="center" shrinkToFit="0" vertical="center" wrapText="1"/>
    </xf>
    <xf borderId="3" fillId="3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4" fillId="3" fontId="5" numFmtId="3" xfId="0" applyAlignment="1" applyBorder="1" applyFont="1" applyNumberFormat="1">
      <alignment horizontal="left" vertical="center"/>
    </xf>
    <xf borderId="5" fillId="3" fontId="5" numFmtId="164" xfId="0" applyAlignment="1" applyBorder="1" applyFont="1" applyNumberFormat="1">
      <alignment horizontal="center" vertical="center"/>
    </xf>
    <xf borderId="6" fillId="3" fontId="5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horizontal="center" vertical="center"/>
    </xf>
    <xf borderId="7" fillId="0" fontId="6" numFmtId="3" xfId="0" applyAlignment="1" applyBorder="1" applyFont="1" applyNumberFormat="1">
      <alignment horizontal="center"/>
    </xf>
    <xf borderId="8" fillId="0" fontId="6" numFmtId="1" xfId="0" applyAlignment="1" applyBorder="1" applyFont="1" applyNumberFormat="1">
      <alignment horizontal="center" vertical="bottom"/>
    </xf>
    <xf borderId="8" fillId="0" fontId="6" numFmtId="0" xfId="0" applyBorder="1" applyFont="1"/>
    <xf borderId="9" fillId="0" fontId="6" numFmtId="1" xfId="0" applyAlignment="1" applyBorder="1" applyFont="1" applyNumberFormat="1">
      <alignment shrinkToFit="0" wrapText="1"/>
    </xf>
    <xf borderId="10" fillId="4" fontId="6" numFmtId="1" xfId="0" applyAlignment="1" applyBorder="1" applyFill="1" applyFont="1" applyNumberFormat="1">
      <alignment shrinkToFit="0" wrapText="1"/>
    </xf>
    <xf borderId="10" fillId="0" fontId="6" numFmtId="0" xfId="0" applyAlignment="1" applyBorder="1" applyFont="1">
      <alignment shrinkToFit="0" wrapText="1"/>
    </xf>
    <xf borderId="10" fillId="0" fontId="6" numFmtId="0" xfId="0" applyAlignment="1" applyBorder="1" applyFont="1">
      <alignment horizontal="center" shrinkToFit="0" wrapText="1"/>
    </xf>
    <xf borderId="10" fillId="0" fontId="6" numFmtId="165" xfId="0" applyAlignment="1" applyBorder="1" applyFont="1" applyNumberFormat="1">
      <alignment horizontal="right" shrinkToFit="0" wrapText="1"/>
    </xf>
    <xf borderId="10" fillId="0" fontId="6" numFmtId="4" xfId="0" applyAlignment="1" applyBorder="1" applyFont="1" applyNumberFormat="1">
      <alignment horizontal="center" shrinkToFit="0" wrapText="1"/>
    </xf>
    <xf borderId="9" fillId="0" fontId="6" numFmtId="166" xfId="0" applyAlignment="1" applyBorder="1" applyFont="1" applyNumberFormat="1">
      <alignment horizontal="center" shrinkToFit="0" wrapText="1"/>
    </xf>
    <xf borderId="8" fillId="0" fontId="6" numFmtId="1" xfId="0" applyBorder="1" applyFont="1" applyNumberFormat="1"/>
    <xf borderId="8" fillId="0" fontId="6" numFmtId="167" xfId="0" applyAlignment="1" applyBorder="1" applyFont="1" applyNumberFormat="1">
      <alignment horizontal="right"/>
    </xf>
    <xf borderId="8" fillId="0" fontId="5" numFmtId="4" xfId="0" applyAlignment="1" applyBorder="1" applyFont="1" applyNumberFormat="1">
      <alignment vertical="center"/>
    </xf>
    <xf borderId="9" fillId="4" fontId="6" numFmtId="1" xfId="0" applyAlignment="1" applyBorder="1" applyFont="1" applyNumberFormat="1">
      <alignment shrinkToFit="0" wrapText="1"/>
    </xf>
    <xf borderId="9" fillId="0" fontId="6" numFmtId="0" xfId="0" applyAlignment="1" applyBorder="1" applyFont="1">
      <alignment shrinkToFit="0" wrapText="1"/>
    </xf>
    <xf borderId="9" fillId="0" fontId="6" numFmtId="0" xfId="0" applyAlignment="1" applyBorder="1" applyFont="1">
      <alignment horizontal="center" shrinkToFit="0" wrapText="1"/>
    </xf>
    <xf borderId="9" fillId="0" fontId="6" numFmtId="165" xfId="0" applyAlignment="1" applyBorder="1" applyFont="1" applyNumberFormat="1">
      <alignment horizontal="right" shrinkToFit="0" wrapText="1"/>
    </xf>
    <xf borderId="9" fillId="0" fontId="6" numFmtId="4" xfId="0" applyAlignment="1" applyBorder="1" applyFont="1" applyNumberFormat="1">
      <alignment horizontal="center" shrinkToFit="0" wrapText="1"/>
    </xf>
    <xf borderId="8" fillId="0" fontId="6" numFmtId="4" xfId="0" applyAlignment="1" applyBorder="1" applyFont="1" applyNumberFormat="1">
      <alignment horizontal="right"/>
    </xf>
    <xf borderId="9" fillId="0" fontId="7" numFmtId="166" xfId="0" applyBorder="1" applyFont="1" applyNumberFormat="1"/>
    <xf borderId="8" fillId="0" fontId="6" numFmtId="168" xfId="0" applyAlignment="1" applyBorder="1" applyFont="1" applyNumberFormat="1">
      <alignment horizontal="right"/>
    </xf>
    <xf borderId="9" fillId="0" fontId="6" numFmtId="169" xfId="0" applyAlignment="1" applyBorder="1" applyFont="1" applyNumberFormat="1">
      <alignment horizontal="center" shrinkToFit="0" wrapText="1"/>
    </xf>
    <xf borderId="8" fillId="0" fontId="7" numFmtId="1" xfId="0" applyBorder="1" applyFont="1" applyNumberFormat="1"/>
    <xf borderId="9" fillId="0" fontId="7" numFmtId="0" xfId="0" applyBorder="1" applyFont="1"/>
    <xf borderId="9" fillId="0" fontId="6" numFmtId="0" xfId="0" applyBorder="1" applyFont="1"/>
    <xf borderId="8" fillId="0" fontId="7" numFmtId="0" xfId="0" applyBorder="1" applyFont="1"/>
    <xf borderId="0" fillId="0" fontId="8" numFmtId="0" xfId="0" applyFont="1"/>
    <xf borderId="1" fillId="0" fontId="9" numFmtId="3" xfId="0" applyAlignment="1" applyBorder="1" applyFont="1" applyNumberFormat="1">
      <alignment horizontal="center" vertical="center"/>
    </xf>
    <xf borderId="11" fillId="0" fontId="3" numFmtId="0" xfId="0" applyBorder="1" applyFont="1"/>
    <xf borderId="8" fillId="5" fontId="6" numFmtId="1" xfId="0" applyAlignment="1" applyBorder="1" applyFill="1" applyFont="1" applyNumberFormat="1">
      <alignment horizontal="center"/>
    </xf>
    <xf borderId="8" fillId="5" fontId="6" numFmtId="0" xfId="0" applyBorder="1" applyFont="1"/>
    <xf borderId="8" fillId="0" fontId="6" numFmtId="3" xfId="0" applyBorder="1" applyFont="1" applyNumberFormat="1"/>
    <xf borderId="8" fillId="5" fontId="6" numFmtId="0" xfId="0" applyAlignment="1" applyBorder="1" applyFont="1">
      <alignment horizontal="center"/>
    </xf>
    <xf borderId="8" fillId="0" fontId="7" numFmtId="3" xfId="0" applyBorder="1" applyFont="1" applyNumberFormat="1"/>
    <xf borderId="8" fillId="5" fontId="6" numFmtId="0" xfId="0" applyAlignment="1" applyBorder="1" applyFont="1">
      <alignment horizontal="center" vertical="bottom"/>
    </xf>
    <xf borderId="8" fillId="5" fontId="6" numFmtId="0" xfId="0" applyAlignment="1" applyBorder="1" applyFont="1">
      <alignment vertical="bottom"/>
    </xf>
    <xf borderId="7" fillId="0" fontId="6" numFmtId="3" xfId="0" applyAlignment="1" applyBorder="1" applyFont="1" applyNumberFormat="1">
      <alignment horizontal="center" vertical="bottom"/>
    </xf>
    <xf borderId="8" fillId="0" fontId="6" numFmtId="0" xfId="0" applyAlignment="1" applyBorder="1" applyFont="1">
      <alignment vertical="bottom"/>
    </xf>
    <xf borderId="0" fillId="0" fontId="7" numFmtId="3" xfId="0" applyFont="1" applyNumberFormat="1"/>
    <xf borderId="12" fillId="0" fontId="10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center" vertical="center"/>
    </xf>
    <xf borderId="14" fillId="6" fontId="11" numFmtId="0" xfId="0" applyAlignment="1" applyBorder="1" applyFill="1" applyFon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17" fillId="6" fontId="11" numFmtId="0" xfId="0" applyAlignment="1" applyBorder="1" applyFont="1">
      <alignment horizontal="center" vertical="center"/>
    </xf>
    <xf borderId="14" fillId="3" fontId="11" numFmtId="0" xfId="0" applyAlignment="1" applyBorder="1" applyFont="1">
      <alignment horizontal="center" vertical="center"/>
    </xf>
    <xf borderId="17" fillId="3" fontId="11" numFmtId="0" xfId="0" applyAlignment="1" applyBorder="1" applyFont="1">
      <alignment horizontal="center" vertical="center"/>
    </xf>
    <xf borderId="18" fillId="7" fontId="12" numFmtId="0" xfId="0" applyAlignment="1" applyBorder="1" applyFill="1" applyFont="1">
      <alignment horizontal="center" vertical="center"/>
    </xf>
    <xf borderId="2" fillId="8" fontId="13" numFmtId="0" xfId="0" applyAlignment="1" applyBorder="1" applyFill="1" applyFont="1">
      <alignment vertical="center"/>
    </xf>
    <xf borderId="19" fillId="8" fontId="12" numFmtId="0" xfId="0" applyAlignment="1" applyBorder="1" applyFont="1">
      <alignment vertical="center"/>
    </xf>
    <xf borderId="2" fillId="8" fontId="13" numFmtId="0" xfId="0" applyAlignment="1" applyBorder="1" applyFont="1">
      <alignment horizontal="center" vertical="center"/>
    </xf>
    <xf borderId="20" fillId="8" fontId="13" numFmtId="0" xfId="0" applyAlignment="1" applyBorder="1" applyFont="1">
      <alignment horizontal="center" vertical="center"/>
    </xf>
    <xf borderId="21" fillId="9" fontId="13" numFmtId="0" xfId="0" applyAlignment="1" applyBorder="1" applyFill="1" applyFont="1">
      <alignment horizontal="center" vertical="center"/>
    </xf>
    <xf borderId="22" fillId="9" fontId="13" numFmtId="0" xfId="0" applyAlignment="1" applyBorder="1" applyFont="1">
      <alignment horizontal="center" vertical="center"/>
    </xf>
    <xf borderId="23" fillId="9" fontId="13" numFmtId="0" xfId="0" applyAlignment="1" applyBorder="1" applyFont="1">
      <alignment horizontal="center" vertical="center"/>
    </xf>
    <xf borderId="23" fillId="9" fontId="14" numFmtId="10" xfId="0" applyAlignment="1" applyBorder="1" applyFont="1" applyNumberFormat="1">
      <alignment horizontal="center" vertical="center"/>
    </xf>
    <xf borderId="21" fillId="10" fontId="13" numFmtId="0" xfId="0" applyAlignment="1" applyBorder="1" applyFill="1" applyFont="1">
      <alignment vertical="center"/>
    </xf>
    <xf borderId="22" fillId="10" fontId="13" numFmtId="0" xfId="0" applyAlignment="1" applyBorder="1" applyFont="1">
      <alignment vertical="center"/>
    </xf>
    <xf borderId="23" fillId="10" fontId="13" numFmtId="0" xfId="0" applyAlignment="1" applyBorder="1" applyFont="1">
      <alignment vertical="center"/>
    </xf>
    <xf borderId="23" fillId="10" fontId="13" numFmtId="10" xfId="0" applyAlignment="1" applyBorder="1" applyFont="1" applyNumberFormat="1">
      <alignment horizontal="center" vertical="center"/>
    </xf>
    <xf borderId="23" fillId="10" fontId="13" numFmtId="0" xfId="0" applyAlignment="1" applyBorder="1" applyFont="1">
      <alignment horizontal="center" vertical="center"/>
    </xf>
    <xf borderId="24" fillId="11" fontId="12" numFmtId="0" xfId="0" applyAlignment="1" applyBorder="1" applyFill="1" applyFont="1">
      <alignment horizontal="center" vertical="center"/>
    </xf>
    <xf borderId="25" fillId="5" fontId="13" numFmtId="0" xfId="0" applyAlignment="1" applyBorder="1" applyFont="1">
      <alignment horizontal="center" vertical="center"/>
    </xf>
    <xf borderId="26" fillId="5" fontId="12" numFmtId="0" xfId="0" applyAlignment="1" applyBorder="1" applyFont="1">
      <alignment horizontal="center" vertical="center"/>
    </xf>
    <xf borderId="27" fillId="5" fontId="13" numFmtId="0" xfId="0" applyAlignment="1" applyBorder="1" applyFont="1">
      <alignment horizontal="center" vertical="center"/>
    </xf>
    <xf borderId="28" fillId="5" fontId="13" numFmtId="0" xfId="0" applyAlignment="1" applyBorder="1" applyFont="1">
      <alignment horizontal="center" vertical="center"/>
    </xf>
    <xf borderId="24" fillId="6" fontId="13" numFmtId="0" xfId="0" applyAlignment="1" applyBorder="1" applyFont="1">
      <alignment horizontal="center" vertical="center"/>
    </xf>
    <xf borderId="25" fillId="6" fontId="13" numFmtId="0" xfId="0" applyAlignment="1" applyBorder="1" applyFont="1">
      <alignment horizontal="center" vertical="center"/>
    </xf>
    <xf borderId="29" fillId="6" fontId="13" numFmtId="0" xfId="0" applyAlignment="1" applyBorder="1" applyFont="1">
      <alignment horizontal="center" vertical="center"/>
    </xf>
    <xf borderId="30" fillId="6" fontId="14" numFmtId="10" xfId="0" applyAlignment="1" applyBorder="1" applyFont="1" applyNumberFormat="1">
      <alignment horizontal="center" vertical="center"/>
    </xf>
    <xf borderId="30" fillId="6" fontId="13" numFmtId="0" xfId="0" applyAlignment="1" applyBorder="1" applyFont="1">
      <alignment horizontal="center" vertical="center"/>
    </xf>
    <xf borderId="24" fillId="12" fontId="13" numFmtId="0" xfId="0" applyAlignment="1" applyBorder="1" applyFill="1" applyFont="1">
      <alignment horizontal="center" vertical="center"/>
    </xf>
    <xf borderId="25" fillId="12" fontId="13" numFmtId="0" xfId="0" applyAlignment="1" applyBorder="1" applyFont="1">
      <alignment horizontal="center" vertical="center"/>
    </xf>
    <xf borderId="29" fillId="12" fontId="13" numFmtId="0" xfId="0" applyAlignment="1" applyBorder="1" applyFont="1">
      <alignment horizontal="center" vertical="center"/>
    </xf>
    <xf borderId="30" fillId="12" fontId="13" numFmtId="10" xfId="0" applyAlignment="1" applyBorder="1" applyFont="1" applyNumberFormat="1">
      <alignment horizontal="center" vertical="center"/>
    </xf>
    <xf borderId="30" fillId="12" fontId="13" numFmtId="0" xfId="0" applyAlignment="1" applyBorder="1" applyFont="1">
      <alignment horizontal="center" vertical="center"/>
    </xf>
    <xf borderId="31" fillId="11" fontId="12" numFmtId="3" xfId="0" applyAlignment="1" applyBorder="1" applyFont="1" applyNumberFormat="1">
      <alignment horizontal="center" vertical="center"/>
    </xf>
    <xf borderId="8" fillId="0" fontId="13" numFmtId="0" xfId="0" applyAlignment="1" applyBorder="1" applyFont="1">
      <alignment vertical="center"/>
    </xf>
    <xf borderId="32" fillId="5" fontId="12" numFmtId="165" xfId="0" applyAlignment="1" applyBorder="1" applyFont="1" applyNumberFormat="1">
      <alignment horizontal="center" vertical="center"/>
    </xf>
    <xf borderId="8" fillId="0" fontId="13" numFmtId="3" xfId="0" applyAlignment="1" applyBorder="1" applyFont="1" applyNumberFormat="1">
      <alignment horizontal="center" vertical="center"/>
    </xf>
    <xf borderId="8" fillId="0" fontId="13" numFmtId="0" xfId="0" applyAlignment="1" applyBorder="1" applyFont="1">
      <alignment horizontal="left" vertical="center"/>
    </xf>
    <xf borderId="8" fillId="0" fontId="13" numFmtId="1" xfId="0" applyAlignment="1" applyBorder="1" applyFont="1" applyNumberFormat="1">
      <alignment horizontal="center" vertical="center"/>
    </xf>
    <xf borderId="33" fillId="0" fontId="13" numFmtId="0" xfId="0" applyAlignment="1" applyBorder="1" applyFont="1">
      <alignment horizontal="center" vertical="center"/>
    </xf>
    <xf borderId="32" fillId="0" fontId="13" numFmtId="0" xfId="0" applyAlignment="1" applyBorder="1" applyFont="1">
      <alignment vertical="center"/>
    </xf>
    <xf borderId="11" fillId="4" fontId="13" numFmtId="4" xfId="0" applyAlignment="1" applyBorder="1" applyFont="1" applyNumberFormat="1">
      <alignment horizontal="center" vertical="center"/>
    </xf>
    <xf borderId="34" fillId="4" fontId="13" numFmtId="4" xfId="0" applyAlignment="1" applyBorder="1" applyFont="1" applyNumberFormat="1">
      <alignment horizontal="center" vertical="center"/>
    </xf>
    <xf borderId="8" fillId="4" fontId="14" numFmtId="10" xfId="0" applyAlignment="1" applyBorder="1" applyFont="1" applyNumberFormat="1">
      <alignment horizontal="center" vertical="center"/>
    </xf>
    <xf borderId="8" fillId="4" fontId="13" numFmtId="0" xfId="0" applyAlignment="1" applyBorder="1" applyFont="1">
      <alignment vertical="center"/>
    </xf>
    <xf borderId="35" fillId="3" fontId="13" numFmtId="4" xfId="0" applyAlignment="1" applyBorder="1" applyFont="1" applyNumberFormat="1">
      <alignment horizontal="center" vertical="center"/>
    </xf>
    <xf borderId="8" fillId="3" fontId="13" numFmtId="10" xfId="0" applyAlignment="1" applyBorder="1" applyFont="1" applyNumberFormat="1">
      <alignment horizontal="center" vertical="center"/>
    </xf>
    <xf borderId="8" fillId="3" fontId="13" numFmtId="0" xfId="0" applyAlignment="1" applyBorder="1" applyFont="1">
      <alignment vertical="center"/>
    </xf>
    <xf borderId="8" fillId="0" fontId="13" numFmtId="1" xfId="0" applyAlignment="1" applyBorder="1" applyFont="1" applyNumberFormat="1">
      <alignment vertical="center"/>
    </xf>
    <xf borderId="0" fillId="13" fontId="15" numFmtId="0" xfId="0" applyAlignment="1" applyFill="1" applyFont="1">
      <alignment horizontal="left" shrinkToFit="0" vertical="center" wrapText="0"/>
    </xf>
    <xf borderId="0" fillId="13" fontId="16" numFmtId="0" xfId="0" applyAlignment="1" applyFont="1">
      <alignment horizontal="left" shrinkToFit="0" vertical="center" wrapText="0"/>
    </xf>
    <xf borderId="0" fillId="13" fontId="17" numFmtId="0" xfId="0" applyAlignment="1" applyFont="1">
      <alignment horizontal="left" shrinkToFit="0" vertical="center" wrapText="0"/>
    </xf>
    <xf borderId="0" fillId="0" fontId="18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vertical="center"/>
    </xf>
    <xf borderId="0" fillId="13" fontId="21" numFmtId="0" xfId="0" applyAlignment="1" applyFont="1">
      <alignment horizontal="left" shrinkToFit="0" vertical="center" wrapText="0"/>
    </xf>
    <xf borderId="0" fillId="14" fontId="22" numFmtId="0" xfId="0" applyAlignment="1" applyFill="1" applyFont="1">
      <alignment horizontal="left" shrinkToFit="0" vertical="center" wrapText="0"/>
    </xf>
    <xf borderId="0" fillId="0" fontId="23" numFmtId="0" xfId="0" applyAlignment="1" applyFont="1">
      <alignment vertical="center"/>
    </xf>
    <xf borderId="0" fillId="13" fontId="24" numFmtId="0" xfId="0" applyAlignment="1" applyFont="1">
      <alignment horizontal="center" vertical="top"/>
    </xf>
    <xf borderId="0" fillId="13" fontId="19" numFmtId="0" xfId="0" applyAlignment="1" applyFont="1">
      <alignment horizontal="left" shrinkToFit="0" vertical="center" wrapText="0"/>
    </xf>
    <xf borderId="0" fillId="0" fontId="19" numFmtId="0" xfId="0" applyAlignment="1" applyFont="1">
      <alignment shrinkToFit="0" vertical="center" wrapText="0"/>
    </xf>
    <xf borderId="0" fillId="0" fontId="20" numFmtId="0" xfId="0" applyAlignment="1" applyFont="1">
      <alignment shrinkToFit="0" vertical="center" wrapText="0"/>
    </xf>
    <xf borderId="0" fillId="10" fontId="25" numFmtId="0" xfId="0" applyAlignment="1" applyFont="1">
      <alignment horizontal="center" readingOrder="0" shrinkToFit="0" vertical="center" wrapText="0"/>
    </xf>
    <xf borderId="0" fillId="13" fontId="26" numFmtId="0" xfId="0" applyAlignment="1" applyFont="1">
      <alignment vertical="center"/>
    </xf>
    <xf borderId="0" fillId="5" fontId="27" numFmtId="0" xfId="0" applyAlignment="1" applyFont="1">
      <alignment horizontal="center" vertical="top"/>
    </xf>
    <xf borderId="0" fillId="5" fontId="19" numFmtId="0" xfId="0" applyAlignment="1" applyFont="1">
      <alignment horizontal="left" shrinkToFit="0" vertical="center" wrapText="0"/>
    </xf>
    <xf borderId="0" fillId="0" fontId="22" numFmtId="0" xfId="0" applyAlignment="1" applyFont="1">
      <alignment horizontal="left" shrinkToFit="0" vertical="center" wrapText="0"/>
    </xf>
    <xf borderId="0" fillId="0" fontId="28" numFmtId="0" xfId="0" applyAlignment="1" applyFont="1">
      <alignment horizontal="left" shrinkToFit="0" vertical="center" wrapText="0"/>
    </xf>
    <xf borderId="0" fillId="13" fontId="29" numFmtId="0" xfId="0" applyAlignment="1" applyFont="1">
      <alignment horizontal="center" shrinkToFit="0" vertical="center" wrapText="0"/>
    </xf>
    <xf borderId="0" fillId="13" fontId="30" numFmtId="0" xfId="0" applyFont="1"/>
    <xf borderId="0" fillId="13" fontId="31" numFmtId="0" xfId="0" applyAlignment="1" applyFont="1">
      <alignment horizontal="center" vertical="top"/>
    </xf>
    <xf borderId="0" fillId="13" fontId="7" numFmtId="0" xfId="0" applyFont="1"/>
    <xf borderId="0" fillId="13" fontId="32" numFmtId="0" xfId="0" applyAlignment="1" applyFont="1">
      <alignment horizontal="center" shrinkToFit="0" vertical="center" wrapText="0"/>
    </xf>
    <xf borderId="0" fillId="5" fontId="33" numFmtId="0" xfId="0" applyAlignment="1" applyFont="1">
      <alignment horizontal="center" vertical="top"/>
    </xf>
    <xf borderId="0" fillId="13" fontId="24" numFmtId="0" xfId="0" applyFont="1"/>
    <xf borderId="0" fillId="13" fontId="34" numFmtId="0" xfId="0" applyAlignment="1" applyFont="1">
      <alignment horizontal="center" vertical="top"/>
    </xf>
    <xf borderId="0" fillId="5" fontId="35" numFmtId="0" xfId="0" applyAlignment="1" applyFont="1">
      <alignment horizontal="center" vertical="top"/>
    </xf>
    <xf borderId="0" fillId="0" fontId="36" numFmtId="0" xfId="0" applyAlignment="1" applyFont="1">
      <alignment horizontal="center" shrinkToFit="0" vertical="center" wrapText="0"/>
    </xf>
    <xf borderId="0" fillId="0" fontId="37" numFmtId="0" xfId="0" applyAlignment="1" applyFont="1">
      <alignment horizontal="center" shrinkToFit="0" vertical="center" wrapText="0"/>
    </xf>
    <xf borderId="36" fillId="0" fontId="3" numFmtId="0" xfId="0" applyBorder="1" applyFont="1"/>
    <xf borderId="37" fillId="0" fontId="3" numFmtId="0" xfId="0" applyBorder="1" applyFont="1"/>
    <xf borderId="0" fillId="0" fontId="38" numFmtId="0" xfId="0" applyAlignment="1" applyFont="1">
      <alignment horizontal="center" shrinkToFit="0" vertical="bottom" wrapText="0"/>
    </xf>
    <xf borderId="0" fillId="0" fontId="39" numFmtId="0" xfId="0" applyAlignment="1" applyFont="1">
      <alignment horizontal="center" shrinkToFit="0" vertical="bottom" wrapText="0"/>
    </xf>
    <xf borderId="0" fillId="15" fontId="40" numFmtId="0" xfId="0" applyAlignment="1" applyFill="1" applyFont="1">
      <alignment horizontal="center" shrinkToFit="0" vertical="center" wrapText="1"/>
    </xf>
    <xf borderId="0" fillId="10" fontId="40" numFmtId="0" xfId="0" applyAlignment="1" applyFont="1">
      <alignment horizontal="center" shrinkToFit="0" vertical="center" wrapText="1"/>
    </xf>
    <xf borderId="0" fillId="0" fontId="36" numFmtId="10" xfId="0" applyAlignment="1" applyFont="1" applyNumberFormat="1">
      <alignment horizontal="center" shrinkToFit="0" vertical="bottom" wrapText="0"/>
    </xf>
    <xf borderId="0" fillId="0" fontId="39" numFmtId="10" xfId="0" applyAlignment="1" applyFont="1" applyNumberFormat="1">
      <alignment horizontal="center" shrinkToFit="0" vertical="bottom" wrapText="0"/>
    </xf>
    <xf borderId="0" fillId="0" fontId="19" numFmtId="0" xfId="0" applyAlignment="1" applyFont="1">
      <alignment horizontal="center" shrinkToFit="0" vertical="center" wrapText="0"/>
    </xf>
    <xf borderId="38" fillId="13" fontId="22" numFmtId="0" xfId="0" applyAlignment="1" applyBorder="1" applyFont="1">
      <alignment horizontal="center" shrinkToFit="0" vertical="center" wrapText="0"/>
    </xf>
    <xf borderId="39" fillId="15" fontId="22" numFmtId="0" xfId="0" applyAlignment="1" applyBorder="1" applyFont="1">
      <alignment horizontal="center" shrinkToFit="0" vertical="center" wrapText="0"/>
    </xf>
    <xf borderId="40" fillId="13" fontId="22" numFmtId="0" xfId="0" applyAlignment="1" applyBorder="1" applyFont="1">
      <alignment horizontal="center" shrinkToFit="0" vertical="center" wrapText="0"/>
    </xf>
    <xf borderId="41" fillId="10" fontId="41" numFmtId="0" xfId="0" applyAlignment="1" applyBorder="1" applyFont="1">
      <alignment horizontal="center" shrinkToFit="0" vertical="center" wrapText="0"/>
    </xf>
    <xf borderId="42" fillId="0" fontId="3" numFmtId="0" xfId="0" applyBorder="1" applyFont="1"/>
    <xf borderId="0" fillId="13" fontId="19" numFmtId="0" xfId="0" applyAlignment="1" applyFont="1">
      <alignment vertical="center"/>
    </xf>
    <xf borderId="0" fillId="13" fontId="7" numFmtId="0" xfId="0" applyFont="1"/>
    <xf borderId="43" fillId="6" fontId="19" numFmtId="0" xfId="0" applyAlignment="1" applyBorder="1" applyFont="1">
      <alignment horizontal="center" shrinkToFit="0" vertical="center" wrapText="0"/>
    </xf>
    <xf borderId="43" fillId="6" fontId="19" numFmtId="10" xfId="0" applyAlignment="1" applyBorder="1" applyFont="1" applyNumberFormat="1">
      <alignment horizontal="center" shrinkToFit="0" vertical="center" wrapText="0"/>
    </xf>
    <xf borderId="44" fillId="6" fontId="19" numFmtId="0" xfId="0" applyAlignment="1" applyBorder="1" applyFont="1">
      <alignment horizontal="center" shrinkToFit="0" vertical="center" wrapText="0"/>
    </xf>
    <xf borderId="0" fillId="13" fontId="19" numFmtId="0" xfId="0" applyAlignment="1" applyFont="1">
      <alignment horizontal="center" shrinkToFit="0" vertical="center" wrapText="0"/>
    </xf>
    <xf borderId="44" fillId="3" fontId="19" numFmtId="0" xfId="0" applyAlignment="1" applyBorder="1" applyFont="1">
      <alignment horizontal="center" shrinkToFit="0" vertical="center" wrapText="0"/>
    </xf>
    <xf borderId="45" fillId="0" fontId="3" numFmtId="0" xfId="0" applyBorder="1" applyFont="1"/>
    <xf borderId="44" fillId="3" fontId="19" numFmtId="10" xfId="0" applyAlignment="1" applyBorder="1" applyFont="1" applyNumberFormat="1">
      <alignment horizontal="center" shrinkToFit="0" vertical="center" wrapText="0"/>
    </xf>
    <xf borderId="43" fillId="16" fontId="22" numFmtId="0" xfId="0" applyAlignment="1" applyBorder="1" applyFill="1" applyFont="1">
      <alignment horizontal="center" shrinkToFit="0" vertical="center" wrapText="0"/>
    </xf>
    <xf borderId="43" fillId="16" fontId="22" numFmtId="10" xfId="0" applyAlignment="1" applyBorder="1" applyFont="1" applyNumberFormat="1">
      <alignment horizontal="center" shrinkToFit="0" vertical="center" wrapText="0"/>
    </xf>
    <xf borderId="44" fillId="16" fontId="22" numFmtId="0" xfId="0" applyAlignment="1" applyBorder="1" applyFont="1">
      <alignment horizontal="center" shrinkToFit="0" vertical="center" wrapText="0"/>
    </xf>
    <xf borderId="44" fillId="10" fontId="41" numFmtId="0" xfId="0" applyAlignment="1" applyBorder="1" applyFont="1">
      <alignment horizontal="center" shrinkToFit="0" vertical="center" wrapText="0"/>
    </xf>
    <xf borderId="44" fillId="10" fontId="41" numFmtId="10" xfId="0" applyAlignment="1" applyBorder="1" applyFont="1" applyNumberFormat="1">
      <alignment horizontal="center" shrinkToFit="0" vertical="center" wrapText="0"/>
    </xf>
    <xf borderId="0" fillId="0" fontId="8" numFmtId="0" xfId="0" applyFont="1"/>
    <xf borderId="46" fillId="17" fontId="22" numFmtId="0" xfId="0" applyAlignment="1" applyBorder="1" applyFill="1" applyFont="1">
      <alignment horizontal="left" shrinkToFit="0" vertical="center" wrapText="0"/>
    </xf>
    <xf borderId="46" fillId="17" fontId="19" numFmtId="0" xfId="0" applyAlignment="1" applyBorder="1" applyFont="1">
      <alignment horizontal="center" shrinkToFit="0" vertical="center" wrapText="0"/>
    </xf>
    <xf borderId="46" fillId="13" fontId="19" numFmtId="0" xfId="0" applyAlignment="1" applyBorder="1" applyFont="1">
      <alignment horizontal="center" shrinkToFit="0" vertical="center" wrapText="0"/>
    </xf>
    <xf borderId="46" fillId="13" fontId="23" numFmtId="0" xfId="0" applyAlignment="1" applyBorder="1" applyFont="1">
      <alignment horizontal="center" shrinkToFit="0" vertical="center" wrapText="0"/>
    </xf>
    <xf borderId="0" fillId="13" fontId="22" numFmtId="0" xfId="0" applyAlignment="1" applyFont="1">
      <alignment horizontal="center" shrinkToFit="0" vertical="center" wrapText="0"/>
    </xf>
    <xf borderId="0" fillId="13" fontId="23" numFmtId="0" xfId="0" applyAlignment="1" applyFont="1">
      <alignment vertical="center"/>
    </xf>
    <xf borderId="0" fillId="0" fontId="42" numFmtId="0" xfId="0" applyFont="1"/>
    <xf borderId="0" fillId="0" fontId="43" numFmtId="0" xfId="0" applyFont="1"/>
    <xf borderId="0" fillId="0" fontId="44" numFmtId="10" xfId="0" applyAlignment="1" applyFont="1" applyNumberFormat="1">
      <alignment horizontal="center" shrinkToFit="0" vertical="bottom" wrapText="0"/>
    </xf>
    <xf borderId="0" fillId="15" fontId="45" numFmtId="0" xfId="0" applyAlignment="1" applyFont="1">
      <alignment horizontal="left" shrinkToFit="0" vertical="center" wrapText="1"/>
    </xf>
    <xf borderId="0" fillId="10" fontId="15" numFmtId="0" xfId="0" applyAlignment="1" applyFont="1">
      <alignment horizontal="center" shrinkToFit="0" vertical="center" wrapText="0"/>
    </xf>
    <xf borderId="0" fillId="0" fontId="36" numFmtId="0" xfId="0" applyAlignment="1" applyFont="1">
      <alignment horizontal="center" shrinkToFit="0" vertical="bottom" wrapText="0"/>
    </xf>
    <xf borderId="0" fillId="13" fontId="19" numFmtId="0" xfId="0" applyAlignment="1" applyFont="1">
      <alignment vertical="center"/>
    </xf>
    <xf borderId="0" fillId="13" fontId="41" numFmtId="0" xfId="0" applyAlignment="1" applyFont="1">
      <alignment horizontal="center" shrinkToFit="0" vertical="center" wrapText="0"/>
    </xf>
    <xf borderId="0" fillId="13" fontId="23" numFmtId="10" xfId="0" applyAlignment="1" applyFont="1" applyNumberFormat="1">
      <alignment horizontal="center" shrinkToFit="0" vertical="center" wrapText="0"/>
    </xf>
    <xf borderId="0" fillId="18" fontId="22" numFmtId="0" xfId="0" applyAlignment="1" applyFill="1" applyFont="1">
      <alignment horizontal="center" vertical="center"/>
    </xf>
    <xf borderId="0" fillId="13" fontId="22" numFmtId="0" xfId="0" applyAlignment="1" applyFont="1">
      <alignment horizontal="left" vertical="center"/>
    </xf>
    <xf borderId="0" fillId="13" fontId="19" numFmtId="0" xfId="0" applyAlignment="1" applyFont="1">
      <alignment horizontal="center" vertical="center"/>
    </xf>
    <xf borderId="0" fillId="13" fontId="19" numFmtId="10" xfId="0" applyAlignment="1" applyFont="1" applyNumberFormat="1">
      <alignment horizontal="center" vertical="center"/>
    </xf>
    <xf borderId="0" fillId="13" fontId="19" numFmtId="10" xfId="0" applyAlignment="1" applyFont="1" applyNumberFormat="1">
      <alignment horizontal="left" vertical="center"/>
    </xf>
    <xf borderId="0" fillId="0" fontId="46" numFmtId="10" xfId="0" applyAlignment="1" applyFont="1" applyNumberFormat="1">
      <alignment horizontal="center" shrinkToFit="0" vertical="bottom" wrapText="0"/>
    </xf>
    <xf borderId="0" fillId="10" fontId="45" numFmtId="0" xfId="0" applyAlignment="1" applyFont="1">
      <alignment horizontal="left" shrinkToFit="0" vertical="center" wrapText="1"/>
    </xf>
    <xf borderId="0" fillId="5" fontId="19" numFmtId="0" xfId="0" applyAlignment="1" applyFont="1">
      <alignment horizontal="center" vertical="center"/>
    </xf>
    <xf borderId="0" fillId="5" fontId="19" numFmtId="10" xfId="0" applyAlignment="1" applyFont="1" applyNumberFormat="1">
      <alignment horizontal="center" vertical="center"/>
    </xf>
    <xf borderId="0" fillId="13" fontId="23" numFmtId="0" xfId="0" applyAlignment="1" applyFont="1">
      <alignment horizontal="center" shrinkToFit="0" vertical="center" wrapText="0"/>
    </xf>
    <xf borderId="0" fillId="0" fontId="47" numFmtId="10" xfId="0" applyAlignment="1" applyFont="1" applyNumberFormat="1">
      <alignment horizontal="center" shrinkToFit="0" vertical="bottom" wrapText="0"/>
    </xf>
    <xf borderId="0" fillId="0" fontId="45" numFmtId="0" xfId="0" applyAlignment="1" applyFont="1">
      <alignment horizontal="left" shrinkToFit="0" vertical="center" wrapText="1"/>
    </xf>
    <xf borderId="47" fillId="18" fontId="19" numFmtId="0" xfId="0" applyAlignment="1" applyBorder="1" applyFont="1">
      <alignment horizontal="center" vertical="center"/>
    </xf>
    <xf borderId="47" fillId="0" fontId="3" numFmtId="0" xfId="0" applyBorder="1" applyFont="1"/>
    <xf borderId="0" fillId="13" fontId="19" numFmtId="0" xfId="0" applyAlignment="1" applyFont="1">
      <alignment horizontal="left" vertical="center"/>
    </xf>
    <xf borderId="0" fillId="0" fontId="19" numFmtId="0" xfId="0" applyAlignment="1" applyFont="1">
      <alignment horizontal="left" shrinkToFit="0" vertical="center" wrapText="0"/>
    </xf>
    <xf borderId="0" fillId="0" fontId="22" numFmtId="0" xfId="0" applyAlignment="1" applyFont="1">
      <alignment horizontal="center" shrinkToFit="0" vertical="center" wrapText="0"/>
    </xf>
    <xf borderId="46" fillId="0" fontId="7" numFmtId="0" xfId="0" applyBorder="1" applyFont="1"/>
    <xf borderId="46" fillId="13" fontId="22" numFmtId="0" xfId="0" applyAlignment="1" applyBorder="1" applyFont="1">
      <alignment horizontal="center" shrinkToFit="0" vertical="center" wrapText="0"/>
    </xf>
    <xf borderId="46" fillId="13" fontId="23" numFmtId="0" xfId="0" applyAlignment="1" applyBorder="1" applyFont="1">
      <alignment vertical="center"/>
    </xf>
    <xf borderId="46" fillId="0" fontId="19" numFmtId="0" xfId="0" applyAlignment="1" applyBorder="1" applyFont="1">
      <alignment vertical="center"/>
    </xf>
    <xf borderId="48" fillId="0" fontId="48" numFmtId="0" xfId="0" applyAlignment="1" applyBorder="1" applyFont="1">
      <alignment horizontal="center" shrinkToFit="0" vertical="center" wrapText="0"/>
    </xf>
    <xf borderId="38" fillId="0" fontId="3" numFmtId="0" xfId="0" applyBorder="1" applyFont="1"/>
    <xf borderId="49" fillId="0" fontId="3" numFmtId="0" xfId="0" applyBorder="1" applyFont="1"/>
    <xf borderId="0" fillId="0" fontId="49" numFmtId="0" xfId="0" applyAlignment="1" applyFont="1">
      <alignment vertical="center"/>
    </xf>
    <xf borderId="0" fillId="15" fontId="50" numFmtId="0" xfId="0" applyAlignment="1" applyFont="1">
      <alignment horizontal="center" shrinkToFit="0" vertical="center" wrapText="0"/>
    </xf>
    <xf borderId="0" fillId="18" fontId="51" numFmtId="0" xfId="0" applyAlignment="1" applyFont="1">
      <alignment horizontal="center" shrinkToFit="0" vertical="center" wrapText="0"/>
    </xf>
    <xf borderId="40" fillId="11" fontId="22" numFmtId="0" xfId="0" applyAlignment="1" applyBorder="1" applyFont="1">
      <alignment horizontal="center" shrinkToFit="0" vertical="center" wrapText="0"/>
    </xf>
    <xf borderId="43" fillId="11" fontId="22" numFmtId="0" xfId="0" applyAlignment="1" applyBorder="1" applyFont="1">
      <alignment horizontal="center" shrinkToFit="0" vertical="center" wrapText="0"/>
    </xf>
    <xf borderId="43" fillId="15" fontId="22" numFmtId="0" xfId="0" applyAlignment="1" applyBorder="1" applyFont="1">
      <alignment horizontal="center" shrinkToFit="0" vertical="center" wrapText="0"/>
    </xf>
    <xf borderId="43" fillId="18" fontId="41" numFmtId="0" xfId="0" applyAlignment="1" applyBorder="1" applyFont="1">
      <alignment horizontal="center" shrinkToFit="0" vertical="center" wrapText="0"/>
    </xf>
    <xf borderId="0" fillId="0" fontId="23" numFmtId="3" xfId="0" applyAlignment="1" applyFont="1" applyNumberFormat="1">
      <alignment vertical="center"/>
    </xf>
    <xf borderId="7" fillId="13" fontId="19" numFmtId="0" xfId="0" applyAlignment="1" applyBorder="1" applyFont="1">
      <alignment horizontal="center" shrinkToFit="0" vertical="center" wrapText="0"/>
    </xf>
    <xf borderId="45" fillId="19" fontId="19" numFmtId="165" xfId="0" applyAlignment="1" applyBorder="1" applyFill="1" applyFont="1" applyNumberFormat="1">
      <alignment horizontal="center" shrinkToFit="0" vertical="center" wrapText="0"/>
    </xf>
    <xf borderId="43" fillId="6" fontId="19" numFmtId="165" xfId="0" applyAlignment="1" applyBorder="1" applyFont="1" applyNumberFormat="1">
      <alignment horizontal="center" shrinkToFit="0" vertical="center" wrapText="0"/>
    </xf>
    <xf borderId="43" fillId="19" fontId="52" numFmtId="165" xfId="0" applyAlignment="1" applyBorder="1" applyFont="1" applyNumberFormat="1">
      <alignment horizontal="center" shrinkToFit="0" vertical="center" wrapText="0"/>
    </xf>
    <xf borderId="43" fillId="19" fontId="52" numFmtId="10" xfId="0" applyAlignment="1" applyBorder="1" applyFont="1" applyNumberFormat="1">
      <alignment horizontal="center" shrinkToFit="0" vertical="center" wrapText="0"/>
    </xf>
    <xf borderId="0" fillId="10" fontId="51" numFmtId="0" xfId="0" applyAlignment="1" applyFont="1">
      <alignment horizontal="center" shrinkToFit="0" vertical="center" wrapText="0"/>
    </xf>
    <xf borderId="43" fillId="10" fontId="41" numFmtId="0" xfId="0" applyAlignment="1" applyBorder="1" applyFont="1">
      <alignment horizontal="center" shrinkToFit="0" vertical="center" wrapText="0"/>
    </xf>
    <xf borderId="0" fillId="13" fontId="53" numFmtId="3" xfId="0" applyAlignment="1" applyFont="1" applyNumberFormat="1">
      <alignment horizontal="left"/>
    </xf>
    <xf borderId="43" fillId="12" fontId="19" numFmtId="165" xfId="0" applyAlignment="1" applyBorder="1" applyFont="1" applyNumberFormat="1">
      <alignment horizontal="center" shrinkToFit="0" vertical="center" wrapText="0"/>
    </xf>
    <xf borderId="43" fillId="12" fontId="19" numFmtId="10" xfId="0" applyAlignment="1" applyBorder="1" applyFont="1" applyNumberFormat="1">
      <alignment horizontal="center" shrinkToFit="0" vertical="center" wrapText="0"/>
    </xf>
    <xf borderId="48" fillId="0" fontId="54" numFmtId="0" xfId="0" applyAlignment="1" applyBorder="1" applyFont="1">
      <alignment horizontal="center" shrinkToFit="0" vertical="center" wrapText="0"/>
    </xf>
    <xf borderId="0" fillId="13" fontId="53" numFmtId="0" xfId="0" applyAlignment="1" applyFont="1">
      <alignment horizontal="left"/>
    </xf>
    <xf borderId="0" fillId="0" fontId="20" numFmtId="3" xfId="0" applyAlignment="1" applyFont="1" applyNumberFormat="1">
      <alignment vertical="center"/>
    </xf>
    <xf borderId="50" fillId="0" fontId="55" numFmtId="0" xfId="0" applyAlignment="1" applyBorder="1" applyFont="1">
      <alignment horizontal="center"/>
    </xf>
    <xf borderId="50" fillId="0" fontId="3" numFmtId="0" xfId="0" applyBorder="1" applyFont="1"/>
    <xf borderId="0" fillId="0" fontId="7" numFmtId="0" xfId="0" applyFont="1"/>
    <xf borderId="37" fillId="13" fontId="56" numFmtId="0" xfId="0" applyAlignment="1" applyBorder="1" applyFont="1">
      <alignment horizontal="center"/>
    </xf>
    <xf borderId="37" fillId="0" fontId="56" numFmtId="0" xfId="0" applyAlignment="1" applyBorder="1" applyFont="1">
      <alignment horizontal="center"/>
    </xf>
    <xf borderId="0" fillId="13" fontId="57" numFmtId="0" xfId="0" applyFont="1"/>
    <xf borderId="0" fillId="0" fontId="57" numFmtId="0" xfId="0" applyFont="1"/>
    <xf borderId="0" fillId="13" fontId="58" numFmtId="0" xfId="0" applyAlignment="1" applyFont="1">
      <alignment horizontal="left" shrinkToFit="0" vertical="center" wrapText="0"/>
    </xf>
    <xf borderId="0" fillId="13" fontId="38" numFmtId="0" xfId="0" applyAlignment="1" applyFont="1">
      <alignment horizontal="center" shrinkToFit="0" vertical="bottom" wrapText="0"/>
    </xf>
    <xf borderId="0" fillId="0" fontId="59" numFmtId="0" xfId="0" applyAlignment="1" applyFont="1">
      <alignment horizontal="center" shrinkToFit="0" vertical="bottom" wrapText="0"/>
    </xf>
    <xf borderId="0" fillId="10" fontId="25" numFmtId="0" xfId="0" applyAlignment="1" applyFont="1">
      <alignment horizontal="center" shrinkToFit="0" vertical="center" wrapText="0"/>
    </xf>
    <xf borderId="0" fillId="15" fontId="45" numFmtId="0" xfId="0" applyAlignment="1" applyFont="1">
      <alignment horizontal="center" shrinkToFit="0" vertical="center" wrapText="1"/>
    </xf>
    <xf borderId="0" fillId="10" fontId="45" numFmtId="0" xfId="0" applyAlignment="1" applyFont="1">
      <alignment horizontal="center" shrinkToFit="0" vertical="center" wrapText="1"/>
    </xf>
    <xf borderId="0" fillId="13" fontId="45" numFmtId="0" xfId="0" applyAlignment="1" applyFont="1">
      <alignment horizontal="center" shrinkToFit="0" vertical="center" wrapText="1"/>
    </xf>
    <xf borderId="0" fillId="13" fontId="60" numFmtId="0" xfId="0" applyAlignment="1" applyFont="1">
      <alignment horizontal="center" shrinkToFit="0" vertical="center" wrapText="0"/>
    </xf>
    <xf borderId="0" fillId="0" fontId="61" numFmtId="0" xfId="0" applyAlignment="1" applyFont="1">
      <alignment horizontal="center"/>
    </xf>
    <xf borderId="0" fillId="13" fontId="62" numFmtId="0" xfId="0" applyAlignment="1" applyFont="1">
      <alignment horizontal="center"/>
    </xf>
    <xf borderId="0" fillId="0" fontId="36" numFmtId="9" xfId="0" applyAlignment="1" applyFont="1" applyNumberFormat="1">
      <alignment horizontal="center" shrinkToFit="0" vertical="bottom" wrapText="0"/>
    </xf>
    <xf borderId="0" fillId="0" fontId="39" numFmtId="9" xfId="0" applyAlignment="1" applyFont="1" applyNumberFormat="1">
      <alignment horizontal="center" shrinkToFit="0" vertical="bottom" wrapText="0"/>
    </xf>
    <xf borderId="0" fillId="0" fontId="63" numFmtId="9" xfId="0" applyAlignment="1" applyFont="1" applyNumberFormat="1">
      <alignment horizontal="center" shrinkToFit="0" vertical="bottom" wrapText="0"/>
    </xf>
    <xf borderId="0" fillId="0" fontId="64" numFmtId="0" xfId="0" applyFont="1"/>
    <xf borderId="0" fillId="10" fontId="65" numFmtId="0" xfId="0" applyAlignment="1" applyFont="1">
      <alignment horizontal="center" shrinkToFit="0" vertical="center" wrapText="0"/>
    </xf>
    <xf borderId="0" fillId="13" fontId="66" numFmtId="0" xfId="0" applyAlignment="1" applyFont="1">
      <alignment horizontal="center" shrinkToFit="0" vertical="center" wrapText="0"/>
    </xf>
    <xf borderId="0" fillId="13" fontId="67" numFmtId="0" xfId="0" applyAlignment="1" applyFont="1">
      <alignment horizontal="center" shrinkToFit="0" vertical="center" wrapText="1"/>
    </xf>
    <xf borderId="51" fillId="11" fontId="22" numFmtId="0" xfId="0" applyAlignment="1" applyBorder="1" applyFont="1">
      <alignment horizontal="center"/>
    </xf>
    <xf borderId="51" fillId="0" fontId="3" numFmtId="0" xfId="0" applyBorder="1" applyFont="1"/>
    <xf borderId="0" fillId="0" fontId="68" numFmtId="3" xfId="0" applyFont="1" applyNumberFormat="1"/>
    <xf borderId="0" fillId="11" fontId="22" numFmtId="0" xfId="0" applyAlignment="1" applyFont="1">
      <alignment horizontal="center" shrinkToFit="0" vertical="center" wrapText="0"/>
    </xf>
    <xf borderId="40" fillId="15" fontId="22" numFmtId="0" xfId="0" applyAlignment="1" applyBorder="1" applyFont="1">
      <alignment horizontal="center" shrinkToFit="0" vertical="center" wrapText="0"/>
    </xf>
    <xf borderId="0" fillId="13" fontId="19" numFmtId="0" xfId="0" applyAlignment="1" applyFont="1">
      <alignment horizontal="center"/>
    </xf>
    <xf borderId="0" fillId="13" fontId="19" numFmtId="9" xfId="0" applyAlignment="1" applyFont="1" applyNumberFormat="1">
      <alignment horizontal="center"/>
    </xf>
    <xf borderId="44" fillId="6" fontId="19" numFmtId="9" xfId="0" applyAlignment="1" applyBorder="1" applyFont="1" applyNumberFormat="1">
      <alignment horizontal="center" shrinkToFit="0" vertical="center" wrapText="0"/>
    </xf>
    <xf borderId="43" fillId="12" fontId="19" numFmtId="9" xfId="0" applyAlignment="1" applyBorder="1" applyFont="1" applyNumberFormat="1">
      <alignment horizontal="center" shrinkToFit="0" vertical="center" wrapText="0"/>
    </xf>
    <xf borderId="44" fillId="12" fontId="19" numFmtId="0" xfId="0" applyAlignment="1" applyBorder="1" applyFont="1">
      <alignment horizontal="center" shrinkToFit="0" vertical="center" wrapText="0"/>
    </xf>
    <xf borderId="0" fillId="5" fontId="19" numFmtId="0" xfId="0" applyAlignment="1" applyFont="1">
      <alignment horizontal="center"/>
    </xf>
    <xf borderId="0" fillId="5" fontId="19" numFmtId="9" xfId="0" applyAlignment="1" applyFont="1" applyNumberFormat="1">
      <alignment horizontal="center"/>
    </xf>
    <xf borderId="0" fillId="5" fontId="19" numFmtId="0" xfId="0" applyAlignment="1" applyFont="1">
      <alignment horizontal="center" shrinkToFit="0" vertical="center" wrapText="0"/>
    </xf>
    <xf borderId="0" fillId="20" fontId="19" numFmtId="9" xfId="0" applyAlignment="1" applyFill="1" applyFont="1" applyNumberFormat="1">
      <alignment horizontal="center"/>
    </xf>
    <xf borderId="0" fillId="18" fontId="22" numFmtId="0" xfId="0" applyAlignment="1" applyFont="1">
      <alignment horizontal="center"/>
    </xf>
    <xf borderId="0" fillId="18" fontId="22" numFmtId="10" xfId="0" applyAlignment="1" applyFont="1" applyNumberFormat="1">
      <alignment horizontal="center"/>
    </xf>
    <xf borderId="0" fillId="18" fontId="22" numFmtId="0" xfId="0" applyAlignment="1" applyFont="1">
      <alignment horizontal="center" shrinkToFit="0" vertical="center" wrapText="0"/>
    </xf>
    <xf borderId="44" fillId="15" fontId="22" numFmtId="9" xfId="0" applyAlignment="1" applyBorder="1" applyFont="1" applyNumberFormat="1">
      <alignment horizontal="center" shrinkToFit="0" vertical="center" wrapText="0"/>
    </xf>
    <xf borderId="45" fillId="15" fontId="22" numFmtId="0" xfId="0" applyAlignment="1" applyBorder="1" applyFont="1">
      <alignment horizontal="center" shrinkToFit="0" vertical="center" wrapText="0"/>
    </xf>
    <xf borderId="43" fillId="10" fontId="41" numFmtId="9" xfId="0" applyAlignment="1" applyBorder="1" applyFont="1" applyNumberFormat="1">
      <alignment horizontal="center" shrinkToFit="0" vertical="center" wrapText="0"/>
    </xf>
    <xf borderId="44" fillId="15" fontId="22" numFmtId="0" xfId="0" applyAlignment="1" applyBorder="1" applyFont="1">
      <alignment horizontal="center" shrinkToFit="0" vertical="center" wrapText="0"/>
    </xf>
    <xf borderId="0" fillId="0" fontId="23" numFmtId="49" xfId="0" applyAlignment="1" applyFont="1" applyNumberFormat="1">
      <alignment vertical="center"/>
    </xf>
    <xf borderId="43" fillId="6" fontId="19" numFmtId="3" xfId="0" applyAlignment="1" applyBorder="1" applyFont="1" applyNumberFormat="1">
      <alignment horizontal="center" shrinkToFit="0" vertical="center" wrapText="0"/>
    </xf>
    <xf borderId="44" fillId="12" fontId="19" numFmtId="3" xfId="0" applyAlignment="1" applyBorder="1" applyFont="1" applyNumberFormat="1">
      <alignment horizontal="center" shrinkToFit="0" vertical="center" wrapText="0"/>
    </xf>
    <xf borderId="0" fillId="0" fontId="57" numFmtId="3" xfId="0" applyFont="1" applyNumberFormat="1"/>
    <xf borderId="0" fillId="0" fontId="22" numFmtId="0" xfId="0" applyAlignment="1" applyFont="1">
      <alignment horizontal="center" shrinkToFit="0" wrapText="0"/>
    </xf>
    <xf borderId="0" fillId="0" fontId="22" numFmtId="0" xfId="0" applyAlignment="1" applyFont="1">
      <alignment horizontal="left" shrinkToFit="0" wrapText="0"/>
    </xf>
    <xf borderId="0" fillId="11" fontId="22" numFmtId="0" xfId="0" applyAlignment="1" applyFont="1">
      <alignment horizontal="center" shrinkToFit="0" wrapText="0"/>
    </xf>
    <xf borderId="0" fillId="11" fontId="22" numFmtId="0" xfId="0" applyAlignment="1" applyFont="1">
      <alignment horizontal="left" shrinkToFit="0" wrapText="0"/>
    </xf>
    <xf borderId="52" fillId="13" fontId="20" numFmtId="49" xfId="0" applyAlignment="1" applyBorder="1" applyFont="1" applyNumberFormat="1">
      <alignment horizontal="center"/>
    </xf>
    <xf borderId="0" fillId="17" fontId="19" numFmtId="0" xfId="0" applyAlignment="1" applyFont="1">
      <alignment horizontal="left" shrinkToFit="0" wrapText="0"/>
    </xf>
    <xf borderId="0" fillId="0" fontId="19" numFmtId="3" xfId="0" applyAlignment="1" applyFont="1" applyNumberFormat="1">
      <alignment horizontal="center" shrinkToFit="0" wrapText="0"/>
    </xf>
    <xf borderId="0" fillId="0" fontId="19" numFmtId="3" xfId="0" applyAlignment="1" applyFont="1" applyNumberFormat="1">
      <alignment horizontal="left" shrinkToFit="0" wrapText="0"/>
    </xf>
    <xf borderId="52" fillId="20" fontId="20" numFmtId="49" xfId="0" applyAlignment="1" applyBorder="1" applyFont="1" applyNumberFormat="1">
      <alignment horizontal="center"/>
    </xf>
    <xf borderId="0" fillId="20" fontId="19" numFmtId="0" xfId="0" applyAlignment="1" applyFont="1">
      <alignment horizontal="left" shrinkToFit="0" wrapText="0"/>
    </xf>
    <xf borderId="0" fillId="20" fontId="19" numFmtId="3" xfId="0" applyAlignment="1" applyFont="1" applyNumberFormat="1">
      <alignment horizontal="center" shrinkToFit="0" wrapText="0"/>
    </xf>
    <xf borderId="0" fillId="20" fontId="19" numFmtId="3" xfId="0" applyAlignment="1" applyFont="1" applyNumberFormat="1">
      <alignment horizontal="left" shrinkToFit="0" wrapText="0"/>
    </xf>
    <xf borderId="0" fillId="0" fontId="7" numFmtId="49" xfId="0" applyFont="1" applyNumberFormat="1"/>
    <xf borderId="0" fillId="0" fontId="22" numFmtId="0" xfId="0" applyFont="1"/>
    <xf borderId="0" fillId="13" fontId="68" numFmtId="0" xfId="0" applyFont="1"/>
    <xf borderId="0" fillId="0" fontId="7" numFmtId="10" xfId="0" applyAlignment="1" applyFont="1" applyNumberFormat="1">
      <alignment horizontal="left"/>
    </xf>
    <xf borderId="0" fillId="0" fontId="7" numFmtId="10" xfId="0" applyFont="1" applyNumberFormat="1"/>
    <xf borderId="0" fillId="0" fontId="68" numFmtId="0" xfId="0" applyFont="1"/>
    <xf borderId="0" fillId="15" fontId="11" numFmtId="0" xfId="0" applyAlignment="1" applyFont="1">
      <alignment shrinkToFit="0" vertical="center" wrapText="1"/>
    </xf>
    <xf borderId="0" fillId="0" fontId="11" numFmtId="0" xfId="0" applyAlignment="1" applyFont="1">
      <alignment vertical="center"/>
    </xf>
    <xf borderId="0" fillId="10" fontId="69" numFmtId="0" xfId="0" applyAlignment="1" applyFont="1">
      <alignment shrinkToFit="0" vertical="center" wrapText="1"/>
    </xf>
    <xf borderId="0" fillId="0" fontId="69" numFmtId="0" xfId="0" applyAlignment="1" applyFont="1">
      <alignment shrinkToFit="0" vertical="center" wrapText="1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center"/>
    </xf>
    <xf borderId="0" fillId="0" fontId="70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0" fillId="0" fontId="13" numFmtId="0" xfId="0" applyAlignment="1" applyFont="1">
      <alignment vertical="bottom"/>
    </xf>
    <xf borderId="0" fillId="0" fontId="18" numFmtId="0" xfId="0" applyAlignment="1" applyFont="1">
      <alignment shrinkToFit="0" vertical="center" wrapText="1"/>
    </xf>
    <xf borderId="0" fillId="0" fontId="18" numFmtId="0" xfId="0" applyFont="1"/>
    <xf borderId="0" fillId="0" fontId="13" numFmtId="0" xfId="0" applyFont="1"/>
    <xf borderId="0" fillId="0" fontId="6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71" numFmtId="0" xfId="0" applyAlignment="1" applyFont="1">
      <alignment shrinkToFit="0" vertical="center" wrapText="1"/>
    </xf>
    <xf borderId="0" fillId="0" fontId="23" numFmtId="0" xfId="0" applyAlignment="1" applyFont="1">
      <alignment shrinkToFit="0" vertical="center" wrapText="1"/>
    </xf>
    <xf borderId="0" fillId="0" fontId="41" numFmtId="0" xfId="0" applyAlignment="1" applyFont="1">
      <alignment shrinkToFit="0" vertical="center" wrapText="1"/>
    </xf>
    <xf borderId="0" fillId="0" fontId="72" numFmtId="1" xfId="0" applyAlignment="1" applyFont="1" applyNumberFormat="1">
      <alignment shrinkToFit="0" vertical="bottom" wrapText="0"/>
    </xf>
    <xf borderId="0" fillId="0" fontId="72" numFmtId="0" xfId="0" applyAlignment="1" applyFont="1">
      <alignment shrinkToFit="0" vertical="bottom" wrapText="0"/>
    </xf>
    <xf borderId="0" fillId="0" fontId="72" numFmtId="1" xfId="0" applyAlignment="1" applyFont="1" applyNumberFormat="1">
      <alignment shrinkToFit="0" vertical="center" wrapText="0"/>
    </xf>
    <xf borderId="0" fillId="0" fontId="72" numFmtId="164" xfId="0" applyAlignment="1" applyFont="1" applyNumberFormat="1">
      <alignment shrinkToFit="0" vertical="bottom" wrapText="0"/>
    </xf>
    <xf borderId="0" fillId="0" fontId="73" numFmtId="1" xfId="0" applyAlignment="1" applyFont="1" applyNumberFormat="1">
      <alignment horizontal="right" vertical="bottom"/>
    </xf>
    <xf borderId="0" fillId="0" fontId="73" numFmtId="0" xfId="0" applyAlignment="1" applyFont="1">
      <alignment vertical="bottom"/>
    </xf>
    <xf borderId="0" fillId="0" fontId="14" numFmtId="1" xfId="0" applyAlignment="1" applyFont="1" applyNumberForma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73" numFmtId="3" xfId="0" applyAlignment="1" applyFont="1" applyNumberFormat="1">
      <alignment vertical="bottom"/>
    </xf>
    <xf borderId="0" fillId="0" fontId="73" numFmtId="2" xfId="0" applyAlignment="1" applyFont="1" applyNumberFormat="1">
      <alignment horizontal="right" vertical="bottom"/>
    </xf>
    <xf borderId="0" fillId="0" fontId="72" numFmtId="1" xfId="0" applyAlignment="1" applyFont="1" applyNumberFormat="1">
      <alignment vertical="bottom"/>
    </xf>
    <xf borderId="0" fillId="0" fontId="72" numFmtId="0" xfId="0" applyAlignment="1" applyFont="1">
      <alignment vertical="bottom"/>
    </xf>
    <xf borderId="0" fillId="0" fontId="72" numFmtId="2" xfId="0" applyAlignment="1" applyFont="1" applyNumberFormat="1">
      <alignment vertical="bottom"/>
    </xf>
    <xf borderId="12" fillId="0" fontId="3" numFmtId="0" xfId="0" applyBorder="1" applyFont="1"/>
    <xf borderId="0" fillId="0" fontId="13" numFmtId="0" xfId="0" applyAlignment="1" applyFont="1">
      <alignment horizontal="center" vertical="center"/>
    </xf>
    <xf borderId="53" fillId="8" fontId="13" numFmtId="0" xfId="0" applyBorder="1" applyFont="1"/>
    <xf borderId="22" fillId="8" fontId="13" numFmtId="0" xfId="0" applyBorder="1" applyFont="1"/>
    <xf borderId="22" fillId="8" fontId="13" numFmtId="0" xfId="0" applyAlignment="1" applyBorder="1" applyFont="1">
      <alignment horizontal="center"/>
    </xf>
    <xf borderId="54" fillId="8" fontId="12" numFmtId="0" xfId="0" applyBorder="1" applyFont="1"/>
    <xf borderId="55" fillId="5" fontId="13" numFmtId="0" xfId="0" applyAlignment="1" applyBorder="1" applyFont="1">
      <alignment horizontal="center"/>
    </xf>
    <xf borderId="25" fillId="5" fontId="13" numFmtId="0" xfId="0" applyAlignment="1" applyBorder="1" applyFont="1">
      <alignment horizontal="center"/>
    </xf>
    <xf borderId="27" fillId="5" fontId="13" numFmtId="0" xfId="0" applyAlignment="1" applyBorder="1" applyFont="1">
      <alignment horizontal="center"/>
    </xf>
    <xf borderId="28" fillId="5" fontId="13" numFmtId="0" xfId="0" applyAlignment="1" applyBorder="1" applyFont="1">
      <alignment horizontal="center"/>
    </xf>
    <xf borderId="26" fillId="5" fontId="12" numFmtId="0" xfId="0" applyAlignment="1" applyBorder="1" applyFont="1">
      <alignment horizontal="center"/>
    </xf>
    <xf borderId="8" fillId="0" fontId="13" numFmtId="1" xfId="0" applyBorder="1" applyFont="1" applyNumberFormat="1"/>
    <xf borderId="8" fillId="0" fontId="13" numFmtId="0" xfId="0" applyBorder="1" applyFont="1"/>
    <xf borderId="8" fillId="0" fontId="13" numFmtId="1" xfId="0" applyAlignment="1" applyBorder="1" applyFont="1" applyNumberFormat="1">
      <alignment horizontal="center"/>
    </xf>
    <xf borderId="33" fillId="0" fontId="13" numFmtId="0" xfId="0" applyAlignment="1" applyBorder="1" applyFont="1">
      <alignment horizontal="center"/>
    </xf>
    <xf borderId="32" fillId="0" fontId="13" numFmtId="0" xfId="0" applyBorder="1" applyFont="1"/>
    <xf borderId="32" fillId="5" fontId="12" numFmtId="165" xfId="0" applyAlignment="1" applyBorder="1" applyFont="1" applyNumberFormat="1">
      <alignment horizontal="center"/>
    </xf>
    <xf borderId="8" fillId="0" fontId="13" numFmtId="3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Painel Geral-style">
      <tableStyleElement dxfId="1" type="headerRow"/>
      <tableStyleElement dxfId="2" type="firstRowStripe"/>
      <tableStyleElement dxfId="3" type="secondRowStripe"/>
    </tableStyle>
    <tableStyle count="2" pivot="0" name="Painel Áreas-style"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021CCA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0%" sourceLinked="0"/>
            <c:txPr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Geral'!$B$36:$B$41</c:f>
            </c:strRef>
          </c:cat>
          <c:val>
            <c:numRef>
              <c:f>'Painel Geral'!$C$36:$C$41</c:f>
              <c:numCache/>
            </c:numRef>
          </c:val>
        </c:ser>
        <c:axId val="235202502"/>
        <c:axId val="1693140900"/>
      </c:barChart>
      <c:catAx>
        <c:axId val="235202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93140900"/>
      </c:catAx>
      <c:valAx>
        <c:axId val="16931409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35202502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021CCA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0%" sourceLinked="0"/>
            <c:txPr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Geral'!$F$36:$F$41</c:f>
            </c:strRef>
          </c:cat>
          <c:val>
            <c:numRef>
              <c:f>'Painel Geral'!$H$36:$H$41</c:f>
              <c:numCache/>
            </c:numRef>
          </c:val>
        </c:ser>
        <c:axId val="78674460"/>
        <c:axId val="533135274"/>
      </c:barChart>
      <c:catAx>
        <c:axId val="78674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33135274"/>
      </c:catAx>
      <c:valAx>
        <c:axId val="53313527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8674460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3533077660594439"/>
          <c:y val="0.11567834681042227"/>
          <c:w val="0.6317204825281272"/>
          <c:h val="0.7858041329739441"/>
        </c:manualLayout>
      </c:layout>
      <c:barChart>
        <c:barDir val="bar"/>
        <c:grouping val="stacked"/>
        <c:ser>
          <c:idx val="0"/>
          <c:order val="0"/>
          <c:tx>
            <c:strRef>
              <c:f>'Painel Áreas'!$F$65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Áreas'!$E$66:$E$75</c:f>
            </c:strRef>
          </c:cat>
          <c:val>
            <c:numRef>
              <c:f>'Painel Áreas'!$F$66:$F$75</c:f>
              <c:numCache/>
            </c:numRef>
          </c:val>
        </c:ser>
        <c:ser>
          <c:idx val="1"/>
          <c:order val="1"/>
          <c:tx>
            <c:strRef>
              <c:f>'Painel Áreas'!$G$65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Áreas'!$E$66:$E$75</c:f>
            </c:strRef>
          </c:cat>
          <c:val>
            <c:numRef>
              <c:f>'Painel Áreas'!$G$66:$G$75</c:f>
              <c:numCache/>
            </c:numRef>
          </c:val>
        </c:ser>
        <c:ser>
          <c:idx val="2"/>
          <c:order val="2"/>
          <c:tx>
            <c:strRef>
              <c:f>'Painel Áreas'!$H$65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Áreas'!$E$66:$E$75</c:f>
            </c:strRef>
          </c:cat>
          <c:val>
            <c:numRef>
              <c:f>'Painel Áreas'!$H$66:$H$75</c:f>
              <c:numCache/>
            </c:numRef>
          </c:val>
        </c:ser>
        <c:ser>
          <c:idx val="3"/>
          <c:order val="3"/>
          <c:tx>
            <c:strRef>
              <c:f>'Painel Áreas'!$I$65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Áreas'!$E$66:$E$75</c:f>
            </c:strRef>
          </c:cat>
          <c:val>
            <c:numRef>
              <c:f>'Painel Áreas'!$I$66:$I$75</c:f>
              <c:numCache/>
            </c:numRef>
          </c:val>
        </c:ser>
        <c:ser>
          <c:idx val="4"/>
          <c:order val="4"/>
          <c:tx>
            <c:strRef>
              <c:f>'Painel Áreas'!$J$65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Áreas'!$E$66:$E$75</c:f>
            </c:strRef>
          </c:cat>
          <c:val>
            <c:numRef>
              <c:f>'Painel Áreas'!$J$66:$J$75</c:f>
              <c:numCache/>
            </c:numRef>
          </c:val>
        </c:ser>
        <c:ser>
          <c:idx val="5"/>
          <c:order val="5"/>
          <c:tx>
            <c:strRef>
              <c:f>'Painel Áreas'!$K$65</c:f>
            </c:strRef>
          </c:tx>
          <c:spPr>
            <a:solidFill>
              <a:srgbClr val="021CC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Áreas'!$E$66:$E$75</c:f>
            </c:strRef>
          </c:cat>
          <c:val>
            <c:numRef>
              <c:f>'Painel Áreas'!$K$66:$K$75</c:f>
              <c:numCache/>
            </c:numRef>
          </c:val>
        </c:ser>
        <c:overlap val="100"/>
        <c:axId val="1088488871"/>
        <c:axId val="503148164"/>
      </c:barChart>
      <c:catAx>
        <c:axId val="10884888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03148164"/>
      </c:catAx>
      <c:valAx>
        <c:axId val="503148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8488871"/>
        <c:crosses val="max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85725</xdr:rowOff>
    </xdr:from>
    <xdr:ext cx="1543050" cy="4000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95250</xdr:rowOff>
    </xdr:from>
    <xdr:ext cx="1543050" cy="4000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13</xdr:row>
      <xdr:rowOff>28575</xdr:rowOff>
    </xdr:from>
    <xdr:ext cx="5048250" cy="3124200"/>
    <xdr:graphicFrame>
      <xdr:nvGraphicFramePr>
        <xdr:cNvPr id="42869127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1019175</xdr:colOff>
      <xdr:row>13</xdr:row>
      <xdr:rowOff>28575</xdr:rowOff>
    </xdr:from>
    <xdr:ext cx="5381625" cy="3124200"/>
    <xdr:graphicFrame>
      <xdr:nvGraphicFramePr>
        <xdr:cNvPr id="1159303390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600075</xdr:colOff>
      <xdr:row>43</xdr:row>
      <xdr:rowOff>123825</xdr:rowOff>
    </xdr:from>
    <xdr:ext cx="6410325" cy="4143375"/>
    <xdr:pic>
      <xdr:nvPicPr>
        <xdr:cNvPr id="0" name="image1.png" title="Chart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2181225</xdr:colOff>
      <xdr:row>37</xdr:row>
      <xdr:rowOff>180975</xdr:rowOff>
    </xdr:from>
    <xdr:ext cx="9334500" cy="4762500"/>
    <xdr:graphicFrame>
      <xdr:nvGraphicFramePr>
        <xdr:cNvPr id="1654874600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942975</xdr:colOff>
      <xdr:row>1</xdr:row>
      <xdr:rowOff>85725</xdr:rowOff>
    </xdr:from>
    <xdr:ext cx="7639050" cy="3705225"/>
    <xdr:pic>
      <xdr:nvPicPr>
        <xdr:cNvPr id="0" name="image3.png" title="Chart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L35:P42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Painel Ger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P11" displayName="Table_2" name="Table_2" id="2">
  <tableColumns count="1">
    <tableColumn name="Column1" id="1"/>
  </tableColumns>
  <tableStyleInfo name="Painel Áre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9.63"/>
    <col customWidth="1" min="2" max="2" width="14.5"/>
    <col customWidth="1" min="3" max="3" width="24.88"/>
    <col customWidth="1" min="4" max="4" width="31.5"/>
    <col customWidth="1" min="5" max="5" width="13.0"/>
    <col customWidth="1" min="6" max="6" width="19.88"/>
    <col customWidth="1" min="7" max="7" width="28.38"/>
    <col customWidth="1" min="8" max="8" width="14.5"/>
    <col customWidth="1" min="9" max="9" width="11.0"/>
    <col customWidth="1" min="10" max="10" width="13.25"/>
    <col customWidth="1" min="11" max="11" width="7.25"/>
    <col customWidth="1" min="12" max="12" width="9.38"/>
    <col customWidth="1" min="13" max="13" width="16.63"/>
    <col customWidth="1" min="14" max="14" width="26.88"/>
  </cols>
  <sheetData>
    <row r="1" ht="48.0" customHeight="1">
      <c r="A1" s="1"/>
      <c r="B1" s="2" t="s">
        <v>0</v>
      </c>
      <c r="C1" s="3"/>
      <c r="D1" s="3"/>
      <c r="E1" s="2"/>
      <c r="F1" s="4"/>
      <c r="G1" s="4" t="s">
        <v>1</v>
      </c>
      <c r="H1" s="2"/>
      <c r="I1" s="2"/>
      <c r="J1" s="2"/>
      <c r="K1" s="2"/>
      <c r="L1" s="2"/>
      <c r="M1" s="2"/>
      <c r="N1" s="2"/>
    </row>
    <row r="2" ht="5.25" customHeight="1">
      <c r="A2" s="5"/>
      <c r="B2" s="5"/>
      <c r="C2" s="5"/>
      <c r="D2" s="5"/>
      <c r="E2" s="6"/>
      <c r="F2" s="5"/>
      <c r="G2" s="5"/>
      <c r="H2" s="7"/>
      <c r="I2" s="8"/>
      <c r="J2" s="9"/>
      <c r="K2" s="10"/>
      <c r="L2" s="10"/>
      <c r="M2" s="10"/>
      <c r="N2" s="5"/>
    </row>
    <row r="3">
      <c r="A3" s="11" t="s">
        <v>2</v>
      </c>
      <c r="B3" s="11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3" t="s">
        <v>8</v>
      </c>
      <c r="H3" s="14" t="s">
        <v>9</v>
      </c>
      <c r="I3" s="15" t="s">
        <v>10</v>
      </c>
      <c r="J3" s="16" t="s">
        <v>11</v>
      </c>
      <c r="K3" s="17" t="s">
        <v>12</v>
      </c>
      <c r="L3" s="17" t="s">
        <v>13</v>
      </c>
      <c r="M3" s="16" t="s">
        <v>14</v>
      </c>
      <c r="N3" s="17" t="s">
        <v>15</v>
      </c>
    </row>
    <row r="4" ht="15.75" customHeight="1">
      <c r="A4" s="18">
        <v>3.0</v>
      </c>
      <c r="B4" s="19">
        <v>15.0</v>
      </c>
      <c r="C4" s="20" t="s">
        <v>16</v>
      </c>
      <c r="D4" s="20" t="s">
        <v>17</v>
      </c>
      <c r="E4" s="21" t="s">
        <v>18</v>
      </c>
      <c r="F4" s="22" t="s">
        <v>19</v>
      </c>
      <c r="G4" s="23" t="s">
        <v>20</v>
      </c>
      <c r="H4" s="24">
        <v>160.0</v>
      </c>
      <c r="I4" s="25">
        <v>6458.4</v>
      </c>
      <c r="J4" s="26" t="s">
        <v>21</v>
      </c>
      <c r="K4" s="27">
        <v>81937.0</v>
      </c>
      <c r="L4" s="28" t="s">
        <v>22</v>
      </c>
      <c r="M4" s="29">
        <v>45420.0</v>
      </c>
      <c r="N4" s="30"/>
    </row>
    <row r="5" ht="15.75" customHeight="1">
      <c r="A5" s="18">
        <v>3.0</v>
      </c>
      <c r="B5" s="19">
        <v>50.0</v>
      </c>
      <c r="C5" s="20" t="s">
        <v>16</v>
      </c>
      <c r="D5" s="20" t="s">
        <v>17</v>
      </c>
      <c r="E5" s="21" t="s">
        <v>18</v>
      </c>
      <c r="F5" s="31" t="s">
        <v>19</v>
      </c>
      <c r="G5" s="32" t="s">
        <v>20</v>
      </c>
      <c r="H5" s="33">
        <v>160.0</v>
      </c>
      <c r="I5" s="34">
        <v>6458.4</v>
      </c>
      <c r="J5" s="35" t="s">
        <v>21</v>
      </c>
      <c r="K5" s="27">
        <v>81937.0</v>
      </c>
      <c r="L5" s="28" t="s">
        <v>22</v>
      </c>
      <c r="M5" s="29">
        <v>45420.0</v>
      </c>
      <c r="N5" s="30"/>
    </row>
    <row r="6" ht="15.75" customHeight="1">
      <c r="A6" s="18">
        <v>2.0</v>
      </c>
      <c r="B6" s="19">
        <v>14.0</v>
      </c>
      <c r="C6" s="20" t="s">
        <v>16</v>
      </c>
      <c r="D6" s="20" t="s">
        <v>23</v>
      </c>
      <c r="E6" s="21" t="s">
        <v>24</v>
      </c>
      <c r="F6" s="21" t="s">
        <v>25</v>
      </c>
      <c r="G6" s="32" t="s">
        <v>20</v>
      </c>
      <c r="H6" s="33">
        <v>160.0</v>
      </c>
      <c r="I6" s="34">
        <v>4305.6</v>
      </c>
      <c r="J6" s="35" t="s">
        <v>21</v>
      </c>
      <c r="K6" s="27">
        <v>81937.0</v>
      </c>
      <c r="L6" s="28" t="s">
        <v>22</v>
      </c>
      <c r="M6" s="36" t="s">
        <v>26</v>
      </c>
      <c r="N6" s="30"/>
    </row>
    <row r="7" ht="15.75" customHeight="1">
      <c r="A7" s="18">
        <v>2.0</v>
      </c>
      <c r="B7" s="19">
        <v>42.0</v>
      </c>
      <c r="C7" s="20" t="s">
        <v>16</v>
      </c>
      <c r="D7" s="20" t="s">
        <v>23</v>
      </c>
      <c r="E7" s="21" t="s">
        <v>24</v>
      </c>
      <c r="F7" s="21" t="s">
        <v>25</v>
      </c>
      <c r="G7" s="32" t="s">
        <v>20</v>
      </c>
      <c r="H7" s="33">
        <v>160.0</v>
      </c>
      <c r="I7" s="34">
        <v>4305.6</v>
      </c>
      <c r="J7" s="35" t="s">
        <v>21</v>
      </c>
      <c r="K7" s="27">
        <v>81937.0</v>
      </c>
      <c r="L7" s="28" t="s">
        <v>27</v>
      </c>
      <c r="M7" s="29">
        <v>45334.0</v>
      </c>
      <c r="N7" s="30"/>
    </row>
    <row r="8" ht="15.75" customHeight="1">
      <c r="A8" s="18">
        <v>2.0</v>
      </c>
      <c r="B8" s="19">
        <v>36.0</v>
      </c>
      <c r="C8" s="20" t="s">
        <v>16</v>
      </c>
      <c r="D8" s="20" t="s">
        <v>23</v>
      </c>
      <c r="E8" s="21" t="s">
        <v>24</v>
      </c>
      <c r="F8" s="21" t="s">
        <v>25</v>
      </c>
      <c r="G8" s="32" t="s">
        <v>20</v>
      </c>
      <c r="H8" s="33">
        <v>160.0</v>
      </c>
      <c r="I8" s="34">
        <v>4305.6</v>
      </c>
      <c r="J8" s="35" t="s">
        <v>21</v>
      </c>
      <c r="K8" s="27">
        <v>81937.0</v>
      </c>
      <c r="L8" s="28" t="s">
        <v>22</v>
      </c>
      <c r="M8" s="29">
        <v>45809.0</v>
      </c>
      <c r="N8" s="30"/>
    </row>
    <row r="9" ht="15.75" customHeight="1">
      <c r="A9" s="18">
        <v>2.0</v>
      </c>
      <c r="B9" s="19">
        <v>37.0</v>
      </c>
      <c r="C9" s="20" t="s">
        <v>16</v>
      </c>
      <c r="D9" s="20" t="s">
        <v>23</v>
      </c>
      <c r="E9" s="21" t="s">
        <v>24</v>
      </c>
      <c r="F9" s="21" t="s">
        <v>25</v>
      </c>
      <c r="G9" s="32" t="s">
        <v>20</v>
      </c>
      <c r="H9" s="33">
        <v>160.0</v>
      </c>
      <c r="I9" s="34">
        <v>4305.6</v>
      </c>
      <c r="J9" s="35" t="s">
        <v>21</v>
      </c>
      <c r="K9" s="27">
        <v>81937.0</v>
      </c>
      <c r="L9" s="28" t="s">
        <v>22</v>
      </c>
      <c r="M9" s="29">
        <v>45809.0</v>
      </c>
      <c r="N9" s="30"/>
    </row>
    <row r="10" ht="15.75" customHeight="1">
      <c r="A10" s="18">
        <v>2.0</v>
      </c>
      <c r="B10" s="19">
        <v>38.0</v>
      </c>
      <c r="C10" s="20" t="s">
        <v>16</v>
      </c>
      <c r="D10" s="20" t="s">
        <v>23</v>
      </c>
      <c r="E10" s="21" t="s">
        <v>24</v>
      </c>
      <c r="F10" s="21" t="s">
        <v>25</v>
      </c>
      <c r="G10" s="32" t="s">
        <v>20</v>
      </c>
      <c r="H10" s="33">
        <v>160.0</v>
      </c>
      <c r="I10" s="34">
        <v>4305.6</v>
      </c>
      <c r="J10" s="35" t="s">
        <v>21</v>
      </c>
      <c r="K10" s="27">
        <v>81937.0</v>
      </c>
      <c r="L10" s="28" t="s">
        <v>22</v>
      </c>
      <c r="M10" s="29">
        <v>45635.0</v>
      </c>
      <c r="N10" s="30"/>
    </row>
    <row r="11" ht="15.75" customHeight="1">
      <c r="A11" s="18">
        <v>1.0</v>
      </c>
      <c r="B11" s="19">
        <v>20.0</v>
      </c>
      <c r="C11" s="20" t="s">
        <v>16</v>
      </c>
      <c r="D11" s="20" t="s">
        <v>28</v>
      </c>
      <c r="E11" s="21" t="s">
        <v>29</v>
      </c>
      <c r="F11" s="21" t="s">
        <v>25</v>
      </c>
      <c r="G11" s="32" t="s">
        <v>20</v>
      </c>
      <c r="H11" s="33">
        <v>160.0</v>
      </c>
      <c r="I11" s="34">
        <v>2489.18</v>
      </c>
      <c r="J11" s="35" t="s">
        <v>21</v>
      </c>
      <c r="K11" s="27">
        <v>81937.0</v>
      </c>
      <c r="L11" s="28" t="s">
        <v>22</v>
      </c>
      <c r="M11" s="29">
        <v>45331.0</v>
      </c>
      <c r="N11" s="30"/>
    </row>
    <row r="12" ht="15.75" customHeight="1">
      <c r="A12" s="18">
        <v>1.0</v>
      </c>
      <c r="B12" s="19">
        <v>54.0</v>
      </c>
      <c r="C12" s="20" t="s">
        <v>16</v>
      </c>
      <c r="D12" s="20" t="s">
        <v>28</v>
      </c>
      <c r="E12" s="21" t="s">
        <v>29</v>
      </c>
      <c r="F12" s="21" t="s">
        <v>25</v>
      </c>
      <c r="G12" s="32" t="s">
        <v>20</v>
      </c>
      <c r="H12" s="33">
        <v>160.0</v>
      </c>
      <c r="I12" s="34">
        <v>2489.18</v>
      </c>
      <c r="J12" s="35" t="s">
        <v>21</v>
      </c>
      <c r="K12" s="27">
        <v>81937.0</v>
      </c>
      <c r="L12" s="28" t="s">
        <v>22</v>
      </c>
      <c r="M12" s="36" t="s">
        <v>30</v>
      </c>
      <c r="N12" s="30"/>
    </row>
    <row r="13" ht="15.75" customHeight="1">
      <c r="A13" s="18">
        <v>1.0</v>
      </c>
      <c r="B13" s="19">
        <v>8.0</v>
      </c>
      <c r="C13" s="20" t="s">
        <v>16</v>
      </c>
      <c r="D13" s="20" t="s">
        <v>28</v>
      </c>
      <c r="E13" s="21" t="s">
        <v>29</v>
      </c>
      <c r="F13" s="21" t="s">
        <v>25</v>
      </c>
      <c r="G13" s="32" t="s">
        <v>20</v>
      </c>
      <c r="H13" s="33">
        <v>160.0</v>
      </c>
      <c r="I13" s="34">
        <v>2489.18</v>
      </c>
      <c r="J13" s="35" t="s">
        <v>21</v>
      </c>
      <c r="K13" s="27">
        <v>81937.0</v>
      </c>
      <c r="L13" s="28" t="s">
        <v>22</v>
      </c>
      <c r="M13" s="36" t="s">
        <v>26</v>
      </c>
      <c r="N13" s="30"/>
    </row>
    <row r="14" ht="15.75" customHeight="1">
      <c r="A14" s="18">
        <v>1.0</v>
      </c>
      <c r="B14" s="19">
        <v>41.0</v>
      </c>
      <c r="C14" s="20" t="s">
        <v>16</v>
      </c>
      <c r="D14" s="20" t="s">
        <v>28</v>
      </c>
      <c r="E14" s="21" t="s">
        <v>29</v>
      </c>
      <c r="F14" s="21" t="s">
        <v>25</v>
      </c>
      <c r="G14" s="32" t="s">
        <v>20</v>
      </c>
      <c r="H14" s="33">
        <v>160.0</v>
      </c>
      <c r="I14" s="34">
        <v>2489.18</v>
      </c>
      <c r="J14" s="35" t="s">
        <v>21</v>
      </c>
      <c r="K14" s="27">
        <v>81937.0</v>
      </c>
      <c r="L14" s="28" t="s">
        <v>27</v>
      </c>
      <c r="M14" s="29">
        <v>45809.0</v>
      </c>
      <c r="N14" s="30"/>
    </row>
    <row r="15" ht="15.75" customHeight="1">
      <c r="A15" s="18">
        <v>1.0</v>
      </c>
      <c r="B15" s="19">
        <v>46.0</v>
      </c>
      <c r="C15" s="20" t="s">
        <v>16</v>
      </c>
      <c r="D15" s="20" t="s">
        <v>28</v>
      </c>
      <c r="E15" s="21" t="s">
        <v>29</v>
      </c>
      <c r="F15" s="21" t="s">
        <v>25</v>
      </c>
      <c r="G15" s="32" t="s">
        <v>20</v>
      </c>
      <c r="H15" s="33">
        <v>160.0</v>
      </c>
      <c r="I15" s="34">
        <v>2489.18</v>
      </c>
      <c r="J15" s="35" t="s">
        <v>21</v>
      </c>
      <c r="K15" s="27">
        <v>81937.0</v>
      </c>
      <c r="L15" s="28" t="s">
        <v>22</v>
      </c>
      <c r="M15" s="36" t="s">
        <v>26</v>
      </c>
      <c r="N15" s="30"/>
    </row>
    <row r="16" ht="15.75" customHeight="1">
      <c r="A16" s="18">
        <v>1.0</v>
      </c>
      <c r="B16" s="19">
        <v>40.0</v>
      </c>
      <c r="C16" s="20" t="s">
        <v>16</v>
      </c>
      <c r="D16" s="20" t="s">
        <v>28</v>
      </c>
      <c r="E16" s="21" t="s">
        <v>29</v>
      </c>
      <c r="F16" s="21" t="s">
        <v>25</v>
      </c>
      <c r="G16" s="32" t="s">
        <v>20</v>
      </c>
      <c r="H16" s="33">
        <v>160.0</v>
      </c>
      <c r="I16" s="34">
        <v>2489.18</v>
      </c>
      <c r="J16" s="35" t="s">
        <v>21</v>
      </c>
      <c r="K16" s="27">
        <v>81937.0</v>
      </c>
      <c r="L16" s="28" t="s">
        <v>22</v>
      </c>
      <c r="M16" s="36" t="s">
        <v>26</v>
      </c>
      <c r="N16" s="30"/>
    </row>
    <row r="17" ht="15.75" customHeight="1">
      <c r="A17" s="18">
        <v>1.0</v>
      </c>
      <c r="B17" s="19">
        <v>39.0</v>
      </c>
      <c r="C17" s="20" t="s">
        <v>16</v>
      </c>
      <c r="D17" s="20" t="s">
        <v>28</v>
      </c>
      <c r="E17" s="21" t="s">
        <v>29</v>
      </c>
      <c r="F17" s="21" t="s">
        <v>25</v>
      </c>
      <c r="G17" s="32" t="s">
        <v>20</v>
      </c>
      <c r="H17" s="33">
        <v>160.0</v>
      </c>
      <c r="I17" s="34">
        <v>2489.18</v>
      </c>
      <c r="J17" s="35" t="s">
        <v>21</v>
      </c>
      <c r="K17" s="27">
        <v>81937.0</v>
      </c>
      <c r="L17" s="28" t="s">
        <v>22</v>
      </c>
      <c r="M17" s="29">
        <v>45809.0</v>
      </c>
      <c r="N17" s="30"/>
    </row>
    <row r="18" ht="15.75" customHeight="1">
      <c r="A18" s="18">
        <v>1.0</v>
      </c>
      <c r="B18" s="19">
        <v>19.0</v>
      </c>
      <c r="C18" s="20" t="s">
        <v>16</v>
      </c>
      <c r="D18" s="20" t="s">
        <v>28</v>
      </c>
      <c r="E18" s="21" t="s">
        <v>29</v>
      </c>
      <c r="F18" s="21" t="s">
        <v>25</v>
      </c>
      <c r="G18" s="32" t="s">
        <v>20</v>
      </c>
      <c r="H18" s="33">
        <v>160.0</v>
      </c>
      <c r="I18" s="34">
        <v>2489.18</v>
      </c>
      <c r="J18" s="35" t="s">
        <v>21</v>
      </c>
      <c r="K18" s="27">
        <v>81937.0</v>
      </c>
      <c r="L18" s="28" t="s">
        <v>22</v>
      </c>
      <c r="M18" s="29">
        <v>45421.0</v>
      </c>
      <c r="N18" s="30"/>
    </row>
    <row r="19" ht="15.75" customHeight="1">
      <c r="A19" s="18">
        <v>1.0</v>
      </c>
      <c r="B19" s="19">
        <v>19.0</v>
      </c>
      <c r="C19" s="20" t="s">
        <v>16</v>
      </c>
      <c r="D19" s="20" t="s">
        <v>28</v>
      </c>
      <c r="E19" s="21" t="s">
        <v>29</v>
      </c>
      <c r="F19" s="21" t="s">
        <v>25</v>
      </c>
      <c r="G19" s="32" t="s">
        <v>20</v>
      </c>
      <c r="H19" s="33">
        <v>160.0</v>
      </c>
      <c r="I19" s="34">
        <v>2489.18</v>
      </c>
      <c r="J19" s="35" t="s">
        <v>21</v>
      </c>
      <c r="K19" s="27">
        <v>81937.0</v>
      </c>
      <c r="L19" s="28" t="s">
        <v>22</v>
      </c>
      <c r="M19" s="29">
        <v>45635.0</v>
      </c>
      <c r="N19" s="30"/>
    </row>
    <row r="20" ht="15.75" customHeight="1">
      <c r="A20" s="18">
        <v>1.0</v>
      </c>
      <c r="B20" s="19">
        <v>21.0</v>
      </c>
      <c r="C20" s="20" t="s">
        <v>16</v>
      </c>
      <c r="D20" s="20" t="s">
        <v>28</v>
      </c>
      <c r="E20" s="21" t="s">
        <v>29</v>
      </c>
      <c r="F20" s="21" t="s">
        <v>25</v>
      </c>
      <c r="G20" s="32" t="s">
        <v>20</v>
      </c>
      <c r="H20" s="33">
        <v>160.0</v>
      </c>
      <c r="I20" s="34">
        <v>2489.18</v>
      </c>
      <c r="J20" s="35" t="s">
        <v>21</v>
      </c>
      <c r="K20" s="27">
        <v>81937.0</v>
      </c>
      <c r="L20" s="28" t="s">
        <v>22</v>
      </c>
      <c r="M20" s="29">
        <v>45809.0</v>
      </c>
      <c r="N20" s="30"/>
    </row>
    <row r="21" ht="15.75" customHeight="1">
      <c r="A21" s="18">
        <v>1.0</v>
      </c>
      <c r="B21" s="19">
        <v>45.0</v>
      </c>
      <c r="C21" s="20" t="s">
        <v>16</v>
      </c>
      <c r="D21" s="20" t="s">
        <v>28</v>
      </c>
      <c r="E21" s="21" t="s">
        <v>29</v>
      </c>
      <c r="F21" s="21" t="s">
        <v>25</v>
      </c>
      <c r="G21" s="32" t="s">
        <v>20</v>
      </c>
      <c r="H21" s="33">
        <v>160.0</v>
      </c>
      <c r="I21" s="34">
        <v>2489.18</v>
      </c>
      <c r="J21" s="35" t="s">
        <v>21</v>
      </c>
      <c r="K21" s="37">
        <v>81937.0</v>
      </c>
      <c r="L21" s="28" t="s">
        <v>22</v>
      </c>
      <c r="M21" s="29">
        <v>45511.0</v>
      </c>
      <c r="N21" s="30"/>
    </row>
    <row r="22" ht="15.75" customHeight="1">
      <c r="A22" s="18">
        <v>1.0</v>
      </c>
      <c r="B22" s="19">
        <v>13.0</v>
      </c>
      <c r="C22" s="20" t="s">
        <v>16</v>
      </c>
      <c r="D22" s="20" t="s">
        <v>28</v>
      </c>
      <c r="E22" s="21" t="s">
        <v>29</v>
      </c>
      <c r="F22" s="21" t="s">
        <v>25</v>
      </c>
      <c r="G22" s="32" t="s">
        <v>20</v>
      </c>
      <c r="H22" s="33">
        <v>160.0</v>
      </c>
      <c r="I22" s="34">
        <v>2489.18</v>
      </c>
      <c r="J22" s="35" t="s">
        <v>21</v>
      </c>
      <c r="K22" s="27">
        <v>81937.0</v>
      </c>
      <c r="L22" s="28" t="s">
        <v>22</v>
      </c>
      <c r="M22" s="36" t="s">
        <v>31</v>
      </c>
      <c r="N22" s="30"/>
    </row>
    <row r="23" ht="15.75" customHeight="1">
      <c r="A23" s="18">
        <v>1.0</v>
      </c>
      <c r="B23" s="19">
        <v>22.0</v>
      </c>
      <c r="C23" s="20" t="s">
        <v>16</v>
      </c>
      <c r="D23" s="20" t="s">
        <v>28</v>
      </c>
      <c r="E23" s="21" t="s">
        <v>29</v>
      </c>
      <c r="F23" s="21" t="s">
        <v>25</v>
      </c>
      <c r="G23" s="32" t="s">
        <v>20</v>
      </c>
      <c r="H23" s="33">
        <v>160.0</v>
      </c>
      <c r="I23" s="34">
        <v>2489.18</v>
      </c>
      <c r="J23" s="35" t="s">
        <v>21</v>
      </c>
      <c r="K23" s="27">
        <v>81937.0</v>
      </c>
      <c r="L23" s="28" t="s">
        <v>27</v>
      </c>
      <c r="M23" s="29">
        <v>44932.0</v>
      </c>
      <c r="N23" s="30"/>
    </row>
    <row r="24" ht="15.75" customHeight="1">
      <c r="A24" s="18">
        <v>1.0</v>
      </c>
      <c r="B24" s="19">
        <v>1.0</v>
      </c>
      <c r="C24" s="20" t="s">
        <v>16</v>
      </c>
      <c r="D24" s="20" t="s">
        <v>28</v>
      </c>
      <c r="E24" s="21" t="s">
        <v>29</v>
      </c>
      <c r="F24" s="21" t="s">
        <v>25</v>
      </c>
      <c r="G24" s="32" t="s">
        <v>20</v>
      </c>
      <c r="H24" s="33">
        <v>160.0</v>
      </c>
      <c r="I24" s="34">
        <v>2489.18</v>
      </c>
      <c r="J24" s="35" t="s">
        <v>21</v>
      </c>
      <c r="K24" s="27">
        <v>81937.0</v>
      </c>
      <c r="L24" s="28" t="s">
        <v>22</v>
      </c>
      <c r="M24" s="36" t="s">
        <v>30</v>
      </c>
      <c r="N24" s="30"/>
    </row>
    <row r="25" ht="15.75" customHeight="1">
      <c r="A25" s="18">
        <v>1.0</v>
      </c>
      <c r="B25" s="19">
        <v>9.0</v>
      </c>
      <c r="C25" s="20" t="s">
        <v>16</v>
      </c>
      <c r="D25" s="20" t="s">
        <v>28</v>
      </c>
      <c r="E25" s="21" t="s">
        <v>29</v>
      </c>
      <c r="F25" s="21" t="s">
        <v>25</v>
      </c>
      <c r="G25" s="32" t="s">
        <v>20</v>
      </c>
      <c r="H25" s="33">
        <v>160.0</v>
      </c>
      <c r="I25" s="34">
        <v>2489.18</v>
      </c>
      <c r="J25" s="35" t="s">
        <v>21</v>
      </c>
      <c r="K25" s="27">
        <v>81937.0</v>
      </c>
      <c r="L25" s="28" t="s">
        <v>22</v>
      </c>
      <c r="M25" s="29">
        <v>44932.0</v>
      </c>
      <c r="N25" s="30"/>
    </row>
    <row r="26" ht="15.75" customHeight="1">
      <c r="A26" s="18">
        <v>1.0</v>
      </c>
      <c r="B26" s="19">
        <v>2.0</v>
      </c>
      <c r="C26" s="20" t="s">
        <v>16</v>
      </c>
      <c r="D26" s="20" t="s">
        <v>28</v>
      </c>
      <c r="E26" s="21" t="s">
        <v>29</v>
      </c>
      <c r="F26" s="21" t="s">
        <v>25</v>
      </c>
      <c r="G26" s="32" t="s">
        <v>20</v>
      </c>
      <c r="H26" s="33">
        <v>160.0</v>
      </c>
      <c r="I26" s="34">
        <v>2489.18</v>
      </c>
      <c r="J26" s="35" t="s">
        <v>21</v>
      </c>
      <c r="K26" s="27">
        <v>81937.0</v>
      </c>
      <c r="L26" s="28" t="s">
        <v>22</v>
      </c>
      <c r="M26" s="29">
        <v>45809.0</v>
      </c>
      <c r="N26" s="30"/>
    </row>
    <row r="27" ht="15.75" customHeight="1">
      <c r="A27" s="18">
        <v>1.0</v>
      </c>
      <c r="B27" s="19">
        <v>43.0</v>
      </c>
      <c r="C27" s="20" t="s">
        <v>16</v>
      </c>
      <c r="D27" s="20" t="s">
        <v>28</v>
      </c>
      <c r="E27" s="21" t="s">
        <v>29</v>
      </c>
      <c r="F27" s="21" t="s">
        <v>25</v>
      </c>
      <c r="G27" s="32" t="s">
        <v>20</v>
      </c>
      <c r="H27" s="33">
        <v>160.0</v>
      </c>
      <c r="I27" s="34">
        <v>2489.18</v>
      </c>
      <c r="J27" s="35" t="s">
        <v>21</v>
      </c>
      <c r="K27" s="27">
        <v>81937.0</v>
      </c>
      <c r="L27" s="28" t="s">
        <v>22</v>
      </c>
      <c r="M27" s="29">
        <v>45809.0</v>
      </c>
      <c r="N27" s="30"/>
    </row>
    <row r="28" ht="15.75" customHeight="1">
      <c r="A28" s="18">
        <v>1.0</v>
      </c>
      <c r="B28" s="19">
        <v>44.0</v>
      </c>
      <c r="C28" s="20" t="s">
        <v>16</v>
      </c>
      <c r="D28" s="20" t="s">
        <v>28</v>
      </c>
      <c r="E28" s="21" t="s">
        <v>29</v>
      </c>
      <c r="F28" s="21" t="s">
        <v>25</v>
      </c>
      <c r="G28" s="32" t="s">
        <v>20</v>
      </c>
      <c r="H28" s="33">
        <v>160.0</v>
      </c>
      <c r="I28" s="34">
        <v>2489.18</v>
      </c>
      <c r="J28" s="35" t="s">
        <v>21</v>
      </c>
      <c r="K28" s="27">
        <v>81937.0</v>
      </c>
      <c r="L28" s="28" t="s">
        <v>22</v>
      </c>
      <c r="M28" s="36" t="s">
        <v>31</v>
      </c>
      <c r="N28" s="30"/>
    </row>
    <row r="29" ht="15.75" customHeight="1">
      <c r="A29" s="18">
        <v>1.0</v>
      </c>
      <c r="B29" s="19">
        <v>24.0</v>
      </c>
      <c r="C29" s="20" t="s">
        <v>16</v>
      </c>
      <c r="D29" s="20" t="s">
        <v>28</v>
      </c>
      <c r="E29" s="21" t="s">
        <v>29</v>
      </c>
      <c r="F29" s="21" t="s">
        <v>25</v>
      </c>
      <c r="G29" s="32" t="s">
        <v>20</v>
      </c>
      <c r="H29" s="33">
        <v>160.0</v>
      </c>
      <c r="I29" s="34">
        <v>2489.18</v>
      </c>
      <c r="J29" s="35" t="s">
        <v>21</v>
      </c>
      <c r="K29" s="27">
        <v>81937.0</v>
      </c>
      <c r="L29" s="28" t="s">
        <v>22</v>
      </c>
      <c r="M29" s="29">
        <v>44932.0</v>
      </c>
      <c r="N29" s="30"/>
    </row>
    <row r="30" ht="15.75" customHeight="1">
      <c r="A30" s="18">
        <v>1.0</v>
      </c>
      <c r="B30" s="19">
        <v>4.0</v>
      </c>
      <c r="C30" s="20" t="s">
        <v>16</v>
      </c>
      <c r="D30" s="20" t="s">
        <v>28</v>
      </c>
      <c r="E30" s="21" t="s">
        <v>29</v>
      </c>
      <c r="F30" s="21" t="s">
        <v>25</v>
      </c>
      <c r="G30" s="32" t="s">
        <v>20</v>
      </c>
      <c r="H30" s="33">
        <v>160.0</v>
      </c>
      <c r="I30" s="34">
        <v>2489.18</v>
      </c>
      <c r="J30" s="35" t="s">
        <v>21</v>
      </c>
      <c r="K30" s="27">
        <v>81937.0</v>
      </c>
      <c r="L30" s="28" t="s">
        <v>22</v>
      </c>
      <c r="M30" s="36" t="s">
        <v>32</v>
      </c>
      <c r="N30" s="30"/>
    </row>
    <row r="31" ht="15.75" customHeight="1">
      <c r="A31" s="18">
        <v>1.0</v>
      </c>
      <c r="B31" s="19">
        <v>27.0</v>
      </c>
      <c r="C31" s="20" t="s">
        <v>16</v>
      </c>
      <c r="D31" s="20" t="s">
        <v>28</v>
      </c>
      <c r="E31" s="21" t="s">
        <v>29</v>
      </c>
      <c r="F31" s="21" t="s">
        <v>25</v>
      </c>
      <c r="G31" s="32" t="s">
        <v>20</v>
      </c>
      <c r="H31" s="33">
        <v>160.0</v>
      </c>
      <c r="I31" s="34">
        <v>2489.18</v>
      </c>
      <c r="J31" s="35" t="s">
        <v>21</v>
      </c>
      <c r="K31" s="27">
        <v>81937.0</v>
      </c>
      <c r="L31" s="28" t="s">
        <v>27</v>
      </c>
      <c r="M31" s="29">
        <v>44937.0</v>
      </c>
      <c r="N31" s="30"/>
    </row>
    <row r="32" ht="15.75" customHeight="1">
      <c r="A32" s="18">
        <v>1.0</v>
      </c>
      <c r="B32" s="19">
        <v>381.0</v>
      </c>
      <c r="C32" s="20" t="s">
        <v>16</v>
      </c>
      <c r="D32" s="20" t="s">
        <v>28</v>
      </c>
      <c r="E32" s="21" t="s">
        <v>29</v>
      </c>
      <c r="F32" s="21" t="s">
        <v>25</v>
      </c>
      <c r="G32" s="32" t="s">
        <v>20</v>
      </c>
      <c r="H32" s="33">
        <v>160.0</v>
      </c>
      <c r="I32" s="34">
        <v>2489.18</v>
      </c>
      <c r="J32" s="35" t="s">
        <v>21</v>
      </c>
      <c r="K32" s="27">
        <v>81937.0</v>
      </c>
      <c r="L32" s="28" t="s">
        <v>22</v>
      </c>
      <c r="M32" s="38">
        <v>45628.0</v>
      </c>
      <c r="N32" s="30"/>
    </row>
    <row r="33" ht="15.75" customHeight="1">
      <c r="A33" s="18">
        <v>1.0</v>
      </c>
      <c r="B33" s="19">
        <v>34.0</v>
      </c>
      <c r="C33" s="20" t="s">
        <v>16</v>
      </c>
      <c r="D33" s="20" t="s">
        <v>28</v>
      </c>
      <c r="E33" s="21" t="s">
        <v>29</v>
      </c>
      <c r="F33" s="21" t="s">
        <v>25</v>
      </c>
      <c r="G33" s="32" t="s">
        <v>20</v>
      </c>
      <c r="H33" s="33">
        <v>160.0</v>
      </c>
      <c r="I33" s="34">
        <v>2489.18</v>
      </c>
      <c r="J33" s="35" t="s">
        <v>21</v>
      </c>
      <c r="K33" s="27">
        <v>81937.0</v>
      </c>
      <c r="L33" s="28" t="s">
        <v>22</v>
      </c>
      <c r="M33" s="29">
        <v>45809.0</v>
      </c>
      <c r="N33" s="30"/>
    </row>
    <row r="34" ht="15.75" customHeight="1">
      <c r="A34" s="18">
        <v>4.0</v>
      </c>
      <c r="B34" s="19">
        <v>33.0</v>
      </c>
      <c r="C34" s="20" t="s">
        <v>33</v>
      </c>
      <c r="D34" s="20"/>
      <c r="E34" s="21" t="s">
        <v>29</v>
      </c>
      <c r="F34" s="21" t="s">
        <v>25</v>
      </c>
      <c r="G34" s="32" t="s">
        <v>20</v>
      </c>
      <c r="H34" s="33">
        <v>160.0</v>
      </c>
      <c r="I34" s="34">
        <v>2489.18</v>
      </c>
      <c r="J34" s="35" t="s">
        <v>21</v>
      </c>
      <c r="K34" s="27">
        <v>81937.0</v>
      </c>
      <c r="L34" s="28" t="s">
        <v>27</v>
      </c>
      <c r="M34" s="29">
        <v>45607.0</v>
      </c>
      <c r="N34" s="30"/>
    </row>
    <row r="35" ht="15.75" customHeight="1">
      <c r="A35" s="18">
        <v>4.0</v>
      </c>
      <c r="B35" s="19">
        <v>49.0</v>
      </c>
      <c r="C35" s="20" t="s">
        <v>33</v>
      </c>
      <c r="D35" s="20"/>
      <c r="E35" s="21" t="s">
        <v>29</v>
      </c>
      <c r="F35" s="21" t="s">
        <v>25</v>
      </c>
      <c r="G35" s="32" t="s">
        <v>20</v>
      </c>
      <c r="H35" s="33">
        <v>160.0</v>
      </c>
      <c r="I35" s="34">
        <v>3229.2</v>
      </c>
      <c r="J35" s="35" t="s">
        <v>21</v>
      </c>
      <c r="K35" s="27">
        <v>81968.0</v>
      </c>
      <c r="L35" s="28" t="s">
        <v>22</v>
      </c>
      <c r="M35" s="29">
        <v>45809.0</v>
      </c>
      <c r="N35" s="30"/>
    </row>
    <row r="36" ht="15.75" customHeight="1">
      <c r="A36" s="18">
        <v>5.0</v>
      </c>
      <c r="B36" s="19">
        <v>3.0</v>
      </c>
      <c r="C36" s="20" t="s">
        <v>34</v>
      </c>
      <c r="D36" s="20"/>
      <c r="E36" s="21" t="s">
        <v>18</v>
      </c>
      <c r="F36" s="21" t="s">
        <v>35</v>
      </c>
      <c r="G36" s="32" t="s">
        <v>20</v>
      </c>
      <c r="H36" s="33">
        <v>160.0</v>
      </c>
      <c r="I36" s="34">
        <v>8611.2</v>
      </c>
      <c r="J36" s="35" t="s">
        <v>21</v>
      </c>
      <c r="K36" s="39">
        <v>464498.0</v>
      </c>
      <c r="L36" s="28" t="s">
        <v>22</v>
      </c>
      <c r="M36" s="38">
        <v>45078.0</v>
      </c>
      <c r="N36" s="30"/>
    </row>
    <row r="37" ht="15.75" customHeight="1">
      <c r="A37" s="18"/>
      <c r="B37" s="19"/>
      <c r="C37" s="20"/>
      <c r="D37" s="20"/>
      <c r="E37" s="21"/>
      <c r="F37" s="21"/>
      <c r="G37" s="32"/>
      <c r="H37" s="33"/>
      <c r="I37" s="34"/>
      <c r="J37" s="35"/>
      <c r="K37" s="33"/>
      <c r="L37" s="28"/>
      <c r="M37" s="36"/>
      <c r="N37" s="30"/>
    </row>
    <row r="38" ht="15.75" customHeight="1">
      <c r="A38" s="18"/>
      <c r="B38" s="19"/>
      <c r="C38" s="20"/>
      <c r="D38" s="20"/>
      <c r="E38" s="21"/>
      <c r="F38" s="21"/>
      <c r="G38" s="32"/>
      <c r="H38" s="33"/>
      <c r="I38" s="34"/>
      <c r="J38" s="35"/>
      <c r="K38" s="33"/>
      <c r="L38" s="28"/>
      <c r="M38" s="36"/>
      <c r="N38" s="30"/>
    </row>
    <row r="39" ht="15.75" customHeight="1">
      <c r="A39" s="18"/>
      <c r="B39" s="19"/>
      <c r="C39" s="20"/>
      <c r="D39" s="40"/>
      <c r="E39" s="21"/>
      <c r="F39" s="21"/>
      <c r="G39" s="32"/>
      <c r="H39" s="33"/>
      <c r="I39" s="34"/>
      <c r="J39" s="35"/>
      <c r="K39" s="33"/>
      <c r="L39" s="28"/>
      <c r="M39" s="36"/>
      <c r="N39" s="30"/>
    </row>
    <row r="40" ht="15.75" customHeight="1">
      <c r="A40" s="18"/>
      <c r="B40" s="19"/>
      <c r="C40" s="20"/>
      <c r="D40" s="40"/>
      <c r="E40" s="21"/>
      <c r="F40" s="21"/>
      <c r="G40" s="32"/>
      <c r="H40" s="33"/>
      <c r="I40" s="34"/>
      <c r="J40" s="35"/>
      <c r="K40" s="33"/>
      <c r="L40" s="28"/>
      <c r="M40" s="36"/>
      <c r="N40" s="30"/>
    </row>
    <row r="41" ht="15.75" customHeight="1">
      <c r="A41" s="18"/>
      <c r="B41" s="19"/>
      <c r="C41" s="20"/>
      <c r="D41" s="40"/>
      <c r="E41" s="21"/>
      <c r="F41" s="21"/>
      <c r="G41" s="32"/>
      <c r="H41" s="33"/>
      <c r="I41" s="34"/>
      <c r="J41" s="35"/>
      <c r="K41" s="33"/>
      <c r="L41" s="28"/>
      <c r="M41" s="36"/>
      <c r="N41" s="30"/>
    </row>
    <row r="42" ht="15.75" customHeight="1">
      <c r="A42" s="18"/>
      <c r="B42" s="19"/>
      <c r="C42" s="20"/>
      <c r="D42" s="40"/>
      <c r="E42" s="21"/>
      <c r="F42" s="21"/>
      <c r="G42" s="32"/>
      <c r="H42" s="33"/>
      <c r="I42" s="34"/>
      <c r="J42" s="35"/>
      <c r="K42" s="33"/>
      <c r="L42" s="28"/>
      <c r="M42" s="36"/>
      <c r="N42" s="30"/>
    </row>
    <row r="43" ht="15.75" customHeight="1">
      <c r="A43" s="18"/>
      <c r="B43" s="19"/>
      <c r="C43" s="20"/>
      <c r="D43" s="20"/>
      <c r="E43" s="21"/>
      <c r="F43" s="21"/>
      <c r="G43" s="32"/>
      <c r="H43" s="33"/>
      <c r="I43" s="34"/>
      <c r="J43" s="35"/>
      <c r="K43" s="33"/>
      <c r="L43" s="28"/>
      <c r="M43" s="36"/>
      <c r="N43" s="30"/>
    </row>
    <row r="44" ht="15.75" customHeight="1">
      <c r="A44" s="18"/>
      <c r="B44" s="19"/>
      <c r="C44" s="20"/>
      <c r="D44" s="20"/>
      <c r="E44" s="21"/>
      <c r="F44" s="21"/>
      <c r="G44" s="32"/>
      <c r="H44" s="33"/>
      <c r="I44" s="34"/>
      <c r="J44" s="35"/>
      <c r="K44" s="33"/>
      <c r="L44" s="28"/>
      <c r="M44" s="36"/>
      <c r="N44" s="30"/>
    </row>
    <row r="45" ht="15.75" customHeight="1">
      <c r="A45" s="18"/>
      <c r="B45" s="19"/>
      <c r="C45" s="20"/>
      <c r="D45" s="20"/>
      <c r="E45" s="21"/>
      <c r="F45" s="21"/>
      <c r="G45" s="32"/>
      <c r="H45" s="33"/>
      <c r="I45" s="34"/>
      <c r="J45" s="35"/>
      <c r="K45" s="33"/>
      <c r="L45" s="28"/>
      <c r="M45" s="36"/>
      <c r="N45" s="30"/>
    </row>
    <row r="46" ht="15.75" customHeight="1">
      <c r="A46" s="18"/>
      <c r="B46" s="19"/>
      <c r="C46" s="20"/>
      <c r="D46" s="40"/>
      <c r="E46" s="21"/>
      <c r="F46" s="21"/>
      <c r="G46" s="32"/>
      <c r="H46" s="33"/>
      <c r="I46" s="34"/>
      <c r="J46" s="35"/>
      <c r="K46" s="33"/>
      <c r="L46" s="28"/>
      <c r="M46" s="36"/>
      <c r="N46" s="30"/>
    </row>
    <row r="47" ht="15.75" customHeight="1">
      <c r="A47" s="18"/>
      <c r="B47" s="19"/>
      <c r="C47" s="20"/>
      <c r="D47" s="40"/>
      <c r="E47" s="21"/>
      <c r="F47" s="21"/>
      <c r="G47" s="32"/>
      <c r="H47" s="33"/>
      <c r="I47" s="34"/>
      <c r="J47" s="35"/>
      <c r="K47" s="33"/>
      <c r="L47" s="28"/>
      <c r="M47" s="36"/>
      <c r="N47" s="30"/>
    </row>
    <row r="48" ht="15.75" customHeight="1">
      <c r="A48" s="18"/>
      <c r="B48" s="19"/>
      <c r="C48" s="20"/>
      <c r="D48" s="20"/>
      <c r="E48" s="21"/>
      <c r="F48" s="21"/>
      <c r="G48" s="32"/>
      <c r="H48" s="33"/>
      <c r="I48" s="34"/>
      <c r="J48" s="35"/>
      <c r="K48" s="33"/>
      <c r="L48" s="28"/>
      <c r="M48" s="36"/>
      <c r="N48" s="30"/>
    </row>
    <row r="49" ht="15.75" customHeight="1">
      <c r="A49" s="18"/>
      <c r="B49" s="19"/>
      <c r="C49" s="20"/>
      <c r="D49" s="40"/>
      <c r="E49" s="21"/>
      <c r="F49" s="21"/>
      <c r="G49" s="32"/>
      <c r="H49" s="33"/>
      <c r="I49" s="34"/>
      <c r="J49" s="35"/>
      <c r="K49" s="33"/>
      <c r="L49" s="28"/>
      <c r="M49" s="36"/>
      <c r="N49" s="30"/>
    </row>
    <row r="50" ht="15.75" customHeight="1">
      <c r="A50" s="18"/>
      <c r="B50" s="19"/>
      <c r="C50" s="20"/>
      <c r="D50" s="40"/>
      <c r="E50" s="21"/>
      <c r="F50" s="21"/>
      <c r="G50" s="32"/>
      <c r="H50" s="33"/>
      <c r="I50" s="34"/>
      <c r="J50" s="35"/>
      <c r="K50" s="33"/>
      <c r="L50" s="28"/>
      <c r="M50" s="36"/>
      <c r="N50" s="30"/>
    </row>
    <row r="51" ht="15.75" customHeight="1">
      <c r="A51" s="18"/>
      <c r="B51" s="19"/>
      <c r="C51" s="20"/>
      <c r="D51" s="40"/>
      <c r="E51" s="21"/>
      <c r="F51" s="21"/>
      <c r="G51" s="32"/>
      <c r="H51" s="33"/>
      <c r="I51" s="34"/>
      <c r="J51" s="35"/>
      <c r="K51" s="33"/>
      <c r="L51" s="28"/>
      <c r="M51" s="36"/>
      <c r="N51" s="30"/>
    </row>
    <row r="52" ht="15.75" customHeight="1">
      <c r="A52" s="18"/>
      <c r="B52" s="19"/>
      <c r="C52" s="20"/>
      <c r="D52" s="20"/>
      <c r="E52" s="21"/>
      <c r="F52" s="21"/>
      <c r="G52" s="32"/>
      <c r="H52" s="33"/>
      <c r="I52" s="34"/>
      <c r="J52" s="35"/>
      <c r="K52" s="33"/>
      <c r="L52" s="28"/>
      <c r="M52" s="36"/>
      <c r="N52" s="30"/>
    </row>
    <row r="53" ht="15.75" customHeight="1">
      <c r="A53" s="18"/>
      <c r="B53" s="19"/>
      <c r="C53" s="20"/>
      <c r="D53" s="20"/>
      <c r="E53" s="21"/>
      <c r="F53" s="21"/>
      <c r="G53" s="32"/>
      <c r="H53" s="33"/>
      <c r="I53" s="34"/>
      <c r="J53" s="35"/>
      <c r="K53" s="33"/>
      <c r="L53" s="28"/>
      <c r="M53" s="36"/>
      <c r="N53" s="30"/>
    </row>
    <row r="54" ht="15.75" customHeight="1">
      <c r="A54" s="18"/>
      <c r="B54" s="19"/>
      <c r="C54" s="20"/>
      <c r="D54" s="20"/>
      <c r="E54" s="21"/>
      <c r="F54" s="21"/>
      <c r="G54" s="32"/>
      <c r="H54" s="33"/>
      <c r="I54" s="34"/>
      <c r="J54" s="35"/>
      <c r="K54" s="33"/>
      <c r="L54" s="28"/>
      <c r="M54" s="36"/>
      <c r="N54" s="30"/>
    </row>
    <row r="55" ht="15.75" customHeight="1">
      <c r="A55" s="18"/>
      <c r="B55" s="19"/>
      <c r="C55" s="20"/>
      <c r="D55" s="20"/>
      <c r="E55" s="21"/>
      <c r="F55" s="21"/>
      <c r="G55" s="32"/>
      <c r="H55" s="33"/>
      <c r="I55" s="34"/>
      <c r="J55" s="35"/>
      <c r="K55" s="33"/>
      <c r="L55" s="28"/>
      <c r="M55" s="36"/>
      <c r="N55" s="30"/>
    </row>
    <row r="56" ht="15.75" customHeight="1">
      <c r="A56" s="18"/>
      <c r="B56" s="19"/>
      <c r="C56" s="20"/>
      <c r="D56" s="20"/>
      <c r="E56" s="21"/>
      <c r="F56" s="21"/>
      <c r="G56" s="32"/>
      <c r="H56" s="33"/>
      <c r="I56" s="34"/>
      <c r="J56" s="35"/>
      <c r="K56" s="33"/>
      <c r="L56" s="28"/>
      <c r="M56" s="36"/>
      <c r="N56" s="30"/>
    </row>
    <row r="57" ht="15.75" customHeight="1">
      <c r="A57" s="18"/>
      <c r="B57" s="19"/>
      <c r="C57" s="20"/>
      <c r="D57" s="20"/>
      <c r="E57" s="21"/>
      <c r="F57" s="21"/>
      <c r="G57" s="32"/>
      <c r="H57" s="33"/>
      <c r="I57" s="34"/>
      <c r="J57" s="35"/>
      <c r="K57" s="33"/>
      <c r="L57" s="28"/>
      <c r="M57" s="36"/>
      <c r="N57" s="30"/>
    </row>
    <row r="58" ht="15.75" customHeight="1">
      <c r="A58" s="18"/>
      <c r="B58" s="19"/>
      <c r="C58" s="20"/>
      <c r="D58" s="20"/>
      <c r="E58" s="21"/>
      <c r="F58" s="21"/>
      <c r="G58" s="32"/>
      <c r="H58" s="33"/>
      <c r="I58" s="34"/>
      <c r="J58" s="35"/>
      <c r="K58" s="33"/>
      <c r="L58" s="28"/>
      <c r="M58" s="36"/>
      <c r="N58" s="30"/>
    </row>
    <row r="59" ht="15.75" customHeight="1">
      <c r="A59" s="18"/>
      <c r="B59" s="19"/>
      <c r="C59" s="20"/>
      <c r="D59" s="20"/>
      <c r="E59" s="21"/>
      <c r="F59" s="21"/>
      <c r="G59" s="32"/>
      <c r="H59" s="33"/>
      <c r="I59" s="34"/>
      <c r="J59" s="35"/>
      <c r="K59" s="33"/>
      <c r="L59" s="28"/>
      <c r="M59" s="36"/>
      <c r="N59" s="30"/>
    </row>
    <row r="60" ht="15.75" customHeight="1">
      <c r="A60" s="18"/>
      <c r="B60" s="19"/>
      <c r="C60" s="20"/>
      <c r="D60" s="20"/>
      <c r="E60" s="21"/>
      <c r="F60" s="21"/>
      <c r="G60" s="32"/>
      <c r="H60" s="33"/>
      <c r="I60" s="34"/>
      <c r="J60" s="35"/>
      <c r="K60" s="33"/>
      <c r="L60" s="28"/>
      <c r="M60" s="36"/>
      <c r="N60" s="30"/>
    </row>
    <row r="61" ht="15.75" customHeight="1">
      <c r="A61" s="18"/>
      <c r="B61" s="19"/>
      <c r="C61" s="20"/>
      <c r="D61" s="20"/>
      <c r="E61" s="21"/>
      <c r="F61" s="21"/>
      <c r="G61" s="32"/>
      <c r="H61" s="33"/>
      <c r="I61" s="34"/>
      <c r="J61" s="35"/>
      <c r="K61" s="33"/>
      <c r="L61" s="28"/>
      <c r="M61" s="36"/>
      <c r="N61" s="30"/>
    </row>
    <row r="62" ht="15.75" customHeight="1">
      <c r="A62" s="18"/>
      <c r="B62" s="19"/>
      <c r="C62" s="20"/>
      <c r="D62" s="20"/>
      <c r="E62" s="21"/>
      <c r="F62" s="21"/>
      <c r="G62" s="32"/>
      <c r="H62" s="33"/>
      <c r="I62" s="34"/>
      <c r="J62" s="35"/>
      <c r="K62" s="33"/>
      <c r="L62" s="28"/>
      <c r="M62" s="36"/>
      <c r="N62" s="30"/>
    </row>
    <row r="63" ht="15.75" customHeight="1">
      <c r="A63" s="18"/>
      <c r="B63" s="19"/>
      <c r="C63" s="20"/>
      <c r="D63" s="20"/>
      <c r="E63" s="21"/>
      <c r="F63" s="21"/>
      <c r="G63" s="32"/>
      <c r="H63" s="33"/>
      <c r="I63" s="34"/>
      <c r="J63" s="35"/>
      <c r="K63" s="33"/>
      <c r="L63" s="28"/>
      <c r="M63" s="36"/>
      <c r="N63" s="30"/>
    </row>
    <row r="64" ht="15.75" customHeight="1">
      <c r="A64" s="18"/>
      <c r="B64" s="19"/>
      <c r="C64" s="20"/>
      <c r="D64" s="20"/>
      <c r="E64" s="21"/>
      <c r="F64" s="21"/>
      <c r="G64" s="32"/>
      <c r="H64" s="33"/>
      <c r="I64" s="34"/>
      <c r="J64" s="35"/>
      <c r="K64" s="33"/>
      <c r="L64" s="28"/>
      <c r="M64" s="36"/>
      <c r="N64" s="30"/>
    </row>
    <row r="65" ht="15.75" customHeight="1">
      <c r="A65" s="18"/>
      <c r="B65" s="19"/>
      <c r="C65" s="20"/>
      <c r="D65" s="20"/>
      <c r="E65" s="21"/>
      <c r="F65" s="21"/>
      <c r="G65" s="32"/>
      <c r="H65" s="33"/>
      <c r="I65" s="34"/>
      <c r="J65" s="35"/>
      <c r="K65" s="33"/>
      <c r="L65" s="28"/>
      <c r="M65" s="36"/>
      <c r="N65" s="30"/>
    </row>
    <row r="66" ht="15.75" customHeight="1">
      <c r="A66" s="18"/>
      <c r="B66" s="19"/>
      <c r="C66" s="20"/>
      <c r="D66" s="20"/>
      <c r="E66" s="21"/>
      <c r="F66" s="21"/>
      <c r="G66" s="32"/>
      <c r="H66" s="33"/>
      <c r="I66" s="34"/>
      <c r="J66" s="35"/>
      <c r="K66" s="33"/>
      <c r="L66" s="28"/>
      <c r="M66" s="36"/>
      <c r="N66" s="30"/>
    </row>
    <row r="67" ht="15.75" customHeight="1">
      <c r="A67" s="18"/>
      <c r="B67" s="19"/>
      <c r="C67" s="20"/>
      <c r="D67" s="20"/>
      <c r="E67" s="21"/>
      <c r="F67" s="21"/>
      <c r="G67" s="32"/>
      <c r="H67" s="33"/>
      <c r="I67" s="34"/>
      <c r="J67" s="35"/>
      <c r="K67" s="33"/>
      <c r="L67" s="28"/>
      <c r="M67" s="36"/>
      <c r="N67" s="30"/>
    </row>
    <row r="68" ht="15.75" customHeight="1">
      <c r="A68" s="18"/>
      <c r="B68" s="19"/>
      <c r="C68" s="20"/>
      <c r="D68" s="20"/>
      <c r="E68" s="21"/>
      <c r="F68" s="21"/>
      <c r="G68" s="32"/>
      <c r="H68" s="33"/>
      <c r="I68" s="34"/>
      <c r="J68" s="35"/>
      <c r="K68" s="33"/>
      <c r="L68" s="28"/>
      <c r="M68" s="36"/>
      <c r="N68" s="30"/>
    </row>
    <row r="69" ht="15.75" customHeight="1">
      <c r="A69" s="18"/>
      <c r="B69" s="19"/>
      <c r="C69" s="20"/>
      <c r="D69" s="20"/>
      <c r="E69" s="21"/>
      <c r="F69" s="21"/>
      <c r="G69" s="32"/>
      <c r="H69" s="33"/>
      <c r="I69" s="34"/>
      <c r="J69" s="35"/>
      <c r="K69" s="33"/>
      <c r="L69" s="28"/>
      <c r="M69" s="36"/>
      <c r="N69" s="30"/>
    </row>
    <row r="70" ht="15.75" customHeight="1">
      <c r="A70" s="18"/>
      <c r="B70" s="19"/>
      <c r="C70" s="20"/>
      <c r="D70" s="20"/>
      <c r="E70" s="21"/>
      <c r="F70" s="21"/>
      <c r="G70" s="32"/>
      <c r="H70" s="33"/>
      <c r="I70" s="34"/>
      <c r="J70" s="35"/>
      <c r="K70" s="33"/>
      <c r="L70" s="28"/>
      <c r="M70" s="36"/>
      <c r="N70" s="30"/>
    </row>
    <row r="71" ht="15.75" customHeight="1">
      <c r="A71" s="18"/>
      <c r="B71" s="19"/>
      <c r="C71" s="20"/>
      <c r="D71" s="20"/>
      <c r="E71" s="21"/>
      <c r="F71" s="21"/>
      <c r="G71" s="32"/>
      <c r="H71" s="33"/>
      <c r="I71" s="34"/>
      <c r="J71" s="35"/>
      <c r="K71" s="33"/>
      <c r="L71" s="28"/>
      <c r="M71" s="36"/>
      <c r="N71" s="30"/>
    </row>
    <row r="72" ht="15.75" customHeight="1">
      <c r="A72" s="18"/>
      <c r="B72" s="19"/>
      <c r="C72" s="20"/>
      <c r="D72" s="20"/>
      <c r="E72" s="21"/>
      <c r="F72" s="21"/>
      <c r="G72" s="32"/>
      <c r="H72" s="33"/>
      <c r="I72" s="34"/>
      <c r="J72" s="35"/>
      <c r="K72" s="33"/>
      <c r="L72" s="28"/>
      <c r="M72" s="36"/>
      <c r="N72" s="30"/>
    </row>
    <row r="73" ht="15.75" customHeight="1">
      <c r="A73" s="18"/>
      <c r="B73" s="19"/>
      <c r="C73" s="20"/>
      <c r="D73" s="20"/>
      <c r="E73" s="21"/>
      <c r="F73" s="21"/>
      <c r="G73" s="32"/>
      <c r="H73" s="33"/>
      <c r="I73" s="34"/>
      <c r="J73" s="35"/>
      <c r="K73" s="33"/>
      <c r="L73" s="28"/>
      <c r="M73" s="36"/>
      <c r="N73" s="30"/>
    </row>
    <row r="74" ht="15.75" customHeight="1">
      <c r="A74" s="18"/>
      <c r="B74" s="19"/>
      <c r="C74" s="20"/>
      <c r="D74" s="40"/>
      <c r="E74" s="21"/>
      <c r="F74" s="21"/>
      <c r="G74" s="32"/>
      <c r="H74" s="33"/>
      <c r="I74" s="34"/>
      <c r="J74" s="35"/>
      <c r="K74" s="33"/>
      <c r="L74" s="28"/>
      <c r="M74" s="36"/>
      <c r="N74" s="30"/>
    </row>
    <row r="75" ht="15.75" customHeight="1">
      <c r="A75" s="18"/>
      <c r="B75" s="19"/>
      <c r="C75" s="20"/>
      <c r="D75" s="40"/>
      <c r="E75" s="21"/>
      <c r="F75" s="21"/>
      <c r="G75" s="32"/>
      <c r="H75" s="33"/>
      <c r="I75" s="34"/>
      <c r="J75" s="35"/>
      <c r="K75" s="33"/>
      <c r="L75" s="28"/>
      <c r="M75" s="36"/>
      <c r="N75" s="30"/>
    </row>
    <row r="76" ht="15.75" customHeight="1">
      <c r="A76" s="18"/>
      <c r="B76" s="19"/>
      <c r="C76" s="20"/>
      <c r="D76" s="20"/>
      <c r="E76" s="21"/>
      <c r="F76" s="21"/>
      <c r="G76" s="32"/>
      <c r="H76" s="33"/>
      <c r="I76" s="34"/>
      <c r="J76" s="35"/>
      <c r="K76" s="33"/>
      <c r="L76" s="28"/>
      <c r="M76" s="36"/>
      <c r="N76" s="30"/>
    </row>
    <row r="77" ht="15.75" customHeight="1">
      <c r="A77" s="18"/>
      <c r="B77" s="19"/>
      <c r="C77" s="20"/>
      <c r="D77" s="40"/>
      <c r="E77" s="21"/>
      <c r="F77" s="21"/>
      <c r="G77" s="32"/>
      <c r="H77" s="33"/>
      <c r="I77" s="34"/>
      <c r="J77" s="35"/>
      <c r="K77" s="33"/>
      <c r="L77" s="28"/>
      <c r="M77" s="36"/>
      <c r="N77" s="30"/>
    </row>
    <row r="78" ht="15.75" customHeight="1">
      <c r="A78" s="18"/>
      <c r="B78" s="19"/>
      <c r="C78" s="20"/>
      <c r="D78" s="40"/>
      <c r="E78" s="21"/>
      <c r="F78" s="21"/>
      <c r="G78" s="32"/>
      <c r="H78" s="33"/>
      <c r="I78" s="34"/>
      <c r="J78" s="35"/>
      <c r="K78" s="33"/>
      <c r="L78" s="28"/>
      <c r="M78" s="36"/>
      <c r="N78" s="30"/>
    </row>
    <row r="79" ht="15.75" customHeight="1">
      <c r="A79" s="18"/>
      <c r="B79" s="19"/>
      <c r="C79" s="20"/>
      <c r="D79" s="40"/>
      <c r="E79" s="21"/>
      <c r="F79" s="21"/>
      <c r="G79" s="32"/>
      <c r="H79" s="33"/>
      <c r="I79" s="34"/>
      <c r="J79" s="35"/>
      <c r="K79" s="33"/>
      <c r="L79" s="28"/>
      <c r="M79" s="36"/>
      <c r="N79" s="30"/>
    </row>
    <row r="80" ht="15.75" customHeight="1">
      <c r="A80" s="18"/>
      <c r="B80" s="19"/>
      <c r="C80" s="20"/>
      <c r="D80" s="40"/>
      <c r="E80" s="21"/>
      <c r="F80" s="21"/>
      <c r="G80" s="32"/>
      <c r="H80" s="33"/>
      <c r="I80" s="34"/>
      <c r="J80" s="35"/>
      <c r="K80" s="33"/>
      <c r="L80" s="28"/>
      <c r="M80" s="36"/>
      <c r="N80" s="30"/>
    </row>
    <row r="81" ht="15.75" customHeight="1">
      <c r="A81" s="18"/>
      <c r="B81" s="19"/>
      <c r="C81" s="20"/>
      <c r="D81" s="40"/>
      <c r="E81" s="21"/>
      <c r="F81" s="21"/>
      <c r="G81" s="32"/>
      <c r="H81" s="33"/>
      <c r="I81" s="34"/>
      <c r="J81" s="35"/>
      <c r="K81" s="33"/>
      <c r="L81" s="28"/>
      <c r="M81" s="36"/>
      <c r="N81" s="30"/>
    </row>
    <row r="82" ht="15.75" customHeight="1">
      <c r="A82" s="18"/>
      <c r="B82" s="19"/>
      <c r="C82" s="20"/>
      <c r="D82" s="40"/>
      <c r="E82" s="21"/>
      <c r="F82" s="21"/>
      <c r="G82" s="32"/>
      <c r="H82" s="33"/>
      <c r="I82" s="34"/>
      <c r="J82" s="35"/>
      <c r="K82" s="33"/>
      <c r="L82" s="28"/>
      <c r="M82" s="36"/>
      <c r="N82" s="30"/>
    </row>
    <row r="83" ht="15.75" customHeight="1">
      <c r="A83" s="18"/>
      <c r="B83" s="19"/>
      <c r="C83" s="20"/>
      <c r="D83" s="40"/>
      <c r="E83" s="21"/>
      <c r="F83" s="21"/>
      <c r="G83" s="32"/>
      <c r="H83" s="33"/>
      <c r="I83" s="34"/>
      <c r="J83" s="35"/>
      <c r="K83" s="33"/>
      <c r="L83" s="28"/>
      <c r="M83" s="36"/>
      <c r="N83" s="30"/>
    </row>
    <row r="84" ht="15.75" customHeight="1">
      <c r="A84" s="18"/>
      <c r="B84" s="19"/>
      <c r="C84" s="20"/>
      <c r="D84" s="40"/>
      <c r="E84" s="21"/>
      <c r="F84" s="21"/>
      <c r="G84" s="32"/>
      <c r="H84" s="33"/>
      <c r="I84" s="34"/>
      <c r="J84" s="35"/>
      <c r="K84" s="33"/>
      <c r="L84" s="28"/>
      <c r="M84" s="36"/>
      <c r="N84" s="30"/>
    </row>
    <row r="85" ht="15.75" customHeight="1">
      <c r="A85" s="18"/>
      <c r="B85" s="19"/>
      <c r="C85" s="20"/>
      <c r="D85" s="20"/>
      <c r="E85" s="21"/>
      <c r="F85" s="21"/>
      <c r="G85" s="32"/>
      <c r="H85" s="33"/>
      <c r="I85" s="34"/>
      <c r="J85" s="35"/>
      <c r="K85" s="33"/>
      <c r="L85" s="28"/>
      <c r="M85" s="36"/>
      <c r="N85" s="30"/>
    </row>
    <row r="86" ht="15.75" customHeight="1">
      <c r="A86" s="18"/>
      <c r="B86" s="19"/>
      <c r="C86" s="20"/>
      <c r="D86" s="40"/>
      <c r="E86" s="21"/>
      <c r="F86" s="21"/>
      <c r="G86" s="32"/>
      <c r="H86" s="33"/>
      <c r="I86" s="34"/>
      <c r="J86" s="35"/>
      <c r="K86" s="33"/>
      <c r="L86" s="28"/>
      <c r="M86" s="36"/>
      <c r="N86" s="30"/>
    </row>
    <row r="87" ht="15.75" customHeight="1">
      <c r="A87" s="18"/>
      <c r="B87" s="19"/>
      <c r="C87" s="20"/>
      <c r="D87" s="40"/>
      <c r="E87" s="21"/>
      <c r="F87" s="21"/>
      <c r="G87" s="32"/>
      <c r="H87" s="33"/>
      <c r="I87" s="34"/>
      <c r="J87" s="35"/>
      <c r="K87" s="33"/>
      <c r="L87" s="28"/>
      <c r="M87" s="36"/>
      <c r="N87" s="30"/>
    </row>
    <row r="88" ht="15.75" customHeight="1">
      <c r="A88" s="18"/>
      <c r="B88" s="19"/>
      <c r="C88" s="20"/>
      <c r="D88" s="40"/>
      <c r="E88" s="21"/>
      <c r="F88" s="21"/>
      <c r="G88" s="32"/>
      <c r="H88" s="33"/>
      <c r="I88" s="34"/>
      <c r="J88" s="35"/>
      <c r="K88" s="33"/>
      <c r="L88" s="28"/>
      <c r="M88" s="36"/>
      <c r="N88" s="30"/>
    </row>
    <row r="89" ht="15.75" customHeight="1">
      <c r="A89" s="18"/>
      <c r="B89" s="19"/>
      <c r="C89" s="20"/>
      <c r="D89" s="40"/>
      <c r="E89" s="21"/>
      <c r="F89" s="21"/>
      <c r="G89" s="32"/>
      <c r="H89" s="33"/>
      <c r="I89" s="34"/>
      <c r="J89" s="35"/>
      <c r="K89" s="33"/>
      <c r="L89" s="28"/>
      <c r="M89" s="36"/>
      <c r="N89" s="30"/>
    </row>
    <row r="90" ht="15.75" customHeight="1">
      <c r="A90" s="18"/>
      <c r="B90" s="19"/>
      <c r="C90" s="20"/>
      <c r="D90" s="40"/>
      <c r="E90" s="21"/>
      <c r="F90" s="21"/>
      <c r="G90" s="32"/>
      <c r="H90" s="33"/>
      <c r="I90" s="34"/>
      <c r="J90" s="35"/>
      <c r="K90" s="33"/>
      <c r="L90" s="28"/>
      <c r="M90" s="36"/>
      <c r="N90" s="30"/>
    </row>
    <row r="91" ht="15.75" customHeight="1">
      <c r="A91" s="18"/>
      <c r="B91" s="19"/>
      <c r="C91" s="20"/>
      <c r="D91" s="40"/>
      <c r="E91" s="21"/>
      <c r="F91" s="21"/>
      <c r="G91" s="32"/>
      <c r="H91" s="33"/>
      <c r="I91" s="34"/>
      <c r="J91" s="35"/>
      <c r="K91" s="33"/>
      <c r="L91" s="28"/>
      <c r="M91" s="36"/>
      <c r="N91" s="30"/>
    </row>
    <row r="92" ht="15.75" customHeight="1">
      <c r="A92" s="18"/>
      <c r="B92" s="19"/>
      <c r="C92" s="20"/>
      <c r="D92" s="40"/>
      <c r="E92" s="21"/>
      <c r="F92" s="21"/>
      <c r="G92" s="32"/>
      <c r="H92" s="33"/>
      <c r="I92" s="34"/>
      <c r="J92" s="35"/>
      <c r="K92" s="33"/>
      <c r="L92" s="28"/>
      <c r="M92" s="36"/>
      <c r="N92" s="30"/>
    </row>
    <row r="93" ht="15.75" customHeight="1">
      <c r="A93" s="18"/>
      <c r="B93" s="19"/>
      <c r="C93" s="20"/>
      <c r="D93" s="40"/>
      <c r="E93" s="21"/>
      <c r="F93" s="21"/>
      <c r="G93" s="32"/>
      <c r="H93" s="33"/>
      <c r="I93" s="34"/>
      <c r="J93" s="35"/>
      <c r="K93" s="33"/>
      <c r="L93" s="28"/>
      <c r="M93" s="36"/>
      <c r="N93" s="30"/>
    </row>
    <row r="94" ht="15.75" customHeight="1">
      <c r="A94" s="18"/>
      <c r="B94" s="19"/>
      <c r="C94" s="20"/>
      <c r="D94" s="40"/>
      <c r="E94" s="21"/>
      <c r="F94" s="21"/>
      <c r="G94" s="32"/>
      <c r="H94" s="33"/>
      <c r="I94" s="34"/>
      <c r="J94" s="35"/>
      <c r="K94" s="33"/>
      <c r="L94" s="28"/>
      <c r="M94" s="36"/>
      <c r="N94" s="30"/>
    </row>
    <row r="95" ht="15.75" customHeight="1">
      <c r="A95" s="18"/>
      <c r="B95" s="19"/>
      <c r="C95" s="20"/>
      <c r="D95" s="20"/>
      <c r="E95" s="21"/>
      <c r="F95" s="21"/>
      <c r="G95" s="32"/>
      <c r="H95" s="33"/>
      <c r="I95" s="34"/>
      <c r="J95" s="35"/>
      <c r="K95" s="33"/>
      <c r="L95" s="28"/>
      <c r="M95" s="36"/>
      <c r="N95" s="30"/>
    </row>
    <row r="96" ht="15.75" customHeight="1">
      <c r="A96" s="18"/>
      <c r="B96" s="19"/>
      <c r="C96" s="20"/>
      <c r="D96" s="20"/>
      <c r="E96" s="21"/>
      <c r="F96" s="21"/>
      <c r="G96" s="32"/>
      <c r="H96" s="33"/>
      <c r="I96" s="34"/>
      <c r="J96" s="35"/>
      <c r="K96" s="33"/>
      <c r="L96" s="28"/>
      <c r="M96" s="36"/>
      <c r="N96" s="30"/>
    </row>
    <row r="97" ht="15.75" customHeight="1">
      <c r="A97" s="18"/>
      <c r="B97" s="19"/>
      <c r="C97" s="20"/>
      <c r="D97" s="40"/>
      <c r="E97" s="21"/>
      <c r="F97" s="21"/>
      <c r="G97" s="32"/>
      <c r="H97" s="33"/>
      <c r="I97" s="34"/>
      <c r="J97" s="35"/>
      <c r="K97" s="33"/>
      <c r="L97" s="28"/>
      <c r="M97" s="36"/>
      <c r="N97" s="30"/>
    </row>
    <row r="98" ht="15.75" customHeight="1">
      <c r="A98" s="18"/>
      <c r="B98" s="19"/>
      <c r="C98" s="20"/>
      <c r="D98" s="40"/>
      <c r="E98" s="21"/>
      <c r="F98" s="21"/>
      <c r="G98" s="32"/>
      <c r="H98" s="33"/>
      <c r="I98" s="34"/>
      <c r="J98" s="35"/>
      <c r="K98" s="33"/>
      <c r="L98" s="28"/>
      <c r="M98" s="36"/>
      <c r="N98" s="30"/>
    </row>
    <row r="99" ht="15.75" customHeight="1">
      <c r="A99" s="18"/>
      <c r="B99" s="19"/>
      <c r="C99" s="20"/>
      <c r="D99" s="40"/>
      <c r="E99" s="21"/>
      <c r="F99" s="21"/>
      <c r="G99" s="32"/>
      <c r="H99" s="33"/>
      <c r="I99" s="34"/>
      <c r="J99" s="35"/>
      <c r="K99" s="33"/>
      <c r="L99" s="28"/>
      <c r="M99" s="36"/>
      <c r="N99" s="30"/>
    </row>
    <row r="100" ht="15.75" customHeight="1">
      <c r="A100" s="18"/>
      <c r="B100" s="19"/>
      <c r="C100" s="20"/>
      <c r="D100" s="40"/>
      <c r="E100" s="21"/>
      <c r="F100" s="21"/>
      <c r="G100" s="32"/>
      <c r="H100" s="33"/>
      <c r="I100" s="34"/>
      <c r="J100" s="35"/>
      <c r="K100" s="33"/>
      <c r="L100" s="28"/>
      <c r="M100" s="36"/>
      <c r="N100" s="30"/>
    </row>
    <row r="101" ht="15.75" customHeight="1">
      <c r="A101" s="18"/>
      <c r="B101" s="19"/>
      <c r="C101" s="20"/>
      <c r="D101" s="40"/>
      <c r="E101" s="21"/>
      <c r="F101" s="21"/>
      <c r="G101" s="32"/>
      <c r="H101" s="33"/>
      <c r="I101" s="34"/>
      <c r="J101" s="35"/>
      <c r="K101" s="33"/>
      <c r="L101" s="28"/>
      <c r="M101" s="36"/>
      <c r="N101" s="30"/>
    </row>
    <row r="102" ht="15.75" customHeight="1">
      <c r="A102" s="18"/>
      <c r="B102" s="19"/>
      <c r="C102" s="20"/>
      <c r="D102" s="40"/>
      <c r="E102" s="21"/>
      <c r="F102" s="21"/>
      <c r="G102" s="32"/>
      <c r="H102" s="33"/>
      <c r="I102" s="34"/>
      <c r="J102" s="35"/>
      <c r="K102" s="33"/>
      <c r="L102" s="28"/>
      <c r="M102" s="36"/>
      <c r="N102" s="30"/>
    </row>
    <row r="103" ht="15.75" customHeight="1">
      <c r="A103" s="18"/>
      <c r="B103" s="19"/>
      <c r="C103" s="20"/>
      <c r="D103" s="40"/>
      <c r="E103" s="21"/>
      <c r="F103" s="21"/>
      <c r="G103" s="32"/>
      <c r="H103" s="33"/>
      <c r="I103" s="34"/>
      <c r="J103" s="35"/>
      <c r="K103" s="33"/>
      <c r="L103" s="28"/>
      <c r="M103" s="36"/>
      <c r="N103" s="30"/>
    </row>
    <row r="104" ht="15.75" customHeight="1">
      <c r="A104" s="18"/>
      <c r="B104" s="19"/>
      <c r="C104" s="20"/>
      <c r="D104" s="40"/>
      <c r="E104" s="21"/>
      <c r="F104" s="21"/>
      <c r="G104" s="32"/>
      <c r="H104" s="33"/>
      <c r="I104" s="34"/>
      <c r="J104" s="35"/>
      <c r="K104" s="33"/>
      <c r="L104" s="28"/>
      <c r="M104" s="36"/>
      <c r="N104" s="30"/>
    </row>
    <row r="105" ht="15.75" customHeight="1">
      <c r="A105" s="18"/>
      <c r="B105" s="19"/>
      <c r="C105" s="20"/>
      <c r="D105" s="20"/>
      <c r="E105" s="21"/>
      <c r="F105" s="21"/>
      <c r="G105" s="32"/>
      <c r="H105" s="33"/>
      <c r="I105" s="34"/>
      <c r="J105" s="35"/>
      <c r="K105" s="33"/>
      <c r="L105" s="28"/>
      <c r="M105" s="36"/>
      <c r="N105" s="30"/>
    </row>
    <row r="106" ht="15.75" customHeight="1">
      <c r="A106" s="18"/>
      <c r="B106" s="19"/>
      <c r="C106" s="20"/>
      <c r="D106" s="20"/>
      <c r="E106" s="21"/>
      <c r="F106" s="21"/>
      <c r="G106" s="32"/>
      <c r="H106" s="33"/>
      <c r="I106" s="34"/>
      <c r="J106" s="35"/>
      <c r="K106" s="33"/>
      <c r="L106" s="28"/>
      <c r="M106" s="36"/>
      <c r="N106" s="30"/>
    </row>
    <row r="107" ht="15.75" customHeight="1">
      <c r="A107" s="18"/>
      <c r="B107" s="19"/>
      <c r="C107" s="20"/>
      <c r="D107" s="40"/>
      <c r="E107" s="21"/>
      <c r="F107" s="21"/>
      <c r="G107" s="32"/>
      <c r="H107" s="33"/>
      <c r="I107" s="34"/>
      <c r="J107" s="35"/>
      <c r="K107" s="33"/>
      <c r="L107" s="28"/>
      <c r="M107" s="36"/>
      <c r="N107" s="30"/>
    </row>
    <row r="108" ht="15.75" customHeight="1">
      <c r="A108" s="18"/>
      <c r="B108" s="19"/>
      <c r="C108" s="20"/>
      <c r="D108" s="40"/>
      <c r="E108" s="21"/>
      <c r="F108" s="21"/>
      <c r="G108" s="32"/>
      <c r="H108" s="33"/>
      <c r="I108" s="34"/>
      <c r="J108" s="35"/>
      <c r="K108" s="33"/>
      <c r="L108" s="28"/>
      <c r="M108" s="36"/>
      <c r="N108" s="30"/>
    </row>
    <row r="109" ht="15.75" customHeight="1">
      <c r="A109" s="18"/>
      <c r="B109" s="19"/>
      <c r="C109" s="20"/>
      <c r="D109" s="20"/>
      <c r="E109" s="21"/>
      <c r="F109" s="21"/>
      <c r="G109" s="32"/>
      <c r="H109" s="33"/>
      <c r="I109" s="34"/>
      <c r="J109" s="35"/>
      <c r="K109" s="33"/>
      <c r="L109" s="28"/>
      <c r="M109" s="36"/>
      <c r="N109" s="30"/>
    </row>
    <row r="110" ht="15.75" customHeight="1">
      <c r="A110" s="18"/>
      <c r="B110" s="19"/>
      <c r="C110" s="20"/>
      <c r="D110" s="20"/>
      <c r="E110" s="21"/>
      <c r="F110" s="21"/>
      <c r="G110" s="32"/>
      <c r="H110" s="33"/>
      <c r="I110" s="34"/>
      <c r="J110" s="35"/>
      <c r="K110" s="33"/>
      <c r="L110" s="28"/>
      <c r="M110" s="36"/>
      <c r="N110" s="30"/>
    </row>
    <row r="111" ht="15.75" customHeight="1">
      <c r="A111" s="18"/>
      <c r="B111" s="19"/>
      <c r="C111" s="20"/>
      <c r="D111" s="20"/>
      <c r="E111" s="21"/>
      <c r="F111" s="21"/>
      <c r="G111" s="32"/>
      <c r="H111" s="33"/>
      <c r="I111" s="34"/>
      <c r="J111" s="35"/>
      <c r="K111" s="33"/>
      <c r="L111" s="28"/>
      <c r="M111" s="36"/>
      <c r="N111" s="30"/>
    </row>
    <row r="112" ht="15.75" customHeight="1">
      <c r="A112" s="18"/>
      <c r="B112" s="19"/>
      <c r="C112" s="20"/>
      <c r="D112" s="20"/>
      <c r="E112" s="21"/>
      <c r="F112" s="21"/>
      <c r="G112" s="32"/>
      <c r="H112" s="33"/>
      <c r="I112" s="34"/>
      <c r="J112" s="35"/>
      <c r="K112" s="33"/>
      <c r="L112" s="28"/>
      <c r="M112" s="36"/>
      <c r="N112" s="30"/>
    </row>
    <row r="113" ht="15.75" customHeight="1">
      <c r="A113" s="18"/>
      <c r="B113" s="19"/>
      <c r="C113" s="20"/>
      <c r="D113" s="40"/>
      <c r="E113" s="21"/>
      <c r="F113" s="21"/>
      <c r="G113" s="32"/>
      <c r="H113" s="33"/>
      <c r="I113" s="34"/>
      <c r="J113" s="35"/>
      <c r="K113" s="33"/>
      <c r="L113" s="28"/>
      <c r="M113" s="36"/>
      <c r="N113" s="30"/>
    </row>
    <row r="114" ht="15.75" customHeight="1">
      <c r="A114" s="18"/>
      <c r="B114" s="19"/>
      <c r="C114" s="20"/>
      <c r="D114" s="40"/>
      <c r="E114" s="21"/>
      <c r="F114" s="21"/>
      <c r="G114" s="32"/>
      <c r="H114" s="33"/>
      <c r="I114" s="34"/>
      <c r="J114" s="35"/>
      <c r="K114" s="33"/>
      <c r="L114" s="28"/>
      <c r="M114" s="36"/>
      <c r="N114" s="30"/>
    </row>
    <row r="115" ht="15.75" customHeight="1">
      <c r="A115" s="18"/>
      <c r="B115" s="19"/>
      <c r="C115" s="20"/>
      <c r="D115" s="20"/>
      <c r="E115" s="21"/>
      <c r="F115" s="21"/>
      <c r="G115" s="32"/>
      <c r="H115" s="33"/>
      <c r="I115" s="34"/>
      <c r="J115" s="35"/>
      <c r="K115" s="33"/>
      <c r="L115" s="28"/>
      <c r="M115" s="36"/>
      <c r="N115" s="30"/>
    </row>
    <row r="116" ht="15.75" customHeight="1">
      <c r="A116" s="18"/>
      <c r="B116" s="19"/>
      <c r="C116" s="20"/>
      <c r="D116" s="20"/>
      <c r="E116" s="21"/>
      <c r="F116" s="21"/>
      <c r="G116" s="32"/>
      <c r="H116" s="33"/>
      <c r="I116" s="34"/>
      <c r="J116" s="35"/>
      <c r="K116" s="33"/>
      <c r="L116" s="28"/>
      <c r="M116" s="36"/>
      <c r="N116" s="30"/>
    </row>
    <row r="117" ht="15.75" customHeight="1">
      <c r="A117" s="18"/>
      <c r="B117" s="19"/>
      <c r="C117" s="20"/>
      <c r="D117" s="40"/>
      <c r="E117" s="21"/>
      <c r="F117" s="21"/>
      <c r="G117" s="32"/>
      <c r="H117" s="33"/>
      <c r="I117" s="34"/>
      <c r="J117" s="35"/>
      <c r="K117" s="33"/>
      <c r="L117" s="28"/>
      <c r="M117" s="36"/>
      <c r="N117" s="30"/>
    </row>
    <row r="118" ht="15.75" customHeight="1">
      <c r="A118" s="18"/>
      <c r="B118" s="19"/>
      <c r="C118" s="20"/>
      <c r="D118" s="20"/>
      <c r="E118" s="21"/>
      <c r="F118" s="21"/>
      <c r="G118" s="32"/>
      <c r="H118" s="33"/>
      <c r="I118" s="34"/>
      <c r="J118" s="35"/>
      <c r="K118" s="33"/>
      <c r="L118" s="28"/>
      <c r="M118" s="36"/>
      <c r="N118" s="30"/>
    </row>
    <row r="119" ht="15.75" customHeight="1">
      <c r="A119" s="18"/>
      <c r="B119" s="19"/>
      <c r="C119" s="20"/>
      <c r="D119" s="20"/>
      <c r="E119" s="21"/>
      <c r="F119" s="21"/>
      <c r="G119" s="32"/>
      <c r="H119" s="33"/>
      <c r="I119" s="34"/>
      <c r="J119" s="35"/>
      <c r="K119" s="33"/>
      <c r="L119" s="28"/>
      <c r="M119" s="36"/>
      <c r="N119" s="30"/>
    </row>
    <row r="120" ht="15.75" customHeight="1">
      <c r="A120" s="18"/>
      <c r="B120" s="19"/>
      <c r="C120" s="20"/>
      <c r="D120" s="20"/>
      <c r="E120" s="21"/>
      <c r="F120" s="21"/>
      <c r="G120" s="32"/>
      <c r="H120" s="33"/>
      <c r="I120" s="34"/>
      <c r="J120" s="35"/>
      <c r="K120" s="33"/>
      <c r="L120" s="28"/>
      <c r="M120" s="36"/>
      <c r="N120" s="30"/>
    </row>
    <row r="121" ht="15.75" customHeight="1">
      <c r="A121" s="18"/>
      <c r="B121" s="19"/>
      <c r="C121" s="20"/>
      <c r="D121" s="20"/>
      <c r="E121" s="21"/>
      <c r="F121" s="21"/>
      <c r="G121" s="32"/>
      <c r="H121" s="33"/>
      <c r="I121" s="34"/>
      <c r="J121" s="35"/>
      <c r="K121" s="33"/>
      <c r="L121" s="28"/>
      <c r="M121" s="36"/>
      <c r="N121" s="30"/>
    </row>
    <row r="122" ht="15.75" customHeight="1">
      <c r="A122" s="18"/>
      <c r="B122" s="19"/>
      <c r="C122" s="20"/>
      <c r="D122" s="20"/>
      <c r="E122" s="21"/>
      <c r="F122" s="21"/>
      <c r="G122" s="32"/>
      <c r="H122" s="33"/>
      <c r="I122" s="34"/>
      <c r="J122" s="35"/>
      <c r="K122" s="33"/>
      <c r="L122" s="28"/>
      <c r="M122" s="36"/>
      <c r="N122" s="30"/>
    </row>
    <row r="123" ht="15.75" customHeight="1">
      <c r="A123" s="18"/>
      <c r="B123" s="19"/>
      <c r="C123" s="20"/>
      <c r="D123" s="20"/>
      <c r="E123" s="21"/>
      <c r="F123" s="21"/>
      <c r="G123" s="32"/>
      <c r="H123" s="33"/>
      <c r="I123" s="34"/>
      <c r="J123" s="35"/>
      <c r="K123" s="33"/>
      <c r="L123" s="28"/>
      <c r="M123" s="36"/>
      <c r="N123" s="30"/>
    </row>
    <row r="124" ht="15.75" customHeight="1">
      <c r="A124" s="18"/>
      <c r="B124" s="19"/>
      <c r="C124" s="20"/>
      <c r="D124" s="40"/>
      <c r="E124" s="21"/>
      <c r="F124" s="21"/>
      <c r="G124" s="32"/>
      <c r="H124" s="33"/>
      <c r="I124" s="34"/>
      <c r="J124" s="35"/>
      <c r="K124" s="33"/>
      <c r="L124" s="28"/>
      <c r="M124" s="36"/>
      <c r="N124" s="30"/>
    </row>
    <row r="125" ht="15.75" customHeight="1">
      <c r="A125" s="18"/>
      <c r="B125" s="19"/>
      <c r="C125" s="20"/>
      <c r="D125" s="40"/>
      <c r="E125" s="21"/>
      <c r="F125" s="21"/>
      <c r="G125" s="32"/>
      <c r="H125" s="33"/>
      <c r="I125" s="34"/>
      <c r="J125" s="35"/>
      <c r="K125" s="33"/>
      <c r="L125" s="28"/>
      <c r="M125" s="36"/>
      <c r="N125" s="30"/>
    </row>
    <row r="126" ht="15.75" customHeight="1">
      <c r="A126" s="18"/>
      <c r="B126" s="19"/>
      <c r="C126" s="20"/>
      <c r="D126" s="40"/>
      <c r="E126" s="21"/>
      <c r="F126" s="21"/>
      <c r="G126" s="32"/>
      <c r="H126" s="33"/>
      <c r="I126" s="34"/>
      <c r="J126" s="35"/>
      <c r="K126" s="33"/>
      <c r="L126" s="28"/>
      <c r="M126" s="36"/>
      <c r="N126" s="30"/>
    </row>
    <row r="127" ht="15.75" customHeight="1">
      <c r="A127" s="18"/>
      <c r="B127" s="19"/>
      <c r="C127" s="20"/>
      <c r="D127" s="40"/>
      <c r="E127" s="21"/>
      <c r="F127" s="21"/>
      <c r="G127" s="32"/>
      <c r="H127" s="33"/>
      <c r="I127" s="34"/>
      <c r="J127" s="35"/>
      <c r="K127" s="33"/>
      <c r="L127" s="28"/>
      <c r="M127" s="36"/>
      <c r="N127" s="30"/>
    </row>
    <row r="128" ht="15.75" customHeight="1">
      <c r="A128" s="18"/>
      <c r="B128" s="19"/>
      <c r="C128" s="20"/>
      <c r="D128" s="40"/>
      <c r="E128" s="21"/>
      <c r="F128" s="21"/>
      <c r="G128" s="32"/>
      <c r="H128" s="33"/>
      <c r="I128" s="34"/>
      <c r="J128" s="35"/>
      <c r="K128" s="33"/>
      <c r="L128" s="28"/>
      <c r="M128" s="36"/>
      <c r="N128" s="30"/>
    </row>
    <row r="129" ht="15.75" customHeight="1">
      <c r="A129" s="18"/>
      <c r="B129" s="19"/>
      <c r="C129" s="20"/>
      <c r="D129" s="40"/>
      <c r="E129" s="21"/>
      <c r="F129" s="21"/>
      <c r="G129" s="32"/>
      <c r="H129" s="33"/>
      <c r="I129" s="34"/>
      <c r="J129" s="35"/>
      <c r="K129" s="33"/>
      <c r="L129" s="28"/>
      <c r="M129" s="36"/>
      <c r="N129" s="30"/>
    </row>
    <row r="130" ht="15.75" customHeight="1">
      <c r="A130" s="18"/>
      <c r="B130" s="19"/>
      <c r="C130" s="20"/>
      <c r="D130" s="40"/>
      <c r="E130" s="21"/>
      <c r="F130" s="21"/>
      <c r="G130" s="32"/>
      <c r="H130" s="33"/>
      <c r="I130" s="34"/>
      <c r="J130" s="35"/>
      <c r="K130" s="33"/>
      <c r="L130" s="28"/>
      <c r="M130" s="36"/>
      <c r="N130" s="30"/>
    </row>
    <row r="131" ht="15.75" customHeight="1">
      <c r="A131" s="18"/>
      <c r="B131" s="19"/>
      <c r="C131" s="20"/>
      <c r="D131" s="40"/>
      <c r="E131" s="21"/>
      <c r="F131" s="21"/>
      <c r="G131" s="32"/>
      <c r="H131" s="33"/>
      <c r="I131" s="34"/>
      <c r="J131" s="35"/>
      <c r="K131" s="33"/>
      <c r="L131" s="28"/>
      <c r="M131" s="36"/>
      <c r="N131" s="30"/>
    </row>
    <row r="132" ht="15.75" customHeight="1">
      <c r="A132" s="18"/>
      <c r="B132" s="19"/>
      <c r="C132" s="20"/>
      <c r="D132" s="20"/>
      <c r="E132" s="21"/>
      <c r="F132" s="21"/>
      <c r="G132" s="32"/>
      <c r="H132" s="33"/>
      <c r="I132" s="34"/>
      <c r="J132" s="35"/>
      <c r="K132" s="33"/>
      <c r="L132" s="28"/>
      <c r="M132" s="36"/>
      <c r="N132" s="30"/>
    </row>
    <row r="133" ht="15.75" customHeight="1">
      <c r="A133" s="18"/>
      <c r="B133" s="19"/>
      <c r="C133" s="20"/>
      <c r="D133" s="40"/>
      <c r="E133" s="21"/>
      <c r="F133" s="21"/>
      <c r="G133" s="32"/>
      <c r="H133" s="33"/>
      <c r="I133" s="34"/>
      <c r="J133" s="35"/>
      <c r="K133" s="33"/>
      <c r="L133" s="28"/>
      <c r="M133" s="36"/>
      <c r="N133" s="30"/>
    </row>
    <row r="134" ht="15.75" customHeight="1">
      <c r="A134" s="18"/>
      <c r="B134" s="19"/>
      <c r="C134" s="20"/>
      <c r="D134" s="20"/>
      <c r="E134" s="21"/>
      <c r="F134" s="21"/>
      <c r="G134" s="32"/>
      <c r="H134" s="33"/>
      <c r="I134" s="34"/>
      <c r="J134" s="35"/>
      <c r="K134" s="33"/>
      <c r="L134" s="28"/>
      <c r="M134" s="36"/>
      <c r="N134" s="30"/>
    </row>
    <row r="135" ht="15.75" customHeight="1">
      <c r="A135" s="18"/>
      <c r="B135" s="19"/>
      <c r="C135" s="20"/>
      <c r="D135" s="40"/>
      <c r="E135" s="21"/>
      <c r="F135" s="21"/>
      <c r="G135" s="32"/>
      <c r="H135" s="33"/>
      <c r="I135" s="34"/>
      <c r="J135" s="35"/>
      <c r="K135" s="33"/>
      <c r="L135" s="28"/>
      <c r="M135" s="36"/>
      <c r="N135" s="30"/>
    </row>
    <row r="136" ht="15.75" customHeight="1">
      <c r="A136" s="18"/>
      <c r="B136" s="19"/>
      <c r="C136" s="20"/>
      <c r="D136" s="40"/>
      <c r="E136" s="21"/>
      <c r="F136" s="21"/>
      <c r="G136" s="32"/>
      <c r="H136" s="33"/>
      <c r="I136" s="34"/>
      <c r="J136" s="35"/>
      <c r="K136" s="33"/>
      <c r="L136" s="28"/>
      <c r="M136" s="36"/>
      <c r="N136" s="30"/>
    </row>
    <row r="137" ht="15.75" customHeight="1">
      <c r="A137" s="18"/>
      <c r="B137" s="19"/>
      <c r="C137" s="20"/>
      <c r="D137" s="40"/>
      <c r="E137" s="21"/>
      <c r="F137" s="21"/>
      <c r="G137" s="32"/>
      <c r="H137" s="33"/>
      <c r="I137" s="34"/>
      <c r="J137" s="35"/>
      <c r="K137" s="33"/>
      <c r="L137" s="28"/>
      <c r="M137" s="36"/>
      <c r="N137" s="30"/>
    </row>
    <row r="138" ht="15.75" customHeight="1">
      <c r="A138" s="18"/>
      <c r="B138" s="19"/>
      <c r="C138" s="20"/>
      <c r="D138" s="20"/>
      <c r="E138" s="21"/>
      <c r="F138" s="21"/>
      <c r="G138" s="32"/>
      <c r="H138" s="33"/>
      <c r="I138" s="34"/>
      <c r="J138" s="35"/>
      <c r="K138" s="33"/>
      <c r="L138" s="28"/>
      <c r="M138" s="36"/>
      <c r="N138" s="30"/>
    </row>
    <row r="139" ht="15.75" customHeight="1">
      <c r="A139" s="18"/>
      <c r="B139" s="19"/>
      <c r="C139" s="20"/>
      <c r="D139" s="20"/>
      <c r="E139" s="21"/>
      <c r="F139" s="21"/>
      <c r="G139" s="32"/>
      <c r="H139" s="33"/>
      <c r="I139" s="34"/>
      <c r="J139" s="35"/>
      <c r="K139" s="33"/>
      <c r="L139" s="28"/>
      <c r="M139" s="36"/>
      <c r="N139" s="30"/>
    </row>
    <row r="140" ht="15.75" customHeight="1">
      <c r="A140" s="18"/>
      <c r="B140" s="19"/>
      <c r="C140" s="20"/>
      <c r="D140" s="40"/>
      <c r="E140" s="21"/>
      <c r="F140" s="21"/>
      <c r="G140" s="32"/>
      <c r="H140" s="33"/>
      <c r="I140" s="34"/>
      <c r="J140" s="35"/>
      <c r="K140" s="33"/>
      <c r="L140" s="28"/>
      <c r="M140" s="36"/>
      <c r="N140" s="30"/>
    </row>
    <row r="141" ht="15.75" customHeight="1">
      <c r="A141" s="18"/>
      <c r="B141" s="19"/>
      <c r="C141" s="20"/>
      <c r="D141" s="40"/>
      <c r="E141" s="21"/>
      <c r="F141" s="21"/>
      <c r="G141" s="32"/>
      <c r="H141" s="33"/>
      <c r="I141" s="34"/>
      <c r="J141" s="35"/>
      <c r="K141" s="33"/>
      <c r="L141" s="28"/>
      <c r="M141" s="36"/>
      <c r="N141" s="30"/>
    </row>
    <row r="142" ht="15.75" customHeight="1">
      <c r="A142" s="18"/>
      <c r="B142" s="19"/>
      <c r="C142" s="20"/>
      <c r="D142" s="40"/>
      <c r="E142" s="21"/>
      <c r="F142" s="21"/>
      <c r="G142" s="32"/>
      <c r="H142" s="33"/>
      <c r="I142" s="34"/>
      <c r="J142" s="35"/>
      <c r="K142" s="33"/>
      <c r="L142" s="28"/>
      <c r="M142" s="36"/>
      <c r="N142" s="30"/>
    </row>
    <row r="143" ht="15.75" customHeight="1">
      <c r="A143" s="18"/>
      <c r="B143" s="19"/>
      <c r="C143" s="20"/>
      <c r="D143" s="40"/>
      <c r="E143" s="21"/>
      <c r="F143" s="21"/>
      <c r="G143" s="32"/>
      <c r="H143" s="33"/>
      <c r="I143" s="34"/>
      <c r="J143" s="35"/>
      <c r="K143" s="33"/>
      <c r="L143" s="28"/>
      <c r="M143" s="36"/>
      <c r="N143" s="30"/>
    </row>
    <row r="144" ht="15.75" customHeight="1">
      <c r="A144" s="18"/>
      <c r="B144" s="19"/>
      <c r="C144" s="20"/>
      <c r="D144" s="40"/>
      <c r="E144" s="21"/>
      <c r="F144" s="21"/>
      <c r="G144" s="32"/>
      <c r="H144" s="33"/>
      <c r="I144" s="34"/>
      <c r="J144" s="35"/>
      <c r="K144" s="33"/>
      <c r="L144" s="28"/>
      <c r="M144" s="36"/>
      <c r="N144" s="30"/>
    </row>
    <row r="145" ht="15.75" customHeight="1">
      <c r="A145" s="18"/>
      <c r="B145" s="19"/>
      <c r="C145" s="20"/>
      <c r="D145" s="20"/>
      <c r="E145" s="21"/>
      <c r="F145" s="21"/>
      <c r="G145" s="32"/>
      <c r="H145" s="33"/>
      <c r="I145" s="34"/>
      <c r="J145" s="35"/>
      <c r="K145" s="33"/>
      <c r="L145" s="28"/>
      <c r="M145" s="36"/>
      <c r="N145" s="30"/>
    </row>
    <row r="146" ht="15.75" customHeight="1">
      <c r="A146" s="18"/>
      <c r="B146" s="19"/>
      <c r="C146" s="20"/>
      <c r="D146" s="40"/>
      <c r="E146" s="21"/>
      <c r="F146" s="21"/>
      <c r="G146" s="32"/>
      <c r="H146" s="33"/>
      <c r="I146" s="34"/>
      <c r="J146" s="35"/>
      <c r="K146" s="33"/>
      <c r="L146" s="28"/>
      <c r="M146" s="36"/>
      <c r="N146" s="30"/>
    </row>
    <row r="147" ht="15.75" customHeight="1">
      <c r="A147" s="18"/>
      <c r="B147" s="19"/>
      <c r="C147" s="20"/>
      <c r="D147" s="20"/>
      <c r="E147" s="21"/>
      <c r="F147" s="21"/>
      <c r="G147" s="32"/>
      <c r="H147" s="33"/>
      <c r="I147" s="34"/>
      <c r="J147" s="35"/>
      <c r="K147" s="33"/>
      <c r="L147" s="28"/>
      <c r="M147" s="36"/>
      <c r="N147" s="30"/>
    </row>
    <row r="148" ht="15.75" customHeight="1">
      <c r="A148" s="18"/>
      <c r="B148" s="19"/>
      <c r="C148" s="20"/>
      <c r="D148" s="20"/>
      <c r="E148" s="21"/>
      <c r="F148" s="21"/>
      <c r="G148" s="32"/>
      <c r="H148" s="33"/>
      <c r="I148" s="34"/>
      <c r="J148" s="35"/>
      <c r="K148" s="33"/>
      <c r="L148" s="28"/>
      <c r="M148" s="36"/>
      <c r="N148" s="30"/>
    </row>
    <row r="149" ht="15.75" customHeight="1">
      <c r="A149" s="18"/>
      <c r="B149" s="19"/>
      <c r="C149" s="20"/>
      <c r="D149" s="40"/>
      <c r="E149" s="21"/>
      <c r="F149" s="21"/>
      <c r="G149" s="32"/>
      <c r="H149" s="33"/>
      <c r="I149" s="34"/>
      <c r="J149" s="35"/>
      <c r="K149" s="33"/>
      <c r="L149" s="28"/>
      <c r="M149" s="36"/>
      <c r="N149" s="30"/>
    </row>
    <row r="150" ht="15.75" customHeight="1">
      <c r="A150" s="18"/>
      <c r="B150" s="19"/>
      <c r="C150" s="20"/>
      <c r="D150" s="40"/>
      <c r="E150" s="21"/>
      <c r="F150" s="21"/>
      <c r="G150" s="32"/>
      <c r="H150" s="33"/>
      <c r="I150" s="34"/>
      <c r="J150" s="35"/>
      <c r="K150" s="33"/>
      <c r="L150" s="28"/>
      <c r="M150" s="36"/>
      <c r="N150" s="30"/>
    </row>
    <row r="151" ht="15.75" customHeight="1">
      <c r="A151" s="18"/>
      <c r="B151" s="19"/>
      <c r="C151" s="20"/>
      <c r="D151" s="40"/>
      <c r="E151" s="21"/>
      <c r="F151" s="21"/>
      <c r="G151" s="32"/>
      <c r="H151" s="33"/>
      <c r="I151" s="34"/>
      <c r="J151" s="35"/>
      <c r="K151" s="33"/>
      <c r="L151" s="28"/>
      <c r="M151" s="36"/>
      <c r="N151" s="30"/>
    </row>
    <row r="152" ht="15.75" customHeight="1">
      <c r="A152" s="18"/>
      <c r="B152" s="19"/>
      <c r="C152" s="20"/>
      <c r="D152" s="40"/>
      <c r="E152" s="21"/>
      <c r="F152" s="21"/>
      <c r="G152" s="32"/>
      <c r="H152" s="33"/>
      <c r="I152" s="34"/>
      <c r="J152" s="35"/>
      <c r="K152" s="33"/>
      <c r="L152" s="28"/>
      <c r="M152" s="36"/>
      <c r="N152" s="30"/>
    </row>
    <row r="153" ht="15.75" customHeight="1">
      <c r="A153" s="18"/>
      <c r="B153" s="19"/>
      <c r="C153" s="20"/>
      <c r="D153" s="28"/>
      <c r="E153" s="21"/>
      <c r="F153" s="21"/>
      <c r="G153" s="32"/>
      <c r="H153" s="33"/>
      <c r="I153" s="34"/>
      <c r="J153" s="35"/>
      <c r="K153" s="33"/>
      <c r="L153" s="28"/>
      <c r="M153" s="36"/>
      <c r="N153" s="30"/>
    </row>
    <row r="154" ht="15.75" customHeight="1">
      <c r="A154" s="18"/>
      <c r="B154" s="19"/>
      <c r="C154" s="20"/>
      <c r="D154" s="20"/>
      <c r="E154" s="21"/>
      <c r="F154" s="21"/>
      <c r="G154" s="32"/>
      <c r="H154" s="33"/>
      <c r="I154" s="34"/>
      <c r="J154" s="35"/>
      <c r="K154" s="33"/>
      <c r="L154" s="28"/>
      <c r="M154" s="36"/>
      <c r="N154" s="30"/>
    </row>
    <row r="155" ht="15.75" customHeight="1">
      <c r="A155" s="18"/>
      <c r="B155" s="19"/>
      <c r="C155" s="20"/>
      <c r="D155" s="20"/>
      <c r="E155" s="21"/>
      <c r="F155" s="21"/>
      <c r="G155" s="32"/>
      <c r="H155" s="33"/>
      <c r="I155" s="34"/>
      <c r="J155" s="35"/>
      <c r="K155" s="33"/>
      <c r="L155" s="28"/>
      <c r="M155" s="36"/>
      <c r="N155" s="30"/>
    </row>
    <row r="156" ht="15.75" customHeight="1">
      <c r="A156" s="18"/>
      <c r="B156" s="19"/>
      <c r="C156" s="20"/>
      <c r="D156" s="20"/>
      <c r="E156" s="21"/>
      <c r="F156" s="21"/>
      <c r="G156" s="32"/>
      <c r="H156" s="33"/>
      <c r="I156" s="34"/>
      <c r="J156" s="35"/>
      <c r="K156" s="33"/>
      <c r="L156" s="28"/>
      <c r="M156" s="36"/>
      <c r="N156" s="30"/>
    </row>
    <row r="157" ht="15.75" customHeight="1">
      <c r="A157" s="18"/>
      <c r="B157" s="19"/>
      <c r="C157" s="20"/>
      <c r="D157" s="20"/>
      <c r="E157" s="21"/>
      <c r="F157" s="21"/>
      <c r="G157" s="32"/>
      <c r="H157" s="33"/>
      <c r="I157" s="34"/>
      <c r="J157" s="35"/>
      <c r="K157" s="33"/>
      <c r="L157" s="28"/>
      <c r="M157" s="36"/>
      <c r="N157" s="30"/>
    </row>
    <row r="158" ht="15.75" customHeight="1">
      <c r="A158" s="18"/>
      <c r="B158" s="19"/>
      <c r="C158" s="20"/>
      <c r="D158" s="20"/>
      <c r="E158" s="21"/>
      <c r="F158" s="21"/>
      <c r="G158" s="32"/>
      <c r="H158" s="33"/>
      <c r="I158" s="34"/>
      <c r="J158" s="35"/>
      <c r="K158" s="33"/>
      <c r="L158" s="28"/>
      <c r="M158" s="36"/>
      <c r="N158" s="30"/>
    </row>
    <row r="159" ht="15.75" customHeight="1">
      <c r="A159" s="18"/>
      <c r="B159" s="19"/>
      <c r="C159" s="20"/>
      <c r="D159" s="20"/>
      <c r="E159" s="21"/>
      <c r="F159" s="21"/>
      <c r="G159" s="32"/>
      <c r="H159" s="33"/>
      <c r="I159" s="34"/>
      <c r="J159" s="35"/>
      <c r="K159" s="33"/>
      <c r="L159" s="28"/>
      <c r="M159" s="36"/>
      <c r="N159" s="30"/>
    </row>
    <row r="160" ht="15.75" customHeight="1">
      <c r="A160" s="18"/>
      <c r="B160" s="19"/>
      <c r="C160" s="20"/>
      <c r="D160" s="20"/>
      <c r="E160" s="21"/>
      <c r="F160" s="21"/>
      <c r="G160" s="32"/>
      <c r="H160" s="33"/>
      <c r="I160" s="34"/>
      <c r="J160" s="35"/>
      <c r="K160" s="33"/>
      <c r="L160" s="28"/>
      <c r="M160" s="36"/>
      <c r="N160" s="30"/>
    </row>
    <row r="161" ht="15.75" customHeight="1">
      <c r="A161" s="18"/>
      <c r="B161" s="19"/>
      <c r="C161" s="20"/>
      <c r="D161" s="20"/>
      <c r="E161" s="21"/>
      <c r="F161" s="21"/>
      <c r="G161" s="32"/>
      <c r="H161" s="33"/>
      <c r="I161" s="34"/>
      <c r="J161" s="35"/>
      <c r="K161" s="33"/>
      <c r="L161" s="28"/>
      <c r="M161" s="36"/>
      <c r="N161" s="30"/>
    </row>
    <row r="162" ht="15.75" customHeight="1">
      <c r="A162" s="18"/>
      <c r="B162" s="19"/>
      <c r="C162" s="20"/>
      <c r="D162" s="20"/>
      <c r="E162" s="21"/>
      <c r="F162" s="21"/>
      <c r="G162" s="32"/>
      <c r="H162" s="33"/>
      <c r="I162" s="34"/>
      <c r="J162" s="35"/>
      <c r="K162" s="33"/>
      <c r="L162" s="28"/>
      <c r="M162" s="36"/>
      <c r="N162" s="30"/>
    </row>
    <row r="163" ht="15.75" customHeight="1">
      <c r="A163" s="18"/>
      <c r="B163" s="19"/>
      <c r="C163" s="20"/>
      <c r="D163" s="20"/>
      <c r="E163" s="21"/>
      <c r="F163" s="21"/>
      <c r="G163" s="32"/>
      <c r="H163" s="33"/>
      <c r="I163" s="34"/>
      <c r="J163" s="35"/>
      <c r="K163" s="33"/>
      <c r="L163" s="28"/>
      <c r="M163" s="36"/>
      <c r="N163" s="30"/>
    </row>
    <row r="164" ht="15.75" customHeight="1">
      <c r="A164" s="18"/>
      <c r="B164" s="19"/>
      <c r="C164" s="20"/>
      <c r="D164" s="20"/>
      <c r="E164" s="21"/>
      <c r="F164" s="21"/>
      <c r="G164" s="32"/>
      <c r="H164" s="33"/>
      <c r="I164" s="34"/>
      <c r="J164" s="35"/>
      <c r="K164" s="41"/>
      <c r="L164" s="28"/>
      <c r="M164" s="36"/>
      <c r="N164" s="30"/>
    </row>
    <row r="165" ht="15.75" customHeight="1">
      <c r="A165" s="18"/>
      <c r="B165" s="19"/>
      <c r="C165" s="20"/>
      <c r="D165" s="20"/>
      <c r="E165" s="21"/>
      <c r="F165" s="21"/>
      <c r="G165" s="32"/>
      <c r="H165" s="33"/>
      <c r="I165" s="34"/>
      <c r="J165" s="35"/>
      <c r="K165" s="33"/>
      <c r="L165" s="28"/>
      <c r="M165" s="36"/>
      <c r="N165" s="30"/>
    </row>
    <row r="166" ht="15.75" customHeight="1">
      <c r="A166" s="18"/>
      <c r="B166" s="19"/>
      <c r="C166" s="20"/>
      <c r="D166" s="20"/>
      <c r="E166" s="21"/>
      <c r="F166" s="21"/>
      <c r="G166" s="32"/>
      <c r="H166" s="33"/>
      <c r="I166" s="34"/>
      <c r="J166" s="35"/>
      <c r="K166" s="33"/>
      <c r="L166" s="28"/>
      <c r="M166" s="36"/>
      <c r="N166" s="30"/>
    </row>
    <row r="167" ht="15.75" customHeight="1">
      <c r="A167" s="18"/>
      <c r="B167" s="19"/>
      <c r="C167" s="20"/>
      <c r="D167" s="20"/>
      <c r="E167" s="21"/>
      <c r="F167" s="21"/>
      <c r="G167" s="32"/>
      <c r="H167" s="33"/>
      <c r="I167" s="34"/>
      <c r="J167" s="35"/>
      <c r="K167" s="33"/>
      <c r="L167" s="28"/>
      <c r="M167" s="36"/>
      <c r="N167" s="30"/>
    </row>
    <row r="168" ht="15.75" customHeight="1">
      <c r="A168" s="18"/>
      <c r="B168" s="19"/>
      <c r="C168" s="20"/>
      <c r="D168" s="20"/>
      <c r="E168" s="21"/>
      <c r="F168" s="21"/>
      <c r="G168" s="32"/>
      <c r="H168" s="33"/>
      <c r="I168" s="34"/>
      <c r="J168" s="35"/>
      <c r="K168" s="41"/>
      <c r="L168" s="28"/>
      <c r="M168" s="36"/>
      <c r="N168" s="30"/>
    </row>
    <row r="169" ht="15.75" customHeight="1">
      <c r="A169" s="18"/>
      <c r="B169" s="19"/>
      <c r="C169" s="20"/>
      <c r="D169" s="20"/>
      <c r="E169" s="21"/>
      <c r="F169" s="21"/>
      <c r="G169" s="32"/>
      <c r="H169" s="33"/>
      <c r="I169" s="34"/>
      <c r="J169" s="35"/>
      <c r="K169" s="33"/>
      <c r="L169" s="28"/>
      <c r="M169" s="36"/>
      <c r="N169" s="30"/>
    </row>
    <row r="170" ht="15.75" customHeight="1">
      <c r="A170" s="18"/>
      <c r="B170" s="19"/>
      <c r="C170" s="20"/>
      <c r="D170" s="20"/>
      <c r="E170" s="21"/>
      <c r="F170" s="21"/>
      <c r="G170" s="32"/>
      <c r="H170" s="33"/>
      <c r="I170" s="34"/>
      <c r="J170" s="35"/>
      <c r="K170" s="33"/>
      <c r="L170" s="28"/>
      <c r="M170" s="36"/>
      <c r="N170" s="30"/>
    </row>
    <row r="171" ht="15.75" customHeight="1">
      <c r="A171" s="18"/>
      <c r="B171" s="19"/>
      <c r="C171" s="20"/>
      <c r="D171" s="20"/>
      <c r="E171" s="21"/>
      <c r="F171" s="21"/>
      <c r="G171" s="32"/>
      <c r="H171" s="33"/>
      <c r="I171" s="34"/>
      <c r="J171" s="35"/>
      <c r="K171" s="33"/>
      <c r="L171" s="28"/>
      <c r="M171" s="36"/>
      <c r="N171" s="30"/>
    </row>
    <row r="172" ht="15.75" customHeight="1">
      <c r="A172" s="18"/>
      <c r="B172" s="19"/>
      <c r="C172" s="20"/>
      <c r="D172" s="20"/>
      <c r="E172" s="21"/>
      <c r="F172" s="21"/>
      <c r="G172" s="32"/>
      <c r="H172" s="33"/>
      <c r="I172" s="34"/>
      <c r="J172" s="35"/>
      <c r="K172" s="33"/>
      <c r="L172" s="28"/>
      <c r="M172" s="36"/>
      <c r="N172" s="30"/>
    </row>
    <row r="173" ht="15.75" customHeight="1">
      <c r="A173" s="18"/>
      <c r="B173" s="19"/>
      <c r="C173" s="20"/>
      <c r="D173" s="20"/>
      <c r="E173" s="21"/>
      <c r="F173" s="21"/>
      <c r="G173" s="32"/>
      <c r="H173" s="33"/>
      <c r="I173" s="34"/>
      <c r="J173" s="35"/>
      <c r="K173" s="33"/>
      <c r="L173" s="28"/>
      <c r="M173" s="36"/>
      <c r="N173" s="30"/>
    </row>
    <row r="174" ht="15.75" customHeight="1">
      <c r="A174" s="18"/>
      <c r="B174" s="19"/>
      <c r="C174" s="20"/>
      <c r="D174" s="20"/>
      <c r="E174" s="21"/>
      <c r="F174" s="21"/>
      <c r="G174" s="32"/>
      <c r="H174" s="33"/>
      <c r="I174" s="34"/>
      <c r="J174" s="35"/>
      <c r="K174" s="41"/>
      <c r="L174" s="28"/>
      <c r="M174" s="36"/>
      <c r="N174" s="30"/>
    </row>
    <row r="175" ht="15.75" customHeight="1">
      <c r="A175" s="18"/>
      <c r="B175" s="19"/>
      <c r="C175" s="20"/>
      <c r="D175" s="20"/>
      <c r="E175" s="21"/>
      <c r="F175" s="21"/>
      <c r="G175" s="32"/>
      <c r="H175" s="33"/>
      <c r="I175" s="34"/>
      <c r="J175" s="35"/>
      <c r="K175" s="33"/>
      <c r="L175" s="28"/>
      <c r="M175" s="36"/>
      <c r="N175" s="30"/>
    </row>
    <row r="176" ht="15.75" customHeight="1">
      <c r="A176" s="18"/>
      <c r="B176" s="19"/>
      <c r="C176" s="20"/>
      <c r="D176" s="20"/>
      <c r="E176" s="21"/>
      <c r="F176" s="21"/>
      <c r="G176" s="32"/>
      <c r="H176" s="33"/>
      <c r="I176" s="34"/>
      <c r="J176" s="35"/>
      <c r="K176" s="33"/>
      <c r="L176" s="28"/>
      <c r="M176" s="36"/>
      <c r="N176" s="30"/>
    </row>
    <row r="177" ht="15.75" customHeight="1">
      <c r="A177" s="18"/>
      <c r="B177" s="19"/>
      <c r="C177" s="20"/>
      <c r="D177" s="20"/>
      <c r="E177" s="21"/>
      <c r="F177" s="21"/>
      <c r="G177" s="32"/>
      <c r="H177" s="33"/>
      <c r="I177" s="34"/>
      <c r="J177" s="35"/>
      <c r="K177" s="33"/>
      <c r="L177" s="28"/>
      <c r="M177" s="36"/>
      <c r="N177" s="30"/>
    </row>
    <row r="178" ht="15.75" customHeight="1">
      <c r="A178" s="18"/>
      <c r="B178" s="19"/>
      <c r="C178" s="20"/>
      <c r="D178" s="20"/>
      <c r="E178" s="21"/>
      <c r="F178" s="21"/>
      <c r="G178" s="32"/>
      <c r="H178" s="33"/>
      <c r="I178" s="34"/>
      <c r="J178" s="35"/>
      <c r="K178" s="33"/>
      <c r="L178" s="28"/>
      <c r="M178" s="36"/>
      <c r="N178" s="30"/>
    </row>
    <row r="179" ht="15.75" customHeight="1">
      <c r="A179" s="18"/>
      <c r="B179" s="19"/>
      <c r="C179" s="20"/>
      <c r="D179" s="20"/>
      <c r="E179" s="21"/>
      <c r="F179" s="21"/>
      <c r="G179" s="32"/>
      <c r="H179" s="33"/>
      <c r="I179" s="34"/>
      <c r="J179" s="35"/>
      <c r="K179" s="33"/>
      <c r="L179" s="28"/>
      <c r="M179" s="36"/>
      <c r="N179" s="30"/>
    </row>
    <row r="180" ht="15.75" customHeight="1">
      <c r="A180" s="18"/>
      <c r="B180" s="19"/>
      <c r="C180" s="20"/>
      <c r="D180" s="20"/>
      <c r="E180" s="21"/>
      <c r="F180" s="21"/>
      <c r="G180" s="32"/>
      <c r="H180" s="33"/>
      <c r="I180" s="34"/>
      <c r="J180" s="35"/>
      <c r="K180" s="33"/>
      <c r="L180" s="28"/>
      <c r="M180" s="36"/>
      <c r="N180" s="30"/>
    </row>
    <row r="181" ht="15.75" customHeight="1">
      <c r="A181" s="18"/>
      <c r="B181" s="19"/>
      <c r="C181" s="20"/>
      <c r="D181" s="20"/>
      <c r="E181" s="21"/>
      <c r="F181" s="21"/>
      <c r="G181" s="32"/>
      <c r="H181" s="33"/>
      <c r="I181" s="34"/>
      <c r="J181" s="35"/>
      <c r="K181" s="33"/>
      <c r="L181" s="28"/>
      <c r="M181" s="36"/>
      <c r="N181" s="30"/>
    </row>
    <row r="182" ht="15.75" customHeight="1">
      <c r="A182" s="18"/>
      <c r="B182" s="19"/>
      <c r="C182" s="20"/>
      <c r="D182" s="20"/>
      <c r="E182" s="21"/>
      <c r="F182" s="21"/>
      <c r="G182" s="32"/>
      <c r="H182" s="33"/>
      <c r="I182" s="34"/>
      <c r="J182" s="35"/>
      <c r="K182" s="41"/>
      <c r="L182" s="28"/>
      <c r="M182" s="36"/>
      <c r="N182" s="30"/>
    </row>
    <row r="183" ht="15.75" customHeight="1">
      <c r="A183" s="18"/>
      <c r="B183" s="19"/>
      <c r="C183" s="20"/>
      <c r="D183" s="20"/>
      <c r="E183" s="21"/>
      <c r="F183" s="21"/>
      <c r="G183" s="32"/>
      <c r="H183" s="33"/>
      <c r="I183" s="34"/>
      <c r="J183" s="35"/>
      <c r="K183" s="33"/>
      <c r="L183" s="28"/>
      <c r="M183" s="36"/>
      <c r="N183" s="30"/>
    </row>
    <row r="184" ht="15.75" customHeight="1">
      <c r="A184" s="18"/>
      <c r="B184" s="19"/>
      <c r="C184" s="20"/>
      <c r="D184" s="20"/>
      <c r="E184" s="21"/>
      <c r="F184" s="21"/>
      <c r="G184" s="32"/>
      <c r="H184" s="33"/>
      <c r="I184" s="34"/>
      <c r="J184" s="35"/>
      <c r="K184" s="33"/>
      <c r="L184" s="28"/>
      <c r="M184" s="36"/>
      <c r="N184" s="30"/>
    </row>
    <row r="185" ht="15.75" customHeight="1">
      <c r="A185" s="18"/>
      <c r="B185" s="19"/>
      <c r="C185" s="20"/>
      <c r="D185" s="20"/>
      <c r="E185" s="21"/>
      <c r="F185" s="21"/>
      <c r="G185" s="32"/>
      <c r="H185" s="33"/>
      <c r="I185" s="34"/>
      <c r="J185" s="35"/>
      <c r="K185" s="33"/>
      <c r="L185" s="28"/>
      <c r="M185" s="36"/>
      <c r="N185" s="30"/>
    </row>
    <row r="186" ht="15.75" customHeight="1">
      <c r="A186" s="18"/>
      <c r="B186" s="19"/>
      <c r="C186" s="20"/>
      <c r="D186" s="20"/>
      <c r="E186" s="21"/>
      <c r="F186" s="21"/>
      <c r="G186" s="32"/>
      <c r="H186" s="33"/>
      <c r="I186" s="34"/>
      <c r="J186" s="35"/>
      <c r="K186" s="33"/>
      <c r="L186" s="28"/>
      <c r="M186" s="36"/>
      <c r="N186" s="30"/>
    </row>
    <row r="187" ht="15.75" customHeight="1">
      <c r="A187" s="18"/>
      <c r="B187" s="19"/>
      <c r="C187" s="20"/>
      <c r="D187" s="20"/>
      <c r="E187" s="21"/>
      <c r="F187" s="21"/>
      <c r="G187" s="32"/>
      <c r="H187" s="33"/>
      <c r="I187" s="34"/>
      <c r="J187" s="35"/>
      <c r="K187" s="33"/>
      <c r="L187" s="28"/>
      <c r="M187" s="36"/>
      <c r="N187" s="30"/>
    </row>
    <row r="188" ht="15.75" customHeight="1">
      <c r="A188" s="18"/>
      <c r="B188" s="19"/>
      <c r="C188" s="20"/>
      <c r="D188" s="20"/>
      <c r="E188" s="21"/>
      <c r="F188" s="21"/>
      <c r="G188" s="32"/>
      <c r="H188" s="33"/>
      <c r="I188" s="34"/>
      <c r="J188" s="35"/>
      <c r="K188" s="33"/>
      <c r="L188" s="28"/>
      <c r="M188" s="36"/>
      <c r="N188" s="30"/>
    </row>
    <row r="189" ht="15.75" customHeight="1">
      <c r="A189" s="18"/>
      <c r="B189" s="19"/>
      <c r="C189" s="20"/>
      <c r="D189" s="20"/>
      <c r="E189" s="21"/>
      <c r="F189" s="21"/>
      <c r="G189" s="32"/>
      <c r="H189" s="33"/>
      <c r="I189" s="34"/>
      <c r="J189" s="35"/>
      <c r="K189" s="33"/>
      <c r="L189" s="28"/>
      <c r="M189" s="36"/>
      <c r="N189" s="30"/>
    </row>
    <row r="190" ht="15.75" customHeight="1">
      <c r="A190" s="18"/>
      <c r="B190" s="19"/>
      <c r="C190" s="20"/>
      <c r="D190" s="20"/>
      <c r="E190" s="21"/>
      <c r="F190" s="21"/>
      <c r="G190" s="32"/>
      <c r="H190" s="33"/>
      <c r="I190" s="34"/>
      <c r="J190" s="35"/>
      <c r="K190" s="33"/>
      <c r="L190" s="28"/>
      <c r="M190" s="36"/>
      <c r="N190" s="30"/>
    </row>
    <row r="191" ht="15.75" customHeight="1">
      <c r="A191" s="18"/>
      <c r="B191" s="19"/>
      <c r="C191" s="20"/>
      <c r="D191" s="20"/>
      <c r="E191" s="21"/>
      <c r="F191" s="21"/>
      <c r="G191" s="32"/>
      <c r="H191" s="33"/>
      <c r="I191" s="34"/>
      <c r="J191" s="35"/>
      <c r="K191" s="33"/>
      <c r="L191" s="28"/>
      <c r="M191" s="36"/>
      <c r="N191" s="30"/>
    </row>
    <row r="192" ht="15.75" customHeight="1">
      <c r="A192" s="18"/>
      <c r="B192" s="19"/>
      <c r="C192" s="20"/>
      <c r="D192" s="20"/>
      <c r="E192" s="21"/>
      <c r="F192" s="21"/>
      <c r="G192" s="42"/>
      <c r="H192" s="33"/>
      <c r="I192" s="34"/>
      <c r="J192" s="35"/>
      <c r="K192" s="33"/>
      <c r="L192" s="28"/>
      <c r="M192" s="36"/>
      <c r="N192" s="30"/>
    </row>
    <row r="193" ht="15.75" customHeight="1">
      <c r="A193" s="18"/>
      <c r="B193" s="19"/>
      <c r="C193" s="20"/>
      <c r="D193" s="20"/>
      <c r="E193" s="21"/>
      <c r="F193" s="21"/>
      <c r="G193" s="32"/>
      <c r="H193" s="33"/>
      <c r="I193" s="34"/>
      <c r="J193" s="35"/>
      <c r="K193" s="33"/>
      <c r="L193" s="28"/>
      <c r="M193" s="36"/>
      <c r="N193" s="30"/>
    </row>
    <row r="194" ht="15.75" customHeight="1">
      <c r="A194" s="18"/>
      <c r="B194" s="19"/>
      <c r="C194" s="20"/>
      <c r="D194" s="20"/>
      <c r="E194" s="21"/>
      <c r="F194" s="21"/>
      <c r="G194" s="32"/>
      <c r="H194" s="33"/>
      <c r="I194" s="34"/>
      <c r="J194" s="35"/>
      <c r="K194" s="33"/>
      <c r="L194" s="28"/>
      <c r="M194" s="36"/>
      <c r="N194" s="30"/>
    </row>
    <row r="195" ht="15.75" customHeight="1">
      <c r="A195" s="18"/>
      <c r="B195" s="19"/>
      <c r="C195" s="20"/>
      <c r="D195" s="20"/>
      <c r="E195" s="21"/>
      <c r="F195" s="21"/>
      <c r="G195" s="32"/>
      <c r="H195" s="33"/>
      <c r="I195" s="34"/>
      <c r="J195" s="35"/>
      <c r="K195" s="33"/>
      <c r="L195" s="28"/>
      <c r="M195" s="36"/>
      <c r="N195" s="30"/>
    </row>
    <row r="196" ht="15.75" customHeight="1">
      <c r="A196" s="18"/>
      <c r="B196" s="19"/>
      <c r="C196" s="20"/>
      <c r="D196" s="20"/>
      <c r="E196" s="21"/>
      <c r="F196" s="21"/>
      <c r="G196" s="32"/>
      <c r="H196" s="33"/>
      <c r="I196" s="34"/>
      <c r="J196" s="35"/>
      <c r="K196" s="33"/>
      <c r="L196" s="28"/>
      <c r="M196" s="36"/>
      <c r="N196" s="30"/>
    </row>
    <row r="197" ht="15.75" customHeight="1">
      <c r="A197" s="18"/>
      <c r="B197" s="19"/>
      <c r="C197" s="20"/>
      <c r="D197" s="20"/>
      <c r="E197" s="21"/>
      <c r="F197" s="21"/>
      <c r="G197" s="32"/>
      <c r="H197" s="33"/>
      <c r="I197" s="34"/>
      <c r="J197" s="35"/>
      <c r="K197" s="33"/>
      <c r="L197" s="28"/>
      <c r="M197" s="36"/>
      <c r="N197" s="30"/>
    </row>
    <row r="198" ht="15.75" customHeight="1">
      <c r="A198" s="18"/>
      <c r="B198" s="19"/>
      <c r="C198" s="20"/>
      <c r="D198" s="20"/>
      <c r="E198" s="21"/>
      <c r="F198" s="21"/>
      <c r="G198" s="32"/>
      <c r="H198" s="33"/>
      <c r="I198" s="34"/>
      <c r="J198" s="35"/>
      <c r="K198" s="33"/>
      <c r="L198" s="28"/>
      <c r="M198" s="36"/>
      <c r="N198" s="30"/>
    </row>
    <row r="199" ht="15.75" customHeight="1">
      <c r="A199" s="18"/>
      <c r="B199" s="19"/>
      <c r="C199" s="20"/>
      <c r="D199" s="20"/>
      <c r="E199" s="21"/>
      <c r="F199" s="21"/>
      <c r="G199" s="32"/>
      <c r="H199" s="33"/>
      <c r="I199" s="34"/>
      <c r="J199" s="35"/>
      <c r="K199" s="33"/>
      <c r="L199" s="28"/>
      <c r="M199" s="36"/>
      <c r="N199" s="30"/>
    </row>
    <row r="200" ht="15.75" customHeight="1">
      <c r="A200" s="18"/>
      <c r="B200" s="19"/>
      <c r="C200" s="20"/>
      <c r="D200" s="20"/>
      <c r="E200" s="21"/>
      <c r="F200" s="21"/>
      <c r="G200" s="32"/>
      <c r="H200" s="33"/>
      <c r="I200" s="34"/>
      <c r="J200" s="35"/>
      <c r="K200" s="41"/>
      <c r="L200" s="28"/>
      <c r="M200" s="36"/>
      <c r="N200" s="30"/>
    </row>
    <row r="201" ht="15.75" customHeight="1">
      <c r="A201" s="18"/>
      <c r="B201" s="19"/>
      <c r="C201" s="20"/>
      <c r="D201" s="20"/>
      <c r="E201" s="21"/>
      <c r="F201" s="21"/>
      <c r="G201" s="32"/>
      <c r="H201" s="33"/>
      <c r="I201" s="34"/>
      <c r="J201" s="35"/>
      <c r="K201" s="41"/>
      <c r="L201" s="28"/>
      <c r="M201" s="36"/>
      <c r="N201" s="30"/>
    </row>
    <row r="202" ht="15.75" customHeight="1">
      <c r="A202" s="18"/>
      <c r="B202" s="19"/>
      <c r="C202" s="20"/>
      <c r="D202" s="20"/>
      <c r="E202" s="21"/>
      <c r="F202" s="21"/>
      <c r="G202" s="32"/>
      <c r="H202" s="33"/>
      <c r="I202" s="34"/>
      <c r="J202" s="35"/>
      <c r="K202" s="41"/>
      <c r="L202" s="28"/>
      <c r="M202" s="36"/>
      <c r="N202" s="30"/>
    </row>
    <row r="203" ht="15.75" customHeight="1">
      <c r="A203" s="18"/>
      <c r="B203" s="19"/>
      <c r="C203" s="20"/>
      <c r="D203" s="20"/>
      <c r="E203" s="21"/>
      <c r="F203" s="21"/>
      <c r="G203" s="32"/>
      <c r="H203" s="33"/>
      <c r="I203" s="34"/>
      <c r="J203" s="35"/>
      <c r="K203" s="41"/>
      <c r="L203" s="28"/>
      <c r="M203" s="36"/>
      <c r="N203" s="30"/>
    </row>
    <row r="204" ht="15.75" customHeight="1">
      <c r="A204" s="18"/>
      <c r="B204" s="19"/>
      <c r="C204" s="20"/>
      <c r="D204" s="20"/>
      <c r="E204" s="21"/>
      <c r="F204" s="21"/>
      <c r="G204" s="32"/>
      <c r="H204" s="33"/>
      <c r="I204" s="34"/>
      <c r="J204" s="35"/>
      <c r="K204" s="41"/>
      <c r="L204" s="28"/>
      <c r="M204" s="36"/>
      <c r="N204" s="30"/>
    </row>
    <row r="205" ht="15.75" customHeight="1">
      <c r="A205" s="18"/>
      <c r="B205" s="19"/>
      <c r="C205" s="20"/>
      <c r="D205" s="20"/>
      <c r="E205" s="21"/>
      <c r="F205" s="21"/>
      <c r="G205" s="32"/>
      <c r="H205" s="33"/>
      <c r="I205" s="34"/>
      <c r="J205" s="35"/>
      <c r="K205" s="41"/>
      <c r="L205" s="28"/>
      <c r="M205" s="36"/>
      <c r="N205" s="30"/>
    </row>
    <row r="206" ht="15.75" customHeight="1">
      <c r="A206" s="18"/>
      <c r="B206" s="19"/>
      <c r="C206" s="20"/>
      <c r="D206" s="20"/>
      <c r="E206" s="21"/>
      <c r="F206" s="21"/>
      <c r="G206" s="32"/>
      <c r="H206" s="33"/>
      <c r="I206" s="34"/>
      <c r="J206" s="35"/>
      <c r="K206" s="41"/>
      <c r="L206" s="28"/>
      <c r="M206" s="36"/>
      <c r="N206" s="30"/>
    </row>
    <row r="207" ht="15.75" customHeight="1">
      <c r="A207" s="18"/>
      <c r="B207" s="19"/>
      <c r="C207" s="20"/>
      <c r="D207" s="20"/>
      <c r="E207" s="21"/>
      <c r="F207" s="21"/>
      <c r="G207" s="32"/>
      <c r="H207" s="33"/>
      <c r="I207" s="34"/>
      <c r="J207" s="35"/>
      <c r="K207" s="33"/>
      <c r="L207" s="28"/>
      <c r="M207" s="36"/>
      <c r="N207" s="30"/>
    </row>
    <row r="208" ht="15.75" customHeight="1">
      <c r="A208" s="18"/>
      <c r="B208" s="19"/>
      <c r="C208" s="20"/>
      <c r="D208" s="20"/>
      <c r="E208" s="21"/>
      <c r="F208" s="21"/>
      <c r="G208" s="32"/>
      <c r="H208" s="33"/>
      <c r="I208" s="34"/>
      <c r="J208" s="35"/>
      <c r="K208" s="41"/>
      <c r="L208" s="28"/>
      <c r="M208" s="36"/>
      <c r="N208" s="30"/>
    </row>
    <row r="209" ht="15.75" customHeight="1">
      <c r="A209" s="18"/>
      <c r="B209" s="19"/>
      <c r="C209" s="20"/>
      <c r="D209" s="20"/>
      <c r="E209" s="21"/>
      <c r="F209" s="21"/>
      <c r="G209" s="32"/>
      <c r="H209" s="33"/>
      <c r="I209" s="34"/>
      <c r="J209" s="35"/>
      <c r="K209" s="33"/>
      <c r="L209" s="28"/>
      <c r="M209" s="36"/>
      <c r="N209" s="30"/>
    </row>
    <row r="210" ht="15.75" customHeight="1">
      <c r="A210" s="18"/>
      <c r="B210" s="19"/>
      <c r="C210" s="20"/>
      <c r="D210" s="20"/>
      <c r="E210" s="21"/>
      <c r="F210" s="21"/>
      <c r="G210" s="32"/>
      <c r="H210" s="33"/>
      <c r="I210" s="34"/>
      <c r="J210" s="35"/>
      <c r="K210" s="33"/>
      <c r="L210" s="28"/>
      <c r="M210" s="36"/>
      <c r="N210" s="30"/>
    </row>
    <row r="211" ht="15.75" customHeight="1">
      <c r="A211" s="18"/>
      <c r="B211" s="19"/>
      <c r="C211" s="20"/>
      <c r="D211" s="20"/>
      <c r="E211" s="21"/>
      <c r="F211" s="21"/>
      <c r="G211" s="32"/>
      <c r="H211" s="33"/>
      <c r="I211" s="34"/>
      <c r="J211" s="35"/>
      <c r="K211" s="33"/>
      <c r="L211" s="28"/>
      <c r="M211" s="36"/>
      <c r="N211" s="30"/>
    </row>
    <row r="212" ht="15.75" customHeight="1">
      <c r="A212" s="18"/>
      <c r="B212" s="19"/>
      <c r="C212" s="20"/>
      <c r="D212" s="20"/>
      <c r="E212" s="21"/>
      <c r="F212" s="21"/>
      <c r="G212" s="32"/>
      <c r="H212" s="33"/>
      <c r="I212" s="34"/>
      <c r="J212" s="35"/>
      <c r="K212" s="33"/>
      <c r="L212" s="28"/>
      <c r="M212" s="36"/>
      <c r="N212" s="30"/>
    </row>
    <row r="213" ht="15.75" customHeight="1">
      <c r="A213" s="18"/>
      <c r="B213" s="19"/>
      <c r="C213" s="20"/>
      <c r="D213" s="20"/>
      <c r="E213" s="21"/>
      <c r="F213" s="21"/>
      <c r="G213" s="32"/>
      <c r="H213" s="33"/>
      <c r="I213" s="34"/>
      <c r="J213" s="35"/>
      <c r="K213" s="33"/>
      <c r="L213" s="28"/>
      <c r="M213" s="36"/>
      <c r="N213" s="30"/>
    </row>
    <row r="214" ht="15.75" customHeight="1">
      <c r="A214" s="18"/>
      <c r="B214" s="19"/>
      <c r="C214" s="20"/>
      <c r="D214" s="20"/>
      <c r="E214" s="21"/>
      <c r="F214" s="21"/>
      <c r="G214" s="32"/>
      <c r="H214" s="33"/>
      <c r="I214" s="34"/>
      <c r="J214" s="35"/>
      <c r="K214" s="33"/>
      <c r="L214" s="28"/>
      <c r="M214" s="36"/>
      <c r="N214" s="30"/>
    </row>
    <row r="215" ht="15.75" customHeight="1">
      <c r="A215" s="18"/>
      <c r="B215" s="19"/>
      <c r="C215" s="20"/>
      <c r="D215" s="20"/>
      <c r="E215" s="21"/>
      <c r="F215" s="21"/>
      <c r="G215" s="32"/>
      <c r="H215" s="33"/>
      <c r="I215" s="34"/>
      <c r="J215" s="35"/>
      <c r="K215" s="33"/>
      <c r="L215" s="28"/>
      <c r="M215" s="36"/>
      <c r="N215" s="30"/>
    </row>
    <row r="216" ht="15.75" customHeight="1">
      <c r="A216" s="18"/>
      <c r="B216" s="19"/>
      <c r="C216" s="20"/>
      <c r="D216" s="40"/>
      <c r="E216" s="21"/>
      <c r="F216" s="21"/>
      <c r="G216" s="32"/>
      <c r="H216" s="33"/>
      <c r="I216" s="34"/>
      <c r="J216" s="35"/>
      <c r="K216" s="33"/>
      <c r="L216" s="28"/>
      <c r="M216" s="36"/>
      <c r="N216" s="30"/>
    </row>
    <row r="217" ht="15.75" customHeight="1">
      <c r="A217" s="18"/>
      <c r="B217" s="19"/>
      <c r="C217" s="20"/>
      <c r="D217" s="40"/>
      <c r="E217" s="21"/>
      <c r="F217" s="21"/>
      <c r="G217" s="32"/>
      <c r="H217" s="33"/>
      <c r="I217" s="34"/>
      <c r="J217" s="35"/>
      <c r="K217" s="33"/>
      <c r="L217" s="28"/>
      <c r="M217" s="36"/>
      <c r="N217" s="30"/>
    </row>
    <row r="218" ht="15.75" customHeight="1">
      <c r="A218" s="18"/>
      <c r="B218" s="19"/>
      <c r="C218" s="20"/>
      <c r="D218" s="40"/>
      <c r="E218" s="21"/>
      <c r="F218" s="21"/>
      <c r="G218" s="32"/>
      <c r="H218" s="33"/>
      <c r="I218" s="34"/>
      <c r="J218" s="35"/>
      <c r="K218" s="33"/>
      <c r="L218" s="28"/>
      <c r="M218" s="36"/>
      <c r="N218" s="30"/>
    </row>
    <row r="219" ht="15.75" customHeight="1">
      <c r="A219" s="18"/>
      <c r="B219" s="19"/>
      <c r="C219" s="20"/>
      <c r="D219" s="40"/>
      <c r="E219" s="21"/>
      <c r="F219" s="21"/>
      <c r="G219" s="32"/>
      <c r="H219" s="33"/>
      <c r="I219" s="34"/>
      <c r="J219" s="35"/>
      <c r="K219" s="33"/>
      <c r="L219" s="28"/>
      <c r="M219" s="36"/>
      <c r="N219" s="30"/>
    </row>
    <row r="220" ht="15.75" customHeight="1">
      <c r="A220" s="18"/>
      <c r="B220" s="19"/>
      <c r="C220" s="20"/>
      <c r="D220" s="40"/>
      <c r="E220" s="21"/>
      <c r="F220" s="21"/>
      <c r="G220" s="32"/>
      <c r="H220" s="33"/>
      <c r="I220" s="34"/>
      <c r="J220" s="35"/>
      <c r="K220" s="33"/>
      <c r="L220" s="28"/>
      <c r="M220" s="36"/>
      <c r="N220" s="30"/>
    </row>
    <row r="221" ht="15.75" customHeight="1">
      <c r="A221" s="18"/>
      <c r="B221" s="19"/>
      <c r="C221" s="20"/>
      <c r="D221" s="43"/>
      <c r="E221" s="21"/>
      <c r="F221" s="21"/>
      <c r="G221" s="32"/>
      <c r="H221" s="33"/>
      <c r="I221" s="34"/>
      <c r="J221" s="35"/>
      <c r="K221" s="33"/>
      <c r="L221" s="28"/>
      <c r="M221" s="36"/>
      <c r="N221" s="30"/>
    </row>
    <row r="222" ht="15.75" customHeight="1">
      <c r="A222" s="18"/>
      <c r="B222" s="19"/>
      <c r="C222" s="20"/>
      <c r="D222" s="40"/>
      <c r="E222" s="21"/>
      <c r="F222" s="21"/>
      <c r="G222" s="32"/>
      <c r="H222" s="33"/>
      <c r="I222" s="34"/>
      <c r="J222" s="35"/>
      <c r="K222" s="33"/>
      <c r="L222" s="28"/>
      <c r="M222" s="36"/>
      <c r="N222" s="30"/>
    </row>
    <row r="223" ht="15.75" customHeight="1">
      <c r="A223" s="18"/>
      <c r="B223" s="19"/>
      <c r="C223" s="20"/>
      <c r="D223" s="40"/>
      <c r="E223" s="21"/>
      <c r="F223" s="21"/>
      <c r="G223" s="32"/>
      <c r="H223" s="33"/>
      <c r="I223" s="34"/>
      <c r="J223" s="35"/>
      <c r="K223" s="33"/>
      <c r="L223" s="28"/>
      <c r="M223" s="36"/>
      <c r="N223" s="30"/>
    </row>
    <row r="224" ht="15.75" customHeight="1">
      <c r="A224" s="18"/>
      <c r="B224" s="19"/>
      <c r="C224" s="20"/>
      <c r="D224" s="40"/>
      <c r="E224" s="21"/>
      <c r="F224" s="21"/>
      <c r="G224" s="32"/>
      <c r="H224" s="33"/>
      <c r="I224" s="34"/>
      <c r="J224" s="35"/>
      <c r="K224" s="33"/>
      <c r="L224" s="28"/>
      <c r="M224" s="36"/>
      <c r="N224" s="30"/>
    </row>
    <row r="225" ht="15.75" customHeight="1">
      <c r="A225" s="18"/>
      <c r="B225" s="19"/>
      <c r="C225" s="20"/>
      <c r="D225" s="40"/>
      <c r="E225" s="21"/>
      <c r="F225" s="21"/>
      <c r="G225" s="32"/>
      <c r="H225" s="33"/>
      <c r="I225" s="34"/>
      <c r="J225" s="35"/>
      <c r="K225" s="33"/>
      <c r="L225" s="28"/>
      <c r="M225" s="36"/>
      <c r="N225" s="30"/>
    </row>
    <row r="226" ht="15.75" customHeight="1">
      <c r="A226" s="18"/>
      <c r="B226" s="19"/>
      <c r="C226" s="20"/>
      <c r="D226" s="40"/>
      <c r="E226" s="21"/>
      <c r="F226" s="21"/>
      <c r="G226" s="32"/>
      <c r="H226" s="33"/>
      <c r="I226" s="34"/>
      <c r="J226" s="35"/>
      <c r="K226" s="33"/>
      <c r="L226" s="28"/>
      <c r="M226" s="36"/>
      <c r="N226" s="30"/>
    </row>
    <row r="227" ht="15.75" customHeight="1">
      <c r="A227" s="18"/>
      <c r="B227" s="19"/>
      <c r="C227" s="20"/>
      <c r="D227" s="40"/>
      <c r="E227" s="21"/>
      <c r="F227" s="21"/>
      <c r="G227" s="32"/>
      <c r="H227" s="33"/>
      <c r="I227" s="34"/>
      <c r="J227" s="35"/>
      <c r="K227" s="33"/>
      <c r="L227" s="28"/>
      <c r="M227" s="36"/>
      <c r="N227" s="30"/>
    </row>
    <row r="228" ht="15.75" customHeight="1">
      <c r="A228" s="18"/>
      <c r="B228" s="19"/>
      <c r="C228" s="20"/>
      <c r="D228" s="40"/>
      <c r="E228" s="21"/>
      <c r="F228" s="21"/>
      <c r="G228" s="32"/>
      <c r="H228" s="33"/>
      <c r="I228" s="34"/>
      <c r="J228" s="35"/>
      <c r="K228" s="33"/>
      <c r="L228" s="28"/>
      <c r="M228" s="36"/>
      <c r="N228" s="30"/>
    </row>
    <row r="229" ht="15.75" customHeight="1">
      <c r="A229" s="18"/>
      <c r="B229" s="19"/>
      <c r="C229" s="20"/>
      <c r="D229" s="40"/>
      <c r="E229" s="21"/>
      <c r="F229" s="21"/>
      <c r="G229" s="32"/>
      <c r="H229" s="33"/>
      <c r="I229" s="34"/>
      <c r="J229" s="35"/>
      <c r="K229" s="33"/>
      <c r="L229" s="28"/>
      <c r="M229" s="36"/>
      <c r="N229" s="30"/>
    </row>
    <row r="230" ht="15.75" customHeight="1">
      <c r="A230" s="18"/>
      <c r="B230" s="19"/>
      <c r="C230" s="20"/>
      <c r="D230" s="40"/>
      <c r="E230" s="21"/>
      <c r="F230" s="21"/>
      <c r="G230" s="32"/>
      <c r="H230" s="33"/>
      <c r="I230" s="34"/>
      <c r="J230" s="35"/>
      <c r="K230" s="33"/>
      <c r="L230" s="28"/>
      <c r="M230" s="36"/>
      <c r="N230" s="30"/>
    </row>
    <row r="231" ht="15.75" customHeight="1">
      <c r="A231" s="18"/>
      <c r="B231" s="19"/>
      <c r="C231" s="20"/>
      <c r="D231" s="40"/>
      <c r="E231" s="21"/>
      <c r="F231" s="21"/>
      <c r="G231" s="32"/>
      <c r="H231" s="33"/>
      <c r="I231" s="34"/>
      <c r="J231" s="35"/>
      <c r="K231" s="33"/>
      <c r="L231" s="28"/>
      <c r="M231" s="36"/>
      <c r="N231" s="30"/>
    </row>
    <row r="232" ht="15.75" customHeight="1">
      <c r="A232" s="18"/>
      <c r="B232" s="19"/>
      <c r="C232" s="20"/>
      <c r="D232" s="20"/>
      <c r="E232" s="21"/>
      <c r="F232" s="21"/>
      <c r="G232" s="32"/>
      <c r="H232" s="33"/>
      <c r="I232" s="34"/>
      <c r="J232" s="35"/>
      <c r="K232" s="33"/>
      <c r="L232" s="28"/>
      <c r="M232" s="36"/>
      <c r="N232" s="30"/>
    </row>
    <row r="233" ht="15.75" customHeight="1">
      <c r="A233" s="18"/>
      <c r="B233" s="19"/>
      <c r="C233" s="20"/>
      <c r="D233" s="20"/>
      <c r="E233" s="21"/>
      <c r="F233" s="21"/>
      <c r="G233" s="32"/>
      <c r="H233" s="33"/>
      <c r="I233" s="34"/>
      <c r="J233" s="35"/>
      <c r="K233" s="33"/>
      <c r="L233" s="28"/>
      <c r="M233" s="36"/>
      <c r="N233" s="30"/>
    </row>
    <row r="234" ht="15.75" customHeight="1">
      <c r="A234" s="18"/>
      <c r="B234" s="19"/>
      <c r="C234" s="20"/>
      <c r="D234" s="20"/>
      <c r="E234" s="21"/>
      <c r="F234" s="21"/>
      <c r="G234" s="32"/>
      <c r="H234" s="33"/>
      <c r="I234" s="34"/>
      <c r="J234" s="35"/>
      <c r="K234" s="33"/>
      <c r="L234" s="28"/>
      <c r="M234" s="36"/>
      <c r="N234" s="30"/>
    </row>
    <row r="235" ht="15.75" customHeight="1">
      <c r="A235" s="18"/>
      <c r="B235" s="19"/>
      <c r="C235" s="20"/>
      <c r="D235" s="40"/>
      <c r="E235" s="21"/>
      <c r="F235" s="21"/>
      <c r="G235" s="32"/>
      <c r="H235" s="33"/>
      <c r="I235" s="34"/>
      <c r="J235" s="35"/>
      <c r="K235" s="33"/>
      <c r="L235" s="28"/>
      <c r="M235" s="36"/>
      <c r="N235" s="30"/>
    </row>
    <row r="236" ht="15.75" customHeight="1">
      <c r="A236" s="18"/>
      <c r="B236" s="19"/>
      <c r="C236" s="20"/>
      <c r="D236" s="20"/>
      <c r="E236" s="21"/>
      <c r="F236" s="21"/>
      <c r="G236" s="32"/>
      <c r="H236" s="33"/>
      <c r="I236" s="34"/>
      <c r="J236" s="35"/>
      <c r="K236" s="33"/>
      <c r="L236" s="28"/>
      <c r="M236" s="36"/>
      <c r="N236" s="30"/>
    </row>
    <row r="237" ht="15.75" customHeight="1">
      <c r="E237" s="44"/>
      <c r="F237" s="44"/>
      <c r="J237" s="44"/>
    </row>
    <row r="238" ht="15.75" customHeight="1">
      <c r="E238" s="44"/>
      <c r="F238" s="44"/>
      <c r="J238" s="44"/>
    </row>
    <row r="239" ht="15.75" customHeight="1">
      <c r="E239" s="44"/>
      <c r="F239" s="44"/>
      <c r="J239" s="44"/>
    </row>
    <row r="240" ht="15.75" customHeight="1">
      <c r="E240" s="44"/>
      <c r="F240" s="44"/>
      <c r="J240" s="44"/>
    </row>
    <row r="241" ht="15.75" customHeight="1">
      <c r="E241" s="44"/>
      <c r="F241" s="44"/>
      <c r="J241" s="44"/>
    </row>
    <row r="242" ht="15.75" customHeight="1">
      <c r="E242" s="44"/>
      <c r="F242" s="44"/>
      <c r="J242" s="44"/>
    </row>
    <row r="243" ht="15.75" customHeight="1">
      <c r="E243" s="44"/>
      <c r="F243" s="44"/>
      <c r="J243" s="44"/>
    </row>
    <row r="244" ht="15.75" customHeight="1">
      <c r="E244" s="44"/>
      <c r="F244" s="44"/>
      <c r="J244" s="44"/>
    </row>
    <row r="245" ht="15.75" customHeight="1">
      <c r="E245" s="44"/>
      <c r="F245" s="44"/>
      <c r="J245" s="44"/>
    </row>
    <row r="246" ht="15.75" customHeight="1">
      <c r="E246" s="44"/>
      <c r="F246" s="44"/>
      <c r="J246" s="44"/>
    </row>
    <row r="247" ht="15.75" customHeight="1">
      <c r="E247" s="44"/>
      <c r="F247" s="44"/>
      <c r="J247" s="44"/>
    </row>
    <row r="248" ht="15.75" customHeight="1">
      <c r="E248" s="44"/>
      <c r="F248" s="44"/>
      <c r="J248" s="44"/>
    </row>
    <row r="249" ht="15.75" customHeight="1">
      <c r="E249" s="44"/>
      <c r="F249" s="44"/>
      <c r="J249" s="44"/>
    </row>
    <row r="250" ht="15.75" customHeight="1">
      <c r="E250" s="44"/>
      <c r="F250" s="44"/>
      <c r="J250" s="44"/>
    </row>
    <row r="251" ht="15.75" customHeight="1">
      <c r="E251" s="44"/>
      <c r="F251" s="44"/>
      <c r="J251" s="44"/>
    </row>
    <row r="252" ht="15.75" customHeight="1">
      <c r="E252" s="44"/>
      <c r="F252" s="44"/>
      <c r="J252" s="44"/>
    </row>
    <row r="253" ht="15.75" customHeight="1">
      <c r="E253" s="44"/>
      <c r="F253" s="44"/>
      <c r="J253" s="44"/>
    </row>
    <row r="254" ht="15.75" customHeight="1">
      <c r="E254" s="44"/>
      <c r="F254" s="44"/>
      <c r="J254" s="44"/>
    </row>
    <row r="255" ht="15.75" customHeight="1">
      <c r="E255" s="44"/>
      <c r="F255" s="44"/>
      <c r="J255" s="44"/>
    </row>
    <row r="256" ht="15.75" customHeight="1">
      <c r="E256" s="44"/>
      <c r="F256" s="44"/>
      <c r="J256" s="44"/>
    </row>
    <row r="257" ht="15.75" customHeight="1">
      <c r="E257" s="44"/>
      <c r="F257" s="44"/>
      <c r="J257" s="44"/>
    </row>
    <row r="258" ht="15.75" customHeight="1">
      <c r="E258" s="44"/>
      <c r="F258" s="44"/>
      <c r="J258" s="44"/>
    </row>
    <row r="259" ht="15.75" customHeight="1">
      <c r="E259" s="44"/>
      <c r="F259" s="44"/>
      <c r="J259" s="44"/>
    </row>
    <row r="260" ht="15.75" customHeight="1">
      <c r="E260" s="44"/>
      <c r="F260" s="44"/>
      <c r="J260" s="44"/>
    </row>
    <row r="261" ht="15.75" customHeight="1">
      <c r="E261" s="44"/>
      <c r="F261" s="44"/>
      <c r="J261" s="44"/>
    </row>
    <row r="262" ht="15.75" customHeight="1">
      <c r="E262" s="44"/>
      <c r="F262" s="44"/>
      <c r="J262" s="44"/>
    </row>
    <row r="263" ht="15.75" customHeight="1">
      <c r="E263" s="44"/>
      <c r="F263" s="44"/>
      <c r="J263" s="44"/>
    </row>
    <row r="264" ht="15.75" customHeight="1">
      <c r="E264" s="44"/>
      <c r="F264" s="44"/>
      <c r="J264" s="44"/>
    </row>
    <row r="265" ht="15.75" customHeight="1">
      <c r="E265" s="44"/>
      <c r="F265" s="44"/>
      <c r="J265" s="44"/>
    </row>
    <row r="266" ht="15.75" customHeight="1">
      <c r="E266" s="44"/>
      <c r="F266" s="44"/>
      <c r="J266" s="44"/>
    </row>
    <row r="267" ht="15.75" customHeight="1">
      <c r="E267" s="44"/>
      <c r="F267" s="44"/>
      <c r="J267" s="44"/>
    </row>
    <row r="268" ht="15.75" customHeight="1">
      <c r="E268" s="44"/>
      <c r="F268" s="44"/>
      <c r="J268" s="44"/>
    </row>
    <row r="269" ht="15.75" customHeight="1">
      <c r="E269" s="44"/>
      <c r="F269" s="44"/>
      <c r="J269" s="44"/>
    </row>
    <row r="270" ht="15.75" customHeight="1">
      <c r="E270" s="44"/>
      <c r="F270" s="44"/>
      <c r="J270" s="44"/>
    </row>
    <row r="271" ht="15.75" customHeight="1">
      <c r="E271" s="44"/>
      <c r="F271" s="44"/>
      <c r="J271" s="44"/>
    </row>
    <row r="272" ht="15.75" customHeight="1">
      <c r="E272" s="44"/>
      <c r="F272" s="44"/>
      <c r="J272" s="44"/>
    </row>
    <row r="273" ht="15.75" customHeight="1">
      <c r="E273" s="44"/>
      <c r="F273" s="44"/>
      <c r="J273" s="44"/>
    </row>
    <row r="274" ht="15.75" customHeight="1">
      <c r="E274" s="44"/>
      <c r="F274" s="44"/>
      <c r="J274" s="44"/>
    </row>
    <row r="275" ht="15.75" customHeight="1">
      <c r="E275" s="44"/>
      <c r="F275" s="44"/>
      <c r="J275" s="44"/>
    </row>
    <row r="276" ht="15.75" customHeight="1">
      <c r="E276" s="44"/>
      <c r="F276" s="44"/>
      <c r="J276" s="44"/>
    </row>
    <row r="277" ht="15.75" customHeight="1">
      <c r="E277" s="44"/>
      <c r="F277" s="44"/>
      <c r="J277" s="44"/>
    </row>
    <row r="278" ht="15.75" customHeight="1">
      <c r="E278" s="44"/>
      <c r="F278" s="44"/>
      <c r="J278" s="44"/>
    </row>
    <row r="279" ht="15.75" customHeight="1">
      <c r="E279" s="44"/>
      <c r="F279" s="44"/>
      <c r="J279" s="44"/>
    </row>
    <row r="280" ht="15.75" customHeight="1">
      <c r="E280" s="44"/>
      <c r="F280" s="44"/>
      <c r="J280" s="44"/>
    </row>
    <row r="281" ht="15.75" customHeight="1">
      <c r="E281" s="44"/>
      <c r="F281" s="44"/>
      <c r="J281" s="44"/>
    </row>
    <row r="282" ht="15.75" customHeight="1">
      <c r="E282" s="44"/>
      <c r="F282" s="44"/>
      <c r="J282" s="44"/>
    </row>
    <row r="283" ht="15.75" customHeight="1">
      <c r="E283" s="44"/>
      <c r="F283" s="44"/>
      <c r="J283" s="44"/>
    </row>
    <row r="284" ht="15.75" customHeight="1">
      <c r="E284" s="44"/>
      <c r="F284" s="44"/>
      <c r="J284" s="44"/>
    </row>
    <row r="285" ht="15.75" customHeight="1">
      <c r="E285" s="44"/>
      <c r="F285" s="44"/>
      <c r="J285" s="44"/>
    </row>
    <row r="286" ht="15.75" customHeight="1">
      <c r="E286" s="44"/>
      <c r="F286" s="44"/>
      <c r="J286" s="44"/>
    </row>
    <row r="287" ht="15.75" customHeight="1">
      <c r="E287" s="44"/>
      <c r="F287" s="44"/>
      <c r="J287" s="44"/>
    </row>
    <row r="288" ht="15.75" customHeight="1">
      <c r="E288" s="44"/>
      <c r="F288" s="44"/>
      <c r="J288" s="44"/>
    </row>
    <row r="289" ht="15.75" customHeight="1">
      <c r="E289" s="44"/>
      <c r="F289" s="44"/>
      <c r="J289" s="44"/>
    </row>
    <row r="290" ht="15.75" customHeight="1">
      <c r="E290" s="44"/>
      <c r="F290" s="44"/>
      <c r="J290" s="44"/>
    </row>
    <row r="291" ht="15.75" customHeight="1">
      <c r="E291" s="44"/>
      <c r="F291" s="44"/>
      <c r="J291" s="44"/>
    </row>
    <row r="292" ht="15.75" customHeight="1">
      <c r="E292" s="44"/>
      <c r="F292" s="44"/>
      <c r="J292" s="44"/>
    </row>
    <row r="293" ht="15.75" customHeight="1">
      <c r="E293" s="44"/>
      <c r="F293" s="44"/>
      <c r="J293" s="44"/>
    </row>
    <row r="294" ht="15.75" customHeight="1">
      <c r="E294" s="44"/>
      <c r="F294" s="44"/>
      <c r="J294" s="44"/>
    </row>
    <row r="295" ht="15.75" customHeight="1">
      <c r="E295" s="44"/>
      <c r="F295" s="44"/>
      <c r="J295" s="44"/>
    </row>
    <row r="296" ht="15.75" customHeight="1">
      <c r="E296" s="44"/>
      <c r="F296" s="44"/>
      <c r="J296" s="44"/>
    </row>
    <row r="297" ht="15.75" customHeight="1">
      <c r="E297" s="44"/>
      <c r="F297" s="44"/>
      <c r="J297" s="44"/>
    </row>
    <row r="298" ht="15.75" customHeight="1">
      <c r="E298" s="44"/>
      <c r="F298" s="44"/>
      <c r="J298" s="44"/>
    </row>
    <row r="299" ht="15.75" customHeight="1">
      <c r="E299" s="44"/>
      <c r="F299" s="44"/>
      <c r="J299" s="44"/>
    </row>
    <row r="300" ht="15.75" customHeight="1">
      <c r="E300" s="44"/>
      <c r="F300" s="44"/>
      <c r="J300" s="44"/>
    </row>
    <row r="301" ht="15.75" customHeight="1">
      <c r="E301" s="44"/>
      <c r="F301" s="44"/>
      <c r="J301" s="44"/>
    </row>
    <row r="302" ht="15.75" customHeight="1">
      <c r="E302" s="44"/>
      <c r="F302" s="44"/>
      <c r="J302" s="44"/>
    </row>
    <row r="303" ht="15.75" customHeight="1">
      <c r="E303" s="44"/>
      <c r="F303" s="44"/>
      <c r="J303" s="44"/>
    </row>
    <row r="304" ht="15.75" customHeight="1">
      <c r="E304" s="44"/>
      <c r="F304" s="44"/>
      <c r="J304" s="44"/>
    </row>
    <row r="305" ht="15.75" customHeight="1">
      <c r="E305" s="44"/>
      <c r="F305" s="44"/>
      <c r="J305" s="44"/>
    </row>
    <row r="306" ht="15.75" customHeight="1">
      <c r="E306" s="44"/>
      <c r="F306" s="44"/>
      <c r="J306" s="44"/>
    </row>
    <row r="307" ht="15.75" customHeight="1">
      <c r="E307" s="44"/>
      <c r="F307" s="44"/>
      <c r="J307" s="44"/>
    </row>
    <row r="308" ht="15.75" customHeight="1">
      <c r="E308" s="44"/>
      <c r="F308" s="44"/>
      <c r="J308" s="44"/>
    </row>
    <row r="309" ht="15.75" customHeight="1">
      <c r="E309" s="44"/>
      <c r="F309" s="44"/>
      <c r="J309" s="44"/>
    </row>
    <row r="310" ht="15.75" customHeight="1">
      <c r="E310" s="44"/>
      <c r="F310" s="44"/>
      <c r="J310" s="44"/>
    </row>
    <row r="311" ht="15.75" customHeight="1">
      <c r="E311" s="44"/>
      <c r="F311" s="44"/>
      <c r="J311" s="44"/>
    </row>
    <row r="312" ht="15.75" customHeight="1">
      <c r="E312" s="44"/>
      <c r="F312" s="44"/>
      <c r="J312" s="44"/>
    </row>
    <row r="313" ht="15.75" customHeight="1">
      <c r="E313" s="44"/>
      <c r="F313" s="44"/>
      <c r="J313" s="44"/>
    </row>
    <row r="314" ht="15.75" customHeight="1">
      <c r="E314" s="44"/>
      <c r="F314" s="44"/>
      <c r="J314" s="44"/>
    </row>
    <row r="315" ht="15.75" customHeight="1">
      <c r="E315" s="44"/>
      <c r="F315" s="44"/>
      <c r="J315" s="44"/>
    </row>
    <row r="316" ht="15.75" customHeight="1">
      <c r="E316" s="44"/>
      <c r="F316" s="44"/>
      <c r="J316" s="44"/>
    </row>
    <row r="317" ht="15.75" customHeight="1">
      <c r="E317" s="44"/>
      <c r="F317" s="44"/>
      <c r="J317" s="44"/>
    </row>
    <row r="318" ht="15.75" customHeight="1">
      <c r="E318" s="44"/>
      <c r="F318" s="44"/>
      <c r="J318" s="44"/>
    </row>
    <row r="319" ht="15.75" customHeight="1">
      <c r="E319" s="44"/>
      <c r="F319" s="44"/>
      <c r="J319" s="44"/>
    </row>
    <row r="320" ht="15.75" customHeight="1">
      <c r="E320" s="44"/>
      <c r="F320" s="44"/>
      <c r="J320" s="44"/>
    </row>
    <row r="321" ht="15.75" customHeight="1">
      <c r="E321" s="44"/>
      <c r="F321" s="44"/>
      <c r="J321" s="44"/>
    </row>
    <row r="322" ht="15.75" customHeight="1">
      <c r="E322" s="44"/>
      <c r="F322" s="44"/>
      <c r="J322" s="44"/>
    </row>
    <row r="323" ht="15.75" customHeight="1">
      <c r="E323" s="44"/>
      <c r="F323" s="44"/>
      <c r="J323" s="44"/>
    </row>
    <row r="324" ht="15.75" customHeight="1">
      <c r="E324" s="44"/>
      <c r="F324" s="44"/>
      <c r="J324" s="44"/>
    </row>
    <row r="325" ht="15.75" customHeight="1">
      <c r="E325" s="44"/>
      <c r="F325" s="44"/>
      <c r="J325" s="44"/>
    </row>
    <row r="326" ht="15.75" customHeight="1">
      <c r="E326" s="44"/>
      <c r="F326" s="44"/>
      <c r="J326" s="44"/>
    </row>
    <row r="327" ht="15.75" customHeight="1">
      <c r="E327" s="44"/>
      <c r="F327" s="44"/>
      <c r="J327" s="44"/>
    </row>
    <row r="328" ht="15.75" customHeight="1">
      <c r="E328" s="44"/>
      <c r="F328" s="44"/>
      <c r="J328" s="44"/>
    </row>
    <row r="329" ht="15.75" customHeight="1">
      <c r="E329" s="44"/>
      <c r="F329" s="44"/>
      <c r="J329" s="44"/>
    </row>
    <row r="330" ht="15.75" customHeight="1">
      <c r="E330" s="44"/>
      <c r="F330" s="44"/>
      <c r="J330" s="44"/>
    </row>
    <row r="331" ht="15.75" customHeight="1">
      <c r="E331" s="44"/>
      <c r="F331" s="44"/>
      <c r="J331" s="44"/>
    </row>
    <row r="332" ht="15.75" customHeight="1">
      <c r="E332" s="44"/>
      <c r="F332" s="44"/>
      <c r="J332" s="44"/>
    </row>
    <row r="333" ht="15.75" customHeight="1">
      <c r="E333" s="44"/>
      <c r="F333" s="44"/>
      <c r="J333" s="44"/>
    </row>
    <row r="334" ht="15.75" customHeight="1">
      <c r="E334" s="44"/>
      <c r="F334" s="44"/>
      <c r="J334" s="44"/>
    </row>
    <row r="335" ht="15.75" customHeight="1">
      <c r="E335" s="44"/>
      <c r="F335" s="44"/>
      <c r="J335" s="44"/>
    </row>
    <row r="336" ht="15.75" customHeight="1">
      <c r="E336" s="44"/>
      <c r="F336" s="44"/>
      <c r="J336" s="44"/>
    </row>
    <row r="337" ht="15.75" customHeight="1">
      <c r="E337" s="44"/>
      <c r="F337" s="44"/>
      <c r="J337" s="44"/>
    </row>
    <row r="338" ht="15.75" customHeight="1">
      <c r="E338" s="44"/>
      <c r="F338" s="44"/>
      <c r="J338" s="44"/>
    </row>
    <row r="339" ht="15.75" customHeight="1">
      <c r="E339" s="44"/>
      <c r="F339" s="44"/>
      <c r="J339" s="44"/>
    </row>
    <row r="340" ht="15.75" customHeight="1">
      <c r="E340" s="44"/>
      <c r="F340" s="44"/>
      <c r="J340" s="44"/>
    </row>
    <row r="341" ht="15.75" customHeight="1">
      <c r="E341" s="44"/>
      <c r="F341" s="44"/>
      <c r="J341" s="44"/>
    </row>
    <row r="342" ht="15.75" customHeight="1">
      <c r="E342" s="44"/>
      <c r="F342" s="44"/>
      <c r="J342" s="44"/>
    </row>
    <row r="343" ht="15.75" customHeight="1">
      <c r="E343" s="44"/>
      <c r="F343" s="44"/>
      <c r="J343" s="44"/>
    </row>
    <row r="344" ht="15.75" customHeight="1">
      <c r="E344" s="44"/>
      <c r="F344" s="44"/>
      <c r="J344" s="44"/>
    </row>
    <row r="345" ht="15.75" customHeight="1">
      <c r="E345" s="44"/>
      <c r="F345" s="44"/>
      <c r="J345" s="44"/>
    </row>
    <row r="346" ht="15.75" customHeight="1">
      <c r="E346" s="44"/>
      <c r="F346" s="44"/>
      <c r="J346" s="44"/>
    </row>
    <row r="347" ht="15.75" customHeight="1">
      <c r="E347" s="44"/>
      <c r="F347" s="44"/>
      <c r="J347" s="44"/>
    </row>
    <row r="348" ht="15.75" customHeight="1">
      <c r="E348" s="44"/>
      <c r="F348" s="44"/>
      <c r="J348" s="44"/>
    </row>
    <row r="349" ht="15.75" customHeight="1">
      <c r="E349" s="44"/>
      <c r="F349" s="44"/>
      <c r="J349" s="44"/>
    </row>
    <row r="350" ht="15.75" customHeight="1">
      <c r="E350" s="44"/>
      <c r="F350" s="44"/>
      <c r="J350" s="44"/>
    </row>
    <row r="351" ht="15.75" customHeight="1">
      <c r="E351" s="44"/>
      <c r="F351" s="44"/>
      <c r="J351" s="44"/>
    </row>
    <row r="352" ht="15.75" customHeight="1">
      <c r="E352" s="44"/>
      <c r="F352" s="44"/>
      <c r="J352" s="44"/>
    </row>
    <row r="353" ht="15.75" customHeight="1">
      <c r="E353" s="44"/>
      <c r="F353" s="44"/>
      <c r="J353" s="44"/>
    </row>
    <row r="354" ht="15.75" customHeight="1">
      <c r="E354" s="44"/>
      <c r="F354" s="44"/>
      <c r="J354" s="44"/>
    </row>
    <row r="355" ht="15.75" customHeight="1">
      <c r="E355" s="44"/>
      <c r="F355" s="44"/>
      <c r="J355" s="44"/>
    </row>
    <row r="356" ht="15.75" customHeight="1">
      <c r="E356" s="44"/>
      <c r="F356" s="44"/>
      <c r="J356" s="44"/>
    </row>
    <row r="357" ht="15.75" customHeight="1">
      <c r="E357" s="44"/>
      <c r="F357" s="44"/>
      <c r="J357" s="44"/>
    </row>
    <row r="358" ht="15.75" customHeight="1">
      <c r="E358" s="44"/>
      <c r="F358" s="44"/>
      <c r="J358" s="44"/>
    </row>
    <row r="359" ht="15.75" customHeight="1">
      <c r="E359" s="44"/>
      <c r="F359" s="44"/>
      <c r="J359" s="44"/>
    </row>
    <row r="360" ht="15.75" customHeight="1">
      <c r="E360" s="44"/>
      <c r="F360" s="44"/>
      <c r="J360" s="44"/>
    </row>
    <row r="361" ht="15.75" customHeight="1">
      <c r="E361" s="44"/>
      <c r="F361" s="44"/>
      <c r="J361" s="44"/>
    </row>
    <row r="362" ht="15.75" customHeight="1">
      <c r="E362" s="44"/>
      <c r="F362" s="44"/>
      <c r="J362" s="44"/>
    </row>
    <row r="363" ht="15.75" customHeight="1">
      <c r="E363" s="44"/>
      <c r="F363" s="44"/>
      <c r="J363" s="44"/>
    </row>
    <row r="364" ht="15.75" customHeight="1">
      <c r="E364" s="44"/>
      <c r="F364" s="44"/>
      <c r="J364" s="44"/>
    </row>
    <row r="365" ht="15.75" customHeight="1">
      <c r="E365" s="44"/>
      <c r="F365" s="44"/>
      <c r="J365" s="44"/>
    </row>
    <row r="366" ht="15.75" customHeight="1">
      <c r="E366" s="44"/>
      <c r="F366" s="44"/>
      <c r="J366" s="44"/>
    </row>
    <row r="367" ht="15.75" customHeight="1">
      <c r="E367" s="44"/>
      <c r="F367" s="44"/>
      <c r="J367" s="44"/>
    </row>
    <row r="368" ht="15.75" customHeight="1">
      <c r="E368" s="44"/>
      <c r="F368" s="44"/>
      <c r="J368" s="44"/>
    </row>
    <row r="369" ht="15.75" customHeight="1">
      <c r="E369" s="44"/>
      <c r="F369" s="44"/>
      <c r="J369" s="44"/>
    </row>
    <row r="370" ht="15.75" customHeight="1">
      <c r="E370" s="44"/>
      <c r="F370" s="44"/>
      <c r="J370" s="44"/>
    </row>
    <row r="371" ht="15.75" customHeight="1">
      <c r="E371" s="44"/>
      <c r="F371" s="44"/>
      <c r="J371" s="44"/>
    </row>
    <row r="372" ht="15.75" customHeight="1">
      <c r="E372" s="44"/>
      <c r="F372" s="44"/>
      <c r="J372" s="44"/>
    </row>
    <row r="373" ht="15.75" customHeight="1">
      <c r="E373" s="44"/>
      <c r="F373" s="44"/>
      <c r="J373" s="44"/>
    </row>
    <row r="374" ht="15.75" customHeight="1">
      <c r="E374" s="44"/>
      <c r="F374" s="44"/>
      <c r="J374" s="44"/>
    </row>
    <row r="375" ht="15.75" customHeight="1">
      <c r="E375" s="44"/>
      <c r="F375" s="44"/>
      <c r="J375" s="44"/>
    </row>
    <row r="376" ht="15.75" customHeight="1">
      <c r="E376" s="44"/>
      <c r="F376" s="44"/>
      <c r="J376" s="44"/>
    </row>
    <row r="377" ht="15.75" customHeight="1">
      <c r="E377" s="44"/>
      <c r="F377" s="44"/>
      <c r="J377" s="44"/>
    </row>
    <row r="378" ht="15.75" customHeight="1">
      <c r="E378" s="44"/>
      <c r="F378" s="44"/>
      <c r="J378" s="44"/>
    </row>
    <row r="379" ht="15.75" customHeight="1">
      <c r="E379" s="44"/>
      <c r="F379" s="44"/>
      <c r="J379" s="44"/>
    </row>
    <row r="380" ht="15.75" customHeight="1">
      <c r="E380" s="44"/>
      <c r="F380" s="44"/>
      <c r="J380" s="44"/>
    </row>
    <row r="381" ht="15.75" customHeight="1">
      <c r="E381" s="44"/>
      <c r="F381" s="44"/>
      <c r="J381" s="44"/>
    </row>
    <row r="382" ht="15.75" customHeight="1">
      <c r="E382" s="44"/>
      <c r="F382" s="44"/>
      <c r="J382" s="44"/>
    </row>
    <row r="383" ht="15.75" customHeight="1">
      <c r="E383" s="44"/>
      <c r="F383" s="44"/>
      <c r="J383" s="44"/>
    </row>
    <row r="384" ht="15.75" customHeight="1">
      <c r="E384" s="44"/>
      <c r="F384" s="44"/>
      <c r="J384" s="44"/>
    </row>
    <row r="385" ht="15.75" customHeight="1">
      <c r="E385" s="44"/>
      <c r="F385" s="44"/>
      <c r="J385" s="44"/>
    </row>
    <row r="386" ht="15.75" customHeight="1">
      <c r="E386" s="44"/>
      <c r="F386" s="44"/>
      <c r="J386" s="44"/>
    </row>
    <row r="387" ht="15.75" customHeight="1">
      <c r="E387" s="44"/>
      <c r="F387" s="44"/>
      <c r="J387" s="44"/>
    </row>
    <row r="388" ht="15.75" customHeight="1">
      <c r="E388" s="44"/>
      <c r="F388" s="44"/>
      <c r="J388" s="44"/>
    </row>
    <row r="389" ht="15.75" customHeight="1">
      <c r="E389" s="44"/>
      <c r="F389" s="44"/>
      <c r="J389" s="44"/>
    </row>
    <row r="390" ht="15.75" customHeight="1">
      <c r="E390" s="44"/>
      <c r="F390" s="44"/>
      <c r="J390" s="44"/>
    </row>
    <row r="391" ht="15.75" customHeight="1">
      <c r="E391" s="44"/>
      <c r="F391" s="44"/>
      <c r="J391" s="44"/>
    </row>
    <row r="392" ht="15.75" customHeight="1">
      <c r="E392" s="44"/>
      <c r="F392" s="44"/>
      <c r="J392" s="44"/>
    </row>
    <row r="393" ht="15.75" customHeight="1">
      <c r="E393" s="44"/>
      <c r="F393" s="44"/>
      <c r="J393" s="44"/>
    </row>
    <row r="394" ht="15.75" customHeight="1">
      <c r="E394" s="44"/>
      <c r="F394" s="44"/>
      <c r="J394" s="44"/>
    </row>
    <row r="395" ht="15.75" customHeight="1">
      <c r="E395" s="44"/>
      <c r="F395" s="44"/>
      <c r="J395" s="44"/>
    </row>
    <row r="396" ht="15.75" customHeight="1">
      <c r="E396" s="44"/>
      <c r="F396" s="44"/>
      <c r="J396" s="44"/>
    </row>
    <row r="397" ht="15.75" customHeight="1">
      <c r="E397" s="44"/>
      <c r="F397" s="44"/>
      <c r="J397" s="44"/>
    </row>
    <row r="398" ht="15.75" customHeight="1">
      <c r="E398" s="44"/>
      <c r="F398" s="44"/>
      <c r="J398" s="44"/>
    </row>
    <row r="399" ht="15.75" customHeight="1">
      <c r="E399" s="44"/>
      <c r="F399" s="44"/>
      <c r="J399" s="44"/>
    </row>
    <row r="400" ht="15.75" customHeight="1">
      <c r="E400" s="44"/>
      <c r="F400" s="44"/>
      <c r="J400" s="44"/>
    </row>
    <row r="401" ht="15.75" customHeight="1">
      <c r="E401" s="44"/>
      <c r="F401" s="44"/>
      <c r="J401" s="44"/>
    </row>
    <row r="402" ht="15.75" customHeight="1">
      <c r="E402" s="44"/>
      <c r="F402" s="44"/>
      <c r="J402" s="44"/>
    </row>
    <row r="403" ht="15.75" customHeight="1">
      <c r="E403" s="44"/>
      <c r="F403" s="44"/>
      <c r="J403" s="44"/>
    </row>
    <row r="404" ht="15.75" customHeight="1">
      <c r="E404" s="44"/>
      <c r="F404" s="44"/>
      <c r="J404" s="44"/>
    </row>
    <row r="405" ht="15.75" customHeight="1">
      <c r="E405" s="44"/>
      <c r="F405" s="44"/>
      <c r="J405" s="44"/>
    </row>
    <row r="406" ht="15.75" customHeight="1">
      <c r="E406" s="44"/>
      <c r="F406" s="44"/>
      <c r="J406" s="44"/>
    </row>
    <row r="407" ht="15.75" customHeight="1">
      <c r="E407" s="44"/>
      <c r="F407" s="44"/>
      <c r="J407" s="44"/>
    </row>
    <row r="408" ht="15.75" customHeight="1">
      <c r="E408" s="44"/>
      <c r="F408" s="44"/>
      <c r="J408" s="44"/>
    </row>
    <row r="409" ht="15.75" customHeight="1">
      <c r="E409" s="44"/>
      <c r="F409" s="44"/>
      <c r="J409" s="44"/>
    </row>
    <row r="410" ht="15.75" customHeight="1">
      <c r="E410" s="44"/>
      <c r="F410" s="44"/>
      <c r="J410" s="44"/>
    </row>
    <row r="411" ht="15.75" customHeight="1">
      <c r="E411" s="44"/>
      <c r="F411" s="44"/>
      <c r="J411" s="44"/>
    </row>
    <row r="412" ht="15.75" customHeight="1">
      <c r="E412" s="44"/>
      <c r="F412" s="44"/>
      <c r="J412" s="44"/>
    </row>
    <row r="413" ht="15.75" customHeight="1">
      <c r="E413" s="44"/>
      <c r="F413" s="44"/>
      <c r="J413" s="44"/>
    </row>
    <row r="414" ht="15.75" customHeight="1">
      <c r="E414" s="44"/>
      <c r="F414" s="44"/>
      <c r="J414" s="44"/>
    </row>
    <row r="415" ht="15.75" customHeight="1">
      <c r="E415" s="44"/>
      <c r="F415" s="44"/>
      <c r="J415" s="44"/>
    </row>
    <row r="416" ht="15.75" customHeight="1">
      <c r="E416" s="44"/>
      <c r="F416" s="44"/>
      <c r="J416" s="44"/>
    </row>
    <row r="417" ht="15.75" customHeight="1">
      <c r="E417" s="44"/>
      <c r="F417" s="44"/>
      <c r="J417" s="44"/>
    </row>
    <row r="418" ht="15.75" customHeight="1">
      <c r="E418" s="44"/>
      <c r="F418" s="44"/>
      <c r="J418" s="44"/>
    </row>
    <row r="419" ht="15.75" customHeight="1">
      <c r="E419" s="44"/>
      <c r="F419" s="44"/>
      <c r="J419" s="44"/>
    </row>
    <row r="420" ht="15.75" customHeight="1">
      <c r="E420" s="44"/>
      <c r="F420" s="44"/>
      <c r="J420" s="44"/>
    </row>
    <row r="421" ht="15.75" customHeight="1">
      <c r="E421" s="44"/>
      <c r="F421" s="44"/>
      <c r="J421" s="44"/>
    </row>
    <row r="422" ht="15.75" customHeight="1">
      <c r="E422" s="44"/>
      <c r="F422" s="44"/>
      <c r="J422" s="44"/>
    </row>
    <row r="423" ht="15.75" customHeight="1">
      <c r="E423" s="44"/>
      <c r="F423" s="44"/>
      <c r="J423" s="44"/>
    </row>
    <row r="424" ht="15.75" customHeight="1">
      <c r="E424" s="44"/>
      <c r="F424" s="44"/>
      <c r="J424" s="44"/>
    </row>
    <row r="425" ht="15.75" customHeight="1">
      <c r="E425" s="44"/>
      <c r="F425" s="44"/>
      <c r="J425" s="44"/>
    </row>
    <row r="426" ht="15.75" customHeight="1">
      <c r="E426" s="44"/>
      <c r="F426" s="44"/>
      <c r="J426" s="44"/>
    </row>
    <row r="427" ht="15.75" customHeight="1">
      <c r="E427" s="44"/>
      <c r="F427" s="44"/>
      <c r="J427" s="44"/>
    </row>
    <row r="428" ht="15.75" customHeight="1">
      <c r="E428" s="44"/>
      <c r="F428" s="44"/>
      <c r="J428" s="44"/>
    </row>
    <row r="429" ht="15.75" customHeight="1">
      <c r="E429" s="44"/>
      <c r="F429" s="44"/>
      <c r="J429" s="44"/>
    </row>
    <row r="430" ht="15.75" customHeight="1">
      <c r="E430" s="44"/>
      <c r="F430" s="44"/>
      <c r="J430" s="44"/>
    </row>
    <row r="431" ht="15.75" customHeight="1">
      <c r="E431" s="44"/>
      <c r="F431" s="44"/>
      <c r="J431" s="44"/>
    </row>
    <row r="432" ht="15.75" customHeight="1">
      <c r="E432" s="44"/>
      <c r="F432" s="44"/>
      <c r="J432" s="44"/>
    </row>
    <row r="433" ht="15.75" customHeight="1">
      <c r="E433" s="44"/>
      <c r="F433" s="44"/>
      <c r="J433" s="44"/>
    </row>
    <row r="434" ht="15.75" customHeight="1">
      <c r="E434" s="44"/>
      <c r="F434" s="44"/>
      <c r="J434" s="44"/>
    </row>
    <row r="435" ht="15.75" customHeight="1">
      <c r="E435" s="44"/>
      <c r="F435" s="44"/>
      <c r="J435" s="44"/>
    </row>
    <row r="436" ht="15.75" customHeight="1">
      <c r="E436" s="44"/>
      <c r="F436" s="44"/>
      <c r="J436" s="44"/>
    </row>
    <row r="437" ht="15.75" customHeight="1">
      <c r="E437" s="44"/>
      <c r="F437" s="44"/>
      <c r="J437" s="44"/>
    </row>
    <row r="438" ht="15.75" customHeight="1">
      <c r="E438" s="44"/>
      <c r="F438" s="44"/>
      <c r="J438" s="44"/>
    </row>
    <row r="439" ht="15.75" customHeight="1">
      <c r="E439" s="44"/>
      <c r="F439" s="44"/>
      <c r="J439" s="44"/>
    </row>
    <row r="440" ht="15.75" customHeight="1">
      <c r="E440" s="44"/>
      <c r="F440" s="44"/>
      <c r="J440" s="44"/>
    </row>
    <row r="441" ht="15.75" customHeight="1">
      <c r="E441" s="44"/>
      <c r="F441" s="44"/>
      <c r="J441" s="44"/>
    </row>
    <row r="442" ht="15.75" customHeight="1">
      <c r="E442" s="44"/>
      <c r="F442" s="44"/>
      <c r="J442" s="44"/>
    </row>
    <row r="443" ht="15.75" customHeight="1">
      <c r="E443" s="44"/>
      <c r="F443" s="44"/>
      <c r="J443" s="44"/>
    </row>
    <row r="444" ht="15.75" customHeight="1">
      <c r="E444" s="44"/>
      <c r="F444" s="44"/>
      <c r="J444" s="44"/>
    </row>
    <row r="445" ht="15.75" customHeight="1">
      <c r="E445" s="44"/>
      <c r="F445" s="44"/>
      <c r="J445" s="44"/>
    </row>
    <row r="446" ht="15.75" customHeight="1">
      <c r="E446" s="44"/>
      <c r="F446" s="44"/>
      <c r="J446" s="44"/>
    </row>
    <row r="447" ht="15.75" customHeight="1">
      <c r="E447" s="44"/>
      <c r="F447" s="44"/>
      <c r="J447" s="44"/>
    </row>
    <row r="448" ht="15.75" customHeight="1">
      <c r="E448" s="44"/>
      <c r="F448" s="44"/>
      <c r="J448" s="44"/>
    </row>
    <row r="449" ht="15.75" customHeight="1">
      <c r="E449" s="44"/>
      <c r="F449" s="44"/>
      <c r="J449" s="44"/>
    </row>
    <row r="450" ht="15.75" customHeight="1">
      <c r="E450" s="44"/>
      <c r="F450" s="44"/>
      <c r="J450" s="44"/>
    </row>
    <row r="451" ht="15.75" customHeight="1">
      <c r="E451" s="44"/>
      <c r="F451" s="44"/>
      <c r="J451" s="44"/>
    </row>
    <row r="452" ht="15.75" customHeight="1">
      <c r="E452" s="44"/>
      <c r="F452" s="44"/>
      <c r="J452" s="44"/>
    </row>
    <row r="453" ht="15.75" customHeight="1">
      <c r="E453" s="44"/>
      <c r="F453" s="44"/>
      <c r="J453" s="44"/>
    </row>
    <row r="454" ht="15.75" customHeight="1">
      <c r="E454" s="44"/>
      <c r="F454" s="44"/>
      <c r="J454" s="44"/>
    </row>
    <row r="455" ht="15.75" customHeight="1">
      <c r="E455" s="44"/>
      <c r="F455" s="44"/>
      <c r="J455" s="44"/>
    </row>
    <row r="456" ht="15.75" customHeight="1">
      <c r="E456" s="44"/>
      <c r="F456" s="44"/>
      <c r="J456" s="44"/>
    </row>
    <row r="457" ht="15.75" customHeight="1">
      <c r="E457" s="44"/>
      <c r="F457" s="44"/>
      <c r="J457" s="44"/>
    </row>
    <row r="458" ht="15.75" customHeight="1">
      <c r="E458" s="44"/>
      <c r="F458" s="44"/>
      <c r="J458" s="44"/>
    </row>
    <row r="459" ht="15.75" customHeight="1">
      <c r="E459" s="44"/>
      <c r="F459" s="44"/>
      <c r="J459" s="44"/>
    </row>
    <row r="460" ht="15.75" customHeight="1">
      <c r="E460" s="44"/>
      <c r="F460" s="44"/>
      <c r="J460" s="44"/>
    </row>
    <row r="461" ht="15.75" customHeight="1">
      <c r="E461" s="44"/>
      <c r="F461" s="44"/>
      <c r="J461" s="44"/>
    </row>
    <row r="462" ht="15.75" customHeight="1">
      <c r="E462" s="44"/>
      <c r="F462" s="44"/>
      <c r="J462" s="44"/>
    </row>
    <row r="463" ht="15.75" customHeight="1">
      <c r="E463" s="44"/>
      <c r="F463" s="44"/>
      <c r="J463" s="44"/>
    </row>
    <row r="464" ht="15.75" customHeight="1">
      <c r="E464" s="44"/>
      <c r="F464" s="44"/>
      <c r="J464" s="44"/>
    </row>
    <row r="465" ht="15.75" customHeight="1">
      <c r="E465" s="44"/>
      <c r="F465" s="44"/>
      <c r="J465" s="44"/>
    </row>
    <row r="466" ht="15.75" customHeight="1">
      <c r="E466" s="44"/>
      <c r="F466" s="44"/>
      <c r="J466" s="44"/>
    </row>
    <row r="467" ht="15.75" customHeight="1">
      <c r="E467" s="44"/>
      <c r="F467" s="44"/>
      <c r="J467" s="44"/>
    </row>
    <row r="468" ht="15.75" customHeight="1">
      <c r="E468" s="44"/>
      <c r="F468" s="44"/>
      <c r="J468" s="44"/>
    </row>
    <row r="469" ht="15.75" customHeight="1">
      <c r="E469" s="44"/>
      <c r="F469" s="44"/>
      <c r="J469" s="44"/>
    </row>
    <row r="470" ht="15.75" customHeight="1">
      <c r="E470" s="44"/>
      <c r="F470" s="44"/>
      <c r="J470" s="44"/>
    </row>
    <row r="471" ht="15.75" customHeight="1">
      <c r="E471" s="44"/>
      <c r="F471" s="44"/>
      <c r="J471" s="44"/>
    </row>
    <row r="472" ht="15.75" customHeight="1">
      <c r="E472" s="44"/>
      <c r="F472" s="44"/>
      <c r="J472" s="44"/>
    </row>
    <row r="473" ht="15.75" customHeight="1">
      <c r="E473" s="44"/>
      <c r="F473" s="44"/>
      <c r="J473" s="44"/>
    </row>
    <row r="474" ht="15.75" customHeight="1">
      <c r="E474" s="44"/>
      <c r="F474" s="44"/>
      <c r="J474" s="44"/>
    </row>
    <row r="475" ht="15.75" customHeight="1">
      <c r="E475" s="44"/>
      <c r="F475" s="44"/>
      <c r="J475" s="44"/>
    </row>
    <row r="476" ht="15.75" customHeight="1">
      <c r="E476" s="44"/>
      <c r="F476" s="44"/>
      <c r="J476" s="44"/>
    </row>
    <row r="477" ht="15.75" customHeight="1">
      <c r="E477" s="44"/>
      <c r="F477" s="44"/>
      <c r="J477" s="44"/>
    </row>
    <row r="478" ht="15.75" customHeight="1">
      <c r="E478" s="44"/>
      <c r="F478" s="44"/>
      <c r="J478" s="44"/>
    </row>
    <row r="479" ht="15.75" customHeight="1">
      <c r="E479" s="44"/>
      <c r="F479" s="44"/>
      <c r="J479" s="44"/>
    </row>
    <row r="480" ht="15.75" customHeight="1">
      <c r="E480" s="44"/>
      <c r="F480" s="44"/>
      <c r="J480" s="44"/>
    </row>
    <row r="481" ht="15.75" customHeight="1">
      <c r="E481" s="44"/>
      <c r="F481" s="44"/>
      <c r="J481" s="44"/>
    </row>
    <row r="482" ht="15.75" customHeight="1">
      <c r="E482" s="44"/>
      <c r="F482" s="44"/>
      <c r="J482" s="44"/>
    </row>
    <row r="483" ht="15.75" customHeight="1">
      <c r="E483" s="44"/>
      <c r="F483" s="44"/>
      <c r="J483" s="44"/>
    </row>
    <row r="484" ht="15.75" customHeight="1">
      <c r="E484" s="44"/>
      <c r="F484" s="44"/>
      <c r="J484" s="44"/>
    </row>
    <row r="485" ht="15.75" customHeight="1">
      <c r="E485" s="44"/>
      <c r="F485" s="44"/>
      <c r="J485" s="44"/>
    </row>
    <row r="486" ht="15.75" customHeight="1">
      <c r="E486" s="44"/>
      <c r="F486" s="44"/>
      <c r="J486" s="44"/>
    </row>
    <row r="487" ht="15.75" customHeight="1">
      <c r="E487" s="44"/>
      <c r="F487" s="44"/>
      <c r="J487" s="44"/>
    </row>
    <row r="488" ht="15.75" customHeight="1">
      <c r="E488" s="44"/>
      <c r="F488" s="44"/>
      <c r="J488" s="44"/>
    </row>
    <row r="489" ht="15.75" customHeight="1">
      <c r="E489" s="44"/>
      <c r="F489" s="44"/>
      <c r="J489" s="44"/>
    </row>
    <row r="490" ht="15.75" customHeight="1">
      <c r="E490" s="44"/>
      <c r="F490" s="44"/>
      <c r="J490" s="44"/>
    </row>
    <row r="491" ht="15.75" customHeight="1">
      <c r="E491" s="44"/>
      <c r="F491" s="44"/>
      <c r="J491" s="44"/>
    </row>
    <row r="492" ht="15.75" customHeight="1">
      <c r="E492" s="44"/>
      <c r="F492" s="44"/>
      <c r="J492" s="44"/>
    </row>
    <row r="493" ht="15.75" customHeight="1">
      <c r="E493" s="44"/>
      <c r="F493" s="44"/>
      <c r="J493" s="44"/>
    </row>
    <row r="494" ht="15.75" customHeight="1">
      <c r="E494" s="44"/>
      <c r="F494" s="44"/>
      <c r="J494" s="44"/>
    </row>
    <row r="495" ht="15.75" customHeight="1">
      <c r="E495" s="44"/>
      <c r="F495" s="44"/>
      <c r="J495" s="44"/>
    </row>
    <row r="496" ht="15.75" customHeight="1">
      <c r="E496" s="44"/>
      <c r="F496" s="44"/>
      <c r="J496" s="44"/>
    </row>
    <row r="497" ht="15.75" customHeight="1">
      <c r="E497" s="44"/>
      <c r="F497" s="44"/>
      <c r="J497" s="44"/>
    </row>
    <row r="498" ht="15.75" customHeight="1">
      <c r="E498" s="44"/>
      <c r="F498" s="44"/>
      <c r="J498" s="44"/>
    </row>
    <row r="499" ht="15.75" customHeight="1">
      <c r="E499" s="44"/>
      <c r="F499" s="44"/>
      <c r="J499" s="44"/>
    </row>
    <row r="500" ht="15.75" customHeight="1">
      <c r="E500" s="44"/>
      <c r="F500" s="44"/>
      <c r="J500" s="44"/>
    </row>
    <row r="501" ht="15.75" customHeight="1">
      <c r="E501" s="44"/>
      <c r="F501" s="44"/>
      <c r="J501" s="44"/>
    </row>
    <row r="502" ht="15.75" customHeight="1">
      <c r="E502" s="44"/>
      <c r="F502" s="44"/>
      <c r="J502" s="44"/>
    </row>
    <row r="503" ht="15.75" customHeight="1">
      <c r="E503" s="44"/>
      <c r="F503" s="44"/>
      <c r="J503" s="44"/>
    </row>
    <row r="504" ht="15.75" customHeight="1">
      <c r="E504" s="44"/>
      <c r="F504" s="44"/>
      <c r="J504" s="44"/>
    </row>
    <row r="505" ht="15.75" customHeight="1">
      <c r="E505" s="44"/>
      <c r="F505" s="44"/>
      <c r="J505" s="44"/>
    </row>
    <row r="506" ht="15.75" customHeight="1">
      <c r="E506" s="44"/>
      <c r="F506" s="44"/>
      <c r="J506" s="44"/>
    </row>
    <row r="507" ht="15.75" customHeight="1">
      <c r="E507" s="44"/>
      <c r="F507" s="44"/>
      <c r="J507" s="44"/>
    </row>
    <row r="508" ht="15.75" customHeight="1">
      <c r="E508" s="44"/>
      <c r="F508" s="44"/>
      <c r="J508" s="44"/>
    </row>
    <row r="509" ht="15.75" customHeight="1">
      <c r="E509" s="44"/>
      <c r="F509" s="44"/>
      <c r="J509" s="44"/>
    </row>
    <row r="510" ht="15.75" customHeight="1">
      <c r="E510" s="44"/>
      <c r="F510" s="44"/>
      <c r="J510" s="44"/>
    </row>
    <row r="511" ht="15.75" customHeight="1">
      <c r="E511" s="44"/>
      <c r="F511" s="44"/>
      <c r="J511" s="44"/>
    </row>
    <row r="512" ht="15.75" customHeight="1">
      <c r="E512" s="44"/>
      <c r="F512" s="44"/>
      <c r="J512" s="44"/>
    </row>
    <row r="513" ht="15.75" customHeight="1">
      <c r="E513" s="44"/>
      <c r="F513" s="44"/>
      <c r="J513" s="44"/>
    </row>
    <row r="514" ht="15.75" customHeight="1">
      <c r="E514" s="44"/>
      <c r="F514" s="44"/>
      <c r="J514" s="44"/>
    </row>
    <row r="515" ht="15.75" customHeight="1">
      <c r="E515" s="44"/>
      <c r="F515" s="44"/>
      <c r="J515" s="44"/>
    </row>
    <row r="516" ht="15.75" customHeight="1">
      <c r="E516" s="44"/>
      <c r="F516" s="44"/>
      <c r="J516" s="44"/>
    </row>
    <row r="517" ht="15.75" customHeight="1">
      <c r="E517" s="44"/>
      <c r="F517" s="44"/>
      <c r="J517" s="44"/>
    </row>
    <row r="518" ht="15.75" customHeight="1">
      <c r="E518" s="44"/>
      <c r="F518" s="44"/>
      <c r="J518" s="44"/>
    </row>
    <row r="519" ht="15.75" customHeight="1">
      <c r="E519" s="44"/>
      <c r="F519" s="44"/>
      <c r="J519" s="44"/>
    </row>
    <row r="520" ht="15.75" customHeight="1">
      <c r="E520" s="44"/>
      <c r="F520" s="44"/>
      <c r="J520" s="44"/>
    </row>
    <row r="521" ht="15.75" customHeight="1">
      <c r="E521" s="44"/>
      <c r="F521" s="44"/>
      <c r="J521" s="44"/>
    </row>
    <row r="522" ht="15.75" customHeight="1">
      <c r="E522" s="44"/>
      <c r="F522" s="44"/>
      <c r="J522" s="44"/>
    </row>
    <row r="523" ht="15.75" customHeight="1">
      <c r="E523" s="44"/>
      <c r="F523" s="44"/>
      <c r="J523" s="44"/>
    </row>
    <row r="524" ht="15.75" customHeight="1">
      <c r="E524" s="44"/>
      <c r="F524" s="44"/>
      <c r="J524" s="44"/>
    </row>
    <row r="525" ht="15.75" customHeight="1">
      <c r="E525" s="44"/>
      <c r="F525" s="44"/>
      <c r="J525" s="44"/>
    </row>
    <row r="526" ht="15.75" customHeight="1">
      <c r="E526" s="44"/>
      <c r="F526" s="44"/>
      <c r="J526" s="44"/>
    </row>
    <row r="527" ht="15.75" customHeight="1">
      <c r="E527" s="44"/>
      <c r="F527" s="44"/>
      <c r="J527" s="44"/>
    </row>
    <row r="528" ht="15.75" customHeight="1">
      <c r="E528" s="44"/>
      <c r="F528" s="44"/>
      <c r="J528" s="44"/>
    </row>
    <row r="529" ht="15.75" customHeight="1">
      <c r="E529" s="44"/>
      <c r="F529" s="44"/>
      <c r="J529" s="44"/>
    </row>
    <row r="530" ht="15.75" customHeight="1">
      <c r="E530" s="44"/>
      <c r="F530" s="44"/>
      <c r="J530" s="44"/>
    </row>
    <row r="531" ht="15.75" customHeight="1">
      <c r="E531" s="44"/>
      <c r="F531" s="44"/>
      <c r="J531" s="44"/>
    </row>
    <row r="532" ht="15.75" customHeight="1">
      <c r="E532" s="44"/>
      <c r="F532" s="44"/>
      <c r="J532" s="44"/>
    </row>
    <row r="533" ht="15.75" customHeight="1">
      <c r="E533" s="44"/>
      <c r="F533" s="44"/>
      <c r="J533" s="44"/>
    </row>
    <row r="534" ht="15.75" customHeight="1">
      <c r="E534" s="44"/>
      <c r="F534" s="44"/>
      <c r="J534" s="44"/>
    </row>
    <row r="535" ht="15.75" customHeight="1">
      <c r="E535" s="44"/>
      <c r="F535" s="44"/>
      <c r="J535" s="44"/>
    </row>
    <row r="536" ht="15.75" customHeight="1">
      <c r="E536" s="44"/>
      <c r="F536" s="44"/>
      <c r="J536" s="44"/>
    </row>
    <row r="537" ht="15.75" customHeight="1">
      <c r="E537" s="44"/>
      <c r="F537" s="44"/>
      <c r="J537" s="44"/>
    </row>
    <row r="538" ht="15.75" customHeight="1">
      <c r="E538" s="44"/>
      <c r="F538" s="44"/>
      <c r="J538" s="44"/>
    </row>
    <row r="539" ht="15.75" customHeight="1">
      <c r="E539" s="44"/>
      <c r="F539" s="44"/>
      <c r="J539" s="44"/>
    </row>
    <row r="540" ht="15.75" customHeight="1">
      <c r="E540" s="44"/>
      <c r="F540" s="44"/>
      <c r="J540" s="44"/>
    </row>
    <row r="541" ht="15.75" customHeight="1">
      <c r="E541" s="44"/>
      <c r="F541" s="44"/>
      <c r="J541" s="44"/>
    </row>
    <row r="542" ht="15.75" customHeight="1">
      <c r="E542" s="44"/>
      <c r="F542" s="44"/>
      <c r="J542" s="44"/>
    </row>
    <row r="543" ht="15.75" customHeight="1">
      <c r="E543" s="44"/>
      <c r="F543" s="44"/>
      <c r="J543" s="44"/>
    </row>
    <row r="544" ht="15.75" customHeight="1">
      <c r="E544" s="44"/>
      <c r="F544" s="44"/>
      <c r="J544" s="44"/>
    </row>
    <row r="545" ht="15.75" customHeight="1">
      <c r="E545" s="44"/>
      <c r="F545" s="44"/>
      <c r="J545" s="44"/>
    </row>
    <row r="546" ht="15.75" customHeight="1">
      <c r="E546" s="44"/>
      <c r="F546" s="44"/>
      <c r="J546" s="44"/>
    </row>
    <row r="547" ht="15.75" customHeight="1">
      <c r="E547" s="44"/>
      <c r="F547" s="44"/>
      <c r="J547" s="44"/>
    </row>
    <row r="548" ht="15.75" customHeight="1">
      <c r="E548" s="44"/>
      <c r="F548" s="44"/>
      <c r="J548" s="44"/>
    </row>
    <row r="549" ht="15.75" customHeight="1">
      <c r="E549" s="44"/>
      <c r="F549" s="44"/>
      <c r="J549" s="44"/>
    </row>
    <row r="550" ht="15.75" customHeight="1">
      <c r="E550" s="44"/>
      <c r="F550" s="44"/>
      <c r="J550" s="44"/>
    </row>
    <row r="551" ht="15.75" customHeight="1">
      <c r="E551" s="44"/>
      <c r="F551" s="44"/>
      <c r="J551" s="44"/>
    </row>
    <row r="552" ht="15.75" customHeight="1">
      <c r="E552" s="44"/>
      <c r="F552" s="44"/>
      <c r="J552" s="44"/>
    </row>
    <row r="553" ht="15.75" customHeight="1">
      <c r="E553" s="44"/>
      <c r="F553" s="44"/>
      <c r="J553" s="44"/>
    </row>
    <row r="554" ht="15.75" customHeight="1">
      <c r="E554" s="44"/>
      <c r="F554" s="44"/>
      <c r="J554" s="44"/>
    </row>
    <row r="555" ht="15.75" customHeight="1">
      <c r="E555" s="44"/>
      <c r="F555" s="44"/>
      <c r="J555" s="44"/>
    </row>
    <row r="556" ht="15.75" customHeight="1">
      <c r="E556" s="44"/>
      <c r="F556" s="44"/>
      <c r="J556" s="44"/>
    </row>
    <row r="557" ht="15.75" customHeight="1">
      <c r="E557" s="44"/>
      <c r="F557" s="44"/>
      <c r="J557" s="44"/>
    </row>
    <row r="558" ht="15.75" customHeight="1">
      <c r="E558" s="44"/>
      <c r="F558" s="44"/>
      <c r="J558" s="44"/>
    </row>
    <row r="559" ht="15.75" customHeight="1">
      <c r="E559" s="44"/>
      <c r="F559" s="44"/>
      <c r="J559" s="44"/>
    </row>
    <row r="560" ht="15.75" customHeight="1">
      <c r="E560" s="44"/>
      <c r="F560" s="44"/>
      <c r="J560" s="44"/>
    </row>
    <row r="561" ht="15.75" customHeight="1">
      <c r="E561" s="44"/>
      <c r="F561" s="44"/>
      <c r="J561" s="44"/>
    </row>
    <row r="562" ht="15.75" customHeight="1">
      <c r="E562" s="44"/>
      <c r="F562" s="44"/>
      <c r="J562" s="44"/>
    </row>
    <row r="563" ht="15.75" customHeight="1">
      <c r="E563" s="44"/>
      <c r="F563" s="44"/>
      <c r="J563" s="44"/>
    </row>
    <row r="564" ht="15.75" customHeight="1">
      <c r="E564" s="44"/>
      <c r="F564" s="44"/>
      <c r="J564" s="44"/>
    </row>
    <row r="565" ht="15.75" customHeight="1">
      <c r="E565" s="44"/>
      <c r="F565" s="44"/>
      <c r="J565" s="44"/>
    </row>
    <row r="566" ht="15.75" customHeight="1">
      <c r="E566" s="44"/>
      <c r="F566" s="44"/>
      <c r="J566" s="44"/>
    </row>
    <row r="567" ht="15.75" customHeight="1">
      <c r="E567" s="44"/>
      <c r="F567" s="44"/>
      <c r="J567" s="44"/>
    </row>
    <row r="568" ht="15.75" customHeight="1">
      <c r="E568" s="44"/>
      <c r="F568" s="44"/>
      <c r="J568" s="44"/>
    </row>
    <row r="569" ht="15.75" customHeight="1">
      <c r="E569" s="44"/>
      <c r="F569" s="44"/>
      <c r="J569" s="44"/>
    </row>
    <row r="570" ht="15.75" customHeight="1">
      <c r="E570" s="44"/>
      <c r="F570" s="44"/>
      <c r="J570" s="44"/>
    </row>
    <row r="571" ht="15.75" customHeight="1">
      <c r="E571" s="44"/>
      <c r="F571" s="44"/>
      <c r="J571" s="44"/>
    </row>
    <row r="572" ht="15.75" customHeight="1">
      <c r="E572" s="44"/>
      <c r="F572" s="44"/>
      <c r="J572" s="44"/>
    </row>
    <row r="573" ht="15.75" customHeight="1">
      <c r="E573" s="44"/>
      <c r="F573" s="44"/>
      <c r="J573" s="44"/>
    </row>
    <row r="574" ht="15.75" customHeight="1">
      <c r="E574" s="44"/>
      <c r="F574" s="44"/>
      <c r="J574" s="44"/>
    </row>
    <row r="575" ht="15.75" customHeight="1">
      <c r="E575" s="44"/>
      <c r="F575" s="44"/>
      <c r="J575" s="44"/>
    </row>
    <row r="576" ht="15.75" customHeight="1">
      <c r="E576" s="44"/>
      <c r="F576" s="44"/>
      <c r="J576" s="44"/>
    </row>
    <row r="577" ht="15.75" customHeight="1">
      <c r="E577" s="44"/>
      <c r="F577" s="44"/>
      <c r="J577" s="44"/>
    </row>
    <row r="578" ht="15.75" customHeight="1">
      <c r="E578" s="44"/>
      <c r="F578" s="44"/>
      <c r="J578" s="44"/>
    </row>
    <row r="579" ht="15.75" customHeight="1">
      <c r="E579" s="44"/>
      <c r="F579" s="44"/>
      <c r="J579" s="44"/>
    </row>
    <row r="580" ht="15.75" customHeight="1">
      <c r="E580" s="44"/>
      <c r="F580" s="44"/>
      <c r="J580" s="44"/>
    </row>
    <row r="581" ht="15.75" customHeight="1">
      <c r="E581" s="44"/>
      <c r="F581" s="44"/>
      <c r="J581" s="44"/>
    </row>
    <row r="582" ht="15.75" customHeight="1">
      <c r="E582" s="44"/>
      <c r="F582" s="44"/>
      <c r="J582" s="44"/>
    </row>
    <row r="583" ht="15.75" customHeight="1">
      <c r="E583" s="44"/>
      <c r="F583" s="44"/>
      <c r="J583" s="44"/>
    </row>
    <row r="584" ht="15.75" customHeight="1">
      <c r="E584" s="44"/>
      <c r="F584" s="44"/>
      <c r="J584" s="44"/>
    </row>
    <row r="585" ht="15.75" customHeight="1">
      <c r="E585" s="44"/>
      <c r="F585" s="44"/>
      <c r="J585" s="44"/>
    </row>
    <row r="586" ht="15.75" customHeight="1">
      <c r="E586" s="44"/>
      <c r="F586" s="44"/>
      <c r="J586" s="44"/>
    </row>
    <row r="587" ht="15.75" customHeight="1">
      <c r="E587" s="44"/>
      <c r="F587" s="44"/>
      <c r="J587" s="44"/>
    </row>
    <row r="588" ht="15.75" customHeight="1">
      <c r="E588" s="44"/>
      <c r="F588" s="44"/>
      <c r="J588" s="44"/>
    </row>
    <row r="589" ht="15.75" customHeight="1">
      <c r="E589" s="44"/>
      <c r="F589" s="44"/>
      <c r="J589" s="44"/>
    </row>
    <row r="590" ht="15.75" customHeight="1">
      <c r="E590" s="44"/>
      <c r="F590" s="44"/>
      <c r="J590" s="44"/>
    </row>
    <row r="591" ht="15.75" customHeight="1">
      <c r="E591" s="44"/>
      <c r="F591" s="44"/>
      <c r="J591" s="44"/>
    </row>
    <row r="592" ht="15.75" customHeight="1">
      <c r="E592" s="44"/>
      <c r="F592" s="44"/>
      <c r="J592" s="44"/>
    </row>
    <row r="593" ht="15.75" customHeight="1">
      <c r="E593" s="44"/>
      <c r="F593" s="44"/>
      <c r="J593" s="44"/>
    </row>
    <row r="594" ht="15.75" customHeight="1">
      <c r="E594" s="44"/>
      <c r="F594" s="44"/>
      <c r="J594" s="44"/>
    </row>
    <row r="595" ht="15.75" customHeight="1">
      <c r="E595" s="44"/>
      <c r="F595" s="44"/>
      <c r="J595" s="44"/>
    </row>
    <row r="596" ht="15.75" customHeight="1">
      <c r="E596" s="44"/>
      <c r="F596" s="44"/>
      <c r="J596" s="44"/>
    </row>
    <row r="597" ht="15.75" customHeight="1">
      <c r="E597" s="44"/>
      <c r="F597" s="44"/>
      <c r="J597" s="44"/>
    </row>
    <row r="598" ht="15.75" customHeight="1">
      <c r="E598" s="44"/>
      <c r="F598" s="44"/>
      <c r="J598" s="44"/>
    </row>
    <row r="599" ht="15.75" customHeight="1">
      <c r="E599" s="44"/>
      <c r="F599" s="44"/>
      <c r="J599" s="44"/>
    </row>
    <row r="600" ht="15.75" customHeight="1">
      <c r="E600" s="44"/>
      <c r="F600" s="44"/>
      <c r="J600" s="44"/>
    </row>
    <row r="601" ht="15.75" customHeight="1">
      <c r="E601" s="44"/>
      <c r="F601" s="44"/>
      <c r="J601" s="44"/>
    </row>
    <row r="602" ht="15.75" customHeight="1">
      <c r="E602" s="44"/>
      <c r="F602" s="44"/>
      <c r="J602" s="44"/>
    </row>
    <row r="603" ht="15.75" customHeight="1">
      <c r="E603" s="44"/>
      <c r="F603" s="44"/>
      <c r="J603" s="44"/>
    </row>
    <row r="604" ht="15.75" customHeight="1">
      <c r="E604" s="44"/>
      <c r="F604" s="44"/>
      <c r="J604" s="44"/>
    </row>
    <row r="605" ht="15.75" customHeight="1">
      <c r="E605" s="44"/>
      <c r="F605" s="44"/>
      <c r="J605" s="44"/>
    </row>
    <row r="606" ht="15.75" customHeight="1">
      <c r="E606" s="44"/>
      <c r="F606" s="44"/>
      <c r="J606" s="44"/>
    </row>
    <row r="607" ht="15.75" customHeight="1">
      <c r="E607" s="44"/>
      <c r="F607" s="44"/>
      <c r="J607" s="44"/>
    </row>
    <row r="608" ht="15.75" customHeight="1">
      <c r="E608" s="44"/>
      <c r="F608" s="44"/>
      <c r="J608" s="44"/>
    </row>
    <row r="609" ht="15.75" customHeight="1">
      <c r="E609" s="44"/>
      <c r="F609" s="44"/>
      <c r="J609" s="44"/>
    </row>
    <row r="610" ht="15.75" customHeight="1">
      <c r="E610" s="44"/>
      <c r="F610" s="44"/>
      <c r="J610" s="44"/>
    </row>
    <row r="611" ht="15.75" customHeight="1">
      <c r="E611" s="44"/>
      <c r="F611" s="44"/>
      <c r="J611" s="44"/>
    </row>
    <row r="612" ht="15.75" customHeight="1">
      <c r="E612" s="44"/>
      <c r="F612" s="44"/>
      <c r="J612" s="44"/>
    </row>
    <row r="613" ht="15.75" customHeight="1">
      <c r="E613" s="44"/>
      <c r="F613" s="44"/>
      <c r="J613" s="44"/>
    </row>
    <row r="614" ht="15.75" customHeight="1">
      <c r="E614" s="44"/>
      <c r="F614" s="44"/>
      <c r="J614" s="44"/>
    </row>
    <row r="615" ht="15.75" customHeight="1">
      <c r="E615" s="44"/>
      <c r="F615" s="44"/>
      <c r="J615" s="44"/>
    </row>
    <row r="616" ht="15.75" customHeight="1">
      <c r="E616" s="44"/>
      <c r="F616" s="44"/>
      <c r="J616" s="44"/>
    </row>
    <row r="617" ht="15.75" customHeight="1">
      <c r="E617" s="44"/>
      <c r="F617" s="44"/>
      <c r="J617" s="44"/>
    </row>
    <row r="618" ht="15.75" customHeight="1">
      <c r="E618" s="44"/>
      <c r="F618" s="44"/>
      <c r="J618" s="44"/>
    </row>
    <row r="619" ht="15.75" customHeight="1">
      <c r="E619" s="44"/>
      <c r="F619" s="44"/>
      <c r="J619" s="44"/>
    </row>
    <row r="620" ht="15.75" customHeight="1">
      <c r="E620" s="44"/>
      <c r="F620" s="44"/>
      <c r="J620" s="44"/>
    </row>
    <row r="621" ht="15.75" customHeight="1">
      <c r="E621" s="44"/>
      <c r="F621" s="44"/>
      <c r="J621" s="44"/>
    </row>
    <row r="622" ht="15.75" customHeight="1">
      <c r="E622" s="44"/>
      <c r="F622" s="44"/>
      <c r="J622" s="44"/>
    </row>
    <row r="623" ht="15.75" customHeight="1">
      <c r="E623" s="44"/>
      <c r="F623" s="44"/>
      <c r="J623" s="44"/>
    </row>
    <row r="624" ht="15.75" customHeight="1">
      <c r="E624" s="44"/>
      <c r="F624" s="44"/>
      <c r="J624" s="44"/>
    </row>
    <row r="625" ht="15.75" customHeight="1">
      <c r="E625" s="44"/>
      <c r="F625" s="44"/>
      <c r="J625" s="44"/>
    </row>
    <row r="626" ht="15.75" customHeight="1">
      <c r="E626" s="44"/>
      <c r="F626" s="44"/>
      <c r="J626" s="44"/>
    </row>
    <row r="627" ht="15.75" customHeight="1">
      <c r="E627" s="44"/>
      <c r="F627" s="44"/>
      <c r="J627" s="44"/>
    </row>
    <row r="628" ht="15.75" customHeight="1">
      <c r="E628" s="44"/>
      <c r="F628" s="44"/>
      <c r="J628" s="44"/>
    </row>
    <row r="629" ht="15.75" customHeight="1">
      <c r="E629" s="44"/>
      <c r="F629" s="44"/>
      <c r="J629" s="44"/>
    </row>
    <row r="630" ht="15.75" customHeight="1">
      <c r="E630" s="44"/>
      <c r="F630" s="44"/>
      <c r="J630" s="44"/>
    </row>
    <row r="631" ht="15.75" customHeight="1">
      <c r="E631" s="44"/>
      <c r="F631" s="44"/>
      <c r="J631" s="44"/>
    </row>
    <row r="632" ht="15.75" customHeight="1">
      <c r="E632" s="44"/>
      <c r="F632" s="44"/>
      <c r="J632" s="44"/>
    </row>
    <row r="633" ht="15.75" customHeight="1">
      <c r="E633" s="44"/>
      <c r="F633" s="44"/>
      <c r="J633" s="44"/>
    </row>
    <row r="634" ht="15.75" customHeight="1">
      <c r="E634" s="44"/>
      <c r="F634" s="44"/>
      <c r="J634" s="44"/>
    </row>
    <row r="635" ht="15.75" customHeight="1">
      <c r="E635" s="44"/>
      <c r="F635" s="44"/>
      <c r="J635" s="44"/>
    </row>
    <row r="636" ht="15.75" customHeight="1">
      <c r="E636" s="44"/>
      <c r="F636" s="44"/>
      <c r="J636" s="44"/>
    </row>
    <row r="637" ht="15.75" customHeight="1">
      <c r="E637" s="44"/>
      <c r="F637" s="44"/>
      <c r="J637" s="44"/>
    </row>
    <row r="638" ht="15.75" customHeight="1">
      <c r="E638" s="44"/>
      <c r="F638" s="44"/>
      <c r="J638" s="44"/>
    </row>
    <row r="639" ht="15.75" customHeight="1">
      <c r="E639" s="44"/>
      <c r="F639" s="44"/>
      <c r="J639" s="44"/>
    </row>
    <row r="640" ht="15.75" customHeight="1">
      <c r="E640" s="44"/>
      <c r="F640" s="44"/>
      <c r="J640" s="44"/>
    </row>
    <row r="641" ht="15.75" customHeight="1">
      <c r="E641" s="44"/>
      <c r="F641" s="44"/>
      <c r="J641" s="44"/>
    </row>
    <row r="642" ht="15.75" customHeight="1">
      <c r="E642" s="44"/>
      <c r="F642" s="44"/>
      <c r="J642" s="44"/>
    </row>
    <row r="643" ht="15.75" customHeight="1">
      <c r="E643" s="44"/>
      <c r="F643" s="44"/>
      <c r="J643" s="44"/>
    </row>
    <row r="644" ht="15.75" customHeight="1">
      <c r="E644" s="44"/>
      <c r="F644" s="44"/>
      <c r="J644" s="44"/>
    </row>
    <row r="645" ht="15.75" customHeight="1">
      <c r="E645" s="44"/>
      <c r="F645" s="44"/>
      <c r="J645" s="44"/>
    </row>
    <row r="646" ht="15.75" customHeight="1">
      <c r="E646" s="44"/>
      <c r="F646" s="44"/>
      <c r="J646" s="44"/>
    </row>
    <row r="647" ht="15.75" customHeight="1">
      <c r="E647" s="44"/>
      <c r="F647" s="44"/>
      <c r="J647" s="44"/>
    </row>
    <row r="648" ht="15.75" customHeight="1">
      <c r="E648" s="44"/>
      <c r="F648" s="44"/>
      <c r="J648" s="44"/>
    </row>
    <row r="649" ht="15.75" customHeight="1">
      <c r="E649" s="44"/>
      <c r="F649" s="44"/>
      <c r="J649" s="44"/>
    </row>
    <row r="650" ht="15.75" customHeight="1">
      <c r="E650" s="44"/>
      <c r="F650" s="44"/>
      <c r="J650" s="44"/>
    </row>
    <row r="651" ht="15.75" customHeight="1">
      <c r="E651" s="44"/>
      <c r="F651" s="44"/>
      <c r="J651" s="44"/>
    </row>
    <row r="652" ht="15.75" customHeight="1">
      <c r="E652" s="44"/>
      <c r="F652" s="44"/>
      <c r="J652" s="44"/>
    </row>
    <row r="653" ht="15.75" customHeight="1">
      <c r="E653" s="44"/>
      <c r="F653" s="44"/>
      <c r="J653" s="44"/>
    </row>
    <row r="654" ht="15.75" customHeight="1">
      <c r="E654" s="44"/>
      <c r="F654" s="44"/>
      <c r="J654" s="44"/>
    </row>
    <row r="655" ht="15.75" customHeight="1">
      <c r="E655" s="44"/>
      <c r="F655" s="44"/>
      <c r="J655" s="44"/>
    </row>
    <row r="656" ht="15.75" customHeight="1">
      <c r="E656" s="44"/>
      <c r="F656" s="44"/>
      <c r="J656" s="44"/>
    </row>
    <row r="657" ht="15.75" customHeight="1">
      <c r="E657" s="44"/>
      <c r="F657" s="44"/>
      <c r="J657" s="44"/>
    </row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N$657"/>
  <mergeCells count="1">
    <mergeCell ref="B1:D1"/>
  </mergeCells>
  <dataValidations>
    <dataValidation type="list" allowBlank="1" showErrorMessage="1" sqref="F4:F657">
      <formula1>"Estratégico,Tático,Operacional"</formula1>
    </dataValidation>
    <dataValidation type="list" allowBlank="1" showErrorMessage="1" sqref="E4:E657">
      <formula1>"Júnior,Pleno,Sênior,Especialista,Não trabalhamos senioridade"</formula1>
    </dataValidation>
    <dataValidation type="list" allowBlank="1" showErrorMessage="1" sqref="J4:J657">
      <formula1>"CLT,PJ,Estagiário,Menor Aprendiz,Pró-labore"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5"/>
    <col customWidth="1" min="2" max="2" width="43.13"/>
    <col customWidth="1" min="3" max="3" width="18.25"/>
    <col customWidth="1" min="4" max="4" width="19.88"/>
    <col customWidth="1" min="5" max="5" width="15.0"/>
    <col customWidth="1" min="6" max="6" width="40.0"/>
    <col customWidth="1" min="7" max="7" width="15.88"/>
    <col customWidth="1" min="8" max="8" width="19.75"/>
  </cols>
  <sheetData>
    <row r="1" ht="48.0" customHeight="1">
      <c r="A1" s="45" t="s">
        <v>36</v>
      </c>
      <c r="B1" s="3"/>
      <c r="C1" s="3"/>
      <c r="D1" s="3"/>
      <c r="E1" s="3"/>
      <c r="F1" s="3"/>
      <c r="G1" s="3"/>
      <c r="H1" s="46"/>
    </row>
    <row r="2" ht="6.0" customHeight="1">
      <c r="A2" s="5"/>
      <c r="B2" s="5"/>
      <c r="C2" s="5"/>
      <c r="D2" s="5"/>
      <c r="E2" s="5"/>
      <c r="F2" s="5"/>
      <c r="G2" s="5"/>
      <c r="H2" s="5"/>
    </row>
    <row r="3" ht="15.75" customHeight="1">
      <c r="A3" s="12" t="s">
        <v>37</v>
      </c>
      <c r="B3" s="12" t="s">
        <v>38</v>
      </c>
      <c r="C3" s="12" t="s">
        <v>8</v>
      </c>
      <c r="D3" s="12" t="s">
        <v>7</v>
      </c>
      <c r="E3" s="12" t="s">
        <v>39</v>
      </c>
      <c r="F3" s="12" t="s">
        <v>40</v>
      </c>
      <c r="G3" s="12" t="s">
        <v>6</v>
      </c>
      <c r="H3" s="12" t="s">
        <v>41</v>
      </c>
    </row>
    <row r="4" ht="15.75" customHeight="1">
      <c r="A4" s="18">
        <v>1.0</v>
      </c>
      <c r="B4" s="20" t="s">
        <v>28</v>
      </c>
      <c r="C4" s="20" t="s">
        <v>20</v>
      </c>
      <c r="D4" s="28" t="s">
        <v>25</v>
      </c>
      <c r="E4" s="47">
        <v>1.0</v>
      </c>
      <c r="F4" s="48" t="s">
        <v>42</v>
      </c>
      <c r="G4" s="48" t="s">
        <v>29</v>
      </c>
      <c r="H4" s="49"/>
    </row>
    <row r="5">
      <c r="A5" s="18">
        <v>2.0</v>
      </c>
      <c r="B5" s="28" t="s">
        <v>23</v>
      </c>
      <c r="C5" s="20" t="s">
        <v>20</v>
      </c>
      <c r="D5" s="28" t="s">
        <v>25</v>
      </c>
      <c r="E5" s="47">
        <v>1.0</v>
      </c>
      <c r="F5" s="48" t="s">
        <v>42</v>
      </c>
      <c r="G5" s="48" t="s">
        <v>24</v>
      </c>
      <c r="H5" s="49"/>
    </row>
    <row r="6" ht="15.75" customHeight="1">
      <c r="A6" s="18">
        <v>3.0</v>
      </c>
      <c r="B6" s="28" t="s">
        <v>17</v>
      </c>
      <c r="C6" s="20" t="s">
        <v>20</v>
      </c>
      <c r="D6" s="28" t="s">
        <v>19</v>
      </c>
      <c r="E6" s="47">
        <v>1.0</v>
      </c>
      <c r="F6" s="48" t="s">
        <v>42</v>
      </c>
      <c r="G6" s="48" t="s">
        <v>18</v>
      </c>
      <c r="H6" s="20"/>
    </row>
    <row r="7" ht="15.75" customHeight="1">
      <c r="A7" s="18">
        <v>4.0</v>
      </c>
      <c r="B7" s="28" t="s">
        <v>33</v>
      </c>
      <c r="C7" s="20" t="s">
        <v>20</v>
      </c>
      <c r="D7" s="28" t="s">
        <v>25</v>
      </c>
      <c r="E7" s="47">
        <v>796.0</v>
      </c>
      <c r="F7" s="48" t="s">
        <v>33</v>
      </c>
      <c r="G7" s="48" t="s">
        <v>29</v>
      </c>
      <c r="H7" s="20"/>
    </row>
    <row r="8" ht="15.75" customHeight="1">
      <c r="A8" s="18">
        <v>5.0</v>
      </c>
      <c r="B8" s="28" t="s">
        <v>34</v>
      </c>
      <c r="C8" s="20" t="s">
        <v>20</v>
      </c>
      <c r="D8" s="28" t="s">
        <v>35</v>
      </c>
      <c r="E8" s="47">
        <v>1016.0</v>
      </c>
      <c r="F8" s="48" t="s">
        <v>43</v>
      </c>
      <c r="G8" s="48" t="s">
        <v>44</v>
      </c>
      <c r="H8" s="20"/>
    </row>
    <row r="9">
      <c r="A9" s="18"/>
      <c r="B9" s="28"/>
      <c r="C9" s="20"/>
      <c r="D9" s="28"/>
      <c r="E9" s="50"/>
      <c r="F9" s="48"/>
      <c r="G9" s="48"/>
      <c r="H9" s="51"/>
    </row>
    <row r="10" ht="15.75" customHeight="1">
      <c r="A10" s="18"/>
      <c r="B10" s="20"/>
      <c r="C10" s="20"/>
      <c r="D10" s="28"/>
      <c r="E10" s="50"/>
      <c r="F10" s="48"/>
      <c r="G10" s="48"/>
      <c r="H10" s="43"/>
    </row>
    <row r="11">
      <c r="A11" s="18"/>
      <c r="B11" s="28"/>
      <c r="C11" s="20"/>
      <c r="D11" s="28"/>
      <c r="E11" s="50"/>
      <c r="F11" s="48"/>
      <c r="G11" s="48"/>
      <c r="H11" s="49"/>
    </row>
    <row r="12" ht="15.75" customHeight="1">
      <c r="A12" s="18"/>
      <c r="B12" s="28"/>
      <c r="C12" s="20"/>
      <c r="D12" s="28"/>
      <c r="E12" s="50"/>
      <c r="F12" s="48"/>
      <c r="G12" s="48"/>
      <c r="H12" s="20"/>
    </row>
    <row r="13" ht="15.75" customHeight="1">
      <c r="A13" s="18"/>
      <c r="B13" s="28"/>
      <c r="C13" s="20"/>
      <c r="D13" s="28"/>
      <c r="E13" s="50"/>
      <c r="F13" s="48"/>
      <c r="G13" s="48"/>
      <c r="H13" s="20"/>
    </row>
    <row r="14">
      <c r="A14" s="18"/>
      <c r="B14" s="28"/>
      <c r="C14" s="20"/>
      <c r="D14" s="28"/>
      <c r="E14" s="52"/>
      <c r="F14" s="53"/>
      <c r="G14" s="48"/>
      <c r="H14" s="51"/>
    </row>
    <row r="15" ht="15.75" customHeight="1">
      <c r="A15" s="18"/>
      <c r="B15" s="20"/>
      <c r="C15" s="20"/>
      <c r="D15" s="28"/>
      <c r="E15" s="50"/>
      <c r="F15" s="48"/>
      <c r="G15" s="48"/>
      <c r="H15" s="20"/>
    </row>
    <row r="16" ht="15.75" customHeight="1">
      <c r="A16" s="18"/>
      <c r="B16" s="28"/>
      <c r="C16" s="20"/>
      <c r="D16" s="28"/>
      <c r="E16" s="50"/>
      <c r="F16" s="48"/>
      <c r="G16" s="48"/>
      <c r="H16" s="51"/>
    </row>
    <row r="17" ht="15.75" customHeight="1">
      <c r="A17" s="18"/>
      <c r="B17" s="20"/>
      <c r="C17" s="20"/>
      <c r="D17" s="28"/>
      <c r="E17" s="50"/>
      <c r="F17" s="48"/>
      <c r="G17" s="48"/>
      <c r="H17" s="43"/>
    </row>
    <row r="18">
      <c r="A18" s="18"/>
      <c r="B18" s="28"/>
      <c r="C18" s="20"/>
      <c r="D18" s="28"/>
      <c r="E18" s="50"/>
      <c r="F18" s="48"/>
      <c r="G18" s="48"/>
      <c r="H18" s="51"/>
    </row>
    <row r="19" ht="15.75" customHeight="1">
      <c r="A19" s="18"/>
      <c r="B19" s="20"/>
      <c r="C19" s="20"/>
      <c r="D19" s="28"/>
      <c r="E19" s="50"/>
      <c r="F19" s="48"/>
      <c r="G19" s="48"/>
      <c r="H19" s="43"/>
    </row>
    <row r="20" ht="15.75" customHeight="1">
      <c r="A20" s="18"/>
      <c r="B20" s="28"/>
      <c r="C20" s="20"/>
      <c r="D20" s="28"/>
      <c r="E20" s="50"/>
      <c r="F20" s="48"/>
      <c r="G20" s="48"/>
      <c r="H20" s="20"/>
    </row>
    <row r="21" ht="15.75" customHeight="1">
      <c r="A21" s="18"/>
      <c r="B21" s="28"/>
      <c r="C21" s="20"/>
      <c r="D21" s="28"/>
      <c r="E21" s="50"/>
      <c r="F21" s="48"/>
      <c r="G21" s="48"/>
      <c r="H21" s="20"/>
    </row>
    <row r="22" ht="15.75" customHeight="1">
      <c r="A22" s="18"/>
      <c r="B22" s="20"/>
      <c r="C22" s="20"/>
      <c r="D22" s="28"/>
      <c r="E22" s="50"/>
      <c r="F22" s="48"/>
      <c r="G22" s="48"/>
      <c r="H22" s="43"/>
    </row>
    <row r="23" ht="15.75" customHeight="1">
      <c r="A23" s="18"/>
      <c r="B23" s="28"/>
      <c r="C23" s="20"/>
      <c r="D23" s="28"/>
      <c r="E23" s="50"/>
      <c r="F23" s="48"/>
      <c r="G23" s="48"/>
      <c r="H23" s="43"/>
    </row>
    <row r="24" ht="15.75" customHeight="1">
      <c r="A24" s="18"/>
      <c r="B24" s="28"/>
      <c r="C24" s="20"/>
      <c r="D24" s="28"/>
      <c r="E24" s="50"/>
      <c r="F24" s="48"/>
      <c r="G24" s="48"/>
      <c r="H24" s="43"/>
    </row>
    <row r="25" ht="15.75" customHeight="1">
      <c r="A25" s="18"/>
      <c r="B25" s="28"/>
      <c r="C25" s="20"/>
      <c r="D25" s="28"/>
      <c r="E25" s="50"/>
      <c r="F25" s="48"/>
      <c r="G25" s="48"/>
      <c r="H25" s="51"/>
    </row>
    <row r="26" ht="15.75" customHeight="1">
      <c r="A26" s="54"/>
      <c r="B26" s="55"/>
      <c r="C26" s="20"/>
      <c r="D26" s="28"/>
      <c r="E26" s="50"/>
      <c r="F26" s="48"/>
      <c r="G26" s="48"/>
      <c r="H26" s="51"/>
    </row>
    <row r="27" ht="15.75" customHeight="1">
      <c r="A27" s="18"/>
      <c r="B27" s="28"/>
      <c r="C27" s="20"/>
      <c r="D27" s="28"/>
      <c r="E27" s="50"/>
      <c r="F27" s="48"/>
      <c r="G27" s="48"/>
      <c r="H27" s="20"/>
    </row>
    <row r="28" ht="15.75" customHeight="1">
      <c r="A28" s="18"/>
      <c r="B28" s="20"/>
      <c r="C28" s="20"/>
      <c r="D28" s="28"/>
      <c r="E28" s="50"/>
      <c r="F28" s="48"/>
      <c r="G28" s="48"/>
      <c r="H28" s="51"/>
    </row>
    <row r="29" ht="15.75" customHeight="1">
      <c r="A29" s="18"/>
      <c r="B29" s="20"/>
      <c r="C29" s="20"/>
      <c r="D29" s="28"/>
      <c r="E29" s="50"/>
      <c r="F29" s="48"/>
      <c r="G29" s="48"/>
      <c r="H29" s="20"/>
    </row>
    <row r="30" ht="15.75" customHeight="1">
      <c r="A30" s="18"/>
      <c r="B30" s="20"/>
      <c r="C30" s="20"/>
      <c r="D30" s="28"/>
      <c r="E30" s="50"/>
      <c r="F30" s="48"/>
      <c r="G30" s="48"/>
      <c r="H30" s="43"/>
    </row>
    <row r="31" ht="15.75" customHeight="1">
      <c r="A31" s="18"/>
      <c r="B31" s="28"/>
      <c r="C31" s="20"/>
      <c r="D31" s="28"/>
      <c r="E31" s="50"/>
      <c r="F31" s="48"/>
      <c r="G31" s="48"/>
      <c r="H31" s="49"/>
    </row>
    <row r="32" ht="15.75" customHeight="1">
      <c r="A32" s="18"/>
      <c r="B32" s="28"/>
      <c r="C32" s="20"/>
      <c r="D32" s="28"/>
      <c r="E32" s="50"/>
      <c r="F32" s="48"/>
      <c r="G32" s="48"/>
      <c r="H32" s="49"/>
    </row>
    <row r="33" ht="15.75" customHeight="1">
      <c r="A33" s="18"/>
      <c r="B33" s="28"/>
      <c r="C33" s="20"/>
      <c r="D33" s="28"/>
      <c r="E33" s="50"/>
      <c r="F33" s="48"/>
      <c r="G33" s="48"/>
      <c r="H33" s="49"/>
    </row>
    <row r="34" ht="15.75" customHeight="1">
      <c r="A34" s="18"/>
      <c r="B34" s="28"/>
      <c r="C34" s="20"/>
      <c r="D34" s="28"/>
      <c r="E34" s="50"/>
      <c r="F34" s="48"/>
      <c r="G34" s="48"/>
      <c r="H34" s="49"/>
    </row>
    <row r="35" ht="15.75" customHeight="1">
      <c r="A35" s="18"/>
      <c r="B35" s="20"/>
      <c r="C35" s="20"/>
      <c r="D35" s="28"/>
      <c r="E35" s="50"/>
      <c r="F35" s="48"/>
      <c r="G35" s="48"/>
      <c r="H35" s="49"/>
    </row>
    <row r="36" ht="15.75" customHeight="1">
      <c r="A36" s="18"/>
      <c r="B36" s="20"/>
      <c r="C36" s="20"/>
      <c r="D36" s="28"/>
      <c r="E36" s="50"/>
      <c r="F36" s="48"/>
      <c r="G36" s="48"/>
      <c r="H36" s="49"/>
    </row>
    <row r="37" ht="15.75" customHeight="1">
      <c r="A37" s="18"/>
      <c r="B37" s="20"/>
      <c r="C37" s="20"/>
      <c r="D37" s="28"/>
      <c r="E37" s="50"/>
      <c r="F37" s="48"/>
      <c r="G37" s="48"/>
      <c r="H37" s="49"/>
    </row>
    <row r="38" ht="15.75" customHeight="1">
      <c r="A38" s="18"/>
      <c r="B38" s="20"/>
      <c r="C38" s="20"/>
      <c r="D38" s="28"/>
      <c r="E38" s="50"/>
      <c r="F38" s="48"/>
      <c r="G38" s="48"/>
      <c r="H38" s="43"/>
    </row>
    <row r="39" ht="15.75" customHeight="1">
      <c r="A39" s="18"/>
      <c r="B39" s="20"/>
      <c r="C39" s="20"/>
      <c r="D39" s="28"/>
      <c r="E39" s="50"/>
      <c r="F39" s="48"/>
      <c r="G39" s="48"/>
      <c r="H39" s="49"/>
    </row>
    <row r="40" ht="15.75" customHeight="1">
      <c r="A40" s="18"/>
      <c r="B40" s="20"/>
      <c r="C40" s="20"/>
      <c r="D40" s="28"/>
      <c r="E40" s="50"/>
      <c r="F40" s="48"/>
      <c r="G40" s="48"/>
      <c r="H40" s="20"/>
    </row>
    <row r="41" ht="15.75" customHeight="1">
      <c r="A41" s="18"/>
      <c r="B41" s="20"/>
      <c r="C41" s="20"/>
      <c r="D41" s="28"/>
      <c r="E41" s="50"/>
      <c r="F41" s="48"/>
      <c r="G41" s="48"/>
      <c r="H41" s="51"/>
    </row>
    <row r="42" ht="15.75" customHeight="1">
      <c r="A42" s="18"/>
      <c r="B42" s="20"/>
      <c r="C42" s="20"/>
      <c r="D42" s="28"/>
      <c r="E42" s="50"/>
      <c r="F42" s="48"/>
      <c r="G42" s="48"/>
      <c r="H42" s="49"/>
    </row>
    <row r="43" ht="15.75" customHeight="1">
      <c r="A43" s="18"/>
      <c r="B43" s="20"/>
      <c r="C43" s="20"/>
      <c r="D43" s="28"/>
      <c r="E43" s="50"/>
      <c r="F43" s="48"/>
      <c r="G43" s="48"/>
      <c r="H43" s="49"/>
    </row>
    <row r="44" ht="15.75" customHeight="1">
      <c r="A44" s="18"/>
      <c r="B44" s="20"/>
      <c r="C44" s="20"/>
      <c r="D44" s="28"/>
      <c r="E44" s="50"/>
      <c r="F44" s="48"/>
      <c r="G44" s="48"/>
      <c r="H44" s="51"/>
    </row>
    <row r="45" ht="15.75" customHeight="1">
      <c r="A45" s="18"/>
      <c r="B45" s="20"/>
      <c r="C45" s="20"/>
      <c r="D45" s="28"/>
      <c r="E45" s="50"/>
      <c r="F45" s="48"/>
      <c r="G45" s="48"/>
      <c r="H45" s="51"/>
    </row>
    <row r="46" ht="15.75" customHeight="1">
      <c r="A46" s="18"/>
      <c r="B46" s="20"/>
      <c r="C46" s="20"/>
      <c r="D46" s="28"/>
      <c r="E46" s="50"/>
      <c r="F46" s="48"/>
      <c r="G46" s="48"/>
      <c r="H46" s="49"/>
    </row>
    <row r="47" ht="15.75" customHeight="1">
      <c r="A47" s="18"/>
      <c r="B47" s="20"/>
      <c r="C47" s="20"/>
      <c r="D47" s="28"/>
      <c r="E47" s="50"/>
      <c r="F47" s="48"/>
      <c r="G47" s="48"/>
      <c r="H47" s="49"/>
    </row>
    <row r="48" ht="15.75" customHeight="1">
      <c r="A48" s="18"/>
      <c r="B48" s="20"/>
      <c r="C48" s="20"/>
      <c r="D48" s="28"/>
      <c r="E48" s="50"/>
      <c r="F48" s="48"/>
      <c r="G48" s="48"/>
      <c r="H48" s="49"/>
    </row>
    <row r="49" ht="15.75" customHeight="1">
      <c r="A49" s="18"/>
      <c r="B49" s="20"/>
      <c r="C49" s="20"/>
      <c r="D49" s="28"/>
      <c r="E49" s="50"/>
      <c r="F49" s="48"/>
      <c r="G49" s="48"/>
      <c r="H49" s="51"/>
    </row>
    <row r="50" ht="15.75" customHeight="1">
      <c r="A50" s="18"/>
      <c r="B50" s="20"/>
      <c r="C50" s="20"/>
      <c r="D50" s="28"/>
      <c r="E50" s="50"/>
      <c r="F50" s="48"/>
      <c r="G50" s="48"/>
      <c r="H50" s="51"/>
    </row>
    <row r="51" ht="15.75" customHeight="1">
      <c r="A51" s="18"/>
      <c r="B51" s="20"/>
      <c r="C51" s="20"/>
      <c r="D51" s="28"/>
      <c r="E51" s="50"/>
      <c r="F51" s="48"/>
      <c r="G51" s="48"/>
      <c r="H51" s="49"/>
    </row>
    <row r="52" ht="15.75" customHeight="1">
      <c r="A52" s="18"/>
      <c r="B52" s="20"/>
      <c r="C52" s="20"/>
      <c r="D52" s="28"/>
      <c r="E52" s="50"/>
      <c r="F52" s="48"/>
      <c r="G52" s="48"/>
      <c r="H52" s="51"/>
    </row>
    <row r="53" ht="15.75" customHeight="1">
      <c r="A53" s="18"/>
      <c r="B53" s="20"/>
      <c r="C53" s="20"/>
      <c r="D53" s="28"/>
      <c r="E53" s="50"/>
      <c r="F53" s="48"/>
      <c r="G53" s="48"/>
      <c r="H53" s="49"/>
    </row>
    <row r="54" ht="15.75" customHeight="1">
      <c r="A54" s="18"/>
      <c r="B54" s="20"/>
      <c r="C54" s="20"/>
      <c r="D54" s="28"/>
      <c r="E54" s="50"/>
      <c r="F54" s="48"/>
      <c r="G54" s="48"/>
      <c r="H54" s="51"/>
    </row>
    <row r="55" ht="15.75" customHeight="1">
      <c r="A55" s="18"/>
      <c r="B55" s="20"/>
      <c r="C55" s="20"/>
      <c r="D55" s="28"/>
      <c r="E55" s="50"/>
      <c r="F55" s="48"/>
      <c r="G55" s="48"/>
      <c r="H55" s="49"/>
    </row>
    <row r="56" ht="15.75" customHeight="1">
      <c r="A56" s="18"/>
      <c r="B56" s="20"/>
      <c r="C56" s="20"/>
      <c r="D56" s="28"/>
      <c r="E56" s="50"/>
      <c r="F56" s="48"/>
      <c r="G56" s="48"/>
      <c r="H56" s="49"/>
    </row>
    <row r="57" ht="15.75" customHeight="1">
      <c r="A57" s="18"/>
      <c r="B57" s="20"/>
      <c r="C57" s="20"/>
      <c r="D57" s="28"/>
      <c r="E57" s="50"/>
      <c r="F57" s="48"/>
      <c r="G57" s="48"/>
      <c r="H57" s="49"/>
    </row>
    <row r="58" ht="15.75" customHeight="1">
      <c r="A58" s="18"/>
      <c r="B58" s="20"/>
      <c r="C58" s="20"/>
      <c r="D58" s="28"/>
      <c r="E58" s="50"/>
      <c r="F58" s="48"/>
      <c r="G58" s="48"/>
      <c r="H58" s="49"/>
    </row>
    <row r="59" ht="15.75" customHeight="1">
      <c r="A59" s="18"/>
      <c r="B59" s="20"/>
      <c r="C59" s="20"/>
      <c r="D59" s="28"/>
      <c r="E59" s="50"/>
      <c r="F59" s="48"/>
      <c r="G59" s="48"/>
      <c r="H59" s="49"/>
    </row>
    <row r="60" ht="15.75" customHeight="1">
      <c r="A60" s="18"/>
      <c r="B60" s="20"/>
      <c r="C60" s="20"/>
      <c r="D60" s="28"/>
      <c r="E60" s="50"/>
      <c r="F60" s="48"/>
      <c r="G60" s="48"/>
      <c r="H60" s="49"/>
    </row>
    <row r="61" ht="15.75" customHeight="1">
      <c r="A61" s="18"/>
      <c r="B61" s="20"/>
      <c r="C61" s="20"/>
      <c r="D61" s="28"/>
      <c r="E61" s="50"/>
      <c r="F61" s="48"/>
      <c r="G61" s="48"/>
      <c r="H61" s="49"/>
    </row>
    <row r="62" ht="15.75" customHeight="1">
      <c r="A62" s="18"/>
      <c r="B62" s="20"/>
      <c r="C62" s="20"/>
      <c r="D62" s="28"/>
      <c r="E62" s="50"/>
      <c r="F62" s="48"/>
      <c r="G62" s="48"/>
      <c r="H62" s="49"/>
    </row>
    <row r="63" ht="15.75" customHeight="1">
      <c r="A63" s="18"/>
      <c r="B63" s="20"/>
      <c r="C63" s="20"/>
      <c r="D63" s="28"/>
      <c r="E63" s="50"/>
      <c r="F63" s="48"/>
      <c r="G63" s="48"/>
      <c r="H63" s="49"/>
    </row>
    <row r="64" ht="15.75" customHeight="1">
      <c r="A64" s="18"/>
      <c r="B64" s="20"/>
      <c r="C64" s="20"/>
      <c r="D64" s="28"/>
      <c r="E64" s="50"/>
      <c r="F64" s="48"/>
      <c r="G64" s="48"/>
      <c r="H64" s="49"/>
    </row>
    <row r="65" ht="15.75" customHeight="1">
      <c r="A65" s="18"/>
      <c r="B65" s="20"/>
      <c r="C65" s="20"/>
      <c r="D65" s="28"/>
      <c r="E65" s="50"/>
      <c r="F65" s="48"/>
      <c r="G65" s="48"/>
      <c r="H65" s="49"/>
    </row>
    <row r="66" ht="15.75" customHeight="1">
      <c r="A66" s="18"/>
      <c r="B66" s="20"/>
      <c r="C66" s="20"/>
      <c r="D66" s="28"/>
      <c r="E66" s="50"/>
      <c r="F66" s="48"/>
      <c r="G66" s="48"/>
      <c r="H66" s="51"/>
    </row>
    <row r="67" ht="15.75" customHeight="1">
      <c r="A67" s="18"/>
      <c r="B67" s="20"/>
      <c r="C67" s="20"/>
      <c r="D67" s="28"/>
      <c r="E67" s="50"/>
      <c r="F67" s="48"/>
      <c r="G67" s="48"/>
      <c r="H67" s="51"/>
    </row>
    <row r="68" ht="15.75" customHeight="1">
      <c r="A68" s="18"/>
      <c r="B68" s="20"/>
      <c r="C68" s="20"/>
      <c r="D68" s="28"/>
      <c r="E68" s="50"/>
      <c r="F68" s="48"/>
      <c r="G68" s="48"/>
      <c r="H68" s="49"/>
    </row>
    <row r="69" ht="15.75" customHeight="1">
      <c r="A69" s="18"/>
      <c r="B69" s="20"/>
      <c r="C69" s="32"/>
      <c r="D69" s="28"/>
      <c r="E69" s="50"/>
      <c r="F69" s="48"/>
      <c r="G69" s="48"/>
      <c r="H69" s="49"/>
    </row>
    <row r="70" ht="15.75" customHeight="1">
      <c r="A70" s="18"/>
      <c r="B70" s="20"/>
      <c r="C70" s="20"/>
      <c r="D70" s="28"/>
      <c r="E70" s="50"/>
      <c r="F70" s="48"/>
      <c r="G70" s="48"/>
      <c r="H70" s="49"/>
    </row>
    <row r="71" ht="15.75" customHeight="1">
      <c r="A71" s="18"/>
      <c r="B71" s="20"/>
      <c r="C71" s="20"/>
      <c r="D71" s="28"/>
      <c r="E71" s="50"/>
      <c r="F71" s="48"/>
      <c r="G71" s="48"/>
      <c r="H71" s="49"/>
    </row>
    <row r="72" ht="15.75" customHeight="1">
      <c r="A72" s="18"/>
      <c r="B72" s="20"/>
      <c r="C72" s="20"/>
      <c r="D72" s="28"/>
      <c r="E72" s="50"/>
      <c r="F72" s="48"/>
      <c r="G72" s="48"/>
      <c r="H72" s="51"/>
    </row>
    <row r="73" ht="15.75" customHeight="1">
      <c r="A73" s="18"/>
      <c r="B73" s="20"/>
      <c r="C73" s="20"/>
      <c r="D73" s="28"/>
      <c r="E73" s="50"/>
      <c r="F73" s="48"/>
      <c r="G73" s="48"/>
      <c r="H73" s="49"/>
    </row>
    <row r="74" ht="15.75" customHeight="1">
      <c r="A74" s="18"/>
      <c r="B74" s="20"/>
      <c r="C74" s="20"/>
      <c r="D74" s="28"/>
      <c r="E74" s="50"/>
      <c r="F74" s="48"/>
      <c r="G74" s="48"/>
      <c r="H74" s="49"/>
    </row>
    <row r="75" ht="15.75" customHeight="1">
      <c r="A75" s="18"/>
      <c r="B75" s="20"/>
      <c r="C75" s="20"/>
      <c r="D75" s="28"/>
      <c r="E75" s="50"/>
      <c r="F75" s="48"/>
      <c r="G75" s="48"/>
      <c r="H75" s="51"/>
    </row>
    <row r="76" ht="15.75" customHeight="1">
      <c r="A76" s="18"/>
      <c r="B76" s="20"/>
      <c r="C76" s="20"/>
      <c r="D76" s="28"/>
      <c r="E76" s="50"/>
      <c r="F76" s="48"/>
      <c r="G76" s="48"/>
      <c r="H76" s="51"/>
    </row>
    <row r="77" ht="15.75" customHeight="1">
      <c r="A77" s="18"/>
      <c r="B77" s="20"/>
      <c r="C77" s="20"/>
      <c r="D77" s="28"/>
      <c r="E77" s="50"/>
      <c r="F77" s="48"/>
      <c r="G77" s="48"/>
      <c r="H77" s="51"/>
    </row>
    <row r="78" ht="15.75" customHeight="1">
      <c r="A78" s="18"/>
      <c r="B78" s="20"/>
      <c r="C78" s="20"/>
      <c r="D78" s="28"/>
      <c r="E78" s="50"/>
      <c r="F78" s="48"/>
      <c r="G78" s="48"/>
      <c r="H78" s="49"/>
    </row>
    <row r="79" ht="15.75" customHeight="1">
      <c r="A79" s="18"/>
      <c r="B79" s="20"/>
      <c r="C79" s="20"/>
      <c r="D79" s="28"/>
      <c r="E79" s="50"/>
      <c r="F79" s="48"/>
      <c r="G79" s="48"/>
      <c r="H79" s="51"/>
    </row>
    <row r="80" ht="15.75" customHeight="1">
      <c r="A80" s="18"/>
      <c r="B80" s="20"/>
      <c r="C80" s="20"/>
      <c r="D80" s="28"/>
      <c r="E80" s="50"/>
      <c r="F80" s="48"/>
      <c r="G80" s="48"/>
      <c r="H80" s="49"/>
    </row>
    <row r="81" ht="15.75" customHeight="1">
      <c r="A81" s="18"/>
      <c r="B81" s="20"/>
      <c r="C81" s="20"/>
      <c r="D81" s="28"/>
      <c r="E81" s="50"/>
      <c r="F81" s="48"/>
      <c r="G81" s="48"/>
      <c r="H81" s="49"/>
    </row>
    <row r="82" ht="15.75" customHeight="1">
      <c r="A82" s="18"/>
      <c r="B82" s="20"/>
      <c r="C82" s="20"/>
      <c r="D82" s="28"/>
      <c r="E82" s="50"/>
      <c r="F82" s="48"/>
      <c r="G82" s="48"/>
      <c r="H82" s="49"/>
    </row>
    <row r="83" ht="15.75" customHeight="1">
      <c r="A83" s="18"/>
      <c r="B83" s="20"/>
      <c r="C83" s="20"/>
      <c r="D83" s="28"/>
      <c r="E83" s="50"/>
      <c r="F83" s="48"/>
      <c r="G83" s="48"/>
      <c r="H83" s="51"/>
    </row>
    <row r="84" ht="15.75" customHeight="1">
      <c r="A84" s="18"/>
      <c r="B84" s="20"/>
      <c r="C84" s="20"/>
      <c r="D84" s="28"/>
      <c r="E84" s="50"/>
      <c r="F84" s="48"/>
      <c r="G84" s="48"/>
      <c r="H84" s="51"/>
    </row>
    <row r="85" ht="15.75" customHeight="1">
      <c r="A85" s="54"/>
      <c r="B85" s="55"/>
      <c r="C85" s="20"/>
      <c r="D85" s="28"/>
      <c r="E85" s="50"/>
      <c r="F85" s="48"/>
      <c r="G85" s="48"/>
      <c r="H85" s="51"/>
    </row>
    <row r="86" ht="15.75" customHeight="1">
      <c r="A86" s="54"/>
      <c r="B86" s="55"/>
      <c r="C86" s="20"/>
      <c r="D86" s="28"/>
      <c r="E86" s="50"/>
      <c r="F86" s="48"/>
      <c r="G86" s="48"/>
      <c r="H86" s="51"/>
    </row>
    <row r="87" ht="15.75" customHeight="1">
      <c r="A87" s="54"/>
      <c r="B87" s="55"/>
      <c r="C87" s="20"/>
      <c r="D87" s="28"/>
      <c r="E87" s="50"/>
      <c r="F87" s="48"/>
      <c r="G87" s="48"/>
      <c r="H87" s="51"/>
    </row>
    <row r="88" ht="15.75" customHeight="1">
      <c r="A88" s="18"/>
      <c r="B88" s="20"/>
      <c r="C88" s="20"/>
      <c r="D88" s="28"/>
      <c r="E88" s="50"/>
      <c r="F88" s="48"/>
      <c r="G88" s="48"/>
      <c r="H88" s="51"/>
    </row>
    <row r="89" ht="15.75" customHeight="1">
      <c r="A89" s="54"/>
      <c r="B89" s="55"/>
      <c r="C89" s="20"/>
      <c r="D89" s="28"/>
      <c r="E89" s="50"/>
      <c r="F89" s="48"/>
      <c r="G89" s="48"/>
      <c r="H89" s="51"/>
    </row>
    <row r="90" ht="15.75" customHeight="1">
      <c r="A90" s="54"/>
      <c r="B90" s="55"/>
      <c r="C90" s="20"/>
      <c r="D90" s="28"/>
      <c r="E90" s="50"/>
      <c r="F90" s="48"/>
      <c r="G90" s="48"/>
      <c r="H90" s="51"/>
    </row>
    <row r="91" ht="15.75" customHeight="1">
      <c r="A91" s="54"/>
      <c r="B91" s="55"/>
      <c r="C91" s="20"/>
      <c r="D91" s="28"/>
      <c r="E91" s="50"/>
      <c r="F91" s="48"/>
      <c r="G91" s="48"/>
      <c r="H91" s="51"/>
    </row>
    <row r="92" ht="15.75" customHeight="1">
      <c r="A92" s="18"/>
      <c r="B92" s="20"/>
      <c r="C92" s="20"/>
      <c r="D92" s="28"/>
      <c r="E92" s="50"/>
      <c r="F92" s="48"/>
      <c r="G92" s="48"/>
      <c r="H92" s="51"/>
    </row>
    <row r="93" ht="15.75" customHeight="1">
      <c r="A93" s="54"/>
      <c r="B93" s="55"/>
      <c r="C93" s="20"/>
      <c r="D93" s="28"/>
      <c r="E93" s="50"/>
      <c r="F93" s="48"/>
      <c r="G93" s="48"/>
      <c r="H93" s="51"/>
    </row>
    <row r="94" ht="15.75" customHeight="1">
      <c r="A94" s="18"/>
      <c r="B94" s="20"/>
      <c r="C94" s="20"/>
      <c r="D94" s="28"/>
      <c r="E94" s="50"/>
      <c r="F94" s="48"/>
      <c r="G94" s="48"/>
      <c r="H94" s="51"/>
    </row>
    <row r="95" ht="15.75" customHeight="1">
      <c r="A95" s="54"/>
      <c r="B95" s="55"/>
      <c r="C95" s="20"/>
      <c r="D95" s="28"/>
      <c r="E95" s="50"/>
      <c r="F95" s="48"/>
      <c r="G95" s="48"/>
      <c r="H95" s="51"/>
    </row>
    <row r="96" ht="15.75" customHeight="1">
      <c r="A96" s="54"/>
      <c r="B96" s="55"/>
      <c r="C96" s="20"/>
      <c r="D96" s="28"/>
      <c r="E96" s="50"/>
      <c r="F96" s="48"/>
      <c r="G96" s="48"/>
      <c r="H96" s="51"/>
    </row>
    <row r="97" ht="15.75" customHeight="1">
      <c r="A97" s="18"/>
      <c r="B97" s="20"/>
      <c r="C97" s="32"/>
      <c r="D97" s="28"/>
      <c r="E97" s="50"/>
      <c r="F97" s="48"/>
      <c r="G97" s="48"/>
      <c r="H97" s="51"/>
    </row>
    <row r="98" ht="15.75" customHeight="1">
      <c r="A98" s="18"/>
      <c r="B98" s="20"/>
      <c r="C98" s="32"/>
      <c r="D98" s="28"/>
      <c r="E98" s="50"/>
      <c r="F98" s="48"/>
      <c r="G98" s="48"/>
      <c r="H98" s="51"/>
    </row>
    <row r="99" ht="15.75" customHeight="1">
      <c r="A99" s="54"/>
      <c r="B99" s="55"/>
      <c r="C99" s="32"/>
      <c r="D99" s="28"/>
      <c r="E99" s="50"/>
      <c r="F99" s="48"/>
      <c r="G99" s="48"/>
      <c r="H99" s="51"/>
    </row>
    <row r="100" ht="15.75" customHeight="1">
      <c r="A100" s="54"/>
      <c r="B100" s="20"/>
      <c r="C100" s="32"/>
      <c r="D100" s="28"/>
      <c r="E100" s="50"/>
      <c r="F100" s="48"/>
      <c r="G100" s="48"/>
      <c r="H100" s="51"/>
    </row>
    <row r="101" ht="15.75" customHeight="1">
      <c r="A101" s="54"/>
      <c r="B101" s="55"/>
      <c r="C101" s="32"/>
      <c r="D101" s="28"/>
      <c r="E101" s="50"/>
      <c r="F101" s="48"/>
      <c r="G101" s="48"/>
      <c r="H101" s="51"/>
    </row>
    <row r="102" ht="15.75" customHeight="1">
      <c r="A102" s="18"/>
      <c r="B102" s="20"/>
      <c r="C102" s="20"/>
      <c r="D102" s="28"/>
      <c r="E102" s="50"/>
      <c r="F102" s="48"/>
      <c r="G102" s="48"/>
      <c r="H102" s="51"/>
    </row>
    <row r="103" ht="15.75" customHeight="1">
      <c r="A103" s="54"/>
      <c r="B103" s="55"/>
      <c r="C103" s="20"/>
      <c r="D103" s="28"/>
      <c r="E103" s="50"/>
      <c r="F103" s="48"/>
      <c r="G103" s="48"/>
      <c r="H103" s="51"/>
    </row>
    <row r="104" ht="15.75" customHeight="1">
      <c r="A104" s="18"/>
      <c r="B104" s="20"/>
      <c r="C104" s="20"/>
      <c r="D104" s="28"/>
      <c r="E104" s="50"/>
      <c r="F104" s="48"/>
      <c r="G104" s="48"/>
      <c r="H104" s="51"/>
    </row>
    <row r="105" ht="15.75" customHeight="1">
      <c r="A105" s="18"/>
      <c r="B105" s="20"/>
      <c r="C105" s="20"/>
      <c r="D105" s="28"/>
      <c r="E105" s="50"/>
      <c r="F105" s="48"/>
      <c r="G105" s="48"/>
      <c r="H105" s="51"/>
    </row>
    <row r="106" ht="15.75" customHeight="1">
      <c r="A106" s="18"/>
      <c r="B106" s="20"/>
      <c r="C106" s="20"/>
      <c r="D106" s="28"/>
      <c r="E106" s="50"/>
      <c r="F106" s="48"/>
      <c r="G106" s="48"/>
      <c r="H106" s="51"/>
    </row>
    <row r="107" ht="15.75" customHeight="1">
      <c r="A107" s="18"/>
      <c r="B107" s="20"/>
      <c r="C107" s="20"/>
      <c r="D107" s="28"/>
      <c r="E107" s="50"/>
      <c r="F107" s="48"/>
      <c r="G107" s="48"/>
      <c r="H107" s="51"/>
    </row>
    <row r="108" ht="15.75" customHeight="1">
      <c r="A108" s="54"/>
      <c r="B108" s="55"/>
      <c r="C108" s="20"/>
      <c r="D108" s="28"/>
      <c r="E108" s="50"/>
      <c r="F108" s="48"/>
      <c r="G108" s="48"/>
      <c r="H108" s="51"/>
    </row>
    <row r="109" ht="15.75" customHeight="1">
      <c r="A109" s="54"/>
      <c r="B109" s="55"/>
      <c r="C109" s="20"/>
      <c r="D109" s="28"/>
      <c r="E109" s="50"/>
      <c r="F109" s="48"/>
      <c r="G109" s="48"/>
      <c r="H109" s="51"/>
    </row>
    <row r="110" ht="15.75" customHeight="1">
      <c r="A110" s="54"/>
      <c r="B110" s="55"/>
      <c r="C110" s="20"/>
      <c r="D110" s="28"/>
      <c r="E110" s="50"/>
      <c r="F110" s="48"/>
      <c r="G110" s="48"/>
      <c r="H110" s="51"/>
    </row>
    <row r="111" ht="15.75" customHeight="1">
      <c r="A111" s="18"/>
      <c r="B111" s="20"/>
      <c r="C111" s="20"/>
      <c r="D111" s="28"/>
      <c r="E111" s="50"/>
      <c r="F111" s="48"/>
      <c r="G111" s="48"/>
      <c r="H111" s="49"/>
    </row>
    <row r="112" ht="15.75" customHeight="1">
      <c r="A112" s="18"/>
      <c r="B112" s="20"/>
      <c r="C112" s="20"/>
      <c r="D112" s="28"/>
      <c r="E112" s="50"/>
      <c r="F112" s="48"/>
      <c r="G112" s="48"/>
      <c r="H112" s="51"/>
    </row>
    <row r="113" ht="15.75" customHeight="1">
      <c r="A113" s="18"/>
      <c r="B113" s="20"/>
      <c r="C113" s="20"/>
      <c r="D113" s="28"/>
      <c r="E113" s="50"/>
      <c r="F113" s="48"/>
      <c r="G113" s="48"/>
      <c r="H113" s="51"/>
    </row>
    <row r="114" ht="15.75" customHeight="1">
      <c r="A114" s="18"/>
      <c r="B114" s="20"/>
      <c r="C114" s="20"/>
      <c r="D114" s="28"/>
      <c r="E114" s="50"/>
      <c r="F114" s="48"/>
      <c r="G114" s="48"/>
      <c r="H114" s="51"/>
    </row>
    <row r="115" ht="15.75" customHeight="1">
      <c r="A115" s="18"/>
      <c r="B115" s="20"/>
      <c r="C115" s="20"/>
      <c r="D115" s="28"/>
      <c r="E115" s="50"/>
      <c r="F115" s="48"/>
      <c r="G115" s="48"/>
      <c r="H115" s="51"/>
    </row>
    <row r="116" ht="15.75" customHeight="1">
      <c r="A116" s="18"/>
      <c r="B116" s="20"/>
      <c r="C116" s="20"/>
      <c r="D116" s="28"/>
      <c r="E116" s="50"/>
      <c r="F116" s="48"/>
      <c r="G116" s="48"/>
      <c r="H116" s="51"/>
    </row>
    <row r="117" ht="15.75" customHeight="1">
      <c r="A117" s="18"/>
      <c r="B117" s="20"/>
      <c r="C117" s="20"/>
      <c r="D117" s="28"/>
      <c r="E117" s="50"/>
      <c r="F117" s="48"/>
      <c r="G117" s="48"/>
      <c r="H117" s="51"/>
    </row>
    <row r="118" ht="15.75" customHeight="1">
      <c r="A118" s="54"/>
      <c r="B118" s="55"/>
      <c r="C118" s="20"/>
      <c r="D118" s="28"/>
      <c r="E118" s="50"/>
      <c r="F118" s="48"/>
      <c r="G118" s="48"/>
      <c r="H118" s="51"/>
    </row>
    <row r="119" ht="15.75" customHeight="1">
      <c r="A119" s="18"/>
      <c r="B119" s="20"/>
      <c r="C119" s="20"/>
      <c r="D119" s="28"/>
      <c r="E119" s="50"/>
      <c r="F119" s="48"/>
      <c r="G119" s="48"/>
      <c r="H119" s="51"/>
    </row>
    <row r="120" ht="15.75" customHeight="1">
      <c r="A120" s="18"/>
      <c r="B120" s="20"/>
      <c r="C120" s="20"/>
      <c r="D120" s="28"/>
      <c r="E120" s="50"/>
      <c r="F120" s="48"/>
      <c r="G120" s="48"/>
      <c r="H120" s="51"/>
    </row>
    <row r="121" ht="15.75" customHeight="1">
      <c r="A121" s="18"/>
      <c r="B121" s="20"/>
      <c r="C121" s="20"/>
      <c r="D121" s="28"/>
      <c r="E121" s="50"/>
      <c r="F121" s="48"/>
      <c r="G121" s="48"/>
      <c r="H121" s="51"/>
    </row>
    <row r="122" ht="15.75" customHeight="1">
      <c r="A122" s="18"/>
      <c r="B122" s="20"/>
      <c r="C122" s="20"/>
      <c r="D122" s="28"/>
      <c r="E122" s="50"/>
      <c r="F122" s="48"/>
      <c r="G122" s="48"/>
      <c r="H122" s="51"/>
    </row>
    <row r="123" ht="15.75" customHeight="1">
      <c r="A123" s="18"/>
      <c r="B123" s="20"/>
      <c r="C123" s="20"/>
      <c r="D123" s="28"/>
      <c r="E123" s="50"/>
      <c r="F123" s="48"/>
      <c r="G123" s="48"/>
      <c r="H123" s="43"/>
    </row>
    <row r="124" ht="15.75" customHeight="1">
      <c r="A124" s="18"/>
      <c r="B124" s="20"/>
      <c r="C124" s="20"/>
      <c r="D124" s="28"/>
      <c r="E124" s="50"/>
      <c r="F124" s="48"/>
      <c r="G124" s="48"/>
      <c r="H124" s="43"/>
    </row>
    <row r="125" ht="15.75" customHeight="1">
      <c r="A125" s="18"/>
      <c r="B125" s="20"/>
      <c r="C125" s="20"/>
      <c r="D125" s="28"/>
      <c r="E125" s="50"/>
      <c r="F125" s="48"/>
      <c r="G125" s="48"/>
      <c r="H125" s="43"/>
    </row>
    <row r="126" ht="15.75" customHeight="1">
      <c r="A126" s="18"/>
      <c r="B126" s="20"/>
      <c r="C126" s="32"/>
      <c r="D126" s="28"/>
      <c r="E126" s="50"/>
      <c r="F126" s="48"/>
      <c r="G126" s="48"/>
      <c r="H126" s="51"/>
    </row>
    <row r="127" ht="15.75" customHeight="1">
      <c r="A127" s="54"/>
      <c r="B127" s="55"/>
      <c r="C127" s="32"/>
      <c r="D127" s="28"/>
      <c r="E127" s="47"/>
      <c r="F127" s="48"/>
      <c r="G127" s="48"/>
      <c r="H127" s="51"/>
    </row>
    <row r="128" ht="15.75" customHeight="1">
      <c r="A128" s="54"/>
      <c r="B128" s="55"/>
      <c r="C128" s="32"/>
      <c r="D128" s="28"/>
      <c r="E128" s="50"/>
      <c r="F128" s="48"/>
      <c r="G128" s="48"/>
      <c r="H128" s="51"/>
    </row>
    <row r="129" ht="15.75" customHeight="1">
      <c r="A129" s="54"/>
      <c r="B129" s="55"/>
      <c r="C129" s="32"/>
      <c r="D129" s="28"/>
      <c r="E129" s="50"/>
      <c r="F129" s="48"/>
      <c r="G129" s="48"/>
      <c r="H129" s="51"/>
    </row>
    <row r="130" ht="15.75" customHeight="1">
      <c r="A130" s="18"/>
      <c r="B130" s="20"/>
      <c r="C130" s="32"/>
      <c r="D130" s="28"/>
      <c r="E130" s="50"/>
      <c r="F130" s="48"/>
      <c r="G130" s="48"/>
      <c r="H130" s="51"/>
    </row>
    <row r="131" ht="15.75" customHeight="1">
      <c r="A131" s="18"/>
      <c r="B131" s="20"/>
      <c r="C131" s="32"/>
      <c r="D131" s="28"/>
      <c r="E131" s="50"/>
      <c r="F131" s="48"/>
      <c r="G131" s="48"/>
      <c r="H131" s="51"/>
    </row>
    <row r="132" ht="15.75" customHeight="1">
      <c r="A132" s="18"/>
      <c r="B132" s="20"/>
      <c r="C132" s="32"/>
      <c r="D132" s="28"/>
      <c r="E132" s="50"/>
      <c r="F132" s="48"/>
      <c r="G132" s="48"/>
      <c r="H132" s="51"/>
    </row>
    <row r="133" ht="15.75" customHeight="1">
      <c r="A133" s="18"/>
      <c r="B133" s="20"/>
      <c r="C133" s="32"/>
      <c r="D133" s="28"/>
      <c r="E133" s="50"/>
      <c r="F133" s="48"/>
      <c r="G133" s="48"/>
      <c r="H133" s="51"/>
    </row>
    <row r="134" ht="15.75" customHeight="1">
      <c r="A134" s="18"/>
      <c r="B134" s="20"/>
      <c r="C134" s="32"/>
      <c r="D134" s="28"/>
      <c r="E134" s="50"/>
      <c r="F134" s="48"/>
      <c r="G134" s="48"/>
      <c r="H134" s="51"/>
    </row>
    <row r="135" ht="15.75" customHeight="1">
      <c r="A135" s="18"/>
      <c r="B135" s="20"/>
      <c r="C135" s="32"/>
      <c r="D135" s="28"/>
      <c r="E135" s="50"/>
      <c r="F135" s="48"/>
      <c r="G135" s="48"/>
      <c r="H135" s="51"/>
    </row>
    <row r="136" ht="15.75" customHeight="1">
      <c r="A136" s="18"/>
      <c r="B136" s="20"/>
      <c r="C136" s="20"/>
      <c r="D136" s="28"/>
      <c r="E136" s="50"/>
      <c r="F136" s="48"/>
      <c r="G136" s="48"/>
      <c r="H136" s="51"/>
    </row>
    <row r="137" ht="15.75" customHeight="1">
      <c r="A137" s="18"/>
      <c r="B137" s="20"/>
      <c r="C137" s="20"/>
      <c r="D137" s="28"/>
      <c r="E137" s="50"/>
      <c r="F137" s="48"/>
      <c r="G137" s="48"/>
      <c r="H137" s="43"/>
    </row>
    <row r="138" ht="15.75" customHeight="1">
      <c r="A138" s="18"/>
      <c r="B138" s="20"/>
      <c r="C138" s="20"/>
      <c r="D138" s="28"/>
      <c r="E138" s="50"/>
      <c r="F138" s="48"/>
      <c r="G138" s="48"/>
      <c r="H138" s="20"/>
    </row>
    <row r="139" ht="15.75" customHeight="1">
      <c r="A139" s="18"/>
      <c r="B139" s="20"/>
      <c r="C139" s="20"/>
      <c r="D139" s="28"/>
      <c r="E139" s="50"/>
      <c r="F139" s="48"/>
      <c r="G139" s="48"/>
      <c r="H139" s="51"/>
    </row>
    <row r="140" ht="15.75" customHeight="1">
      <c r="A140" s="18"/>
      <c r="B140" s="20"/>
      <c r="C140" s="20"/>
      <c r="D140" s="28"/>
      <c r="E140" s="50"/>
      <c r="F140" s="48"/>
      <c r="G140" s="48"/>
      <c r="H140" s="51"/>
    </row>
    <row r="141" ht="15.75" customHeight="1">
      <c r="A141" s="18"/>
      <c r="B141" s="20"/>
      <c r="C141" s="20"/>
      <c r="D141" s="28"/>
      <c r="E141" s="50"/>
      <c r="F141" s="48"/>
      <c r="G141" s="48"/>
      <c r="H141" s="51"/>
    </row>
    <row r="142" ht="15.75" customHeight="1">
      <c r="A142" s="54"/>
      <c r="B142" s="20"/>
      <c r="C142" s="20"/>
      <c r="D142" s="28"/>
      <c r="E142" s="50"/>
      <c r="F142" s="48"/>
      <c r="G142" s="48"/>
      <c r="H142" s="49"/>
    </row>
    <row r="143" ht="15.75" customHeight="1">
      <c r="A143" s="18"/>
      <c r="B143" s="20"/>
      <c r="C143" s="32"/>
      <c r="D143" s="28"/>
      <c r="E143" s="50"/>
      <c r="F143" s="48"/>
      <c r="G143" s="48"/>
      <c r="H143" s="51"/>
    </row>
    <row r="144" ht="15.75" customHeight="1">
      <c r="A144" s="18"/>
      <c r="B144" s="20"/>
      <c r="C144" s="32"/>
      <c r="D144" s="28"/>
      <c r="E144" s="50"/>
      <c r="F144" s="48"/>
      <c r="G144" s="48"/>
      <c r="H144" s="51"/>
    </row>
    <row r="145" ht="15.75" customHeight="1">
      <c r="A145" s="18"/>
      <c r="B145" s="20"/>
      <c r="C145" s="32"/>
      <c r="D145" s="28"/>
      <c r="E145" s="50"/>
      <c r="F145" s="48"/>
      <c r="G145" s="48"/>
      <c r="H145" s="51"/>
    </row>
    <row r="146" ht="15.75" customHeight="1">
      <c r="A146" s="54"/>
      <c r="B146" s="55"/>
      <c r="C146" s="32"/>
      <c r="D146" s="28"/>
      <c r="E146" s="50"/>
      <c r="F146" s="48"/>
      <c r="G146" s="48"/>
      <c r="H146" s="51"/>
    </row>
    <row r="147" ht="15.75" customHeight="1">
      <c r="A147" s="54"/>
      <c r="B147" s="55"/>
      <c r="C147" s="32"/>
      <c r="D147" s="28"/>
      <c r="E147" s="50"/>
      <c r="F147" s="48"/>
      <c r="G147" s="48"/>
      <c r="H147" s="51"/>
    </row>
    <row r="148" ht="15.75" customHeight="1">
      <c r="A148" s="18"/>
      <c r="B148" s="20"/>
      <c r="C148" s="32"/>
      <c r="D148" s="28"/>
      <c r="E148" s="50"/>
      <c r="F148" s="48"/>
      <c r="G148" s="48"/>
      <c r="H148" s="49"/>
    </row>
    <row r="149" ht="15.75" customHeight="1">
      <c r="A149" s="18"/>
      <c r="B149" s="20"/>
      <c r="C149" s="20"/>
      <c r="D149" s="28"/>
      <c r="E149" s="50"/>
      <c r="F149" s="48"/>
      <c r="G149" s="48"/>
      <c r="H149" s="51"/>
    </row>
    <row r="150" ht="15.75" customHeight="1">
      <c r="A150" s="54"/>
      <c r="B150" s="55"/>
      <c r="C150" s="20"/>
      <c r="D150" s="28"/>
      <c r="E150" s="50"/>
      <c r="F150" s="48"/>
      <c r="G150" s="48"/>
      <c r="H150" s="51"/>
    </row>
    <row r="151" ht="15.75" customHeight="1">
      <c r="A151" s="54"/>
      <c r="B151" s="55"/>
      <c r="C151" s="20"/>
      <c r="D151" s="28"/>
      <c r="E151" s="50"/>
      <c r="F151" s="48"/>
      <c r="G151" s="48"/>
      <c r="H151" s="49"/>
    </row>
    <row r="152" ht="15.75" customHeight="1">
      <c r="A152" s="18"/>
      <c r="B152" s="20"/>
      <c r="C152" s="20"/>
      <c r="D152" s="28"/>
      <c r="E152" s="50"/>
      <c r="F152" s="48"/>
      <c r="G152" s="48"/>
      <c r="H152" s="49"/>
    </row>
    <row r="153" ht="15.75" customHeight="1">
      <c r="A153" s="18"/>
      <c r="B153" s="20"/>
      <c r="C153" s="20"/>
      <c r="D153" s="28"/>
      <c r="E153" s="50"/>
      <c r="F153" s="48"/>
      <c r="G153" s="48"/>
      <c r="H153" s="49"/>
    </row>
    <row r="154" ht="15.75" customHeight="1">
      <c r="A154" s="18"/>
      <c r="B154" s="20"/>
      <c r="C154" s="20"/>
      <c r="D154" s="28"/>
      <c r="E154" s="50"/>
      <c r="F154" s="48"/>
      <c r="G154" s="48"/>
      <c r="H154" s="49"/>
    </row>
    <row r="155" ht="15.75" customHeight="1">
      <c r="A155" s="54"/>
      <c r="B155" s="55"/>
      <c r="C155" s="32"/>
      <c r="D155" s="28"/>
      <c r="E155" s="47"/>
      <c r="F155" s="48"/>
      <c r="G155" s="48"/>
      <c r="H155" s="49"/>
    </row>
    <row r="156" ht="15.75" customHeight="1">
      <c r="A156" s="18"/>
      <c r="B156" s="20"/>
      <c r="C156" s="20"/>
      <c r="D156" s="28"/>
      <c r="E156" s="47"/>
      <c r="F156" s="48"/>
      <c r="G156" s="48"/>
      <c r="H156" s="51"/>
    </row>
    <row r="157" ht="15.75" customHeight="1">
      <c r="A157" s="54"/>
      <c r="B157" s="55"/>
      <c r="C157" s="20"/>
      <c r="D157" s="28"/>
      <c r="E157" s="47"/>
      <c r="F157" s="48"/>
      <c r="G157" s="48"/>
      <c r="H157" s="49"/>
    </row>
    <row r="158" ht="15.75" customHeight="1">
      <c r="A158" s="54"/>
      <c r="B158" s="55"/>
      <c r="C158" s="20"/>
      <c r="D158" s="28"/>
      <c r="E158" s="50"/>
      <c r="F158" s="48"/>
      <c r="G158" s="48"/>
      <c r="H158" s="49"/>
    </row>
    <row r="159" ht="15.75" customHeight="1">
      <c r="A159" s="18"/>
      <c r="B159" s="20"/>
      <c r="C159" s="20"/>
      <c r="D159" s="28"/>
      <c r="E159" s="50"/>
      <c r="F159" s="48"/>
      <c r="G159" s="48"/>
      <c r="H159" s="51"/>
    </row>
    <row r="160" ht="15.75" customHeight="1">
      <c r="A160" s="54"/>
      <c r="B160" s="55"/>
      <c r="C160" s="32"/>
      <c r="D160" s="28"/>
      <c r="E160" s="50"/>
      <c r="F160" s="48"/>
      <c r="G160" s="48"/>
      <c r="H160" s="51"/>
    </row>
    <row r="161" ht="15.75" customHeight="1">
      <c r="A161" s="54"/>
      <c r="B161" s="55"/>
      <c r="C161" s="20"/>
      <c r="D161" s="28"/>
      <c r="E161" s="47"/>
      <c r="F161" s="48"/>
      <c r="G161" s="48"/>
      <c r="H161" s="56"/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H$161"/>
  <customSheetViews>
    <customSheetView guid="{467239E0-E671-4976-8A46-FD655DE95EE1}" filter="1" showAutoFilter="1">
      <autoFilter ref="$A$3:$H$70"/>
      <extLst>
        <ext uri="GoogleSheetsCustomDataVersion1">
          <go:sheetsCustomData xmlns:go="http://customooxmlschemas.google.com/" filterViewId="1130833445"/>
        </ext>
      </extLst>
    </customSheetView>
    <customSheetView guid="{73B74B80-3E82-4F85-B5CD-7B8C53BEB6D2}" filter="1" showAutoFilter="1">
      <autoFilter ref="$A$3:$H$70"/>
      <extLst>
        <ext uri="GoogleSheetsCustomDataVersion1">
          <go:sheetsCustomData xmlns:go="http://customooxmlschemas.google.com/" filterViewId="1215427770"/>
        </ext>
      </extLst>
    </customSheetView>
  </customSheetViews>
  <mergeCells count="1">
    <mergeCell ref="A1:H1"/>
  </mergeCells>
  <dataValidations>
    <dataValidation type="list" allowBlank="1" showErrorMessage="1" sqref="D4:D161">
      <formula1>"Estratégico,Tático,Operacional"</formula1>
    </dataValidation>
    <dataValidation type="list" allowBlank="1" sqref="G4:G161">
      <formula1>"Indiferente,Júnior,Pleno,Sênior,Master,Especialista"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7.0"/>
    <col customWidth="1" min="2" max="2" width="38.13"/>
    <col customWidth="1" min="3" max="3" width="15.75"/>
    <col customWidth="1" min="4" max="4" width="14.38"/>
    <col customWidth="1" min="5" max="5" width="29.13"/>
    <col customWidth="1" min="6" max="6" width="19.88"/>
    <col customWidth="1" min="7" max="7" width="13.0"/>
    <col customWidth="1" min="8" max="8" width="28.88"/>
    <col customWidth="1" min="9" max="9" width="11.75"/>
    <col customWidth="1" min="10" max="10" width="17.38"/>
    <col customWidth="1" min="11" max="11" width="12.5"/>
    <col customWidth="1" min="12" max="12" width="14.75"/>
    <col customWidth="1" min="13" max="13" width="10.88"/>
    <col customWidth="1" min="14" max="15" width="10.13"/>
    <col customWidth="1" min="16" max="16" width="10.88"/>
    <col customWidth="1" min="17" max="17" width="14.0"/>
    <col customWidth="1" min="18" max="18" width="18.75"/>
    <col customWidth="1" min="19" max="19" width="27.38"/>
    <col customWidth="1" min="20" max="20" width="14.13"/>
    <col customWidth="1" min="21" max="21" width="10.88"/>
    <col customWidth="1" min="22" max="22" width="8.25"/>
    <col customWidth="1" min="23" max="23" width="10.13"/>
    <col customWidth="1" min="24" max="24" width="10.88"/>
    <col customWidth="1" min="25" max="25" width="14.0"/>
    <col customWidth="1" min="26" max="26" width="20.88"/>
    <col customWidth="1" min="27" max="27" width="21.5"/>
  </cols>
  <sheetData>
    <row r="1">
      <c r="B1" s="57"/>
      <c r="C1" s="57"/>
      <c r="D1" s="57"/>
      <c r="E1" s="57"/>
      <c r="F1" s="57"/>
      <c r="G1" s="58" t="s">
        <v>45</v>
      </c>
      <c r="H1" s="57"/>
      <c r="I1" s="57"/>
      <c r="J1" s="57"/>
      <c r="K1" s="57"/>
      <c r="L1" s="59" t="str">
        <f>'Informações Relevantes Cenários'!A1</f>
        <v>Cenário 01: Pesquisa TI - Nacional</v>
      </c>
      <c r="M1" s="60"/>
      <c r="N1" s="60"/>
      <c r="O1" s="60"/>
      <c r="P1" s="60"/>
      <c r="Q1" s="61"/>
      <c r="R1" s="62" t="str">
        <f>"% Distância da "&amp;'Painel Geral'!B5</f>
        <v>% Distância da Mediana</v>
      </c>
      <c r="S1" s="62" t="s">
        <v>46</v>
      </c>
      <c r="T1" s="63" t="str">
        <f>'Informações Relevantes Cenários'!C1</f>
        <v>Cenário 02: Pesquisa TI - Corte por Santa Catarina</v>
      </c>
      <c r="U1" s="60"/>
      <c r="V1" s="60"/>
      <c r="W1" s="60"/>
      <c r="X1" s="60"/>
      <c r="Y1" s="61"/>
      <c r="Z1" s="64" t="str">
        <f>"% Distância da "&amp;'Painel Geral'!B5</f>
        <v>% Distância da Mediana</v>
      </c>
      <c r="AA1" s="64" t="s">
        <v>46</v>
      </c>
    </row>
    <row r="2" ht="6.0" customHeight="1">
      <c r="A2" s="65"/>
      <c r="B2" s="66"/>
      <c r="C2" s="67"/>
      <c r="D2" s="68"/>
      <c r="E2" s="68"/>
      <c r="F2" s="68"/>
      <c r="G2" s="68"/>
      <c r="H2" s="66"/>
      <c r="I2" s="68"/>
      <c r="J2" s="66"/>
      <c r="K2" s="69"/>
      <c r="L2" s="70"/>
      <c r="M2" s="71"/>
      <c r="N2" s="71"/>
      <c r="O2" s="71"/>
      <c r="P2" s="71"/>
      <c r="Q2" s="72"/>
      <c r="R2" s="73"/>
      <c r="S2" s="72"/>
      <c r="T2" s="74"/>
      <c r="U2" s="75"/>
      <c r="V2" s="75"/>
      <c r="W2" s="75"/>
      <c r="X2" s="75"/>
      <c r="Y2" s="76"/>
      <c r="Z2" s="77"/>
      <c r="AA2" s="78"/>
    </row>
    <row r="3">
      <c r="A3" s="79" t="s">
        <v>37</v>
      </c>
      <c r="B3" s="80" t="s">
        <v>38</v>
      </c>
      <c r="C3" s="81" t="s">
        <v>47</v>
      </c>
      <c r="D3" s="80" t="s">
        <v>48</v>
      </c>
      <c r="E3" s="80" t="s">
        <v>8</v>
      </c>
      <c r="F3" s="80" t="s">
        <v>7</v>
      </c>
      <c r="G3" s="80" t="s">
        <v>39</v>
      </c>
      <c r="H3" s="80" t="s">
        <v>40</v>
      </c>
      <c r="I3" s="82" t="s">
        <v>6</v>
      </c>
      <c r="J3" s="83" t="s">
        <v>49</v>
      </c>
      <c r="K3" s="80" t="s">
        <v>50</v>
      </c>
      <c r="L3" s="84" t="s">
        <v>51</v>
      </c>
      <c r="M3" s="85" t="s">
        <v>52</v>
      </c>
      <c r="N3" s="85" t="s">
        <v>53</v>
      </c>
      <c r="O3" s="85" t="s">
        <v>54</v>
      </c>
      <c r="P3" s="85" t="s">
        <v>55</v>
      </c>
      <c r="Q3" s="86" t="s">
        <v>56</v>
      </c>
      <c r="R3" s="87" t="s">
        <v>57</v>
      </c>
      <c r="S3" s="88" t="s">
        <v>58</v>
      </c>
      <c r="T3" s="89" t="s">
        <v>51</v>
      </c>
      <c r="U3" s="90" t="s">
        <v>52</v>
      </c>
      <c r="V3" s="90" t="s">
        <v>53</v>
      </c>
      <c r="W3" s="90" t="s">
        <v>54</v>
      </c>
      <c r="X3" s="90" t="s">
        <v>55</v>
      </c>
      <c r="Y3" s="91" t="s">
        <v>56</v>
      </c>
      <c r="Z3" s="92" t="s">
        <v>59</v>
      </c>
      <c r="AA3" s="93" t="s">
        <v>60</v>
      </c>
    </row>
    <row r="4" ht="15.75" customHeight="1">
      <c r="A4" s="94">
        <v>1.0</v>
      </c>
      <c r="B4" s="95" t="str">
        <f>VLOOKUP(A4,Jobmatch!A:F,2,0)</f>
        <v>Engenheiro de Software Full Stack Jr</v>
      </c>
      <c r="C4" s="96">
        <f>IFERROR(AVERAGEIF('Folha de Pagamento'!A:A,A4,'Folha de Pagamento'!I:I),"")</f>
        <v>2489.18</v>
      </c>
      <c r="D4" s="97">
        <v>1.0</v>
      </c>
      <c r="E4" s="98" t="str">
        <f>VLOOKUP(A4,Jobmatch!A:G,3,0)</f>
        <v>DEV</v>
      </c>
      <c r="F4" s="99" t="str">
        <f>VLOOKUP(A4,Jobmatch!A:H,4,0)</f>
        <v>Operacional</v>
      </c>
      <c r="G4" s="99">
        <f>VLOOKUP(A4,Jobmatch!A:H,5,0)</f>
        <v>1</v>
      </c>
      <c r="H4" s="95" t="str">
        <f>VLOOKUP(A4,Jobmatch!A:H,6,0)</f>
        <v>Desenvolvedor</v>
      </c>
      <c r="I4" s="100" t="str">
        <f>VLOOKUP(A4,Jobmatch!A:H,7,0)</f>
        <v>Júnior</v>
      </c>
      <c r="J4" s="101" t="str">
        <f t="shared" ref="J4:J8" si="1">G4&amp;I4</f>
        <v>1Júnior</v>
      </c>
      <c r="K4" s="99">
        <f>COUNTIF('Folha de Pagamento'!A:A,A4)</f>
        <v>23</v>
      </c>
      <c r="L4" s="102">
        <f>IFERROR(VLOOKUP(J4,'C-01'!$D:$L,4,0),"")</f>
        <v>2030.9</v>
      </c>
      <c r="M4" s="103">
        <f>IFERROR(VLOOKUP(J4,'C-01'!$D:$L,5,0),"")</f>
        <v>2706.62</v>
      </c>
      <c r="N4" s="103">
        <f>IFERROR(VLOOKUP(J4,'C-01'!$D:$L,6,0),"")</f>
        <v>3370.79</v>
      </c>
      <c r="O4" s="103">
        <f>IFERROR(VLOOKUP(J4,'C-01'!$D:$L,7,0),"")</f>
        <v>3379.04</v>
      </c>
      <c r="P4" s="103">
        <f>IFERROR(VLOOKUP(J4,'C-01'!$D:$L,8,0),"")</f>
        <v>3870.49</v>
      </c>
      <c r="Q4" s="102">
        <f>IFERROR(VLOOKUP(J4,'C-01'!$D:$L,9,0),"")</f>
        <v>5268.74</v>
      </c>
      <c r="R4" s="104">
        <f>IFS('Painel Geral'!$B$5="Mediana",IFERROR(IF(OR(C4="",O4=0,O4=""),"",($C4/$O4)),""),'Painel Geral'!$B$5="Menor Salário",IFERROR(IF(OR(C4="",O4=0,O4=""),"",($C4/$L4)),""),'Painel Geral'!$B$5="1º Quartil",IFERROR(IF(OR(C4="",O4=0,O4=""),"",($C4/$M4)),""), 'Painel Geral'!$B$5="Média",IFERROR(IF(OR(C4="",O4=0,O4=""),"",($C4/$N4)),""),'Painel Geral'!$B$5="3º Quartil",IFERROR(IF(OR(C4="",O4=0,O4=""),"",($C4/$P4)),""),'Painel Geral'!$B$5="Maior Salário",IFERROR(IF(OR(C4="",O4=0,O4=""),"",($C4/$Q4)),""))</f>
        <v>0.7366530139</v>
      </c>
      <c r="S4" s="105" t="str">
        <f t="shared" ref="S4:S8" si="2">IFS(OR(L4="",L4=0,C4="", C4=0),"",R4&lt;=80%,"Muito Defasado",R4&lt;=90%,"Defasado",R4&lt;=100%,"Na Média",R4&lt;=110%,"Competitivo",R4&lt;=120%,"Muito Competitivo",R4&gt;120%,"Agressivo")</f>
        <v>Muito Defasado</v>
      </c>
      <c r="T4" s="106">
        <f>IFERROR(VLOOKUP($J4,'C-02'!$D:$L,4,0),"")</f>
        <v>2468.17</v>
      </c>
      <c r="U4" s="106">
        <f>IFERROR(VLOOKUP($J4,'C-02'!$D:$L,5,0),"")</f>
        <v>2944.09</v>
      </c>
      <c r="V4" s="106">
        <f>IFERROR(VLOOKUP($J4,'C-02'!$D:$L,6,0),"")</f>
        <v>3642.17</v>
      </c>
      <c r="W4" s="106">
        <f>IFERROR(VLOOKUP($J4,'C-02'!$D:$L,7,0),"")</f>
        <v>3493.9</v>
      </c>
      <c r="X4" s="106">
        <f>IFERROR(VLOOKUP($J4,'C-02'!$D:$L,8,0),"")</f>
        <v>4224.13</v>
      </c>
      <c r="Y4" s="106">
        <f>IFERROR(VLOOKUP($J4,'C-02'!$D:$L,9,0),"")</f>
        <v>5456.83</v>
      </c>
      <c r="Z4" s="107">
        <f>IFS('Painel Geral'!$B$5="Mediana",IFERROR(IF(OR(C4="",W4=0,W4=""),"",($C4/$W4)),""),'Painel Geral'!$B$5="Menor Salário",IFERROR(IF(OR(C4="",W4=0,W4=""),"",($C4/$T4)),""),'Painel Geral'!$B$5="1º Quartil",IFERROR(IF(OR(C4="",W4=0,W4=""),"",($C4/$U4)),""),'Painel Geral'!$B$5="Média",IFERROR(IF(OR(C4="",W4=0,W4=""),"",($C4/$V4)),""),'Painel Geral'!$B$5="3º Quartil",IFERROR(IF(OR(C4="",W4=0,W4=""),"",($C4/$X4)),""), 'Painel Geral'!$B$5="Maior Salário",IFERROR(IF(OR(C4="",W4=0,W4=""),"",($C4/$Y4)),""))</f>
        <v>0.7124359598</v>
      </c>
      <c r="AA4" s="108" t="str">
        <f t="shared" ref="AA4:AA8" si="3">IFS(OR(T4="",T4=0,C4="", C4=0),"",Z4&lt;=80%,"Muito Defasado",Z4&lt;=90%,"Defasado",Z4&lt;=100%,"Na Média",Z4&lt;=110%,"Competitivo",Z4&lt;=120%,"Muito Competitivo",Z4&gt;120%,"Agressivo")</f>
        <v>Muito Defasado</v>
      </c>
    </row>
    <row r="5" ht="15.75" customHeight="1">
      <c r="A5" s="94">
        <v>2.0</v>
      </c>
      <c r="B5" s="109" t="str">
        <f>VLOOKUP(A5,Jobmatch!A:F,2,0)</f>
        <v>Engenheiro de Software Full Stack Pl</v>
      </c>
      <c r="C5" s="96">
        <f>IFERROR(AVERAGEIF('Folha de Pagamento'!A:A,A5,'Folha de Pagamento'!I:I),"")</f>
        <v>4305.6</v>
      </c>
      <c r="D5" s="97">
        <v>1.0</v>
      </c>
      <c r="E5" s="98" t="str">
        <f>VLOOKUP(A5,Jobmatch!A:G,3,0)</f>
        <v>DEV</v>
      </c>
      <c r="F5" s="99" t="str">
        <f>VLOOKUP(A5,Jobmatch!A:H,4,0)</f>
        <v>Operacional</v>
      </c>
      <c r="G5" s="99">
        <f>VLOOKUP(A5,Jobmatch!A:H,5,0)</f>
        <v>1</v>
      </c>
      <c r="H5" s="95" t="str">
        <f>VLOOKUP(A5,Jobmatch!A:H,6,0)</f>
        <v>Desenvolvedor</v>
      </c>
      <c r="I5" s="100" t="str">
        <f>VLOOKUP(A5,Jobmatch!A:H,7,0)</f>
        <v>Pleno</v>
      </c>
      <c r="J5" s="101" t="str">
        <f t="shared" si="1"/>
        <v>1Pleno</v>
      </c>
      <c r="K5" s="99">
        <f>COUNTIF('Folha de Pagamento'!A:A,A5)</f>
        <v>5</v>
      </c>
      <c r="L5" s="102">
        <f>IFERROR(VLOOKUP(J5,'C-01'!$D:$L,4,0),"")</f>
        <v>3358.05</v>
      </c>
      <c r="M5" s="103">
        <f>IFERROR(VLOOKUP(J5,'C-01'!$D:$L,5,0),"")</f>
        <v>4730.15</v>
      </c>
      <c r="N5" s="103">
        <f>IFERROR(VLOOKUP(J5,'C-01'!$D:$L,6,0),"")</f>
        <v>5379.82</v>
      </c>
      <c r="O5" s="103">
        <f>IFERROR(VLOOKUP(J5,'C-01'!$D:$L,7,0),"")</f>
        <v>5342.35</v>
      </c>
      <c r="P5" s="103">
        <f>IFERROR(VLOOKUP(J5,'C-01'!$D:$L,8,0),"")</f>
        <v>5995.34</v>
      </c>
      <c r="Q5" s="102">
        <f>IFERROR(VLOOKUP(J5,'C-01'!$D:$L,9,0),"")</f>
        <v>7790.91</v>
      </c>
      <c r="R5" s="104">
        <f>IFS('Painel Geral'!$B$5="Mediana",IFERROR(IF(OR(C5="",O5=0,O5=""),"",($C5/$O5)),""),'Painel Geral'!$B$5="Menor Salário",IFERROR(IF(OR(C5="",O5=0,O5=""),"",($C5/$L5)),""),'Painel Geral'!$B$5="1º Quartil",IFERROR(IF(OR(C5="",O5=0,O5=""),"",($C5/$M5)),""), 'Painel Geral'!$B$5="Média",IFERROR(IF(OR(C5="",O5=0,O5=""),"",($C5/$N5)),""),'Painel Geral'!$B$5="3º Quartil",IFERROR(IF(OR(C5="",O5=0,O5=""),"",($C5/$P5)),""),'Painel Geral'!$B$5="Maior Salário",IFERROR(IF(OR(C5="",O5=0,O5=""),"",($C5/$Q5)),""))</f>
        <v>0.805937462</v>
      </c>
      <c r="S5" s="105" t="str">
        <f t="shared" si="2"/>
        <v>Defasado</v>
      </c>
      <c r="T5" s="106">
        <f>IFERROR(VLOOKUP($J5,'C-02'!$D:$L,4,0),"")</f>
        <v>3480.14</v>
      </c>
      <c r="U5" s="106">
        <f>IFERROR(VLOOKUP($J5,'C-02'!$D:$L,5,0),"")</f>
        <v>4665.99</v>
      </c>
      <c r="V5" s="106">
        <f>IFERROR(VLOOKUP($J5,'C-02'!$D:$L,6,0),"")</f>
        <v>5399.83</v>
      </c>
      <c r="W5" s="106">
        <f>IFERROR(VLOOKUP($J5,'C-02'!$D:$L,7,0),"")</f>
        <v>5248.63</v>
      </c>
      <c r="X5" s="106">
        <f>IFERROR(VLOOKUP($J5,'C-02'!$D:$L,8,0),"")</f>
        <v>6311.23</v>
      </c>
      <c r="Y5" s="106">
        <f>IFERROR(VLOOKUP($J5,'C-02'!$D:$L,9,0),"")</f>
        <v>7135.86</v>
      </c>
      <c r="Z5" s="107">
        <f>IFS('Painel Geral'!$B$5="Mediana",IFERROR(IF(OR(C5="",W5=0,W5=""),"",($C5/$W5)),""),'Painel Geral'!$B$5="Menor Salário",IFERROR(IF(OR(C5="",W5=0,W5=""),"",($C5/$T5)),""),'Painel Geral'!$B$5="1º Quartil",IFERROR(IF(OR(C5="",W5=0,W5=""),"",($C5/$U5)),""),'Painel Geral'!$B$5="Média",IFERROR(IF(OR(C5="",W5=0,W5=""),"",($C5/$V5)),""),'Painel Geral'!$B$5="3º Quartil",IFERROR(IF(OR(C5="",W5=0,W5=""),"",($C5/$X5)),""), 'Painel Geral'!$B$5="Maior Salário",IFERROR(IF(OR(C5="",W5=0,W5=""),"",($C5/$Y5)),""))</f>
        <v>0.8203283524</v>
      </c>
      <c r="AA5" s="108" t="str">
        <f t="shared" si="3"/>
        <v>Defasado</v>
      </c>
    </row>
    <row r="6" ht="15.75" customHeight="1">
      <c r="A6" s="94">
        <v>3.0</v>
      </c>
      <c r="B6" s="109" t="str">
        <f>VLOOKUP(A6,Jobmatch!A:F,2,0)</f>
        <v>Engenheiro de Software Full Stack Sr</v>
      </c>
      <c r="C6" s="96">
        <f>IFERROR(AVERAGEIF('Folha de Pagamento'!A:A,A6,'Folha de Pagamento'!I:I),"")</f>
        <v>6458.4</v>
      </c>
      <c r="D6" s="97">
        <v>1.0</v>
      </c>
      <c r="E6" s="98" t="str">
        <f>VLOOKUP(A6,Jobmatch!A:G,3,0)</f>
        <v>DEV</v>
      </c>
      <c r="F6" s="99" t="str">
        <f>VLOOKUP(A6,Jobmatch!A:H,4,0)</f>
        <v>Tático</v>
      </c>
      <c r="G6" s="99">
        <f>VLOOKUP(A6,Jobmatch!A:H,5,0)</f>
        <v>1</v>
      </c>
      <c r="H6" s="95" t="str">
        <f>VLOOKUP(A6,Jobmatch!A:H,6,0)</f>
        <v>Desenvolvedor</v>
      </c>
      <c r="I6" s="100" t="str">
        <f>VLOOKUP(A6,Jobmatch!A:H,7,0)</f>
        <v>Sênior</v>
      </c>
      <c r="J6" s="101" t="str">
        <f t="shared" si="1"/>
        <v>1Sênior</v>
      </c>
      <c r="K6" s="99">
        <f>COUNTIF('Folha de Pagamento'!A:A,A6)</f>
        <v>2</v>
      </c>
      <c r="L6" s="102">
        <f>IFERROR(VLOOKUP(J6,'C-01'!$D:$L,4,0),"")</f>
        <v>5873.21</v>
      </c>
      <c r="M6" s="103">
        <f>IFERROR(VLOOKUP(J6,'C-01'!$D:$L,5,0),"")</f>
        <v>7005.56</v>
      </c>
      <c r="N6" s="103">
        <f>IFERROR(VLOOKUP(J6,'C-01'!$D:$L,6,0),"")</f>
        <v>8047.78</v>
      </c>
      <c r="O6" s="103">
        <f>IFERROR(VLOOKUP(J6,'C-01'!$D:$L,7,0),"")</f>
        <v>7999.87</v>
      </c>
      <c r="P6" s="103">
        <f>IFERROR(VLOOKUP(J6,'C-01'!$D:$L,8,0),"")</f>
        <v>9271.4</v>
      </c>
      <c r="Q6" s="102">
        <f>IFERROR(VLOOKUP(J6,'C-01'!$D:$L,9,0),"")</f>
        <v>10095.14</v>
      </c>
      <c r="R6" s="104">
        <f>IFS('Painel Geral'!$B$5="Mediana",IFERROR(IF(OR(C6="",O6=0,O6=""),"",($C6/$O6)),""),'Painel Geral'!$B$5="Menor Salário",IFERROR(IF(OR(C6="",O6=0,O6=""),"",($C6/$L6)),""),'Painel Geral'!$B$5="1º Quartil",IFERROR(IF(OR(C6="",O6=0,O6=""),"",($C6/$M6)),""), 'Painel Geral'!$B$5="Média",IFERROR(IF(OR(C6="",O6=0,O6=""),"",($C6/$N6)),""),'Painel Geral'!$B$5="3º Quartil",IFERROR(IF(OR(C6="",O6=0,O6=""),"",($C6/$P6)),""),'Painel Geral'!$B$5="Maior Salário",IFERROR(IF(OR(C6="",O6=0,O6=""),"",($C6/$Q6)),""))</f>
        <v>0.8073131188</v>
      </c>
      <c r="S6" s="105" t="str">
        <f t="shared" si="2"/>
        <v>Defasado</v>
      </c>
      <c r="T6" s="106">
        <f>IFERROR(VLOOKUP($J6,'C-02'!$D:$L,4,0),"")</f>
        <v>5928.64</v>
      </c>
      <c r="U6" s="106">
        <f>IFERROR(VLOOKUP($J6,'C-02'!$D:$L,5,0),"")</f>
        <v>6791.87</v>
      </c>
      <c r="V6" s="106">
        <f>IFERROR(VLOOKUP($J6,'C-02'!$D:$L,6,0),"")</f>
        <v>7984.54</v>
      </c>
      <c r="W6" s="106">
        <f>IFERROR(VLOOKUP($J6,'C-02'!$D:$L,7,0),"")</f>
        <v>7851.14</v>
      </c>
      <c r="X6" s="106">
        <f>IFERROR(VLOOKUP($J6,'C-02'!$D:$L,8,0),"")</f>
        <v>9534.06</v>
      </c>
      <c r="Y6" s="106">
        <f>IFERROR(VLOOKUP($J6,'C-02'!$D:$L,9,0),"")</f>
        <v>9921.51</v>
      </c>
      <c r="Z6" s="107">
        <f>IFS('Painel Geral'!$B$5="Mediana",IFERROR(IF(OR(C6="",W6=0,W6=""),"",($C6/$W6)),""),'Painel Geral'!$B$5="Menor Salário",IFERROR(IF(OR(C6="",W6=0,W6=""),"",($C6/$T6)),""),'Painel Geral'!$B$5="1º Quartil",IFERROR(IF(OR(C6="",W6=0,W6=""),"",($C6/$U6)),""),'Painel Geral'!$B$5="Média",IFERROR(IF(OR(C6="",W6=0,W6=""),"",($C6/$V6)),""),'Painel Geral'!$B$5="3º Quartil",IFERROR(IF(OR(C6="",W6=0,W6=""),"",($C6/$X6)),""), 'Painel Geral'!$B$5="Maior Salário",IFERROR(IF(OR(C6="",W6=0,W6=""),"",($C6/$Y6)),""))</f>
        <v>0.8226066533</v>
      </c>
      <c r="AA6" s="108" t="str">
        <f t="shared" si="3"/>
        <v>Defasado</v>
      </c>
    </row>
    <row r="7" ht="15.75" customHeight="1">
      <c r="A7" s="94">
        <v>4.0</v>
      </c>
      <c r="B7" s="109" t="str">
        <f>VLOOKUP(A7,Jobmatch!A:F,2,0)</f>
        <v>Analista de Requisitos</v>
      </c>
      <c r="C7" s="96">
        <f>IFERROR(AVERAGEIF('Folha de Pagamento'!A:A,A7,'Folha de Pagamento'!I:I),"")</f>
        <v>2859.19</v>
      </c>
      <c r="D7" s="97">
        <v>1.0</v>
      </c>
      <c r="E7" s="98" t="str">
        <f>VLOOKUP(A7,Jobmatch!A:G,3,0)</f>
        <v>DEV</v>
      </c>
      <c r="F7" s="99" t="str">
        <f>VLOOKUP(A7,Jobmatch!A:H,4,0)</f>
        <v>Operacional</v>
      </c>
      <c r="G7" s="99">
        <f>VLOOKUP(A7,Jobmatch!A:H,5,0)</f>
        <v>796</v>
      </c>
      <c r="H7" s="95" t="str">
        <f>VLOOKUP(A7,Jobmatch!A:H,6,0)</f>
        <v>Analista de Requisitos</v>
      </c>
      <c r="I7" s="100" t="str">
        <f>VLOOKUP(A7,Jobmatch!A:H,7,0)</f>
        <v>Júnior</v>
      </c>
      <c r="J7" s="101" t="str">
        <f t="shared" si="1"/>
        <v>796Júnior</v>
      </c>
      <c r="K7" s="99">
        <f>COUNTIF('Folha de Pagamento'!A:A,A7)</f>
        <v>2</v>
      </c>
      <c r="L7" s="102">
        <f>IFERROR(VLOOKUP(J7,'C-01'!$D:$L,4,0),"")</f>
        <v>2626.68</v>
      </c>
      <c r="M7" s="103">
        <f>IFERROR(VLOOKUP(J7,'C-01'!$D:$L,5,0),"")</f>
        <v>3508.61</v>
      </c>
      <c r="N7" s="103">
        <f>IFERROR(VLOOKUP(J7,'C-01'!$D:$L,6,0),"")</f>
        <v>4174.12</v>
      </c>
      <c r="O7" s="103">
        <f>IFERROR(VLOOKUP(J7,'C-01'!$D:$L,7,0),"")</f>
        <v>3618.72</v>
      </c>
      <c r="P7" s="103">
        <f>IFERROR(VLOOKUP(J7,'C-01'!$D:$L,8,0),"")</f>
        <v>5081.15</v>
      </c>
      <c r="Q7" s="102">
        <f>IFERROR(VLOOKUP(J7,'C-01'!$D:$L,9,0),"")</f>
        <v>5977.75</v>
      </c>
      <c r="R7" s="104">
        <f>IFS('Painel Geral'!$B$5="Mediana",IFERROR(IF(OR(C7="",O7=0,O7=""),"",($C7/$O7)),""),'Painel Geral'!$B$5="Menor Salário",IFERROR(IF(OR(C7="",O7=0,O7=""),"",($C7/$L7)),""),'Painel Geral'!$B$5="1º Quartil",IFERROR(IF(OR(C7="",O7=0,O7=""),"",($C7/$M7)),""), 'Painel Geral'!$B$5="Média",IFERROR(IF(OR(C7="",O7=0,O7=""),"",($C7/$N7)),""),'Painel Geral'!$B$5="3º Quartil",IFERROR(IF(OR(C7="",O7=0,O7=""),"",($C7/$P7)),""),'Painel Geral'!$B$5="Maior Salário",IFERROR(IF(OR(C7="",O7=0,O7=""),"",($C7/$Q7)),""))</f>
        <v>0.7901108679</v>
      </c>
      <c r="S7" s="105" t="str">
        <f t="shared" si="2"/>
        <v>Muito Defasado</v>
      </c>
      <c r="T7" s="106">
        <f>IFERROR(VLOOKUP($J7,'C-02'!$D:$L,4,0),"")</f>
        <v>0</v>
      </c>
      <c r="U7" s="106">
        <f>IFERROR(VLOOKUP($J7,'C-02'!$D:$L,5,0),"")</f>
        <v>0</v>
      </c>
      <c r="V7" s="106">
        <f>IFERROR(VLOOKUP($J7,'C-02'!$D:$L,6,0),"")</f>
        <v>0</v>
      </c>
      <c r="W7" s="106">
        <f>IFERROR(VLOOKUP($J7,'C-02'!$D:$L,7,0),"")</f>
        <v>0</v>
      </c>
      <c r="X7" s="106">
        <f>IFERROR(VLOOKUP($J7,'C-02'!$D:$L,8,0),"")</f>
        <v>0</v>
      </c>
      <c r="Y7" s="106">
        <f>IFERROR(VLOOKUP($J7,'C-02'!$D:$L,9,0),"")</f>
        <v>0</v>
      </c>
      <c r="Z7" s="107" t="str">
        <f>IFS('Painel Geral'!$B$5="Mediana",IFERROR(IF(OR(C7="",W7=0,W7=""),"",($C7/$W7)),""),'Painel Geral'!$B$5="Menor Salário",IFERROR(IF(OR(C7="",W7=0,W7=""),"",($C7/$T7)),""),'Painel Geral'!$B$5="1º Quartil",IFERROR(IF(OR(C7="",W7=0,W7=""),"",($C7/$U7)),""),'Painel Geral'!$B$5="Média",IFERROR(IF(OR(C7="",W7=0,W7=""),"",($C7/$V7)),""),'Painel Geral'!$B$5="3º Quartil",IFERROR(IF(OR(C7="",W7=0,W7=""),"",($C7/$X7)),""), 'Painel Geral'!$B$5="Maior Salário",IFERROR(IF(OR(C7="",W7=0,W7=""),"",($C7/$Y7)),""))</f>
        <v/>
      </c>
      <c r="AA7" s="108" t="str">
        <f t="shared" si="3"/>
        <v/>
      </c>
    </row>
    <row r="8" ht="15.75" customHeight="1">
      <c r="A8" s="94">
        <v>5.0</v>
      </c>
      <c r="B8" s="109" t="str">
        <f>VLOOKUP(A8,Jobmatch!A:F,2,0)</f>
        <v>Lider</v>
      </c>
      <c r="C8" s="96">
        <f>IFERROR(AVERAGEIF('Folha de Pagamento'!A:A,A8,'Folha de Pagamento'!I:I),"")</f>
        <v>8611.2</v>
      </c>
      <c r="D8" s="97">
        <v>1.0</v>
      </c>
      <c r="E8" s="98" t="str">
        <f>VLOOKUP(A8,Jobmatch!A:G,3,0)</f>
        <v>DEV</v>
      </c>
      <c r="F8" s="99" t="str">
        <f>VLOOKUP(A8,Jobmatch!A:H,4,0)</f>
        <v>Estratégico</v>
      </c>
      <c r="G8" s="99">
        <f>VLOOKUP(A8,Jobmatch!A:H,5,0)</f>
        <v>1016</v>
      </c>
      <c r="H8" s="95" t="str">
        <f>VLOOKUP(A8,Jobmatch!A:H,6,0)</f>
        <v>Líder Técnico</v>
      </c>
      <c r="I8" s="100" t="str">
        <f>VLOOKUP(A8,Jobmatch!A:H,7,0)</f>
        <v>Indiferente</v>
      </c>
      <c r="J8" s="101" t="str">
        <f t="shared" si="1"/>
        <v>1016Indiferente</v>
      </c>
      <c r="K8" s="99">
        <f>COUNTIF('Folha de Pagamento'!A:A,A8)</f>
        <v>1</v>
      </c>
      <c r="L8" s="102">
        <f>IFERROR(VLOOKUP(J8,'C-01'!$D:$L,4,0),"")</f>
        <v>5639.53</v>
      </c>
      <c r="M8" s="103">
        <f>IFERROR(VLOOKUP(J8,'C-01'!$D:$L,5,0),"")</f>
        <v>7452.03</v>
      </c>
      <c r="N8" s="103">
        <f>IFERROR(VLOOKUP(J8,'C-01'!$D:$L,6,0),"")</f>
        <v>8919.44</v>
      </c>
      <c r="O8" s="103">
        <f>IFERROR(VLOOKUP(J8,'C-01'!$D:$L,7,0),"")</f>
        <v>8929.22</v>
      </c>
      <c r="P8" s="103">
        <f>IFERROR(VLOOKUP(J8,'C-01'!$D:$L,8,0),"")</f>
        <v>10057.47</v>
      </c>
      <c r="Q8" s="102">
        <f>IFERROR(VLOOKUP(J8,'C-01'!$D:$L,9,0),"")</f>
        <v>12817.68</v>
      </c>
      <c r="R8" s="104">
        <f>IFS('Painel Geral'!$B$5="Mediana",IFERROR(IF(OR(C8="",O8=0,O8=""),"",($C8/$O8)),""),'Painel Geral'!$B$5="Menor Salário",IFERROR(IF(OR(C8="",O8=0,O8=""),"",($C8/$L8)),""),'Painel Geral'!$B$5="1º Quartil",IFERROR(IF(OR(C8="",O8=0,O8=""),"",($C8/$M8)),""), 'Painel Geral'!$B$5="Média",IFERROR(IF(OR(C8="",O8=0,O8=""),"",($C8/$N8)),""),'Painel Geral'!$B$5="3º Quartil",IFERROR(IF(OR(C8="",O8=0,O8=""),"",($C8/$P8)),""),'Painel Geral'!$B$5="Maior Salário",IFERROR(IF(OR(C8="",O8=0,O8=""),"",($C8/$Q8)),""))</f>
        <v>0.9643843471</v>
      </c>
      <c r="S8" s="105" t="str">
        <f t="shared" si="2"/>
        <v>Na Média</v>
      </c>
      <c r="T8" s="106">
        <f>IFERROR(VLOOKUP($J8,'C-02'!$D:$L,4,0),"")</f>
        <v>5288.93</v>
      </c>
      <c r="U8" s="106">
        <f>IFERROR(VLOOKUP($J8,'C-02'!$D:$L,5,0),"")</f>
        <v>7107.92</v>
      </c>
      <c r="V8" s="106">
        <f>IFERROR(VLOOKUP($J8,'C-02'!$D:$L,6,0),"")</f>
        <v>8904.46</v>
      </c>
      <c r="W8" s="106">
        <f>IFERROR(VLOOKUP($J8,'C-02'!$D:$L,7,0),"")</f>
        <v>9047.66</v>
      </c>
      <c r="X8" s="106">
        <f>IFERROR(VLOOKUP($J8,'C-02'!$D:$L,8,0),"")</f>
        <v>10074.15</v>
      </c>
      <c r="Y8" s="106">
        <f>IFERROR(VLOOKUP($J8,'C-02'!$D:$L,9,0),"")</f>
        <v>12817.68</v>
      </c>
      <c r="Z8" s="107">
        <f>IFS('Painel Geral'!$B$5="Mediana",IFERROR(IF(OR(C8="",W8=0,W8=""),"",($C8/$W8)),""),'Painel Geral'!$B$5="Menor Salário",IFERROR(IF(OR(C8="",W8=0,W8=""),"",($C8/$T8)),""),'Painel Geral'!$B$5="1º Quartil",IFERROR(IF(OR(C8="",W8=0,W8=""),"",($C8/$U8)),""),'Painel Geral'!$B$5="Média",IFERROR(IF(OR(C8="",W8=0,W8=""),"",($C8/$V8)),""),'Painel Geral'!$B$5="3º Quartil",IFERROR(IF(OR(C8="",W8=0,W8=""),"",($C8/$X8)),""), 'Painel Geral'!$B$5="Maior Salário",IFERROR(IF(OR(C8="",W8=0,W8=""),"",($C8/$Y8)),""))</f>
        <v>0.9517599026</v>
      </c>
      <c r="AA8" s="108" t="str">
        <f t="shared" si="3"/>
        <v>Na Média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A$8"/>
  <customSheetViews>
    <customSheetView guid="{22391ECF-48A7-4EAB-BDE6-2A1198107D8A}" filter="1" showAutoFilter="1">
      <autoFilter ref="$A$3:$S$8"/>
      <extLst>
        <ext uri="GoogleSheetsCustomDataVersion1">
          <go:sheetsCustomData xmlns:go="http://customooxmlschemas.google.com/" filterViewId="1186533681"/>
        </ext>
      </extLst>
    </customSheetView>
    <customSheetView guid="{EE9F01A5-0436-48C6-B742-C4022DB527FD}" filter="1" showAutoFilter="1">
      <autoFilter ref="$A$3:$S$8"/>
      <extLst>
        <ext uri="GoogleSheetsCustomDataVersion1">
          <go:sheetsCustomData xmlns:go="http://customooxmlschemas.google.com/" filterViewId="145574211"/>
        </ext>
      </extLst>
    </customSheetView>
    <customSheetView guid="{467239E0-E671-4976-8A46-FD655DE95EE1}" filter="1" showAutoFilter="1">
      <autoFilter ref="$A$3:$S$8"/>
      <extLst>
        <ext uri="GoogleSheetsCustomDataVersion1">
          <go:sheetsCustomData xmlns:go="http://customooxmlschemas.google.com/" filterViewId="1971943645"/>
        </ext>
      </extLst>
    </customSheetView>
    <customSheetView guid="{54B4D6D9-2A38-479D-8BE6-B602A9EAF984}" filter="1" showAutoFilter="1">
      <autoFilter ref="$A$3:$S$8"/>
      <extLst>
        <ext uri="GoogleSheetsCustomDataVersion1">
          <go:sheetsCustomData xmlns:go="http://customooxmlschemas.google.com/" filterViewId="1973880133"/>
        </ext>
      </extLst>
    </customSheetView>
    <customSheetView guid="{73B74B80-3E82-4F85-B5CD-7B8C53BEB6D2}" filter="1" showAutoFilter="1">
      <autoFilter ref="$A$3:$S$8"/>
      <extLst>
        <ext uri="GoogleSheetsCustomDataVersion1">
          <go:sheetsCustomData xmlns:go="http://customooxmlschemas.google.com/" filterViewId="2132877786"/>
        </ext>
      </extLst>
    </customSheetView>
    <customSheetView guid="{78E8F05D-0080-488D-908C-3158FEB1729F}" filter="1" showAutoFilter="1">
      <autoFilter ref="$A$3:$S$8"/>
      <extLst>
        <ext uri="GoogleSheetsCustomDataVersion1">
          <go:sheetsCustomData xmlns:go="http://customooxmlschemas.google.com/" filterViewId="2146628724"/>
        </ext>
      </extLst>
    </customSheetView>
    <customSheetView guid="{A1F457B6-5FCF-40EF-A04C-19D6DF5C42FB}" filter="1" showAutoFilter="1">
      <autoFilter ref="$B$1:$S$1"/>
      <extLst>
        <ext uri="GoogleSheetsCustomDataVersion1">
          <go:sheetsCustomData xmlns:go="http://customooxmlschemas.google.com/" filterViewId="241495152"/>
        </ext>
      </extLst>
    </customSheetView>
  </customSheetViews>
  <mergeCells count="2">
    <mergeCell ref="L1:Q1"/>
    <mergeCell ref="T1:Y1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38.25"/>
    <col customWidth="1" min="3" max="3" width="29.25"/>
    <col customWidth="1" min="4" max="4" width="11.63"/>
    <col customWidth="1" min="5" max="5" width="13.5"/>
    <col customWidth="1" min="6" max="7" width="20.75"/>
    <col customWidth="1" min="8" max="9" width="14.75"/>
    <col customWidth="1" min="10" max="15" width="13.75"/>
    <col customWidth="1" min="16" max="16" width="17.0"/>
    <col customWidth="1" min="17" max="18" width="13.75"/>
  </cols>
  <sheetData>
    <row r="1" ht="12.75" customHeight="1">
      <c r="A1" s="110"/>
      <c r="J1" s="111"/>
      <c r="K1" s="111"/>
      <c r="L1" s="111"/>
      <c r="M1" s="111"/>
      <c r="N1" s="111"/>
      <c r="O1" s="112"/>
      <c r="P1" s="112"/>
      <c r="Q1" s="111"/>
      <c r="R1" s="111"/>
    </row>
    <row r="2" ht="12.75" customHeight="1">
      <c r="A2" s="113"/>
      <c r="F2" s="114"/>
      <c r="G2" s="114"/>
      <c r="H2" s="114"/>
      <c r="I2" s="114"/>
      <c r="J2" s="114"/>
      <c r="K2" s="114"/>
      <c r="L2" s="114"/>
      <c r="M2" s="114"/>
      <c r="N2" s="114"/>
      <c r="O2" s="115"/>
      <c r="P2" s="115"/>
      <c r="Q2" s="114"/>
      <c r="R2" s="114"/>
    </row>
    <row r="3" ht="12.75" customHeight="1">
      <c r="A3" s="113"/>
      <c r="B3" s="116" t="s">
        <v>61</v>
      </c>
      <c r="F3" s="117" t="str">
        <f>"Legenda (em relação à "&amp;B5&amp;"):"</f>
        <v>Legenda (em relação à Mediana):</v>
      </c>
      <c r="G3" s="117"/>
      <c r="H3" s="117"/>
      <c r="K3" s="114"/>
      <c r="L3" s="114"/>
      <c r="M3" s="114"/>
      <c r="N3" s="114"/>
      <c r="O3" s="115"/>
      <c r="P3" s="115"/>
      <c r="Q3" s="114"/>
      <c r="R3" s="114"/>
    </row>
    <row r="4" ht="12.75" customHeight="1">
      <c r="A4" s="118"/>
      <c r="F4" s="119" t="s">
        <v>62</v>
      </c>
      <c r="G4" s="120" t="s">
        <v>63</v>
      </c>
      <c r="H4" s="120" t="s">
        <v>64</v>
      </c>
      <c r="K4" s="121"/>
      <c r="L4" s="121"/>
      <c r="M4" s="121"/>
      <c r="N4" s="121"/>
      <c r="O4" s="122"/>
      <c r="P4" s="122"/>
      <c r="Q4" s="121"/>
      <c r="R4" s="121"/>
    </row>
    <row r="5" ht="12.75" customHeight="1">
      <c r="A5" s="118"/>
      <c r="B5" s="123" t="s">
        <v>54</v>
      </c>
      <c r="D5" s="124"/>
      <c r="E5" s="124"/>
      <c r="F5" s="125" t="s">
        <v>62</v>
      </c>
      <c r="G5" s="126" t="s">
        <v>65</v>
      </c>
      <c r="H5" s="126" t="s">
        <v>66</v>
      </c>
      <c r="K5" s="127"/>
      <c r="L5" s="127"/>
      <c r="M5" s="127"/>
      <c r="N5" s="127"/>
      <c r="O5" s="128"/>
      <c r="P5" s="128"/>
      <c r="Q5" s="127"/>
      <c r="R5" s="127"/>
    </row>
    <row r="6" ht="12.75" customHeight="1">
      <c r="A6" s="118"/>
      <c r="D6" s="129"/>
      <c r="E6" s="130"/>
      <c r="F6" s="131" t="s">
        <v>62</v>
      </c>
      <c r="G6" s="120" t="s">
        <v>67</v>
      </c>
      <c r="H6" s="120" t="s">
        <v>68</v>
      </c>
      <c r="K6" s="121"/>
      <c r="L6" s="121"/>
      <c r="M6" s="121"/>
      <c r="N6" s="121"/>
      <c r="O6" s="122"/>
      <c r="P6" s="122"/>
      <c r="Q6" s="121"/>
      <c r="R6" s="121"/>
    </row>
    <row r="7" ht="12.75" customHeight="1">
      <c r="A7" s="118"/>
      <c r="B7" s="132"/>
      <c r="C7" s="132"/>
      <c r="D7" s="133"/>
      <c r="E7" s="132"/>
      <c r="F7" s="134" t="s">
        <v>62</v>
      </c>
      <c r="G7" s="126" t="s">
        <v>69</v>
      </c>
      <c r="H7" s="126" t="s">
        <v>70</v>
      </c>
      <c r="K7" s="121"/>
      <c r="L7" s="121"/>
      <c r="M7" s="121"/>
      <c r="N7" s="121"/>
      <c r="O7" s="122"/>
      <c r="P7" s="122"/>
      <c r="Q7" s="121"/>
      <c r="R7" s="121"/>
    </row>
    <row r="8" ht="12.75" customHeight="1">
      <c r="A8" s="118"/>
      <c r="B8" s="120"/>
      <c r="C8" s="120"/>
      <c r="D8" s="135"/>
      <c r="E8" s="132"/>
      <c r="F8" s="136" t="s">
        <v>62</v>
      </c>
      <c r="G8" s="120" t="s">
        <v>71</v>
      </c>
      <c r="H8" s="120" t="s">
        <v>72</v>
      </c>
      <c r="K8" s="121"/>
      <c r="L8" s="121"/>
      <c r="M8" s="121"/>
      <c r="N8" s="121"/>
      <c r="O8" s="122"/>
      <c r="P8" s="122"/>
      <c r="Q8" s="121"/>
      <c r="R8" s="121"/>
    </row>
    <row r="9" ht="12.75" customHeight="1">
      <c r="A9" s="118"/>
      <c r="B9" s="120"/>
      <c r="C9" s="120"/>
      <c r="D9" s="135"/>
      <c r="E9" s="132"/>
      <c r="F9" s="137" t="s">
        <v>62</v>
      </c>
      <c r="G9" s="126" t="s">
        <v>73</v>
      </c>
      <c r="H9" s="126" t="s">
        <v>74</v>
      </c>
      <c r="K9" s="121"/>
      <c r="L9" s="121"/>
      <c r="M9" s="121"/>
      <c r="N9" s="121"/>
      <c r="O9" s="122"/>
      <c r="P9" s="122"/>
      <c r="Q9" s="121"/>
      <c r="R9" s="121"/>
    </row>
    <row r="10" ht="12.75" customHeight="1">
      <c r="A10" s="118"/>
      <c r="B10" s="121"/>
      <c r="C10" s="121"/>
      <c r="D10" s="121"/>
      <c r="E10" s="121"/>
      <c r="F10" s="121"/>
      <c r="H10" s="121"/>
      <c r="I10" s="121"/>
      <c r="J10" s="121"/>
      <c r="K10" s="121"/>
      <c r="L10" s="121"/>
      <c r="M10" s="121"/>
      <c r="N10" s="121"/>
      <c r="O10" s="122"/>
      <c r="P10" s="122"/>
      <c r="Q10" s="121"/>
      <c r="R10" s="121"/>
    </row>
    <row r="11" ht="12.75" customHeight="1">
      <c r="A11" s="118"/>
      <c r="B11" s="121"/>
      <c r="C11" s="121"/>
      <c r="D11" s="121"/>
      <c r="E11" s="121"/>
      <c r="F11" s="121"/>
      <c r="H11" s="121"/>
      <c r="I11" s="121"/>
      <c r="J11" s="121"/>
      <c r="K11" s="121"/>
      <c r="L11" s="121"/>
      <c r="M11" s="121"/>
      <c r="N11" s="121"/>
      <c r="O11" s="122"/>
      <c r="P11" s="122"/>
      <c r="Q11" s="121"/>
      <c r="R11" s="121"/>
    </row>
    <row r="12" ht="12.75" customHeight="1">
      <c r="A12" s="118"/>
      <c r="B12" s="138" t="s">
        <v>75</v>
      </c>
      <c r="E12" s="138"/>
      <c r="F12" s="139" t="s">
        <v>76</v>
      </c>
      <c r="K12" s="139"/>
      <c r="L12" s="139"/>
    </row>
    <row r="13" ht="12.75" customHeight="1">
      <c r="A13" s="118"/>
      <c r="B13" s="140"/>
      <c r="C13" s="140"/>
      <c r="D13" s="140"/>
      <c r="E13" s="138"/>
      <c r="F13" s="141"/>
      <c r="G13" s="141"/>
      <c r="H13" s="141"/>
      <c r="I13" s="141"/>
      <c r="J13" s="141"/>
      <c r="K13" s="121"/>
      <c r="L13" s="121"/>
    </row>
    <row r="14" ht="12.75" customHeight="1">
      <c r="A14" s="118"/>
      <c r="B14" s="121"/>
      <c r="C14" s="121"/>
      <c r="D14" s="121"/>
      <c r="E14" s="121"/>
      <c r="F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</row>
    <row r="15" ht="12.75" customHeight="1">
      <c r="A15" s="118"/>
      <c r="B15" s="121"/>
      <c r="C15" s="121"/>
      <c r="D15" s="142">
        <f>D42</f>
        <v>5</v>
      </c>
      <c r="E15" s="121"/>
      <c r="F15" s="121"/>
      <c r="H15" s="121"/>
      <c r="I15" s="121"/>
      <c r="J15" s="143">
        <f>J42</f>
        <v>4</v>
      </c>
      <c r="K15" s="121"/>
      <c r="L15" s="121"/>
      <c r="M15" s="121"/>
      <c r="N15" s="121"/>
      <c r="O15" s="121"/>
      <c r="P15" s="121"/>
      <c r="Q15" s="121"/>
    </row>
    <row r="16" ht="12.75" customHeight="1">
      <c r="A16" s="118"/>
      <c r="B16" s="121"/>
      <c r="C16" s="121"/>
      <c r="E16" s="121"/>
      <c r="F16" s="121"/>
      <c r="H16" s="121"/>
      <c r="I16" s="121"/>
      <c r="K16" s="121"/>
      <c r="L16" s="121"/>
      <c r="M16" s="121"/>
      <c r="N16" s="121"/>
      <c r="O16" s="121"/>
      <c r="P16" s="121"/>
      <c r="Q16" s="121"/>
    </row>
    <row r="17" ht="12.75" customHeight="1">
      <c r="A17" s="118"/>
      <c r="B17" s="121"/>
      <c r="C17" s="121"/>
      <c r="D17" s="144" t="s">
        <v>77</v>
      </c>
      <c r="E17" s="121"/>
      <c r="F17" s="121"/>
      <c r="H17" s="121"/>
      <c r="I17" s="121"/>
      <c r="J17" s="145" t="s">
        <v>77</v>
      </c>
      <c r="K17" s="121"/>
      <c r="L17" s="121"/>
      <c r="M17" s="121"/>
      <c r="N17" s="121"/>
      <c r="O17" s="121"/>
      <c r="P17" s="121"/>
      <c r="Q17" s="121"/>
    </row>
    <row r="18" ht="12.75" customHeight="1">
      <c r="A18" s="118"/>
      <c r="B18" s="121"/>
      <c r="C18" s="121"/>
      <c r="E18" s="121"/>
      <c r="F18" s="121"/>
      <c r="H18" s="121"/>
      <c r="I18" s="121"/>
      <c r="K18" s="121"/>
      <c r="L18" s="121"/>
      <c r="M18" s="121"/>
      <c r="N18" s="121" t="s">
        <v>78</v>
      </c>
      <c r="O18" s="121"/>
      <c r="P18" s="121"/>
      <c r="Q18" s="121"/>
    </row>
    <row r="19" ht="12.75" customHeight="1">
      <c r="A19" s="118"/>
      <c r="B19" s="121"/>
      <c r="C19" s="121"/>
      <c r="E19" s="121"/>
      <c r="F19" s="121"/>
      <c r="H19" s="121"/>
      <c r="I19" s="121"/>
      <c r="K19" s="121"/>
      <c r="L19" s="121"/>
      <c r="M19" s="121"/>
      <c r="N19" s="121"/>
      <c r="O19" s="121"/>
      <c r="P19" s="121"/>
      <c r="Q19" s="121"/>
    </row>
    <row r="20" ht="12.75" customHeight="1">
      <c r="A20" s="118"/>
      <c r="B20" s="121"/>
      <c r="C20" s="121"/>
      <c r="E20" s="121"/>
      <c r="F20" s="121"/>
      <c r="H20" s="121"/>
      <c r="I20" s="121"/>
      <c r="K20" s="121"/>
      <c r="L20" s="121"/>
      <c r="M20" s="121"/>
      <c r="N20" s="121"/>
      <c r="O20" s="121"/>
      <c r="P20" s="121"/>
      <c r="Q20" s="121"/>
    </row>
    <row r="21" ht="12.75" customHeight="1">
      <c r="A21" s="118"/>
      <c r="B21" s="121"/>
      <c r="C21" s="121"/>
      <c r="E21" s="121"/>
      <c r="F21" s="121"/>
      <c r="H21" s="121"/>
      <c r="I21" s="121"/>
      <c r="K21" s="121"/>
      <c r="L21" s="121"/>
      <c r="M21" s="121"/>
      <c r="N21" s="121"/>
      <c r="O21" s="121"/>
      <c r="P21" s="121"/>
      <c r="Q21" s="121"/>
    </row>
    <row r="22" ht="12.75" customHeight="1">
      <c r="A22" s="118"/>
      <c r="B22" s="121"/>
      <c r="C22" s="121"/>
      <c r="D22" s="142"/>
      <c r="E22" s="121"/>
      <c r="F22" s="121"/>
      <c r="H22" s="121"/>
      <c r="I22" s="121"/>
      <c r="J22" s="143"/>
      <c r="K22" s="121"/>
      <c r="L22" s="121"/>
      <c r="M22" s="121"/>
      <c r="N22" s="121"/>
      <c r="O22" s="121"/>
      <c r="P22" s="121"/>
      <c r="Q22" s="121"/>
    </row>
    <row r="23" ht="12.75" customHeight="1">
      <c r="A23" s="118"/>
      <c r="B23" s="121"/>
      <c r="C23" s="121"/>
      <c r="D23" s="142"/>
      <c r="E23" s="121"/>
      <c r="F23" s="121"/>
      <c r="H23" s="121"/>
      <c r="I23" s="121"/>
      <c r="J23" s="143"/>
      <c r="K23" s="121"/>
      <c r="L23" s="121"/>
      <c r="M23" s="121"/>
      <c r="N23" s="121"/>
      <c r="O23" s="121"/>
      <c r="P23" s="121"/>
      <c r="Q23" s="121"/>
    </row>
    <row r="24" ht="12.75" customHeight="1">
      <c r="A24" s="118"/>
      <c r="B24" s="121"/>
      <c r="C24" s="121"/>
      <c r="D24" s="146">
        <f>IF(SUM(C36:C38)&gt;SUM(C39:C41),SUM(C36:C38),SUM(C39:C41))</f>
        <v>1</v>
      </c>
      <c r="E24" s="121"/>
      <c r="F24" s="121"/>
      <c r="H24" s="121"/>
      <c r="I24" s="121"/>
      <c r="J24" s="147">
        <f>IF(SUM(H36:H38)&gt;SUM(H39:H41),SUM(H36:H38),SUM(H39:H41))</f>
        <v>1</v>
      </c>
      <c r="K24" s="121"/>
      <c r="L24" s="121"/>
      <c r="M24" s="121"/>
      <c r="N24" s="121"/>
      <c r="O24" s="121"/>
      <c r="P24" s="121"/>
      <c r="Q24" s="121"/>
    </row>
    <row r="25" ht="12.75" customHeight="1">
      <c r="A25" s="118"/>
      <c r="B25" s="121"/>
      <c r="C25" s="121"/>
      <c r="E25" s="121"/>
      <c r="F25" s="121"/>
      <c r="H25" s="121"/>
      <c r="I25" s="121"/>
      <c r="K25" s="121"/>
      <c r="L25" s="121"/>
      <c r="M25" s="121"/>
      <c r="N25" s="121"/>
      <c r="O25" s="121"/>
      <c r="P25" s="121"/>
      <c r="Q25" s="121"/>
    </row>
    <row r="26" ht="12.75" customHeight="1">
      <c r="A26" s="118"/>
      <c r="B26" s="121"/>
      <c r="C26" s="121"/>
      <c r="D26" s="144" t="str">
        <f>IF(SUM(C36:C38)&gt;SUM(C39:C41),"dos cargos abaixo "&amp;IF(B5="Mediana","da ",IF(B5="Média","da ","do "))&amp;B5,"dos cargos acima "&amp;IF(B5="Mediana","da ",IF(B5="Média","da ","do "))&amp;B5)</f>
        <v>dos cargos abaixo da Mediana</v>
      </c>
      <c r="E26" s="121"/>
      <c r="F26" s="121"/>
      <c r="H26" s="121"/>
      <c r="I26" s="121"/>
      <c r="J26" s="145" t="str">
        <f>IF(SUM(H36:H38)&gt;SUM(H39:H41),"dos cargos abaixo "&amp;IF(B5="Mediana","da ",IF(B5="Média","da ","do "))&amp;B5,"dos cargos acima "&amp;IF(B5="Mediana","da ",IF(B5="Média","da ","do "))&amp;B5)</f>
        <v>dos cargos abaixo da Mediana</v>
      </c>
      <c r="K26" s="121"/>
      <c r="L26" s="121"/>
      <c r="M26" s="121"/>
      <c r="N26" s="121"/>
      <c r="O26" s="121"/>
      <c r="P26" s="121"/>
      <c r="Q26" s="121"/>
    </row>
    <row r="27" ht="12.75" customHeight="1">
      <c r="A27" s="118"/>
      <c r="B27" s="121"/>
      <c r="C27" s="121"/>
      <c r="E27" s="121"/>
      <c r="F27" s="121"/>
      <c r="H27" s="121"/>
      <c r="I27" s="121"/>
      <c r="K27" s="121"/>
      <c r="L27" s="121"/>
      <c r="M27" s="121"/>
      <c r="N27" s="121"/>
      <c r="O27" s="121"/>
      <c r="P27" s="121"/>
      <c r="Q27" s="121"/>
    </row>
    <row r="28" ht="12.75" customHeight="1">
      <c r="A28" s="118"/>
      <c r="B28" s="121"/>
      <c r="C28" s="121"/>
      <c r="E28" s="121"/>
      <c r="F28" s="121"/>
      <c r="H28" s="121"/>
      <c r="I28" s="121"/>
      <c r="K28" s="121"/>
      <c r="L28" s="121"/>
      <c r="M28" s="121"/>
      <c r="N28" s="121"/>
      <c r="O28" s="121"/>
      <c r="P28" s="121"/>
      <c r="Q28" s="121"/>
    </row>
    <row r="29" ht="12.75" customHeight="1">
      <c r="A29" s="118"/>
      <c r="B29" s="121"/>
      <c r="C29" s="121"/>
      <c r="E29" s="121"/>
      <c r="F29" s="121"/>
      <c r="H29" s="121"/>
      <c r="I29" s="121"/>
      <c r="K29" s="121"/>
      <c r="L29" s="121"/>
      <c r="M29" s="121"/>
      <c r="N29" s="121"/>
      <c r="O29" s="121"/>
      <c r="P29" s="121"/>
      <c r="Q29" s="121"/>
    </row>
    <row r="30" ht="12.75" customHeight="1">
      <c r="A30" s="118"/>
      <c r="B30" s="121"/>
      <c r="C30" s="121"/>
      <c r="E30" s="121"/>
      <c r="F30" s="121"/>
      <c r="H30" s="121"/>
      <c r="I30" s="121"/>
      <c r="K30" s="121"/>
      <c r="L30" s="121"/>
      <c r="M30" s="121"/>
      <c r="N30" s="121"/>
      <c r="O30" s="121"/>
      <c r="P30" s="121"/>
      <c r="Q30" s="121"/>
    </row>
    <row r="31" ht="12.75" customHeight="1">
      <c r="A31" s="118"/>
      <c r="B31" s="121"/>
      <c r="C31" s="121"/>
      <c r="D31" s="121"/>
      <c r="E31" s="121"/>
      <c r="F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</row>
    <row r="32" ht="12.75" customHeight="1">
      <c r="A32" s="118"/>
      <c r="B32" s="121"/>
      <c r="C32" s="121"/>
      <c r="D32" s="121"/>
      <c r="E32" s="121"/>
      <c r="F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</row>
    <row r="33" ht="12.75" customHeight="1">
      <c r="A33" s="118"/>
      <c r="B33" s="121"/>
      <c r="C33" s="121"/>
      <c r="D33" s="121"/>
      <c r="E33" s="121"/>
      <c r="F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</row>
    <row r="34" ht="12.75" customHeight="1">
      <c r="A34" s="118"/>
      <c r="B34" s="127"/>
      <c r="C34" s="148"/>
      <c r="D34" s="148"/>
      <c r="E34" s="149"/>
      <c r="F34" s="127"/>
      <c r="H34" s="148"/>
      <c r="I34" s="148"/>
      <c r="J34" s="114"/>
      <c r="K34" s="114"/>
      <c r="L34" s="114"/>
      <c r="M34" s="114"/>
      <c r="N34" s="114"/>
      <c r="O34" s="114"/>
    </row>
    <row r="35" ht="12.75" customHeight="1">
      <c r="A35" s="118"/>
      <c r="B35" s="150" t="s">
        <v>79</v>
      </c>
      <c r="C35" s="150" t="s">
        <v>80</v>
      </c>
      <c r="D35" s="150" t="s">
        <v>81</v>
      </c>
      <c r="E35" s="151"/>
      <c r="F35" s="152" t="s">
        <v>79</v>
      </c>
      <c r="G35" s="153"/>
      <c r="H35" s="152" t="s">
        <v>80</v>
      </c>
      <c r="I35" s="153"/>
      <c r="J35" s="152" t="s">
        <v>81</v>
      </c>
      <c r="K35" s="114"/>
      <c r="L35" s="154"/>
      <c r="M35" s="154"/>
      <c r="N35" s="155"/>
      <c r="O35" s="155"/>
      <c r="P35" s="155"/>
      <c r="Q35" s="132"/>
    </row>
    <row r="36" ht="12.75" customHeight="1">
      <c r="A36" s="118"/>
      <c r="B36" s="156" t="s">
        <v>64</v>
      </c>
      <c r="C36" s="157">
        <f t="shared" ref="C36:C41" si="1">IFERROR(D36/$D$42,0)</f>
        <v>0.4</v>
      </c>
      <c r="D36" s="158">
        <f>COUNTIF('Cálculos Comparativos'!S:S,$B36)</f>
        <v>2</v>
      </c>
      <c r="E36" s="159"/>
      <c r="F36" s="160" t="s">
        <v>64</v>
      </c>
      <c r="G36" s="161"/>
      <c r="H36" s="162">
        <f t="shared" ref="H36:H41" si="2">iferror(J36/J$42,0)</f>
        <v>0.25</v>
      </c>
      <c r="I36" s="161"/>
      <c r="J36" s="160">
        <f>COUNTIF('Cálculos Comparativos'!AA:AA,$F36)</f>
        <v>1</v>
      </c>
      <c r="K36" s="114"/>
      <c r="L36" s="154"/>
      <c r="M36" s="154"/>
      <c r="N36" s="155"/>
      <c r="O36" s="155"/>
      <c r="P36" s="155"/>
      <c r="Q36" s="132"/>
    </row>
    <row r="37" ht="12.75" customHeight="1">
      <c r="A37" s="118"/>
      <c r="B37" s="156" t="s">
        <v>66</v>
      </c>
      <c r="C37" s="157">
        <f t="shared" si="1"/>
        <v>0.4</v>
      </c>
      <c r="D37" s="158">
        <f>COUNTIF('Cálculos Comparativos'!S:S,$B37)</f>
        <v>2</v>
      </c>
      <c r="E37" s="159"/>
      <c r="F37" s="160" t="s">
        <v>66</v>
      </c>
      <c r="G37" s="161"/>
      <c r="H37" s="162">
        <f t="shared" si="2"/>
        <v>0.5</v>
      </c>
      <c r="I37" s="161"/>
      <c r="J37" s="160">
        <f>COUNTIF('Cálculos Comparativos'!AA:AA,$F37)</f>
        <v>2</v>
      </c>
      <c r="K37" s="114"/>
      <c r="L37" s="154"/>
      <c r="M37" s="154"/>
      <c r="N37" s="155"/>
      <c r="O37" s="155"/>
      <c r="P37" s="155"/>
      <c r="Q37" s="132"/>
    </row>
    <row r="38" ht="12.75" customHeight="1">
      <c r="A38" s="118"/>
      <c r="B38" s="156" t="s">
        <v>68</v>
      </c>
      <c r="C38" s="157">
        <f t="shared" si="1"/>
        <v>0.2</v>
      </c>
      <c r="D38" s="158">
        <f>COUNTIF('Cálculos Comparativos'!S:S,$B38)</f>
        <v>1</v>
      </c>
      <c r="E38" s="159"/>
      <c r="F38" s="160" t="s">
        <v>68</v>
      </c>
      <c r="G38" s="161"/>
      <c r="H38" s="162">
        <f t="shared" si="2"/>
        <v>0.25</v>
      </c>
      <c r="I38" s="161"/>
      <c r="J38" s="160">
        <f>COUNTIF('Cálculos Comparativos'!AA:AA,$F38)</f>
        <v>1</v>
      </c>
      <c r="K38" s="114"/>
      <c r="L38" s="154"/>
      <c r="M38" s="154"/>
      <c r="N38" s="155"/>
      <c r="O38" s="155"/>
      <c r="P38" s="155"/>
      <c r="Q38" s="132"/>
    </row>
    <row r="39" ht="12.75" customHeight="1">
      <c r="A39" s="118"/>
      <c r="B39" s="156" t="s">
        <v>70</v>
      </c>
      <c r="C39" s="157">
        <f t="shared" si="1"/>
        <v>0</v>
      </c>
      <c r="D39" s="158">
        <f>COUNTIF('Cálculos Comparativos'!S:S,$B39)</f>
        <v>0</v>
      </c>
      <c r="E39" s="159"/>
      <c r="F39" s="160" t="s">
        <v>70</v>
      </c>
      <c r="G39" s="161"/>
      <c r="H39" s="162">
        <f t="shared" si="2"/>
        <v>0</v>
      </c>
      <c r="I39" s="161"/>
      <c r="J39" s="160">
        <f>COUNTIF('Cálculos Comparativos'!AA:AA,$F39)</f>
        <v>0</v>
      </c>
      <c r="K39" s="114"/>
      <c r="L39" s="154"/>
      <c r="M39" s="154"/>
      <c r="N39" s="155"/>
      <c r="O39" s="155"/>
      <c r="P39" s="155"/>
      <c r="Q39" s="132"/>
    </row>
    <row r="40" ht="12.75" customHeight="1">
      <c r="A40" s="118"/>
      <c r="B40" s="156" t="s">
        <v>72</v>
      </c>
      <c r="C40" s="157">
        <f t="shared" si="1"/>
        <v>0</v>
      </c>
      <c r="D40" s="158">
        <f>COUNTIF('Cálculos Comparativos'!S:S,$B40)</f>
        <v>0</v>
      </c>
      <c r="E40" s="159"/>
      <c r="F40" s="160" t="s">
        <v>72</v>
      </c>
      <c r="G40" s="161"/>
      <c r="H40" s="162">
        <f t="shared" si="2"/>
        <v>0</v>
      </c>
      <c r="I40" s="161"/>
      <c r="J40" s="160">
        <f>COUNTIF('Cálculos Comparativos'!AA:AA,$F40)</f>
        <v>0</v>
      </c>
      <c r="K40" s="114"/>
      <c r="L40" s="154"/>
      <c r="M40" s="154"/>
      <c r="N40" s="155"/>
      <c r="O40" s="155"/>
      <c r="P40" s="155"/>
      <c r="Q40" s="132"/>
    </row>
    <row r="41" ht="12.75" customHeight="1">
      <c r="A41" s="118"/>
      <c r="B41" s="156" t="s">
        <v>74</v>
      </c>
      <c r="C41" s="157">
        <f t="shared" si="1"/>
        <v>0</v>
      </c>
      <c r="D41" s="158">
        <f>COUNTIF('Cálculos Comparativos'!S:S,$B41)</f>
        <v>0</v>
      </c>
      <c r="E41" s="159"/>
      <c r="F41" s="160" t="s">
        <v>74</v>
      </c>
      <c r="G41" s="161"/>
      <c r="H41" s="162">
        <f t="shared" si="2"/>
        <v>0</v>
      </c>
      <c r="I41" s="161"/>
      <c r="J41" s="160">
        <f>COUNTIF('Cálculos Comparativos'!AA:AA,$F41)</f>
        <v>0</v>
      </c>
      <c r="K41" s="114"/>
      <c r="L41" s="154"/>
      <c r="M41" s="154"/>
      <c r="N41" s="155"/>
      <c r="O41" s="155"/>
      <c r="P41" s="155"/>
      <c r="Q41" s="132"/>
    </row>
    <row r="42" ht="12.75" customHeight="1">
      <c r="A42" s="118"/>
      <c r="B42" s="163" t="s">
        <v>82</v>
      </c>
      <c r="C42" s="164">
        <f t="shared" ref="C42:D42" si="3">SUM(C36:C41)</f>
        <v>1</v>
      </c>
      <c r="D42" s="165">
        <f t="shared" si="3"/>
        <v>5</v>
      </c>
      <c r="E42" s="159"/>
      <c r="F42" s="166" t="s">
        <v>82</v>
      </c>
      <c r="G42" s="161"/>
      <c r="H42" s="167">
        <f>SUM(H36:H41)</f>
        <v>1</v>
      </c>
      <c r="I42" s="161"/>
      <c r="J42" s="166">
        <f>SUM(J36:J41)</f>
        <v>4</v>
      </c>
      <c r="K42" s="114"/>
      <c r="L42" s="154"/>
      <c r="M42" s="154"/>
      <c r="N42" s="168"/>
      <c r="O42" s="168"/>
      <c r="P42" s="168"/>
    </row>
    <row r="43" ht="12.75" customHeight="1">
      <c r="A43" s="118"/>
      <c r="B43" s="169"/>
      <c r="C43" s="170"/>
      <c r="D43" s="170"/>
      <c r="E43" s="171"/>
      <c r="F43" s="171"/>
      <c r="G43" s="172"/>
      <c r="H43" s="172"/>
      <c r="I43" s="172"/>
      <c r="J43" s="172"/>
      <c r="K43" s="114"/>
      <c r="L43" s="114"/>
      <c r="M43" s="114"/>
      <c r="N43" s="114"/>
      <c r="O43" s="114"/>
      <c r="P43" s="114"/>
      <c r="Q43" s="114"/>
      <c r="R43" s="114"/>
    </row>
    <row r="44" ht="12.75" customHeight="1">
      <c r="A44" s="118"/>
      <c r="E44" s="173"/>
      <c r="F44" s="173"/>
      <c r="G44" s="174"/>
      <c r="H44" s="174"/>
      <c r="I44" s="114"/>
      <c r="J44" s="114"/>
      <c r="K44" s="114"/>
      <c r="L44" s="114"/>
      <c r="M44" s="114"/>
      <c r="N44" s="114"/>
      <c r="O44" s="114"/>
      <c r="P44" s="114"/>
      <c r="Q44" s="114"/>
      <c r="R44" s="114"/>
    </row>
    <row r="45" ht="15.75" customHeight="1">
      <c r="A45" s="118"/>
      <c r="B45" s="175" t="s">
        <v>83</v>
      </c>
      <c r="E45" s="173"/>
      <c r="F45" s="173"/>
      <c r="G45" s="174"/>
      <c r="H45" s="174"/>
      <c r="I45" s="114"/>
      <c r="J45" s="114"/>
      <c r="K45" s="114"/>
      <c r="N45" s="114"/>
      <c r="O45" s="114"/>
      <c r="P45" s="114"/>
      <c r="Q45" s="114"/>
      <c r="R45" s="114"/>
    </row>
    <row r="46" ht="15.75" customHeight="1">
      <c r="A46" s="118"/>
      <c r="B46" s="176" t="s">
        <v>84</v>
      </c>
      <c r="E46" s="173"/>
      <c r="F46" s="173"/>
      <c r="G46" s="174"/>
      <c r="H46" s="174"/>
      <c r="I46" s="114"/>
      <c r="J46" s="114"/>
      <c r="K46" s="114"/>
      <c r="N46" s="114"/>
      <c r="O46" s="114"/>
      <c r="P46" s="114"/>
      <c r="Q46" s="114"/>
      <c r="R46" s="114"/>
    </row>
    <row r="47" ht="12.75" customHeight="1">
      <c r="A47" s="118"/>
      <c r="B47" s="176"/>
      <c r="E47" s="173"/>
      <c r="F47" s="173"/>
      <c r="G47" s="174"/>
      <c r="H47" s="174"/>
      <c r="I47" s="114"/>
      <c r="J47" s="114"/>
      <c r="K47" s="114"/>
      <c r="O47" s="114"/>
      <c r="P47" s="114"/>
      <c r="Q47" s="114"/>
      <c r="R47" s="114"/>
    </row>
    <row r="48" ht="15.75" customHeight="1">
      <c r="A48" s="118"/>
      <c r="E48" s="173"/>
      <c r="F48" s="173"/>
      <c r="G48" s="174"/>
      <c r="H48" s="174"/>
      <c r="I48" s="114"/>
      <c r="J48" s="114"/>
      <c r="K48" s="114"/>
      <c r="L48" s="177">
        <f>IF(SUM(C53:C55)&gt;SUM(C56:C58),SUM(C53:C55),SUM(C56:C58))</f>
        <v>1</v>
      </c>
      <c r="M48" s="178" t="str">
        <f>IF(SUM(C53:C55)&gt;SUM(C56:C58),"dos cargos abaixo "&amp;IF(B5="Mediana","da ",IF(B5="Média","da ","do "))&amp;B5,"dos cargos acima "&amp;IF(B5="Mediana","da ",IF(B5="Média","da ","do "))&amp;B5)</f>
        <v>dos cargos abaixo da Mediana</v>
      </c>
      <c r="O48" s="114"/>
      <c r="P48" s="114"/>
      <c r="Q48" s="114"/>
      <c r="R48" s="114"/>
    </row>
    <row r="49" ht="12.75" customHeight="1">
      <c r="A49" s="118"/>
      <c r="B49" s="179" t="s">
        <v>25</v>
      </c>
      <c r="E49" s="173"/>
      <c r="F49" s="173"/>
      <c r="G49" s="174"/>
      <c r="H49" s="174"/>
      <c r="I49" s="114"/>
      <c r="J49" s="114"/>
      <c r="K49" s="114"/>
      <c r="M49" s="180"/>
      <c r="N49" s="114"/>
      <c r="O49" s="114"/>
      <c r="P49" s="114"/>
      <c r="Q49" s="114"/>
      <c r="R49" s="114"/>
    </row>
    <row r="50" ht="12.75" customHeight="1">
      <c r="A50" s="118"/>
      <c r="D50" s="181"/>
      <c r="E50" s="181"/>
      <c r="F50" s="173"/>
      <c r="G50" s="182"/>
      <c r="H50" s="182"/>
      <c r="I50" s="114"/>
      <c r="J50" s="114"/>
      <c r="K50" s="114"/>
      <c r="M50" s="114"/>
      <c r="N50" s="114"/>
      <c r="O50" s="114"/>
      <c r="P50" s="114"/>
      <c r="Q50" s="114"/>
      <c r="R50" s="114"/>
    </row>
    <row r="51" ht="12.75" customHeight="1">
      <c r="A51" s="118"/>
      <c r="F51" s="159"/>
      <c r="G51" s="183"/>
      <c r="H51" s="183"/>
      <c r="I51" s="114"/>
      <c r="J51" s="114"/>
      <c r="K51" s="114"/>
      <c r="O51" s="114"/>
      <c r="P51" s="114"/>
      <c r="Q51" s="114"/>
      <c r="R51" s="114"/>
    </row>
    <row r="52" ht="15.0" customHeight="1">
      <c r="A52" s="118"/>
      <c r="B52" s="184" t="s">
        <v>79</v>
      </c>
      <c r="C52" s="184" t="s">
        <v>85</v>
      </c>
      <c r="D52" s="184" t="s">
        <v>86</v>
      </c>
      <c r="F52" s="185"/>
      <c r="H52" s="183"/>
      <c r="I52" s="114"/>
      <c r="J52" s="114"/>
      <c r="K52" s="114"/>
      <c r="L52" s="147"/>
      <c r="M52" s="147"/>
      <c r="N52" s="114"/>
      <c r="O52" s="114"/>
      <c r="P52" s="114"/>
      <c r="Q52" s="114"/>
      <c r="R52" s="114"/>
    </row>
    <row r="53" ht="15.75" customHeight="1">
      <c r="A53" s="118"/>
      <c r="B53" s="186" t="s">
        <v>64</v>
      </c>
      <c r="C53" s="187">
        <f>IFERROR(COUNTIFS('Cálculos Comparativos'!F:F,$B$49,'Cálculos Comparativos'!S:S,$B53)/C$59, 0)</f>
        <v>0.6666666667</v>
      </c>
      <c r="D53" s="187">
        <f>IFERROR(COUNTIFS('Cálculos Comparativos'!F:F,$B$49,'Cálculos Comparativos'!AA:AA,$B53)/D$59, 0)</f>
        <v>0.5</v>
      </c>
      <c r="F53" s="188"/>
      <c r="H53" s="183"/>
      <c r="I53" s="114"/>
      <c r="J53" s="114"/>
      <c r="K53" s="114"/>
      <c r="L53" s="189">
        <f>IF(SUM(D53:D55)&gt;SUM(D56:D58),SUM(D53:D55),SUM(D56:D58))</f>
        <v>1</v>
      </c>
      <c r="M53" s="190" t="str">
        <f>IF(SUM(D53:D55)&gt;SUM(D56:D58),"dos cargos abaixo "&amp;IF(B5="Mediana","da ",IF(B5="Média","da ","do "))&amp;B5,"dos cargos acima "&amp;IF(B5="Mediana","da ",IF(B5="Média","da ","do "))&amp;B5)</f>
        <v>dos cargos abaixo da Mediana</v>
      </c>
      <c r="O53" s="114"/>
      <c r="P53" s="114"/>
      <c r="Q53" s="114"/>
      <c r="R53" s="114"/>
    </row>
    <row r="54" ht="15.0" customHeight="1">
      <c r="A54" s="118"/>
      <c r="B54" s="191" t="s">
        <v>66</v>
      </c>
      <c r="C54" s="192">
        <f>IFERROR(COUNTIFS('Cálculos Comparativos'!F:F,$B$49,'Cálculos Comparativos'!S:S,$B54)/C$59, 0)</f>
        <v>0.3333333333</v>
      </c>
      <c r="D54" s="192">
        <f>IFERROR(COUNTIFS('Cálculos Comparativos'!F:F,$B$49,'Cálculos Comparativos'!AA:AA,$B54)/D$59, 0)</f>
        <v>0.5</v>
      </c>
      <c r="F54" s="188"/>
      <c r="H54" s="183"/>
      <c r="I54" s="114"/>
      <c r="J54" s="114"/>
      <c r="K54" s="114"/>
      <c r="N54" s="114"/>
      <c r="O54" s="114"/>
      <c r="P54" s="114"/>
      <c r="Q54" s="114"/>
      <c r="R54" s="114"/>
    </row>
    <row r="55" ht="15.0" customHeight="1">
      <c r="A55" s="118"/>
      <c r="B55" s="186" t="s">
        <v>68</v>
      </c>
      <c r="C55" s="187">
        <f>IFERROR(COUNTIFS('Cálculos Comparativos'!F:F,$B$49,'Cálculos Comparativos'!S:S,$B55)/C$59, 0)</f>
        <v>0</v>
      </c>
      <c r="D55" s="187">
        <f>IFERROR(COUNTIFS('Cálculos Comparativos'!F:F,$B$49,'Cálculos Comparativos'!AA:AA,$B55)/D$59, 0)</f>
        <v>0</v>
      </c>
      <c r="F55" s="188"/>
      <c r="H55" s="183"/>
      <c r="I55" s="114"/>
      <c r="J55" s="114"/>
      <c r="K55" s="114"/>
      <c r="N55" s="114"/>
      <c r="O55" s="114"/>
      <c r="P55" s="114"/>
      <c r="Q55" s="114"/>
      <c r="R55" s="114"/>
    </row>
    <row r="56" ht="15.0" customHeight="1">
      <c r="A56" s="118"/>
      <c r="B56" s="191" t="s">
        <v>70</v>
      </c>
      <c r="C56" s="192">
        <f>IFERROR(COUNTIFS('Cálculos Comparativos'!F:F,$B$49,'Cálculos Comparativos'!S:S,$B56)/C$59, 0)</f>
        <v>0</v>
      </c>
      <c r="D56" s="192">
        <f>IFERROR(COUNTIFS('Cálculos Comparativos'!F:F,$B$49,'Cálculos Comparativos'!AA:AA,$B56)/D$59, 0)</f>
        <v>0</v>
      </c>
      <c r="F56" s="188"/>
      <c r="H56" s="183"/>
      <c r="I56" s="114"/>
      <c r="J56" s="114"/>
      <c r="K56" s="114"/>
      <c r="O56" s="114"/>
      <c r="P56" s="114"/>
      <c r="Q56" s="114"/>
      <c r="R56" s="114"/>
    </row>
    <row r="57" ht="15.75" customHeight="1">
      <c r="A57" s="118"/>
      <c r="B57" s="186" t="s">
        <v>72</v>
      </c>
      <c r="C57" s="187">
        <f>IFERROR(COUNTIFS('Cálculos Comparativos'!F:F,$B$49,'Cálculos Comparativos'!S:S,$B57)/C$59, 0)</f>
        <v>0</v>
      </c>
      <c r="D57" s="187">
        <f>IFERROR(COUNTIFS('Cálculos Comparativos'!F:F,$B$49,'Cálculos Comparativos'!AA:AA,$B57)/D$59, 0)</f>
        <v>0</v>
      </c>
      <c r="F57" s="188"/>
      <c r="H57" s="193"/>
      <c r="I57" s="114"/>
      <c r="J57" s="114"/>
      <c r="K57" s="114"/>
      <c r="L57" s="194"/>
      <c r="M57" s="195"/>
      <c r="O57" s="114"/>
      <c r="P57" s="114"/>
      <c r="Q57" s="114"/>
      <c r="R57" s="114"/>
    </row>
    <row r="58" ht="15.0" customHeight="1">
      <c r="A58" s="118"/>
      <c r="B58" s="191" t="s">
        <v>74</v>
      </c>
      <c r="C58" s="192">
        <f>IFERROR(COUNTIFS('Cálculos Comparativos'!F:F,$B$49,'Cálculos Comparativos'!S:S,$B58)/C$59, 0)</f>
        <v>0</v>
      </c>
      <c r="D58" s="192">
        <f>IFERROR(COUNTIFS('Cálculos Comparativos'!F:F,$B$49,'Cálculos Comparativos'!AA:AA,$B58)/D$59, 0)</f>
        <v>0</v>
      </c>
      <c r="F58" s="188"/>
      <c r="H58" s="182"/>
      <c r="I58" s="114"/>
      <c r="J58" s="114"/>
      <c r="K58" s="114"/>
      <c r="N58" s="114"/>
      <c r="O58" s="114"/>
      <c r="P58" s="114"/>
      <c r="Q58" s="114"/>
      <c r="R58" s="114"/>
    </row>
    <row r="59" ht="15.0" customHeight="1">
      <c r="A59" s="118"/>
      <c r="B59" s="196" t="s">
        <v>87</v>
      </c>
      <c r="C59" s="196">
        <f>COUNTIFS('Cálculos Comparativos'!F:F,B49,'Cálculos Comparativos'!S:S,"?*")</f>
        <v>3</v>
      </c>
      <c r="D59" s="196">
        <f>COUNTIFS('Cálculos Comparativos'!F:F, B49,'Cálculos Comparativos'!AA:AA,"?*")</f>
        <v>2</v>
      </c>
      <c r="E59" s="197"/>
      <c r="F59" s="198"/>
      <c r="H59" s="182"/>
      <c r="I59" s="114"/>
      <c r="J59" s="114"/>
      <c r="K59" s="114"/>
      <c r="N59" s="114"/>
      <c r="O59" s="114"/>
      <c r="P59" s="114"/>
      <c r="Q59" s="114"/>
      <c r="R59" s="114"/>
    </row>
    <row r="60" ht="15.0" customHeight="1">
      <c r="A60" s="118"/>
      <c r="B60" s="199"/>
      <c r="C60" s="200"/>
      <c r="D60" s="200"/>
      <c r="E60" s="173"/>
      <c r="F60" s="173"/>
      <c r="G60" s="182"/>
      <c r="H60" s="182"/>
      <c r="I60" s="114"/>
      <c r="J60" s="114"/>
      <c r="K60" s="114"/>
      <c r="O60" s="114"/>
      <c r="P60" s="114"/>
      <c r="Q60" s="114"/>
      <c r="R60" s="114"/>
    </row>
    <row r="61" ht="15.0" customHeight="1">
      <c r="A61" s="118"/>
      <c r="B61" s="199"/>
      <c r="C61" s="200"/>
      <c r="D61" s="200"/>
      <c r="E61" s="173"/>
      <c r="F61" s="173"/>
      <c r="G61" s="182"/>
      <c r="H61" s="182"/>
      <c r="I61" s="114"/>
      <c r="J61" s="114"/>
      <c r="K61" s="114"/>
      <c r="L61" s="114"/>
      <c r="M61" s="114"/>
      <c r="N61" s="114"/>
      <c r="O61" s="114"/>
      <c r="P61" s="114"/>
      <c r="Q61" s="114"/>
      <c r="R61" s="114"/>
    </row>
    <row r="62" ht="15.0" customHeight="1">
      <c r="A62" s="118"/>
      <c r="B62" s="199"/>
      <c r="C62" s="200"/>
      <c r="D62" s="200"/>
      <c r="E62" s="173"/>
      <c r="F62" s="173"/>
      <c r="G62" s="182"/>
      <c r="H62" s="182"/>
      <c r="I62" s="114"/>
      <c r="J62" s="114"/>
      <c r="K62" s="114"/>
      <c r="N62" s="114"/>
      <c r="O62" s="114"/>
      <c r="P62" s="114"/>
      <c r="Q62" s="114"/>
      <c r="R62" s="114"/>
    </row>
    <row r="63" ht="15.0" customHeight="1">
      <c r="A63" s="118"/>
      <c r="B63" s="199"/>
      <c r="C63" s="200"/>
      <c r="D63" s="200"/>
      <c r="E63" s="173"/>
      <c r="F63" s="173"/>
      <c r="G63" s="182"/>
      <c r="H63" s="182"/>
      <c r="I63" s="114"/>
      <c r="J63" s="114"/>
      <c r="K63" s="114"/>
      <c r="N63" s="114"/>
      <c r="O63" s="114"/>
      <c r="P63" s="114"/>
      <c r="Q63" s="114"/>
      <c r="R63" s="114"/>
    </row>
    <row r="64" ht="15.0" customHeight="1">
      <c r="A64" s="118"/>
      <c r="B64" s="199"/>
      <c r="C64" s="200"/>
      <c r="D64" s="200"/>
      <c r="E64" s="173"/>
      <c r="F64" s="173"/>
      <c r="G64" s="182"/>
      <c r="H64" s="182"/>
      <c r="I64" s="114"/>
      <c r="J64" s="114"/>
      <c r="K64" s="114"/>
      <c r="N64" s="114"/>
      <c r="O64" s="114"/>
      <c r="P64" s="114"/>
      <c r="Q64" s="114"/>
      <c r="R64" s="114"/>
    </row>
    <row r="65" ht="15.0" customHeight="1">
      <c r="A65" s="118"/>
      <c r="B65" s="199"/>
      <c r="C65" s="200"/>
      <c r="D65" s="200"/>
      <c r="E65" s="173"/>
      <c r="F65" s="173"/>
      <c r="G65" s="182"/>
      <c r="H65" s="182"/>
      <c r="I65" s="114"/>
      <c r="J65" s="114"/>
      <c r="K65" s="114"/>
      <c r="N65" s="114"/>
      <c r="O65" s="114"/>
      <c r="P65" s="114"/>
      <c r="Q65" s="114"/>
      <c r="R65" s="114"/>
    </row>
    <row r="66" ht="12.75" customHeight="1">
      <c r="A66" s="118"/>
      <c r="B66" s="199"/>
      <c r="C66" s="200"/>
      <c r="D66" s="200"/>
      <c r="E66" s="173"/>
      <c r="F66" s="173"/>
      <c r="G66" s="182"/>
      <c r="H66" s="182"/>
      <c r="I66" s="114"/>
      <c r="J66" s="114"/>
      <c r="K66" s="114"/>
      <c r="N66" s="114"/>
      <c r="O66" s="114"/>
      <c r="P66" s="114"/>
      <c r="Q66" s="114"/>
      <c r="R66" s="114"/>
    </row>
    <row r="67" ht="12.75" customHeight="1">
      <c r="A67" s="118"/>
      <c r="B67" s="199"/>
      <c r="C67" s="200"/>
      <c r="D67" s="200"/>
      <c r="E67" s="173"/>
      <c r="F67" s="173"/>
      <c r="G67" s="182"/>
      <c r="H67" s="182"/>
      <c r="I67" s="114"/>
      <c r="J67" s="114"/>
      <c r="K67" s="114"/>
      <c r="M67" s="114"/>
      <c r="N67" s="114"/>
      <c r="O67" s="114"/>
      <c r="P67" s="114"/>
      <c r="Q67" s="114"/>
      <c r="R67" s="114"/>
    </row>
    <row r="68" ht="12.75" customHeight="1">
      <c r="A68" s="118"/>
      <c r="B68" s="199"/>
      <c r="C68" s="200"/>
      <c r="D68" s="200"/>
      <c r="E68" s="173"/>
      <c r="F68" s="173"/>
      <c r="G68" s="182"/>
      <c r="H68" s="182"/>
      <c r="I68" s="114"/>
      <c r="J68" s="114"/>
      <c r="K68" s="114"/>
      <c r="M68" s="114"/>
      <c r="N68" s="114"/>
      <c r="O68" s="114"/>
      <c r="P68" s="114"/>
      <c r="Q68" s="114"/>
      <c r="R68" s="114"/>
    </row>
    <row r="69" ht="12.75" customHeight="1">
      <c r="A69" s="118"/>
      <c r="B69" s="199"/>
      <c r="C69" s="200"/>
      <c r="D69" s="200"/>
      <c r="E69" s="173"/>
      <c r="F69" s="173"/>
      <c r="G69" s="182"/>
      <c r="H69" s="182"/>
      <c r="I69" s="114"/>
      <c r="J69" s="114"/>
      <c r="K69" s="114"/>
      <c r="M69" s="114"/>
      <c r="N69" s="114"/>
      <c r="O69" s="114"/>
      <c r="P69" s="114"/>
      <c r="Q69" s="114"/>
      <c r="R69" s="114"/>
    </row>
    <row r="70" ht="12.75" customHeight="1">
      <c r="A70" s="118"/>
      <c r="B70" s="201"/>
      <c r="C70" s="201"/>
      <c r="D70" s="201"/>
      <c r="E70" s="202"/>
      <c r="F70" s="202"/>
      <c r="G70" s="203"/>
      <c r="H70" s="203"/>
      <c r="I70" s="204"/>
      <c r="J70" s="204"/>
      <c r="K70" s="114"/>
      <c r="L70" s="114"/>
      <c r="M70" s="114"/>
      <c r="N70" s="114"/>
      <c r="O70" s="114"/>
      <c r="P70" s="114"/>
      <c r="Q70" s="114"/>
      <c r="R70" s="114"/>
    </row>
    <row r="71" ht="12.75" customHeight="1">
      <c r="A71" s="118"/>
      <c r="B71" s="199"/>
      <c r="C71" s="200"/>
      <c r="D71" s="200"/>
      <c r="E71" s="173"/>
      <c r="F71" s="173"/>
      <c r="G71" s="182"/>
      <c r="H71" s="182"/>
      <c r="I71" s="114"/>
      <c r="J71" s="114"/>
      <c r="K71" s="114"/>
      <c r="L71" s="114"/>
      <c r="M71" s="114"/>
      <c r="N71" s="114"/>
      <c r="O71" s="114"/>
      <c r="P71" s="114"/>
      <c r="Q71" s="114"/>
      <c r="R71" s="114"/>
    </row>
    <row r="72" ht="12.75" customHeight="1">
      <c r="A72" s="118"/>
      <c r="B72" s="205" t="str">
        <f>"5 Maiores Salários acima "&amp;IF(B5="Mediana","da ",IF(B5="Média","da ","do "))&amp;B5</f>
        <v>5 Maiores Salários acima da Mediana</v>
      </c>
      <c r="C72" s="206"/>
      <c r="D72" s="206"/>
      <c r="E72" s="206"/>
      <c r="F72" s="206"/>
      <c r="G72" s="206"/>
      <c r="H72" s="206"/>
      <c r="I72" s="206"/>
      <c r="J72" s="207"/>
      <c r="K72" s="114"/>
      <c r="L72" s="114"/>
      <c r="M72" s="114"/>
      <c r="N72" s="114"/>
      <c r="O72" s="114"/>
      <c r="P72" s="114"/>
      <c r="Q72" s="114"/>
      <c r="R72" s="114"/>
    </row>
    <row r="73" ht="12.75" customHeight="1">
      <c r="A73" s="118"/>
      <c r="B73" s="199"/>
      <c r="C73" s="200"/>
      <c r="D73" s="200"/>
      <c r="E73" s="173"/>
      <c r="F73" s="173"/>
      <c r="G73" s="182"/>
      <c r="H73" s="182"/>
      <c r="I73" s="114"/>
      <c r="J73" s="114"/>
      <c r="K73" s="114"/>
      <c r="L73" s="114"/>
      <c r="M73" s="114"/>
      <c r="N73" s="114"/>
      <c r="O73" s="114"/>
      <c r="P73" s="114"/>
      <c r="Q73" s="114"/>
      <c r="R73" s="114"/>
    </row>
    <row r="74" ht="12.75" customHeight="1">
      <c r="A74" s="118"/>
      <c r="B74" s="208" t="s">
        <v>88</v>
      </c>
      <c r="C74" s="114"/>
      <c r="D74" s="114"/>
      <c r="E74" s="209" t="s">
        <v>75</v>
      </c>
      <c r="G74" s="210" t="s">
        <v>76</v>
      </c>
      <c r="I74" s="114"/>
      <c r="J74" s="114"/>
      <c r="K74" s="114"/>
      <c r="L74" s="114"/>
      <c r="M74" s="114"/>
      <c r="N74" s="114"/>
      <c r="O74" s="114"/>
      <c r="P74" s="114"/>
    </row>
    <row r="75" ht="12.75" customHeight="1">
      <c r="A75" s="118"/>
      <c r="B75" s="211" t="s">
        <v>38</v>
      </c>
      <c r="C75" s="211" t="s">
        <v>40</v>
      </c>
      <c r="D75" s="212" t="s">
        <v>89</v>
      </c>
      <c r="E75" s="213" t="str">
        <f>$B$5</f>
        <v>Mediana</v>
      </c>
      <c r="F75" s="213" t="s">
        <v>79</v>
      </c>
      <c r="G75" s="214" t="str">
        <f>$B$5</f>
        <v>Mediana</v>
      </c>
      <c r="H75" s="214" t="s">
        <v>79</v>
      </c>
      <c r="I75" s="114"/>
      <c r="J75" s="114"/>
      <c r="K75" s="114"/>
      <c r="L75" s="114"/>
      <c r="M75" s="114"/>
      <c r="N75" s="114"/>
      <c r="O75" s="114"/>
      <c r="P75" s="114"/>
    </row>
    <row r="76" ht="12.75" customHeight="1">
      <c r="A76" s="215">
        <f t="array" ref="A76">INDEX('Cálculos Comparativos'!A:A, MATCH(LARGE('Cálculos Comparativos'!R:R, ROW(A1)), 'Cálculos Comparativos'!R:R, 0))</f>
        <v>5</v>
      </c>
      <c r="B76" s="216" t="str">
        <f>iferror(VLOOKUP($A76,'Cálculos Comparativos'!$A:$AA,2,0),"")</f>
        <v>Lider</v>
      </c>
      <c r="C76" s="216" t="str">
        <f>iferror(VLOOKUP($A76,'Cálculos Comparativos'!$A:$AA,8,0)&amp;" "&amp;if(VLOOKUP($A76,'Cálculos Comparativos'!$A:$AA,9,0)="Indiferente","",VLOOKUP($A76,'Cálculos Comparativos'!$A:$AA,9,0)),"")</f>
        <v>Líder Técnico </v>
      </c>
      <c r="D76" s="217">
        <f>VLOOKUP(A76,'Cálculos Comparativos'!$A:$AA,3,0)</f>
        <v>8611.2</v>
      </c>
      <c r="E76" s="218">
        <f>IFS($B$5="Mediana",VLOOKUP(A76,'Cálculos Comparativos'!A:AA,15,0),$B$5="Menor Salário",VLOOKUP(A76,'Cálculos Comparativos'!A:AA,12,0),$B$5="1º Quartil",VLOOKUP(A76,'Cálculos Comparativos'!A:AA,13,0),$B$5="Média",VLOOKUP(A76,'Cálculos Comparativos'!A:AA,14,0),$B$5="3º Quartil",VLOOKUP(A76,'Cálculos Comparativos'!A:AA,16,0),$B$5="Maior Salário",VLOOKUP(A76,'Cálculos Comparativos'!A:AA,17,0))</f>
        <v>8929.22</v>
      </c>
      <c r="F76" s="157">
        <f>VLOOKUP(A76,'Cálculos Comparativos'!$A:$AA,18,0)</f>
        <v>0.9643843471</v>
      </c>
      <c r="G76" s="219">
        <f>IFS($B$5="Mediana",VLOOKUP(A76,'Cálculos Comparativos'!A:AA,23,0),$B$5="Menor Salário",VLOOKUP(A76,'Cálculos Comparativos'!A:AA,20,0),$B$5="1º Quartil",VLOOKUP(A76,'Cálculos Comparativos'!A:AA,21,0),$B$5="Média",VLOOKUP(A76,'Cálculos Comparativos'!A:AA,22,0),$B$5="3º Quartil",VLOOKUP(A76,'Cálculos Comparativos'!A:AA,24,0),$B$5="Maior Salário",VLOOKUP(A76,'Cálculos Comparativos'!A:AA,25,0))</f>
        <v>9047.66</v>
      </c>
      <c r="H76" s="220">
        <f>VLOOKUP(A76,'Cálculos Comparativos'!$A:$AA,26,0)</f>
        <v>0.9517599026</v>
      </c>
      <c r="I76" s="114"/>
      <c r="J76" s="114"/>
      <c r="K76" s="114"/>
      <c r="L76" s="114"/>
      <c r="M76" s="114"/>
      <c r="N76" s="114"/>
      <c r="O76" s="114"/>
      <c r="P76" s="114"/>
    </row>
    <row r="77" ht="12.75" customHeight="1">
      <c r="A77" s="215">
        <f t="array" ref="A77">INDEX('Cálculos Comparativos'!A:A, MATCH(LARGE('Cálculos Comparativos'!R:R, ROW(A2)), 'Cálculos Comparativos'!R:R, 0))</f>
        <v>3</v>
      </c>
      <c r="B77" s="216" t="str">
        <f>iferror(VLOOKUP($A77,'Cálculos Comparativos'!$A:$AA,2,0),"")</f>
        <v>Engenheiro de Software Full Stack Sr</v>
      </c>
      <c r="C77" s="216" t="str">
        <f>iferror(VLOOKUP($A77,'Cálculos Comparativos'!$A:$AA,8,0)&amp;" "&amp;if(VLOOKUP($A77,'Cálculos Comparativos'!$A:$AA,9,0)="Indiferente","",VLOOKUP($A77,'Cálculos Comparativos'!$A:$AA,9,0)),"")</f>
        <v>Desenvolvedor Sênior</v>
      </c>
      <c r="D77" s="217">
        <f>VLOOKUP(A77,'Cálculos Comparativos'!$A:$AA,3,0)</f>
        <v>6458.4</v>
      </c>
      <c r="E77" s="218">
        <f>IFS($B$5="Mediana",VLOOKUP(A77,'Cálculos Comparativos'!A:AA,15,0),$B$5="Menor Salário",VLOOKUP(A77,'Cálculos Comparativos'!A:AA,12,0),$B$5="1º Quartil",VLOOKUP(A77,'Cálculos Comparativos'!A:AA,13,0),$B$5="Média",VLOOKUP(A77,'Cálculos Comparativos'!A:AA,14,0),$B$5="3º Quartil",VLOOKUP(A77,'Cálculos Comparativos'!A:AA,16,0),$B$5="Maior Salário",VLOOKUP(A77,'Cálculos Comparativos'!A:AA,17,0))</f>
        <v>7999.87</v>
      </c>
      <c r="F77" s="157">
        <f>VLOOKUP(A77,'Cálculos Comparativos'!$A:$AA,18,0)</f>
        <v>0.8073131188</v>
      </c>
      <c r="G77" s="219">
        <f>IFS($B$5="Mediana",VLOOKUP(A77,'Cálculos Comparativos'!A:AA,23,0),$B$5="Menor Salário",VLOOKUP(A77,'Cálculos Comparativos'!A:AA,20,0),$B$5="1º Quartil",VLOOKUP(A77,'Cálculos Comparativos'!A:AA,21,0),$B$5="Média",VLOOKUP(A77,'Cálculos Comparativos'!A:AA,22,0),$B$5="3º Quartil",VLOOKUP(A77,'Cálculos Comparativos'!A:AA,24,0),$B$5="Maior Salário",VLOOKUP(A77,'Cálculos Comparativos'!A:AA,25,0))</f>
        <v>7851.14</v>
      </c>
      <c r="H77" s="220">
        <f>VLOOKUP(A77,'Cálculos Comparativos'!$A:$AA,26,0)</f>
        <v>0.8226066533</v>
      </c>
      <c r="I77" s="114"/>
      <c r="J77" s="114"/>
      <c r="K77" s="114"/>
      <c r="L77" s="114"/>
      <c r="M77" s="114"/>
      <c r="N77" s="114"/>
      <c r="O77" s="114"/>
      <c r="P77" s="114"/>
    </row>
    <row r="78" ht="12.75" customHeight="1">
      <c r="A78" s="215">
        <f t="array" ref="A78">INDEX('Cálculos Comparativos'!A:A, MATCH(LARGE('Cálculos Comparativos'!R:R, ROW(A3)), 'Cálculos Comparativos'!R:R, 0))</f>
        <v>2</v>
      </c>
      <c r="B78" s="216" t="str">
        <f>iferror(VLOOKUP($A78,'Cálculos Comparativos'!$A:$AA,2,0),"")</f>
        <v>Engenheiro de Software Full Stack Pl</v>
      </c>
      <c r="C78" s="216" t="str">
        <f>iferror(VLOOKUP($A78,'Cálculos Comparativos'!$A:$AA,8,0)&amp;" "&amp;if(VLOOKUP($A78,'Cálculos Comparativos'!$A:$AA,9,0)="Indiferente","",VLOOKUP($A78,'Cálculos Comparativos'!$A:$AA,9,0)),"")</f>
        <v>Desenvolvedor Pleno</v>
      </c>
      <c r="D78" s="217">
        <f>VLOOKUP(A78,'Cálculos Comparativos'!$A:$AA,3,0)</f>
        <v>4305.6</v>
      </c>
      <c r="E78" s="218">
        <f>IFS($B$5="Mediana",VLOOKUP(A78,'Cálculos Comparativos'!A:AA,15,0),$B$5="Menor Salário",VLOOKUP(A78,'Cálculos Comparativos'!A:AA,12,0),$B$5="1º Quartil",VLOOKUP(A78,'Cálculos Comparativos'!A:AA,13,0),$B$5="Média",VLOOKUP(A78,'Cálculos Comparativos'!A:AA,14,0),$B$5="3º Quartil",VLOOKUP(A78,'Cálculos Comparativos'!A:AA,16,0),$B$5="Maior Salário",VLOOKUP(A78,'Cálculos Comparativos'!A:AA,17,0))</f>
        <v>5342.35</v>
      </c>
      <c r="F78" s="157">
        <f>VLOOKUP(A78,'Cálculos Comparativos'!$A:$AA,18,0)</f>
        <v>0.805937462</v>
      </c>
      <c r="G78" s="219">
        <f>IFS($B$5="Mediana",VLOOKUP(A78,'Cálculos Comparativos'!A:AA,23,0),$B$5="Menor Salário",VLOOKUP(A78,'Cálculos Comparativos'!A:AA,20,0),$B$5="1º Quartil",VLOOKUP(A78,'Cálculos Comparativos'!A:AA,21,0),$B$5="Média",VLOOKUP(A78,'Cálculos Comparativos'!A:AA,22,0),$B$5="3º Quartil",VLOOKUP(A78,'Cálculos Comparativos'!A:AA,24,0),$B$5="Maior Salário",VLOOKUP(A78,'Cálculos Comparativos'!A:AA,25,0))</f>
        <v>5248.63</v>
      </c>
      <c r="H78" s="220">
        <f>VLOOKUP(A78,'Cálculos Comparativos'!$A:$AA,26,0)</f>
        <v>0.8203283524</v>
      </c>
      <c r="I78" s="114"/>
      <c r="J78" s="114"/>
      <c r="K78" s="114"/>
      <c r="L78" s="114"/>
      <c r="M78" s="114"/>
      <c r="N78" s="114"/>
      <c r="O78" s="114"/>
      <c r="P78" s="114"/>
    </row>
    <row r="79" ht="12.75" customHeight="1">
      <c r="A79" s="215">
        <f t="array" ref="A79">INDEX('Cálculos Comparativos'!A:A, MATCH(LARGE('Cálculos Comparativos'!R:R, ROW(A4)), 'Cálculos Comparativos'!R:R, 0))</f>
        <v>4</v>
      </c>
      <c r="B79" s="216" t="str">
        <f>iferror(VLOOKUP($A79,'Cálculos Comparativos'!$A:$AA,2,0),"")</f>
        <v>Analista de Requisitos</v>
      </c>
      <c r="C79" s="216" t="str">
        <f>iferror(VLOOKUP($A79,'Cálculos Comparativos'!$A:$AA,8,0)&amp;" "&amp;if(VLOOKUP($A79,'Cálculos Comparativos'!$A:$AA,9,0)="Indiferente","",VLOOKUP($A79,'Cálculos Comparativos'!$A:$AA,9,0)),"")</f>
        <v>Analista de Requisitos Júnior</v>
      </c>
      <c r="D79" s="217">
        <f>VLOOKUP(A79,'Cálculos Comparativos'!$A:$AA,3,0)</f>
        <v>2859.19</v>
      </c>
      <c r="E79" s="218">
        <f>IFS($B$5="Mediana",VLOOKUP(A79,'Cálculos Comparativos'!A:AA,15,0),$B$5="Menor Salário",VLOOKUP(A79,'Cálculos Comparativos'!A:AA,12,0),$B$5="1º Quartil",VLOOKUP(A79,'Cálculos Comparativos'!A:AA,13,0),$B$5="Média",VLOOKUP(A79,'Cálculos Comparativos'!A:AA,14,0),$B$5="3º Quartil",VLOOKUP(A79,'Cálculos Comparativos'!A:AA,16,0),$B$5="Maior Salário",VLOOKUP(A79,'Cálculos Comparativos'!A:AA,17,0))</f>
        <v>3618.72</v>
      </c>
      <c r="F79" s="157">
        <f>VLOOKUP(A79,'Cálculos Comparativos'!$A:$AA,18,0)</f>
        <v>0.7901108679</v>
      </c>
      <c r="G79" s="219">
        <f>IFS($B$5="Mediana",VLOOKUP(A79,'Cálculos Comparativos'!A:AA,23,0),$B$5="Menor Salário",VLOOKUP(A79,'Cálculos Comparativos'!A:AA,20,0),$B$5="1º Quartil",VLOOKUP(A79,'Cálculos Comparativos'!A:AA,21,0),$B$5="Média",VLOOKUP(A79,'Cálculos Comparativos'!A:AA,22,0),$B$5="3º Quartil",VLOOKUP(A79,'Cálculos Comparativos'!A:AA,24,0),$B$5="Maior Salário",VLOOKUP(A79,'Cálculos Comparativos'!A:AA,25,0))</f>
        <v>0</v>
      </c>
      <c r="H79" s="220" t="str">
        <f>VLOOKUP(A79,'Cálculos Comparativos'!$A:$AA,26,0)</f>
        <v/>
      </c>
      <c r="I79" s="114"/>
      <c r="J79" s="114"/>
      <c r="K79" s="114"/>
      <c r="L79" s="114"/>
      <c r="M79" s="114"/>
      <c r="N79" s="114"/>
      <c r="O79" s="114"/>
      <c r="P79" s="114"/>
    </row>
    <row r="80" ht="12.75" customHeight="1">
      <c r="A80" s="215">
        <f t="array" ref="A80">INDEX('Cálculos Comparativos'!A:A, MATCH(LARGE('Cálculos Comparativos'!R:R, ROW(A5)), 'Cálculos Comparativos'!R:R, 0))</f>
        <v>1</v>
      </c>
      <c r="B80" s="216" t="str">
        <f>iferror(VLOOKUP($A80,'Cálculos Comparativos'!$A:$AA,2,0),"")</f>
        <v>Engenheiro de Software Full Stack Jr</v>
      </c>
      <c r="C80" s="216" t="str">
        <f>iferror(VLOOKUP($A80,'Cálculos Comparativos'!$A:$AA,8,0)&amp;" "&amp;if(VLOOKUP($A80,'Cálculos Comparativos'!$A:$AA,9,0)="Indiferente","",VLOOKUP($A80,'Cálculos Comparativos'!$A:$AA,9,0)),"")</f>
        <v>Desenvolvedor Júnior</v>
      </c>
      <c r="D80" s="217">
        <f>VLOOKUP(A80,'Cálculos Comparativos'!$A:$AA,3,0)</f>
        <v>2489.18</v>
      </c>
      <c r="E80" s="218">
        <f>IFS($B$5="Mediana",VLOOKUP(A80,'Cálculos Comparativos'!A:AA,15,0),$B$5="Menor Salário",VLOOKUP(A80,'Cálculos Comparativos'!A:AA,12,0),$B$5="1º Quartil",VLOOKUP(A80,'Cálculos Comparativos'!A:AA,13,0),$B$5="Média",VLOOKUP(A80,'Cálculos Comparativos'!A:AA,14,0),$B$5="3º Quartil",VLOOKUP(A80,'Cálculos Comparativos'!A:AA,16,0),$B$5="Maior Salário",VLOOKUP(A80,'Cálculos Comparativos'!A:AA,17,0))</f>
        <v>3379.04</v>
      </c>
      <c r="F80" s="157">
        <f>VLOOKUP(A80,'Cálculos Comparativos'!$A:$AA,18,0)</f>
        <v>0.7366530139</v>
      </c>
      <c r="G80" s="219">
        <f>IFS($B$5="Mediana",VLOOKUP(A80,'Cálculos Comparativos'!A:AA,23,0),$B$5="Menor Salário",VLOOKUP(A80,'Cálculos Comparativos'!A:AA,20,0),$B$5="1º Quartil",VLOOKUP(A80,'Cálculos Comparativos'!A:AA,21,0),$B$5="Média",VLOOKUP(A80,'Cálculos Comparativos'!A:AA,22,0),$B$5="3º Quartil",VLOOKUP(A80,'Cálculos Comparativos'!A:AA,24,0),$B$5="Maior Salário",VLOOKUP(A80,'Cálculos Comparativos'!A:AA,25,0))</f>
        <v>3493.9</v>
      </c>
      <c r="H80" s="220">
        <f>VLOOKUP(A80,'Cálculos Comparativos'!$A:$AA,26,0)</f>
        <v>0.7124359598</v>
      </c>
      <c r="I80" s="114"/>
      <c r="J80" s="114"/>
      <c r="K80" s="114"/>
      <c r="L80" s="114"/>
      <c r="M80" s="114"/>
      <c r="N80" s="114"/>
      <c r="O80" s="114"/>
      <c r="P80" s="114"/>
    </row>
    <row r="81" ht="12.75" customHeight="1">
      <c r="A81" s="118"/>
      <c r="B81" s="199"/>
      <c r="C81" s="200"/>
      <c r="D81" s="200"/>
      <c r="E81" s="173"/>
      <c r="F81" s="173"/>
      <c r="G81" s="182"/>
      <c r="H81" s="182"/>
      <c r="I81" s="114"/>
      <c r="J81" s="114"/>
      <c r="K81" s="114"/>
      <c r="L81" s="114"/>
      <c r="M81" s="114"/>
      <c r="N81" s="114"/>
      <c r="O81" s="114"/>
      <c r="P81" s="114"/>
      <c r="Q81" s="114"/>
      <c r="R81" s="114"/>
    </row>
    <row r="82" ht="12.75" customHeight="1">
      <c r="A82" s="118"/>
      <c r="B82" s="208" t="s">
        <v>90</v>
      </c>
      <c r="C82" s="114"/>
      <c r="D82" s="114"/>
      <c r="E82" s="210" t="s">
        <v>75</v>
      </c>
      <c r="G82" s="221" t="s">
        <v>76</v>
      </c>
      <c r="I82" s="114"/>
      <c r="J82" s="114"/>
      <c r="K82" s="114"/>
      <c r="L82" s="114"/>
      <c r="M82" s="114"/>
      <c r="N82" s="114"/>
      <c r="O82" s="114"/>
      <c r="P82" s="114"/>
    </row>
    <row r="83" ht="12.75" customHeight="1">
      <c r="A83" s="118"/>
      <c r="B83" s="211" t="s">
        <v>38</v>
      </c>
      <c r="C83" s="211" t="s">
        <v>40</v>
      </c>
      <c r="D83" s="212" t="s">
        <v>89</v>
      </c>
      <c r="E83" s="214" t="str">
        <f>$B$5</f>
        <v>Mediana</v>
      </c>
      <c r="F83" s="214" t="s">
        <v>79</v>
      </c>
      <c r="G83" s="222" t="str">
        <f>$B$5</f>
        <v>Mediana</v>
      </c>
      <c r="H83" s="222" t="s">
        <v>79</v>
      </c>
      <c r="I83" s="114"/>
      <c r="J83" s="114"/>
      <c r="K83" s="114"/>
      <c r="L83" s="114"/>
      <c r="M83" s="114"/>
      <c r="N83" s="114"/>
      <c r="O83" s="114"/>
      <c r="P83" s="114"/>
    </row>
    <row r="84" ht="12.75" customHeight="1">
      <c r="A84" s="223">
        <f t="array" ref="A84">INDEX('Cálculos Comparativos'!A:A, MATCH(LARGE('Cálculos Comparativos'!Z:Z, ROW(A1)), 'Cálculos Comparativos'!Z:Z, 0))</f>
        <v>5</v>
      </c>
      <c r="B84" s="216" t="str">
        <f>iferror(VLOOKUP($A84,'Cálculos Comparativos'!$A:$AA,2,0),"")</f>
        <v>Lider</v>
      </c>
      <c r="C84" s="216" t="str">
        <f>iferror(VLOOKUP($A84,'Cálculos Comparativos'!$A:$AA,8,0)&amp;" "&amp;if(VLOOKUP($A84,'Cálculos Comparativos'!$A:$AA,9,0)="Indiferente","",VLOOKUP($A84,'Cálculos Comparativos'!$A:$AA,9,0)),"")</f>
        <v>Líder Técnico </v>
      </c>
      <c r="D84" s="217">
        <f>VLOOKUP(A84,'Cálculos Comparativos'!$A:$AA,3,0)</f>
        <v>8611.2</v>
      </c>
      <c r="E84" s="219">
        <f>IFS($B$5="Mediana",VLOOKUP(A84,'Cálculos Comparativos'!A:AA,15,0),$B$5="Menor Salário",VLOOKUP(A84,'Cálculos Comparativos'!A:AA,12,0),$B$5="1º Quartil",VLOOKUP(A84,'Cálculos Comparativos'!A:AA,13,0),$B$5="Média",VLOOKUP(A84,'Cálculos Comparativos'!A:AA,14,0),$B$5="3º Quartil",VLOOKUP(A84,'Cálculos Comparativos'!A:AA,16,0),$B$5="Maior Salário",VLOOKUP(A84,'Cálculos Comparativos'!A:AA,17,0))</f>
        <v>8929.22</v>
      </c>
      <c r="F84" s="220">
        <f>VLOOKUP(A84,'Cálculos Comparativos'!$A:$AA,18,0)</f>
        <v>0.9643843471</v>
      </c>
      <c r="G84" s="224">
        <f>IFS($B$5="Mediana",VLOOKUP(A84,'Cálculos Comparativos'!A:AA,23,0),$B$5="Menor Salário",VLOOKUP(A84,'Cálculos Comparativos'!A:AA,20,0),$B$5="1º Quartil",VLOOKUP(A84,'Cálculos Comparativos'!A:AA,21,0),$B$5="Média",VLOOKUP(A84,'Cálculos Comparativos'!A:AA,22,0),$B$5="3º Quartil",VLOOKUP(A84,'Cálculos Comparativos'!A:AA,24,0),$B$5="Maior Salário",VLOOKUP(A84,'Cálculos Comparativos'!A:AA,25,0))</f>
        <v>9047.66</v>
      </c>
      <c r="H84" s="225">
        <f>VLOOKUP(A84,'Cálculos Comparativos'!$A:$AA,26,0)</f>
        <v>0.9517599026</v>
      </c>
      <c r="I84" s="114"/>
      <c r="J84" s="114"/>
      <c r="K84" s="114"/>
      <c r="L84" s="114"/>
      <c r="M84" s="114"/>
      <c r="N84" s="114"/>
      <c r="O84" s="114"/>
      <c r="P84" s="114"/>
    </row>
    <row r="85" ht="12.75" customHeight="1">
      <c r="A85" s="223">
        <f t="array" ref="A85">INDEX('Cálculos Comparativos'!A:A, MATCH(LARGE('Cálculos Comparativos'!Z:Z, ROW(A2)), 'Cálculos Comparativos'!Z:Z, 0))</f>
        <v>3</v>
      </c>
      <c r="B85" s="216" t="str">
        <f>iferror(VLOOKUP($A85,'Cálculos Comparativos'!$A:$AA,2,0),"")</f>
        <v>Engenheiro de Software Full Stack Sr</v>
      </c>
      <c r="C85" s="216" t="str">
        <f>iferror(VLOOKUP($A85,'Cálculos Comparativos'!$A:$AA,8,0)&amp;" "&amp;if(VLOOKUP($A85,'Cálculos Comparativos'!$A:$AA,9,0)="Indiferente","",VLOOKUP($A85,'Cálculos Comparativos'!$A:$AA,9,0)),"")</f>
        <v>Desenvolvedor Sênior</v>
      </c>
      <c r="D85" s="217">
        <f>VLOOKUP(A85,'Cálculos Comparativos'!$A:$AA,3,0)</f>
        <v>6458.4</v>
      </c>
      <c r="E85" s="219">
        <f>IFS($B$5="Mediana",VLOOKUP(A85,'Cálculos Comparativos'!A:AA,15,0),$B$5="Menor Salário",VLOOKUP(A85,'Cálculos Comparativos'!A:AA,12,0),$B$5="1º Quartil",VLOOKUP(A85,'Cálculos Comparativos'!A:AA,13,0),$B$5="Média",VLOOKUP(A85,'Cálculos Comparativos'!A:AA,14,0),$B$5="3º Quartil",VLOOKUP(A85,'Cálculos Comparativos'!A:AA,16,0),$B$5="Maior Salário",VLOOKUP(A85,'Cálculos Comparativos'!A:AA,17,0))</f>
        <v>7999.87</v>
      </c>
      <c r="F85" s="220">
        <f>VLOOKUP(A85,'Cálculos Comparativos'!$A:$AA,18,0)</f>
        <v>0.8073131188</v>
      </c>
      <c r="G85" s="224">
        <f>IFS($B$5="Mediana",VLOOKUP(A85,'Cálculos Comparativos'!A:AA,23,0),$B$5="Menor Salário",VLOOKUP(A85,'Cálculos Comparativos'!A:AA,20,0),$B$5="1º Quartil",VLOOKUP(A85,'Cálculos Comparativos'!A:AA,21,0),$B$5="Média",VLOOKUP(A85,'Cálculos Comparativos'!A:AA,22,0),$B$5="3º Quartil",VLOOKUP(A85,'Cálculos Comparativos'!A:AA,24,0),$B$5="Maior Salário",VLOOKUP(A85,'Cálculos Comparativos'!A:AA,25,0))</f>
        <v>7851.14</v>
      </c>
      <c r="H85" s="225">
        <f>VLOOKUP(A85,'Cálculos Comparativos'!$A:$AA,26,0)</f>
        <v>0.8226066533</v>
      </c>
      <c r="I85" s="114"/>
      <c r="J85" s="114"/>
      <c r="K85" s="114"/>
      <c r="L85" s="114"/>
      <c r="M85" s="114"/>
      <c r="N85" s="114"/>
      <c r="O85" s="114"/>
      <c r="P85" s="114"/>
    </row>
    <row r="86" ht="12.75" customHeight="1">
      <c r="A86" s="223">
        <f t="array" ref="A86">INDEX('Cálculos Comparativos'!A:A, MATCH(LARGE('Cálculos Comparativos'!Z:Z, ROW(A3)), 'Cálculos Comparativos'!Z:Z, 0))</f>
        <v>2</v>
      </c>
      <c r="B86" s="216" t="str">
        <f>iferror(VLOOKUP($A86,'Cálculos Comparativos'!$A:$AA,2,0),"")</f>
        <v>Engenheiro de Software Full Stack Pl</v>
      </c>
      <c r="C86" s="216" t="str">
        <f>iferror(VLOOKUP($A86,'Cálculos Comparativos'!$A:$AA,8,0)&amp;" "&amp;if(VLOOKUP($A86,'Cálculos Comparativos'!$A:$AA,9,0)="Indiferente","",VLOOKUP($A86,'Cálculos Comparativos'!$A:$AA,9,0)),"")</f>
        <v>Desenvolvedor Pleno</v>
      </c>
      <c r="D86" s="217">
        <f>VLOOKUP(A86,'Cálculos Comparativos'!$A:$AA,3,0)</f>
        <v>4305.6</v>
      </c>
      <c r="E86" s="219">
        <f>IFS($B$5="Mediana",VLOOKUP(A86,'Cálculos Comparativos'!A:AA,15,0),$B$5="Menor Salário",VLOOKUP(A86,'Cálculos Comparativos'!A:AA,12,0),$B$5="1º Quartil",VLOOKUP(A86,'Cálculos Comparativos'!A:AA,13,0),$B$5="Média",VLOOKUP(A86,'Cálculos Comparativos'!A:AA,14,0),$B$5="3º Quartil",VLOOKUP(A86,'Cálculos Comparativos'!A:AA,16,0),$B$5="Maior Salário",VLOOKUP(A86,'Cálculos Comparativos'!A:AA,17,0))</f>
        <v>5342.35</v>
      </c>
      <c r="F86" s="220">
        <f>VLOOKUP(A86,'Cálculos Comparativos'!$A:$AA,18,0)</f>
        <v>0.805937462</v>
      </c>
      <c r="G86" s="224">
        <f>IFS($B$5="Mediana",VLOOKUP(A86,'Cálculos Comparativos'!A:AA,23,0),$B$5="Menor Salário",VLOOKUP(A86,'Cálculos Comparativos'!A:AA,20,0),$B$5="1º Quartil",VLOOKUP(A86,'Cálculos Comparativos'!A:AA,21,0),$B$5="Média",VLOOKUP(A86,'Cálculos Comparativos'!A:AA,22,0),$B$5="3º Quartil",VLOOKUP(A86,'Cálculos Comparativos'!A:AA,24,0),$B$5="Maior Salário",VLOOKUP(A86,'Cálculos Comparativos'!A:AA,25,0))</f>
        <v>5248.63</v>
      </c>
      <c r="H86" s="225">
        <f>VLOOKUP(A86,'Cálculos Comparativos'!$A:$AA,26,0)</f>
        <v>0.8203283524</v>
      </c>
      <c r="I86" s="114"/>
      <c r="J86" s="114"/>
      <c r="K86" s="114"/>
      <c r="L86" s="114"/>
      <c r="M86" s="114"/>
      <c r="N86" s="114"/>
      <c r="O86" s="114"/>
      <c r="P86" s="114"/>
    </row>
    <row r="87" ht="12.75" customHeight="1">
      <c r="A87" s="223">
        <f t="array" ref="A87">INDEX('Cálculos Comparativos'!A:A, MATCH(LARGE('Cálculos Comparativos'!Z:Z, ROW(A4)), 'Cálculos Comparativos'!Z:Z, 0))</f>
        <v>1</v>
      </c>
      <c r="B87" s="216" t="str">
        <f>iferror(VLOOKUP($A87,'Cálculos Comparativos'!$A:$AA,2,0),"")</f>
        <v>Engenheiro de Software Full Stack Jr</v>
      </c>
      <c r="C87" s="216" t="str">
        <f>iferror(VLOOKUP($A87,'Cálculos Comparativos'!$A:$AA,8,0)&amp;" "&amp;if(VLOOKUP($A87,'Cálculos Comparativos'!$A:$AA,9,0)="Indiferente","",VLOOKUP($A87,'Cálculos Comparativos'!$A:$AA,9,0)),"")</f>
        <v>Desenvolvedor Júnior</v>
      </c>
      <c r="D87" s="217">
        <f>VLOOKUP(A87,'Cálculos Comparativos'!$A:$AA,3,0)</f>
        <v>2489.18</v>
      </c>
      <c r="E87" s="219">
        <f>IFS($B$5="Mediana",VLOOKUP(A87,'Cálculos Comparativos'!A:AA,15,0),$B$5="Menor Salário",VLOOKUP(A87,'Cálculos Comparativos'!A:AA,12,0),$B$5="1º Quartil",VLOOKUP(A87,'Cálculos Comparativos'!A:AA,13,0),$B$5="Média",VLOOKUP(A87,'Cálculos Comparativos'!A:AA,14,0),$B$5="3º Quartil",VLOOKUP(A87,'Cálculos Comparativos'!A:AA,16,0),$B$5="Maior Salário",VLOOKUP(A87,'Cálculos Comparativos'!A:AA,17,0))</f>
        <v>3379.04</v>
      </c>
      <c r="F87" s="220">
        <f>VLOOKUP(A87,'Cálculos Comparativos'!$A:$AA,18,0)</f>
        <v>0.7366530139</v>
      </c>
      <c r="G87" s="224">
        <f>IFS($B$5="Mediana",VLOOKUP(A87,'Cálculos Comparativos'!A:AA,23,0),$B$5="Menor Salário",VLOOKUP(A87,'Cálculos Comparativos'!A:AA,20,0),$B$5="1º Quartil",VLOOKUP(A87,'Cálculos Comparativos'!A:AA,21,0),$B$5="Média",VLOOKUP(A87,'Cálculos Comparativos'!A:AA,22,0),$B$5="3º Quartil",VLOOKUP(A87,'Cálculos Comparativos'!A:AA,24,0),$B$5="Maior Salário",VLOOKUP(A87,'Cálculos Comparativos'!A:AA,25,0))</f>
        <v>3493.9</v>
      </c>
      <c r="H87" s="225">
        <f>VLOOKUP(A87,'Cálculos Comparativos'!$A:$AA,26,0)</f>
        <v>0.7124359598</v>
      </c>
      <c r="I87" s="114"/>
      <c r="J87" s="114"/>
      <c r="K87" s="114"/>
      <c r="L87" s="114"/>
      <c r="M87" s="114"/>
      <c r="N87" s="114"/>
      <c r="O87" s="114"/>
      <c r="P87" s="114"/>
    </row>
    <row r="88" ht="12.75" customHeight="1">
      <c r="A88" s="118"/>
      <c r="B88" s="199"/>
      <c r="C88" s="200"/>
      <c r="D88" s="200"/>
      <c r="E88" s="173"/>
      <c r="F88" s="173"/>
      <c r="G88" s="182"/>
      <c r="H88" s="182"/>
      <c r="I88" s="114"/>
      <c r="J88" s="114"/>
      <c r="K88" s="114"/>
      <c r="L88" s="114"/>
      <c r="M88" s="114"/>
      <c r="N88" s="114"/>
      <c r="O88" s="114"/>
      <c r="P88" s="114"/>
      <c r="Q88" s="114"/>
      <c r="R88" s="114"/>
    </row>
    <row r="89" ht="12.75" customHeight="1">
      <c r="A89" s="118"/>
      <c r="B89" s="199"/>
      <c r="C89" s="200"/>
      <c r="D89" s="200"/>
      <c r="E89" s="173"/>
      <c r="F89" s="173"/>
      <c r="G89" s="182"/>
      <c r="H89" s="182"/>
      <c r="I89" s="114"/>
      <c r="J89" s="114"/>
      <c r="K89" s="114"/>
      <c r="L89" s="114"/>
      <c r="M89" s="114"/>
      <c r="N89" s="114"/>
      <c r="O89" s="114"/>
      <c r="P89" s="114"/>
      <c r="Q89" s="114"/>
      <c r="R89" s="114"/>
    </row>
    <row r="90" ht="12.75" customHeight="1">
      <c r="A90" s="118"/>
      <c r="B90" s="226" t="str">
        <f>"5 Menores Salários abaixo "&amp;IF(B5="Mediana","da ",IF(B5="Média","da ","do "))&amp;B5</f>
        <v>5 Menores Salários abaixo da Mediana</v>
      </c>
      <c r="C90" s="206"/>
      <c r="D90" s="206"/>
      <c r="E90" s="206"/>
      <c r="F90" s="206"/>
      <c r="G90" s="206"/>
      <c r="H90" s="206"/>
      <c r="I90" s="206"/>
      <c r="J90" s="207"/>
      <c r="K90" s="114"/>
      <c r="L90" s="114"/>
      <c r="M90" s="114"/>
      <c r="N90" s="114"/>
      <c r="O90" s="114"/>
      <c r="P90" s="114"/>
      <c r="Q90" s="114"/>
      <c r="R90" s="114"/>
    </row>
    <row r="91" ht="12.75" customHeight="1">
      <c r="A91" s="118"/>
      <c r="B91" s="199"/>
      <c r="C91" s="200"/>
      <c r="D91" s="200"/>
      <c r="E91" s="173"/>
      <c r="F91" s="173"/>
      <c r="G91" s="182"/>
      <c r="H91" s="182"/>
      <c r="I91" s="114"/>
      <c r="J91" s="114"/>
      <c r="K91" s="114"/>
      <c r="L91" s="114"/>
      <c r="M91" s="114"/>
      <c r="N91" s="114"/>
      <c r="O91" s="114"/>
      <c r="P91" s="114"/>
      <c r="Q91" s="114"/>
      <c r="R91" s="114"/>
    </row>
    <row r="92" ht="12.75" customHeight="1">
      <c r="A92" s="118"/>
      <c r="B92" s="208" t="s">
        <v>88</v>
      </c>
      <c r="C92" s="114"/>
      <c r="D92" s="114"/>
      <c r="E92" s="209" t="s">
        <v>75</v>
      </c>
      <c r="G92" s="210" t="s">
        <v>76</v>
      </c>
      <c r="I92" s="114"/>
      <c r="J92" s="114"/>
      <c r="K92" s="114"/>
      <c r="L92" s="114"/>
      <c r="M92" s="114"/>
      <c r="N92" s="114"/>
      <c r="O92" s="114"/>
      <c r="P92" s="114"/>
    </row>
    <row r="93" ht="12.75" customHeight="1">
      <c r="A93" s="118"/>
      <c r="B93" s="211" t="s">
        <v>38</v>
      </c>
      <c r="C93" s="211" t="s">
        <v>40</v>
      </c>
      <c r="D93" s="212" t="s">
        <v>89</v>
      </c>
      <c r="E93" s="213" t="str">
        <f>$B$5</f>
        <v>Mediana</v>
      </c>
      <c r="F93" s="213" t="s">
        <v>79</v>
      </c>
      <c r="G93" s="214" t="str">
        <f>$B$5</f>
        <v>Mediana</v>
      </c>
      <c r="H93" s="214" t="s">
        <v>79</v>
      </c>
      <c r="I93" s="114"/>
      <c r="J93" s="114"/>
      <c r="K93" s="114"/>
      <c r="L93" s="114"/>
      <c r="M93" s="114"/>
      <c r="N93" s="114"/>
      <c r="O93" s="114"/>
      <c r="P93" s="114"/>
    </row>
    <row r="94" ht="12.75" customHeight="1">
      <c r="A94" s="215">
        <f t="array" ref="A94">INDEX('Cálculos Comparativos'!A:A, MATCH(SMALL('Cálculos Comparativos'!R:R, ROW(A1)), 'Cálculos Comparativos'!R:R, 0))</f>
        <v>1</v>
      </c>
      <c r="B94" s="216" t="str">
        <f>iferror(VLOOKUP($A94,'Cálculos Comparativos'!$A:$AA,2,0),"")</f>
        <v>Engenheiro de Software Full Stack Jr</v>
      </c>
      <c r="C94" s="216" t="str">
        <f>iferror(VLOOKUP($A94,'Cálculos Comparativos'!$A:$AA,8,0)&amp;" "&amp;if(VLOOKUP($A94,'Cálculos Comparativos'!$A:$AA,9,0)="Indiferente","",VLOOKUP($A94,'Cálculos Comparativos'!$A:$AA,9,0)),"")</f>
        <v>Desenvolvedor Júnior</v>
      </c>
      <c r="D94" s="217">
        <f>VLOOKUP(A94,'Cálculos Comparativos'!$A:$AA,3,0)</f>
        <v>2489.18</v>
      </c>
      <c r="E94" s="218">
        <f>IFS($B$5="Mediana",VLOOKUP(A94,'Cálculos Comparativos'!A:AA,15,0),$B$5="Menor Salário",VLOOKUP(A94,'Cálculos Comparativos'!A:AA,12,0),$B$5="1º Quartil",VLOOKUP(A94,'Cálculos Comparativos'!A:AA,13,0),$B$5="Média",VLOOKUP(A94,'Cálculos Comparativos'!A:AA,14,0),$B$5="3º Quartil",VLOOKUP(A94,'Cálculos Comparativos'!A:AA,16,0),$B$5="Maior Salário",VLOOKUP(A94,'Cálculos Comparativos'!A:AA,17,0))</f>
        <v>3379.04</v>
      </c>
      <c r="F94" s="157">
        <f>VLOOKUP(A94,'Cálculos Comparativos'!$A:$AA,18,0)</f>
        <v>0.7366530139</v>
      </c>
      <c r="G94" s="219">
        <f>IFS($B$5="Mediana",VLOOKUP(A94,'Cálculos Comparativos'!A:AA,23,0),$B$5="Menor Salário",VLOOKUP(A94,'Cálculos Comparativos'!A:AA,20,0),$B$5="1º Quartil",VLOOKUP(A94,'Cálculos Comparativos'!A:AA,21,0),$B$5="Média",VLOOKUP(A94,'Cálculos Comparativos'!A:AA,22,0),$B$5="3º Quartil",VLOOKUP(A94,'Cálculos Comparativos'!A:AA,24,0),$B$5="Maior Salário",VLOOKUP(A94,'Cálculos Comparativos'!A:AA,25,0))</f>
        <v>3493.9</v>
      </c>
      <c r="H94" s="220">
        <f>VLOOKUP(A94,'Cálculos Comparativos'!$A:$AA,26,0)</f>
        <v>0.7124359598</v>
      </c>
      <c r="I94" s="114"/>
      <c r="J94" s="114"/>
      <c r="K94" s="114"/>
      <c r="L94" s="114"/>
      <c r="M94" s="114"/>
      <c r="N94" s="114"/>
      <c r="O94" s="114"/>
      <c r="P94" s="114"/>
    </row>
    <row r="95" ht="12.75" customHeight="1">
      <c r="A95" s="215">
        <f t="array" ref="A95">INDEX('Cálculos Comparativos'!A:A, MATCH(SMALL('Cálculos Comparativos'!R:R, ROW(A2)), 'Cálculos Comparativos'!R:R, 0))</f>
        <v>4</v>
      </c>
      <c r="B95" s="216" t="str">
        <f>iferror(VLOOKUP($A95,'Cálculos Comparativos'!$A:$AA,2,0),"")</f>
        <v>Analista de Requisitos</v>
      </c>
      <c r="C95" s="216" t="str">
        <f>iferror(VLOOKUP($A95,'Cálculos Comparativos'!$A:$AA,8,0)&amp;" "&amp;if(VLOOKUP($A95,'Cálculos Comparativos'!$A:$AA,9,0)="Indiferente","",VLOOKUP($A95,'Cálculos Comparativos'!$A:$AA,9,0)),"")</f>
        <v>Analista de Requisitos Júnior</v>
      </c>
      <c r="D95" s="217">
        <f>VLOOKUP(A95,'Cálculos Comparativos'!$A:$AA,3,0)</f>
        <v>2859.19</v>
      </c>
      <c r="E95" s="218">
        <f>IFS($B$5="Mediana",VLOOKUP(A95,'Cálculos Comparativos'!A:AA,15,0),$B$5="Menor Salário",VLOOKUP(A95,'Cálculos Comparativos'!A:AA,12,0),$B$5="1º Quartil",VLOOKUP(A95,'Cálculos Comparativos'!A:AA,13,0),$B$5="Média",VLOOKUP(A95,'Cálculos Comparativos'!A:AA,14,0),$B$5="3º Quartil",VLOOKUP(A95,'Cálculos Comparativos'!A:AA,16,0),$B$5="Maior Salário",VLOOKUP(A95,'Cálculos Comparativos'!A:AA,17,0))</f>
        <v>3618.72</v>
      </c>
      <c r="F95" s="157">
        <f>VLOOKUP(A95,'Cálculos Comparativos'!$A:$AA,18,0)</f>
        <v>0.7901108679</v>
      </c>
      <c r="G95" s="219">
        <f>IFS($B$5="Mediana",VLOOKUP(A95,'Cálculos Comparativos'!A:AA,23,0),$B$5="Menor Salário",VLOOKUP(A95,'Cálculos Comparativos'!A:AA,20,0),$B$5="1º Quartil",VLOOKUP(A95,'Cálculos Comparativos'!A:AA,21,0),$B$5="Média",VLOOKUP(A95,'Cálculos Comparativos'!A:AA,22,0),$B$5="3º Quartil",VLOOKUP(A95,'Cálculos Comparativos'!A:AA,24,0),$B$5="Maior Salário",VLOOKUP(A95,'Cálculos Comparativos'!A:AA,25,0))</f>
        <v>0</v>
      </c>
      <c r="H95" s="220" t="str">
        <f>VLOOKUP(A95,'Cálculos Comparativos'!$A:$AA,26,0)</f>
        <v/>
      </c>
      <c r="I95" s="114"/>
      <c r="J95" s="114"/>
      <c r="K95" s="114"/>
      <c r="L95" s="114"/>
      <c r="M95" s="114"/>
      <c r="N95" s="114"/>
      <c r="O95" s="114"/>
      <c r="P95" s="114"/>
    </row>
    <row r="96" ht="12.75" customHeight="1">
      <c r="A96" s="215">
        <f t="array" ref="A96">INDEX('Cálculos Comparativos'!A:A, MATCH(SMALL('Cálculos Comparativos'!R:R, ROW(A3)), 'Cálculos Comparativos'!R:R, 0))</f>
        <v>2</v>
      </c>
      <c r="B96" s="216" t="str">
        <f>iferror(VLOOKUP($A96,'Cálculos Comparativos'!$A:$AA,2,0),"")</f>
        <v>Engenheiro de Software Full Stack Pl</v>
      </c>
      <c r="C96" s="216" t="str">
        <f>iferror(VLOOKUP($A96,'Cálculos Comparativos'!$A:$AA,8,0)&amp;" "&amp;if(VLOOKUP($A96,'Cálculos Comparativos'!$A:$AA,9,0)="Indiferente","",VLOOKUP($A96,'Cálculos Comparativos'!$A:$AA,9,0)),"")</f>
        <v>Desenvolvedor Pleno</v>
      </c>
      <c r="D96" s="217">
        <f>VLOOKUP(A96,'Cálculos Comparativos'!$A:$AA,3,0)</f>
        <v>4305.6</v>
      </c>
      <c r="E96" s="218">
        <f>IFS($B$5="Mediana",VLOOKUP(A96,'Cálculos Comparativos'!A:AA,15,0),$B$5="Menor Salário",VLOOKUP(A96,'Cálculos Comparativos'!A:AA,12,0),$B$5="1º Quartil",VLOOKUP(A96,'Cálculos Comparativos'!A:AA,13,0),$B$5="Média",VLOOKUP(A96,'Cálculos Comparativos'!A:AA,14,0),$B$5="3º Quartil",VLOOKUP(A96,'Cálculos Comparativos'!A:AA,16,0),$B$5="Maior Salário",VLOOKUP(A96,'Cálculos Comparativos'!A:AA,17,0))</f>
        <v>5342.35</v>
      </c>
      <c r="F96" s="157">
        <f>VLOOKUP(A96,'Cálculos Comparativos'!$A:$AA,18,0)</f>
        <v>0.805937462</v>
      </c>
      <c r="G96" s="219">
        <f>IFS($B$5="Mediana",VLOOKUP(A96,'Cálculos Comparativos'!A:AA,23,0),$B$5="Menor Salário",VLOOKUP(A96,'Cálculos Comparativos'!A:AA,20,0),$B$5="1º Quartil",VLOOKUP(A96,'Cálculos Comparativos'!A:AA,21,0),$B$5="Média",VLOOKUP(A96,'Cálculos Comparativos'!A:AA,22,0),$B$5="3º Quartil",VLOOKUP(A96,'Cálculos Comparativos'!A:AA,24,0),$B$5="Maior Salário",VLOOKUP(A96,'Cálculos Comparativos'!A:AA,25,0))</f>
        <v>5248.63</v>
      </c>
      <c r="H96" s="220">
        <f>VLOOKUP(A96,'Cálculos Comparativos'!$A:$AA,26,0)</f>
        <v>0.8203283524</v>
      </c>
      <c r="I96" s="114"/>
      <c r="J96" s="114"/>
      <c r="K96" s="114"/>
      <c r="L96" s="114"/>
      <c r="M96" s="114"/>
      <c r="N96" s="114"/>
      <c r="O96" s="114"/>
      <c r="P96" s="114"/>
    </row>
    <row r="97" ht="12.75" customHeight="1">
      <c r="A97" s="215">
        <f t="array" ref="A97">INDEX('Cálculos Comparativos'!A:A, MATCH(SMALL('Cálculos Comparativos'!R:R, ROW(A4)), 'Cálculos Comparativos'!R:R, 0))</f>
        <v>3</v>
      </c>
      <c r="B97" s="216" t="str">
        <f>iferror(VLOOKUP($A97,'Cálculos Comparativos'!$A:$AA,2,0),"")</f>
        <v>Engenheiro de Software Full Stack Sr</v>
      </c>
      <c r="C97" s="216" t="str">
        <f>iferror(VLOOKUP($A97,'Cálculos Comparativos'!$A:$AA,8,0)&amp;" "&amp;if(VLOOKUP($A97,'Cálculos Comparativos'!$A:$AA,9,0)="Indiferente","",VLOOKUP($A97,'Cálculos Comparativos'!$A:$AA,9,0)),"")</f>
        <v>Desenvolvedor Sênior</v>
      </c>
      <c r="D97" s="217">
        <f>VLOOKUP(A97,'Cálculos Comparativos'!$A:$AA,3,0)</f>
        <v>6458.4</v>
      </c>
      <c r="E97" s="218">
        <f>IFS($B$5="Mediana",VLOOKUP(A97,'Cálculos Comparativos'!A:AA,15,0),$B$5="Menor Salário",VLOOKUP(A97,'Cálculos Comparativos'!A:AA,12,0),$B$5="1º Quartil",VLOOKUP(A97,'Cálculos Comparativos'!A:AA,13,0),$B$5="Média",VLOOKUP(A97,'Cálculos Comparativos'!A:AA,14,0),$B$5="3º Quartil",VLOOKUP(A97,'Cálculos Comparativos'!A:AA,16,0),$B$5="Maior Salário",VLOOKUP(A97,'Cálculos Comparativos'!A:AA,17,0))</f>
        <v>7999.87</v>
      </c>
      <c r="F97" s="157">
        <f>VLOOKUP(A97,'Cálculos Comparativos'!$A:$AA,18,0)</f>
        <v>0.8073131188</v>
      </c>
      <c r="G97" s="219">
        <f>IFS($B$5="Mediana",VLOOKUP(A97,'Cálculos Comparativos'!A:AA,23,0),$B$5="Menor Salário",VLOOKUP(A97,'Cálculos Comparativos'!A:AA,20,0),$B$5="1º Quartil",VLOOKUP(A97,'Cálculos Comparativos'!A:AA,21,0),$B$5="Média",VLOOKUP(A97,'Cálculos Comparativos'!A:AA,22,0),$B$5="3º Quartil",VLOOKUP(A97,'Cálculos Comparativos'!A:AA,24,0),$B$5="Maior Salário",VLOOKUP(A97,'Cálculos Comparativos'!A:AA,25,0))</f>
        <v>7851.14</v>
      </c>
      <c r="H97" s="220">
        <f>VLOOKUP(A97,'Cálculos Comparativos'!$A:$AA,26,0)</f>
        <v>0.8226066533</v>
      </c>
      <c r="I97" s="114"/>
      <c r="J97" s="114"/>
      <c r="K97" s="114"/>
      <c r="L97" s="114"/>
      <c r="M97" s="114"/>
      <c r="N97" s="114"/>
      <c r="O97" s="114"/>
      <c r="P97" s="114"/>
    </row>
    <row r="98" ht="12.75" customHeight="1">
      <c r="A98" s="215">
        <f t="array" ref="A98">INDEX('Cálculos Comparativos'!A:A, MATCH(SMALL('Cálculos Comparativos'!R:R, ROW(A5)), 'Cálculos Comparativos'!R:R, 0))</f>
        <v>5</v>
      </c>
      <c r="B98" s="216" t="str">
        <f>iferror(VLOOKUP($A98,'Cálculos Comparativos'!$A:$AA,2,0),"")</f>
        <v>Lider</v>
      </c>
      <c r="C98" s="216" t="str">
        <f>iferror(VLOOKUP($A98,'Cálculos Comparativos'!$A:$AA,8,0)&amp;" "&amp;if(VLOOKUP($A98,'Cálculos Comparativos'!$A:$AA,9,0)="Indiferente","",VLOOKUP($A98,'Cálculos Comparativos'!$A:$AA,9,0)),"")</f>
        <v>Líder Técnico </v>
      </c>
      <c r="D98" s="217">
        <f>VLOOKUP(A98,'Cálculos Comparativos'!$A:$AA,3,0)</f>
        <v>8611.2</v>
      </c>
      <c r="E98" s="218">
        <f>IFS($B$5="Mediana",VLOOKUP(A98,'Cálculos Comparativos'!A:AA,15,0),$B$5="Menor Salário",VLOOKUP(A98,'Cálculos Comparativos'!A:AA,12,0),$B$5="1º Quartil",VLOOKUP(A98,'Cálculos Comparativos'!A:AA,13,0),$B$5="Média",VLOOKUP(A98,'Cálculos Comparativos'!A:AA,14,0),$B$5="3º Quartil",VLOOKUP(A98,'Cálculos Comparativos'!A:AA,16,0),$B$5="Maior Salário",VLOOKUP(A98,'Cálculos Comparativos'!A:AA,17,0))</f>
        <v>8929.22</v>
      </c>
      <c r="F98" s="157">
        <f>VLOOKUP(A98,'Cálculos Comparativos'!$A:$AA,18,0)</f>
        <v>0.9643843471</v>
      </c>
      <c r="G98" s="219">
        <f>IFS($B$5="Mediana",VLOOKUP(A98,'Cálculos Comparativos'!A:AA,23,0),$B$5="Menor Salário",VLOOKUP(A98,'Cálculos Comparativos'!A:AA,20,0),$B$5="1º Quartil",VLOOKUP(A98,'Cálculos Comparativos'!A:AA,21,0),$B$5="Média",VLOOKUP(A98,'Cálculos Comparativos'!A:AA,22,0),$B$5="3º Quartil",VLOOKUP(A98,'Cálculos Comparativos'!A:AA,24,0),$B$5="Maior Salário",VLOOKUP(A98,'Cálculos Comparativos'!A:AA,25,0))</f>
        <v>9047.66</v>
      </c>
      <c r="H98" s="220">
        <f>VLOOKUP(A98,'Cálculos Comparativos'!$A:$AA,26,0)</f>
        <v>0.9517599026</v>
      </c>
      <c r="I98" s="114"/>
      <c r="J98" s="114"/>
      <c r="K98" s="114"/>
      <c r="L98" s="114"/>
      <c r="M98" s="114"/>
      <c r="N98" s="114"/>
      <c r="O98" s="114"/>
      <c r="P98" s="114"/>
    </row>
    <row r="99" ht="12.75" customHeight="1">
      <c r="A99" s="118"/>
      <c r="B99" s="199"/>
      <c r="C99" s="200"/>
      <c r="D99" s="200"/>
      <c r="E99" s="173"/>
      <c r="F99" s="173"/>
      <c r="G99" s="182"/>
      <c r="H99" s="182"/>
      <c r="I99" s="114"/>
      <c r="J99" s="114"/>
      <c r="K99" s="114"/>
      <c r="L99" s="114"/>
      <c r="M99" s="114"/>
      <c r="N99" s="114"/>
      <c r="O99" s="114"/>
      <c r="P99" s="114"/>
      <c r="Q99" s="114"/>
      <c r="R99" s="114"/>
    </row>
    <row r="100" ht="12.75" customHeight="1">
      <c r="A100" s="118"/>
      <c r="B100" s="208" t="s">
        <v>90</v>
      </c>
      <c r="C100" s="114"/>
      <c r="D100" s="114"/>
      <c r="E100" s="210" t="s">
        <v>75</v>
      </c>
      <c r="G100" s="221" t="s">
        <v>76</v>
      </c>
      <c r="I100" s="114"/>
      <c r="J100" s="114"/>
      <c r="K100" s="114"/>
      <c r="L100" s="114"/>
      <c r="M100" s="114"/>
      <c r="N100" s="114"/>
      <c r="O100" s="114"/>
      <c r="P100" s="114"/>
    </row>
    <row r="101" ht="12.75" customHeight="1">
      <c r="A101" s="118"/>
      <c r="B101" s="211" t="s">
        <v>38</v>
      </c>
      <c r="C101" s="211" t="s">
        <v>40</v>
      </c>
      <c r="D101" s="212" t="s">
        <v>89</v>
      </c>
      <c r="E101" s="214" t="str">
        <f>$B$5</f>
        <v>Mediana</v>
      </c>
      <c r="F101" s="214" t="s">
        <v>79</v>
      </c>
      <c r="G101" s="222" t="str">
        <f>$B$5</f>
        <v>Mediana</v>
      </c>
      <c r="H101" s="222" t="s">
        <v>79</v>
      </c>
      <c r="I101" s="114"/>
      <c r="J101" s="114"/>
      <c r="K101" s="114"/>
      <c r="L101" s="114"/>
      <c r="M101" s="114"/>
      <c r="N101" s="114"/>
      <c r="O101" s="114"/>
      <c r="P101" s="114"/>
    </row>
    <row r="102" ht="12.75" customHeight="1">
      <c r="A102" s="223">
        <f t="array" ref="A102">INDEX('Cálculos Comparativos'!A:A, MATCH(SMALL('Cálculos Comparativos'!Z:Z, ROW(A1)), 'Cálculos Comparativos'!Z:Z, 0))</f>
        <v>1</v>
      </c>
      <c r="B102" s="216" t="str">
        <f>iferror(VLOOKUP($A102,'Cálculos Comparativos'!$A:$AA,2,0),"")</f>
        <v>Engenheiro de Software Full Stack Jr</v>
      </c>
      <c r="C102" s="216" t="str">
        <f>iferror(VLOOKUP($A102,'Cálculos Comparativos'!$A:$AA,8,0)&amp;" "&amp;if(VLOOKUP($A102,'Cálculos Comparativos'!$A:$AA,9,0)="Indiferente","",VLOOKUP($A102,'Cálculos Comparativos'!$A:$AA,9,0)),"")</f>
        <v>Desenvolvedor Júnior</v>
      </c>
      <c r="D102" s="217">
        <f>VLOOKUP(A102,'Cálculos Comparativos'!$A:$AA,3,0)</f>
        <v>2489.18</v>
      </c>
      <c r="E102" s="219">
        <f>IFS($B$5="Mediana",VLOOKUP(A102,'Cálculos Comparativos'!A:AA,15,0),$B$5="Menor Salário",VLOOKUP(A102,'Cálculos Comparativos'!A:AA,12,0),$B$5="1º Quartil",VLOOKUP(A102,'Cálculos Comparativos'!A:AA,13,0),$B$5="Média",VLOOKUP(A102,'Cálculos Comparativos'!A:AA,14,0),$B$5="3º Quartil",VLOOKUP(A102,'Cálculos Comparativos'!A:AA,16,0),$B$5="Maior Salário",VLOOKUP(A102,'Cálculos Comparativos'!A:AA,17,0))</f>
        <v>3379.04</v>
      </c>
      <c r="F102" s="220">
        <f>VLOOKUP(A102,'Cálculos Comparativos'!$A:$AA,18,0)</f>
        <v>0.7366530139</v>
      </c>
      <c r="G102" s="224">
        <f>IFS($B$5="Mediana",VLOOKUP(A102,'Cálculos Comparativos'!A:AA,23,0),$B$5="Menor Salário",VLOOKUP(A102,'Cálculos Comparativos'!A:AA,20,0),$B$5="1º Quartil",VLOOKUP(A102,'Cálculos Comparativos'!A:AA,21,0),$B$5="Média",VLOOKUP(A102,'Cálculos Comparativos'!A:AA,22,0),$B$5="3º Quartil",VLOOKUP(A102,'Cálculos Comparativos'!A:AA,24,0),$B$5="Maior Salário",VLOOKUP(A102,'Cálculos Comparativos'!A:AA,25,0))</f>
        <v>3493.9</v>
      </c>
      <c r="H102" s="225">
        <f>VLOOKUP(A102,'Cálculos Comparativos'!$A:$AA,26,0)</f>
        <v>0.7124359598</v>
      </c>
      <c r="I102" s="114"/>
      <c r="J102" s="114"/>
      <c r="K102" s="114"/>
      <c r="L102" s="114"/>
      <c r="M102" s="114"/>
      <c r="N102" s="114"/>
      <c r="O102" s="114"/>
      <c r="P102" s="114"/>
    </row>
    <row r="103" ht="12.75" customHeight="1">
      <c r="A103" s="223">
        <f t="array" ref="A103">INDEX('Cálculos Comparativos'!A:A, MATCH(SMALL('Cálculos Comparativos'!Z:Z, ROW(A2)), 'Cálculos Comparativos'!Z:Z, 0))</f>
        <v>2</v>
      </c>
      <c r="B103" s="216" t="str">
        <f>iferror(VLOOKUP($A103,'Cálculos Comparativos'!$A:$AA,2,0),"")</f>
        <v>Engenheiro de Software Full Stack Pl</v>
      </c>
      <c r="C103" s="216" t="str">
        <f>iferror(VLOOKUP($A103,'Cálculos Comparativos'!$A:$AA,8,0)&amp;" "&amp;if(VLOOKUP($A103,'Cálculos Comparativos'!$A:$AA,9,0)="Indiferente","",VLOOKUP($A103,'Cálculos Comparativos'!$A:$AA,9,0)),"")</f>
        <v>Desenvolvedor Pleno</v>
      </c>
      <c r="D103" s="217">
        <f>VLOOKUP(A103,'Cálculos Comparativos'!$A:$AA,3,0)</f>
        <v>4305.6</v>
      </c>
      <c r="E103" s="219">
        <f>IFS($B$5="Mediana",VLOOKUP(A103,'Cálculos Comparativos'!A:AA,15,0),$B$5="Menor Salário",VLOOKUP(A103,'Cálculos Comparativos'!A:AA,12,0),$B$5="1º Quartil",VLOOKUP(A103,'Cálculos Comparativos'!A:AA,13,0),$B$5="Média",VLOOKUP(A103,'Cálculos Comparativos'!A:AA,14,0),$B$5="3º Quartil",VLOOKUP(A103,'Cálculos Comparativos'!A:AA,16,0),$B$5="Maior Salário",VLOOKUP(A103,'Cálculos Comparativos'!A:AA,17,0))</f>
        <v>5342.35</v>
      </c>
      <c r="F103" s="220">
        <f>VLOOKUP(A103,'Cálculos Comparativos'!$A:$AA,18,0)</f>
        <v>0.805937462</v>
      </c>
      <c r="G103" s="224">
        <f>IFS($B$5="Mediana",VLOOKUP(A103,'Cálculos Comparativos'!A:AA,23,0),$B$5="Menor Salário",VLOOKUP(A103,'Cálculos Comparativos'!A:AA,20,0),$B$5="1º Quartil",VLOOKUP(A103,'Cálculos Comparativos'!A:AA,21,0),$B$5="Média",VLOOKUP(A103,'Cálculos Comparativos'!A:AA,22,0),$B$5="3º Quartil",VLOOKUP(A103,'Cálculos Comparativos'!A:AA,24,0),$B$5="Maior Salário",VLOOKUP(A103,'Cálculos Comparativos'!A:AA,25,0))</f>
        <v>5248.63</v>
      </c>
      <c r="H103" s="225">
        <f>VLOOKUP(A103,'Cálculos Comparativos'!$A:$AA,26,0)</f>
        <v>0.8203283524</v>
      </c>
      <c r="I103" s="114"/>
      <c r="J103" s="114"/>
      <c r="K103" s="114"/>
      <c r="L103" s="114"/>
      <c r="M103" s="114"/>
      <c r="N103" s="114"/>
      <c r="O103" s="114"/>
      <c r="P103" s="114"/>
    </row>
    <row r="104" ht="12.75" customHeight="1">
      <c r="A104" s="223">
        <f t="array" ref="A104">INDEX('Cálculos Comparativos'!A:A, MATCH(SMALL('Cálculos Comparativos'!Z:Z, ROW(A3)), 'Cálculos Comparativos'!Z:Z, 0))</f>
        <v>3</v>
      </c>
      <c r="B104" s="216" t="str">
        <f>iferror(VLOOKUP($A104,'Cálculos Comparativos'!$A:$AA,2,0),"")</f>
        <v>Engenheiro de Software Full Stack Sr</v>
      </c>
      <c r="C104" s="216" t="str">
        <f>iferror(VLOOKUP($A104,'Cálculos Comparativos'!$A:$AA,8,0)&amp;" "&amp;if(VLOOKUP($A104,'Cálculos Comparativos'!$A:$AA,9,0)="Indiferente","",VLOOKUP($A104,'Cálculos Comparativos'!$A:$AA,9,0)),"")</f>
        <v>Desenvolvedor Sênior</v>
      </c>
      <c r="D104" s="217">
        <f>VLOOKUP(A104,'Cálculos Comparativos'!$A:$AA,3,0)</f>
        <v>6458.4</v>
      </c>
      <c r="E104" s="219">
        <f>IFS($B$5="Mediana",VLOOKUP(A104,'Cálculos Comparativos'!A:AA,15,0),$B$5="Menor Salário",VLOOKUP(A104,'Cálculos Comparativos'!A:AA,12,0),$B$5="1º Quartil",VLOOKUP(A104,'Cálculos Comparativos'!A:AA,13,0),$B$5="Média",VLOOKUP(A104,'Cálculos Comparativos'!A:AA,14,0),$B$5="3º Quartil",VLOOKUP(A104,'Cálculos Comparativos'!A:AA,16,0),$B$5="Maior Salário",VLOOKUP(A104,'Cálculos Comparativos'!A:AA,17,0))</f>
        <v>7999.87</v>
      </c>
      <c r="F104" s="220">
        <f>VLOOKUP(A104,'Cálculos Comparativos'!$A:$AA,18,0)</f>
        <v>0.8073131188</v>
      </c>
      <c r="G104" s="224">
        <f>IFS($B$5="Mediana",VLOOKUP(A104,'Cálculos Comparativos'!A:AA,23,0),$B$5="Menor Salário",VLOOKUP(A104,'Cálculos Comparativos'!A:AA,20,0),$B$5="1º Quartil",VLOOKUP(A104,'Cálculos Comparativos'!A:AA,21,0),$B$5="Média",VLOOKUP(A104,'Cálculos Comparativos'!A:AA,22,0),$B$5="3º Quartil",VLOOKUP(A104,'Cálculos Comparativos'!A:AA,24,0),$B$5="Maior Salário",VLOOKUP(A104,'Cálculos Comparativos'!A:AA,25,0))</f>
        <v>7851.14</v>
      </c>
      <c r="H104" s="225">
        <f>VLOOKUP(A104,'Cálculos Comparativos'!$A:$AA,26,0)</f>
        <v>0.8226066533</v>
      </c>
      <c r="I104" s="114"/>
      <c r="J104" s="114"/>
      <c r="K104" s="114"/>
      <c r="L104" s="114"/>
      <c r="M104" s="114"/>
      <c r="N104" s="114"/>
      <c r="O104" s="114"/>
      <c r="P104" s="114"/>
    </row>
    <row r="105" ht="12.75" customHeight="1">
      <c r="A105" s="223">
        <f t="array" ref="A105">INDEX('Cálculos Comparativos'!A:A, MATCH(SMALL('Cálculos Comparativos'!Z:Z, ROW(A4)), 'Cálculos Comparativos'!Z:Z, 0))</f>
        <v>5</v>
      </c>
      <c r="B105" s="216" t="str">
        <f>iferror(VLOOKUP($A105,'Cálculos Comparativos'!$A:$AA,2,0),"")</f>
        <v>Lider</v>
      </c>
      <c r="C105" s="216" t="str">
        <f>iferror(VLOOKUP($A105,'Cálculos Comparativos'!$A:$AA,8,0)&amp;" "&amp;if(VLOOKUP($A105,'Cálculos Comparativos'!$A:$AA,9,0)="Indiferente","",VLOOKUP($A105,'Cálculos Comparativos'!$A:$AA,9,0)),"")</f>
        <v>Líder Técnico </v>
      </c>
      <c r="D105" s="217">
        <f>VLOOKUP(A105,'Cálculos Comparativos'!$A:$AA,3,0)</f>
        <v>8611.2</v>
      </c>
      <c r="E105" s="219">
        <f>IFS($B$5="Mediana",VLOOKUP(A105,'Cálculos Comparativos'!A:AA,15,0),$B$5="Menor Salário",VLOOKUP(A105,'Cálculos Comparativos'!A:AA,12,0),$B$5="1º Quartil",VLOOKUP(A105,'Cálculos Comparativos'!A:AA,13,0),$B$5="Média",VLOOKUP(A105,'Cálculos Comparativos'!A:AA,14,0),$B$5="3º Quartil",VLOOKUP(A105,'Cálculos Comparativos'!A:AA,16,0),$B$5="Maior Salário",VLOOKUP(A105,'Cálculos Comparativos'!A:AA,17,0))</f>
        <v>8929.22</v>
      </c>
      <c r="F105" s="220">
        <f>VLOOKUP(A105,'Cálculos Comparativos'!$A:$AA,18,0)</f>
        <v>0.9643843471</v>
      </c>
      <c r="G105" s="224">
        <f>IFS($B$5="Mediana",VLOOKUP(A105,'Cálculos Comparativos'!A:AA,23,0),$B$5="Menor Salário",VLOOKUP(A105,'Cálculos Comparativos'!A:AA,20,0),$B$5="1º Quartil",VLOOKUP(A105,'Cálculos Comparativos'!A:AA,21,0),$B$5="Média",VLOOKUP(A105,'Cálculos Comparativos'!A:AA,22,0),$B$5="3º Quartil",VLOOKUP(A105,'Cálculos Comparativos'!A:AA,24,0),$B$5="Maior Salário",VLOOKUP(A105,'Cálculos Comparativos'!A:AA,25,0))</f>
        <v>9047.66</v>
      </c>
      <c r="H105" s="225">
        <f>VLOOKUP(A105,'Cálculos Comparativos'!$A:$AA,26,0)</f>
        <v>0.9517599026</v>
      </c>
      <c r="I105" s="114"/>
      <c r="J105" s="114"/>
      <c r="K105" s="114"/>
      <c r="L105" s="114"/>
      <c r="M105" s="114"/>
      <c r="N105" s="114"/>
      <c r="O105" s="114"/>
      <c r="P105" s="114"/>
    </row>
    <row r="106" ht="12.75" customHeight="1">
      <c r="A106" s="118"/>
      <c r="B106" s="199"/>
      <c r="C106" s="200"/>
      <c r="D106" s="200"/>
      <c r="E106" s="173"/>
      <c r="F106" s="173"/>
      <c r="G106" s="182"/>
      <c r="H106" s="182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</row>
    <row r="107" ht="12.75" customHeight="1">
      <c r="A107" s="118"/>
      <c r="B107" s="114"/>
      <c r="C107" s="114"/>
      <c r="D107" s="114"/>
      <c r="E107" s="114"/>
      <c r="F107" s="114"/>
      <c r="G107" s="114"/>
      <c r="H107" s="114"/>
      <c r="I107" s="114"/>
    </row>
    <row r="108" ht="12.75" customHeight="1">
      <c r="A108" s="118"/>
      <c r="B108" s="114"/>
      <c r="C108" s="114"/>
      <c r="D108" s="114"/>
      <c r="E108" s="114"/>
      <c r="F108" s="114"/>
      <c r="G108" s="114"/>
      <c r="H108" s="114"/>
      <c r="I108" s="114"/>
    </row>
    <row r="109" ht="12.75" customHeight="1">
      <c r="A109" s="227"/>
      <c r="B109" s="114"/>
      <c r="C109" s="114"/>
      <c r="D109" s="114"/>
      <c r="E109" s="114"/>
      <c r="F109" s="114"/>
      <c r="G109" s="114"/>
      <c r="H109" s="114"/>
      <c r="I109" s="114"/>
    </row>
    <row r="110" ht="12.75" customHeight="1">
      <c r="A110" s="227"/>
      <c r="B110" s="114"/>
      <c r="C110" s="114"/>
      <c r="D110" s="114"/>
      <c r="E110" s="114"/>
      <c r="F110" s="114"/>
      <c r="G110" s="114"/>
      <c r="H110" s="114"/>
      <c r="I110" s="114"/>
    </row>
    <row r="111" ht="12.75" customHeight="1">
      <c r="A111" s="227"/>
      <c r="B111" s="114"/>
      <c r="C111" s="114"/>
      <c r="D111" s="114"/>
      <c r="E111" s="114"/>
      <c r="F111" s="114"/>
      <c r="G111" s="114"/>
      <c r="H111" s="114"/>
      <c r="I111" s="114"/>
    </row>
    <row r="112" ht="12.75" customHeight="1">
      <c r="A112" s="227"/>
      <c r="B112" s="114"/>
      <c r="C112" s="114"/>
      <c r="D112" s="114"/>
      <c r="E112" s="114"/>
      <c r="F112" s="114"/>
      <c r="G112" s="114"/>
      <c r="H112" s="114"/>
      <c r="I112" s="114"/>
    </row>
    <row r="113" ht="12.75" customHeight="1">
      <c r="A113" s="227"/>
      <c r="B113" s="114"/>
      <c r="C113" s="114"/>
      <c r="D113" s="114"/>
      <c r="E113" s="114"/>
      <c r="F113" s="114"/>
      <c r="G113" s="114"/>
      <c r="H113" s="114"/>
      <c r="I113" s="114"/>
    </row>
    <row r="114" ht="12.75" customHeight="1">
      <c r="A114" s="118"/>
      <c r="B114" s="199"/>
      <c r="C114" s="200"/>
      <c r="D114" s="200"/>
      <c r="E114" s="173"/>
      <c r="F114" s="173"/>
      <c r="G114" s="182"/>
      <c r="H114" s="182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</row>
    <row r="115" ht="12.75" customHeight="1">
      <c r="A115" s="118"/>
      <c r="B115" s="199"/>
      <c r="C115" s="200"/>
      <c r="D115" s="200"/>
      <c r="E115" s="173"/>
      <c r="F115" s="173"/>
      <c r="G115" s="182"/>
      <c r="H115" s="182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</row>
    <row r="116" ht="12.75" customHeight="1">
      <c r="A116" s="118"/>
      <c r="B116" s="199"/>
      <c r="C116" s="200"/>
      <c r="D116" s="200"/>
      <c r="E116" s="173"/>
      <c r="F116" s="173"/>
      <c r="G116" s="182"/>
      <c r="H116" s="182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</row>
    <row r="117" ht="12.75" customHeight="1">
      <c r="A117" s="118"/>
      <c r="B117" s="199"/>
      <c r="C117" s="200"/>
      <c r="D117" s="200"/>
      <c r="E117" s="173"/>
      <c r="F117" s="173"/>
      <c r="G117" s="182"/>
      <c r="H117" s="182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</row>
    <row r="118" ht="12.75" customHeight="1">
      <c r="A118" s="118"/>
      <c r="B118" s="199"/>
      <c r="C118" s="200"/>
      <c r="D118" s="200"/>
      <c r="E118" s="173"/>
      <c r="F118" s="173"/>
      <c r="G118" s="182"/>
      <c r="H118" s="182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</row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>
      <c r="A128" s="228"/>
    </row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5">
    <mergeCell ref="D56:E56"/>
    <mergeCell ref="F56:G56"/>
    <mergeCell ref="D57:E57"/>
    <mergeCell ref="F57:G57"/>
    <mergeCell ref="M57:N57"/>
    <mergeCell ref="D58:E58"/>
    <mergeCell ref="F58:G58"/>
    <mergeCell ref="B90:J90"/>
    <mergeCell ref="E92:F92"/>
    <mergeCell ref="G92:H92"/>
    <mergeCell ref="E100:F100"/>
    <mergeCell ref="G100:H100"/>
    <mergeCell ref="D59:E59"/>
    <mergeCell ref="F59:G59"/>
    <mergeCell ref="B72:J72"/>
    <mergeCell ref="E74:F74"/>
    <mergeCell ref="G74:H74"/>
    <mergeCell ref="E82:F82"/>
    <mergeCell ref="G82:H82"/>
    <mergeCell ref="B3:E4"/>
    <mergeCell ref="H3:J3"/>
    <mergeCell ref="H4:J4"/>
    <mergeCell ref="B5:C6"/>
    <mergeCell ref="H5:J5"/>
    <mergeCell ref="H6:J6"/>
    <mergeCell ref="H7:J7"/>
    <mergeCell ref="D17:D21"/>
    <mergeCell ref="D24:D25"/>
    <mergeCell ref="D26:D30"/>
    <mergeCell ref="H8:J8"/>
    <mergeCell ref="H9:J9"/>
    <mergeCell ref="B12:D13"/>
    <mergeCell ref="F12:J13"/>
    <mergeCell ref="D15:D16"/>
    <mergeCell ref="J15:J16"/>
    <mergeCell ref="J17:J21"/>
    <mergeCell ref="J24:J25"/>
    <mergeCell ref="J26:J30"/>
    <mergeCell ref="F35:G35"/>
    <mergeCell ref="H35:I35"/>
    <mergeCell ref="F36:G36"/>
    <mergeCell ref="H36:I36"/>
    <mergeCell ref="H37:I37"/>
    <mergeCell ref="F37:G37"/>
    <mergeCell ref="F38:G38"/>
    <mergeCell ref="H38:I38"/>
    <mergeCell ref="F39:G39"/>
    <mergeCell ref="H39:I39"/>
    <mergeCell ref="F40:G40"/>
    <mergeCell ref="H40:I40"/>
    <mergeCell ref="F41:G41"/>
    <mergeCell ref="H41:I41"/>
    <mergeCell ref="F42:G42"/>
    <mergeCell ref="H42:I42"/>
    <mergeCell ref="M48:N48"/>
    <mergeCell ref="B49:C50"/>
    <mergeCell ref="F52:G52"/>
    <mergeCell ref="M53:N53"/>
    <mergeCell ref="D52:E52"/>
    <mergeCell ref="D53:E53"/>
    <mergeCell ref="F53:G53"/>
    <mergeCell ref="D54:E54"/>
    <mergeCell ref="F54:G54"/>
    <mergeCell ref="D55:E55"/>
    <mergeCell ref="F55:G55"/>
  </mergeCells>
  <dataValidations>
    <dataValidation type="list" allowBlank="1" showErrorMessage="1" sqref="B5">
      <formula1>"Mediana,Menor Salário,1º Quartil,Média,3º Quartil,Maior Salário"</formula1>
    </dataValidation>
    <dataValidation type="list" allowBlank="1" showErrorMessage="1" sqref="B49">
      <formula1>"Operacional,Tático,Estratégico"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40.63"/>
    <col customWidth="1" min="3" max="3" width="27.88"/>
    <col customWidth="1" min="4" max="6" width="12.5"/>
    <col customWidth="1" min="8" max="8" width="14.63"/>
    <col customWidth="1" min="9" max="9" width="11.88"/>
    <col customWidth="1" min="10" max="10" width="14.13"/>
    <col customWidth="1" min="12" max="12" width="10.5"/>
    <col customWidth="1" min="16" max="16" width="26.88"/>
  </cols>
  <sheetData>
    <row r="1">
      <c r="E1" s="229" t="s">
        <v>75</v>
      </c>
      <c r="F1" s="230"/>
      <c r="G1" s="230"/>
      <c r="H1" s="230"/>
      <c r="I1" s="231"/>
      <c r="J1" s="232"/>
      <c r="K1" s="233" t="s">
        <v>76</v>
      </c>
      <c r="L1" s="141"/>
      <c r="M1" s="141"/>
      <c r="N1" s="233"/>
      <c r="P1" s="234" t="s">
        <v>20</v>
      </c>
      <c r="Q1" s="235">
        <v>1.0</v>
      </c>
    </row>
    <row r="2">
      <c r="P2" s="132"/>
    </row>
    <row r="3">
      <c r="B3" s="116" t="s">
        <v>61</v>
      </c>
      <c r="E3" s="236"/>
      <c r="P3" s="132"/>
    </row>
    <row r="4">
      <c r="E4" s="237">
        <f>$D$28</f>
        <v>5</v>
      </c>
      <c r="N4" s="143">
        <f>$F$28</f>
        <v>4</v>
      </c>
      <c r="O4" s="238"/>
      <c r="P4" s="132"/>
    </row>
    <row r="5">
      <c r="B5" s="239" t="str">
        <f>'Painel Geral'!$B$5</f>
        <v>Mediana</v>
      </c>
      <c r="D5" s="116"/>
      <c r="P5" s="132"/>
    </row>
    <row r="6">
      <c r="D6" s="116"/>
      <c r="E6" s="240" t="s">
        <v>77</v>
      </c>
      <c r="N6" s="241" t="s">
        <v>77</v>
      </c>
      <c r="O6" s="242"/>
      <c r="P6" s="132"/>
    </row>
    <row r="7">
      <c r="B7" s="243" t="s">
        <v>91</v>
      </c>
      <c r="D7" s="236"/>
      <c r="P7" s="132"/>
    </row>
    <row r="8">
      <c r="P8" s="132"/>
    </row>
    <row r="9">
      <c r="B9" s="244" t="s">
        <v>92</v>
      </c>
      <c r="P9" s="132"/>
    </row>
    <row r="10">
      <c r="B10" s="245" t="s">
        <v>93</v>
      </c>
      <c r="N10" s="242"/>
      <c r="O10" s="242"/>
      <c r="P10" s="132"/>
    </row>
    <row r="11">
      <c r="B11" s="244" t="s">
        <v>94</v>
      </c>
      <c r="E11" s="246">
        <f>IF(SUM(C22:C24)&gt;SUM(C25:C27),SUM(C22:C24),SUM(C25:C27))</f>
        <v>1</v>
      </c>
      <c r="N11" s="247">
        <f>IF(SUM(E22:E24)&gt;SUM(E25:E27),SUM(E22:E24),SUM(E25:E27))</f>
        <v>1</v>
      </c>
      <c r="O11" s="248"/>
      <c r="P11" s="155"/>
    </row>
    <row r="12">
      <c r="B12" s="249"/>
      <c r="C12" s="249"/>
      <c r="P12" s="231"/>
    </row>
    <row r="13">
      <c r="B13" s="250" t="s">
        <v>20</v>
      </c>
      <c r="E13" s="240" t="str">
        <f>IF(SUM(C22:C24)&gt;SUM(C25:C27),"dos cargos abaixo "&amp;IF(B5="Mediana","da ",IF(B5="Média","da ","do "))&amp;B5,"dos cargos acima "&amp;IF(B5="Mediana","da ",IF(B5="Média","da ","do "))&amp;B5)</f>
        <v>dos cargos abaixo da Mediana</v>
      </c>
      <c r="N13" s="241" t="str">
        <f>IF(SUM(E22:E24)&gt;SUM(E25:E27),"dos cargos abaixo "&amp;IF(B5="Mediana","da ",IF(B5="Média","da ","do "))&amp;B5,"dos cargos acima "&amp;IF(B5="Mediana","da ",IF(B5="Média","da ","do "))&amp;B5)</f>
        <v>dos cargos abaixo da Mediana</v>
      </c>
      <c r="O13" s="242"/>
    </row>
    <row r="14">
      <c r="P14" s="132"/>
    </row>
    <row r="15">
      <c r="B15" s="251">
        <f>VLOOKUP(B13,P:Q,2,0)</f>
        <v>1</v>
      </c>
      <c r="C15" s="251"/>
      <c r="P15" s="132"/>
    </row>
    <row r="16">
      <c r="P16" s="252"/>
    </row>
    <row r="19">
      <c r="N19" s="132"/>
      <c r="O19" s="132"/>
      <c r="P19" s="235"/>
      <c r="Q19" s="235"/>
    </row>
    <row r="20">
      <c r="A20" s="215">
        <v>2.0</v>
      </c>
      <c r="B20" s="127"/>
      <c r="C20" s="209" t="s">
        <v>75</v>
      </c>
      <c r="E20" s="221" t="s">
        <v>76</v>
      </c>
      <c r="H20" s="253" t="s">
        <v>79</v>
      </c>
      <c r="I20" s="253" t="s">
        <v>95</v>
      </c>
      <c r="J20" s="253" t="s">
        <v>96</v>
      </c>
      <c r="K20" s="254"/>
      <c r="L20" s="132"/>
      <c r="M20" s="132"/>
      <c r="P20" s="235"/>
      <c r="Q20" s="235"/>
    </row>
    <row r="21" ht="15.75" customHeight="1">
      <c r="A21" s="255"/>
      <c r="B21" s="256" t="s">
        <v>79</v>
      </c>
      <c r="C21" s="213" t="s">
        <v>80</v>
      </c>
      <c r="D21" s="257" t="s">
        <v>97</v>
      </c>
      <c r="E21" s="222" t="s">
        <v>80</v>
      </c>
      <c r="F21" s="166" t="s">
        <v>97</v>
      </c>
      <c r="G21" s="132"/>
      <c r="H21" s="258" t="s">
        <v>64</v>
      </c>
      <c r="I21" s="259">
        <f t="shared" ref="I21:I26" si="1">C22</f>
        <v>0.4</v>
      </c>
      <c r="J21" s="259">
        <f t="shared" ref="J21:J26" si="2">E22</f>
        <v>0.25</v>
      </c>
      <c r="L21" s="132"/>
      <c r="M21" s="132"/>
      <c r="P21" s="235"/>
      <c r="Q21" s="235"/>
    </row>
    <row r="22" ht="15.75" customHeight="1">
      <c r="A22" s="255"/>
      <c r="B22" s="159" t="s">
        <v>64</v>
      </c>
      <c r="C22" s="260">
        <f t="shared" ref="C22:C27" si="3">iferror(D22/D$28,0)</f>
        <v>0.4</v>
      </c>
      <c r="D22" s="156">
        <f>COUNTIFS('Cálculos Comparativos'!S:S,$B22,'Cálculos Comparativos'!D:D,$B$15)</f>
        <v>2</v>
      </c>
      <c r="E22" s="261">
        <f t="shared" ref="E22:E27" si="4">iferror(F22/F$28,0)</f>
        <v>0.25</v>
      </c>
      <c r="F22" s="262">
        <f>COUNTIFS('Cálculos Comparativos'!AA:AA,$B22,'Cálculos Comparativos'!D:D,$B$15)</f>
        <v>1</v>
      </c>
      <c r="G22" s="132"/>
      <c r="H22" s="263" t="s">
        <v>66</v>
      </c>
      <c r="I22" s="264">
        <f t="shared" si="1"/>
        <v>0.4</v>
      </c>
      <c r="J22" s="264">
        <f t="shared" si="2"/>
        <v>0.5</v>
      </c>
      <c r="L22" s="132"/>
      <c r="M22" s="132"/>
      <c r="P22" s="235"/>
      <c r="Q22" s="235"/>
    </row>
    <row r="23" ht="15.75" customHeight="1">
      <c r="A23" s="255"/>
      <c r="B23" s="265" t="s">
        <v>66</v>
      </c>
      <c r="C23" s="260">
        <f t="shared" si="3"/>
        <v>0.4</v>
      </c>
      <c r="D23" s="156">
        <f>COUNTIFS('Cálculos Comparativos'!S:S,$B23,'Cálculos Comparativos'!D:D,$B$15)</f>
        <v>2</v>
      </c>
      <c r="E23" s="261">
        <f t="shared" si="4"/>
        <v>0.5</v>
      </c>
      <c r="F23" s="262">
        <f>COUNTIFS('Cálculos Comparativos'!AA:AA,$B23,'Cálculos Comparativos'!D:D,$B$15)</f>
        <v>2</v>
      </c>
      <c r="G23" s="132"/>
      <c r="H23" s="258" t="s">
        <v>68</v>
      </c>
      <c r="I23" s="259">
        <f t="shared" si="1"/>
        <v>0.2</v>
      </c>
      <c r="J23" s="259">
        <f t="shared" si="2"/>
        <v>0.25</v>
      </c>
      <c r="L23" s="132"/>
      <c r="M23" s="132"/>
      <c r="P23" s="235"/>
      <c r="Q23" s="235"/>
    </row>
    <row r="24" ht="15.75" customHeight="1">
      <c r="A24" s="235"/>
      <c r="B24" s="159" t="s">
        <v>68</v>
      </c>
      <c r="C24" s="260">
        <f t="shared" si="3"/>
        <v>0.2</v>
      </c>
      <c r="D24" s="156">
        <f>COUNTIFS('Cálculos Comparativos'!S:S,$B24,'Cálculos Comparativos'!D:D,$B$15)</f>
        <v>1</v>
      </c>
      <c r="E24" s="261">
        <f t="shared" si="4"/>
        <v>0.25</v>
      </c>
      <c r="F24" s="262">
        <f>COUNTIFS('Cálculos Comparativos'!AA:AA,$B24,'Cálculos Comparativos'!D:D,$B$15)</f>
        <v>1</v>
      </c>
      <c r="G24" s="132"/>
      <c r="H24" s="263" t="s">
        <v>70</v>
      </c>
      <c r="I24" s="266">
        <f t="shared" si="1"/>
        <v>0</v>
      </c>
      <c r="J24" s="264">
        <f t="shared" si="2"/>
        <v>0</v>
      </c>
      <c r="L24" s="132"/>
      <c r="M24" s="132"/>
      <c r="P24" s="235"/>
      <c r="Q24" s="235"/>
    </row>
    <row r="25" ht="15.75" customHeight="1">
      <c r="A25" s="235"/>
      <c r="B25" s="265" t="s">
        <v>70</v>
      </c>
      <c r="C25" s="260">
        <f t="shared" si="3"/>
        <v>0</v>
      </c>
      <c r="D25" s="156">
        <f>COUNTIFS('Cálculos Comparativos'!S:S,$B25,'Cálculos Comparativos'!D:D,$B$15)</f>
        <v>0</v>
      </c>
      <c r="E25" s="261">
        <f t="shared" si="4"/>
        <v>0</v>
      </c>
      <c r="F25" s="262">
        <f>COUNTIFS('Cálculos Comparativos'!AA:AA,$B25,'Cálculos Comparativos'!D:D,$B$15)</f>
        <v>0</v>
      </c>
      <c r="G25" s="132"/>
      <c r="H25" s="258" t="s">
        <v>72</v>
      </c>
      <c r="I25" s="259">
        <f t="shared" si="1"/>
        <v>0</v>
      </c>
      <c r="J25" s="259">
        <f t="shared" si="2"/>
        <v>0</v>
      </c>
      <c r="L25" s="132"/>
      <c r="M25" s="132"/>
      <c r="P25" s="235"/>
      <c r="Q25" s="235"/>
    </row>
    <row r="26" ht="15.75" customHeight="1">
      <c r="A26" s="235"/>
      <c r="B26" s="159" t="s">
        <v>72</v>
      </c>
      <c r="C26" s="260">
        <f t="shared" si="3"/>
        <v>0</v>
      </c>
      <c r="D26" s="156">
        <f>COUNTIFS('Cálculos Comparativos'!S:S,$B26,'Cálculos Comparativos'!D:D,$B$15)</f>
        <v>0</v>
      </c>
      <c r="E26" s="261">
        <f t="shared" si="4"/>
        <v>0</v>
      </c>
      <c r="F26" s="262">
        <f>COUNTIFS('Cálculos Comparativos'!AA:AA,$B26,'Cálculos Comparativos'!D:D,$B$15)</f>
        <v>0</v>
      </c>
      <c r="G26" s="132"/>
      <c r="H26" s="263" t="s">
        <v>74</v>
      </c>
      <c r="I26" s="264">
        <f t="shared" si="1"/>
        <v>0</v>
      </c>
      <c r="J26" s="264">
        <f t="shared" si="2"/>
        <v>0</v>
      </c>
      <c r="L26" s="132"/>
      <c r="M26" s="132"/>
      <c r="P26" s="235"/>
      <c r="Q26" s="235"/>
    </row>
    <row r="27" ht="15.75" customHeight="1">
      <c r="A27" s="118">
        <v>2.0</v>
      </c>
      <c r="B27" s="265" t="s">
        <v>74</v>
      </c>
      <c r="C27" s="260">
        <f t="shared" si="3"/>
        <v>0</v>
      </c>
      <c r="D27" s="156">
        <f>COUNTIFS('Cálculos Comparativos'!S:S,$B27,'Cálculos Comparativos'!D:D,$B$15)</f>
        <v>0</v>
      </c>
      <c r="E27" s="261">
        <f t="shared" si="4"/>
        <v>0</v>
      </c>
      <c r="F27" s="262">
        <f>COUNTIFS('Cálculos Comparativos'!AA:AA,$B27,'Cálculos Comparativos'!D:D,$B$15)</f>
        <v>0</v>
      </c>
      <c r="G27" s="132"/>
      <c r="H27" s="267" t="s">
        <v>82</v>
      </c>
      <c r="I27" s="268">
        <f t="shared" ref="I27:J27" si="5">SUM(I21:I26)</f>
        <v>1</v>
      </c>
      <c r="J27" s="268">
        <f t="shared" si="5"/>
        <v>1</v>
      </c>
      <c r="L27" s="132"/>
      <c r="M27" s="132"/>
      <c r="P27" s="235"/>
      <c r="Q27" s="235"/>
    </row>
    <row r="28" ht="15.75" customHeight="1">
      <c r="A28" s="118"/>
      <c r="B28" s="269" t="s">
        <v>82</v>
      </c>
      <c r="C28" s="270">
        <f t="shared" ref="C28:F28" si="6">SUM(C22:C27)</f>
        <v>1</v>
      </c>
      <c r="D28" s="271">
        <f t="shared" si="6"/>
        <v>5</v>
      </c>
      <c r="E28" s="272">
        <f t="shared" si="6"/>
        <v>1</v>
      </c>
      <c r="F28" s="166">
        <f t="shared" si="6"/>
        <v>4</v>
      </c>
      <c r="G28" s="182"/>
      <c r="H28" s="182"/>
      <c r="I28" s="182"/>
      <c r="J28" s="182"/>
      <c r="K28" s="182"/>
      <c r="L28" s="182"/>
      <c r="M28" s="182"/>
      <c r="P28" s="235"/>
      <c r="Q28" s="235"/>
    </row>
    <row r="29" ht="15.75" customHeight="1">
      <c r="A29" s="118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P29" s="235"/>
      <c r="Q29" s="235"/>
    </row>
    <row r="30" ht="15.75" customHeight="1">
      <c r="A30" s="118"/>
      <c r="B30" s="114"/>
      <c r="C30" s="114"/>
      <c r="D30" s="114"/>
      <c r="E30" s="209" t="s">
        <v>75</v>
      </c>
      <c r="H30" s="221" t="s">
        <v>76</v>
      </c>
      <c r="P30" s="235"/>
      <c r="Q30" s="235"/>
    </row>
    <row r="31" ht="15.75" customHeight="1">
      <c r="A31" s="118"/>
      <c r="B31" s="211" t="s">
        <v>38</v>
      </c>
      <c r="C31" s="211" t="s">
        <v>40</v>
      </c>
      <c r="D31" s="212" t="s">
        <v>47</v>
      </c>
      <c r="E31" s="213" t="str">
        <f>B5</f>
        <v>Mediana</v>
      </c>
      <c r="F31" s="273" t="s">
        <v>79</v>
      </c>
      <c r="G31" s="161"/>
      <c r="H31" s="222" t="str">
        <f>B5</f>
        <v>Mediana</v>
      </c>
      <c r="I31" s="166" t="s">
        <v>79</v>
      </c>
      <c r="J31" s="161"/>
      <c r="P31" s="235"/>
      <c r="Q31" s="235"/>
    </row>
    <row r="32" ht="15.75" customHeight="1">
      <c r="A32" s="274">
        <f>IFERROR(__xludf.DUMMYFUNCTION("FILTER('Cálculos Comparativos'!A:A,'Cálculos Comparativos'!D:D=$B$15,'Cálculos Comparativos'!S:S&lt;&gt;"""")"),1.0)</f>
        <v>1</v>
      </c>
      <c r="B32" s="216" t="str">
        <f>IFERROR(VLOOKUP($A32,'Cálculos Comparativos'!$A:$AA,2,0),"")</f>
        <v>Engenheiro de Software Full Stack Jr</v>
      </c>
      <c r="C32" s="216" t="str">
        <f>IFERROR(VLOOKUP($A32,'Cálculos Comparativos'!$A:$AA,8,0)&amp;" "&amp;if(VLOOKUP($A32,'Cálculos Comparativos'!$A:$AA,9,0)="Indiferente","",VLOOKUP($A32,'Cálculos Comparativos'!$A:$AA,9,0)),"")</f>
        <v>Desenvolvedor Júnior</v>
      </c>
      <c r="D32" s="217">
        <f>IFERROR(VLOOKUP(A32,'Cálculos Comparativos'!A:K,3,0),"")</f>
        <v>2489.18</v>
      </c>
      <c r="E32" s="218">
        <f>IFERROR(IFS($B$5="Mediana",VLOOKUP(A32,'Cálculos Comparativos'!A:AA,15,0),$B$5="Menor Salário",VLOOKUP(A32,'Cálculos Comparativos'!A:AA,12,0),$B$5="1º Quartil",VLOOKUP(A32,'Cálculos Comparativos'!A:AA,13,0),$B$5="Média",VLOOKUP(A32,'Cálculos Comparativos'!A:AA,14,0),$B$5="3º Quartil",VLOOKUP(A32,'Cálculos Comparativos'!A:AA,16,0),$B$5="Maior Salário",VLOOKUP(A32,'Cálculos Comparativos'!A:AA,17,0)),"")</f>
        <v>3379.04</v>
      </c>
      <c r="F32" s="157">
        <f>IFERROR(VLOOKUP($A32,'Cálculos Comparativos'!$A:$AA,18,0),"")</f>
        <v>0.7366530139</v>
      </c>
      <c r="G32" s="275" t="str">
        <f>IFERROR(VLOOKUP($A32,'Cálculos Comparativos'!$A:$AA,19,0),"")</f>
        <v>Muito Defasado</v>
      </c>
      <c r="H32" s="224">
        <f>iferror(IFS($B$5="Mediana",VLOOKUP(A32,'Cálculos Comparativos'!A:AB,23,0),$B$5="Menor Salário",VLOOKUP(A32,'Cálculos Comparativos'!A:AB,20,0),$B$5="1º Quartil",VLOOKUP(A32,'Cálculos Comparativos'!A:AB,21,0),$B$5="Média",VLOOKUP(A32,'Cálculos Comparativos'!A:AB,22,0),$B$5="3º Quartil",VLOOKUP(O32,'Cálculos Comparativos'!S:AB,24,0),$B$5="Maior Salário",VLOOKUP(A32,'Cálculos Comparativos'!A:AB,25,0)),"")</f>
        <v>3493.9</v>
      </c>
      <c r="I32" s="225">
        <f>iferror(VLOOKUP($A32,'Cálculos Comparativos'!$A:$AA,26,0),"")</f>
        <v>0.7124359598</v>
      </c>
      <c r="J32" s="276" t="str">
        <f>iferror(VLOOKUP($A32,'Cálculos Comparativos'!$A:$AA,27,0),"")</f>
        <v>Muito Defasado</v>
      </c>
      <c r="P32" s="235"/>
      <c r="Q32" s="235"/>
    </row>
    <row r="33" ht="15.75" customHeight="1">
      <c r="A33" s="274">
        <f>IFERROR(__xludf.DUMMYFUNCTION("""COMPUTED_VALUE"""),2.0)</f>
        <v>2</v>
      </c>
      <c r="B33" s="216" t="str">
        <f>IFERROR(VLOOKUP($A33,'Cálculos Comparativos'!$A:$AA,2,0),"")</f>
        <v>Engenheiro de Software Full Stack Pl</v>
      </c>
      <c r="C33" s="216" t="str">
        <f>IFERROR(VLOOKUP($A33,'Cálculos Comparativos'!$A:$AA,8,0)&amp;" "&amp;if(VLOOKUP($A33,'Cálculos Comparativos'!$A:$AA,9,0)="Indiferente","",VLOOKUP($A33,'Cálculos Comparativos'!$A:$AA,9,0)),"")</f>
        <v>Desenvolvedor Pleno</v>
      </c>
      <c r="D33" s="217">
        <f>IFERROR(VLOOKUP(A33,'Cálculos Comparativos'!A:K,3,0),"")</f>
        <v>4305.6</v>
      </c>
      <c r="E33" s="218">
        <f>IFERROR(IFS($B$5="Mediana",VLOOKUP(A33,'Cálculos Comparativos'!A:AA,15,0),$B$5="Menor Salário",VLOOKUP(A33,'Cálculos Comparativos'!A:AA,12,0),$B$5="1º Quartil",VLOOKUP(A33,'Cálculos Comparativos'!A:AA,13,0),$B$5="Média",VLOOKUP(A33,'Cálculos Comparativos'!A:AA,14,0),$B$5="3º Quartil",VLOOKUP(A33,'Cálculos Comparativos'!A:AA,16,0),$B$5="Maior Salário",VLOOKUP(A33,'Cálculos Comparativos'!A:AA,17,0)),"")</f>
        <v>5342.35</v>
      </c>
      <c r="F33" s="157">
        <f>IFERROR(VLOOKUP($A33,'Cálculos Comparativos'!$A:$AA,18,0),"")</f>
        <v>0.805937462</v>
      </c>
      <c r="G33" s="275" t="str">
        <f>IFERROR(VLOOKUP($A33,'Cálculos Comparativos'!$A:$AA,19,0),"")</f>
        <v>Defasado</v>
      </c>
      <c r="H33" s="224">
        <f>iferror(IFS($B$5="Mediana",VLOOKUP(A33,'Cálculos Comparativos'!A:AB,23,0),$B$5="Menor Salário",VLOOKUP(A33,'Cálculos Comparativos'!A:AB,20,0),$B$5="1º Quartil",VLOOKUP(A33,'Cálculos Comparativos'!A:AB,21,0),$B$5="Média",VLOOKUP(A33,'Cálculos Comparativos'!A:AB,22,0),$B$5="3º Quartil",VLOOKUP(O33,'Cálculos Comparativos'!S:AB,24,0),$B$5="Maior Salário",VLOOKUP(A33,'Cálculos Comparativos'!A:AB,25,0)),"")</f>
        <v>5248.63</v>
      </c>
      <c r="I33" s="225">
        <f>iferror(VLOOKUP($A33,'Cálculos Comparativos'!$A:$AA,26,0),"")</f>
        <v>0.8203283524</v>
      </c>
      <c r="J33" s="276" t="str">
        <f>iferror(VLOOKUP($A33,'Cálculos Comparativos'!$A:$AA,27,0),"")</f>
        <v>Defasado</v>
      </c>
      <c r="P33" s="235"/>
      <c r="Q33" s="235"/>
    </row>
    <row r="34" ht="15.75" customHeight="1">
      <c r="A34" s="274">
        <f>IFERROR(__xludf.DUMMYFUNCTION("""COMPUTED_VALUE"""),3.0)</f>
        <v>3</v>
      </c>
      <c r="B34" s="216" t="str">
        <f>IFERROR(VLOOKUP($A34,'Cálculos Comparativos'!$A:$AA,2,0),"")</f>
        <v>Engenheiro de Software Full Stack Sr</v>
      </c>
      <c r="C34" s="216" t="str">
        <f>IFERROR(VLOOKUP($A34,'Cálculos Comparativos'!$A:$AA,8,0)&amp;" "&amp;if(VLOOKUP($A34,'Cálculos Comparativos'!$A:$AA,9,0)="Indiferente","",VLOOKUP($A34,'Cálculos Comparativos'!$A:$AA,9,0)),"")</f>
        <v>Desenvolvedor Sênior</v>
      </c>
      <c r="D34" s="217">
        <f>IFERROR(VLOOKUP(A34,'Cálculos Comparativos'!A:K,3,0),"")</f>
        <v>6458.4</v>
      </c>
      <c r="E34" s="218">
        <f>IFERROR(IFS($B$5="Mediana",VLOOKUP(A34,'Cálculos Comparativos'!A:AA,15,0),$B$5="Menor Salário",VLOOKUP(A34,'Cálculos Comparativos'!A:AA,12,0),$B$5="1º Quartil",VLOOKUP(A34,'Cálculos Comparativos'!A:AA,13,0),$B$5="Média",VLOOKUP(A34,'Cálculos Comparativos'!A:AA,14,0),$B$5="3º Quartil",VLOOKUP(A34,'Cálculos Comparativos'!A:AA,16,0),$B$5="Maior Salário",VLOOKUP(A34,'Cálculos Comparativos'!A:AA,17,0)),"")</f>
        <v>7999.87</v>
      </c>
      <c r="F34" s="157">
        <f>IFERROR(VLOOKUP($A34,'Cálculos Comparativos'!$A:$AA,18,0),"")</f>
        <v>0.8073131188</v>
      </c>
      <c r="G34" s="275" t="str">
        <f>IFERROR(VLOOKUP($A34,'Cálculos Comparativos'!$A:$AA,19,0),"")</f>
        <v>Defasado</v>
      </c>
      <c r="H34" s="224">
        <f>iferror(IFS($B$5="Mediana",VLOOKUP(A34,'Cálculos Comparativos'!A:AB,23,0),$B$5="Menor Salário",VLOOKUP(A34,'Cálculos Comparativos'!A:AB,20,0),$B$5="1º Quartil",VLOOKUP(A34,'Cálculos Comparativos'!A:AB,21,0),$B$5="Média",VLOOKUP(A34,'Cálculos Comparativos'!A:AB,22,0),$B$5="3º Quartil",VLOOKUP(O34,'Cálculos Comparativos'!S:AB,24,0),$B$5="Maior Salário",VLOOKUP(A34,'Cálculos Comparativos'!A:AB,25,0)),"")</f>
        <v>7851.14</v>
      </c>
      <c r="I34" s="225">
        <f>iferror(VLOOKUP($A34,'Cálculos Comparativos'!$A:$AA,26,0),"")</f>
        <v>0.8226066533</v>
      </c>
      <c r="J34" s="276" t="str">
        <f>iferror(VLOOKUP($A34,'Cálculos Comparativos'!$A:$AA,27,0),"")</f>
        <v>Defasado</v>
      </c>
      <c r="P34" s="235"/>
      <c r="Q34" s="235"/>
    </row>
    <row r="35" ht="15.75" customHeight="1">
      <c r="A35" s="277">
        <f>IFERROR(__xludf.DUMMYFUNCTION("""COMPUTED_VALUE"""),4.0)</f>
        <v>4</v>
      </c>
      <c r="B35" s="216" t="str">
        <f>IFERROR(VLOOKUP($A35,'Cálculos Comparativos'!$A:$AA,2,0),"")</f>
        <v>Analista de Requisitos</v>
      </c>
      <c r="C35" s="216" t="str">
        <f>IFERROR(VLOOKUP($A35,'Cálculos Comparativos'!$A:$AA,8,0)&amp;" "&amp;if(VLOOKUP($A35,'Cálculos Comparativos'!$A:$AA,9,0)="Indiferente","",VLOOKUP($A35,'Cálculos Comparativos'!$A:$AA,9,0)),"")</f>
        <v>Analista de Requisitos Júnior</v>
      </c>
      <c r="D35" s="217">
        <f>IFERROR(VLOOKUP(A35,'Cálculos Comparativos'!A:K,3,0),"")</f>
        <v>2859.19</v>
      </c>
      <c r="E35" s="218">
        <f>IFERROR(IFS($B$5="Mediana",VLOOKUP(A35,'Cálculos Comparativos'!A:AA,15,0),$B$5="Menor Salário",VLOOKUP(A35,'Cálculos Comparativos'!A:AA,12,0),$B$5="1º Quartil",VLOOKUP(A35,'Cálculos Comparativos'!A:AA,13,0),$B$5="Média",VLOOKUP(A35,'Cálculos Comparativos'!A:AA,14,0),$B$5="3º Quartil",VLOOKUP(A35,'Cálculos Comparativos'!A:AA,16,0),$B$5="Maior Salário",VLOOKUP(A35,'Cálculos Comparativos'!A:AA,17,0)),"")</f>
        <v>3618.72</v>
      </c>
      <c r="F35" s="157">
        <f>IFERROR(VLOOKUP($A35,'Cálculos Comparativos'!$A:$AA,18,0),"")</f>
        <v>0.7901108679</v>
      </c>
      <c r="G35" s="275" t="str">
        <f>IFERROR(VLOOKUP($A35,'Cálculos Comparativos'!$A:$AA,19,0),"")</f>
        <v>Muito Defasado</v>
      </c>
      <c r="H35" s="224">
        <f>iferror(IFS($B$5="Mediana",VLOOKUP(A35,'Cálculos Comparativos'!A:AB,23,0),$B$5="Menor Salário",VLOOKUP(A35,'Cálculos Comparativos'!A:AB,20,0),$B$5="1º Quartil",VLOOKUP(A35,'Cálculos Comparativos'!A:AB,21,0),$B$5="Média",VLOOKUP(A35,'Cálculos Comparativos'!A:AB,22,0),$B$5="3º Quartil",VLOOKUP(O35,'Cálculos Comparativos'!S:AB,24,0),$B$5="Maior Salário",VLOOKUP(A35,'Cálculos Comparativos'!A:AB,25,0)),"")</f>
        <v>0</v>
      </c>
      <c r="I35" s="225" t="str">
        <f>iferror(VLOOKUP($A35,'Cálculos Comparativos'!$A:$AA,26,0),"")</f>
        <v/>
      </c>
      <c r="J35" s="276" t="str">
        <f>iferror(VLOOKUP($A35,'Cálculos Comparativos'!$A:$AA,27,0),"")</f>
        <v/>
      </c>
      <c r="P35" s="235"/>
      <c r="Q35" s="235"/>
    </row>
    <row r="36" ht="15.75" customHeight="1">
      <c r="A36" s="277">
        <f>IFERROR(__xludf.DUMMYFUNCTION("""COMPUTED_VALUE"""),5.0)</f>
        <v>5</v>
      </c>
      <c r="B36" s="216" t="str">
        <f>IFERROR(VLOOKUP($A36,'Cálculos Comparativos'!$A:$AA,2,0),"")</f>
        <v>Lider</v>
      </c>
      <c r="C36" s="216" t="str">
        <f>IFERROR(VLOOKUP($A36,'Cálculos Comparativos'!$A:$AA,8,0)&amp;" "&amp;if(VLOOKUP($A36,'Cálculos Comparativos'!$A:$AA,9,0)="Indiferente","",VLOOKUP($A36,'Cálculos Comparativos'!$A:$AA,9,0)),"")</f>
        <v>Líder Técnico </v>
      </c>
      <c r="D36" s="217">
        <f>IFERROR(VLOOKUP(A36,'Cálculos Comparativos'!A:K,3,0),"")</f>
        <v>8611.2</v>
      </c>
      <c r="E36" s="218">
        <f>IFERROR(IFS($B$5="Mediana",VLOOKUP(A36,'Cálculos Comparativos'!A:AA,15,0),$B$5="Menor Salário",VLOOKUP(A36,'Cálculos Comparativos'!A:AA,12,0),$B$5="1º Quartil",VLOOKUP(A36,'Cálculos Comparativos'!A:AA,13,0),$B$5="Média",VLOOKUP(A36,'Cálculos Comparativos'!A:AA,14,0),$B$5="3º Quartil",VLOOKUP(A36,'Cálculos Comparativos'!A:AA,16,0),$B$5="Maior Salário",VLOOKUP(A36,'Cálculos Comparativos'!A:AA,17,0)),"")</f>
        <v>8929.22</v>
      </c>
      <c r="F36" s="157">
        <f>IFERROR(VLOOKUP($A36,'Cálculos Comparativos'!$A:$AA,18,0),"")</f>
        <v>0.9643843471</v>
      </c>
      <c r="G36" s="275" t="str">
        <f>IFERROR(VLOOKUP($A36,'Cálculos Comparativos'!$A:$AA,19,0),"")</f>
        <v>Na Média</v>
      </c>
      <c r="H36" s="224">
        <f>iferror(IFS($B$5="Mediana",VLOOKUP(A36,'Cálculos Comparativos'!A:AB,23,0),$B$5="Menor Salário",VLOOKUP(A36,'Cálculos Comparativos'!A:AB,20,0),$B$5="1º Quartil",VLOOKUP(A36,'Cálculos Comparativos'!A:AB,21,0),$B$5="Média",VLOOKUP(A36,'Cálculos Comparativos'!A:AB,22,0),$B$5="3º Quartil",VLOOKUP(O36,'Cálculos Comparativos'!S:AB,24,0),$B$5="Maior Salário",VLOOKUP(A36,'Cálculos Comparativos'!A:AB,25,0)),"")</f>
        <v>9047.66</v>
      </c>
      <c r="I36" s="225">
        <f>iferror(VLOOKUP($A36,'Cálculos Comparativos'!$A:$AA,26,0),"")</f>
        <v>0.9517599026</v>
      </c>
      <c r="J36" s="276" t="str">
        <f>iferror(VLOOKUP($A36,'Cálculos Comparativos'!$A:$AA,27,0),"")</f>
        <v>Na Média</v>
      </c>
      <c r="P36" s="235"/>
      <c r="Q36" s="235"/>
    </row>
    <row r="37" ht="15.75" customHeight="1">
      <c r="B37" s="278"/>
      <c r="C37" s="278"/>
      <c r="D37" s="278"/>
      <c r="E37" s="279"/>
      <c r="F37" s="278"/>
      <c r="G37" s="278"/>
      <c r="H37" s="278"/>
      <c r="I37" s="278"/>
      <c r="J37" s="278"/>
      <c r="K37" s="278"/>
      <c r="P37" s="235"/>
      <c r="Q37" s="235"/>
    </row>
    <row r="38" ht="15.75" customHeight="1">
      <c r="B38" s="278"/>
      <c r="C38" s="278"/>
      <c r="D38" s="278"/>
      <c r="E38" s="279"/>
      <c r="F38" s="278"/>
      <c r="G38" s="278"/>
      <c r="H38" s="278"/>
      <c r="I38" s="278"/>
      <c r="J38" s="278"/>
      <c r="K38" s="278"/>
      <c r="P38" s="235"/>
      <c r="Q38" s="235"/>
    </row>
    <row r="39" ht="15.75" customHeight="1">
      <c r="B39" s="278"/>
      <c r="C39" s="278"/>
      <c r="D39" s="278"/>
      <c r="E39" s="279"/>
      <c r="F39" s="278"/>
      <c r="G39" s="278"/>
      <c r="H39" s="278"/>
      <c r="I39" s="278"/>
      <c r="J39" s="278"/>
      <c r="K39" s="278"/>
      <c r="P39" s="235"/>
      <c r="Q39" s="235"/>
    </row>
    <row r="40" ht="15.75" customHeight="1">
      <c r="B40" s="278"/>
      <c r="C40" s="278"/>
      <c r="D40" s="278"/>
      <c r="E40" s="279"/>
      <c r="F40" s="278"/>
      <c r="G40" s="278"/>
      <c r="H40" s="278"/>
      <c r="I40" s="278"/>
      <c r="J40" s="278"/>
      <c r="K40" s="278"/>
      <c r="P40" s="235"/>
      <c r="Q40" s="235"/>
    </row>
    <row r="41" ht="15.75" customHeight="1">
      <c r="B41" s="278"/>
      <c r="C41" s="278"/>
      <c r="D41" s="278"/>
      <c r="E41" s="279"/>
      <c r="F41" s="278"/>
      <c r="G41" s="278"/>
      <c r="H41" s="278"/>
      <c r="I41" s="278"/>
      <c r="J41" s="278"/>
      <c r="K41" s="278"/>
      <c r="P41" s="235"/>
      <c r="Q41" s="235"/>
    </row>
    <row r="42" ht="15.75" customHeight="1">
      <c r="B42" s="278"/>
      <c r="C42" s="278"/>
      <c r="D42" s="278"/>
      <c r="E42" s="279"/>
      <c r="F42" s="278"/>
      <c r="G42" s="278"/>
      <c r="H42" s="278"/>
      <c r="I42" s="278"/>
      <c r="J42" s="278"/>
      <c r="K42" s="278"/>
      <c r="P42" s="235"/>
      <c r="Q42" s="235"/>
    </row>
    <row r="43" ht="15.75" customHeight="1">
      <c r="B43" s="278"/>
      <c r="C43" s="278"/>
      <c r="D43" s="278"/>
      <c r="E43" s="279"/>
      <c r="F43" s="278"/>
      <c r="G43" s="278"/>
      <c r="H43" s="278"/>
      <c r="I43" s="278"/>
      <c r="J43" s="278"/>
      <c r="K43" s="278"/>
      <c r="P43" s="235"/>
      <c r="Q43" s="235"/>
    </row>
    <row r="44" ht="15.75" customHeight="1">
      <c r="B44" s="278"/>
      <c r="C44" s="278"/>
      <c r="D44" s="278"/>
      <c r="E44" s="279"/>
      <c r="F44" s="278"/>
      <c r="G44" s="278"/>
      <c r="H44" s="278"/>
      <c r="I44" s="278"/>
      <c r="J44" s="278"/>
      <c r="K44" s="278"/>
      <c r="P44" s="235"/>
      <c r="Q44" s="235"/>
    </row>
    <row r="45" ht="15.75" customHeight="1">
      <c r="B45" s="278"/>
      <c r="C45" s="278"/>
      <c r="D45" s="278"/>
      <c r="E45" s="279"/>
      <c r="F45" s="278"/>
      <c r="G45" s="278"/>
      <c r="H45" s="278"/>
      <c r="I45" s="278"/>
      <c r="J45" s="278"/>
      <c r="K45" s="278"/>
      <c r="P45" s="235"/>
      <c r="Q45" s="235"/>
    </row>
    <row r="46" ht="15.75" customHeight="1">
      <c r="B46" s="278"/>
      <c r="C46" s="278"/>
      <c r="D46" s="278"/>
      <c r="E46" s="279"/>
      <c r="F46" s="278"/>
      <c r="G46" s="278"/>
      <c r="H46" s="278"/>
      <c r="I46" s="278"/>
      <c r="J46" s="278"/>
      <c r="K46" s="278"/>
      <c r="P46" s="235"/>
      <c r="Q46" s="235"/>
    </row>
    <row r="47" ht="15.75" customHeight="1">
      <c r="B47" s="278"/>
      <c r="C47" s="278"/>
      <c r="D47" s="278"/>
      <c r="E47" s="279"/>
      <c r="F47" s="278"/>
      <c r="G47" s="278"/>
      <c r="H47" s="278"/>
      <c r="I47" s="278"/>
      <c r="J47" s="278"/>
      <c r="K47" s="278"/>
      <c r="P47" s="235"/>
      <c r="Q47" s="235"/>
    </row>
    <row r="48" ht="15.75" customHeight="1">
      <c r="B48" s="278"/>
      <c r="C48" s="278"/>
      <c r="D48" s="278"/>
      <c r="E48" s="279"/>
      <c r="F48" s="278"/>
      <c r="G48" s="278"/>
      <c r="H48" s="278"/>
      <c r="I48" s="278"/>
      <c r="J48" s="278"/>
      <c r="K48" s="278"/>
      <c r="P48" s="235"/>
      <c r="Q48" s="235"/>
    </row>
    <row r="49" ht="15.75" customHeight="1">
      <c r="B49" s="278"/>
      <c r="C49" s="278"/>
      <c r="D49" s="278"/>
      <c r="E49" s="279"/>
      <c r="F49" s="278"/>
      <c r="G49" s="278"/>
      <c r="H49" s="278"/>
      <c r="I49" s="278"/>
      <c r="J49" s="278"/>
      <c r="K49" s="278"/>
      <c r="P49" s="235"/>
      <c r="Q49" s="235"/>
    </row>
    <row r="50" ht="15.75" customHeight="1">
      <c r="B50" s="278"/>
      <c r="C50" s="278"/>
      <c r="D50" s="278"/>
      <c r="E50" s="279"/>
      <c r="F50" s="278"/>
      <c r="G50" s="278"/>
      <c r="H50" s="278"/>
      <c r="I50" s="278"/>
      <c r="J50" s="278"/>
      <c r="K50" s="278"/>
      <c r="P50" s="235"/>
      <c r="Q50" s="235"/>
    </row>
    <row r="51" ht="15.75" customHeight="1">
      <c r="B51" s="278"/>
      <c r="C51" s="278"/>
      <c r="D51" s="278"/>
      <c r="E51" s="279"/>
      <c r="F51" s="278"/>
      <c r="G51" s="278"/>
      <c r="H51" s="278"/>
      <c r="I51" s="278"/>
      <c r="J51" s="278"/>
      <c r="K51" s="278"/>
      <c r="P51" s="235"/>
      <c r="Q51" s="235"/>
    </row>
    <row r="52" ht="15.75" customHeight="1">
      <c r="B52" s="278"/>
      <c r="C52" s="278"/>
      <c r="D52" s="278"/>
      <c r="E52" s="279"/>
      <c r="F52" s="278"/>
      <c r="G52" s="278"/>
      <c r="H52" s="278"/>
      <c r="I52" s="278"/>
      <c r="J52" s="278"/>
      <c r="K52" s="278"/>
      <c r="P52" s="235"/>
      <c r="Q52" s="235"/>
    </row>
    <row r="53" ht="15.75" customHeight="1">
      <c r="B53" s="278"/>
      <c r="C53" s="278"/>
      <c r="D53" s="278"/>
      <c r="E53" s="279"/>
      <c r="F53" s="278"/>
      <c r="G53" s="278"/>
      <c r="H53" s="278"/>
      <c r="I53" s="278"/>
      <c r="J53" s="278"/>
      <c r="K53" s="278"/>
      <c r="P53" s="235"/>
      <c r="Q53" s="235"/>
    </row>
    <row r="54" ht="15.75" customHeight="1">
      <c r="B54" s="278"/>
      <c r="C54" s="278"/>
      <c r="D54" s="278"/>
      <c r="E54" s="279"/>
      <c r="F54" s="278"/>
      <c r="G54" s="278"/>
      <c r="H54" s="278"/>
      <c r="I54" s="278"/>
      <c r="J54" s="278"/>
      <c r="K54" s="278"/>
      <c r="P54" s="235"/>
      <c r="Q54" s="235"/>
    </row>
    <row r="55" ht="15.75" customHeight="1">
      <c r="B55" s="278"/>
      <c r="C55" s="278"/>
      <c r="D55" s="278"/>
      <c r="E55" s="279"/>
      <c r="F55" s="278"/>
      <c r="G55" s="278"/>
      <c r="H55" s="278"/>
      <c r="I55" s="278"/>
      <c r="J55" s="278"/>
      <c r="K55" s="278"/>
      <c r="P55" s="235"/>
      <c r="Q55" s="235"/>
    </row>
    <row r="56" ht="15.75" customHeight="1">
      <c r="B56" s="278"/>
      <c r="C56" s="278"/>
      <c r="D56" s="278"/>
      <c r="E56" s="279"/>
      <c r="F56" s="278"/>
      <c r="G56" s="278"/>
      <c r="H56" s="278"/>
      <c r="I56" s="278"/>
      <c r="J56" s="278"/>
      <c r="K56" s="278"/>
      <c r="P56" s="235"/>
      <c r="Q56" s="235"/>
    </row>
    <row r="57" ht="15.75" customHeight="1">
      <c r="B57" s="278"/>
      <c r="C57" s="278"/>
      <c r="D57" s="278"/>
      <c r="E57" s="279"/>
      <c r="F57" s="278"/>
      <c r="G57" s="278"/>
      <c r="H57" s="278"/>
      <c r="I57" s="278"/>
      <c r="J57" s="278"/>
      <c r="K57" s="278"/>
      <c r="P57" s="235"/>
      <c r="Q57" s="235"/>
    </row>
    <row r="58" ht="15.75" customHeight="1">
      <c r="B58" s="278"/>
      <c r="C58" s="278"/>
      <c r="D58" s="278"/>
      <c r="E58" s="279"/>
      <c r="F58" s="278"/>
      <c r="G58" s="278"/>
      <c r="H58" s="278"/>
      <c r="I58" s="278"/>
      <c r="J58" s="278"/>
      <c r="K58" s="278"/>
      <c r="P58" s="235"/>
      <c r="Q58" s="235"/>
    </row>
    <row r="59" ht="15.75" customHeight="1">
      <c r="B59" s="278"/>
      <c r="C59" s="278"/>
      <c r="D59" s="278"/>
      <c r="E59" s="279"/>
      <c r="F59" s="278"/>
      <c r="G59" s="278"/>
      <c r="H59" s="278"/>
      <c r="I59" s="278"/>
      <c r="J59" s="278"/>
      <c r="K59" s="278"/>
      <c r="P59" s="235"/>
      <c r="Q59" s="235"/>
    </row>
    <row r="60" ht="15.75" customHeight="1">
      <c r="B60" s="278"/>
      <c r="C60" s="278"/>
      <c r="D60" s="278"/>
      <c r="E60" s="279"/>
      <c r="F60" s="278"/>
      <c r="G60" s="278"/>
      <c r="H60" s="278"/>
      <c r="I60" s="278"/>
      <c r="J60" s="278"/>
      <c r="K60" s="278"/>
      <c r="P60" s="235"/>
      <c r="Q60" s="235"/>
    </row>
    <row r="61" ht="15.75" customHeight="1">
      <c r="B61" s="278"/>
      <c r="C61" s="278"/>
      <c r="D61" s="278"/>
      <c r="E61" s="279"/>
      <c r="F61" s="278"/>
      <c r="G61" s="278"/>
      <c r="H61" s="278"/>
      <c r="I61" s="278"/>
      <c r="J61" s="278"/>
      <c r="K61" s="278"/>
      <c r="P61" s="235"/>
      <c r="Q61" s="235"/>
    </row>
    <row r="62" ht="15.75" customHeight="1">
      <c r="B62" s="278"/>
      <c r="C62" s="278"/>
      <c r="D62" s="278"/>
      <c r="E62" s="279"/>
      <c r="F62" s="278"/>
      <c r="G62" s="278"/>
      <c r="H62" s="278"/>
      <c r="I62" s="278"/>
      <c r="J62" s="278"/>
      <c r="K62" s="278"/>
      <c r="P62" s="235"/>
      <c r="Q62" s="235"/>
    </row>
    <row r="63" ht="15.75" customHeight="1">
      <c r="B63" s="278"/>
      <c r="C63" s="278"/>
      <c r="D63" s="278"/>
      <c r="E63" s="279"/>
      <c r="F63" s="278"/>
      <c r="G63" s="278"/>
      <c r="H63" s="278"/>
      <c r="I63" s="278"/>
      <c r="J63" s="278"/>
      <c r="K63" s="278"/>
      <c r="P63" s="235"/>
      <c r="Q63" s="235"/>
    </row>
    <row r="64" ht="15.75" customHeight="1">
      <c r="B64" s="278"/>
      <c r="C64" s="278"/>
      <c r="D64" s="278"/>
      <c r="E64" s="279"/>
      <c r="F64" s="278"/>
      <c r="G64" s="278"/>
      <c r="H64" s="278"/>
      <c r="I64" s="278"/>
      <c r="J64" s="278"/>
      <c r="K64" s="278"/>
      <c r="P64" s="235"/>
      <c r="Q64" s="235"/>
    </row>
    <row r="65" ht="15.75" customHeight="1">
      <c r="B65" s="280" t="s">
        <v>98</v>
      </c>
      <c r="C65" s="280" t="s">
        <v>99</v>
      </c>
      <c r="D65" s="280"/>
      <c r="E65" s="281"/>
      <c r="F65" s="280" t="s">
        <v>64</v>
      </c>
      <c r="G65" s="280" t="s">
        <v>66</v>
      </c>
      <c r="H65" s="280" t="s">
        <v>68</v>
      </c>
      <c r="I65" s="280" t="s">
        <v>70</v>
      </c>
      <c r="J65" s="280" t="s">
        <v>72</v>
      </c>
      <c r="K65" s="280" t="s">
        <v>74</v>
      </c>
      <c r="P65" s="235"/>
      <c r="Q65" s="235"/>
    </row>
    <row r="66" ht="15.75" customHeight="1">
      <c r="B66" s="282">
        <f>A32</f>
        <v>1</v>
      </c>
      <c r="C66" s="283" t="str">
        <f>IFERROR(VLOOKUP(B66,'Cálculos Comparativos'!A:B,2,0),"")</f>
        <v>Engenheiro de Software Full Stack Jr</v>
      </c>
      <c r="D66" s="284" t="s">
        <v>100</v>
      </c>
      <c r="E66" s="285" t="str">
        <f t="shared" ref="E66:E75" si="7">IF(C66="","",C66&amp;" "&amp;D66)</f>
        <v>Engenheiro de Software Full Stack Jr - C-01</v>
      </c>
      <c r="F66" s="284">
        <f>IF(E66="","",IFERROR(COUNTIFS('Comparativo por Funcionário'!A:A,B66,'Comparativo por Funcionário'!R:R,F$65),0))</f>
        <v>23</v>
      </c>
      <c r="G66" s="284">
        <f>IF(E66="","",IFERROR(COUNTIFS('Comparativo por Funcionário'!$A:$A,$B66,'Comparativo por Funcionário'!$R:$R,G$65),0))</f>
        <v>0</v>
      </c>
      <c r="H66" s="284">
        <f>IF(E66="","",IFERROR(COUNTIFS('Comparativo por Funcionário'!$A:$A,$B66,'Comparativo por Funcionário'!$R:$R,H$65),0))</f>
        <v>0</v>
      </c>
      <c r="I66" s="284">
        <f>IF(E66="","",IFERROR(COUNTIFS('Comparativo por Funcionário'!$A:$A,$B66,'Comparativo por Funcionário'!$R:$R,I$65),0))</f>
        <v>0</v>
      </c>
      <c r="J66" s="284">
        <f>IF(E66="","",IFERROR(COUNTIFS('Comparativo por Funcionário'!$A:$A,$B66,'Comparativo por Funcionário'!$R:$R,J$65),0))</f>
        <v>0</v>
      </c>
      <c r="K66" s="284">
        <f>IF(E66="","",IFERROR(COUNTIFS('Comparativo por Funcionário'!$A:$A,$B66,'Comparativo por Funcionário'!$R:$R,K$65),0))</f>
        <v>0</v>
      </c>
      <c r="P66" s="235"/>
      <c r="Q66" s="235"/>
    </row>
    <row r="67" ht="15.75" customHeight="1">
      <c r="B67" s="282">
        <f t="shared" ref="B67:B68" si="8">A32</f>
        <v>1</v>
      </c>
      <c r="C67" s="283" t="str">
        <f>IFERROR(VLOOKUP(B67,'Cálculos Comparativos'!A:B,2,0),"")</f>
        <v>Engenheiro de Software Full Stack Jr</v>
      </c>
      <c r="D67" s="284" t="s">
        <v>101</v>
      </c>
      <c r="E67" s="285" t="str">
        <f t="shared" si="7"/>
        <v>Engenheiro de Software Full Stack Jr - C-02</v>
      </c>
      <c r="F67" s="284">
        <f>IF(E67="","",IFERROR(COUNTIFS('Comparativo por Funcionário'!A:A,B67,'Comparativo por Funcionário'!Z:Z,F$65),0))</f>
        <v>23</v>
      </c>
      <c r="G67" s="284">
        <f>IF(E67="","",IFERROR(COUNTIFS('Comparativo por Funcionário'!$A:$A,$B67,'Comparativo por Funcionário'!$Z:$Z,G$65),0))</f>
        <v>0</v>
      </c>
      <c r="H67" s="284">
        <f>IF(E67="","",IFERROR(COUNTIFS('Comparativo por Funcionário'!$A:$A,$B67,'Comparativo por Funcionário'!$Z:$Z,H$65),0))</f>
        <v>0</v>
      </c>
      <c r="I67" s="284">
        <f>IF(E67="","",IFERROR(COUNTIFS('Comparativo por Funcionário'!$A:$A,$B67,'Comparativo por Funcionário'!$Z:$Z,I$65),0))</f>
        <v>0</v>
      </c>
      <c r="J67" s="284">
        <f>IF(E67="","",IFERROR(COUNTIFS('Comparativo por Funcionário'!$A:$A,$B67,'Comparativo por Funcionário'!$Z:$Z,J$65),0))</f>
        <v>0</v>
      </c>
      <c r="K67" s="284">
        <f>IF(E67="","",IFERROR(COUNTIFS('Comparativo por Funcionário'!$A:$A,$B67,'Comparativo por Funcionário'!$Z:$Z,K$65),0))</f>
        <v>0</v>
      </c>
      <c r="P67" s="235"/>
      <c r="Q67" s="235"/>
    </row>
    <row r="68" ht="15.75" customHeight="1">
      <c r="B68" s="286">
        <f t="shared" si="8"/>
        <v>2</v>
      </c>
      <c r="C68" s="287" t="str">
        <f>IFERROR(VLOOKUP(B68,'Cálculos Comparativos'!A:B,2,0),"")</f>
        <v>Engenheiro de Software Full Stack Pl</v>
      </c>
      <c r="D68" s="288" t="s">
        <v>100</v>
      </c>
      <c r="E68" s="289" t="str">
        <f t="shared" si="7"/>
        <v>Engenheiro de Software Full Stack Pl - C-01</v>
      </c>
      <c r="F68" s="288">
        <f>IF(E68="","",IFERROR(COUNTIFS('Comparativo por Funcionário'!A:A,B68,'Comparativo por Funcionário'!R:R,F$65),0))</f>
        <v>0</v>
      </c>
      <c r="G68" s="288">
        <f>IF(E68="","",IFERROR(COUNTIFS('Comparativo por Funcionário'!$A:$A,$B68,'Comparativo por Funcionário'!$R:$R,G$65),0))</f>
        <v>5</v>
      </c>
      <c r="H68" s="288">
        <f>IF(E68="","",IFERROR(COUNTIFS('Comparativo por Funcionário'!$A:$A,$B68,'Comparativo por Funcionário'!$R:$R,H$65),0))</f>
        <v>0</v>
      </c>
      <c r="I68" s="288">
        <f>IF(E68="","",IFERROR(COUNTIFS('Comparativo por Funcionário'!$A:$A,$B68,'Comparativo por Funcionário'!$R:$R,I$65),0))</f>
        <v>0</v>
      </c>
      <c r="J68" s="288">
        <f>IF(E68="","",IFERROR(COUNTIFS('Comparativo por Funcionário'!$A:$A,$B68,'Comparativo por Funcionário'!$R:$R,J$65),0))</f>
        <v>0</v>
      </c>
      <c r="K68" s="288">
        <f>IF(E68="","",IFERROR(COUNTIFS('Comparativo por Funcionário'!$A:$A,$B68,'Comparativo por Funcionário'!$R:$R,K$65),0))</f>
        <v>0</v>
      </c>
      <c r="P68" s="235"/>
      <c r="Q68" s="235"/>
    </row>
    <row r="69" ht="15.75" customHeight="1">
      <c r="B69" s="286">
        <f t="shared" ref="B69:B70" si="9">A33</f>
        <v>2</v>
      </c>
      <c r="C69" s="287" t="str">
        <f>IFERROR(VLOOKUP(B69,'Cálculos Comparativos'!A:B,2,0),"")</f>
        <v>Engenheiro de Software Full Stack Pl</v>
      </c>
      <c r="D69" s="288" t="s">
        <v>101</v>
      </c>
      <c r="E69" s="289" t="str">
        <f t="shared" si="7"/>
        <v>Engenheiro de Software Full Stack Pl - C-02</v>
      </c>
      <c r="F69" s="288">
        <f>IF(E69="","",IFERROR(COUNTIFS('Comparativo por Funcionário'!A:A,B69,'Comparativo por Funcionário'!Z:Z,F$65),0))</f>
        <v>0</v>
      </c>
      <c r="G69" s="288">
        <f>IF(E69="","",IFERROR(COUNTIFS('Comparativo por Funcionário'!$A:$A,$B69,'Comparativo por Funcionário'!$Z:$Z,G$65),0))</f>
        <v>5</v>
      </c>
      <c r="H69" s="288">
        <f>IF(E69="","",IFERROR(COUNTIFS('Comparativo por Funcionário'!$A:$A,$B69,'Comparativo por Funcionário'!$Z:$Z,H$65),0))</f>
        <v>0</v>
      </c>
      <c r="I69" s="288">
        <f>IF(E69="","",IFERROR(COUNTIFS('Comparativo por Funcionário'!$A:$A,$B69,'Comparativo por Funcionário'!$Z:$Z,I$65),0))</f>
        <v>0</v>
      </c>
      <c r="J69" s="288">
        <f>IF(E69="","",IFERROR(COUNTIFS('Comparativo por Funcionário'!$A:$A,$B69,'Comparativo por Funcionário'!$Z:$Z,J$65),0))</f>
        <v>0</v>
      </c>
      <c r="K69" s="288">
        <f>IF(E69="","",IFERROR(COUNTIFS('Comparativo por Funcionário'!$A:$A,$B69,'Comparativo por Funcionário'!$Z:$Z,K$65),0))</f>
        <v>0</v>
      </c>
      <c r="P69" s="235"/>
      <c r="Q69" s="235"/>
    </row>
    <row r="70" ht="15.75" customHeight="1">
      <c r="B70" s="282">
        <f t="shared" si="9"/>
        <v>3</v>
      </c>
      <c r="C70" s="283" t="str">
        <f>IFERROR(VLOOKUP(B70,'Cálculos Comparativos'!A:B,2,0),"")</f>
        <v>Engenheiro de Software Full Stack Sr</v>
      </c>
      <c r="D70" s="284" t="s">
        <v>100</v>
      </c>
      <c r="E70" s="285" t="str">
        <f t="shared" si="7"/>
        <v>Engenheiro de Software Full Stack Sr - C-01</v>
      </c>
      <c r="F70" s="284">
        <f>IF(E70="","",IFERROR(COUNTIFS('Comparativo por Funcionário'!A:A,B70,'Comparativo por Funcionário'!R:R,F$65),0))</f>
        <v>0</v>
      </c>
      <c r="G70" s="284">
        <f>IF(E70="","",IFERROR(COUNTIFS('Comparativo por Funcionário'!$A:$A,$B70,'Comparativo por Funcionário'!$R:$R,G$65),0))</f>
        <v>2</v>
      </c>
      <c r="H70" s="284">
        <f>IF(E70="","",IFERROR(COUNTIFS('Comparativo por Funcionário'!$A:$A,$B70,'Comparativo por Funcionário'!$R:$R,H$65),0))</f>
        <v>0</v>
      </c>
      <c r="I70" s="284">
        <f>IF(E70="","",IFERROR(COUNTIFS('Comparativo por Funcionário'!$A:$A,$B70,'Comparativo por Funcionário'!$R:$R,I$65),0))</f>
        <v>0</v>
      </c>
      <c r="J70" s="284">
        <f>IF(E70="","",IFERROR(COUNTIFS('Comparativo por Funcionário'!$A:$A,$B70,'Comparativo por Funcionário'!$R:$R,J$65),0))</f>
        <v>0</v>
      </c>
      <c r="K70" s="284">
        <f>IF(E70="","",IFERROR(COUNTIFS('Comparativo por Funcionário'!$A:$A,$B70,'Comparativo por Funcionário'!$R:$R,K$65),0))</f>
        <v>0</v>
      </c>
      <c r="P70" s="235"/>
      <c r="Q70" s="235"/>
    </row>
    <row r="71" ht="15.75" customHeight="1">
      <c r="B71" s="282">
        <f t="shared" ref="B71:B72" si="10">A34</f>
        <v>3</v>
      </c>
      <c r="C71" s="283" t="str">
        <f>IFERROR(VLOOKUP(B71,'Cálculos Comparativos'!A:B,2,0),"")</f>
        <v>Engenheiro de Software Full Stack Sr</v>
      </c>
      <c r="D71" s="284" t="s">
        <v>101</v>
      </c>
      <c r="E71" s="285" t="str">
        <f t="shared" si="7"/>
        <v>Engenheiro de Software Full Stack Sr - C-02</v>
      </c>
      <c r="F71" s="284">
        <f>IF(E71="","",IFERROR(COUNTIFS('Comparativo por Funcionário'!A:A,B71,'Comparativo por Funcionário'!Z:Z,F$65),0))</f>
        <v>0</v>
      </c>
      <c r="G71" s="284">
        <f>IF(E71="","",IFERROR(COUNTIFS('Comparativo por Funcionário'!$A:$A,$B71,'Comparativo por Funcionário'!$Z:$Z,G$65),0))</f>
        <v>2</v>
      </c>
      <c r="H71" s="284">
        <f>IF(E71="","",IFERROR(COUNTIFS('Comparativo por Funcionário'!$A:$A,$B71,'Comparativo por Funcionário'!$Z:$Z,H$65),0))</f>
        <v>0</v>
      </c>
      <c r="I71" s="284">
        <f>IF(E71="","",IFERROR(COUNTIFS('Comparativo por Funcionário'!$A:$A,$B71,'Comparativo por Funcionário'!$Z:$Z,I$65),0))</f>
        <v>0</v>
      </c>
      <c r="J71" s="284">
        <f>IF(E71="","",IFERROR(COUNTIFS('Comparativo por Funcionário'!$A:$A,$B71,'Comparativo por Funcionário'!$Z:$Z,J$65),0))</f>
        <v>0</v>
      </c>
      <c r="K71" s="284">
        <f>IF(E71="","",IFERROR(COUNTIFS('Comparativo por Funcionário'!$A:$A,$B71,'Comparativo por Funcionário'!$Z:$Z,K$65),0))</f>
        <v>0</v>
      </c>
      <c r="P71" s="235"/>
      <c r="Q71" s="235"/>
    </row>
    <row r="72" ht="15.75" customHeight="1">
      <c r="A72" s="290"/>
      <c r="B72" s="286">
        <f t="shared" si="10"/>
        <v>4</v>
      </c>
      <c r="C72" s="287" t="str">
        <f>IFERROR(VLOOKUP(B72,'Cálculos Comparativos'!A:B,2,0),"")</f>
        <v>Analista de Requisitos</v>
      </c>
      <c r="D72" s="288" t="s">
        <v>100</v>
      </c>
      <c r="E72" s="289" t="str">
        <f t="shared" si="7"/>
        <v>Analista de Requisitos - C-01</v>
      </c>
      <c r="F72" s="288">
        <f>IF(E72="","",IFERROR(COUNTIFS('Comparativo por Funcionário'!A:A,B72,'Comparativo por Funcionário'!R:R,F$65),0))</f>
        <v>1</v>
      </c>
      <c r="G72" s="288">
        <f>IF(E72="","",IFERROR(COUNTIFS('Comparativo por Funcionário'!$A:$A,$B72,'Comparativo por Funcionário'!$R:$R,G$65),0))</f>
        <v>1</v>
      </c>
      <c r="H72" s="288">
        <f>IF(E72="","",IFERROR(COUNTIFS('Comparativo por Funcionário'!$A:$A,$B72,'Comparativo por Funcionário'!$R:$R,H$65),0))</f>
        <v>0</v>
      </c>
      <c r="I72" s="288">
        <f>IF(E72="","",IFERROR(COUNTIFS('Comparativo por Funcionário'!$A:$A,$B72,'Comparativo por Funcionário'!$R:$R,I$65),0))</f>
        <v>0</v>
      </c>
      <c r="J72" s="288">
        <f>IF(E72="","",IFERROR(COUNTIFS('Comparativo por Funcionário'!$A:$A,$B72,'Comparativo por Funcionário'!$R:$R,J$65),0))</f>
        <v>0</v>
      </c>
      <c r="K72" s="288">
        <f>IF(E72="","",IFERROR(COUNTIFS('Comparativo por Funcionário'!$A:$A,$B72,'Comparativo por Funcionário'!$R:$R,K$65),0))</f>
        <v>0</v>
      </c>
      <c r="P72" s="235"/>
      <c r="Q72" s="235"/>
    </row>
    <row r="73" ht="15.75" customHeight="1">
      <c r="A73" s="290"/>
      <c r="B73" s="286">
        <f t="shared" ref="B73:B74" si="11">A35</f>
        <v>4</v>
      </c>
      <c r="C73" s="287" t="str">
        <f>IFERROR(VLOOKUP(B73,'Cálculos Comparativos'!A:B,2,0),"")</f>
        <v>Analista de Requisitos</v>
      </c>
      <c r="D73" s="288" t="s">
        <v>101</v>
      </c>
      <c r="E73" s="289" t="str">
        <f t="shared" si="7"/>
        <v>Analista de Requisitos - C-02</v>
      </c>
      <c r="F73" s="288">
        <f>IF(E73="","",IFERROR(COUNTIFS('Comparativo por Funcionário'!A:A,B73,'Comparativo por Funcionário'!Z:Z,F$65),0))</f>
        <v>0</v>
      </c>
      <c r="G73" s="288">
        <f>IF(E73="","",IFERROR(COUNTIFS('Comparativo por Funcionário'!$A:$A,$B73,'Comparativo por Funcionário'!$Z:$Z,G$65),0))</f>
        <v>0</v>
      </c>
      <c r="H73" s="288">
        <f>IF(E73="","",IFERROR(COUNTIFS('Comparativo por Funcionário'!$A:$A,$B73,'Comparativo por Funcionário'!$Z:$Z,H$65),0))</f>
        <v>0</v>
      </c>
      <c r="I73" s="288">
        <f>IF(E73="","",IFERROR(COUNTIFS('Comparativo por Funcionário'!$A:$A,$B73,'Comparativo por Funcionário'!$Z:$Z,I$65),0))</f>
        <v>0</v>
      </c>
      <c r="J73" s="288">
        <f>IF(E73="","",IFERROR(COUNTIFS('Comparativo por Funcionário'!$A:$A,$B73,'Comparativo por Funcionário'!$Z:$Z,J$65),0))</f>
        <v>0</v>
      </c>
      <c r="K73" s="288">
        <f>IF(E73="","",IFERROR(COUNTIFS('Comparativo por Funcionário'!$A:$A,$B73,'Comparativo por Funcionário'!$Z:$Z,K$65),0))</f>
        <v>0</v>
      </c>
      <c r="P73" s="235"/>
      <c r="Q73" s="235"/>
    </row>
    <row r="74" ht="15.75" customHeight="1">
      <c r="A74" s="290"/>
      <c r="B74" s="282">
        <f t="shared" si="11"/>
        <v>5</v>
      </c>
      <c r="C74" s="283" t="str">
        <f>IFERROR(VLOOKUP(B74,'Cálculos Comparativos'!A:B,2,0),"")</f>
        <v>Lider</v>
      </c>
      <c r="D74" s="284" t="s">
        <v>100</v>
      </c>
      <c r="E74" s="285" t="str">
        <f t="shared" si="7"/>
        <v>Lider - C-01</v>
      </c>
      <c r="F74" s="284">
        <f>IF(E74="","",IFERROR(COUNTIFS('Comparativo por Funcionário'!A:A,B74,'Comparativo por Funcionário'!R:R,F$65),0))</f>
        <v>0</v>
      </c>
      <c r="G74" s="284">
        <f>IF(E74="","",IFERROR(COUNTIFS('Comparativo por Funcionário'!$A:$A,$B74,'Comparativo por Funcionário'!$R:$R,G$65),0))</f>
        <v>0</v>
      </c>
      <c r="H74" s="284">
        <f>IF(E74="","",IFERROR(COUNTIFS('Comparativo por Funcionário'!$A:$A,$B74,'Comparativo por Funcionário'!$R:$R,H$65),0))</f>
        <v>1</v>
      </c>
      <c r="I74" s="284">
        <f>IF(E74="","",IFERROR(COUNTIFS('Comparativo por Funcionário'!$A:$A,$B74,'Comparativo por Funcionário'!$R:$R,I$65),0))</f>
        <v>0</v>
      </c>
      <c r="J74" s="284">
        <f>IF(E74="","",IFERROR(COUNTIFS('Comparativo por Funcionário'!$A:$A,$B74,'Comparativo por Funcionário'!$R:$R,J$65),0))</f>
        <v>0</v>
      </c>
      <c r="K74" s="284">
        <f>IF(E74="","",IFERROR(COUNTIFS('Comparativo por Funcionário'!$A:$A,$B74,'Comparativo por Funcionário'!$R:$R,K$65),0))</f>
        <v>0</v>
      </c>
      <c r="P74" s="235"/>
      <c r="Q74" s="235"/>
    </row>
    <row r="75" ht="15.75" customHeight="1">
      <c r="A75" s="290"/>
      <c r="B75" s="282">
        <f>A36</f>
        <v>5</v>
      </c>
      <c r="C75" s="283" t="str">
        <f>IFERROR(VLOOKUP(B75,'Cálculos Comparativos'!A:B,2,0),"")</f>
        <v>Lider</v>
      </c>
      <c r="D75" s="284" t="s">
        <v>101</v>
      </c>
      <c r="E75" s="285" t="str">
        <f t="shared" si="7"/>
        <v>Lider - C-02</v>
      </c>
      <c r="F75" s="284">
        <f>IF(E75="","",IFERROR(COUNTIFS('Comparativo por Funcionário'!A:A,B75,'Comparativo por Funcionário'!Z:Z,F$65),0))</f>
        <v>0</v>
      </c>
      <c r="G75" s="284">
        <f>IF(E75="","",IFERROR(COUNTIFS('Comparativo por Funcionário'!$A:$A,$B75,'Comparativo por Funcionário'!$Z:$Z,G$65),0))</f>
        <v>0</v>
      </c>
      <c r="H75" s="284">
        <f>IF(E75="","",IFERROR(COUNTIFS('Comparativo por Funcionário'!$A:$A,$B75,'Comparativo por Funcionário'!$Z:$Z,H$65),0))</f>
        <v>1</v>
      </c>
      <c r="I75" s="284">
        <f>IF(E75="","",IFERROR(COUNTIFS('Comparativo por Funcionário'!$A:$A,$B75,'Comparativo por Funcionário'!$Z:$Z,I$65),0))</f>
        <v>0</v>
      </c>
      <c r="J75" s="284">
        <f>IF(E75="","",IFERROR(COUNTIFS('Comparativo por Funcionário'!$A:$A,$B75,'Comparativo por Funcionário'!$Z:$Z,J$65),0))</f>
        <v>0</v>
      </c>
      <c r="K75" s="284">
        <f>IF(E75="","",IFERROR(COUNTIFS('Comparativo por Funcionário'!$A:$A,$B75,'Comparativo por Funcionário'!$Z:$Z,K$65),0))</f>
        <v>0</v>
      </c>
      <c r="P75" s="235"/>
      <c r="Q75" s="235"/>
    </row>
    <row r="76" ht="15.75" customHeight="1">
      <c r="B76" s="291"/>
      <c r="C76" s="291"/>
      <c r="D76" s="291"/>
      <c r="P76" s="235"/>
      <c r="Q76" s="235"/>
    </row>
    <row r="77" ht="15.75" customHeight="1">
      <c r="B77" s="291"/>
      <c r="C77" s="291"/>
      <c r="D77" s="291"/>
      <c r="P77" s="235"/>
      <c r="Q77" s="235"/>
    </row>
    <row r="78" ht="15.75" customHeight="1">
      <c r="B78" s="291"/>
      <c r="C78" s="291"/>
      <c r="D78" s="291"/>
      <c r="P78" s="235"/>
      <c r="Q78" s="235"/>
    </row>
    <row r="79" ht="15.75" customHeight="1">
      <c r="B79" s="291"/>
      <c r="C79" s="291"/>
      <c r="D79" s="291"/>
      <c r="P79" s="235"/>
      <c r="Q79" s="235"/>
    </row>
    <row r="80" ht="15.75" customHeight="1">
      <c r="A80" s="235"/>
      <c r="B80" s="292"/>
      <c r="C80" s="293"/>
      <c r="D80" s="294"/>
      <c r="P80" s="235"/>
      <c r="Q80" s="235"/>
    </row>
    <row r="81" ht="15.75" customHeight="1">
      <c r="A81" s="235"/>
      <c r="B81" s="292"/>
      <c r="C81" s="293"/>
      <c r="D81" s="294"/>
      <c r="P81" s="235"/>
      <c r="Q81" s="235"/>
    </row>
    <row r="82" ht="15.75" customHeight="1">
      <c r="A82" s="235"/>
      <c r="B82" s="292"/>
      <c r="C82" s="293"/>
      <c r="D82" s="294"/>
      <c r="P82" s="235"/>
      <c r="Q82" s="235"/>
    </row>
    <row r="83" ht="15.75" customHeight="1">
      <c r="A83" s="235"/>
      <c r="B83" s="295"/>
      <c r="C83" s="293"/>
      <c r="D83" s="294"/>
      <c r="P83" s="235"/>
      <c r="Q83" s="235"/>
    </row>
    <row r="84" ht="15.75" customHeight="1">
      <c r="A84" s="235"/>
      <c r="C84" s="293"/>
      <c r="D84" s="294"/>
      <c r="P84" s="235"/>
      <c r="Q84" s="235"/>
    </row>
    <row r="85" ht="15.75" customHeight="1">
      <c r="A85" s="235"/>
      <c r="B85" s="295"/>
      <c r="C85" s="293"/>
      <c r="D85" s="294"/>
      <c r="P85" s="235"/>
      <c r="Q85" s="235"/>
    </row>
    <row r="86" ht="15.75" customHeight="1">
      <c r="A86" s="235"/>
      <c r="C86" s="293"/>
      <c r="D86" s="294"/>
      <c r="P86" s="235"/>
      <c r="Q86" s="235"/>
    </row>
    <row r="87" ht="15.75" customHeight="1">
      <c r="A87" s="235"/>
      <c r="P87" s="235"/>
      <c r="Q87" s="235"/>
    </row>
    <row r="88" ht="15.75" customHeight="1">
      <c r="A88" s="235"/>
      <c r="P88" s="235"/>
      <c r="Q88" s="235"/>
    </row>
    <row r="89" ht="15.75" customHeight="1">
      <c r="A89" s="235"/>
      <c r="P89" s="235"/>
      <c r="Q89" s="235"/>
    </row>
    <row r="90" ht="15.75" customHeight="1">
      <c r="A90" s="235"/>
      <c r="P90" s="235"/>
      <c r="Q90" s="235"/>
    </row>
    <row r="91" ht="15.75" customHeight="1">
      <c r="A91" s="235"/>
      <c r="C91" s="294"/>
      <c r="D91" s="294"/>
      <c r="P91" s="235"/>
      <c r="Q91" s="235"/>
    </row>
    <row r="92" ht="15.75" customHeight="1">
      <c r="A92" s="235"/>
      <c r="P92" s="235"/>
      <c r="Q92" s="235"/>
    </row>
    <row r="93" ht="15.75" customHeight="1">
      <c r="A93" s="235"/>
      <c r="P93" s="235"/>
      <c r="Q93" s="235"/>
    </row>
    <row r="94" ht="15.75" customHeight="1">
      <c r="A94" s="235"/>
      <c r="P94" s="235"/>
      <c r="Q94" s="235"/>
    </row>
    <row r="95" ht="15.75" customHeight="1">
      <c r="A95" s="235"/>
      <c r="P95" s="235"/>
      <c r="Q95" s="235"/>
    </row>
    <row r="96" ht="15.75" customHeight="1">
      <c r="A96" s="235"/>
      <c r="P96" s="235"/>
      <c r="Q96" s="235"/>
    </row>
    <row r="97" ht="15.75" customHeight="1">
      <c r="A97" s="235"/>
      <c r="P97" s="235"/>
      <c r="Q97" s="235"/>
    </row>
    <row r="98" ht="15.75" customHeight="1">
      <c r="A98" s="235"/>
      <c r="P98" s="235"/>
      <c r="Q98" s="235"/>
    </row>
    <row r="99" ht="15.75" customHeight="1">
      <c r="A99" s="235"/>
      <c r="P99" s="235"/>
      <c r="Q99" s="235"/>
    </row>
    <row r="100" ht="15.75" customHeight="1">
      <c r="A100" s="235"/>
      <c r="P100" s="235"/>
      <c r="Q100" s="235"/>
    </row>
    <row r="101" ht="15.75" customHeight="1">
      <c r="A101" s="235"/>
      <c r="P101" s="235"/>
      <c r="Q101" s="235"/>
    </row>
    <row r="102" ht="15.75" customHeight="1">
      <c r="A102" s="235"/>
      <c r="P102" s="235"/>
      <c r="Q102" s="235"/>
    </row>
    <row r="103" ht="15.75" customHeight="1">
      <c r="A103" s="235"/>
      <c r="P103" s="235"/>
      <c r="Q103" s="235"/>
    </row>
    <row r="104" ht="15.75" customHeight="1">
      <c r="A104" s="235"/>
      <c r="P104" s="235"/>
      <c r="Q104" s="235"/>
    </row>
    <row r="105" ht="15.75" customHeight="1">
      <c r="A105" s="235"/>
      <c r="P105" s="235"/>
      <c r="Q105" s="235"/>
    </row>
    <row r="106" ht="15.75" customHeight="1">
      <c r="P106" s="235"/>
      <c r="Q106" s="235"/>
    </row>
    <row r="107" ht="15.75" customHeight="1">
      <c r="P107" s="235"/>
      <c r="Q107" s="235"/>
    </row>
    <row r="108" ht="15.75" customHeight="1">
      <c r="P108" s="235"/>
      <c r="Q108" s="235"/>
    </row>
    <row r="109" ht="15.75" customHeight="1">
      <c r="P109" s="235"/>
      <c r="Q109" s="235"/>
    </row>
    <row r="110" ht="15.75" customHeight="1">
      <c r="P110" s="235"/>
      <c r="Q110" s="235"/>
    </row>
    <row r="111" ht="15.75" customHeight="1">
      <c r="P111" s="235"/>
      <c r="Q111" s="235"/>
    </row>
    <row r="112" ht="15.75" customHeight="1">
      <c r="P112" s="235"/>
      <c r="Q112" s="235"/>
    </row>
    <row r="113" ht="15.75" customHeight="1">
      <c r="P113" s="235"/>
      <c r="Q113" s="235"/>
    </row>
    <row r="114" ht="15.75" customHeight="1">
      <c r="P114" s="235"/>
      <c r="Q114" s="235"/>
    </row>
    <row r="115" ht="15.75" customHeight="1">
      <c r="P115" s="235"/>
      <c r="Q115" s="235"/>
    </row>
    <row r="116" ht="15.75" customHeight="1">
      <c r="P116" s="235"/>
      <c r="Q116" s="235"/>
    </row>
    <row r="117" ht="15.75" customHeight="1">
      <c r="P117" s="235"/>
      <c r="Q117" s="235"/>
    </row>
    <row r="118" ht="15.75" customHeight="1">
      <c r="P118" s="235"/>
      <c r="Q118" s="235"/>
    </row>
    <row r="119" ht="15.75" customHeight="1">
      <c r="P119" s="235"/>
      <c r="Q119" s="235"/>
    </row>
    <row r="120" ht="15.75" customHeight="1">
      <c r="P120" s="235"/>
      <c r="Q120" s="235"/>
    </row>
    <row r="121" ht="15.75" customHeight="1">
      <c r="P121" s="235"/>
      <c r="Q121" s="235"/>
    </row>
    <row r="122" ht="15.75" customHeight="1">
      <c r="P122" s="235"/>
      <c r="Q122" s="235"/>
    </row>
    <row r="123" ht="15.75" customHeight="1">
      <c r="P123" s="235"/>
      <c r="Q123" s="235"/>
    </row>
    <row r="124" ht="15.75" customHeight="1">
      <c r="P124" s="235"/>
      <c r="Q124" s="235"/>
    </row>
    <row r="125" ht="15.75" customHeight="1">
      <c r="P125" s="235"/>
      <c r="Q125" s="235"/>
    </row>
    <row r="126" ht="15.75" customHeight="1">
      <c r="P126" s="235"/>
      <c r="Q126" s="235"/>
    </row>
    <row r="127" ht="15.75" customHeight="1">
      <c r="P127" s="235"/>
      <c r="Q127" s="235"/>
    </row>
    <row r="128" ht="15.75" customHeight="1">
      <c r="P128" s="235"/>
      <c r="Q128" s="235"/>
    </row>
    <row r="129" ht="15.75" customHeight="1">
      <c r="P129" s="235"/>
      <c r="Q129" s="235"/>
    </row>
    <row r="130" ht="15.75" customHeight="1">
      <c r="P130" s="235"/>
      <c r="Q130" s="235"/>
    </row>
    <row r="131" ht="15.75" customHeight="1">
      <c r="P131" s="235"/>
      <c r="Q131" s="235"/>
    </row>
    <row r="132" ht="15.75" customHeight="1">
      <c r="P132" s="235"/>
      <c r="Q132" s="235"/>
    </row>
    <row r="133" ht="15.75" customHeight="1">
      <c r="P133" s="235"/>
      <c r="Q133" s="235"/>
    </row>
    <row r="134" ht="15.75" customHeight="1">
      <c r="P134" s="235"/>
      <c r="Q134" s="235"/>
    </row>
    <row r="135" ht="15.75" customHeight="1">
      <c r="P135" s="235"/>
      <c r="Q135" s="235"/>
    </row>
    <row r="136" ht="15.75" customHeight="1">
      <c r="P136" s="235"/>
      <c r="Q136" s="235"/>
    </row>
    <row r="137" ht="15.75" customHeight="1">
      <c r="P137" s="235"/>
      <c r="Q137" s="235"/>
    </row>
    <row r="138" ht="15.75" customHeight="1">
      <c r="P138" s="235"/>
      <c r="Q138" s="235"/>
    </row>
    <row r="139" ht="15.75" customHeight="1">
      <c r="P139" s="235"/>
      <c r="Q139" s="235"/>
    </row>
    <row r="140" ht="15.75" customHeight="1">
      <c r="P140" s="235"/>
      <c r="Q140" s="235"/>
    </row>
    <row r="141" ht="15.75" customHeight="1">
      <c r="P141" s="235"/>
      <c r="Q141" s="235"/>
    </row>
    <row r="142" ht="15.75" customHeight="1">
      <c r="P142" s="235"/>
      <c r="Q142" s="235"/>
    </row>
    <row r="143" ht="15.75" customHeight="1">
      <c r="P143" s="235"/>
      <c r="Q143" s="235"/>
    </row>
    <row r="144" ht="15.75" customHeight="1">
      <c r="P144" s="235"/>
      <c r="Q144" s="235"/>
    </row>
    <row r="145" ht="15.75" customHeight="1">
      <c r="P145" s="235"/>
      <c r="Q145" s="235"/>
    </row>
    <row r="146" ht="15.75" customHeight="1">
      <c r="P146" s="235"/>
      <c r="Q146" s="235"/>
    </row>
    <row r="147" ht="15.75" customHeight="1">
      <c r="P147" s="235"/>
      <c r="Q147" s="235"/>
    </row>
    <row r="148" ht="15.75" customHeight="1">
      <c r="P148" s="235"/>
      <c r="Q148" s="235"/>
    </row>
    <row r="149" ht="15.75" customHeight="1">
      <c r="P149" s="235"/>
      <c r="Q149" s="235"/>
    </row>
    <row r="150" ht="15.75" customHeight="1">
      <c r="P150" s="235"/>
      <c r="Q150" s="235"/>
    </row>
    <row r="151" ht="15.75" customHeight="1">
      <c r="P151" s="235"/>
      <c r="Q151" s="235"/>
    </row>
    <row r="152" ht="15.75" customHeight="1">
      <c r="P152" s="235"/>
      <c r="Q152" s="235"/>
    </row>
    <row r="153" ht="15.75" customHeight="1">
      <c r="P153" s="235"/>
      <c r="Q153" s="235"/>
    </row>
    <row r="154" ht="15.75" customHeight="1">
      <c r="P154" s="235"/>
      <c r="Q154" s="235"/>
    </row>
    <row r="155" ht="15.75" customHeight="1">
      <c r="P155" s="235"/>
      <c r="Q155" s="235"/>
    </row>
    <row r="156" ht="15.75" customHeight="1">
      <c r="P156" s="235"/>
      <c r="Q156" s="235"/>
    </row>
    <row r="157" ht="15.75" customHeight="1">
      <c r="P157" s="235"/>
      <c r="Q157" s="235"/>
    </row>
    <row r="158" ht="15.75" customHeight="1">
      <c r="P158" s="235"/>
      <c r="Q158" s="235"/>
    </row>
    <row r="159" ht="15.75" customHeight="1">
      <c r="P159" s="235"/>
      <c r="Q159" s="235"/>
    </row>
    <row r="160" ht="15.75" customHeight="1">
      <c r="P160" s="235"/>
      <c r="Q160" s="235"/>
    </row>
    <row r="161" ht="15.75" customHeight="1">
      <c r="P161" s="235"/>
      <c r="Q161" s="235"/>
    </row>
    <row r="162" ht="15.75" customHeight="1">
      <c r="P162" s="235"/>
      <c r="Q162" s="235"/>
    </row>
    <row r="163" ht="15.75" customHeight="1">
      <c r="P163" s="235"/>
      <c r="Q163" s="235"/>
    </row>
    <row r="164" ht="15.75" customHeight="1">
      <c r="P164" s="235"/>
      <c r="Q164" s="235"/>
    </row>
    <row r="165" ht="15.75" customHeight="1">
      <c r="P165" s="235"/>
      <c r="Q165" s="235"/>
    </row>
    <row r="166" ht="15.75" customHeight="1">
      <c r="P166" s="235"/>
      <c r="Q166" s="235"/>
    </row>
    <row r="167" ht="15.75" customHeight="1">
      <c r="P167" s="235"/>
      <c r="Q167" s="235"/>
    </row>
    <row r="168" ht="15.75" customHeight="1">
      <c r="P168" s="235"/>
      <c r="Q168" s="235"/>
    </row>
    <row r="169" ht="15.75" customHeight="1">
      <c r="P169" s="235"/>
      <c r="Q169" s="235"/>
    </row>
    <row r="170" ht="15.75" customHeight="1">
      <c r="P170" s="235"/>
      <c r="Q170" s="235"/>
    </row>
    <row r="171" ht="15.75" customHeight="1">
      <c r="P171" s="235"/>
      <c r="Q171" s="235"/>
    </row>
    <row r="172" ht="15.75" customHeight="1">
      <c r="P172" s="235"/>
      <c r="Q172" s="235"/>
    </row>
    <row r="173" ht="15.75" customHeight="1">
      <c r="P173" s="235"/>
      <c r="Q173" s="235"/>
    </row>
    <row r="174" ht="15.75" customHeight="1">
      <c r="P174" s="235"/>
      <c r="Q174" s="235"/>
    </row>
    <row r="175" ht="15.75" customHeight="1">
      <c r="P175" s="235"/>
      <c r="Q175" s="235"/>
    </row>
    <row r="176" ht="15.75" customHeight="1">
      <c r="P176" s="235"/>
      <c r="Q176" s="235"/>
    </row>
    <row r="177" ht="15.75" customHeight="1">
      <c r="P177" s="235"/>
      <c r="Q177" s="235"/>
    </row>
    <row r="178" ht="15.75" customHeight="1">
      <c r="P178" s="235"/>
      <c r="Q178" s="235"/>
    </row>
    <row r="179" ht="15.75" customHeight="1">
      <c r="P179" s="235"/>
      <c r="Q179" s="235"/>
    </row>
    <row r="180" ht="15.75" customHeight="1">
      <c r="P180" s="235"/>
      <c r="Q180" s="235"/>
    </row>
    <row r="181" ht="15.75" customHeight="1">
      <c r="P181" s="235"/>
      <c r="Q181" s="235"/>
    </row>
    <row r="182" ht="15.75" customHeight="1">
      <c r="P182" s="235"/>
      <c r="Q182" s="235"/>
    </row>
    <row r="183" ht="15.75" customHeight="1">
      <c r="P183" s="235"/>
      <c r="Q183" s="235"/>
    </row>
    <row r="184" ht="15.75" customHeight="1">
      <c r="P184" s="235"/>
      <c r="Q184" s="235"/>
    </row>
    <row r="185" ht="15.75" customHeight="1">
      <c r="P185" s="235"/>
      <c r="Q185" s="235"/>
    </row>
    <row r="186" ht="15.75" customHeight="1">
      <c r="P186" s="235"/>
      <c r="Q186" s="235"/>
    </row>
    <row r="187" ht="15.75" customHeight="1">
      <c r="P187" s="235"/>
      <c r="Q187" s="235"/>
    </row>
    <row r="188" ht="15.75" customHeight="1">
      <c r="P188" s="235"/>
      <c r="Q188" s="235"/>
    </row>
    <row r="189" ht="15.75" customHeight="1">
      <c r="P189" s="235"/>
      <c r="Q189" s="235"/>
    </row>
    <row r="190" ht="15.75" customHeight="1">
      <c r="P190" s="235"/>
      <c r="Q190" s="235"/>
    </row>
    <row r="191" ht="15.75" customHeight="1">
      <c r="P191" s="235"/>
      <c r="Q191" s="235"/>
    </row>
    <row r="192" ht="15.75" customHeight="1">
      <c r="P192" s="235"/>
      <c r="Q192" s="235"/>
    </row>
    <row r="193" ht="15.75" customHeight="1">
      <c r="P193" s="235"/>
      <c r="Q193" s="235"/>
    </row>
    <row r="194" ht="15.75" customHeight="1">
      <c r="P194" s="235"/>
      <c r="Q194" s="235"/>
    </row>
    <row r="195" ht="15.75" customHeight="1">
      <c r="P195" s="235"/>
      <c r="Q195" s="235"/>
    </row>
    <row r="196" ht="15.75" customHeight="1">
      <c r="P196" s="235"/>
      <c r="Q196" s="235"/>
    </row>
    <row r="197" ht="15.75" customHeight="1">
      <c r="P197" s="235"/>
      <c r="Q197" s="235"/>
    </row>
    <row r="198" ht="15.75" customHeight="1">
      <c r="P198" s="235"/>
      <c r="Q198" s="235"/>
    </row>
    <row r="199" ht="15.75" customHeight="1">
      <c r="P199" s="235"/>
      <c r="Q199" s="235"/>
    </row>
    <row r="200" ht="15.75" customHeight="1">
      <c r="P200" s="235"/>
      <c r="Q200" s="235"/>
    </row>
    <row r="201" ht="15.75" customHeight="1">
      <c r="P201" s="235"/>
      <c r="Q201" s="235"/>
    </row>
    <row r="202" ht="15.75" customHeight="1">
      <c r="P202" s="235"/>
      <c r="Q202" s="235"/>
    </row>
    <row r="203" ht="15.75" customHeight="1">
      <c r="P203" s="235"/>
      <c r="Q203" s="235"/>
    </row>
    <row r="204" ht="15.75" customHeight="1">
      <c r="P204" s="235"/>
      <c r="Q204" s="235"/>
    </row>
    <row r="205" ht="15.75" customHeight="1">
      <c r="P205" s="235"/>
      <c r="Q205" s="235"/>
    </row>
    <row r="206" ht="15.75" customHeight="1">
      <c r="P206" s="235"/>
      <c r="Q206" s="235"/>
    </row>
    <row r="207" ht="15.75" customHeight="1">
      <c r="P207" s="235"/>
      <c r="Q207" s="235"/>
    </row>
    <row r="208" ht="15.75" customHeight="1">
      <c r="P208" s="235"/>
      <c r="Q208" s="235"/>
    </row>
    <row r="209" ht="15.75" customHeight="1">
      <c r="P209" s="235"/>
      <c r="Q209" s="235"/>
    </row>
    <row r="210" ht="15.75" customHeight="1">
      <c r="P210" s="235"/>
      <c r="Q210" s="235"/>
    </row>
    <row r="211" ht="15.75" customHeight="1">
      <c r="P211" s="235"/>
      <c r="Q211" s="235"/>
    </row>
    <row r="212" ht="15.75" customHeight="1">
      <c r="P212" s="235"/>
      <c r="Q212" s="235"/>
    </row>
    <row r="213" ht="15.75" customHeight="1">
      <c r="P213" s="235"/>
      <c r="Q213" s="235"/>
    </row>
    <row r="214" ht="15.75" customHeight="1">
      <c r="P214" s="235"/>
      <c r="Q214" s="235"/>
    </row>
    <row r="215" ht="15.75" customHeight="1">
      <c r="P215" s="235"/>
      <c r="Q215" s="235"/>
    </row>
    <row r="216" ht="15.75" customHeight="1">
      <c r="P216" s="235"/>
      <c r="Q216" s="235"/>
    </row>
    <row r="217" ht="15.75" customHeight="1">
      <c r="P217" s="235"/>
      <c r="Q217" s="235"/>
    </row>
    <row r="218" ht="15.75" customHeight="1">
      <c r="P218" s="235"/>
      <c r="Q218" s="235"/>
    </row>
    <row r="219" ht="15.75" customHeight="1">
      <c r="P219" s="235"/>
      <c r="Q219" s="235"/>
    </row>
    <row r="220" ht="15.75" customHeight="1">
      <c r="P220" s="235"/>
      <c r="Q220" s="235"/>
    </row>
    <row r="221" ht="15.75" customHeight="1">
      <c r="P221" s="235"/>
      <c r="Q221" s="235"/>
    </row>
    <row r="222" ht="15.75" customHeight="1">
      <c r="P222" s="235"/>
      <c r="Q222" s="235"/>
    </row>
    <row r="223" ht="15.75" customHeight="1">
      <c r="P223" s="235"/>
      <c r="Q223" s="235"/>
    </row>
    <row r="224" ht="15.75" customHeight="1">
      <c r="P224" s="235"/>
      <c r="Q224" s="235"/>
    </row>
    <row r="225" ht="15.75" customHeight="1">
      <c r="P225" s="235"/>
      <c r="Q225" s="235"/>
    </row>
    <row r="226" ht="15.75" customHeight="1">
      <c r="P226" s="235"/>
      <c r="Q226" s="235"/>
    </row>
    <row r="227" ht="15.75" customHeight="1">
      <c r="P227" s="235"/>
      <c r="Q227" s="235"/>
    </row>
    <row r="228" ht="15.75" customHeight="1">
      <c r="P228" s="235"/>
      <c r="Q228" s="235"/>
    </row>
    <row r="229" ht="15.75" customHeight="1">
      <c r="P229" s="235"/>
      <c r="Q229" s="235"/>
    </row>
    <row r="230" ht="15.75" customHeight="1">
      <c r="P230" s="235"/>
      <c r="Q230" s="235"/>
    </row>
    <row r="231" ht="15.75" customHeight="1">
      <c r="P231" s="235"/>
      <c r="Q231" s="235"/>
    </row>
    <row r="232" ht="15.75" customHeight="1">
      <c r="P232" s="235"/>
      <c r="Q232" s="235"/>
    </row>
    <row r="233" ht="15.75" customHeight="1">
      <c r="P233" s="235"/>
      <c r="Q233" s="235"/>
    </row>
    <row r="234" ht="15.75" customHeight="1">
      <c r="P234" s="235"/>
      <c r="Q234" s="235"/>
    </row>
    <row r="235" ht="15.75" customHeight="1">
      <c r="P235" s="235"/>
      <c r="Q235" s="235"/>
    </row>
    <row r="236" ht="15.75" customHeight="1">
      <c r="P236" s="235"/>
      <c r="Q236" s="235"/>
    </row>
    <row r="237" ht="15.75" customHeight="1">
      <c r="P237" s="235"/>
      <c r="Q237" s="235"/>
    </row>
    <row r="238" ht="15.75" customHeight="1">
      <c r="P238" s="235"/>
      <c r="Q238" s="235"/>
    </row>
    <row r="239" ht="15.75" customHeight="1">
      <c r="P239" s="235"/>
      <c r="Q239" s="235"/>
    </row>
    <row r="240" ht="15.75" customHeight="1">
      <c r="P240" s="235"/>
      <c r="Q240" s="235"/>
    </row>
    <row r="241" ht="15.75" customHeight="1">
      <c r="P241" s="235"/>
      <c r="Q241" s="235"/>
    </row>
    <row r="242" ht="15.75" customHeight="1">
      <c r="P242" s="235"/>
      <c r="Q242" s="235"/>
    </row>
    <row r="243" ht="15.75" customHeight="1">
      <c r="P243" s="235"/>
      <c r="Q243" s="235"/>
    </row>
    <row r="244" ht="15.75" customHeight="1">
      <c r="P244" s="235"/>
      <c r="Q244" s="235"/>
    </row>
    <row r="245" ht="15.75" customHeight="1">
      <c r="P245" s="235"/>
      <c r="Q245" s="235"/>
    </row>
    <row r="246" ht="15.75" customHeight="1">
      <c r="P246" s="235"/>
      <c r="Q246" s="235"/>
    </row>
    <row r="247" ht="15.75" customHeight="1">
      <c r="P247" s="235"/>
      <c r="Q247" s="235"/>
    </row>
    <row r="248" ht="15.75" customHeight="1">
      <c r="P248" s="235"/>
      <c r="Q248" s="235"/>
    </row>
    <row r="249" ht="15.75" customHeight="1">
      <c r="P249" s="235"/>
      <c r="Q249" s="235"/>
    </row>
    <row r="250" ht="15.75" customHeight="1">
      <c r="P250" s="235"/>
      <c r="Q250" s="235"/>
    </row>
    <row r="251" ht="15.75" customHeight="1">
      <c r="P251" s="235"/>
      <c r="Q251" s="235"/>
    </row>
    <row r="252" ht="15.75" customHeight="1">
      <c r="P252" s="235"/>
      <c r="Q252" s="235"/>
    </row>
    <row r="253" ht="15.75" customHeight="1">
      <c r="P253" s="235"/>
      <c r="Q253" s="235"/>
    </row>
    <row r="254" ht="15.75" customHeight="1">
      <c r="P254" s="235"/>
      <c r="Q254" s="235"/>
    </row>
    <row r="255" ht="15.75" customHeight="1">
      <c r="P255" s="235"/>
      <c r="Q255" s="235"/>
    </row>
    <row r="256" ht="15.75" customHeight="1">
      <c r="P256" s="235"/>
      <c r="Q256" s="235"/>
    </row>
    <row r="257" ht="15.75" customHeight="1">
      <c r="P257" s="235"/>
      <c r="Q257" s="235"/>
    </row>
    <row r="258" ht="15.75" customHeight="1">
      <c r="P258" s="235"/>
      <c r="Q258" s="235"/>
    </row>
    <row r="259" ht="15.75" customHeight="1">
      <c r="P259" s="235"/>
      <c r="Q259" s="235"/>
    </row>
    <row r="260" ht="15.75" customHeight="1">
      <c r="P260" s="235"/>
      <c r="Q260" s="235"/>
    </row>
    <row r="261" ht="15.75" customHeight="1">
      <c r="P261" s="235"/>
      <c r="Q261" s="235"/>
    </row>
    <row r="262" ht="15.75" customHeight="1">
      <c r="P262" s="235"/>
      <c r="Q262" s="235"/>
    </row>
    <row r="263" ht="15.75" customHeight="1">
      <c r="P263" s="235"/>
      <c r="Q263" s="235"/>
    </row>
    <row r="264" ht="15.75" customHeight="1">
      <c r="P264" s="235"/>
      <c r="Q264" s="235"/>
    </row>
    <row r="265" ht="15.75" customHeight="1">
      <c r="P265" s="235"/>
      <c r="Q265" s="235"/>
    </row>
    <row r="266" ht="15.75" customHeight="1">
      <c r="P266" s="235"/>
      <c r="Q266" s="235"/>
    </row>
    <row r="267" ht="15.75" customHeight="1">
      <c r="P267" s="235"/>
      <c r="Q267" s="235"/>
    </row>
    <row r="268" ht="15.75" customHeight="1">
      <c r="P268" s="235"/>
      <c r="Q268" s="235"/>
    </row>
    <row r="269" ht="15.75" customHeight="1">
      <c r="P269" s="235"/>
      <c r="Q269" s="235"/>
    </row>
    <row r="270" ht="15.75" customHeight="1">
      <c r="P270" s="235"/>
      <c r="Q270" s="235"/>
    </row>
    <row r="271" ht="15.75" customHeight="1">
      <c r="P271" s="235"/>
      <c r="Q271" s="235"/>
    </row>
    <row r="272" ht="15.75" customHeight="1">
      <c r="P272" s="235"/>
      <c r="Q272" s="235"/>
    </row>
    <row r="273" ht="15.75" customHeight="1">
      <c r="P273" s="235"/>
      <c r="Q273" s="235"/>
    </row>
    <row r="274" ht="15.75" customHeight="1">
      <c r="P274" s="235"/>
      <c r="Q274" s="235"/>
    </row>
    <row r="275" ht="15.75" customHeight="1">
      <c r="P275" s="235"/>
      <c r="Q275" s="235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N4:N5"/>
    <mergeCell ref="N6:N9"/>
    <mergeCell ref="N11:N12"/>
    <mergeCell ref="O11:O12"/>
    <mergeCell ref="N13:N16"/>
    <mergeCell ref="O13:O16"/>
    <mergeCell ref="E1:H1"/>
    <mergeCell ref="K1:M1"/>
    <mergeCell ref="B3:D4"/>
    <mergeCell ref="E4:E5"/>
    <mergeCell ref="O4:O5"/>
    <mergeCell ref="E6:E9"/>
    <mergeCell ref="O6:O9"/>
    <mergeCell ref="B9:C9"/>
    <mergeCell ref="B5:C6"/>
    <mergeCell ref="B7:C7"/>
    <mergeCell ref="B10:C10"/>
    <mergeCell ref="B11:C11"/>
    <mergeCell ref="E11:E12"/>
    <mergeCell ref="B13:C14"/>
    <mergeCell ref="E13:E16"/>
    <mergeCell ref="J25:K25"/>
    <mergeCell ref="J26:K26"/>
    <mergeCell ref="J27:K27"/>
    <mergeCell ref="E30:G30"/>
    <mergeCell ref="H30:J30"/>
    <mergeCell ref="F31:G31"/>
    <mergeCell ref="I31:J31"/>
    <mergeCell ref="C20:D20"/>
    <mergeCell ref="E20:F20"/>
    <mergeCell ref="J20:K20"/>
    <mergeCell ref="J21:K21"/>
    <mergeCell ref="J22:K22"/>
    <mergeCell ref="J23:K23"/>
    <mergeCell ref="J24:K24"/>
  </mergeCells>
  <conditionalFormatting sqref="P7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B13">
      <formula1>'Painel Áreas'!$P:$P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4.63"/>
    <col customWidth="1" min="2" max="2" width="2.63"/>
    <col customWidth="1" min="3" max="3" width="64.38"/>
    <col customWidth="1" min="4" max="4" width="3.88"/>
    <col customWidth="1" min="5" max="5" width="59.13"/>
    <col customWidth="1" min="6" max="6" width="12.63"/>
  </cols>
  <sheetData>
    <row r="1" ht="21.75" customHeight="1">
      <c r="A1" s="296" t="s">
        <v>102</v>
      </c>
      <c r="B1" s="297"/>
      <c r="C1" s="298" t="s">
        <v>103</v>
      </c>
      <c r="D1" s="297"/>
      <c r="E1" s="299"/>
      <c r="F1" s="297"/>
      <c r="G1" s="297"/>
      <c r="H1" s="297"/>
      <c r="I1" s="297"/>
      <c r="J1" s="297"/>
      <c r="K1" s="297"/>
    </row>
    <row r="2">
      <c r="A2" s="300" t="s">
        <v>104</v>
      </c>
      <c r="B2" s="301"/>
      <c r="C2" s="300" t="s">
        <v>104</v>
      </c>
      <c r="D2" s="301"/>
      <c r="E2" s="302"/>
      <c r="F2" s="303"/>
      <c r="G2" s="303"/>
      <c r="H2" s="303"/>
      <c r="I2" s="303"/>
      <c r="J2" s="303"/>
      <c r="K2" s="303"/>
    </row>
    <row r="3">
      <c r="A3" s="304"/>
      <c r="B3" s="301"/>
      <c r="C3" s="304"/>
      <c r="D3" s="301"/>
      <c r="E3" s="305"/>
      <c r="F3" s="303"/>
      <c r="G3" s="303"/>
      <c r="H3" s="303"/>
      <c r="I3" s="303"/>
      <c r="J3" s="303"/>
      <c r="K3" s="303"/>
    </row>
    <row r="4">
      <c r="A4" s="304" t="s">
        <v>105</v>
      </c>
      <c r="B4" s="301"/>
      <c r="C4" s="304" t="s">
        <v>105</v>
      </c>
      <c r="D4" s="301"/>
      <c r="E4" s="305"/>
      <c r="F4" s="301"/>
      <c r="G4" s="301"/>
      <c r="H4" s="301"/>
      <c r="I4" s="301"/>
      <c r="J4" s="301"/>
      <c r="K4" s="301"/>
    </row>
    <row r="5">
      <c r="A5" s="304" t="s">
        <v>106</v>
      </c>
      <c r="B5" s="301"/>
      <c r="C5" s="304" t="s">
        <v>106</v>
      </c>
      <c r="D5" s="301"/>
      <c r="E5" s="305"/>
      <c r="F5" s="301"/>
      <c r="G5" s="301"/>
      <c r="H5" s="301"/>
      <c r="I5" s="301"/>
      <c r="J5" s="301"/>
      <c r="K5" s="301"/>
    </row>
    <row r="6">
      <c r="A6" s="304" t="s">
        <v>107</v>
      </c>
      <c r="B6" s="301"/>
      <c r="C6" s="304" t="s">
        <v>107</v>
      </c>
      <c r="D6" s="301"/>
      <c r="E6" s="305"/>
      <c r="F6" s="301"/>
      <c r="G6" s="301"/>
      <c r="H6" s="301"/>
      <c r="I6" s="301"/>
      <c r="J6" s="301"/>
      <c r="K6" s="301"/>
    </row>
    <row r="7">
      <c r="A7" s="304" t="s">
        <v>108</v>
      </c>
      <c r="B7" s="301"/>
      <c r="C7" s="304" t="s">
        <v>108</v>
      </c>
      <c r="D7" s="301"/>
      <c r="E7" s="306"/>
      <c r="F7" s="301"/>
      <c r="G7" s="301"/>
      <c r="H7" s="301"/>
      <c r="I7" s="301"/>
      <c r="J7" s="301"/>
      <c r="K7" s="301"/>
    </row>
    <row r="8">
      <c r="A8" s="304" t="s">
        <v>109</v>
      </c>
      <c r="B8" s="301"/>
      <c r="C8" s="304" t="s">
        <v>109</v>
      </c>
      <c r="D8" s="301"/>
      <c r="E8" s="302"/>
      <c r="F8" s="301"/>
      <c r="G8" s="301"/>
      <c r="H8" s="301"/>
      <c r="I8" s="301"/>
      <c r="J8" s="301"/>
      <c r="K8" s="301"/>
    </row>
    <row r="9">
      <c r="A9" s="304" t="s">
        <v>110</v>
      </c>
      <c r="B9" s="301"/>
      <c r="C9" s="304" t="s">
        <v>110</v>
      </c>
      <c r="D9" s="301"/>
      <c r="E9" s="305"/>
      <c r="F9" s="301"/>
      <c r="G9" s="301"/>
      <c r="H9" s="301"/>
      <c r="I9" s="301"/>
      <c r="J9" s="301"/>
      <c r="K9" s="301"/>
    </row>
    <row r="10">
      <c r="A10" s="304"/>
      <c r="B10" s="301"/>
      <c r="C10" s="304"/>
      <c r="D10" s="301"/>
      <c r="E10" s="305"/>
      <c r="F10" s="301"/>
      <c r="G10" s="301"/>
      <c r="H10" s="301"/>
      <c r="I10" s="301"/>
      <c r="J10" s="301"/>
      <c r="K10" s="301"/>
    </row>
    <row r="11">
      <c r="A11" s="304" t="s">
        <v>111</v>
      </c>
      <c r="B11" s="301"/>
      <c r="C11" s="304" t="s">
        <v>111</v>
      </c>
      <c r="D11" s="301"/>
      <c r="E11" s="302"/>
      <c r="F11" s="301"/>
      <c r="G11" s="301"/>
      <c r="H11" s="301"/>
      <c r="I11" s="301"/>
      <c r="J11" s="301"/>
      <c r="K11" s="301"/>
    </row>
    <row r="12">
      <c r="A12" s="304" t="s">
        <v>112</v>
      </c>
      <c r="B12" s="301"/>
      <c r="C12" s="304" t="s">
        <v>112</v>
      </c>
      <c r="D12" s="301"/>
      <c r="E12" s="305"/>
      <c r="F12" s="301"/>
      <c r="G12" s="301"/>
      <c r="H12" s="301"/>
      <c r="I12" s="301"/>
      <c r="J12" s="301"/>
      <c r="K12" s="301"/>
    </row>
    <row r="13">
      <c r="A13" s="304" t="s">
        <v>113</v>
      </c>
      <c r="B13" s="301"/>
      <c r="C13" s="304" t="s">
        <v>113</v>
      </c>
      <c r="D13" s="301"/>
      <c r="E13" s="305"/>
      <c r="F13" s="301"/>
      <c r="G13" s="301"/>
      <c r="H13" s="301"/>
      <c r="I13" s="301"/>
      <c r="J13" s="301"/>
      <c r="K13" s="301"/>
    </row>
    <row r="14">
      <c r="A14" s="304" t="s">
        <v>114</v>
      </c>
      <c r="B14" s="301"/>
      <c r="C14" s="304" t="s">
        <v>114</v>
      </c>
      <c r="D14" s="301"/>
      <c r="E14" s="305"/>
      <c r="F14" s="301"/>
      <c r="G14" s="301"/>
      <c r="H14" s="301"/>
      <c r="I14" s="301"/>
      <c r="J14" s="301"/>
      <c r="K14" s="301"/>
    </row>
    <row r="15">
      <c r="A15" s="304" t="s">
        <v>115</v>
      </c>
      <c r="B15" s="307"/>
      <c r="C15" s="304" t="s">
        <v>116</v>
      </c>
      <c r="D15" s="301"/>
      <c r="E15" s="302"/>
      <c r="F15" s="301"/>
      <c r="G15" s="301"/>
      <c r="H15" s="301"/>
      <c r="I15" s="301"/>
      <c r="J15" s="301"/>
      <c r="K15" s="301"/>
    </row>
    <row r="16">
      <c r="A16" s="304" t="s">
        <v>117</v>
      </c>
      <c r="B16" s="307"/>
      <c r="C16" s="304" t="s">
        <v>117</v>
      </c>
      <c r="D16" s="301"/>
      <c r="E16" s="305"/>
      <c r="F16" s="301"/>
      <c r="G16" s="301"/>
      <c r="H16" s="301"/>
      <c r="I16" s="301"/>
      <c r="J16" s="301"/>
      <c r="K16" s="301"/>
    </row>
    <row r="17">
      <c r="A17" s="304" t="s">
        <v>118</v>
      </c>
      <c r="B17" s="301"/>
      <c r="C17" s="304" t="s">
        <v>118</v>
      </c>
      <c r="D17" s="301"/>
      <c r="E17" s="306"/>
      <c r="F17" s="301"/>
      <c r="G17" s="301"/>
      <c r="H17" s="301"/>
      <c r="I17" s="301"/>
      <c r="J17" s="301"/>
      <c r="K17" s="301"/>
    </row>
    <row r="18">
      <c r="A18" s="304" t="s">
        <v>119</v>
      </c>
      <c r="B18" s="301"/>
      <c r="C18" s="304" t="s">
        <v>119</v>
      </c>
      <c r="D18" s="301"/>
      <c r="E18" s="305"/>
      <c r="F18" s="301"/>
      <c r="G18" s="301"/>
      <c r="H18" s="301"/>
      <c r="I18" s="301"/>
      <c r="J18" s="301"/>
      <c r="K18" s="301"/>
    </row>
    <row r="19">
      <c r="A19" s="304" t="s">
        <v>120</v>
      </c>
      <c r="B19" s="301"/>
      <c r="C19" s="304" t="s">
        <v>120</v>
      </c>
      <c r="D19" s="301"/>
      <c r="E19" s="305"/>
      <c r="F19" s="301"/>
      <c r="G19" s="301"/>
      <c r="H19" s="301"/>
      <c r="I19" s="301"/>
      <c r="J19" s="301"/>
      <c r="K19" s="301"/>
    </row>
    <row r="20">
      <c r="A20" s="308"/>
      <c r="B20" s="301"/>
      <c r="C20" s="304"/>
      <c r="D20" s="301"/>
      <c r="E20" s="305"/>
      <c r="F20" s="301"/>
      <c r="G20" s="301"/>
      <c r="H20" s="301"/>
      <c r="I20" s="301"/>
      <c r="J20" s="301"/>
      <c r="K20" s="301"/>
    </row>
    <row r="21" ht="15.75" customHeight="1">
      <c r="A21" s="301" t="s">
        <v>121</v>
      </c>
      <c r="B21" s="301"/>
      <c r="C21" s="301" t="s">
        <v>121</v>
      </c>
      <c r="D21" s="301"/>
      <c r="E21" s="113"/>
      <c r="F21" s="301"/>
      <c r="G21" s="301"/>
      <c r="H21" s="301"/>
      <c r="I21" s="301"/>
      <c r="J21" s="301"/>
      <c r="K21" s="301"/>
    </row>
    <row r="22" ht="15.75" customHeight="1">
      <c r="A22" s="308"/>
      <c r="B22" s="301"/>
      <c r="C22" s="304"/>
      <c r="D22" s="301"/>
      <c r="E22" s="302"/>
      <c r="F22" s="301"/>
      <c r="G22" s="301"/>
      <c r="H22" s="301"/>
      <c r="I22" s="301"/>
      <c r="J22" s="301"/>
      <c r="K22" s="301"/>
    </row>
    <row r="23" ht="15.75" customHeight="1">
      <c r="A23" s="300" t="s">
        <v>122</v>
      </c>
      <c r="B23" s="301"/>
      <c r="C23" s="300" t="s">
        <v>122</v>
      </c>
      <c r="D23" s="301"/>
      <c r="E23" s="302"/>
      <c r="F23" s="303"/>
      <c r="G23" s="303"/>
      <c r="H23" s="303"/>
      <c r="I23" s="303"/>
      <c r="J23" s="303"/>
      <c r="K23" s="303"/>
    </row>
    <row r="24" ht="15.75" customHeight="1">
      <c r="B24" s="301"/>
      <c r="C24" s="308"/>
      <c r="D24" s="301"/>
      <c r="E24" s="305"/>
      <c r="F24" s="303"/>
      <c r="G24" s="303"/>
      <c r="H24" s="303"/>
      <c r="I24" s="303"/>
      <c r="J24" s="303"/>
      <c r="K24" s="303"/>
    </row>
    <row r="25" ht="15.75" customHeight="1">
      <c r="B25" s="301"/>
      <c r="C25" s="308"/>
      <c r="D25" s="301"/>
      <c r="E25" s="305"/>
      <c r="F25" s="303"/>
      <c r="G25" s="303"/>
      <c r="H25" s="303"/>
      <c r="I25" s="303"/>
      <c r="J25" s="303"/>
      <c r="K25" s="303"/>
    </row>
    <row r="26" ht="15.75" customHeight="1">
      <c r="B26" s="301"/>
      <c r="C26" s="308"/>
      <c r="D26" s="301"/>
      <c r="E26" s="305"/>
      <c r="F26" s="303"/>
      <c r="G26" s="303"/>
      <c r="H26" s="303"/>
      <c r="I26" s="303"/>
      <c r="J26" s="303"/>
      <c r="K26" s="303"/>
    </row>
    <row r="27" ht="15.75" customHeight="1">
      <c r="B27" s="301"/>
      <c r="C27" s="308"/>
      <c r="D27" s="301"/>
      <c r="E27" s="305"/>
      <c r="F27" s="303"/>
      <c r="G27" s="303"/>
      <c r="H27" s="303"/>
      <c r="I27" s="303"/>
      <c r="J27" s="303"/>
      <c r="K27" s="303"/>
    </row>
    <row r="28" ht="15.75" customHeight="1">
      <c r="B28" s="303"/>
      <c r="C28" s="308"/>
      <c r="D28" s="309"/>
      <c r="E28" s="305"/>
      <c r="F28" s="303"/>
      <c r="G28" s="303"/>
      <c r="H28" s="303"/>
      <c r="I28" s="303"/>
      <c r="J28" s="303"/>
      <c r="K28" s="303"/>
    </row>
    <row r="29" ht="15.75" customHeight="1">
      <c r="B29" s="303"/>
      <c r="C29" s="308"/>
      <c r="D29" s="301"/>
      <c r="E29" s="305"/>
      <c r="F29" s="303"/>
      <c r="G29" s="303"/>
      <c r="H29" s="303"/>
      <c r="I29" s="303"/>
      <c r="J29" s="303"/>
      <c r="K29" s="303"/>
    </row>
    <row r="30" ht="15.75" customHeight="1">
      <c r="B30" s="303"/>
      <c r="C30" s="308"/>
      <c r="D30" s="301"/>
      <c r="E30" s="305"/>
      <c r="F30" s="303"/>
      <c r="G30" s="303"/>
      <c r="H30" s="303"/>
      <c r="I30" s="303"/>
      <c r="J30" s="303"/>
      <c r="K30" s="303"/>
    </row>
    <row r="31" ht="15.75" customHeight="1">
      <c r="B31" s="303"/>
      <c r="C31" s="308"/>
      <c r="D31" s="301"/>
      <c r="E31" s="305"/>
      <c r="F31" s="303"/>
      <c r="G31" s="303"/>
      <c r="H31" s="303"/>
      <c r="I31" s="303"/>
      <c r="J31" s="303"/>
      <c r="K31" s="303"/>
    </row>
    <row r="32" ht="15.75" customHeight="1">
      <c r="B32" s="303"/>
      <c r="C32" s="308"/>
      <c r="D32" s="301"/>
      <c r="E32" s="305"/>
      <c r="F32" s="303"/>
      <c r="G32" s="303"/>
      <c r="H32" s="303"/>
      <c r="I32" s="303"/>
      <c r="J32" s="303"/>
      <c r="K32" s="303"/>
    </row>
    <row r="33" ht="15.75" customHeight="1">
      <c r="B33" s="303"/>
      <c r="C33" s="310"/>
      <c r="D33" s="301"/>
      <c r="E33" s="305"/>
      <c r="F33" s="303"/>
      <c r="G33" s="303"/>
      <c r="H33" s="303"/>
      <c r="I33" s="303"/>
      <c r="J33" s="303"/>
      <c r="K33" s="303"/>
    </row>
    <row r="34" ht="15.75" customHeight="1">
      <c r="B34" s="303"/>
      <c r="C34" s="310"/>
      <c r="D34" s="301"/>
      <c r="E34" s="305"/>
      <c r="F34" s="303"/>
      <c r="G34" s="303"/>
      <c r="H34" s="303"/>
      <c r="I34" s="303"/>
      <c r="J34" s="303"/>
      <c r="K34" s="303"/>
    </row>
    <row r="35" ht="15.75" customHeight="1">
      <c r="B35" s="303"/>
      <c r="C35" s="308"/>
      <c r="D35" s="301"/>
      <c r="E35" s="302"/>
      <c r="F35" s="303"/>
      <c r="G35" s="303"/>
      <c r="H35" s="303"/>
      <c r="I35" s="303"/>
      <c r="J35" s="303"/>
      <c r="K35" s="303"/>
    </row>
    <row r="36" ht="15.75" customHeight="1">
      <c r="B36" s="303"/>
      <c r="C36" s="308"/>
      <c r="D36" s="301"/>
      <c r="E36" s="305"/>
      <c r="F36" s="303"/>
      <c r="G36" s="303"/>
      <c r="H36" s="303"/>
      <c r="I36" s="303"/>
      <c r="J36" s="303"/>
      <c r="K36" s="303"/>
    </row>
    <row r="37" ht="15.75" customHeight="1">
      <c r="B37" s="303"/>
      <c r="C37" s="308"/>
      <c r="D37" s="301"/>
      <c r="E37" s="305"/>
      <c r="F37" s="303"/>
      <c r="G37" s="303"/>
      <c r="H37" s="303"/>
      <c r="I37" s="303"/>
      <c r="J37" s="303"/>
      <c r="K37" s="303"/>
    </row>
    <row r="38" ht="15.75" customHeight="1">
      <c r="B38" s="303"/>
      <c r="C38" s="308"/>
      <c r="D38" s="303"/>
      <c r="E38" s="311"/>
      <c r="F38" s="303"/>
      <c r="G38" s="303"/>
      <c r="H38" s="303"/>
      <c r="I38" s="303"/>
      <c r="J38" s="303"/>
      <c r="K38" s="303"/>
    </row>
    <row r="39" ht="15.75" customHeight="1">
      <c r="A39" s="310"/>
      <c r="B39" s="303"/>
      <c r="C39" s="303"/>
      <c r="D39" s="303"/>
      <c r="E39" s="311"/>
      <c r="F39" s="303"/>
      <c r="G39" s="303"/>
      <c r="H39" s="303"/>
      <c r="I39" s="303"/>
      <c r="J39" s="303"/>
      <c r="K39" s="303"/>
    </row>
    <row r="40" ht="15.75" customHeight="1">
      <c r="A40" s="310"/>
      <c r="B40" s="303"/>
      <c r="C40" s="308"/>
      <c r="D40" s="303"/>
      <c r="E40" s="311"/>
      <c r="F40" s="303"/>
      <c r="G40" s="303"/>
      <c r="H40" s="303"/>
      <c r="I40" s="303"/>
      <c r="J40" s="303"/>
      <c r="K40" s="303"/>
    </row>
    <row r="41" ht="15.75" customHeight="1">
      <c r="A41" s="308"/>
      <c r="B41" s="303"/>
      <c r="C41" s="308"/>
      <c r="D41" s="303"/>
      <c r="E41" s="311"/>
      <c r="F41" s="303"/>
      <c r="G41" s="303"/>
      <c r="H41" s="303"/>
      <c r="I41" s="303"/>
      <c r="J41" s="303"/>
      <c r="K41" s="303"/>
    </row>
    <row r="42" ht="15.75" customHeight="1">
      <c r="A42" s="308"/>
      <c r="B42" s="303"/>
      <c r="C42" s="308"/>
      <c r="D42" s="303"/>
      <c r="E42" s="311"/>
      <c r="F42" s="303"/>
      <c r="G42" s="303"/>
      <c r="H42" s="303"/>
      <c r="I42" s="303"/>
      <c r="J42" s="303"/>
      <c r="K42" s="303"/>
    </row>
    <row r="43" ht="15.75" customHeight="1">
      <c r="A43" s="308"/>
      <c r="B43" s="303"/>
      <c r="C43" s="308"/>
      <c r="D43" s="303"/>
      <c r="E43" s="311"/>
      <c r="F43" s="303"/>
      <c r="G43" s="303"/>
      <c r="H43" s="303"/>
      <c r="I43" s="303"/>
      <c r="J43" s="303"/>
      <c r="K43" s="303"/>
    </row>
    <row r="44" ht="15.75" customHeight="1">
      <c r="A44" s="308"/>
      <c r="B44" s="303"/>
      <c r="C44" s="308"/>
      <c r="D44" s="303"/>
      <c r="E44" s="311"/>
      <c r="F44" s="303"/>
      <c r="G44" s="303"/>
      <c r="H44" s="303"/>
      <c r="I44" s="303"/>
      <c r="J44" s="303"/>
      <c r="K44" s="303"/>
    </row>
    <row r="45" ht="15.75" customHeight="1">
      <c r="A45" s="308"/>
      <c r="B45" s="303"/>
      <c r="C45" s="308"/>
      <c r="D45" s="303"/>
      <c r="E45" s="311"/>
      <c r="F45" s="303"/>
      <c r="G45" s="303"/>
      <c r="H45" s="303"/>
      <c r="I45" s="303"/>
      <c r="J45" s="303"/>
      <c r="K45" s="303"/>
    </row>
    <row r="46" ht="15.75" customHeight="1">
      <c r="A46" s="308"/>
      <c r="B46" s="303"/>
      <c r="C46" s="308"/>
      <c r="D46" s="303"/>
      <c r="E46" s="311"/>
      <c r="F46" s="303"/>
      <c r="G46" s="303"/>
      <c r="H46" s="303"/>
      <c r="I46" s="303"/>
      <c r="J46" s="303"/>
      <c r="K46" s="303"/>
    </row>
    <row r="47" ht="15.75" customHeight="1">
      <c r="A47" s="308"/>
      <c r="B47" s="303"/>
      <c r="C47" s="308"/>
      <c r="D47" s="308"/>
      <c r="E47" s="311"/>
      <c r="F47" s="303"/>
      <c r="G47" s="303"/>
      <c r="H47" s="303"/>
      <c r="I47" s="303"/>
      <c r="J47" s="303"/>
      <c r="K47" s="303"/>
    </row>
    <row r="48" ht="15.75" customHeight="1">
      <c r="A48" s="308"/>
      <c r="B48" s="303"/>
      <c r="C48" s="308"/>
      <c r="D48" s="303"/>
      <c r="E48" s="312"/>
      <c r="F48" s="303"/>
      <c r="G48" s="303"/>
      <c r="H48" s="303"/>
      <c r="I48" s="303"/>
      <c r="J48" s="303"/>
      <c r="K48" s="303"/>
    </row>
    <row r="49" ht="15.75" customHeight="1">
      <c r="A49" s="308"/>
      <c r="B49" s="303"/>
      <c r="C49" s="308"/>
      <c r="D49" s="308"/>
      <c r="E49" s="312"/>
      <c r="F49" s="303"/>
      <c r="G49" s="303"/>
      <c r="H49" s="303"/>
      <c r="I49" s="303"/>
      <c r="J49" s="303"/>
      <c r="K49" s="303"/>
    </row>
    <row r="50" ht="15.75" customHeight="1">
      <c r="A50" s="308"/>
      <c r="B50" s="303"/>
      <c r="C50" s="308"/>
      <c r="D50" s="303"/>
      <c r="E50" s="311"/>
      <c r="F50" s="303"/>
      <c r="G50" s="303"/>
      <c r="H50" s="303"/>
      <c r="I50" s="303"/>
      <c r="J50" s="303"/>
      <c r="K50" s="303"/>
    </row>
    <row r="51" ht="15.75" customHeight="1">
      <c r="A51" s="308"/>
      <c r="B51" s="303"/>
      <c r="C51" s="308"/>
      <c r="D51" s="303"/>
      <c r="E51" s="311"/>
      <c r="F51" s="303"/>
      <c r="G51" s="303"/>
      <c r="H51" s="303"/>
      <c r="I51" s="303"/>
      <c r="J51" s="303"/>
      <c r="K51" s="303"/>
    </row>
    <row r="52" ht="15.75" customHeight="1">
      <c r="A52" s="308"/>
      <c r="B52" s="303"/>
      <c r="C52" s="308"/>
      <c r="D52" s="303"/>
      <c r="E52" s="311"/>
      <c r="F52" s="303"/>
      <c r="G52" s="303"/>
      <c r="H52" s="303"/>
      <c r="I52" s="303"/>
      <c r="J52" s="303"/>
      <c r="K52" s="303"/>
    </row>
    <row r="53" ht="15.75" customHeight="1">
      <c r="A53" s="308"/>
      <c r="B53" s="303"/>
      <c r="C53" s="308"/>
      <c r="D53" s="303"/>
      <c r="E53" s="311"/>
      <c r="F53" s="303"/>
      <c r="G53" s="303"/>
      <c r="H53" s="303"/>
      <c r="I53" s="303"/>
      <c r="J53" s="303"/>
      <c r="K53" s="303"/>
    </row>
    <row r="54" ht="15.75" customHeight="1">
      <c r="A54" s="308"/>
      <c r="B54" s="303"/>
      <c r="C54" s="308"/>
      <c r="D54" s="303"/>
      <c r="E54" s="118"/>
      <c r="F54" s="303"/>
      <c r="G54" s="303"/>
      <c r="H54" s="303"/>
      <c r="I54" s="303"/>
      <c r="J54" s="303"/>
      <c r="K54" s="303"/>
    </row>
    <row r="55" ht="15.75" customHeight="1">
      <c r="A55" s="308"/>
      <c r="B55" s="303"/>
      <c r="C55" s="308"/>
      <c r="D55" s="303"/>
      <c r="E55" s="311"/>
      <c r="F55" s="303"/>
      <c r="G55" s="303"/>
      <c r="H55" s="303"/>
      <c r="I55" s="303"/>
      <c r="J55" s="303"/>
      <c r="K55" s="303"/>
    </row>
    <row r="56" ht="15.75" customHeight="1">
      <c r="A56" s="308"/>
      <c r="B56" s="303"/>
      <c r="C56" s="308"/>
      <c r="D56" s="303"/>
      <c r="E56" s="311"/>
      <c r="F56" s="303"/>
      <c r="G56" s="303"/>
      <c r="H56" s="303"/>
      <c r="I56" s="303"/>
      <c r="J56" s="303"/>
      <c r="K56" s="303"/>
    </row>
    <row r="57" ht="15.75" customHeight="1">
      <c r="A57" s="308"/>
      <c r="B57" s="303"/>
      <c r="C57" s="308"/>
      <c r="D57" s="303"/>
      <c r="E57" s="311"/>
      <c r="F57" s="303"/>
      <c r="G57" s="303"/>
      <c r="H57" s="303"/>
      <c r="I57" s="303"/>
      <c r="J57" s="303"/>
      <c r="K57" s="303"/>
    </row>
    <row r="58" ht="15.75" customHeight="1">
      <c r="A58" s="308"/>
      <c r="B58" s="303"/>
      <c r="C58" s="308"/>
      <c r="D58" s="303"/>
      <c r="E58" s="311"/>
      <c r="F58" s="303"/>
      <c r="G58" s="303"/>
      <c r="H58" s="303"/>
      <c r="I58" s="303"/>
      <c r="J58" s="303"/>
      <c r="K58" s="303"/>
    </row>
    <row r="59" ht="15.75" customHeight="1">
      <c r="A59" s="308"/>
      <c r="B59" s="303"/>
      <c r="C59" s="308"/>
      <c r="D59" s="303"/>
      <c r="E59" s="311"/>
      <c r="F59" s="303"/>
      <c r="G59" s="303"/>
      <c r="H59" s="303"/>
      <c r="I59" s="303"/>
      <c r="J59" s="303"/>
      <c r="K59" s="303"/>
    </row>
    <row r="60" ht="15.75" customHeight="1">
      <c r="A60" s="308"/>
      <c r="B60" s="303"/>
      <c r="C60" s="308"/>
      <c r="D60" s="303"/>
      <c r="E60" s="311"/>
      <c r="F60" s="303"/>
      <c r="G60" s="303"/>
      <c r="H60" s="303"/>
      <c r="I60" s="303"/>
      <c r="J60" s="303"/>
      <c r="K60" s="303"/>
    </row>
    <row r="61" ht="15.75" customHeight="1">
      <c r="A61" s="308"/>
      <c r="B61" s="303"/>
      <c r="C61" s="308"/>
      <c r="D61" s="303"/>
      <c r="E61" s="311"/>
      <c r="F61" s="303"/>
      <c r="G61" s="303"/>
      <c r="H61" s="303"/>
      <c r="I61" s="303"/>
      <c r="J61" s="303"/>
      <c r="K61" s="303"/>
    </row>
    <row r="62" ht="15.75" customHeight="1">
      <c r="A62" s="308"/>
      <c r="B62" s="303"/>
      <c r="C62" s="308"/>
      <c r="D62" s="303"/>
      <c r="E62" s="311"/>
      <c r="F62" s="303"/>
      <c r="G62" s="303"/>
      <c r="H62" s="303"/>
      <c r="I62" s="303"/>
      <c r="J62" s="303"/>
      <c r="K62" s="303"/>
    </row>
    <row r="63" ht="15.75" customHeight="1">
      <c r="A63" s="308"/>
      <c r="B63" s="303"/>
      <c r="C63" s="308"/>
      <c r="D63" s="303"/>
      <c r="E63" s="311"/>
      <c r="F63" s="303"/>
      <c r="G63" s="303"/>
      <c r="H63" s="303"/>
      <c r="I63" s="303"/>
      <c r="J63" s="303"/>
      <c r="K63" s="303"/>
    </row>
    <row r="64" ht="15.75" customHeight="1">
      <c r="A64" s="308"/>
      <c r="B64" s="303"/>
      <c r="C64" s="308"/>
      <c r="D64" s="303"/>
      <c r="E64" s="311"/>
      <c r="F64" s="303"/>
      <c r="G64" s="303"/>
      <c r="H64" s="303"/>
      <c r="I64" s="303"/>
      <c r="J64" s="303"/>
      <c r="K64" s="303"/>
    </row>
    <row r="65" ht="15.75" customHeight="1">
      <c r="A65" s="308"/>
      <c r="B65" s="303"/>
      <c r="C65" s="308"/>
      <c r="D65" s="303"/>
      <c r="E65" s="311"/>
      <c r="F65" s="303"/>
      <c r="G65" s="303"/>
      <c r="H65" s="303"/>
      <c r="I65" s="303"/>
      <c r="J65" s="303"/>
      <c r="K65" s="303"/>
    </row>
    <row r="66" ht="15.75" customHeight="1">
      <c r="A66" s="308"/>
      <c r="B66" s="303"/>
      <c r="C66" s="308"/>
      <c r="D66" s="303"/>
      <c r="E66" s="311"/>
      <c r="F66" s="303"/>
      <c r="G66" s="303"/>
      <c r="H66" s="303"/>
      <c r="I66" s="303"/>
      <c r="J66" s="303"/>
      <c r="K66" s="303"/>
    </row>
    <row r="67" ht="15.75" customHeight="1">
      <c r="A67" s="308"/>
      <c r="B67" s="303"/>
      <c r="C67" s="308"/>
      <c r="D67" s="303"/>
      <c r="E67" s="311"/>
      <c r="F67" s="303"/>
      <c r="G67" s="303"/>
      <c r="H67" s="303"/>
      <c r="I67" s="303"/>
      <c r="J67" s="303"/>
      <c r="K67" s="303"/>
    </row>
    <row r="68" ht="15.75" customHeight="1">
      <c r="A68" s="308"/>
      <c r="B68" s="303"/>
      <c r="C68" s="308"/>
      <c r="D68" s="303"/>
      <c r="E68" s="311"/>
      <c r="F68" s="303"/>
      <c r="G68" s="303"/>
      <c r="H68" s="303"/>
      <c r="I68" s="303"/>
      <c r="J68" s="303"/>
      <c r="K68" s="303"/>
    </row>
    <row r="69" ht="15.75" customHeight="1">
      <c r="A69" s="308"/>
      <c r="B69" s="303"/>
      <c r="C69" s="308"/>
      <c r="D69" s="303"/>
      <c r="E69" s="311"/>
      <c r="F69" s="303"/>
      <c r="G69" s="303"/>
      <c r="H69" s="303"/>
      <c r="I69" s="303"/>
      <c r="J69" s="303"/>
      <c r="K69" s="303"/>
    </row>
    <row r="70" ht="15.75" customHeight="1">
      <c r="A70" s="308"/>
      <c r="B70" s="303"/>
      <c r="C70" s="308"/>
      <c r="D70" s="303"/>
      <c r="E70" s="311"/>
      <c r="F70" s="303"/>
      <c r="G70" s="303"/>
      <c r="H70" s="303"/>
      <c r="I70" s="303"/>
      <c r="J70" s="303"/>
      <c r="K70" s="303"/>
    </row>
    <row r="71" ht="15.75" customHeight="1">
      <c r="A71" s="308"/>
      <c r="B71" s="303"/>
      <c r="C71" s="308"/>
      <c r="D71" s="303"/>
      <c r="E71" s="311"/>
      <c r="F71" s="303"/>
      <c r="G71" s="303"/>
      <c r="H71" s="303"/>
      <c r="I71" s="303"/>
      <c r="J71" s="303"/>
      <c r="K71" s="303"/>
    </row>
    <row r="72" ht="15.75" customHeight="1">
      <c r="A72" s="308"/>
      <c r="B72" s="303"/>
      <c r="C72" s="308"/>
      <c r="D72" s="303"/>
      <c r="E72" s="311"/>
      <c r="F72" s="303"/>
      <c r="G72" s="303"/>
      <c r="H72" s="303"/>
      <c r="I72" s="303"/>
      <c r="J72" s="303"/>
      <c r="K72" s="303"/>
    </row>
    <row r="73" ht="15.75" customHeight="1">
      <c r="A73" s="308"/>
      <c r="B73" s="303"/>
      <c r="C73" s="308"/>
      <c r="D73" s="303"/>
      <c r="E73" s="311"/>
      <c r="F73" s="303"/>
      <c r="G73" s="303"/>
      <c r="H73" s="303"/>
      <c r="I73" s="303"/>
      <c r="J73" s="303"/>
      <c r="K73" s="303"/>
    </row>
    <row r="74" ht="15.75" customHeight="1">
      <c r="A74" s="308"/>
      <c r="B74" s="303"/>
      <c r="C74" s="308"/>
      <c r="D74" s="303"/>
      <c r="E74" s="311"/>
      <c r="F74" s="303"/>
      <c r="G74" s="303"/>
      <c r="H74" s="303"/>
      <c r="I74" s="303"/>
      <c r="J74" s="303"/>
      <c r="K74" s="303"/>
    </row>
    <row r="75" ht="15.75" customHeight="1">
      <c r="A75" s="308"/>
      <c r="B75" s="303"/>
      <c r="C75" s="308"/>
      <c r="D75" s="303"/>
      <c r="E75" s="311"/>
      <c r="F75" s="303"/>
      <c r="G75" s="303"/>
      <c r="H75" s="303"/>
      <c r="I75" s="303"/>
      <c r="J75" s="303"/>
      <c r="K75" s="303"/>
    </row>
    <row r="76" ht="15.75" customHeight="1">
      <c r="A76" s="308"/>
      <c r="B76" s="303"/>
      <c r="C76" s="308"/>
      <c r="D76" s="303"/>
      <c r="E76" s="311"/>
      <c r="F76" s="303"/>
      <c r="G76" s="303"/>
      <c r="H76" s="303"/>
      <c r="I76" s="303"/>
      <c r="J76" s="303"/>
      <c r="K76" s="303"/>
    </row>
    <row r="77" ht="15.75" customHeight="1">
      <c r="A77" s="308"/>
      <c r="B77" s="303"/>
      <c r="C77" s="308"/>
      <c r="D77" s="303"/>
      <c r="E77" s="311"/>
      <c r="F77" s="303"/>
      <c r="G77" s="303"/>
      <c r="H77" s="303"/>
      <c r="I77" s="303"/>
      <c r="J77" s="303"/>
      <c r="K77" s="303"/>
    </row>
    <row r="78" ht="15.75" customHeight="1">
      <c r="A78" s="308"/>
      <c r="B78" s="303"/>
      <c r="C78" s="308"/>
      <c r="D78" s="303"/>
      <c r="E78" s="311"/>
      <c r="F78" s="303"/>
      <c r="G78" s="303"/>
      <c r="H78" s="303"/>
      <c r="I78" s="303"/>
      <c r="J78" s="303"/>
      <c r="K78" s="303"/>
    </row>
    <row r="79" ht="15.75" customHeight="1">
      <c r="A79" s="308"/>
      <c r="B79" s="303"/>
      <c r="C79" s="308"/>
      <c r="D79" s="303"/>
      <c r="E79" s="311"/>
      <c r="F79" s="303"/>
      <c r="G79" s="303"/>
      <c r="H79" s="303"/>
      <c r="I79" s="303"/>
      <c r="J79" s="303"/>
      <c r="K79" s="303"/>
    </row>
    <row r="80" ht="15.75" customHeight="1">
      <c r="A80" s="308"/>
      <c r="B80" s="303"/>
      <c r="C80" s="308"/>
      <c r="D80" s="303"/>
      <c r="E80" s="311"/>
      <c r="F80" s="303"/>
      <c r="G80" s="303"/>
      <c r="H80" s="303"/>
      <c r="I80" s="303"/>
      <c r="J80" s="303"/>
      <c r="K80" s="303"/>
    </row>
    <row r="81" ht="15.75" customHeight="1">
      <c r="A81" s="308"/>
      <c r="B81" s="303"/>
      <c r="C81" s="308"/>
      <c r="D81" s="303"/>
      <c r="E81" s="311"/>
      <c r="F81" s="303"/>
      <c r="G81" s="303"/>
      <c r="H81" s="303"/>
      <c r="I81" s="303"/>
      <c r="J81" s="303"/>
      <c r="K81" s="303"/>
    </row>
    <row r="82" ht="15.75" customHeight="1">
      <c r="A82" s="308"/>
      <c r="B82" s="303"/>
      <c r="C82" s="308"/>
      <c r="D82" s="303"/>
      <c r="E82" s="311"/>
      <c r="F82" s="303"/>
      <c r="G82" s="303"/>
      <c r="H82" s="303"/>
      <c r="I82" s="303"/>
      <c r="J82" s="303"/>
      <c r="K82" s="303"/>
    </row>
    <row r="83" ht="15.75" customHeight="1">
      <c r="A83" s="308"/>
      <c r="B83" s="303"/>
      <c r="C83" s="308"/>
      <c r="D83" s="303"/>
      <c r="E83" s="311"/>
      <c r="F83" s="303"/>
      <c r="G83" s="303"/>
      <c r="H83" s="303"/>
      <c r="I83" s="303"/>
      <c r="J83" s="303"/>
      <c r="K83" s="303"/>
    </row>
    <row r="84" ht="15.75" customHeight="1">
      <c r="A84" s="308"/>
      <c r="B84" s="303"/>
      <c r="C84" s="308"/>
      <c r="D84" s="303"/>
      <c r="E84" s="311"/>
      <c r="F84" s="303"/>
      <c r="G84" s="303"/>
      <c r="H84" s="303"/>
      <c r="I84" s="303"/>
      <c r="J84" s="303"/>
      <c r="K84" s="303"/>
    </row>
    <row r="85" ht="15.75" customHeight="1">
      <c r="A85" s="308"/>
      <c r="B85" s="303"/>
      <c r="C85" s="308"/>
      <c r="D85" s="303"/>
      <c r="E85" s="311"/>
      <c r="F85" s="303"/>
      <c r="G85" s="303"/>
      <c r="H85" s="303"/>
      <c r="I85" s="303"/>
      <c r="J85" s="303"/>
      <c r="K85" s="303"/>
    </row>
    <row r="86" ht="15.75" customHeight="1">
      <c r="A86" s="308"/>
      <c r="B86" s="303"/>
      <c r="C86" s="308"/>
      <c r="D86" s="303"/>
      <c r="E86" s="311"/>
      <c r="F86" s="303"/>
      <c r="G86" s="303"/>
      <c r="H86" s="303"/>
      <c r="I86" s="303"/>
      <c r="J86" s="303"/>
      <c r="K86" s="303"/>
    </row>
    <row r="87" ht="15.75" customHeight="1">
      <c r="A87" s="308"/>
      <c r="B87" s="303"/>
      <c r="C87" s="308"/>
      <c r="D87" s="303"/>
      <c r="E87" s="311"/>
      <c r="F87" s="303"/>
      <c r="G87" s="303"/>
      <c r="H87" s="303"/>
      <c r="I87" s="303"/>
      <c r="J87" s="303"/>
      <c r="K87" s="303"/>
    </row>
    <row r="88" ht="15.75" customHeight="1">
      <c r="A88" s="308"/>
      <c r="B88" s="303"/>
      <c r="C88" s="308"/>
      <c r="D88" s="303"/>
      <c r="E88" s="311"/>
      <c r="F88" s="303"/>
      <c r="G88" s="303"/>
      <c r="H88" s="303"/>
      <c r="I88" s="303"/>
      <c r="J88" s="303"/>
      <c r="K88" s="303"/>
    </row>
    <row r="89" ht="15.75" customHeight="1">
      <c r="A89" s="308"/>
      <c r="B89" s="303"/>
      <c r="C89" s="308"/>
      <c r="D89" s="303"/>
      <c r="E89" s="311"/>
      <c r="F89" s="303"/>
      <c r="G89" s="303"/>
      <c r="H89" s="303"/>
      <c r="I89" s="303"/>
      <c r="J89" s="303"/>
      <c r="K89" s="303"/>
    </row>
    <row r="90" ht="15.75" customHeight="1">
      <c r="A90" s="308"/>
      <c r="B90" s="303"/>
      <c r="C90" s="308"/>
      <c r="D90" s="303"/>
      <c r="E90" s="311"/>
      <c r="F90" s="303"/>
      <c r="G90" s="303"/>
      <c r="H90" s="303"/>
      <c r="I90" s="303"/>
      <c r="J90" s="303"/>
      <c r="K90" s="303"/>
    </row>
    <row r="91" ht="15.75" customHeight="1">
      <c r="A91" s="308"/>
      <c r="B91" s="303"/>
      <c r="C91" s="308"/>
      <c r="D91" s="303"/>
      <c r="E91" s="311"/>
      <c r="F91" s="303"/>
      <c r="G91" s="303"/>
      <c r="H91" s="303"/>
      <c r="I91" s="303"/>
      <c r="J91" s="303"/>
      <c r="K91" s="303"/>
    </row>
    <row r="92" ht="15.75" customHeight="1">
      <c r="A92" s="308"/>
      <c r="B92" s="303"/>
      <c r="C92" s="308"/>
      <c r="D92" s="303"/>
      <c r="E92" s="311"/>
      <c r="F92" s="303"/>
      <c r="G92" s="303"/>
      <c r="H92" s="303"/>
      <c r="I92" s="303"/>
      <c r="J92" s="303"/>
      <c r="K92" s="303"/>
    </row>
    <row r="93" ht="15.75" customHeight="1">
      <c r="A93" s="308"/>
      <c r="B93" s="303"/>
      <c r="C93" s="308"/>
      <c r="D93" s="303"/>
      <c r="E93" s="311"/>
      <c r="F93" s="303"/>
      <c r="G93" s="303"/>
      <c r="H93" s="303"/>
      <c r="I93" s="303"/>
      <c r="J93" s="303"/>
      <c r="K93" s="303"/>
    </row>
    <row r="94" ht="15.75" customHeight="1">
      <c r="A94" s="308"/>
      <c r="B94" s="303"/>
      <c r="C94" s="308"/>
      <c r="D94" s="303"/>
      <c r="E94" s="311"/>
      <c r="F94" s="303"/>
      <c r="G94" s="303"/>
      <c r="H94" s="303"/>
      <c r="I94" s="303"/>
      <c r="J94" s="303"/>
      <c r="K94" s="303"/>
    </row>
    <row r="95" ht="15.75" customHeight="1">
      <c r="A95" s="308"/>
      <c r="B95" s="303"/>
      <c r="C95" s="308"/>
      <c r="D95" s="303"/>
      <c r="E95" s="311"/>
      <c r="F95" s="303"/>
      <c r="G95" s="303"/>
      <c r="H95" s="303"/>
      <c r="I95" s="303"/>
      <c r="J95" s="303"/>
      <c r="K95" s="303"/>
    </row>
    <row r="96" ht="15.75" customHeight="1">
      <c r="A96" s="308"/>
      <c r="B96" s="303"/>
      <c r="C96" s="308"/>
      <c r="D96" s="303"/>
      <c r="E96" s="311"/>
      <c r="F96" s="303"/>
      <c r="G96" s="303"/>
      <c r="H96" s="303"/>
      <c r="I96" s="303"/>
      <c r="J96" s="303"/>
      <c r="K96" s="303"/>
    </row>
    <row r="97" ht="15.75" customHeight="1">
      <c r="A97" s="308"/>
      <c r="B97" s="303"/>
      <c r="C97" s="308"/>
      <c r="D97" s="303"/>
      <c r="E97" s="311"/>
      <c r="F97" s="303"/>
      <c r="G97" s="303"/>
      <c r="H97" s="303"/>
      <c r="I97" s="303"/>
      <c r="J97" s="303"/>
      <c r="K97" s="303"/>
    </row>
    <row r="98" ht="15.75" customHeight="1">
      <c r="A98" s="308"/>
      <c r="B98" s="303"/>
      <c r="C98" s="308"/>
      <c r="D98" s="303"/>
      <c r="E98" s="311"/>
      <c r="F98" s="303"/>
      <c r="G98" s="303"/>
      <c r="H98" s="303"/>
      <c r="I98" s="303"/>
      <c r="J98" s="303"/>
      <c r="K98" s="303"/>
    </row>
    <row r="99" ht="15.75" customHeight="1">
      <c r="A99" s="308"/>
      <c r="B99" s="303"/>
      <c r="C99" s="308"/>
      <c r="D99" s="303"/>
      <c r="E99" s="311"/>
      <c r="F99" s="303"/>
      <c r="G99" s="303"/>
      <c r="H99" s="303"/>
      <c r="I99" s="303"/>
      <c r="J99" s="303"/>
      <c r="K99" s="303"/>
    </row>
    <row r="100" ht="15.75" customHeight="1">
      <c r="A100" s="308"/>
      <c r="B100" s="303"/>
      <c r="C100" s="308"/>
      <c r="D100" s="303"/>
      <c r="E100" s="311"/>
      <c r="F100" s="303"/>
      <c r="G100" s="303"/>
      <c r="H100" s="303"/>
      <c r="I100" s="303"/>
      <c r="J100" s="303"/>
      <c r="K100" s="303"/>
    </row>
    <row r="101" ht="15.75" customHeight="1">
      <c r="A101" s="308"/>
      <c r="B101" s="303"/>
      <c r="C101" s="308"/>
      <c r="D101" s="303"/>
      <c r="E101" s="311"/>
      <c r="F101" s="303"/>
      <c r="G101" s="303"/>
      <c r="H101" s="303"/>
      <c r="I101" s="303"/>
      <c r="J101" s="303"/>
      <c r="K101" s="303"/>
    </row>
    <row r="102" ht="15.75" customHeight="1">
      <c r="A102" s="308"/>
      <c r="B102" s="303"/>
      <c r="C102" s="308"/>
      <c r="D102" s="303"/>
      <c r="E102" s="311"/>
      <c r="F102" s="303"/>
      <c r="G102" s="303"/>
      <c r="H102" s="303"/>
      <c r="I102" s="303"/>
      <c r="J102" s="303"/>
      <c r="K102" s="303"/>
    </row>
    <row r="103" ht="15.75" customHeight="1">
      <c r="A103" s="308"/>
      <c r="B103" s="303"/>
      <c r="C103" s="308"/>
      <c r="D103" s="303"/>
      <c r="E103" s="311"/>
      <c r="F103" s="303"/>
      <c r="G103" s="303"/>
      <c r="H103" s="303"/>
      <c r="I103" s="303"/>
      <c r="J103" s="303"/>
      <c r="K103" s="303"/>
    </row>
    <row r="104" ht="15.75" customHeight="1">
      <c r="A104" s="308"/>
      <c r="B104" s="303"/>
      <c r="C104" s="308"/>
      <c r="D104" s="303"/>
      <c r="E104" s="311"/>
      <c r="F104" s="303"/>
      <c r="G104" s="303"/>
      <c r="H104" s="303"/>
      <c r="I104" s="303"/>
      <c r="J104" s="303"/>
      <c r="K104" s="303"/>
    </row>
    <row r="105" ht="15.75" customHeight="1">
      <c r="A105" s="308"/>
      <c r="B105" s="303"/>
      <c r="C105" s="308"/>
      <c r="D105" s="303"/>
      <c r="E105" s="311"/>
      <c r="F105" s="303"/>
      <c r="G105" s="303"/>
      <c r="H105" s="303"/>
      <c r="I105" s="303"/>
      <c r="J105" s="303"/>
      <c r="K105" s="303"/>
    </row>
    <row r="106" ht="15.75" customHeight="1">
      <c r="A106" s="308"/>
      <c r="B106" s="303"/>
      <c r="C106" s="308"/>
      <c r="D106" s="303"/>
      <c r="E106" s="311"/>
      <c r="F106" s="303"/>
      <c r="G106" s="303"/>
      <c r="H106" s="303"/>
      <c r="I106" s="303"/>
      <c r="J106" s="303"/>
      <c r="K106" s="303"/>
    </row>
    <row r="107" ht="15.75" customHeight="1">
      <c r="A107" s="308"/>
      <c r="B107" s="303"/>
      <c r="C107" s="308"/>
      <c r="D107" s="303"/>
      <c r="E107" s="311"/>
      <c r="F107" s="303"/>
      <c r="G107" s="303"/>
      <c r="H107" s="303"/>
      <c r="I107" s="303"/>
      <c r="J107" s="303"/>
      <c r="K107" s="303"/>
    </row>
    <row r="108" ht="15.75" customHeight="1">
      <c r="A108" s="308"/>
      <c r="B108" s="303"/>
      <c r="C108" s="308"/>
      <c r="D108" s="303"/>
      <c r="E108" s="311"/>
      <c r="F108" s="303"/>
      <c r="G108" s="303"/>
      <c r="H108" s="303"/>
      <c r="I108" s="303"/>
      <c r="J108" s="303"/>
      <c r="K108" s="303"/>
    </row>
    <row r="109" ht="15.75" customHeight="1">
      <c r="A109" s="308"/>
      <c r="B109" s="303"/>
      <c r="C109" s="308"/>
      <c r="D109" s="303"/>
      <c r="E109" s="311"/>
      <c r="F109" s="303"/>
      <c r="G109" s="303"/>
      <c r="H109" s="303"/>
      <c r="I109" s="303"/>
      <c r="J109" s="303"/>
      <c r="K109" s="303"/>
    </row>
    <row r="110" ht="15.75" customHeight="1">
      <c r="A110" s="308"/>
      <c r="B110" s="303"/>
      <c r="C110" s="308"/>
      <c r="D110" s="303"/>
      <c r="E110" s="311"/>
      <c r="F110" s="303"/>
      <c r="G110" s="303"/>
      <c r="H110" s="303"/>
      <c r="I110" s="303"/>
      <c r="J110" s="303"/>
      <c r="K110" s="303"/>
    </row>
    <row r="111" ht="15.75" customHeight="1">
      <c r="A111" s="308"/>
      <c r="B111" s="303"/>
      <c r="C111" s="308"/>
      <c r="D111" s="303"/>
      <c r="E111" s="311"/>
      <c r="F111" s="303"/>
      <c r="G111" s="303"/>
      <c r="H111" s="303"/>
      <c r="I111" s="303"/>
      <c r="J111" s="303"/>
      <c r="K111" s="303"/>
    </row>
    <row r="112" ht="15.75" customHeight="1">
      <c r="A112" s="308"/>
      <c r="B112" s="303"/>
      <c r="C112" s="308"/>
      <c r="D112" s="303"/>
      <c r="E112" s="311"/>
      <c r="F112" s="303"/>
      <c r="G112" s="303"/>
      <c r="H112" s="303"/>
      <c r="I112" s="303"/>
      <c r="J112" s="303"/>
      <c r="K112" s="303"/>
    </row>
    <row r="113" ht="15.75" customHeight="1">
      <c r="A113" s="308"/>
      <c r="B113" s="303"/>
      <c r="C113" s="308"/>
      <c r="D113" s="303"/>
      <c r="E113" s="311"/>
      <c r="F113" s="303"/>
      <c r="G113" s="303"/>
      <c r="H113" s="303"/>
      <c r="I113" s="303"/>
      <c r="J113" s="303"/>
      <c r="K113" s="303"/>
    </row>
    <row r="114" ht="15.75" customHeight="1">
      <c r="A114" s="308"/>
      <c r="B114" s="303"/>
      <c r="C114" s="308"/>
      <c r="D114" s="303"/>
      <c r="E114" s="311"/>
      <c r="F114" s="303"/>
      <c r="G114" s="303"/>
      <c r="H114" s="303"/>
      <c r="I114" s="303"/>
      <c r="J114" s="303"/>
      <c r="K114" s="303"/>
    </row>
    <row r="115" ht="15.75" customHeight="1">
      <c r="A115" s="308"/>
      <c r="B115" s="303"/>
      <c r="C115" s="308"/>
      <c r="D115" s="303"/>
      <c r="E115" s="311"/>
      <c r="F115" s="303"/>
      <c r="G115" s="303"/>
      <c r="H115" s="303"/>
      <c r="I115" s="303"/>
      <c r="J115" s="303"/>
      <c r="K115" s="303"/>
    </row>
    <row r="116" ht="15.75" customHeight="1">
      <c r="A116" s="308"/>
      <c r="B116" s="303"/>
      <c r="C116" s="308"/>
      <c r="D116" s="303"/>
      <c r="E116" s="311"/>
      <c r="F116" s="303"/>
      <c r="G116" s="303"/>
      <c r="H116" s="303"/>
      <c r="I116" s="303"/>
      <c r="J116" s="303"/>
      <c r="K116" s="303"/>
    </row>
    <row r="117" ht="15.75" customHeight="1">
      <c r="A117" s="308"/>
      <c r="B117" s="303"/>
      <c r="C117" s="308"/>
      <c r="D117" s="303"/>
      <c r="E117" s="311"/>
      <c r="F117" s="303"/>
      <c r="G117" s="303"/>
      <c r="H117" s="303"/>
      <c r="I117" s="303"/>
      <c r="J117" s="303"/>
      <c r="K117" s="303"/>
    </row>
    <row r="118" ht="15.75" customHeight="1">
      <c r="A118" s="308"/>
      <c r="B118" s="303"/>
      <c r="C118" s="308"/>
      <c r="D118" s="303"/>
      <c r="E118" s="311"/>
      <c r="F118" s="303"/>
      <c r="G118" s="303"/>
      <c r="H118" s="303"/>
      <c r="I118" s="303"/>
      <c r="J118" s="303"/>
      <c r="K118" s="303"/>
    </row>
    <row r="119" ht="15.75" customHeight="1">
      <c r="A119" s="308"/>
      <c r="B119" s="303"/>
      <c r="C119" s="308"/>
      <c r="D119" s="303"/>
      <c r="E119" s="311"/>
      <c r="F119" s="303"/>
      <c r="G119" s="303"/>
      <c r="H119" s="303"/>
      <c r="I119" s="303"/>
      <c r="J119" s="303"/>
      <c r="K119" s="303"/>
    </row>
    <row r="120" ht="15.75" customHeight="1">
      <c r="A120" s="308"/>
      <c r="B120" s="303"/>
      <c r="C120" s="308"/>
      <c r="D120" s="303"/>
      <c r="E120" s="311"/>
      <c r="F120" s="303"/>
      <c r="G120" s="303"/>
      <c r="H120" s="303"/>
      <c r="I120" s="303"/>
      <c r="J120" s="303"/>
      <c r="K120" s="303"/>
    </row>
    <row r="121" ht="15.75" customHeight="1">
      <c r="A121" s="308"/>
      <c r="B121" s="303"/>
      <c r="C121" s="308"/>
      <c r="D121" s="303"/>
      <c r="E121" s="311"/>
      <c r="F121" s="303"/>
      <c r="G121" s="303"/>
      <c r="H121" s="303"/>
      <c r="I121" s="303"/>
      <c r="J121" s="303"/>
      <c r="K121" s="303"/>
    </row>
    <row r="122" ht="15.75" customHeight="1">
      <c r="A122" s="308"/>
      <c r="B122" s="303"/>
      <c r="C122" s="308"/>
      <c r="D122" s="303"/>
      <c r="E122" s="311"/>
      <c r="F122" s="303"/>
      <c r="G122" s="303"/>
      <c r="H122" s="303"/>
      <c r="I122" s="303"/>
      <c r="J122" s="303"/>
      <c r="K122" s="303"/>
    </row>
    <row r="123" ht="15.75" customHeight="1">
      <c r="A123" s="308"/>
      <c r="B123" s="303"/>
      <c r="C123" s="308"/>
      <c r="D123" s="303"/>
      <c r="E123" s="311"/>
      <c r="F123" s="303"/>
      <c r="G123" s="303"/>
      <c r="H123" s="303"/>
      <c r="I123" s="303"/>
      <c r="J123" s="303"/>
      <c r="K123" s="303"/>
    </row>
    <row r="124" ht="15.75" customHeight="1">
      <c r="A124" s="308"/>
      <c r="B124" s="303"/>
      <c r="C124" s="308"/>
      <c r="D124" s="303"/>
      <c r="E124" s="311"/>
      <c r="F124" s="303"/>
      <c r="G124" s="303"/>
      <c r="H124" s="303"/>
      <c r="I124" s="303"/>
      <c r="J124" s="303"/>
      <c r="K124" s="303"/>
    </row>
    <row r="125" ht="15.75" customHeight="1">
      <c r="A125" s="308"/>
      <c r="B125" s="303"/>
      <c r="C125" s="308"/>
      <c r="D125" s="303"/>
      <c r="E125" s="311"/>
      <c r="F125" s="303"/>
      <c r="G125" s="303"/>
      <c r="H125" s="303"/>
      <c r="I125" s="303"/>
      <c r="J125" s="303"/>
      <c r="K125" s="303"/>
    </row>
    <row r="126" ht="15.75" customHeight="1">
      <c r="A126" s="308"/>
      <c r="B126" s="303"/>
      <c r="C126" s="308"/>
      <c r="D126" s="303"/>
      <c r="E126" s="311"/>
      <c r="F126" s="303"/>
      <c r="G126" s="303"/>
      <c r="H126" s="303"/>
      <c r="I126" s="303"/>
      <c r="J126" s="303"/>
      <c r="K126" s="303"/>
    </row>
    <row r="127" ht="15.75" customHeight="1">
      <c r="A127" s="308"/>
      <c r="B127" s="303"/>
      <c r="C127" s="308"/>
      <c r="D127" s="303"/>
      <c r="E127" s="311"/>
      <c r="F127" s="303"/>
      <c r="G127" s="303"/>
      <c r="H127" s="303"/>
      <c r="I127" s="303"/>
      <c r="J127" s="303"/>
      <c r="K127" s="303"/>
    </row>
    <row r="128" ht="15.75" customHeight="1">
      <c r="A128" s="308"/>
      <c r="B128" s="303"/>
      <c r="C128" s="308"/>
      <c r="D128" s="303"/>
      <c r="E128" s="311"/>
      <c r="F128" s="303"/>
      <c r="G128" s="303"/>
      <c r="H128" s="303"/>
      <c r="I128" s="303"/>
      <c r="J128" s="303"/>
      <c r="K128" s="303"/>
    </row>
    <row r="129" ht="15.75" customHeight="1">
      <c r="A129" s="308"/>
      <c r="B129" s="303"/>
      <c r="C129" s="308"/>
      <c r="D129" s="303"/>
      <c r="E129" s="311"/>
      <c r="F129" s="303"/>
      <c r="G129" s="303"/>
      <c r="H129" s="303"/>
      <c r="I129" s="303"/>
      <c r="J129" s="303"/>
      <c r="K129" s="303"/>
    </row>
    <row r="130" ht="15.75" customHeight="1">
      <c r="A130" s="308"/>
      <c r="B130" s="303"/>
      <c r="C130" s="308"/>
      <c r="D130" s="303"/>
      <c r="E130" s="311"/>
      <c r="F130" s="303"/>
      <c r="G130" s="303"/>
      <c r="H130" s="303"/>
      <c r="I130" s="303"/>
      <c r="J130" s="303"/>
      <c r="K130" s="303"/>
    </row>
    <row r="131" ht="15.75" customHeight="1">
      <c r="A131" s="308"/>
      <c r="B131" s="303"/>
      <c r="C131" s="308"/>
      <c r="D131" s="303"/>
      <c r="E131" s="311"/>
      <c r="F131" s="303"/>
      <c r="G131" s="303"/>
      <c r="H131" s="303"/>
      <c r="I131" s="303"/>
      <c r="J131" s="303"/>
      <c r="K131" s="303"/>
    </row>
    <row r="132" ht="15.75" customHeight="1">
      <c r="A132" s="308"/>
      <c r="B132" s="303"/>
      <c r="C132" s="308"/>
      <c r="D132" s="303"/>
      <c r="E132" s="311"/>
      <c r="F132" s="303"/>
      <c r="G132" s="303"/>
      <c r="H132" s="303"/>
      <c r="I132" s="303"/>
      <c r="J132" s="303"/>
      <c r="K132" s="303"/>
    </row>
    <row r="133" ht="15.75" customHeight="1">
      <c r="A133" s="308"/>
      <c r="B133" s="303"/>
      <c r="C133" s="308"/>
      <c r="D133" s="303"/>
      <c r="E133" s="311"/>
      <c r="F133" s="303"/>
      <c r="G133" s="303"/>
      <c r="H133" s="303"/>
      <c r="I133" s="303"/>
      <c r="J133" s="303"/>
      <c r="K133" s="303"/>
    </row>
    <row r="134" ht="15.75" customHeight="1">
      <c r="A134" s="308"/>
      <c r="B134" s="303"/>
      <c r="C134" s="308"/>
      <c r="D134" s="303"/>
      <c r="E134" s="311"/>
      <c r="F134" s="303"/>
      <c r="G134" s="303"/>
      <c r="H134" s="303"/>
      <c r="I134" s="303"/>
      <c r="J134" s="303"/>
      <c r="K134" s="303"/>
    </row>
    <row r="135" ht="15.75" customHeight="1">
      <c r="A135" s="308"/>
      <c r="B135" s="303"/>
      <c r="C135" s="308"/>
      <c r="D135" s="303"/>
      <c r="E135" s="311"/>
      <c r="F135" s="303"/>
      <c r="G135" s="303"/>
      <c r="H135" s="303"/>
      <c r="I135" s="303"/>
      <c r="J135" s="303"/>
      <c r="K135" s="303"/>
    </row>
    <row r="136" ht="15.75" customHeight="1">
      <c r="A136" s="308"/>
      <c r="B136" s="303"/>
      <c r="C136" s="308"/>
      <c r="D136" s="303"/>
      <c r="E136" s="311"/>
      <c r="F136" s="303"/>
      <c r="G136" s="303"/>
      <c r="H136" s="303"/>
      <c r="I136" s="303"/>
      <c r="J136" s="303"/>
      <c r="K136" s="303"/>
    </row>
    <row r="137" ht="15.75" customHeight="1">
      <c r="A137" s="308"/>
      <c r="B137" s="303"/>
      <c r="C137" s="308"/>
      <c r="D137" s="303"/>
      <c r="E137" s="311"/>
      <c r="F137" s="303"/>
      <c r="G137" s="303"/>
      <c r="H137" s="303"/>
      <c r="I137" s="303"/>
      <c r="J137" s="303"/>
      <c r="K137" s="303"/>
    </row>
    <row r="138" ht="15.75" customHeight="1">
      <c r="A138" s="308"/>
      <c r="B138" s="303"/>
      <c r="C138" s="308"/>
      <c r="D138" s="303"/>
      <c r="E138" s="311"/>
      <c r="F138" s="303"/>
      <c r="G138" s="303"/>
      <c r="H138" s="303"/>
      <c r="I138" s="303"/>
      <c r="J138" s="303"/>
      <c r="K138" s="303"/>
    </row>
    <row r="139" ht="15.75" customHeight="1">
      <c r="A139" s="308"/>
      <c r="B139" s="303"/>
      <c r="C139" s="308"/>
      <c r="D139" s="303"/>
      <c r="E139" s="311"/>
      <c r="F139" s="303"/>
      <c r="G139" s="303"/>
      <c r="H139" s="303"/>
      <c r="I139" s="303"/>
      <c r="J139" s="303"/>
      <c r="K139" s="303"/>
    </row>
    <row r="140" ht="15.75" customHeight="1">
      <c r="A140" s="308"/>
      <c r="B140" s="303"/>
      <c r="C140" s="308"/>
      <c r="D140" s="303"/>
      <c r="E140" s="311"/>
      <c r="F140" s="303"/>
      <c r="G140" s="303"/>
      <c r="H140" s="303"/>
      <c r="I140" s="303"/>
      <c r="J140" s="303"/>
      <c r="K140" s="303"/>
    </row>
    <row r="141" ht="15.75" customHeight="1">
      <c r="A141" s="308"/>
      <c r="B141" s="303"/>
      <c r="C141" s="308"/>
      <c r="D141" s="303"/>
      <c r="E141" s="311"/>
      <c r="F141" s="303"/>
      <c r="G141" s="303"/>
      <c r="H141" s="303"/>
      <c r="I141" s="303"/>
      <c r="J141" s="303"/>
      <c r="K141" s="303"/>
    </row>
    <row r="142" ht="15.75" customHeight="1">
      <c r="A142" s="308"/>
      <c r="B142" s="303"/>
      <c r="C142" s="308"/>
      <c r="D142" s="303"/>
      <c r="E142" s="311"/>
      <c r="F142" s="303"/>
      <c r="G142" s="303"/>
      <c r="H142" s="303"/>
      <c r="I142" s="303"/>
      <c r="J142" s="303"/>
      <c r="K142" s="303"/>
    </row>
    <row r="143" ht="15.75" customHeight="1">
      <c r="A143" s="308"/>
      <c r="B143" s="303"/>
      <c r="C143" s="308"/>
      <c r="D143" s="303"/>
      <c r="E143" s="311"/>
      <c r="F143" s="303"/>
      <c r="G143" s="303"/>
      <c r="H143" s="303"/>
      <c r="I143" s="303"/>
      <c r="J143" s="303"/>
      <c r="K143" s="303"/>
    </row>
    <row r="144" ht="15.75" customHeight="1">
      <c r="A144" s="308"/>
      <c r="B144" s="303"/>
      <c r="C144" s="308"/>
      <c r="D144" s="303"/>
      <c r="E144" s="311"/>
      <c r="F144" s="303"/>
      <c r="G144" s="303"/>
      <c r="H144" s="303"/>
      <c r="I144" s="303"/>
      <c r="J144" s="303"/>
      <c r="K144" s="303"/>
    </row>
    <row r="145" ht="15.75" customHeight="1">
      <c r="A145" s="308"/>
      <c r="B145" s="303"/>
      <c r="C145" s="308"/>
      <c r="D145" s="303"/>
      <c r="E145" s="311"/>
      <c r="F145" s="303"/>
      <c r="G145" s="303"/>
      <c r="H145" s="303"/>
      <c r="I145" s="303"/>
      <c r="J145" s="303"/>
      <c r="K145" s="303"/>
    </row>
    <row r="146" ht="15.75" customHeight="1">
      <c r="A146" s="308"/>
      <c r="B146" s="303"/>
      <c r="C146" s="308"/>
      <c r="D146" s="303"/>
      <c r="E146" s="311"/>
      <c r="F146" s="303"/>
      <c r="G146" s="303"/>
      <c r="H146" s="303"/>
      <c r="I146" s="303"/>
      <c r="J146" s="303"/>
      <c r="K146" s="303"/>
    </row>
    <row r="147" ht="15.75" customHeight="1">
      <c r="A147" s="308"/>
      <c r="B147" s="303"/>
      <c r="C147" s="308"/>
      <c r="D147" s="303"/>
      <c r="E147" s="311"/>
      <c r="F147" s="303"/>
      <c r="G147" s="303"/>
      <c r="H147" s="303"/>
      <c r="I147" s="303"/>
      <c r="J147" s="303"/>
      <c r="K147" s="303"/>
    </row>
    <row r="148" ht="15.75" customHeight="1">
      <c r="A148" s="308"/>
      <c r="B148" s="303"/>
      <c r="C148" s="308"/>
      <c r="D148" s="303"/>
      <c r="E148" s="311"/>
      <c r="F148" s="303"/>
      <c r="G148" s="303"/>
      <c r="H148" s="303"/>
      <c r="I148" s="303"/>
      <c r="J148" s="303"/>
      <c r="K148" s="303"/>
    </row>
    <row r="149" ht="15.75" customHeight="1">
      <c r="A149" s="308"/>
      <c r="B149" s="303"/>
      <c r="C149" s="308"/>
      <c r="D149" s="303"/>
      <c r="E149" s="311"/>
      <c r="F149" s="303"/>
      <c r="G149" s="303"/>
      <c r="H149" s="303"/>
      <c r="I149" s="303"/>
      <c r="J149" s="303"/>
      <c r="K149" s="303"/>
    </row>
    <row r="150" ht="15.75" customHeight="1">
      <c r="A150" s="308"/>
      <c r="B150" s="303"/>
      <c r="C150" s="308"/>
      <c r="D150" s="303"/>
      <c r="E150" s="311"/>
      <c r="F150" s="303"/>
      <c r="G150" s="303"/>
      <c r="H150" s="303"/>
      <c r="I150" s="303"/>
      <c r="J150" s="303"/>
      <c r="K150" s="303"/>
    </row>
    <row r="151" ht="15.75" customHeight="1">
      <c r="A151" s="308"/>
      <c r="B151" s="303"/>
      <c r="C151" s="308"/>
      <c r="D151" s="303"/>
      <c r="E151" s="311"/>
      <c r="F151" s="303"/>
      <c r="G151" s="303"/>
      <c r="H151" s="303"/>
      <c r="I151" s="303"/>
      <c r="J151" s="303"/>
      <c r="K151" s="303"/>
    </row>
    <row r="152" ht="15.75" customHeight="1">
      <c r="A152" s="308"/>
      <c r="B152" s="303"/>
      <c r="C152" s="308"/>
      <c r="D152" s="303"/>
      <c r="E152" s="311"/>
      <c r="F152" s="303"/>
      <c r="G152" s="303"/>
      <c r="H152" s="303"/>
      <c r="I152" s="303"/>
      <c r="J152" s="303"/>
      <c r="K152" s="303"/>
    </row>
    <row r="153" ht="15.75" customHeight="1">
      <c r="A153" s="308"/>
      <c r="B153" s="303"/>
      <c r="C153" s="308"/>
      <c r="D153" s="303"/>
      <c r="E153" s="311"/>
      <c r="F153" s="303"/>
      <c r="G153" s="303"/>
      <c r="H153" s="303"/>
      <c r="I153" s="303"/>
      <c r="J153" s="303"/>
      <c r="K153" s="303"/>
    </row>
    <row r="154" ht="15.75" customHeight="1">
      <c r="A154" s="308"/>
      <c r="B154" s="303"/>
      <c r="C154" s="308"/>
      <c r="D154" s="303"/>
      <c r="E154" s="311"/>
      <c r="F154" s="303"/>
      <c r="G154" s="303"/>
      <c r="H154" s="303"/>
      <c r="I154" s="303"/>
      <c r="J154" s="303"/>
      <c r="K154" s="303"/>
    </row>
    <row r="155" ht="15.75" customHeight="1">
      <c r="A155" s="308"/>
      <c r="B155" s="303"/>
      <c r="C155" s="308"/>
      <c r="D155" s="303"/>
      <c r="E155" s="311"/>
      <c r="F155" s="303"/>
      <c r="G155" s="303"/>
      <c r="H155" s="303"/>
      <c r="I155" s="303"/>
      <c r="J155" s="303"/>
      <c r="K155" s="303"/>
    </row>
    <row r="156" ht="15.75" customHeight="1">
      <c r="A156" s="308"/>
      <c r="B156" s="303"/>
      <c r="C156" s="308"/>
      <c r="D156" s="303"/>
      <c r="E156" s="311"/>
      <c r="F156" s="303"/>
      <c r="G156" s="303"/>
      <c r="H156" s="303"/>
      <c r="I156" s="303"/>
      <c r="J156" s="303"/>
      <c r="K156" s="303"/>
    </row>
    <row r="157" ht="15.75" customHeight="1">
      <c r="A157" s="308"/>
      <c r="B157" s="303"/>
      <c r="C157" s="308"/>
      <c r="D157" s="303"/>
      <c r="E157" s="311"/>
      <c r="F157" s="303"/>
      <c r="G157" s="303"/>
      <c r="H157" s="303"/>
      <c r="I157" s="303"/>
      <c r="J157" s="303"/>
      <c r="K157" s="303"/>
    </row>
    <row r="158" ht="15.75" customHeight="1">
      <c r="A158" s="308"/>
      <c r="B158" s="303"/>
      <c r="C158" s="308"/>
      <c r="D158" s="303"/>
      <c r="E158" s="311"/>
      <c r="F158" s="303"/>
      <c r="G158" s="303"/>
      <c r="H158" s="303"/>
      <c r="I158" s="303"/>
      <c r="J158" s="303"/>
      <c r="K158" s="303"/>
    </row>
    <row r="159" ht="15.75" customHeight="1">
      <c r="A159" s="308"/>
      <c r="B159" s="303"/>
      <c r="C159" s="308"/>
      <c r="D159" s="303"/>
      <c r="E159" s="311"/>
      <c r="F159" s="303"/>
      <c r="G159" s="303"/>
      <c r="H159" s="303"/>
      <c r="I159" s="303"/>
      <c r="J159" s="303"/>
      <c r="K159" s="303"/>
    </row>
    <row r="160" ht="15.75" customHeight="1">
      <c r="A160" s="308"/>
      <c r="B160" s="303"/>
      <c r="C160" s="308"/>
      <c r="D160" s="303"/>
      <c r="E160" s="311"/>
      <c r="F160" s="303"/>
      <c r="G160" s="303"/>
      <c r="H160" s="303"/>
      <c r="I160" s="303"/>
      <c r="J160" s="303"/>
      <c r="K160" s="303"/>
    </row>
    <row r="161" ht="15.75" customHeight="1">
      <c r="A161" s="308"/>
      <c r="B161" s="303"/>
      <c r="C161" s="308"/>
      <c r="D161" s="303"/>
      <c r="E161" s="311"/>
      <c r="F161" s="303"/>
      <c r="G161" s="303"/>
      <c r="H161" s="303"/>
      <c r="I161" s="303"/>
      <c r="J161" s="303"/>
      <c r="K161" s="303"/>
    </row>
    <row r="162" ht="15.75" customHeight="1">
      <c r="A162" s="308"/>
      <c r="B162" s="303"/>
      <c r="C162" s="308"/>
      <c r="D162" s="303"/>
      <c r="E162" s="311"/>
      <c r="F162" s="303"/>
      <c r="G162" s="303"/>
      <c r="H162" s="303"/>
      <c r="I162" s="303"/>
      <c r="J162" s="303"/>
      <c r="K162" s="303"/>
    </row>
    <row r="163" ht="15.75" customHeight="1">
      <c r="A163" s="308"/>
      <c r="B163" s="303"/>
      <c r="C163" s="308"/>
      <c r="D163" s="303"/>
      <c r="E163" s="311"/>
      <c r="F163" s="303"/>
      <c r="G163" s="303"/>
      <c r="H163" s="303"/>
      <c r="I163" s="303"/>
      <c r="J163" s="303"/>
      <c r="K163" s="303"/>
    </row>
    <row r="164" ht="15.75" customHeight="1">
      <c r="A164" s="308"/>
      <c r="B164" s="303"/>
      <c r="C164" s="308"/>
      <c r="D164" s="303"/>
      <c r="E164" s="311"/>
      <c r="F164" s="303"/>
      <c r="G164" s="303"/>
      <c r="H164" s="303"/>
      <c r="I164" s="303"/>
      <c r="J164" s="303"/>
      <c r="K164" s="303"/>
    </row>
    <row r="165" ht="15.75" customHeight="1">
      <c r="A165" s="308"/>
      <c r="B165" s="303"/>
      <c r="C165" s="308"/>
      <c r="D165" s="303"/>
      <c r="E165" s="311"/>
      <c r="F165" s="303"/>
      <c r="G165" s="303"/>
      <c r="H165" s="303"/>
      <c r="I165" s="303"/>
      <c r="J165" s="303"/>
      <c r="K165" s="303"/>
    </row>
    <row r="166" ht="15.75" customHeight="1">
      <c r="A166" s="308"/>
      <c r="B166" s="303"/>
      <c r="C166" s="308"/>
      <c r="D166" s="303"/>
      <c r="E166" s="311"/>
      <c r="F166" s="303"/>
      <c r="G166" s="303"/>
      <c r="H166" s="303"/>
      <c r="I166" s="303"/>
      <c r="J166" s="303"/>
      <c r="K166" s="303"/>
    </row>
    <row r="167" ht="15.75" customHeight="1">
      <c r="A167" s="308"/>
      <c r="B167" s="303"/>
      <c r="C167" s="308"/>
      <c r="D167" s="303"/>
      <c r="E167" s="311"/>
      <c r="F167" s="303"/>
      <c r="G167" s="303"/>
      <c r="H167" s="303"/>
      <c r="I167" s="303"/>
      <c r="J167" s="303"/>
      <c r="K167" s="303"/>
    </row>
    <row r="168" ht="15.75" customHeight="1">
      <c r="A168" s="308"/>
      <c r="B168" s="303"/>
      <c r="C168" s="308"/>
      <c r="D168" s="303"/>
      <c r="E168" s="311"/>
      <c r="F168" s="303"/>
      <c r="G168" s="303"/>
      <c r="H168" s="303"/>
      <c r="I168" s="303"/>
      <c r="J168" s="303"/>
      <c r="K168" s="303"/>
    </row>
    <row r="169" ht="15.75" customHeight="1">
      <c r="A169" s="308"/>
      <c r="B169" s="303"/>
      <c r="C169" s="308"/>
      <c r="D169" s="303"/>
      <c r="E169" s="311"/>
      <c r="F169" s="303"/>
      <c r="G169" s="303"/>
      <c r="H169" s="303"/>
      <c r="I169" s="303"/>
      <c r="J169" s="303"/>
      <c r="K169" s="303"/>
    </row>
    <row r="170" ht="15.75" customHeight="1">
      <c r="A170" s="308"/>
      <c r="B170" s="303"/>
      <c r="C170" s="308"/>
      <c r="D170" s="303"/>
      <c r="E170" s="311"/>
      <c r="F170" s="303"/>
      <c r="G170" s="303"/>
      <c r="H170" s="303"/>
      <c r="I170" s="303"/>
      <c r="J170" s="303"/>
      <c r="K170" s="303"/>
    </row>
    <row r="171" ht="15.75" customHeight="1">
      <c r="A171" s="308"/>
      <c r="B171" s="303"/>
      <c r="C171" s="308"/>
      <c r="D171" s="303"/>
      <c r="E171" s="311"/>
      <c r="F171" s="303"/>
      <c r="G171" s="303"/>
      <c r="H171" s="303"/>
      <c r="I171" s="303"/>
      <c r="J171" s="303"/>
      <c r="K171" s="303"/>
    </row>
    <row r="172" ht="15.75" customHeight="1">
      <c r="A172" s="308"/>
      <c r="B172" s="303"/>
      <c r="C172" s="308"/>
      <c r="D172" s="303"/>
      <c r="E172" s="311"/>
      <c r="F172" s="303"/>
      <c r="G172" s="303"/>
      <c r="H172" s="303"/>
      <c r="I172" s="303"/>
      <c r="J172" s="303"/>
      <c r="K172" s="303"/>
    </row>
    <row r="173" ht="15.75" customHeight="1">
      <c r="A173" s="308"/>
      <c r="B173" s="303"/>
      <c r="C173" s="308"/>
      <c r="D173" s="303"/>
      <c r="E173" s="311"/>
      <c r="F173" s="303"/>
      <c r="G173" s="303"/>
      <c r="H173" s="303"/>
      <c r="I173" s="303"/>
      <c r="J173" s="303"/>
      <c r="K173" s="303"/>
    </row>
    <row r="174" ht="15.75" customHeight="1">
      <c r="A174" s="308"/>
      <c r="B174" s="303"/>
      <c r="C174" s="308"/>
      <c r="D174" s="303"/>
      <c r="E174" s="311"/>
      <c r="F174" s="303"/>
      <c r="G174" s="303"/>
      <c r="H174" s="303"/>
      <c r="I174" s="303"/>
      <c r="J174" s="303"/>
      <c r="K174" s="303"/>
    </row>
    <row r="175" ht="15.75" customHeight="1">
      <c r="A175" s="308"/>
      <c r="B175" s="303"/>
      <c r="C175" s="308"/>
      <c r="D175" s="303"/>
      <c r="E175" s="311"/>
      <c r="F175" s="303"/>
      <c r="G175" s="303"/>
      <c r="H175" s="303"/>
      <c r="I175" s="303"/>
      <c r="J175" s="303"/>
      <c r="K175" s="303"/>
    </row>
    <row r="176" ht="15.75" customHeight="1">
      <c r="A176" s="308"/>
      <c r="B176" s="303"/>
      <c r="C176" s="308"/>
      <c r="D176" s="303"/>
      <c r="E176" s="311"/>
      <c r="F176" s="303"/>
      <c r="G176" s="303"/>
      <c r="H176" s="303"/>
      <c r="I176" s="303"/>
      <c r="J176" s="303"/>
      <c r="K176" s="303"/>
    </row>
    <row r="177" ht="15.75" customHeight="1">
      <c r="A177" s="308"/>
      <c r="B177" s="303"/>
      <c r="C177" s="308"/>
      <c r="D177" s="303"/>
      <c r="E177" s="311"/>
      <c r="F177" s="303"/>
      <c r="G177" s="303"/>
      <c r="H177" s="303"/>
      <c r="I177" s="303"/>
      <c r="J177" s="303"/>
      <c r="K177" s="303"/>
    </row>
    <row r="178" ht="15.75" customHeight="1">
      <c r="A178" s="308"/>
      <c r="B178" s="303"/>
      <c r="C178" s="308"/>
      <c r="D178" s="303"/>
      <c r="E178" s="311"/>
      <c r="F178" s="303"/>
      <c r="G178" s="303"/>
      <c r="H178" s="303"/>
      <c r="I178" s="303"/>
      <c r="J178" s="303"/>
      <c r="K178" s="303"/>
    </row>
    <row r="179" ht="15.75" customHeight="1">
      <c r="A179" s="308"/>
      <c r="B179" s="303"/>
      <c r="C179" s="308"/>
      <c r="D179" s="303"/>
      <c r="E179" s="311"/>
      <c r="F179" s="303"/>
      <c r="G179" s="303"/>
      <c r="H179" s="303"/>
      <c r="I179" s="303"/>
      <c r="J179" s="303"/>
      <c r="K179" s="303"/>
    </row>
    <row r="180" ht="15.75" customHeight="1">
      <c r="A180" s="308"/>
      <c r="B180" s="303"/>
      <c r="C180" s="308"/>
      <c r="D180" s="303"/>
      <c r="E180" s="311"/>
      <c r="F180" s="303"/>
      <c r="G180" s="303"/>
      <c r="H180" s="303"/>
      <c r="I180" s="303"/>
      <c r="J180" s="303"/>
      <c r="K180" s="303"/>
    </row>
    <row r="181" ht="15.75" customHeight="1">
      <c r="A181" s="308"/>
      <c r="B181" s="303"/>
      <c r="C181" s="308"/>
      <c r="D181" s="303"/>
      <c r="E181" s="311"/>
      <c r="F181" s="303"/>
      <c r="G181" s="303"/>
      <c r="H181" s="303"/>
      <c r="I181" s="303"/>
      <c r="J181" s="303"/>
      <c r="K181" s="303"/>
    </row>
    <row r="182" ht="15.75" customHeight="1">
      <c r="A182" s="308"/>
      <c r="B182" s="303"/>
      <c r="C182" s="308"/>
      <c r="D182" s="303"/>
      <c r="E182" s="311"/>
      <c r="F182" s="303"/>
      <c r="G182" s="303"/>
      <c r="H182" s="303"/>
      <c r="I182" s="303"/>
      <c r="J182" s="303"/>
      <c r="K182" s="303"/>
    </row>
    <row r="183" ht="15.75" customHeight="1">
      <c r="A183" s="308"/>
      <c r="B183" s="303"/>
      <c r="C183" s="308"/>
      <c r="D183" s="303"/>
      <c r="E183" s="311"/>
      <c r="F183" s="303"/>
      <c r="G183" s="303"/>
      <c r="H183" s="303"/>
      <c r="I183" s="303"/>
      <c r="J183" s="303"/>
      <c r="K183" s="303"/>
    </row>
    <row r="184" ht="15.75" customHeight="1">
      <c r="A184" s="308"/>
      <c r="B184" s="303"/>
      <c r="C184" s="308"/>
      <c r="D184" s="303"/>
      <c r="E184" s="311"/>
      <c r="F184" s="303"/>
      <c r="G184" s="303"/>
      <c r="H184" s="303"/>
      <c r="I184" s="303"/>
      <c r="J184" s="303"/>
      <c r="K184" s="303"/>
    </row>
    <row r="185" ht="15.75" customHeight="1">
      <c r="A185" s="308"/>
      <c r="B185" s="303"/>
      <c r="C185" s="308"/>
      <c r="D185" s="303"/>
      <c r="E185" s="311"/>
      <c r="F185" s="303"/>
      <c r="G185" s="303"/>
      <c r="H185" s="303"/>
      <c r="I185" s="303"/>
      <c r="J185" s="303"/>
      <c r="K185" s="303"/>
    </row>
    <row r="186" ht="15.75" customHeight="1">
      <c r="A186" s="308"/>
      <c r="B186" s="303"/>
      <c r="C186" s="308"/>
      <c r="D186" s="303"/>
      <c r="E186" s="311"/>
      <c r="F186" s="303"/>
      <c r="G186" s="303"/>
      <c r="H186" s="303"/>
      <c r="I186" s="303"/>
      <c r="J186" s="303"/>
      <c r="K186" s="303"/>
    </row>
    <row r="187" ht="15.75" customHeight="1">
      <c r="A187" s="308"/>
      <c r="B187" s="303"/>
      <c r="C187" s="308"/>
      <c r="D187" s="303"/>
      <c r="E187" s="311"/>
      <c r="F187" s="303"/>
      <c r="G187" s="303"/>
      <c r="H187" s="303"/>
      <c r="I187" s="303"/>
      <c r="J187" s="303"/>
      <c r="K187" s="303"/>
    </row>
    <row r="188" ht="15.75" customHeight="1">
      <c r="A188" s="308"/>
      <c r="B188" s="303"/>
      <c r="C188" s="308"/>
      <c r="D188" s="303"/>
      <c r="E188" s="311"/>
      <c r="F188" s="303"/>
      <c r="G188" s="303"/>
      <c r="H188" s="303"/>
      <c r="I188" s="303"/>
      <c r="J188" s="303"/>
      <c r="K188" s="303"/>
    </row>
    <row r="189" ht="15.75" customHeight="1">
      <c r="A189" s="308"/>
      <c r="B189" s="303"/>
      <c r="C189" s="308"/>
      <c r="D189" s="303"/>
      <c r="E189" s="311"/>
      <c r="F189" s="303"/>
      <c r="G189" s="303"/>
      <c r="H189" s="303"/>
      <c r="I189" s="303"/>
      <c r="J189" s="303"/>
      <c r="K189" s="303"/>
    </row>
    <row r="190" ht="15.75" customHeight="1">
      <c r="A190" s="308"/>
      <c r="B190" s="303"/>
      <c r="C190" s="308"/>
      <c r="D190" s="303"/>
      <c r="E190" s="311"/>
      <c r="F190" s="303"/>
      <c r="G190" s="303"/>
      <c r="H190" s="303"/>
      <c r="I190" s="303"/>
      <c r="J190" s="303"/>
      <c r="K190" s="303"/>
    </row>
    <row r="191" ht="15.75" customHeight="1">
      <c r="A191" s="308"/>
      <c r="B191" s="303"/>
      <c r="C191" s="308"/>
      <c r="D191" s="303"/>
      <c r="E191" s="311"/>
      <c r="F191" s="303"/>
      <c r="G191" s="303"/>
      <c r="H191" s="303"/>
      <c r="I191" s="303"/>
      <c r="J191" s="303"/>
      <c r="K191" s="303"/>
    </row>
    <row r="192" ht="15.75" customHeight="1">
      <c r="A192" s="308"/>
      <c r="B192" s="303"/>
      <c r="C192" s="308"/>
      <c r="D192" s="303"/>
      <c r="E192" s="311"/>
      <c r="F192" s="303"/>
      <c r="G192" s="303"/>
      <c r="H192" s="303"/>
      <c r="I192" s="303"/>
      <c r="J192" s="303"/>
      <c r="K192" s="303"/>
    </row>
    <row r="193" ht="15.75" customHeight="1">
      <c r="A193" s="308"/>
      <c r="B193" s="303"/>
      <c r="C193" s="308"/>
      <c r="D193" s="303"/>
      <c r="E193" s="311"/>
      <c r="F193" s="303"/>
      <c r="G193" s="303"/>
      <c r="H193" s="303"/>
      <c r="I193" s="303"/>
      <c r="J193" s="303"/>
      <c r="K193" s="303"/>
    </row>
    <row r="194" ht="15.75" customHeight="1">
      <c r="A194" s="308"/>
      <c r="B194" s="303"/>
      <c r="C194" s="308"/>
      <c r="D194" s="303"/>
      <c r="E194" s="311"/>
      <c r="F194" s="303"/>
      <c r="G194" s="303"/>
      <c r="H194" s="303"/>
      <c r="I194" s="303"/>
      <c r="J194" s="303"/>
      <c r="K194" s="303"/>
    </row>
    <row r="195" ht="15.75" customHeight="1">
      <c r="A195" s="308"/>
      <c r="B195" s="303"/>
      <c r="C195" s="308"/>
      <c r="D195" s="303"/>
      <c r="E195" s="311"/>
      <c r="F195" s="303"/>
      <c r="G195" s="303"/>
      <c r="H195" s="303"/>
      <c r="I195" s="303"/>
      <c r="J195" s="303"/>
      <c r="K195" s="303"/>
    </row>
    <row r="196" ht="15.75" customHeight="1">
      <c r="A196" s="308"/>
      <c r="B196" s="303"/>
      <c r="C196" s="308"/>
      <c r="D196" s="303"/>
      <c r="E196" s="311"/>
      <c r="F196" s="303"/>
      <c r="G196" s="303"/>
      <c r="H196" s="303"/>
      <c r="I196" s="303"/>
      <c r="J196" s="303"/>
      <c r="K196" s="303"/>
    </row>
    <row r="197" ht="15.75" customHeight="1">
      <c r="A197" s="308"/>
      <c r="B197" s="303"/>
      <c r="C197" s="308"/>
      <c r="D197" s="303"/>
      <c r="E197" s="311"/>
      <c r="F197" s="303"/>
      <c r="G197" s="303"/>
      <c r="H197" s="303"/>
      <c r="I197" s="303"/>
      <c r="J197" s="303"/>
      <c r="K197" s="303"/>
    </row>
    <row r="198" ht="15.75" customHeight="1">
      <c r="A198" s="308"/>
      <c r="B198" s="303"/>
      <c r="C198" s="308"/>
      <c r="D198" s="303"/>
      <c r="E198" s="311"/>
      <c r="F198" s="303"/>
      <c r="G198" s="303"/>
      <c r="H198" s="303"/>
      <c r="I198" s="303"/>
      <c r="J198" s="303"/>
      <c r="K198" s="303"/>
    </row>
    <row r="199" ht="15.75" customHeight="1">
      <c r="A199" s="308"/>
      <c r="B199" s="303"/>
      <c r="C199" s="308"/>
      <c r="D199" s="303"/>
      <c r="E199" s="311"/>
      <c r="F199" s="303"/>
      <c r="G199" s="303"/>
      <c r="H199" s="303"/>
      <c r="I199" s="303"/>
      <c r="J199" s="303"/>
      <c r="K199" s="303"/>
    </row>
    <row r="200" ht="15.75" customHeight="1">
      <c r="A200" s="308"/>
      <c r="B200" s="303"/>
      <c r="C200" s="308"/>
      <c r="D200" s="303"/>
      <c r="E200" s="311"/>
      <c r="F200" s="303"/>
      <c r="G200" s="303"/>
      <c r="H200" s="303"/>
      <c r="I200" s="303"/>
      <c r="J200" s="303"/>
      <c r="K200" s="303"/>
    </row>
    <row r="201" ht="15.75" customHeight="1">
      <c r="A201" s="308"/>
      <c r="B201" s="303"/>
      <c r="C201" s="308"/>
      <c r="D201" s="303"/>
      <c r="E201" s="311"/>
      <c r="F201" s="303"/>
      <c r="G201" s="303"/>
      <c r="H201" s="303"/>
      <c r="I201" s="303"/>
      <c r="J201" s="303"/>
      <c r="K201" s="303"/>
    </row>
    <row r="202" ht="15.75" customHeight="1">
      <c r="A202" s="308"/>
      <c r="B202" s="303"/>
      <c r="C202" s="308"/>
      <c r="D202" s="303"/>
      <c r="E202" s="311"/>
      <c r="F202" s="303"/>
      <c r="G202" s="303"/>
      <c r="H202" s="303"/>
      <c r="I202" s="303"/>
      <c r="J202" s="303"/>
      <c r="K202" s="303"/>
    </row>
    <row r="203" ht="15.75" customHeight="1">
      <c r="A203" s="308"/>
      <c r="B203" s="303"/>
      <c r="C203" s="308"/>
      <c r="D203" s="303"/>
      <c r="E203" s="311"/>
      <c r="F203" s="303"/>
      <c r="G203" s="303"/>
      <c r="H203" s="303"/>
      <c r="I203" s="303"/>
      <c r="J203" s="303"/>
      <c r="K203" s="303"/>
    </row>
    <row r="204" ht="15.75" customHeight="1">
      <c r="A204" s="308"/>
      <c r="B204" s="303"/>
      <c r="C204" s="308"/>
      <c r="D204" s="303"/>
      <c r="E204" s="311"/>
      <c r="F204" s="303"/>
      <c r="G204" s="303"/>
      <c r="H204" s="303"/>
      <c r="I204" s="303"/>
      <c r="J204" s="303"/>
      <c r="K204" s="303"/>
    </row>
    <row r="205" ht="15.75" customHeight="1">
      <c r="A205" s="308"/>
      <c r="B205" s="303"/>
      <c r="C205" s="308"/>
      <c r="D205" s="303"/>
      <c r="E205" s="311"/>
      <c r="F205" s="303"/>
      <c r="G205" s="303"/>
      <c r="H205" s="303"/>
      <c r="I205" s="303"/>
      <c r="J205" s="303"/>
      <c r="K205" s="303"/>
    </row>
    <row r="206" ht="15.75" customHeight="1">
      <c r="A206" s="308"/>
      <c r="B206" s="303"/>
      <c r="C206" s="308"/>
      <c r="D206" s="303"/>
      <c r="E206" s="311"/>
      <c r="F206" s="303"/>
      <c r="G206" s="303"/>
      <c r="H206" s="303"/>
      <c r="I206" s="303"/>
      <c r="J206" s="303"/>
      <c r="K206" s="303"/>
    </row>
    <row r="207" ht="15.75" customHeight="1">
      <c r="A207" s="308"/>
      <c r="B207" s="303"/>
      <c r="C207" s="308"/>
      <c r="D207" s="303"/>
      <c r="E207" s="311"/>
      <c r="F207" s="303"/>
      <c r="G207" s="303"/>
      <c r="H207" s="303"/>
      <c r="I207" s="303"/>
      <c r="J207" s="303"/>
      <c r="K207" s="303"/>
    </row>
    <row r="208" ht="15.75" customHeight="1">
      <c r="A208" s="308"/>
      <c r="B208" s="303"/>
      <c r="C208" s="308"/>
      <c r="D208" s="303"/>
      <c r="E208" s="311"/>
      <c r="F208" s="303"/>
      <c r="G208" s="303"/>
      <c r="H208" s="303"/>
      <c r="I208" s="303"/>
      <c r="J208" s="303"/>
      <c r="K208" s="303"/>
    </row>
    <row r="209" ht="15.75" customHeight="1">
      <c r="A209" s="308"/>
      <c r="B209" s="303"/>
      <c r="C209" s="308"/>
      <c r="D209" s="303"/>
      <c r="E209" s="311"/>
      <c r="F209" s="303"/>
      <c r="G209" s="303"/>
      <c r="H209" s="303"/>
      <c r="I209" s="303"/>
      <c r="J209" s="303"/>
      <c r="K209" s="303"/>
    </row>
    <row r="210" ht="15.75" customHeight="1">
      <c r="A210" s="308"/>
      <c r="B210" s="303"/>
      <c r="C210" s="308"/>
      <c r="D210" s="303"/>
      <c r="E210" s="311"/>
      <c r="F210" s="303"/>
      <c r="G210" s="303"/>
      <c r="H210" s="303"/>
      <c r="I210" s="303"/>
      <c r="J210" s="303"/>
      <c r="K210" s="303"/>
    </row>
    <row r="211" ht="15.75" customHeight="1">
      <c r="A211" s="308"/>
      <c r="B211" s="303"/>
      <c r="C211" s="308"/>
      <c r="D211" s="303"/>
      <c r="E211" s="311"/>
      <c r="F211" s="303"/>
      <c r="G211" s="303"/>
      <c r="H211" s="303"/>
      <c r="I211" s="303"/>
      <c r="J211" s="303"/>
      <c r="K211" s="303"/>
    </row>
    <row r="212" ht="15.75" customHeight="1">
      <c r="A212" s="308"/>
      <c r="B212" s="303"/>
      <c r="C212" s="308"/>
      <c r="D212" s="303"/>
      <c r="E212" s="311"/>
      <c r="F212" s="303"/>
      <c r="G212" s="303"/>
      <c r="H212" s="303"/>
      <c r="I212" s="303"/>
      <c r="J212" s="303"/>
      <c r="K212" s="303"/>
    </row>
    <row r="213" ht="15.75" customHeight="1">
      <c r="A213" s="308"/>
      <c r="B213" s="303"/>
      <c r="C213" s="308"/>
      <c r="D213" s="303"/>
      <c r="E213" s="311"/>
      <c r="F213" s="303"/>
      <c r="G213" s="303"/>
      <c r="H213" s="303"/>
      <c r="I213" s="303"/>
      <c r="J213" s="303"/>
      <c r="K213" s="303"/>
    </row>
    <row r="214" ht="15.75" customHeight="1">
      <c r="A214" s="308"/>
      <c r="B214" s="303"/>
      <c r="C214" s="308"/>
      <c r="D214" s="303"/>
      <c r="E214" s="311"/>
      <c r="F214" s="303"/>
      <c r="G214" s="303"/>
      <c r="H214" s="303"/>
      <c r="I214" s="303"/>
      <c r="J214" s="303"/>
      <c r="K214" s="303"/>
    </row>
    <row r="215" ht="15.75" customHeight="1">
      <c r="A215" s="308"/>
      <c r="B215" s="303"/>
      <c r="C215" s="308"/>
      <c r="D215" s="303"/>
      <c r="E215" s="311"/>
      <c r="F215" s="303"/>
      <c r="G215" s="303"/>
      <c r="H215" s="303"/>
      <c r="I215" s="303"/>
      <c r="J215" s="303"/>
      <c r="K215" s="303"/>
    </row>
    <row r="216" ht="15.75" customHeight="1">
      <c r="A216" s="308"/>
      <c r="B216" s="303"/>
      <c r="C216" s="308"/>
      <c r="D216" s="303"/>
      <c r="E216" s="311"/>
      <c r="F216" s="303"/>
      <c r="G216" s="303"/>
      <c r="H216" s="303"/>
      <c r="I216" s="303"/>
      <c r="J216" s="303"/>
      <c r="K216" s="303"/>
    </row>
    <row r="217" ht="15.75" customHeight="1">
      <c r="A217" s="308"/>
      <c r="B217" s="303"/>
      <c r="C217" s="308"/>
      <c r="D217" s="303"/>
      <c r="E217" s="311"/>
      <c r="F217" s="303"/>
      <c r="G217" s="303"/>
      <c r="H217" s="303"/>
      <c r="I217" s="303"/>
      <c r="J217" s="303"/>
      <c r="K217" s="303"/>
    </row>
    <row r="218" ht="15.75" customHeight="1">
      <c r="A218" s="308"/>
      <c r="B218" s="303"/>
      <c r="C218" s="308"/>
      <c r="D218" s="303"/>
      <c r="E218" s="311"/>
      <c r="F218" s="303"/>
      <c r="G218" s="303"/>
      <c r="H218" s="303"/>
      <c r="I218" s="303"/>
      <c r="J218" s="303"/>
      <c r="K218" s="303"/>
    </row>
    <row r="219" ht="15.75" customHeight="1">
      <c r="A219" s="308"/>
      <c r="B219" s="303"/>
      <c r="C219" s="308"/>
      <c r="D219" s="303"/>
      <c r="E219" s="311"/>
      <c r="F219" s="303"/>
      <c r="G219" s="303"/>
      <c r="H219" s="303"/>
      <c r="I219" s="303"/>
      <c r="J219" s="303"/>
      <c r="K219" s="303"/>
    </row>
    <row r="220" ht="15.75" customHeight="1">
      <c r="A220" s="308"/>
      <c r="B220" s="303"/>
      <c r="C220" s="308"/>
      <c r="D220" s="303"/>
      <c r="E220" s="311"/>
      <c r="F220" s="303"/>
      <c r="G220" s="303"/>
      <c r="H220" s="303"/>
      <c r="I220" s="303"/>
      <c r="J220" s="303"/>
      <c r="K220" s="303"/>
    </row>
    <row r="221" ht="15.75" customHeight="1">
      <c r="A221" s="308"/>
      <c r="B221" s="303"/>
      <c r="C221" s="308"/>
      <c r="D221" s="303"/>
      <c r="E221" s="311"/>
      <c r="F221" s="303"/>
      <c r="G221" s="303"/>
      <c r="H221" s="303"/>
      <c r="I221" s="303"/>
      <c r="J221" s="303"/>
      <c r="K221" s="303"/>
    </row>
    <row r="222" ht="15.75" customHeight="1">
      <c r="A222" s="308"/>
      <c r="B222" s="303"/>
      <c r="C222" s="308"/>
      <c r="D222" s="303"/>
      <c r="E222" s="311"/>
      <c r="F222" s="303"/>
      <c r="G222" s="303"/>
      <c r="H222" s="303"/>
      <c r="I222" s="303"/>
      <c r="J222" s="303"/>
      <c r="K222" s="303"/>
    </row>
    <row r="223" ht="15.75" customHeight="1">
      <c r="A223" s="308"/>
      <c r="B223" s="303"/>
      <c r="C223" s="308"/>
      <c r="D223" s="303"/>
      <c r="E223" s="311"/>
      <c r="F223" s="303"/>
      <c r="G223" s="303"/>
      <c r="H223" s="303"/>
      <c r="I223" s="303"/>
      <c r="J223" s="303"/>
      <c r="K223" s="30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35.0"/>
    <col customWidth="1" min="3" max="4" width="12.63"/>
    <col customWidth="1" min="5" max="6" width="7.5"/>
  </cols>
  <sheetData>
    <row r="1">
      <c r="A1" s="313" t="s">
        <v>123</v>
      </c>
      <c r="B1" s="314" t="s">
        <v>124</v>
      </c>
      <c r="C1" s="314" t="s">
        <v>6</v>
      </c>
      <c r="D1" s="313" t="s">
        <v>125</v>
      </c>
      <c r="E1" s="315" t="s">
        <v>126</v>
      </c>
      <c r="F1" s="315" t="s">
        <v>127</v>
      </c>
      <c r="G1" s="316" t="s">
        <v>51</v>
      </c>
      <c r="H1" s="316" t="s">
        <v>128</v>
      </c>
      <c r="I1" s="316" t="s">
        <v>53</v>
      </c>
      <c r="J1" s="316" t="s">
        <v>54</v>
      </c>
      <c r="K1" s="316" t="s">
        <v>129</v>
      </c>
      <c r="L1" s="316" t="s">
        <v>56</v>
      </c>
      <c r="M1" s="316"/>
    </row>
    <row r="2" ht="15.75" customHeight="1">
      <c r="A2" s="317">
        <v>1.0</v>
      </c>
      <c r="B2" s="318" t="s">
        <v>42</v>
      </c>
      <c r="C2" s="318" t="s">
        <v>44</v>
      </c>
      <c r="D2" s="319" t="str">
        <f t="shared" ref="D2:D535" si="1">A2&amp;C2</f>
        <v>1Indiferente</v>
      </c>
      <c r="E2" s="320">
        <v>117.0</v>
      </c>
      <c r="F2" s="320">
        <v>2117.0</v>
      </c>
      <c r="G2" s="321">
        <v>2893.86</v>
      </c>
      <c r="H2" s="321">
        <v>3926.72</v>
      </c>
      <c r="I2" s="321">
        <v>5272.43</v>
      </c>
      <c r="J2" s="321">
        <v>5105.88</v>
      </c>
      <c r="K2" s="321">
        <v>6380.3</v>
      </c>
      <c r="L2" s="321">
        <v>8466.57</v>
      </c>
      <c r="M2" s="321"/>
    </row>
    <row r="3" ht="15.75" customHeight="1">
      <c r="A3" s="317">
        <v>1.0</v>
      </c>
      <c r="B3" s="318" t="s">
        <v>42</v>
      </c>
      <c r="C3" s="318" t="s">
        <v>29</v>
      </c>
      <c r="D3" s="319" t="str">
        <f t="shared" si="1"/>
        <v>1Júnior</v>
      </c>
      <c r="E3" s="320">
        <v>91.0</v>
      </c>
      <c r="F3" s="320">
        <v>883.0</v>
      </c>
      <c r="G3" s="321">
        <v>2030.9</v>
      </c>
      <c r="H3" s="321">
        <v>2706.62</v>
      </c>
      <c r="I3" s="321">
        <v>3370.79</v>
      </c>
      <c r="J3" s="321">
        <v>3379.04</v>
      </c>
      <c r="K3" s="321">
        <v>3870.49</v>
      </c>
      <c r="L3" s="321">
        <v>5268.74</v>
      </c>
      <c r="M3" s="321"/>
    </row>
    <row r="4" ht="15.75" customHeight="1">
      <c r="A4" s="317">
        <v>1.0</v>
      </c>
      <c r="B4" s="318" t="s">
        <v>42</v>
      </c>
      <c r="C4" s="318" t="s">
        <v>24</v>
      </c>
      <c r="D4" s="319" t="str">
        <f t="shared" si="1"/>
        <v>1Pleno</v>
      </c>
      <c r="E4" s="320">
        <v>84.0</v>
      </c>
      <c r="F4" s="320">
        <v>836.0</v>
      </c>
      <c r="G4" s="321">
        <v>3358.05</v>
      </c>
      <c r="H4" s="321">
        <v>4730.15</v>
      </c>
      <c r="I4" s="321">
        <v>5379.82</v>
      </c>
      <c r="J4" s="321">
        <v>5342.35</v>
      </c>
      <c r="K4" s="321">
        <v>5995.34</v>
      </c>
      <c r="L4" s="321">
        <v>7790.91</v>
      </c>
      <c r="M4" s="321"/>
    </row>
    <row r="5" ht="15.75" customHeight="1">
      <c r="A5" s="317">
        <v>1.0</v>
      </c>
      <c r="B5" s="318" t="s">
        <v>42</v>
      </c>
      <c r="C5" s="318" t="s">
        <v>18</v>
      </c>
      <c r="D5" s="319" t="str">
        <f t="shared" si="1"/>
        <v>1Sênior</v>
      </c>
      <c r="E5" s="320">
        <v>64.0</v>
      </c>
      <c r="F5" s="320">
        <v>613.0</v>
      </c>
      <c r="G5" s="321">
        <v>5873.21</v>
      </c>
      <c r="H5" s="321">
        <v>7005.56</v>
      </c>
      <c r="I5" s="321">
        <v>8047.78</v>
      </c>
      <c r="J5" s="321">
        <v>7999.87</v>
      </c>
      <c r="K5" s="321">
        <v>9271.4</v>
      </c>
      <c r="L5" s="321">
        <v>10095.14</v>
      </c>
      <c r="M5" s="321"/>
    </row>
    <row r="6" ht="15.75" customHeight="1">
      <c r="A6" s="317">
        <v>1.0</v>
      </c>
      <c r="B6" s="318" t="s">
        <v>42</v>
      </c>
      <c r="C6" s="318" t="s">
        <v>130</v>
      </c>
      <c r="D6" s="319" t="str">
        <f t="shared" si="1"/>
        <v>1Master</v>
      </c>
      <c r="E6" s="320">
        <v>2.0</v>
      </c>
      <c r="F6" s="320">
        <v>6.0</v>
      </c>
      <c r="G6" s="321">
        <v>0.0</v>
      </c>
      <c r="H6" s="321">
        <v>0.0</v>
      </c>
      <c r="I6" s="321">
        <v>0.0</v>
      </c>
      <c r="J6" s="321">
        <v>0.0</v>
      </c>
      <c r="K6" s="321">
        <v>0.0</v>
      </c>
      <c r="L6" s="321">
        <v>0.0</v>
      </c>
      <c r="M6" s="321"/>
    </row>
    <row r="7" ht="15.75" customHeight="1">
      <c r="A7" s="317">
        <v>1.0</v>
      </c>
      <c r="B7" s="318" t="s">
        <v>42</v>
      </c>
      <c r="C7" s="318" t="s">
        <v>131</v>
      </c>
      <c r="D7" s="319" t="str">
        <f t="shared" si="1"/>
        <v>1Especialista</v>
      </c>
      <c r="E7" s="320">
        <v>15.0</v>
      </c>
      <c r="F7" s="320">
        <v>40.0</v>
      </c>
      <c r="G7" s="321">
        <v>8294.38</v>
      </c>
      <c r="H7" s="321">
        <v>10078.94</v>
      </c>
      <c r="I7" s="321">
        <v>11458.76</v>
      </c>
      <c r="J7" s="321">
        <v>11626.1</v>
      </c>
      <c r="K7" s="321">
        <v>12714.48</v>
      </c>
      <c r="L7" s="321">
        <v>14476.68</v>
      </c>
      <c r="M7" s="321"/>
    </row>
    <row r="8" ht="15.75" customHeight="1">
      <c r="A8" s="317">
        <v>1016.0</v>
      </c>
      <c r="B8" s="318" t="s">
        <v>43</v>
      </c>
      <c r="C8" s="318" t="s">
        <v>44</v>
      </c>
      <c r="D8" s="319" t="str">
        <f t="shared" si="1"/>
        <v>1016Indiferente</v>
      </c>
      <c r="E8" s="320">
        <v>28.0</v>
      </c>
      <c r="F8" s="320">
        <v>71.0</v>
      </c>
      <c r="G8" s="321">
        <v>5639.53</v>
      </c>
      <c r="H8" s="321">
        <v>7452.03</v>
      </c>
      <c r="I8" s="321">
        <v>8919.44</v>
      </c>
      <c r="J8" s="321">
        <v>8929.22</v>
      </c>
      <c r="K8" s="321">
        <v>10057.47</v>
      </c>
      <c r="L8" s="321">
        <v>12817.68</v>
      </c>
      <c r="M8" s="321"/>
    </row>
    <row r="9" ht="15.75" customHeight="1">
      <c r="A9" s="317">
        <v>1016.0</v>
      </c>
      <c r="B9" s="318" t="s">
        <v>43</v>
      </c>
      <c r="C9" s="318" t="s">
        <v>29</v>
      </c>
      <c r="D9" s="319" t="str">
        <f t="shared" si="1"/>
        <v>1016Júnior</v>
      </c>
      <c r="E9" s="320">
        <v>5.0</v>
      </c>
      <c r="F9" s="320">
        <v>6.0</v>
      </c>
      <c r="G9" s="321">
        <v>4848.58</v>
      </c>
      <c r="H9" s="321">
        <v>5725.38</v>
      </c>
      <c r="I9" s="321">
        <v>6258.83</v>
      </c>
      <c r="J9" s="321">
        <v>6038.19</v>
      </c>
      <c r="K9" s="321">
        <v>7160.54</v>
      </c>
      <c r="L9" s="321">
        <v>7472.24</v>
      </c>
      <c r="M9" s="321"/>
    </row>
    <row r="10" ht="15.75" customHeight="1">
      <c r="A10" s="317">
        <v>1016.0</v>
      </c>
      <c r="B10" s="318" t="s">
        <v>43</v>
      </c>
      <c r="C10" s="318" t="s">
        <v>24</v>
      </c>
      <c r="D10" s="319" t="str">
        <f t="shared" si="1"/>
        <v>1016Pleno</v>
      </c>
      <c r="E10" s="320">
        <v>5.0</v>
      </c>
      <c r="F10" s="320">
        <v>14.0</v>
      </c>
      <c r="G10" s="321">
        <v>4960.76</v>
      </c>
      <c r="H10" s="321">
        <v>6756.91</v>
      </c>
      <c r="I10" s="321">
        <v>8222.66</v>
      </c>
      <c r="J10" s="321">
        <v>8364.84</v>
      </c>
      <c r="K10" s="321">
        <v>10040.79</v>
      </c>
      <c r="L10" s="321">
        <v>11026.42</v>
      </c>
      <c r="M10" s="321"/>
    </row>
    <row r="11" ht="15.75" customHeight="1">
      <c r="A11" s="317">
        <v>1016.0</v>
      </c>
      <c r="B11" s="318" t="s">
        <v>43</v>
      </c>
      <c r="C11" s="318" t="s">
        <v>18</v>
      </c>
      <c r="D11" s="319" t="str">
        <f t="shared" si="1"/>
        <v>1016Sênior</v>
      </c>
      <c r="E11" s="320">
        <v>5.0</v>
      </c>
      <c r="F11" s="320">
        <v>9.0</v>
      </c>
      <c r="G11" s="321">
        <v>7250.34</v>
      </c>
      <c r="H11" s="321">
        <v>8906.82</v>
      </c>
      <c r="I11" s="321">
        <v>9300.57</v>
      </c>
      <c r="J11" s="321">
        <v>9082.0</v>
      </c>
      <c r="K11" s="321">
        <v>9530.31</v>
      </c>
      <c r="L11" s="321">
        <v>11415.69</v>
      </c>
      <c r="M11" s="321"/>
    </row>
    <row r="12" ht="15.75" customHeight="1">
      <c r="A12" s="317">
        <v>1016.0</v>
      </c>
      <c r="B12" s="318" t="s">
        <v>43</v>
      </c>
      <c r="C12" s="318" t="s">
        <v>130</v>
      </c>
      <c r="D12" s="319" t="str">
        <f t="shared" si="1"/>
        <v>1016Master</v>
      </c>
      <c r="E12" s="320">
        <v>1.0</v>
      </c>
      <c r="F12" s="320">
        <v>5.0</v>
      </c>
      <c r="G12" s="321">
        <v>0.0</v>
      </c>
      <c r="H12" s="321">
        <v>0.0</v>
      </c>
      <c r="I12" s="321">
        <v>0.0</v>
      </c>
      <c r="J12" s="321">
        <v>0.0</v>
      </c>
      <c r="K12" s="321">
        <v>0.0</v>
      </c>
      <c r="L12" s="321">
        <v>0.0</v>
      </c>
      <c r="M12" s="321"/>
    </row>
    <row r="13" ht="15.75" customHeight="1">
      <c r="A13" s="317">
        <v>1016.0</v>
      </c>
      <c r="B13" s="318" t="s">
        <v>43</v>
      </c>
      <c r="C13" s="318" t="s">
        <v>131</v>
      </c>
      <c r="D13" s="319" t="str">
        <f t="shared" si="1"/>
        <v>1016Especialista</v>
      </c>
      <c r="E13" s="320">
        <v>4.0</v>
      </c>
      <c r="F13" s="320">
        <v>10.0</v>
      </c>
      <c r="G13" s="321">
        <v>6802.45</v>
      </c>
      <c r="H13" s="321">
        <v>8300.18</v>
      </c>
      <c r="I13" s="321">
        <v>10158.38</v>
      </c>
      <c r="J13" s="321">
        <v>9512.13</v>
      </c>
      <c r="K13" s="321">
        <v>10950.64</v>
      </c>
      <c r="L13" s="321">
        <v>16404.08</v>
      </c>
      <c r="M13" s="321"/>
    </row>
    <row r="14" ht="15.75" customHeight="1">
      <c r="A14" s="317">
        <v>796.0</v>
      </c>
      <c r="B14" s="318" t="s">
        <v>33</v>
      </c>
      <c r="C14" s="318" t="s">
        <v>44</v>
      </c>
      <c r="D14" s="319" t="str">
        <f t="shared" si="1"/>
        <v>796Indiferente</v>
      </c>
      <c r="E14" s="320">
        <v>13.0</v>
      </c>
      <c r="F14" s="320">
        <v>32.0</v>
      </c>
      <c r="G14" s="321">
        <v>3464.33</v>
      </c>
      <c r="H14" s="321">
        <v>4192.12</v>
      </c>
      <c r="I14" s="321">
        <v>5172.41</v>
      </c>
      <c r="J14" s="321">
        <v>5071.39</v>
      </c>
      <c r="K14" s="321">
        <v>6009.7</v>
      </c>
      <c r="L14" s="321">
        <v>7264.21</v>
      </c>
      <c r="M14" s="321"/>
    </row>
    <row r="15" ht="15.75" customHeight="1">
      <c r="A15" s="317">
        <v>796.0</v>
      </c>
      <c r="B15" s="318" t="s">
        <v>33</v>
      </c>
      <c r="C15" s="318" t="s">
        <v>29</v>
      </c>
      <c r="D15" s="319" t="str">
        <f t="shared" si="1"/>
        <v>796Júnior</v>
      </c>
      <c r="E15" s="320">
        <v>6.0</v>
      </c>
      <c r="F15" s="320">
        <v>12.0</v>
      </c>
      <c r="G15" s="321">
        <v>2626.68</v>
      </c>
      <c r="H15" s="321">
        <v>3508.61</v>
      </c>
      <c r="I15" s="321">
        <v>4174.12</v>
      </c>
      <c r="J15" s="321">
        <v>3618.72</v>
      </c>
      <c r="K15" s="321">
        <v>5081.15</v>
      </c>
      <c r="L15" s="321">
        <v>5977.75</v>
      </c>
      <c r="M15" s="321"/>
    </row>
    <row r="16" ht="15.75" customHeight="1">
      <c r="A16" s="317">
        <v>796.0</v>
      </c>
      <c r="B16" s="318" t="s">
        <v>33</v>
      </c>
      <c r="C16" s="318" t="s">
        <v>24</v>
      </c>
      <c r="D16" s="319" t="str">
        <f t="shared" si="1"/>
        <v>796Pleno</v>
      </c>
      <c r="E16" s="320">
        <v>7.0</v>
      </c>
      <c r="F16" s="320">
        <v>12.0</v>
      </c>
      <c r="G16" s="321">
        <v>3810.77</v>
      </c>
      <c r="H16" s="321">
        <v>4192.12</v>
      </c>
      <c r="I16" s="321">
        <v>4717.97</v>
      </c>
      <c r="J16" s="321">
        <v>4465.27</v>
      </c>
      <c r="K16" s="321">
        <v>5273.23</v>
      </c>
      <c r="L16" s="321">
        <v>6105.55</v>
      </c>
      <c r="M16" s="321"/>
    </row>
    <row r="17" ht="15.75" customHeight="1">
      <c r="A17" s="317">
        <v>796.0</v>
      </c>
      <c r="B17" s="318" t="s">
        <v>33</v>
      </c>
      <c r="C17" s="318" t="s">
        <v>18</v>
      </c>
      <c r="D17" s="319" t="str">
        <f t="shared" si="1"/>
        <v>796Sênior</v>
      </c>
      <c r="E17" s="320">
        <v>5.0</v>
      </c>
      <c r="F17" s="320">
        <v>11.0</v>
      </c>
      <c r="G17" s="321">
        <v>6472.04</v>
      </c>
      <c r="H17" s="321">
        <v>7185.89</v>
      </c>
      <c r="I17" s="321">
        <v>7572.48</v>
      </c>
      <c r="J17" s="321">
        <v>7264.21</v>
      </c>
      <c r="K17" s="321">
        <v>8100.12</v>
      </c>
      <c r="L17" s="321">
        <v>8614.28</v>
      </c>
      <c r="M17" s="321"/>
    </row>
    <row r="18" ht="15.75" customHeight="1">
      <c r="A18" s="317">
        <v>796.0</v>
      </c>
      <c r="B18" s="318" t="s">
        <v>33</v>
      </c>
      <c r="C18" s="318" t="s">
        <v>130</v>
      </c>
      <c r="D18" s="319" t="str">
        <f t="shared" si="1"/>
        <v>796Master</v>
      </c>
      <c r="E18" s="320">
        <v>0.0</v>
      </c>
      <c r="F18" s="320">
        <v>0.0</v>
      </c>
      <c r="G18" s="321">
        <v>0.0</v>
      </c>
      <c r="H18" s="321">
        <v>0.0</v>
      </c>
      <c r="I18" s="321">
        <v>0.0</v>
      </c>
      <c r="J18" s="321">
        <v>0.0</v>
      </c>
      <c r="K18" s="321">
        <v>0.0</v>
      </c>
      <c r="L18" s="321">
        <v>0.0</v>
      </c>
      <c r="M18" s="321"/>
    </row>
    <row r="19" ht="15.75" customHeight="1">
      <c r="A19" s="317">
        <v>796.0</v>
      </c>
      <c r="B19" s="318" t="s">
        <v>33</v>
      </c>
      <c r="C19" s="318" t="s">
        <v>131</v>
      </c>
      <c r="D19" s="319" t="str">
        <f t="shared" si="1"/>
        <v>796Especialista</v>
      </c>
      <c r="E19" s="320">
        <v>0.0</v>
      </c>
      <c r="F19" s="320">
        <v>0.0</v>
      </c>
      <c r="G19" s="321">
        <v>0.0</v>
      </c>
      <c r="H19" s="321">
        <v>0.0</v>
      </c>
      <c r="I19" s="321">
        <v>0.0</v>
      </c>
      <c r="J19" s="321">
        <v>0.0</v>
      </c>
      <c r="K19" s="321">
        <v>0.0</v>
      </c>
      <c r="L19" s="321">
        <v>0.0</v>
      </c>
      <c r="M19" s="321"/>
    </row>
    <row r="20" ht="15.75" customHeight="1">
      <c r="A20" s="317"/>
      <c r="B20" s="318"/>
      <c r="C20" s="318"/>
      <c r="D20" s="319" t="str">
        <f t="shared" si="1"/>
        <v/>
      </c>
      <c r="E20" s="320"/>
      <c r="F20" s="320"/>
      <c r="G20" s="321"/>
      <c r="H20" s="321"/>
      <c r="I20" s="321"/>
      <c r="J20" s="321"/>
      <c r="K20" s="321"/>
      <c r="L20" s="321"/>
      <c r="M20" s="321"/>
    </row>
    <row r="21" ht="15.75" customHeight="1">
      <c r="A21" s="317"/>
      <c r="B21" s="318"/>
      <c r="C21" s="318"/>
      <c r="D21" s="319" t="str">
        <f t="shared" si="1"/>
        <v/>
      </c>
      <c r="E21" s="320"/>
      <c r="F21" s="320"/>
      <c r="G21" s="321"/>
      <c r="H21" s="321"/>
      <c r="I21" s="321"/>
      <c r="J21" s="321"/>
      <c r="K21" s="321"/>
      <c r="L21" s="321"/>
      <c r="M21" s="321"/>
    </row>
    <row r="22" ht="15.75" customHeight="1">
      <c r="A22" s="317"/>
      <c r="B22" s="318"/>
      <c r="C22" s="318"/>
      <c r="D22" s="319" t="str">
        <f t="shared" si="1"/>
        <v/>
      </c>
      <c r="E22" s="320"/>
      <c r="F22" s="320"/>
      <c r="G22" s="321"/>
      <c r="H22" s="321"/>
      <c r="I22" s="321"/>
      <c r="J22" s="321"/>
      <c r="K22" s="321"/>
      <c r="L22" s="321"/>
      <c r="M22" s="321"/>
    </row>
    <row r="23" ht="15.75" customHeight="1">
      <c r="A23" s="317"/>
      <c r="B23" s="318"/>
      <c r="C23" s="318"/>
      <c r="D23" s="319" t="str">
        <f t="shared" si="1"/>
        <v/>
      </c>
      <c r="E23" s="320"/>
      <c r="F23" s="320"/>
      <c r="G23" s="321"/>
      <c r="H23" s="321"/>
      <c r="I23" s="321"/>
      <c r="J23" s="321"/>
      <c r="K23" s="321"/>
      <c r="L23" s="321"/>
      <c r="M23" s="321"/>
    </row>
    <row r="24" ht="15.75" customHeight="1">
      <c r="A24" s="317"/>
      <c r="B24" s="318"/>
      <c r="C24" s="318"/>
      <c r="D24" s="319" t="str">
        <f t="shared" si="1"/>
        <v/>
      </c>
      <c r="E24" s="320"/>
      <c r="F24" s="320"/>
      <c r="G24" s="321"/>
      <c r="H24" s="321"/>
      <c r="I24" s="321"/>
      <c r="J24" s="321"/>
      <c r="K24" s="321"/>
      <c r="L24" s="321"/>
      <c r="M24" s="321"/>
    </row>
    <row r="25" ht="15.75" customHeight="1">
      <c r="A25" s="317"/>
      <c r="B25" s="318"/>
      <c r="C25" s="318"/>
      <c r="D25" s="319" t="str">
        <f t="shared" si="1"/>
        <v/>
      </c>
      <c r="E25" s="320"/>
      <c r="F25" s="320"/>
      <c r="G25" s="321"/>
      <c r="H25" s="321"/>
      <c r="I25" s="321"/>
      <c r="J25" s="321"/>
      <c r="K25" s="321"/>
      <c r="L25" s="321"/>
      <c r="M25" s="321"/>
    </row>
    <row r="26" ht="15.75" customHeight="1">
      <c r="A26" s="317"/>
      <c r="B26" s="318"/>
      <c r="C26" s="318"/>
      <c r="D26" s="319" t="str">
        <f t="shared" si="1"/>
        <v/>
      </c>
      <c r="E26" s="320"/>
      <c r="F26" s="320"/>
      <c r="G26" s="321"/>
      <c r="H26" s="321"/>
      <c r="I26" s="321"/>
      <c r="J26" s="321"/>
      <c r="K26" s="321"/>
      <c r="L26" s="321"/>
      <c r="M26" s="321"/>
    </row>
    <row r="27" ht="15.75" customHeight="1">
      <c r="A27" s="317"/>
      <c r="B27" s="318"/>
      <c r="C27" s="318"/>
      <c r="D27" s="319" t="str">
        <f t="shared" si="1"/>
        <v/>
      </c>
      <c r="E27" s="320"/>
      <c r="F27" s="320"/>
      <c r="G27" s="321"/>
      <c r="H27" s="321"/>
      <c r="I27" s="321"/>
      <c r="J27" s="321"/>
      <c r="K27" s="321"/>
      <c r="L27" s="321"/>
      <c r="M27" s="321"/>
    </row>
    <row r="28" ht="15.75" customHeight="1">
      <c r="A28" s="317"/>
      <c r="B28" s="318"/>
      <c r="C28" s="318"/>
      <c r="D28" s="319" t="str">
        <f t="shared" si="1"/>
        <v/>
      </c>
      <c r="E28" s="320"/>
      <c r="F28" s="320"/>
      <c r="G28" s="321"/>
      <c r="H28" s="321"/>
      <c r="I28" s="321"/>
      <c r="J28" s="321"/>
      <c r="K28" s="321"/>
      <c r="L28" s="321"/>
      <c r="M28" s="321"/>
    </row>
    <row r="29" ht="15.75" customHeight="1">
      <c r="A29" s="317"/>
      <c r="B29" s="318"/>
      <c r="C29" s="318"/>
      <c r="D29" s="319" t="str">
        <f t="shared" si="1"/>
        <v/>
      </c>
      <c r="E29" s="320"/>
      <c r="F29" s="320"/>
      <c r="G29" s="321"/>
      <c r="H29" s="321"/>
      <c r="I29" s="321"/>
      <c r="J29" s="321"/>
      <c r="K29" s="321"/>
      <c r="L29" s="321"/>
      <c r="M29" s="321"/>
    </row>
    <row r="30" ht="15.75" customHeight="1">
      <c r="A30" s="317"/>
      <c r="B30" s="318"/>
      <c r="C30" s="318"/>
      <c r="D30" s="319" t="str">
        <f t="shared" si="1"/>
        <v/>
      </c>
      <c r="E30" s="320"/>
      <c r="F30" s="320"/>
      <c r="G30" s="321"/>
      <c r="H30" s="321"/>
      <c r="I30" s="321"/>
      <c r="J30" s="321"/>
      <c r="K30" s="321"/>
      <c r="L30" s="321"/>
      <c r="M30" s="321"/>
    </row>
    <row r="31" ht="15.75" customHeight="1">
      <c r="A31" s="317"/>
      <c r="B31" s="318"/>
      <c r="C31" s="318"/>
      <c r="D31" s="319" t="str">
        <f t="shared" si="1"/>
        <v/>
      </c>
      <c r="E31" s="320"/>
      <c r="F31" s="320"/>
      <c r="G31" s="321"/>
      <c r="H31" s="321"/>
      <c r="I31" s="321"/>
      <c r="J31" s="321"/>
      <c r="K31" s="321"/>
      <c r="L31" s="321"/>
      <c r="M31" s="321"/>
    </row>
    <row r="32" ht="15.75" customHeight="1">
      <c r="A32" s="317"/>
      <c r="B32" s="318"/>
      <c r="C32" s="318"/>
      <c r="D32" s="319" t="str">
        <f t="shared" si="1"/>
        <v/>
      </c>
      <c r="E32" s="320"/>
      <c r="F32" s="320"/>
      <c r="G32" s="321"/>
      <c r="H32" s="321"/>
      <c r="I32" s="321"/>
      <c r="J32" s="321"/>
      <c r="K32" s="321"/>
      <c r="L32" s="321"/>
      <c r="M32" s="321"/>
    </row>
    <row r="33" ht="15.75" customHeight="1">
      <c r="A33" s="317"/>
      <c r="B33" s="318"/>
      <c r="C33" s="318"/>
      <c r="D33" s="319" t="str">
        <f t="shared" si="1"/>
        <v/>
      </c>
      <c r="E33" s="320"/>
      <c r="F33" s="320"/>
      <c r="G33" s="321"/>
      <c r="H33" s="321"/>
      <c r="I33" s="321"/>
      <c r="J33" s="321"/>
      <c r="K33" s="321"/>
      <c r="L33" s="321"/>
      <c r="M33" s="321"/>
    </row>
    <row r="34" ht="15.75" customHeight="1">
      <c r="A34" s="317"/>
      <c r="B34" s="318"/>
      <c r="C34" s="318"/>
      <c r="D34" s="319" t="str">
        <f t="shared" si="1"/>
        <v/>
      </c>
      <c r="E34" s="320"/>
      <c r="F34" s="320"/>
      <c r="G34" s="321"/>
      <c r="H34" s="321"/>
      <c r="I34" s="321"/>
      <c r="J34" s="321"/>
      <c r="K34" s="321"/>
      <c r="L34" s="321"/>
      <c r="M34" s="321"/>
    </row>
    <row r="35" ht="15.75" customHeight="1">
      <c r="A35" s="317"/>
      <c r="B35" s="318"/>
      <c r="C35" s="318"/>
      <c r="D35" s="319" t="str">
        <f t="shared" si="1"/>
        <v/>
      </c>
      <c r="E35" s="320"/>
      <c r="F35" s="320"/>
      <c r="G35" s="321"/>
      <c r="H35" s="321"/>
      <c r="I35" s="321"/>
      <c r="J35" s="321"/>
      <c r="K35" s="321"/>
      <c r="L35" s="321"/>
      <c r="M35" s="321"/>
    </row>
    <row r="36" ht="15.75" customHeight="1">
      <c r="A36" s="317"/>
      <c r="B36" s="318"/>
      <c r="C36" s="318"/>
      <c r="D36" s="319" t="str">
        <f t="shared" si="1"/>
        <v/>
      </c>
      <c r="E36" s="320"/>
      <c r="F36" s="320"/>
      <c r="G36" s="321"/>
      <c r="H36" s="321"/>
      <c r="I36" s="321"/>
      <c r="J36" s="321"/>
      <c r="K36" s="321"/>
      <c r="L36" s="321"/>
      <c r="M36" s="321"/>
    </row>
    <row r="37" ht="15.75" customHeight="1">
      <c r="A37" s="317"/>
      <c r="B37" s="318"/>
      <c r="C37" s="318"/>
      <c r="D37" s="319" t="str">
        <f t="shared" si="1"/>
        <v/>
      </c>
      <c r="E37" s="320"/>
      <c r="F37" s="320"/>
      <c r="G37" s="321"/>
      <c r="H37" s="321"/>
      <c r="I37" s="321"/>
      <c r="J37" s="321"/>
      <c r="K37" s="321"/>
      <c r="L37" s="321"/>
      <c r="M37" s="321"/>
    </row>
    <row r="38" ht="15.75" customHeight="1">
      <c r="A38" s="317"/>
      <c r="B38" s="318"/>
      <c r="C38" s="318"/>
      <c r="D38" s="319" t="str">
        <f t="shared" si="1"/>
        <v/>
      </c>
      <c r="E38" s="320"/>
      <c r="F38" s="320"/>
      <c r="G38" s="321"/>
      <c r="H38" s="321"/>
      <c r="I38" s="321"/>
      <c r="J38" s="321"/>
      <c r="K38" s="321"/>
      <c r="L38" s="321"/>
      <c r="M38" s="321"/>
    </row>
    <row r="39" ht="15.75" customHeight="1">
      <c r="A39" s="317"/>
      <c r="B39" s="318"/>
      <c r="C39" s="318"/>
      <c r="D39" s="319" t="str">
        <f t="shared" si="1"/>
        <v/>
      </c>
      <c r="E39" s="320"/>
      <c r="F39" s="320"/>
      <c r="G39" s="321"/>
      <c r="H39" s="321"/>
      <c r="I39" s="321"/>
      <c r="J39" s="321"/>
      <c r="K39" s="321"/>
      <c r="L39" s="321"/>
      <c r="M39" s="321"/>
    </row>
    <row r="40" ht="15.75" customHeight="1">
      <c r="A40" s="317"/>
      <c r="B40" s="318"/>
      <c r="C40" s="318"/>
      <c r="D40" s="319" t="str">
        <f t="shared" si="1"/>
        <v/>
      </c>
      <c r="E40" s="320"/>
      <c r="F40" s="320"/>
      <c r="G40" s="321"/>
      <c r="H40" s="321"/>
      <c r="I40" s="321"/>
      <c r="J40" s="321"/>
      <c r="K40" s="321"/>
      <c r="L40" s="321"/>
      <c r="M40" s="321"/>
    </row>
    <row r="41" ht="15.75" customHeight="1">
      <c r="A41" s="317"/>
      <c r="B41" s="318"/>
      <c r="C41" s="318"/>
      <c r="D41" s="319" t="str">
        <f t="shared" si="1"/>
        <v/>
      </c>
      <c r="E41" s="320"/>
      <c r="F41" s="320"/>
      <c r="G41" s="321"/>
      <c r="H41" s="321"/>
      <c r="I41" s="321"/>
      <c r="J41" s="321"/>
      <c r="K41" s="321"/>
      <c r="L41" s="321"/>
      <c r="M41" s="321"/>
    </row>
    <row r="42" ht="15.75" customHeight="1">
      <c r="A42" s="317"/>
      <c r="B42" s="318"/>
      <c r="C42" s="318"/>
      <c r="D42" s="319" t="str">
        <f t="shared" si="1"/>
        <v/>
      </c>
      <c r="E42" s="320"/>
      <c r="F42" s="320"/>
      <c r="G42" s="321"/>
      <c r="H42" s="321"/>
      <c r="I42" s="321"/>
      <c r="J42" s="321"/>
      <c r="K42" s="321"/>
      <c r="L42" s="321"/>
      <c r="M42" s="321"/>
    </row>
    <row r="43" ht="15.75" customHeight="1">
      <c r="A43" s="317"/>
      <c r="B43" s="318"/>
      <c r="C43" s="318"/>
      <c r="D43" s="319" t="str">
        <f t="shared" si="1"/>
        <v/>
      </c>
      <c r="E43" s="320"/>
      <c r="F43" s="320"/>
      <c r="G43" s="321"/>
      <c r="H43" s="321"/>
      <c r="I43" s="321"/>
      <c r="J43" s="321"/>
      <c r="K43" s="321"/>
      <c r="L43" s="321"/>
      <c r="M43" s="321"/>
    </row>
    <row r="44" ht="15.75" customHeight="1">
      <c r="A44" s="317"/>
      <c r="B44" s="318"/>
      <c r="C44" s="318"/>
      <c r="D44" s="319" t="str">
        <f t="shared" si="1"/>
        <v/>
      </c>
      <c r="E44" s="320"/>
      <c r="F44" s="320"/>
      <c r="G44" s="321"/>
      <c r="H44" s="321"/>
      <c r="I44" s="321"/>
      <c r="J44" s="321"/>
      <c r="K44" s="321"/>
      <c r="L44" s="321"/>
      <c r="M44" s="321"/>
    </row>
    <row r="45" ht="15.75" customHeight="1">
      <c r="A45" s="317"/>
      <c r="B45" s="318"/>
      <c r="C45" s="318"/>
      <c r="D45" s="319" t="str">
        <f t="shared" si="1"/>
        <v/>
      </c>
      <c r="E45" s="320"/>
      <c r="F45" s="320"/>
      <c r="G45" s="321"/>
      <c r="H45" s="321"/>
      <c r="I45" s="321"/>
      <c r="J45" s="321"/>
      <c r="K45" s="321"/>
      <c r="L45" s="321"/>
      <c r="M45" s="321"/>
    </row>
    <row r="46" ht="15.75" customHeight="1">
      <c r="A46" s="317"/>
      <c r="B46" s="318"/>
      <c r="C46" s="318"/>
      <c r="D46" s="319" t="str">
        <f t="shared" si="1"/>
        <v/>
      </c>
      <c r="E46" s="320"/>
      <c r="F46" s="320"/>
      <c r="G46" s="321"/>
      <c r="H46" s="321"/>
      <c r="I46" s="321"/>
      <c r="J46" s="321"/>
      <c r="K46" s="321"/>
      <c r="L46" s="321"/>
      <c r="M46" s="321"/>
    </row>
    <row r="47" ht="15.75" customHeight="1">
      <c r="A47" s="317"/>
      <c r="B47" s="318"/>
      <c r="C47" s="318"/>
      <c r="D47" s="319" t="str">
        <f t="shared" si="1"/>
        <v/>
      </c>
      <c r="E47" s="320"/>
      <c r="F47" s="320"/>
      <c r="G47" s="321"/>
      <c r="H47" s="321"/>
      <c r="I47" s="321"/>
      <c r="J47" s="321"/>
      <c r="K47" s="321"/>
      <c r="L47" s="321"/>
      <c r="M47" s="321"/>
    </row>
    <row r="48" ht="15.75" customHeight="1">
      <c r="A48" s="317"/>
      <c r="B48" s="318"/>
      <c r="C48" s="318"/>
      <c r="D48" s="319" t="str">
        <f t="shared" si="1"/>
        <v/>
      </c>
      <c r="E48" s="320"/>
      <c r="F48" s="320"/>
      <c r="G48" s="321"/>
      <c r="H48" s="321"/>
      <c r="I48" s="321"/>
      <c r="J48" s="321"/>
      <c r="K48" s="321"/>
      <c r="L48" s="321"/>
      <c r="M48" s="321"/>
    </row>
    <row r="49" ht="15.75" customHeight="1">
      <c r="A49" s="317"/>
      <c r="B49" s="318"/>
      <c r="C49" s="318"/>
      <c r="D49" s="319" t="str">
        <f t="shared" si="1"/>
        <v/>
      </c>
      <c r="E49" s="320"/>
      <c r="F49" s="320"/>
      <c r="G49" s="321"/>
      <c r="H49" s="321"/>
      <c r="I49" s="321"/>
      <c r="J49" s="321"/>
      <c r="K49" s="321"/>
      <c r="L49" s="321"/>
      <c r="M49" s="321"/>
    </row>
    <row r="50" ht="15.75" customHeight="1">
      <c r="A50" s="317"/>
      <c r="B50" s="318"/>
      <c r="C50" s="318"/>
      <c r="D50" s="319" t="str">
        <f t="shared" si="1"/>
        <v/>
      </c>
      <c r="E50" s="320"/>
      <c r="F50" s="320"/>
      <c r="G50" s="321"/>
      <c r="H50" s="321"/>
      <c r="I50" s="321"/>
      <c r="J50" s="321"/>
      <c r="K50" s="321"/>
      <c r="L50" s="321"/>
      <c r="M50" s="321"/>
    </row>
    <row r="51" ht="15.75" customHeight="1">
      <c r="A51" s="317"/>
      <c r="B51" s="318"/>
      <c r="C51" s="318"/>
      <c r="D51" s="319" t="str">
        <f t="shared" si="1"/>
        <v/>
      </c>
      <c r="E51" s="320"/>
      <c r="F51" s="320"/>
      <c r="G51" s="321"/>
      <c r="H51" s="321"/>
      <c r="I51" s="321"/>
      <c r="J51" s="321"/>
      <c r="K51" s="321"/>
      <c r="L51" s="321"/>
      <c r="M51" s="321"/>
    </row>
    <row r="52" ht="15.75" customHeight="1">
      <c r="A52" s="317"/>
      <c r="B52" s="318"/>
      <c r="C52" s="318"/>
      <c r="D52" s="319" t="str">
        <f t="shared" si="1"/>
        <v/>
      </c>
      <c r="E52" s="320"/>
      <c r="F52" s="320"/>
      <c r="G52" s="321"/>
      <c r="H52" s="321"/>
      <c r="I52" s="321"/>
      <c r="J52" s="321"/>
      <c r="K52" s="321"/>
      <c r="L52" s="321"/>
      <c r="M52" s="321"/>
    </row>
    <row r="53" ht="15.75" customHeight="1">
      <c r="A53" s="317"/>
      <c r="B53" s="318"/>
      <c r="C53" s="318"/>
      <c r="D53" s="319" t="str">
        <f t="shared" si="1"/>
        <v/>
      </c>
      <c r="E53" s="320"/>
      <c r="F53" s="320"/>
      <c r="G53" s="321"/>
      <c r="H53" s="321"/>
      <c r="I53" s="321"/>
      <c r="J53" s="321"/>
      <c r="K53" s="321"/>
      <c r="L53" s="321"/>
      <c r="M53" s="321"/>
    </row>
    <row r="54" ht="15.75" customHeight="1">
      <c r="A54" s="317"/>
      <c r="B54" s="318"/>
      <c r="C54" s="318"/>
      <c r="D54" s="319" t="str">
        <f t="shared" si="1"/>
        <v/>
      </c>
      <c r="E54" s="320"/>
      <c r="F54" s="320"/>
      <c r="G54" s="321"/>
      <c r="H54" s="321"/>
      <c r="I54" s="321"/>
      <c r="J54" s="321"/>
      <c r="K54" s="321"/>
      <c r="L54" s="321"/>
      <c r="M54" s="321"/>
    </row>
    <row r="55" ht="15.75" customHeight="1">
      <c r="A55" s="317"/>
      <c r="B55" s="318"/>
      <c r="C55" s="318"/>
      <c r="D55" s="319" t="str">
        <f t="shared" si="1"/>
        <v/>
      </c>
      <c r="E55" s="320"/>
      <c r="F55" s="320"/>
      <c r="G55" s="321"/>
      <c r="H55" s="321"/>
      <c r="I55" s="321"/>
      <c r="J55" s="321"/>
      <c r="K55" s="321"/>
      <c r="L55" s="321"/>
      <c r="M55" s="321"/>
    </row>
    <row r="56" ht="15.75" customHeight="1">
      <c r="A56" s="317"/>
      <c r="B56" s="318"/>
      <c r="C56" s="318"/>
      <c r="D56" s="319" t="str">
        <f t="shared" si="1"/>
        <v/>
      </c>
      <c r="E56" s="320"/>
      <c r="F56" s="320"/>
      <c r="G56" s="321"/>
      <c r="H56" s="321"/>
      <c r="I56" s="321"/>
      <c r="J56" s="321"/>
      <c r="K56" s="321"/>
      <c r="L56" s="321"/>
      <c r="M56" s="321"/>
    </row>
    <row r="57" ht="15.75" customHeight="1">
      <c r="A57" s="317"/>
      <c r="B57" s="318"/>
      <c r="C57" s="318"/>
      <c r="D57" s="319" t="str">
        <f t="shared" si="1"/>
        <v/>
      </c>
      <c r="E57" s="320"/>
      <c r="F57" s="320"/>
      <c r="G57" s="321"/>
      <c r="H57" s="321"/>
      <c r="I57" s="321"/>
      <c r="J57" s="321"/>
      <c r="K57" s="321"/>
      <c r="L57" s="321"/>
      <c r="M57" s="321"/>
    </row>
    <row r="58" ht="15.75" customHeight="1">
      <c r="A58" s="317"/>
      <c r="B58" s="318"/>
      <c r="C58" s="318"/>
      <c r="D58" s="319" t="str">
        <f t="shared" si="1"/>
        <v/>
      </c>
      <c r="E58" s="320"/>
      <c r="F58" s="320"/>
      <c r="G58" s="321"/>
      <c r="H58" s="321"/>
      <c r="I58" s="321"/>
      <c r="J58" s="321"/>
      <c r="K58" s="321"/>
      <c r="L58" s="321"/>
      <c r="M58" s="321"/>
    </row>
    <row r="59" ht="15.75" customHeight="1">
      <c r="A59" s="317"/>
      <c r="B59" s="318"/>
      <c r="C59" s="318"/>
      <c r="D59" s="319" t="str">
        <f t="shared" si="1"/>
        <v/>
      </c>
      <c r="E59" s="320"/>
      <c r="F59" s="320"/>
      <c r="G59" s="321"/>
      <c r="H59" s="321"/>
      <c r="I59" s="321"/>
      <c r="J59" s="321"/>
      <c r="K59" s="321"/>
      <c r="L59" s="321"/>
      <c r="M59" s="321"/>
    </row>
    <row r="60" ht="15.75" customHeight="1">
      <c r="A60" s="317"/>
      <c r="B60" s="318"/>
      <c r="C60" s="318"/>
      <c r="D60" s="319" t="str">
        <f t="shared" si="1"/>
        <v/>
      </c>
      <c r="E60" s="320"/>
      <c r="F60" s="320"/>
      <c r="G60" s="321"/>
      <c r="H60" s="321"/>
      <c r="I60" s="321"/>
      <c r="J60" s="321"/>
      <c r="K60" s="321"/>
      <c r="L60" s="321"/>
      <c r="M60" s="321"/>
    </row>
    <row r="61" ht="15.75" customHeight="1">
      <c r="A61" s="317"/>
      <c r="B61" s="318"/>
      <c r="C61" s="318"/>
      <c r="D61" s="319" t="str">
        <f t="shared" si="1"/>
        <v/>
      </c>
      <c r="E61" s="320"/>
      <c r="F61" s="320"/>
      <c r="G61" s="321"/>
      <c r="H61" s="321"/>
      <c r="I61" s="321"/>
      <c r="J61" s="321"/>
      <c r="K61" s="321"/>
      <c r="L61" s="321"/>
      <c r="M61" s="321"/>
    </row>
    <row r="62" ht="15.75" customHeight="1">
      <c r="A62" s="317"/>
      <c r="B62" s="318"/>
      <c r="C62" s="318"/>
      <c r="D62" s="319" t="str">
        <f t="shared" si="1"/>
        <v/>
      </c>
      <c r="E62" s="320"/>
      <c r="F62" s="320"/>
      <c r="G62" s="321"/>
      <c r="H62" s="321"/>
      <c r="I62" s="321"/>
      <c r="J62" s="321"/>
      <c r="K62" s="321"/>
      <c r="L62" s="321"/>
      <c r="M62" s="321"/>
    </row>
    <row r="63" ht="15.75" customHeight="1">
      <c r="A63" s="317"/>
      <c r="B63" s="318"/>
      <c r="C63" s="318"/>
      <c r="D63" s="319" t="str">
        <f t="shared" si="1"/>
        <v/>
      </c>
      <c r="E63" s="320"/>
      <c r="F63" s="320"/>
      <c r="G63" s="321"/>
      <c r="H63" s="321"/>
      <c r="I63" s="321"/>
      <c r="J63" s="321"/>
      <c r="K63" s="321"/>
      <c r="L63" s="321"/>
      <c r="M63" s="321"/>
    </row>
    <row r="64" ht="15.75" customHeight="1">
      <c r="A64" s="317"/>
      <c r="B64" s="318"/>
      <c r="C64" s="318"/>
      <c r="D64" s="319" t="str">
        <f t="shared" si="1"/>
        <v/>
      </c>
      <c r="E64" s="320"/>
      <c r="F64" s="320"/>
      <c r="G64" s="321"/>
      <c r="H64" s="321"/>
      <c r="I64" s="321"/>
      <c r="J64" s="321"/>
      <c r="K64" s="321"/>
      <c r="L64" s="321"/>
      <c r="M64" s="321"/>
    </row>
    <row r="65" ht="15.75" customHeight="1">
      <c r="A65" s="317"/>
      <c r="B65" s="318"/>
      <c r="C65" s="318"/>
      <c r="D65" s="319" t="str">
        <f t="shared" si="1"/>
        <v/>
      </c>
      <c r="E65" s="320"/>
      <c r="F65" s="320"/>
      <c r="G65" s="321"/>
      <c r="H65" s="321"/>
      <c r="I65" s="321"/>
      <c r="J65" s="321"/>
      <c r="K65" s="321"/>
      <c r="L65" s="321"/>
      <c r="M65" s="321"/>
    </row>
    <row r="66" ht="15.75" customHeight="1">
      <c r="A66" s="317"/>
      <c r="B66" s="318"/>
      <c r="C66" s="318"/>
      <c r="D66" s="319" t="str">
        <f t="shared" si="1"/>
        <v/>
      </c>
      <c r="E66" s="320"/>
      <c r="F66" s="320"/>
      <c r="G66" s="321"/>
      <c r="H66" s="321"/>
      <c r="I66" s="321"/>
      <c r="J66" s="321"/>
      <c r="K66" s="321"/>
      <c r="L66" s="321"/>
      <c r="M66" s="321"/>
    </row>
    <row r="67" ht="15.75" customHeight="1">
      <c r="A67" s="317"/>
      <c r="B67" s="318"/>
      <c r="C67" s="318"/>
      <c r="D67" s="319" t="str">
        <f t="shared" si="1"/>
        <v/>
      </c>
      <c r="E67" s="320"/>
      <c r="F67" s="320"/>
      <c r="G67" s="321"/>
      <c r="H67" s="321"/>
      <c r="I67" s="321"/>
      <c r="J67" s="321"/>
      <c r="K67" s="321"/>
      <c r="L67" s="321"/>
      <c r="M67" s="321"/>
    </row>
    <row r="68" ht="15.75" customHeight="1">
      <c r="A68" s="317"/>
      <c r="B68" s="318"/>
      <c r="C68" s="318"/>
      <c r="D68" s="319" t="str">
        <f t="shared" si="1"/>
        <v/>
      </c>
      <c r="E68" s="320"/>
      <c r="F68" s="320"/>
      <c r="G68" s="321"/>
      <c r="H68" s="321"/>
      <c r="I68" s="321"/>
      <c r="J68" s="321"/>
      <c r="K68" s="321"/>
      <c r="L68" s="321"/>
      <c r="M68" s="321"/>
    </row>
    <row r="69" ht="15.75" customHeight="1">
      <c r="A69" s="317"/>
      <c r="B69" s="318"/>
      <c r="C69" s="318"/>
      <c r="D69" s="319" t="str">
        <f t="shared" si="1"/>
        <v/>
      </c>
      <c r="E69" s="320"/>
      <c r="F69" s="320"/>
      <c r="G69" s="321"/>
      <c r="H69" s="321"/>
      <c r="I69" s="321"/>
      <c r="J69" s="321"/>
      <c r="K69" s="321"/>
      <c r="L69" s="321"/>
      <c r="M69" s="321"/>
    </row>
    <row r="70" ht="15.75" customHeight="1">
      <c r="A70" s="317"/>
      <c r="B70" s="318"/>
      <c r="C70" s="318"/>
      <c r="D70" s="319" t="str">
        <f t="shared" si="1"/>
        <v/>
      </c>
      <c r="E70" s="320"/>
      <c r="F70" s="320"/>
      <c r="G70" s="321"/>
      <c r="H70" s="321"/>
      <c r="I70" s="321"/>
      <c r="J70" s="321"/>
      <c r="K70" s="321"/>
      <c r="L70" s="321"/>
      <c r="M70" s="321"/>
    </row>
    <row r="71" ht="15.75" customHeight="1">
      <c r="A71" s="317"/>
      <c r="B71" s="318"/>
      <c r="C71" s="318"/>
      <c r="D71" s="319" t="str">
        <f t="shared" si="1"/>
        <v/>
      </c>
      <c r="E71" s="320"/>
      <c r="F71" s="320"/>
      <c r="G71" s="321"/>
      <c r="H71" s="321"/>
      <c r="I71" s="321"/>
      <c r="J71" s="321"/>
      <c r="K71" s="321"/>
      <c r="L71" s="321"/>
      <c r="M71" s="321"/>
    </row>
    <row r="72" ht="15.75" customHeight="1">
      <c r="A72" s="317"/>
      <c r="B72" s="318"/>
      <c r="C72" s="318"/>
      <c r="D72" s="319" t="str">
        <f t="shared" si="1"/>
        <v/>
      </c>
      <c r="E72" s="320"/>
      <c r="F72" s="320"/>
      <c r="G72" s="321"/>
      <c r="H72" s="321"/>
      <c r="I72" s="321"/>
      <c r="J72" s="321"/>
      <c r="K72" s="321"/>
      <c r="L72" s="321"/>
      <c r="M72" s="321"/>
    </row>
    <row r="73" ht="15.75" customHeight="1">
      <c r="A73" s="317"/>
      <c r="B73" s="318"/>
      <c r="C73" s="318"/>
      <c r="D73" s="319" t="str">
        <f t="shared" si="1"/>
        <v/>
      </c>
      <c r="E73" s="320"/>
      <c r="F73" s="320"/>
      <c r="G73" s="321"/>
      <c r="H73" s="321"/>
      <c r="I73" s="321"/>
      <c r="J73" s="321"/>
      <c r="K73" s="321"/>
      <c r="L73" s="321"/>
      <c r="M73" s="321"/>
    </row>
    <row r="74" ht="15.75" customHeight="1">
      <c r="A74" s="317"/>
      <c r="B74" s="318"/>
      <c r="C74" s="318"/>
      <c r="D74" s="319" t="str">
        <f t="shared" si="1"/>
        <v/>
      </c>
      <c r="E74" s="320"/>
      <c r="F74" s="320"/>
      <c r="G74" s="321"/>
      <c r="H74" s="321"/>
      <c r="I74" s="321"/>
      <c r="J74" s="321"/>
      <c r="K74" s="321"/>
      <c r="L74" s="321"/>
      <c r="M74" s="321"/>
    </row>
    <row r="75" ht="15.75" customHeight="1">
      <c r="A75" s="317"/>
      <c r="B75" s="318"/>
      <c r="C75" s="318"/>
      <c r="D75" s="319" t="str">
        <f t="shared" si="1"/>
        <v/>
      </c>
      <c r="E75" s="320"/>
      <c r="F75" s="320"/>
      <c r="G75" s="321"/>
      <c r="H75" s="321"/>
      <c r="I75" s="321"/>
      <c r="J75" s="321"/>
      <c r="K75" s="321"/>
      <c r="L75" s="321"/>
      <c r="M75" s="321"/>
    </row>
    <row r="76" ht="15.75" customHeight="1">
      <c r="A76" s="317"/>
      <c r="B76" s="318"/>
      <c r="C76" s="318"/>
      <c r="D76" s="319" t="str">
        <f t="shared" si="1"/>
        <v/>
      </c>
      <c r="E76" s="320"/>
      <c r="F76" s="320"/>
      <c r="G76" s="321"/>
      <c r="H76" s="321"/>
      <c r="I76" s="321"/>
      <c r="J76" s="321"/>
      <c r="K76" s="321"/>
      <c r="L76" s="321"/>
      <c r="M76" s="321"/>
    </row>
    <row r="77" ht="15.75" customHeight="1">
      <c r="A77" s="317"/>
      <c r="B77" s="318"/>
      <c r="C77" s="318"/>
      <c r="D77" s="319" t="str">
        <f t="shared" si="1"/>
        <v/>
      </c>
      <c r="E77" s="320"/>
      <c r="F77" s="320"/>
      <c r="G77" s="321"/>
      <c r="H77" s="321"/>
      <c r="I77" s="321"/>
      <c r="J77" s="321"/>
      <c r="K77" s="321"/>
      <c r="L77" s="321"/>
      <c r="M77" s="321"/>
    </row>
    <row r="78" ht="15.75" customHeight="1">
      <c r="A78" s="317"/>
      <c r="B78" s="318"/>
      <c r="C78" s="318"/>
      <c r="D78" s="319" t="str">
        <f t="shared" si="1"/>
        <v/>
      </c>
      <c r="E78" s="320"/>
      <c r="F78" s="320"/>
      <c r="G78" s="321"/>
      <c r="H78" s="321"/>
      <c r="I78" s="321"/>
      <c r="J78" s="321"/>
      <c r="K78" s="321"/>
      <c r="L78" s="321"/>
      <c r="M78" s="321"/>
    </row>
    <row r="79" ht="15.75" customHeight="1">
      <c r="A79" s="317"/>
      <c r="B79" s="318"/>
      <c r="C79" s="318"/>
      <c r="D79" s="319" t="str">
        <f t="shared" si="1"/>
        <v/>
      </c>
      <c r="E79" s="320"/>
      <c r="F79" s="320"/>
      <c r="G79" s="321"/>
      <c r="H79" s="321"/>
      <c r="I79" s="321"/>
      <c r="J79" s="321"/>
      <c r="K79" s="321"/>
      <c r="L79" s="321"/>
      <c r="M79" s="321"/>
    </row>
    <row r="80" ht="15.75" customHeight="1">
      <c r="A80" s="317"/>
      <c r="B80" s="318"/>
      <c r="C80" s="322"/>
      <c r="D80" s="319" t="str">
        <f t="shared" si="1"/>
        <v/>
      </c>
      <c r="E80" s="320"/>
      <c r="F80" s="321"/>
      <c r="G80" s="321"/>
      <c r="H80" s="321"/>
      <c r="I80" s="321"/>
      <c r="J80" s="321"/>
      <c r="K80" s="321"/>
      <c r="L80" s="321"/>
    </row>
    <row r="81" ht="15.75" customHeight="1">
      <c r="A81" s="317"/>
      <c r="B81" s="318"/>
      <c r="C81" s="322"/>
      <c r="D81" s="319" t="str">
        <f t="shared" si="1"/>
        <v/>
      </c>
      <c r="E81" s="320"/>
      <c r="F81" s="321"/>
      <c r="G81" s="321"/>
      <c r="H81" s="321"/>
      <c r="I81" s="321"/>
      <c r="J81" s="321"/>
      <c r="K81" s="321"/>
      <c r="L81" s="321"/>
    </row>
    <row r="82" ht="15.75" customHeight="1">
      <c r="A82" s="317"/>
      <c r="B82" s="318"/>
      <c r="C82" s="322"/>
      <c r="D82" s="319" t="str">
        <f t="shared" si="1"/>
        <v/>
      </c>
      <c r="E82" s="320"/>
      <c r="F82" s="321"/>
      <c r="G82" s="321"/>
      <c r="H82" s="321"/>
      <c r="I82" s="321"/>
      <c r="J82" s="321"/>
      <c r="K82" s="321"/>
      <c r="L82" s="321"/>
    </row>
    <row r="83" ht="15.75" customHeight="1">
      <c r="A83" s="317"/>
      <c r="B83" s="318"/>
      <c r="C83" s="322"/>
      <c r="D83" s="319" t="str">
        <f t="shared" si="1"/>
        <v/>
      </c>
      <c r="E83" s="320"/>
      <c r="F83" s="321"/>
      <c r="G83" s="321"/>
      <c r="H83" s="321"/>
      <c r="I83" s="321"/>
      <c r="J83" s="321"/>
      <c r="K83" s="321"/>
      <c r="L83" s="321"/>
    </row>
    <row r="84" ht="15.75" customHeight="1">
      <c r="A84" s="317"/>
      <c r="B84" s="318"/>
      <c r="C84" s="322"/>
      <c r="D84" s="319" t="str">
        <f t="shared" si="1"/>
        <v/>
      </c>
      <c r="E84" s="320"/>
      <c r="F84" s="321"/>
      <c r="G84" s="321"/>
      <c r="H84" s="321"/>
      <c r="I84" s="321"/>
      <c r="J84" s="321"/>
      <c r="K84" s="321"/>
      <c r="L84" s="321"/>
    </row>
    <row r="85" ht="15.75" customHeight="1">
      <c r="A85" s="317"/>
      <c r="B85" s="318"/>
      <c r="C85" s="322"/>
      <c r="D85" s="319" t="str">
        <f t="shared" si="1"/>
        <v/>
      </c>
      <c r="E85" s="320"/>
      <c r="F85" s="321"/>
      <c r="G85" s="321"/>
      <c r="H85" s="321"/>
      <c r="I85" s="321"/>
      <c r="J85" s="321"/>
      <c r="K85" s="321"/>
      <c r="L85" s="321"/>
    </row>
    <row r="86" ht="15.75" customHeight="1">
      <c r="A86" s="317"/>
      <c r="B86" s="318"/>
      <c r="C86" s="318"/>
      <c r="D86" s="319" t="str">
        <f t="shared" si="1"/>
        <v/>
      </c>
      <c r="E86" s="320"/>
      <c r="F86" s="320"/>
      <c r="G86" s="321"/>
      <c r="H86" s="321"/>
      <c r="I86" s="321"/>
      <c r="J86" s="321"/>
      <c r="K86" s="321"/>
      <c r="L86" s="321"/>
      <c r="M86" s="321"/>
    </row>
    <row r="87" ht="15.75" customHeight="1">
      <c r="A87" s="317"/>
      <c r="B87" s="318"/>
      <c r="C87" s="318"/>
      <c r="D87" s="319" t="str">
        <f t="shared" si="1"/>
        <v/>
      </c>
      <c r="E87" s="320"/>
      <c r="F87" s="320"/>
      <c r="G87" s="321"/>
      <c r="H87" s="321"/>
      <c r="I87" s="321"/>
      <c r="J87" s="321"/>
      <c r="K87" s="321"/>
      <c r="L87" s="321"/>
      <c r="M87" s="321"/>
    </row>
    <row r="88" ht="15.75" customHeight="1">
      <c r="A88" s="317"/>
      <c r="B88" s="318"/>
      <c r="C88" s="318"/>
      <c r="D88" s="319" t="str">
        <f t="shared" si="1"/>
        <v/>
      </c>
      <c r="E88" s="320"/>
      <c r="F88" s="320"/>
      <c r="G88" s="321"/>
      <c r="H88" s="321"/>
      <c r="I88" s="321"/>
      <c r="J88" s="321"/>
      <c r="K88" s="321"/>
      <c r="L88" s="321"/>
      <c r="M88" s="321"/>
    </row>
    <row r="89" ht="15.75" customHeight="1">
      <c r="A89" s="317"/>
      <c r="B89" s="318"/>
      <c r="C89" s="318"/>
      <c r="D89" s="319" t="str">
        <f t="shared" si="1"/>
        <v/>
      </c>
      <c r="E89" s="320"/>
      <c r="F89" s="320"/>
      <c r="G89" s="321"/>
      <c r="H89" s="321"/>
      <c r="I89" s="321"/>
      <c r="J89" s="321"/>
      <c r="K89" s="321"/>
      <c r="L89" s="321"/>
      <c r="M89" s="321"/>
    </row>
    <row r="90" ht="15.75" customHeight="1">
      <c r="A90" s="317"/>
      <c r="B90" s="318"/>
      <c r="C90" s="318"/>
      <c r="D90" s="319" t="str">
        <f t="shared" si="1"/>
        <v/>
      </c>
      <c r="E90" s="320"/>
      <c r="F90" s="320"/>
      <c r="G90" s="321"/>
      <c r="H90" s="321"/>
      <c r="I90" s="321"/>
      <c r="J90" s="321"/>
      <c r="K90" s="321"/>
      <c r="L90" s="321"/>
      <c r="M90" s="321"/>
    </row>
    <row r="91" ht="15.75" customHeight="1">
      <c r="A91" s="317"/>
      <c r="B91" s="318"/>
      <c r="C91" s="318"/>
      <c r="D91" s="319" t="str">
        <f t="shared" si="1"/>
        <v/>
      </c>
      <c r="E91" s="320"/>
      <c r="F91" s="320"/>
      <c r="G91" s="321"/>
      <c r="H91" s="321"/>
      <c r="I91" s="321"/>
      <c r="J91" s="321"/>
      <c r="K91" s="321"/>
      <c r="L91" s="321"/>
      <c r="M91" s="321"/>
    </row>
    <row r="92" ht="15.75" customHeight="1">
      <c r="A92" s="317"/>
      <c r="B92" s="318"/>
      <c r="C92" s="318"/>
      <c r="D92" s="319" t="str">
        <f t="shared" si="1"/>
        <v/>
      </c>
      <c r="E92" s="320"/>
      <c r="F92" s="320"/>
      <c r="G92" s="321"/>
      <c r="H92" s="321"/>
      <c r="I92" s="321"/>
      <c r="J92" s="321"/>
      <c r="K92" s="321"/>
      <c r="L92" s="321"/>
      <c r="M92" s="321"/>
    </row>
    <row r="93" ht="15.75" customHeight="1">
      <c r="A93" s="317"/>
      <c r="B93" s="318"/>
      <c r="C93" s="318"/>
      <c r="D93" s="319" t="str">
        <f t="shared" si="1"/>
        <v/>
      </c>
      <c r="E93" s="320"/>
      <c r="F93" s="320"/>
      <c r="G93" s="321"/>
      <c r="H93" s="321"/>
      <c r="I93" s="321"/>
      <c r="J93" s="321"/>
      <c r="K93" s="321"/>
      <c r="L93" s="321"/>
      <c r="M93" s="321"/>
    </row>
    <row r="94" ht="15.75" customHeight="1">
      <c r="A94" s="317"/>
      <c r="B94" s="318"/>
      <c r="C94" s="318"/>
      <c r="D94" s="319" t="str">
        <f t="shared" si="1"/>
        <v/>
      </c>
      <c r="E94" s="320"/>
      <c r="F94" s="320"/>
      <c r="G94" s="321"/>
      <c r="H94" s="321"/>
      <c r="I94" s="321"/>
      <c r="J94" s="321"/>
      <c r="K94" s="321"/>
      <c r="L94" s="321"/>
      <c r="M94" s="321"/>
    </row>
    <row r="95" ht="15.75" customHeight="1">
      <c r="A95" s="317"/>
      <c r="B95" s="318"/>
      <c r="C95" s="318"/>
      <c r="D95" s="319" t="str">
        <f t="shared" si="1"/>
        <v/>
      </c>
      <c r="E95" s="320"/>
      <c r="F95" s="320"/>
      <c r="G95" s="321"/>
      <c r="H95" s="321"/>
      <c r="I95" s="321"/>
      <c r="J95" s="321"/>
      <c r="K95" s="321"/>
      <c r="L95" s="321"/>
      <c r="M95" s="321"/>
    </row>
    <row r="96" ht="15.75" customHeight="1">
      <c r="A96" s="317"/>
      <c r="B96" s="318"/>
      <c r="C96" s="318"/>
      <c r="D96" s="319" t="str">
        <f t="shared" si="1"/>
        <v/>
      </c>
      <c r="E96" s="320"/>
      <c r="F96" s="320"/>
      <c r="G96" s="321"/>
      <c r="H96" s="321"/>
      <c r="I96" s="321"/>
      <c r="J96" s="321"/>
      <c r="K96" s="321"/>
      <c r="L96" s="321"/>
      <c r="M96" s="321"/>
    </row>
    <row r="97" ht="15.75" customHeight="1">
      <c r="A97" s="317"/>
      <c r="B97" s="318"/>
      <c r="C97" s="318"/>
      <c r="D97" s="319" t="str">
        <f t="shared" si="1"/>
        <v/>
      </c>
      <c r="E97" s="320"/>
      <c r="F97" s="320"/>
      <c r="G97" s="321"/>
      <c r="H97" s="321"/>
      <c r="I97" s="321"/>
      <c r="J97" s="321"/>
      <c r="K97" s="321"/>
      <c r="L97" s="321"/>
      <c r="M97" s="321"/>
    </row>
    <row r="98" ht="15.75" customHeight="1">
      <c r="A98" s="317"/>
      <c r="B98" s="318"/>
      <c r="C98" s="318"/>
      <c r="D98" s="319" t="str">
        <f t="shared" si="1"/>
        <v/>
      </c>
      <c r="E98" s="320"/>
      <c r="F98" s="320"/>
      <c r="G98" s="321"/>
      <c r="H98" s="321"/>
      <c r="I98" s="321"/>
      <c r="J98" s="321"/>
      <c r="K98" s="321"/>
      <c r="L98" s="321"/>
      <c r="M98" s="321"/>
    </row>
    <row r="99" ht="15.75" customHeight="1">
      <c r="A99" s="317"/>
      <c r="B99" s="318"/>
      <c r="C99" s="318"/>
      <c r="D99" s="319" t="str">
        <f t="shared" si="1"/>
        <v/>
      </c>
      <c r="E99" s="320"/>
      <c r="F99" s="320"/>
      <c r="G99" s="321"/>
      <c r="H99" s="321"/>
      <c r="I99" s="321"/>
      <c r="J99" s="321"/>
      <c r="K99" s="321"/>
      <c r="L99" s="321"/>
      <c r="M99" s="321"/>
    </row>
    <row r="100" ht="15.75" customHeight="1">
      <c r="A100" s="317"/>
      <c r="B100" s="318"/>
      <c r="C100" s="318"/>
      <c r="D100" s="319" t="str">
        <f t="shared" si="1"/>
        <v/>
      </c>
      <c r="E100" s="320"/>
      <c r="F100" s="320"/>
      <c r="G100" s="321"/>
      <c r="H100" s="321"/>
      <c r="I100" s="321"/>
      <c r="J100" s="321"/>
      <c r="K100" s="321"/>
      <c r="L100" s="321"/>
      <c r="M100" s="321"/>
    </row>
    <row r="101" ht="15.75" customHeight="1">
      <c r="A101" s="317"/>
      <c r="B101" s="318"/>
      <c r="C101" s="318"/>
      <c r="D101" s="319" t="str">
        <f t="shared" si="1"/>
        <v/>
      </c>
      <c r="E101" s="320"/>
      <c r="F101" s="320"/>
      <c r="G101" s="321"/>
      <c r="H101" s="321"/>
      <c r="I101" s="321"/>
      <c r="J101" s="321"/>
      <c r="K101" s="321"/>
      <c r="L101" s="321"/>
      <c r="M101" s="321"/>
    </row>
    <row r="102" ht="15.75" customHeight="1">
      <c r="A102" s="317"/>
      <c r="B102" s="318"/>
      <c r="C102" s="318"/>
      <c r="D102" s="319" t="str">
        <f t="shared" si="1"/>
        <v/>
      </c>
      <c r="E102" s="320"/>
      <c r="F102" s="320"/>
      <c r="G102" s="321"/>
      <c r="H102" s="321"/>
      <c r="I102" s="321"/>
      <c r="J102" s="321"/>
      <c r="K102" s="321"/>
      <c r="L102" s="321"/>
      <c r="M102" s="321"/>
    </row>
    <row r="103" ht="15.75" customHeight="1">
      <c r="A103" s="317"/>
      <c r="B103" s="318"/>
      <c r="C103" s="318"/>
      <c r="D103" s="319" t="str">
        <f t="shared" si="1"/>
        <v/>
      </c>
      <c r="E103" s="320"/>
      <c r="F103" s="320"/>
      <c r="G103" s="321"/>
      <c r="H103" s="321"/>
      <c r="I103" s="321"/>
      <c r="J103" s="321"/>
      <c r="K103" s="321"/>
      <c r="L103" s="321"/>
      <c r="M103" s="321"/>
    </row>
    <row r="104" ht="15.75" customHeight="1">
      <c r="A104" s="317"/>
      <c r="B104" s="318"/>
      <c r="C104" s="318"/>
      <c r="D104" s="319" t="str">
        <f t="shared" si="1"/>
        <v/>
      </c>
      <c r="E104" s="320"/>
      <c r="F104" s="320"/>
      <c r="G104" s="321"/>
      <c r="H104" s="321"/>
      <c r="I104" s="321"/>
      <c r="J104" s="321"/>
      <c r="K104" s="321"/>
      <c r="L104" s="321"/>
      <c r="M104" s="321"/>
    </row>
    <row r="105" ht="15.75" customHeight="1">
      <c r="A105" s="317"/>
      <c r="B105" s="318"/>
      <c r="C105" s="318"/>
      <c r="D105" s="319" t="str">
        <f t="shared" si="1"/>
        <v/>
      </c>
      <c r="E105" s="320"/>
      <c r="F105" s="320"/>
      <c r="G105" s="321"/>
      <c r="H105" s="321"/>
      <c r="I105" s="321"/>
      <c r="J105" s="321"/>
      <c r="K105" s="321"/>
      <c r="L105" s="321"/>
      <c r="M105" s="321"/>
    </row>
    <row r="106" ht="15.75" customHeight="1">
      <c r="A106" s="317"/>
      <c r="B106" s="318"/>
      <c r="C106" s="318"/>
      <c r="D106" s="319" t="str">
        <f t="shared" si="1"/>
        <v/>
      </c>
      <c r="E106" s="320"/>
      <c r="F106" s="320"/>
      <c r="G106" s="321"/>
      <c r="H106" s="321"/>
      <c r="I106" s="321"/>
      <c r="J106" s="321"/>
      <c r="K106" s="321"/>
      <c r="L106" s="321"/>
      <c r="M106" s="321"/>
    </row>
    <row r="107" ht="15.75" customHeight="1">
      <c r="A107" s="317"/>
      <c r="B107" s="318"/>
      <c r="C107" s="318"/>
      <c r="D107" s="319" t="str">
        <f t="shared" si="1"/>
        <v/>
      </c>
      <c r="E107" s="320"/>
      <c r="F107" s="320"/>
      <c r="G107" s="321"/>
      <c r="H107" s="321"/>
      <c r="I107" s="321"/>
      <c r="J107" s="321"/>
      <c r="K107" s="321"/>
      <c r="L107" s="321"/>
      <c r="M107" s="321"/>
    </row>
    <row r="108" ht="15.75" customHeight="1">
      <c r="A108" s="317"/>
      <c r="B108" s="318"/>
      <c r="C108" s="318"/>
      <c r="D108" s="319" t="str">
        <f t="shared" si="1"/>
        <v/>
      </c>
      <c r="E108" s="320"/>
      <c r="F108" s="320"/>
      <c r="G108" s="321"/>
      <c r="H108" s="321"/>
      <c r="I108" s="321"/>
      <c r="J108" s="321"/>
      <c r="K108" s="321"/>
      <c r="L108" s="321"/>
      <c r="M108" s="321"/>
    </row>
    <row r="109" ht="15.75" customHeight="1">
      <c r="A109" s="317"/>
      <c r="B109" s="318"/>
      <c r="C109" s="318"/>
      <c r="D109" s="319" t="str">
        <f t="shared" si="1"/>
        <v/>
      </c>
      <c r="E109" s="320"/>
      <c r="F109" s="320"/>
      <c r="G109" s="321"/>
      <c r="H109" s="321"/>
      <c r="I109" s="321"/>
      <c r="J109" s="321"/>
      <c r="K109" s="321"/>
      <c r="L109" s="321"/>
      <c r="M109" s="321"/>
    </row>
    <row r="110" ht="15.75" customHeight="1">
      <c r="A110" s="317"/>
      <c r="B110" s="318"/>
      <c r="C110" s="318"/>
      <c r="D110" s="319" t="str">
        <f t="shared" si="1"/>
        <v/>
      </c>
      <c r="E110" s="320"/>
      <c r="F110" s="320"/>
      <c r="G110" s="321"/>
      <c r="H110" s="321"/>
      <c r="I110" s="321"/>
      <c r="J110" s="321"/>
      <c r="K110" s="321"/>
      <c r="L110" s="321"/>
      <c r="M110" s="321"/>
    </row>
    <row r="111" ht="15.75" customHeight="1">
      <c r="A111" s="317"/>
      <c r="B111" s="318"/>
      <c r="C111" s="318"/>
      <c r="D111" s="319" t="str">
        <f t="shared" si="1"/>
        <v/>
      </c>
      <c r="E111" s="320"/>
      <c r="F111" s="320"/>
      <c r="G111" s="321"/>
      <c r="H111" s="321"/>
      <c r="I111" s="321"/>
      <c r="J111" s="321"/>
      <c r="K111" s="321"/>
      <c r="L111" s="321"/>
      <c r="M111" s="321"/>
    </row>
    <row r="112" ht="15.75" customHeight="1">
      <c r="A112" s="317"/>
      <c r="B112" s="318"/>
      <c r="C112" s="318"/>
      <c r="D112" s="319" t="str">
        <f t="shared" si="1"/>
        <v/>
      </c>
      <c r="E112" s="320"/>
      <c r="F112" s="320"/>
      <c r="G112" s="321"/>
      <c r="H112" s="321"/>
      <c r="I112" s="321"/>
      <c r="J112" s="321"/>
      <c r="K112" s="321"/>
      <c r="L112" s="321"/>
      <c r="M112" s="321"/>
    </row>
    <row r="113" ht="15.75" customHeight="1">
      <c r="A113" s="317"/>
      <c r="B113" s="318"/>
      <c r="C113" s="318"/>
      <c r="D113" s="319" t="str">
        <f t="shared" si="1"/>
        <v/>
      </c>
      <c r="E113" s="320"/>
      <c r="F113" s="320"/>
      <c r="G113" s="321"/>
      <c r="H113" s="321"/>
      <c r="I113" s="321"/>
      <c r="J113" s="321"/>
      <c r="K113" s="321"/>
      <c r="L113" s="321"/>
      <c r="M113" s="321"/>
    </row>
    <row r="114" ht="15.75" customHeight="1">
      <c r="A114" s="317"/>
      <c r="B114" s="318"/>
      <c r="C114" s="318"/>
      <c r="D114" s="319" t="str">
        <f t="shared" si="1"/>
        <v/>
      </c>
      <c r="E114" s="320"/>
      <c r="F114" s="320"/>
      <c r="G114" s="321"/>
      <c r="H114" s="321"/>
      <c r="I114" s="321"/>
      <c r="J114" s="321"/>
      <c r="K114" s="321"/>
      <c r="L114" s="321"/>
      <c r="M114" s="321"/>
    </row>
    <row r="115" ht="15.75" customHeight="1">
      <c r="A115" s="317"/>
      <c r="B115" s="318"/>
      <c r="C115" s="318"/>
      <c r="D115" s="319" t="str">
        <f t="shared" si="1"/>
        <v/>
      </c>
      <c r="E115" s="320"/>
      <c r="F115" s="320"/>
      <c r="G115" s="321"/>
      <c r="H115" s="321"/>
      <c r="I115" s="321"/>
      <c r="J115" s="321"/>
      <c r="K115" s="321"/>
      <c r="L115" s="321"/>
      <c r="M115" s="321"/>
    </row>
    <row r="116" ht="15.75" customHeight="1">
      <c r="A116" s="317"/>
      <c r="B116" s="318"/>
      <c r="C116" s="318"/>
      <c r="D116" s="319" t="str">
        <f t="shared" si="1"/>
        <v/>
      </c>
      <c r="E116" s="320"/>
      <c r="F116" s="320"/>
      <c r="G116" s="321"/>
      <c r="H116" s="321"/>
      <c r="I116" s="321"/>
      <c r="J116" s="321"/>
      <c r="K116" s="321"/>
      <c r="L116" s="321"/>
      <c r="M116" s="321"/>
    </row>
    <row r="117" ht="15.75" customHeight="1">
      <c r="A117" s="317"/>
      <c r="B117" s="318"/>
      <c r="C117" s="318"/>
      <c r="D117" s="319" t="str">
        <f t="shared" si="1"/>
        <v/>
      </c>
      <c r="E117" s="320"/>
      <c r="F117" s="320"/>
      <c r="G117" s="321"/>
      <c r="H117" s="321"/>
      <c r="I117" s="321"/>
      <c r="J117" s="321"/>
      <c r="K117" s="321"/>
      <c r="L117" s="321"/>
      <c r="M117" s="321"/>
    </row>
    <row r="118" ht="15.75" customHeight="1">
      <c r="A118" s="317"/>
      <c r="B118" s="318"/>
      <c r="C118" s="318"/>
      <c r="D118" s="319" t="str">
        <f t="shared" si="1"/>
        <v/>
      </c>
      <c r="E118" s="320"/>
      <c r="F118" s="320"/>
      <c r="G118" s="321"/>
      <c r="H118" s="321"/>
      <c r="I118" s="321"/>
      <c r="J118" s="321"/>
      <c r="K118" s="321"/>
      <c r="L118" s="321"/>
      <c r="M118" s="321"/>
    </row>
    <row r="119" ht="15.75" customHeight="1">
      <c r="A119" s="317"/>
      <c r="B119" s="318"/>
      <c r="C119" s="318"/>
      <c r="D119" s="319" t="str">
        <f t="shared" si="1"/>
        <v/>
      </c>
      <c r="E119" s="320"/>
      <c r="F119" s="320"/>
      <c r="G119" s="321"/>
      <c r="H119" s="321"/>
      <c r="I119" s="321"/>
      <c r="J119" s="321"/>
      <c r="K119" s="321"/>
      <c r="L119" s="321"/>
      <c r="M119" s="321"/>
    </row>
    <row r="120" ht="15.75" customHeight="1">
      <c r="A120" s="317"/>
      <c r="B120" s="318"/>
      <c r="C120" s="318"/>
      <c r="D120" s="319" t="str">
        <f t="shared" si="1"/>
        <v/>
      </c>
      <c r="E120" s="320"/>
      <c r="F120" s="320"/>
      <c r="G120" s="321"/>
      <c r="H120" s="321"/>
      <c r="I120" s="321"/>
      <c r="J120" s="321"/>
      <c r="K120" s="321"/>
      <c r="L120" s="321"/>
      <c r="M120" s="321"/>
    </row>
    <row r="121" ht="15.75" customHeight="1">
      <c r="A121" s="317"/>
      <c r="B121" s="318"/>
      <c r="C121" s="318"/>
      <c r="D121" s="319" t="str">
        <f t="shared" si="1"/>
        <v/>
      </c>
      <c r="E121" s="320"/>
      <c r="F121" s="320"/>
      <c r="G121" s="321"/>
      <c r="H121" s="321"/>
      <c r="I121" s="321"/>
      <c r="J121" s="321"/>
      <c r="K121" s="321"/>
      <c r="L121" s="321"/>
      <c r="M121" s="321"/>
    </row>
    <row r="122" ht="15.75" customHeight="1">
      <c r="A122" s="317"/>
      <c r="B122" s="318"/>
      <c r="C122" s="318"/>
      <c r="D122" s="319" t="str">
        <f t="shared" si="1"/>
        <v/>
      </c>
      <c r="E122" s="320"/>
      <c r="F122" s="320"/>
      <c r="G122" s="321"/>
      <c r="H122" s="321"/>
      <c r="I122" s="321"/>
      <c r="J122" s="321"/>
      <c r="K122" s="321"/>
      <c r="L122" s="321"/>
      <c r="M122" s="321"/>
    </row>
    <row r="123" ht="15.75" customHeight="1">
      <c r="A123" s="317"/>
      <c r="B123" s="318"/>
      <c r="C123" s="318"/>
      <c r="D123" s="319" t="str">
        <f t="shared" si="1"/>
        <v/>
      </c>
      <c r="E123" s="320"/>
      <c r="F123" s="320"/>
      <c r="G123" s="321"/>
      <c r="H123" s="321"/>
      <c r="I123" s="321"/>
      <c r="J123" s="321"/>
      <c r="K123" s="321"/>
      <c r="L123" s="321"/>
      <c r="M123" s="321"/>
    </row>
    <row r="124" ht="15.75" customHeight="1">
      <c r="A124" s="317"/>
      <c r="B124" s="318"/>
      <c r="C124" s="318"/>
      <c r="D124" s="319" t="str">
        <f t="shared" si="1"/>
        <v/>
      </c>
      <c r="E124" s="320"/>
      <c r="F124" s="320"/>
      <c r="G124" s="321"/>
      <c r="H124" s="321"/>
      <c r="I124" s="321"/>
      <c r="J124" s="321"/>
      <c r="K124" s="321"/>
      <c r="L124" s="321"/>
      <c r="M124" s="321"/>
    </row>
    <row r="125" ht="15.75" customHeight="1">
      <c r="A125" s="317"/>
      <c r="B125" s="318"/>
      <c r="C125" s="318"/>
      <c r="D125" s="319" t="str">
        <f t="shared" si="1"/>
        <v/>
      </c>
      <c r="E125" s="320"/>
      <c r="F125" s="320"/>
      <c r="G125" s="321"/>
      <c r="H125" s="321"/>
      <c r="I125" s="321"/>
      <c r="J125" s="321"/>
      <c r="K125" s="321"/>
      <c r="L125" s="321"/>
      <c r="M125" s="321"/>
    </row>
    <row r="126" ht="15.75" customHeight="1">
      <c r="A126" s="317"/>
      <c r="B126" s="318"/>
      <c r="C126" s="318"/>
      <c r="D126" s="319" t="str">
        <f t="shared" si="1"/>
        <v/>
      </c>
      <c r="E126" s="320"/>
      <c r="F126" s="320"/>
      <c r="G126" s="321"/>
      <c r="H126" s="321"/>
      <c r="I126" s="321"/>
      <c r="J126" s="321"/>
      <c r="K126" s="321"/>
      <c r="L126" s="321"/>
      <c r="M126" s="321"/>
    </row>
    <row r="127" ht="15.75" customHeight="1">
      <c r="A127" s="317"/>
      <c r="B127" s="318"/>
      <c r="C127" s="318"/>
      <c r="D127" s="319" t="str">
        <f t="shared" si="1"/>
        <v/>
      </c>
      <c r="E127" s="320"/>
      <c r="F127" s="320"/>
      <c r="G127" s="321"/>
      <c r="H127" s="321"/>
      <c r="I127" s="321"/>
      <c r="J127" s="321"/>
      <c r="K127" s="321"/>
      <c r="L127" s="321"/>
      <c r="M127" s="321"/>
    </row>
    <row r="128" ht="15.75" customHeight="1">
      <c r="A128" s="317"/>
      <c r="B128" s="318"/>
      <c r="C128" s="318"/>
      <c r="D128" s="319" t="str">
        <f t="shared" si="1"/>
        <v/>
      </c>
      <c r="E128" s="320"/>
      <c r="F128" s="320"/>
      <c r="G128" s="321"/>
      <c r="H128" s="321"/>
      <c r="I128" s="321"/>
      <c r="J128" s="321"/>
      <c r="K128" s="321"/>
      <c r="L128" s="321"/>
      <c r="M128" s="321"/>
    </row>
    <row r="129" ht="15.75" customHeight="1">
      <c r="A129" s="317"/>
      <c r="B129" s="318"/>
      <c r="C129" s="318"/>
      <c r="D129" s="319" t="str">
        <f t="shared" si="1"/>
        <v/>
      </c>
      <c r="E129" s="320"/>
      <c r="F129" s="320"/>
      <c r="G129" s="321"/>
      <c r="H129" s="321"/>
      <c r="I129" s="321"/>
      <c r="J129" s="321"/>
      <c r="K129" s="321"/>
      <c r="L129" s="321"/>
      <c r="M129" s="321"/>
    </row>
    <row r="130" ht="15.75" customHeight="1">
      <c r="A130" s="317"/>
      <c r="B130" s="318"/>
      <c r="C130" s="318"/>
      <c r="D130" s="319" t="str">
        <f t="shared" si="1"/>
        <v/>
      </c>
      <c r="E130" s="320"/>
      <c r="F130" s="320"/>
      <c r="G130" s="321"/>
      <c r="H130" s="321"/>
      <c r="I130" s="321"/>
      <c r="J130" s="321"/>
      <c r="K130" s="321"/>
      <c r="L130" s="321"/>
      <c r="M130" s="321"/>
    </row>
    <row r="131" ht="15.75" customHeight="1">
      <c r="A131" s="317"/>
      <c r="B131" s="318"/>
      <c r="C131" s="318"/>
      <c r="D131" s="319" t="str">
        <f t="shared" si="1"/>
        <v/>
      </c>
      <c r="E131" s="320"/>
      <c r="F131" s="320"/>
      <c r="G131" s="321"/>
      <c r="H131" s="321"/>
      <c r="I131" s="321"/>
      <c r="J131" s="321"/>
      <c r="K131" s="321"/>
      <c r="L131" s="321"/>
      <c r="M131" s="321"/>
    </row>
    <row r="132" ht="15.75" customHeight="1">
      <c r="A132" s="317"/>
      <c r="B132" s="318"/>
      <c r="C132" s="318"/>
      <c r="D132" s="319" t="str">
        <f t="shared" si="1"/>
        <v/>
      </c>
      <c r="E132" s="320"/>
      <c r="F132" s="320"/>
      <c r="G132" s="321"/>
      <c r="H132" s="321"/>
      <c r="I132" s="321"/>
      <c r="J132" s="321"/>
      <c r="K132" s="321"/>
      <c r="L132" s="321"/>
      <c r="M132" s="321"/>
    </row>
    <row r="133" ht="15.75" customHeight="1">
      <c r="A133" s="317"/>
      <c r="B133" s="318"/>
      <c r="C133" s="318"/>
      <c r="D133" s="319" t="str">
        <f t="shared" si="1"/>
        <v/>
      </c>
      <c r="E133" s="320"/>
      <c r="F133" s="320"/>
      <c r="G133" s="321"/>
      <c r="H133" s="321"/>
      <c r="I133" s="321"/>
      <c r="J133" s="321"/>
      <c r="K133" s="321"/>
      <c r="L133" s="321"/>
      <c r="M133" s="321"/>
    </row>
    <row r="134" ht="15.75" customHeight="1">
      <c r="A134" s="317"/>
      <c r="B134" s="318"/>
      <c r="C134" s="318"/>
      <c r="D134" s="319" t="str">
        <f t="shared" si="1"/>
        <v/>
      </c>
      <c r="E134" s="320"/>
      <c r="F134" s="320"/>
      <c r="G134" s="321"/>
      <c r="H134" s="321"/>
      <c r="I134" s="321"/>
      <c r="J134" s="321"/>
      <c r="K134" s="321"/>
      <c r="L134" s="321"/>
      <c r="M134" s="321"/>
    </row>
    <row r="135" ht="15.75" customHeight="1">
      <c r="A135" s="317"/>
      <c r="B135" s="318"/>
      <c r="C135" s="318"/>
      <c r="D135" s="319" t="str">
        <f t="shared" si="1"/>
        <v/>
      </c>
      <c r="E135" s="320"/>
      <c r="F135" s="320"/>
      <c r="G135" s="321"/>
      <c r="H135" s="321"/>
      <c r="I135" s="321"/>
      <c r="J135" s="321"/>
      <c r="K135" s="321"/>
      <c r="L135" s="321"/>
      <c r="M135" s="321"/>
    </row>
    <row r="136" ht="15.75" customHeight="1">
      <c r="A136" s="317"/>
      <c r="B136" s="318"/>
      <c r="C136" s="318"/>
      <c r="D136" s="319" t="str">
        <f t="shared" si="1"/>
        <v/>
      </c>
      <c r="E136" s="320"/>
      <c r="F136" s="320"/>
      <c r="G136" s="321"/>
      <c r="H136" s="321"/>
      <c r="I136" s="321"/>
      <c r="J136" s="321"/>
      <c r="K136" s="321"/>
      <c r="L136" s="321"/>
      <c r="M136" s="321"/>
    </row>
    <row r="137" ht="15.75" customHeight="1">
      <c r="A137" s="317"/>
      <c r="B137" s="318"/>
      <c r="C137" s="318"/>
      <c r="D137" s="319" t="str">
        <f t="shared" si="1"/>
        <v/>
      </c>
      <c r="E137" s="320"/>
      <c r="F137" s="320"/>
      <c r="G137" s="321"/>
      <c r="H137" s="321"/>
      <c r="I137" s="321"/>
      <c r="J137" s="321"/>
      <c r="K137" s="321"/>
      <c r="L137" s="321"/>
      <c r="M137" s="321"/>
    </row>
    <row r="138" ht="15.75" customHeight="1">
      <c r="A138" s="317"/>
      <c r="B138" s="318"/>
      <c r="C138" s="318"/>
      <c r="D138" s="319" t="str">
        <f t="shared" si="1"/>
        <v/>
      </c>
      <c r="E138" s="320"/>
      <c r="F138" s="320"/>
      <c r="G138" s="321"/>
      <c r="H138" s="321"/>
      <c r="I138" s="321"/>
      <c r="J138" s="321"/>
      <c r="K138" s="321"/>
      <c r="L138" s="321"/>
      <c r="M138" s="321"/>
    </row>
    <row r="139" ht="15.75" customHeight="1">
      <c r="A139" s="317"/>
      <c r="B139" s="318"/>
      <c r="C139" s="318"/>
      <c r="D139" s="319" t="str">
        <f t="shared" si="1"/>
        <v/>
      </c>
      <c r="E139" s="320"/>
      <c r="F139" s="320"/>
      <c r="G139" s="321"/>
      <c r="H139" s="321"/>
      <c r="I139" s="321"/>
      <c r="J139" s="321"/>
      <c r="K139" s="321"/>
      <c r="L139" s="321"/>
      <c r="M139" s="321"/>
    </row>
    <row r="140" ht="15.75" customHeight="1">
      <c r="A140" s="317"/>
      <c r="B140" s="318"/>
      <c r="C140" s="318"/>
      <c r="D140" s="319" t="str">
        <f t="shared" si="1"/>
        <v/>
      </c>
      <c r="E140" s="320"/>
      <c r="F140" s="320"/>
      <c r="G140" s="321"/>
      <c r="H140" s="321"/>
      <c r="I140" s="321"/>
      <c r="J140" s="321"/>
      <c r="K140" s="321"/>
      <c r="L140" s="321"/>
      <c r="M140" s="321"/>
    </row>
    <row r="141" ht="15.75" customHeight="1">
      <c r="A141" s="317"/>
      <c r="B141" s="318"/>
      <c r="C141" s="318"/>
      <c r="D141" s="319" t="str">
        <f t="shared" si="1"/>
        <v/>
      </c>
      <c r="E141" s="320"/>
      <c r="F141" s="320"/>
      <c r="G141" s="321"/>
      <c r="H141" s="321"/>
      <c r="I141" s="321"/>
      <c r="J141" s="321"/>
      <c r="K141" s="321"/>
      <c r="L141" s="321"/>
      <c r="M141" s="321"/>
    </row>
    <row r="142" ht="15.75" customHeight="1">
      <c r="A142" s="317"/>
      <c r="B142" s="318"/>
      <c r="C142" s="318"/>
      <c r="D142" s="319" t="str">
        <f t="shared" si="1"/>
        <v/>
      </c>
      <c r="E142" s="320"/>
      <c r="F142" s="320"/>
      <c r="G142" s="321"/>
      <c r="H142" s="321"/>
      <c r="I142" s="321"/>
      <c r="J142" s="321"/>
      <c r="K142" s="321"/>
      <c r="L142" s="321"/>
      <c r="M142" s="321"/>
    </row>
    <row r="143" ht="15.75" customHeight="1">
      <c r="A143" s="317"/>
      <c r="B143" s="318"/>
      <c r="C143" s="318"/>
      <c r="D143" s="319" t="str">
        <f t="shared" si="1"/>
        <v/>
      </c>
      <c r="E143" s="320"/>
      <c r="F143" s="320"/>
      <c r="G143" s="321"/>
      <c r="H143" s="321"/>
      <c r="I143" s="321"/>
      <c r="J143" s="321"/>
      <c r="K143" s="321"/>
      <c r="L143" s="321"/>
      <c r="M143" s="321"/>
    </row>
    <row r="144" ht="15.75" customHeight="1">
      <c r="A144" s="317"/>
      <c r="B144" s="318"/>
      <c r="C144" s="318"/>
      <c r="D144" s="319" t="str">
        <f t="shared" si="1"/>
        <v/>
      </c>
      <c r="E144" s="320"/>
      <c r="F144" s="320"/>
      <c r="G144" s="321"/>
      <c r="H144" s="321"/>
      <c r="I144" s="321"/>
      <c r="J144" s="321"/>
      <c r="K144" s="321"/>
      <c r="L144" s="321"/>
      <c r="M144" s="321"/>
    </row>
    <row r="145" ht="15.75" customHeight="1">
      <c r="A145" s="317"/>
      <c r="B145" s="318"/>
      <c r="C145" s="318"/>
      <c r="D145" s="319" t="str">
        <f t="shared" si="1"/>
        <v/>
      </c>
      <c r="E145" s="320"/>
      <c r="F145" s="320"/>
      <c r="G145" s="321"/>
      <c r="H145" s="321"/>
      <c r="I145" s="321"/>
      <c r="J145" s="321"/>
      <c r="K145" s="321"/>
      <c r="L145" s="321"/>
      <c r="M145" s="321"/>
    </row>
    <row r="146" ht="15.75" customHeight="1">
      <c r="A146" s="317"/>
      <c r="B146" s="318"/>
      <c r="C146" s="318"/>
      <c r="D146" s="319" t="str">
        <f t="shared" si="1"/>
        <v/>
      </c>
      <c r="E146" s="320"/>
      <c r="F146" s="320"/>
      <c r="G146" s="321"/>
      <c r="H146" s="321"/>
      <c r="I146" s="321"/>
      <c r="J146" s="321"/>
      <c r="K146" s="321"/>
      <c r="L146" s="321"/>
      <c r="M146" s="321"/>
    </row>
    <row r="147" ht="15.75" customHeight="1">
      <c r="A147" s="317"/>
      <c r="B147" s="318"/>
      <c r="C147" s="318"/>
      <c r="D147" s="319" t="str">
        <f t="shared" si="1"/>
        <v/>
      </c>
      <c r="E147" s="320"/>
      <c r="F147" s="320"/>
      <c r="G147" s="321"/>
      <c r="H147" s="321"/>
      <c r="I147" s="321"/>
      <c r="J147" s="321"/>
      <c r="K147" s="321"/>
      <c r="L147" s="321"/>
      <c r="M147" s="321"/>
    </row>
    <row r="148" ht="15.75" customHeight="1">
      <c r="A148" s="317"/>
      <c r="B148" s="318"/>
      <c r="C148" s="318"/>
      <c r="D148" s="319" t="str">
        <f t="shared" si="1"/>
        <v/>
      </c>
      <c r="E148" s="320"/>
      <c r="F148" s="320"/>
      <c r="G148" s="321"/>
      <c r="H148" s="321"/>
      <c r="I148" s="321"/>
      <c r="J148" s="321"/>
      <c r="K148" s="321"/>
      <c r="L148" s="321"/>
      <c r="M148" s="321"/>
    </row>
    <row r="149" ht="15.75" customHeight="1">
      <c r="A149" s="317"/>
      <c r="B149" s="318"/>
      <c r="C149" s="318"/>
      <c r="D149" s="319" t="str">
        <f t="shared" si="1"/>
        <v/>
      </c>
      <c r="E149" s="320"/>
      <c r="F149" s="320"/>
      <c r="G149" s="321"/>
      <c r="H149" s="321"/>
      <c r="I149" s="321"/>
      <c r="J149" s="321"/>
      <c r="K149" s="321"/>
      <c r="L149" s="321"/>
      <c r="M149" s="321"/>
    </row>
    <row r="150" ht="15.75" customHeight="1">
      <c r="A150" s="317"/>
      <c r="B150" s="318"/>
      <c r="C150" s="318"/>
      <c r="D150" s="319" t="str">
        <f t="shared" si="1"/>
        <v/>
      </c>
      <c r="E150" s="320"/>
      <c r="F150" s="320"/>
      <c r="G150" s="321"/>
      <c r="H150" s="321"/>
      <c r="I150" s="321"/>
      <c r="J150" s="321"/>
      <c r="K150" s="321"/>
      <c r="L150" s="321"/>
      <c r="M150" s="321"/>
    </row>
    <row r="151" ht="15.75" customHeight="1">
      <c r="A151" s="317"/>
      <c r="B151" s="318"/>
      <c r="C151" s="318"/>
      <c r="D151" s="319" t="str">
        <f t="shared" si="1"/>
        <v/>
      </c>
      <c r="E151" s="320"/>
      <c r="F151" s="320"/>
      <c r="G151" s="321"/>
      <c r="H151" s="321"/>
      <c r="I151" s="321"/>
      <c r="J151" s="321"/>
      <c r="K151" s="321"/>
      <c r="L151" s="321"/>
      <c r="M151" s="321"/>
    </row>
    <row r="152" ht="15.75" customHeight="1">
      <c r="A152" s="317"/>
      <c r="B152" s="318"/>
      <c r="C152" s="318"/>
      <c r="D152" s="319" t="str">
        <f t="shared" si="1"/>
        <v/>
      </c>
      <c r="E152" s="320"/>
      <c r="F152" s="320"/>
      <c r="G152" s="321"/>
      <c r="H152" s="321"/>
      <c r="I152" s="321"/>
      <c r="J152" s="321"/>
      <c r="K152" s="321"/>
      <c r="L152" s="321"/>
      <c r="M152" s="321"/>
    </row>
    <row r="153" ht="15.75" customHeight="1">
      <c r="A153" s="317"/>
      <c r="B153" s="318"/>
      <c r="C153" s="318"/>
      <c r="D153" s="319" t="str">
        <f t="shared" si="1"/>
        <v/>
      </c>
      <c r="E153" s="320"/>
      <c r="F153" s="320"/>
      <c r="G153" s="321"/>
      <c r="H153" s="321"/>
      <c r="I153" s="321"/>
      <c r="J153" s="321"/>
      <c r="K153" s="321"/>
      <c r="L153" s="321"/>
      <c r="M153" s="321"/>
    </row>
    <row r="154" ht="15.75" customHeight="1">
      <c r="A154" s="317"/>
      <c r="B154" s="318"/>
      <c r="C154" s="318"/>
      <c r="D154" s="319" t="str">
        <f t="shared" si="1"/>
        <v/>
      </c>
      <c r="E154" s="320"/>
      <c r="F154" s="320"/>
      <c r="G154" s="321"/>
      <c r="H154" s="321"/>
      <c r="I154" s="321"/>
      <c r="J154" s="321"/>
      <c r="K154" s="321"/>
      <c r="L154" s="321"/>
      <c r="M154" s="321"/>
    </row>
    <row r="155" ht="15.75" customHeight="1">
      <c r="A155" s="317"/>
      <c r="B155" s="318"/>
      <c r="C155" s="318"/>
      <c r="D155" s="319" t="str">
        <f t="shared" si="1"/>
        <v/>
      </c>
      <c r="E155" s="320"/>
      <c r="F155" s="320"/>
      <c r="G155" s="321"/>
      <c r="H155" s="321"/>
      <c r="I155" s="321"/>
      <c r="J155" s="321"/>
      <c r="K155" s="321"/>
      <c r="L155" s="321"/>
      <c r="M155" s="321"/>
    </row>
    <row r="156" ht="15.75" customHeight="1">
      <c r="A156" s="317"/>
      <c r="B156" s="318"/>
      <c r="C156" s="318"/>
      <c r="D156" s="319" t="str">
        <f t="shared" si="1"/>
        <v/>
      </c>
      <c r="E156" s="320"/>
      <c r="F156" s="320"/>
      <c r="G156" s="321"/>
      <c r="H156" s="321"/>
      <c r="I156" s="321"/>
      <c r="J156" s="321"/>
      <c r="K156" s="321"/>
      <c r="L156" s="321"/>
      <c r="M156" s="321"/>
    </row>
    <row r="157" ht="15.75" customHeight="1">
      <c r="A157" s="317"/>
      <c r="B157" s="318"/>
      <c r="C157" s="318"/>
      <c r="D157" s="319" t="str">
        <f t="shared" si="1"/>
        <v/>
      </c>
      <c r="E157" s="320"/>
      <c r="F157" s="320"/>
      <c r="G157" s="321"/>
      <c r="H157" s="321"/>
      <c r="I157" s="321"/>
      <c r="J157" s="321"/>
      <c r="K157" s="321"/>
      <c r="L157" s="321"/>
      <c r="M157" s="321"/>
    </row>
    <row r="158" ht="15.75" customHeight="1">
      <c r="A158" s="317"/>
      <c r="B158" s="318"/>
      <c r="C158" s="318"/>
      <c r="D158" s="319" t="str">
        <f t="shared" si="1"/>
        <v/>
      </c>
      <c r="E158" s="320"/>
      <c r="F158" s="320"/>
      <c r="G158" s="321"/>
      <c r="H158" s="321"/>
      <c r="I158" s="321"/>
      <c r="J158" s="321"/>
      <c r="K158" s="321"/>
      <c r="L158" s="321"/>
      <c r="M158" s="321"/>
    </row>
    <row r="159" ht="15.75" customHeight="1">
      <c r="A159" s="317"/>
      <c r="B159" s="318"/>
      <c r="C159" s="318"/>
      <c r="D159" s="319" t="str">
        <f t="shared" si="1"/>
        <v/>
      </c>
      <c r="E159" s="320"/>
      <c r="F159" s="320"/>
      <c r="G159" s="321"/>
      <c r="H159" s="321"/>
      <c r="I159" s="321"/>
      <c r="J159" s="321"/>
      <c r="K159" s="321"/>
      <c r="L159" s="321"/>
      <c r="M159" s="321"/>
    </row>
    <row r="160" ht="15.75" customHeight="1">
      <c r="A160" s="317"/>
      <c r="B160" s="318"/>
      <c r="C160" s="318"/>
      <c r="D160" s="319" t="str">
        <f t="shared" si="1"/>
        <v/>
      </c>
      <c r="E160" s="320"/>
      <c r="F160" s="320"/>
      <c r="G160" s="321"/>
      <c r="H160" s="321"/>
      <c r="I160" s="321"/>
      <c r="J160" s="321"/>
      <c r="K160" s="321"/>
      <c r="L160" s="321"/>
      <c r="M160" s="321"/>
    </row>
    <row r="161" ht="15.75" customHeight="1">
      <c r="A161" s="317"/>
      <c r="B161" s="318"/>
      <c r="C161" s="318"/>
      <c r="D161" s="319" t="str">
        <f t="shared" si="1"/>
        <v/>
      </c>
      <c r="E161" s="320"/>
      <c r="F161" s="320"/>
      <c r="G161" s="321"/>
      <c r="H161" s="321"/>
      <c r="I161" s="321"/>
      <c r="J161" s="321"/>
      <c r="K161" s="321"/>
      <c r="L161" s="321"/>
      <c r="M161" s="321"/>
    </row>
    <row r="162" ht="15.75" customHeight="1">
      <c r="A162" s="317"/>
      <c r="B162" s="318"/>
      <c r="C162" s="318"/>
      <c r="D162" s="319" t="str">
        <f t="shared" si="1"/>
        <v/>
      </c>
      <c r="E162" s="320"/>
      <c r="F162" s="320"/>
      <c r="G162" s="321"/>
      <c r="H162" s="321"/>
      <c r="I162" s="321"/>
      <c r="J162" s="321"/>
      <c r="K162" s="321"/>
      <c r="L162" s="321"/>
      <c r="M162" s="321"/>
    </row>
    <row r="163" ht="15.75" customHeight="1">
      <c r="A163" s="317"/>
      <c r="B163" s="318"/>
      <c r="C163" s="318"/>
      <c r="D163" s="319" t="str">
        <f t="shared" si="1"/>
        <v/>
      </c>
      <c r="E163" s="320"/>
      <c r="F163" s="320"/>
      <c r="G163" s="321"/>
      <c r="H163" s="321"/>
      <c r="I163" s="321"/>
      <c r="J163" s="321"/>
      <c r="K163" s="321"/>
      <c r="L163" s="321"/>
      <c r="M163" s="321"/>
    </row>
    <row r="164" ht="15.75" customHeight="1">
      <c r="A164" s="317"/>
      <c r="B164" s="318"/>
      <c r="C164" s="318"/>
      <c r="D164" s="319" t="str">
        <f t="shared" si="1"/>
        <v/>
      </c>
      <c r="E164" s="320"/>
      <c r="F164" s="320"/>
      <c r="G164" s="321"/>
      <c r="H164" s="321"/>
      <c r="I164" s="321"/>
      <c r="J164" s="321"/>
      <c r="K164" s="321"/>
      <c r="L164" s="321"/>
      <c r="M164" s="321"/>
    </row>
    <row r="165" ht="15.75" customHeight="1">
      <c r="A165" s="317"/>
      <c r="B165" s="318"/>
      <c r="C165" s="318"/>
      <c r="D165" s="319" t="str">
        <f t="shared" si="1"/>
        <v/>
      </c>
      <c r="E165" s="320"/>
      <c r="F165" s="320"/>
      <c r="G165" s="321"/>
      <c r="H165" s="321"/>
      <c r="I165" s="321"/>
      <c r="J165" s="321"/>
      <c r="K165" s="321"/>
      <c r="L165" s="321"/>
      <c r="M165" s="321"/>
    </row>
    <row r="166" ht="15.75" customHeight="1">
      <c r="A166" s="317"/>
      <c r="B166" s="318"/>
      <c r="C166" s="318"/>
      <c r="D166" s="319" t="str">
        <f t="shared" si="1"/>
        <v/>
      </c>
      <c r="E166" s="320"/>
      <c r="F166" s="320"/>
      <c r="G166" s="321"/>
      <c r="H166" s="321"/>
      <c r="I166" s="321"/>
      <c r="J166" s="321"/>
      <c r="K166" s="321"/>
      <c r="L166" s="321"/>
      <c r="M166" s="321"/>
    </row>
    <row r="167" ht="15.75" customHeight="1">
      <c r="A167" s="317"/>
      <c r="B167" s="318"/>
      <c r="C167" s="318"/>
      <c r="D167" s="319" t="str">
        <f t="shared" si="1"/>
        <v/>
      </c>
      <c r="E167" s="320"/>
      <c r="F167" s="320"/>
      <c r="G167" s="321"/>
      <c r="H167" s="321"/>
      <c r="I167" s="321"/>
      <c r="J167" s="321"/>
      <c r="K167" s="321"/>
      <c r="L167" s="321"/>
      <c r="M167" s="321"/>
    </row>
    <row r="168" ht="15.75" customHeight="1">
      <c r="A168" s="317"/>
      <c r="B168" s="318"/>
      <c r="C168" s="318"/>
      <c r="D168" s="319" t="str">
        <f t="shared" si="1"/>
        <v/>
      </c>
      <c r="E168" s="320"/>
      <c r="F168" s="320"/>
      <c r="G168" s="321"/>
      <c r="H168" s="321"/>
      <c r="I168" s="321"/>
      <c r="J168" s="321"/>
      <c r="K168" s="321"/>
      <c r="L168" s="321"/>
      <c r="M168" s="321"/>
    </row>
    <row r="169" ht="15.75" customHeight="1">
      <c r="A169" s="317"/>
      <c r="B169" s="318"/>
      <c r="C169" s="318"/>
      <c r="D169" s="319" t="str">
        <f t="shared" si="1"/>
        <v/>
      </c>
      <c r="E169" s="320"/>
      <c r="F169" s="320"/>
      <c r="G169" s="321"/>
      <c r="H169" s="321"/>
      <c r="I169" s="321"/>
      <c r="J169" s="321"/>
      <c r="K169" s="321"/>
      <c r="L169" s="321"/>
      <c r="M169" s="321"/>
    </row>
    <row r="170" ht="15.75" customHeight="1">
      <c r="A170" s="317"/>
      <c r="B170" s="318"/>
      <c r="C170" s="318"/>
      <c r="D170" s="319" t="str">
        <f t="shared" si="1"/>
        <v/>
      </c>
      <c r="E170" s="320"/>
      <c r="F170" s="320"/>
      <c r="G170" s="321"/>
      <c r="H170" s="321"/>
      <c r="I170" s="321"/>
      <c r="J170" s="321"/>
      <c r="K170" s="321"/>
      <c r="L170" s="321"/>
      <c r="M170" s="321"/>
    </row>
    <row r="171" ht="15.75" customHeight="1">
      <c r="A171" s="317"/>
      <c r="B171" s="318"/>
      <c r="C171" s="318"/>
      <c r="D171" s="319" t="str">
        <f t="shared" si="1"/>
        <v/>
      </c>
      <c r="E171" s="320"/>
      <c r="F171" s="320"/>
      <c r="G171" s="321"/>
      <c r="H171" s="321"/>
      <c r="I171" s="321"/>
      <c r="J171" s="321"/>
      <c r="K171" s="321"/>
      <c r="L171" s="321"/>
      <c r="M171" s="321"/>
    </row>
    <row r="172" ht="15.75" customHeight="1">
      <c r="A172" s="317"/>
      <c r="B172" s="318"/>
      <c r="C172" s="318"/>
      <c r="D172" s="319" t="str">
        <f t="shared" si="1"/>
        <v/>
      </c>
      <c r="E172" s="320"/>
      <c r="F172" s="320"/>
      <c r="G172" s="321"/>
      <c r="H172" s="321"/>
      <c r="I172" s="321"/>
      <c r="J172" s="321"/>
      <c r="K172" s="321"/>
      <c r="L172" s="321"/>
      <c r="M172" s="321"/>
    </row>
    <row r="173" ht="15.75" customHeight="1">
      <c r="A173" s="317"/>
      <c r="B173" s="318"/>
      <c r="C173" s="318"/>
      <c r="D173" s="319" t="str">
        <f t="shared" si="1"/>
        <v/>
      </c>
      <c r="E173" s="320"/>
      <c r="F173" s="320"/>
      <c r="G173" s="321"/>
      <c r="H173" s="321"/>
      <c r="I173" s="321"/>
      <c r="J173" s="321"/>
      <c r="K173" s="321"/>
      <c r="L173" s="321"/>
      <c r="M173" s="321"/>
    </row>
    <row r="174" ht="15.75" customHeight="1">
      <c r="A174" s="317"/>
      <c r="B174" s="318"/>
      <c r="C174" s="318"/>
      <c r="D174" s="319" t="str">
        <f t="shared" si="1"/>
        <v/>
      </c>
      <c r="E174" s="320"/>
      <c r="F174" s="320"/>
      <c r="G174" s="321"/>
      <c r="H174" s="321"/>
      <c r="I174" s="321"/>
      <c r="J174" s="321"/>
      <c r="K174" s="321"/>
      <c r="L174" s="321"/>
      <c r="M174" s="321"/>
    </row>
    <row r="175" ht="15.75" customHeight="1">
      <c r="A175" s="317"/>
      <c r="B175" s="318"/>
      <c r="C175" s="318"/>
      <c r="D175" s="319" t="str">
        <f t="shared" si="1"/>
        <v/>
      </c>
      <c r="E175" s="320"/>
      <c r="F175" s="320"/>
      <c r="G175" s="321"/>
      <c r="H175" s="321"/>
      <c r="I175" s="321"/>
      <c r="J175" s="321"/>
      <c r="K175" s="321"/>
      <c r="L175" s="321"/>
      <c r="M175" s="321"/>
    </row>
    <row r="176" ht="15.75" customHeight="1">
      <c r="A176" s="317"/>
      <c r="B176" s="318"/>
      <c r="C176" s="318"/>
      <c r="D176" s="319" t="str">
        <f t="shared" si="1"/>
        <v/>
      </c>
      <c r="E176" s="320"/>
      <c r="F176" s="320"/>
      <c r="G176" s="321"/>
      <c r="H176" s="321"/>
      <c r="I176" s="321"/>
      <c r="J176" s="321"/>
      <c r="K176" s="321"/>
      <c r="L176" s="321"/>
      <c r="M176" s="321"/>
    </row>
    <row r="177" ht="15.75" customHeight="1">
      <c r="A177" s="317"/>
      <c r="B177" s="318"/>
      <c r="C177" s="318"/>
      <c r="D177" s="319" t="str">
        <f t="shared" si="1"/>
        <v/>
      </c>
      <c r="E177" s="320"/>
      <c r="F177" s="320"/>
      <c r="G177" s="321"/>
      <c r="H177" s="321"/>
      <c r="I177" s="321"/>
      <c r="J177" s="321"/>
      <c r="K177" s="321"/>
      <c r="L177" s="321"/>
      <c r="M177" s="321"/>
    </row>
    <row r="178" ht="15.75" customHeight="1">
      <c r="A178" s="317"/>
      <c r="B178" s="318"/>
      <c r="C178" s="318"/>
      <c r="D178" s="319" t="str">
        <f t="shared" si="1"/>
        <v/>
      </c>
      <c r="E178" s="320"/>
      <c r="F178" s="320"/>
      <c r="G178" s="321"/>
      <c r="H178" s="321"/>
      <c r="I178" s="321"/>
      <c r="J178" s="321"/>
      <c r="K178" s="321"/>
      <c r="L178" s="321"/>
      <c r="M178" s="321"/>
    </row>
    <row r="179" ht="15.75" customHeight="1">
      <c r="A179" s="317"/>
      <c r="B179" s="318"/>
      <c r="C179" s="318"/>
      <c r="D179" s="319" t="str">
        <f t="shared" si="1"/>
        <v/>
      </c>
      <c r="E179" s="320"/>
      <c r="F179" s="320"/>
      <c r="G179" s="321"/>
      <c r="H179" s="321"/>
      <c r="I179" s="321"/>
      <c r="J179" s="321"/>
      <c r="K179" s="321"/>
      <c r="L179" s="321"/>
      <c r="M179" s="321"/>
    </row>
    <row r="180" ht="15.75" customHeight="1">
      <c r="A180" s="317"/>
      <c r="B180" s="318"/>
      <c r="C180" s="318"/>
      <c r="D180" s="319" t="str">
        <f t="shared" si="1"/>
        <v/>
      </c>
      <c r="E180" s="320"/>
      <c r="F180" s="320"/>
      <c r="G180" s="321"/>
      <c r="H180" s="321"/>
      <c r="I180" s="321"/>
      <c r="J180" s="321"/>
      <c r="K180" s="321"/>
      <c r="L180" s="321"/>
      <c r="M180" s="321"/>
    </row>
    <row r="181" ht="15.75" customHeight="1">
      <c r="A181" s="317"/>
      <c r="B181" s="318"/>
      <c r="C181" s="318"/>
      <c r="D181" s="319" t="str">
        <f t="shared" si="1"/>
        <v/>
      </c>
      <c r="E181" s="320"/>
      <c r="F181" s="320"/>
      <c r="G181" s="321"/>
      <c r="H181" s="321"/>
      <c r="I181" s="321"/>
      <c r="J181" s="321"/>
      <c r="K181" s="321"/>
      <c r="L181" s="321"/>
      <c r="M181" s="321"/>
    </row>
    <row r="182" ht="15.75" customHeight="1">
      <c r="A182" s="317"/>
      <c r="B182" s="318"/>
      <c r="C182" s="318"/>
      <c r="D182" s="319" t="str">
        <f t="shared" si="1"/>
        <v/>
      </c>
      <c r="E182" s="320"/>
      <c r="F182" s="320"/>
      <c r="G182" s="321"/>
      <c r="H182" s="321"/>
      <c r="I182" s="321"/>
      <c r="J182" s="321"/>
      <c r="K182" s="321"/>
      <c r="L182" s="321"/>
      <c r="M182" s="321"/>
    </row>
    <row r="183" ht="15.75" customHeight="1">
      <c r="A183" s="317"/>
      <c r="B183" s="318"/>
      <c r="C183" s="318"/>
      <c r="D183" s="319" t="str">
        <f t="shared" si="1"/>
        <v/>
      </c>
      <c r="E183" s="320"/>
      <c r="F183" s="320"/>
      <c r="G183" s="321"/>
      <c r="H183" s="321"/>
      <c r="I183" s="321"/>
      <c r="J183" s="321"/>
      <c r="K183" s="321"/>
      <c r="L183" s="321"/>
      <c r="M183" s="321"/>
    </row>
    <row r="184" ht="15.75" customHeight="1">
      <c r="A184" s="317"/>
      <c r="B184" s="318"/>
      <c r="C184" s="318"/>
      <c r="D184" s="319" t="str">
        <f t="shared" si="1"/>
        <v/>
      </c>
      <c r="E184" s="320"/>
      <c r="F184" s="320"/>
      <c r="G184" s="321"/>
      <c r="H184" s="321"/>
      <c r="I184" s="321"/>
      <c r="J184" s="321"/>
      <c r="K184" s="321"/>
      <c r="L184" s="321"/>
      <c r="M184" s="321"/>
    </row>
    <row r="185" ht="15.75" customHeight="1">
      <c r="A185" s="317"/>
      <c r="B185" s="318"/>
      <c r="C185" s="318"/>
      <c r="D185" s="319" t="str">
        <f t="shared" si="1"/>
        <v/>
      </c>
      <c r="E185" s="320"/>
      <c r="F185" s="320"/>
      <c r="G185" s="321"/>
      <c r="H185" s="321"/>
      <c r="I185" s="321"/>
      <c r="J185" s="321"/>
      <c r="K185" s="321"/>
      <c r="L185" s="321"/>
      <c r="M185" s="321"/>
    </row>
    <row r="186" ht="15.75" customHeight="1">
      <c r="A186" s="317"/>
      <c r="B186" s="318"/>
      <c r="C186" s="318"/>
      <c r="D186" s="319" t="str">
        <f t="shared" si="1"/>
        <v/>
      </c>
      <c r="E186" s="320"/>
      <c r="F186" s="320"/>
      <c r="G186" s="321"/>
      <c r="H186" s="321"/>
      <c r="I186" s="321"/>
      <c r="J186" s="321"/>
      <c r="K186" s="321"/>
      <c r="L186" s="321"/>
      <c r="M186" s="321"/>
    </row>
    <row r="187" ht="15.75" customHeight="1">
      <c r="A187" s="317"/>
      <c r="B187" s="318"/>
      <c r="C187" s="318"/>
      <c r="D187" s="319" t="str">
        <f t="shared" si="1"/>
        <v/>
      </c>
      <c r="E187" s="320"/>
      <c r="F187" s="320"/>
      <c r="G187" s="321"/>
      <c r="H187" s="321"/>
      <c r="I187" s="321"/>
      <c r="J187" s="321"/>
      <c r="K187" s="321"/>
      <c r="L187" s="321"/>
      <c r="M187" s="321"/>
    </row>
    <row r="188" ht="15.75" customHeight="1">
      <c r="A188" s="317"/>
      <c r="B188" s="318"/>
      <c r="C188" s="318"/>
      <c r="D188" s="319" t="str">
        <f t="shared" si="1"/>
        <v/>
      </c>
      <c r="E188" s="320"/>
      <c r="F188" s="320"/>
      <c r="G188" s="321"/>
      <c r="H188" s="321"/>
      <c r="I188" s="321"/>
      <c r="J188" s="321"/>
      <c r="K188" s="321"/>
      <c r="L188" s="321"/>
      <c r="M188" s="321"/>
    </row>
    <row r="189" ht="15.75" customHeight="1">
      <c r="A189" s="317"/>
      <c r="B189" s="318"/>
      <c r="C189" s="318"/>
      <c r="D189" s="319" t="str">
        <f t="shared" si="1"/>
        <v/>
      </c>
      <c r="E189" s="320"/>
      <c r="F189" s="320"/>
      <c r="G189" s="321"/>
      <c r="H189" s="321"/>
      <c r="I189" s="321"/>
      <c r="J189" s="321"/>
      <c r="K189" s="321"/>
      <c r="L189" s="321"/>
      <c r="M189" s="321"/>
    </row>
    <row r="190" ht="15.75" customHeight="1">
      <c r="A190" s="317"/>
      <c r="B190" s="318"/>
      <c r="C190" s="318"/>
      <c r="D190" s="319" t="str">
        <f t="shared" si="1"/>
        <v/>
      </c>
      <c r="E190" s="320"/>
      <c r="F190" s="320"/>
      <c r="G190" s="321"/>
      <c r="H190" s="321"/>
      <c r="I190" s="321"/>
      <c r="J190" s="321"/>
      <c r="K190" s="321"/>
      <c r="L190" s="321"/>
      <c r="M190" s="321"/>
    </row>
    <row r="191" ht="15.75" customHeight="1">
      <c r="A191" s="317"/>
      <c r="B191" s="318"/>
      <c r="C191" s="318"/>
      <c r="D191" s="319" t="str">
        <f t="shared" si="1"/>
        <v/>
      </c>
      <c r="E191" s="320"/>
      <c r="F191" s="320"/>
      <c r="G191" s="321"/>
      <c r="H191" s="321"/>
      <c r="I191" s="321"/>
      <c r="J191" s="321"/>
      <c r="K191" s="321"/>
      <c r="L191" s="321"/>
      <c r="M191" s="321"/>
    </row>
    <row r="192" ht="15.75" customHeight="1">
      <c r="A192" s="317"/>
      <c r="B192" s="318"/>
      <c r="C192" s="318"/>
      <c r="D192" s="319" t="str">
        <f t="shared" si="1"/>
        <v/>
      </c>
      <c r="E192" s="320"/>
      <c r="F192" s="320"/>
      <c r="G192" s="321"/>
      <c r="H192" s="321"/>
      <c r="I192" s="321"/>
      <c r="J192" s="321"/>
      <c r="K192" s="321"/>
      <c r="L192" s="321"/>
      <c r="M192" s="321"/>
    </row>
    <row r="193" ht="15.75" customHeight="1">
      <c r="A193" s="317"/>
      <c r="B193" s="318"/>
      <c r="C193" s="318"/>
      <c r="D193" s="319" t="str">
        <f t="shared" si="1"/>
        <v/>
      </c>
      <c r="E193" s="320"/>
      <c r="F193" s="320"/>
      <c r="G193" s="321"/>
      <c r="H193" s="321"/>
      <c r="I193" s="321"/>
      <c r="J193" s="321"/>
      <c r="K193" s="321"/>
      <c r="L193" s="321"/>
      <c r="M193" s="321"/>
    </row>
    <row r="194" ht="15.75" customHeight="1">
      <c r="A194" s="317"/>
      <c r="B194" s="318"/>
      <c r="C194" s="318"/>
      <c r="D194" s="319" t="str">
        <f t="shared" si="1"/>
        <v/>
      </c>
      <c r="E194" s="320"/>
      <c r="F194" s="320"/>
      <c r="G194" s="321"/>
      <c r="H194" s="321"/>
      <c r="I194" s="321"/>
      <c r="J194" s="321"/>
      <c r="K194" s="321"/>
      <c r="L194" s="321"/>
      <c r="M194" s="321"/>
    </row>
    <row r="195" ht="15.75" customHeight="1">
      <c r="A195" s="317"/>
      <c r="B195" s="318"/>
      <c r="C195" s="318"/>
      <c r="D195" s="319" t="str">
        <f t="shared" si="1"/>
        <v/>
      </c>
      <c r="E195" s="320"/>
      <c r="F195" s="320"/>
      <c r="G195" s="321"/>
      <c r="H195" s="321"/>
      <c r="I195" s="321"/>
      <c r="J195" s="321"/>
      <c r="K195" s="321"/>
      <c r="L195" s="321"/>
      <c r="M195" s="321"/>
    </row>
    <row r="196" ht="15.75" customHeight="1">
      <c r="A196" s="317"/>
      <c r="B196" s="318"/>
      <c r="C196" s="318"/>
      <c r="D196" s="319" t="str">
        <f t="shared" si="1"/>
        <v/>
      </c>
      <c r="E196" s="320"/>
      <c r="F196" s="320"/>
      <c r="G196" s="321"/>
      <c r="H196" s="321"/>
      <c r="I196" s="321"/>
      <c r="J196" s="321"/>
      <c r="K196" s="321"/>
      <c r="L196" s="321"/>
      <c r="M196" s="321"/>
    </row>
    <row r="197" ht="15.75" customHeight="1">
      <c r="A197" s="317"/>
      <c r="B197" s="318"/>
      <c r="C197" s="318"/>
      <c r="D197" s="319" t="str">
        <f t="shared" si="1"/>
        <v/>
      </c>
      <c r="E197" s="320"/>
      <c r="F197" s="320"/>
      <c r="G197" s="321"/>
      <c r="H197" s="321"/>
      <c r="I197" s="321"/>
      <c r="J197" s="321"/>
      <c r="K197" s="321"/>
      <c r="L197" s="321"/>
      <c r="M197" s="321"/>
    </row>
    <row r="198" ht="15.75" customHeight="1">
      <c r="A198" s="317"/>
      <c r="B198" s="318"/>
      <c r="C198" s="318"/>
      <c r="D198" s="319" t="str">
        <f t="shared" si="1"/>
        <v/>
      </c>
      <c r="E198" s="320"/>
      <c r="F198" s="320"/>
      <c r="G198" s="321"/>
      <c r="H198" s="321"/>
      <c r="I198" s="321"/>
      <c r="J198" s="321"/>
      <c r="K198" s="321"/>
      <c r="L198" s="321"/>
      <c r="M198" s="321"/>
    </row>
    <row r="199" ht="15.75" customHeight="1">
      <c r="A199" s="317"/>
      <c r="B199" s="318"/>
      <c r="C199" s="318"/>
      <c r="D199" s="319" t="str">
        <f t="shared" si="1"/>
        <v/>
      </c>
      <c r="E199" s="320"/>
      <c r="F199" s="320"/>
      <c r="G199" s="321"/>
      <c r="H199" s="321"/>
      <c r="I199" s="321"/>
      <c r="J199" s="321"/>
      <c r="K199" s="321"/>
      <c r="L199" s="321"/>
      <c r="M199" s="321"/>
    </row>
    <row r="200" ht="15.75" customHeight="1">
      <c r="A200" s="317"/>
      <c r="B200" s="318"/>
      <c r="C200" s="318"/>
      <c r="D200" s="319" t="str">
        <f t="shared" si="1"/>
        <v/>
      </c>
      <c r="E200" s="320"/>
      <c r="F200" s="320"/>
      <c r="G200" s="321"/>
      <c r="H200" s="321"/>
      <c r="I200" s="321"/>
      <c r="J200" s="321"/>
      <c r="K200" s="321"/>
      <c r="L200" s="321"/>
      <c r="M200" s="321"/>
    </row>
    <row r="201" ht="15.75" customHeight="1">
      <c r="A201" s="317"/>
      <c r="B201" s="318"/>
      <c r="C201" s="318"/>
      <c r="D201" s="319" t="str">
        <f t="shared" si="1"/>
        <v/>
      </c>
      <c r="E201" s="320"/>
      <c r="F201" s="320"/>
      <c r="G201" s="321"/>
      <c r="H201" s="321"/>
      <c r="I201" s="321"/>
      <c r="J201" s="321"/>
      <c r="K201" s="321"/>
      <c r="L201" s="321"/>
      <c r="M201" s="321"/>
    </row>
    <row r="202" ht="15.75" customHeight="1">
      <c r="A202" s="317"/>
      <c r="B202" s="318"/>
      <c r="C202" s="318"/>
      <c r="D202" s="319" t="str">
        <f t="shared" si="1"/>
        <v/>
      </c>
      <c r="E202" s="320"/>
      <c r="F202" s="320"/>
      <c r="G202" s="321"/>
      <c r="H202" s="321"/>
      <c r="I202" s="321"/>
      <c r="J202" s="321"/>
      <c r="K202" s="321"/>
      <c r="L202" s="321"/>
      <c r="M202" s="321"/>
    </row>
    <row r="203" ht="15.75" customHeight="1">
      <c r="A203" s="317"/>
      <c r="B203" s="318"/>
      <c r="C203" s="318"/>
      <c r="D203" s="319" t="str">
        <f t="shared" si="1"/>
        <v/>
      </c>
      <c r="E203" s="320"/>
      <c r="F203" s="320"/>
      <c r="G203" s="321"/>
      <c r="H203" s="321"/>
      <c r="I203" s="321"/>
      <c r="J203" s="321"/>
      <c r="K203" s="321"/>
      <c r="L203" s="321"/>
      <c r="M203" s="321"/>
    </row>
    <row r="204" ht="15.75" customHeight="1">
      <c r="A204" s="317"/>
      <c r="B204" s="318"/>
      <c r="C204" s="318"/>
      <c r="D204" s="319" t="str">
        <f t="shared" si="1"/>
        <v/>
      </c>
      <c r="E204" s="320"/>
      <c r="F204" s="320"/>
      <c r="G204" s="321"/>
      <c r="H204" s="321"/>
      <c r="I204" s="321"/>
      <c r="J204" s="321"/>
      <c r="K204" s="321"/>
      <c r="L204" s="321"/>
      <c r="M204" s="321"/>
    </row>
    <row r="205" ht="15.75" customHeight="1">
      <c r="A205" s="317"/>
      <c r="B205" s="318"/>
      <c r="C205" s="318"/>
      <c r="D205" s="319" t="str">
        <f t="shared" si="1"/>
        <v/>
      </c>
      <c r="E205" s="320"/>
      <c r="F205" s="320"/>
      <c r="G205" s="321"/>
      <c r="H205" s="321"/>
      <c r="I205" s="321"/>
      <c r="J205" s="321"/>
      <c r="K205" s="321"/>
      <c r="L205" s="321"/>
      <c r="M205" s="321"/>
    </row>
    <row r="206" ht="15.75" customHeight="1">
      <c r="A206" s="317"/>
      <c r="B206" s="318"/>
      <c r="C206" s="318"/>
      <c r="D206" s="319" t="str">
        <f t="shared" si="1"/>
        <v/>
      </c>
      <c r="E206" s="320"/>
      <c r="F206" s="320"/>
      <c r="G206" s="321"/>
      <c r="H206" s="321"/>
      <c r="I206" s="321"/>
      <c r="J206" s="321"/>
      <c r="K206" s="321"/>
      <c r="L206" s="321"/>
      <c r="M206" s="321"/>
    </row>
    <row r="207" ht="15.75" customHeight="1">
      <c r="A207" s="317"/>
      <c r="B207" s="318"/>
      <c r="C207" s="318"/>
      <c r="D207" s="319" t="str">
        <f t="shared" si="1"/>
        <v/>
      </c>
      <c r="E207" s="320"/>
      <c r="F207" s="320"/>
      <c r="G207" s="321"/>
      <c r="H207" s="321"/>
      <c r="I207" s="321"/>
      <c r="J207" s="321"/>
      <c r="K207" s="321"/>
      <c r="L207" s="321"/>
      <c r="M207" s="321"/>
    </row>
    <row r="208" ht="15.75" customHeight="1">
      <c r="A208" s="317"/>
      <c r="B208" s="318"/>
      <c r="C208" s="318"/>
      <c r="D208" s="319" t="str">
        <f t="shared" si="1"/>
        <v/>
      </c>
      <c r="E208" s="320"/>
      <c r="F208" s="320"/>
      <c r="G208" s="321"/>
      <c r="H208" s="321"/>
      <c r="I208" s="321"/>
      <c r="J208" s="321"/>
      <c r="K208" s="321"/>
      <c r="L208" s="321"/>
      <c r="M208" s="321"/>
    </row>
    <row r="209" ht="15.75" customHeight="1">
      <c r="A209" s="317"/>
      <c r="B209" s="318"/>
      <c r="C209" s="318"/>
      <c r="D209" s="319" t="str">
        <f t="shared" si="1"/>
        <v/>
      </c>
      <c r="E209" s="320"/>
      <c r="F209" s="320"/>
      <c r="G209" s="321"/>
      <c r="H209" s="321"/>
      <c r="I209" s="321"/>
      <c r="J209" s="321"/>
      <c r="K209" s="321"/>
      <c r="L209" s="321"/>
      <c r="M209" s="321"/>
    </row>
    <row r="210" ht="15.75" customHeight="1">
      <c r="A210" s="317"/>
      <c r="B210" s="318"/>
      <c r="C210" s="318"/>
      <c r="D210" s="319" t="str">
        <f t="shared" si="1"/>
        <v/>
      </c>
      <c r="E210" s="320"/>
      <c r="F210" s="320"/>
      <c r="G210" s="321"/>
      <c r="H210" s="321"/>
      <c r="I210" s="321"/>
      <c r="J210" s="321"/>
      <c r="K210" s="321"/>
      <c r="L210" s="321"/>
      <c r="M210" s="321"/>
    </row>
    <row r="211" ht="15.75" customHeight="1">
      <c r="A211" s="317"/>
      <c r="B211" s="318"/>
      <c r="C211" s="318"/>
      <c r="D211" s="319" t="str">
        <f t="shared" si="1"/>
        <v/>
      </c>
      <c r="E211" s="320"/>
      <c r="F211" s="320"/>
      <c r="G211" s="321"/>
      <c r="H211" s="321"/>
      <c r="I211" s="321"/>
      <c r="J211" s="321"/>
      <c r="K211" s="321"/>
      <c r="L211" s="321"/>
      <c r="M211" s="321"/>
    </row>
    <row r="212" ht="15.75" customHeight="1">
      <c r="A212" s="317"/>
      <c r="B212" s="318"/>
      <c r="C212" s="318"/>
      <c r="D212" s="319" t="str">
        <f t="shared" si="1"/>
        <v/>
      </c>
      <c r="E212" s="317"/>
      <c r="F212" s="317"/>
      <c r="G212" s="323"/>
      <c r="H212" s="323"/>
      <c r="I212" s="323"/>
      <c r="J212" s="323"/>
      <c r="K212" s="323"/>
      <c r="L212" s="323"/>
      <c r="M212" s="323"/>
    </row>
    <row r="213" ht="15.75" customHeight="1">
      <c r="A213" s="317"/>
      <c r="B213" s="318"/>
      <c r="C213" s="318"/>
      <c r="D213" s="319" t="str">
        <f t="shared" si="1"/>
        <v/>
      </c>
      <c r="E213" s="317"/>
      <c r="F213" s="317"/>
      <c r="G213" s="323"/>
      <c r="H213" s="323"/>
      <c r="I213" s="323"/>
      <c r="J213" s="323"/>
      <c r="K213" s="323"/>
      <c r="L213" s="323"/>
      <c r="M213" s="323"/>
    </row>
    <row r="214" ht="15.75" customHeight="1">
      <c r="A214" s="317"/>
      <c r="B214" s="318"/>
      <c r="C214" s="318"/>
      <c r="D214" s="319" t="str">
        <f t="shared" si="1"/>
        <v/>
      </c>
      <c r="E214" s="317"/>
      <c r="F214" s="317"/>
      <c r="G214" s="323"/>
      <c r="H214" s="323"/>
      <c r="I214" s="323"/>
      <c r="J214" s="323"/>
      <c r="K214" s="323"/>
      <c r="L214" s="323"/>
      <c r="M214" s="323"/>
    </row>
    <row r="215" ht="15.75" customHeight="1">
      <c r="A215" s="317"/>
      <c r="B215" s="318"/>
      <c r="C215" s="318"/>
      <c r="D215" s="319" t="str">
        <f t="shared" si="1"/>
        <v/>
      </c>
      <c r="E215" s="317"/>
      <c r="F215" s="317"/>
      <c r="G215" s="323"/>
      <c r="H215" s="323"/>
      <c r="I215" s="323"/>
      <c r="J215" s="323"/>
      <c r="K215" s="323"/>
      <c r="L215" s="323"/>
      <c r="M215" s="323"/>
    </row>
    <row r="216" ht="15.75" customHeight="1">
      <c r="A216" s="317"/>
      <c r="B216" s="318"/>
      <c r="C216" s="318"/>
      <c r="D216" s="319" t="str">
        <f t="shared" si="1"/>
        <v/>
      </c>
      <c r="E216" s="317"/>
      <c r="F216" s="317"/>
      <c r="G216" s="321"/>
      <c r="H216" s="321"/>
      <c r="I216" s="321"/>
      <c r="J216" s="321"/>
      <c r="K216" s="321"/>
      <c r="L216" s="321"/>
      <c r="M216" s="321"/>
    </row>
    <row r="217" ht="15.75" customHeight="1">
      <c r="A217" s="317"/>
      <c r="B217" s="318"/>
      <c r="C217" s="318"/>
      <c r="D217" s="319" t="str">
        <f t="shared" si="1"/>
        <v/>
      </c>
      <c r="E217" s="317"/>
      <c r="F217" s="317"/>
      <c r="G217" s="323"/>
      <c r="H217" s="323"/>
      <c r="I217" s="323"/>
      <c r="J217" s="323"/>
      <c r="K217" s="323"/>
      <c r="L217" s="323"/>
      <c r="M217" s="323"/>
    </row>
    <row r="218" ht="15.75" customHeight="1">
      <c r="A218" s="317"/>
      <c r="B218" s="318"/>
      <c r="C218" s="318"/>
      <c r="D218" s="319" t="str">
        <f t="shared" si="1"/>
        <v/>
      </c>
      <c r="E218" s="320"/>
      <c r="F218" s="320"/>
      <c r="G218" s="321"/>
      <c r="H218" s="321"/>
      <c r="I218" s="321"/>
      <c r="J218" s="321"/>
      <c r="K218" s="321"/>
      <c r="L218" s="321"/>
      <c r="M218" s="321"/>
    </row>
    <row r="219" ht="15.75" customHeight="1">
      <c r="A219" s="317"/>
      <c r="B219" s="318"/>
      <c r="C219" s="318"/>
      <c r="D219" s="319" t="str">
        <f t="shared" si="1"/>
        <v/>
      </c>
      <c r="E219" s="320"/>
      <c r="F219" s="320"/>
      <c r="G219" s="321"/>
      <c r="H219" s="321"/>
      <c r="I219" s="321"/>
      <c r="J219" s="321"/>
      <c r="K219" s="321"/>
      <c r="L219" s="321"/>
      <c r="M219" s="321"/>
    </row>
    <row r="220" ht="15.75" customHeight="1">
      <c r="A220" s="317"/>
      <c r="B220" s="318"/>
      <c r="C220" s="318"/>
      <c r="D220" s="319" t="str">
        <f t="shared" si="1"/>
        <v/>
      </c>
      <c r="E220" s="320"/>
      <c r="F220" s="320"/>
      <c r="G220" s="321"/>
      <c r="H220" s="321"/>
      <c r="I220" s="321"/>
      <c r="J220" s="321"/>
      <c r="K220" s="321"/>
      <c r="L220" s="321"/>
      <c r="M220" s="321"/>
    </row>
    <row r="221" ht="15.75" customHeight="1">
      <c r="A221" s="317"/>
      <c r="B221" s="318"/>
      <c r="C221" s="318"/>
      <c r="D221" s="319" t="str">
        <f t="shared" si="1"/>
        <v/>
      </c>
      <c r="E221" s="320"/>
      <c r="F221" s="320"/>
      <c r="G221" s="321"/>
      <c r="H221" s="321"/>
      <c r="I221" s="321"/>
      <c r="J221" s="321"/>
      <c r="K221" s="321"/>
      <c r="L221" s="321"/>
      <c r="M221" s="321"/>
    </row>
    <row r="222" ht="15.75" customHeight="1">
      <c r="A222" s="317"/>
      <c r="B222" s="318"/>
      <c r="C222" s="318"/>
      <c r="D222" s="319" t="str">
        <f t="shared" si="1"/>
        <v/>
      </c>
      <c r="E222" s="320"/>
      <c r="F222" s="320"/>
      <c r="G222" s="321"/>
      <c r="H222" s="321"/>
      <c r="I222" s="321"/>
      <c r="J222" s="321"/>
      <c r="K222" s="321"/>
      <c r="L222" s="321"/>
      <c r="M222" s="321"/>
    </row>
    <row r="223" ht="15.75" customHeight="1">
      <c r="A223" s="317"/>
      <c r="B223" s="318"/>
      <c r="C223" s="318"/>
      <c r="D223" s="319" t="str">
        <f t="shared" si="1"/>
        <v/>
      </c>
      <c r="E223" s="320"/>
      <c r="F223" s="320"/>
      <c r="G223" s="321"/>
      <c r="H223" s="321"/>
      <c r="I223" s="321"/>
      <c r="J223" s="321"/>
      <c r="K223" s="321"/>
      <c r="L223" s="321"/>
      <c r="M223" s="321"/>
    </row>
    <row r="224" ht="15.75" customHeight="1">
      <c r="A224" s="317"/>
      <c r="B224" s="318"/>
      <c r="C224" s="318"/>
      <c r="D224" s="319" t="str">
        <f t="shared" si="1"/>
        <v/>
      </c>
      <c r="E224" s="320"/>
      <c r="F224" s="320"/>
      <c r="G224" s="321"/>
      <c r="H224" s="321"/>
      <c r="I224" s="321"/>
      <c r="J224" s="321"/>
      <c r="K224" s="321"/>
      <c r="L224" s="321"/>
      <c r="M224" s="321"/>
    </row>
    <row r="225" ht="15.75" customHeight="1">
      <c r="A225" s="317"/>
      <c r="B225" s="318"/>
      <c r="C225" s="318"/>
      <c r="D225" s="319" t="str">
        <f t="shared" si="1"/>
        <v/>
      </c>
      <c r="E225" s="320"/>
      <c r="F225" s="320"/>
      <c r="G225" s="321"/>
      <c r="H225" s="321"/>
      <c r="I225" s="321"/>
      <c r="J225" s="321"/>
      <c r="K225" s="321"/>
      <c r="L225" s="321"/>
      <c r="M225" s="321"/>
    </row>
    <row r="226" ht="15.75" customHeight="1">
      <c r="A226" s="317"/>
      <c r="B226" s="318"/>
      <c r="C226" s="318"/>
      <c r="D226" s="319" t="str">
        <f t="shared" si="1"/>
        <v/>
      </c>
      <c r="E226" s="320"/>
      <c r="F226" s="320"/>
      <c r="G226" s="321"/>
      <c r="H226" s="321"/>
      <c r="I226" s="321"/>
      <c r="J226" s="321"/>
      <c r="K226" s="321"/>
      <c r="L226" s="321"/>
      <c r="M226" s="321"/>
    </row>
    <row r="227" ht="15.75" customHeight="1">
      <c r="A227" s="317"/>
      <c r="B227" s="318"/>
      <c r="C227" s="318"/>
      <c r="D227" s="319" t="str">
        <f t="shared" si="1"/>
        <v/>
      </c>
      <c r="E227" s="320"/>
      <c r="F227" s="320"/>
      <c r="G227" s="321"/>
      <c r="H227" s="321"/>
      <c r="I227" s="321"/>
      <c r="J227" s="321"/>
      <c r="K227" s="321"/>
      <c r="L227" s="321"/>
      <c r="M227" s="321"/>
    </row>
    <row r="228" ht="15.75" customHeight="1">
      <c r="A228" s="317"/>
      <c r="B228" s="318"/>
      <c r="C228" s="318"/>
      <c r="D228" s="319" t="str">
        <f t="shared" si="1"/>
        <v/>
      </c>
      <c r="E228" s="320"/>
      <c r="F228" s="320"/>
      <c r="G228" s="321"/>
      <c r="H228" s="321"/>
      <c r="I228" s="321"/>
      <c r="J228" s="321"/>
      <c r="K228" s="321"/>
      <c r="L228" s="321"/>
      <c r="M228" s="321"/>
    </row>
    <row r="229" ht="15.75" customHeight="1">
      <c r="A229" s="317"/>
      <c r="B229" s="318"/>
      <c r="C229" s="318"/>
      <c r="D229" s="319" t="str">
        <f t="shared" si="1"/>
        <v/>
      </c>
      <c r="E229" s="320"/>
      <c r="F229" s="320"/>
      <c r="G229" s="321"/>
      <c r="H229" s="321"/>
      <c r="I229" s="321"/>
      <c r="J229" s="321"/>
      <c r="K229" s="321"/>
      <c r="L229" s="321"/>
      <c r="M229" s="321"/>
    </row>
    <row r="230" ht="15.75" customHeight="1">
      <c r="A230" s="317"/>
      <c r="B230" s="318"/>
      <c r="C230" s="318"/>
      <c r="D230" s="319" t="str">
        <f t="shared" si="1"/>
        <v/>
      </c>
      <c r="E230" s="320"/>
      <c r="F230" s="320"/>
      <c r="G230" s="321"/>
      <c r="H230" s="321"/>
      <c r="I230" s="321"/>
      <c r="J230" s="321"/>
      <c r="K230" s="321"/>
      <c r="L230" s="321"/>
      <c r="M230" s="321"/>
    </row>
    <row r="231" ht="15.75" customHeight="1">
      <c r="A231" s="317"/>
      <c r="B231" s="318"/>
      <c r="C231" s="318"/>
      <c r="D231" s="319" t="str">
        <f t="shared" si="1"/>
        <v/>
      </c>
      <c r="E231" s="320"/>
      <c r="F231" s="320"/>
      <c r="G231" s="321"/>
      <c r="H231" s="321"/>
      <c r="I231" s="321"/>
      <c r="J231" s="321"/>
      <c r="K231" s="321"/>
      <c r="L231" s="321"/>
      <c r="M231" s="321"/>
    </row>
    <row r="232" ht="15.75" customHeight="1">
      <c r="A232" s="317"/>
      <c r="B232" s="318"/>
      <c r="C232" s="318"/>
      <c r="D232" s="319" t="str">
        <f t="shared" si="1"/>
        <v/>
      </c>
      <c r="E232" s="320"/>
      <c r="F232" s="320"/>
      <c r="G232" s="321"/>
      <c r="H232" s="321"/>
      <c r="I232" s="321"/>
      <c r="J232" s="321"/>
      <c r="K232" s="321"/>
      <c r="L232" s="321"/>
      <c r="M232" s="321"/>
    </row>
    <row r="233" ht="15.75" customHeight="1">
      <c r="A233" s="317"/>
      <c r="B233" s="318"/>
      <c r="C233" s="318"/>
      <c r="D233" s="319" t="str">
        <f t="shared" si="1"/>
        <v/>
      </c>
      <c r="E233" s="320"/>
      <c r="F233" s="320"/>
      <c r="G233" s="321"/>
      <c r="H233" s="321"/>
      <c r="I233" s="321"/>
      <c r="J233" s="321"/>
      <c r="K233" s="321"/>
      <c r="L233" s="321"/>
      <c r="M233" s="321"/>
    </row>
    <row r="234" ht="15.75" customHeight="1">
      <c r="A234" s="317"/>
      <c r="B234" s="318"/>
      <c r="C234" s="318"/>
      <c r="D234" s="319" t="str">
        <f t="shared" si="1"/>
        <v/>
      </c>
      <c r="E234" s="320"/>
      <c r="F234" s="320"/>
      <c r="G234" s="321"/>
      <c r="H234" s="321"/>
      <c r="I234" s="321"/>
      <c r="J234" s="321"/>
      <c r="K234" s="321"/>
      <c r="L234" s="321"/>
      <c r="M234" s="321"/>
    </row>
    <row r="235" ht="15.75" customHeight="1">
      <c r="A235" s="317"/>
      <c r="B235" s="318"/>
      <c r="C235" s="318"/>
      <c r="D235" s="319" t="str">
        <f t="shared" si="1"/>
        <v/>
      </c>
      <c r="E235" s="320"/>
      <c r="F235" s="320"/>
      <c r="G235" s="321"/>
      <c r="H235" s="321"/>
      <c r="I235" s="321"/>
      <c r="J235" s="321"/>
      <c r="K235" s="321"/>
      <c r="L235" s="321"/>
      <c r="M235" s="321"/>
    </row>
    <row r="236" ht="15.75" customHeight="1">
      <c r="A236" s="317"/>
      <c r="B236" s="318"/>
      <c r="C236" s="318"/>
      <c r="D236" s="319" t="str">
        <f t="shared" si="1"/>
        <v/>
      </c>
      <c r="E236" s="320"/>
      <c r="F236" s="320"/>
      <c r="G236" s="321"/>
      <c r="H236" s="321"/>
      <c r="I236" s="321"/>
      <c r="J236" s="321"/>
      <c r="K236" s="321"/>
      <c r="L236" s="321"/>
      <c r="M236" s="321"/>
    </row>
    <row r="237" ht="15.75" customHeight="1">
      <c r="A237" s="317"/>
      <c r="B237" s="318"/>
      <c r="C237" s="318"/>
      <c r="D237" s="319" t="str">
        <f t="shared" si="1"/>
        <v/>
      </c>
      <c r="E237" s="320"/>
      <c r="F237" s="320"/>
      <c r="G237" s="321"/>
      <c r="H237" s="321"/>
      <c r="I237" s="321"/>
      <c r="J237" s="321"/>
      <c r="K237" s="321"/>
      <c r="L237" s="321"/>
      <c r="M237" s="321"/>
    </row>
    <row r="238" ht="15.75" customHeight="1">
      <c r="A238" s="317"/>
      <c r="B238" s="318"/>
      <c r="C238" s="318"/>
      <c r="D238" s="319" t="str">
        <f t="shared" si="1"/>
        <v/>
      </c>
      <c r="E238" s="320"/>
      <c r="F238" s="320"/>
      <c r="G238" s="321"/>
      <c r="H238" s="321"/>
      <c r="I238" s="321"/>
      <c r="J238" s="321"/>
      <c r="K238" s="321"/>
      <c r="L238" s="321"/>
      <c r="M238" s="321"/>
    </row>
    <row r="239" ht="15.75" customHeight="1">
      <c r="A239" s="317"/>
      <c r="B239" s="318"/>
      <c r="C239" s="318"/>
      <c r="D239" s="319" t="str">
        <f t="shared" si="1"/>
        <v/>
      </c>
      <c r="E239" s="320"/>
      <c r="F239" s="320"/>
      <c r="G239" s="321"/>
      <c r="H239" s="321"/>
      <c r="I239" s="321"/>
      <c r="J239" s="321"/>
      <c r="K239" s="321"/>
      <c r="L239" s="321"/>
      <c r="M239" s="321"/>
    </row>
    <row r="240" ht="15.75" customHeight="1">
      <c r="A240" s="317"/>
      <c r="B240" s="318"/>
      <c r="C240" s="318"/>
      <c r="D240" s="319" t="str">
        <f t="shared" si="1"/>
        <v/>
      </c>
      <c r="E240" s="320"/>
      <c r="F240" s="320"/>
      <c r="G240" s="321"/>
      <c r="H240" s="321"/>
      <c r="I240" s="321"/>
      <c r="J240" s="321"/>
      <c r="K240" s="321"/>
      <c r="L240" s="321"/>
      <c r="M240" s="321"/>
    </row>
    <row r="241" ht="15.75" customHeight="1">
      <c r="A241" s="317"/>
      <c r="B241" s="318"/>
      <c r="C241" s="318"/>
      <c r="D241" s="319" t="str">
        <f t="shared" si="1"/>
        <v/>
      </c>
      <c r="E241" s="320"/>
      <c r="F241" s="320"/>
      <c r="G241" s="321"/>
      <c r="H241" s="321"/>
      <c r="I241" s="321"/>
      <c r="J241" s="321"/>
      <c r="K241" s="321"/>
      <c r="L241" s="321"/>
      <c r="M241" s="321"/>
    </row>
    <row r="242" ht="15.75" customHeight="1">
      <c r="A242" s="317"/>
      <c r="B242" s="318"/>
      <c r="C242" s="318"/>
      <c r="D242" s="319" t="str">
        <f t="shared" si="1"/>
        <v/>
      </c>
      <c r="E242" s="320"/>
      <c r="F242" s="320"/>
      <c r="G242" s="321"/>
      <c r="H242" s="321"/>
      <c r="I242" s="321"/>
      <c r="J242" s="321"/>
      <c r="K242" s="321"/>
      <c r="L242" s="321"/>
      <c r="M242" s="321"/>
    </row>
    <row r="243" ht="15.75" customHeight="1">
      <c r="A243" s="317"/>
      <c r="B243" s="318"/>
      <c r="C243" s="318"/>
      <c r="D243" s="319" t="str">
        <f t="shared" si="1"/>
        <v/>
      </c>
      <c r="E243" s="320"/>
      <c r="F243" s="320"/>
      <c r="G243" s="321"/>
      <c r="H243" s="321"/>
      <c r="I243" s="321"/>
      <c r="J243" s="321"/>
      <c r="K243" s="321"/>
      <c r="L243" s="321"/>
      <c r="M243" s="321"/>
    </row>
    <row r="244" ht="15.75" customHeight="1">
      <c r="A244" s="317"/>
      <c r="B244" s="318"/>
      <c r="C244" s="318"/>
      <c r="D244" s="319" t="str">
        <f t="shared" si="1"/>
        <v/>
      </c>
      <c r="E244" s="320"/>
      <c r="F244" s="320"/>
      <c r="G244" s="321"/>
      <c r="H244" s="321"/>
      <c r="I244" s="321"/>
      <c r="J244" s="321"/>
      <c r="K244" s="321"/>
      <c r="L244" s="321"/>
      <c r="M244" s="321"/>
    </row>
    <row r="245" ht="15.75" customHeight="1">
      <c r="A245" s="317"/>
      <c r="B245" s="318"/>
      <c r="C245" s="318"/>
      <c r="D245" s="319" t="str">
        <f t="shared" si="1"/>
        <v/>
      </c>
      <c r="E245" s="320"/>
      <c r="F245" s="320"/>
      <c r="G245" s="321"/>
      <c r="H245" s="321"/>
      <c r="I245" s="321"/>
      <c r="J245" s="321"/>
      <c r="K245" s="321"/>
      <c r="L245" s="321"/>
      <c r="M245" s="321"/>
    </row>
    <row r="246" ht="15.75" customHeight="1">
      <c r="A246" s="317"/>
      <c r="B246" s="318"/>
      <c r="C246" s="318"/>
      <c r="D246" s="319" t="str">
        <f t="shared" si="1"/>
        <v/>
      </c>
      <c r="E246" s="320"/>
      <c r="F246" s="320"/>
      <c r="G246" s="321"/>
      <c r="H246" s="321"/>
      <c r="I246" s="321"/>
      <c r="J246" s="321"/>
      <c r="K246" s="321"/>
      <c r="L246" s="321"/>
      <c r="M246" s="321"/>
    </row>
    <row r="247" ht="15.75" customHeight="1">
      <c r="A247" s="317"/>
      <c r="B247" s="318"/>
      <c r="C247" s="318"/>
      <c r="D247" s="319" t="str">
        <f t="shared" si="1"/>
        <v/>
      </c>
      <c r="E247" s="320"/>
      <c r="F247" s="320"/>
      <c r="G247" s="321"/>
      <c r="H247" s="321"/>
      <c r="I247" s="321"/>
      <c r="J247" s="321"/>
      <c r="K247" s="321"/>
      <c r="L247" s="321"/>
      <c r="M247" s="321"/>
    </row>
    <row r="248" ht="15.75" customHeight="1">
      <c r="A248" s="317"/>
      <c r="B248" s="318"/>
      <c r="C248" s="318"/>
      <c r="D248" s="319" t="str">
        <f t="shared" si="1"/>
        <v/>
      </c>
      <c r="E248" s="320"/>
      <c r="F248" s="320"/>
      <c r="G248" s="321"/>
      <c r="H248" s="321"/>
      <c r="I248" s="321"/>
      <c r="J248" s="321"/>
      <c r="K248" s="321"/>
      <c r="L248" s="321"/>
      <c r="M248" s="321"/>
    </row>
    <row r="249" ht="15.75" customHeight="1">
      <c r="A249" s="317"/>
      <c r="B249" s="318"/>
      <c r="C249" s="318"/>
      <c r="D249" s="319" t="str">
        <f t="shared" si="1"/>
        <v/>
      </c>
      <c r="E249" s="320"/>
      <c r="F249" s="320"/>
      <c r="G249" s="321"/>
      <c r="H249" s="321"/>
      <c r="I249" s="321"/>
      <c r="J249" s="321"/>
      <c r="K249" s="321"/>
      <c r="L249" s="321"/>
      <c r="M249" s="321"/>
    </row>
    <row r="250" ht="15.75" customHeight="1">
      <c r="A250" s="317"/>
      <c r="B250" s="318"/>
      <c r="C250" s="318"/>
      <c r="D250" s="319" t="str">
        <f t="shared" si="1"/>
        <v/>
      </c>
      <c r="E250" s="320"/>
      <c r="F250" s="320"/>
      <c r="G250" s="321"/>
      <c r="H250" s="321"/>
      <c r="I250" s="321"/>
      <c r="J250" s="321"/>
      <c r="K250" s="321"/>
      <c r="L250" s="321"/>
      <c r="M250" s="321"/>
    </row>
    <row r="251" ht="15.75" customHeight="1">
      <c r="A251" s="317"/>
      <c r="B251" s="318"/>
      <c r="C251" s="318"/>
      <c r="D251" s="319" t="str">
        <f t="shared" si="1"/>
        <v/>
      </c>
      <c r="E251" s="320"/>
      <c r="F251" s="320"/>
      <c r="G251" s="321"/>
      <c r="H251" s="321"/>
      <c r="I251" s="321"/>
      <c r="J251" s="321"/>
      <c r="K251" s="321"/>
      <c r="L251" s="321"/>
      <c r="M251" s="321"/>
    </row>
    <row r="252" ht="15.75" customHeight="1">
      <c r="A252" s="317"/>
      <c r="B252" s="318"/>
      <c r="C252" s="318"/>
      <c r="D252" s="319" t="str">
        <f t="shared" si="1"/>
        <v/>
      </c>
      <c r="E252" s="320"/>
      <c r="F252" s="320"/>
      <c r="G252" s="321"/>
      <c r="H252" s="321"/>
      <c r="I252" s="321"/>
      <c r="J252" s="321"/>
      <c r="K252" s="321"/>
      <c r="L252" s="321"/>
      <c r="M252" s="321"/>
    </row>
    <row r="253" ht="15.75" customHeight="1">
      <c r="A253" s="317"/>
      <c r="B253" s="318"/>
      <c r="C253" s="318"/>
      <c r="D253" s="319" t="str">
        <f t="shared" si="1"/>
        <v/>
      </c>
      <c r="E253" s="320"/>
      <c r="F253" s="320"/>
      <c r="G253" s="321"/>
      <c r="H253" s="321"/>
      <c r="I253" s="321"/>
      <c r="J253" s="321"/>
      <c r="K253" s="321"/>
      <c r="L253" s="321"/>
      <c r="M253" s="321"/>
    </row>
    <row r="254" ht="15.75" customHeight="1">
      <c r="A254" s="317"/>
      <c r="B254" s="318"/>
      <c r="C254" s="318"/>
      <c r="D254" s="319" t="str">
        <f t="shared" si="1"/>
        <v/>
      </c>
      <c r="E254" s="320"/>
      <c r="F254" s="320"/>
      <c r="G254" s="321"/>
      <c r="H254" s="321"/>
      <c r="I254" s="321"/>
      <c r="J254" s="321"/>
      <c r="K254" s="321"/>
      <c r="L254" s="321"/>
      <c r="M254" s="321"/>
    </row>
    <row r="255" ht="15.75" customHeight="1">
      <c r="A255" s="317"/>
      <c r="B255" s="318"/>
      <c r="C255" s="318"/>
      <c r="D255" s="319" t="str">
        <f t="shared" si="1"/>
        <v/>
      </c>
      <c r="E255" s="320"/>
      <c r="F255" s="320"/>
      <c r="G255" s="321"/>
      <c r="H255" s="321"/>
      <c r="I255" s="321"/>
      <c r="J255" s="321"/>
      <c r="K255" s="321"/>
      <c r="L255" s="321"/>
      <c r="M255" s="321"/>
    </row>
    <row r="256" ht="15.75" customHeight="1">
      <c r="A256" s="317"/>
      <c r="B256" s="318"/>
      <c r="C256" s="318"/>
      <c r="D256" s="319" t="str">
        <f t="shared" si="1"/>
        <v/>
      </c>
      <c r="E256" s="320"/>
      <c r="F256" s="320"/>
      <c r="G256" s="321"/>
      <c r="H256" s="321"/>
      <c r="I256" s="321"/>
      <c r="J256" s="321"/>
      <c r="K256" s="321"/>
      <c r="L256" s="321"/>
      <c r="M256" s="321"/>
    </row>
    <row r="257" ht="15.75" customHeight="1">
      <c r="A257" s="317"/>
      <c r="B257" s="318"/>
      <c r="C257" s="318"/>
      <c r="D257" s="319" t="str">
        <f t="shared" si="1"/>
        <v/>
      </c>
      <c r="E257" s="320"/>
      <c r="F257" s="320"/>
      <c r="G257" s="321"/>
      <c r="H257" s="321"/>
      <c r="I257" s="321"/>
      <c r="J257" s="321"/>
      <c r="K257" s="321"/>
      <c r="L257" s="321"/>
      <c r="M257" s="321"/>
    </row>
    <row r="258" ht="15.75" customHeight="1">
      <c r="A258" s="317"/>
      <c r="B258" s="318"/>
      <c r="C258" s="318"/>
      <c r="D258" s="319" t="str">
        <f t="shared" si="1"/>
        <v/>
      </c>
      <c r="E258" s="320"/>
      <c r="F258" s="320"/>
      <c r="G258" s="321"/>
      <c r="H258" s="321"/>
      <c r="I258" s="321"/>
      <c r="J258" s="321"/>
      <c r="K258" s="321"/>
      <c r="L258" s="321"/>
      <c r="M258" s="321"/>
    </row>
    <row r="259" ht="15.75" customHeight="1">
      <c r="A259" s="317"/>
      <c r="B259" s="318"/>
      <c r="C259" s="318"/>
      <c r="D259" s="319" t="str">
        <f t="shared" si="1"/>
        <v/>
      </c>
      <c r="E259" s="320"/>
      <c r="F259" s="320"/>
      <c r="G259" s="321"/>
      <c r="H259" s="321"/>
      <c r="I259" s="321"/>
      <c r="J259" s="321"/>
      <c r="K259" s="321"/>
      <c r="L259" s="321"/>
      <c r="M259" s="321"/>
    </row>
    <row r="260" ht="15.75" customHeight="1">
      <c r="A260" s="317"/>
      <c r="B260" s="318"/>
      <c r="C260" s="318"/>
      <c r="D260" s="319" t="str">
        <f t="shared" si="1"/>
        <v/>
      </c>
      <c r="E260" s="320"/>
      <c r="F260" s="320"/>
      <c r="G260" s="321"/>
      <c r="H260" s="321"/>
      <c r="I260" s="321"/>
      <c r="J260" s="321"/>
      <c r="K260" s="321"/>
      <c r="L260" s="321"/>
      <c r="M260" s="321"/>
    </row>
    <row r="261" ht="15.75" customHeight="1">
      <c r="A261" s="317"/>
      <c r="B261" s="318"/>
      <c r="C261" s="318"/>
      <c r="D261" s="319" t="str">
        <f t="shared" si="1"/>
        <v/>
      </c>
      <c r="E261" s="320"/>
      <c r="F261" s="320"/>
      <c r="G261" s="321"/>
      <c r="H261" s="321"/>
      <c r="I261" s="321"/>
      <c r="J261" s="321"/>
      <c r="K261" s="321"/>
      <c r="L261" s="321"/>
      <c r="M261" s="321"/>
    </row>
    <row r="262" ht="15.75" customHeight="1">
      <c r="A262" s="317"/>
      <c r="B262" s="318"/>
      <c r="C262" s="318"/>
      <c r="D262" s="319" t="str">
        <f t="shared" si="1"/>
        <v/>
      </c>
      <c r="E262" s="320"/>
      <c r="F262" s="320"/>
      <c r="G262" s="321"/>
      <c r="H262" s="321"/>
      <c r="I262" s="321"/>
      <c r="J262" s="321"/>
      <c r="K262" s="321"/>
      <c r="L262" s="321"/>
      <c r="M262" s="321"/>
    </row>
    <row r="263" ht="15.75" customHeight="1">
      <c r="A263" s="317"/>
      <c r="B263" s="318"/>
      <c r="C263" s="318"/>
      <c r="D263" s="319" t="str">
        <f t="shared" si="1"/>
        <v/>
      </c>
      <c r="E263" s="320"/>
      <c r="F263" s="320"/>
      <c r="G263" s="321"/>
      <c r="H263" s="321"/>
      <c r="I263" s="321"/>
      <c r="J263" s="321"/>
      <c r="K263" s="321"/>
      <c r="L263" s="321"/>
      <c r="M263" s="321"/>
    </row>
    <row r="264" ht="15.75" customHeight="1">
      <c r="A264" s="317"/>
      <c r="B264" s="318"/>
      <c r="C264" s="318"/>
      <c r="D264" s="319" t="str">
        <f t="shared" si="1"/>
        <v/>
      </c>
      <c r="E264" s="320"/>
      <c r="F264" s="320"/>
      <c r="G264" s="321"/>
      <c r="H264" s="321"/>
      <c r="I264" s="321"/>
      <c r="J264" s="321"/>
      <c r="K264" s="321"/>
      <c r="L264" s="321"/>
      <c r="M264" s="321"/>
    </row>
    <row r="265" ht="15.75" customHeight="1">
      <c r="A265" s="317"/>
      <c r="B265" s="318"/>
      <c r="C265" s="318"/>
      <c r="D265" s="319" t="str">
        <f t="shared" si="1"/>
        <v/>
      </c>
      <c r="E265" s="320"/>
      <c r="F265" s="320"/>
      <c r="G265" s="321"/>
      <c r="H265" s="321"/>
      <c r="I265" s="321"/>
      <c r="J265" s="321"/>
      <c r="K265" s="321"/>
      <c r="L265" s="321"/>
      <c r="M265" s="321"/>
    </row>
    <row r="266" ht="15.75" customHeight="1">
      <c r="A266" s="317"/>
      <c r="B266" s="318"/>
      <c r="C266" s="318"/>
      <c r="D266" s="319" t="str">
        <f t="shared" si="1"/>
        <v/>
      </c>
      <c r="E266" s="320"/>
      <c r="F266" s="320"/>
      <c r="G266" s="321"/>
      <c r="H266" s="321"/>
      <c r="I266" s="321"/>
      <c r="J266" s="321"/>
      <c r="K266" s="321"/>
      <c r="L266" s="321"/>
      <c r="M266" s="321"/>
    </row>
    <row r="267" ht="15.75" customHeight="1">
      <c r="A267" s="317"/>
      <c r="B267" s="318"/>
      <c r="C267" s="318"/>
      <c r="D267" s="319" t="str">
        <f t="shared" si="1"/>
        <v/>
      </c>
      <c r="E267" s="320"/>
      <c r="F267" s="320"/>
      <c r="G267" s="321"/>
      <c r="H267" s="321"/>
      <c r="I267" s="321"/>
      <c r="J267" s="321"/>
      <c r="K267" s="321"/>
      <c r="L267" s="321"/>
      <c r="M267" s="321"/>
    </row>
    <row r="268" ht="15.75" customHeight="1">
      <c r="A268" s="317"/>
      <c r="B268" s="318"/>
      <c r="C268" s="318"/>
      <c r="D268" s="319" t="str">
        <f t="shared" si="1"/>
        <v/>
      </c>
      <c r="E268" s="320"/>
      <c r="F268" s="320"/>
      <c r="G268" s="321"/>
      <c r="H268" s="321"/>
      <c r="I268" s="321"/>
      <c r="J268" s="321"/>
      <c r="K268" s="321"/>
      <c r="L268" s="321"/>
      <c r="M268" s="321"/>
    </row>
    <row r="269" ht="15.75" customHeight="1">
      <c r="A269" s="317"/>
      <c r="B269" s="318"/>
      <c r="C269" s="318"/>
      <c r="D269" s="319" t="str">
        <f t="shared" si="1"/>
        <v/>
      </c>
      <c r="E269" s="320"/>
      <c r="F269" s="320"/>
      <c r="G269" s="321"/>
      <c r="H269" s="321"/>
      <c r="I269" s="321"/>
      <c r="J269" s="321"/>
      <c r="K269" s="321"/>
      <c r="L269" s="321"/>
      <c r="M269" s="321"/>
    </row>
    <row r="270" ht="15.75" customHeight="1">
      <c r="A270" s="317"/>
      <c r="B270" s="318"/>
      <c r="C270" s="318"/>
      <c r="D270" s="319" t="str">
        <f t="shared" si="1"/>
        <v/>
      </c>
      <c r="E270" s="320"/>
      <c r="F270" s="320"/>
      <c r="G270" s="321"/>
      <c r="H270" s="321"/>
      <c r="I270" s="321"/>
      <c r="J270" s="321"/>
      <c r="K270" s="321"/>
      <c r="L270" s="321"/>
      <c r="M270" s="321"/>
    </row>
    <row r="271" ht="15.75" customHeight="1">
      <c r="A271" s="317"/>
      <c r="B271" s="318"/>
      <c r="C271" s="318"/>
      <c r="D271" s="319" t="str">
        <f t="shared" si="1"/>
        <v/>
      </c>
      <c r="E271" s="320"/>
      <c r="F271" s="320"/>
      <c r="G271" s="321"/>
      <c r="H271" s="321"/>
      <c r="I271" s="321"/>
      <c r="J271" s="321"/>
      <c r="K271" s="321"/>
      <c r="L271" s="321"/>
      <c r="M271" s="321"/>
    </row>
    <row r="272" ht="15.75" customHeight="1">
      <c r="A272" s="317"/>
      <c r="B272" s="318"/>
      <c r="C272" s="318"/>
      <c r="D272" s="319" t="str">
        <f t="shared" si="1"/>
        <v/>
      </c>
      <c r="E272" s="320"/>
      <c r="F272" s="320"/>
      <c r="G272" s="321"/>
      <c r="H272" s="321"/>
      <c r="I272" s="321"/>
      <c r="J272" s="321"/>
      <c r="K272" s="321"/>
      <c r="L272" s="321"/>
      <c r="M272" s="321"/>
    </row>
    <row r="273" ht="15.75" customHeight="1">
      <c r="A273" s="317"/>
      <c r="B273" s="318"/>
      <c r="C273" s="318"/>
      <c r="D273" s="319" t="str">
        <f t="shared" si="1"/>
        <v/>
      </c>
      <c r="E273" s="320"/>
      <c r="F273" s="320"/>
      <c r="G273" s="321"/>
      <c r="H273" s="321"/>
      <c r="I273" s="321"/>
      <c r="J273" s="321"/>
      <c r="K273" s="321"/>
      <c r="L273" s="321"/>
      <c r="M273" s="321"/>
    </row>
    <row r="274" ht="15.75" customHeight="1">
      <c r="A274" s="317"/>
      <c r="B274" s="318"/>
      <c r="C274" s="318"/>
      <c r="D274" s="319" t="str">
        <f t="shared" si="1"/>
        <v/>
      </c>
      <c r="E274" s="320"/>
      <c r="F274" s="320"/>
      <c r="G274" s="321"/>
      <c r="H274" s="321"/>
      <c r="I274" s="321"/>
      <c r="J274" s="321"/>
      <c r="K274" s="321"/>
      <c r="L274" s="321"/>
      <c r="M274" s="321"/>
    </row>
    <row r="275" ht="15.75" customHeight="1">
      <c r="A275" s="317"/>
      <c r="B275" s="318"/>
      <c r="C275" s="318"/>
      <c r="D275" s="319" t="str">
        <f t="shared" si="1"/>
        <v/>
      </c>
      <c r="E275" s="320"/>
      <c r="F275" s="320"/>
      <c r="G275" s="321"/>
      <c r="H275" s="321"/>
      <c r="I275" s="321"/>
      <c r="J275" s="321"/>
      <c r="K275" s="321"/>
      <c r="L275" s="321"/>
      <c r="M275" s="321"/>
    </row>
    <row r="276" ht="15.75" customHeight="1">
      <c r="A276" s="317"/>
      <c r="B276" s="318"/>
      <c r="C276" s="318"/>
      <c r="D276" s="319" t="str">
        <f t="shared" si="1"/>
        <v/>
      </c>
      <c r="E276" s="320"/>
      <c r="F276" s="320"/>
      <c r="G276" s="321"/>
      <c r="H276" s="321"/>
      <c r="I276" s="321"/>
      <c r="J276" s="321"/>
      <c r="K276" s="321"/>
      <c r="L276" s="321"/>
      <c r="M276" s="321"/>
    </row>
    <row r="277" ht="15.75" customHeight="1">
      <c r="A277" s="317"/>
      <c r="B277" s="318"/>
      <c r="C277" s="318"/>
      <c r="D277" s="319" t="str">
        <f t="shared" si="1"/>
        <v/>
      </c>
      <c r="E277" s="320"/>
      <c r="F277" s="320"/>
      <c r="G277" s="321"/>
      <c r="H277" s="321"/>
      <c r="I277" s="321"/>
      <c r="J277" s="321"/>
      <c r="K277" s="321"/>
      <c r="L277" s="321"/>
      <c r="M277" s="321"/>
    </row>
    <row r="278" ht="15.75" customHeight="1">
      <c r="A278" s="317"/>
      <c r="B278" s="318"/>
      <c r="C278" s="318"/>
      <c r="D278" s="319" t="str">
        <f t="shared" si="1"/>
        <v/>
      </c>
      <c r="E278" s="320"/>
      <c r="F278" s="320"/>
      <c r="G278" s="321"/>
      <c r="H278" s="321"/>
      <c r="I278" s="321"/>
      <c r="J278" s="321"/>
      <c r="K278" s="321"/>
      <c r="L278" s="321"/>
      <c r="M278" s="321"/>
    </row>
    <row r="279" ht="15.75" customHeight="1">
      <c r="A279" s="317"/>
      <c r="B279" s="318"/>
      <c r="C279" s="318"/>
      <c r="D279" s="319" t="str">
        <f t="shared" si="1"/>
        <v/>
      </c>
      <c r="E279" s="320"/>
      <c r="F279" s="320"/>
      <c r="G279" s="321"/>
      <c r="H279" s="321"/>
      <c r="I279" s="321"/>
      <c r="J279" s="321"/>
      <c r="K279" s="321"/>
      <c r="L279" s="321"/>
      <c r="M279" s="321"/>
    </row>
    <row r="280" ht="15.75" customHeight="1">
      <c r="A280" s="317"/>
      <c r="B280" s="318"/>
      <c r="C280" s="318"/>
      <c r="D280" s="319" t="str">
        <f t="shared" si="1"/>
        <v/>
      </c>
      <c r="E280" s="320"/>
      <c r="F280" s="320"/>
      <c r="G280" s="321"/>
      <c r="H280" s="321"/>
      <c r="I280" s="321"/>
      <c r="J280" s="321"/>
      <c r="K280" s="321"/>
      <c r="L280" s="321"/>
      <c r="M280" s="321"/>
    </row>
    <row r="281" ht="15.75" customHeight="1">
      <c r="A281" s="317"/>
      <c r="B281" s="318"/>
      <c r="C281" s="318"/>
      <c r="D281" s="319" t="str">
        <f t="shared" si="1"/>
        <v/>
      </c>
      <c r="E281" s="320"/>
      <c r="F281" s="320"/>
      <c r="G281" s="321"/>
      <c r="H281" s="321"/>
      <c r="I281" s="321"/>
      <c r="J281" s="321"/>
      <c r="K281" s="321"/>
      <c r="L281" s="321"/>
      <c r="M281" s="321"/>
    </row>
    <row r="282" ht="15.75" customHeight="1">
      <c r="A282" s="317"/>
      <c r="B282" s="318"/>
      <c r="C282" s="318"/>
      <c r="D282" s="319" t="str">
        <f t="shared" si="1"/>
        <v/>
      </c>
      <c r="E282" s="320"/>
      <c r="F282" s="320"/>
      <c r="G282" s="321"/>
      <c r="H282" s="321"/>
      <c r="I282" s="321"/>
      <c r="J282" s="321"/>
      <c r="K282" s="321"/>
      <c r="L282" s="321"/>
      <c r="M282" s="321"/>
    </row>
    <row r="283" ht="15.75" customHeight="1">
      <c r="A283" s="317"/>
      <c r="B283" s="318"/>
      <c r="C283" s="318"/>
      <c r="D283" s="319" t="str">
        <f t="shared" si="1"/>
        <v/>
      </c>
      <c r="E283" s="320"/>
      <c r="F283" s="320"/>
      <c r="G283" s="321"/>
      <c r="H283" s="321"/>
      <c r="I283" s="321"/>
      <c r="J283" s="321"/>
      <c r="K283" s="321"/>
      <c r="L283" s="321"/>
      <c r="M283" s="321"/>
    </row>
    <row r="284" ht="15.75" customHeight="1">
      <c r="A284" s="317"/>
      <c r="B284" s="318"/>
      <c r="C284" s="318"/>
      <c r="D284" s="319" t="str">
        <f t="shared" si="1"/>
        <v/>
      </c>
      <c r="E284" s="320"/>
      <c r="F284" s="320"/>
      <c r="G284" s="321"/>
      <c r="H284" s="321"/>
      <c r="I284" s="321"/>
      <c r="J284" s="321"/>
      <c r="K284" s="321"/>
      <c r="L284" s="321"/>
      <c r="M284" s="321"/>
    </row>
    <row r="285" ht="15.75" customHeight="1">
      <c r="A285" s="317"/>
      <c r="B285" s="318"/>
      <c r="C285" s="318"/>
      <c r="D285" s="319" t="str">
        <f t="shared" si="1"/>
        <v/>
      </c>
      <c r="E285" s="320"/>
      <c r="F285" s="320"/>
      <c r="G285" s="321"/>
      <c r="H285" s="321"/>
      <c r="I285" s="321"/>
      <c r="J285" s="321"/>
      <c r="K285" s="321"/>
      <c r="L285" s="321"/>
      <c r="M285" s="321"/>
    </row>
    <row r="286" ht="15.75" customHeight="1">
      <c r="A286" s="317"/>
      <c r="B286" s="318"/>
      <c r="C286" s="318"/>
      <c r="D286" s="319" t="str">
        <f t="shared" si="1"/>
        <v/>
      </c>
      <c r="E286" s="320"/>
      <c r="F286" s="320"/>
      <c r="G286" s="321"/>
      <c r="H286" s="321"/>
      <c r="I286" s="321"/>
      <c r="J286" s="321"/>
      <c r="K286" s="321"/>
      <c r="L286" s="321"/>
      <c r="M286" s="321"/>
    </row>
    <row r="287" ht="15.75" customHeight="1">
      <c r="A287" s="317"/>
      <c r="B287" s="318"/>
      <c r="C287" s="318"/>
      <c r="D287" s="319" t="str">
        <f t="shared" si="1"/>
        <v/>
      </c>
      <c r="E287" s="320"/>
      <c r="F287" s="320"/>
      <c r="G287" s="321"/>
      <c r="H287" s="321"/>
      <c r="I287" s="321"/>
      <c r="J287" s="321"/>
      <c r="K287" s="321"/>
      <c r="L287" s="321"/>
      <c r="M287" s="321"/>
    </row>
    <row r="288" ht="15.75" customHeight="1">
      <c r="A288" s="317"/>
      <c r="B288" s="318"/>
      <c r="C288" s="318"/>
      <c r="D288" s="319" t="str">
        <f t="shared" si="1"/>
        <v/>
      </c>
      <c r="E288" s="320"/>
      <c r="F288" s="320"/>
      <c r="G288" s="321"/>
      <c r="H288" s="321"/>
      <c r="I288" s="321"/>
      <c r="J288" s="321"/>
      <c r="K288" s="321"/>
      <c r="L288" s="321"/>
      <c r="M288" s="321"/>
    </row>
    <row r="289" ht="15.75" customHeight="1">
      <c r="A289" s="317"/>
      <c r="B289" s="318"/>
      <c r="C289" s="318"/>
      <c r="D289" s="319" t="str">
        <f t="shared" si="1"/>
        <v/>
      </c>
      <c r="E289" s="320"/>
      <c r="F289" s="320"/>
      <c r="G289" s="321"/>
      <c r="H289" s="321"/>
      <c r="I289" s="321"/>
      <c r="J289" s="321"/>
      <c r="K289" s="321"/>
      <c r="L289" s="321"/>
      <c r="M289" s="321"/>
    </row>
    <row r="290" ht="15.75" customHeight="1">
      <c r="A290" s="317"/>
      <c r="B290" s="318"/>
      <c r="C290" s="318"/>
      <c r="D290" s="319" t="str">
        <f t="shared" si="1"/>
        <v/>
      </c>
      <c r="E290" s="320"/>
      <c r="F290" s="320"/>
      <c r="G290" s="321"/>
      <c r="H290" s="321"/>
      <c r="I290" s="321"/>
      <c r="J290" s="321"/>
      <c r="K290" s="321"/>
      <c r="L290" s="321"/>
      <c r="M290" s="321"/>
    </row>
    <row r="291" ht="15.75" customHeight="1">
      <c r="A291" s="317"/>
      <c r="B291" s="318"/>
      <c r="C291" s="318"/>
      <c r="D291" s="319" t="str">
        <f t="shared" si="1"/>
        <v/>
      </c>
      <c r="E291" s="320"/>
      <c r="F291" s="320"/>
      <c r="G291" s="321"/>
      <c r="H291" s="321"/>
      <c r="I291" s="321"/>
      <c r="J291" s="321"/>
      <c r="K291" s="321"/>
      <c r="L291" s="321"/>
      <c r="M291" s="321"/>
    </row>
    <row r="292" ht="15.75" customHeight="1">
      <c r="A292" s="317"/>
      <c r="B292" s="318"/>
      <c r="C292" s="318"/>
      <c r="D292" s="319" t="str">
        <f t="shared" si="1"/>
        <v/>
      </c>
      <c r="E292" s="320"/>
      <c r="F292" s="320"/>
      <c r="G292" s="321"/>
      <c r="H292" s="321"/>
      <c r="I292" s="321"/>
      <c r="J292" s="321"/>
      <c r="K292" s="321"/>
      <c r="L292" s="321"/>
      <c r="M292" s="321"/>
    </row>
    <row r="293" ht="15.75" customHeight="1">
      <c r="A293" s="317"/>
      <c r="B293" s="318"/>
      <c r="C293" s="318"/>
      <c r="D293" s="319" t="str">
        <f t="shared" si="1"/>
        <v/>
      </c>
      <c r="E293" s="320"/>
      <c r="F293" s="320"/>
      <c r="G293" s="321"/>
      <c r="H293" s="321"/>
      <c r="I293" s="321"/>
      <c r="J293" s="321"/>
      <c r="K293" s="321"/>
      <c r="L293" s="321"/>
      <c r="M293" s="321"/>
    </row>
    <row r="294" ht="15.75" customHeight="1">
      <c r="A294" s="317"/>
      <c r="B294" s="318"/>
      <c r="C294" s="318"/>
      <c r="D294" s="319" t="str">
        <f t="shared" si="1"/>
        <v/>
      </c>
      <c r="E294" s="320"/>
      <c r="F294" s="320"/>
      <c r="G294" s="321"/>
      <c r="H294" s="321"/>
      <c r="I294" s="321"/>
      <c r="J294" s="321"/>
      <c r="K294" s="321"/>
      <c r="L294" s="321"/>
      <c r="M294" s="321"/>
    </row>
    <row r="295" ht="15.75" customHeight="1">
      <c r="A295" s="317"/>
      <c r="B295" s="318"/>
      <c r="C295" s="318"/>
      <c r="D295" s="319" t="str">
        <f t="shared" si="1"/>
        <v/>
      </c>
      <c r="E295" s="320"/>
      <c r="F295" s="320"/>
      <c r="G295" s="321"/>
      <c r="H295" s="321"/>
      <c r="I295" s="321"/>
      <c r="J295" s="321"/>
      <c r="K295" s="321"/>
      <c r="L295" s="321"/>
      <c r="M295" s="321"/>
    </row>
    <row r="296" ht="15.75" customHeight="1">
      <c r="A296" s="317"/>
      <c r="B296" s="318"/>
      <c r="C296" s="318"/>
      <c r="D296" s="319" t="str">
        <f t="shared" si="1"/>
        <v/>
      </c>
      <c r="E296" s="320"/>
      <c r="F296" s="320"/>
      <c r="G296" s="321"/>
      <c r="H296" s="321"/>
      <c r="I296" s="321"/>
      <c r="J296" s="321"/>
      <c r="K296" s="321"/>
      <c r="L296" s="321"/>
      <c r="M296" s="321"/>
    </row>
    <row r="297" ht="15.75" customHeight="1">
      <c r="A297" s="317"/>
      <c r="B297" s="318"/>
      <c r="C297" s="318"/>
      <c r="D297" s="319" t="str">
        <f t="shared" si="1"/>
        <v/>
      </c>
      <c r="E297" s="320"/>
      <c r="F297" s="320"/>
      <c r="G297" s="321"/>
      <c r="H297" s="321"/>
      <c r="I297" s="321"/>
      <c r="J297" s="321"/>
      <c r="K297" s="321"/>
      <c r="L297" s="321"/>
      <c r="M297" s="321"/>
    </row>
    <row r="298" ht="15.75" customHeight="1">
      <c r="A298" s="317"/>
      <c r="B298" s="318"/>
      <c r="C298" s="318"/>
      <c r="D298" s="319" t="str">
        <f t="shared" si="1"/>
        <v/>
      </c>
      <c r="E298" s="320"/>
      <c r="F298" s="320"/>
      <c r="G298" s="321"/>
      <c r="H298" s="321"/>
      <c r="I298" s="321"/>
      <c r="J298" s="321"/>
      <c r="K298" s="321"/>
      <c r="L298" s="321"/>
      <c r="M298" s="321"/>
    </row>
    <row r="299" ht="15.75" customHeight="1">
      <c r="A299" s="317"/>
      <c r="B299" s="318"/>
      <c r="C299" s="318"/>
      <c r="D299" s="319" t="str">
        <f t="shared" si="1"/>
        <v/>
      </c>
      <c r="E299" s="320"/>
      <c r="F299" s="320"/>
      <c r="G299" s="321"/>
      <c r="H299" s="321"/>
      <c r="I299" s="321"/>
      <c r="J299" s="321"/>
      <c r="K299" s="321"/>
      <c r="L299" s="321"/>
      <c r="M299" s="321"/>
    </row>
    <row r="300" ht="15.75" customHeight="1">
      <c r="A300" s="317"/>
      <c r="B300" s="318"/>
      <c r="C300" s="318"/>
      <c r="D300" s="319" t="str">
        <f t="shared" si="1"/>
        <v/>
      </c>
      <c r="E300" s="320"/>
      <c r="F300" s="320"/>
      <c r="G300" s="321"/>
      <c r="H300" s="321"/>
      <c r="I300" s="321"/>
      <c r="J300" s="321"/>
      <c r="K300" s="321"/>
      <c r="L300" s="321"/>
      <c r="M300" s="321"/>
    </row>
    <row r="301" ht="15.75" customHeight="1">
      <c r="A301" s="317"/>
      <c r="B301" s="318"/>
      <c r="C301" s="318"/>
      <c r="D301" s="319" t="str">
        <f t="shared" si="1"/>
        <v/>
      </c>
      <c r="E301" s="320"/>
      <c r="F301" s="320"/>
      <c r="G301" s="321"/>
      <c r="H301" s="321"/>
      <c r="I301" s="321"/>
      <c r="J301" s="321"/>
      <c r="K301" s="321"/>
      <c r="L301" s="321"/>
      <c r="M301" s="321"/>
    </row>
    <row r="302" ht="15.75" customHeight="1">
      <c r="A302" s="317"/>
      <c r="B302" s="318"/>
      <c r="C302" s="318"/>
      <c r="D302" s="319" t="str">
        <f t="shared" si="1"/>
        <v/>
      </c>
      <c r="E302" s="320"/>
      <c r="F302" s="320"/>
      <c r="G302" s="321"/>
      <c r="H302" s="321"/>
      <c r="I302" s="321"/>
      <c r="J302" s="321"/>
      <c r="K302" s="321"/>
      <c r="L302" s="321"/>
      <c r="M302" s="321"/>
    </row>
    <row r="303" ht="15.75" customHeight="1">
      <c r="A303" s="317"/>
      <c r="B303" s="318"/>
      <c r="C303" s="318"/>
      <c r="D303" s="319" t="str">
        <f t="shared" si="1"/>
        <v/>
      </c>
      <c r="E303" s="320"/>
      <c r="F303" s="320"/>
      <c r="G303" s="321"/>
      <c r="H303" s="321"/>
      <c r="I303" s="321"/>
      <c r="J303" s="321"/>
      <c r="K303" s="321"/>
      <c r="L303" s="321"/>
      <c r="M303" s="321"/>
    </row>
    <row r="304" ht="15.75" customHeight="1">
      <c r="A304" s="317"/>
      <c r="B304" s="318"/>
      <c r="C304" s="318"/>
      <c r="D304" s="319" t="str">
        <f t="shared" si="1"/>
        <v/>
      </c>
      <c r="E304" s="320"/>
      <c r="F304" s="320"/>
      <c r="G304" s="321"/>
      <c r="H304" s="321"/>
      <c r="I304" s="321"/>
      <c r="J304" s="321"/>
      <c r="K304" s="321"/>
      <c r="L304" s="321"/>
      <c r="M304" s="321"/>
    </row>
    <row r="305" ht="15.75" customHeight="1">
      <c r="A305" s="317"/>
      <c r="B305" s="318"/>
      <c r="C305" s="318"/>
      <c r="D305" s="319" t="str">
        <f t="shared" si="1"/>
        <v/>
      </c>
      <c r="E305" s="320"/>
      <c r="F305" s="320"/>
      <c r="G305" s="321"/>
      <c r="H305" s="321"/>
      <c r="I305" s="321"/>
      <c r="J305" s="321"/>
      <c r="K305" s="321"/>
      <c r="L305" s="321"/>
      <c r="M305" s="321"/>
    </row>
    <row r="306" ht="15.75" customHeight="1">
      <c r="A306" s="317"/>
      <c r="B306" s="318"/>
      <c r="C306" s="318"/>
      <c r="D306" s="319" t="str">
        <f t="shared" si="1"/>
        <v/>
      </c>
      <c r="E306" s="320"/>
      <c r="F306" s="320"/>
      <c r="G306" s="321"/>
      <c r="H306" s="321"/>
      <c r="I306" s="321"/>
      <c r="J306" s="321"/>
      <c r="K306" s="321"/>
      <c r="L306" s="321"/>
      <c r="M306" s="321"/>
    </row>
    <row r="307" ht="15.75" customHeight="1">
      <c r="A307" s="317"/>
      <c r="B307" s="318"/>
      <c r="C307" s="318"/>
      <c r="D307" s="319" t="str">
        <f t="shared" si="1"/>
        <v/>
      </c>
      <c r="E307" s="320"/>
      <c r="F307" s="320"/>
      <c r="G307" s="321"/>
      <c r="H307" s="321"/>
      <c r="I307" s="321"/>
      <c r="J307" s="321"/>
      <c r="K307" s="321"/>
      <c r="L307" s="321"/>
      <c r="M307" s="321"/>
    </row>
    <row r="308" ht="15.75" customHeight="1">
      <c r="A308" s="317"/>
      <c r="B308" s="318"/>
      <c r="C308" s="318"/>
      <c r="D308" s="319" t="str">
        <f t="shared" si="1"/>
        <v/>
      </c>
      <c r="E308" s="320"/>
      <c r="F308" s="320"/>
      <c r="G308" s="321"/>
      <c r="H308" s="321"/>
      <c r="I308" s="321"/>
      <c r="J308" s="321"/>
      <c r="K308" s="321"/>
      <c r="L308" s="321"/>
      <c r="M308" s="321"/>
    </row>
    <row r="309" ht="15.75" customHeight="1">
      <c r="A309" s="317"/>
      <c r="B309" s="318"/>
      <c r="C309" s="318"/>
      <c r="D309" s="319" t="str">
        <f t="shared" si="1"/>
        <v/>
      </c>
      <c r="E309" s="320"/>
      <c r="F309" s="320"/>
      <c r="G309" s="321"/>
      <c r="H309" s="321"/>
      <c r="I309" s="321"/>
      <c r="J309" s="321"/>
      <c r="K309" s="321"/>
      <c r="L309" s="321"/>
      <c r="M309" s="321"/>
    </row>
    <row r="310" ht="15.75" customHeight="1">
      <c r="A310" s="317"/>
      <c r="B310" s="318"/>
      <c r="C310" s="318"/>
      <c r="D310" s="319" t="str">
        <f t="shared" si="1"/>
        <v/>
      </c>
      <c r="E310" s="320"/>
      <c r="F310" s="320"/>
      <c r="G310" s="321"/>
      <c r="H310" s="321"/>
      <c r="I310" s="321"/>
      <c r="J310" s="321"/>
      <c r="K310" s="321"/>
      <c r="L310" s="321"/>
      <c r="M310" s="321"/>
    </row>
    <row r="311" ht="15.75" customHeight="1">
      <c r="A311" s="317"/>
      <c r="B311" s="318"/>
      <c r="C311" s="318"/>
      <c r="D311" s="319" t="str">
        <f t="shared" si="1"/>
        <v/>
      </c>
      <c r="E311" s="320"/>
      <c r="F311" s="320"/>
      <c r="G311" s="321"/>
      <c r="H311" s="321"/>
      <c r="I311" s="321"/>
      <c r="J311" s="321"/>
      <c r="K311" s="321"/>
      <c r="L311" s="321"/>
      <c r="M311" s="321"/>
    </row>
    <row r="312" ht="15.75" customHeight="1">
      <c r="A312" s="317"/>
      <c r="B312" s="318"/>
      <c r="C312" s="318"/>
      <c r="D312" s="319" t="str">
        <f t="shared" si="1"/>
        <v/>
      </c>
      <c r="E312" s="320"/>
      <c r="F312" s="320"/>
      <c r="G312" s="321"/>
      <c r="H312" s="321"/>
      <c r="I312" s="321"/>
      <c r="J312" s="321"/>
      <c r="K312" s="321"/>
      <c r="L312" s="321"/>
      <c r="M312" s="321"/>
    </row>
    <row r="313" ht="15.75" customHeight="1">
      <c r="A313" s="317"/>
      <c r="B313" s="318"/>
      <c r="C313" s="318"/>
      <c r="D313" s="319" t="str">
        <f t="shared" si="1"/>
        <v/>
      </c>
      <c r="E313" s="320"/>
      <c r="F313" s="320"/>
      <c r="G313" s="321"/>
      <c r="H313" s="321"/>
      <c r="I313" s="321"/>
      <c r="J313" s="321"/>
      <c r="K313" s="321"/>
      <c r="L313" s="321"/>
      <c r="M313" s="321"/>
    </row>
    <row r="314" ht="15.75" customHeight="1">
      <c r="A314" s="317"/>
      <c r="B314" s="318"/>
      <c r="C314" s="318"/>
      <c r="D314" s="319" t="str">
        <f t="shared" si="1"/>
        <v/>
      </c>
      <c r="E314" s="320"/>
      <c r="F314" s="320"/>
      <c r="G314" s="321"/>
      <c r="H314" s="321"/>
      <c r="I314" s="321"/>
      <c r="J314" s="321"/>
      <c r="K314" s="321"/>
      <c r="L314" s="321"/>
      <c r="M314" s="321"/>
    </row>
    <row r="315" ht="15.75" customHeight="1">
      <c r="A315" s="317"/>
      <c r="B315" s="318"/>
      <c r="C315" s="318"/>
      <c r="D315" s="319" t="str">
        <f t="shared" si="1"/>
        <v/>
      </c>
      <c r="E315" s="320"/>
      <c r="F315" s="320"/>
      <c r="G315" s="321"/>
      <c r="H315" s="321"/>
      <c r="I315" s="321"/>
      <c r="J315" s="321"/>
      <c r="K315" s="321"/>
      <c r="L315" s="321"/>
      <c r="M315" s="321"/>
    </row>
    <row r="316" ht="15.75" customHeight="1">
      <c r="A316" s="317"/>
      <c r="B316" s="318"/>
      <c r="C316" s="318"/>
      <c r="D316" s="319" t="str">
        <f t="shared" si="1"/>
        <v/>
      </c>
      <c r="E316" s="320"/>
      <c r="F316" s="320"/>
      <c r="G316" s="321"/>
      <c r="H316" s="321"/>
      <c r="I316" s="321"/>
      <c r="J316" s="321"/>
      <c r="K316" s="321"/>
      <c r="L316" s="321"/>
      <c r="M316" s="321"/>
    </row>
    <row r="317" ht="15.75" customHeight="1">
      <c r="A317" s="317"/>
      <c r="B317" s="318"/>
      <c r="C317" s="318"/>
      <c r="D317" s="319" t="str">
        <f t="shared" si="1"/>
        <v/>
      </c>
      <c r="E317" s="320"/>
      <c r="F317" s="320"/>
      <c r="G317" s="321"/>
      <c r="H317" s="321"/>
      <c r="I317" s="321"/>
      <c r="J317" s="321"/>
      <c r="K317" s="321"/>
      <c r="L317" s="321"/>
      <c r="M317" s="321"/>
    </row>
    <row r="318" ht="15.75" customHeight="1">
      <c r="A318" s="317"/>
      <c r="B318" s="318"/>
      <c r="C318" s="318"/>
      <c r="D318" s="319" t="str">
        <f t="shared" si="1"/>
        <v/>
      </c>
      <c r="E318" s="320"/>
      <c r="F318" s="320"/>
      <c r="G318" s="321"/>
      <c r="H318" s="321"/>
      <c r="I318" s="321"/>
      <c r="J318" s="321"/>
      <c r="K318" s="321"/>
      <c r="L318" s="321"/>
      <c r="M318" s="321"/>
    </row>
    <row r="319" ht="15.75" customHeight="1">
      <c r="A319" s="317"/>
      <c r="B319" s="318"/>
      <c r="C319" s="318"/>
      <c r="D319" s="319" t="str">
        <f t="shared" si="1"/>
        <v/>
      </c>
      <c r="E319" s="320"/>
      <c r="F319" s="320"/>
      <c r="G319" s="321"/>
      <c r="H319" s="321"/>
      <c r="I319" s="321"/>
      <c r="J319" s="321"/>
      <c r="K319" s="321"/>
      <c r="L319" s="321"/>
      <c r="M319" s="321"/>
    </row>
    <row r="320" ht="15.75" customHeight="1">
      <c r="A320" s="317"/>
      <c r="B320" s="318"/>
      <c r="C320" s="318"/>
      <c r="D320" s="319" t="str">
        <f t="shared" si="1"/>
        <v/>
      </c>
      <c r="E320" s="320"/>
      <c r="F320" s="320"/>
      <c r="G320" s="321"/>
      <c r="H320" s="321"/>
      <c r="I320" s="321"/>
      <c r="J320" s="321"/>
      <c r="K320" s="321"/>
      <c r="L320" s="321"/>
      <c r="M320" s="321"/>
    </row>
    <row r="321" ht="15.75" customHeight="1">
      <c r="A321" s="317"/>
      <c r="B321" s="318"/>
      <c r="C321" s="318"/>
      <c r="D321" s="319" t="str">
        <f t="shared" si="1"/>
        <v/>
      </c>
      <c r="E321" s="320"/>
      <c r="F321" s="320"/>
      <c r="G321" s="321"/>
      <c r="H321" s="321"/>
      <c r="I321" s="321"/>
      <c r="J321" s="321"/>
      <c r="K321" s="321"/>
      <c r="L321" s="321"/>
      <c r="M321" s="321"/>
    </row>
    <row r="322" ht="15.75" customHeight="1">
      <c r="A322" s="317"/>
      <c r="B322" s="318"/>
      <c r="C322" s="318"/>
      <c r="D322" s="319" t="str">
        <f t="shared" si="1"/>
        <v/>
      </c>
      <c r="E322" s="320"/>
      <c r="F322" s="320"/>
      <c r="G322" s="321"/>
      <c r="H322" s="321"/>
      <c r="I322" s="321"/>
      <c r="J322" s="321"/>
      <c r="K322" s="321"/>
      <c r="L322" s="321"/>
      <c r="M322" s="321"/>
    </row>
    <row r="323" ht="15.75" customHeight="1">
      <c r="A323" s="317"/>
      <c r="B323" s="318"/>
      <c r="C323" s="318"/>
      <c r="D323" s="319" t="str">
        <f t="shared" si="1"/>
        <v/>
      </c>
      <c r="E323" s="320"/>
      <c r="F323" s="320"/>
      <c r="G323" s="321"/>
      <c r="H323" s="321"/>
      <c r="I323" s="321"/>
      <c r="J323" s="321"/>
      <c r="K323" s="321"/>
      <c r="L323" s="321"/>
      <c r="M323" s="321"/>
    </row>
    <row r="324" ht="15.75" customHeight="1">
      <c r="A324" s="317"/>
      <c r="B324" s="318"/>
      <c r="C324" s="318"/>
      <c r="D324" s="319" t="str">
        <f t="shared" si="1"/>
        <v/>
      </c>
      <c r="E324" s="320"/>
      <c r="F324" s="320"/>
      <c r="G324" s="321"/>
      <c r="H324" s="321"/>
      <c r="I324" s="321"/>
      <c r="J324" s="321"/>
      <c r="K324" s="321"/>
      <c r="L324" s="321"/>
      <c r="M324" s="321"/>
    </row>
    <row r="325" ht="15.75" customHeight="1">
      <c r="A325" s="317"/>
      <c r="B325" s="318"/>
      <c r="C325" s="318"/>
      <c r="D325" s="319" t="str">
        <f t="shared" si="1"/>
        <v/>
      </c>
      <c r="E325" s="320"/>
      <c r="F325" s="320"/>
      <c r="G325" s="321"/>
      <c r="H325" s="321"/>
      <c r="I325" s="321"/>
      <c r="J325" s="321"/>
      <c r="K325" s="321"/>
      <c r="L325" s="321"/>
      <c r="M325" s="321"/>
    </row>
    <row r="326" ht="15.75" customHeight="1">
      <c r="A326" s="317"/>
      <c r="B326" s="318"/>
      <c r="C326" s="318"/>
      <c r="D326" s="319" t="str">
        <f t="shared" si="1"/>
        <v/>
      </c>
      <c r="E326" s="320"/>
      <c r="F326" s="320"/>
      <c r="G326" s="321"/>
      <c r="H326" s="321"/>
      <c r="I326" s="321"/>
      <c r="J326" s="321"/>
      <c r="K326" s="321"/>
      <c r="L326" s="321"/>
      <c r="M326" s="321"/>
    </row>
    <row r="327" ht="15.75" customHeight="1">
      <c r="A327" s="317"/>
      <c r="B327" s="318"/>
      <c r="C327" s="318"/>
      <c r="D327" s="319" t="str">
        <f t="shared" si="1"/>
        <v/>
      </c>
      <c r="E327" s="320"/>
      <c r="F327" s="320"/>
      <c r="G327" s="321"/>
      <c r="H327" s="321"/>
      <c r="I327" s="321"/>
      <c r="J327" s="321"/>
      <c r="K327" s="321"/>
      <c r="L327" s="321"/>
      <c r="M327" s="321"/>
    </row>
    <row r="328" ht="15.75" customHeight="1">
      <c r="A328" s="317"/>
      <c r="B328" s="318"/>
      <c r="C328" s="318"/>
      <c r="D328" s="319" t="str">
        <f t="shared" si="1"/>
        <v/>
      </c>
      <c r="E328" s="320"/>
      <c r="F328" s="320"/>
      <c r="G328" s="321"/>
      <c r="H328" s="321"/>
      <c r="I328" s="321"/>
      <c r="J328" s="321"/>
      <c r="K328" s="321"/>
      <c r="L328" s="321"/>
      <c r="M328" s="321"/>
    </row>
    <row r="329" ht="15.75" customHeight="1">
      <c r="A329" s="317"/>
      <c r="B329" s="318"/>
      <c r="C329" s="318"/>
      <c r="D329" s="319" t="str">
        <f t="shared" si="1"/>
        <v/>
      </c>
      <c r="E329" s="320"/>
      <c r="F329" s="320"/>
      <c r="G329" s="321"/>
      <c r="H329" s="321"/>
      <c r="I329" s="321"/>
      <c r="J329" s="321"/>
      <c r="K329" s="321"/>
      <c r="L329" s="321"/>
      <c r="M329" s="321"/>
    </row>
    <row r="330" ht="15.75" customHeight="1">
      <c r="A330" s="317"/>
      <c r="B330" s="318"/>
      <c r="C330" s="318"/>
      <c r="D330" s="319" t="str">
        <f t="shared" si="1"/>
        <v/>
      </c>
      <c r="E330" s="320"/>
      <c r="F330" s="320"/>
      <c r="G330" s="321"/>
      <c r="H330" s="321"/>
      <c r="I330" s="321"/>
      <c r="J330" s="321"/>
      <c r="K330" s="321"/>
      <c r="L330" s="321"/>
      <c r="M330" s="321"/>
    </row>
    <row r="331" ht="15.75" customHeight="1">
      <c r="A331" s="317"/>
      <c r="B331" s="318"/>
      <c r="C331" s="318"/>
      <c r="D331" s="319" t="str">
        <f t="shared" si="1"/>
        <v/>
      </c>
      <c r="E331" s="320"/>
      <c r="F331" s="320"/>
      <c r="G331" s="321"/>
      <c r="H331" s="321"/>
      <c r="I331" s="321"/>
      <c r="J331" s="321"/>
      <c r="K331" s="321"/>
      <c r="L331" s="321"/>
      <c r="M331" s="321"/>
    </row>
    <row r="332" ht="15.75" customHeight="1">
      <c r="A332" s="317"/>
      <c r="B332" s="318"/>
      <c r="C332" s="318"/>
      <c r="D332" s="319" t="str">
        <f t="shared" si="1"/>
        <v/>
      </c>
      <c r="E332" s="320"/>
      <c r="F332" s="320"/>
      <c r="G332" s="321"/>
      <c r="H332" s="321"/>
      <c r="I332" s="321"/>
      <c r="J332" s="321"/>
      <c r="K332" s="321"/>
      <c r="L332" s="321"/>
      <c r="M332" s="321"/>
    </row>
    <row r="333" ht="15.75" customHeight="1">
      <c r="A333" s="317"/>
      <c r="B333" s="318"/>
      <c r="C333" s="318"/>
      <c r="D333" s="319" t="str">
        <f t="shared" si="1"/>
        <v/>
      </c>
      <c r="E333" s="320"/>
      <c r="F333" s="320"/>
      <c r="G333" s="321"/>
      <c r="H333" s="321"/>
      <c r="I333" s="321"/>
      <c r="J333" s="321"/>
      <c r="K333" s="321"/>
      <c r="L333" s="321"/>
      <c r="M333" s="321"/>
    </row>
    <row r="334" ht="15.75" customHeight="1">
      <c r="A334" s="317"/>
      <c r="B334" s="318"/>
      <c r="C334" s="318"/>
      <c r="D334" s="319" t="str">
        <f t="shared" si="1"/>
        <v/>
      </c>
      <c r="E334" s="320"/>
      <c r="F334" s="320"/>
      <c r="G334" s="321"/>
      <c r="H334" s="321"/>
      <c r="I334" s="321"/>
      <c r="J334" s="321"/>
      <c r="K334" s="321"/>
      <c r="L334" s="321"/>
      <c r="M334" s="321"/>
    </row>
    <row r="335" ht="15.75" customHeight="1">
      <c r="A335" s="317"/>
      <c r="B335" s="318"/>
      <c r="C335" s="318"/>
      <c r="D335" s="319" t="str">
        <f t="shared" si="1"/>
        <v/>
      </c>
      <c r="E335" s="320"/>
      <c r="F335" s="320"/>
      <c r="G335" s="321"/>
      <c r="H335" s="321"/>
      <c r="I335" s="321"/>
      <c r="J335" s="321"/>
      <c r="K335" s="321"/>
      <c r="L335" s="321"/>
      <c r="M335" s="321"/>
    </row>
    <row r="336" ht="15.75" customHeight="1">
      <c r="A336" s="317"/>
      <c r="B336" s="318"/>
      <c r="C336" s="318"/>
      <c r="D336" s="319" t="str">
        <f t="shared" si="1"/>
        <v/>
      </c>
      <c r="E336" s="320"/>
      <c r="F336" s="320"/>
      <c r="G336" s="321"/>
      <c r="H336" s="321"/>
      <c r="I336" s="321"/>
      <c r="J336" s="321"/>
      <c r="K336" s="321"/>
      <c r="L336" s="321"/>
      <c r="M336" s="321"/>
    </row>
    <row r="337" ht="15.75" customHeight="1">
      <c r="A337" s="317"/>
      <c r="B337" s="318"/>
      <c r="C337" s="318"/>
      <c r="D337" s="319" t="str">
        <f t="shared" si="1"/>
        <v/>
      </c>
      <c r="E337" s="320"/>
      <c r="F337" s="320"/>
      <c r="G337" s="321"/>
      <c r="H337" s="321"/>
      <c r="I337" s="321"/>
      <c r="J337" s="321"/>
      <c r="K337" s="321"/>
      <c r="L337" s="321"/>
      <c r="M337" s="321"/>
    </row>
    <row r="338" ht="15.75" customHeight="1">
      <c r="A338" s="317"/>
      <c r="B338" s="318"/>
      <c r="C338" s="318"/>
      <c r="D338" s="319" t="str">
        <f t="shared" si="1"/>
        <v/>
      </c>
      <c r="E338" s="320"/>
      <c r="F338" s="320"/>
      <c r="G338" s="321"/>
      <c r="H338" s="321"/>
      <c r="I338" s="321"/>
      <c r="J338" s="321"/>
      <c r="K338" s="321"/>
      <c r="L338" s="321"/>
      <c r="M338" s="321"/>
    </row>
    <row r="339" ht="15.75" customHeight="1">
      <c r="A339" s="317"/>
      <c r="B339" s="318"/>
      <c r="C339" s="318"/>
      <c r="D339" s="319" t="str">
        <f t="shared" si="1"/>
        <v/>
      </c>
      <c r="E339" s="320"/>
      <c r="F339" s="320"/>
      <c r="G339" s="321"/>
      <c r="H339" s="321"/>
      <c r="I339" s="321"/>
      <c r="J339" s="321"/>
      <c r="K339" s="321"/>
      <c r="L339" s="321"/>
      <c r="M339" s="321"/>
    </row>
    <row r="340" ht="15.75" customHeight="1">
      <c r="A340" s="317"/>
      <c r="B340" s="318"/>
      <c r="C340" s="318"/>
      <c r="D340" s="319" t="str">
        <f t="shared" si="1"/>
        <v/>
      </c>
      <c r="E340" s="320"/>
      <c r="F340" s="320"/>
      <c r="G340" s="321"/>
      <c r="H340" s="321"/>
      <c r="I340" s="321"/>
      <c r="J340" s="321"/>
      <c r="K340" s="321"/>
      <c r="L340" s="321"/>
      <c r="M340" s="321"/>
    </row>
    <row r="341" ht="15.75" customHeight="1">
      <c r="A341" s="317"/>
      <c r="B341" s="318"/>
      <c r="C341" s="318"/>
      <c r="D341" s="319" t="str">
        <f t="shared" si="1"/>
        <v/>
      </c>
      <c r="E341" s="320"/>
      <c r="F341" s="320"/>
      <c r="G341" s="321"/>
      <c r="H341" s="321"/>
      <c r="I341" s="321"/>
      <c r="J341" s="321"/>
      <c r="K341" s="321"/>
      <c r="L341" s="321"/>
      <c r="M341" s="321"/>
    </row>
    <row r="342" ht="15.75" customHeight="1">
      <c r="A342" s="317"/>
      <c r="B342" s="318"/>
      <c r="C342" s="318"/>
      <c r="D342" s="319" t="str">
        <f t="shared" si="1"/>
        <v/>
      </c>
      <c r="E342" s="320"/>
      <c r="F342" s="320"/>
      <c r="G342" s="321"/>
      <c r="H342" s="321"/>
      <c r="I342" s="321"/>
      <c r="J342" s="321"/>
      <c r="K342" s="321"/>
      <c r="L342" s="321"/>
      <c r="M342" s="321"/>
    </row>
    <row r="343" ht="15.75" customHeight="1">
      <c r="A343" s="317"/>
      <c r="B343" s="318"/>
      <c r="C343" s="318"/>
      <c r="D343" s="319" t="str">
        <f t="shared" si="1"/>
        <v/>
      </c>
      <c r="E343" s="320"/>
      <c r="F343" s="320"/>
      <c r="G343" s="321"/>
      <c r="H343" s="321"/>
      <c r="I343" s="321"/>
      <c r="J343" s="321"/>
      <c r="K343" s="321"/>
      <c r="L343" s="321"/>
      <c r="M343" s="321"/>
    </row>
    <row r="344" ht="15.75" customHeight="1">
      <c r="A344" s="317"/>
      <c r="B344" s="318"/>
      <c r="C344" s="318"/>
      <c r="D344" s="319" t="str">
        <f t="shared" si="1"/>
        <v/>
      </c>
      <c r="E344" s="320"/>
      <c r="F344" s="320"/>
      <c r="G344" s="321"/>
      <c r="H344" s="321"/>
      <c r="I344" s="321"/>
      <c r="J344" s="321"/>
      <c r="K344" s="321"/>
      <c r="L344" s="321"/>
      <c r="M344" s="321"/>
    </row>
    <row r="345" ht="15.75" customHeight="1">
      <c r="A345" s="317"/>
      <c r="B345" s="318"/>
      <c r="C345" s="318"/>
      <c r="D345" s="319" t="str">
        <f t="shared" si="1"/>
        <v/>
      </c>
      <c r="E345" s="320"/>
      <c r="F345" s="320"/>
      <c r="G345" s="321"/>
      <c r="H345" s="321"/>
      <c r="I345" s="321"/>
      <c r="J345" s="321"/>
      <c r="K345" s="321"/>
      <c r="L345" s="321"/>
      <c r="M345" s="321"/>
    </row>
    <row r="346" ht="15.75" customHeight="1">
      <c r="A346" s="317"/>
      <c r="B346" s="318"/>
      <c r="C346" s="318"/>
      <c r="D346" s="319" t="str">
        <f t="shared" si="1"/>
        <v/>
      </c>
      <c r="E346" s="320"/>
      <c r="F346" s="320"/>
      <c r="G346" s="321"/>
      <c r="H346" s="321"/>
      <c r="I346" s="321"/>
      <c r="J346" s="321"/>
      <c r="K346" s="321"/>
      <c r="L346" s="321"/>
      <c r="M346" s="321"/>
    </row>
    <row r="347" ht="15.75" customHeight="1">
      <c r="A347" s="317"/>
      <c r="B347" s="318"/>
      <c r="C347" s="318"/>
      <c r="D347" s="319" t="str">
        <f t="shared" si="1"/>
        <v/>
      </c>
      <c r="E347" s="320"/>
      <c r="F347" s="320"/>
      <c r="G347" s="321"/>
      <c r="H347" s="321"/>
      <c r="I347" s="321"/>
      <c r="J347" s="321"/>
      <c r="K347" s="321"/>
      <c r="L347" s="321"/>
      <c r="M347" s="321"/>
    </row>
    <row r="348" ht="15.75" customHeight="1">
      <c r="A348" s="317"/>
      <c r="B348" s="318"/>
      <c r="C348" s="318"/>
      <c r="D348" s="319" t="str">
        <f t="shared" si="1"/>
        <v/>
      </c>
      <c r="E348" s="320"/>
      <c r="F348" s="320"/>
      <c r="G348" s="321"/>
      <c r="H348" s="321"/>
      <c r="I348" s="321"/>
      <c r="J348" s="321"/>
      <c r="K348" s="321"/>
      <c r="L348" s="321"/>
      <c r="M348" s="321"/>
    </row>
    <row r="349" ht="15.75" customHeight="1">
      <c r="A349" s="317"/>
      <c r="B349" s="318"/>
      <c r="C349" s="318"/>
      <c r="D349" s="319" t="str">
        <f t="shared" si="1"/>
        <v/>
      </c>
      <c r="E349" s="320"/>
      <c r="F349" s="320"/>
      <c r="G349" s="321"/>
      <c r="H349" s="321"/>
      <c r="I349" s="321"/>
      <c r="J349" s="321"/>
      <c r="K349" s="321"/>
      <c r="L349" s="321"/>
      <c r="M349" s="321"/>
    </row>
    <row r="350" ht="15.75" customHeight="1">
      <c r="A350" s="317"/>
      <c r="B350" s="318"/>
      <c r="C350" s="318"/>
      <c r="D350" s="319" t="str">
        <f t="shared" si="1"/>
        <v/>
      </c>
      <c r="E350" s="320"/>
      <c r="F350" s="320"/>
      <c r="G350" s="321"/>
      <c r="H350" s="321"/>
      <c r="I350" s="321"/>
      <c r="J350" s="321"/>
      <c r="K350" s="321"/>
      <c r="L350" s="321"/>
      <c r="M350" s="321"/>
    </row>
    <row r="351" ht="15.75" customHeight="1">
      <c r="A351" s="317"/>
      <c r="B351" s="318"/>
      <c r="C351" s="318"/>
      <c r="D351" s="319" t="str">
        <f t="shared" si="1"/>
        <v/>
      </c>
      <c r="E351" s="320"/>
      <c r="F351" s="320"/>
      <c r="G351" s="321"/>
      <c r="H351" s="321"/>
      <c r="I351" s="321"/>
      <c r="J351" s="321"/>
      <c r="K351" s="321"/>
      <c r="L351" s="321"/>
      <c r="M351" s="321"/>
    </row>
    <row r="352" ht="15.75" customHeight="1">
      <c r="A352" s="317"/>
      <c r="B352" s="318"/>
      <c r="C352" s="318"/>
      <c r="D352" s="319" t="str">
        <f t="shared" si="1"/>
        <v/>
      </c>
      <c r="E352" s="320"/>
      <c r="F352" s="320"/>
      <c r="G352" s="321"/>
      <c r="H352" s="321"/>
      <c r="I352" s="321"/>
      <c r="J352" s="321"/>
      <c r="K352" s="321"/>
      <c r="L352" s="321"/>
      <c r="M352" s="321"/>
    </row>
    <row r="353" ht="15.75" customHeight="1">
      <c r="A353" s="317"/>
      <c r="B353" s="318"/>
      <c r="C353" s="318"/>
      <c r="D353" s="319" t="str">
        <f t="shared" si="1"/>
        <v/>
      </c>
      <c r="E353" s="320"/>
      <c r="F353" s="320"/>
      <c r="G353" s="321"/>
      <c r="H353" s="321"/>
      <c r="I353" s="321"/>
      <c r="J353" s="321"/>
      <c r="K353" s="321"/>
      <c r="L353" s="321"/>
      <c r="M353" s="321"/>
    </row>
    <row r="354" ht="15.75" customHeight="1">
      <c r="A354" s="317"/>
      <c r="B354" s="318"/>
      <c r="C354" s="318"/>
      <c r="D354" s="319" t="str">
        <f t="shared" si="1"/>
        <v/>
      </c>
      <c r="E354" s="320"/>
      <c r="F354" s="320"/>
      <c r="G354" s="321"/>
      <c r="H354" s="321"/>
      <c r="I354" s="321"/>
      <c r="J354" s="321"/>
      <c r="K354" s="321"/>
      <c r="L354" s="321"/>
      <c r="M354" s="321"/>
    </row>
    <row r="355" ht="15.75" customHeight="1">
      <c r="A355" s="317"/>
      <c r="B355" s="318"/>
      <c r="C355" s="318"/>
      <c r="D355" s="319" t="str">
        <f t="shared" si="1"/>
        <v/>
      </c>
      <c r="E355" s="320"/>
      <c r="F355" s="320"/>
      <c r="G355" s="321"/>
      <c r="H355" s="321"/>
      <c r="I355" s="321"/>
      <c r="J355" s="321"/>
      <c r="K355" s="321"/>
      <c r="L355" s="321"/>
      <c r="M355" s="321"/>
    </row>
    <row r="356" ht="15.75" customHeight="1">
      <c r="A356" s="317"/>
      <c r="B356" s="318"/>
      <c r="C356" s="318"/>
      <c r="D356" s="319" t="str">
        <f t="shared" si="1"/>
        <v/>
      </c>
      <c r="E356" s="320"/>
      <c r="F356" s="320"/>
      <c r="G356" s="321"/>
      <c r="H356" s="321"/>
      <c r="I356" s="321"/>
      <c r="J356" s="321"/>
      <c r="K356" s="321"/>
      <c r="L356" s="321"/>
      <c r="M356" s="321"/>
    </row>
    <row r="357" ht="15.75" customHeight="1">
      <c r="A357" s="317"/>
      <c r="B357" s="318"/>
      <c r="C357" s="318"/>
      <c r="D357" s="319" t="str">
        <f t="shared" si="1"/>
        <v/>
      </c>
      <c r="E357" s="320"/>
      <c r="F357" s="320"/>
      <c r="G357" s="321"/>
      <c r="H357" s="321"/>
      <c r="I357" s="321"/>
      <c r="J357" s="321"/>
      <c r="K357" s="321"/>
      <c r="L357" s="321"/>
      <c r="M357" s="321"/>
    </row>
    <row r="358" ht="15.75" customHeight="1">
      <c r="A358" s="317"/>
      <c r="B358" s="318"/>
      <c r="C358" s="318"/>
      <c r="D358" s="319" t="str">
        <f t="shared" si="1"/>
        <v/>
      </c>
      <c r="E358" s="320"/>
      <c r="F358" s="320"/>
      <c r="G358" s="321"/>
      <c r="H358" s="321"/>
      <c r="I358" s="321"/>
      <c r="J358" s="321"/>
      <c r="K358" s="321"/>
      <c r="L358" s="321"/>
      <c r="M358" s="321"/>
    </row>
    <row r="359" ht="15.75" customHeight="1">
      <c r="A359" s="317"/>
      <c r="B359" s="318"/>
      <c r="C359" s="318"/>
      <c r="D359" s="319" t="str">
        <f t="shared" si="1"/>
        <v/>
      </c>
      <c r="E359" s="320"/>
      <c r="F359" s="320"/>
      <c r="G359" s="321"/>
      <c r="H359" s="321"/>
      <c r="I359" s="321"/>
      <c r="J359" s="321"/>
      <c r="K359" s="321"/>
      <c r="L359" s="321"/>
      <c r="M359" s="321"/>
    </row>
    <row r="360" ht="15.75" customHeight="1">
      <c r="A360" s="317"/>
      <c r="B360" s="318"/>
      <c r="C360" s="318"/>
      <c r="D360" s="319" t="str">
        <f t="shared" si="1"/>
        <v/>
      </c>
      <c r="E360" s="320"/>
      <c r="F360" s="320"/>
      <c r="G360" s="321"/>
      <c r="H360" s="321"/>
      <c r="I360" s="321"/>
      <c r="J360" s="321"/>
      <c r="K360" s="321"/>
      <c r="L360" s="321"/>
      <c r="M360" s="321"/>
    </row>
    <row r="361" ht="15.75" customHeight="1">
      <c r="A361" s="317"/>
      <c r="B361" s="318"/>
      <c r="C361" s="318"/>
      <c r="D361" s="319" t="str">
        <f t="shared" si="1"/>
        <v/>
      </c>
      <c r="E361" s="320"/>
      <c r="F361" s="320"/>
      <c r="G361" s="321"/>
      <c r="H361" s="321"/>
      <c r="I361" s="321"/>
      <c r="J361" s="321"/>
      <c r="K361" s="321"/>
      <c r="L361" s="321"/>
      <c r="M361" s="321"/>
    </row>
    <row r="362" ht="15.75" customHeight="1">
      <c r="A362" s="317"/>
      <c r="B362" s="318"/>
      <c r="C362" s="318"/>
      <c r="D362" s="319" t="str">
        <f t="shared" si="1"/>
        <v/>
      </c>
      <c r="E362" s="320"/>
      <c r="F362" s="320"/>
      <c r="G362" s="321"/>
      <c r="H362" s="321"/>
      <c r="I362" s="321"/>
      <c r="J362" s="321"/>
      <c r="K362" s="321"/>
      <c r="L362" s="321"/>
      <c r="M362" s="321"/>
    </row>
    <row r="363" ht="15.75" customHeight="1">
      <c r="A363" s="317"/>
      <c r="B363" s="318"/>
      <c r="C363" s="318"/>
      <c r="D363" s="319" t="str">
        <f t="shared" si="1"/>
        <v/>
      </c>
      <c r="E363" s="320"/>
      <c r="F363" s="320"/>
      <c r="G363" s="321"/>
      <c r="H363" s="321"/>
      <c r="I363" s="321"/>
      <c r="J363" s="321"/>
      <c r="K363" s="321"/>
      <c r="L363" s="321"/>
      <c r="M363" s="321"/>
    </row>
    <row r="364" ht="15.75" customHeight="1">
      <c r="A364" s="317"/>
      <c r="B364" s="318"/>
      <c r="C364" s="318"/>
      <c r="D364" s="319" t="str">
        <f t="shared" si="1"/>
        <v/>
      </c>
      <c r="E364" s="320"/>
      <c r="F364" s="320"/>
      <c r="G364" s="321"/>
      <c r="H364" s="321"/>
      <c r="I364" s="321"/>
      <c r="J364" s="321"/>
      <c r="K364" s="321"/>
      <c r="L364" s="321"/>
      <c r="M364" s="321"/>
    </row>
    <row r="365" ht="15.75" customHeight="1">
      <c r="A365" s="317"/>
      <c r="B365" s="318"/>
      <c r="C365" s="318"/>
      <c r="D365" s="319" t="str">
        <f t="shared" si="1"/>
        <v/>
      </c>
      <c r="E365" s="320"/>
      <c r="F365" s="320"/>
      <c r="G365" s="321"/>
      <c r="H365" s="321"/>
      <c r="I365" s="321"/>
      <c r="J365" s="321"/>
      <c r="K365" s="321"/>
      <c r="L365" s="321"/>
      <c r="M365" s="321"/>
    </row>
    <row r="366" ht="15.75" customHeight="1">
      <c r="A366" s="317"/>
      <c r="B366" s="318"/>
      <c r="C366" s="318"/>
      <c r="D366" s="319" t="str">
        <f t="shared" si="1"/>
        <v/>
      </c>
      <c r="E366" s="320"/>
      <c r="F366" s="320"/>
      <c r="G366" s="321"/>
      <c r="H366" s="321"/>
      <c r="I366" s="321"/>
      <c r="J366" s="321"/>
      <c r="K366" s="321"/>
      <c r="L366" s="321"/>
      <c r="M366" s="321"/>
    </row>
    <row r="367" ht="15.75" customHeight="1">
      <c r="A367" s="317"/>
      <c r="B367" s="318"/>
      <c r="C367" s="318"/>
      <c r="D367" s="319" t="str">
        <f t="shared" si="1"/>
        <v/>
      </c>
      <c r="E367" s="320"/>
      <c r="F367" s="320"/>
      <c r="G367" s="321"/>
      <c r="H367" s="321"/>
      <c r="I367" s="321"/>
      <c r="J367" s="321"/>
      <c r="K367" s="321"/>
      <c r="L367" s="321"/>
      <c r="M367" s="321"/>
    </row>
    <row r="368" ht="15.75" customHeight="1">
      <c r="A368" s="317"/>
      <c r="B368" s="318"/>
      <c r="C368" s="318"/>
      <c r="D368" s="319" t="str">
        <f t="shared" si="1"/>
        <v/>
      </c>
      <c r="E368" s="320"/>
      <c r="F368" s="320"/>
      <c r="G368" s="321"/>
      <c r="H368" s="321"/>
      <c r="I368" s="321"/>
      <c r="J368" s="321"/>
      <c r="K368" s="321"/>
      <c r="L368" s="321"/>
      <c r="M368" s="321"/>
    </row>
    <row r="369" ht="15.75" customHeight="1">
      <c r="A369" s="317"/>
      <c r="B369" s="318"/>
      <c r="C369" s="318"/>
      <c r="D369" s="319" t="str">
        <f t="shared" si="1"/>
        <v/>
      </c>
      <c r="E369" s="320"/>
      <c r="F369" s="320"/>
      <c r="G369" s="321"/>
      <c r="H369" s="321"/>
      <c r="I369" s="321"/>
      <c r="J369" s="321"/>
      <c r="K369" s="321"/>
      <c r="L369" s="321"/>
      <c r="M369" s="321"/>
    </row>
    <row r="370" ht="15.75" customHeight="1">
      <c r="A370" s="317"/>
      <c r="B370" s="318"/>
      <c r="C370" s="318"/>
      <c r="D370" s="319" t="str">
        <f t="shared" si="1"/>
        <v/>
      </c>
      <c r="E370" s="320"/>
      <c r="F370" s="320"/>
      <c r="G370" s="321"/>
      <c r="H370" s="321"/>
      <c r="I370" s="321"/>
      <c r="J370" s="321"/>
      <c r="K370" s="321"/>
      <c r="L370" s="321"/>
      <c r="M370" s="321"/>
    </row>
    <row r="371" ht="15.75" customHeight="1">
      <c r="A371" s="317"/>
      <c r="B371" s="318"/>
      <c r="C371" s="318"/>
      <c r="D371" s="319" t="str">
        <f t="shared" si="1"/>
        <v/>
      </c>
      <c r="E371" s="320"/>
      <c r="F371" s="320"/>
      <c r="G371" s="321"/>
      <c r="H371" s="321"/>
      <c r="I371" s="321"/>
      <c r="J371" s="321"/>
      <c r="K371" s="321"/>
      <c r="L371" s="321"/>
      <c r="M371" s="321"/>
    </row>
    <row r="372" ht="15.75" customHeight="1">
      <c r="A372" s="317"/>
      <c r="B372" s="318"/>
      <c r="C372" s="318"/>
      <c r="D372" s="319" t="str">
        <f t="shared" si="1"/>
        <v/>
      </c>
      <c r="E372" s="320"/>
      <c r="F372" s="320"/>
      <c r="G372" s="321"/>
      <c r="H372" s="321"/>
      <c r="I372" s="321"/>
      <c r="J372" s="321"/>
      <c r="K372" s="321"/>
      <c r="L372" s="321"/>
      <c r="M372" s="321"/>
    </row>
    <row r="373" ht="15.75" customHeight="1">
      <c r="A373" s="317"/>
      <c r="B373" s="318"/>
      <c r="C373" s="318"/>
      <c r="D373" s="319" t="str">
        <f t="shared" si="1"/>
        <v/>
      </c>
      <c r="E373" s="320"/>
      <c r="F373" s="320"/>
      <c r="G373" s="321"/>
      <c r="H373" s="321"/>
      <c r="I373" s="321"/>
      <c r="J373" s="321"/>
      <c r="K373" s="321"/>
      <c r="L373" s="321"/>
      <c r="M373" s="321"/>
    </row>
    <row r="374" ht="15.75" customHeight="1">
      <c r="A374" s="317"/>
      <c r="B374" s="318"/>
      <c r="C374" s="318"/>
      <c r="D374" s="319" t="str">
        <f t="shared" si="1"/>
        <v/>
      </c>
      <c r="E374" s="320"/>
      <c r="F374" s="320"/>
      <c r="G374" s="321"/>
      <c r="H374" s="321"/>
      <c r="I374" s="321"/>
      <c r="J374" s="321"/>
      <c r="K374" s="321"/>
      <c r="L374" s="321"/>
      <c r="M374" s="321"/>
    </row>
    <row r="375" ht="15.75" customHeight="1">
      <c r="A375" s="317"/>
      <c r="B375" s="318"/>
      <c r="C375" s="318"/>
      <c r="D375" s="319" t="str">
        <f t="shared" si="1"/>
        <v/>
      </c>
      <c r="E375" s="320"/>
      <c r="F375" s="320"/>
      <c r="G375" s="321"/>
      <c r="H375" s="321"/>
      <c r="I375" s="321"/>
      <c r="J375" s="321"/>
      <c r="K375" s="321"/>
      <c r="L375" s="321"/>
      <c r="M375" s="321"/>
    </row>
    <row r="376" ht="15.75" customHeight="1">
      <c r="A376" s="317"/>
      <c r="B376" s="318"/>
      <c r="C376" s="318"/>
      <c r="D376" s="319" t="str">
        <f t="shared" si="1"/>
        <v/>
      </c>
      <c r="E376" s="320"/>
      <c r="F376" s="320"/>
      <c r="G376" s="321"/>
      <c r="H376" s="321"/>
      <c r="I376" s="321"/>
      <c r="J376" s="321"/>
      <c r="K376" s="321"/>
      <c r="L376" s="321"/>
      <c r="M376" s="321"/>
    </row>
    <row r="377" ht="15.75" customHeight="1">
      <c r="A377" s="317"/>
      <c r="B377" s="318"/>
      <c r="C377" s="318"/>
      <c r="D377" s="319" t="str">
        <f t="shared" si="1"/>
        <v/>
      </c>
      <c r="E377" s="320"/>
      <c r="F377" s="320"/>
      <c r="G377" s="321"/>
      <c r="H377" s="321"/>
      <c r="I377" s="321"/>
      <c r="J377" s="321"/>
      <c r="K377" s="321"/>
      <c r="L377" s="321"/>
      <c r="M377" s="321"/>
    </row>
    <row r="378" ht="15.75" customHeight="1">
      <c r="A378" s="317"/>
      <c r="B378" s="318"/>
      <c r="C378" s="318"/>
      <c r="D378" s="319" t="str">
        <f t="shared" si="1"/>
        <v/>
      </c>
      <c r="E378" s="320"/>
      <c r="F378" s="320"/>
      <c r="G378" s="321"/>
      <c r="H378" s="321"/>
      <c r="I378" s="321"/>
      <c r="J378" s="321"/>
      <c r="K378" s="321"/>
      <c r="L378" s="321"/>
      <c r="M378" s="321"/>
    </row>
    <row r="379" ht="15.75" customHeight="1">
      <c r="A379" s="317"/>
      <c r="B379" s="318"/>
      <c r="C379" s="318"/>
      <c r="D379" s="319" t="str">
        <f t="shared" si="1"/>
        <v/>
      </c>
      <c r="E379" s="320"/>
      <c r="F379" s="320"/>
      <c r="G379" s="321"/>
      <c r="H379" s="321"/>
      <c r="I379" s="321"/>
      <c r="J379" s="321"/>
      <c r="K379" s="321"/>
      <c r="L379" s="321"/>
      <c r="M379" s="321"/>
    </row>
    <row r="380" ht="15.75" customHeight="1">
      <c r="A380" s="317"/>
      <c r="B380" s="318"/>
      <c r="C380" s="318"/>
      <c r="D380" s="319" t="str">
        <f t="shared" si="1"/>
        <v/>
      </c>
      <c r="E380" s="320"/>
      <c r="F380" s="320"/>
      <c r="G380" s="321"/>
      <c r="H380" s="321"/>
      <c r="I380" s="321"/>
      <c r="J380" s="321"/>
      <c r="K380" s="321"/>
      <c r="L380" s="321"/>
      <c r="M380" s="321"/>
    </row>
    <row r="381" ht="15.75" customHeight="1">
      <c r="A381" s="317"/>
      <c r="B381" s="318"/>
      <c r="C381" s="318"/>
      <c r="D381" s="319" t="str">
        <f t="shared" si="1"/>
        <v/>
      </c>
      <c r="E381" s="320"/>
      <c r="F381" s="320"/>
      <c r="G381" s="321"/>
      <c r="H381" s="321"/>
      <c r="I381" s="321"/>
      <c r="J381" s="321"/>
      <c r="K381" s="321"/>
      <c r="L381" s="321"/>
      <c r="M381" s="321"/>
    </row>
    <row r="382" ht="15.75" customHeight="1">
      <c r="A382" s="317"/>
      <c r="B382" s="318"/>
      <c r="C382" s="318"/>
      <c r="D382" s="319" t="str">
        <f t="shared" si="1"/>
        <v/>
      </c>
      <c r="E382" s="320"/>
      <c r="F382" s="320"/>
      <c r="G382" s="321"/>
      <c r="H382" s="321"/>
      <c r="I382" s="321"/>
      <c r="J382" s="321"/>
      <c r="K382" s="321"/>
      <c r="L382" s="321"/>
      <c r="M382" s="321"/>
    </row>
    <row r="383" ht="15.75" customHeight="1">
      <c r="A383" s="317"/>
      <c r="B383" s="318"/>
      <c r="C383" s="318"/>
      <c r="D383" s="319" t="str">
        <f t="shared" si="1"/>
        <v/>
      </c>
      <c r="E383" s="320"/>
      <c r="F383" s="320"/>
      <c r="G383" s="321"/>
      <c r="H383" s="321"/>
      <c r="I383" s="321"/>
      <c r="J383" s="321"/>
      <c r="K383" s="321"/>
      <c r="L383" s="321"/>
      <c r="M383" s="321"/>
    </row>
    <row r="384" ht="15.75" customHeight="1">
      <c r="A384" s="317"/>
      <c r="B384" s="318"/>
      <c r="C384" s="318"/>
      <c r="D384" s="319" t="str">
        <f t="shared" si="1"/>
        <v/>
      </c>
      <c r="E384" s="320"/>
      <c r="F384" s="320"/>
      <c r="G384" s="321"/>
      <c r="H384" s="321"/>
      <c r="I384" s="321"/>
      <c r="J384" s="321"/>
      <c r="K384" s="321"/>
      <c r="L384" s="321"/>
      <c r="M384" s="321"/>
    </row>
    <row r="385" ht="15.75" customHeight="1">
      <c r="A385" s="317"/>
      <c r="B385" s="318"/>
      <c r="C385" s="318"/>
      <c r="D385" s="319" t="str">
        <f t="shared" si="1"/>
        <v/>
      </c>
      <c r="E385" s="320"/>
      <c r="F385" s="320"/>
      <c r="G385" s="321"/>
      <c r="H385" s="321"/>
      <c r="I385" s="321"/>
      <c r="J385" s="321"/>
      <c r="K385" s="321"/>
      <c r="L385" s="321"/>
      <c r="M385" s="321"/>
    </row>
    <row r="386" ht="15.75" customHeight="1">
      <c r="A386" s="317"/>
      <c r="B386" s="318"/>
      <c r="C386" s="318"/>
      <c r="D386" s="319" t="str">
        <f t="shared" si="1"/>
        <v/>
      </c>
      <c r="E386" s="320"/>
      <c r="F386" s="320"/>
      <c r="G386" s="321"/>
      <c r="H386" s="321"/>
      <c r="I386" s="321"/>
      <c r="J386" s="321"/>
      <c r="K386" s="321"/>
      <c r="L386" s="321"/>
      <c r="M386" s="321"/>
    </row>
    <row r="387" ht="15.75" customHeight="1">
      <c r="A387" s="317"/>
      <c r="B387" s="318"/>
      <c r="C387" s="318"/>
      <c r="D387" s="319" t="str">
        <f t="shared" si="1"/>
        <v/>
      </c>
      <c r="E387" s="320"/>
      <c r="F387" s="320"/>
      <c r="G387" s="321"/>
      <c r="H387" s="321"/>
      <c r="I387" s="321"/>
      <c r="J387" s="321"/>
      <c r="K387" s="321"/>
      <c r="L387" s="321"/>
      <c r="M387" s="321"/>
    </row>
    <row r="388" ht="15.75" customHeight="1">
      <c r="A388" s="317"/>
      <c r="B388" s="318"/>
      <c r="C388" s="318"/>
      <c r="D388" s="319" t="str">
        <f t="shared" si="1"/>
        <v/>
      </c>
      <c r="E388" s="320"/>
      <c r="F388" s="320"/>
      <c r="G388" s="321"/>
      <c r="H388" s="321"/>
      <c r="I388" s="321"/>
      <c r="J388" s="321"/>
      <c r="K388" s="321"/>
      <c r="L388" s="321"/>
      <c r="M388" s="321"/>
    </row>
    <row r="389" ht="15.75" customHeight="1">
      <c r="A389" s="317"/>
      <c r="B389" s="318"/>
      <c r="C389" s="318"/>
      <c r="D389" s="319" t="str">
        <f t="shared" si="1"/>
        <v/>
      </c>
      <c r="E389" s="320"/>
      <c r="F389" s="320"/>
      <c r="G389" s="321"/>
      <c r="H389" s="321"/>
      <c r="I389" s="321"/>
      <c r="J389" s="321"/>
      <c r="K389" s="321"/>
      <c r="L389" s="321"/>
      <c r="M389" s="321"/>
    </row>
    <row r="390" ht="15.75" customHeight="1">
      <c r="A390" s="317"/>
      <c r="B390" s="318"/>
      <c r="C390" s="318"/>
      <c r="D390" s="319" t="str">
        <f t="shared" si="1"/>
        <v/>
      </c>
      <c r="E390" s="320"/>
      <c r="F390" s="320"/>
      <c r="G390" s="321"/>
      <c r="H390" s="321"/>
      <c r="I390" s="321"/>
      <c r="J390" s="321"/>
      <c r="K390" s="321"/>
      <c r="L390" s="321"/>
      <c r="M390" s="321"/>
    </row>
    <row r="391" ht="15.75" customHeight="1">
      <c r="A391" s="317"/>
      <c r="B391" s="318"/>
      <c r="C391" s="318"/>
      <c r="D391" s="319" t="str">
        <f t="shared" si="1"/>
        <v/>
      </c>
      <c r="E391" s="320"/>
      <c r="F391" s="320"/>
      <c r="G391" s="321"/>
      <c r="H391" s="321"/>
      <c r="I391" s="321"/>
      <c r="J391" s="321"/>
      <c r="K391" s="321"/>
      <c r="L391" s="321"/>
      <c r="M391" s="321"/>
    </row>
    <row r="392" ht="15.75" customHeight="1">
      <c r="A392" s="317"/>
      <c r="B392" s="318"/>
      <c r="C392" s="318"/>
      <c r="D392" s="319" t="str">
        <f t="shared" si="1"/>
        <v/>
      </c>
      <c r="E392" s="320"/>
      <c r="F392" s="320"/>
      <c r="G392" s="321"/>
      <c r="H392" s="321"/>
      <c r="I392" s="321"/>
      <c r="J392" s="321"/>
      <c r="K392" s="321"/>
      <c r="L392" s="321"/>
      <c r="M392" s="321"/>
    </row>
    <row r="393" ht="15.75" customHeight="1">
      <c r="A393" s="317"/>
      <c r="B393" s="318"/>
      <c r="C393" s="318"/>
      <c r="D393" s="319" t="str">
        <f t="shared" si="1"/>
        <v/>
      </c>
      <c r="E393" s="320"/>
      <c r="F393" s="320"/>
      <c r="G393" s="321"/>
      <c r="H393" s="321"/>
      <c r="I393" s="321"/>
      <c r="J393" s="321"/>
      <c r="K393" s="321"/>
      <c r="L393" s="321"/>
      <c r="M393" s="321"/>
    </row>
    <row r="394" ht="15.75" customHeight="1">
      <c r="A394" s="317"/>
      <c r="B394" s="318"/>
      <c r="C394" s="318"/>
      <c r="D394" s="319" t="str">
        <f t="shared" si="1"/>
        <v/>
      </c>
      <c r="E394" s="320"/>
      <c r="F394" s="320"/>
      <c r="G394" s="321"/>
      <c r="H394" s="321"/>
      <c r="I394" s="321"/>
      <c r="J394" s="321"/>
      <c r="K394" s="321"/>
      <c r="L394" s="321"/>
      <c r="M394" s="321"/>
    </row>
    <row r="395" ht="15.75" customHeight="1">
      <c r="A395" s="317"/>
      <c r="B395" s="318"/>
      <c r="C395" s="318"/>
      <c r="D395" s="319" t="str">
        <f t="shared" si="1"/>
        <v/>
      </c>
      <c r="E395" s="320"/>
      <c r="F395" s="320"/>
      <c r="G395" s="321"/>
      <c r="H395" s="321"/>
      <c r="I395" s="321"/>
      <c r="J395" s="321"/>
      <c r="K395" s="321"/>
      <c r="L395" s="321"/>
      <c r="M395" s="321"/>
    </row>
    <row r="396" ht="15.75" customHeight="1">
      <c r="A396" s="317"/>
      <c r="B396" s="318"/>
      <c r="C396" s="318"/>
      <c r="D396" s="319" t="str">
        <f t="shared" si="1"/>
        <v/>
      </c>
      <c r="E396" s="320"/>
      <c r="F396" s="320"/>
      <c r="G396" s="321"/>
      <c r="H396" s="321"/>
      <c r="I396" s="321"/>
      <c r="J396" s="321"/>
      <c r="K396" s="321"/>
      <c r="L396" s="321"/>
      <c r="M396" s="321"/>
    </row>
    <row r="397" ht="15.75" customHeight="1">
      <c r="A397" s="317"/>
      <c r="B397" s="318"/>
      <c r="C397" s="318"/>
      <c r="D397" s="319" t="str">
        <f t="shared" si="1"/>
        <v/>
      </c>
      <c r="E397" s="320"/>
      <c r="F397" s="320"/>
      <c r="G397" s="321"/>
      <c r="H397" s="321"/>
      <c r="I397" s="321"/>
      <c r="J397" s="321"/>
      <c r="K397" s="321"/>
      <c r="L397" s="321"/>
      <c r="M397" s="321"/>
    </row>
    <row r="398" ht="15.75" customHeight="1">
      <c r="A398" s="317"/>
      <c r="B398" s="318"/>
      <c r="C398" s="318"/>
      <c r="D398" s="319" t="str">
        <f t="shared" si="1"/>
        <v/>
      </c>
      <c r="E398" s="320"/>
      <c r="F398" s="320"/>
      <c r="G398" s="321"/>
      <c r="H398" s="321"/>
      <c r="I398" s="321"/>
      <c r="J398" s="321"/>
      <c r="K398" s="321"/>
      <c r="L398" s="321"/>
      <c r="M398" s="321"/>
    </row>
    <row r="399" ht="15.75" customHeight="1">
      <c r="A399" s="317"/>
      <c r="B399" s="318"/>
      <c r="C399" s="318"/>
      <c r="D399" s="319" t="str">
        <f t="shared" si="1"/>
        <v/>
      </c>
      <c r="E399" s="320"/>
      <c r="F399" s="320"/>
      <c r="G399" s="321"/>
      <c r="H399" s="321"/>
      <c r="I399" s="321"/>
      <c r="J399" s="321"/>
      <c r="K399" s="321"/>
      <c r="L399" s="321"/>
      <c r="M399" s="321"/>
    </row>
    <row r="400" ht="15.75" customHeight="1">
      <c r="A400" s="317"/>
      <c r="B400" s="318"/>
      <c r="C400" s="318"/>
      <c r="D400" s="319" t="str">
        <f t="shared" si="1"/>
        <v/>
      </c>
      <c r="E400" s="320"/>
      <c r="F400" s="320"/>
      <c r="G400" s="321"/>
      <c r="H400" s="321"/>
      <c r="I400" s="321"/>
      <c r="J400" s="321"/>
      <c r="K400" s="321"/>
      <c r="L400" s="321"/>
      <c r="M400" s="321"/>
    </row>
    <row r="401" ht="15.75" customHeight="1">
      <c r="A401" s="317"/>
      <c r="B401" s="318"/>
      <c r="C401" s="318"/>
      <c r="D401" s="319" t="str">
        <f t="shared" si="1"/>
        <v/>
      </c>
      <c r="E401" s="320"/>
      <c r="F401" s="320"/>
      <c r="G401" s="321"/>
      <c r="H401" s="321"/>
      <c r="I401" s="321"/>
      <c r="J401" s="321"/>
      <c r="K401" s="321"/>
      <c r="L401" s="321"/>
      <c r="M401" s="321"/>
    </row>
    <row r="402" ht="15.75" customHeight="1">
      <c r="A402" s="317"/>
      <c r="B402" s="318"/>
      <c r="C402" s="318"/>
      <c r="D402" s="319" t="str">
        <f t="shared" si="1"/>
        <v/>
      </c>
      <c r="E402" s="320"/>
      <c r="F402" s="320"/>
      <c r="G402" s="321"/>
      <c r="H402" s="321"/>
      <c r="I402" s="321"/>
      <c r="J402" s="321"/>
      <c r="K402" s="321"/>
      <c r="L402" s="321"/>
      <c r="M402" s="321"/>
    </row>
    <row r="403" ht="15.75" customHeight="1">
      <c r="A403" s="317"/>
      <c r="B403" s="318"/>
      <c r="C403" s="318"/>
      <c r="D403" s="319" t="str">
        <f t="shared" si="1"/>
        <v/>
      </c>
      <c r="E403" s="320"/>
      <c r="F403" s="320"/>
      <c r="G403" s="321"/>
      <c r="H403" s="321"/>
      <c r="I403" s="321"/>
      <c r="J403" s="321"/>
      <c r="K403" s="321"/>
      <c r="L403" s="321"/>
      <c r="M403" s="321"/>
    </row>
    <row r="404" ht="15.75" customHeight="1">
      <c r="A404" s="317"/>
      <c r="B404" s="318"/>
      <c r="C404" s="318"/>
      <c r="D404" s="319" t="str">
        <f t="shared" si="1"/>
        <v/>
      </c>
      <c r="E404" s="320"/>
      <c r="F404" s="320"/>
      <c r="G404" s="321"/>
      <c r="H404" s="321"/>
      <c r="I404" s="321"/>
      <c r="J404" s="321"/>
      <c r="K404" s="321"/>
      <c r="L404" s="321"/>
      <c r="M404" s="321"/>
    </row>
    <row r="405" ht="15.75" customHeight="1">
      <c r="A405" s="317"/>
      <c r="B405" s="318"/>
      <c r="C405" s="318"/>
      <c r="D405" s="319" t="str">
        <f t="shared" si="1"/>
        <v/>
      </c>
      <c r="E405" s="320"/>
      <c r="F405" s="320"/>
      <c r="G405" s="321"/>
      <c r="H405" s="321"/>
      <c r="I405" s="321"/>
      <c r="J405" s="321"/>
      <c r="K405" s="321"/>
      <c r="L405" s="321"/>
      <c r="M405" s="321"/>
    </row>
    <row r="406" ht="15.75" customHeight="1">
      <c r="A406" s="317"/>
      <c r="B406" s="318"/>
      <c r="C406" s="318"/>
      <c r="D406" s="319" t="str">
        <f t="shared" si="1"/>
        <v/>
      </c>
      <c r="E406" s="320"/>
      <c r="F406" s="320"/>
      <c r="G406" s="321"/>
      <c r="H406" s="321"/>
      <c r="I406" s="321"/>
      <c r="J406" s="321"/>
      <c r="K406" s="321"/>
      <c r="L406" s="321"/>
      <c r="M406" s="321"/>
    </row>
    <row r="407" ht="15.75" customHeight="1">
      <c r="A407" s="317"/>
      <c r="B407" s="318"/>
      <c r="C407" s="318"/>
      <c r="D407" s="319" t="str">
        <f t="shared" si="1"/>
        <v/>
      </c>
      <c r="E407" s="320"/>
      <c r="F407" s="320"/>
      <c r="G407" s="321"/>
      <c r="H407" s="321"/>
      <c r="I407" s="321"/>
      <c r="J407" s="321"/>
      <c r="K407" s="321"/>
      <c r="L407" s="321"/>
      <c r="M407" s="321"/>
    </row>
    <row r="408" ht="15.75" customHeight="1">
      <c r="A408" s="317"/>
      <c r="B408" s="318"/>
      <c r="C408" s="318"/>
      <c r="D408" s="319" t="str">
        <f t="shared" si="1"/>
        <v/>
      </c>
      <c r="E408" s="320"/>
      <c r="F408" s="320"/>
      <c r="G408" s="321"/>
      <c r="H408" s="321"/>
      <c r="I408" s="321"/>
      <c r="J408" s="321"/>
      <c r="K408" s="321"/>
      <c r="L408" s="321"/>
      <c r="M408" s="321"/>
    </row>
    <row r="409" ht="15.75" customHeight="1">
      <c r="A409" s="317"/>
      <c r="B409" s="318"/>
      <c r="C409" s="318"/>
      <c r="D409" s="319" t="str">
        <f t="shared" si="1"/>
        <v/>
      </c>
      <c r="E409" s="320"/>
      <c r="F409" s="320"/>
      <c r="G409" s="321"/>
      <c r="H409" s="321"/>
      <c r="I409" s="321"/>
      <c r="J409" s="321"/>
      <c r="K409" s="321"/>
      <c r="L409" s="321"/>
      <c r="M409" s="321"/>
    </row>
    <row r="410" ht="15.75" customHeight="1">
      <c r="A410" s="317"/>
      <c r="B410" s="318"/>
      <c r="C410" s="318"/>
      <c r="D410" s="319" t="str">
        <f t="shared" si="1"/>
        <v/>
      </c>
      <c r="E410" s="320"/>
      <c r="F410" s="320"/>
      <c r="G410" s="321"/>
      <c r="H410" s="321"/>
      <c r="I410" s="321"/>
      <c r="J410" s="321"/>
      <c r="K410" s="321"/>
      <c r="L410" s="321"/>
      <c r="M410" s="321"/>
    </row>
    <row r="411" ht="15.75" customHeight="1">
      <c r="A411" s="317"/>
      <c r="B411" s="318"/>
      <c r="C411" s="318"/>
      <c r="D411" s="319" t="str">
        <f t="shared" si="1"/>
        <v/>
      </c>
      <c r="E411" s="320"/>
      <c r="F411" s="320"/>
      <c r="G411" s="321"/>
      <c r="H411" s="321"/>
      <c r="I411" s="321"/>
      <c r="J411" s="321"/>
      <c r="K411" s="321"/>
      <c r="L411" s="321"/>
      <c r="M411" s="321"/>
    </row>
    <row r="412" ht="15.75" customHeight="1">
      <c r="A412" s="317"/>
      <c r="B412" s="318"/>
      <c r="C412" s="318"/>
      <c r="D412" s="319" t="str">
        <f t="shared" si="1"/>
        <v/>
      </c>
      <c r="E412" s="320"/>
      <c r="F412" s="320"/>
      <c r="G412" s="321"/>
      <c r="H412" s="321"/>
      <c r="I412" s="321"/>
      <c r="J412" s="321"/>
      <c r="K412" s="321"/>
      <c r="L412" s="321"/>
      <c r="M412" s="321"/>
    </row>
    <row r="413" ht="15.75" customHeight="1">
      <c r="A413" s="317"/>
      <c r="B413" s="318"/>
      <c r="C413" s="318"/>
      <c r="D413" s="319" t="str">
        <f t="shared" si="1"/>
        <v/>
      </c>
      <c r="E413" s="320"/>
      <c r="F413" s="320"/>
      <c r="G413" s="321"/>
      <c r="H413" s="321"/>
      <c r="I413" s="321"/>
      <c r="J413" s="321"/>
      <c r="K413" s="321"/>
      <c r="L413" s="321"/>
      <c r="M413" s="321"/>
    </row>
    <row r="414" ht="15.75" customHeight="1">
      <c r="A414" s="317"/>
      <c r="B414" s="318"/>
      <c r="C414" s="318"/>
      <c r="D414" s="319" t="str">
        <f t="shared" si="1"/>
        <v/>
      </c>
      <c r="E414" s="320"/>
      <c r="F414" s="320"/>
      <c r="G414" s="321"/>
      <c r="H414" s="321"/>
      <c r="I414" s="321"/>
      <c r="J414" s="321"/>
      <c r="K414" s="321"/>
      <c r="L414" s="321"/>
      <c r="M414" s="321"/>
    </row>
    <row r="415" ht="15.75" customHeight="1">
      <c r="A415" s="317"/>
      <c r="B415" s="318"/>
      <c r="C415" s="318"/>
      <c r="D415" s="319" t="str">
        <f t="shared" si="1"/>
        <v/>
      </c>
      <c r="E415" s="320"/>
      <c r="F415" s="320"/>
      <c r="G415" s="321"/>
      <c r="H415" s="321"/>
      <c r="I415" s="321"/>
      <c r="J415" s="321"/>
      <c r="K415" s="321"/>
      <c r="L415" s="321"/>
      <c r="M415" s="321"/>
    </row>
    <row r="416" ht="15.75" customHeight="1">
      <c r="A416" s="317"/>
      <c r="B416" s="318"/>
      <c r="C416" s="318"/>
      <c r="D416" s="319" t="str">
        <f t="shared" si="1"/>
        <v/>
      </c>
      <c r="E416" s="320"/>
      <c r="F416" s="320"/>
      <c r="G416" s="321"/>
      <c r="H416" s="321"/>
      <c r="I416" s="321"/>
      <c r="J416" s="321"/>
      <c r="K416" s="321"/>
      <c r="L416" s="321"/>
      <c r="M416" s="321"/>
    </row>
    <row r="417" ht="15.75" customHeight="1">
      <c r="A417" s="317"/>
      <c r="B417" s="318"/>
      <c r="C417" s="318"/>
      <c r="D417" s="319" t="str">
        <f t="shared" si="1"/>
        <v/>
      </c>
      <c r="E417" s="320"/>
      <c r="F417" s="320"/>
      <c r="G417" s="321"/>
      <c r="H417" s="321"/>
      <c r="I417" s="321"/>
      <c r="J417" s="321"/>
      <c r="K417" s="321"/>
      <c r="L417" s="321"/>
      <c r="M417" s="321"/>
    </row>
    <row r="418" ht="15.75" customHeight="1">
      <c r="A418" s="317"/>
      <c r="B418" s="318"/>
      <c r="C418" s="318"/>
      <c r="D418" s="319" t="str">
        <f t="shared" si="1"/>
        <v/>
      </c>
      <c r="E418" s="320"/>
      <c r="F418" s="320"/>
      <c r="G418" s="321"/>
      <c r="H418" s="321"/>
      <c r="I418" s="321"/>
      <c r="J418" s="321"/>
      <c r="K418" s="321"/>
      <c r="L418" s="321"/>
      <c r="M418" s="321"/>
    </row>
    <row r="419" ht="15.75" customHeight="1">
      <c r="A419" s="317"/>
      <c r="B419" s="318"/>
      <c r="C419" s="318"/>
      <c r="D419" s="319" t="str">
        <f t="shared" si="1"/>
        <v/>
      </c>
      <c r="E419" s="320"/>
      <c r="F419" s="320"/>
      <c r="G419" s="321"/>
      <c r="H419" s="321"/>
      <c r="I419" s="321"/>
      <c r="J419" s="321"/>
      <c r="K419" s="321"/>
      <c r="L419" s="321"/>
      <c r="M419" s="321"/>
    </row>
    <row r="420" ht="15.75" customHeight="1">
      <c r="A420" s="317"/>
      <c r="B420" s="318"/>
      <c r="C420" s="318"/>
      <c r="D420" s="319" t="str">
        <f t="shared" si="1"/>
        <v/>
      </c>
      <c r="E420" s="320"/>
      <c r="F420" s="320"/>
      <c r="G420" s="321"/>
      <c r="H420" s="321"/>
      <c r="I420" s="321"/>
      <c r="J420" s="321"/>
      <c r="K420" s="321"/>
      <c r="L420" s="321"/>
      <c r="M420" s="321"/>
    </row>
    <row r="421" ht="15.75" customHeight="1">
      <c r="A421" s="317"/>
      <c r="B421" s="318"/>
      <c r="C421" s="318"/>
      <c r="D421" s="319" t="str">
        <f t="shared" si="1"/>
        <v/>
      </c>
      <c r="E421" s="320"/>
      <c r="F421" s="320"/>
      <c r="G421" s="321"/>
      <c r="H421" s="321"/>
      <c r="I421" s="321"/>
      <c r="J421" s="321"/>
      <c r="K421" s="321"/>
      <c r="L421" s="321"/>
      <c r="M421" s="321"/>
    </row>
    <row r="422" ht="15.75" customHeight="1">
      <c r="A422" s="317"/>
      <c r="B422" s="318"/>
      <c r="C422" s="318"/>
      <c r="D422" s="319" t="str">
        <f t="shared" si="1"/>
        <v/>
      </c>
      <c r="E422" s="320"/>
      <c r="F422" s="320"/>
      <c r="G422" s="321"/>
      <c r="H422" s="321"/>
      <c r="I422" s="321"/>
      <c r="J422" s="321"/>
      <c r="K422" s="321"/>
      <c r="L422" s="321"/>
      <c r="M422" s="321"/>
    </row>
    <row r="423" ht="15.75" customHeight="1">
      <c r="A423" s="317"/>
      <c r="B423" s="318"/>
      <c r="C423" s="318"/>
      <c r="D423" s="319" t="str">
        <f t="shared" si="1"/>
        <v/>
      </c>
      <c r="E423" s="320"/>
      <c r="F423" s="320"/>
      <c r="G423" s="321"/>
      <c r="H423" s="321"/>
      <c r="I423" s="321"/>
      <c r="J423" s="321"/>
      <c r="K423" s="321"/>
      <c r="L423" s="321"/>
      <c r="M423" s="321"/>
    </row>
    <row r="424" ht="15.75" customHeight="1">
      <c r="A424" s="317"/>
      <c r="B424" s="318"/>
      <c r="C424" s="318"/>
      <c r="D424" s="319" t="str">
        <f t="shared" si="1"/>
        <v/>
      </c>
      <c r="E424" s="320"/>
      <c r="F424" s="320"/>
      <c r="G424" s="321"/>
      <c r="H424" s="321"/>
      <c r="I424" s="321"/>
      <c r="J424" s="321"/>
      <c r="K424" s="321"/>
      <c r="L424" s="321"/>
      <c r="M424" s="321"/>
    </row>
    <row r="425" ht="15.75" customHeight="1">
      <c r="A425" s="317"/>
      <c r="B425" s="318"/>
      <c r="C425" s="318"/>
      <c r="D425" s="319" t="str">
        <f t="shared" si="1"/>
        <v/>
      </c>
      <c r="E425" s="320"/>
      <c r="F425" s="320"/>
      <c r="G425" s="321"/>
      <c r="H425" s="321"/>
      <c r="I425" s="321"/>
      <c r="J425" s="321"/>
      <c r="K425" s="321"/>
      <c r="L425" s="321"/>
      <c r="M425" s="321"/>
    </row>
    <row r="426" ht="15.75" customHeight="1">
      <c r="A426" s="317"/>
      <c r="B426" s="318"/>
      <c r="C426" s="318"/>
      <c r="D426" s="319" t="str">
        <f t="shared" si="1"/>
        <v/>
      </c>
      <c r="E426" s="320"/>
      <c r="F426" s="320"/>
      <c r="G426" s="321"/>
      <c r="H426" s="321"/>
      <c r="I426" s="321"/>
      <c r="J426" s="321"/>
      <c r="K426" s="321"/>
      <c r="L426" s="321"/>
      <c r="M426" s="321"/>
    </row>
    <row r="427" ht="15.75" customHeight="1">
      <c r="A427" s="317"/>
      <c r="B427" s="318"/>
      <c r="C427" s="318"/>
      <c r="D427" s="319" t="str">
        <f t="shared" si="1"/>
        <v/>
      </c>
      <c r="E427" s="320"/>
      <c r="F427" s="320"/>
      <c r="G427" s="321"/>
      <c r="H427" s="321"/>
      <c r="I427" s="321"/>
      <c r="J427" s="321"/>
      <c r="K427" s="321"/>
      <c r="L427" s="321"/>
      <c r="M427" s="321"/>
    </row>
    <row r="428" ht="15.75" customHeight="1">
      <c r="A428" s="317"/>
      <c r="B428" s="318"/>
      <c r="C428" s="318"/>
      <c r="D428" s="319" t="str">
        <f t="shared" si="1"/>
        <v/>
      </c>
      <c r="E428" s="320"/>
      <c r="F428" s="320"/>
      <c r="G428" s="321"/>
      <c r="H428" s="321"/>
      <c r="I428" s="321"/>
      <c r="J428" s="321"/>
      <c r="K428" s="321"/>
      <c r="L428" s="321"/>
      <c r="M428" s="321"/>
    </row>
    <row r="429" ht="15.75" customHeight="1">
      <c r="A429" s="317"/>
      <c r="B429" s="318"/>
      <c r="C429" s="318"/>
      <c r="D429" s="319" t="str">
        <f t="shared" si="1"/>
        <v/>
      </c>
      <c r="E429" s="320"/>
      <c r="F429" s="320"/>
      <c r="G429" s="321"/>
      <c r="H429" s="321"/>
      <c r="I429" s="321"/>
      <c r="J429" s="321"/>
      <c r="K429" s="321"/>
      <c r="L429" s="321"/>
      <c r="M429" s="321"/>
    </row>
    <row r="430" ht="15.75" customHeight="1">
      <c r="A430" s="317"/>
      <c r="B430" s="318"/>
      <c r="C430" s="318"/>
      <c r="D430" s="319" t="str">
        <f t="shared" si="1"/>
        <v/>
      </c>
      <c r="E430" s="320"/>
      <c r="F430" s="320"/>
      <c r="G430" s="321"/>
      <c r="H430" s="321"/>
      <c r="I430" s="321"/>
      <c r="J430" s="321"/>
      <c r="K430" s="321"/>
      <c r="L430" s="321"/>
      <c r="M430" s="321"/>
    </row>
    <row r="431" ht="15.75" customHeight="1">
      <c r="A431" s="317"/>
      <c r="B431" s="318"/>
      <c r="C431" s="318"/>
      <c r="D431" s="319" t="str">
        <f t="shared" si="1"/>
        <v/>
      </c>
      <c r="E431" s="320"/>
      <c r="F431" s="320"/>
      <c r="G431" s="321"/>
      <c r="H431" s="321"/>
      <c r="I431" s="321"/>
      <c r="J431" s="321"/>
      <c r="K431" s="321"/>
      <c r="L431" s="321"/>
      <c r="M431" s="321"/>
    </row>
    <row r="432" ht="15.75" customHeight="1">
      <c r="A432" s="317"/>
      <c r="B432" s="318"/>
      <c r="C432" s="318"/>
      <c r="D432" s="319" t="str">
        <f t="shared" si="1"/>
        <v/>
      </c>
      <c r="E432" s="320"/>
      <c r="F432" s="320"/>
      <c r="G432" s="321"/>
      <c r="H432" s="321"/>
      <c r="I432" s="321"/>
      <c r="J432" s="321"/>
      <c r="K432" s="321"/>
      <c r="L432" s="321"/>
      <c r="M432" s="321"/>
    </row>
    <row r="433" ht="15.75" customHeight="1">
      <c r="A433" s="317"/>
      <c r="B433" s="318"/>
      <c r="C433" s="318"/>
      <c r="D433" s="319" t="str">
        <f t="shared" si="1"/>
        <v/>
      </c>
      <c r="E433" s="320"/>
      <c r="F433" s="320"/>
      <c r="G433" s="321"/>
      <c r="H433" s="321"/>
      <c r="I433" s="321"/>
      <c r="J433" s="321"/>
      <c r="K433" s="321"/>
      <c r="L433" s="321"/>
      <c r="M433" s="321"/>
    </row>
    <row r="434" ht="15.75" customHeight="1">
      <c r="A434" s="317"/>
      <c r="B434" s="318"/>
      <c r="C434" s="318"/>
      <c r="D434" s="319" t="str">
        <f t="shared" si="1"/>
        <v/>
      </c>
      <c r="E434" s="320"/>
      <c r="F434" s="320"/>
      <c r="G434" s="321"/>
      <c r="H434" s="321"/>
      <c r="I434" s="321"/>
      <c r="J434" s="321"/>
      <c r="K434" s="321"/>
      <c r="L434" s="321"/>
      <c r="M434" s="321"/>
    </row>
    <row r="435" ht="15.75" customHeight="1">
      <c r="A435" s="317"/>
      <c r="B435" s="318"/>
      <c r="C435" s="318"/>
      <c r="D435" s="319" t="str">
        <f t="shared" si="1"/>
        <v/>
      </c>
      <c r="E435" s="320"/>
      <c r="F435" s="320"/>
      <c r="G435" s="321"/>
      <c r="H435" s="321"/>
      <c r="I435" s="321"/>
      <c r="J435" s="321"/>
      <c r="K435" s="321"/>
      <c r="L435" s="321"/>
      <c r="M435" s="321"/>
    </row>
    <row r="436" ht="15.75" customHeight="1">
      <c r="A436" s="317"/>
      <c r="B436" s="318"/>
      <c r="C436" s="318"/>
      <c r="D436" s="319" t="str">
        <f t="shared" si="1"/>
        <v/>
      </c>
      <c r="E436" s="320"/>
      <c r="F436" s="320"/>
      <c r="G436" s="321"/>
      <c r="H436" s="321"/>
      <c r="I436" s="321"/>
      <c r="J436" s="321"/>
      <c r="K436" s="321"/>
      <c r="L436" s="321"/>
      <c r="M436" s="321"/>
    </row>
    <row r="437" ht="15.75" customHeight="1">
      <c r="A437" s="317"/>
      <c r="B437" s="318"/>
      <c r="C437" s="318"/>
      <c r="D437" s="319" t="str">
        <f t="shared" si="1"/>
        <v/>
      </c>
      <c r="E437" s="320"/>
      <c r="F437" s="320"/>
      <c r="G437" s="321"/>
      <c r="H437" s="321"/>
      <c r="I437" s="321"/>
      <c r="J437" s="321"/>
      <c r="K437" s="321"/>
      <c r="L437" s="321"/>
      <c r="M437" s="321"/>
    </row>
    <row r="438" ht="15.75" customHeight="1">
      <c r="A438" s="317"/>
      <c r="B438" s="318"/>
      <c r="C438" s="318"/>
      <c r="D438" s="319" t="str">
        <f t="shared" si="1"/>
        <v/>
      </c>
      <c r="E438" s="320"/>
      <c r="F438" s="320"/>
      <c r="G438" s="321"/>
      <c r="H438" s="321"/>
      <c r="I438" s="321"/>
      <c r="J438" s="321"/>
      <c r="K438" s="321"/>
      <c r="L438" s="321"/>
      <c r="M438" s="321"/>
    </row>
    <row r="439" ht="15.75" customHeight="1">
      <c r="A439" s="317"/>
      <c r="B439" s="318"/>
      <c r="C439" s="318"/>
      <c r="D439" s="319" t="str">
        <f t="shared" si="1"/>
        <v/>
      </c>
      <c r="E439" s="320"/>
      <c r="F439" s="320"/>
      <c r="G439" s="321"/>
      <c r="H439" s="321"/>
      <c r="I439" s="321"/>
      <c r="J439" s="321"/>
      <c r="K439" s="321"/>
      <c r="L439" s="321"/>
      <c r="M439" s="321"/>
    </row>
    <row r="440" ht="15.75" customHeight="1">
      <c r="A440" s="317"/>
      <c r="B440" s="318"/>
      <c r="C440" s="318"/>
      <c r="D440" s="319" t="str">
        <f t="shared" si="1"/>
        <v/>
      </c>
      <c r="E440" s="320"/>
      <c r="F440" s="320"/>
      <c r="G440" s="321"/>
      <c r="H440" s="321"/>
      <c r="I440" s="321"/>
      <c r="J440" s="321"/>
      <c r="K440" s="321"/>
      <c r="L440" s="321"/>
      <c r="M440" s="321"/>
    </row>
    <row r="441" ht="15.75" customHeight="1">
      <c r="A441" s="317"/>
      <c r="B441" s="318"/>
      <c r="C441" s="318"/>
      <c r="D441" s="319" t="str">
        <f t="shared" si="1"/>
        <v/>
      </c>
      <c r="E441" s="320"/>
      <c r="F441" s="320"/>
      <c r="G441" s="321"/>
      <c r="H441" s="321"/>
      <c r="I441" s="321"/>
      <c r="J441" s="321"/>
      <c r="K441" s="321"/>
      <c r="L441" s="321"/>
      <c r="M441" s="321"/>
    </row>
    <row r="442" ht="15.75" customHeight="1">
      <c r="A442" s="317"/>
      <c r="B442" s="318"/>
      <c r="C442" s="318"/>
      <c r="D442" s="319" t="str">
        <f t="shared" si="1"/>
        <v/>
      </c>
      <c r="E442" s="320"/>
      <c r="F442" s="320"/>
      <c r="G442" s="321"/>
      <c r="H442" s="321"/>
      <c r="I442" s="321"/>
      <c r="J442" s="321"/>
      <c r="K442" s="321"/>
      <c r="L442" s="321"/>
      <c r="M442" s="321"/>
    </row>
    <row r="443" ht="15.75" customHeight="1">
      <c r="A443" s="317"/>
      <c r="B443" s="318"/>
      <c r="C443" s="318"/>
      <c r="D443" s="319" t="str">
        <f t="shared" si="1"/>
        <v/>
      </c>
      <c r="E443" s="320"/>
      <c r="F443" s="320"/>
      <c r="G443" s="321"/>
      <c r="H443" s="321"/>
      <c r="I443" s="321"/>
      <c r="J443" s="321"/>
      <c r="K443" s="321"/>
      <c r="L443" s="321"/>
      <c r="M443" s="321"/>
    </row>
    <row r="444" ht="15.75" customHeight="1">
      <c r="A444" s="317"/>
      <c r="B444" s="318"/>
      <c r="C444" s="318"/>
      <c r="D444" s="319" t="str">
        <f t="shared" si="1"/>
        <v/>
      </c>
      <c r="E444" s="320"/>
      <c r="F444" s="320"/>
      <c r="G444" s="321"/>
      <c r="H444" s="321"/>
      <c r="I444" s="321"/>
      <c r="J444" s="321"/>
      <c r="K444" s="321"/>
      <c r="L444" s="321"/>
      <c r="M444" s="321"/>
    </row>
    <row r="445" ht="15.75" customHeight="1">
      <c r="A445" s="317"/>
      <c r="B445" s="318"/>
      <c r="C445" s="318"/>
      <c r="D445" s="319" t="str">
        <f t="shared" si="1"/>
        <v/>
      </c>
      <c r="E445" s="320"/>
      <c r="F445" s="320"/>
      <c r="G445" s="321"/>
      <c r="H445" s="321"/>
      <c r="I445" s="321"/>
      <c r="J445" s="321"/>
      <c r="K445" s="321"/>
      <c r="L445" s="321"/>
      <c r="M445" s="321"/>
    </row>
    <row r="446" ht="15.75" customHeight="1">
      <c r="A446" s="317"/>
      <c r="B446" s="318"/>
      <c r="C446" s="318"/>
      <c r="D446" s="319" t="str">
        <f t="shared" si="1"/>
        <v/>
      </c>
      <c r="E446" s="320"/>
      <c r="F446" s="320"/>
      <c r="G446" s="321"/>
      <c r="H446" s="321"/>
      <c r="I446" s="321"/>
      <c r="J446" s="321"/>
      <c r="K446" s="321"/>
      <c r="L446" s="321"/>
      <c r="M446" s="321"/>
    </row>
    <row r="447" ht="15.75" customHeight="1">
      <c r="A447" s="317"/>
      <c r="B447" s="318"/>
      <c r="C447" s="318"/>
      <c r="D447" s="319" t="str">
        <f t="shared" si="1"/>
        <v/>
      </c>
      <c r="E447" s="320"/>
      <c r="F447" s="320"/>
      <c r="G447" s="321"/>
      <c r="H447" s="321"/>
      <c r="I447" s="321"/>
      <c r="J447" s="321"/>
      <c r="K447" s="321"/>
      <c r="L447" s="321"/>
      <c r="M447" s="321"/>
    </row>
    <row r="448" ht="15.75" customHeight="1">
      <c r="A448" s="317"/>
      <c r="B448" s="318"/>
      <c r="C448" s="318"/>
      <c r="D448" s="319" t="str">
        <f t="shared" si="1"/>
        <v/>
      </c>
      <c r="E448" s="320"/>
      <c r="F448" s="320"/>
      <c r="G448" s="321"/>
      <c r="H448" s="321"/>
      <c r="I448" s="321"/>
      <c r="J448" s="321"/>
      <c r="K448" s="321"/>
      <c r="L448" s="321"/>
      <c r="M448" s="321"/>
    </row>
    <row r="449" ht="15.75" customHeight="1">
      <c r="A449" s="317"/>
      <c r="B449" s="318"/>
      <c r="C449" s="318"/>
      <c r="D449" s="319" t="str">
        <f t="shared" si="1"/>
        <v/>
      </c>
      <c r="E449" s="320"/>
      <c r="F449" s="320"/>
      <c r="G449" s="321"/>
      <c r="H449" s="321"/>
      <c r="I449" s="321"/>
      <c r="J449" s="321"/>
      <c r="K449" s="321"/>
      <c r="L449" s="321"/>
      <c r="M449" s="321"/>
    </row>
    <row r="450" ht="15.75" customHeight="1">
      <c r="A450" s="317"/>
      <c r="B450" s="318"/>
      <c r="C450" s="318"/>
      <c r="D450" s="319" t="str">
        <f t="shared" si="1"/>
        <v/>
      </c>
      <c r="E450" s="320"/>
      <c r="F450" s="320"/>
      <c r="G450" s="321"/>
      <c r="H450" s="321"/>
      <c r="I450" s="321"/>
      <c r="J450" s="321"/>
      <c r="K450" s="321"/>
      <c r="L450" s="321"/>
      <c r="M450" s="321"/>
    </row>
    <row r="451" ht="15.75" customHeight="1">
      <c r="A451" s="317"/>
      <c r="B451" s="318"/>
      <c r="C451" s="318"/>
      <c r="D451" s="319" t="str">
        <f t="shared" si="1"/>
        <v/>
      </c>
      <c r="E451" s="320"/>
      <c r="F451" s="320"/>
      <c r="G451" s="321"/>
      <c r="H451" s="321"/>
      <c r="I451" s="321"/>
      <c r="J451" s="321"/>
      <c r="K451" s="321"/>
      <c r="L451" s="321"/>
      <c r="M451" s="321"/>
    </row>
    <row r="452" ht="15.75" customHeight="1">
      <c r="A452" s="317"/>
      <c r="B452" s="318"/>
      <c r="C452" s="318"/>
      <c r="D452" s="319" t="str">
        <f t="shared" si="1"/>
        <v/>
      </c>
      <c r="E452" s="320"/>
      <c r="F452" s="320"/>
      <c r="G452" s="321"/>
      <c r="H452" s="321"/>
      <c r="I452" s="321"/>
      <c r="J452" s="321"/>
      <c r="K452" s="321"/>
      <c r="L452" s="321"/>
      <c r="M452" s="321"/>
    </row>
    <row r="453" ht="15.75" customHeight="1">
      <c r="A453" s="317"/>
      <c r="B453" s="318"/>
      <c r="C453" s="318"/>
      <c r="D453" s="319" t="str">
        <f t="shared" si="1"/>
        <v/>
      </c>
      <c r="E453" s="320"/>
      <c r="F453" s="320"/>
      <c r="G453" s="321"/>
      <c r="H453" s="321"/>
      <c r="I453" s="321"/>
      <c r="J453" s="321"/>
      <c r="K453" s="321"/>
      <c r="L453" s="321"/>
      <c r="M453" s="321"/>
    </row>
    <row r="454" ht="15.75" customHeight="1">
      <c r="A454" s="317"/>
      <c r="B454" s="318"/>
      <c r="C454" s="318"/>
      <c r="D454" s="319" t="str">
        <f t="shared" si="1"/>
        <v/>
      </c>
      <c r="E454" s="320"/>
      <c r="F454" s="320"/>
      <c r="G454" s="321"/>
      <c r="H454" s="321"/>
      <c r="I454" s="321"/>
      <c r="J454" s="321"/>
      <c r="K454" s="321"/>
      <c r="L454" s="321"/>
      <c r="M454" s="321"/>
    </row>
    <row r="455" ht="15.75" customHeight="1">
      <c r="A455" s="317"/>
      <c r="B455" s="318"/>
      <c r="C455" s="318"/>
      <c r="D455" s="319" t="str">
        <f t="shared" si="1"/>
        <v/>
      </c>
      <c r="E455" s="320"/>
      <c r="F455" s="320"/>
      <c r="G455" s="321"/>
      <c r="H455" s="321"/>
      <c r="I455" s="321"/>
      <c r="J455" s="321"/>
      <c r="K455" s="321"/>
      <c r="L455" s="321"/>
      <c r="M455" s="321"/>
    </row>
    <row r="456" ht="15.75" customHeight="1">
      <c r="A456" s="317"/>
      <c r="B456" s="318"/>
      <c r="C456" s="318"/>
      <c r="D456" s="319" t="str">
        <f t="shared" si="1"/>
        <v/>
      </c>
      <c r="E456" s="320"/>
      <c r="F456" s="320"/>
      <c r="G456" s="321"/>
      <c r="H456" s="321"/>
      <c r="I456" s="321"/>
      <c r="J456" s="321"/>
      <c r="K456" s="321"/>
      <c r="L456" s="321"/>
      <c r="M456" s="321"/>
    </row>
    <row r="457" ht="15.75" customHeight="1">
      <c r="A457" s="317"/>
      <c r="B457" s="318"/>
      <c r="C457" s="318"/>
      <c r="D457" s="319" t="str">
        <f t="shared" si="1"/>
        <v/>
      </c>
      <c r="E457" s="320"/>
      <c r="F457" s="320"/>
      <c r="G457" s="321"/>
      <c r="H457" s="321"/>
      <c r="I457" s="321"/>
      <c r="J457" s="321"/>
      <c r="K457" s="321"/>
      <c r="L457" s="321"/>
      <c r="M457" s="321"/>
    </row>
    <row r="458" ht="15.75" customHeight="1">
      <c r="A458" s="317"/>
      <c r="B458" s="318"/>
      <c r="C458" s="318"/>
      <c r="D458" s="319" t="str">
        <f t="shared" si="1"/>
        <v/>
      </c>
      <c r="E458" s="320"/>
      <c r="F458" s="320"/>
      <c r="G458" s="321"/>
      <c r="H458" s="321"/>
      <c r="I458" s="321"/>
      <c r="J458" s="321"/>
      <c r="K458" s="321"/>
      <c r="L458" s="321"/>
      <c r="M458" s="321"/>
    </row>
    <row r="459" ht="15.75" customHeight="1">
      <c r="A459" s="317"/>
      <c r="B459" s="318"/>
      <c r="C459" s="318"/>
      <c r="D459" s="319" t="str">
        <f t="shared" si="1"/>
        <v/>
      </c>
      <c r="E459" s="320"/>
      <c r="F459" s="320"/>
      <c r="G459" s="321"/>
      <c r="H459" s="321"/>
      <c r="I459" s="321"/>
      <c r="J459" s="321"/>
      <c r="K459" s="321"/>
      <c r="L459" s="321"/>
      <c r="M459" s="321"/>
    </row>
    <row r="460" ht="15.75" customHeight="1">
      <c r="A460" s="317"/>
      <c r="B460" s="318"/>
      <c r="C460" s="318"/>
      <c r="D460" s="319" t="str">
        <f t="shared" si="1"/>
        <v/>
      </c>
      <c r="E460" s="320"/>
      <c r="F460" s="320"/>
      <c r="G460" s="321"/>
      <c r="H460" s="321"/>
      <c r="I460" s="321"/>
      <c r="J460" s="321"/>
      <c r="K460" s="321"/>
      <c r="L460" s="321"/>
      <c r="M460" s="321"/>
    </row>
    <row r="461" ht="15.75" customHeight="1">
      <c r="A461" s="317"/>
      <c r="B461" s="318"/>
      <c r="C461" s="318"/>
      <c r="D461" s="319" t="str">
        <f t="shared" si="1"/>
        <v/>
      </c>
      <c r="E461" s="320"/>
      <c r="F461" s="320"/>
      <c r="G461" s="321"/>
      <c r="H461" s="321"/>
      <c r="I461" s="321"/>
      <c r="J461" s="321"/>
      <c r="K461" s="321"/>
      <c r="L461" s="321"/>
      <c r="M461" s="321"/>
    </row>
    <row r="462" ht="15.75" customHeight="1">
      <c r="A462" s="317"/>
      <c r="B462" s="318"/>
      <c r="C462" s="318"/>
      <c r="D462" s="319" t="str">
        <f t="shared" si="1"/>
        <v/>
      </c>
      <c r="E462" s="320"/>
      <c r="F462" s="320"/>
      <c r="G462" s="321"/>
      <c r="H462" s="321"/>
      <c r="I462" s="321"/>
      <c r="J462" s="321"/>
      <c r="K462" s="321"/>
      <c r="L462" s="321"/>
      <c r="M462" s="321"/>
    </row>
    <row r="463" ht="15.75" customHeight="1">
      <c r="A463" s="317"/>
      <c r="B463" s="318"/>
      <c r="C463" s="318"/>
      <c r="D463" s="319" t="str">
        <f t="shared" si="1"/>
        <v/>
      </c>
      <c r="E463" s="320"/>
      <c r="F463" s="320"/>
      <c r="G463" s="321"/>
      <c r="H463" s="321"/>
      <c r="I463" s="321"/>
      <c r="J463" s="321"/>
      <c r="K463" s="321"/>
      <c r="L463" s="321"/>
      <c r="M463" s="321"/>
    </row>
    <row r="464" ht="15.75" customHeight="1">
      <c r="A464" s="317"/>
      <c r="B464" s="318"/>
      <c r="C464" s="318"/>
      <c r="D464" s="319" t="str">
        <f t="shared" si="1"/>
        <v/>
      </c>
      <c r="E464" s="320"/>
      <c r="F464" s="320"/>
      <c r="G464" s="321"/>
      <c r="H464" s="321"/>
      <c r="I464" s="321"/>
      <c r="J464" s="321"/>
      <c r="K464" s="321"/>
      <c r="L464" s="321"/>
      <c r="M464" s="321"/>
    </row>
    <row r="465" ht="15.75" customHeight="1">
      <c r="A465" s="317"/>
      <c r="B465" s="318"/>
      <c r="C465" s="318"/>
      <c r="D465" s="319" t="str">
        <f t="shared" si="1"/>
        <v/>
      </c>
      <c r="E465" s="320"/>
      <c r="F465" s="320"/>
      <c r="G465" s="321"/>
      <c r="H465" s="321"/>
      <c r="I465" s="321"/>
      <c r="J465" s="321"/>
      <c r="K465" s="321"/>
      <c r="L465" s="321"/>
      <c r="M465" s="321"/>
    </row>
    <row r="466" ht="15.75" customHeight="1">
      <c r="A466" s="317"/>
      <c r="B466" s="318"/>
      <c r="C466" s="318"/>
      <c r="D466" s="319" t="str">
        <f t="shared" si="1"/>
        <v/>
      </c>
      <c r="E466" s="320"/>
      <c r="F466" s="320"/>
      <c r="G466" s="321"/>
      <c r="H466" s="321"/>
      <c r="I466" s="321"/>
      <c r="J466" s="321"/>
      <c r="K466" s="321"/>
      <c r="L466" s="321"/>
      <c r="M466" s="321"/>
    </row>
    <row r="467" ht="15.75" customHeight="1">
      <c r="A467" s="317"/>
      <c r="B467" s="318"/>
      <c r="C467" s="318"/>
      <c r="D467" s="319" t="str">
        <f t="shared" si="1"/>
        <v/>
      </c>
      <c r="E467" s="320"/>
      <c r="F467" s="320"/>
      <c r="G467" s="321"/>
      <c r="H467" s="321"/>
      <c r="I467" s="321"/>
      <c r="J467" s="321"/>
      <c r="K467" s="321"/>
      <c r="L467" s="321"/>
      <c r="M467" s="321"/>
    </row>
    <row r="468" ht="15.75" customHeight="1">
      <c r="A468" s="317"/>
      <c r="B468" s="318"/>
      <c r="C468" s="318"/>
      <c r="D468" s="319" t="str">
        <f t="shared" si="1"/>
        <v/>
      </c>
      <c r="E468" s="320"/>
      <c r="F468" s="320"/>
      <c r="G468" s="321"/>
      <c r="H468" s="321"/>
      <c r="I468" s="321"/>
      <c r="J468" s="321"/>
      <c r="K468" s="321"/>
      <c r="L468" s="321"/>
      <c r="M468" s="321"/>
    </row>
    <row r="469" ht="15.75" customHeight="1">
      <c r="A469" s="317"/>
      <c r="B469" s="318"/>
      <c r="C469" s="318"/>
      <c r="D469" s="319" t="str">
        <f t="shared" si="1"/>
        <v/>
      </c>
      <c r="E469" s="320"/>
      <c r="F469" s="320"/>
      <c r="G469" s="321"/>
      <c r="H469" s="321"/>
      <c r="I469" s="321"/>
      <c r="J469" s="321"/>
      <c r="K469" s="321"/>
      <c r="L469" s="321"/>
      <c r="M469" s="321"/>
    </row>
    <row r="470" ht="15.75" customHeight="1">
      <c r="A470" s="317"/>
      <c r="B470" s="318"/>
      <c r="C470" s="318"/>
      <c r="D470" s="319" t="str">
        <f t="shared" si="1"/>
        <v/>
      </c>
      <c r="E470" s="320"/>
      <c r="F470" s="320"/>
      <c r="G470" s="321"/>
      <c r="H470" s="321"/>
      <c r="I470" s="321"/>
      <c r="J470" s="321"/>
      <c r="K470" s="321"/>
      <c r="L470" s="321"/>
      <c r="M470" s="321"/>
    </row>
    <row r="471" ht="15.75" customHeight="1">
      <c r="A471" s="317"/>
      <c r="B471" s="318"/>
      <c r="C471" s="318"/>
      <c r="D471" s="319" t="str">
        <f t="shared" si="1"/>
        <v/>
      </c>
      <c r="E471" s="320"/>
      <c r="F471" s="320"/>
      <c r="G471" s="321"/>
      <c r="H471" s="321"/>
      <c r="I471" s="321"/>
      <c r="J471" s="321"/>
      <c r="K471" s="321"/>
      <c r="L471" s="321"/>
      <c r="M471" s="321"/>
    </row>
    <row r="472" ht="15.75" customHeight="1">
      <c r="A472" s="317"/>
      <c r="B472" s="318"/>
      <c r="C472" s="318"/>
      <c r="D472" s="319" t="str">
        <f t="shared" si="1"/>
        <v/>
      </c>
      <c r="E472" s="320"/>
      <c r="F472" s="320"/>
      <c r="G472" s="321"/>
      <c r="H472" s="321"/>
      <c r="I472" s="321"/>
      <c r="J472" s="321"/>
      <c r="K472" s="321"/>
      <c r="L472" s="321"/>
      <c r="M472" s="321"/>
    </row>
    <row r="473" ht="15.75" customHeight="1">
      <c r="A473" s="317"/>
      <c r="B473" s="318"/>
      <c r="C473" s="318"/>
      <c r="D473" s="319" t="str">
        <f t="shared" si="1"/>
        <v/>
      </c>
      <c r="E473" s="320"/>
      <c r="F473" s="320"/>
      <c r="G473" s="321"/>
      <c r="H473" s="321"/>
      <c r="I473" s="321"/>
      <c r="J473" s="321"/>
      <c r="K473" s="321"/>
      <c r="L473" s="321"/>
      <c r="M473" s="321"/>
    </row>
    <row r="474" ht="15.75" customHeight="1">
      <c r="A474" s="317"/>
      <c r="B474" s="318"/>
      <c r="C474" s="318"/>
      <c r="D474" s="319" t="str">
        <f t="shared" si="1"/>
        <v/>
      </c>
      <c r="E474" s="320"/>
      <c r="F474" s="320"/>
      <c r="G474" s="321"/>
      <c r="H474" s="321"/>
      <c r="I474" s="321"/>
      <c r="J474" s="321"/>
      <c r="K474" s="321"/>
      <c r="L474" s="321"/>
      <c r="M474" s="321"/>
    </row>
    <row r="475" ht="15.75" customHeight="1">
      <c r="A475" s="317"/>
      <c r="B475" s="318"/>
      <c r="C475" s="318"/>
      <c r="D475" s="319" t="str">
        <f t="shared" si="1"/>
        <v/>
      </c>
      <c r="E475" s="320"/>
      <c r="F475" s="320"/>
      <c r="G475" s="321"/>
      <c r="H475" s="321"/>
      <c r="I475" s="321"/>
      <c r="J475" s="321"/>
      <c r="K475" s="321"/>
      <c r="L475" s="321"/>
      <c r="M475" s="321"/>
    </row>
    <row r="476" ht="15.75" customHeight="1">
      <c r="A476" s="317"/>
      <c r="B476" s="318"/>
      <c r="C476" s="318"/>
      <c r="D476" s="319" t="str">
        <f t="shared" si="1"/>
        <v/>
      </c>
      <c r="E476" s="320"/>
      <c r="F476" s="320"/>
      <c r="G476" s="321"/>
      <c r="H476" s="321"/>
      <c r="I476" s="321"/>
      <c r="J476" s="321"/>
      <c r="K476" s="321"/>
      <c r="L476" s="321"/>
      <c r="M476" s="321"/>
    </row>
    <row r="477" ht="15.75" customHeight="1">
      <c r="A477" s="317"/>
      <c r="B477" s="318"/>
      <c r="C477" s="318"/>
      <c r="D477" s="319" t="str">
        <f t="shared" si="1"/>
        <v/>
      </c>
      <c r="E477" s="320"/>
      <c r="F477" s="320"/>
      <c r="G477" s="321"/>
      <c r="H477" s="321"/>
      <c r="I477" s="321"/>
      <c r="J477" s="321"/>
      <c r="K477" s="321"/>
      <c r="L477" s="321"/>
      <c r="M477" s="321"/>
    </row>
    <row r="478" ht="15.75" customHeight="1">
      <c r="A478" s="317"/>
      <c r="B478" s="318"/>
      <c r="C478" s="318"/>
      <c r="D478" s="319" t="str">
        <f t="shared" si="1"/>
        <v/>
      </c>
      <c r="E478" s="320"/>
      <c r="F478" s="320"/>
      <c r="G478" s="321"/>
      <c r="H478" s="321"/>
      <c r="I478" s="321"/>
      <c r="J478" s="321"/>
      <c r="K478" s="321"/>
      <c r="L478" s="321"/>
      <c r="M478" s="321"/>
    </row>
    <row r="479" ht="15.75" customHeight="1">
      <c r="A479" s="317"/>
      <c r="B479" s="318"/>
      <c r="C479" s="318"/>
      <c r="D479" s="319" t="str">
        <f t="shared" si="1"/>
        <v/>
      </c>
      <c r="E479" s="320"/>
      <c r="F479" s="320"/>
      <c r="G479" s="321"/>
      <c r="H479" s="321"/>
      <c r="I479" s="321"/>
      <c r="J479" s="321"/>
      <c r="K479" s="321"/>
      <c r="L479" s="321"/>
      <c r="M479" s="321"/>
    </row>
    <row r="480" ht="15.75" customHeight="1">
      <c r="A480" s="317"/>
      <c r="B480" s="318"/>
      <c r="C480" s="318"/>
      <c r="D480" s="319" t="str">
        <f t="shared" si="1"/>
        <v/>
      </c>
      <c r="E480" s="320"/>
      <c r="F480" s="320"/>
      <c r="G480" s="321"/>
      <c r="H480" s="321"/>
      <c r="I480" s="321"/>
      <c r="J480" s="321"/>
      <c r="K480" s="321"/>
      <c r="L480" s="321"/>
      <c r="M480" s="321"/>
    </row>
    <row r="481" ht="15.75" customHeight="1">
      <c r="A481" s="317"/>
      <c r="B481" s="318"/>
      <c r="C481" s="318"/>
      <c r="D481" s="319" t="str">
        <f t="shared" si="1"/>
        <v/>
      </c>
      <c r="E481" s="320"/>
      <c r="F481" s="320"/>
      <c r="G481" s="321"/>
      <c r="H481" s="321"/>
      <c r="I481" s="321"/>
      <c r="J481" s="321"/>
      <c r="K481" s="321"/>
      <c r="L481" s="321"/>
      <c r="M481" s="321"/>
    </row>
    <row r="482" ht="15.75" customHeight="1">
      <c r="A482" s="317"/>
      <c r="B482" s="318"/>
      <c r="C482" s="318"/>
      <c r="D482" s="319" t="str">
        <f t="shared" si="1"/>
        <v/>
      </c>
      <c r="E482" s="320"/>
      <c r="F482" s="320"/>
      <c r="G482" s="321"/>
      <c r="H482" s="321"/>
      <c r="I482" s="321"/>
      <c r="J482" s="321"/>
      <c r="K482" s="321"/>
      <c r="L482" s="321"/>
      <c r="M482" s="321"/>
    </row>
    <row r="483" ht="15.75" customHeight="1">
      <c r="A483" s="317"/>
      <c r="B483" s="318"/>
      <c r="C483" s="318"/>
      <c r="D483" s="319" t="str">
        <f t="shared" si="1"/>
        <v/>
      </c>
      <c r="E483" s="320"/>
      <c r="F483" s="320"/>
      <c r="G483" s="321"/>
      <c r="H483" s="321"/>
      <c r="I483" s="321"/>
      <c r="J483" s="321"/>
      <c r="K483" s="321"/>
      <c r="L483" s="321"/>
      <c r="M483" s="321"/>
    </row>
    <row r="484" ht="15.75" customHeight="1">
      <c r="A484" s="317"/>
      <c r="B484" s="318"/>
      <c r="C484" s="318"/>
      <c r="D484" s="319" t="str">
        <f t="shared" si="1"/>
        <v/>
      </c>
      <c r="E484" s="320"/>
      <c r="F484" s="320"/>
      <c r="G484" s="321"/>
      <c r="H484" s="321"/>
      <c r="I484" s="321"/>
      <c r="J484" s="321"/>
      <c r="K484" s="321"/>
      <c r="L484" s="321"/>
      <c r="M484" s="321"/>
    </row>
    <row r="485" ht="15.75" customHeight="1">
      <c r="A485" s="317"/>
      <c r="B485" s="318"/>
      <c r="C485" s="318"/>
      <c r="D485" s="319" t="str">
        <f t="shared" si="1"/>
        <v/>
      </c>
      <c r="E485" s="320"/>
      <c r="F485" s="320"/>
      <c r="G485" s="321"/>
      <c r="H485" s="321"/>
      <c r="I485" s="321"/>
      <c r="J485" s="321"/>
      <c r="K485" s="321"/>
      <c r="L485" s="321"/>
      <c r="M485" s="321"/>
    </row>
    <row r="486" ht="15.75" customHeight="1">
      <c r="A486" s="317"/>
      <c r="B486" s="318"/>
      <c r="C486" s="318"/>
      <c r="D486" s="319" t="str">
        <f t="shared" si="1"/>
        <v/>
      </c>
      <c r="E486" s="320"/>
      <c r="F486" s="320"/>
      <c r="G486" s="321"/>
      <c r="H486" s="321"/>
      <c r="I486" s="321"/>
      <c r="J486" s="321"/>
      <c r="K486" s="321"/>
      <c r="L486" s="321"/>
      <c r="M486" s="321"/>
    </row>
    <row r="487" ht="15.75" customHeight="1">
      <c r="A487" s="317"/>
      <c r="B487" s="318"/>
      <c r="C487" s="318"/>
      <c r="D487" s="319" t="str">
        <f t="shared" si="1"/>
        <v/>
      </c>
      <c r="E487" s="320"/>
      <c r="F487" s="320"/>
      <c r="G487" s="321"/>
      <c r="H487" s="321"/>
      <c r="I487" s="321"/>
      <c r="J487" s="321"/>
      <c r="K487" s="321"/>
      <c r="L487" s="321"/>
      <c r="M487" s="321"/>
    </row>
    <row r="488" ht="15.75" customHeight="1">
      <c r="A488" s="317"/>
      <c r="B488" s="318"/>
      <c r="C488" s="318"/>
      <c r="D488" s="319" t="str">
        <f t="shared" si="1"/>
        <v/>
      </c>
      <c r="E488" s="320"/>
      <c r="F488" s="320"/>
      <c r="G488" s="321"/>
      <c r="H488" s="321"/>
      <c r="I488" s="321"/>
      <c r="J488" s="321"/>
      <c r="K488" s="321"/>
      <c r="L488" s="321"/>
      <c r="M488" s="321"/>
    </row>
    <row r="489" ht="15.75" customHeight="1">
      <c r="A489" s="317"/>
      <c r="B489" s="318"/>
      <c r="C489" s="318"/>
      <c r="D489" s="319" t="str">
        <f t="shared" si="1"/>
        <v/>
      </c>
      <c r="E489" s="320"/>
      <c r="F489" s="320"/>
      <c r="G489" s="321"/>
      <c r="H489" s="321"/>
      <c r="I489" s="321"/>
      <c r="J489" s="321"/>
      <c r="K489" s="321"/>
      <c r="L489" s="321"/>
      <c r="M489" s="321"/>
    </row>
    <row r="490" ht="15.75" customHeight="1">
      <c r="A490" s="317"/>
      <c r="B490" s="318"/>
      <c r="C490" s="318"/>
      <c r="D490" s="319" t="str">
        <f t="shared" si="1"/>
        <v/>
      </c>
      <c r="E490" s="320"/>
      <c r="F490" s="320"/>
      <c r="G490" s="321"/>
      <c r="H490" s="321"/>
      <c r="I490" s="321"/>
      <c r="J490" s="321"/>
      <c r="K490" s="321"/>
      <c r="L490" s="321"/>
      <c r="M490" s="321"/>
    </row>
    <row r="491" ht="15.75" customHeight="1">
      <c r="A491" s="317"/>
      <c r="B491" s="318"/>
      <c r="C491" s="318"/>
      <c r="D491" s="319" t="str">
        <f t="shared" si="1"/>
        <v/>
      </c>
      <c r="E491" s="320"/>
      <c r="F491" s="320"/>
      <c r="G491" s="321"/>
      <c r="H491" s="321"/>
      <c r="I491" s="321"/>
      <c r="J491" s="321"/>
      <c r="K491" s="321"/>
      <c r="L491" s="321"/>
      <c r="M491" s="321"/>
    </row>
    <row r="492" ht="15.75" customHeight="1">
      <c r="A492" s="317"/>
      <c r="B492" s="318"/>
      <c r="C492" s="318"/>
      <c r="D492" s="319" t="str">
        <f t="shared" si="1"/>
        <v/>
      </c>
      <c r="E492" s="320"/>
      <c r="F492" s="320"/>
      <c r="G492" s="321"/>
      <c r="H492" s="321"/>
      <c r="I492" s="321"/>
      <c r="J492" s="321"/>
      <c r="K492" s="321"/>
      <c r="L492" s="321"/>
      <c r="M492" s="321"/>
    </row>
    <row r="493" ht="15.75" customHeight="1">
      <c r="A493" s="317"/>
      <c r="B493" s="318"/>
      <c r="C493" s="318"/>
      <c r="D493" s="319" t="str">
        <f t="shared" si="1"/>
        <v/>
      </c>
      <c r="E493" s="320"/>
      <c r="F493" s="320"/>
      <c r="G493" s="321"/>
      <c r="H493" s="321"/>
      <c r="I493" s="321"/>
      <c r="J493" s="321"/>
      <c r="K493" s="321"/>
      <c r="L493" s="321"/>
      <c r="M493" s="321"/>
    </row>
    <row r="494" ht="15.75" customHeight="1">
      <c r="A494" s="317"/>
      <c r="B494" s="318"/>
      <c r="C494" s="318"/>
      <c r="D494" s="319" t="str">
        <f t="shared" si="1"/>
        <v/>
      </c>
      <c r="E494" s="320"/>
      <c r="F494" s="320"/>
      <c r="G494" s="321"/>
      <c r="H494" s="321"/>
      <c r="I494" s="321"/>
      <c r="J494" s="321"/>
      <c r="K494" s="321"/>
      <c r="L494" s="321"/>
      <c r="M494" s="321"/>
    </row>
    <row r="495" ht="15.75" customHeight="1">
      <c r="A495" s="317"/>
      <c r="B495" s="318"/>
      <c r="C495" s="318"/>
      <c r="D495" s="319" t="str">
        <f t="shared" si="1"/>
        <v/>
      </c>
      <c r="E495" s="320"/>
      <c r="F495" s="320"/>
      <c r="G495" s="321"/>
      <c r="H495" s="321"/>
      <c r="I495" s="321"/>
      <c r="J495" s="321"/>
      <c r="K495" s="321"/>
      <c r="L495" s="321"/>
      <c r="M495" s="321"/>
    </row>
    <row r="496" ht="15.75" customHeight="1">
      <c r="A496" s="317"/>
      <c r="B496" s="318"/>
      <c r="C496" s="318"/>
      <c r="D496" s="319" t="str">
        <f t="shared" si="1"/>
        <v/>
      </c>
      <c r="E496" s="320"/>
      <c r="F496" s="320"/>
      <c r="G496" s="321"/>
      <c r="H496" s="321"/>
      <c r="I496" s="321"/>
      <c r="J496" s="321"/>
      <c r="K496" s="321"/>
      <c r="L496" s="321"/>
      <c r="M496" s="321"/>
    </row>
    <row r="497" ht="15.75" customHeight="1">
      <c r="A497" s="317"/>
      <c r="B497" s="318"/>
      <c r="C497" s="318"/>
      <c r="D497" s="319" t="str">
        <f t="shared" si="1"/>
        <v/>
      </c>
      <c r="E497" s="320"/>
      <c r="F497" s="320"/>
      <c r="G497" s="321"/>
      <c r="H497" s="321"/>
      <c r="I497" s="321"/>
      <c r="J497" s="321"/>
      <c r="K497" s="321"/>
      <c r="L497" s="321"/>
      <c r="M497" s="321"/>
    </row>
    <row r="498" ht="15.75" customHeight="1">
      <c r="A498" s="317"/>
      <c r="B498" s="318"/>
      <c r="C498" s="318"/>
      <c r="D498" s="319" t="str">
        <f t="shared" si="1"/>
        <v/>
      </c>
      <c r="E498" s="320"/>
      <c r="F498" s="320"/>
      <c r="G498" s="321"/>
      <c r="H498" s="321"/>
      <c r="I498" s="321"/>
      <c r="J498" s="321"/>
      <c r="K498" s="321"/>
      <c r="L498" s="321"/>
      <c r="M498" s="321"/>
    </row>
    <row r="499" ht="15.75" customHeight="1">
      <c r="A499" s="317"/>
      <c r="B499" s="318"/>
      <c r="C499" s="318"/>
      <c r="D499" s="319" t="str">
        <f t="shared" si="1"/>
        <v/>
      </c>
      <c r="E499" s="320"/>
      <c r="F499" s="320"/>
      <c r="G499" s="321"/>
      <c r="H499" s="321"/>
      <c r="I499" s="321"/>
      <c r="J499" s="321"/>
      <c r="K499" s="321"/>
      <c r="L499" s="321"/>
      <c r="M499" s="321"/>
    </row>
    <row r="500" ht="15.75" customHeight="1">
      <c r="A500" s="317"/>
      <c r="B500" s="318"/>
      <c r="C500" s="318"/>
      <c r="D500" s="319" t="str">
        <f t="shared" si="1"/>
        <v/>
      </c>
      <c r="E500" s="320"/>
      <c r="F500" s="320"/>
      <c r="G500" s="321"/>
      <c r="H500" s="321"/>
      <c r="I500" s="321"/>
      <c r="J500" s="321"/>
      <c r="K500" s="321"/>
      <c r="L500" s="321"/>
      <c r="M500" s="321"/>
    </row>
    <row r="501" ht="15.75" customHeight="1">
      <c r="A501" s="317"/>
      <c r="B501" s="318"/>
      <c r="C501" s="318"/>
      <c r="D501" s="319" t="str">
        <f t="shared" si="1"/>
        <v/>
      </c>
      <c r="E501" s="320"/>
      <c r="F501" s="320"/>
      <c r="G501" s="321"/>
      <c r="H501" s="321"/>
      <c r="I501" s="321"/>
      <c r="J501" s="321"/>
      <c r="K501" s="321"/>
      <c r="L501" s="321"/>
      <c r="M501" s="321"/>
    </row>
    <row r="502" ht="15.75" customHeight="1">
      <c r="A502" s="317"/>
      <c r="B502" s="318"/>
      <c r="C502" s="318"/>
      <c r="D502" s="319" t="str">
        <f t="shared" si="1"/>
        <v/>
      </c>
      <c r="E502" s="320"/>
      <c r="F502" s="320"/>
      <c r="G502" s="321"/>
      <c r="H502" s="321"/>
      <c r="I502" s="321"/>
      <c r="J502" s="321"/>
      <c r="K502" s="321"/>
      <c r="L502" s="321"/>
      <c r="M502" s="321"/>
    </row>
    <row r="503" ht="15.75" customHeight="1">
      <c r="A503" s="317"/>
      <c r="B503" s="318"/>
      <c r="C503" s="318"/>
      <c r="D503" s="319" t="str">
        <f t="shared" si="1"/>
        <v/>
      </c>
      <c r="E503" s="320"/>
      <c r="F503" s="320"/>
      <c r="G503" s="321"/>
      <c r="H503" s="321"/>
      <c r="I503" s="321"/>
      <c r="J503" s="321"/>
      <c r="K503" s="321"/>
      <c r="L503" s="321"/>
      <c r="M503" s="321"/>
    </row>
    <row r="504" ht="15.75" customHeight="1">
      <c r="A504" s="317"/>
      <c r="B504" s="318"/>
      <c r="C504" s="318"/>
      <c r="D504" s="319" t="str">
        <f t="shared" si="1"/>
        <v/>
      </c>
      <c r="E504" s="320"/>
      <c r="F504" s="320"/>
      <c r="G504" s="321"/>
      <c r="H504" s="321"/>
      <c r="I504" s="321"/>
      <c r="J504" s="321"/>
      <c r="K504" s="321"/>
      <c r="L504" s="321"/>
      <c r="M504" s="321"/>
    </row>
    <row r="505" ht="15.75" customHeight="1">
      <c r="A505" s="317"/>
      <c r="B505" s="318"/>
      <c r="C505" s="318"/>
      <c r="D505" s="319" t="str">
        <f t="shared" si="1"/>
        <v/>
      </c>
      <c r="E505" s="320"/>
      <c r="F505" s="320"/>
      <c r="G505" s="321"/>
      <c r="H505" s="321"/>
      <c r="I505" s="321"/>
      <c r="J505" s="321"/>
      <c r="K505" s="321"/>
      <c r="L505" s="321"/>
      <c r="M505" s="321"/>
    </row>
    <row r="506" ht="15.75" customHeight="1">
      <c r="A506" s="317"/>
      <c r="B506" s="318"/>
      <c r="C506" s="318"/>
      <c r="D506" s="319" t="str">
        <f t="shared" si="1"/>
        <v/>
      </c>
      <c r="E506" s="320"/>
      <c r="F506" s="320"/>
      <c r="G506" s="321"/>
      <c r="H506" s="321"/>
      <c r="I506" s="321"/>
      <c r="J506" s="321"/>
      <c r="K506" s="321"/>
      <c r="L506" s="321"/>
      <c r="M506" s="321"/>
    </row>
    <row r="507" ht="15.75" customHeight="1">
      <c r="A507" s="317"/>
      <c r="B507" s="318"/>
      <c r="C507" s="318"/>
      <c r="D507" s="319" t="str">
        <f t="shared" si="1"/>
        <v/>
      </c>
      <c r="E507" s="320"/>
      <c r="F507" s="320"/>
      <c r="G507" s="321"/>
      <c r="H507" s="321"/>
      <c r="I507" s="321"/>
      <c r="J507" s="321"/>
      <c r="K507" s="321"/>
      <c r="L507" s="321"/>
      <c r="M507" s="321"/>
    </row>
    <row r="508" ht="15.75" customHeight="1">
      <c r="A508" s="317"/>
      <c r="B508" s="318"/>
      <c r="C508" s="318"/>
      <c r="D508" s="319" t="str">
        <f t="shared" si="1"/>
        <v/>
      </c>
      <c r="E508" s="320"/>
      <c r="F508" s="320"/>
      <c r="G508" s="321"/>
      <c r="H508" s="321"/>
      <c r="I508" s="321"/>
      <c r="J508" s="321"/>
      <c r="K508" s="321"/>
      <c r="L508" s="321"/>
      <c r="M508" s="321"/>
    </row>
    <row r="509" ht="15.75" customHeight="1">
      <c r="A509" s="317"/>
      <c r="B509" s="318"/>
      <c r="C509" s="318"/>
      <c r="D509" s="319" t="str">
        <f t="shared" si="1"/>
        <v/>
      </c>
      <c r="E509" s="320"/>
      <c r="F509" s="320"/>
      <c r="G509" s="321"/>
      <c r="H509" s="321"/>
      <c r="I509" s="321"/>
      <c r="J509" s="321"/>
      <c r="K509" s="321"/>
      <c r="L509" s="321"/>
      <c r="M509" s="321"/>
    </row>
    <row r="510" ht="15.75" customHeight="1">
      <c r="A510" s="317"/>
      <c r="B510" s="318"/>
      <c r="C510" s="318"/>
      <c r="D510" s="319" t="str">
        <f t="shared" si="1"/>
        <v/>
      </c>
      <c r="E510" s="320"/>
      <c r="F510" s="320"/>
      <c r="G510" s="321"/>
      <c r="H510" s="321"/>
      <c r="I510" s="321"/>
      <c r="J510" s="321"/>
      <c r="K510" s="321"/>
      <c r="L510" s="321"/>
      <c r="M510" s="321"/>
    </row>
    <row r="511" ht="15.75" customHeight="1">
      <c r="A511" s="317"/>
      <c r="B511" s="318"/>
      <c r="C511" s="318"/>
      <c r="D511" s="319" t="str">
        <f t="shared" si="1"/>
        <v/>
      </c>
      <c r="E511" s="320"/>
      <c r="F511" s="320"/>
      <c r="G511" s="321"/>
      <c r="H511" s="321"/>
      <c r="I511" s="321"/>
      <c r="J511" s="321"/>
      <c r="K511" s="321"/>
      <c r="L511" s="321"/>
      <c r="M511" s="321"/>
    </row>
    <row r="512" ht="15.75" customHeight="1">
      <c r="A512" s="317"/>
      <c r="B512" s="318"/>
      <c r="C512" s="318"/>
      <c r="D512" s="319" t="str">
        <f t="shared" si="1"/>
        <v/>
      </c>
      <c r="E512" s="320"/>
      <c r="F512" s="320"/>
      <c r="G512" s="321"/>
      <c r="H512" s="321"/>
      <c r="I512" s="321"/>
      <c r="J512" s="321"/>
      <c r="K512" s="321"/>
      <c r="L512" s="321"/>
      <c r="M512" s="321"/>
    </row>
    <row r="513" ht="15.75" customHeight="1">
      <c r="A513" s="317"/>
      <c r="B513" s="318"/>
      <c r="C513" s="318"/>
      <c r="D513" s="319" t="str">
        <f t="shared" si="1"/>
        <v/>
      </c>
      <c r="E513" s="320"/>
      <c r="F513" s="320"/>
      <c r="G513" s="321"/>
      <c r="H513" s="321"/>
      <c r="I513" s="321"/>
      <c r="J513" s="321"/>
      <c r="K513" s="321"/>
      <c r="L513" s="321"/>
      <c r="M513" s="321"/>
    </row>
    <row r="514" ht="15.75" customHeight="1">
      <c r="A514" s="317"/>
      <c r="B514" s="318"/>
      <c r="C514" s="318"/>
      <c r="D514" s="319" t="str">
        <f t="shared" si="1"/>
        <v/>
      </c>
      <c r="E514" s="320"/>
      <c r="F514" s="320"/>
      <c r="G514" s="321"/>
      <c r="H514" s="321"/>
      <c r="I514" s="321"/>
      <c r="J514" s="321"/>
      <c r="K514" s="321"/>
      <c r="L514" s="321"/>
      <c r="M514" s="321"/>
    </row>
    <row r="515" ht="15.75" customHeight="1">
      <c r="A515" s="317"/>
      <c r="B515" s="318"/>
      <c r="C515" s="318"/>
      <c r="D515" s="319" t="str">
        <f t="shared" si="1"/>
        <v/>
      </c>
      <c r="E515" s="320"/>
      <c r="F515" s="320"/>
      <c r="G515" s="321"/>
      <c r="H515" s="321"/>
      <c r="I515" s="321"/>
      <c r="J515" s="321"/>
      <c r="K515" s="321"/>
      <c r="L515" s="321"/>
      <c r="M515" s="321"/>
    </row>
    <row r="516" ht="15.75" customHeight="1">
      <c r="A516" s="317"/>
      <c r="B516" s="318"/>
      <c r="C516" s="318"/>
      <c r="D516" s="319" t="str">
        <f t="shared" si="1"/>
        <v/>
      </c>
      <c r="E516" s="320"/>
      <c r="F516" s="320"/>
      <c r="G516" s="321"/>
      <c r="H516" s="321"/>
      <c r="I516" s="321"/>
      <c r="J516" s="321"/>
      <c r="K516" s="321"/>
      <c r="L516" s="321"/>
      <c r="M516" s="321"/>
    </row>
    <row r="517" ht="15.75" customHeight="1">
      <c r="A517" s="317"/>
      <c r="B517" s="318"/>
      <c r="C517" s="318"/>
      <c r="D517" s="319" t="str">
        <f t="shared" si="1"/>
        <v/>
      </c>
      <c r="E517" s="320"/>
      <c r="F517" s="320"/>
      <c r="G517" s="321"/>
      <c r="H517" s="321"/>
      <c r="I517" s="321"/>
      <c r="J517" s="321"/>
      <c r="K517" s="321"/>
      <c r="L517" s="321"/>
      <c r="M517" s="321"/>
    </row>
    <row r="518" ht="15.75" customHeight="1">
      <c r="A518" s="317"/>
      <c r="B518" s="318"/>
      <c r="C518" s="318"/>
      <c r="D518" s="319" t="str">
        <f t="shared" si="1"/>
        <v/>
      </c>
      <c r="E518" s="320"/>
      <c r="F518" s="320"/>
      <c r="G518" s="321"/>
      <c r="H518" s="321"/>
      <c r="I518" s="321"/>
      <c r="J518" s="321"/>
      <c r="K518" s="321"/>
      <c r="L518" s="321"/>
      <c r="M518" s="321"/>
    </row>
    <row r="519" ht="15.75" customHeight="1">
      <c r="A519" s="317"/>
      <c r="B519" s="318"/>
      <c r="C519" s="318"/>
      <c r="D519" s="319" t="str">
        <f t="shared" si="1"/>
        <v/>
      </c>
      <c r="E519" s="320"/>
      <c r="F519" s="320"/>
      <c r="G519" s="321"/>
      <c r="H519" s="321"/>
      <c r="I519" s="321"/>
      <c r="J519" s="321"/>
      <c r="K519" s="321"/>
      <c r="L519" s="321"/>
      <c r="M519" s="321"/>
    </row>
    <row r="520" ht="15.75" customHeight="1">
      <c r="A520" s="317"/>
      <c r="B520" s="318"/>
      <c r="C520" s="318"/>
      <c r="D520" s="319" t="str">
        <f t="shared" si="1"/>
        <v/>
      </c>
      <c r="E520" s="320"/>
      <c r="F520" s="320"/>
      <c r="G520" s="321"/>
      <c r="H520" s="321"/>
      <c r="I520" s="321"/>
      <c r="J520" s="321"/>
      <c r="K520" s="321"/>
      <c r="L520" s="321"/>
      <c r="M520" s="321"/>
    </row>
    <row r="521" ht="15.75" customHeight="1">
      <c r="A521" s="317"/>
      <c r="B521" s="318"/>
      <c r="C521" s="318"/>
      <c r="D521" s="319" t="str">
        <f t="shared" si="1"/>
        <v/>
      </c>
      <c r="E521" s="320"/>
      <c r="F521" s="320"/>
      <c r="G521" s="321"/>
      <c r="H521" s="321"/>
      <c r="I521" s="321"/>
      <c r="J521" s="321"/>
      <c r="K521" s="321"/>
      <c r="L521" s="321"/>
      <c r="M521" s="321"/>
    </row>
    <row r="522" ht="15.75" customHeight="1">
      <c r="A522" s="317"/>
      <c r="B522" s="318"/>
      <c r="C522" s="318"/>
      <c r="D522" s="319" t="str">
        <f t="shared" si="1"/>
        <v/>
      </c>
      <c r="E522" s="320"/>
      <c r="F522" s="320"/>
      <c r="G522" s="321"/>
      <c r="H522" s="321"/>
      <c r="I522" s="321"/>
      <c r="J522" s="321"/>
      <c r="K522" s="321"/>
      <c r="L522" s="321"/>
      <c r="M522" s="321"/>
    </row>
    <row r="523" ht="15.75" customHeight="1">
      <c r="A523" s="317"/>
      <c r="B523" s="318"/>
      <c r="C523" s="318"/>
      <c r="D523" s="319" t="str">
        <f t="shared" si="1"/>
        <v/>
      </c>
      <c r="E523" s="320"/>
      <c r="F523" s="320"/>
      <c r="G523" s="321"/>
      <c r="H523" s="321"/>
      <c r="I523" s="321"/>
      <c r="J523" s="321"/>
      <c r="K523" s="321"/>
      <c r="L523" s="321"/>
      <c r="M523" s="321"/>
    </row>
    <row r="524" ht="15.75" customHeight="1">
      <c r="A524" s="317"/>
      <c r="B524" s="318"/>
      <c r="C524" s="318"/>
      <c r="D524" s="319" t="str">
        <f t="shared" si="1"/>
        <v/>
      </c>
      <c r="E524" s="320"/>
      <c r="F524" s="320"/>
      <c r="G524" s="321"/>
      <c r="H524" s="321"/>
      <c r="I524" s="321"/>
      <c r="J524" s="321"/>
      <c r="K524" s="321"/>
      <c r="L524" s="321"/>
      <c r="M524" s="321"/>
    </row>
    <row r="525" ht="15.75" customHeight="1">
      <c r="A525" s="317"/>
      <c r="B525" s="318"/>
      <c r="C525" s="318"/>
      <c r="D525" s="319" t="str">
        <f t="shared" si="1"/>
        <v/>
      </c>
      <c r="E525" s="320"/>
      <c r="F525" s="320"/>
      <c r="G525" s="321"/>
      <c r="H525" s="321"/>
      <c r="I525" s="321"/>
      <c r="J525" s="321"/>
      <c r="K525" s="321"/>
      <c r="L525" s="321"/>
      <c r="M525" s="321"/>
    </row>
    <row r="526" ht="15.75" customHeight="1">
      <c r="A526" s="317"/>
      <c r="B526" s="318"/>
      <c r="C526" s="318"/>
      <c r="D526" s="319" t="str">
        <f t="shared" si="1"/>
        <v/>
      </c>
      <c r="E526" s="320"/>
      <c r="F526" s="320"/>
      <c r="G526" s="321"/>
      <c r="H526" s="321"/>
      <c r="I526" s="321"/>
      <c r="J526" s="321"/>
      <c r="K526" s="321"/>
      <c r="L526" s="321"/>
      <c r="M526" s="321"/>
    </row>
    <row r="527" ht="15.75" customHeight="1">
      <c r="A527" s="317"/>
      <c r="B527" s="318"/>
      <c r="C527" s="318"/>
      <c r="D527" s="319" t="str">
        <f t="shared" si="1"/>
        <v/>
      </c>
      <c r="E527" s="320"/>
      <c r="F527" s="320"/>
      <c r="G527" s="321"/>
      <c r="H527" s="321"/>
      <c r="I527" s="321"/>
      <c r="J527" s="321"/>
      <c r="K527" s="321"/>
      <c r="L527" s="321"/>
      <c r="M527" s="321"/>
    </row>
    <row r="528" ht="15.75" customHeight="1">
      <c r="A528" s="317"/>
      <c r="B528" s="318"/>
      <c r="C528" s="318"/>
      <c r="D528" s="319" t="str">
        <f t="shared" si="1"/>
        <v/>
      </c>
      <c r="E528" s="320"/>
      <c r="F528" s="320"/>
      <c r="G528" s="321"/>
      <c r="H528" s="321"/>
      <c r="I528" s="321"/>
      <c r="J528" s="321"/>
      <c r="K528" s="321"/>
      <c r="L528" s="321"/>
      <c r="M528" s="321"/>
    </row>
    <row r="529" ht="15.75" customHeight="1">
      <c r="A529" s="317"/>
      <c r="B529" s="318"/>
      <c r="C529" s="318"/>
      <c r="D529" s="319" t="str">
        <f t="shared" si="1"/>
        <v/>
      </c>
      <c r="E529" s="320"/>
      <c r="F529" s="320"/>
      <c r="G529" s="321"/>
      <c r="H529" s="321"/>
      <c r="I529" s="321"/>
      <c r="J529" s="321"/>
      <c r="K529" s="321"/>
      <c r="L529" s="321"/>
      <c r="M529" s="321"/>
    </row>
    <row r="530" ht="15.75" customHeight="1">
      <c r="A530" s="317"/>
      <c r="B530" s="318"/>
      <c r="C530" s="318"/>
      <c r="D530" s="319" t="str">
        <f t="shared" si="1"/>
        <v/>
      </c>
      <c r="E530" s="320"/>
      <c r="F530" s="320"/>
      <c r="G530" s="321"/>
      <c r="H530" s="321"/>
      <c r="I530" s="321"/>
      <c r="J530" s="321"/>
      <c r="K530" s="321"/>
      <c r="L530" s="321"/>
      <c r="M530" s="321"/>
    </row>
    <row r="531" ht="15.75" customHeight="1">
      <c r="A531" s="317"/>
      <c r="B531" s="318"/>
      <c r="C531" s="318"/>
      <c r="D531" s="319" t="str">
        <f t="shared" si="1"/>
        <v/>
      </c>
      <c r="E531" s="320"/>
      <c r="F531" s="320"/>
      <c r="G531" s="321"/>
      <c r="H531" s="321"/>
      <c r="I531" s="321"/>
      <c r="J531" s="321"/>
      <c r="K531" s="321"/>
      <c r="L531" s="321"/>
      <c r="M531" s="321"/>
    </row>
    <row r="532" ht="15.75" customHeight="1">
      <c r="A532" s="317"/>
      <c r="B532" s="318"/>
      <c r="C532" s="318"/>
      <c r="D532" s="319" t="str">
        <f t="shared" si="1"/>
        <v/>
      </c>
      <c r="E532" s="320"/>
      <c r="F532" s="320"/>
      <c r="G532" s="321"/>
      <c r="H532" s="321"/>
      <c r="I532" s="321"/>
      <c r="J532" s="321"/>
      <c r="K532" s="321"/>
      <c r="L532" s="321"/>
      <c r="M532" s="321"/>
    </row>
    <row r="533" ht="15.75" customHeight="1">
      <c r="A533" s="317"/>
      <c r="B533" s="318"/>
      <c r="C533" s="318"/>
      <c r="D533" s="319" t="str">
        <f t="shared" si="1"/>
        <v/>
      </c>
      <c r="E533" s="320"/>
      <c r="F533" s="320"/>
      <c r="G533" s="321"/>
      <c r="H533" s="321"/>
      <c r="I533" s="321"/>
      <c r="J533" s="321"/>
      <c r="K533" s="321"/>
      <c r="L533" s="321"/>
      <c r="M533" s="321"/>
    </row>
    <row r="534" ht="15.75" customHeight="1">
      <c r="A534" s="317"/>
      <c r="B534" s="318"/>
      <c r="C534" s="318"/>
      <c r="D534" s="319" t="str">
        <f t="shared" si="1"/>
        <v/>
      </c>
      <c r="E534" s="320"/>
      <c r="F534" s="320"/>
      <c r="G534" s="321"/>
      <c r="H534" s="321"/>
      <c r="I534" s="321"/>
      <c r="J534" s="321"/>
      <c r="K534" s="321"/>
      <c r="L534" s="321"/>
      <c r="M534" s="321"/>
    </row>
    <row r="535" ht="15.75" customHeight="1">
      <c r="A535" s="317"/>
      <c r="B535" s="318"/>
      <c r="C535" s="318"/>
      <c r="D535" s="319" t="str">
        <f t="shared" si="1"/>
        <v/>
      </c>
      <c r="E535" s="320"/>
      <c r="F535" s="320"/>
      <c r="G535" s="321"/>
      <c r="H535" s="321"/>
      <c r="I535" s="321"/>
      <c r="J535" s="321"/>
      <c r="K535" s="321"/>
      <c r="L535" s="321"/>
      <c r="M535" s="321"/>
    </row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535"/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33.0"/>
    <col customWidth="1" min="3" max="4" width="12.63"/>
    <col customWidth="1" min="5" max="6" width="6.75"/>
  </cols>
  <sheetData>
    <row r="1" ht="15.0" customHeight="1">
      <c r="A1" s="324" t="s">
        <v>123</v>
      </c>
      <c r="B1" s="325" t="s">
        <v>124</v>
      </c>
      <c r="C1" s="325" t="s">
        <v>6</v>
      </c>
      <c r="D1" s="324" t="s">
        <v>125</v>
      </c>
      <c r="E1" s="324" t="s">
        <v>126</v>
      </c>
      <c r="F1" s="324" t="s">
        <v>127</v>
      </c>
      <c r="G1" s="326" t="s">
        <v>51</v>
      </c>
      <c r="H1" s="326" t="s">
        <v>128</v>
      </c>
      <c r="I1" s="326" t="s">
        <v>53</v>
      </c>
      <c r="J1" s="326" t="s">
        <v>54</v>
      </c>
      <c r="K1" s="326" t="s">
        <v>129</v>
      </c>
      <c r="L1" s="326" t="s">
        <v>56</v>
      </c>
    </row>
    <row r="2" ht="15.75" customHeight="1">
      <c r="A2" s="317">
        <v>1.0</v>
      </c>
      <c r="B2" s="318" t="s">
        <v>42</v>
      </c>
      <c r="C2" s="318" t="s">
        <v>44</v>
      </c>
      <c r="D2" s="319" t="str">
        <f t="shared" ref="D2:D535" si="1">A2&amp;C2</f>
        <v>1Indiferente</v>
      </c>
      <c r="E2" s="320">
        <v>61.0</v>
      </c>
      <c r="F2" s="320">
        <v>351.0</v>
      </c>
      <c r="G2" s="321">
        <v>2747.5</v>
      </c>
      <c r="H2" s="321">
        <v>3758.73</v>
      </c>
      <c r="I2" s="321">
        <v>5006.49</v>
      </c>
      <c r="J2" s="321">
        <v>5052.0</v>
      </c>
      <c r="K2" s="321">
        <v>6189.59</v>
      </c>
      <c r="L2" s="321">
        <v>7922.79</v>
      </c>
    </row>
    <row r="3" ht="15.75" customHeight="1">
      <c r="A3" s="317">
        <v>1.0</v>
      </c>
      <c r="B3" s="318" t="s">
        <v>42</v>
      </c>
      <c r="C3" s="318" t="s">
        <v>29</v>
      </c>
      <c r="D3" s="319" t="str">
        <f t="shared" si="1"/>
        <v>1Júnior</v>
      </c>
      <c r="E3" s="320">
        <v>40.0</v>
      </c>
      <c r="F3" s="320">
        <v>130.0</v>
      </c>
      <c r="G3" s="321">
        <v>2468.17</v>
      </c>
      <c r="H3" s="321">
        <v>2944.09</v>
      </c>
      <c r="I3" s="321">
        <v>3642.17</v>
      </c>
      <c r="J3" s="321">
        <v>3493.9</v>
      </c>
      <c r="K3" s="321">
        <v>4224.13</v>
      </c>
      <c r="L3" s="321">
        <v>5456.83</v>
      </c>
    </row>
    <row r="4" ht="15.75" customHeight="1">
      <c r="A4" s="317">
        <v>1.0</v>
      </c>
      <c r="B4" s="318" t="s">
        <v>42</v>
      </c>
      <c r="C4" s="318" t="s">
        <v>24</v>
      </c>
      <c r="D4" s="319" t="str">
        <f t="shared" si="1"/>
        <v>1Pleno</v>
      </c>
      <c r="E4" s="320">
        <v>38.0</v>
      </c>
      <c r="F4" s="320">
        <v>128.0</v>
      </c>
      <c r="G4" s="321">
        <v>3480.14</v>
      </c>
      <c r="H4" s="321">
        <v>4665.99</v>
      </c>
      <c r="I4" s="321">
        <v>5399.83</v>
      </c>
      <c r="J4" s="321">
        <v>5248.63</v>
      </c>
      <c r="K4" s="321">
        <v>6311.23</v>
      </c>
      <c r="L4" s="321">
        <v>7135.86</v>
      </c>
    </row>
    <row r="5" ht="15.75" customHeight="1">
      <c r="A5" s="317">
        <v>1.0</v>
      </c>
      <c r="B5" s="318" t="s">
        <v>42</v>
      </c>
      <c r="C5" s="318" t="s">
        <v>18</v>
      </c>
      <c r="D5" s="319" t="str">
        <f t="shared" si="1"/>
        <v>1Sênior</v>
      </c>
      <c r="E5" s="320">
        <v>23.0</v>
      </c>
      <c r="F5" s="320">
        <v>52.0</v>
      </c>
      <c r="G5" s="321">
        <v>5928.64</v>
      </c>
      <c r="H5" s="321">
        <v>6791.87</v>
      </c>
      <c r="I5" s="321">
        <v>7984.54</v>
      </c>
      <c r="J5" s="321">
        <v>7851.14</v>
      </c>
      <c r="K5" s="321">
        <v>9534.06</v>
      </c>
      <c r="L5" s="321">
        <v>9921.51</v>
      </c>
    </row>
    <row r="6" ht="15.75" customHeight="1">
      <c r="A6" s="317">
        <v>1.0</v>
      </c>
      <c r="B6" s="318" t="s">
        <v>42</v>
      </c>
      <c r="C6" s="318" t="s">
        <v>130</v>
      </c>
      <c r="D6" s="319" t="str">
        <f t="shared" si="1"/>
        <v>1Master</v>
      </c>
      <c r="E6" s="320">
        <v>1.0</v>
      </c>
      <c r="F6" s="320">
        <v>1.0</v>
      </c>
      <c r="G6" s="321">
        <v>0.0</v>
      </c>
      <c r="H6" s="321">
        <v>0.0</v>
      </c>
      <c r="I6" s="321">
        <v>0.0</v>
      </c>
      <c r="J6" s="321">
        <v>0.0</v>
      </c>
      <c r="K6" s="321">
        <v>0.0</v>
      </c>
      <c r="L6" s="321">
        <v>0.0</v>
      </c>
    </row>
    <row r="7" ht="15.75" customHeight="1">
      <c r="A7" s="317">
        <v>1.0</v>
      </c>
      <c r="B7" s="318" t="s">
        <v>42</v>
      </c>
      <c r="C7" s="318" t="s">
        <v>131</v>
      </c>
      <c r="D7" s="319" t="str">
        <f t="shared" si="1"/>
        <v>1Especialista</v>
      </c>
      <c r="E7" s="320">
        <v>4.0</v>
      </c>
      <c r="F7" s="320">
        <v>12.0</v>
      </c>
      <c r="G7" s="321">
        <v>8294.38</v>
      </c>
      <c r="H7" s="321">
        <v>10580.85</v>
      </c>
      <c r="I7" s="321">
        <v>12969.46</v>
      </c>
      <c r="J7" s="321">
        <v>13201.08</v>
      </c>
      <c r="K7" s="321">
        <v>15243.04</v>
      </c>
      <c r="L7" s="321">
        <v>16888.61</v>
      </c>
    </row>
    <row r="8" ht="15.75" customHeight="1">
      <c r="A8" s="317">
        <v>1016.0</v>
      </c>
      <c r="B8" s="318" t="s">
        <v>43</v>
      </c>
      <c r="C8" s="318" t="s">
        <v>44</v>
      </c>
      <c r="D8" s="319" t="str">
        <f t="shared" si="1"/>
        <v>1016Indiferente</v>
      </c>
      <c r="E8" s="320">
        <v>11.0</v>
      </c>
      <c r="F8" s="320">
        <v>17.0</v>
      </c>
      <c r="G8" s="321">
        <v>5288.93</v>
      </c>
      <c r="H8" s="321">
        <v>7107.92</v>
      </c>
      <c r="I8" s="321">
        <v>8904.46</v>
      </c>
      <c r="J8" s="321">
        <v>9047.66</v>
      </c>
      <c r="K8" s="321">
        <v>10074.15</v>
      </c>
      <c r="L8" s="321">
        <v>12817.68</v>
      </c>
    </row>
    <row r="9" ht="15.75" customHeight="1">
      <c r="A9" s="317">
        <v>1016.0</v>
      </c>
      <c r="B9" s="318" t="s">
        <v>43</v>
      </c>
      <c r="C9" s="318" t="s">
        <v>29</v>
      </c>
      <c r="D9" s="319" t="str">
        <f t="shared" si="1"/>
        <v>1016Júnior</v>
      </c>
      <c r="E9" s="320">
        <v>0.0</v>
      </c>
      <c r="F9" s="320">
        <v>0.0</v>
      </c>
      <c r="G9" s="321">
        <v>0.0</v>
      </c>
      <c r="H9" s="321">
        <v>0.0</v>
      </c>
      <c r="I9" s="321">
        <v>0.0</v>
      </c>
      <c r="J9" s="321">
        <v>0.0</v>
      </c>
      <c r="K9" s="321">
        <v>0.0</v>
      </c>
      <c r="L9" s="321">
        <v>0.0</v>
      </c>
    </row>
    <row r="10" ht="15.75" customHeight="1">
      <c r="A10" s="317">
        <v>1016.0</v>
      </c>
      <c r="B10" s="318" t="s">
        <v>43</v>
      </c>
      <c r="C10" s="318" t="s">
        <v>24</v>
      </c>
      <c r="D10" s="319" t="str">
        <f t="shared" si="1"/>
        <v>1016Pleno</v>
      </c>
      <c r="E10" s="320">
        <v>2.0</v>
      </c>
      <c r="F10" s="320">
        <v>6.0</v>
      </c>
      <c r="G10" s="321">
        <v>0.0</v>
      </c>
      <c r="H10" s="321">
        <v>0.0</v>
      </c>
      <c r="I10" s="321">
        <v>0.0</v>
      </c>
      <c r="J10" s="321">
        <v>0.0</v>
      </c>
      <c r="K10" s="321">
        <v>0.0</v>
      </c>
      <c r="L10" s="321">
        <v>0.0</v>
      </c>
    </row>
    <row r="11" ht="15.75" customHeight="1">
      <c r="A11" s="317">
        <v>1016.0</v>
      </c>
      <c r="B11" s="318" t="s">
        <v>43</v>
      </c>
      <c r="C11" s="318" t="s">
        <v>18</v>
      </c>
      <c r="D11" s="319" t="str">
        <f t="shared" si="1"/>
        <v>1016Sênior</v>
      </c>
      <c r="E11" s="320">
        <v>4.0</v>
      </c>
      <c r="F11" s="320">
        <v>6.0</v>
      </c>
      <c r="G11" s="321">
        <v>3771.28</v>
      </c>
      <c r="H11" s="321">
        <v>6461.25</v>
      </c>
      <c r="I11" s="321">
        <v>8003.44</v>
      </c>
      <c r="J11" s="321">
        <v>9082.0</v>
      </c>
      <c r="K11" s="321">
        <v>9082.0</v>
      </c>
      <c r="L11" s="321">
        <v>11415.69</v>
      </c>
    </row>
    <row r="12" ht="15.75" customHeight="1">
      <c r="A12" s="317">
        <v>1016.0</v>
      </c>
      <c r="B12" s="318" t="s">
        <v>43</v>
      </c>
      <c r="C12" s="318" t="s">
        <v>130</v>
      </c>
      <c r="D12" s="319" t="str">
        <f t="shared" si="1"/>
        <v>1016Master</v>
      </c>
      <c r="E12" s="320">
        <v>0.0</v>
      </c>
      <c r="F12" s="320">
        <v>0.0</v>
      </c>
      <c r="G12" s="321">
        <v>0.0</v>
      </c>
      <c r="H12" s="321">
        <v>0.0</v>
      </c>
      <c r="I12" s="321">
        <v>0.0</v>
      </c>
      <c r="J12" s="321">
        <v>0.0</v>
      </c>
      <c r="K12" s="321">
        <v>0.0</v>
      </c>
      <c r="L12" s="321">
        <v>0.0</v>
      </c>
    </row>
    <row r="13" ht="15.75" customHeight="1">
      <c r="A13" s="317">
        <v>1016.0</v>
      </c>
      <c r="B13" s="318" t="s">
        <v>43</v>
      </c>
      <c r="C13" s="318" t="s">
        <v>131</v>
      </c>
      <c r="D13" s="319" t="str">
        <f t="shared" si="1"/>
        <v>1016Especialista</v>
      </c>
      <c r="E13" s="320">
        <v>2.0</v>
      </c>
      <c r="F13" s="320">
        <v>3.0</v>
      </c>
      <c r="G13" s="321">
        <v>0.0</v>
      </c>
      <c r="H13" s="321">
        <v>0.0</v>
      </c>
      <c r="I13" s="321">
        <v>0.0</v>
      </c>
      <c r="J13" s="321">
        <v>0.0</v>
      </c>
      <c r="K13" s="321">
        <v>0.0</v>
      </c>
      <c r="L13" s="321">
        <v>0.0</v>
      </c>
    </row>
    <row r="14" ht="15.75" customHeight="1">
      <c r="A14" s="317">
        <v>796.0</v>
      </c>
      <c r="B14" s="318" t="s">
        <v>33</v>
      </c>
      <c r="C14" s="318" t="s">
        <v>44</v>
      </c>
      <c r="D14" s="319" t="str">
        <f t="shared" si="1"/>
        <v>796Indiferente</v>
      </c>
      <c r="E14" s="320">
        <v>5.0</v>
      </c>
      <c r="F14" s="320">
        <v>6.0</v>
      </c>
      <c r="G14" s="321">
        <v>3861.76</v>
      </c>
      <c r="H14" s="321">
        <v>4236.09</v>
      </c>
      <c r="I14" s="321">
        <v>4589.94</v>
      </c>
      <c r="J14" s="321">
        <v>4672.16</v>
      </c>
      <c r="K14" s="321">
        <v>5047.15</v>
      </c>
      <c r="L14" s="321">
        <v>5070.66</v>
      </c>
    </row>
    <row r="15" ht="15.75" customHeight="1">
      <c r="A15" s="317">
        <v>796.0</v>
      </c>
      <c r="B15" s="318" t="s">
        <v>33</v>
      </c>
      <c r="C15" s="318" t="s">
        <v>29</v>
      </c>
      <c r="D15" s="319" t="str">
        <f t="shared" si="1"/>
        <v>796Júnior</v>
      </c>
      <c r="E15" s="320">
        <v>2.0</v>
      </c>
      <c r="F15" s="320">
        <v>3.0</v>
      </c>
      <c r="G15" s="321">
        <v>0.0</v>
      </c>
      <c r="H15" s="321">
        <v>0.0</v>
      </c>
      <c r="I15" s="321">
        <v>0.0</v>
      </c>
      <c r="J15" s="321">
        <v>0.0</v>
      </c>
      <c r="K15" s="321">
        <v>0.0</v>
      </c>
      <c r="L15" s="321">
        <v>0.0</v>
      </c>
    </row>
    <row r="16" ht="15.75" customHeight="1">
      <c r="A16" s="317">
        <v>796.0</v>
      </c>
      <c r="B16" s="318" t="s">
        <v>33</v>
      </c>
      <c r="C16" s="318" t="s">
        <v>24</v>
      </c>
      <c r="D16" s="319" t="str">
        <f t="shared" si="1"/>
        <v>796Pleno</v>
      </c>
      <c r="E16" s="320">
        <v>3.0</v>
      </c>
      <c r="F16" s="320">
        <v>3.0</v>
      </c>
      <c r="G16" s="321">
        <v>0.0</v>
      </c>
      <c r="H16" s="321">
        <v>0.0</v>
      </c>
      <c r="I16" s="321">
        <v>0.0</v>
      </c>
      <c r="J16" s="321">
        <v>0.0</v>
      </c>
      <c r="K16" s="321">
        <v>0.0</v>
      </c>
      <c r="L16" s="321">
        <v>0.0</v>
      </c>
    </row>
    <row r="17" ht="15.75" customHeight="1">
      <c r="A17" s="317">
        <v>796.0</v>
      </c>
      <c r="B17" s="318" t="s">
        <v>33</v>
      </c>
      <c r="C17" s="318" t="s">
        <v>18</v>
      </c>
      <c r="D17" s="319" t="str">
        <f t="shared" si="1"/>
        <v>796Sênior</v>
      </c>
      <c r="E17" s="320">
        <v>3.0</v>
      </c>
      <c r="F17" s="320">
        <v>5.0</v>
      </c>
      <c r="G17" s="321">
        <v>0.0</v>
      </c>
      <c r="H17" s="321">
        <v>0.0</v>
      </c>
      <c r="I17" s="321">
        <v>0.0</v>
      </c>
      <c r="J17" s="321">
        <v>0.0</v>
      </c>
      <c r="K17" s="321">
        <v>0.0</v>
      </c>
      <c r="L17" s="321">
        <v>0.0</v>
      </c>
    </row>
    <row r="18" ht="15.75" customHeight="1">
      <c r="A18" s="317">
        <v>796.0</v>
      </c>
      <c r="B18" s="318" t="s">
        <v>33</v>
      </c>
      <c r="C18" s="318" t="s">
        <v>130</v>
      </c>
      <c r="D18" s="319" t="str">
        <f t="shared" si="1"/>
        <v>796Master</v>
      </c>
      <c r="E18" s="320">
        <v>0.0</v>
      </c>
      <c r="F18" s="320">
        <v>0.0</v>
      </c>
      <c r="G18" s="321">
        <v>0.0</v>
      </c>
      <c r="H18" s="321">
        <v>0.0</v>
      </c>
      <c r="I18" s="321">
        <v>0.0</v>
      </c>
      <c r="J18" s="321">
        <v>0.0</v>
      </c>
      <c r="K18" s="321">
        <v>0.0</v>
      </c>
      <c r="L18" s="321">
        <v>0.0</v>
      </c>
    </row>
    <row r="19" ht="15.75" customHeight="1">
      <c r="A19" s="317">
        <v>796.0</v>
      </c>
      <c r="B19" s="318" t="s">
        <v>33</v>
      </c>
      <c r="C19" s="318" t="s">
        <v>131</v>
      </c>
      <c r="D19" s="319" t="str">
        <f t="shared" si="1"/>
        <v>796Especialista</v>
      </c>
      <c r="E19" s="320">
        <v>0.0</v>
      </c>
      <c r="F19" s="320">
        <v>0.0</v>
      </c>
      <c r="G19" s="321">
        <v>0.0</v>
      </c>
      <c r="H19" s="321">
        <v>0.0</v>
      </c>
      <c r="I19" s="321">
        <v>0.0</v>
      </c>
      <c r="J19" s="321">
        <v>0.0</v>
      </c>
      <c r="K19" s="321">
        <v>0.0</v>
      </c>
      <c r="L19" s="321">
        <v>0.0</v>
      </c>
    </row>
    <row r="20" ht="15.75" customHeight="1">
      <c r="A20" s="317"/>
      <c r="B20" s="318"/>
      <c r="C20" s="318"/>
      <c r="D20" s="319" t="str">
        <f t="shared" si="1"/>
        <v/>
      </c>
      <c r="E20" s="320"/>
      <c r="F20" s="320"/>
      <c r="G20" s="321"/>
      <c r="H20" s="321"/>
      <c r="I20" s="321"/>
      <c r="J20" s="321"/>
      <c r="K20" s="321"/>
      <c r="L20" s="321"/>
    </row>
    <row r="21" ht="15.75" customHeight="1">
      <c r="A21" s="317"/>
      <c r="B21" s="318"/>
      <c r="C21" s="318"/>
      <c r="D21" s="319" t="str">
        <f t="shared" si="1"/>
        <v/>
      </c>
      <c r="E21" s="320"/>
      <c r="F21" s="320"/>
      <c r="G21" s="321"/>
      <c r="H21" s="321"/>
      <c r="I21" s="321"/>
      <c r="J21" s="321"/>
      <c r="K21" s="321"/>
      <c r="L21" s="321"/>
    </row>
    <row r="22" ht="15.75" customHeight="1">
      <c r="A22" s="317"/>
      <c r="B22" s="318"/>
      <c r="C22" s="318"/>
      <c r="D22" s="319" t="str">
        <f t="shared" si="1"/>
        <v/>
      </c>
      <c r="E22" s="320"/>
      <c r="F22" s="320"/>
      <c r="G22" s="321"/>
      <c r="H22" s="321"/>
      <c r="I22" s="321"/>
      <c r="J22" s="321"/>
      <c r="K22" s="321"/>
      <c r="L22" s="321"/>
    </row>
    <row r="23" ht="15.75" customHeight="1">
      <c r="A23" s="317"/>
      <c r="B23" s="318"/>
      <c r="C23" s="318"/>
      <c r="D23" s="319" t="str">
        <f t="shared" si="1"/>
        <v/>
      </c>
      <c r="E23" s="320"/>
      <c r="F23" s="320"/>
      <c r="G23" s="321"/>
      <c r="H23" s="321"/>
      <c r="I23" s="321"/>
      <c r="J23" s="321"/>
      <c r="K23" s="321"/>
      <c r="L23" s="321"/>
    </row>
    <row r="24" ht="15.75" customHeight="1">
      <c r="A24" s="317"/>
      <c r="B24" s="318"/>
      <c r="C24" s="318"/>
      <c r="D24" s="319" t="str">
        <f t="shared" si="1"/>
        <v/>
      </c>
      <c r="E24" s="320"/>
      <c r="F24" s="320"/>
      <c r="G24" s="321"/>
      <c r="H24" s="321"/>
      <c r="I24" s="321"/>
      <c r="J24" s="321"/>
      <c r="K24" s="321"/>
      <c r="L24" s="321"/>
    </row>
    <row r="25" ht="15.75" customHeight="1">
      <c r="A25" s="317"/>
      <c r="B25" s="318"/>
      <c r="C25" s="318"/>
      <c r="D25" s="319" t="str">
        <f t="shared" si="1"/>
        <v/>
      </c>
      <c r="E25" s="320"/>
      <c r="F25" s="320"/>
      <c r="G25" s="321"/>
      <c r="H25" s="321"/>
      <c r="I25" s="321"/>
      <c r="J25" s="321"/>
      <c r="K25" s="321"/>
      <c r="L25" s="321"/>
    </row>
    <row r="26" ht="15.75" customHeight="1">
      <c r="A26" s="317"/>
      <c r="B26" s="318"/>
      <c r="C26" s="318"/>
      <c r="D26" s="319" t="str">
        <f t="shared" si="1"/>
        <v/>
      </c>
      <c r="E26" s="320"/>
      <c r="F26" s="320"/>
      <c r="G26" s="321"/>
      <c r="H26" s="321"/>
      <c r="I26" s="321"/>
      <c r="J26" s="321"/>
      <c r="K26" s="321"/>
      <c r="L26" s="321"/>
    </row>
    <row r="27" ht="15.75" customHeight="1">
      <c r="A27" s="317"/>
      <c r="B27" s="318"/>
      <c r="C27" s="318"/>
      <c r="D27" s="319" t="str">
        <f t="shared" si="1"/>
        <v/>
      </c>
      <c r="E27" s="320"/>
      <c r="F27" s="320"/>
      <c r="G27" s="321"/>
      <c r="H27" s="321"/>
      <c r="I27" s="321"/>
      <c r="J27" s="321"/>
      <c r="K27" s="321"/>
      <c r="L27" s="321"/>
    </row>
    <row r="28" ht="15.75" customHeight="1">
      <c r="A28" s="317"/>
      <c r="B28" s="318"/>
      <c r="C28" s="318"/>
      <c r="D28" s="319" t="str">
        <f t="shared" si="1"/>
        <v/>
      </c>
      <c r="E28" s="320"/>
      <c r="F28" s="320"/>
      <c r="G28" s="321"/>
      <c r="H28" s="321"/>
      <c r="I28" s="321"/>
      <c r="J28" s="321"/>
      <c r="K28" s="321"/>
      <c r="L28" s="321"/>
    </row>
    <row r="29" ht="15.75" customHeight="1">
      <c r="A29" s="317"/>
      <c r="B29" s="318"/>
      <c r="C29" s="318"/>
      <c r="D29" s="319" t="str">
        <f t="shared" si="1"/>
        <v/>
      </c>
      <c r="E29" s="320"/>
      <c r="F29" s="320"/>
      <c r="G29" s="321"/>
      <c r="H29" s="321"/>
      <c r="I29" s="321"/>
      <c r="J29" s="321"/>
      <c r="K29" s="321"/>
      <c r="L29" s="321"/>
    </row>
    <row r="30" ht="15.75" customHeight="1">
      <c r="A30" s="317"/>
      <c r="B30" s="318"/>
      <c r="C30" s="318"/>
      <c r="D30" s="319" t="str">
        <f t="shared" si="1"/>
        <v/>
      </c>
      <c r="E30" s="320"/>
      <c r="F30" s="320"/>
      <c r="G30" s="321"/>
      <c r="H30" s="321"/>
      <c r="I30" s="321"/>
      <c r="J30" s="321"/>
      <c r="K30" s="321"/>
      <c r="L30" s="321"/>
    </row>
    <row r="31" ht="15.75" customHeight="1">
      <c r="A31" s="317"/>
      <c r="B31" s="318"/>
      <c r="C31" s="318"/>
      <c r="D31" s="319" t="str">
        <f t="shared" si="1"/>
        <v/>
      </c>
      <c r="E31" s="320"/>
      <c r="F31" s="320"/>
      <c r="G31" s="321"/>
      <c r="H31" s="321"/>
      <c r="I31" s="321"/>
      <c r="J31" s="321"/>
      <c r="K31" s="321"/>
      <c r="L31" s="321"/>
    </row>
    <row r="32" ht="15.75" customHeight="1">
      <c r="A32" s="317"/>
      <c r="B32" s="318"/>
      <c r="C32" s="318"/>
      <c r="D32" s="319" t="str">
        <f t="shared" si="1"/>
        <v/>
      </c>
      <c r="E32" s="320"/>
      <c r="F32" s="320"/>
      <c r="G32" s="321"/>
      <c r="H32" s="321"/>
      <c r="I32" s="321"/>
      <c r="J32" s="321"/>
      <c r="K32" s="321"/>
      <c r="L32" s="321"/>
    </row>
    <row r="33" ht="15.75" customHeight="1">
      <c r="A33" s="317"/>
      <c r="B33" s="318"/>
      <c r="C33" s="318"/>
      <c r="D33" s="319" t="str">
        <f t="shared" si="1"/>
        <v/>
      </c>
      <c r="E33" s="320"/>
      <c r="F33" s="320"/>
      <c r="G33" s="321"/>
      <c r="H33" s="321"/>
      <c r="I33" s="321"/>
      <c r="J33" s="321"/>
      <c r="K33" s="321"/>
      <c r="L33" s="321"/>
    </row>
    <row r="34" ht="15.75" customHeight="1">
      <c r="A34" s="317"/>
      <c r="B34" s="318"/>
      <c r="C34" s="318"/>
      <c r="D34" s="319" t="str">
        <f t="shared" si="1"/>
        <v/>
      </c>
      <c r="E34" s="320"/>
      <c r="F34" s="320"/>
      <c r="G34" s="321"/>
      <c r="H34" s="321"/>
      <c r="I34" s="321"/>
      <c r="J34" s="321"/>
      <c r="K34" s="321"/>
      <c r="L34" s="321"/>
    </row>
    <row r="35" ht="15.75" customHeight="1">
      <c r="A35" s="317"/>
      <c r="B35" s="318"/>
      <c r="C35" s="318"/>
      <c r="D35" s="319" t="str">
        <f t="shared" si="1"/>
        <v/>
      </c>
      <c r="E35" s="320"/>
      <c r="F35" s="320"/>
      <c r="G35" s="321"/>
      <c r="H35" s="321"/>
      <c r="I35" s="321"/>
      <c r="J35" s="321"/>
      <c r="K35" s="321"/>
      <c r="L35" s="321"/>
    </row>
    <row r="36" ht="15.75" customHeight="1">
      <c r="A36" s="317"/>
      <c r="B36" s="318"/>
      <c r="C36" s="318"/>
      <c r="D36" s="319" t="str">
        <f t="shared" si="1"/>
        <v/>
      </c>
      <c r="E36" s="320"/>
      <c r="F36" s="320"/>
      <c r="G36" s="321"/>
      <c r="H36" s="321"/>
      <c r="I36" s="321"/>
      <c r="J36" s="321"/>
      <c r="K36" s="321"/>
      <c r="L36" s="321"/>
    </row>
    <row r="37" ht="15.75" customHeight="1">
      <c r="A37" s="317"/>
      <c r="B37" s="318"/>
      <c r="C37" s="318"/>
      <c r="D37" s="319" t="str">
        <f t="shared" si="1"/>
        <v/>
      </c>
      <c r="E37" s="320"/>
      <c r="F37" s="320"/>
      <c r="G37" s="321"/>
      <c r="H37" s="321"/>
      <c r="I37" s="321"/>
      <c r="J37" s="321"/>
      <c r="K37" s="321"/>
      <c r="L37" s="321"/>
    </row>
    <row r="38" ht="15.75" customHeight="1">
      <c r="A38" s="317"/>
      <c r="B38" s="318"/>
      <c r="C38" s="318"/>
      <c r="D38" s="319" t="str">
        <f t="shared" si="1"/>
        <v/>
      </c>
      <c r="E38" s="320"/>
      <c r="F38" s="320"/>
      <c r="G38" s="321"/>
      <c r="H38" s="321"/>
      <c r="I38" s="321"/>
      <c r="J38" s="321"/>
      <c r="K38" s="321"/>
      <c r="L38" s="321"/>
    </row>
    <row r="39" ht="15.75" customHeight="1">
      <c r="A39" s="317"/>
      <c r="B39" s="318"/>
      <c r="C39" s="318"/>
      <c r="D39" s="319" t="str">
        <f t="shared" si="1"/>
        <v/>
      </c>
      <c r="E39" s="320"/>
      <c r="F39" s="320"/>
      <c r="G39" s="321"/>
      <c r="H39" s="321"/>
      <c r="I39" s="321"/>
      <c r="J39" s="321"/>
      <c r="K39" s="321"/>
      <c r="L39" s="321"/>
    </row>
    <row r="40" ht="15.75" customHeight="1">
      <c r="A40" s="317"/>
      <c r="B40" s="318"/>
      <c r="C40" s="318"/>
      <c r="D40" s="319" t="str">
        <f t="shared" si="1"/>
        <v/>
      </c>
      <c r="E40" s="320"/>
      <c r="F40" s="320"/>
      <c r="G40" s="321"/>
      <c r="H40" s="321"/>
      <c r="I40" s="321"/>
      <c r="J40" s="321"/>
      <c r="K40" s="321"/>
      <c r="L40" s="321"/>
    </row>
    <row r="41" ht="15.75" customHeight="1">
      <c r="A41" s="317"/>
      <c r="B41" s="318"/>
      <c r="C41" s="318"/>
      <c r="D41" s="319" t="str">
        <f t="shared" si="1"/>
        <v/>
      </c>
      <c r="E41" s="320"/>
      <c r="F41" s="320"/>
      <c r="G41" s="321"/>
      <c r="H41" s="321"/>
      <c r="I41" s="321"/>
      <c r="J41" s="321"/>
      <c r="K41" s="321"/>
      <c r="L41" s="321"/>
    </row>
    <row r="42" ht="15.75" customHeight="1">
      <c r="A42" s="317"/>
      <c r="B42" s="318"/>
      <c r="C42" s="318"/>
      <c r="D42" s="319" t="str">
        <f t="shared" si="1"/>
        <v/>
      </c>
      <c r="E42" s="320"/>
      <c r="F42" s="320"/>
      <c r="G42" s="321"/>
      <c r="H42" s="321"/>
      <c r="I42" s="321"/>
      <c r="J42" s="321"/>
      <c r="K42" s="321"/>
      <c r="L42" s="321"/>
    </row>
    <row r="43" ht="15.75" customHeight="1">
      <c r="A43" s="317"/>
      <c r="B43" s="318"/>
      <c r="C43" s="318"/>
      <c r="D43" s="319" t="str">
        <f t="shared" si="1"/>
        <v/>
      </c>
      <c r="E43" s="320"/>
      <c r="F43" s="320"/>
      <c r="G43" s="321"/>
      <c r="H43" s="321"/>
      <c r="I43" s="321"/>
      <c r="J43" s="321"/>
      <c r="K43" s="321"/>
      <c r="L43" s="321"/>
    </row>
    <row r="44" ht="15.75" customHeight="1">
      <c r="A44" s="317"/>
      <c r="B44" s="318"/>
      <c r="C44" s="318"/>
      <c r="D44" s="319" t="str">
        <f t="shared" si="1"/>
        <v/>
      </c>
      <c r="E44" s="320"/>
      <c r="F44" s="320"/>
      <c r="G44" s="321"/>
      <c r="H44" s="321"/>
      <c r="I44" s="321"/>
      <c r="J44" s="321"/>
      <c r="K44" s="321"/>
      <c r="L44" s="321"/>
    </row>
    <row r="45" ht="15.75" customHeight="1">
      <c r="A45" s="317"/>
      <c r="B45" s="318"/>
      <c r="C45" s="318"/>
      <c r="D45" s="319" t="str">
        <f t="shared" si="1"/>
        <v/>
      </c>
      <c r="E45" s="320"/>
      <c r="F45" s="320"/>
      <c r="G45" s="321"/>
      <c r="H45" s="321"/>
      <c r="I45" s="321"/>
      <c r="J45" s="321"/>
      <c r="K45" s="321"/>
      <c r="L45" s="321"/>
    </row>
    <row r="46" ht="15.75" customHeight="1">
      <c r="A46" s="317"/>
      <c r="B46" s="318"/>
      <c r="C46" s="318"/>
      <c r="D46" s="319" t="str">
        <f t="shared" si="1"/>
        <v/>
      </c>
      <c r="E46" s="320"/>
      <c r="F46" s="320"/>
      <c r="G46" s="321"/>
      <c r="H46" s="321"/>
      <c r="I46" s="321"/>
      <c r="J46" s="321"/>
      <c r="K46" s="321"/>
      <c r="L46" s="321"/>
    </row>
    <row r="47" ht="15.75" customHeight="1">
      <c r="A47" s="317"/>
      <c r="B47" s="318"/>
      <c r="C47" s="318"/>
      <c r="D47" s="319" t="str">
        <f t="shared" si="1"/>
        <v/>
      </c>
      <c r="E47" s="320"/>
      <c r="F47" s="320"/>
      <c r="G47" s="321"/>
      <c r="H47" s="321"/>
      <c r="I47" s="321"/>
      <c r="J47" s="321"/>
      <c r="K47" s="321"/>
      <c r="L47" s="321"/>
    </row>
    <row r="48" ht="15.75" customHeight="1">
      <c r="A48" s="317"/>
      <c r="B48" s="318"/>
      <c r="C48" s="318"/>
      <c r="D48" s="319" t="str">
        <f t="shared" si="1"/>
        <v/>
      </c>
      <c r="E48" s="320"/>
      <c r="F48" s="320"/>
      <c r="G48" s="321"/>
      <c r="H48" s="321"/>
      <c r="I48" s="321"/>
      <c r="J48" s="321"/>
      <c r="K48" s="321"/>
      <c r="L48" s="321"/>
    </row>
    <row r="49" ht="15.75" customHeight="1">
      <c r="A49" s="317"/>
      <c r="B49" s="318"/>
      <c r="C49" s="318"/>
      <c r="D49" s="319" t="str">
        <f t="shared" si="1"/>
        <v/>
      </c>
      <c r="E49" s="320"/>
      <c r="F49" s="320"/>
      <c r="G49" s="321"/>
      <c r="H49" s="321"/>
      <c r="I49" s="321"/>
      <c r="J49" s="321"/>
      <c r="K49" s="321"/>
      <c r="L49" s="321"/>
    </row>
    <row r="50" ht="15.75" customHeight="1">
      <c r="A50" s="317"/>
      <c r="B50" s="318"/>
      <c r="C50" s="318"/>
      <c r="D50" s="319" t="str">
        <f t="shared" si="1"/>
        <v/>
      </c>
      <c r="E50" s="320"/>
      <c r="F50" s="320"/>
      <c r="G50" s="321"/>
      <c r="H50" s="321"/>
      <c r="I50" s="321"/>
      <c r="J50" s="321"/>
      <c r="K50" s="321"/>
      <c r="L50" s="321"/>
    </row>
    <row r="51" ht="15.75" customHeight="1">
      <c r="A51" s="317"/>
      <c r="B51" s="318"/>
      <c r="C51" s="318"/>
      <c r="D51" s="319" t="str">
        <f t="shared" si="1"/>
        <v/>
      </c>
      <c r="E51" s="320"/>
      <c r="F51" s="320"/>
      <c r="G51" s="321"/>
      <c r="H51" s="321"/>
      <c r="I51" s="321"/>
      <c r="J51" s="321"/>
      <c r="K51" s="321"/>
      <c r="L51" s="321"/>
    </row>
    <row r="52" ht="15.75" customHeight="1">
      <c r="A52" s="317"/>
      <c r="B52" s="318"/>
      <c r="C52" s="318"/>
      <c r="D52" s="319" t="str">
        <f t="shared" si="1"/>
        <v/>
      </c>
      <c r="E52" s="320"/>
      <c r="F52" s="320"/>
      <c r="G52" s="321"/>
      <c r="H52" s="321"/>
      <c r="I52" s="321"/>
      <c r="J52" s="321"/>
      <c r="K52" s="321"/>
      <c r="L52" s="321"/>
    </row>
    <row r="53" ht="15.75" customHeight="1">
      <c r="A53" s="317"/>
      <c r="B53" s="318"/>
      <c r="C53" s="318"/>
      <c r="D53" s="319" t="str">
        <f t="shared" si="1"/>
        <v/>
      </c>
      <c r="E53" s="320"/>
      <c r="F53" s="320"/>
      <c r="G53" s="321"/>
      <c r="H53" s="321"/>
      <c r="I53" s="321"/>
      <c r="J53" s="321"/>
      <c r="K53" s="321"/>
      <c r="L53" s="321"/>
    </row>
    <row r="54" ht="15.75" customHeight="1">
      <c r="A54" s="317"/>
      <c r="B54" s="318"/>
      <c r="C54" s="318"/>
      <c r="D54" s="319" t="str">
        <f t="shared" si="1"/>
        <v/>
      </c>
      <c r="E54" s="320"/>
      <c r="F54" s="320"/>
      <c r="G54" s="321"/>
      <c r="H54" s="321"/>
      <c r="I54" s="321"/>
      <c r="J54" s="321"/>
      <c r="K54" s="321"/>
      <c r="L54" s="321"/>
    </row>
    <row r="55" ht="15.75" customHeight="1">
      <c r="A55" s="317"/>
      <c r="B55" s="318"/>
      <c r="C55" s="318"/>
      <c r="D55" s="319" t="str">
        <f t="shared" si="1"/>
        <v/>
      </c>
      <c r="E55" s="320"/>
      <c r="F55" s="320"/>
      <c r="G55" s="321"/>
      <c r="H55" s="321"/>
      <c r="I55" s="321"/>
      <c r="J55" s="321"/>
      <c r="K55" s="321"/>
      <c r="L55" s="321"/>
    </row>
    <row r="56" ht="15.75" customHeight="1">
      <c r="A56" s="317"/>
      <c r="B56" s="318"/>
      <c r="C56" s="318"/>
      <c r="D56" s="319" t="str">
        <f t="shared" si="1"/>
        <v/>
      </c>
      <c r="E56" s="320"/>
      <c r="F56" s="320"/>
      <c r="G56" s="321"/>
      <c r="H56" s="321"/>
      <c r="I56" s="321"/>
      <c r="J56" s="321"/>
      <c r="K56" s="321"/>
      <c r="L56" s="321"/>
    </row>
    <row r="57" ht="15.75" customHeight="1">
      <c r="A57" s="317"/>
      <c r="B57" s="318"/>
      <c r="C57" s="318"/>
      <c r="D57" s="319" t="str">
        <f t="shared" si="1"/>
        <v/>
      </c>
      <c r="E57" s="320"/>
      <c r="F57" s="320"/>
      <c r="G57" s="321"/>
      <c r="H57" s="321"/>
      <c r="I57" s="321"/>
      <c r="J57" s="321"/>
      <c r="K57" s="321"/>
      <c r="L57" s="321"/>
    </row>
    <row r="58" ht="15.75" customHeight="1">
      <c r="A58" s="317"/>
      <c r="B58" s="318"/>
      <c r="C58" s="318"/>
      <c r="D58" s="319" t="str">
        <f t="shared" si="1"/>
        <v/>
      </c>
      <c r="E58" s="320"/>
      <c r="F58" s="320"/>
      <c r="G58" s="321"/>
      <c r="H58" s="321"/>
      <c r="I58" s="321"/>
      <c r="J58" s="321"/>
      <c r="K58" s="321"/>
      <c r="L58" s="321"/>
    </row>
    <row r="59" ht="15.75" customHeight="1">
      <c r="A59" s="317"/>
      <c r="B59" s="318"/>
      <c r="C59" s="318"/>
      <c r="D59" s="319" t="str">
        <f t="shared" si="1"/>
        <v/>
      </c>
      <c r="E59" s="320"/>
      <c r="F59" s="320"/>
      <c r="G59" s="321"/>
      <c r="H59" s="321"/>
      <c r="I59" s="321"/>
      <c r="J59" s="321"/>
      <c r="K59" s="321"/>
      <c r="L59" s="321"/>
    </row>
    <row r="60" ht="15.75" customHeight="1">
      <c r="A60" s="317"/>
      <c r="B60" s="318"/>
      <c r="C60" s="318"/>
      <c r="D60" s="319" t="str">
        <f t="shared" si="1"/>
        <v/>
      </c>
      <c r="E60" s="320"/>
      <c r="F60" s="320"/>
      <c r="G60" s="321"/>
      <c r="H60" s="321"/>
      <c r="I60" s="321"/>
      <c r="J60" s="321"/>
      <c r="K60" s="321"/>
      <c r="L60" s="321"/>
    </row>
    <row r="61" ht="15.75" customHeight="1">
      <c r="A61" s="317"/>
      <c r="B61" s="318"/>
      <c r="C61" s="318"/>
      <c r="D61" s="319" t="str">
        <f t="shared" si="1"/>
        <v/>
      </c>
      <c r="E61" s="320"/>
      <c r="F61" s="320"/>
      <c r="G61" s="321"/>
      <c r="H61" s="321"/>
      <c r="I61" s="321"/>
      <c r="J61" s="321"/>
      <c r="K61" s="321"/>
      <c r="L61" s="321"/>
    </row>
    <row r="62" ht="15.75" customHeight="1">
      <c r="A62" s="317"/>
      <c r="B62" s="318"/>
      <c r="C62" s="318"/>
      <c r="D62" s="319" t="str">
        <f t="shared" si="1"/>
        <v/>
      </c>
      <c r="E62" s="320"/>
      <c r="F62" s="320"/>
      <c r="G62" s="321"/>
      <c r="H62" s="321"/>
      <c r="I62" s="321"/>
      <c r="J62" s="321"/>
      <c r="K62" s="321"/>
      <c r="L62" s="321"/>
    </row>
    <row r="63" ht="15.75" customHeight="1">
      <c r="A63" s="317"/>
      <c r="B63" s="318"/>
      <c r="C63" s="318"/>
      <c r="D63" s="319" t="str">
        <f t="shared" si="1"/>
        <v/>
      </c>
      <c r="E63" s="320"/>
      <c r="F63" s="320"/>
      <c r="G63" s="321"/>
      <c r="H63" s="321"/>
      <c r="I63" s="321"/>
      <c r="J63" s="321"/>
      <c r="K63" s="321"/>
      <c r="L63" s="321"/>
    </row>
    <row r="64" ht="15.75" customHeight="1">
      <c r="A64" s="317"/>
      <c r="B64" s="318"/>
      <c r="C64" s="318"/>
      <c r="D64" s="319" t="str">
        <f t="shared" si="1"/>
        <v/>
      </c>
      <c r="E64" s="320"/>
      <c r="F64" s="320"/>
      <c r="G64" s="321"/>
      <c r="H64" s="321"/>
      <c r="I64" s="321"/>
      <c r="J64" s="321"/>
      <c r="K64" s="321"/>
      <c r="L64" s="321"/>
    </row>
    <row r="65" ht="15.75" customHeight="1">
      <c r="A65" s="317"/>
      <c r="B65" s="318"/>
      <c r="C65" s="318"/>
      <c r="D65" s="319" t="str">
        <f t="shared" si="1"/>
        <v/>
      </c>
      <c r="E65" s="320"/>
      <c r="F65" s="320"/>
      <c r="G65" s="321"/>
      <c r="H65" s="321"/>
      <c r="I65" s="321"/>
      <c r="J65" s="321"/>
      <c r="K65" s="321"/>
      <c r="L65" s="321"/>
    </row>
    <row r="66" ht="15.75" customHeight="1">
      <c r="A66" s="317"/>
      <c r="B66" s="318"/>
      <c r="C66" s="318"/>
      <c r="D66" s="319" t="str">
        <f t="shared" si="1"/>
        <v/>
      </c>
      <c r="E66" s="320"/>
      <c r="F66" s="320"/>
      <c r="G66" s="321"/>
      <c r="H66" s="321"/>
      <c r="I66" s="321"/>
      <c r="J66" s="321"/>
      <c r="K66" s="321"/>
      <c r="L66" s="321"/>
    </row>
    <row r="67" ht="15.75" customHeight="1">
      <c r="A67" s="317"/>
      <c r="B67" s="318"/>
      <c r="C67" s="318"/>
      <c r="D67" s="319" t="str">
        <f t="shared" si="1"/>
        <v/>
      </c>
      <c r="E67" s="320"/>
      <c r="F67" s="320"/>
      <c r="G67" s="321"/>
      <c r="H67" s="321"/>
      <c r="I67" s="321"/>
      <c r="J67" s="321"/>
      <c r="K67" s="321"/>
      <c r="L67" s="321"/>
    </row>
    <row r="68" ht="15.75" customHeight="1">
      <c r="A68" s="317"/>
      <c r="B68" s="318"/>
      <c r="C68" s="318"/>
      <c r="D68" s="319" t="str">
        <f t="shared" si="1"/>
        <v/>
      </c>
      <c r="E68" s="320"/>
      <c r="F68" s="320"/>
      <c r="G68" s="321"/>
      <c r="H68" s="321"/>
      <c r="I68" s="321"/>
      <c r="J68" s="321"/>
      <c r="K68" s="321"/>
      <c r="L68" s="321"/>
    </row>
    <row r="69" ht="15.75" customHeight="1">
      <c r="A69" s="317"/>
      <c r="B69" s="318"/>
      <c r="C69" s="318"/>
      <c r="D69" s="319" t="str">
        <f t="shared" si="1"/>
        <v/>
      </c>
      <c r="E69" s="320"/>
      <c r="F69" s="320"/>
      <c r="G69" s="321"/>
      <c r="H69" s="321"/>
      <c r="I69" s="321"/>
      <c r="J69" s="321"/>
      <c r="K69" s="321"/>
      <c r="L69" s="321"/>
    </row>
    <row r="70" ht="15.75" customHeight="1">
      <c r="A70" s="317"/>
      <c r="B70" s="318"/>
      <c r="C70" s="318"/>
      <c r="D70" s="319" t="str">
        <f t="shared" si="1"/>
        <v/>
      </c>
      <c r="E70" s="320"/>
      <c r="F70" s="320"/>
      <c r="G70" s="321"/>
      <c r="H70" s="321"/>
      <c r="I70" s="321"/>
      <c r="J70" s="321"/>
      <c r="K70" s="321"/>
      <c r="L70" s="321"/>
    </row>
    <row r="71" ht="15.75" customHeight="1">
      <c r="A71" s="317"/>
      <c r="B71" s="318"/>
      <c r="C71" s="318"/>
      <c r="D71" s="319" t="str">
        <f t="shared" si="1"/>
        <v/>
      </c>
      <c r="E71" s="320"/>
      <c r="F71" s="320"/>
      <c r="G71" s="321"/>
      <c r="H71" s="321"/>
      <c r="I71" s="321"/>
      <c r="J71" s="321"/>
      <c r="K71" s="321"/>
      <c r="L71" s="321"/>
    </row>
    <row r="72" ht="15.75" customHeight="1">
      <c r="A72" s="317"/>
      <c r="B72" s="318"/>
      <c r="C72" s="318"/>
      <c r="D72" s="319" t="str">
        <f t="shared" si="1"/>
        <v/>
      </c>
      <c r="E72" s="320"/>
      <c r="F72" s="320"/>
      <c r="G72" s="321"/>
      <c r="H72" s="321"/>
      <c r="I72" s="321"/>
      <c r="J72" s="321"/>
      <c r="K72" s="321"/>
      <c r="L72" s="321"/>
    </row>
    <row r="73" ht="15.75" customHeight="1">
      <c r="A73" s="317"/>
      <c r="B73" s="318"/>
      <c r="C73" s="318"/>
      <c r="D73" s="319" t="str">
        <f t="shared" si="1"/>
        <v/>
      </c>
      <c r="E73" s="320"/>
      <c r="F73" s="320"/>
      <c r="G73" s="321"/>
      <c r="H73" s="321"/>
      <c r="I73" s="321"/>
      <c r="J73" s="321"/>
      <c r="K73" s="321"/>
      <c r="L73" s="321"/>
    </row>
    <row r="74" ht="15.75" customHeight="1">
      <c r="A74" s="317"/>
      <c r="B74" s="318"/>
      <c r="C74" s="318"/>
      <c r="D74" s="319" t="str">
        <f t="shared" si="1"/>
        <v/>
      </c>
      <c r="E74" s="320"/>
      <c r="F74" s="320"/>
      <c r="G74" s="321"/>
      <c r="H74" s="321"/>
      <c r="I74" s="321"/>
      <c r="J74" s="321"/>
      <c r="K74" s="321"/>
      <c r="L74" s="321"/>
    </row>
    <row r="75" ht="15.75" customHeight="1">
      <c r="A75" s="317"/>
      <c r="B75" s="318"/>
      <c r="C75" s="318"/>
      <c r="D75" s="319" t="str">
        <f t="shared" si="1"/>
        <v/>
      </c>
      <c r="E75" s="320"/>
      <c r="F75" s="320"/>
      <c r="G75" s="321"/>
      <c r="H75" s="321"/>
      <c r="I75" s="321"/>
      <c r="J75" s="321"/>
      <c r="K75" s="321"/>
      <c r="L75" s="321"/>
    </row>
    <row r="76" ht="15.75" customHeight="1">
      <c r="A76" s="317"/>
      <c r="B76" s="318"/>
      <c r="C76" s="318"/>
      <c r="D76" s="319" t="str">
        <f t="shared" si="1"/>
        <v/>
      </c>
      <c r="E76" s="320"/>
      <c r="F76" s="320"/>
      <c r="G76" s="321"/>
      <c r="H76" s="321"/>
      <c r="I76" s="321"/>
      <c r="J76" s="321"/>
      <c r="K76" s="321"/>
      <c r="L76" s="321"/>
    </row>
    <row r="77" ht="15.75" customHeight="1">
      <c r="A77" s="317"/>
      <c r="B77" s="318"/>
      <c r="C77" s="318"/>
      <c r="D77" s="319" t="str">
        <f t="shared" si="1"/>
        <v/>
      </c>
      <c r="E77" s="320"/>
      <c r="F77" s="320"/>
      <c r="G77" s="321"/>
      <c r="H77" s="321"/>
      <c r="I77" s="321"/>
      <c r="J77" s="321"/>
      <c r="K77" s="321"/>
      <c r="L77" s="321"/>
    </row>
    <row r="78" ht="15.75" customHeight="1">
      <c r="A78" s="317"/>
      <c r="B78" s="318"/>
      <c r="C78" s="318"/>
      <c r="D78" s="319" t="str">
        <f t="shared" si="1"/>
        <v/>
      </c>
      <c r="E78" s="320"/>
      <c r="F78" s="320"/>
      <c r="G78" s="321"/>
      <c r="H78" s="321"/>
      <c r="I78" s="321"/>
      <c r="J78" s="321"/>
      <c r="K78" s="321"/>
      <c r="L78" s="321"/>
    </row>
    <row r="79" ht="15.75" customHeight="1">
      <c r="A79" s="317"/>
      <c r="B79" s="318"/>
      <c r="C79" s="318"/>
      <c r="D79" s="319" t="str">
        <f t="shared" si="1"/>
        <v/>
      </c>
      <c r="E79" s="320"/>
      <c r="F79" s="320"/>
      <c r="G79" s="321"/>
      <c r="H79" s="321"/>
      <c r="I79" s="321"/>
      <c r="J79" s="321"/>
      <c r="K79" s="321"/>
      <c r="L79" s="321"/>
    </row>
    <row r="80" ht="15.75" customHeight="1">
      <c r="A80" s="317"/>
      <c r="B80" s="318"/>
      <c r="C80" s="318"/>
      <c r="D80" s="319" t="str">
        <f t="shared" si="1"/>
        <v/>
      </c>
      <c r="E80" s="320"/>
      <c r="F80" s="320"/>
      <c r="G80" s="321"/>
      <c r="H80" s="321"/>
      <c r="I80" s="321"/>
      <c r="J80" s="321"/>
      <c r="K80" s="321"/>
      <c r="L80" s="321"/>
    </row>
    <row r="81" ht="15.75" customHeight="1">
      <c r="A81" s="317"/>
      <c r="B81" s="318"/>
      <c r="C81" s="318"/>
      <c r="D81" s="319" t="str">
        <f t="shared" si="1"/>
        <v/>
      </c>
      <c r="E81" s="320"/>
      <c r="F81" s="320"/>
      <c r="G81" s="321"/>
      <c r="H81" s="321"/>
      <c r="I81" s="321"/>
      <c r="J81" s="321"/>
      <c r="K81" s="321"/>
      <c r="L81" s="321"/>
    </row>
    <row r="82" ht="15.75" customHeight="1">
      <c r="A82" s="317"/>
      <c r="B82" s="318"/>
      <c r="C82" s="318"/>
      <c r="D82" s="319" t="str">
        <f t="shared" si="1"/>
        <v/>
      </c>
      <c r="E82" s="320"/>
      <c r="F82" s="320"/>
      <c r="G82" s="321"/>
      <c r="H82" s="321"/>
      <c r="I82" s="321"/>
      <c r="J82" s="321"/>
      <c r="K82" s="321"/>
      <c r="L82" s="321"/>
    </row>
    <row r="83" ht="15.75" customHeight="1">
      <c r="A83" s="317"/>
      <c r="B83" s="318"/>
      <c r="C83" s="318"/>
      <c r="D83" s="319" t="str">
        <f t="shared" si="1"/>
        <v/>
      </c>
      <c r="E83" s="320"/>
      <c r="F83" s="320"/>
      <c r="G83" s="321"/>
      <c r="H83" s="321"/>
      <c r="I83" s="321"/>
      <c r="J83" s="321"/>
      <c r="K83" s="321"/>
      <c r="L83" s="321"/>
    </row>
    <row r="84" ht="15.75" customHeight="1">
      <c r="A84" s="317"/>
      <c r="B84" s="318"/>
      <c r="C84" s="318"/>
      <c r="D84" s="319" t="str">
        <f t="shared" si="1"/>
        <v/>
      </c>
      <c r="E84" s="320"/>
      <c r="F84" s="320"/>
      <c r="G84" s="321"/>
      <c r="H84" s="321"/>
      <c r="I84" s="321"/>
      <c r="J84" s="321"/>
      <c r="K84" s="321"/>
      <c r="L84" s="321"/>
    </row>
    <row r="85" ht="15.75" customHeight="1">
      <c r="A85" s="317"/>
      <c r="B85" s="318"/>
      <c r="C85" s="318"/>
      <c r="D85" s="319" t="str">
        <f t="shared" si="1"/>
        <v/>
      </c>
      <c r="E85" s="320"/>
      <c r="F85" s="320"/>
      <c r="G85" s="321"/>
      <c r="H85" s="321"/>
      <c r="I85" s="321"/>
      <c r="J85" s="321"/>
      <c r="K85" s="321"/>
      <c r="L85" s="321"/>
    </row>
    <row r="86" ht="15.75" customHeight="1">
      <c r="A86" s="317"/>
      <c r="B86" s="318"/>
      <c r="C86" s="318"/>
      <c r="D86" s="319" t="str">
        <f t="shared" si="1"/>
        <v/>
      </c>
      <c r="E86" s="320"/>
      <c r="F86" s="320"/>
      <c r="G86" s="321"/>
      <c r="H86" s="321"/>
      <c r="I86" s="321"/>
      <c r="J86" s="321"/>
      <c r="K86" s="321"/>
      <c r="L86" s="321"/>
    </row>
    <row r="87" ht="15.75" customHeight="1">
      <c r="A87" s="317"/>
      <c r="B87" s="318"/>
      <c r="C87" s="318"/>
      <c r="D87" s="319" t="str">
        <f t="shared" si="1"/>
        <v/>
      </c>
      <c r="E87" s="320"/>
      <c r="F87" s="320"/>
      <c r="G87" s="321"/>
      <c r="H87" s="321"/>
      <c r="I87" s="321"/>
      <c r="J87" s="321"/>
      <c r="K87" s="321"/>
      <c r="L87" s="321"/>
    </row>
    <row r="88" ht="15.75" customHeight="1">
      <c r="A88" s="317"/>
      <c r="B88" s="318"/>
      <c r="C88" s="318"/>
      <c r="D88" s="319" t="str">
        <f t="shared" si="1"/>
        <v/>
      </c>
      <c r="E88" s="320"/>
      <c r="F88" s="320"/>
      <c r="G88" s="321"/>
      <c r="H88" s="321"/>
      <c r="I88" s="321"/>
      <c r="J88" s="321"/>
      <c r="K88" s="321"/>
      <c r="L88" s="321"/>
    </row>
    <row r="89" ht="15.75" customHeight="1">
      <c r="A89" s="317"/>
      <c r="B89" s="318"/>
      <c r="C89" s="318"/>
      <c r="D89" s="319" t="str">
        <f t="shared" si="1"/>
        <v/>
      </c>
      <c r="E89" s="320"/>
      <c r="F89" s="320"/>
      <c r="G89" s="321"/>
      <c r="H89" s="321"/>
      <c r="I89" s="321"/>
      <c r="J89" s="321"/>
      <c r="K89" s="321"/>
      <c r="L89" s="321"/>
    </row>
    <row r="90" ht="15.75" customHeight="1">
      <c r="A90" s="317"/>
      <c r="B90" s="318"/>
      <c r="C90" s="318"/>
      <c r="D90" s="319" t="str">
        <f t="shared" si="1"/>
        <v/>
      </c>
      <c r="E90" s="320"/>
      <c r="F90" s="320"/>
      <c r="G90" s="321"/>
      <c r="H90" s="321"/>
      <c r="I90" s="321"/>
      <c r="J90" s="321"/>
      <c r="K90" s="321"/>
      <c r="L90" s="321"/>
    </row>
    <row r="91" ht="15.75" customHeight="1">
      <c r="A91" s="317"/>
      <c r="B91" s="318"/>
      <c r="C91" s="318"/>
      <c r="D91" s="319" t="str">
        <f t="shared" si="1"/>
        <v/>
      </c>
      <c r="E91" s="320"/>
      <c r="F91" s="320"/>
      <c r="G91" s="321"/>
      <c r="H91" s="321"/>
      <c r="I91" s="321"/>
      <c r="J91" s="321"/>
      <c r="K91" s="321"/>
      <c r="L91" s="321"/>
    </row>
    <row r="92" ht="15.75" customHeight="1">
      <c r="A92" s="317"/>
      <c r="B92" s="318"/>
      <c r="C92" s="318"/>
      <c r="D92" s="319" t="str">
        <f t="shared" si="1"/>
        <v/>
      </c>
      <c r="E92" s="320"/>
      <c r="F92" s="320"/>
      <c r="G92" s="321"/>
      <c r="H92" s="321"/>
      <c r="I92" s="321"/>
      <c r="J92" s="321"/>
      <c r="K92" s="321"/>
      <c r="L92" s="321"/>
    </row>
    <row r="93" ht="15.75" customHeight="1">
      <c r="A93" s="317"/>
      <c r="B93" s="318"/>
      <c r="C93" s="318"/>
      <c r="D93" s="319" t="str">
        <f t="shared" si="1"/>
        <v/>
      </c>
      <c r="E93" s="320"/>
      <c r="F93" s="320"/>
      <c r="G93" s="321"/>
      <c r="H93" s="321"/>
      <c r="I93" s="321"/>
      <c r="J93" s="321"/>
      <c r="K93" s="321"/>
      <c r="L93" s="321"/>
    </row>
    <row r="94" ht="15.75" customHeight="1">
      <c r="A94" s="317"/>
      <c r="B94" s="318"/>
      <c r="C94" s="318"/>
      <c r="D94" s="319" t="str">
        <f t="shared" si="1"/>
        <v/>
      </c>
      <c r="E94" s="320"/>
      <c r="F94" s="320"/>
      <c r="G94" s="321"/>
      <c r="H94" s="321"/>
      <c r="I94" s="321"/>
      <c r="J94" s="321"/>
      <c r="K94" s="321"/>
      <c r="L94" s="321"/>
    </row>
    <row r="95" ht="15.75" customHeight="1">
      <c r="A95" s="317"/>
      <c r="B95" s="318"/>
      <c r="C95" s="318"/>
      <c r="D95" s="319" t="str">
        <f t="shared" si="1"/>
        <v/>
      </c>
      <c r="E95" s="320"/>
      <c r="F95" s="320"/>
      <c r="G95" s="321"/>
      <c r="H95" s="321"/>
      <c r="I95" s="321"/>
      <c r="J95" s="321"/>
      <c r="K95" s="321"/>
      <c r="L95" s="321"/>
    </row>
    <row r="96" ht="15.75" customHeight="1">
      <c r="A96" s="317"/>
      <c r="B96" s="318"/>
      <c r="C96" s="318"/>
      <c r="D96" s="319" t="str">
        <f t="shared" si="1"/>
        <v/>
      </c>
      <c r="E96" s="320"/>
      <c r="F96" s="320"/>
      <c r="G96" s="321"/>
      <c r="H96" s="321"/>
      <c r="I96" s="321"/>
      <c r="J96" s="321"/>
      <c r="K96" s="321"/>
      <c r="L96" s="321"/>
    </row>
    <row r="97" ht="15.75" customHeight="1">
      <c r="A97" s="317"/>
      <c r="B97" s="318"/>
      <c r="C97" s="318"/>
      <c r="D97" s="319" t="str">
        <f t="shared" si="1"/>
        <v/>
      </c>
      <c r="E97" s="320"/>
      <c r="F97" s="320"/>
      <c r="G97" s="321"/>
      <c r="H97" s="321"/>
      <c r="I97" s="321"/>
      <c r="J97" s="321"/>
      <c r="K97" s="321"/>
      <c r="L97" s="321"/>
    </row>
    <row r="98" ht="15.75" customHeight="1">
      <c r="A98" s="317"/>
      <c r="B98" s="318"/>
      <c r="C98" s="318"/>
      <c r="D98" s="319" t="str">
        <f t="shared" si="1"/>
        <v/>
      </c>
      <c r="E98" s="320"/>
      <c r="F98" s="320"/>
      <c r="G98" s="321"/>
      <c r="H98" s="321"/>
      <c r="I98" s="321"/>
      <c r="J98" s="321"/>
      <c r="K98" s="321"/>
      <c r="L98" s="321"/>
    </row>
    <row r="99" ht="15.75" customHeight="1">
      <c r="A99" s="317"/>
      <c r="B99" s="318"/>
      <c r="C99" s="318"/>
      <c r="D99" s="319" t="str">
        <f t="shared" si="1"/>
        <v/>
      </c>
      <c r="E99" s="320"/>
      <c r="F99" s="320"/>
      <c r="G99" s="321"/>
      <c r="H99" s="321"/>
      <c r="I99" s="321"/>
      <c r="J99" s="321"/>
      <c r="K99" s="321"/>
      <c r="L99" s="321"/>
    </row>
    <row r="100" ht="15.75" customHeight="1">
      <c r="A100" s="317"/>
      <c r="B100" s="318"/>
      <c r="C100" s="318"/>
      <c r="D100" s="319" t="str">
        <f t="shared" si="1"/>
        <v/>
      </c>
      <c r="E100" s="320"/>
      <c r="F100" s="320"/>
      <c r="G100" s="321"/>
      <c r="H100" s="321"/>
      <c r="I100" s="321"/>
      <c r="J100" s="321"/>
      <c r="K100" s="321"/>
      <c r="L100" s="321"/>
    </row>
    <row r="101" ht="15.75" customHeight="1">
      <c r="A101" s="317"/>
      <c r="B101" s="318"/>
      <c r="C101" s="318"/>
      <c r="D101" s="319" t="str">
        <f t="shared" si="1"/>
        <v/>
      </c>
      <c r="E101" s="320"/>
      <c r="F101" s="320"/>
      <c r="G101" s="321"/>
      <c r="H101" s="321"/>
      <c r="I101" s="321"/>
      <c r="J101" s="321"/>
      <c r="K101" s="321"/>
      <c r="L101" s="321"/>
    </row>
    <row r="102" ht="15.75" customHeight="1">
      <c r="A102" s="317"/>
      <c r="B102" s="318"/>
      <c r="C102" s="318"/>
      <c r="D102" s="319" t="str">
        <f t="shared" si="1"/>
        <v/>
      </c>
      <c r="E102" s="320"/>
      <c r="F102" s="320"/>
      <c r="G102" s="321"/>
      <c r="H102" s="321"/>
      <c r="I102" s="321"/>
      <c r="J102" s="321"/>
      <c r="K102" s="321"/>
      <c r="L102" s="321"/>
    </row>
    <row r="103" ht="15.75" customHeight="1">
      <c r="A103" s="317"/>
      <c r="B103" s="318"/>
      <c r="C103" s="318"/>
      <c r="D103" s="319" t="str">
        <f t="shared" si="1"/>
        <v/>
      </c>
      <c r="E103" s="320"/>
      <c r="F103" s="320"/>
      <c r="G103" s="321"/>
      <c r="H103" s="321"/>
      <c r="I103" s="321"/>
      <c r="J103" s="321"/>
      <c r="K103" s="321"/>
      <c r="L103" s="321"/>
    </row>
    <row r="104" ht="15.75" customHeight="1">
      <c r="A104" s="317"/>
      <c r="B104" s="318"/>
      <c r="C104" s="318"/>
      <c r="D104" s="319" t="str">
        <f t="shared" si="1"/>
        <v/>
      </c>
      <c r="E104" s="320"/>
      <c r="F104" s="320"/>
      <c r="G104" s="321"/>
      <c r="H104" s="321"/>
      <c r="I104" s="321"/>
      <c r="J104" s="321"/>
      <c r="K104" s="321"/>
      <c r="L104" s="321"/>
    </row>
    <row r="105" ht="15.75" customHeight="1">
      <c r="A105" s="317"/>
      <c r="B105" s="318"/>
      <c r="C105" s="318"/>
      <c r="D105" s="319" t="str">
        <f t="shared" si="1"/>
        <v/>
      </c>
      <c r="E105" s="320"/>
      <c r="F105" s="320"/>
      <c r="G105" s="321"/>
      <c r="H105" s="321"/>
      <c r="I105" s="321"/>
      <c r="J105" s="321"/>
      <c r="K105" s="321"/>
      <c r="L105" s="321"/>
    </row>
    <row r="106" ht="15.75" customHeight="1">
      <c r="A106" s="317"/>
      <c r="B106" s="318"/>
      <c r="C106" s="318"/>
      <c r="D106" s="319" t="str">
        <f t="shared" si="1"/>
        <v/>
      </c>
      <c r="E106" s="320"/>
      <c r="F106" s="320"/>
      <c r="G106" s="321"/>
      <c r="H106" s="321"/>
      <c r="I106" s="321"/>
      <c r="J106" s="321"/>
      <c r="K106" s="321"/>
      <c r="L106" s="321"/>
    </row>
    <row r="107" ht="15.75" customHeight="1">
      <c r="A107" s="317"/>
      <c r="B107" s="318"/>
      <c r="C107" s="318"/>
      <c r="D107" s="319" t="str">
        <f t="shared" si="1"/>
        <v/>
      </c>
      <c r="E107" s="320"/>
      <c r="F107" s="320"/>
      <c r="G107" s="321"/>
      <c r="H107" s="321"/>
      <c r="I107" s="321"/>
      <c r="J107" s="321"/>
      <c r="K107" s="321"/>
      <c r="L107" s="321"/>
    </row>
    <row r="108" ht="15.75" customHeight="1">
      <c r="A108" s="317"/>
      <c r="B108" s="318"/>
      <c r="C108" s="318"/>
      <c r="D108" s="319" t="str">
        <f t="shared" si="1"/>
        <v/>
      </c>
      <c r="E108" s="320"/>
      <c r="F108" s="320"/>
      <c r="G108" s="321"/>
      <c r="H108" s="321"/>
      <c r="I108" s="321"/>
      <c r="J108" s="321"/>
      <c r="K108" s="321"/>
      <c r="L108" s="321"/>
    </row>
    <row r="109" ht="15.75" customHeight="1">
      <c r="A109" s="317"/>
      <c r="B109" s="318"/>
      <c r="C109" s="318"/>
      <c r="D109" s="319" t="str">
        <f t="shared" si="1"/>
        <v/>
      </c>
      <c r="E109" s="320"/>
      <c r="F109" s="320"/>
      <c r="G109" s="321"/>
      <c r="H109" s="321"/>
      <c r="I109" s="321"/>
      <c r="J109" s="321"/>
      <c r="K109" s="321"/>
      <c r="L109" s="321"/>
    </row>
    <row r="110" ht="15.75" customHeight="1">
      <c r="A110" s="317"/>
      <c r="B110" s="318"/>
      <c r="C110" s="318"/>
      <c r="D110" s="319" t="str">
        <f t="shared" si="1"/>
        <v/>
      </c>
      <c r="E110" s="320"/>
      <c r="F110" s="320"/>
      <c r="G110" s="321"/>
      <c r="H110" s="321"/>
      <c r="I110" s="321"/>
      <c r="J110" s="321"/>
      <c r="K110" s="321"/>
      <c r="L110" s="321"/>
    </row>
    <row r="111" ht="15.75" customHeight="1">
      <c r="A111" s="317"/>
      <c r="B111" s="318"/>
      <c r="C111" s="318"/>
      <c r="D111" s="319" t="str">
        <f t="shared" si="1"/>
        <v/>
      </c>
      <c r="E111" s="320"/>
      <c r="F111" s="320"/>
      <c r="G111" s="321"/>
      <c r="H111" s="321"/>
      <c r="I111" s="321"/>
      <c r="J111" s="321"/>
      <c r="K111" s="321"/>
      <c r="L111" s="321"/>
    </row>
    <row r="112" ht="15.75" customHeight="1">
      <c r="A112" s="317"/>
      <c r="B112" s="318"/>
      <c r="C112" s="318"/>
      <c r="D112" s="319" t="str">
        <f t="shared" si="1"/>
        <v/>
      </c>
      <c r="E112" s="320"/>
      <c r="F112" s="320"/>
      <c r="G112" s="321"/>
      <c r="H112" s="321"/>
      <c r="I112" s="321"/>
      <c r="J112" s="321"/>
      <c r="K112" s="321"/>
      <c r="L112" s="321"/>
    </row>
    <row r="113" ht="15.75" customHeight="1">
      <c r="A113" s="317"/>
      <c r="B113" s="318"/>
      <c r="C113" s="318"/>
      <c r="D113" s="319" t="str">
        <f t="shared" si="1"/>
        <v/>
      </c>
      <c r="E113" s="320"/>
      <c r="F113" s="320"/>
      <c r="G113" s="321"/>
      <c r="H113" s="321"/>
      <c r="I113" s="321"/>
      <c r="J113" s="321"/>
      <c r="K113" s="321"/>
      <c r="L113" s="321"/>
    </row>
    <row r="114" ht="15.75" customHeight="1">
      <c r="A114" s="317"/>
      <c r="B114" s="318"/>
      <c r="C114" s="318"/>
      <c r="D114" s="319" t="str">
        <f t="shared" si="1"/>
        <v/>
      </c>
      <c r="E114" s="320"/>
      <c r="F114" s="320"/>
      <c r="G114" s="321"/>
      <c r="H114" s="321"/>
      <c r="I114" s="321"/>
      <c r="J114" s="321"/>
      <c r="K114" s="321"/>
      <c r="L114" s="321"/>
    </row>
    <row r="115" ht="15.75" customHeight="1">
      <c r="A115" s="317"/>
      <c r="B115" s="318"/>
      <c r="C115" s="318"/>
      <c r="D115" s="319" t="str">
        <f t="shared" si="1"/>
        <v/>
      </c>
      <c r="E115" s="320"/>
      <c r="F115" s="320"/>
      <c r="G115" s="321"/>
      <c r="H115" s="321"/>
      <c r="I115" s="321"/>
      <c r="J115" s="321"/>
      <c r="K115" s="321"/>
      <c r="L115" s="321"/>
    </row>
    <row r="116" ht="15.75" customHeight="1">
      <c r="A116" s="317"/>
      <c r="B116" s="318"/>
      <c r="C116" s="318"/>
      <c r="D116" s="319" t="str">
        <f t="shared" si="1"/>
        <v/>
      </c>
      <c r="E116" s="320"/>
      <c r="F116" s="320"/>
      <c r="G116" s="321"/>
      <c r="H116" s="321"/>
      <c r="I116" s="321"/>
      <c r="J116" s="321"/>
      <c r="K116" s="321"/>
      <c r="L116" s="321"/>
    </row>
    <row r="117" ht="15.75" customHeight="1">
      <c r="A117" s="317"/>
      <c r="B117" s="318"/>
      <c r="C117" s="318"/>
      <c r="D117" s="319" t="str">
        <f t="shared" si="1"/>
        <v/>
      </c>
      <c r="E117" s="320"/>
      <c r="F117" s="320"/>
      <c r="G117" s="321"/>
      <c r="H117" s="321"/>
      <c r="I117" s="321"/>
      <c r="J117" s="321"/>
      <c r="K117" s="321"/>
      <c r="L117" s="321"/>
    </row>
    <row r="118" ht="15.75" customHeight="1">
      <c r="A118" s="317"/>
      <c r="B118" s="318"/>
      <c r="C118" s="318"/>
      <c r="D118" s="319" t="str">
        <f t="shared" si="1"/>
        <v/>
      </c>
      <c r="E118" s="320"/>
      <c r="F118" s="320"/>
      <c r="G118" s="321"/>
      <c r="H118" s="321"/>
      <c r="I118" s="321"/>
      <c r="J118" s="321"/>
      <c r="K118" s="321"/>
      <c r="L118" s="321"/>
    </row>
    <row r="119" ht="15.75" customHeight="1">
      <c r="A119" s="317"/>
      <c r="B119" s="318"/>
      <c r="C119" s="318"/>
      <c r="D119" s="319" t="str">
        <f t="shared" si="1"/>
        <v/>
      </c>
      <c r="E119" s="320"/>
      <c r="F119" s="320"/>
      <c r="G119" s="321"/>
      <c r="H119" s="321"/>
      <c r="I119" s="321"/>
      <c r="J119" s="321"/>
      <c r="K119" s="321"/>
      <c r="L119" s="321"/>
    </row>
    <row r="120" ht="15.75" customHeight="1">
      <c r="A120" s="317"/>
      <c r="B120" s="318"/>
      <c r="C120" s="318"/>
      <c r="D120" s="319" t="str">
        <f t="shared" si="1"/>
        <v/>
      </c>
      <c r="E120" s="320"/>
      <c r="F120" s="320"/>
      <c r="G120" s="321"/>
      <c r="H120" s="321"/>
      <c r="I120" s="321"/>
      <c r="J120" s="321"/>
      <c r="K120" s="321"/>
      <c r="L120" s="321"/>
    </row>
    <row r="121" ht="15.75" customHeight="1">
      <c r="A121" s="317"/>
      <c r="B121" s="318"/>
      <c r="C121" s="318"/>
      <c r="D121" s="319" t="str">
        <f t="shared" si="1"/>
        <v/>
      </c>
      <c r="E121" s="320"/>
      <c r="F121" s="320"/>
      <c r="G121" s="321"/>
      <c r="H121" s="321"/>
      <c r="I121" s="321"/>
      <c r="J121" s="321"/>
      <c r="K121" s="321"/>
      <c r="L121" s="321"/>
    </row>
    <row r="122" ht="15.75" customHeight="1">
      <c r="A122" s="317"/>
      <c r="B122" s="318"/>
      <c r="C122" s="318"/>
      <c r="D122" s="319" t="str">
        <f t="shared" si="1"/>
        <v/>
      </c>
      <c r="E122" s="320"/>
      <c r="F122" s="320"/>
      <c r="G122" s="321"/>
      <c r="H122" s="321"/>
      <c r="I122" s="321"/>
      <c r="J122" s="321"/>
      <c r="K122" s="321"/>
      <c r="L122" s="321"/>
    </row>
    <row r="123" ht="15.75" customHeight="1">
      <c r="A123" s="317"/>
      <c r="B123" s="318"/>
      <c r="C123" s="318"/>
      <c r="D123" s="319" t="str">
        <f t="shared" si="1"/>
        <v/>
      </c>
      <c r="E123" s="320"/>
      <c r="F123" s="320"/>
      <c r="G123" s="321"/>
      <c r="H123" s="321"/>
      <c r="I123" s="321"/>
      <c r="J123" s="321"/>
      <c r="K123" s="321"/>
      <c r="L123" s="321"/>
    </row>
    <row r="124" ht="15.75" customHeight="1">
      <c r="A124" s="317"/>
      <c r="B124" s="318"/>
      <c r="C124" s="318"/>
      <c r="D124" s="319" t="str">
        <f t="shared" si="1"/>
        <v/>
      </c>
      <c r="E124" s="320"/>
      <c r="F124" s="320"/>
      <c r="G124" s="321"/>
      <c r="H124" s="321"/>
      <c r="I124" s="321"/>
      <c r="J124" s="321"/>
      <c r="K124" s="321"/>
      <c r="L124" s="321"/>
    </row>
    <row r="125" ht="15.75" customHeight="1">
      <c r="A125" s="317"/>
      <c r="B125" s="318"/>
      <c r="C125" s="318"/>
      <c r="D125" s="319" t="str">
        <f t="shared" si="1"/>
        <v/>
      </c>
      <c r="E125" s="320"/>
      <c r="F125" s="320"/>
      <c r="G125" s="321"/>
      <c r="H125" s="321"/>
      <c r="I125" s="321"/>
      <c r="J125" s="321"/>
      <c r="K125" s="321"/>
      <c r="L125" s="321"/>
    </row>
    <row r="126" ht="15.75" customHeight="1">
      <c r="A126" s="317"/>
      <c r="B126" s="318"/>
      <c r="C126" s="318"/>
      <c r="D126" s="319" t="str">
        <f t="shared" si="1"/>
        <v/>
      </c>
      <c r="E126" s="320"/>
      <c r="F126" s="320"/>
      <c r="G126" s="321"/>
      <c r="H126" s="321"/>
      <c r="I126" s="321"/>
      <c r="J126" s="321"/>
      <c r="K126" s="321"/>
      <c r="L126" s="321"/>
    </row>
    <row r="127" ht="15.75" customHeight="1">
      <c r="A127" s="317"/>
      <c r="B127" s="318"/>
      <c r="C127" s="318"/>
      <c r="D127" s="319" t="str">
        <f t="shared" si="1"/>
        <v/>
      </c>
      <c r="E127" s="320"/>
      <c r="F127" s="320"/>
      <c r="G127" s="321"/>
      <c r="H127" s="321"/>
      <c r="I127" s="321"/>
      <c r="J127" s="321"/>
      <c r="K127" s="321"/>
      <c r="L127" s="321"/>
    </row>
    <row r="128" ht="15.75" customHeight="1">
      <c r="A128" s="317"/>
      <c r="B128" s="318"/>
      <c r="C128" s="318"/>
      <c r="D128" s="319" t="str">
        <f t="shared" si="1"/>
        <v/>
      </c>
      <c r="E128" s="320"/>
      <c r="F128" s="320"/>
      <c r="G128" s="321"/>
      <c r="H128" s="321"/>
      <c r="I128" s="321"/>
      <c r="J128" s="321"/>
      <c r="K128" s="321"/>
      <c r="L128" s="321"/>
    </row>
    <row r="129" ht="15.75" customHeight="1">
      <c r="A129" s="317"/>
      <c r="B129" s="318"/>
      <c r="C129" s="318"/>
      <c r="D129" s="319" t="str">
        <f t="shared" si="1"/>
        <v/>
      </c>
      <c r="E129" s="320"/>
      <c r="F129" s="320"/>
      <c r="G129" s="321"/>
      <c r="H129" s="321"/>
      <c r="I129" s="321"/>
      <c r="J129" s="321"/>
      <c r="K129" s="321"/>
      <c r="L129" s="321"/>
    </row>
    <row r="130" ht="15.75" customHeight="1">
      <c r="A130" s="317"/>
      <c r="B130" s="318"/>
      <c r="C130" s="318"/>
      <c r="D130" s="319" t="str">
        <f t="shared" si="1"/>
        <v/>
      </c>
      <c r="E130" s="320"/>
      <c r="F130" s="320"/>
      <c r="G130" s="321"/>
      <c r="H130" s="321"/>
      <c r="I130" s="321"/>
      <c r="J130" s="321"/>
      <c r="K130" s="321"/>
      <c r="L130" s="321"/>
    </row>
    <row r="131" ht="15.75" customHeight="1">
      <c r="A131" s="317"/>
      <c r="B131" s="318"/>
      <c r="C131" s="318"/>
      <c r="D131" s="319" t="str">
        <f t="shared" si="1"/>
        <v/>
      </c>
      <c r="E131" s="320"/>
      <c r="F131" s="320"/>
      <c r="G131" s="321"/>
      <c r="H131" s="321"/>
      <c r="I131" s="321"/>
      <c r="J131" s="321"/>
      <c r="K131" s="321"/>
      <c r="L131" s="321"/>
    </row>
    <row r="132" ht="15.75" customHeight="1">
      <c r="A132" s="317"/>
      <c r="B132" s="318"/>
      <c r="C132" s="318"/>
      <c r="D132" s="319" t="str">
        <f t="shared" si="1"/>
        <v/>
      </c>
      <c r="E132" s="320"/>
      <c r="F132" s="320"/>
      <c r="G132" s="321"/>
      <c r="H132" s="321"/>
      <c r="I132" s="321"/>
      <c r="J132" s="321"/>
      <c r="K132" s="321"/>
      <c r="L132" s="321"/>
    </row>
    <row r="133" ht="15.75" customHeight="1">
      <c r="A133" s="317"/>
      <c r="B133" s="318"/>
      <c r="C133" s="318"/>
      <c r="D133" s="319" t="str">
        <f t="shared" si="1"/>
        <v/>
      </c>
      <c r="E133" s="320"/>
      <c r="F133" s="320"/>
      <c r="G133" s="321"/>
      <c r="H133" s="321"/>
      <c r="I133" s="321"/>
      <c r="J133" s="321"/>
      <c r="K133" s="321"/>
      <c r="L133" s="321"/>
    </row>
    <row r="134" ht="15.75" customHeight="1">
      <c r="A134" s="317"/>
      <c r="B134" s="318"/>
      <c r="C134" s="318"/>
      <c r="D134" s="319" t="str">
        <f t="shared" si="1"/>
        <v/>
      </c>
      <c r="E134" s="320"/>
      <c r="F134" s="320"/>
      <c r="G134" s="321"/>
      <c r="H134" s="321"/>
      <c r="I134" s="321"/>
      <c r="J134" s="321"/>
      <c r="K134" s="321"/>
      <c r="L134" s="321"/>
    </row>
    <row r="135" ht="15.75" customHeight="1">
      <c r="A135" s="317"/>
      <c r="B135" s="318"/>
      <c r="C135" s="318"/>
      <c r="D135" s="319" t="str">
        <f t="shared" si="1"/>
        <v/>
      </c>
      <c r="E135" s="320"/>
      <c r="F135" s="320"/>
      <c r="G135" s="321"/>
      <c r="H135" s="321"/>
      <c r="I135" s="321"/>
      <c r="J135" s="321"/>
      <c r="K135" s="321"/>
      <c r="L135" s="321"/>
    </row>
    <row r="136" ht="15.75" customHeight="1">
      <c r="A136" s="317"/>
      <c r="B136" s="318"/>
      <c r="C136" s="318"/>
      <c r="D136" s="319" t="str">
        <f t="shared" si="1"/>
        <v/>
      </c>
      <c r="E136" s="320"/>
      <c r="F136" s="320"/>
      <c r="G136" s="321"/>
      <c r="H136" s="321"/>
      <c r="I136" s="321"/>
      <c r="J136" s="321"/>
      <c r="K136" s="321"/>
      <c r="L136" s="321"/>
    </row>
    <row r="137" ht="15.75" customHeight="1">
      <c r="A137" s="317"/>
      <c r="B137" s="318"/>
      <c r="C137" s="318"/>
      <c r="D137" s="319" t="str">
        <f t="shared" si="1"/>
        <v/>
      </c>
      <c r="E137" s="320"/>
      <c r="F137" s="320"/>
      <c r="G137" s="321"/>
      <c r="H137" s="321"/>
      <c r="I137" s="321"/>
      <c r="J137" s="321"/>
      <c r="K137" s="321"/>
      <c r="L137" s="321"/>
    </row>
    <row r="138" ht="15.75" customHeight="1">
      <c r="A138" s="317"/>
      <c r="B138" s="318"/>
      <c r="C138" s="318"/>
      <c r="D138" s="319" t="str">
        <f t="shared" si="1"/>
        <v/>
      </c>
      <c r="E138" s="320"/>
      <c r="F138" s="320"/>
      <c r="G138" s="321"/>
      <c r="H138" s="321"/>
      <c r="I138" s="321"/>
      <c r="J138" s="321"/>
      <c r="K138" s="321"/>
      <c r="L138" s="321"/>
    </row>
    <row r="139" ht="15.75" customHeight="1">
      <c r="A139" s="317"/>
      <c r="B139" s="318"/>
      <c r="C139" s="318"/>
      <c r="D139" s="319" t="str">
        <f t="shared" si="1"/>
        <v/>
      </c>
      <c r="E139" s="320"/>
      <c r="F139" s="320"/>
      <c r="G139" s="321"/>
      <c r="H139" s="321"/>
      <c r="I139" s="321"/>
      <c r="J139" s="321"/>
      <c r="K139" s="321"/>
      <c r="L139" s="321"/>
    </row>
    <row r="140" ht="15.75" customHeight="1">
      <c r="A140" s="317"/>
      <c r="B140" s="318"/>
      <c r="C140" s="318"/>
      <c r="D140" s="319" t="str">
        <f t="shared" si="1"/>
        <v/>
      </c>
      <c r="E140" s="320"/>
      <c r="F140" s="320"/>
      <c r="G140" s="321"/>
      <c r="H140" s="321"/>
      <c r="I140" s="321"/>
      <c r="J140" s="321"/>
      <c r="K140" s="321"/>
      <c r="L140" s="321"/>
    </row>
    <row r="141" ht="15.75" customHeight="1">
      <c r="A141" s="317"/>
      <c r="B141" s="318"/>
      <c r="C141" s="318"/>
      <c r="D141" s="319" t="str">
        <f t="shared" si="1"/>
        <v/>
      </c>
      <c r="E141" s="320"/>
      <c r="F141" s="320"/>
      <c r="G141" s="321"/>
      <c r="H141" s="321"/>
      <c r="I141" s="321"/>
      <c r="J141" s="321"/>
      <c r="K141" s="321"/>
      <c r="L141" s="321"/>
    </row>
    <row r="142" ht="15.75" customHeight="1">
      <c r="A142" s="317"/>
      <c r="B142" s="318"/>
      <c r="C142" s="318"/>
      <c r="D142" s="319" t="str">
        <f t="shared" si="1"/>
        <v/>
      </c>
      <c r="E142" s="320"/>
      <c r="F142" s="320"/>
      <c r="G142" s="321"/>
      <c r="H142" s="321"/>
      <c r="I142" s="321"/>
      <c r="J142" s="321"/>
      <c r="K142" s="321"/>
      <c r="L142" s="321"/>
    </row>
    <row r="143" ht="15.75" customHeight="1">
      <c r="A143" s="317"/>
      <c r="B143" s="318"/>
      <c r="C143" s="318"/>
      <c r="D143" s="319" t="str">
        <f t="shared" si="1"/>
        <v/>
      </c>
      <c r="E143" s="320"/>
      <c r="F143" s="320"/>
      <c r="G143" s="321"/>
      <c r="H143" s="321"/>
      <c r="I143" s="321"/>
      <c r="J143" s="321"/>
      <c r="K143" s="321"/>
      <c r="L143" s="321"/>
    </row>
    <row r="144" ht="15.75" customHeight="1">
      <c r="A144" s="317"/>
      <c r="B144" s="318"/>
      <c r="C144" s="318"/>
      <c r="D144" s="319" t="str">
        <f t="shared" si="1"/>
        <v/>
      </c>
      <c r="E144" s="320"/>
      <c r="F144" s="320"/>
      <c r="G144" s="321"/>
      <c r="H144" s="321"/>
      <c r="I144" s="321"/>
      <c r="J144" s="321"/>
      <c r="K144" s="321"/>
      <c r="L144" s="321"/>
    </row>
    <row r="145" ht="15.75" customHeight="1">
      <c r="A145" s="317"/>
      <c r="B145" s="318"/>
      <c r="C145" s="318"/>
      <c r="D145" s="319" t="str">
        <f t="shared" si="1"/>
        <v/>
      </c>
      <c r="E145" s="320"/>
      <c r="F145" s="320"/>
      <c r="G145" s="321"/>
      <c r="H145" s="321"/>
      <c r="I145" s="321"/>
      <c r="J145" s="321"/>
      <c r="K145" s="321"/>
      <c r="L145" s="321"/>
    </row>
    <row r="146" ht="15.75" customHeight="1">
      <c r="A146" s="317"/>
      <c r="B146" s="318"/>
      <c r="C146" s="318"/>
      <c r="D146" s="319" t="str">
        <f t="shared" si="1"/>
        <v/>
      </c>
      <c r="E146" s="320"/>
      <c r="F146" s="320"/>
      <c r="G146" s="321"/>
      <c r="H146" s="321"/>
      <c r="I146" s="321"/>
      <c r="J146" s="321"/>
      <c r="K146" s="321"/>
      <c r="L146" s="321"/>
    </row>
    <row r="147" ht="15.75" customHeight="1">
      <c r="A147" s="317"/>
      <c r="B147" s="318"/>
      <c r="C147" s="318"/>
      <c r="D147" s="319" t="str">
        <f t="shared" si="1"/>
        <v/>
      </c>
      <c r="E147" s="320"/>
      <c r="F147" s="320"/>
      <c r="G147" s="321"/>
      <c r="H147" s="321"/>
      <c r="I147" s="321"/>
      <c r="J147" s="321"/>
      <c r="K147" s="321"/>
      <c r="L147" s="321"/>
    </row>
    <row r="148" ht="15.75" customHeight="1">
      <c r="A148" s="317"/>
      <c r="B148" s="318"/>
      <c r="C148" s="318"/>
      <c r="D148" s="319" t="str">
        <f t="shared" si="1"/>
        <v/>
      </c>
      <c r="E148" s="320"/>
      <c r="F148" s="320"/>
      <c r="G148" s="321"/>
      <c r="H148" s="321"/>
      <c r="I148" s="321"/>
      <c r="J148" s="321"/>
      <c r="K148" s="321"/>
      <c r="L148" s="321"/>
    </row>
    <row r="149" ht="15.75" customHeight="1">
      <c r="A149" s="317"/>
      <c r="B149" s="318"/>
      <c r="C149" s="318"/>
      <c r="D149" s="319" t="str">
        <f t="shared" si="1"/>
        <v/>
      </c>
      <c r="E149" s="320"/>
      <c r="F149" s="320"/>
      <c r="G149" s="321"/>
      <c r="H149" s="321"/>
      <c r="I149" s="321"/>
      <c r="J149" s="321"/>
      <c r="K149" s="321"/>
      <c r="L149" s="321"/>
    </row>
    <row r="150" ht="15.75" customHeight="1">
      <c r="A150" s="317"/>
      <c r="B150" s="318"/>
      <c r="C150" s="318"/>
      <c r="D150" s="319" t="str">
        <f t="shared" si="1"/>
        <v/>
      </c>
      <c r="E150" s="320"/>
      <c r="F150" s="320"/>
      <c r="G150" s="321"/>
      <c r="H150" s="321"/>
      <c r="I150" s="321"/>
      <c r="J150" s="321"/>
      <c r="K150" s="321"/>
      <c r="L150" s="321"/>
    </row>
    <row r="151" ht="15.75" customHeight="1">
      <c r="A151" s="317"/>
      <c r="B151" s="318"/>
      <c r="C151" s="318"/>
      <c r="D151" s="319" t="str">
        <f t="shared" si="1"/>
        <v/>
      </c>
      <c r="E151" s="320"/>
      <c r="F151" s="320"/>
      <c r="G151" s="321"/>
      <c r="H151" s="321"/>
      <c r="I151" s="321"/>
      <c r="J151" s="321"/>
      <c r="K151" s="321"/>
      <c r="L151" s="321"/>
    </row>
    <row r="152" ht="15.75" customHeight="1">
      <c r="A152" s="317"/>
      <c r="B152" s="318"/>
      <c r="C152" s="318"/>
      <c r="D152" s="319" t="str">
        <f t="shared" si="1"/>
        <v/>
      </c>
      <c r="E152" s="320"/>
      <c r="F152" s="320"/>
      <c r="G152" s="321"/>
      <c r="H152" s="321"/>
      <c r="I152" s="321"/>
      <c r="J152" s="321"/>
      <c r="K152" s="321"/>
      <c r="L152" s="321"/>
    </row>
    <row r="153" ht="15.75" customHeight="1">
      <c r="A153" s="317"/>
      <c r="B153" s="318"/>
      <c r="C153" s="318"/>
      <c r="D153" s="319" t="str">
        <f t="shared" si="1"/>
        <v/>
      </c>
      <c r="E153" s="320"/>
      <c r="F153" s="320"/>
      <c r="G153" s="321"/>
      <c r="H153" s="321"/>
      <c r="I153" s="321"/>
      <c r="J153" s="321"/>
      <c r="K153" s="321"/>
      <c r="L153" s="321"/>
    </row>
    <row r="154" ht="15.75" customHeight="1">
      <c r="A154" s="317"/>
      <c r="B154" s="318"/>
      <c r="C154" s="318"/>
      <c r="D154" s="319" t="str">
        <f t="shared" si="1"/>
        <v/>
      </c>
      <c r="E154" s="320"/>
      <c r="F154" s="320"/>
      <c r="G154" s="321"/>
      <c r="H154" s="321"/>
      <c r="I154" s="321"/>
      <c r="J154" s="321"/>
      <c r="K154" s="321"/>
      <c r="L154" s="321"/>
    </row>
    <row r="155" ht="15.75" customHeight="1">
      <c r="A155" s="317"/>
      <c r="B155" s="318"/>
      <c r="C155" s="318"/>
      <c r="D155" s="319" t="str">
        <f t="shared" si="1"/>
        <v/>
      </c>
      <c r="E155" s="320"/>
      <c r="F155" s="320"/>
      <c r="G155" s="321"/>
      <c r="H155" s="321"/>
      <c r="I155" s="321"/>
      <c r="J155" s="321"/>
      <c r="K155" s="321"/>
      <c r="L155" s="321"/>
    </row>
    <row r="156" ht="15.75" customHeight="1">
      <c r="A156" s="317"/>
      <c r="B156" s="318"/>
      <c r="C156" s="318"/>
      <c r="D156" s="319" t="str">
        <f t="shared" si="1"/>
        <v/>
      </c>
      <c r="E156" s="320"/>
      <c r="F156" s="320"/>
      <c r="G156" s="321"/>
      <c r="H156" s="321"/>
      <c r="I156" s="321"/>
      <c r="J156" s="321"/>
      <c r="K156" s="321"/>
      <c r="L156" s="321"/>
    </row>
    <row r="157" ht="15.75" customHeight="1">
      <c r="A157" s="317"/>
      <c r="B157" s="318"/>
      <c r="C157" s="318"/>
      <c r="D157" s="319" t="str">
        <f t="shared" si="1"/>
        <v/>
      </c>
      <c r="E157" s="320"/>
      <c r="F157" s="320"/>
      <c r="G157" s="321"/>
      <c r="H157" s="321"/>
      <c r="I157" s="321"/>
      <c r="J157" s="321"/>
      <c r="K157" s="321"/>
      <c r="L157" s="321"/>
    </row>
    <row r="158" ht="15.75" customHeight="1">
      <c r="A158" s="317"/>
      <c r="B158" s="318"/>
      <c r="C158" s="318"/>
      <c r="D158" s="319" t="str">
        <f t="shared" si="1"/>
        <v/>
      </c>
      <c r="E158" s="320"/>
      <c r="F158" s="320"/>
      <c r="G158" s="321"/>
      <c r="H158" s="321"/>
      <c r="I158" s="321"/>
      <c r="J158" s="321"/>
      <c r="K158" s="321"/>
      <c r="L158" s="321"/>
    </row>
    <row r="159" ht="15.75" customHeight="1">
      <c r="A159" s="317"/>
      <c r="B159" s="318"/>
      <c r="C159" s="318"/>
      <c r="D159" s="319" t="str">
        <f t="shared" si="1"/>
        <v/>
      </c>
      <c r="E159" s="320"/>
      <c r="F159" s="320"/>
      <c r="G159" s="321"/>
      <c r="H159" s="321"/>
      <c r="I159" s="321"/>
      <c r="J159" s="321"/>
      <c r="K159" s="321"/>
      <c r="L159" s="321"/>
    </row>
    <row r="160" ht="15.75" customHeight="1">
      <c r="A160" s="317"/>
      <c r="B160" s="318"/>
      <c r="C160" s="318"/>
      <c r="D160" s="319" t="str">
        <f t="shared" si="1"/>
        <v/>
      </c>
      <c r="E160" s="320"/>
      <c r="F160" s="320"/>
      <c r="G160" s="321"/>
      <c r="H160" s="321"/>
      <c r="I160" s="321"/>
      <c r="J160" s="321"/>
      <c r="K160" s="321"/>
      <c r="L160" s="321"/>
    </row>
    <row r="161" ht="15.75" customHeight="1">
      <c r="A161" s="317"/>
      <c r="B161" s="318"/>
      <c r="C161" s="318"/>
      <c r="D161" s="319" t="str">
        <f t="shared" si="1"/>
        <v/>
      </c>
      <c r="E161" s="320"/>
      <c r="F161" s="320"/>
      <c r="G161" s="321"/>
      <c r="H161" s="321"/>
      <c r="I161" s="321"/>
      <c r="J161" s="321"/>
      <c r="K161" s="321"/>
      <c r="L161" s="321"/>
    </row>
    <row r="162" ht="15.75" customHeight="1">
      <c r="A162" s="317"/>
      <c r="B162" s="318"/>
      <c r="C162" s="318"/>
      <c r="D162" s="319" t="str">
        <f t="shared" si="1"/>
        <v/>
      </c>
      <c r="E162" s="320"/>
      <c r="F162" s="320"/>
      <c r="G162" s="321"/>
      <c r="H162" s="321"/>
      <c r="I162" s="321"/>
      <c r="J162" s="321"/>
      <c r="K162" s="321"/>
      <c r="L162" s="321"/>
    </row>
    <row r="163" ht="15.75" customHeight="1">
      <c r="A163" s="317"/>
      <c r="B163" s="318"/>
      <c r="C163" s="318"/>
      <c r="D163" s="319" t="str">
        <f t="shared" si="1"/>
        <v/>
      </c>
      <c r="E163" s="320"/>
      <c r="F163" s="320"/>
      <c r="G163" s="321"/>
      <c r="H163" s="321"/>
      <c r="I163" s="321"/>
      <c r="J163" s="321"/>
      <c r="K163" s="321"/>
      <c r="L163" s="321"/>
    </row>
    <row r="164" ht="15.75" customHeight="1">
      <c r="A164" s="317"/>
      <c r="B164" s="318"/>
      <c r="C164" s="318"/>
      <c r="D164" s="319" t="str">
        <f t="shared" si="1"/>
        <v/>
      </c>
      <c r="E164" s="320"/>
      <c r="F164" s="320"/>
      <c r="G164" s="321"/>
      <c r="H164" s="321"/>
      <c r="I164" s="321"/>
      <c r="J164" s="321"/>
      <c r="K164" s="321"/>
      <c r="L164" s="321"/>
    </row>
    <row r="165" ht="15.75" customHeight="1">
      <c r="A165" s="317"/>
      <c r="B165" s="318"/>
      <c r="C165" s="318"/>
      <c r="D165" s="319" t="str">
        <f t="shared" si="1"/>
        <v/>
      </c>
      <c r="E165" s="320"/>
      <c r="F165" s="320"/>
      <c r="G165" s="321"/>
      <c r="H165" s="321"/>
      <c r="I165" s="321"/>
      <c r="J165" s="321"/>
      <c r="K165" s="321"/>
      <c r="L165" s="321"/>
    </row>
    <row r="166" ht="15.75" customHeight="1">
      <c r="A166" s="317"/>
      <c r="B166" s="318"/>
      <c r="C166" s="318"/>
      <c r="D166" s="319" t="str">
        <f t="shared" si="1"/>
        <v/>
      </c>
      <c r="E166" s="320"/>
      <c r="F166" s="320"/>
      <c r="G166" s="321"/>
      <c r="H166" s="321"/>
      <c r="I166" s="321"/>
      <c r="J166" s="321"/>
      <c r="K166" s="321"/>
      <c r="L166" s="321"/>
    </row>
    <row r="167" ht="15.75" customHeight="1">
      <c r="A167" s="317"/>
      <c r="B167" s="318"/>
      <c r="C167" s="318"/>
      <c r="D167" s="319" t="str">
        <f t="shared" si="1"/>
        <v/>
      </c>
      <c r="E167" s="320"/>
      <c r="F167" s="320"/>
      <c r="G167" s="321"/>
      <c r="H167" s="321"/>
      <c r="I167" s="321"/>
      <c r="J167" s="321"/>
      <c r="K167" s="321"/>
      <c r="L167" s="321"/>
    </row>
    <row r="168" ht="15.75" customHeight="1">
      <c r="A168" s="317"/>
      <c r="B168" s="318"/>
      <c r="C168" s="318"/>
      <c r="D168" s="319" t="str">
        <f t="shared" si="1"/>
        <v/>
      </c>
      <c r="E168" s="320"/>
      <c r="F168" s="320"/>
      <c r="G168" s="321"/>
      <c r="H168" s="321"/>
      <c r="I168" s="321"/>
      <c r="J168" s="321"/>
      <c r="K168" s="321"/>
      <c r="L168" s="321"/>
    </row>
    <row r="169" ht="15.75" customHeight="1">
      <c r="A169" s="317"/>
      <c r="B169" s="318"/>
      <c r="C169" s="318"/>
      <c r="D169" s="319" t="str">
        <f t="shared" si="1"/>
        <v/>
      </c>
      <c r="E169" s="320"/>
      <c r="F169" s="320"/>
      <c r="G169" s="321"/>
      <c r="H169" s="321"/>
      <c r="I169" s="321"/>
      <c r="J169" s="321"/>
      <c r="K169" s="321"/>
      <c r="L169" s="321"/>
    </row>
    <row r="170" ht="15.75" customHeight="1">
      <c r="A170" s="317"/>
      <c r="B170" s="318"/>
      <c r="C170" s="318"/>
      <c r="D170" s="319" t="str">
        <f t="shared" si="1"/>
        <v/>
      </c>
      <c r="E170" s="320"/>
      <c r="F170" s="320"/>
      <c r="G170" s="321"/>
      <c r="H170" s="321"/>
      <c r="I170" s="321"/>
      <c r="J170" s="321"/>
      <c r="K170" s="321"/>
      <c r="L170" s="321"/>
    </row>
    <row r="171" ht="15.75" customHeight="1">
      <c r="A171" s="317"/>
      <c r="B171" s="318"/>
      <c r="C171" s="318"/>
      <c r="D171" s="319" t="str">
        <f t="shared" si="1"/>
        <v/>
      </c>
      <c r="E171" s="320"/>
      <c r="F171" s="320"/>
      <c r="G171" s="321"/>
      <c r="H171" s="321"/>
      <c r="I171" s="321"/>
      <c r="J171" s="321"/>
      <c r="K171" s="321"/>
      <c r="L171" s="321"/>
    </row>
    <row r="172" ht="15.75" customHeight="1">
      <c r="A172" s="317"/>
      <c r="B172" s="318"/>
      <c r="C172" s="318"/>
      <c r="D172" s="319" t="str">
        <f t="shared" si="1"/>
        <v/>
      </c>
      <c r="E172" s="320"/>
      <c r="F172" s="320"/>
      <c r="G172" s="321"/>
      <c r="H172" s="321"/>
      <c r="I172" s="321"/>
      <c r="J172" s="321"/>
      <c r="K172" s="321"/>
      <c r="L172" s="321"/>
    </row>
    <row r="173" ht="15.75" customHeight="1">
      <c r="A173" s="317"/>
      <c r="B173" s="318"/>
      <c r="C173" s="318"/>
      <c r="D173" s="319" t="str">
        <f t="shared" si="1"/>
        <v/>
      </c>
      <c r="E173" s="320"/>
      <c r="F173" s="320"/>
      <c r="G173" s="321"/>
      <c r="H173" s="321"/>
      <c r="I173" s="321"/>
      <c r="J173" s="321"/>
      <c r="K173" s="321"/>
      <c r="L173" s="321"/>
    </row>
    <row r="174" ht="15.75" customHeight="1">
      <c r="A174" s="317"/>
      <c r="B174" s="318"/>
      <c r="C174" s="318"/>
      <c r="D174" s="319" t="str">
        <f t="shared" si="1"/>
        <v/>
      </c>
      <c r="E174" s="320"/>
      <c r="F174" s="320"/>
      <c r="G174" s="321"/>
      <c r="H174" s="321"/>
      <c r="I174" s="321"/>
      <c r="J174" s="321"/>
      <c r="K174" s="321"/>
      <c r="L174" s="321"/>
    </row>
    <row r="175" ht="15.75" customHeight="1">
      <c r="A175" s="317"/>
      <c r="B175" s="318"/>
      <c r="C175" s="318"/>
      <c r="D175" s="319" t="str">
        <f t="shared" si="1"/>
        <v/>
      </c>
      <c r="E175" s="320"/>
      <c r="F175" s="320"/>
      <c r="G175" s="321"/>
      <c r="H175" s="321"/>
      <c r="I175" s="321"/>
      <c r="J175" s="321"/>
      <c r="K175" s="321"/>
      <c r="L175" s="321"/>
    </row>
    <row r="176" ht="15.75" customHeight="1">
      <c r="A176" s="317"/>
      <c r="B176" s="318"/>
      <c r="C176" s="318"/>
      <c r="D176" s="319" t="str">
        <f t="shared" si="1"/>
        <v/>
      </c>
      <c r="E176" s="320"/>
      <c r="F176" s="320"/>
      <c r="G176" s="321"/>
      <c r="H176" s="321"/>
      <c r="I176" s="321"/>
      <c r="J176" s="321"/>
      <c r="K176" s="321"/>
      <c r="L176" s="321"/>
    </row>
    <row r="177" ht="15.75" customHeight="1">
      <c r="A177" s="317"/>
      <c r="B177" s="318"/>
      <c r="C177" s="318"/>
      <c r="D177" s="319" t="str">
        <f t="shared" si="1"/>
        <v/>
      </c>
      <c r="E177" s="320"/>
      <c r="F177" s="320"/>
      <c r="G177" s="321"/>
      <c r="H177" s="321"/>
      <c r="I177" s="321"/>
      <c r="J177" s="321"/>
      <c r="K177" s="321"/>
      <c r="L177" s="321"/>
    </row>
    <row r="178" ht="15.75" customHeight="1">
      <c r="A178" s="317"/>
      <c r="B178" s="318"/>
      <c r="C178" s="318"/>
      <c r="D178" s="319" t="str">
        <f t="shared" si="1"/>
        <v/>
      </c>
      <c r="E178" s="320"/>
      <c r="F178" s="320"/>
      <c r="G178" s="321"/>
      <c r="H178" s="321"/>
      <c r="I178" s="321"/>
      <c r="J178" s="321"/>
      <c r="K178" s="321"/>
      <c r="L178" s="321"/>
    </row>
    <row r="179" ht="15.75" customHeight="1">
      <c r="A179" s="317"/>
      <c r="B179" s="318"/>
      <c r="C179" s="318"/>
      <c r="D179" s="319" t="str">
        <f t="shared" si="1"/>
        <v/>
      </c>
      <c r="E179" s="320"/>
      <c r="F179" s="320"/>
      <c r="G179" s="321"/>
      <c r="H179" s="321"/>
      <c r="I179" s="321"/>
      <c r="J179" s="321"/>
      <c r="K179" s="321"/>
      <c r="L179" s="321"/>
    </row>
    <row r="180" ht="15.75" customHeight="1">
      <c r="A180" s="317"/>
      <c r="B180" s="318"/>
      <c r="C180" s="318"/>
      <c r="D180" s="319" t="str">
        <f t="shared" si="1"/>
        <v/>
      </c>
      <c r="E180" s="320"/>
      <c r="F180" s="320"/>
      <c r="G180" s="321"/>
      <c r="H180" s="321"/>
      <c r="I180" s="321"/>
      <c r="J180" s="321"/>
      <c r="K180" s="321"/>
      <c r="L180" s="321"/>
    </row>
    <row r="181" ht="15.75" customHeight="1">
      <c r="A181" s="317"/>
      <c r="B181" s="318"/>
      <c r="C181" s="318"/>
      <c r="D181" s="319" t="str">
        <f t="shared" si="1"/>
        <v/>
      </c>
      <c r="E181" s="320"/>
      <c r="F181" s="320"/>
      <c r="G181" s="321"/>
      <c r="H181" s="321"/>
      <c r="I181" s="321"/>
      <c r="J181" s="321"/>
      <c r="K181" s="321"/>
      <c r="L181" s="321"/>
    </row>
    <row r="182" ht="15.75" customHeight="1">
      <c r="A182" s="317"/>
      <c r="B182" s="318"/>
      <c r="C182" s="318"/>
      <c r="D182" s="319" t="str">
        <f t="shared" si="1"/>
        <v/>
      </c>
      <c r="E182" s="320"/>
      <c r="F182" s="320"/>
      <c r="G182" s="321"/>
      <c r="H182" s="321"/>
      <c r="I182" s="321"/>
      <c r="J182" s="321"/>
      <c r="K182" s="321"/>
      <c r="L182" s="321"/>
    </row>
    <row r="183" ht="15.75" customHeight="1">
      <c r="A183" s="317"/>
      <c r="B183" s="318"/>
      <c r="C183" s="318"/>
      <c r="D183" s="319" t="str">
        <f t="shared" si="1"/>
        <v/>
      </c>
      <c r="E183" s="320"/>
      <c r="F183" s="320"/>
      <c r="G183" s="321"/>
      <c r="H183" s="321"/>
      <c r="I183" s="321"/>
      <c r="J183" s="321"/>
      <c r="K183" s="321"/>
      <c r="L183" s="321"/>
    </row>
    <row r="184" ht="15.75" customHeight="1">
      <c r="A184" s="317"/>
      <c r="B184" s="318"/>
      <c r="C184" s="318"/>
      <c r="D184" s="319" t="str">
        <f t="shared" si="1"/>
        <v/>
      </c>
      <c r="E184" s="320"/>
      <c r="F184" s="320"/>
      <c r="G184" s="321"/>
      <c r="H184" s="321"/>
      <c r="I184" s="321"/>
      <c r="J184" s="321"/>
      <c r="K184" s="321"/>
      <c r="L184" s="321"/>
    </row>
    <row r="185" ht="15.75" customHeight="1">
      <c r="A185" s="317"/>
      <c r="B185" s="318"/>
      <c r="C185" s="318"/>
      <c r="D185" s="319" t="str">
        <f t="shared" si="1"/>
        <v/>
      </c>
      <c r="E185" s="320"/>
      <c r="F185" s="320"/>
      <c r="G185" s="321"/>
      <c r="H185" s="321"/>
      <c r="I185" s="321"/>
      <c r="J185" s="321"/>
      <c r="K185" s="321"/>
      <c r="L185" s="321"/>
    </row>
    <row r="186" ht="15.75" customHeight="1">
      <c r="A186" s="317"/>
      <c r="B186" s="318"/>
      <c r="C186" s="318"/>
      <c r="D186" s="319" t="str">
        <f t="shared" si="1"/>
        <v/>
      </c>
      <c r="E186" s="320"/>
      <c r="F186" s="320"/>
      <c r="G186" s="321"/>
      <c r="H186" s="321"/>
      <c r="I186" s="321"/>
      <c r="J186" s="321"/>
      <c r="K186" s="321"/>
      <c r="L186" s="321"/>
    </row>
    <row r="187" ht="15.75" customHeight="1">
      <c r="A187" s="317"/>
      <c r="B187" s="318"/>
      <c r="C187" s="318"/>
      <c r="D187" s="319" t="str">
        <f t="shared" si="1"/>
        <v/>
      </c>
      <c r="E187" s="320"/>
      <c r="F187" s="320"/>
      <c r="G187" s="321"/>
      <c r="H187" s="321"/>
      <c r="I187" s="321"/>
      <c r="J187" s="321"/>
      <c r="K187" s="321"/>
      <c r="L187" s="321"/>
    </row>
    <row r="188" ht="15.75" customHeight="1">
      <c r="A188" s="317"/>
      <c r="B188" s="318"/>
      <c r="C188" s="318"/>
      <c r="D188" s="319" t="str">
        <f t="shared" si="1"/>
        <v/>
      </c>
      <c r="E188" s="320"/>
      <c r="F188" s="320"/>
      <c r="G188" s="321"/>
      <c r="H188" s="321"/>
      <c r="I188" s="321"/>
      <c r="J188" s="321"/>
      <c r="K188" s="321"/>
      <c r="L188" s="321"/>
    </row>
    <row r="189" ht="15.75" customHeight="1">
      <c r="A189" s="317"/>
      <c r="B189" s="318"/>
      <c r="C189" s="318"/>
      <c r="D189" s="319" t="str">
        <f t="shared" si="1"/>
        <v/>
      </c>
      <c r="E189" s="320"/>
      <c r="F189" s="320"/>
      <c r="G189" s="321"/>
      <c r="H189" s="321"/>
      <c r="I189" s="321"/>
      <c r="J189" s="321"/>
      <c r="K189" s="321"/>
      <c r="L189" s="321"/>
    </row>
    <row r="190" ht="15.75" customHeight="1">
      <c r="A190" s="317"/>
      <c r="B190" s="318"/>
      <c r="C190" s="318"/>
      <c r="D190" s="319" t="str">
        <f t="shared" si="1"/>
        <v/>
      </c>
      <c r="E190" s="320"/>
      <c r="F190" s="320"/>
      <c r="G190" s="321"/>
      <c r="H190" s="321"/>
      <c r="I190" s="321"/>
      <c r="J190" s="321"/>
      <c r="K190" s="321"/>
      <c r="L190" s="321"/>
    </row>
    <row r="191" ht="15.75" customHeight="1">
      <c r="A191" s="317"/>
      <c r="B191" s="318"/>
      <c r="C191" s="318"/>
      <c r="D191" s="319" t="str">
        <f t="shared" si="1"/>
        <v/>
      </c>
      <c r="E191" s="320"/>
      <c r="F191" s="320"/>
      <c r="G191" s="321"/>
      <c r="H191" s="321"/>
      <c r="I191" s="321"/>
      <c r="J191" s="321"/>
      <c r="K191" s="321"/>
      <c r="L191" s="321"/>
    </row>
    <row r="192" ht="15.75" customHeight="1">
      <c r="A192" s="317"/>
      <c r="B192" s="318"/>
      <c r="C192" s="318"/>
      <c r="D192" s="319" t="str">
        <f t="shared" si="1"/>
        <v/>
      </c>
      <c r="E192" s="320"/>
      <c r="F192" s="320"/>
      <c r="G192" s="321"/>
      <c r="H192" s="321"/>
      <c r="I192" s="321"/>
      <c r="J192" s="321"/>
      <c r="K192" s="321"/>
      <c r="L192" s="321"/>
    </row>
    <row r="193" ht="15.75" customHeight="1">
      <c r="A193" s="317"/>
      <c r="B193" s="318"/>
      <c r="C193" s="318"/>
      <c r="D193" s="319" t="str">
        <f t="shared" si="1"/>
        <v/>
      </c>
      <c r="E193" s="320"/>
      <c r="F193" s="320"/>
      <c r="G193" s="321"/>
      <c r="H193" s="321"/>
      <c r="I193" s="321"/>
      <c r="J193" s="321"/>
      <c r="K193" s="321"/>
      <c r="L193" s="321"/>
    </row>
    <row r="194" ht="15.75" customHeight="1">
      <c r="A194" s="317"/>
      <c r="B194" s="318"/>
      <c r="C194" s="318"/>
      <c r="D194" s="319" t="str">
        <f t="shared" si="1"/>
        <v/>
      </c>
      <c r="E194" s="320"/>
      <c r="F194" s="320"/>
      <c r="G194" s="321"/>
      <c r="H194" s="321"/>
      <c r="I194" s="321"/>
      <c r="J194" s="321"/>
      <c r="K194" s="321"/>
      <c r="L194" s="321"/>
    </row>
    <row r="195" ht="15.75" customHeight="1">
      <c r="A195" s="317"/>
      <c r="B195" s="318"/>
      <c r="C195" s="318"/>
      <c r="D195" s="319" t="str">
        <f t="shared" si="1"/>
        <v/>
      </c>
      <c r="E195" s="320"/>
      <c r="F195" s="320"/>
      <c r="G195" s="321"/>
      <c r="H195" s="321"/>
      <c r="I195" s="321"/>
      <c r="J195" s="321"/>
      <c r="K195" s="321"/>
      <c r="L195" s="321"/>
    </row>
    <row r="196" ht="15.75" customHeight="1">
      <c r="A196" s="317"/>
      <c r="B196" s="318"/>
      <c r="C196" s="318"/>
      <c r="D196" s="319" t="str">
        <f t="shared" si="1"/>
        <v/>
      </c>
      <c r="E196" s="320"/>
      <c r="F196" s="320"/>
      <c r="G196" s="321"/>
      <c r="H196" s="321"/>
      <c r="I196" s="321"/>
      <c r="J196" s="321"/>
      <c r="K196" s="321"/>
      <c r="L196" s="321"/>
    </row>
    <row r="197" ht="15.75" customHeight="1">
      <c r="A197" s="317"/>
      <c r="B197" s="318"/>
      <c r="C197" s="318"/>
      <c r="D197" s="319" t="str">
        <f t="shared" si="1"/>
        <v/>
      </c>
      <c r="E197" s="320"/>
      <c r="F197" s="320"/>
      <c r="G197" s="321"/>
      <c r="H197" s="321"/>
      <c r="I197" s="321"/>
      <c r="J197" s="321"/>
      <c r="K197" s="321"/>
      <c r="L197" s="321"/>
    </row>
    <row r="198" ht="15.75" customHeight="1">
      <c r="A198" s="317"/>
      <c r="B198" s="318"/>
      <c r="C198" s="318"/>
      <c r="D198" s="319" t="str">
        <f t="shared" si="1"/>
        <v/>
      </c>
      <c r="E198" s="320"/>
      <c r="F198" s="320"/>
      <c r="G198" s="321"/>
      <c r="H198" s="321"/>
      <c r="I198" s="321"/>
      <c r="J198" s="321"/>
      <c r="K198" s="321"/>
      <c r="L198" s="321"/>
    </row>
    <row r="199" ht="15.75" customHeight="1">
      <c r="A199" s="317"/>
      <c r="B199" s="318"/>
      <c r="C199" s="318"/>
      <c r="D199" s="319" t="str">
        <f t="shared" si="1"/>
        <v/>
      </c>
      <c r="E199" s="320"/>
      <c r="F199" s="320"/>
      <c r="G199" s="321"/>
      <c r="H199" s="321"/>
      <c r="I199" s="321"/>
      <c r="J199" s="321"/>
      <c r="K199" s="321"/>
      <c r="L199" s="321"/>
    </row>
    <row r="200" ht="15.75" customHeight="1">
      <c r="A200" s="317"/>
      <c r="B200" s="318"/>
      <c r="C200" s="318"/>
      <c r="D200" s="319" t="str">
        <f t="shared" si="1"/>
        <v/>
      </c>
      <c r="E200" s="320"/>
      <c r="F200" s="320"/>
      <c r="G200" s="321"/>
      <c r="H200" s="321"/>
      <c r="I200" s="321"/>
      <c r="J200" s="321"/>
      <c r="K200" s="321"/>
      <c r="L200" s="321"/>
    </row>
    <row r="201" ht="15.75" customHeight="1">
      <c r="A201" s="317"/>
      <c r="B201" s="318"/>
      <c r="C201" s="318"/>
      <c r="D201" s="319" t="str">
        <f t="shared" si="1"/>
        <v/>
      </c>
      <c r="E201" s="320"/>
      <c r="F201" s="320"/>
      <c r="G201" s="321"/>
      <c r="H201" s="321"/>
      <c r="I201" s="321"/>
      <c r="J201" s="321"/>
      <c r="K201" s="321"/>
      <c r="L201" s="321"/>
    </row>
    <row r="202" ht="15.75" customHeight="1">
      <c r="A202" s="317"/>
      <c r="B202" s="318"/>
      <c r="C202" s="318"/>
      <c r="D202" s="319" t="str">
        <f t="shared" si="1"/>
        <v/>
      </c>
      <c r="E202" s="320"/>
      <c r="F202" s="320"/>
      <c r="G202" s="321"/>
      <c r="H202" s="321"/>
      <c r="I202" s="321"/>
      <c r="J202" s="321"/>
      <c r="K202" s="321"/>
      <c r="L202" s="321"/>
    </row>
    <row r="203" ht="15.75" customHeight="1">
      <c r="A203" s="317"/>
      <c r="B203" s="318"/>
      <c r="C203" s="318"/>
      <c r="D203" s="319" t="str">
        <f t="shared" si="1"/>
        <v/>
      </c>
      <c r="E203" s="320"/>
      <c r="F203" s="320"/>
      <c r="G203" s="321"/>
      <c r="H203" s="321"/>
      <c r="I203" s="321"/>
      <c r="J203" s="321"/>
      <c r="K203" s="321"/>
      <c r="L203" s="321"/>
    </row>
    <row r="204" ht="15.75" customHeight="1">
      <c r="A204" s="317"/>
      <c r="B204" s="318"/>
      <c r="C204" s="318"/>
      <c r="D204" s="319" t="str">
        <f t="shared" si="1"/>
        <v/>
      </c>
      <c r="E204" s="320"/>
      <c r="F204" s="320"/>
      <c r="G204" s="321"/>
      <c r="H204" s="321"/>
      <c r="I204" s="321"/>
      <c r="J204" s="321"/>
      <c r="K204" s="321"/>
      <c r="L204" s="321"/>
    </row>
    <row r="205" ht="15.75" customHeight="1">
      <c r="A205" s="317"/>
      <c r="B205" s="318"/>
      <c r="C205" s="318"/>
      <c r="D205" s="319" t="str">
        <f t="shared" si="1"/>
        <v/>
      </c>
      <c r="E205" s="320"/>
      <c r="F205" s="320"/>
      <c r="G205" s="321"/>
      <c r="H205" s="321"/>
      <c r="I205" s="321"/>
      <c r="J205" s="321"/>
      <c r="K205" s="321"/>
      <c r="L205" s="321"/>
    </row>
    <row r="206" ht="15.75" customHeight="1">
      <c r="A206" s="317"/>
      <c r="B206" s="318"/>
      <c r="C206" s="318"/>
      <c r="D206" s="319" t="str">
        <f t="shared" si="1"/>
        <v/>
      </c>
      <c r="E206" s="320"/>
      <c r="F206" s="320"/>
      <c r="G206" s="321"/>
      <c r="H206" s="321"/>
      <c r="I206" s="321"/>
      <c r="J206" s="321"/>
      <c r="K206" s="321"/>
      <c r="L206" s="321"/>
    </row>
    <row r="207" ht="15.75" customHeight="1">
      <c r="A207" s="317"/>
      <c r="B207" s="318"/>
      <c r="C207" s="318"/>
      <c r="D207" s="319" t="str">
        <f t="shared" si="1"/>
        <v/>
      </c>
      <c r="E207" s="320"/>
      <c r="F207" s="320"/>
      <c r="G207" s="321"/>
      <c r="H207" s="321"/>
      <c r="I207" s="321"/>
      <c r="J207" s="321"/>
      <c r="K207" s="321"/>
      <c r="L207" s="321"/>
    </row>
    <row r="208" ht="15.75" customHeight="1">
      <c r="A208" s="317"/>
      <c r="B208" s="318"/>
      <c r="C208" s="318"/>
      <c r="D208" s="319" t="str">
        <f t="shared" si="1"/>
        <v/>
      </c>
      <c r="E208" s="320"/>
      <c r="F208" s="320"/>
      <c r="G208" s="321"/>
      <c r="H208" s="321"/>
      <c r="I208" s="321"/>
      <c r="J208" s="321"/>
      <c r="K208" s="321"/>
      <c r="L208" s="321"/>
    </row>
    <row r="209" ht="15.75" customHeight="1">
      <c r="A209" s="317"/>
      <c r="B209" s="318"/>
      <c r="C209" s="318"/>
      <c r="D209" s="319" t="str">
        <f t="shared" si="1"/>
        <v/>
      </c>
      <c r="E209" s="320"/>
      <c r="F209" s="320"/>
      <c r="G209" s="321"/>
      <c r="H209" s="321"/>
      <c r="I209" s="321"/>
      <c r="J209" s="321"/>
      <c r="K209" s="321"/>
      <c r="L209" s="321"/>
    </row>
    <row r="210" ht="15.75" customHeight="1">
      <c r="A210" s="317"/>
      <c r="B210" s="318"/>
      <c r="C210" s="318"/>
      <c r="D210" s="319" t="str">
        <f t="shared" si="1"/>
        <v/>
      </c>
      <c r="E210" s="320"/>
      <c r="F210" s="320"/>
      <c r="G210" s="321"/>
      <c r="H210" s="321"/>
      <c r="I210" s="321"/>
      <c r="J210" s="321"/>
      <c r="K210" s="321"/>
      <c r="L210" s="321"/>
    </row>
    <row r="211" ht="15.75" customHeight="1">
      <c r="A211" s="317"/>
      <c r="B211" s="318"/>
      <c r="C211" s="318"/>
      <c r="D211" s="319" t="str">
        <f t="shared" si="1"/>
        <v/>
      </c>
      <c r="E211" s="320"/>
      <c r="F211" s="320"/>
      <c r="G211" s="321"/>
      <c r="H211" s="321"/>
      <c r="I211" s="321"/>
      <c r="J211" s="321"/>
      <c r="K211" s="321"/>
      <c r="L211" s="321"/>
    </row>
    <row r="212" ht="15.75" customHeight="1">
      <c r="A212" s="317"/>
      <c r="B212" s="318"/>
      <c r="C212" s="318"/>
      <c r="D212" s="319" t="str">
        <f t="shared" si="1"/>
        <v/>
      </c>
      <c r="E212" s="320"/>
      <c r="F212" s="320"/>
      <c r="G212" s="321"/>
      <c r="H212" s="321"/>
      <c r="I212" s="321"/>
      <c r="J212" s="321"/>
      <c r="K212" s="321"/>
      <c r="L212" s="321"/>
    </row>
    <row r="213" ht="15.75" customHeight="1">
      <c r="A213" s="317"/>
      <c r="B213" s="318"/>
      <c r="C213" s="318"/>
      <c r="D213" s="319" t="str">
        <f t="shared" si="1"/>
        <v/>
      </c>
      <c r="E213" s="320"/>
      <c r="F213" s="320"/>
      <c r="G213" s="321"/>
      <c r="H213" s="321"/>
      <c r="I213" s="321"/>
      <c r="J213" s="321"/>
      <c r="K213" s="321"/>
      <c r="L213" s="321"/>
    </row>
    <row r="214" ht="15.75" customHeight="1">
      <c r="A214" s="317"/>
      <c r="B214" s="318"/>
      <c r="C214" s="318"/>
      <c r="D214" s="319" t="str">
        <f t="shared" si="1"/>
        <v/>
      </c>
      <c r="E214" s="320"/>
      <c r="F214" s="320"/>
      <c r="G214" s="321"/>
      <c r="H214" s="321"/>
      <c r="I214" s="321"/>
      <c r="J214" s="321"/>
      <c r="K214" s="321"/>
      <c r="L214" s="321"/>
    </row>
    <row r="215" ht="15.75" customHeight="1">
      <c r="A215" s="317"/>
      <c r="B215" s="318"/>
      <c r="C215" s="318"/>
      <c r="D215" s="319" t="str">
        <f t="shared" si="1"/>
        <v/>
      </c>
      <c r="E215" s="320"/>
      <c r="F215" s="320"/>
      <c r="G215" s="321"/>
      <c r="H215" s="321"/>
      <c r="I215" s="321"/>
      <c r="J215" s="321"/>
      <c r="K215" s="321"/>
      <c r="L215" s="321"/>
    </row>
    <row r="216" ht="15.75" customHeight="1">
      <c r="A216" s="317"/>
      <c r="B216" s="318"/>
      <c r="C216" s="318"/>
      <c r="D216" s="319" t="str">
        <f t="shared" si="1"/>
        <v/>
      </c>
      <c r="E216" s="320"/>
      <c r="F216" s="320"/>
      <c r="G216" s="321"/>
      <c r="H216" s="321"/>
      <c r="I216" s="321"/>
      <c r="J216" s="321"/>
      <c r="K216" s="321"/>
      <c r="L216" s="321"/>
    </row>
    <row r="217" ht="15.75" customHeight="1">
      <c r="A217" s="317"/>
      <c r="B217" s="318"/>
      <c r="C217" s="318"/>
      <c r="D217" s="319" t="str">
        <f t="shared" si="1"/>
        <v/>
      </c>
      <c r="E217" s="320"/>
      <c r="F217" s="320"/>
      <c r="G217" s="321"/>
      <c r="H217" s="321"/>
      <c r="I217" s="321"/>
      <c r="J217" s="321"/>
      <c r="K217" s="321"/>
      <c r="L217" s="321"/>
    </row>
    <row r="218" ht="15.75" customHeight="1">
      <c r="A218" s="317"/>
      <c r="B218" s="318"/>
      <c r="C218" s="318"/>
      <c r="D218" s="319" t="str">
        <f t="shared" si="1"/>
        <v/>
      </c>
      <c r="E218" s="320"/>
      <c r="F218" s="320"/>
      <c r="G218" s="321"/>
      <c r="H218" s="321"/>
      <c r="I218" s="321"/>
      <c r="J218" s="321"/>
      <c r="K218" s="321"/>
      <c r="L218" s="321"/>
    </row>
    <row r="219" ht="15.75" customHeight="1">
      <c r="A219" s="317"/>
      <c r="B219" s="318"/>
      <c r="C219" s="318"/>
      <c r="D219" s="319" t="str">
        <f t="shared" si="1"/>
        <v/>
      </c>
      <c r="E219" s="320"/>
      <c r="F219" s="320"/>
      <c r="G219" s="321"/>
      <c r="H219" s="321"/>
      <c r="I219" s="321"/>
      <c r="J219" s="321"/>
      <c r="K219" s="321"/>
      <c r="L219" s="321"/>
    </row>
    <row r="220" ht="15.75" customHeight="1">
      <c r="A220" s="317"/>
      <c r="B220" s="318"/>
      <c r="C220" s="318"/>
      <c r="D220" s="319" t="str">
        <f t="shared" si="1"/>
        <v/>
      </c>
      <c r="E220" s="320"/>
      <c r="F220" s="320"/>
      <c r="G220" s="321"/>
      <c r="H220" s="321"/>
      <c r="I220" s="321"/>
      <c r="J220" s="321"/>
      <c r="K220" s="321"/>
      <c r="L220" s="321"/>
    </row>
    <row r="221" ht="15.75" customHeight="1">
      <c r="A221" s="317"/>
      <c r="B221" s="318"/>
      <c r="C221" s="318"/>
      <c r="D221" s="319" t="str">
        <f t="shared" si="1"/>
        <v/>
      </c>
      <c r="E221" s="320"/>
      <c r="F221" s="320"/>
      <c r="G221" s="321"/>
      <c r="H221" s="321"/>
      <c r="I221" s="321"/>
      <c r="J221" s="321"/>
      <c r="K221" s="321"/>
      <c r="L221" s="321"/>
    </row>
    <row r="222" ht="15.75" customHeight="1">
      <c r="A222" s="317"/>
      <c r="B222" s="318"/>
      <c r="C222" s="318"/>
      <c r="D222" s="319" t="str">
        <f t="shared" si="1"/>
        <v/>
      </c>
      <c r="E222" s="320"/>
      <c r="F222" s="320"/>
      <c r="G222" s="321"/>
      <c r="H222" s="321"/>
      <c r="I222" s="321"/>
      <c r="J222" s="321"/>
      <c r="K222" s="321"/>
      <c r="L222" s="321"/>
    </row>
    <row r="223" ht="15.75" customHeight="1">
      <c r="A223" s="317"/>
      <c r="B223" s="318"/>
      <c r="C223" s="318"/>
      <c r="D223" s="319" t="str">
        <f t="shared" si="1"/>
        <v/>
      </c>
      <c r="E223" s="320"/>
      <c r="F223" s="320"/>
      <c r="G223" s="321"/>
      <c r="H223" s="321"/>
      <c r="I223" s="321"/>
      <c r="J223" s="321"/>
      <c r="K223" s="321"/>
      <c r="L223" s="321"/>
    </row>
    <row r="224" ht="15.75" customHeight="1">
      <c r="A224" s="317"/>
      <c r="B224" s="318"/>
      <c r="C224" s="318"/>
      <c r="D224" s="319" t="str">
        <f t="shared" si="1"/>
        <v/>
      </c>
      <c r="E224" s="320"/>
      <c r="F224" s="320"/>
      <c r="G224" s="321"/>
      <c r="H224" s="321"/>
      <c r="I224" s="321"/>
      <c r="J224" s="321"/>
      <c r="K224" s="321"/>
      <c r="L224" s="321"/>
    </row>
    <row r="225" ht="15.75" customHeight="1">
      <c r="A225" s="317"/>
      <c r="B225" s="318"/>
      <c r="C225" s="318"/>
      <c r="D225" s="319" t="str">
        <f t="shared" si="1"/>
        <v/>
      </c>
      <c r="E225" s="320"/>
      <c r="F225" s="320"/>
      <c r="G225" s="321"/>
      <c r="H225" s="321"/>
      <c r="I225" s="321"/>
      <c r="J225" s="321"/>
      <c r="K225" s="321"/>
      <c r="L225" s="321"/>
    </row>
    <row r="226" ht="15.75" customHeight="1">
      <c r="A226" s="317"/>
      <c r="B226" s="318"/>
      <c r="C226" s="318"/>
      <c r="D226" s="319" t="str">
        <f t="shared" si="1"/>
        <v/>
      </c>
      <c r="E226" s="320"/>
      <c r="F226" s="320"/>
      <c r="G226" s="321"/>
      <c r="H226" s="321"/>
      <c r="I226" s="321"/>
      <c r="J226" s="321"/>
      <c r="K226" s="321"/>
      <c r="L226" s="321"/>
    </row>
    <row r="227" ht="15.75" customHeight="1">
      <c r="A227" s="317"/>
      <c r="B227" s="318"/>
      <c r="C227" s="318"/>
      <c r="D227" s="319" t="str">
        <f t="shared" si="1"/>
        <v/>
      </c>
      <c r="E227" s="320"/>
      <c r="F227" s="320"/>
      <c r="G227" s="321"/>
      <c r="H227" s="321"/>
      <c r="I227" s="321"/>
      <c r="J227" s="321"/>
      <c r="K227" s="321"/>
      <c r="L227" s="321"/>
    </row>
    <row r="228" ht="15.75" customHeight="1">
      <c r="A228" s="317"/>
      <c r="B228" s="318"/>
      <c r="C228" s="318"/>
      <c r="D228" s="319" t="str">
        <f t="shared" si="1"/>
        <v/>
      </c>
      <c r="E228" s="320"/>
      <c r="F228" s="320"/>
      <c r="G228" s="321"/>
      <c r="H228" s="321"/>
      <c r="I228" s="321"/>
      <c r="J228" s="321"/>
      <c r="K228" s="321"/>
      <c r="L228" s="321"/>
    </row>
    <row r="229" ht="15.75" customHeight="1">
      <c r="A229" s="317"/>
      <c r="B229" s="318"/>
      <c r="C229" s="318"/>
      <c r="D229" s="319" t="str">
        <f t="shared" si="1"/>
        <v/>
      </c>
      <c r="E229" s="320"/>
      <c r="F229" s="320"/>
      <c r="G229" s="321"/>
      <c r="H229" s="321"/>
      <c r="I229" s="321"/>
      <c r="J229" s="321"/>
      <c r="K229" s="321"/>
      <c r="L229" s="321"/>
    </row>
    <row r="230" ht="15.75" customHeight="1">
      <c r="A230" s="317"/>
      <c r="B230" s="318"/>
      <c r="C230" s="318"/>
      <c r="D230" s="319" t="str">
        <f t="shared" si="1"/>
        <v/>
      </c>
      <c r="E230" s="320"/>
      <c r="F230" s="320"/>
      <c r="G230" s="321"/>
      <c r="H230" s="321"/>
      <c r="I230" s="321"/>
      <c r="J230" s="321"/>
      <c r="K230" s="321"/>
      <c r="L230" s="321"/>
    </row>
    <row r="231" ht="15.75" customHeight="1">
      <c r="A231" s="317"/>
      <c r="B231" s="318"/>
      <c r="C231" s="318"/>
      <c r="D231" s="319" t="str">
        <f t="shared" si="1"/>
        <v/>
      </c>
      <c r="E231" s="320"/>
      <c r="F231" s="320"/>
      <c r="G231" s="321"/>
      <c r="H231" s="321"/>
      <c r="I231" s="321"/>
      <c r="J231" s="321"/>
      <c r="K231" s="321"/>
      <c r="L231" s="321"/>
    </row>
    <row r="232" ht="15.75" customHeight="1">
      <c r="A232" s="317"/>
      <c r="B232" s="318"/>
      <c r="C232" s="318"/>
      <c r="D232" s="319" t="str">
        <f t="shared" si="1"/>
        <v/>
      </c>
      <c r="E232" s="320"/>
      <c r="F232" s="320"/>
      <c r="G232" s="321"/>
      <c r="H232" s="321"/>
      <c r="I232" s="321"/>
      <c r="J232" s="321"/>
      <c r="K232" s="321"/>
      <c r="L232" s="321"/>
    </row>
    <row r="233" ht="15.75" customHeight="1">
      <c r="A233" s="317"/>
      <c r="B233" s="318"/>
      <c r="C233" s="318"/>
      <c r="D233" s="319" t="str">
        <f t="shared" si="1"/>
        <v/>
      </c>
      <c r="E233" s="320"/>
      <c r="F233" s="320"/>
      <c r="G233" s="321"/>
      <c r="H233" s="321"/>
      <c r="I233" s="321"/>
      <c r="J233" s="321"/>
      <c r="K233" s="321"/>
      <c r="L233" s="321"/>
    </row>
    <row r="234" ht="15.75" customHeight="1">
      <c r="A234" s="317"/>
      <c r="B234" s="318"/>
      <c r="C234" s="318"/>
      <c r="D234" s="319" t="str">
        <f t="shared" si="1"/>
        <v/>
      </c>
      <c r="E234" s="320"/>
      <c r="F234" s="320"/>
      <c r="G234" s="321"/>
      <c r="H234" s="321"/>
      <c r="I234" s="321"/>
      <c r="J234" s="321"/>
      <c r="K234" s="321"/>
      <c r="L234" s="321"/>
    </row>
    <row r="235" ht="15.75" customHeight="1">
      <c r="A235" s="317"/>
      <c r="B235" s="318"/>
      <c r="C235" s="318"/>
      <c r="D235" s="319" t="str">
        <f t="shared" si="1"/>
        <v/>
      </c>
      <c r="E235" s="320"/>
      <c r="F235" s="320"/>
      <c r="G235" s="321"/>
      <c r="H235" s="321"/>
      <c r="I235" s="321"/>
      <c r="J235" s="321"/>
      <c r="K235" s="321"/>
      <c r="L235" s="321"/>
    </row>
    <row r="236" ht="15.75" customHeight="1">
      <c r="A236" s="317"/>
      <c r="B236" s="318"/>
      <c r="C236" s="318"/>
      <c r="D236" s="319" t="str">
        <f t="shared" si="1"/>
        <v/>
      </c>
      <c r="E236" s="320"/>
      <c r="F236" s="320"/>
      <c r="G236" s="321"/>
      <c r="H236" s="321"/>
      <c r="I236" s="321"/>
      <c r="J236" s="321"/>
      <c r="K236" s="321"/>
      <c r="L236" s="321"/>
    </row>
    <row r="237" ht="15.75" customHeight="1">
      <c r="A237" s="317"/>
      <c r="B237" s="318"/>
      <c r="C237" s="318"/>
      <c r="D237" s="319" t="str">
        <f t="shared" si="1"/>
        <v/>
      </c>
      <c r="E237" s="320"/>
      <c r="F237" s="320"/>
      <c r="G237" s="321"/>
      <c r="H237" s="321"/>
      <c r="I237" s="321"/>
      <c r="J237" s="321"/>
      <c r="K237" s="321"/>
      <c r="L237" s="321"/>
    </row>
    <row r="238" ht="15.75" customHeight="1">
      <c r="A238" s="317"/>
      <c r="B238" s="318"/>
      <c r="C238" s="318"/>
      <c r="D238" s="319" t="str">
        <f t="shared" si="1"/>
        <v/>
      </c>
      <c r="E238" s="320"/>
      <c r="F238" s="320"/>
      <c r="G238" s="321"/>
      <c r="H238" s="321"/>
      <c r="I238" s="321"/>
      <c r="J238" s="321"/>
      <c r="K238" s="321"/>
      <c r="L238" s="321"/>
    </row>
    <row r="239" ht="15.75" customHeight="1">
      <c r="A239" s="317"/>
      <c r="B239" s="318"/>
      <c r="C239" s="318"/>
      <c r="D239" s="319" t="str">
        <f t="shared" si="1"/>
        <v/>
      </c>
      <c r="E239" s="320"/>
      <c r="F239" s="320"/>
      <c r="G239" s="321"/>
      <c r="H239" s="321"/>
      <c r="I239" s="321"/>
      <c r="J239" s="321"/>
      <c r="K239" s="321"/>
      <c r="L239" s="321"/>
    </row>
    <row r="240" ht="15.75" customHeight="1">
      <c r="A240" s="317"/>
      <c r="B240" s="318"/>
      <c r="C240" s="318"/>
      <c r="D240" s="319" t="str">
        <f t="shared" si="1"/>
        <v/>
      </c>
      <c r="E240" s="320"/>
      <c r="F240" s="320"/>
      <c r="G240" s="321"/>
      <c r="H240" s="321"/>
      <c r="I240" s="321"/>
      <c r="J240" s="321"/>
      <c r="K240" s="321"/>
      <c r="L240" s="321"/>
    </row>
    <row r="241" ht="15.75" customHeight="1">
      <c r="A241" s="317"/>
      <c r="B241" s="318"/>
      <c r="C241" s="318"/>
      <c r="D241" s="319" t="str">
        <f t="shared" si="1"/>
        <v/>
      </c>
      <c r="E241" s="320"/>
      <c r="F241" s="320"/>
      <c r="G241" s="321"/>
      <c r="H241" s="321"/>
      <c r="I241" s="321"/>
      <c r="J241" s="321"/>
      <c r="K241" s="321"/>
      <c r="L241" s="321"/>
    </row>
    <row r="242" ht="15.75" customHeight="1">
      <c r="A242" s="317"/>
      <c r="B242" s="318"/>
      <c r="C242" s="318"/>
      <c r="D242" s="319" t="str">
        <f t="shared" si="1"/>
        <v/>
      </c>
      <c r="E242" s="320"/>
      <c r="F242" s="320"/>
      <c r="G242" s="321"/>
      <c r="H242" s="321"/>
      <c r="I242" s="321"/>
      <c r="J242" s="321"/>
      <c r="K242" s="321"/>
      <c r="L242" s="321"/>
    </row>
    <row r="243" ht="15.75" customHeight="1">
      <c r="A243" s="317"/>
      <c r="B243" s="318"/>
      <c r="C243" s="318"/>
      <c r="D243" s="319" t="str">
        <f t="shared" si="1"/>
        <v/>
      </c>
      <c r="E243" s="320"/>
      <c r="F243" s="320"/>
      <c r="G243" s="321"/>
      <c r="H243" s="321"/>
      <c r="I243" s="321"/>
      <c r="J243" s="321"/>
      <c r="K243" s="321"/>
      <c r="L243" s="321"/>
    </row>
    <row r="244" ht="15.75" customHeight="1">
      <c r="A244" s="317"/>
      <c r="B244" s="318"/>
      <c r="C244" s="318"/>
      <c r="D244" s="319" t="str">
        <f t="shared" si="1"/>
        <v/>
      </c>
      <c r="E244" s="320"/>
      <c r="F244" s="320"/>
      <c r="G244" s="321"/>
      <c r="H244" s="321"/>
      <c r="I244" s="321"/>
      <c r="J244" s="321"/>
      <c r="K244" s="321"/>
      <c r="L244" s="321"/>
    </row>
    <row r="245" ht="15.75" customHeight="1">
      <c r="A245" s="317"/>
      <c r="B245" s="318"/>
      <c r="C245" s="318"/>
      <c r="D245" s="319" t="str">
        <f t="shared" si="1"/>
        <v/>
      </c>
      <c r="E245" s="320"/>
      <c r="F245" s="320"/>
      <c r="G245" s="321"/>
      <c r="H245" s="321"/>
      <c r="I245" s="321"/>
      <c r="J245" s="321"/>
      <c r="K245" s="321"/>
      <c r="L245" s="321"/>
    </row>
    <row r="246" ht="15.75" customHeight="1">
      <c r="A246" s="317"/>
      <c r="B246" s="318"/>
      <c r="C246" s="318"/>
      <c r="D246" s="319" t="str">
        <f t="shared" si="1"/>
        <v/>
      </c>
      <c r="E246" s="320"/>
      <c r="F246" s="320"/>
      <c r="G246" s="321"/>
      <c r="H246" s="321"/>
      <c r="I246" s="321"/>
      <c r="J246" s="321"/>
      <c r="K246" s="321"/>
      <c r="L246" s="321"/>
    </row>
    <row r="247" ht="15.75" customHeight="1">
      <c r="A247" s="317"/>
      <c r="B247" s="318"/>
      <c r="C247" s="318"/>
      <c r="D247" s="319" t="str">
        <f t="shared" si="1"/>
        <v/>
      </c>
      <c r="E247" s="320"/>
      <c r="F247" s="320"/>
      <c r="G247" s="321"/>
      <c r="H247" s="321"/>
      <c r="I247" s="321"/>
      <c r="J247" s="321"/>
      <c r="K247" s="321"/>
      <c r="L247" s="321"/>
    </row>
    <row r="248" ht="15.75" customHeight="1">
      <c r="A248" s="317"/>
      <c r="B248" s="318"/>
      <c r="C248" s="318"/>
      <c r="D248" s="319" t="str">
        <f t="shared" si="1"/>
        <v/>
      </c>
      <c r="E248" s="320"/>
      <c r="F248" s="320"/>
      <c r="G248" s="321"/>
      <c r="H248" s="321"/>
      <c r="I248" s="321"/>
      <c r="J248" s="321"/>
      <c r="K248" s="321"/>
      <c r="L248" s="321"/>
    </row>
    <row r="249" ht="15.75" customHeight="1">
      <c r="A249" s="317"/>
      <c r="B249" s="318"/>
      <c r="C249" s="318"/>
      <c r="D249" s="319" t="str">
        <f t="shared" si="1"/>
        <v/>
      </c>
      <c r="E249" s="320"/>
      <c r="F249" s="320"/>
      <c r="G249" s="321"/>
      <c r="H249" s="321"/>
      <c r="I249" s="321"/>
      <c r="J249" s="321"/>
      <c r="K249" s="321"/>
      <c r="L249" s="321"/>
    </row>
    <row r="250" ht="15.75" customHeight="1">
      <c r="A250" s="317"/>
      <c r="B250" s="318"/>
      <c r="C250" s="318"/>
      <c r="D250" s="319" t="str">
        <f t="shared" si="1"/>
        <v/>
      </c>
      <c r="E250" s="320"/>
      <c r="F250" s="320"/>
      <c r="G250" s="321"/>
      <c r="H250" s="321"/>
      <c r="I250" s="321"/>
      <c r="J250" s="321"/>
      <c r="K250" s="321"/>
      <c r="L250" s="321"/>
    </row>
    <row r="251" ht="15.75" customHeight="1">
      <c r="A251" s="317"/>
      <c r="B251" s="318"/>
      <c r="C251" s="318"/>
      <c r="D251" s="319" t="str">
        <f t="shared" si="1"/>
        <v/>
      </c>
      <c r="E251" s="320"/>
      <c r="F251" s="320"/>
      <c r="G251" s="321"/>
      <c r="H251" s="321"/>
      <c r="I251" s="321"/>
      <c r="J251" s="321"/>
      <c r="K251" s="321"/>
      <c r="L251" s="321"/>
    </row>
    <row r="252" ht="15.75" customHeight="1">
      <c r="A252" s="317"/>
      <c r="B252" s="318"/>
      <c r="C252" s="318"/>
      <c r="D252" s="319" t="str">
        <f t="shared" si="1"/>
        <v/>
      </c>
      <c r="E252" s="320"/>
      <c r="F252" s="320"/>
      <c r="G252" s="321"/>
      <c r="H252" s="321"/>
      <c r="I252" s="321"/>
      <c r="J252" s="321"/>
      <c r="K252" s="321"/>
      <c r="L252" s="321"/>
    </row>
    <row r="253" ht="15.75" customHeight="1">
      <c r="A253" s="317"/>
      <c r="B253" s="318"/>
      <c r="C253" s="318"/>
      <c r="D253" s="319" t="str">
        <f t="shared" si="1"/>
        <v/>
      </c>
      <c r="E253" s="320"/>
      <c r="F253" s="320"/>
      <c r="G253" s="321"/>
      <c r="H253" s="321"/>
      <c r="I253" s="321"/>
      <c r="J253" s="321"/>
      <c r="K253" s="321"/>
      <c r="L253" s="321"/>
    </row>
    <row r="254" ht="15.75" customHeight="1">
      <c r="A254" s="317"/>
      <c r="B254" s="318"/>
      <c r="C254" s="318"/>
      <c r="D254" s="319" t="str">
        <f t="shared" si="1"/>
        <v/>
      </c>
      <c r="E254" s="320"/>
      <c r="F254" s="320"/>
      <c r="G254" s="321"/>
      <c r="H254" s="321"/>
      <c r="I254" s="321"/>
      <c r="J254" s="321"/>
      <c r="K254" s="321"/>
      <c r="L254" s="321"/>
    </row>
    <row r="255" ht="15.75" customHeight="1">
      <c r="A255" s="317"/>
      <c r="B255" s="318"/>
      <c r="C255" s="318"/>
      <c r="D255" s="319" t="str">
        <f t="shared" si="1"/>
        <v/>
      </c>
      <c r="E255" s="320"/>
      <c r="F255" s="320"/>
      <c r="G255" s="321"/>
      <c r="H255" s="321"/>
      <c r="I255" s="321"/>
      <c r="J255" s="321"/>
      <c r="K255" s="321"/>
      <c r="L255" s="321"/>
    </row>
    <row r="256" ht="15.75" customHeight="1">
      <c r="A256" s="317"/>
      <c r="B256" s="318"/>
      <c r="C256" s="318"/>
      <c r="D256" s="319" t="str">
        <f t="shared" si="1"/>
        <v/>
      </c>
      <c r="E256" s="320"/>
      <c r="F256" s="320"/>
      <c r="G256" s="321"/>
      <c r="H256" s="321"/>
      <c r="I256" s="321"/>
      <c r="J256" s="321"/>
      <c r="K256" s="321"/>
      <c r="L256" s="321"/>
    </row>
    <row r="257" ht="15.75" customHeight="1">
      <c r="A257" s="317"/>
      <c r="B257" s="318"/>
      <c r="C257" s="318"/>
      <c r="D257" s="319" t="str">
        <f t="shared" si="1"/>
        <v/>
      </c>
      <c r="E257" s="320"/>
      <c r="F257" s="320"/>
      <c r="G257" s="321"/>
      <c r="H257" s="321"/>
      <c r="I257" s="321"/>
      <c r="J257" s="321"/>
      <c r="K257" s="321"/>
      <c r="L257" s="321"/>
    </row>
    <row r="258" ht="15.75" customHeight="1">
      <c r="A258" s="317"/>
      <c r="B258" s="318"/>
      <c r="C258" s="318"/>
      <c r="D258" s="319" t="str">
        <f t="shared" si="1"/>
        <v/>
      </c>
      <c r="E258" s="320"/>
      <c r="F258" s="320"/>
      <c r="G258" s="321"/>
      <c r="H258" s="321"/>
      <c r="I258" s="321"/>
      <c r="J258" s="321"/>
      <c r="K258" s="321"/>
      <c r="L258" s="321"/>
    </row>
    <row r="259" ht="15.75" customHeight="1">
      <c r="A259" s="317"/>
      <c r="B259" s="318"/>
      <c r="C259" s="318"/>
      <c r="D259" s="319" t="str">
        <f t="shared" si="1"/>
        <v/>
      </c>
      <c r="E259" s="320"/>
      <c r="F259" s="320"/>
      <c r="G259" s="321"/>
      <c r="H259" s="321"/>
      <c r="I259" s="321"/>
      <c r="J259" s="321"/>
      <c r="K259" s="321"/>
      <c r="L259" s="321"/>
    </row>
    <row r="260" ht="15.75" customHeight="1">
      <c r="A260" s="317"/>
      <c r="B260" s="318"/>
      <c r="C260" s="318"/>
      <c r="D260" s="319" t="str">
        <f t="shared" si="1"/>
        <v/>
      </c>
      <c r="E260" s="320"/>
      <c r="F260" s="320"/>
      <c r="G260" s="321"/>
      <c r="H260" s="321"/>
      <c r="I260" s="321"/>
      <c r="J260" s="321"/>
      <c r="K260" s="321"/>
      <c r="L260" s="321"/>
    </row>
    <row r="261" ht="15.75" customHeight="1">
      <c r="A261" s="317"/>
      <c r="B261" s="318"/>
      <c r="C261" s="318"/>
      <c r="D261" s="319" t="str">
        <f t="shared" si="1"/>
        <v/>
      </c>
      <c r="E261" s="320"/>
      <c r="F261" s="320"/>
      <c r="G261" s="321"/>
      <c r="H261" s="321"/>
      <c r="I261" s="321"/>
      <c r="J261" s="321"/>
      <c r="K261" s="321"/>
      <c r="L261" s="321"/>
    </row>
    <row r="262" ht="15.75" customHeight="1">
      <c r="A262" s="317"/>
      <c r="B262" s="318"/>
      <c r="C262" s="318"/>
      <c r="D262" s="319" t="str">
        <f t="shared" si="1"/>
        <v/>
      </c>
      <c r="E262" s="320"/>
      <c r="F262" s="320"/>
      <c r="G262" s="321"/>
      <c r="H262" s="321"/>
      <c r="I262" s="321"/>
      <c r="J262" s="321"/>
      <c r="K262" s="321"/>
      <c r="L262" s="321"/>
    </row>
    <row r="263" ht="15.75" customHeight="1">
      <c r="A263" s="317"/>
      <c r="B263" s="318"/>
      <c r="C263" s="318"/>
      <c r="D263" s="319" t="str">
        <f t="shared" si="1"/>
        <v/>
      </c>
      <c r="E263" s="320"/>
      <c r="F263" s="320"/>
      <c r="G263" s="321"/>
      <c r="H263" s="321"/>
      <c r="I263" s="321"/>
      <c r="J263" s="321"/>
      <c r="K263" s="321"/>
      <c r="L263" s="321"/>
    </row>
    <row r="264" ht="15.75" customHeight="1">
      <c r="A264" s="317"/>
      <c r="B264" s="318"/>
      <c r="C264" s="318"/>
      <c r="D264" s="319" t="str">
        <f t="shared" si="1"/>
        <v/>
      </c>
      <c r="E264" s="320"/>
      <c r="F264" s="320"/>
      <c r="G264" s="321"/>
      <c r="H264" s="321"/>
      <c r="I264" s="321"/>
      <c r="J264" s="321"/>
      <c r="K264" s="321"/>
      <c r="L264" s="321"/>
    </row>
    <row r="265" ht="15.75" customHeight="1">
      <c r="A265" s="317"/>
      <c r="B265" s="318"/>
      <c r="C265" s="318"/>
      <c r="D265" s="319" t="str">
        <f t="shared" si="1"/>
        <v/>
      </c>
      <c r="E265" s="320"/>
      <c r="F265" s="320"/>
      <c r="G265" s="321"/>
      <c r="H265" s="321"/>
      <c r="I265" s="321"/>
      <c r="J265" s="321"/>
      <c r="K265" s="321"/>
      <c r="L265" s="321"/>
    </row>
    <row r="266" ht="15.75" customHeight="1">
      <c r="A266" s="317"/>
      <c r="B266" s="318"/>
      <c r="C266" s="318"/>
      <c r="D266" s="319" t="str">
        <f t="shared" si="1"/>
        <v/>
      </c>
      <c r="E266" s="320"/>
      <c r="F266" s="320"/>
      <c r="G266" s="321"/>
      <c r="H266" s="321"/>
      <c r="I266" s="321"/>
      <c r="J266" s="321"/>
      <c r="K266" s="321"/>
      <c r="L266" s="321"/>
    </row>
    <row r="267" ht="15.75" customHeight="1">
      <c r="A267" s="317"/>
      <c r="B267" s="318"/>
      <c r="C267" s="318"/>
      <c r="D267" s="319" t="str">
        <f t="shared" si="1"/>
        <v/>
      </c>
      <c r="E267" s="320"/>
      <c r="F267" s="320"/>
      <c r="G267" s="321"/>
      <c r="H267" s="321"/>
      <c r="I267" s="321"/>
      <c r="J267" s="321"/>
      <c r="K267" s="321"/>
      <c r="L267" s="321"/>
    </row>
    <row r="268" ht="15.75" customHeight="1">
      <c r="A268" s="317"/>
      <c r="B268" s="318"/>
      <c r="C268" s="318"/>
      <c r="D268" s="319" t="str">
        <f t="shared" si="1"/>
        <v/>
      </c>
      <c r="E268" s="320"/>
      <c r="F268" s="320"/>
      <c r="G268" s="321"/>
      <c r="H268" s="321"/>
      <c r="I268" s="321"/>
      <c r="J268" s="321"/>
      <c r="K268" s="321"/>
      <c r="L268" s="321"/>
    </row>
    <row r="269" ht="15.75" customHeight="1">
      <c r="A269" s="317"/>
      <c r="B269" s="318"/>
      <c r="C269" s="318"/>
      <c r="D269" s="319" t="str">
        <f t="shared" si="1"/>
        <v/>
      </c>
      <c r="E269" s="320"/>
      <c r="F269" s="320"/>
      <c r="G269" s="321"/>
      <c r="H269" s="321"/>
      <c r="I269" s="321"/>
      <c r="J269" s="321"/>
      <c r="K269" s="321"/>
      <c r="L269" s="321"/>
    </row>
    <row r="270" ht="15.75" customHeight="1">
      <c r="A270" s="317"/>
      <c r="B270" s="318"/>
      <c r="C270" s="318"/>
      <c r="D270" s="319" t="str">
        <f t="shared" si="1"/>
        <v/>
      </c>
      <c r="E270" s="320"/>
      <c r="F270" s="320"/>
      <c r="G270" s="321"/>
      <c r="H270" s="321"/>
      <c r="I270" s="321"/>
      <c r="J270" s="321"/>
      <c r="K270" s="321"/>
      <c r="L270" s="321"/>
    </row>
    <row r="271" ht="15.75" customHeight="1">
      <c r="A271" s="317"/>
      <c r="B271" s="318"/>
      <c r="C271" s="318"/>
      <c r="D271" s="319" t="str">
        <f t="shared" si="1"/>
        <v/>
      </c>
      <c r="E271" s="320"/>
      <c r="F271" s="320"/>
      <c r="G271" s="321"/>
      <c r="H271" s="321"/>
      <c r="I271" s="321"/>
      <c r="J271" s="321"/>
      <c r="K271" s="321"/>
      <c r="L271" s="321"/>
    </row>
    <row r="272" ht="15.75" customHeight="1">
      <c r="A272" s="317"/>
      <c r="B272" s="318"/>
      <c r="C272" s="318"/>
      <c r="D272" s="319" t="str">
        <f t="shared" si="1"/>
        <v/>
      </c>
      <c r="E272" s="320"/>
      <c r="F272" s="320"/>
      <c r="G272" s="321"/>
      <c r="H272" s="321"/>
      <c r="I272" s="321"/>
      <c r="J272" s="321"/>
      <c r="K272" s="321"/>
      <c r="L272" s="321"/>
    </row>
    <row r="273" ht="15.75" customHeight="1">
      <c r="A273" s="317"/>
      <c r="B273" s="318"/>
      <c r="C273" s="318"/>
      <c r="D273" s="319" t="str">
        <f t="shared" si="1"/>
        <v/>
      </c>
      <c r="E273" s="320"/>
      <c r="F273" s="320"/>
      <c r="G273" s="321"/>
      <c r="H273" s="321"/>
      <c r="I273" s="321"/>
      <c r="J273" s="321"/>
      <c r="K273" s="321"/>
      <c r="L273" s="321"/>
    </row>
    <row r="274" ht="15.75" customHeight="1">
      <c r="A274" s="317"/>
      <c r="B274" s="318"/>
      <c r="C274" s="318"/>
      <c r="D274" s="319" t="str">
        <f t="shared" si="1"/>
        <v/>
      </c>
      <c r="E274" s="320"/>
      <c r="F274" s="320"/>
      <c r="G274" s="321"/>
      <c r="H274" s="321"/>
      <c r="I274" s="321"/>
      <c r="J274" s="321"/>
      <c r="K274" s="321"/>
      <c r="L274" s="321"/>
    </row>
    <row r="275" ht="15.75" customHeight="1">
      <c r="A275" s="317"/>
      <c r="B275" s="318"/>
      <c r="C275" s="318"/>
      <c r="D275" s="319" t="str">
        <f t="shared" si="1"/>
        <v/>
      </c>
      <c r="E275" s="320"/>
      <c r="F275" s="320"/>
      <c r="G275" s="321"/>
      <c r="H275" s="321"/>
      <c r="I275" s="321"/>
      <c r="J275" s="321"/>
      <c r="K275" s="321"/>
      <c r="L275" s="321"/>
    </row>
    <row r="276" ht="15.75" customHeight="1">
      <c r="A276" s="317"/>
      <c r="B276" s="318"/>
      <c r="C276" s="318"/>
      <c r="D276" s="319" t="str">
        <f t="shared" si="1"/>
        <v/>
      </c>
      <c r="E276" s="320"/>
      <c r="F276" s="320"/>
      <c r="G276" s="321"/>
      <c r="H276" s="321"/>
      <c r="I276" s="321"/>
      <c r="J276" s="321"/>
      <c r="K276" s="321"/>
      <c r="L276" s="321"/>
    </row>
    <row r="277" ht="15.75" customHeight="1">
      <c r="A277" s="317"/>
      <c r="B277" s="318"/>
      <c r="C277" s="318"/>
      <c r="D277" s="319" t="str">
        <f t="shared" si="1"/>
        <v/>
      </c>
      <c r="E277" s="320"/>
      <c r="F277" s="320"/>
      <c r="G277" s="321"/>
      <c r="H277" s="321"/>
      <c r="I277" s="321"/>
      <c r="J277" s="321"/>
      <c r="K277" s="321"/>
      <c r="L277" s="321"/>
    </row>
    <row r="278" ht="15.75" customHeight="1">
      <c r="A278" s="317"/>
      <c r="B278" s="318"/>
      <c r="C278" s="318"/>
      <c r="D278" s="319" t="str">
        <f t="shared" si="1"/>
        <v/>
      </c>
      <c r="E278" s="320"/>
      <c r="F278" s="320"/>
      <c r="G278" s="321"/>
      <c r="H278" s="321"/>
      <c r="I278" s="321"/>
      <c r="J278" s="321"/>
      <c r="K278" s="321"/>
      <c r="L278" s="321"/>
    </row>
    <row r="279" ht="15.75" customHeight="1">
      <c r="A279" s="317"/>
      <c r="B279" s="318"/>
      <c r="C279" s="318"/>
      <c r="D279" s="319" t="str">
        <f t="shared" si="1"/>
        <v/>
      </c>
      <c r="E279" s="320"/>
      <c r="F279" s="320"/>
      <c r="G279" s="321"/>
      <c r="H279" s="321"/>
      <c r="I279" s="321"/>
      <c r="J279" s="321"/>
      <c r="K279" s="321"/>
      <c r="L279" s="321"/>
    </row>
    <row r="280" ht="15.75" customHeight="1">
      <c r="A280" s="317"/>
      <c r="B280" s="318"/>
      <c r="C280" s="318"/>
      <c r="D280" s="319" t="str">
        <f t="shared" si="1"/>
        <v/>
      </c>
      <c r="E280" s="320"/>
      <c r="F280" s="320"/>
      <c r="G280" s="321"/>
      <c r="H280" s="321"/>
      <c r="I280" s="321"/>
      <c r="J280" s="321"/>
      <c r="K280" s="321"/>
      <c r="L280" s="321"/>
    </row>
    <row r="281" ht="15.75" customHeight="1">
      <c r="A281" s="317"/>
      <c r="B281" s="318"/>
      <c r="C281" s="318"/>
      <c r="D281" s="319" t="str">
        <f t="shared" si="1"/>
        <v/>
      </c>
      <c r="E281" s="320"/>
      <c r="F281" s="320"/>
      <c r="G281" s="321"/>
      <c r="H281" s="321"/>
      <c r="I281" s="321"/>
      <c r="J281" s="321"/>
      <c r="K281" s="321"/>
      <c r="L281" s="321"/>
    </row>
    <row r="282" ht="15.75" customHeight="1">
      <c r="A282" s="317"/>
      <c r="B282" s="318"/>
      <c r="C282" s="318"/>
      <c r="D282" s="319" t="str">
        <f t="shared" si="1"/>
        <v/>
      </c>
      <c r="E282" s="320"/>
      <c r="F282" s="320"/>
      <c r="G282" s="321"/>
      <c r="H282" s="321"/>
      <c r="I282" s="321"/>
      <c r="J282" s="321"/>
      <c r="K282" s="321"/>
      <c r="L282" s="321"/>
    </row>
    <row r="283" ht="15.75" customHeight="1">
      <c r="A283" s="317"/>
      <c r="B283" s="318"/>
      <c r="C283" s="318"/>
      <c r="D283" s="319" t="str">
        <f t="shared" si="1"/>
        <v/>
      </c>
      <c r="E283" s="320"/>
      <c r="F283" s="320"/>
      <c r="G283" s="321"/>
      <c r="H283" s="321"/>
      <c r="I283" s="321"/>
      <c r="J283" s="321"/>
      <c r="K283" s="321"/>
      <c r="L283" s="321"/>
    </row>
    <row r="284" ht="15.75" customHeight="1">
      <c r="A284" s="317"/>
      <c r="B284" s="318"/>
      <c r="C284" s="318"/>
      <c r="D284" s="319" t="str">
        <f t="shared" si="1"/>
        <v/>
      </c>
      <c r="E284" s="320"/>
      <c r="F284" s="320"/>
      <c r="G284" s="321"/>
      <c r="H284" s="321"/>
      <c r="I284" s="321"/>
      <c r="J284" s="321"/>
      <c r="K284" s="321"/>
      <c r="L284" s="321"/>
    </row>
    <row r="285" ht="15.75" customHeight="1">
      <c r="A285" s="317"/>
      <c r="B285" s="318"/>
      <c r="C285" s="318"/>
      <c r="D285" s="319" t="str">
        <f t="shared" si="1"/>
        <v/>
      </c>
      <c r="E285" s="320"/>
      <c r="F285" s="320"/>
      <c r="G285" s="321"/>
      <c r="H285" s="321"/>
      <c r="I285" s="321"/>
      <c r="J285" s="321"/>
      <c r="K285" s="321"/>
      <c r="L285" s="321"/>
    </row>
    <row r="286" ht="15.75" customHeight="1">
      <c r="A286" s="317"/>
      <c r="B286" s="318"/>
      <c r="C286" s="318"/>
      <c r="D286" s="319" t="str">
        <f t="shared" si="1"/>
        <v/>
      </c>
      <c r="E286" s="320"/>
      <c r="F286" s="320"/>
      <c r="G286" s="321"/>
      <c r="H286" s="321"/>
      <c r="I286" s="321"/>
      <c r="J286" s="321"/>
      <c r="K286" s="321"/>
      <c r="L286" s="321"/>
    </row>
    <row r="287" ht="15.75" customHeight="1">
      <c r="A287" s="317"/>
      <c r="B287" s="318"/>
      <c r="C287" s="318"/>
      <c r="D287" s="319" t="str">
        <f t="shared" si="1"/>
        <v/>
      </c>
      <c r="E287" s="320"/>
      <c r="F287" s="320"/>
      <c r="G287" s="321"/>
      <c r="H287" s="321"/>
      <c r="I287" s="321"/>
      <c r="J287" s="321"/>
      <c r="K287" s="321"/>
      <c r="L287" s="321"/>
    </row>
    <row r="288" ht="15.75" customHeight="1">
      <c r="A288" s="317"/>
      <c r="B288" s="318"/>
      <c r="C288" s="318"/>
      <c r="D288" s="319" t="str">
        <f t="shared" si="1"/>
        <v/>
      </c>
      <c r="E288" s="320"/>
      <c r="F288" s="320"/>
      <c r="G288" s="321"/>
      <c r="H288" s="321"/>
      <c r="I288" s="321"/>
      <c r="J288" s="321"/>
      <c r="K288" s="321"/>
      <c r="L288" s="321"/>
    </row>
    <row r="289" ht="15.75" customHeight="1">
      <c r="A289" s="317"/>
      <c r="B289" s="318"/>
      <c r="C289" s="318"/>
      <c r="D289" s="319" t="str">
        <f t="shared" si="1"/>
        <v/>
      </c>
      <c r="E289" s="320"/>
      <c r="F289" s="320"/>
      <c r="G289" s="321"/>
      <c r="H289" s="321"/>
      <c r="I289" s="321"/>
      <c r="J289" s="321"/>
      <c r="K289" s="321"/>
      <c r="L289" s="321"/>
    </row>
    <row r="290" ht="15.75" customHeight="1">
      <c r="A290" s="317"/>
      <c r="B290" s="318"/>
      <c r="C290" s="318"/>
      <c r="D290" s="319" t="str">
        <f t="shared" si="1"/>
        <v/>
      </c>
      <c r="E290" s="320"/>
      <c r="F290" s="320"/>
      <c r="G290" s="321"/>
      <c r="H290" s="321"/>
      <c r="I290" s="321"/>
      <c r="J290" s="321"/>
      <c r="K290" s="321"/>
      <c r="L290" s="321"/>
    </row>
    <row r="291" ht="15.75" customHeight="1">
      <c r="A291" s="317"/>
      <c r="B291" s="318"/>
      <c r="C291" s="318"/>
      <c r="D291" s="319" t="str">
        <f t="shared" si="1"/>
        <v/>
      </c>
      <c r="E291" s="320"/>
      <c r="F291" s="320"/>
      <c r="G291" s="321"/>
      <c r="H291" s="321"/>
      <c r="I291" s="321"/>
      <c r="J291" s="321"/>
      <c r="K291" s="321"/>
      <c r="L291" s="321"/>
    </row>
    <row r="292" ht="15.75" customHeight="1">
      <c r="A292" s="317"/>
      <c r="B292" s="318"/>
      <c r="C292" s="318"/>
      <c r="D292" s="319" t="str">
        <f t="shared" si="1"/>
        <v/>
      </c>
      <c r="E292" s="320"/>
      <c r="F292" s="320"/>
      <c r="G292" s="321"/>
      <c r="H292" s="321"/>
      <c r="I292" s="321"/>
      <c r="J292" s="321"/>
      <c r="K292" s="321"/>
      <c r="L292" s="321"/>
    </row>
    <row r="293" ht="15.75" customHeight="1">
      <c r="A293" s="317"/>
      <c r="B293" s="318"/>
      <c r="C293" s="318"/>
      <c r="D293" s="319" t="str">
        <f t="shared" si="1"/>
        <v/>
      </c>
      <c r="E293" s="320"/>
      <c r="F293" s="320"/>
      <c r="G293" s="321"/>
      <c r="H293" s="321"/>
      <c r="I293" s="321"/>
      <c r="J293" s="321"/>
      <c r="K293" s="321"/>
      <c r="L293" s="321"/>
    </row>
    <row r="294" ht="15.75" customHeight="1">
      <c r="A294" s="317"/>
      <c r="B294" s="318"/>
      <c r="C294" s="318"/>
      <c r="D294" s="319" t="str">
        <f t="shared" si="1"/>
        <v/>
      </c>
      <c r="E294" s="320"/>
      <c r="F294" s="320"/>
      <c r="G294" s="321"/>
      <c r="H294" s="321"/>
      <c r="I294" s="321"/>
      <c r="J294" s="321"/>
      <c r="K294" s="321"/>
      <c r="L294" s="321"/>
    </row>
    <row r="295" ht="15.75" customHeight="1">
      <c r="A295" s="317"/>
      <c r="B295" s="318"/>
      <c r="C295" s="318"/>
      <c r="D295" s="319" t="str">
        <f t="shared" si="1"/>
        <v/>
      </c>
      <c r="E295" s="320"/>
      <c r="F295" s="320"/>
      <c r="G295" s="321"/>
      <c r="H295" s="321"/>
      <c r="I295" s="321"/>
      <c r="J295" s="321"/>
      <c r="K295" s="321"/>
      <c r="L295" s="321"/>
    </row>
    <row r="296" ht="15.75" customHeight="1">
      <c r="A296" s="317"/>
      <c r="B296" s="318"/>
      <c r="C296" s="318"/>
      <c r="D296" s="319" t="str">
        <f t="shared" si="1"/>
        <v/>
      </c>
      <c r="E296" s="320"/>
      <c r="F296" s="320"/>
      <c r="G296" s="321"/>
      <c r="H296" s="321"/>
      <c r="I296" s="321"/>
      <c r="J296" s="321"/>
      <c r="K296" s="321"/>
      <c r="L296" s="321"/>
    </row>
    <row r="297" ht="15.75" customHeight="1">
      <c r="A297" s="317"/>
      <c r="B297" s="318"/>
      <c r="C297" s="318"/>
      <c r="D297" s="319" t="str">
        <f t="shared" si="1"/>
        <v/>
      </c>
      <c r="E297" s="320"/>
      <c r="F297" s="320"/>
      <c r="G297" s="321"/>
      <c r="H297" s="321"/>
      <c r="I297" s="321"/>
      <c r="J297" s="321"/>
      <c r="K297" s="321"/>
      <c r="L297" s="321"/>
    </row>
    <row r="298" ht="15.75" customHeight="1">
      <c r="A298" s="317"/>
      <c r="B298" s="318"/>
      <c r="C298" s="318"/>
      <c r="D298" s="319" t="str">
        <f t="shared" si="1"/>
        <v/>
      </c>
      <c r="E298" s="320"/>
      <c r="F298" s="320"/>
      <c r="G298" s="321"/>
      <c r="H298" s="321"/>
      <c r="I298" s="321"/>
      <c r="J298" s="321"/>
      <c r="K298" s="321"/>
      <c r="L298" s="321"/>
    </row>
    <row r="299" ht="15.75" customHeight="1">
      <c r="A299" s="317"/>
      <c r="B299" s="318"/>
      <c r="C299" s="318"/>
      <c r="D299" s="319" t="str">
        <f t="shared" si="1"/>
        <v/>
      </c>
      <c r="E299" s="320"/>
      <c r="F299" s="320"/>
      <c r="G299" s="321"/>
      <c r="H299" s="321"/>
      <c r="I299" s="321"/>
      <c r="J299" s="321"/>
      <c r="K299" s="321"/>
      <c r="L299" s="321"/>
    </row>
    <row r="300" ht="15.75" customHeight="1">
      <c r="A300" s="317"/>
      <c r="B300" s="318"/>
      <c r="C300" s="318"/>
      <c r="D300" s="319" t="str">
        <f t="shared" si="1"/>
        <v/>
      </c>
      <c r="E300" s="320"/>
      <c r="F300" s="320"/>
      <c r="G300" s="321"/>
      <c r="H300" s="321"/>
      <c r="I300" s="321"/>
      <c r="J300" s="321"/>
      <c r="K300" s="321"/>
      <c r="L300" s="321"/>
    </row>
    <row r="301" ht="15.75" customHeight="1">
      <c r="A301" s="317"/>
      <c r="B301" s="318"/>
      <c r="C301" s="318"/>
      <c r="D301" s="319" t="str">
        <f t="shared" si="1"/>
        <v/>
      </c>
      <c r="E301" s="320"/>
      <c r="F301" s="320"/>
      <c r="G301" s="321"/>
      <c r="H301" s="321"/>
      <c r="I301" s="321"/>
      <c r="J301" s="321"/>
      <c r="K301" s="321"/>
      <c r="L301" s="321"/>
    </row>
    <row r="302" ht="15.75" customHeight="1">
      <c r="A302" s="317"/>
      <c r="B302" s="318"/>
      <c r="C302" s="318"/>
      <c r="D302" s="319" t="str">
        <f t="shared" si="1"/>
        <v/>
      </c>
      <c r="E302" s="320"/>
      <c r="F302" s="320"/>
      <c r="G302" s="321"/>
      <c r="H302" s="321"/>
      <c r="I302" s="321"/>
      <c r="J302" s="321"/>
      <c r="K302" s="321"/>
      <c r="L302" s="321"/>
    </row>
    <row r="303" ht="15.75" customHeight="1">
      <c r="A303" s="317"/>
      <c r="B303" s="318"/>
      <c r="C303" s="318"/>
      <c r="D303" s="319" t="str">
        <f t="shared" si="1"/>
        <v/>
      </c>
      <c r="E303" s="320"/>
      <c r="F303" s="320"/>
      <c r="G303" s="321"/>
      <c r="H303" s="321"/>
      <c r="I303" s="321"/>
      <c r="J303" s="321"/>
      <c r="K303" s="321"/>
      <c r="L303" s="321"/>
    </row>
    <row r="304" ht="15.75" customHeight="1">
      <c r="A304" s="317"/>
      <c r="B304" s="318"/>
      <c r="C304" s="318"/>
      <c r="D304" s="319" t="str">
        <f t="shared" si="1"/>
        <v/>
      </c>
      <c r="E304" s="320"/>
      <c r="F304" s="320"/>
      <c r="G304" s="321"/>
      <c r="H304" s="321"/>
      <c r="I304" s="321"/>
      <c r="J304" s="321"/>
      <c r="K304" s="321"/>
      <c r="L304" s="321"/>
    </row>
    <row r="305" ht="15.75" customHeight="1">
      <c r="A305" s="317"/>
      <c r="B305" s="318"/>
      <c r="C305" s="318"/>
      <c r="D305" s="319" t="str">
        <f t="shared" si="1"/>
        <v/>
      </c>
      <c r="E305" s="320"/>
      <c r="F305" s="320"/>
      <c r="G305" s="321"/>
      <c r="H305" s="321"/>
      <c r="I305" s="321"/>
      <c r="J305" s="321"/>
      <c r="K305" s="321"/>
      <c r="L305" s="321"/>
    </row>
    <row r="306" ht="15.75" customHeight="1">
      <c r="A306" s="317"/>
      <c r="B306" s="318"/>
      <c r="C306" s="318"/>
      <c r="D306" s="319" t="str">
        <f t="shared" si="1"/>
        <v/>
      </c>
      <c r="E306" s="320"/>
      <c r="F306" s="320"/>
      <c r="G306" s="321"/>
      <c r="H306" s="321"/>
      <c r="I306" s="321"/>
      <c r="J306" s="321"/>
      <c r="K306" s="321"/>
      <c r="L306" s="321"/>
    </row>
    <row r="307" ht="15.75" customHeight="1">
      <c r="A307" s="317"/>
      <c r="B307" s="318"/>
      <c r="C307" s="318"/>
      <c r="D307" s="319" t="str">
        <f t="shared" si="1"/>
        <v/>
      </c>
      <c r="E307" s="320"/>
      <c r="F307" s="320"/>
      <c r="G307" s="321"/>
      <c r="H307" s="321"/>
      <c r="I307" s="321"/>
      <c r="J307" s="321"/>
      <c r="K307" s="321"/>
      <c r="L307" s="321"/>
    </row>
    <row r="308" ht="15.75" customHeight="1">
      <c r="A308" s="317"/>
      <c r="B308" s="318"/>
      <c r="C308" s="318"/>
      <c r="D308" s="319" t="str">
        <f t="shared" si="1"/>
        <v/>
      </c>
      <c r="E308" s="320"/>
      <c r="F308" s="320"/>
      <c r="G308" s="321"/>
      <c r="H308" s="321"/>
      <c r="I308" s="321"/>
      <c r="J308" s="321"/>
      <c r="K308" s="321"/>
      <c r="L308" s="321"/>
    </row>
    <row r="309" ht="15.75" customHeight="1">
      <c r="A309" s="317"/>
      <c r="B309" s="318"/>
      <c r="C309" s="318"/>
      <c r="D309" s="319" t="str">
        <f t="shared" si="1"/>
        <v/>
      </c>
      <c r="E309" s="320"/>
      <c r="F309" s="320"/>
      <c r="G309" s="321"/>
      <c r="H309" s="321"/>
      <c r="I309" s="321"/>
      <c r="J309" s="321"/>
      <c r="K309" s="321"/>
      <c r="L309" s="321"/>
    </row>
    <row r="310" ht="15.75" customHeight="1">
      <c r="A310" s="317"/>
      <c r="B310" s="318"/>
      <c r="C310" s="318"/>
      <c r="D310" s="319" t="str">
        <f t="shared" si="1"/>
        <v/>
      </c>
      <c r="E310" s="320"/>
      <c r="F310" s="320"/>
      <c r="G310" s="321"/>
      <c r="H310" s="321"/>
      <c r="I310" s="321"/>
      <c r="J310" s="321"/>
      <c r="K310" s="321"/>
      <c r="L310" s="321"/>
    </row>
    <row r="311" ht="15.75" customHeight="1">
      <c r="A311" s="317"/>
      <c r="B311" s="318"/>
      <c r="C311" s="318"/>
      <c r="D311" s="319" t="str">
        <f t="shared" si="1"/>
        <v/>
      </c>
      <c r="E311" s="320"/>
      <c r="F311" s="320"/>
      <c r="G311" s="321"/>
      <c r="H311" s="321"/>
      <c r="I311" s="321"/>
      <c r="J311" s="321"/>
      <c r="K311" s="321"/>
      <c r="L311" s="321"/>
    </row>
    <row r="312" ht="15.75" customHeight="1">
      <c r="A312" s="317"/>
      <c r="B312" s="318"/>
      <c r="C312" s="318"/>
      <c r="D312" s="319" t="str">
        <f t="shared" si="1"/>
        <v/>
      </c>
      <c r="E312" s="320"/>
      <c r="F312" s="320"/>
      <c r="G312" s="321"/>
      <c r="H312" s="321"/>
      <c r="I312" s="321"/>
      <c r="J312" s="321"/>
      <c r="K312" s="321"/>
      <c r="L312" s="321"/>
    </row>
    <row r="313" ht="15.75" customHeight="1">
      <c r="A313" s="317"/>
      <c r="B313" s="318"/>
      <c r="C313" s="318"/>
      <c r="D313" s="319" t="str">
        <f t="shared" si="1"/>
        <v/>
      </c>
      <c r="E313" s="320"/>
      <c r="F313" s="320"/>
      <c r="G313" s="321"/>
      <c r="H313" s="321"/>
      <c r="I313" s="321"/>
      <c r="J313" s="321"/>
      <c r="K313" s="321"/>
      <c r="L313" s="321"/>
    </row>
    <row r="314" ht="15.75" customHeight="1">
      <c r="A314" s="317"/>
      <c r="B314" s="318"/>
      <c r="C314" s="318"/>
      <c r="D314" s="319" t="str">
        <f t="shared" si="1"/>
        <v/>
      </c>
      <c r="E314" s="320"/>
      <c r="F314" s="320"/>
      <c r="G314" s="321"/>
      <c r="H314" s="321"/>
      <c r="I314" s="321"/>
      <c r="J314" s="321"/>
      <c r="K314" s="321"/>
      <c r="L314" s="321"/>
    </row>
    <row r="315" ht="15.75" customHeight="1">
      <c r="A315" s="317"/>
      <c r="B315" s="318"/>
      <c r="C315" s="318"/>
      <c r="D315" s="319" t="str">
        <f t="shared" si="1"/>
        <v/>
      </c>
      <c r="E315" s="320"/>
      <c r="F315" s="320"/>
      <c r="G315" s="321"/>
      <c r="H315" s="321"/>
      <c r="I315" s="321"/>
      <c r="J315" s="321"/>
      <c r="K315" s="321"/>
      <c r="L315" s="321"/>
    </row>
    <row r="316" ht="15.75" customHeight="1">
      <c r="A316" s="317"/>
      <c r="B316" s="318"/>
      <c r="C316" s="318"/>
      <c r="D316" s="319" t="str">
        <f t="shared" si="1"/>
        <v/>
      </c>
      <c r="E316" s="320"/>
      <c r="F316" s="320"/>
      <c r="G316" s="321"/>
      <c r="H316" s="321"/>
      <c r="I316" s="321"/>
      <c r="J316" s="321"/>
      <c r="K316" s="321"/>
      <c r="L316" s="321"/>
    </row>
    <row r="317" ht="15.75" customHeight="1">
      <c r="A317" s="317"/>
      <c r="B317" s="318"/>
      <c r="C317" s="318"/>
      <c r="D317" s="319" t="str">
        <f t="shared" si="1"/>
        <v/>
      </c>
      <c r="E317" s="320"/>
      <c r="F317" s="320"/>
      <c r="G317" s="321"/>
      <c r="H317" s="321"/>
      <c r="I317" s="321"/>
      <c r="J317" s="321"/>
      <c r="K317" s="321"/>
      <c r="L317" s="321"/>
    </row>
    <row r="318" ht="15.75" customHeight="1">
      <c r="A318" s="317"/>
      <c r="B318" s="318"/>
      <c r="C318" s="318"/>
      <c r="D318" s="319" t="str">
        <f t="shared" si="1"/>
        <v/>
      </c>
      <c r="E318" s="320"/>
      <c r="F318" s="320"/>
      <c r="G318" s="321"/>
      <c r="H318" s="321"/>
      <c r="I318" s="321"/>
      <c r="J318" s="321"/>
      <c r="K318" s="321"/>
      <c r="L318" s="321"/>
    </row>
    <row r="319" ht="15.75" customHeight="1">
      <c r="A319" s="317"/>
      <c r="B319" s="318"/>
      <c r="C319" s="318"/>
      <c r="D319" s="319" t="str">
        <f t="shared" si="1"/>
        <v/>
      </c>
      <c r="E319" s="320"/>
      <c r="F319" s="320"/>
      <c r="G319" s="321"/>
      <c r="H319" s="321"/>
      <c r="I319" s="321"/>
      <c r="J319" s="321"/>
      <c r="K319" s="321"/>
      <c r="L319" s="321"/>
    </row>
    <row r="320" ht="15.75" customHeight="1">
      <c r="A320" s="317"/>
      <c r="B320" s="318"/>
      <c r="C320" s="318"/>
      <c r="D320" s="319" t="str">
        <f t="shared" si="1"/>
        <v/>
      </c>
      <c r="E320" s="320"/>
      <c r="F320" s="320"/>
      <c r="G320" s="321"/>
      <c r="H320" s="321"/>
      <c r="I320" s="321"/>
      <c r="J320" s="321"/>
      <c r="K320" s="321"/>
      <c r="L320" s="321"/>
    </row>
    <row r="321" ht="15.75" customHeight="1">
      <c r="A321" s="317"/>
      <c r="B321" s="318"/>
      <c r="C321" s="318"/>
      <c r="D321" s="319" t="str">
        <f t="shared" si="1"/>
        <v/>
      </c>
      <c r="E321" s="320"/>
      <c r="F321" s="320"/>
      <c r="G321" s="321"/>
      <c r="H321" s="321"/>
      <c r="I321" s="321"/>
      <c r="J321" s="321"/>
      <c r="K321" s="321"/>
      <c r="L321" s="321"/>
    </row>
    <row r="322" ht="15.75" customHeight="1">
      <c r="A322" s="317"/>
      <c r="B322" s="318"/>
      <c r="C322" s="318"/>
      <c r="D322" s="319" t="str">
        <f t="shared" si="1"/>
        <v/>
      </c>
      <c r="E322" s="320"/>
      <c r="F322" s="320"/>
      <c r="G322" s="321"/>
      <c r="H322" s="321"/>
      <c r="I322" s="321"/>
      <c r="J322" s="321"/>
      <c r="K322" s="321"/>
      <c r="L322" s="321"/>
    </row>
    <row r="323" ht="15.75" customHeight="1">
      <c r="A323" s="317"/>
      <c r="B323" s="318"/>
      <c r="C323" s="318"/>
      <c r="D323" s="319" t="str">
        <f t="shared" si="1"/>
        <v/>
      </c>
      <c r="E323" s="320"/>
      <c r="F323" s="320"/>
      <c r="G323" s="321"/>
      <c r="H323" s="321"/>
      <c r="I323" s="321"/>
      <c r="J323" s="321"/>
      <c r="K323" s="321"/>
      <c r="L323" s="321"/>
    </row>
    <row r="324" ht="15.75" customHeight="1">
      <c r="A324" s="317"/>
      <c r="B324" s="318"/>
      <c r="C324" s="318"/>
      <c r="D324" s="319" t="str">
        <f t="shared" si="1"/>
        <v/>
      </c>
      <c r="E324" s="320"/>
      <c r="F324" s="320"/>
      <c r="G324" s="321"/>
      <c r="H324" s="321"/>
      <c r="I324" s="321"/>
      <c r="J324" s="321"/>
      <c r="K324" s="321"/>
      <c r="L324" s="321"/>
    </row>
    <row r="325" ht="15.75" customHeight="1">
      <c r="A325" s="317"/>
      <c r="B325" s="318"/>
      <c r="C325" s="318"/>
      <c r="D325" s="319" t="str">
        <f t="shared" si="1"/>
        <v/>
      </c>
      <c r="E325" s="320"/>
      <c r="F325" s="320"/>
      <c r="G325" s="321"/>
      <c r="H325" s="321"/>
      <c r="I325" s="321"/>
      <c r="J325" s="321"/>
      <c r="K325" s="321"/>
      <c r="L325" s="321"/>
    </row>
    <row r="326" ht="15.75" customHeight="1">
      <c r="A326" s="317"/>
      <c r="B326" s="318"/>
      <c r="C326" s="318"/>
      <c r="D326" s="319" t="str">
        <f t="shared" si="1"/>
        <v/>
      </c>
      <c r="E326" s="320"/>
      <c r="F326" s="320"/>
      <c r="G326" s="321"/>
      <c r="H326" s="321"/>
      <c r="I326" s="321"/>
      <c r="J326" s="321"/>
      <c r="K326" s="321"/>
      <c r="L326" s="321"/>
    </row>
    <row r="327" ht="15.75" customHeight="1">
      <c r="A327" s="317"/>
      <c r="B327" s="318"/>
      <c r="C327" s="318"/>
      <c r="D327" s="319" t="str">
        <f t="shared" si="1"/>
        <v/>
      </c>
      <c r="E327" s="320"/>
      <c r="F327" s="320"/>
      <c r="G327" s="321"/>
      <c r="H327" s="321"/>
      <c r="I327" s="321"/>
      <c r="J327" s="321"/>
      <c r="K327" s="321"/>
      <c r="L327" s="321"/>
    </row>
    <row r="328" ht="15.75" customHeight="1">
      <c r="A328" s="317"/>
      <c r="B328" s="318"/>
      <c r="C328" s="318"/>
      <c r="D328" s="319" t="str">
        <f t="shared" si="1"/>
        <v/>
      </c>
      <c r="E328" s="320"/>
      <c r="F328" s="320"/>
      <c r="G328" s="321"/>
      <c r="H328" s="321"/>
      <c r="I328" s="321"/>
      <c r="J328" s="321"/>
      <c r="K328" s="321"/>
      <c r="L328" s="321"/>
    </row>
    <row r="329" ht="15.75" customHeight="1">
      <c r="A329" s="317"/>
      <c r="B329" s="318"/>
      <c r="C329" s="318"/>
      <c r="D329" s="319" t="str">
        <f t="shared" si="1"/>
        <v/>
      </c>
      <c r="E329" s="320"/>
      <c r="F329" s="320"/>
      <c r="G329" s="321"/>
      <c r="H329" s="321"/>
      <c r="I329" s="321"/>
      <c r="J329" s="321"/>
      <c r="K329" s="321"/>
      <c r="L329" s="321"/>
    </row>
    <row r="330" ht="15.75" customHeight="1">
      <c r="A330" s="317"/>
      <c r="B330" s="318"/>
      <c r="C330" s="318"/>
      <c r="D330" s="319" t="str">
        <f t="shared" si="1"/>
        <v/>
      </c>
      <c r="E330" s="320"/>
      <c r="F330" s="320"/>
      <c r="G330" s="321"/>
      <c r="H330" s="321"/>
      <c r="I330" s="321"/>
      <c r="J330" s="321"/>
      <c r="K330" s="321"/>
      <c r="L330" s="321"/>
    </row>
    <row r="331" ht="15.75" customHeight="1">
      <c r="A331" s="317"/>
      <c r="B331" s="318"/>
      <c r="C331" s="318"/>
      <c r="D331" s="319" t="str">
        <f t="shared" si="1"/>
        <v/>
      </c>
      <c r="E331" s="320"/>
      <c r="F331" s="320"/>
      <c r="G331" s="321"/>
      <c r="H331" s="321"/>
      <c r="I331" s="321"/>
      <c r="J331" s="321"/>
      <c r="K331" s="321"/>
      <c r="L331" s="321"/>
    </row>
    <row r="332" ht="15.75" customHeight="1">
      <c r="A332" s="317"/>
      <c r="B332" s="318"/>
      <c r="C332" s="318"/>
      <c r="D332" s="319" t="str">
        <f t="shared" si="1"/>
        <v/>
      </c>
      <c r="E332" s="320"/>
      <c r="F332" s="320"/>
      <c r="G332" s="321"/>
      <c r="H332" s="321"/>
      <c r="I332" s="321"/>
      <c r="J332" s="321"/>
      <c r="K332" s="321"/>
      <c r="L332" s="321"/>
    </row>
    <row r="333" ht="15.75" customHeight="1">
      <c r="A333" s="317"/>
      <c r="B333" s="318"/>
      <c r="C333" s="318"/>
      <c r="D333" s="319" t="str">
        <f t="shared" si="1"/>
        <v/>
      </c>
      <c r="E333" s="320"/>
      <c r="F333" s="320"/>
      <c r="G333" s="321"/>
      <c r="H333" s="321"/>
      <c r="I333" s="321"/>
      <c r="J333" s="321"/>
      <c r="K333" s="321"/>
      <c r="L333" s="321"/>
    </row>
    <row r="334" ht="15.75" customHeight="1">
      <c r="A334" s="317"/>
      <c r="B334" s="318"/>
      <c r="C334" s="318"/>
      <c r="D334" s="319" t="str">
        <f t="shared" si="1"/>
        <v/>
      </c>
      <c r="E334" s="320"/>
      <c r="F334" s="320"/>
      <c r="G334" s="321"/>
      <c r="H334" s="321"/>
      <c r="I334" s="321"/>
      <c r="J334" s="321"/>
      <c r="K334" s="321"/>
      <c r="L334" s="321"/>
    </row>
    <row r="335" ht="15.75" customHeight="1">
      <c r="A335" s="317"/>
      <c r="B335" s="318"/>
      <c r="C335" s="318"/>
      <c r="D335" s="319" t="str">
        <f t="shared" si="1"/>
        <v/>
      </c>
      <c r="E335" s="320"/>
      <c r="F335" s="320"/>
      <c r="G335" s="321"/>
      <c r="H335" s="321"/>
      <c r="I335" s="321"/>
      <c r="J335" s="321"/>
      <c r="K335" s="321"/>
      <c r="L335" s="321"/>
    </row>
    <row r="336" ht="15.75" customHeight="1">
      <c r="A336" s="317"/>
      <c r="B336" s="318"/>
      <c r="C336" s="318"/>
      <c r="D336" s="319" t="str">
        <f t="shared" si="1"/>
        <v/>
      </c>
      <c r="E336" s="320"/>
      <c r="F336" s="320"/>
      <c r="G336" s="321"/>
      <c r="H336" s="321"/>
      <c r="I336" s="321"/>
      <c r="J336" s="321"/>
      <c r="K336" s="321"/>
      <c r="L336" s="321"/>
    </row>
    <row r="337" ht="15.75" customHeight="1">
      <c r="A337" s="317"/>
      <c r="B337" s="318"/>
      <c r="C337" s="318"/>
      <c r="D337" s="319" t="str">
        <f t="shared" si="1"/>
        <v/>
      </c>
      <c r="E337" s="320"/>
      <c r="F337" s="320"/>
      <c r="G337" s="321"/>
      <c r="H337" s="321"/>
      <c r="I337" s="321"/>
      <c r="J337" s="321"/>
      <c r="K337" s="321"/>
      <c r="L337" s="321"/>
    </row>
    <row r="338" ht="15.75" customHeight="1">
      <c r="A338" s="317"/>
      <c r="B338" s="318"/>
      <c r="C338" s="318"/>
      <c r="D338" s="319" t="str">
        <f t="shared" si="1"/>
        <v/>
      </c>
      <c r="E338" s="320"/>
      <c r="F338" s="320"/>
      <c r="G338" s="321"/>
      <c r="H338" s="321"/>
      <c r="I338" s="321"/>
      <c r="J338" s="321"/>
      <c r="K338" s="321"/>
      <c r="L338" s="321"/>
    </row>
    <row r="339" ht="15.75" customHeight="1">
      <c r="A339" s="317"/>
      <c r="B339" s="318"/>
      <c r="C339" s="318"/>
      <c r="D339" s="319" t="str">
        <f t="shared" si="1"/>
        <v/>
      </c>
      <c r="E339" s="320"/>
      <c r="F339" s="320"/>
      <c r="G339" s="321"/>
      <c r="H339" s="321"/>
      <c r="I339" s="321"/>
      <c r="J339" s="321"/>
      <c r="K339" s="321"/>
      <c r="L339" s="321"/>
    </row>
    <row r="340" ht="15.75" customHeight="1">
      <c r="A340" s="317"/>
      <c r="B340" s="318"/>
      <c r="C340" s="318"/>
      <c r="D340" s="319" t="str">
        <f t="shared" si="1"/>
        <v/>
      </c>
      <c r="E340" s="320"/>
      <c r="F340" s="320"/>
      <c r="G340" s="321"/>
      <c r="H340" s="321"/>
      <c r="I340" s="321"/>
      <c r="J340" s="321"/>
      <c r="K340" s="321"/>
      <c r="L340" s="321"/>
    </row>
    <row r="341" ht="15.75" customHeight="1">
      <c r="A341" s="317"/>
      <c r="B341" s="318"/>
      <c r="C341" s="318"/>
      <c r="D341" s="319" t="str">
        <f t="shared" si="1"/>
        <v/>
      </c>
      <c r="E341" s="320"/>
      <c r="F341" s="320"/>
      <c r="G341" s="321"/>
      <c r="H341" s="321"/>
      <c r="I341" s="321"/>
      <c r="J341" s="321"/>
      <c r="K341" s="321"/>
      <c r="L341" s="321"/>
    </row>
    <row r="342" ht="15.75" customHeight="1">
      <c r="A342" s="317"/>
      <c r="B342" s="318"/>
      <c r="C342" s="318"/>
      <c r="D342" s="319" t="str">
        <f t="shared" si="1"/>
        <v/>
      </c>
      <c r="E342" s="320"/>
      <c r="F342" s="320"/>
      <c r="G342" s="321"/>
      <c r="H342" s="321"/>
      <c r="I342" s="321"/>
      <c r="J342" s="321"/>
      <c r="K342" s="321"/>
      <c r="L342" s="321"/>
    </row>
    <row r="343" ht="15.75" customHeight="1">
      <c r="A343" s="317"/>
      <c r="B343" s="318"/>
      <c r="C343" s="318"/>
      <c r="D343" s="319" t="str">
        <f t="shared" si="1"/>
        <v/>
      </c>
      <c r="E343" s="320"/>
      <c r="F343" s="320"/>
      <c r="G343" s="321"/>
      <c r="H343" s="321"/>
      <c r="I343" s="321"/>
      <c r="J343" s="321"/>
      <c r="K343" s="321"/>
      <c r="L343" s="321"/>
    </row>
    <row r="344" ht="15.75" customHeight="1">
      <c r="A344" s="317"/>
      <c r="B344" s="318"/>
      <c r="C344" s="318"/>
      <c r="D344" s="319" t="str">
        <f t="shared" si="1"/>
        <v/>
      </c>
      <c r="E344" s="320"/>
      <c r="F344" s="320"/>
      <c r="G344" s="321"/>
      <c r="H344" s="321"/>
      <c r="I344" s="321"/>
      <c r="J344" s="321"/>
      <c r="K344" s="321"/>
      <c r="L344" s="321"/>
    </row>
    <row r="345" ht="15.75" customHeight="1">
      <c r="A345" s="317"/>
      <c r="B345" s="318"/>
      <c r="C345" s="318"/>
      <c r="D345" s="319" t="str">
        <f t="shared" si="1"/>
        <v/>
      </c>
      <c r="E345" s="320"/>
      <c r="F345" s="320"/>
      <c r="G345" s="321"/>
      <c r="H345" s="321"/>
      <c r="I345" s="321"/>
      <c r="J345" s="321"/>
      <c r="K345" s="321"/>
      <c r="L345" s="321"/>
    </row>
    <row r="346" ht="15.75" customHeight="1">
      <c r="A346" s="317"/>
      <c r="B346" s="318"/>
      <c r="C346" s="318"/>
      <c r="D346" s="319" t="str">
        <f t="shared" si="1"/>
        <v/>
      </c>
      <c r="E346" s="320"/>
      <c r="F346" s="320"/>
      <c r="G346" s="321"/>
      <c r="H346" s="321"/>
      <c r="I346" s="321"/>
      <c r="J346" s="321"/>
      <c r="K346" s="321"/>
      <c r="L346" s="321"/>
    </row>
    <row r="347" ht="15.75" customHeight="1">
      <c r="A347" s="317"/>
      <c r="B347" s="318"/>
      <c r="C347" s="318"/>
      <c r="D347" s="319" t="str">
        <f t="shared" si="1"/>
        <v/>
      </c>
      <c r="E347" s="320"/>
      <c r="F347" s="320"/>
      <c r="G347" s="321"/>
      <c r="H347" s="321"/>
      <c r="I347" s="321"/>
      <c r="J347" s="321"/>
      <c r="K347" s="321"/>
      <c r="L347" s="321"/>
    </row>
    <row r="348" ht="15.75" customHeight="1">
      <c r="A348" s="317"/>
      <c r="B348" s="318"/>
      <c r="C348" s="318"/>
      <c r="D348" s="319" t="str">
        <f t="shared" si="1"/>
        <v/>
      </c>
      <c r="E348" s="320"/>
      <c r="F348" s="320"/>
      <c r="G348" s="321"/>
      <c r="H348" s="321"/>
      <c r="I348" s="321"/>
      <c r="J348" s="321"/>
      <c r="K348" s="321"/>
      <c r="L348" s="321"/>
    </row>
    <row r="349" ht="15.75" customHeight="1">
      <c r="A349" s="317"/>
      <c r="B349" s="318"/>
      <c r="C349" s="318"/>
      <c r="D349" s="319" t="str">
        <f t="shared" si="1"/>
        <v/>
      </c>
      <c r="E349" s="320"/>
      <c r="F349" s="320"/>
      <c r="G349" s="321"/>
      <c r="H349" s="321"/>
      <c r="I349" s="321"/>
      <c r="J349" s="321"/>
      <c r="K349" s="321"/>
      <c r="L349" s="321"/>
    </row>
    <row r="350" ht="15.75" customHeight="1">
      <c r="A350" s="317"/>
      <c r="B350" s="318"/>
      <c r="C350" s="318"/>
      <c r="D350" s="319" t="str">
        <f t="shared" si="1"/>
        <v/>
      </c>
      <c r="E350" s="320"/>
      <c r="F350" s="320"/>
      <c r="G350" s="321"/>
      <c r="H350" s="321"/>
      <c r="I350" s="321"/>
      <c r="J350" s="321"/>
      <c r="K350" s="321"/>
      <c r="L350" s="321"/>
    </row>
    <row r="351" ht="15.75" customHeight="1">
      <c r="A351" s="317"/>
      <c r="B351" s="318"/>
      <c r="C351" s="318"/>
      <c r="D351" s="319" t="str">
        <f t="shared" si="1"/>
        <v/>
      </c>
      <c r="E351" s="320"/>
      <c r="F351" s="320"/>
      <c r="G351" s="321"/>
      <c r="H351" s="321"/>
      <c r="I351" s="321"/>
      <c r="J351" s="321"/>
      <c r="K351" s="321"/>
      <c r="L351" s="321"/>
    </row>
    <row r="352" ht="15.75" customHeight="1">
      <c r="A352" s="317"/>
      <c r="B352" s="318"/>
      <c r="C352" s="318"/>
      <c r="D352" s="319" t="str">
        <f t="shared" si="1"/>
        <v/>
      </c>
      <c r="E352" s="320"/>
      <c r="F352" s="320"/>
      <c r="G352" s="321"/>
      <c r="H352" s="321"/>
      <c r="I352" s="321"/>
      <c r="J352" s="321"/>
      <c r="K352" s="321"/>
      <c r="L352" s="321"/>
    </row>
    <row r="353" ht="15.75" customHeight="1">
      <c r="A353" s="317"/>
      <c r="B353" s="318"/>
      <c r="C353" s="318"/>
      <c r="D353" s="319" t="str">
        <f t="shared" si="1"/>
        <v/>
      </c>
      <c r="E353" s="320"/>
      <c r="F353" s="320"/>
      <c r="G353" s="321"/>
      <c r="H353" s="321"/>
      <c r="I353" s="321"/>
      <c r="J353" s="321"/>
      <c r="K353" s="321"/>
      <c r="L353" s="321"/>
    </row>
    <row r="354" ht="15.75" customHeight="1">
      <c r="A354" s="317"/>
      <c r="B354" s="318"/>
      <c r="C354" s="318"/>
      <c r="D354" s="319" t="str">
        <f t="shared" si="1"/>
        <v/>
      </c>
      <c r="E354" s="320"/>
      <c r="F354" s="320"/>
      <c r="G354" s="321"/>
      <c r="H354" s="321"/>
      <c r="I354" s="321"/>
      <c r="J354" s="321"/>
      <c r="K354" s="321"/>
      <c r="L354" s="321"/>
    </row>
    <row r="355" ht="15.75" customHeight="1">
      <c r="A355" s="317"/>
      <c r="B355" s="318"/>
      <c r="C355" s="318"/>
      <c r="D355" s="319" t="str">
        <f t="shared" si="1"/>
        <v/>
      </c>
      <c r="E355" s="320"/>
      <c r="F355" s="320"/>
      <c r="G355" s="321"/>
      <c r="H355" s="321"/>
      <c r="I355" s="321"/>
      <c r="J355" s="321"/>
      <c r="K355" s="321"/>
      <c r="L355" s="321"/>
    </row>
    <row r="356" ht="15.75" customHeight="1">
      <c r="A356" s="317"/>
      <c r="B356" s="318"/>
      <c r="C356" s="318"/>
      <c r="D356" s="319" t="str">
        <f t="shared" si="1"/>
        <v/>
      </c>
      <c r="E356" s="320"/>
      <c r="F356" s="320"/>
      <c r="G356" s="321"/>
      <c r="H356" s="321"/>
      <c r="I356" s="321"/>
      <c r="J356" s="321"/>
      <c r="K356" s="321"/>
      <c r="L356" s="321"/>
    </row>
    <row r="357" ht="15.75" customHeight="1">
      <c r="A357" s="317"/>
      <c r="B357" s="318"/>
      <c r="C357" s="318"/>
      <c r="D357" s="319" t="str">
        <f t="shared" si="1"/>
        <v/>
      </c>
      <c r="E357" s="320"/>
      <c r="F357" s="320"/>
      <c r="G357" s="321"/>
      <c r="H357" s="321"/>
      <c r="I357" s="321"/>
      <c r="J357" s="321"/>
      <c r="K357" s="321"/>
      <c r="L357" s="321"/>
    </row>
    <row r="358" ht="15.75" customHeight="1">
      <c r="A358" s="317"/>
      <c r="B358" s="318"/>
      <c r="C358" s="318"/>
      <c r="D358" s="319" t="str">
        <f t="shared" si="1"/>
        <v/>
      </c>
      <c r="E358" s="320"/>
      <c r="F358" s="320"/>
      <c r="G358" s="321"/>
      <c r="H358" s="321"/>
      <c r="I358" s="321"/>
      <c r="J358" s="321"/>
      <c r="K358" s="321"/>
      <c r="L358" s="321"/>
    </row>
    <row r="359" ht="15.75" customHeight="1">
      <c r="A359" s="317"/>
      <c r="B359" s="318"/>
      <c r="C359" s="318"/>
      <c r="D359" s="319" t="str">
        <f t="shared" si="1"/>
        <v/>
      </c>
      <c r="E359" s="320"/>
      <c r="F359" s="320"/>
      <c r="G359" s="321"/>
      <c r="H359" s="321"/>
      <c r="I359" s="321"/>
      <c r="J359" s="321"/>
      <c r="K359" s="321"/>
      <c r="L359" s="321"/>
    </row>
    <row r="360" ht="15.75" customHeight="1">
      <c r="A360" s="317"/>
      <c r="B360" s="318"/>
      <c r="C360" s="318"/>
      <c r="D360" s="319" t="str">
        <f t="shared" si="1"/>
        <v/>
      </c>
      <c r="E360" s="320"/>
      <c r="F360" s="320"/>
      <c r="G360" s="321"/>
      <c r="H360" s="321"/>
      <c r="I360" s="321"/>
      <c r="J360" s="321"/>
      <c r="K360" s="321"/>
      <c r="L360" s="321"/>
    </row>
    <row r="361" ht="15.75" customHeight="1">
      <c r="A361" s="317"/>
      <c r="B361" s="318"/>
      <c r="C361" s="318"/>
      <c r="D361" s="319" t="str">
        <f t="shared" si="1"/>
        <v/>
      </c>
      <c r="E361" s="320"/>
      <c r="F361" s="320"/>
      <c r="G361" s="321"/>
      <c r="H361" s="321"/>
      <c r="I361" s="321"/>
      <c r="J361" s="321"/>
      <c r="K361" s="321"/>
      <c r="L361" s="321"/>
    </row>
    <row r="362" ht="15.75" customHeight="1">
      <c r="A362" s="317"/>
      <c r="B362" s="318"/>
      <c r="C362" s="318"/>
      <c r="D362" s="319" t="str">
        <f t="shared" si="1"/>
        <v/>
      </c>
      <c r="E362" s="320"/>
      <c r="F362" s="320"/>
      <c r="G362" s="321"/>
      <c r="H362" s="321"/>
      <c r="I362" s="321"/>
      <c r="J362" s="321"/>
      <c r="K362" s="321"/>
      <c r="L362" s="321"/>
    </row>
    <row r="363" ht="15.75" customHeight="1">
      <c r="A363" s="317"/>
      <c r="B363" s="318"/>
      <c r="C363" s="318"/>
      <c r="D363" s="319" t="str">
        <f t="shared" si="1"/>
        <v/>
      </c>
      <c r="E363" s="320"/>
      <c r="F363" s="320"/>
      <c r="G363" s="321"/>
      <c r="H363" s="321"/>
      <c r="I363" s="321"/>
      <c r="J363" s="321"/>
      <c r="K363" s="321"/>
      <c r="L363" s="321"/>
    </row>
    <row r="364" ht="15.75" customHeight="1">
      <c r="A364" s="317"/>
      <c r="B364" s="318"/>
      <c r="C364" s="318"/>
      <c r="D364" s="319" t="str">
        <f t="shared" si="1"/>
        <v/>
      </c>
      <c r="E364" s="320"/>
      <c r="F364" s="320"/>
      <c r="G364" s="321"/>
      <c r="H364" s="321"/>
      <c r="I364" s="321"/>
      <c r="J364" s="321"/>
      <c r="K364" s="321"/>
      <c r="L364" s="321"/>
    </row>
    <row r="365" ht="15.75" customHeight="1">
      <c r="A365" s="317"/>
      <c r="B365" s="318"/>
      <c r="C365" s="318"/>
      <c r="D365" s="319" t="str">
        <f t="shared" si="1"/>
        <v/>
      </c>
      <c r="E365" s="320"/>
      <c r="F365" s="320"/>
      <c r="G365" s="321"/>
      <c r="H365" s="321"/>
      <c r="I365" s="321"/>
      <c r="J365" s="321"/>
      <c r="K365" s="321"/>
      <c r="L365" s="321"/>
    </row>
    <row r="366" ht="15.75" customHeight="1">
      <c r="A366" s="317"/>
      <c r="B366" s="318"/>
      <c r="C366" s="318"/>
      <c r="D366" s="319" t="str">
        <f t="shared" si="1"/>
        <v/>
      </c>
      <c r="E366" s="320"/>
      <c r="F366" s="320"/>
      <c r="G366" s="321"/>
      <c r="H366" s="321"/>
      <c r="I366" s="321"/>
      <c r="J366" s="321"/>
      <c r="K366" s="321"/>
      <c r="L366" s="321"/>
    </row>
    <row r="367" ht="15.75" customHeight="1">
      <c r="A367" s="317"/>
      <c r="B367" s="318"/>
      <c r="C367" s="318"/>
      <c r="D367" s="319" t="str">
        <f t="shared" si="1"/>
        <v/>
      </c>
      <c r="E367" s="320"/>
      <c r="F367" s="320"/>
      <c r="G367" s="321"/>
      <c r="H367" s="321"/>
      <c r="I367" s="321"/>
      <c r="J367" s="321"/>
      <c r="K367" s="321"/>
      <c r="L367" s="321"/>
    </row>
    <row r="368" ht="15.75" customHeight="1">
      <c r="A368" s="317"/>
      <c r="B368" s="318"/>
      <c r="C368" s="318"/>
      <c r="D368" s="319" t="str">
        <f t="shared" si="1"/>
        <v/>
      </c>
      <c r="E368" s="320"/>
      <c r="F368" s="320"/>
      <c r="G368" s="321"/>
      <c r="H368" s="321"/>
      <c r="I368" s="321"/>
      <c r="J368" s="321"/>
      <c r="K368" s="321"/>
      <c r="L368" s="321"/>
    </row>
    <row r="369" ht="15.75" customHeight="1">
      <c r="A369" s="317"/>
      <c r="B369" s="318"/>
      <c r="C369" s="318"/>
      <c r="D369" s="319" t="str">
        <f t="shared" si="1"/>
        <v/>
      </c>
      <c r="E369" s="320"/>
      <c r="F369" s="320"/>
      <c r="G369" s="321"/>
      <c r="H369" s="321"/>
      <c r="I369" s="321"/>
      <c r="J369" s="321"/>
      <c r="K369" s="321"/>
      <c r="L369" s="321"/>
    </row>
    <row r="370" ht="15.75" customHeight="1">
      <c r="A370" s="317"/>
      <c r="B370" s="318"/>
      <c r="C370" s="318"/>
      <c r="D370" s="319" t="str">
        <f t="shared" si="1"/>
        <v/>
      </c>
      <c r="E370" s="320"/>
      <c r="F370" s="320"/>
      <c r="G370" s="321"/>
      <c r="H370" s="321"/>
      <c r="I370" s="321"/>
      <c r="J370" s="321"/>
      <c r="K370" s="321"/>
      <c r="L370" s="321"/>
    </row>
    <row r="371" ht="15.75" customHeight="1">
      <c r="A371" s="317"/>
      <c r="B371" s="318"/>
      <c r="C371" s="318"/>
      <c r="D371" s="319" t="str">
        <f t="shared" si="1"/>
        <v/>
      </c>
      <c r="E371" s="320"/>
      <c r="F371" s="320"/>
      <c r="G371" s="321"/>
      <c r="H371" s="321"/>
      <c r="I371" s="321"/>
      <c r="J371" s="321"/>
      <c r="K371" s="321"/>
      <c r="L371" s="321"/>
    </row>
    <row r="372" ht="15.75" customHeight="1">
      <c r="A372" s="317"/>
      <c r="B372" s="318"/>
      <c r="C372" s="318"/>
      <c r="D372" s="319" t="str">
        <f t="shared" si="1"/>
        <v/>
      </c>
      <c r="E372" s="320"/>
      <c r="F372" s="320"/>
      <c r="G372" s="321"/>
      <c r="H372" s="321"/>
      <c r="I372" s="321"/>
      <c r="J372" s="321"/>
      <c r="K372" s="321"/>
      <c r="L372" s="321"/>
    </row>
    <row r="373" ht="15.75" customHeight="1">
      <c r="A373" s="317"/>
      <c r="B373" s="318"/>
      <c r="C373" s="318"/>
      <c r="D373" s="319" t="str">
        <f t="shared" si="1"/>
        <v/>
      </c>
      <c r="E373" s="320"/>
      <c r="F373" s="320"/>
      <c r="G373" s="321"/>
      <c r="H373" s="321"/>
      <c r="I373" s="321"/>
      <c r="J373" s="321"/>
      <c r="K373" s="321"/>
      <c r="L373" s="321"/>
    </row>
    <row r="374" ht="15.75" customHeight="1">
      <c r="A374" s="317"/>
      <c r="B374" s="318"/>
      <c r="C374" s="318"/>
      <c r="D374" s="319" t="str">
        <f t="shared" si="1"/>
        <v/>
      </c>
      <c r="E374" s="320"/>
      <c r="F374" s="320"/>
      <c r="G374" s="321"/>
      <c r="H374" s="321"/>
      <c r="I374" s="321"/>
      <c r="J374" s="321"/>
      <c r="K374" s="321"/>
      <c r="L374" s="321"/>
    </row>
    <row r="375" ht="15.75" customHeight="1">
      <c r="A375" s="317"/>
      <c r="B375" s="318"/>
      <c r="C375" s="318"/>
      <c r="D375" s="319" t="str">
        <f t="shared" si="1"/>
        <v/>
      </c>
      <c r="E375" s="320"/>
      <c r="F375" s="320"/>
      <c r="G375" s="321"/>
      <c r="H375" s="321"/>
      <c r="I375" s="321"/>
      <c r="J375" s="321"/>
      <c r="K375" s="321"/>
      <c r="L375" s="321"/>
    </row>
    <row r="376" ht="15.75" customHeight="1">
      <c r="A376" s="317"/>
      <c r="B376" s="318"/>
      <c r="C376" s="318"/>
      <c r="D376" s="319" t="str">
        <f t="shared" si="1"/>
        <v/>
      </c>
      <c r="E376" s="320"/>
      <c r="F376" s="320"/>
      <c r="G376" s="321"/>
      <c r="H376" s="321"/>
      <c r="I376" s="321"/>
      <c r="J376" s="321"/>
      <c r="K376" s="321"/>
      <c r="L376" s="321"/>
    </row>
    <row r="377" ht="15.75" customHeight="1">
      <c r="A377" s="317"/>
      <c r="B377" s="318"/>
      <c r="C377" s="318"/>
      <c r="D377" s="319" t="str">
        <f t="shared" si="1"/>
        <v/>
      </c>
      <c r="E377" s="320"/>
      <c r="F377" s="320"/>
      <c r="G377" s="321"/>
      <c r="H377" s="321"/>
      <c r="I377" s="321"/>
      <c r="J377" s="321"/>
      <c r="K377" s="321"/>
      <c r="L377" s="321"/>
    </row>
    <row r="378" ht="15.75" customHeight="1">
      <c r="A378" s="317"/>
      <c r="B378" s="318"/>
      <c r="C378" s="318"/>
      <c r="D378" s="319" t="str">
        <f t="shared" si="1"/>
        <v/>
      </c>
      <c r="E378" s="320"/>
      <c r="F378" s="320"/>
      <c r="G378" s="321"/>
      <c r="H378" s="321"/>
      <c r="I378" s="321"/>
      <c r="J378" s="321"/>
      <c r="K378" s="321"/>
      <c r="L378" s="321"/>
    </row>
    <row r="379" ht="15.75" customHeight="1">
      <c r="A379" s="317"/>
      <c r="B379" s="318"/>
      <c r="C379" s="318"/>
      <c r="D379" s="319" t="str">
        <f t="shared" si="1"/>
        <v/>
      </c>
      <c r="E379" s="320"/>
      <c r="F379" s="320"/>
      <c r="G379" s="321"/>
      <c r="H379" s="321"/>
      <c r="I379" s="321"/>
      <c r="J379" s="321"/>
      <c r="K379" s="321"/>
      <c r="L379" s="321"/>
    </row>
    <row r="380" ht="15.75" customHeight="1">
      <c r="A380" s="317"/>
      <c r="B380" s="318"/>
      <c r="C380" s="318"/>
      <c r="D380" s="319" t="str">
        <f t="shared" si="1"/>
        <v/>
      </c>
      <c r="E380" s="320"/>
      <c r="F380" s="320"/>
      <c r="G380" s="321"/>
      <c r="H380" s="321"/>
      <c r="I380" s="321"/>
      <c r="J380" s="321"/>
      <c r="K380" s="321"/>
      <c r="L380" s="321"/>
    </row>
    <row r="381" ht="15.75" customHeight="1">
      <c r="A381" s="317"/>
      <c r="B381" s="318"/>
      <c r="C381" s="318"/>
      <c r="D381" s="319" t="str">
        <f t="shared" si="1"/>
        <v/>
      </c>
      <c r="E381" s="320"/>
      <c r="F381" s="320"/>
      <c r="G381" s="321"/>
      <c r="H381" s="321"/>
      <c r="I381" s="321"/>
      <c r="J381" s="321"/>
      <c r="K381" s="321"/>
      <c r="L381" s="321"/>
    </row>
    <row r="382" ht="15.75" customHeight="1">
      <c r="A382" s="317"/>
      <c r="B382" s="318"/>
      <c r="C382" s="318"/>
      <c r="D382" s="319" t="str">
        <f t="shared" si="1"/>
        <v/>
      </c>
      <c r="E382" s="320"/>
      <c r="F382" s="320"/>
      <c r="G382" s="321"/>
      <c r="H382" s="321"/>
      <c r="I382" s="321"/>
      <c r="J382" s="321"/>
      <c r="K382" s="321"/>
      <c r="L382" s="321"/>
    </row>
    <row r="383" ht="15.75" customHeight="1">
      <c r="A383" s="317"/>
      <c r="B383" s="318"/>
      <c r="C383" s="318"/>
      <c r="D383" s="319" t="str">
        <f t="shared" si="1"/>
        <v/>
      </c>
      <c r="E383" s="320"/>
      <c r="F383" s="320"/>
      <c r="G383" s="321"/>
      <c r="H383" s="321"/>
      <c r="I383" s="321"/>
      <c r="J383" s="321"/>
      <c r="K383" s="321"/>
      <c r="L383" s="321"/>
    </row>
    <row r="384" ht="15.75" customHeight="1">
      <c r="A384" s="317"/>
      <c r="B384" s="318"/>
      <c r="C384" s="318"/>
      <c r="D384" s="319" t="str">
        <f t="shared" si="1"/>
        <v/>
      </c>
      <c r="E384" s="320"/>
      <c r="F384" s="320"/>
      <c r="G384" s="321"/>
      <c r="H384" s="321"/>
      <c r="I384" s="321"/>
      <c r="J384" s="321"/>
      <c r="K384" s="321"/>
      <c r="L384" s="321"/>
    </row>
    <row r="385" ht="15.75" customHeight="1">
      <c r="A385" s="317"/>
      <c r="B385" s="318"/>
      <c r="C385" s="318"/>
      <c r="D385" s="319" t="str">
        <f t="shared" si="1"/>
        <v/>
      </c>
      <c r="E385" s="320"/>
      <c r="F385" s="320"/>
      <c r="G385" s="321"/>
      <c r="H385" s="321"/>
      <c r="I385" s="321"/>
      <c r="J385" s="321"/>
      <c r="K385" s="321"/>
      <c r="L385" s="321"/>
    </row>
    <row r="386" ht="15.75" customHeight="1">
      <c r="A386" s="317"/>
      <c r="B386" s="318"/>
      <c r="C386" s="318"/>
      <c r="D386" s="319" t="str">
        <f t="shared" si="1"/>
        <v/>
      </c>
      <c r="E386" s="320"/>
      <c r="F386" s="320"/>
      <c r="G386" s="321"/>
      <c r="H386" s="321"/>
      <c r="I386" s="321"/>
      <c r="J386" s="321"/>
      <c r="K386" s="321"/>
      <c r="L386" s="321"/>
    </row>
    <row r="387" ht="15.75" customHeight="1">
      <c r="A387" s="317"/>
      <c r="B387" s="318"/>
      <c r="C387" s="318"/>
      <c r="D387" s="319" t="str">
        <f t="shared" si="1"/>
        <v/>
      </c>
      <c r="E387" s="320"/>
      <c r="F387" s="320"/>
      <c r="G387" s="321"/>
      <c r="H387" s="321"/>
      <c r="I387" s="321"/>
      <c r="J387" s="321"/>
      <c r="K387" s="321"/>
      <c r="L387" s="321"/>
    </row>
    <row r="388" ht="15.75" customHeight="1">
      <c r="A388" s="317"/>
      <c r="B388" s="318"/>
      <c r="C388" s="318"/>
      <c r="D388" s="319" t="str">
        <f t="shared" si="1"/>
        <v/>
      </c>
      <c r="E388" s="320"/>
      <c r="F388" s="320"/>
      <c r="G388" s="321"/>
      <c r="H388" s="321"/>
      <c r="I388" s="321"/>
      <c r="J388" s="321"/>
      <c r="K388" s="321"/>
      <c r="L388" s="321"/>
    </row>
    <row r="389" ht="15.75" customHeight="1">
      <c r="A389" s="317"/>
      <c r="B389" s="318"/>
      <c r="C389" s="318"/>
      <c r="D389" s="319" t="str">
        <f t="shared" si="1"/>
        <v/>
      </c>
      <c r="E389" s="320"/>
      <c r="F389" s="320"/>
      <c r="G389" s="321"/>
      <c r="H389" s="321"/>
      <c r="I389" s="321"/>
      <c r="J389" s="321"/>
      <c r="K389" s="321"/>
      <c r="L389" s="321"/>
    </row>
    <row r="390" ht="15.75" customHeight="1">
      <c r="A390" s="317"/>
      <c r="B390" s="318"/>
      <c r="C390" s="318"/>
      <c r="D390" s="319" t="str">
        <f t="shared" si="1"/>
        <v/>
      </c>
      <c r="E390" s="320"/>
      <c r="F390" s="320"/>
      <c r="G390" s="321"/>
      <c r="H390" s="321"/>
      <c r="I390" s="321"/>
      <c r="J390" s="321"/>
      <c r="K390" s="321"/>
      <c r="L390" s="321"/>
    </row>
    <row r="391" ht="15.75" customHeight="1">
      <c r="A391" s="317"/>
      <c r="B391" s="318"/>
      <c r="C391" s="318"/>
      <c r="D391" s="319" t="str">
        <f t="shared" si="1"/>
        <v/>
      </c>
      <c r="E391" s="320"/>
      <c r="F391" s="320"/>
      <c r="G391" s="321"/>
      <c r="H391" s="321"/>
      <c r="I391" s="321"/>
      <c r="J391" s="321"/>
      <c r="K391" s="321"/>
      <c r="L391" s="321"/>
    </row>
    <row r="392" ht="15.75" customHeight="1">
      <c r="A392" s="317"/>
      <c r="B392" s="318"/>
      <c r="C392" s="318"/>
      <c r="D392" s="319" t="str">
        <f t="shared" si="1"/>
        <v/>
      </c>
      <c r="E392" s="320"/>
      <c r="F392" s="320"/>
      <c r="G392" s="321"/>
      <c r="H392" s="321"/>
      <c r="I392" s="321"/>
      <c r="J392" s="321"/>
      <c r="K392" s="321"/>
      <c r="L392" s="321"/>
    </row>
    <row r="393" ht="15.75" customHeight="1">
      <c r="A393" s="317"/>
      <c r="B393" s="318"/>
      <c r="C393" s="318"/>
      <c r="D393" s="319" t="str">
        <f t="shared" si="1"/>
        <v/>
      </c>
      <c r="E393" s="320"/>
      <c r="F393" s="320"/>
      <c r="G393" s="321"/>
      <c r="H393" s="321"/>
      <c r="I393" s="321"/>
      <c r="J393" s="321"/>
      <c r="K393" s="321"/>
      <c r="L393" s="321"/>
    </row>
    <row r="394" ht="15.75" customHeight="1">
      <c r="A394" s="317"/>
      <c r="B394" s="318"/>
      <c r="C394" s="318"/>
      <c r="D394" s="319" t="str">
        <f t="shared" si="1"/>
        <v/>
      </c>
      <c r="E394" s="320"/>
      <c r="F394" s="320"/>
      <c r="G394" s="321"/>
      <c r="H394" s="321"/>
      <c r="I394" s="321"/>
      <c r="J394" s="321"/>
      <c r="K394" s="321"/>
      <c r="L394" s="321"/>
    </row>
    <row r="395" ht="15.75" customHeight="1">
      <c r="A395" s="317"/>
      <c r="B395" s="318"/>
      <c r="C395" s="318"/>
      <c r="D395" s="319" t="str">
        <f t="shared" si="1"/>
        <v/>
      </c>
      <c r="E395" s="320"/>
      <c r="F395" s="320"/>
      <c r="G395" s="321"/>
      <c r="H395" s="321"/>
      <c r="I395" s="321"/>
      <c r="J395" s="321"/>
      <c r="K395" s="321"/>
      <c r="L395" s="321"/>
    </row>
    <row r="396" ht="15.75" customHeight="1">
      <c r="A396" s="317"/>
      <c r="B396" s="318"/>
      <c r="C396" s="318"/>
      <c r="D396" s="319" t="str">
        <f t="shared" si="1"/>
        <v/>
      </c>
      <c r="E396" s="320"/>
      <c r="F396" s="320"/>
      <c r="G396" s="321"/>
      <c r="H396" s="321"/>
      <c r="I396" s="321"/>
      <c r="J396" s="321"/>
      <c r="K396" s="321"/>
      <c r="L396" s="321"/>
    </row>
    <row r="397" ht="15.75" customHeight="1">
      <c r="A397" s="317"/>
      <c r="B397" s="318"/>
      <c r="C397" s="318"/>
      <c r="D397" s="319" t="str">
        <f t="shared" si="1"/>
        <v/>
      </c>
      <c r="E397" s="320"/>
      <c r="F397" s="320"/>
      <c r="G397" s="321"/>
      <c r="H397" s="321"/>
      <c r="I397" s="321"/>
      <c r="J397" s="321"/>
      <c r="K397" s="321"/>
      <c r="L397" s="321"/>
    </row>
    <row r="398" ht="15.75" customHeight="1">
      <c r="A398" s="317"/>
      <c r="B398" s="318"/>
      <c r="C398" s="318"/>
      <c r="D398" s="319" t="str">
        <f t="shared" si="1"/>
        <v/>
      </c>
      <c r="E398" s="320"/>
      <c r="F398" s="320"/>
      <c r="G398" s="321"/>
      <c r="H398" s="321"/>
      <c r="I398" s="321"/>
      <c r="J398" s="321"/>
      <c r="K398" s="321"/>
      <c r="L398" s="321"/>
    </row>
    <row r="399" ht="15.75" customHeight="1">
      <c r="A399" s="317"/>
      <c r="B399" s="318"/>
      <c r="C399" s="318"/>
      <c r="D399" s="319" t="str">
        <f t="shared" si="1"/>
        <v/>
      </c>
      <c r="E399" s="320"/>
      <c r="F399" s="320"/>
      <c r="G399" s="321"/>
      <c r="H399" s="321"/>
      <c r="I399" s="321"/>
      <c r="J399" s="321"/>
      <c r="K399" s="321"/>
      <c r="L399" s="321"/>
    </row>
    <row r="400" ht="15.75" customHeight="1">
      <c r="A400" s="317"/>
      <c r="B400" s="318"/>
      <c r="C400" s="318"/>
      <c r="D400" s="319" t="str">
        <f t="shared" si="1"/>
        <v/>
      </c>
      <c r="E400" s="320"/>
      <c r="F400" s="320"/>
      <c r="G400" s="321"/>
      <c r="H400" s="321"/>
      <c r="I400" s="321"/>
      <c r="J400" s="321"/>
      <c r="K400" s="321"/>
      <c r="L400" s="321"/>
    </row>
    <row r="401" ht="15.75" customHeight="1">
      <c r="A401" s="317"/>
      <c r="B401" s="318"/>
      <c r="C401" s="318"/>
      <c r="D401" s="319" t="str">
        <f t="shared" si="1"/>
        <v/>
      </c>
      <c r="E401" s="320"/>
      <c r="F401" s="320"/>
      <c r="G401" s="321"/>
      <c r="H401" s="321"/>
      <c r="I401" s="321"/>
      <c r="J401" s="321"/>
      <c r="K401" s="321"/>
      <c r="L401" s="321"/>
    </row>
    <row r="402" ht="15.75" customHeight="1">
      <c r="A402" s="317"/>
      <c r="B402" s="318"/>
      <c r="C402" s="318"/>
      <c r="D402" s="319" t="str">
        <f t="shared" si="1"/>
        <v/>
      </c>
      <c r="E402" s="320"/>
      <c r="F402" s="320"/>
      <c r="G402" s="321"/>
      <c r="H402" s="321"/>
      <c r="I402" s="321"/>
      <c r="J402" s="321"/>
      <c r="K402" s="321"/>
      <c r="L402" s="321"/>
    </row>
    <row r="403" ht="15.75" customHeight="1">
      <c r="A403" s="317"/>
      <c r="B403" s="318"/>
      <c r="C403" s="318"/>
      <c r="D403" s="319" t="str">
        <f t="shared" si="1"/>
        <v/>
      </c>
      <c r="E403" s="320"/>
      <c r="F403" s="320"/>
      <c r="G403" s="321"/>
      <c r="H403" s="321"/>
      <c r="I403" s="321"/>
      <c r="J403" s="321"/>
      <c r="K403" s="321"/>
      <c r="L403" s="321"/>
    </row>
    <row r="404" ht="15.75" customHeight="1">
      <c r="A404" s="317"/>
      <c r="B404" s="318"/>
      <c r="C404" s="318"/>
      <c r="D404" s="319" t="str">
        <f t="shared" si="1"/>
        <v/>
      </c>
      <c r="E404" s="320"/>
      <c r="F404" s="320"/>
      <c r="G404" s="321"/>
      <c r="H404" s="321"/>
      <c r="I404" s="321"/>
      <c r="J404" s="321"/>
      <c r="K404" s="321"/>
      <c r="L404" s="321"/>
    </row>
    <row r="405" ht="15.75" customHeight="1">
      <c r="A405" s="317"/>
      <c r="B405" s="318"/>
      <c r="C405" s="318"/>
      <c r="D405" s="319" t="str">
        <f t="shared" si="1"/>
        <v/>
      </c>
      <c r="E405" s="320"/>
      <c r="F405" s="320"/>
      <c r="G405" s="321"/>
      <c r="H405" s="321"/>
      <c r="I405" s="321"/>
      <c r="J405" s="321"/>
      <c r="K405" s="321"/>
      <c r="L405" s="321"/>
    </row>
    <row r="406" ht="15.75" customHeight="1">
      <c r="A406" s="317"/>
      <c r="B406" s="318"/>
      <c r="C406" s="318"/>
      <c r="D406" s="319" t="str">
        <f t="shared" si="1"/>
        <v/>
      </c>
      <c r="E406" s="320"/>
      <c r="F406" s="320"/>
      <c r="G406" s="321"/>
      <c r="H406" s="321"/>
      <c r="I406" s="321"/>
      <c r="J406" s="321"/>
      <c r="K406" s="321"/>
      <c r="L406" s="321"/>
    </row>
    <row r="407" ht="15.75" customHeight="1">
      <c r="A407" s="317"/>
      <c r="B407" s="318"/>
      <c r="C407" s="318"/>
      <c r="D407" s="319" t="str">
        <f t="shared" si="1"/>
        <v/>
      </c>
      <c r="E407" s="320"/>
      <c r="F407" s="320"/>
      <c r="G407" s="321"/>
      <c r="H407" s="321"/>
      <c r="I407" s="321"/>
      <c r="J407" s="321"/>
      <c r="K407" s="321"/>
      <c r="L407" s="321"/>
    </row>
    <row r="408" ht="15.75" customHeight="1">
      <c r="A408" s="317"/>
      <c r="B408" s="318"/>
      <c r="C408" s="318"/>
      <c r="D408" s="319" t="str">
        <f t="shared" si="1"/>
        <v/>
      </c>
      <c r="E408" s="320"/>
      <c r="F408" s="320"/>
      <c r="G408" s="321"/>
      <c r="H408" s="321"/>
      <c r="I408" s="321"/>
      <c r="J408" s="321"/>
      <c r="K408" s="321"/>
      <c r="L408" s="321"/>
    </row>
    <row r="409" ht="15.75" customHeight="1">
      <c r="A409" s="317"/>
      <c r="B409" s="318"/>
      <c r="C409" s="318"/>
      <c r="D409" s="319" t="str">
        <f t="shared" si="1"/>
        <v/>
      </c>
      <c r="E409" s="320"/>
      <c r="F409" s="320"/>
      <c r="G409" s="321"/>
      <c r="H409" s="321"/>
      <c r="I409" s="321"/>
      <c r="J409" s="321"/>
      <c r="K409" s="321"/>
      <c r="L409" s="321"/>
    </row>
    <row r="410" ht="15.75" customHeight="1">
      <c r="A410" s="317"/>
      <c r="B410" s="318"/>
      <c r="C410" s="318"/>
      <c r="D410" s="319" t="str">
        <f t="shared" si="1"/>
        <v/>
      </c>
      <c r="E410" s="320"/>
      <c r="F410" s="320"/>
      <c r="G410" s="321"/>
      <c r="H410" s="321"/>
      <c r="I410" s="321"/>
      <c r="J410" s="321"/>
      <c r="K410" s="321"/>
      <c r="L410" s="321"/>
    </row>
    <row r="411" ht="15.75" customHeight="1">
      <c r="A411" s="317"/>
      <c r="B411" s="318"/>
      <c r="C411" s="318"/>
      <c r="D411" s="319" t="str">
        <f t="shared" si="1"/>
        <v/>
      </c>
      <c r="E411" s="320"/>
      <c r="F411" s="320"/>
      <c r="G411" s="321"/>
      <c r="H411" s="321"/>
      <c r="I411" s="321"/>
      <c r="J411" s="321"/>
      <c r="K411" s="321"/>
      <c r="L411" s="321"/>
    </row>
    <row r="412" ht="15.75" customHeight="1">
      <c r="A412" s="317"/>
      <c r="B412" s="318"/>
      <c r="C412" s="318"/>
      <c r="D412" s="319" t="str">
        <f t="shared" si="1"/>
        <v/>
      </c>
      <c r="E412" s="320"/>
      <c r="F412" s="320"/>
      <c r="G412" s="321"/>
      <c r="H412" s="321"/>
      <c r="I412" s="321"/>
      <c r="J412" s="321"/>
      <c r="K412" s="321"/>
      <c r="L412" s="321"/>
    </row>
    <row r="413" ht="15.75" customHeight="1">
      <c r="A413" s="317"/>
      <c r="B413" s="318"/>
      <c r="C413" s="318"/>
      <c r="D413" s="319" t="str">
        <f t="shared" si="1"/>
        <v/>
      </c>
      <c r="E413" s="320"/>
      <c r="F413" s="320"/>
      <c r="G413" s="321"/>
      <c r="H413" s="321"/>
      <c r="I413" s="321"/>
      <c r="J413" s="321"/>
      <c r="K413" s="321"/>
      <c r="L413" s="321"/>
    </row>
    <row r="414" ht="15.75" customHeight="1">
      <c r="A414" s="317"/>
      <c r="B414" s="318"/>
      <c r="C414" s="318"/>
      <c r="D414" s="319" t="str">
        <f t="shared" si="1"/>
        <v/>
      </c>
      <c r="E414" s="320"/>
      <c r="F414" s="320"/>
      <c r="G414" s="321"/>
      <c r="H414" s="321"/>
      <c r="I414" s="321"/>
      <c r="J414" s="321"/>
      <c r="K414" s="321"/>
      <c r="L414" s="321"/>
    </row>
    <row r="415" ht="15.75" customHeight="1">
      <c r="A415" s="317"/>
      <c r="B415" s="318"/>
      <c r="C415" s="318"/>
      <c r="D415" s="319" t="str">
        <f t="shared" si="1"/>
        <v/>
      </c>
      <c r="E415" s="320"/>
      <c r="F415" s="320"/>
      <c r="G415" s="321"/>
      <c r="H415" s="321"/>
      <c r="I415" s="321"/>
      <c r="J415" s="321"/>
      <c r="K415" s="321"/>
      <c r="L415" s="321"/>
    </row>
    <row r="416" ht="15.75" customHeight="1">
      <c r="A416" s="317"/>
      <c r="B416" s="318"/>
      <c r="C416" s="318"/>
      <c r="D416" s="319" t="str">
        <f t="shared" si="1"/>
        <v/>
      </c>
      <c r="E416" s="320"/>
      <c r="F416" s="320"/>
      <c r="G416" s="321"/>
      <c r="H416" s="321"/>
      <c r="I416" s="321"/>
      <c r="J416" s="321"/>
      <c r="K416" s="321"/>
      <c r="L416" s="321"/>
    </row>
    <row r="417" ht="15.75" customHeight="1">
      <c r="A417" s="317"/>
      <c r="B417" s="318"/>
      <c r="C417" s="318"/>
      <c r="D417" s="319" t="str">
        <f t="shared" si="1"/>
        <v/>
      </c>
      <c r="E417" s="320"/>
      <c r="F417" s="320"/>
      <c r="G417" s="321"/>
      <c r="H417" s="321"/>
      <c r="I417" s="321"/>
      <c r="J417" s="321"/>
      <c r="K417" s="321"/>
      <c r="L417" s="321"/>
    </row>
    <row r="418" ht="15.75" customHeight="1">
      <c r="A418" s="317"/>
      <c r="B418" s="318"/>
      <c r="C418" s="318"/>
      <c r="D418" s="319" t="str">
        <f t="shared" si="1"/>
        <v/>
      </c>
      <c r="E418" s="320"/>
      <c r="F418" s="320"/>
      <c r="G418" s="321"/>
      <c r="H418" s="321"/>
      <c r="I418" s="321"/>
      <c r="J418" s="321"/>
      <c r="K418" s="321"/>
      <c r="L418" s="321"/>
    </row>
    <row r="419" ht="15.75" customHeight="1">
      <c r="A419" s="317"/>
      <c r="B419" s="318"/>
      <c r="C419" s="318"/>
      <c r="D419" s="319" t="str">
        <f t="shared" si="1"/>
        <v/>
      </c>
      <c r="E419" s="320"/>
      <c r="F419" s="320"/>
      <c r="G419" s="321"/>
      <c r="H419" s="321"/>
      <c r="I419" s="321"/>
      <c r="J419" s="321"/>
      <c r="K419" s="321"/>
      <c r="L419" s="321"/>
    </row>
    <row r="420" ht="15.75" customHeight="1">
      <c r="A420" s="317"/>
      <c r="B420" s="318"/>
      <c r="C420" s="318"/>
      <c r="D420" s="319" t="str">
        <f t="shared" si="1"/>
        <v/>
      </c>
      <c r="E420" s="320"/>
      <c r="F420" s="320"/>
      <c r="G420" s="321"/>
      <c r="H420" s="321"/>
      <c r="I420" s="321"/>
      <c r="J420" s="321"/>
      <c r="K420" s="321"/>
      <c r="L420" s="321"/>
    </row>
    <row r="421" ht="15.75" customHeight="1">
      <c r="A421" s="317"/>
      <c r="B421" s="318"/>
      <c r="C421" s="318"/>
      <c r="D421" s="319" t="str">
        <f t="shared" si="1"/>
        <v/>
      </c>
      <c r="E421" s="320"/>
      <c r="F421" s="320"/>
      <c r="G421" s="321"/>
      <c r="H421" s="321"/>
      <c r="I421" s="321"/>
      <c r="J421" s="321"/>
      <c r="K421" s="321"/>
      <c r="L421" s="321"/>
    </row>
    <row r="422" ht="15.75" customHeight="1">
      <c r="A422" s="317"/>
      <c r="B422" s="318"/>
      <c r="C422" s="318"/>
      <c r="D422" s="319" t="str">
        <f t="shared" si="1"/>
        <v/>
      </c>
      <c r="E422" s="320"/>
      <c r="F422" s="320"/>
      <c r="G422" s="321"/>
      <c r="H422" s="321"/>
      <c r="I422" s="321"/>
      <c r="J422" s="321"/>
      <c r="K422" s="321"/>
      <c r="L422" s="321"/>
    </row>
    <row r="423" ht="15.75" customHeight="1">
      <c r="A423" s="317"/>
      <c r="B423" s="318"/>
      <c r="C423" s="318"/>
      <c r="D423" s="319" t="str">
        <f t="shared" si="1"/>
        <v/>
      </c>
      <c r="E423" s="320"/>
      <c r="F423" s="320"/>
      <c r="G423" s="321"/>
      <c r="H423" s="321"/>
      <c r="I423" s="321"/>
      <c r="J423" s="321"/>
      <c r="K423" s="321"/>
      <c r="L423" s="321"/>
    </row>
    <row r="424" ht="15.75" customHeight="1">
      <c r="A424" s="317"/>
      <c r="B424" s="318"/>
      <c r="C424" s="318"/>
      <c r="D424" s="319" t="str">
        <f t="shared" si="1"/>
        <v/>
      </c>
      <c r="E424" s="320"/>
      <c r="F424" s="320"/>
      <c r="G424" s="321"/>
      <c r="H424" s="321"/>
      <c r="I424" s="321"/>
      <c r="J424" s="321"/>
      <c r="K424" s="321"/>
      <c r="L424" s="321"/>
    </row>
    <row r="425" ht="15.75" customHeight="1">
      <c r="A425" s="317"/>
      <c r="B425" s="318"/>
      <c r="C425" s="318"/>
      <c r="D425" s="319" t="str">
        <f t="shared" si="1"/>
        <v/>
      </c>
      <c r="E425" s="320"/>
      <c r="F425" s="320"/>
      <c r="G425" s="321"/>
      <c r="H425" s="321"/>
      <c r="I425" s="321"/>
      <c r="J425" s="321"/>
      <c r="K425" s="321"/>
      <c r="L425" s="321"/>
    </row>
    <row r="426" ht="15.75" customHeight="1">
      <c r="A426" s="317"/>
      <c r="B426" s="318"/>
      <c r="C426" s="318"/>
      <c r="D426" s="319" t="str">
        <f t="shared" si="1"/>
        <v/>
      </c>
      <c r="E426" s="320"/>
      <c r="F426" s="320"/>
      <c r="G426" s="321"/>
      <c r="H426" s="321"/>
      <c r="I426" s="321"/>
      <c r="J426" s="321"/>
      <c r="K426" s="321"/>
      <c r="L426" s="321"/>
    </row>
    <row r="427" ht="15.75" customHeight="1">
      <c r="A427" s="317"/>
      <c r="B427" s="318"/>
      <c r="C427" s="318"/>
      <c r="D427" s="319" t="str">
        <f t="shared" si="1"/>
        <v/>
      </c>
      <c r="E427" s="320"/>
      <c r="F427" s="320"/>
      <c r="G427" s="321"/>
      <c r="H427" s="321"/>
      <c r="I427" s="321"/>
      <c r="J427" s="321"/>
      <c r="K427" s="321"/>
      <c r="L427" s="321"/>
    </row>
    <row r="428" ht="15.75" customHeight="1">
      <c r="A428" s="317"/>
      <c r="B428" s="318"/>
      <c r="C428" s="318"/>
      <c r="D428" s="319" t="str">
        <f t="shared" si="1"/>
        <v/>
      </c>
      <c r="E428" s="320"/>
      <c r="F428" s="320"/>
      <c r="G428" s="321"/>
      <c r="H428" s="321"/>
      <c r="I428" s="321"/>
      <c r="J428" s="321"/>
      <c r="K428" s="321"/>
      <c r="L428" s="321"/>
    </row>
    <row r="429" ht="15.75" customHeight="1">
      <c r="A429" s="317"/>
      <c r="B429" s="318"/>
      <c r="C429" s="318"/>
      <c r="D429" s="319" t="str">
        <f t="shared" si="1"/>
        <v/>
      </c>
      <c r="E429" s="320"/>
      <c r="F429" s="320"/>
      <c r="G429" s="321"/>
      <c r="H429" s="321"/>
      <c r="I429" s="321"/>
      <c r="J429" s="321"/>
      <c r="K429" s="321"/>
      <c r="L429" s="321"/>
    </row>
    <row r="430" ht="15.75" customHeight="1">
      <c r="A430" s="317"/>
      <c r="B430" s="318"/>
      <c r="C430" s="318"/>
      <c r="D430" s="319" t="str">
        <f t="shared" si="1"/>
        <v/>
      </c>
      <c r="E430" s="320"/>
      <c r="F430" s="320"/>
      <c r="G430" s="321"/>
      <c r="H430" s="321"/>
      <c r="I430" s="321"/>
      <c r="J430" s="321"/>
      <c r="K430" s="321"/>
      <c r="L430" s="321"/>
    </row>
    <row r="431" ht="15.75" customHeight="1">
      <c r="A431" s="317"/>
      <c r="B431" s="318"/>
      <c r="C431" s="318"/>
      <c r="D431" s="319" t="str">
        <f t="shared" si="1"/>
        <v/>
      </c>
      <c r="E431" s="320"/>
      <c r="F431" s="320"/>
      <c r="G431" s="321"/>
      <c r="H431" s="321"/>
      <c r="I431" s="321"/>
      <c r="J431" s="321"/>
      <c r="K431" s="321"/>
      <c r="L431" s="321"/>
    </row>
    <row r="432" ht="15.75" customHeight="1">
      <c r="A432" s="317"/>
      <c r="B432" s="318"/>
      <c r="C432" s="318"/>
      <c r="D432" s="319" t="str">
        <f t="shared" si="1"/>
        <v/>
      </c>
      <c r="E432" s="320"/>
      <c r="F432" s="320"/>
      <c r="G432" s="321"/>
      <c r="H432" s="321"/>
      <c r="I432" s="321"/>
      <c r="J432" s="321"/>
      <c r="K432" s="321"/>
      <c r="L432" s="321"/>
    </row>
    <row r="433" ht="15.75" customHeight="1">
      <c r="A433" s="317"/>
      <c r="B433" s="318"/>
      <c r="C433" s="318"/>
      <c r="D433" s="319" t="str">
        <f t="shared" si="1"/>
        <v/>
      </c>
      <c r="E433" s="320"/>
      <c r="F433" s="320"/>
      <c r="G433" s="321"/>
      <c r="H433" s="321"/>
      <c r="I433" s="321"/>
      <c r="J433" s="321"/>
      <c r="K433" s="321"/>
      <c r="L433" s="321"/>
    </row>
    <row r="434" ht="15.75" customHeight="1">
      <c r="A434" s="317"/>
      <c r="B434" s="318"/>
      <c r="C434" s="318"/>
      <c r="D434" s="319" t="str">
        <f t="shared" si="1"/>
        <v/>
      </c>
      <c r="E434" s="320"/>
      <c r="F434" s="320"/>
      <c r="G434" s="321"/>
      <c r="H434" s="321"/>
      <c r="I434" s="321"/>
      <c r="J434" s="321"/>
      <c r="K434" s="321"/>
      <c r="L434" s="321"/>
    </row>
    <row r="435" ht="15.75" customHeight="1">
      <c r="A435" s="317"/>
      <c r="B435" s="318"/>
      <c r="C435" s="318"/>
      <c r="D435" s="319" t="str">
        <f t="shared" si="1"/>
        <v/>
      </c>
      <c r="E435" s="320"/>
      <c r="F435" s="320"/>
      <c r="G435" s="321"/>
      <c r="H435" s="321"/>
      <c r="I435" s="321"/>
      <c r="J435" s="321"/>
      <c r="K435" s="321"/>
      <c r="L435" s="321"/>
    </row>
    <row r="436" ht="15.75" customHeight="1">
      <c r="A436" s="317"/>
      <c r="B436" s="318"/>
      <c r="C436" s="318"/>
      <c r="D436" s="319" t="str">
        <f t="shared" si="1"/>
        <v/>
      </c>
      <c r="E436" s="320"/>
      <c r="F436" s="320"/>
      <c r="G436" s="321"/>
      <c r="H436" s="321"/>
      <c r="I436" s="321"/>
      <c r="J436" s="321"/>
      <c r="K436" s="321"/>
      <c r="L436" s="321"/>
    </row>
    <row r="437" ht="15.75" customHeight="1">
      <c r="A437" s="317"/>
      <c r="B437" s="318"/>
      <c r="C437" s="318"/>
      <c r="D437" s="319" t="str">
        <f t="shared" si="1"/>
        <v/>
      </c>
      <c r="E437" s="320"/>
      <c r="F437" s="320"/>
      <c r="G437" s="321"/>
      <c r="H437" s="321"/>
      <c r="I437" s="321"/>
      <c r="J437" s="321"/>
      <c r="K437" s="321"/>
      <c r="L437" s="321"/>
    </row>
    <row r="438" ht="15.75" customHeight="1">
      <c r="A438" s="317"/>
      <c r="B438" s="318"/>
      <c r="C438" s="318"/>
      <c r="D438" s="319" t="str">
        <f t="shared" si="1"/>
        <v/>
      </c>
      <c r="E438" s="320"/>
      <c r="F438" s="320"/>
      <c r="G438" s="321"/>
      <c r="H438" s="321"/>
      <c r="I438" s="321"/>
      <c r="J438" s="321"/>
      <c r="K438" s="321"/>
      <c r="L438" s="321"/>
    </row>
    <row r="439" ht="15.75" customHeight="1">
      <c r="A439" s="317"/>
      <c r="B439" s="318"/>
      <c r="C439" s="318"/>
      <c r="D439" s="319" t="str">
        <f t="shared" si="1"/>
        <v/>
      </c>
      <c r="E439" s="320"/>
      <c r="F439" s="320"/>
      <c r="G439" s="321"/>
      <c r="H439" s="321"/>
      <c r="I439" s="321"/>
      <c r="J439" s="321"/>
      <c r="K439" s="321"/>
      <c r="L439" s="321"/>
    </row>
    <row r="440" ht="15.75" customHeight="1">
      <c r="A440" s="317"/>
      <c r="B440" s="318"/>
      <c r="C440" s="318"/>
      <c r="D440" s="319" t="str">
        <f t="shared" si="1"/>
        <v/>
      </c>
      <c r="E440" s="320"/>
      <c r="F440" s="320"/>
      <c r="G440" s="321"/>
      <c r="H440" s="321"/>
      <c r="I440" s="321"/>
      <c r="J440" s="321"/>
      <c r="K440" s="321"/>
      <c r="L440" s="321"/>
    </row>
    <row r="441" ht="15.75" customHeight="1">
      <c r="A441" s="317"/>
      <c r="B441" s="318"/>
      <c r="C441" s="318"/>
      <c r="D441" s="319" t="str">
        <f t="shared" si="1"/>
        <v/>
      </c>
      <c r="E441" s="320"/>
      <c r="F441" s="320"/>
      <c r="G441" s="321"/>
      <c r="H441" s="321"/>
      <c r="I441" s="321"/>
      <c r="J441" s="321"/>
      <c r="K441" s="321"/>
      <c r="L441" s="321"/>
    </row>
    <row r="442" ht="15.75" customHeight="1">
      <c r="A442" s="317"/>
      <c r="B442" s="318"/>
      <c r="C442" s="318"/>
      <c r="D442" s="319" t="str">
        <f t="shared" si="1"/>
        <v/>
      </c>
      <c r="E442" s="320"/>
      <c r="F442" s="320"/>
      <c r="G442" s="321"/>
      <c r="H442" s="321"/>
      <c r="I442" s="321"/>
      <c r="J442" s="321"/>
      <c r="K442" s="321"/>
      <c r="L442" s="321"/>
    </row>
    <row r="443" ht="15.75" customHeight="1">
      <c r="A443" s="317"/>
      <c r="B443" s="318"/>
      <c r="C443" s="318"/>
      <c r="D443" s="319" t="str">
        <f t="shared" si="1"/>
        <v/>
      </c>
      <c r="E443" s="320"/>
      <c r="F443" s="320"/>
      <c r="G443" s="321"/>
      <c r="H443" s="321"/>
      <c r="I443" s="321"/>
      <c r="J443" s="321"/>
      <c r="K443" s="321"/>
      <c r="L443" s="321"/>
    </row>
    <row r="444" ht="15.75" customHeight="1">
      <c r="A444" s="317"/>
      <c r="B444" s="318"/>
      <c r="C444" s="318"/>
      <c r="D444" s="319" t="str">
        <f t="shared" si="1"/>
        <v/>
      </c>
      <c r="E444" s="320"/>
      <c r="F444" s="320"/>
      <c r="G444" s="321"/>
      <c r="H444" s="321"/>
      <c r="I444" s="321"/>
      <c r="J444" s="321"/>
      <c r="K444" s="321"/>
      <c r="L444" s="321"/>
    </row>
    <row r="445" ht="15.75" customHeight="1">
      <c r="A445" s="317"/>
      <c r="B445" s="318"/>
      <c r="C445" s="318"/>
      <c r="D445" s="319" t="str">
        <f t="shared" si="1"/>
        <v/>
      </c>
      <c r="E445" s="320"/>
      <c r="F445" s="320"/>
      <c r="G445" s="321"/>
      <c r="H445" s="321"/>
      <c r="I445" s="321"/>
      <c r="J445" s="321"/>
      <c r="K445" s="321"/>
      <c r="L445" s="321"/>
    </row>
    <row r="446" ht="15.75" customHeight="1">
      <c r="A446" s="317"/>
      <c r="B446" s="318"/>
      <c r="C446" s="318"/>
      <c r="D446" s="319" t="str">
        <f t="shared" si="1"/>
        <v/>
      </c>
      <c r="E446" s="320"/>
      <c r="F446" s="320"/>
      <c r="G446" s="321"/>
      <c r="H446" s="321"/>
      <c r="I446" s="321"/>
      <c r="J446" s="321"/>
      <c r="K446" s="321"/>
      <c r="L446" s="321"/>
    </row>
    <row r="447" ht="15.75" customHeight="1">
      <c r="A447" s="317"/>
      <c r="B447" s="318"/>
      <c r="C447" s="318"/>
      <c r="D447" s="319" t="str">
        <f t="shared" si="1"/>
        <v/>
      </c>
      <c r="E447" s="320"/>
      <c r="F447" s="320"/>
      <c r="G447" s="321"/>
      <c r="H447" s="321"/>
      <c r="I447" s="321"/>
      <c r="J447" s="321"/>
      <c r="K447" s="321"/>
      <c r="L447" s="321"/>
    </row>
    <row r="448" ht="15.75" customHeight="1">
      <c r="A448" s="317"/>
      <c r="B448" s="318"/>
      <c r="C448" s="318"/>
      <c r="D448" s="319" t="str">
        <f t="shared" si="1"/>
        <v/>
      </c>
      <c r="E448" s="320"/>
      <c r="F448" s="320"/>
      <c r="G448" s="321"/>
      <c r="H448" s="321"/>
      <c r="I448" s="321"/>
      <c r="J448" s="321"/>
      <c r="K448" s="321"/>
      <c r="L448" s="321"/>
    </row>
    <row r="449" ht="15.75" customHeight="1">
      <c r="A449" s="317"/>
      <c r="B449" s="318"/>
      <c r="C449" s="318"/>
      <c r="D449" s="319" t="str">
        <f t="shared" si="1"/>
        <v/>
      </c>
      <c r="E449" s="320"/>
      <c r="F449" s="320"/>
      <c r="G449" s="321"/>
      <c r="H449" s="321"/>
      <c r="I449" s="321"/>
      <c r="J449" s="321"/>
      <c r="K449" s="321"/>
      <c r="L449" s="321"/>
    </row>
    <row r="450" ht="15.75" customHeight="1">
      <c r="A450" s="317"/>
      <c r="B450" s="318"/>
      <c r="C450" s="318"/>
      <c r="D450" s="319" t="str">
        <f t="shared" si="1"/>
        <v/>
      </c>
      <c r="E450" s="320"/>
      <c r="F450" s="320"/>
      <c r="G450" s="321"/>
      <c r="H450" s="321"/>
      <c r="I450" s="321"/>
      <c r="J450" s="321"/>
      <c r="K450" s="321"/>
      <c r="L450" s="321"/>
    </row>
    <row r="451" ht="15.75" customHeight="1">
      <c r="A451" s="317"/>
      <c r="B451" s="318"/>
      <c r="C451" s="318"/>
      <c r="D451" s="319" t="str">
        <f t="shared" si="1"/>
        <v/>
      </c>
      <c r="E451" s="320"/>
      <c r="F451" s="320"/>
      <c r="G451" s="321"/>
      <c r="H451" s="321"/>
      <c r="I451" s="321"/>
      <c r="J451" s="321"/>
      <c r="K451" s="321"/>
      <c r="L451" s="321"/>
    </row>
    <row r="452" ht="15.75" customHeight="1">
      <c r="A452" s="317"/>
      <c r="B452" s="318"/>
      <c r="C452" s="318"/>
      <c r="D452" s="319" t="str">
        <f t="shared" si="1"/>
        <v/>
      </c>
      <c r="E452" s="320"/>
      <c r="F452" s="320"/>
      <c r="G452" s="321"/>
      <c r="H452" s="321"/>
      <c r="I452" s="321"/>
      <c r="J452" s="321"/>
      <c r="K452" s="321"/>
      <c r="L452" s="321"/>
    </row>
    <row r="453" ht="15.75" customHeight="1">
      <c r="A453" s="317"/>
      <c r="B453" s="318"/>
      <c r="C453" s="318"/>
      <c r="D453" s="319" t="str">
        <f t="shared" si="1"/>
        <v/>
      </c>
      <c r="E453" s="320"/>
      <c r="F453" s="320"/>
      <c r="G453" s="321"/>
      <c r="H453" s="321"/>
      <c r="I453" s="321"/>
      <c r="J453" s="321"/>
      <c r="K453" s="321"/>
      <c r="L453" s="321"/>
    </row>
    <row r="454" ht="15.75" customHeight="1">
      <c r="A454" s="317"/>
      <c r="B454" s="318"/>
      <c r="C454" s="318"/>
      <c r="D454" s="319" t="str">
        <f t="shared" si="1"/>
        <v/>
      </c>
      <c r="E454" s="320"/>
      <c r="F454" s="320"/>
      <c r="G454" s="321"/>
      <c r="H454" s="321"/>
      <c r="I454" s="321"/>
      <c r="J454" s="321"/>
      <c r="K454" s="321"/>
      <c r="L454" s="321"/>
    </row>
    <row r="455" ht="15.75" customHeight="1">
      <c r="A455" s="317"/>
      <c r="B455" s="318"/>
      <c r="C455" s="318"/>
      <c r="D455" s="319" t="str">
        <f t="shared" si="1"/>
        <v/>
      </c>
      <c r="E455" s="320"/>
      <c r="F455" s="320"/>
      <c r="G455" s="321"/>
      <c r="H455" s="321"/>
      <c r="I455" s="321"/>
      <c r="J455" s="321"/>
      <c r="K455" s="321"/>
      <c r="L455" s="321"/>
    </row>
    <row r="456" ht="15.75" customHeight="1">
      <c r="A456" s="317"/>
      <c r="B456" s="318"/>
      <c r="C456" s="318"/>
      <c r="D456" s="319" t="str">
        <f t="shared" si="1"/>
        <v/>
      </c>
      <c r="E456" s="320"/>
      <c r="F456" s="320"/>
      <c r="G456" s="321"/>
      <c r="H456" s="321"/>
      <c r="I456" s="321"/>
      <c r="J456" s="321"/>
      <c r="K456" s="321"/>
      <c r="L456" s="321"/>
    </row>
    <row r="457" ht="15.75" customHeight="1">
      <c r="A457" s="317"/>
      <c r="B457" s="318"/>
      <c r="C457" s="318"/>
      <c r="D457" s="319" t="str">
        <f t="shared" si="1"/>
        <v/>
      </c>
      <c r="E457" s="320"/>
      <c r="F457" s="320"/>
      <c r="G457" s="321"/>
      <c r="H457" s="321"/>
      <c r="I457" s="321"/>
      <c r="J457" s="321"/>
      <c r="K457" s="321"/>
      <c r="L457" s="321"/>
    </row>
    <row r="458" ht="15.75" customHeight="1">
      <c r="A458" s="317"/>
      <c r="B458" s="318"/>
      <c r="C458" s="318"/>
      <c r="D458" s="319" t="str">
        <f t="shared" si="1"/>
        <v/>
      </c>
      <c r="E458" s="320"/>
      <c r="F458" s="320"/>
      <c r="G458" s="321"/>
      <c r="H458" s="321"/>
      <c r="I458" s="321"/>
      <c r="J458" s="321"/>
      <c r="K458" s="321"/>
      <c r="L458" s="321"/>
    </row>
    <row r="459" ht="15.75" customHeight="1">
      <c r="A459" s="317"/>
      <c r="B459" s="318"/>
      <c r="C459" s="318"/>
      <c r="D459" s="319" t="str">
        <f t="shared" si="1"/>
        <v/>
      </c>
      <c r="E459" s="320"/>
      <c r="F459" s="320"/>
      <c r="G459" s="321"/>
      <c r="H459" s="321"/>
      <c r="I459" s="321"/>
      <c r="J459" s="321"/>
      <c r="K459" s="321"/>
      <c r="L459" s="321"/>
    </row>
    <row r="460" ht="15.75" customHeight="1">
      <c r="A460" s="317"/>
      <c r="B460" s="318"/>
      <c r="C460" s="318"/>
      <c r="D460" s="319" t="str">
        <f t="shared" si="1"/>
        <v/>
      </c>
      <c r="E460" s="320"/>
      <c r="F460" s="320"/>
      <c r="G460" s="321"/>
      <c r="H460" s="321"/>
      <c r="I460" s="321"/>
      <c r="J460" s="321"/>
      <c r="K460" s="321"/>
      <c r="L460" s="321"/>
    </row>
    <row r="461" ht="15.75" customHeight="1">
      <c r="A461" s="317"/>
      <c r="B461" s="318"/>
      <c r="C461" s="318"/>
      <c r="D461" s="319" t="str">
        <f t="shared" si="1"/>
        <v/>
      </c>
      <c r="E461" s="320"/>
      <c r="F461" s="320"/>
      <c r="G461" s="321"/>
      <c r="H461" s="321"/>
      <c r="I461" s="321"/>
      <c r="J461" s="321"/>
      <c r="K461" s="321"/>
      <c r="L461" s="321"/>
    </row>
    <row r="462" ht="15.75" customHeight="1">
      <c r="A462" s="317"/>
      <c r="B462" s="318"/>
      <c r="C462" s="318"/>
      <c r="D462" s="319" t="str">
        <f t="shared" si="1"/>
        <v/>
      </c>
      <c r="E462" s="320"/>
      <c r="F462" s="320"/>
      <c r="G462" s="321"/>
      <c r="H462" s="321"/>
      <c r="I462" s="321"/>
      <c r="J462" s="321"/>
      <c r="K462" s="321"/>
      <c r="L462" s="321"/>
    </row>
    <row r="463" ht="15.75" customHeight="1">
      <c r="A463" s="317"/>
      <c r="B463" s="318"/>
      <c r="C463" s="318"/>
      <c r="D463" s="319" t="str">
        <f t="shared" si="1"/>
        <v/>
      </c>
      <c r="E463" s="320"/>
      <c r="F463" s="320"/>
      <c r="G463" s="321"/>
      <c r="H463" s="321"/>
      <c r="I463" s="321"/>
      <c r="J463" s="321"/>
      <c r="K463" s="321"/>
      <c r="L463" s="321"/>
    </row>
    <row r="464" ht="15.75" customHeight="1">
      <c r="A464" s="317"/>
      <c r="B464" s="318"/>
      <c r="C464" s="318"/>
      <c r="D464" s="319" t="str">
        <f t="shared" si="1"/>
        <v/>
      </c>
      <c r="E464" s="320"/>
      <c r="F464" s="320"/>
      <c r="G464" s="321"/>
      <c r="H464" s="321"/>
      <c r="I464" s="321"/>
      <c r="J464" s="321"/>
      <c r="K464" s="321"/>
      <c r="L464" s="321"/>
    </row>
    <row r="465" ht="15.75" customHeight="1">
      <c r="A465" s="317"/>
      <c r="B465" s="318"/>
      <c r="C465" s="318"/>
      <c r="D465" s="319" t="str">
        <f t="shared" si="1"/>
        <v/>
      </c>
      <c r="E465" s="320"/>
      <c r="F465" s="320"/>
      <c r="G465" s="321"/>
      <c r="H465" s="321"/>
      <c r="I465" s="321"/>
      <c r="J465" s="321"/>
      <c r="K465" s="321"/>
      <c r="L465" s="321"/>
    </row>
    <row r="466" ht="15.75" customHeight="1">
      <c r="A466" s="317"/>
      <c r="B466" s="318"/>
      <c r="C466" s="318"/>
      <c r="D466" s="319" t="str">
        <f t="shared" si="1"/>
        <v/>
      </c>
      <c r="E466" s="320"/>
      <c r="F466" s="320"/>
      <c r="G466" s="321"/>
      <c r="H466" s="321"/>
      <c r="I466" s="321"/>
      <c r="J466" s="321"/>
      <c r="K466" s="321"/>
      <c r="L466" s="321"/>
    </row>
    <row r="467" ht="15.75" customHeight="1">
      <c r="A467" s="317"/>
      <c r="B467" s="318"/>
      <c r="C467" s="318"/>
      <c r="D467" s="319" t="str">
        <f t="shared" si="1"/>
        <v/>
      </c>
      <c r="E467" s="320"/>
      <c r="F467" s="320"/>
      <c r="G467" s="321"/>
      <c r="H467" s="321"/>
      <c r="I467" s="321"/>
      <c r="J467" s="321"/>
      <c r="K467" s="321"/>
      <c r="L467" s="321"/>
    </row>
    <row r="468" ht="15.75" customHeight="1">
      <c r="A468" s="317"/>
      <c r="B468" s="318"/>
      <c r="C468" s="318"/>
      <c r="D468" s="319" t="str">
        <f t="shared" si="1"/>
        <v/>
      </c>
      <c r="E468" s="320"/>
      <c r="F468" s="320"/>
      <c r="G468" s="321"/>
      <c r="H468" s="321"/>
      <c r="I468" s="321"/>
      <c r="J468" s="321"/>
      <c r="K468" s="321"/>
      <c r="L468" s="321"/>
    </row>
    <row r="469" ht="15.75" customHeight="1">
      <c r="A469" s="317"/>
      <c r="B469" s="318"/>
      <c r="C469" s="318"/>
      <c r="D469" s="319" t="str">
        <f t="shared" si="1"/>
        <v/>
      </c>
      <c r="E469" s="320"/>
      <c r="F469" s="320"/>
      <c r="G469" s="321"/>
      <c r="H469" s="321"/>
      <c r="I469" s="321"/>
      <c r="J469" s="321"/>
      <c r="K469" s="321"/>
      <c r="L469" s="321"/>
    </row>
    <row r="470" ht="15.75" customHeight="1">
      <c r="A470" s="317"/>
      <c r="B470" s="318"/>
      <c r="C470" s="318"/>
      <c r="D470" s="319" t="str">
        <f t="shared" si="1"/>
        <v/>
      </c>
      <c r="E470" s="320"/>
      <c r="F470" s="320"/>
      <c r="G470" s="321"/>
      <c r="H470" s="321"/>
      <c r="I470" s="321"/>
      <c r="J470" s="321"/>
      <c r="K470" s="321"/>
      <c r="L470" s="321"/>
    </row>
    <row r="471" ht="15.75" customHeight="1">
      <c r="A471" s="317"/>
      <c r="B471" s="318"/>
      <c r="C471" s="318"/>
      <c r="D471" s="319" t="str">
        <f t="shared" si="1"/>
        <v/>
      </c>
      <c r="E471" s="320"/>
      <c r="F471" s="320"/>
      <c r="G471" s="321"/>
      <c r="H471" s="321"/>
      <c r="I471" s="321"/>
      <c r="J471" s="321"/>
      <c r="K471" s="321"/>
      <c r="L471" s="321"/>
    </row>
    <row r="472" ht="15.75" customHeight="1">
      <c r="A472" s="317"/>
      <c r="B472" s="318"/>
      <c r="C472" s="318"/>
      <c r="D472" s="319" t="str">
        <f t="shared" si="1"/>
        <v/>
      </c>
      <c r="E472" s="320"/>
      <c r="F472" s="320"/>
      <c r="G472" s="321"/>
      <c r="H472" s="321"/>
      <c r="I472" s="321"/>
      <c r="J472" s="321"/>
      <c r="K472" s="321"/>
      <c r="L472" s="321"/>
    </row>
    <row r="473" ht="15.75" customHeight="1">
      <c r="A473" s="317"/>
      <c r="B473" s="318"/>
      <c r="C473" s="318"/>
      <c r="D473" s="319" t="str">
        <f t="shared" si="1"/>
        <v/>
      </c>
      <c r="E473" s="320"/>
      <c r="F473" s="320"/>
      <c r="G473" s="321"/>
      <c r="H473" s="321"/>
      <c r="I473" s="321"/>
      <c r="J473" s="321"/>
      <c r="K473" s="321"/>
      <c r="L473" s="321"/>
    </row>
    <row r="474" ht="15.75" customHeight="1">
      <c r="A474" s="317"/>
      <c r="B474" s="318"/>
      <c r="C474" s="318"/>
      <c r="D474" s="319" t="str">
        <f t="shared" si="1"/>
        <v/>
      </c>
      <c r="E474" s="320"/>
      <c r="F474" s="320"/>
      <c r="G474" s="321"/>
      <c r="H474" s="321"/>
      <c r="I474" s="321"/>
      <c r="J474" s="321"/>
      <c r="K474" s="321"/>
      <c r="L474" s="321"/>
    </row>
    <row r="475" ht="15.75" customHeight="1">
      <c r="A475" s="317"/>
      <c r="B475" s="318"/>
      <c r="C475" s="318"/>
      <c r="D475" s="319" t="str">
        <f t="shared" si="1"/>
        <v/>
      </c>
      <c r="E475" s="320"/>
      <c r="F475" s="320"/>
      <c r="G475" s="321"/>
      <c r="H475" s="321"/>
      <c r="I475" s="321"/>
      <c r="J475" s="321"/>
      <c r="K475" s="321"/>
      <c r="L475" s="321"/>
    </row>
    <row r="476" ht="15.75" customHeight="1">
      <c r="A476" s="317"/>
      <c r="B476" s="318"/>
      <c r="C476" s="318"/>
      <c r="D476" s="319" t="str">
        <f t="shared" si="1"/>
        <v/>
      </c>
      <c r="E476" s="320"/>
      <c r="F476" s="320"/>
      <c r="G476" s="321"/>
      <c r="H476" s="321"/>
      <c r="I476" s="321"/>
      <c r="J476" s="321"/>
      <c r="K476" s="321"/>
      <c r="L476" s="321"/>
    </row>
    <row r="477" ht="15.75" customHeight="1">
      <c r="A477" s="317"/>
      <c r="B477" s="318"/>
      <c r="C477" s="318"/>
      <c r="D477" s="319" t="str">
        <f t="shared" si="1"/>
        <v/>
      </c>
      <c r="E477" s="320"/>
      <c r="F477" s="320"/>
      <c r="G477" s="321"/>
      <c r="H477" s="321"/>
      <c r="I477" s="321"/>
      <c r="J477" s="321"/>
      <c r="K477" s="321"/>
      <c r="L477" s="321"/>
    </row>
    <row r="478" ht="15.75" customHeight="1">
      <c r="A478" s="317"/>
      <c r="B478" s="318"/>
      <c r="C478" s="318"/>
      <c r="D478" s="319" t="str">
        <f t="shared" si="1"/>
        <v/>
      </c>
      <c r="E478" s="320"/>
      <c r="F478" s="320"/>
      <c r="G478" s="321"/>
      <c r="H478" s="321"/>
      <c r="I478" s="321"/>
      <c r="J478" s="321"/>
      <c r="K478" s="321"/>
      <c r="L478" s="321"/>
    </row>
    <row r="479" ht="15.75" customHeight="1">
      <c r="A479" s="317"/>
      <c r="B479" s="318"/>
      <c r="C479" s="318"/>
      <c r="D479" s="319" t="str">
        <f t="shared" si="1"/>
        <v/>
      </c>
      <c r="E479" s="320"/>
      <c r="F479" s="320"/>
      <c r="G479" s="321"/>
      <c r="H479" s="321"/>
      <c r="I479" s="321"/>
      <c r="J479" s="321"/>
      <c r="K479" s="321"/>
      <c r="L479" s="321"/>
    </row>
    <row r="480" ht="15.75" customHeight="1">
      <c r="A480" s="317"/>
      <c r="B480" s="318"/>
      <c r="C480" s="318"/>
      <c r="D480" s="319" t="str">
        <f t="shared" si="1"/>
        <v/>
      </c>
      <c r="E480" s="320"/>
      <c r="F480" s="320"/>
      <c r="G480" s="321"/>
      <c r="H480" s="321"/>
      <c r="I480" s="321"/>
      <c r="J480" s="321"/>
      <c r="K480" s="321"/>
      <c r="L480" s="321"/>
    </row>
    <row r="481" ht="15.75" customHeight="1">
      <c r="A481" s="317"/>
      <c r="B481" s="318"/>
      <c r="C481" s="318"/>
      <c r="D481" s="319" t="str">
        <f t="shared" si="1"/>
        <v/>
      </c>
      <c r="E481" s="320"/>
      <c r="F481" s="320"/>
      <c r="G481" s="321"/>
      <c r="H481" s="321"/>
      <c r="I481" s="321"/>
      <c r="J481" s="321"/>
      <c r="K481" s="321"/>
      <c r="L481" s="321"/>
    </row>
    <row r="482" ht="15.75" customHeight="1">
      <c r="A482" s="317"/>
      <c r="B482" s="318"/>
      <c r="C482" s="318"/>
      <c r="D482" s="319" t="str">
        <f t="shared" si="1"/>
        <v/>
      </c>
      <c r="E482" s="320"/>
      <c r="F482" s="320"/>
      <c r="G482" s="321"/>
      <c r="H482" s="321"/>
      <c r="I482" s="321"/>
      <c r="J482" s="321"/>
      <c r="K482" s="321"/>
      <c r="L482" s="321"/>
    </row>
    <row r="483" ht="15.75" customHeight="1">
      <c r="A483" s="317"/>
      <c r="B483" s="318"/>
      <c r="C483" s="318"/>
      <c r="D483" s="319" t="str">
        <f t="shared" si="1"/>
        <v/>
      </c>
      <c r="E483" s="320"/>
      <c r="F483" s="320"/>
      <c r="G483" s="321"/>
      <c r="H483" s="321"/>
      <c r="I483" s="321"/>
      <c r="J483" s="321"/>
      <c r="K483" s="321"/>
      <c r="L483" s="321"/>
    </row>
    <row r="484" ht="15.75" customHeight="1">
      <c r="A484" s="317"/>
      <c r="B484" s="318"/>
      <c r="C484" s="318"/>
      <c r="D484" s="319" t="str">
        <f t="shared" si="1"/>
        <v/>
      </c>
      <c r="E484" s="320"/>
      <c r="F484" s="320"/>
      <c r="G484" s="321"/>
      <c r="H484" s="321"/>
      <c r="I484" s="321"/>
      <c r="J484" s="321"/>
      <c r="K484" s="321"/>
      <c r="L484" s="321"/>
    </row>
    <row r="485" ht="15.75" customHeight="1">
      <c r="A485" s="317"/>
      <c r="B485" s="318"/>
      <c r="C485" s="318"/>
      <c r="D485" s="319" t="str">
        <f t="shared" si="1"/>
        <v/>
      </c>
      <c r="E485" s="320"/>
      <c r="F485" s="320"/>
      <c r="G485" s="321"/>
      <c r="H485" s="321"/>
      <c r="I485" s="321"/>
      <c r="J485" s="321"/>
      <c r="K485" s="321"/>
      <c r="L485" s="321"/>
    </row>
    <row r="486" ht="15.75" customHeight="1">
      <c r="A486" s="317"/>
      <c r="B486" s="318"/>
      <c r="C486" s="318"/>
      <c r="D486" s="319" t="str">
        <f t="shared" si="1"/>
        <v/>
      </c>
      <c r="E486" s="320"/>
      <c r="F486" s="320"/>
      <c r="G486" s="321"/>
      <c r="H486" s="321"/>
      <c r="I486" s="321"/>
      <c r="J486" s="321"/>
      <c r="K486" s="321"/>
      <c r="L486" s="321"/>
    </row>
    <row r="487" ht="15.75" customHeight="1">
      <c r="A487" s="317"/>
      <c r="B487" s="318"/>
      <c r="C487" s="318"/>
      <c r="D487" s="319" t="str">
        <f t="shared" si="1"/>
        <v/>
      </c>
      <c r="E487" s="320"/>
      <c r="F487" s="320"/>
      <c r="G487" s="321"/>
      <c r="H487" s="321"/>
      <c r="I487" s="321"/>
      <c r="J487" s="321"/>
      <c r="K487" s="321"/>
      <c r="L487" s="321"/>
    </row>
    <row r="488" ht="15.75" customHeight="1">
      <c r="A488" s="317"/>
      <c r="B488" s="318"/>
      <c r="C488" s="318"/>
      <c r="D488" s="319" t="str">
        <f t="shared" si="1"/>
        <v/>
      </c>
      <c r="E488" s="320"/>
      <c r="F488" s="320"/>
      <c r="G488" s="321"/>
      <c r="H488" s="321"/>
      <c r="I488" s="321"/>
      <c r="J488" s="321"/>
      <c r="K488" s="321"/>
      <c r="L488" s="321"/>
    </row>
    <row r="489" ht="15.75" customHeight="1">
      <c r="A489" s="317"/>
      <c r="B489" s="318"/>
      <c r="C489" s="318"/>
      <c r="D489" s="319" t="str">
        <f t="shared" si="1"/>
        <v/>
      </c>
      <c r="E489" s="320"/>
      <c r="F489" s="320"/>
      <c r="G489" s="321"/>
      <c r="H489" s="321"/>
      <c r="I489" s="321"/>
      <c r="J489" s="321"/>
      <c r="K489" s="321"/>
      <c r="L489" s="321"/>
    </row>
    <row r="490" ht="15.75" customHeight="1">
      <c r="A490" s="317"/>
      <c r="B490" s="318"/>
      <c r="C490" s="318"/>
      <c r="D490" s="319" t="str">
        <f t="shared" si="1"/>
        <v/>
      </c>
      <c r="E490" s="320"/>
      <c r="F490" s="320"/>
      <c r="G490" s="321"/>
      <c r="H490" s="321"/>
      <c r="I490" s="321"/>
      <c r="J490" s="321"/>
      <c r="K490" s="321"/>
      <c r="L490" s="321"/>
    </row>
    <row r="491" ht="15.75" customHeight="1">
      <c r="A491" s="317"/>
      <c r="B491" s="318"/>
      <c r="C491" s="318"/>
      <c r="D491" s="319" t="str">
        <f t="shared" si="1"/>
        <v/>
      </c>
      <c r="E491" s="320"/>
      <c r="F491" s="320"/>
      <c r="G491" s="321"/>
      <c r="H491" s="321"/>
      <c r="I491" s="321"/>
      <c r="J491" s="321"/>
      <c r="K491" s="321"/>
      <c r="L491" s="321"/>
    </row>
    <row r="492" ht="15.75" customHeight="1">
      <c r="A492" s="317"/>
      <c r="B492" s="318"/>
      <c r="C492" s="318"/>
      <c r="D492" s="319" t="str">
        <f t="shared" si="1"/>
        <v/>
      </c>
      <c r="E492" s="320"/>
      <c r="F492" s="320"/>
      <c r="G492" s="321"/>
      <c r="H492" s="321"/>
      <c r="I492" s="321"/>
      <c r="J492" s="321"/>
      <c r="K492" s="321"/>
      <c r="L492" s="321"/>
    </row>
    <row r="493" ht="15.75" customHeight="1">
      <c r="A493" s="317"/>
      <c r="B493" s="318"/>
      <c r="C493" s="318"/>
      <c r="D493" s="319" t="str">
        <f t="shared" si="1"/>
        <v/>
      </c>
      <c r="E493" s="320"/>
      <c r="F493" s="320"/>
      <c r="G493" s="321"/>
      <c r="H493" s="321"/>
      <c r="I493" s="321"/>
      <c r="J493" s="321"/>
      <c r="K493" s="321"/>
      <c r="L493" s="321"/>
    </row>
    <row r="494" ht="15.75" customHeight="1">
      <c r="A494" s="317"/>
      <c r="B494" s="318"/>
      <c r="C494" s="318"/>
      <c r="D494" s="319" t="str">
        <f t="shared" si="1"/>
        <v/>
      </c>
      <c r="E494" s="320"/>
      <c r="F494" s="320"/>
      <c r="G494" s="321"/>
      <c r="H494" s="321"/>
      <c r="I494" s="321"/>
      <c r="J494" s="321"/>
      <c r="K494" s="321"/>
      <c r="L494" s="321"/>
    </row>
    <row r="495" ht="15.75" customHeight="1">
      <c r="A495" s="317"/>
      <c r="B495" s="318"/>
      <c r="C495" s="318"/>
      <c r="D495" s="319" t="str">
        <f t="shared" si="1"/>
        <v/>
      </c>
      <c r="E495" s="320"/>
      <c r="F495" s="320"/>
      <c r="G495" s="321"/>
      <c r="H495" s="321"/>
      <c r="I495" s="321"/>
      <c r="J495" s="321"/>
      <c r="K495" s="321"/>
      <c r="L495" s="321"/>
    </row>
    <row r="496" ht="15.75" customHeight="1">
      <c r="A496" s="317"/>
      <c r="B496" s="318"/>
      <c r="C496" s="318"/>
      <c r="D496" s="319" t="str">
        <f t="shared" si="1"/>
        <v/>
      </c>
      <c r="E496" s="320"/>
      <c r="F496" s="320"/>
      <c r="G496" s="321"/>
      <c r="H496" s="321"/>
      <c r="I496" s="321"/>
      <c r="J496" s="321"/>
      <c r="K496" s="321"/>
      <c r="L496" s="321"/>
    </row>
    <row r="497" ht="15.75" customHeight="1">
      <c r="A497" s="317"/>
      <c r="B497" s="318"/>
      <c r="C497" s="318"/>
      <c r="D497" s="319" t="str">
        <f t="shared" si="1"/>
        <v/>
      </c>
      <c r="E497" s="320"/>
      <c r="F497" s="320"/>
      <c r="G497" s="321"/>
      <c r="H497" s="321"/>
      <c r="I497" s="321"/>
      <c r="J497" s="321"/>
      <c r="K497" s="321"/>
      <c r="L497" s="321"/>
    </row>
    <row r="498" ht="15.75" customHeight="1">
      <c r="A498" s="317"/>
      <c r="B498" s="318"/>
      <c r="C498" s="318"/>
      <c r="D498" s="319" t="str">
        <f t="shared" si="1"/>
        <v/>
      </c>
      <c r="E498" s="320"/>
      <c r="F498" s="320"/>
      <c r="G498" s="321"/>
      <c r="H498" s="321"/>
      <c r="I498" s="321"/>
      <c r="J498" s="321"/>
      <c r="K498" s="321"/>
      <c r="L498" s="321"/>
    </row>
    <row r="499" ht="15.75" customHeight="1">
      <c r="A499" s="317"/>
      <c r="B499" s="318"/>
      <c r="C499" s="318"/>
      <c r="D499" s="319" t="str">
        <f t="shared" si="1"/>
        <v/>
      </c>
      <c r="E499" s="320"/>
      <c r="F499" s="320"/>
      <c r="G499" s="321"/>
      <c r="H499" s="321"/>
      <c r="I499" s="321"/>
      <c r="J499" s="321"/>
      <c r="K499" s="321"/>
      <c r="L499" s="321"/>
    </row>
    <row r="500" ht="15.75" customHeight="1">
      <c r="A500" s="317"/>
      <c r="B500" s="318"/>
      <c r="C500" s="318"/>
      <c r="D500" s="319" t="str">
        <f t="shared" si="1"/>
        <v/>
      </c>
      <c r="E500" s="320"/>
      <c r="F500" s="320"/>
      <c r="G500" s="321"/>
      <c r="H500" s="321"/>
      <c r="I500" s="321"/>
      <c r="J500" s="321"/>
      <c r="K500" s="321"/>
      <c r="L500" s="321"/>
    </row>
    <row r="501" ht="15.75" customHeight="1">
      <c r="A501" s="317"/>
      <c r="B501" s="318"/>
      <c r="C501" s="318"/>
      <c r="D501" s="319" t="str">
        <f t="shared" si="1"/>
        <v/>
      </c>
      <c r="E501" s="320"/>
      <c r="F501" s="320"/>
      <c r="G501" s="321"/>
      <c r="H501" s="321"/>
      <c r="I501" s="321"/>
      <c r="J501" s="321"/>
      <c r="K501" s="321"/>
      <c r="L501" s="321"/>
    </row>
    <row r="502" ht="15.75" customHeight="1">
      <c r="A502" s="317"/>
      <c r="B502" s="318"/>
      <c r="C502" s="318"/>
      <c r="D502" s="319" t="str">
        <f t="shared" si="1"/>
        <v/>
      </c>
      <c r="E502" s="320"/>
      <c r="F502" s="320"/>
      <c r="G502" s="321"/>
      <c r="H502" s="321"/>
      <c r="I502" s="321"/>
      <c r="J502" s="321"/>
      <c r="K502" s="321"/>
      <c r="L502" s="321"/>
    </row>
    <row r="503" ht="15.75" customHeight="1">
      <c r="A503" s="317"/>
      <c r="B503" s="318"/>
      <c r="C503" s="318"/>
      <c r="D503" s="319" t="str">
        <f t="shared" si="1"/>
        <v/>
      </c>
      <c r="E503" s="320"/>
      <c r="F503" s="320"/>
      <c r="G503" s="321"/>
      <c r="H503" s="321"/>
      <c r="I503" s="321"/>
      <c r="J503" s="321"/>
      <c r="K503" s="321"/>
      <c r="L503" s="321"/>
    </row>
    <row r="504" ht="15.75" customHeight="1">
      <c r="A504" s="317"/>
      <c r="B504" s="318"/>
      <c r="C504" s="318"/>
      <c r="D504" s="319" t="str">
        <f t="shared" si="1"/>
        <v/>
      </c>
      <c r="E504" s="320"/>
      <c r="F504" s="320"/>
      <c r="G504" s="321"/>
      <c r="H504" s="321"/>
      <c r="I504" s="321"/>
      <c r="J504" s="321"/>
      <c r="K504" s="321"/>
      <c r="L504" s="321"/>
    </row>
    <row r="505" ht="15.75" customHeight="1">
      <c r="A505" s="317"/>
      <c r="B505" s="318"/>
      <c r="C505" s="318"/>
      <c r="D505" s="319" t="str">
        <f t="shared" si="1"/>
        <v/>
      </c>
      <c r="E505" s="320"/>
      <c r="F505" s="320"/>
      <c r="G505" s="321"/>
      <c r="H505" s="321"/>
      <c r="I505" s="321"/>
      <c r="J505" s="321"/>
      <c r="K505" s="321"/>
      <c r="L505" s="321"/>
    </row>
    <row r="506" ht="15.75" customHeight="1">
      <c r="A506" s="317"/>
      <c r="B506" s="318"/>
      <c r="C506" s="318"/>
      <c r="D506" s="319" t="str">
        <f t="shared" si="1"/>
        <v/>
      </c>
      <c r="E506" s="320"/>
      <c r="F506" s="320"/>
      <c r="G506" s="321"/>
      <c r="H506" s="321"/>
      <c r="I506" s="321"/>
      <c r="J506" s="321"/>
      <c r="K506" s="321"/>
      <c r="L506" s="321"/>
    </row>
    <row r="507" ht="15.75" customHeight="1">
      <c r="A507" s="317"/>
      <c r="B507" s="318"/>
      <c r="C507" s="318"/>
      <c r="D507" s="319" t="str">
        <f t="shared" si="1"/>
        <v/>
      </c>
      <c r="E507" s="320"/>
      <c r="F507" s="320"/>
      <c r="G507" s="321"/>
      <c r="H507" s="321"/>
      <c r="I507" s="321"/>
      <c r="J507" s="321"/>
      <c r="K507" s="321"/>
      <c r="L507" s="321"/>
    </row>
    <row r="508" ht="15.75" customHeight="1">
      <c r="A508" s="317"/>
      <c r="B508" s="318"/>
      <c r="C508" s="318"/>
      <c r="D508" s="319" t="str">
        <f t="shared" si="1"/>
        <v/>
      </c>
      <c r="E508" s="320"/>
      <c r="F508" s="320"/>
      <c r="G508" s="321"/>
      <c r="H508" s="321"/>
      <c r="I508" s="321"/>
      <c r="J508" s="321"/>
      <c r="K508" s="321"/>
      <c r="L508" s="321"/>
    </row>
    <row r="509" ht="15.75" customHeight="1">
      <c r="A509" s="317"/>
      <c r="B509" s="318"/>
      <c r="C509" s="318"/>
      <c r="D509" s="319" t="str">
        <f t="shared" si="1"/>
        <v/>
      </c>
      <c r="E509" s="320"/>
      <c r="F509" s="320"/>
      <c r="G509" s="321"/>
      <c r="H509" s="321"/>
      <c r="I509" s="321"/>
      <c r="J509" s="321"/>
      <c r="K509" s="321"/>
      <c r="L509" s="321"/>
    </row>
    <row r="510" ht="15.75" customHeight="1">
      <c r="A510" s="317"/>
      <c r="B510" s="318"/>
      <c r="C510" s="318"/>
      <c r="D510" s="319" t="str">
        <f t="shared" si="1"/>
        <v/>
      </c>
      <c r="E510" s="320"/>
      <c r="F510" s="320"/>
      <c r="G510" s="321"/>
      <c r="H510" s="321"/>
      <c r="I510" s="321"/>
      <c r="J510" s="321"/>
      <c r="K510" s="321"/>
      <c r="L510" s="321"/>
    </row>
    <row r="511" ht="15.75" customHeight="1">
      <c r="A511" s="317"/>
      <c r="B511" s="318"/>
      <c r="C511" s="318"/>
      <c r="D511" s="319" t="str">
        <f t="shared" si="1"/>
        <v/>
      </c>
      <c r="E511" s="320"/>
      <c r="F511" s="320"/>
      <c r="G511" s="321"/>
      <c r="H511" s="321"/>
      <c r="I511" s="321"/>
      <c r="J511" s="321"/>
      <c r="K511" s="321"/>
      <c r="L511" s="321"/>
    </row>
    <row r="512" ht="15.75" customHeight="1">
      <c r="A512" s="317"/>
      <c r="B512" s="318"/>
      <c r="C512" s="318"/>
      <c r="D512" s="319" t="str">
        <f t="shared" si="1"/>
        <v/>
      </c>
      <c r="E512" s="320"/>
      <c r="F512" s="320"/>
      <c r="G512" s="321"/>
      <c r="H512" s="321"/>
      <c r="I512" s="321"/>
      <c r="J512" s="321"/>
      <c r="K512" s="321"/>
      <c r="L512" s="321"/>
    </row>
    <row r="513" ht="15.75" customHeight="1">
      <c r="A513" s="317"/>
      <c r="B513" s="318"/>
      <c r="C513" s="318"/>
      <c r="D513" s="319" t="str">
        <f t="shared" si="1"/>
        <v/>
      </c>
      <c r="E513" s="320"/>
      <c r="F513" s="320"/>
      <c r="G513" s="321"/>
      <c r="H513" s="321"/>
      <c r="I513" s="321"/>
      <c r="J513" s="321"/>
      <c r="K513" s="321"/>
      <c r="L513" s="321"/>
    </row>
    <row r="514" ht="15.75" customHeight="1">
      <c r="A514" s="317"/>
      <c r="B514" s="318"/>
      <c r="C514" s="318"/>
      <c r="D514" s="319" t="str">
        <f t="shared" si="1"/>
        <v/>
      </c>
      <c r="E514" s="320"/>
      <c r="F514" s="320"/>
      <c r="G514" s="321"/>
      <c r="H514" s="321"/>
      <c r="I514" s="321"/>
      <c r="J514" s="321"/>
      <c r="K514" s="321"/>
      <c r="L514" s="321"/>
    </row>
    <row r="515" ht="15.75" customHeight="1">
      <c r="A515" s="317"/>
      <c r="B515" s="318"/>
      <c r="C515" s="318"/>
      <c r="D515" s="319" t="str">
        <f t="shared" si="1"/>
        <v/>
      </c>
      <c r="E515" s="320"/>
      <c r="F515" s="320"/>
      <c r="G515" s="321"/>
      <c r="H515" s="321"/>
      <c r="I515" s="321"/>
      <c r="J515" s="321"/>
      <c r="K515" s="321"/>
      <c r="L515" s="321"/>
    </row>
    <row r="516" ht="15.75" customHeight="1">
      <c r="A516" s="317"/>
      <c r="B516" s="318"/>
      <c r="C516" s="318"/>
      <c r="D516" s="319" t="str">
        <f t="shared" si="1"/>
        <v/>
      </c>
      <c r="E516" s="320"/>
      <c r="F516" s="320"/>
      <c r="G516" s="321"/>
      <c r="H516" s="321"/>
      <c r="I516" s="321"/>
      <c r="J516" s="321"/>
      <c r="K516" s="321"/>
      <c r="L516" s="321"/>
    </row>
    <row r="517" ht="15.75" customHeight="1">
      <c r="A517" s="317"/>
      <c r="B517" s="318"/>
      <c r="C517" s="318"/>
      <c r="D517" s="319" t="str">
        <f t="shared" si="1"/>
        <v/>
      </c>
      <c r="E517" s="320"/>
      <c r="F517" s="320"/>
      <c r="G517" s="321"/>
      <c r="H517" s="321"/>
      <c r="I517" s="321"/>
      <c r="J517" s="321"/>
      <c r="K517" s="321"/>
      <c r="L517" s="321"/>
    </row>
    <row r="518" ht="15.75" customHeight="1">
      <c r="A518" s="317"/>
      <c r="B518" s="318"/>
      <c r="C518" s="318"/>
      <c r="D518" s="319" t="str">
        <f t="shared" si="1"/>
        <v/>
      </c>
      <c r="E518" s="320"/>
      <c r="F518" s="320"/>
      <c r="G518" s="321"/>
      <c r="H518" s="321"/>
      <c r="I518" s="321"/>
      <c r="J518" s="321"/>
      <c r="K518" s="321"/>
      <c r="L518" s="321"/>
    </row>
    <row r="519" ht="15.75" customHeight="1">
      <c r="A519" s="317"/>
      <c r="B519" s="318"/>
      <c r="C519" s="318"/>
      <c r="D519" s="319" t="str">
        <f t="shared" si="1"/>
        <v/>
      </c>
      <c r="E519" s="320"/>
      <c r="F519" s="320"/>
      <c r="G519" s="321"/>
      <c r="H519" s="321"/>
      <c r="I519" s="321"/>
      <c r="J519" s="321"/>
      <c r="K519" s="321"/>
      <c r="L519" s="321"/>
    </row>
    <row r="520" ht="15.75" customHeight="1">
      <c r="A520" s="317"/>
      <c r="B520" s="318"/>
      <c r="C520" s="318"/>
      <c r="D520" s="319" t="str">
        <f t="shared" si="1"/>
        <v/>
      </c>
      <c r="E520" s="320"/>
      <c r="F520" s="320"/>
      <c r="G520" s="321"/>
      <c r="H520" s="321"/>
      <c r="I520" s="321"/>
      <c r="J520" s="321"/>
      <c r="K520" s="321"/>
      <c r="L520" s="321"/>
    </row>
    <row r="521" ht="15.75" customHeight="1">
      <c r="A521" s="317"/>
      <c r="B521" s="318"/>
      <c r="C521" s="318"/>
      <c r="D521" s="319" t="str">
        <f t="shared" si="1"/>
        <v/>
      </c>
      <c r="E521" s="320"/>
      <c r="F521" s="320"/>
      <c r="G521" s="321"/>
      <c r="H521" s="321"/>
      <c r="I521" s="321"/>
      <c r="J521" s="321"/>
      <c r="K521" s="321"/>
      <c r="L521" s="321"/>
    </row>
    <row r="522" ht="15.75" customHeight="1">
      <c r="A522" s="317"/>
      <c r="B522" s="318"/>
      <c r="C522" s="318"/>
      <c r="D522" s="319" t="str">
        <f t="shared" si="1"/>
        <v/>
      </c>
      <c r="E522" s="320"/>
      <c r="F522" s="320"/>
      <c r="G522" s="321"/>
      <c r="H522" s="321"/>
      <c r="I522" s="321"/>
      <c r="J522" s="321"/>
      <c r="K522" s="321"/>
      <c r="L522" s="321"/>
    </row>
    <row r="523" ht="15.75" customHeight="1">
      <c r="A523" s="317"/>
      <c r="B523" s="318"/>
      <c r="C523" s="318"/>
      <c r="D523" s="319" t="str">
        <f t="shared" si="1"/>
        <v/>
      </c>
      <c r="E523" s="320"/>
      <c r="F523" s="320"/>
      <c r="G523" s="321"/>
      <c r="H523" s="321"/>
      <c r="I523" s="321"/>
      <c r="J523" s="321"/>
      <c r="K523" s="321"/>
      <c r="L523" s="321"/>
    </row>
    <row r="524" ht="15.75" customHeight="1">
      <c r="A524" s="317"/>
      <c r="B524" s="318"/>
      <c r="C524" s="318"/>
      <c r="D524" s="319" t="str">
        <f t="shared" si="1"/>
        <v/>
      </c>
      <c r="E524" s="320"/>
      <c r="F524" s="320"/>
      <c r="G524" s="321"/>
      <c r="H524" s="321"/>
      <c r="I524" s="321"/>
      <c r="J524" s="321"/>
      <c r="K524" s="321"/>
      <c r="L524" s="321"/>
    </row>
    <row r="525" ht="15.75" customHeight="1">
      <c r="A525" s="317"/>
      <c r="B525" s="318"/>
      <c r="C525" s="318"/>
      <c r="D525" s="319" t="str">
        <f t="shared" si="1"/>
        <v/>
      </c>
      <c r="E525" s="320"/>
      <c r="F525" s="320"/>
      <c r="G525" s="321"/>
      <c r="H525" s="321"/>
      <c r="I525" s="321"/>
      <c r="J525" s="321"/>
      <c r="K525" s="321"/>
      <c r="L525" s="321"/>
    </row>
    <row r="526" ht="15.75" customHeight="1">
      <c r="A526" s="317"/>
      <c r="B526" s="318"/>
      <c r="C526" s="318"/>
      <c r="D526" s="319" t="str">
        <f t="shared" si="1"/>
        <v/>
      </c>
      <c r="E526" s="320"/>
      <c r="F526" s="320"/>
      <c r="G526" s="321"/>
      <c r="H526" s="321"/>
      <c r="I526" s="321"/>
      <c r="J526" s="321"/>
      <c r="K526" s="321"/>
      <c r="L526" s="321"/>
    </row>
    <row r="527" ht="15.75" customHeight="1">
      <c r="A527" s="317"/>
      <c r="B527" s="318"/>
      <c r="C527" s="318"/>
      <c r="D527" s="319" t="str">
        <f t="shared" si="1"/>
        <v/>
      </c>
      <c r="E527" s="320"/>
      <c r="F527" s="320"/>
      <c r="G527" s="321"/>
      <c r="H527" s="321"/>
      <c r="I527" s="321"/>
      <c r="J527" s="321"/>
      <c r="K527" s="321"/>
      <c r="L527" s="321"/>
    </row>
    <row r="528" ht="15.75" customHeight="1">
      <c r="A528" s="317"/>
      <c r="B528" s="318"/>
      <c r="C528" s="318"/>
      <c r="D528" s="319" t="str">
        <f t="shared" si="1"/>
        <v/>
      </c>
      <c r="E528" s="320"/>
      <c r="F528" s="320"/>
      <c r="G528" s="321"/>
      <c r="H528" s="321"/>
      <c r="I528" s="321"/>
      <c r="J528" s="321"/>
      <c r="K528" s="321"/>
      <c r="L528" s="321"/>
    </row>
    <row r="529" ht="15.75" customHeight="1">
      <c r="A529" s="317"/>
      <c r="B529" s="318"/>
      <c r="C529" s="318"/>
      <c r="D529" s="319" t="str">
        <f t="shared" si="1"/>
        <v/>
      </c>
      <c r="E529" s="320"/>
      <c r="F529" s="320"/>
      <c r="G529" s="321"/>
      <c r="H529" s="321"/>
      <c r="I529" s="321"/>
      <c r="J529" s="321"/>
      <c r="K529" s="321"/>
      <c r="L529" s="321"/>
    </row>
    <row r="530" ht="15.75" customHeight="1">
      <c r="A530" s="317"/>
      <c r="B530" s="318"/>
      <c r="C530" s="318"/>
      <c r="D530" s="319" t="str">
        <f t="shared" si="1"/>
        <v/>
      </c>
      <c r="E530" s="320"/>
      <c r="F530" s="320"/>
      <c r="G530" s="321"/>
      <c r="H530" s="321"/>
      <c r="I530" s="321"/>
      <c r="J530" s="321"/>
      <c r="K530" s="321"/>
      <c r="L530" s="321"/>
    </row>
    <row r="531" ht="15.75" customHeight="1">
      <c r="A531" s="317"/>
      <c r="B531" s="318"/>
      <c r="C531" s="318"/>
      <c r="D531" s="319" t="str">
        <f t="shared" si="1"/>
        <v/>
      </c>
      <c r="E531" s="320"/>
      <c r="F531" s="320"/>
      <c r="G531" s="321"/>
      <c r="H531" s="321"/>
      <c r="I531" s="321"/>
      <c r="J531" s="321"/>
      <c r="K531" s="321"/>
      <c r="L531" s="321"/>
    </row>
    <row r="532" ht="15.75" customHeight="1">
      <c r="A532" s="317"/>
      <c r="B532" s="318"/>
      <c r="C532" s="318"/>
      <c r="D532" s="319" t="str">
        <f t="shared" si="1"/>
        <v/>
      </c>
      <c r="E532" s="320"/>
      <c r="F532" s="320"/>
      <c r="G532" s="321"/>
      <c r="H532" s="321"/>
      <c r="I532" s="321"/>
      <c r="J532" s="321"/>
      <c r="K532" s="321"/>
      <c r="L532" s="321"/>
    </row>
    <row r="533" ht="15.75" customHeight="1">
      <c r="A533" s="317"/>
      <c r="B533" s="318"/>
      <c r="C533" s="318"/>
      <c r="D533" s="319" t="str">
        <f t="shared" si="1"/>
        <v/>
      </c>
      <c r="E533" s="320"/>
      <c r="F533" s="320"/>
      <c r="G533" s="321"/>
      <c r="H533" s="321"/>
      <c r="I533" s="321"/>
      <c r="J533" s="321"/>
      <c r="K533" s="321"/>
      <c r="L533" s="321"/>
    </row>
    <row r="534" ht="15.75" customHeight="1">
      <c r="A534" s="317"/>
      <c r="B534" s="318"/>
      <c r="C534" s="318"/>
      <c r="D534" s="319" t="str">
        <f t="shared" si="1"/>
        <v/>
      </c>
      <c r="E534" s="320"/>
      <c r="F534" s="320"/>
      <c r="G534" s="321"/>
      <c r="H534" s="321"/>
      <c r="I534" s="321"/>
      <c r="J534" s="321"/>
      <c r="K534" s="321"/>
      <c r="L534" s="321"/>
    </row>
    <row r="535" ht="15.75" customHeight="1">
      <c r="A535" s="317"/>
      <c r="B535" s="318"/>
      <c r="C535" s="318"/>
      <c r="D535" s="319" t="str">
        <f t="shared" si="1"/>
        <v/>
      </c>
      <c r="E535" s="320"/>
      <c r="F535" s="320"/>
      <c r="G535" s="321"/>
      <c r="H535" s="321"/>
      <c r="I535" s="321"/>
      <c r="J535" s="321"/>
      <c r="K535" s="321"/>
      <c r="L535" s="321"/>
    </row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535"/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75"/>
    <col customWidth="1" min="2" max="2" width="18.38"/>
    <col customWidth="1" min="3" max="3" width="36.5"/>
    <col customWidth="1" min="4" max="4" width="18.25"/>
    <col customWidth="1" min="5" max="5" width="17.63"/>
    <col customWidth="1" min="6" max="6" width="13.0"/>
    <col customWidth="1" min="7" max="7" width="28.38"/>
    <col customWidth="1" min="8" max="8" width="13.0"/>
    <col customWidth="1" hidden="1" min="9" max="9" width="19.75"/>
    <col customWidth="1" min="10" max="10" width="19.0"/>
    <col customWidth="1" min="11" max="11" width="14.25"/>
    <col customWidth="1" min="12" max="12" width="10.88"/>
    <col customWidth="1" min="13" max="13" width="8.25"/>
    <col customWidth="1" min="14" max="14" width="10.13"/>
    <col customWidth="1" min="15" max="15" width="10.88"/>
    <col customWidth="1" min="16" max="16" width="14.0"/>
    <col customWidth="1" min="17" max="17" width="17.0"/>
    <col customWidth="1" min="18" max="18" width="27.38"/>
    <col customWidth="1" min="19" max="19" width="14.13"/>
    <col customWidth="1" min="20" max="20" width="10.88"/>
    <col customWidth="1" min="21" max="21" width="8.25"/>
    <col customWidth="1" min="22" max="22" width="10.13"/>
    <col customWidth="1" min="23" max="23" width="10.88"/>
    <col customWidth="1" min="24" max="24" width="14.0"/>
    <col customWidth="1" min="25" max="25" width="17.0"/>
    <col customWidth="1" min="26" max="26" width="21.5"/>
    <col customWidth="1" hidden="1" min="27" max="27" width="21.5"/>
  </cols>
  <sheetData>
    <row r="1">
      <c r="A1" s="58" t="s">
        <v>132</v>
      </c>
      <c r="B1" s="327"/>
      <c r="C1" s="327"/>
      <c r="D1" s="327"/>
      <c r="E1" s="327"/>
      <c r="F1" s="327"/>
      <c r="G1" s="327"/>
      <c r="H1" s="327"/>
      <c r="I1" s="327"/>
      <c r="J1" s="327"/>
      <c r="K1" s="59" t="str">
        <f>'Informações Relevantes Cenários'!A1</f>
        <v>Cenário 01: Pesquisa TI - Nacional</v>
      </c>
      <c r="L1" s="60"/>
      <c r="M1" s="60"/>
      <c r="N1" s="60"/>
      <c r="O1" s="60"/>
      <c r="P1" s="61"/>
      <c r="Q1" s="62" t="str">
        <f>"% da "&amp;'Painel Geral'!B5</f>
        <v>% da Mediana</v>
      </c>
      <c r="R1" s="62" t="s">
        <v>46</v>
      </c>
      <c r="S1" s="63" t="str">
        <f>'Informações Relevantes Cenários'!C1</f>
        <v>Cenário 02: Pesquisa TI - Corte por Santa Catarina</v>
      </c>
      <c r="T1" s="60"/>
      <c r="U1" s="60"/>
      <c r="V1" s="60"/>
      <c r="W1" s="60"/>
      <c r="X1" s="61"/>
      <c r="Y1" s="64" t="str">
        <f>"% da "&amp;'Painel Geral'!B5</f>
        <v>% da Mediana</v>
      </c>
      <c r="Z1" s="64" t="s">
        <v>46</v>
      </c>
      <c r="AA1" s="328"/>
    </row>
    <row r="2" ht="6.0" customHeight="1">
      <c r="A2" s="65"/>
      <c r="B2" s="329"/>
      <c r="C2" s="330"/>
      <c r="D2" s="330"/>
      <c r="E2" s="330"/>
      <c r="F2" s="331"/>
      <c r="G2" s="330"/>
      <c r="H2" s="331"/>
      <c r="I2" s="330"/>
      <c r="J2" s="332"/>
      <c r="K2" s="70"/>
      <c r="L2" s="71"/>
      <c r="M2" s="71"/>
      <c r="N2" s="71"/>
      <c r="O2" s="71"/>
      <c r="P2" s="72"/>
      <c r="Q2" s="73"/>
      <c r="R2" s="72"/>
      <c r="S2" s="74"/>
      <c r="T2" s="75"/>
      <c r="U2" s="75"/>
      <c r="V2" s="75"/>
      <c r="W2" s="75"/>
      <c r="X2" s="76"/>
      <c r="Y2" s="77"/>
      <c r="Z2" s="78"/>
      <c r="AA2" s="330"/>
    </row>
    <row r="3">
      <c r="A3" s="79" t="s">
        <v>37</v>
      </c>
      <c r="B3" s="333" t="s">
        <v>3</v>
      </c>
      <c r="C3" s="334" t="s">
        <v>38</v>
      </c>
      <c r="D3" s="334" t="s">
        <v>8</v>
      </c>
      <c r="E3" s="334" t="s">
        <v>7</v>
      </c>
      <c r="F3" s="334" t="s">
        <v>39</v>
      </c>
      <c r="G3" s="334" t="s">
        <v>40</v>
      </c>
      <c r="H3" s="335" t="s">
        <v>6</v>
      </c>
      <c r="I3" s="336" t="s">
        <v>49</v>
      </c>
      <c r="J3" s="337" t="s">
        <v>133</v>
      </c>
      <c r="K3" s="84" t="s">
        <v>51</v>
      </c>
      <c r="L3" s="85" t="s">
        <v>52</v>
      </c>
      <c r="M3" s="85" t="s">
        <v>53</v>
      </c>
      <c r="N3" s="85" t="s">
        <v>54</v>
      </c>
      <c r="O3" s="85" t="s">
        <v>55</v>
      </c>
      <c r="P3" s="86" t="s">
        <v>56</v>
      </c>
      <c r="Q3" s="87" t="s">
        <v>57</v>
      </c>
      <c r="R3" s="88" t="s">
        <v>58</v>
      </c>
      <c r="S3" s="89" t="s">
        <v>51</v>
      </c>
      <c r="T3" s="90" t="s">
        <v>52</v>
      </c>
      <c r="U3" s="90" t="s">
        <v>53</v>
      </c>
      <c r="V3" s="90" t="s">
        <v>54</v>
      </c>
      <c r="W3" s="90" t="s">
        <v>55</v>
      </c>
      <c r="X3" s="91" t="s">
        <v>56</v>
      </c>
      <c r="Y3" s="92" t="s">
        <v>59</v>
      </c>
      <c r="Z3" s="93" t="s">
        <v>60</v>
      </c>
      <c r="AA3" s="334" t="s">
        <v>134</v>
      </c>
    </row>
    <row r="4" ht="15.75" customHeight="1">
      <c r="A4" s="94">
        <v>3.0</v>
      </c>
      <c r="B4" s="19">
        <v>15.0</v>
      </c>
      <c r="C4" s="338" t="str">
        <f>VLOOKUP(A4,Jobmatch!A:E,2,0)</f>
        <v>Engenheiro de Software Full Stack Sr</v>
      </c>
      <c r="D4" s="339" t="str">
        <f>VLOOKUP(B4,'Folha de Pagamento'!B:G,6,0)</f>
        <v>DEV</v>
      </c>
      <c r="E4" s="338" t="str">
        <f>VLOOKUP(A4,Jobmatch!A:E,4,0)</f>
        <v>Tático</v>
      </c>
      <c r="F4" s="340">
        <f>VLOOKUP(A4,Jobmatch!A:F,5,0)</f>
        <v>1</v>
      </c>
      <c r="G4" s="339" t="str">
        <f>VLOOKUP(A4,Jobmatch!A:G,6,0)</f>
        <v>Desenvolvedor</v>
      </c>
      <c r="H4" s="341" t="str">
        <f>VLOOKUP(A4,Jobmatch!A:H,7,0)</f>
        <v>Sênior</v>
      </c>
      <c r="I4" s="342" t="str">
        <f t="shared" ref="I4:I36" si="1">F4&amp;H4</f>
        <v>1Sênior</v>
      </c>
      <c r="J4" s="343">
        <f>IFERROR(VLOOKUP(B4,'Folha de Pagamento'!B:I,8,0),"")</f>
        <v>6458.4</v>
      </c>
      <c r="K4" s="102">
        <f>IFERROR(VLOOKUP(I4,'C-01'!$D:$L,4,0),"")</f>
        <v>5873.21</v>
      </c>
      <c r="L4" s="103">
        <f>IFERROR(VLOOKUP(I4,'C-01'!$D:$L,5,0),"")</f>
        <v>7005.56</v>
      </c>
      <c r="M4" s="103">
        <f>IFERROR(VLOOKUP(I4,'C-01'!$D:$L,6,0),"")</f>
        <v>8047.78</v>
      </c>
      <c r="N4" s="103">
        <f>IFERROR(VLOOKUP(I4,'C-01'!$D:$L,7,0),"")</f>
        <v>7999.87</v>
      </c>
      <c r="O4" s="103">
        <f>IFERROR(VLOOKUP(I4,'C-01'!$D:$L,8,0),"")</f>
        <v>9271.4</v>
      </c>
      <c r="P4" s="102">
        <f>IFERROR(VLOOKUP(I4,'C-01'!$D:$L,9,0),"")</f>
        <v>10095.14</v>
      </c>
      <c r="Q4" s="104">
        <f>IFS('Painel Geral'!$B$5="Mediana",IFERROR(IF(OR(J4="",N4=0,N4=""),"",($J4/$N4)),""),'Painel Geral'!$B$5="Menor Salário",IFERROR(IF(OR(J4="",N4=0,N4=""),"",($J4/$K4)),""),'Painel Geral'!$B$5="1º Quartil",IFERROR(IF(OR(J4="",N4=0,N4=""),"",($J4/$L4)),""),'Painel Geral'!$B$5="Média",IFERROR(IF(OR(J4="",N4=0,N4=""),"",($J4/$M4)),""),'Painel Geral'!$B$5="3º Quartil",IFERROR(IF(OR(J4="",N4=0,N4=""),"",($J4/$O4)),""),'Painel Geral'!$B$5="Maior Salário",IFERROR(IF(OR(J4="",N4=0,N4=""),"",($J4/$P4)),""))</f>
        <v>0.8073131188</v>
      </c>
      <c r="R4" s="105" t="str">
        <f t="shared" ref="R4:R36" si="2">IFS(OR(K4="",K4=0,J4="", J4=0),"",Q4&lt;=80%,"Muito Defasado",Q4&lt;=90%,"Defasado",Q4&lt;=100%,"Na Média",Q4&lt;=110%,"Competitivo",Q4&lt;=120%,"Muito Competitivo",Q4&gt;120%,"Agressivo")</f>
        <v>Defasado</v>
      </c>
      <c r="S4" s="106">
        <f>IFERROR(VLOOKUP($I4,'C-02'!$D:$L,4,0),"")</f>
        <v>5928.64</v>
      </c>
      <c r="T4" s="106">
        <f>IFERROR(VLOOKUP($I4,'C-02'!$D:$L,5,FALSE),"")</f>
        <v>6791.87</v>
      </c>
      <c r="U4" s="106">
        <f>IFERROR(VLOOKUP($I4,'C-02'!$D:$L,6,FALSE),"")</f>
        <v>7984.54</v>
      </c>
      <c r="V4" s="106">
        <f>IFERROR(VLOOKUP($I4,'C-02'!$D:$L,7,FALSE),"")</f>
        <v>7851.14</v>
      </c>
      <c r="W4" s="106">
        <f>IFERROR(VLOOKUP($I4,'C-02'!$D:$L,8,FALSE),"")</f>
        <v>9534.06</v>
      </c>
      <c r="X4" s="106">
        <f>IFERROR(VLOOKUP($I4,'C-02'!$D:$L,9,FALSE),"")</f>
        <v>9921.51</v>
      </c>
      <c r="Y4" s="107">
        <f>IFS('Painel Geral'!$B$5="Mediana",IFERROR(IF(OR(J4="",V4=0,V4=""),"",($J4/$V4)),""),'Painel Geral'!$B$5="Menor Salário",IFERROR(IF(OR(J4="",V4=0,V4=""),"",($J4/$S4)),""),'Painel Geral'!$B$5="1º Quartil",IFERROR(IF(OR(J4="",V4=0,V4=""),"",($J4/$T4)),""),'Painel Geral'!$B$5="Média",IFERROR(IF(OR(J4="",V4=0,V4=""),"",($J4/$U4)),""),'Painel Geral'!$B$5="3º Quartil",IFERROR(IF(OR(J4="",V4=0,V4=""),"",($J4/$W4)),""),'Painel Geral'!$B$5="Maior Salário",IFERROR(IF(OR(J4="",V4=0,V4=""),"",($J4/$X4)),""))</f>
        <v>0.8226066533</v>
      </c>
      <c r="Z4" s="108" t="str">
        <f t="shared" ref="Z4:Z36" si="3">IFS(OR(S4="",S4=0,J4="", J4=0),"",Y4&lt;=80%,"Muito Defasado",Y4&lt;=90%,"Defasado",Y4&lt;=100%,"Na Média",Y4&lt;=110%,"Competitivo",Y4&lt;=120%,"Muito Competitivo",Y4&gt;120%,"Agressivo")</f>
        <v>Defasado</v>
      </c>
      <c r="AA4" s="344">
        <f>VLOOKUP(A4,'Cálculos Comparativos'!$A:$E,4,0)</f>
        <v>1</v>
      </c>
    </row>
    <row r="5" ht="15.75" customHeight="1">
      <c r="A5" s="94">
        <v>3.0</v>
      </c>
      <c r="B5" s="19">
        <v>50.0</v>
      </c>
      <c r="C5" s="338" t="str">
        <f>VLOOKUP(A5,Jobmatch!A:E,2,0)</f>
        <v>Engenheiro de Software Full Stack Sr</v>
      </c>
      <c r="D5" s="339" t="str">
        <f>VLOOKUP(B5,'Folha de Pagamento'!B:G,6,0)</f>
        <v>DEV</v>
      </c>
      <c r="E5" s="338" t="str">
        <f>VLOOKUP(A5,Jobmatch!A:E,4,0)</f>
        <v>Tático</v>
      </c>
      <c r="F5" s="340">
        <f>VLOOKUP(A5,Jobmatch!A:F,5,0)</f>
        <v>1</v>
      </c>
      <c r="G5" s="339" t="str">
        <f>VLOOKUP(A5,Jobmatch!A:G,6,0)</f>
        <v>Desenvolvedor</v>
      </c>
      <c r="H5" s="341" t="str">
        <f>VLOOKUP(A5,Jobmatch!A:H,7,0)</f>
        <v>Sênior</v>
      </c>
      <c r="I5" s="342" t="str">
        <f t="shared" si="1"/>
        <v>1Sênior</v>
      </c>
      <c r="J5" s="343">
        <f>IFERROR(VLOOKUP(B5,'Folha de Pagamento'!B:I,8,0),"")</f>
        <v>6458.4</v>
      </c>
      <c r="K5" s="102">
        <f>IFERROR(VLOOKUP(I5,'C-01'!$D:$L,4,0),"")</f>
        <v>5873.21</v>
      </c>
      <c r="L5" s="103">
        <f>IFERROR(VLOOKUP(I5,'C-01'!$D:$L,5,0),"")</f>
        <v>7005.56</v>
      </c>
      <c r="M5" s="103">
        <f>IFERROR(VLOOKUP(I5,'C-01'!$D:$L,6,0),"")</f>
        <v>8047.78</v>
      </c>
      <c r="N5" s="103">
        <f>IFERROR(VLOOKUP(I5,'C-01'!$D:$L,7,0),"")</f>
        <v>7999.87</v>
      </c>
      <c r="O5" s="103">
        <f>IFERROR(VLOOKUP(I5,'C-01'!$D:$L,8,0),"")</f>
        <v>9271.4</v>
      </c>
      <c r="P5" s="102">
        <f>IFERROR(VLOOKUP(I5,'C-01'!$D:$L,9,0),"")</f>
        <v>10095.14</v>
      </c>
      <c r="Q5" s="104">
        <f>IFS('Painel Geral'!$B$5="Mediana",IFERROR(IF(OR(J5="",N5=0,N5=""),"",($J5/$N5)),""),'Painel Geral'!$B$5="Menor Salário",IFERROR(IF(OR(J5="",N5=0,N5=""),"",($J5/$K5)),""),'Painel Geral'!$B$5="1º Quartil",IFERROR(IF(OR(J5="",N5=0,N5=""),"",($J5/$L5)),""),'Painel Geral'!$B$5="Média",IFERROR(IF(OR(J5="",N5=0,N5=""),"",($J5/$M5)),""),'Painel Geral'!$B$5="3º Quartil",IFERROR(IF(OR(J5="",N5=0,N5=""),"",($J5/$O5)),""),'Painel Geral'!$B$5="Maior Salário",IFERROR(IF(OR(J5="",N5=0,N5=""),"",($J5/$P5)),""))</f>
        <v>0.8073131188</v>
      </c>
      <c r="R5" s="105" t="str">
        <f t="shared" si="2"/>
        <v>Defasado</v>
      </c>
      <c r="S5" s="106">
        <f>IFERROR(VLOOKUP($I5,'C-02'!$D:$L,4,0),"")</f>
        <v>5928.64</v>
      </c>
      <c r="T5" s="106">
        <f>IFERROR(VLOOKUP($I5,'C-02'!$D:$L,5,FALSE),"")</f>
        <v>6791.87</v>
      </c>
      <c r="U5" s="106">
        <f>IFERROR(VLOOKUP($I5,'C-02'!$D:$L,6,FALSE),"")</f>
        <v>7984.54</v>
      </c>
      <c r="V5" s="106">
        <f>IFERROR(VLOOKUP($I5,'C-02'!$D:$L,7,FALSE),"")</f>
        <v>7851.14</v>
      </c>
      <c r="W5" s="106">
        <f>IFERROR(VLOOKUP($I5,'C-02'!$D:$L,8,FALSE),"")</f>
        <v>9534.06</v>
      </c>
      <c r="X5" s="106">
        <f>IFERROR(VLOOKUP($I5,'C-02'!$D:$L,9,FALSE),"")</f>
        <v>9921.51</v>
      </c>
      <c r="Y5" s="107">
        <f>IFS('Painel Geral'!$B$5="Mediana",IFERROR(IF(OR(J5="",V5=0,V5=""),"",($J5/$V5)),""),'Painel Geral'!$B$5="Menor Salário",IFERROR(IF(OR(J5="",V5=0,V5=""),"",($J5/$S5)),""),'Painel Geral'!$B$5="1º Quartil",IFERROR(IF(OR(J5="",V5=0,V5=""),"",($J5/$T5)),""),'Painel Geral'!$B$5="Média",IFERROR(IF(OR(J5="",V5=0,V5=""),"",($J5/$U5)),""),'Painel Geral'!$B$5="3º Quartil",IFERROR(IF(OR(J5="",V5=0,V5=""),"",($J5/$W5)),""),'Painel Geral'!$B$5="Maior Salário",IFERROR(IF(OR(J5="",V5=0,V5=""),"",($J5/$X5)),""))</f>
        <v>0.8226066533</v>
      </c>
      <c r="Z5" s="108" t="str">
        <f t="shared" si="3"/>
        <v>Defasado</v>
      </c>
      <c r="AA5" s="344">
        <f>VLOOKUP(A5,'Cálculos Comparativos'!$A:$E,4,0)</f>
        <v>1</v>
      </c>
    </row>
    <row r="6" ht="15.75" customHeight="1">
      <c r="A6" s="94">
        <v>2.0</v>
      </c>
      <c r="B6" s="19">
        <v>14.0</v>
      </c>
      <c r="C6" s="338" t="str">
        <f>VLOOKUP(A6,Jobmatch!A:E,2,0)</f>
        <v>Engenheiro de Software Full Stack Pl</v>
      </c>
      <c r="D6" s="339" t="str">
        <f>VLOOKUP(B6,'Folha de Pagamento'!B:G,6,0)</f>
        <v>DEV</v>
      </c>
      <c r="E6" s="338" t="str">
        <f>VLOOKUP(A6,Jobmatch!A:E,4,0)</f>
        <v>Operacional</v>
      </c>
      <c r="F6" s="340">
        <f>VLOOKUP(A6,Jobmatch!A:F,5,0)</f>
        <v>1</v>
      </c>
      <c r="G6" s="339" t="str">
        <f>VLOOKUP(A6,Jobmatch!A:G,6,0)</f>
        <v>Desenvolvedor</v>
      </c>
      <c r="H6" s="341" t="str">
        <f>VLOOKUP(A6,Jobmatch!A:H,7,0)</f>
        <v>Pleno</v>
      </c>
      <c r="I6" s="342" t="str">
        <f t="shared" si="1"/>
        <v>1Pleno</v>
      </c>
      <c r="J6" s="343">
        <f>IFERROR(VLOOKUP(B6,'Folha de Pagamento'!B:I,8,0),"")</f>
        <v>4305.6</v>
      </c>
      <c r="K6" s="102">
        <f>IFERROR(VLOOKUP(I6,'C-01'!$D:$L,4,0),"")</f>
        <v>3358.05</v>
      </c>
      <c r="L6" s="103">
        <f>IFERROR(VLOOKUP(I6,'C-01'!$D:$L,5,0),"")</f>
        <v>4730.15</v>
      </c>
      <c r="M6" s="103">
        <f>IFERROR(VLOOKUP(I6,'C-01'!$D:$L,6,0),"")</f>
        <v>5379.82</v>
      </c>
      <c r="N6" s="103">
        <f>IFERROR(VLOOKUP(I6,'C-01'!$D:$L,7,0),"")</f>
        <v>5342.35</v>
      </c>
      <c r="O6" s="103">
        <f>IFERROR(VLOOKUP(I6,'C-01'!$D:$L,8,0),"")</f>
        <v>5995.34</v>
      </c>
      <c r="P6" s="102">
        <f>IFERROR(VLOOKUP(I6,'C-01'!$D:$L,9,0),"")</f>
        <v>7790.91</v>
      </c>
      <c r="Q6" s="104">
        <f>IFS('Painel Geral'!$B$5="Mediana",IFERROR(IF(OR(J6="",N6=0,N6=""),"",($J6/$N6)),""),'Painel Geral'!$B$5="Menor Salário",IFERROR(IF(OR(J6="",N6=0,N6=""),"",($J6/$K6)),""),'Painel Geral'!$B$5="1º Quartil",IFERROR(IF(OR(J6="",N6=0,N6=""),"",($J6/$L6)),""),'Painel Geral'!$B$5="Média",IFERROR(IF(OR(J6="",N6=0,N6=""),"",($J6/$M6)),""),'Painel Geral'!$B$5="3º Quartil",IFERROR(IF(OR(J6="",N6=0,N6=""),"",($J6/$O6)),""),'Painel Geral'!$B$5="Maior Salário",IFERROR(IF(OR(J6="",N6=0,N6=""),"",($J6/$P6)),""))</f>
        <v>0.805937462</v>
      </c>
      <c r="R6" s="105" t="str">
        <f t="shared" si="2"/>
        <v>Defasado</v>
      </c>
      <c r="S6" s="106">
        <f>IFERROR(VLOOKUP($I6,'C-02'!$D:$L,4,0),"")</f>
        <v>3480.14</v>
      </c>
      <c r="T6" s="106">
        <f>IFERROR(VLOOKUP($I6,'C-02'!$D:$L,5,FALSE),"")</f>
        <v>4665.99</v>
      </c>
      <c r="U6" s="106">
        <f>IFERROR(VLOOKUP($I6,'C-02'!$D:$L,6,FALSE),"")</f>
        <v>5399.83</v>
      </c>
      <c r="V6" s="106">
        <f>IFERROR(VLOOKUP($I6,'C-02'!$D:$L,7,FALSE),"")</f>
        <v>5248.63</v>
      </c>
      <c r="W6" s="106">
        <f>IFERROR(VLOOKUP($I6,'C-02'!$D:$L,8,FALSE),"")</f>
        <v>6311.23</v>
      </c>
      <c r="X6" s="106">
        <f>IFERROR(VLOOKUP($I6,'C-02'!$D:$L,9,FALSE),"")</f>
        <v>7135.86</v>
      </c>
      <c r="Y6" s="107">
        <f>IFS('Painel Geral'!$B$5="Mediana",IFERROR(IF(OR(J6="",V6=0,V6=""),"",($J6/$V6)),""),'Painel Geral'!$B$5="Menor Salário",IFERROR(IF(OR(J6="",V6=0,V6=""),"",($J6/$S6)),""),'Painel Geral'!$B$5="1º Quartil",IFERROR(IF(OR(J6="",V6=0,V6=""),"",($J6/$T6)),""),'Painel Geral'!$B$5="Média",IFERROR(IF(OR(J6="",V6=0,V6=""),"",($J6/$U6)),""),'Painel Geral'!$B$5="3º Quartil",IFERROR(IF(OR(J6="",V6=0,V6=""),"",($J6/$W6)),""),'Painel Geral'!$B$5="Maior Salário",IFERROR(IF(OR(J6="",V6=0,V6=""),"",($J6/$X6)),""))</f>
        <v>0.8203283524</v>
      </c>
      <c r="Z6" s="108" t="str">
        <f t="shared" si="3"/>
        <v>Defasado</v>
      </c>
      <c r="AA6" s="344">
        <f>VLOOKUP(A6,'Cálculos Comparativos'!$A:$E,4,0)</f>
        <v>1</v>
      </c>
    </row>
    <row r="7" ht="15.75" customHeight="1">
      <c r="A7" s="94">
        <v>2.0</v>
      </c>
      <c r="B7" s="19">
        <v>42.0</v>
      </c>
      <c r="C7" s="338" t="str">
        <f>VLOOKUP(A7,Jobmatch!A:E,2,0)</f>
        <v>Engenheiro de Software Full Stack Pl</v>
      </c>
      <c r="D7" s="339" t="str">
        <f>VLOOKUP(B7,'Folha de Pagamento'!B:G,6,0)</f>
        <v>DEV</v>
      </c>
      <c r="E7" s="338" t="str">
        <f>VLOOKUP(A7,Jobmatch!A:E,4,0)</f>
        <v>Operacional</v>
      </c>
      <c r="F7" s="340">
        <f>VLOOKUP(A7,Jobmatch!A:F,5,0)</f>
        <v>1</v>
      </c>
      <c r="G7" s="339" t="str">
        <f>VLOOKUP(A7,Jobmatch!A:G,6,0)</f>
        <v>Desenvolvedor</v>
      </c>
      <c r="H7" s="341" t="str">
        <f>VLOOKUP(A7,Jobmatch!A:H,7,0)</f>
        <v>Pleno</v>
      </c>
      <c r="I7" s="342" t="str">
        <f t="shared" si="1"/>
        <v>1Pleno</v>
      </c>
      <c r="J7" s="343">
        <f>IFERROR(VLOOKUP(B7,'Folha de Pagamento'!B:I,8,0),"")</f>
        <v>4305.6</v>
      </c>
      <c r="K7" s="102">
        <f>IFERROR(VLOOKUP(I7,'C-01'!$D:$L,4,0),"")</f>
        <v>3358.05</v>
      </c>
      <c r="L7" s="103">
        <f>IFERROR(VLOOKUP(I7,'C-01'!$D:$L,5,0),"")</f>
        <v>4730.15</v>
      </c>
      <c r="M7" s="103">
        <f>IFERROR(VLOOKUP(I7,'C-01'!$D:$L,6,0),"")</f>
        <v>5379.82</v>
      </c>
      <c r="N7" s="103">
        <f>IFERROR(VLOOKUP(I7,'C-01'!$D:$L,7,0),"")</f>
        <v>5342.35</v>
      </c>
      <c r="O7" s="103">
        <f>IFERROR(VLOOKUP(I7,'C-01'!$D:$L,8,0),"")</f>
        <v>5995.34</v>
      </c>
      <c r="P7" s="102">
        <f>IFERROR(VLOOKUP(I7,'C-01'!$D:$L,9,0),"")</f>
        <v>7790.91</v>
      </c>
      <c r="Q7" s="104">
        <f>IFS('Painel Geral'!$B$5="Mediana",IFERROR(IF(OR(J7="",N7=0,N7=""),"",($J7/$N7)),""),'Painel Geral'!$B$5="Menor Salário",IFERROR(IF(OR(J7="",N7=0,N7=""),"",($J7/$K7)),""),'Painel Geral'!$B$5="1º Quartil",IFERROR(IF(OR(J7="",N7=0,N7=""),"",($J7/$L7)),""),'Painel Geral'!$B$5="Média",IFERROR(IF(OR(J7="",N7=0,N7=""),"",($J7/$M7)),""),'Painel Geral'!$B$5="3º Quartil",IFERROR(IF(OR(J7="",N7=0,N7=""),"",($J7/$O7)),""),'Painel Geral'!$B$5="Maior Salário",IFERROR(IF(OR(J7="",N7=0,N7=""),"",($J7/$P7)),""))</f>
        <v>0.805937462</v>
      </c>
      <c r="R7" s="105" t="str">
        <f t="shared" si="2"/>
        <v>Defasado</v>
      </c>
      <c r="S7" s="106">
        <f>IFERROR(VLOOKUP($I7,'C-02'!$D:$L,4,0),"")</f>
        <v>3480.14</v>
      </c>
      <c r="T7" s="106">
        <f>IFERROR(VLOOKUP($I7,'C-02'!$D:$L,5,FALSE),"")</f>
        <v>4665.99</v>
      </c>
      <c r="U7" s="106">
        <f>IFERROR(VLOOKUP($I7,'C-02'!$D:$L,6,FALSE),"")</f>
        <v>5399.83</v>
      </c>
      <c r="V7" s="106">
        <f>IFERROR(VLOOKUP($I7,'C-02'!$D:$L,7,FALSE),"")</f>
        <v>5248.63</v>
      </c>
      <c r="W7" s="106">
        <f>IFERROR(VLOOKUP($I7,'C-02'!$D:$L,8,FALSE),"")</f>
        <v>6311.23</v>
      </c>
      <c r="X7" s="106">
        <f>IFERROR(VLOOKUP($I7,'C-02'!$D:$L,9,FALSE),"")</f>
        <v>7135.86</v>
      </c>
      <c r="Y7" s="107">
        <f>IFS('Painel Geral'!$B$5="Mediana",IFERROR(IF(OR(J7="",V7=0,V7=""),"",($J7/$V7)),""),'Painel Geral'!$B$5="Menor Salário",IFERROR(IF(OR(J7="",V7=0,V7=""),"",($J7/$S7)),""),'Painel Geral'!$B$5="1º Quartil",IFERROR(IF(OR(J7="",V7=0,V7=""),"",($J7/$T7)),""),'Painel Geral'!$B$5="Média",IFERROR(IF(OR(J7="",V7=0,V7=""),"",($J7/$U7)),""),'Painel Geral'!$B$5="3º Quartil",IFERROR(IF(OR(J7="",V7=0,V7=""),"",($J7/$W7)),""),'Painel Geral'!$B$5="Maior Salário",IFERROR(IF(OR(J7="",V7=0,V7=""),"",($J7/$X7)),""))</f>
        <v>0.8203283524</v>
      </c>
      <c r="Z7" s="108" t="str">
        <f t="shared" si="3"/>
        <v>Defasado</v>
      </c>
      <c r="AA7" s="344">
        <f>VLOOKUP(A7,'Cálculos Comparativos'!$A:$E,4,0)</f>
        <v>1</v>
      </c>
    </row>
    <row r="8" ht="15.75" customHeight="1">
      <c r="A8" s="94">
        <v>2.0</v>
      </c>
      <c r="B8" s="19">
        <v>36.0</v>
      </c>
      <c r="C8" s="338" t="str">
        <f>VLOOKUP(A8,Jobmatch!A:E,2,0)</f>
        <v>Engenheiro de Software Full Stack Pl</v>
      </c>
      <c r="D8" s="339" t="str">
        <f>VLOOKUP(B8,'Folha de Pagamento'!B:G,6,0)</f>
        <v>DEV</v>
      </c>
      <c r="E8" s="338" t="str">
        <f>VLOOKUP(A8,Jobmatch!A:E,4,0)</f>
        <v>Operacional</v>
      </c>
      <c r="F8" s="340">
        <f>VLOOKUP(A8,Jobmatch!A:F,5,0)</f>
        <v>1</v>
      </c>
      <c r="G8" s="339" t="str">
        <f>VLOOKUP(A8,Jobmatch!A:G,6,0)</f>
        <v>Desenvolvedor</v>
      </c>
      <c r="H8" s="341" t="str">
        <f>VLOOKUP(A8,Jobmatch!A:H,7,0)</f>
        <v>Pleno</v>
      </c>
      <c r="I8" s="342" t="str">
        <f t="shared" si="1"/>
        <v>1Pleno</v>
      </c>
      <c r="J8" s="343">
        <f>IFERROR(VLOOKUP(B8,'Folha de Pagamento'!B:I,8,0),"")</f>
        <v>4305.6</v>
      </c>
      <c r="K8" s="102">
        <f>IFERROR(VLOOKUP(I8,'C-01'!$D:$L,4,0),"")</f>
        <v>3358.05</v>
      </c>
      <c r="L8" s="103">
        <f>IFERROR(VLOOKUP(I8,'C-01'!$D:$L,5,0),"")</f>
        <v>4730.15</v>
      </c>
      <c r="M8" s="103">
        <f>IFERROR(VLOOKUP(I8,'C-01'!$D:$L,6,0),"")</f>
        <v>5379.82</v>
      </c>
      <c r="N8" s="103">
        <f>IFERROR(VLOOKUP(I8,'C-01'!$D:$L,7,0),"")</f>
        <v>5342.35</v>
      </c>
      <c r="O8" s="103">
        <f>IFERROR(VLOOKUP(I8,'C-01'!$D:$L,8,0),"")</f>
        <v>5995.34</v>
      </c>
      <c r="P8" s="102">
        <f>IFERROR(VLOOKUP(I8,'C-01'!$D:$L,9,0),"")</f>
        <v>7790.91</v>
      </c>
      <c r="Q8" s="104">
        <f>IFS('Painel Geral'!$B$5="Mediana",IFERROR(IF(OR(J8="",N8=0,N8=""),"",($J8/$N8)),""),'Painel Geral'!$B$5="Menor Salário",IFERROR(IF(OR(J8="",N8=0,N8=""),"",($J8/$K8)),""),'Painel Geral'!$B$5="1º Quartil",IFERROR(IF(OR(J8="",N8=0,N8=""),"",($J8/$L8)),""),'Painel Geral'!$B$5="Média",IFERROR(IF(OR(J8="",N8=0,N8=""),"",($J8/$M8)),""),'Painel Geral'!$B$5="3º Quartil",IFERROR(IF(OR(J8="",N8=0,N8=""),"",($J8/$O8)),""),'Painel Geral'!$B$5="Maior Salário",IFERROR(IF(OR(J8="",N8=0,N8=""),"",($J8/$P8)),""))</f>
        <v>0.805937462</v>
      </c>
      <c r="R8" s="105" t="str">
        <f t="shared" si="2"/>
        <v>Defasado</v>
      </c>
      <c r="S8" s="106">
        <f>IFERROR(VLOOKUP($I8,'C-02'!$D:$L,4,0),"")</f>
        <v>3480.14</v>
      </c>
      <c r="T8" s="106">
        <f>IFERROR(VLOOKUP($I8,'C-02'!$D:$L,5,FALSE),"")</f>
        <v>4665.99</v>
      </c>
      <c r="U8" s="106">
        <f>IFERROR(VLOOKUP($I8,'C-02'!$D:$L,6,FALSE),"")</f>
        <v>5399.83</v>
      </c>
      <c r="V8" s="106">
        <f>IFERROR(VLOOKUP($I8,'C-02'!$D:$L,7,FALSE),"")</f>
        <v>5248.63</v>
      </c>
      <c r="W8" s="106">
        <f>IFERROR(VLOOKUP($I8,'C-02'!$D:$L,8,FALSE),"")</f>
        <v>6311.23</v>
      </c>
      <c r="X8" s="106">
        <f>IFERROR(VLOOKUP($I8,'C-02'!$D:$L,9,FALSE),"")</f>
        <v>7135.86</v>
      </c>
      <c r="Y8" s="107">
        <f>IFS('Painel Geral'!$B$5="Mediana",IFERROR(IF(OR(J8="",V8=0,V8=""),"",($J8/$V8)),""),'Painel Geral'!$B$5="Menor Salário",IFERROR(IF(OR(J8="",V8=0,V8=""),"",($J8/$S8)),""),'Painel Geral'!$B$5="1º Quartil",IFERROR(IF(OR(J8="",V8=0,V8=""),"",($J8/$T8)),""),'Painel Geral'!$B$5="Média",IFERROR(IF(OR(J8="",V8=0,V8=""),"",($J8/$U8)),""),'Painel Geral'!$B$5="3º Quartil",IFERROR(IF(OR(J8="",V8=0,V8=""),"",($J8/$W8)),""),'Painel Geral'!$B$5="Maior Salário",IFERROR(IF(OR(J8="",V8=0,V8=""),"",($J8/$X8)),""))</f>
        <v>0.8203283524</v>
      </c>
      <c r="Z8" s="108" t="str">
        <f t="shared" si="3"/>
        <v>Defasado</v>
      </c>
      <c r="AA8" s="344">
        <f>VLOOKUP(A8,'Cálculos Comparativos'!$A:$E,4,0)</f>
        <v>1</v>
      </c>
    </row>
    <row r="9" ht="15.75" customHeight="1">
      <c r="A9" s="94">
        <v>2.0</v>
      </c>
      <c r="B9" s="19">
        <v>37.0</v>
      </c>
      <c r="C9" s="338" t="str">
        <f>VLOOKUP(A9,Jobmatch!A:E,2,0)</f>
        <v>Engenheiro de Software Full Stack Pl</v>
      </c>
      <c r="D9" s="339" t="str">
        <f>VLOOKUP(B9,'Folha de Pagamento'!B:G,6,0)</f>
        <v>DEV</v>
      </c>
      <c r="E9" s="338" t="str">
        <f>VLOOKUP(A9,Jobmatch!A:E,4,0)</f>
        <v>Operacional</v>
      </c>
      <c r="F9" s="340">
        <f>VLOOKUP(A9,Jobmatch!A:F,5,0)</f>
        <v>1</v>
      </c>
      <c r="G9" s="339" t="str">
        <f>VLOOKUP(A9,Jobmatch!A:G,6,0)</f>
        <v>Desenvolvedor</v>
      </c>
      <c r="H9" s="341" t="str">
        <f>VLOOKUP(A9,Jobmatch!A:H,7,0)</f>
        <v>Pleno</v>
      </c>
      <c r="I9" s="342" t="str">
        <f t="shared" si="1"/>
        <v>1Pleno</v>
      </c>
      <c r="J9" s="343">
        <f>IFERROR(VLOOKUP(B9,'Folha de Pagamento'!B:I,8,0),"")</f>
        <v>4305.6</v>
      </c>
      <c r="K9" s="102">
        <f>IFERROR(VLOOKUP(I9,'C-01'!$D:$L,4,0),"")</f>
        <v>3358.05</v>
      </c>
      <c r="L9" s="103">
        <f>IFERROR(VLOOKUP(I9,'C-01'!$D:$L,5,0),"")</f>
        <v>4730.15</v>
      </c>
      <c r="M9" s="103">
        <f>IFERROR(VLOOKUP(I9,'C-01'!$D:$L,6,0),"")</f>
        <v>5379.82</v>
      </c>
      <c r="N9" s="103">
        <f>IFERROR(VLOOKUP(I9,'C-01'!$D:$L,7,0),"")</f>
        <v>5342.35</v>
      </c>
      <c r="O9" s="103">
        <f>IFERROR(VLOOKUP(I9,'C-01'!$D:$L,8,0),"")</f>
        <v>5995.34</v>
      </c>
      <c r="P9" s="102">
        <f>IFERROR(VLOOKUP(I9,'C-01'!$D:$L,9,0),"")</f>
        <v>7790.91</v>
      </c>
      <c r="Q9" s="104">
        <f>IFS('Painel Geral'!$B$5="Mediana",IFERROR(IF(OR(J9="",N9=0,N9=""),"",($J9/$N9)),""),'Painel Geral'!$B$5="Menor Salário",IFERROR(IF(OR(J9="",N9=0,N9=""),"",($J9/$K9)),""),'Painel Geral'!$B$5="1º Quartil",IFERROR(IF(OR(J9="",N9=0,N9=""),"",($J9/$L9)),""),'Painel Geral'!$B$5="Média",IFERROR(IF(OR(J9="",N9=0,N9=""),"",($J9/$M9)),""),'Painel Geral'!$B$5="3º Quartil",IFERROR(IF(OR(J9="",N9=0,N9=""),"",($J9/$O9)),""),'Painel Geral'!$B$5="Maior Salário",IFERROR(IF(OR(J9="",N9=0,N9=""),"",($J9/$P9)),""))</f>
        <v>0.805937462</v>
      </c>
      <c r="R9" s="105" t="str">
        <f t="shared" si="2"/>
        <v>Defasado</v>
      </c>
      <c r="S9" s="106">
        <f>IFERROR(VLOOKUP($I9,'C-02'!$D:$L,4,0),"")</f>
        <v>3480.14</v>
      </c>
      <c r="T9" s="106">
        <f>IFERROR(VLOOKUP($I9,'C-02'!$D:$L,5,FALSE),"")</f>
        <v>4665.99</v>
      </c>
      <c r="U9" s="106">
        <f>IFERROR(VLOOKUP($I9,'C-02'!$D:$L,6,FALSE),"")</f>
        <v>5399.83</v>
      </c>
      <c r="V9" s="106">
        <f>IFERROR(VLOOKUP($I9,'C-02'!$D:$L,7,FALSE),"")</f>
        <v>5248.63</v>
      </c>
      <c r="W9" s="106">
        <f>IFERROR(VLOOKUP($I9,'C-02'!$D:$L,8,FALSE),"")</f>
        <v>6311.23</v>
      </c>
      <c r="X9" s="106">
        <f>IFERROR(VLOOKUP($I9,'C-02'!$D:$L,9,FALSE),"")</f>
        <v>7135.86</v>
      </c>
      <c r="Y9" s="107">
        <f>IFS('Painel Geral'!$B$5="Mediana",IFERROR(IF(OR(J9="",V9=0,V9=""),"",($J9/$V9)),""),'Painel Geral'!$B$5="Menor Salário",IFERROR(IF(OR(J9="",V9=0,V9=""),"",($J9/$S9)),""),'Painel Geral'!$B$5="1º Quartil",IFERROR(IF(OR(J9="",V9=0,V9=""),"",($J9/$T9)),""),'Painel Geral'!$B$5="Média",IFERROR(IF(OR(J9="",V9=0,V9=""),"",($J9/$U9)),""),'Painel Geral'!$B$5="3º Quartil",IFERROR(IF(OR(J9="",V9=0,V9=""),"",($J9/$W9)),""),'Painel Geral'!$B$5="Maior Salário",IFERROR(IF(OR(J9="",V9=0,V9=""),"",($J9/$X9)),""))</f>
        <v>0.8203283524</v>
      </c>
      <c r="Z9" s="108" t="str">
        <f t="shared" si="3"/>
        <v>Defasado</v>
      </c>
      <c r="AA9" s="344">
        <f>VLOOKUP(A9,'Cálculos Comparativos'!$A:$E,4,0)</f>
        <v>1</v>
      </c>
    </row>
    <row r="10" ht="15.75" customHeight="1">
      <c r="A10" s="94">
        <v>2.0</v>
      </c>
      <c r="B10" s="19">
        <v>38.0</v>
      </c>
      <c r="C10" s="338" t="str">
        <f>VLOOKUP(A10,Jobmatch!A:E,2,0)</f>
        <v>Engenheiro de Software Full Stack Pl</v>
      </c>
      <c r="D10" s="339" t="str">
        <f>VLOOKUP(B10,'Folha de Pagamento'!B:G,6,0)</f>
        <v>DEV</v>
      </c>
      <c r="E10" s="338" t="str">
        <f>VLOOKUP(A10,Jobmatch!A:E,4,0)</f>
        <v>Operacional</v>
      </c>
      <c r="F10" s="340">
        <f>VLOOKUP(A10,Jobmatch!A:F,5,0)</f>
        <v>1</v>
      </c>
      <c r="G10" s="339" t="str">
        <f>VLOOKUP(A10,Jobmatch!A:G,6,0)</f>
        <v>Desenvolvedor</v>
      </c>
      <c r="H10" s="341" t="str">
        <f>VLOOKUP(A10,Jobmatch!A:H,7,0)</f>
        <v>Pleno</v>
      </c>
      <c r="I10" s="342" t="str">
        <f t="shared" si="1"/>
        <v>1Pleno</v>
      </c>
      <c r="J10" s="343">
        <f>IFERROR(VLOOKUP(B10,'Folha de Pagamento'!B:I,8,0),"")</f>
        <v>4305.6</v>
      </c>
      <c r="K10" s="102">
        <f>IFERROR(VLOOKUP(I10,'C-01'!$D:$L,4,0),"")</f>
        <v>3358.05</v>
      </c>
      <c r="L10" s="103">
        <f>IFERROR(VLOOKUP(I10,'C-01'!$D:$L,5,0),"")</f>
        <v>4730.15</v>
      </c>
      <c r="M10" s="103">
        <f>IFERROR(VLOOKUP(I10,'C-01'!$D:$L,6,0),"")</f>
        <v>5379.82</v>
      </c>
      <c r="N10" s="103">
        <f>IFERROR(VLOOKUP(I10,'C-01'!$D:$L,7,0),"")</f>
        <v>5342.35</v>
      </c>
      <c r="O10" s="103">
        <f>IFERROR(VLOOKUP(I10,'C-01'!$D:$L,8,0),"")</f>
        <v>5995.34</v>
      </c>
      <c r="P10" s="102">
        <f>IFERROR(VLOOKUP(I10,'C-01'!$D:$L,9,0),"")</f>
        <v>7790.91</v>
      </c>
      <c r="Q10" s="104">
        <f>IFS('Painel Geral'!$B$5="Mediana",IFERROR(IF(OR(J10="",N10=0,N10=""),"",($J10/$N10)),""),'Painel Geral'!$B$5="Menor Salário",IFERROR(IF(OR(J10="",N10=0,N10=""),"",($J10/$K10)),""),'Painel Geral'!$B$5="1º Quartil",IFERROR(IF(OR(J10="",N10=0,N10=""),"",($J10/$L10)),""),'Painel Geral'!$B$5="Média",IFERROR(IF(OR(J10="",N10=0,N10=""),"",($J10/$M10)),""),'Painel Geral'!$B$5="3º Quartil",IFERROR(IF(OR(J10="",N10=0,N10=""),"",($J10/$O10)),""),'Painel Geral'!$B$5="Maior Salário",IFERROR(IF(OR(J10="",N10=0,N10=""),"",($J10/$P10)),""))</f>
        <v>0.805937462</v>
      </c>
      <c r="R10" s="105" t="str">
        <f t="shared" si="2"/>
        <v>Defasado</v>
      </c>
      <c r="S10" s="106">
        <f>IFERROR(VLOOKUP($I10,'C-02'!$D:$L,4,0),"")</f>
        <v>3480.14</v>
      </c>
      <c r="T10" s="106">
        <f>IFERROR(VLOOKUP($I10,'C-02'!$D:$L,5,FALSE),"")</f>
        <v>4665.99</v>
      </c>
      <c r="U10" s="106">
        <f>IFERROR(VLOOKUP($I10,'C-02'!$D:$L,6,FALSE),"")</f>
        <v>5399.83</v>
      </c>
      <c r="V10" s="106">
        <f>IFERROR(VLOOKUP($I10,'C-02'!$D:$L,7,FALSE),"")</f>
        <v>5248.63</v>
      </c>
      <c r="W10" s="106">
        <f>IFERROR(VLOOKUP($I10,'C-02'!$D:$L,8,FALSE),"")</f>
        <v>6311.23</v>
      </c>
      <c r="X10" s="106">
        <f>IFERROR(VLOOKUP($I10,'C-02'!$D:$L,9,FALSE),"")</f>
        <v>7135.86</v>
      </c>
      <c r="Y10" s="107">
        <f>IFS('Painel Geral'!$B$5="Mediana",IFERROR(IF(OR(J10="",V10=0,V10=""),"",($J10/$V10)),""),'Painel Geral'!$B$5="Menor Salário",IFERROR(IF(OR(J10="",V10=0,V10=""),"",($J10/$S10)),""),'Painel Geral'!$B$5="1º Quartil",IFERROR(IF(OR(J10="",V10=0,V10=""),"",($J10/$T10)),""),'Painel Geral'!$B$5="Média",IFERROR(IF(OR(J10="",V10=0,V10=""),"",($J10/$U10)),""),'Painel Geral'!$B$5="3º Quartil",IFERROR(IF(OR(J10="",V10=0,V10=""),"",($J10/$W10)),""),'Painel Geral'!$B$5="Maior Salário",IFERROR(IF(OR(J10="",V10=0,V10=""),"",($J10/$X10)),""))</f>
        <v>0.8203283524</v>
      </c>
      <c r="Z10" s="108" t="str">
        <f t="shared" si="3"/>
        <v>Defasado</v>
      </c>
      <c r="AA10" s="344">
        <f>VLOOKUP(A10,'Cálculos Comparativos'!$A:$E,4,0)</f>
        <v>1</v>
      </c>
    </row>
    <row r="11" ht="15.75" customHeight="1">
      <c r="A11" s="94">
        <v>1.0</v>
      </c>
      <c r="B11" s="19">
        <v>20.0</v>
      </c>
      <c r="C11" s="339" t="str">
        <f>VLOOKUP(A11,Jobmatch!A:E,2,0)</f>
        <v>Engenheiro de Software Full Stack Jr</v>
      </c>
      <c r="D11" s="339" t="str">
        <f>VLOOKUP(B11,'Folha de Pagamento'!B:G,6,0)</f>
        <v>DEV</v>
      </c>
      <c r="E11" s="338" t="str">
        <f>VLOOKUP(A11,Jobmatch!A:E,4,0)</f>
        <v>Operacional</v>
      </c>
      <c r="F11" s="340">
        <f>VLOOKUP(A11,Jobmatch!A:F,5,0)</f>
        <v>1</v>
      </c>
      <c r="G11" s="339" t="str">
        <f>VLOOKUP(A11,Jobmatch!A:G,6,0)</f>
        <v>Desenvolvedor</v>
      </c>
      <c r="H11" s="341" t="str">
        <f>VLOOKUP(A11,Jobmatch!A:H,7,0)</f>
        <v>Júnior</v>
      </c>
      <c r="I11" s="342" t="str">
        <f t="shared" si="1"/>
        <v>1Júnior</v>
      </c>
      <c r="J11" s="343">
        <f>IFERROR(VLOOKUP(B11,'Folha de Pagamento'!B:I,8,0),"")</f>
        <v>2489.18</v>
      </c>
      <c r="K11" s="102">
        <f>IFERROR(VLOOKUP(I11,'C-01'!$D:$L,4,0),"")</f>
        <v>2030.9</v>
      </c>
      <c r="L11" s="103">
        <f>IFERROR(VLOOKUP(I11,'C-01'!$D:$L,5,0),"")</f>
        <v>2706.62</v>
      </c>
      <c r="M11" s="103">
        <f>IFERROR(VLOOKUP(I11,'C-01'!$D:$L,6,0),"")</f>
        <v>3370.79</v>
      </c>
      <c r="N11" s="103">
        <f>IFERROR(VLOOKUP(I11,'C-01'!$D:$L,7,0),"")</f>
        <v>3379.04</v>
      </c>
      <c r="O11" s="103">
        <f>IFERROR(VLOOKUP(I11,'C-01'!$D:$L,8,0),"")</f>
        <v>3870.49</v>
      </c>
      <c r="P11" s="102">
        <f>IFERROR(VLOOKUP(I11,'C-01'!$D:$L,9,0),"")</f>
        <v>5268.74</v>
      </c>
      <c r="Q11" s="104">
        <f>IFS('Painel Geral'!$B$5="Mediana",IFERROR(IF(OR(J11="",N11=0,N11=""),"",($J11/$N11)),""),'Painel Geral'!$B$5="Menor Salário",IFERROR(IF(OR(J11="",N11=0,N11=""),"",($J11/$K11)),""),'Painel Geral'!$B$5="1º Quartil",IFERROR(IF(OR(J11="",N11=0,N11=""),"",($J11/$L11)),""),'Painel Geral'!$B$5="Média",IFERROR(IF(OR(J11="",N11=0,N11=""),"",($J11/$M11)),""),'Painel Geral'!$B$5="3º Quartil",IFERROR(IF(OR(J11="",N11=0,N11=""),"",($J11/$O11)),""),'Painel Geral'!$B$5="Maior Salário",IFERROR(IF(OR(J11="",N11=0,N11=""),"",($J11/$P11)),""))</f>
        <v>0.7366530139</v>
      </c>
      <c r="R11" s="105" t="str">
        <f t="shared" si="2"/>
        <v>Muito Defasado</v>
      </c>
      <c r="S11" s="106">
        <f>IFERROR(VLOOKUP($I11,'C-02'!$D:$L,4,0),"")</f>
        <v>2468.17</v>
      </c>
      <c r="T11" s="106">
        <f>IFERROR(VLOOKUP($I11,'C-02'!$D:$L,5,FALSE),"")</f>
        <v>2944.09</v>
      </c>
      <c r="U11" s="106">
        <f>IFERROR(VLOOKUP($I11,'C-02'!$D:$L,6,FALSE),"")</f>
        <v>3642.17</v>
      </c>
      <c r="V11" s="106">
        <f>IFERROR(VLOOKUP($I11,'C-02'!$D:$L,7,FALSE),"")</f>
        <v>3493.9</v>
      </c>
      <c r="W11" s="106">
        <f>IFERROR(VLOOKUP($I11,'C-02'!$D:$L,8,FALSE),"")</f>
        <v>4224.13</v>
      </c>
      <c r="X11" s="106">
        <f>IFERROR(VLOOKUP($I11,'C-02'!$D:$L,9,FALSE),"")</f>
        <v>5456.83</v>
      </c>
      <c r="Y11" s="107">
        <f>IFS('Painel Geral'!$B$5="Mediana",IFERROR(IF(OR(J11="",V11=0,V11=""),"",($J11/$V11)),""),'Painel Geral'!$B$5="Menor Salário",IFERROR(IF(OR(J11="",V11=0,V11=""),"",($J11/$S11)),""),'Painel Geral'!$B$5="1º Quartil",IFERROR(IF(OR(J11="",V11=0,V11=""),"",($J11/$T11)),""),'Painel Geral'!$B$5="Média",IFERROR(IF(OR(J11="",V11=0,V11=""),"",($J11/$U11)),""),'Painel Geral'!$B$5="3º Quartil",IFERROR(IF(OR(J11="",V11=0,V11=""),"",($J11/$W11)),""),'Painel Geral'!$B$5="Maior Salário",IFERROR(IF(OR(J11="",V11=0,V11=""),"",($J11/$X11)),""))</f>
        <v>0.7124359598</v>
      </c>
      <c r="Z11" s="108" t="str">
        <f t="shared" si="3"/>
        <v>Muito Defasado</v>
      </c>
      <c r="AA11" s="344">
        <f>VLOOKUP(A11,'Cálculos Comparativos'!$A:$E,4,0)</f>
        <v>1</v>
      </c>
    </row>
    <row r="12" ht="15.75" customHeight="1">
      <c r="A12" s="94">
        <v>1.0</v>
      </c>
      <c r="B12" s="19">
        <v>54.0</v>
      </c>
      <c r="C12" s="339" t="str">
        <f>VLOOKUP(A12,Jobmatch!A:E,2,0)</f>
        <v>Engenheiro de Software Full Stack Jr</v>
      </c>
      <c r="D12" s="339" t="str">
        <f>VLOOKUP(B12,'Folha de Pagamento'!B:G,6,0)</f>
        <v>DEV</v>
      </c>
      <c r="E12" s="338" t="str">
        <f>VLOOKUP(A12,Jobmatch!A:E,4,0)</f>
        <v>Operacional</v>
      </c>
      <c r="F12" s="340">
        <f>VLOOKUP(A12,Jobmatch!A:F,5,0)</f>
        <v>1</v>
      </c>
      <c r="G12" s="339" t="str">
        <f>VLOOKUP(A12,Jobmatch!A:G,6,0)</f>
        <v>Desenvolvedor</v>
      </c>
      <c r="H12" s="341" t="str">
        <f>VLOOKUP(A12,Jobmatch!A:H,7,0)</f>
        <v>Júnior</v>
      </c>
      <c r="I12" s="342" t="str">
        <f t="shared" si="1"/>
        <v>1Júnior</v>
      </c>
      <c r="J12" s="343">
        <f>IFERROR(VLOOKUP(B12,'Folha de Pagamento'!B:I,8,0),"")</f>
        <v>2489.18</v>
      </c>
      <c r="K12" s="102">
        <f>IFERROR(VLOOKUP(I12,'C-01'!$D:$L,4,0),"")</f>
        <v>2030.9</v>
      </c>
      <c r="L12" s="103">
        <f>IFERROR(VLOOKUP(I12,'C-01'!$D:$L,5,0),"")</f>
        <v>2706.62</v>
      </c>
      <c r="M12" s="103">
        <f>IFERROR(VLOOKUP(I12,'C-01'!$D:$L,6,0),"")</f>
        <v>3370.79</v>
      </c>
      <c r="N12" s="103">
        <f>IFERROR(VLOOKUP(I12,'C-01'!$D:$L,7,0),"")</f>
        <v>3379.04</v>
      </c>
      <c r="O12" s="103">
        <f>IFERROR(VLOOKUP(I12,'C-01'!$D:$L,8,0),"")</f>
        <v>3870.49</v>
      </c>
      <c r="P12" s="102">
        <f>IFERROR(VLOOKUP(I12,'C-01'!$D:$L,9,0),"")</f>
        <v>5268.74</v>
      </c>
      <c r="Q12" s="104">
        <f>IFS('Painel Geral'!$B$5="Mediana",IFERROR(IF(OR(J12="",N12=0,N12=""),"",($J12/$N12)),""),'Painel Geral'!$B$5="Menor Salário",IFERROR(IF(OR(J12="",N12=0,N12=""),"",($J12/$K12)),""),'Painel Geral'!$B$5="1º Quartil",IFERROR(IF(OR(J12="",N12=0,N12=""),"",($J12/$L12)),""),'Painel Geral'!$B$5="Média",IFERROR(IF(OR(J12="",N12=0,N12=""),"",($J12/$M12)),""),'Painel Geral'!$B$5="3º Quartil",IFERROR(IF(OR(J12="",N12=0,N12=""),"",($J12/$O12)),""),'Painel Geral'!$B$5="Maior Salário",IFERROR(IF(OR(J12="",N12=0,N12=""),"",($J12/$P12)),""))</f>
        <v>0.7366530139</v>
      </c>
      <c r="R12" s="105" t="str">
        <f t="shared" si="2"/>
        <v>Muito Defasado</v>
      </c>
      <c r="S12" s="106">
        <f>IFERROR(VLOOKUP($I12,'C-02'!$D:$L,4,0),"")</f>
        <v>2468.17</v>
      </c>
      <c r="T12" s="106">
        <f>IFERROR(VLOOKUP($I12,'C-02'!$D:$L,5,FALSE),"")</f>
        <v>2944.09</v>
      </c>
      <c r="U12" s="106">
        <f>IFERROR(VLOOKUP($I12,'C-02'!$D:$L,6,FALSE),"")</f>
        <v>3642.17</v>
      </c>
      <c r="V12" s="106">
        <f>IFERROR(VLOOKUP($I12,'C-02'!$D:$L,7,FALSE),"")</f>
        <v>3493.9</v>
      </c>
      <c r="W12" s="106">
        <f>IFERROR(VLOOKUP($I12,'C-02'!$D:$L,8,FALSE),"")</f>
        <v>4224.13</v>
      </c>
      <c r="X12" s="106">
        <f>IFERROR(VLOOKUP($I12,'C-02'!$D:$L,9,FALSE),"")</f>
        <v>5456.83</v>
      </c>
      <c r="Y12" s="107">
        <f>IFS('Painel Geral'!$B$5="Mediana",IFERROR(IF(OR(J12="",V12=0,V12=""),"",($J12/$V12)),""),'Painel Geral'!$B$5="Menor Salário",IFERROR(IF(OR(J12="",V12=0,V12=""),"",($J12/$S12)),""),'Painel Geral'!$B$5="1º Quartil",IFERROR(IF(OR(J12="",V12=0,V12=""),"",($J12/$T12)),""),'Painel Geral'!$B$5="Média",IFERROR(IF(OR(J12="",V12=0,V12=""),"",($J12/$U12)),""),'Painel Geral'!$B$5="3º Quartil",IFERROR(IF(OR(J12="",V12=0,V12=""),"",($J12/$W12)),""),'Painel Geral'!$B$5="Maior Salário",IFERROR(IF(OR(J12="",V12=0,V12=""),"",($J12/$X12)),""))</f>
        <v>0.7124359598</v>
      </c>
      <c r="Z12" s="108" t="str">
        <f t="shared" si="3"/>
        <v>Muito Defasado</v>
      </c>
      <c r="AA12" s="344">
        <f>VLOOKUP(A12,'Cálculos Comparativos'!$A:$E,4,0)</f>
        <v>1</v>
      </c>
    </row>
    <row r="13" ht="15.75" customHeight="1">
      <c r="A13" s="94">
        <v>1.0</v>
      </c>
      <c r="B13" s="19">
        <v>8.0</v>
      </c>
      <c r="C13" s="339" t="str">
        <f>VLOOKUP(A13,Jobmatch!A:E,2,0)</f>
        <v>Engenheiro de Software Full Stack Jr</v>
      </c>
      <c r="D13" s="339" t="str">
        <f>VLOOKUP(B13,'Folha de Pagamento'!B:G,6,0)</f>
        <v>DEV</v>
      </c>
      <c r="E13" s="338" t="str">
        <f>VLOOKUP(A13,Jobmatch!A:E,4,0)</f>
        <v>Operacional</v>
      </c>
      <c r="F13" s="340">
        <f>VLOOKUP(A13,Jobmatch!A:F,5,0)</f>
        <v>1</v>
      </c>
      <c r="G13" s="339" t="str">
        <f>VLOOKUP(A13,Jobmatch!A:G,6,0)</f>
        <v>Desenvolvedor</v>
      </c>
      <c r="H13" s="341" t="str">
        <f>VLOOKUP(A13,Jobmatch!A:H,7,0)</f>
        <v>Júnior</v>
      </c>
      <c r="I13" s="342" t="str">
        <f t="shared" si="1"/>
        <v>1Júnior</v>
      </c>
      <c r="J13" s="343">
        <f>IFERROR(VLOOKUP(B13,'Folha de Pagamento'!B:I,8,0),"")</f>
        <v>2489.18</v>
      </c>
      <c r="K13" s="102">
        <f>IFERROR(VLOOKUP(I13,'C-01'!$D:$L,4,0),"")</f>
        <v>2030.9</v>
      </c>
      <c r="L13" s="103">
        <f>IFERROR(VLOOKUP(I13,'C-01'!$D:$L,5,0),"")</f>
        <v>2706.62</v>
      </c>
      <c r="M13" s="103">
        <f>IFERROR(VLOOKUP(I13,'C-01'!$D:$L,6,0),"")</f>
        <v>3370.79</v>
      </c>
      <c r="N13" s="103">
        <f>IFERROR(VLOOKUP(I13,'C-01'!$D:$L,7,0),"")</f>
        <v>3379.04</v>
      </c>
      <c r="O13" s="103">
        <f>IFERROR(VLOOKUP(I13,'C-01'!$D:$L,8,0),"")</f>
        <v>3870.49</v>
      </c>
      <c r="P13" s="102">
        <f>IFERROR(VLOOKUP(I13,'C-01'!$D:$L,9,0),"")</f>
        <v>5268.74</v>
      </c>
      <c r="Q13" s="104">
        <f>IFS('Painel Geral'!$B$5="Mediana",IFERROR(IF(OR(J13="",N13=0,N13=""),"",($J13/$N13)),""),'Painel Geral'!$B$5="Menor Salário",IFERROR(IF(OR(J13="",N13=0,N13=""),"",($J13/$K13)),""),'Painel Geral'!$B$5="1º Quartil",IFERROR(IF(OR(J13="",N13=0,N13=""),"",($J13/$L13)),""),'Painel Geral'!$B$5="Média",IFERROR(IF(OR(J13="",N13=0,N13=""),"",($J13/$M13)),""),'Painel Geral'!$B$5="3º Quartil",IFERROR(IF(OR(J13="",N13=0,N13=""),"",($J13/$O13)),""),'Painel Geral'!$B$5="Maior Salário",IFERROR(IF(OR(J13="",N13=0,N13=""),"",($J13/$P13)),""))</f>
        <v>0.7366530139</v>
      </c>
      <c r="R13" s="105" t="str">
        <f t="shared" si="2"/>
        <v>Muito Defasado</v>
      </c>
      <c r="S13" s="106">
        <f>IFERROR(VLOOKUP($I13,'C-02'!$D:$L,4,0),"")</f>
        <v>2468.17</v>
      </c>
      <c r="T13" s="106">
        <f>IFERROR(VLOOKUP($I13,'C-02'!$D:$L,5,FALSE),"")</f>
        <v>2944.09</v>
      </c>
      <c r="U13" s="106">
        <f>IFERROR(VLOOKUP($I13,'C-02'!$D:$L,6,FALSE),"")</f>
        <v>3642.17</v>
      </c>
      <c r="V13" s="106">
        <f>IFERROR(VLOOKUP($I13,'C-02'!$D:$L,7,FALSE),"")</f>
        <v>3493.9</v>
      </c>
      <c r="W13" s="106">
        <f>IFERROR(VLOOKUP($I13,'C-02'!$D:$L,8,FALSE),"")</f>
        <v>4224.13</v>
      </c>
      <c r="X13" s="106">
        <f>IFERROR(VLOOKUP($I13,'C-02'!$D:$L,9,FALSE),"")</f>
        <v>5456.83</v>
      </c>
      <c r="Y13" s="107">
        <f>IFS('Painel Geral'!$B$5="Mediana",IFERROR(IF(OR(J13="",V13=0,V13=""),"",($J13/$V13)),""),'Painel Geral'!$B$5="Menor Salário",IFERROR(IF(OR(J13="",V13=0,V13=""),"",($J13/$S13)),""),'Painel Geral'!$B$5="1º Quartil",IFERROR(IF(OR(J13="",V13=0,V13=""),"",($J13/$T13)),""),'Painel Geral'!$B$5="Média",IFERROR(IF(OR(J13="",V13=0,V13=""),"",($J13/$U13)),""),'Painel Geral'!$B$5="3º Quartil",IFERROR(IF(OR(J13="",V13=0,V13=""),"",($J13/$W13)),""),'Painel Geral'!$B$5="Maior Salário",IFERROR(IF(OR(J13="",V13=0,V13=""),"",($J13/$X13)),""))</f>
        <v>0.7124359598</v>
      </c>
      <c r="Z13" s="108" t="str">
        <f t="shared" si="3"/>
        <v>Muito Defasado</v>
      </c>
      <c r="AA13" s="344">
        <f>VLOOKUP(A13,'Cálculos Comparativos'!$A:$E,4,0)</f>
        <v>1</v>
      </c>
    </row>
    <row r="14" ht="15.75" customHeight="1">
      <c r="A14" s="94">
        <v>1.0</v>
      </c>
      <c r="B14" s="19">
        <v>41.0</v>
      </c>
      <c r="C14" s="339" t="str">
        <f>VLOOKUP(A14,Jobmatch!A:E,2,0)</f>
        <v>Engenheiro de Software Full Stack Jr</v>
      </c>
      <c r="D14" s="339" t="str">
        <f>VLOOKUP(B14,'Folha de Pagamento'!B:G,6,0)</f>
        <v>DEV</v>
      </c>
      <c r="E14" s="338" t="str">
        <f>VLOOKUP(A14,Jobmatch!A:E,4,0)</f>
        <v>Operacional</v>
      </c>
      <c r="F14" s="340">
        <f>VLOOKUP(A14,Jobmatch!A:F,5,0)</f>
        <v>1</v>
      </c>
      <c r="G14" s="339" t="str">
        <f>VLOOKUP(A14,Jobmatch!A:G,6,0)</f>
        <v>Desenvolvedor</v>
      </c>
      <c r="H14" s="341" t="str">
        <f>VLOOKUP(A14,Jobmatch!A:H,7,0)</f>
        <v>Júnior</v>
      </c>
      <c r="I14" s="342" t="str">
        <f t="shared" si="1"/>
        <v>1Júnior</v>
      </c>
      <c r="J14" s="343">
        <f>IFERROR(VLOOKUP(B14,'Folha de Pagamento'!B:I,8,0),"")</f>
        <v>2489.18</v>
      </c>
      <c r="K14" s="102">
        <f>IFERROR(VLOOKUP(I14,'C-01'!$D:$L,4,0),"")</f>
        <v>2030.9</v>
      </c>
      <c r="L14" s="103">
        <f>IFERROR(VLOOKUP(I14,'C-01'!$D:$L,5,0),"")</f>
        <v>2706.62</v>
      </c>
      <c r="M14" s="103">
        <f>IFERROR(VLOOKUP(I14,'C-01'!$D:$L,6,0),"")</f>
        <v>3370.79</v>
      </c>
      <c r="N14" s="103">
        <f>IFERROR(VLOOKUP(I14,'C-01'!$D:$L,7,0),"")</f>
        <v>3379.04</v>
      </c>
      <c r="O14" s="103">
        <f>IFERROR(VLOOKUP(I14,'C-01'!$D:$L,8,0),"")</f>
        <v>3870.49</v>
      </c>
      <c r="P14" s="102">
        <f>IFERROR(VLOOKUP(I14,'C-01'!$D:$L,9,0),"")</f>
        <v>5268.74</v>
      </c>
      <c r="Q14" s="104">
        <f>IFS('Painel Geral'!$B$5="Mediana",IFERROR(IF(OR(J14="",N14=0,N14=""),"",($J14/$N14)),""),'Painel Geral'!$B$5="Menor Salário",IFERROR(IF(OR(J14="",N14=0,N14=""),"",($J14/$K14)),""),'Painel Geral'!$B$5="1º Quartil",IFERROR(IF(OR(J14="",N14=0,N14=""),"",($J14/$L14)),""),'Painel Geral'!$B$5="Média",IFERROR(IF(OR(J14="",N14=0,N14=""),"",($J14/$M14)),""),'Painel Geral'!$B$5="3º Quartil",IFERROR(IF(OR(J14="",N14=0,N14=""),"",($J14/$O14)),""),'Painel Geral'!$B$5="Maior Salário",IFERROR(IF(OR(J14="",N14=0,N14=""),"",($J14/$P14)),""))</f>
        <v>0.7366530139</v>
      </c>
      <c r="R14" s="105" t="str">
        <f t="shared" si="2"/>
        <v>Muito Defasado</v>
      </c>
      <c r="S14" s="106">
        <f>IFERROR(VLOOKUP($I14,'C-02'!$D:$L,4,0),"")</f>
        <v>2468.17</v>
      </c>
      <c r="T14" s="106">
        <f>IFERROR(VLOOKUP($I14,'C-02'!$D:$L,5,FALSE),"")</f>
        <v>2944.09</v>
      </c>
      <c r="U14" s="106">
        <f>IFERROR(VLOOKUP($I14,'C-02'!$D:$L,6,FALSE),"")</f>
        <v>3642.17</v>
      </c>
      <c r="V14" s="106">
        <f>IFERROR(VLOOKUP($I14,'C-02'!$D:$L,7,FALSE),"")</f>
        <v>3493.9</v>
      </c>
      <c r="W14" s="106">
        <f>IFERROR(VLOOKUP($I14,'C-02'!$D:$L,8,FALSE),"")</f>
        <v>4224.13</v>
      </c>
      <c r="X14" s="106">
        <f>IFERROR(VLOOKUP($I14,'C-02'!$D:$L,9,FALSE),"")</f>
        <v>5456.83</v>
      </c>
      <c r="Y14" s="107">
        <f>IFS('Painel Geral'!$B$5="Mediana",IFERROR(IF(OR(J14="",V14=0,V14=""),"",($J14/$V14)),""),'Painel Geral'!$B$5="Menor Salário",IFERROR(IF(OR(J14="",V14=0,V14=""),"",($J14/$S14)),""),'Painel Geral'!$B$5="1º Quartil",IFERROR(IF(OR(J14="",V14=0,V14=""),"",($J14/$T14)),""),'Painel Geral'!$B$5="Média",IFERROR(IF(OR(J14="",V14=0,V14=""),"",($J14/$U14)),""),'Painel Geral'!$B$5="3º Quartil",IFERROR(IF(OR(J14="",V14=0,V14=""),"",($J14/$W14)),""),'Painel Geral'!$B$5="Maior Salário",IFERROR(IF(OR(J14="",V14=0,V14=""),"",($J14/$X14)),""))</f>
        <v>0.7124359598</v>
      </c>
      <c r="Z14" s="108" t="str">
        <f t="shared" si="3"/>
        <v>Muito Defasado</v>
      </c>
      <c r="AA14" s="344">
        <f>VLOOKUP(A14,'Cálculos Comparativos'!$A:$E,4,0)</f>
        <v>1</v>
      </c>
    </row>
    <row r="15" ht="15.75" customHeight="1">
      <c r="A15" s="94">
        <v>1.0</v>
      </c>
      <c r="B15" s="19">
        <v>46.0</v>
      </c>
      <c r="C15" s="339" t="str">
        <f>VLOOKUP(A15,Jobmatch!A:E,2,0)</f>
        <v>Engenheiro de Software Full Stack Jr</v>
      </c>
      <c r="D15" s="339" t="str">
        <f>VLOOKUP(B15,'Folha de Pagamento'!B:G,6,0)</f>
        <v>DEV</v>
      </c>
      <c r="E15" s="338" t="str">
        <f>VLOOKUP(A15,Jobmatch!A:E,4,0)</f>
        <v>Operacional</v>
      </c>
      <c r="F15" s="340">
        <f>VLOOKUP(A15,Jobmatch!A:F,5,0)</f>
        <v>1</v>
      </c>
      <c r="G15" s="339" t="str">
        <f>VLOOKUP(A15,Jobmatch!A:G,6,0)</f>
        <v>Desenvolvedor</v>
      </c>
      <c r="H15" s="341" t="str">
        <f>VLOOKUP(A15,Jobmatch!A:H,7,0)</f>
        <v>Júnior</v>
      </c>
      <c r="I15" s="342" t="str">
        <f t="shared" si="1"/>
        <v>1Júnior</v>
      </c>
      <c r="J15" s="343">
        <f>IFERROR(VLOOKUP(B15,'Folha de Pagamento'!B:I,8,0),"")</f>
        <v>2489.18</v>
      </c>
      <c r="K15" s="102">
        <f>IFERROR(VLOOKUP(I15,'C-01'!$D:$L,4,0),"")</f>
        <v>2030.9</v>
      </c>
      <c r="L15" s="103">
        <f>IFERROR(VLOOKUP(I15,'C-01'!$D:$L,5,0),"")</f>
        <v>2706.62</v>
      </c>
      <c r="M15" s="103">
        <f>IFERROR(VLOOKUP(I15,'C-01'!$D:$L,6,0),"")</f>
        <v>3370.79</v>
      </c>
      <c r="N15" s="103">
        <f>IFERROR(VLOOKUP(I15,'C-01'!$D:$L,7,0),"")</f>
        <v>3379.04</v>
      </c>
      <c r="O15" s="103">
        <f>IFERROR(VLOOKUP(I15,'C-01'!$D:$L,8,0),"")</f>
        <v>3870.49</v>
      </c>
      <c r="P15" s="102">
        <f>IFERROR(VLOOKUP(I15,'C-01'!$D:$L,9,0),"")</f>
        <v>5268.74</v>
      </c>
      <c r="Q15" s="104">
        <f>IFS('Painel Geral'!$B$5="Mediana",IFERROR(IF(OR(J15="",N15=0,N15=""),"",($J15/$N15)),""),'Painel Geral'!$B$5="Menor Salário",IFERROR(IF(OR(J15="",N15=0,N15=""),"",($J15/$K15)),""),'Painel Geral'!$B$5="1º Quartil",IFERROR(IF(OR(J15="",N15=0,N15=""),"",($J15/$L15)),""),'Painel Geral'!$B$5="Média",IFERROR(IF(OR(J15="",N15=0,N15=""),"",($J15/$M15)),""),'Painel Geral'!$B$5="3º Quartil",IFERROR(IF(OR(J15="",N15=0,N15=""),"",($J15/$O15)),""),'Painel Geral'!$B$5="Maior Salário",IFERROR(IF(OR(J15="",N15=0,N15=""),"",($J15/$P15)),""))</f>
        <v>0.7366530139</v>
      </c>
      <c r="R15" s="105" t="str">
        <f t="shared" si="2"/>
        <v>Muito Defasado</v>
      </c>
      <c r="S15" s="106">
        <f>IFERROR(VLOOKUP($I15,'C-02'!$D:$L,4,0),"")</f>
        <v>2468.17</v>
      </c>
      <c r="T15" s="106">
        <f>IFERROR(VLOOKUP($I15,'C-02'!$D:$L,5,FALSE),"")</f>
        <v>2944.09</v>
      </c>
      <c r="U15" s="106">
        <f>IFERROR(VLOOKUP($I15,'C-02'!$D:$L,6,FALSE),"")</f>
        <v>3642.17</v>
      </c>
      <c r="V15" s="106">
        <f>IFERROR(VLOOKUP($I15,'C-02'!$D:$L,7,FALSE),"")</f>
        <v>3493.9</v>
      </c>
      <c r="W15" s="106">
        <f>IFERROR(VLOOKUP($I15,'C-02'!$D:$L,8,FALSE),"")</f>
        <v>4224.13</v>
      </c>
      <c r="X15" s="106">
        <f>IFERROR(VLOOKUP($I15,'C-02'!$D:$L,9,FALSE),"")</f>
        <v>5456.83</v>
      </c>
      <c r="Y15" s="107">
        <f>IFS('Painel Geral'!$B$5="Mediana",IFERROR(IF(OR(J15="",V15=0,V15=""),"",($J15/$V15)),""),'Painel Geral'!$B$5="Menor Salário",IFERROR(IF(OR(J15="",V15=0,V15=""),"",($J15/$S15)),""),'Painel Geral'!$B$5="1º Quartil",IFERROR(IF(OR(J15="",V15=0,V15=""),"",($J15/$T15)),""),'Painel Geral'!$B$5="Média",IFERROR(IF(OR(J15="",V15=0,V15=""),"",($J15/$U15)),""),'Painel Geral'!$B$5="3º Quartil",IFERROR(IF(OR(J15="",V15=0,V15=""),"",($J15/$W15)),""),'Painel Geral'!$B$5="Maior Salário",IFERROR(IF(OR(J15="",V15=0,V15=""),"",($J15/$X15)),""))</f>
        <v>0.7124359598</v>
      </c>
      <c r="Z15" s="108" t="str">
        <f t="shared" si="3"/>
        <v>Muito Defasado</v>
      </c>
      <c r="AA15" s="344"/>
    </row>
    <row r="16" ht="15.75" customHeight="1">
      <c r="A16" s="94">
        <v>1.0</v>
      </c>
      <c r="B16" s="19">
        <v>40.0</v>
      </c>
      <c r="C16" s="339" t="str">
        <f>VLOOKUP(A16,Jobmatch!A:E,2,0)</f>
        <v>Engenheiro de Software Full Stack Jr</v>
      </c>
      <c r="D16" s="339" t="str">
        <f>VLOOKUP(B16,'Folha de Pagamento'!B:G,6,0)</f>
        <v>DEV</v>
      </c>
      <c r="E16" s="338" t="str">
        <f>VLOOKUP(A16,Jobmatch!A:E,4,0)</f>
        <v>Operacional</v>
      </c>
      <c r="F16" s="340">
        <f>VLOOKUP(A16,Jobmatch!A:F,5,0)</f>
        <v>1</v>
      </c>
      <c r="G16" s="339" t="str">
        <f>VLOOKUP(A16,Jobmatch!A:G,6,0)</f>
        <v>Desenvolvedor</v>
      </c>
      <c r="H16" s="341" t="str">
        <f>VLOOKUP(A16,Jobmatch!A:H,7,0)</f>
        <v>Júnior</v>
      </c>
      <c r="I16" s="342" t="str">
        <f t="shared" si="1"/>
        <v>1Júnior</v>
      </c>
      <c r="J16" s="343">
        <f>IFERROR(VLOOKUP(B16,'Folha de Pagamento'!B:I,8,0),"")</f>
        <v>2489.18</v>
      </c>
      <c r="K16" s="102">
        <f>IFERROR(VLOOKUP(I16,'C-01'!$D:$L,4,0),"")</f>
        <v>2030.9</v>
      </c>
      <c r="L16" s="103">
        <f>IFERROR(VLOOKUP(I16,'C-01'!$D:$L,5,0),"")</f>
        <v>2706.62</v>
      </c>
      <c r="M16" s="103">
        <f>IFERROR(VLOOKUP(I16,'C-01'!$D:$L,6,0),"")</f>
        <v>3370.79</v>
      </c>
      <c r="N16" s="103">
        <f>IFERROR(VLOOKUP(I16,'C-01'!$D:$L,7,0),"")</f>
        <v>3379.04</v>
      </c>
      <c r="O16" s="103">
        <f>IFERROR(VLOOKUP(I16,'C-01'!$D:$L,8,0),"")</f>
        <v>3870.49</v>
      </c>
      <c r="P16" s="102">
        <f>IFERROR(VLOOKUP(I16,'C-01'!$D:$L,9,0),"")</f>
        <v>5268.74</v>
      </c>
      <c r="Q16" s="104">
        <f>IFS('Painel Geral'!$B$5="Mediana",IFERROR(IF(OR(J16="",N16=0,N16=""),"",($J16/$N16)),""),'Painel Geral'!$B$5="Menor Salário",IFERROR(IF(OR(J16="",N16=0,N16=""),"",($J16/$K16)),""),'Painel Geral'!$B$5="1º Quartil",IFERROR(IF(OR(J16="",N16=0,N16=""),"",($J16/$L16)),""),'Painel Geral'!$B$5="Média",IFERROR(IF(OR(J16="",N16=0,N16=""),"",($J16/$M16)),""),'Painel Geral'!$B$5="3º Quartil",IFERROR(IF(OR(J16="",N16=0,N16=""),"",($J16/$O16)),""),'Painel Geral'!$B$5="Maior Salário",IFERROR(IF(OR(J16="",N16=0,N16=""),"",($J16/$P16)),""))</f>
        <v>0.7366530139</v>
      </c>
      <c r="R16" s="105" t="str">
        <f t="shared" si="2"/>
        <v>Muito Defasado</v>
      </c>
      <c r="S16" s="106">
        <f>IFERROR(VLOOKUP($I16,'C-02'!$D:$L,4,0),"")</f>
        <v>2468.17</v>
      </c>
      <c r="T16" s="106">
        <f>IFERROR(VLOOKUP($I16,'C-02'!$D:$L,5,FALSE),"")</f>
        <v>2944.09</v>
      </c>
      <c r="U16" s="106">
        <f>IFERROR(VLOOKUP($I16,'C-02'!$D:$L,6,FALSE),"")</f>
        <v>3642.17</v>
      </c>
      <c r="V16" s="106">
        <f>IFERROR(VLOOKUP($I16,'C-02'!$D:$L,7,FALSE),"")</f>
        <v>3493.9</v>
      </c>
      <c r="W16" s="106">
        <f>IFERROR(VLOOKUP($I16,'C-02'!$D:$L,8,FALSE),"")</f>
        <v>4224.13</v>
      </c>
      <c r="X16" s="106">
        <f>IFERROR(VLOOKUP($I16,'C-02'!$D:$L,9,FALSE),"")</f>
        <v>5456.83</v>
      </c>
      <c r="Y16" s="107">
        <f>IFS('Painel Geral'!$B$5="Mediana",IFERROR(IF(OR(J16="",V16=0,V16=""),"",($J16/$V16)),""),'Painel Geral'!$B$5="Menor Salário",IFERROR(IF(OR(J16="",V16=0,V16=""),"",($J16/$S16)),""),'Painel Geral'!$B$5="1º Quartil",IFERROR(IF(OR(J16="",V16=0,V16=""),"",($J16/$T16)),""),'Painel Geral'!$B$5="Média",IFERROR(IF(OR(J16="",V16=0,V16=""),"",($J16/$U16)),""),'Painel Geral'!$B$5="3º Quartil",IFERROR(IF(OR(J16="",V16=0,V16=""),"",($J16/$W16)),""),'Painel Geral'!$B$5="Maior Salário",IFERROR(IF(OR(J16="",V16=0,V16=""),"",($J16/$X16)),""))</f>
        <v>0.7124359598</v>
      </c>
      <c r="Z16" s="108" t="str">
        <f t="shared" si="3"/>
        <v>Muito Defasado</v>
      </c>
      <c r="AA16" s="344">
        <f>VLOOKUP(A16,'Cálculos Comparativos'!$A:$E,4,0)</f>
        <v>1</v>
      </c>
    </row>
    <row r="17" ht="15.75" customHeight="1">
      <c r="A17" s="94">
        <v>1.0</v>
      </c>
      <c r="B17" s="19">
        <v>39.0</v>
      </c>
      <c r="C17" s="339" t="str">
        <f>VLOOKUP(A17,Jobmatch!A:E,2,0)</f>
        <v>Engenheiro de Software Full Stack Jr</v>
      </c>
      <c r="D17" s="339" t="str">
        <f>VLOOKUP(B17,'Folha de Pagamento'!B:G,6,0)</f>
        <v>DEV</v>
      </c>
      <c r="E17" s="338" t="str">
        <f>VLOOKUP(A17,Jobmatch!A:E,4,0)</f>
        <v>Operacional</v>
      </c>
      <c r="F17" s="340">
        <f>VLOOKUP(A17,Jobmatch!A:F,5,0)</f>
        <v>1</v>
      </c>
      <c r="G17" s="339" t="str">
        <f>VLOOKUP(A17,Jobmatch!A:G,6,0)</f>
        <v>Desenvolvedor</v>
      </c>
      <c r="H17" s="341" t="str">
        <f>VLOOKUP(A17,Jobmatch!A:H,7,0)</f>
        <v>Júnior</v>
      </c>
      <c r="I17" s="342" t="str">
        <f t="shared" si="1"/>
        <v>1Júnior</v>
      </c>
      <c r="J17" s="343">
        <f>IFERROR(VLOOKUP(B17,'Folha de Pagamento'!B:I,8,0),"")</f>
        <v>2489.18</v>
      </c>
      <c r="K17" s="102">
        <f>IFERROR(VLOOKUP(I17,'C-01'!$D:$L,4,0),"")</f>
        <v>2030.9</v>
      </c>
      <c r="L17" s="103">
        <f>IFERROR(VLOOKUP(I17,'C-01'!$D:$L,5,0),"")</f>
        <v>2706.62</v>
      </c>
      <c r="M17" s="103">
        <f>IFERROR(VLOOKUP(I17,'C-01'!$D:$L,6,0),"")</f>
        <v>3370.79</v>
      </c>
      <c r="N17" s="103">
        <f>IFERROR(VLOOKUP(I17,'C-01'!$D:$L,7,0),"")</f>
        <v>3379.04</v>
      </c>
      <c r="O17" s="103">
        <f>IFERROR(VLOOKUP(I17,'C-01'!$D:$L,8,0),"")</f>
        <v>3870.49</v>
      </c>
      <c r="P17" s="102">
        <f>IFERROR(VLOOKUP(I17,'C-01'!$D:$L,9,0),"")</f>
        <v>5268.74</v>
      </c>
      <c r="Q17" s="104">
        <f>IFS('Painel Geral'!$B$5="Mediana",IFERROR(IF(OR(J17="",N17=0,N17=""),"",($J17/$N17)),""),'Painel Geral'!$B$5="Menor Salário",IFERROR(IF(OR(J17="",N17=0,N17=""),"",($J17/$K17)),""),'Painel Geral'!$B$5="1º Quartil",IFERROR(IF(OR(J17="",N17=0,N17=""),"",($J17/$L17)),""),'Painel Geral'!$B$5="Média",IFERROR(IF(OR(J17="",N17=0,N17=""),"",($J17/$M17)),""),'Painel Geral'!$B$5="3º Quartil",IFERROR(IF(OR(J17="",N17=0,N17=""),"",($J17/$O17)),""),'Painel Geral'!$B$5="Maior Salário",IFERROR(IF(OR(J17="",N17=0,N17=""),"",($J17/$P17)),""))</f>
        <v>0.7366530139</v>
      </c>
      <c r="R17" s="105" t="str">
        <f t="shared" si="2"/>
        <v>Muito Defasado</v>
      </c>
      <c r="S17" s="106">
        <f>IFERROR(VLOOKUP($I17,'C-02'!$D:$L,4,0),"")</f>
        <v>2468.17</v>
      </c>
      <c r="T17" s="106">
        <f>IFERROR(VLOOKUP($I17,'C-02'!$D:$L,5,FALSE),"")</f>
        <v>2944.09</v>
      </c>
      <c r="U17" s="106">
        <f>IFERROR(VLOOKUP($I17,'C-02'!$D:$L,6,FALSE),"")</f>
        <v>3642.17</v>
      </c>
      <c r="V17" s="106">
        <f>IFERROR(VLOOKUP($I17,'C-02'!$D:$L,7,FALSE),"")</f>
        <v>3493.9</v>
      </c>
      <c r="W17" s="106">
        <f>IFERROR(VLOOKUP($I17,'C-02'!$D:$L,8,FALSE),"")</f>
        <v>4224.13</v>
      </c>
      <c r="X17" s="106">
        <f>IFERROR(VLOOKUP($I17,'C-02'!$D:$L,9,FALSE),"")</f>
        <v>5456.83</v>
      </c>
      <c r="Y17" s="107">
        <f>IFS('Painel Geral'!$B$5="Mediana",IFERROR(IF(OR(J17="",V17=0,V17=""),"",($J17/$V17)),""),'Painel Geral'!$B$5="Menor Salário",IFERROR(IF(OR(J17="",V17=0,V17=""),"",($J17/$S17)),""),'Painel Geral'!$B$5="1º Quartil",IFERROR(IF(OR(J17="",V17=0,V17=""),"",($J17/$T17)),""),'Painel Geral'!$B$5="Média",IFERROR(IF(OR(J17="",V17=0,V17=""),"",($J17/$U17)),""),'Painel Geral'!$B$5="3º Quartil",IFERROR(IF(OR(J17="",V17=0,V17=""),"",($J17/$W17)),""),'Painel Geral'!$B$5="Maior Salário",IFERROR(IF(OR(J17="",V17=0,V17=""),"",($J17/$X17)),""))</f>
        <v>0.7124359598</v>
      </c>
      <c r="Z17" s="108" t="str">
        <f t="shared" si="3"/>
        <v>Muito Defasado</v>
      </c>
      <c r="AA17" s="344">
        <f>VLOOKUP(A17,'Cálculos Comparativos'!$A:$E,4,0)</f>
        <v>1</v>
      </c>
    </row>
    <row r="18" ht="15.75" customHeight="1">
      <c r="A18" s="94">
        <v>1.0</v>
      </c>
      <c r="B18" s="19">
        <v>19.0</v>
      </c>
      <c r="C18" s="339" t="str">
        <f>VLOOKUP(A18,Jobmatch!A:E,2,0)</f>
        <v>Engenheiro de Software Full Stack Jr</v>
      </c>
      <c r="D18" s="339" t="str">
        <f>VLOOKUP(B18,'Folha de Pagamento'!B:G,6,0)</f>
        <v>DEV</v>
      </c>
      <c r="E18" s="338" t="str">
        <f>VLOOKUP(A18,Jobmatch!A:E,4,0)</f>
        <v>Operacional</v>
      </c>
      <c r="F18" s="340">
        <f>VLOOKUP(A18,Jobmatch!A:F,5,0)</f>
        <v>1</v>
      </c>
      <c r="G18" s="339" t="str">
        <f>VLOOKUP(A18,Jobmatch!A:G,6,0)</f>
        <v>Desenvolvedor</v>
      </c>
      <c r="H18" s="341" t="str">
        <f>VLOOKUP(A18,Jobmatch!A:H,7,0)</f>
        <v>Júnior</v>
      </c>
      <c r="I18" s="342" t="str">
        <f t="shared" si="1"/>
        <v>1Júnior</v>
      </c>
      <c r="J18" s="343">
        <f>IFERROR(VLOOKUP(B18,'Folha de Pagamento'!B:I,8,0),"")</f>
        <v>2489.18</v>
      </c>
      <c r="K18" s="102">
        <f>IFERROR(VLOOKUP(I18,'C-01'!$D:$L,4,0),"")</f>
        <v>2030.9</v>
      </c>
      <c r="L18" s="103">
        <f>IFERROR(VLOOKUP(I18,'C-01'!$D:$L,5,0),"")</f>
        <v>2706.62</v>
      </c>
      <c r="M18" s="103">
        <f>IFERROR(VLOOKUP(I18,'C-01'!$D:$L,6,0),"")</f>
        <v>3370.79</v>
      </c>
      <c r="N18" s="103">
        <f>IFERROR(VLOOKUP(I18,'C-01'!$D:$L,7,0),"")</f>
        <v>3379.04</v>
      </c>
      <c r="O18" s="103">
        <f>IFERROR(VLOOKUP(I18,'C-01'!$D:$L,8,0),"")</f>
        <v>3870.49</v>
      </c>
      <c r="P18" s="102">
        <f>IFERROR(VLOOKUP(I18,'C-01'!$D:$L,9,0),"")</f>
        <v>5268.74</v>
      </c>
      <c r="Q18" s="104">
        <f>IFS('Painel Geral'!$B$5="Mediana",IFERROR(IF(OR(J18="",N18=0,N18=""),"",($J18/$N18)),""),'Painel Geral'!$B$5="Menor Salário",IFERROR(IF(OR(J18="",N18=0,N18=""),"",($J18/$K18)),""),'Painel Geral'!$B$5="1º Quartil",IFERROR(IF(OR(J18="",N18=0,N18=""),"",($J18/$L18)),""),'Painel Geral'!$B$5="Média",IFERROR(IF(OR(J18="",N18=0,N18=""),"",($J18/$M18)),""),'Painel Geral'!$B$5="3º Quartil",IFERROR(IF(OR(J18="",N18=0,N18=""),"",($J18/$O18)),""),'Painel Geral'!$B$5="Maior Salário",IFERROR(IF(OR(J18="",N18=0,N18=""),"",($J18/$P18)),""))</f>
        <v>0.7366530139</v>
      </c>
      <c r="R18" s="105" t="str">
        <f t="shared" si="2"/>
        <v>Muito Defasado</v>
      </c>
      <c r="S18" s="106">
        <f>IFERROR(VLOOKUP($I18,'C-02'!$D:$L,4,0),"")</f>
        <v>2468.17</v>
      </c>
      <c r="T18" s="106">
        <f>IFERROR(VLOOKUP($I18,'C-02'!$D:$L,5,FALSE),"")</f>
        <v>2944.09</v>
      </c>
      <c r="U18" s="106">
        <f>IFERROR(VLOOKUP($I18,'C-02'!$D:$L,6,FALSE),"")</f>
        <v>3642.17</v>
      </c>
      <c r="V18" s="106">
        <f>IFERROR(VLOOKUP($I18,'C-02'!$D:$L,7,FALSE),"")</f>
        <v>3493.9</v>
      </c>
      <c r="W18" s="106">
        <f>IFERROR(VLOOKUP($I18,'C-02'!$D:$L,8,FALSE),"")</f>
        <v>4224.13</v>
      </c>
      <c r="X18" s="106">
        <f>IFERROR(VLOOKUP($I18,'C-02'!$D:$L,9,FALSE),"")</f>
        <v>5456.83</v>
      </c>
      <c r="Y18" s="107">
        <f>IFS('Painel Geral'!$B$5="Mediana",IFERROR(IF(OR(J18="",V18=0,V18=""),"",($J18/$V18)),""),'Painel Geral'!$B$5="Menor Salário",IFERROR(IF(OR(J18="",V18=0,V18=""),"",($J18/$S18)),""),'Painel Geral'!$B$5="1º Quartil",IFERROR(IF(OR(J18="",V18=0,V18=""),"",($J18/$T18)),""),'Painel Geral'!$B$5="Média",IFERROR(IF(OR(J18="",V18=0,V18=""),"",($J18/$U18)),""),'Painel Geral'!$B$5="3º Quartil",IFERROR(IF(OR(J18="",V18=0,V18=""),"",($J18/$W18)),""),'Painel Geral'!$B$5="Maior Salário",IFERROR(IF(OR(J18="",V18=0,V18=""),"",($J18/$X18)),""))</f>
        <v>0.7124359598</v>
      </c>
      <c r="Z18" s="108" t="str">
        <f t="shared" si="3"/>
        <v>Muito Defasado</v>
      </c>
      <c r="AA18" s="344">
        <f>VLOOKUP(A18,'Cálculos Comparativos'!$A:$E,4,0)</f>
        <v>1</v>
      </c>
    </row>
    <row r="19" ht="15.75" customHeight="1">
      <c r="A19" s="94">
        <v>1.0</v>
      </c>
      <c r="B19" s="19">
        <v>19.0</v>
      </c>
      <c r="C19" s="339" t="str">
        <f>VLOOKUP(A19,Jobmatch!A:E,2,0)</f>
        <v>Engenheiro de Software Full Stack Jr</v>
      </c>
      <c r="D19" s="339" t="str">
        <f>VLOOKUP(B19,'Folha de Pagamento'!B:G,6,0)</f>
        <v>DEV</v>
      </c>
      <c r="E19" s="338" t="str">
        <f>VLOOKUP(A19,Jobmatch!A:E,4,0)</f>
        <v>Operacional</v>
      </c>
      <c r="F19" s="340">
        <f>VLOOKUP(A19,Jobmatch!A:F,5,0)</f>
        <v>1</v>
      </c>
      <c r="G19" s="339" t="str">
        <f>VLOOKUP(A19,Jobmatch!A:G,6,0)</f>
        <v>Desenvolvedor</v>
      </c>
      <c r="H19" s="341" t="str">
        <f>VLOOKUP(A19,Jobmatch!A:H,7,0)</f>
        <v>Júnior</v>
      </c>
      <c r="I19" s="342" t="str">
        <f t="shared" si="1"/>
        <v>1Júnior</v>
      </c>
      <c r="J19" s="343">
        <f>IFERROR(VLOOKUP(B19,'Folha de Pagamento'!B:I,8,0),"")</f>
        <v>2489.18</v>
      </c>
      <c r="K19" s="102">
        <f>IFERROR(VLOOKUP(I19,'C-01'!$D:$L,4,0),"")</f>
        <v>2030.9</v>
      </c>
      <c r="L19" s="103">
        <f>IFERROR(VLOOKUP(I19,'C-01'!$D:$L,5,0),"")</f>
        <v>2706.62</v>
      </c>
      <c r="M19" s="103">
        <f>IFERROR(VLOOKUP(I19,'C-01'!$D:$L,6,0),"")</f>
        <v>3370.79</v>
      </c>
      <c r="N19" s="103">
        <f>IFERROR(VLOOKUP(I19,'C-01'!$D:$L,7,0),"")</f>
        <v>3379.04</v>
      </c>
      <c r="O19" s="103">
        <f>IFERROR(VLOOKUP(I19,'C-01'!$D:$L,8,0),"")</f>
        <v>3870.49</v>
      </c>
      <c r="P19" s="102">
        <f>IFERROR(VLOOKUP(I19,'C-01'!$D:$L,9,0),"")</f>
        <v>5268.74</v>
      </c>
      <c r="Q19" s="104">
        <f>IFS('Painel Geral'!$B$5="Mediana",IFERROR(IF(OR(J19="",N19=0,N19=""),"",($J19/$N19)),""),'Painel Geral'!$B$5="Menor Salário",IFERROR(IF(OR(J19="",N19=0,N19=""),"",($J19/$K19)),""),'Painel Geral'!$B$5="1º Quartil",IFERROR(IF(OR(J19="",N19=0,N19=""),"",($J19/$L19)),""),'Painel Geral'!$B$5="Média",IFERROR(IF(OR(J19="",N19=0,N19=""),"",($J19/$M19)),""),'Painel Geral'!$B$5="3º Quartil",IFERROR(IF(OR(J19="",N19=0,N19=""),"",($J19/$O19)),""),'Painel Geral'!$B$5="Maior Salário",IFERROR(IF(OR(J19="",N19=0,N19=""),"",($J19/$P19)),""))</f>
        <v>0.7366530139</v>
      </c>
      <c r="R19" s="105" t="str">
        <f t="shared" si="2"/>
        <v>Muito Defasado</v>
      </c>
      <c r="S19" s="106">
        <f>IFERROR(VLOOKUP($I19,'C-02'!$D:$L,4,0),"")</f>
        <v>2468.17</v>
      </c>
      <c r="T19" s="106">
        <f>IFERROR(VLOOKUP($I19,'C-02'!$D:$L,5,FALSE),"")</f>
        <v>2944.09</v>
      </c>
      <c r="U19" s="106">
        <f>IFERROR(VLOOKUP($I19,'C-02'!$D:$L,6,FALSE),"")</f>
        <v>3642.17</v>
      </c>
      <c r="V19" s="106">
        <f>IFERROR(VLOOKUP($I19,'C-02'!$D:$L,7,FALSE),"")</f>
        <v>3493.9</v>
      </c>
      <c r="W19" s="106">
        <f>IFERROR(VLOOKUP($I19,'C-02'!$D:$L,8,FALSE),"")</f>
        <v>4224.13</v>
      </c>
      <c r="X19" s="106">
        <f>IFERROR(VLOOKUP($I19,'C-02'!$D:$L,9,FALSE),"")</f>
        <v>5456.83</v>
      </c>
      <c r="Y19" s="107">
        <f>IFS('Painel Geral'!$B$5="Mediana",IFERROR(IF(OR(J19="",V19=0,V19=""),"",($J19/$V19)),""),'Painel Geral'!$B$5="Menor Salário",IFERROR(IF(OR(J19="",V19=0,V19=""),"",($J19/$S19)),""),'Painel Geral'!$B$5="1º Quartil",IFERROR(IF(OR(J19="",V19=0,V19=""),"",($J19/$T19)),""),'Painel Geral'!$B$5="Média",IFERROR(IF(OR(J19="",V19=0,V19=""),"",($J19/$U19)),""),'Painel Geral'!$B$5="3º Quartil",IFERROR(IF(OR(J19="",V19=0,V19=""),"",($J19/$W19)),""),'Painel Geral'!$B$5="Maior Salário",IFERROR(IF(OR(J19="",V19=0,V19=""),"",($J19/$X19)),""))</f>
        <v>0.7124359598</v>
      </c>
      <c r="Z19" s="108" t="str">
        <f t="shared" si="3"/>
        <v>Muito Defasado</v>
      </c>
      <c r="AA19" s="344">
        <f>VLOOKUP(A19,'Cálculos Comparativos'!$A:$E,4,0)</f>
        <v>1</v>
      </c>
    </row>
    <row r="20" ht="15.75" customHeight="1">
      <c r="A20" s="94">
        <v>1.0</v>
      </c>
      <c r="B20" s="19">
        <v>21.0</v>
      </c>
      <c r="C20" s="339" t="str">
        <f>VLOOKUP(A20,Jobmatch!A:E,2,0)</f>
        <v>Engenheiro de Software Full Stack Jr</v>
      </c>
      <c r="D20" s="339" t="str">
        <f>VLOOKUP(B20,'Folha de Pagamento'!B:G,6,0)</f>
        <v>DEV</v>
      </c>
      <c r="E20" s="338" t="str">
        <f>VLOOKUP(A20,Jobmatch!A:E,4,0)</f>
        <v>Operacional</v>
      </c>
      <c r="F20" s="340">
        <f>VLOOKUP(A20,Jobmatch!A:F,5,0)</f>
        <v>1</v>
      </c>
      <c r="G20" s="339" t="str">
        <f>VLOOKUP(A20,Jobmatch!A:G,6,0)</f>
        <v>Desenvolvedor</v>
      </c>
      <c r="H20" s="341" t="str">
        <f>VLOOKUP(A20,Jobmatch!A:H,7,0)</f>
        <v>Júnior</v>
      </c>
      <c r="I20" s="342" t="str">
        <f t="shared" si="1"/>
        <v>1Júnior</v>
      </c>
      <c r="J20" s="343">
        <f>IFERROR(VLOOKUP(B20,'Folha de Pagamento'!B:I,8,0),"")</f>
        <v>2489.18</v>
      </c>
      <c r="K20" s="102">
        <f>IFERROR(VLOOKUP(I20,'C-01'!$D:$L,4,0),"")</f>
        <v>2030.9</v>
      </c>
      <c r="L20" s="103">
        <f>IFERROR(VLOOKUP(I20,'C-01'!$D:$L,5,0),"")</f>
        <v>2706.62</v>
      </c>
      <c r="M20" s="103">
        <f>IFERROR(VLOOKUP(I20,'C-01'!$D:$L,6,0),"")</f>
        <v>3370.79</v>
      </c>
      <c r="N20" s="103">
        <f>IFERROR(VLOOKUP(I20,'C-01'!$D:$L,7,0),"")</f>
        <v>3379.04</v>
      </c>
      <c r="O20" s="103">
        <f>IFERROR(VLOOKUP(I20,'C-01'!$D:$L,8,0),"")</f>
        <v>3870.49</v>
      </c>
      <c r="P20" s="102">
        <f>IFERROR(VLOOKUP(I20,'C-01'!$D:$L,9,0),"")</f>
        <v>5268.74</v>
      </c>
      <c r="Q20" s="104">
        <f>IFS('Painel Geral'!$B$5="Mediana",IFERROR(IF(OR(J20="",N20=0,N20=""),"",($J20/$N20)),""),'Painel Geral'!$B$5="Menor Salário",IFERROR(IF(OR(J20="",N20=0,N20=""),"",($J20/$K20)),""),'Painel Geral'!$B$5="1º Quartil",IFERROR(IF(OR(J20="",N20=0,N20=""),"",($J20/$L20)),""),'Painel Geral'!$B$5="Média",IFERROR(IF(OR(J20="",N20=0,N20=""),"",($J20/$M20)),""),'Painel Geral'!$B$5="3º Quartil",IFERROR(IF(OR(J20="",N20=0,N20=""),"",($J20/$O20)),""),'Painel Geral'!$B$5="Maior Salário",IFERROR(IF(OR(J20="",N20=0,N20=""),"",($J20/$P20)),""))</f>
        <v>0.7366530139</v>
      </c>
      <c r="R20" s="105" t="str">
        <f t="shared" si="2"/>
        <v>Muito Defasado</v>
      </c>
      <c r="S20" s="106">
        <f>IFERROR(VLOOKUP($I20,'C-02'!$D:$L,4,0),"")</f>
        <v>2468.17</v>
      </c>
      <c r="T20" s="106">
        <f>IFERROR(VLOOKUP($I20,'C-02'!$D:$L,5,FALSE),"")</f>
        <v>2944.09</v>
      </c>
      <c r="U20" s="106">
        <f>IFERROR(VLOOKUP($I20,'C-02'!$D:$L,6,FALSE),"")</f>
        <v>3642.17</v>
      </c>
      <c r="V20" s="106">
        <f>IFERROR(VLOOKUP($I20,'C-02'!$D:$L,7,FALSE),"")</f>
        <v>3493.9</v>
      </c>
      <c r="W20" s="106">
        <f>IFERROR(VLOOKUP($I20,'C-02'!$D:$L,8,FALSE),"")</f>
        <v>4224.13</v>
      </c>
      <c r="X20" s="106">
        <f>IFERROR(VLOOKUP($I20,'C-02'!$D:$L,9,FALSE),"")</f>
        <v>5456.83</v>
      </c>
      <c r="Y20" s="107">
        <f>IFS('Painel Geral'!$B$5="Mediana",IFERROR(IF(OR(J20="",V20=0,V20=""),"",($J20/$V20)),""),'Painel Geral'!$B$5="Menor Salário",IFERROR(IF(OR(J20="",V20=0,V20=""),"",($J20/$S20)),""),'Painel Geral'!$B$5="1º Quartil",IFERROR(IF(OR(J20="",V20=0,V20=""),"",($J20/$T20)),""),'Painel Geral'!$B$5="Média",IFERROR(IF(OR(J20="",V20=0,V20=""),"",($J20/$U20)),""),'Painel Geral'!$B$5="3º Quartil",IFERROR(IF(OR(J20="",V20=0,V20=""),"",($J20/$W20)),""),'Painel Geral'!$B$5="Maior Salário",IFERROR(IF(OR(J20="",V20=0,V20=""),"",($J20/$X20)),""))</f>
        <v>0.7124359598</v>
      </c>
      <c r="Z20" s="108" t="str">
        <f t="shared" si="3"/>
        <v>Muito Defasado</v>
      </c>
      <c r="AA20" s="344">
        <f>VLOOKUP(A20,'Cálculos Comparativos'!$A:$E,4,0)</f>
        <v>1</v>
      </c>
    </row>
    <row r="21" ht="15.75" customHeight="1">
      <c r="A21" s="94">
        <v>1.0</v>
      </c>
      <c r="B21" s="19">
        <v>45.0</v>
      </c>
      <c r="C21" s="339" t="str">
        <f>VLOOKUP(A21,Jobmatch!A:E,2,0)</f>
        <v>Engenheiro de Software Full Stack Jr</v>
      </c>
      <c r="D21" s="339" t="str">
        <f>VLOOKUP(B21,'Folha de Pagamento'!B:G,6,0)</f>
        <v>DEV</v>
      </c>
      <c r="E21" s="338" t="str">
        <f>VLOOKUP(A21,Jobmatch!A:E,4,0)</f>
        <v>Operacional</v>
      </c>
      <c r="F21" s="340">
        <f>VLOOKUP(A21,Jobmatch!A:F,5,0)</f>
        <v>1</v>
      </c>
      <c r="G21" s="339" t="str">
        <f>VLOOKUP(A21,Jobmatch!A:G,6,0)</f>
        <v>Desenvolvedor</v>
      </c>
      <c r="H21" s="341" t="str">
        <f>VLOOKUP(A21,Jobmatch!A:H,7,0)</f>
        <v>Júnior</v>
      </c>
      <c r="I21" s="342" t="str">
        <f t="shared" si="1"/>
        <v>1Júnior</v>
      </c>
      <c r="J21" s="343">
        <f>IFERROR(VLOOKUP(B21,'Folha de Pagamento'!B:I,8,0),"")</f>
        <v>2489.18</v>
      </c>
      <c r="K21" s="102">
        <f>IFERROR(VLOOKUP(I21,'C-01'!$D:$L,4,0),"")</f>
        <v>2030.9</v>
      </c>
      <c r="L21" s="103">
        <f>IFERROR(VLOOKUP(I21,'C-01'!$D:$L,5,0),"")</f>
        <v>2706.62</v>
      </c>
      <c r="M21" s="103">
        <f>IFERROR(VLOOKUP(I21,'C-01'!$D:$L,6,0),"")</f>
        <v>3370.79</v>
      </c>
      <c r="N21" s="103">
        <f>IFERROR(VLOOKUP(I21,'C-01'!$D:$L,7,0),"")</f>
        <v>3379.04</v>
      </c>
      <c r="O21" s="103">
        <f>IFERROR(VLOOKUP(I21,'C-01'!$D:$L,8,0),"")</f>
        <v>3870.49</v>
      </c>
      <c r="P21" s="102">
        <f>IFERROR(VLOOKUP(I21,'C-01'!$D:$L,9,0),"")</f>
        <v>5268.74</v>
      </c>
      <c r="Q21" s="104">
        <f>IFS('Painel Geral'!$B$5="Mediana",IFERROR(IF(OR(J21="",N21=0,N21=""),"",($J21/$N21)),""),'Painel Geral'!$B$5="Menor Salário",IFERROR(IF(OR(J21="",N21=0,N21=""),"",($J21/$K21)),""),'Painel Geral'!$B$5="1º Quartil",IFERROR(IF(OR(J21="",N21=0,N21=""),"",($J21/$L21)),""),'Painel Geral'!$B$5="Média",IFERROR(IF(OR(J21="",N21=0,N21=""),"",($J21/$M21)),""),'Painel Geral'!$B$5="3º Quartil",IFERROR(IF(OR(J21="",N21=0,N21=""),"",($J21/$O21)),""),'Painel Geral'!$B$5="Maior Salário",IFERROR(IF(OR(J21="",N21=0,N21=""),"",($J21/$P21)),""))</f>
        <v>0.7366530139</v>
      </c>
      <c r="R21" s="105" t="str">
        <f t="shared" si="2"/>
        <v>Muito Defasado</v>
      </c>
      <c r="S21" s="106">
        <f>IFERROR(VLOOKUP($I21,'C-02'!$D:$L,4,0),"")</f>
        <v>2468.17</v>
      </c>
      <c r="T21" s="106">
        <f>IFERROR(VLOOKUP($I21,'C-02'!$D:$L,5,FALSE),"")</f>
        <v>2944.09</v>
      </c>
      <c r="U21" s="106">
        <f>IFERROR(VLOOKUP($I21,'C-02'!$D:$L,6,FALSE),"")</f>
        <v>3642.17</v>
      </c>
      <c r="V21" s="106">
        <f>IFERROR(VLOOKUP($I21,'C-02'!$D:$L,7,FALSE),"")</f>
        <v>3493.9</v>
      </c>
      <c r="W21" s="106">
        <f>IFERROR(VLOOKUP($I21,'C-02'!$D:$L,8,FALSE),"")</f>
        <v>4224.13</v>
      </c>
      <c r="X21" s="106">
        <f>IFERROR(VLOOKUP($I21,'C-02'!$D:$L,9,FALSE),"")</f>
        <v>5456.83</v>
      </c>
      <c r="Y21" s="107">
        <f>IFS('Painel Geral'!$B$5="Mediana",IFERROR(IF(OR(J21="",V21=0,V21=""),"",($J21/$V21)),""),'Painel Geral'!$B$5="Menor Salário",IFERROR(IF(OR(J21="",V21=0,V21=""),"",($J21/$S21)),""),'Painel Geral'!$B$5="1º Quartil",IFERROR(IF(OR(J21="",V21=0,V21=""),"",($J21/$T21)),""),'Painel Geral'!$B$5="Média",IFERROR(IF(OR(J21="",V21=0,V21=""),"",($J21/$U21)),""),'Painel Geral'!$B$5="3º Quartil",IFERROR(IF(OR(J21="",V21=0,V21=""),"",($J21/$W21)),""),'Painel Geral'!$B$5="Maior Salário",IFERROR(IF(OR(J21="",V21=0,V21=""),"",($J21/$X21)),""))</f>
        <v>0.7124359598</v>
      </c>
      <c r="Z21" s="108" t="str">
        <f t="shared" si="3"/>
        <v>Muito Defasado</v>
      </c>
      <c r="AA21" s="344">
        <f>VLOOKUP(A21,'Cálculos Comparativos'!$A:$E,4,0)</f>
        <v>1</v>
      </c>
    </row>
    <row r="22" ht="15.75" customHeight="1">
      <c r="A22" s="94">
        <v>1.0</v>
      </c>
      <c r="B22" s="19">
        <v>13.0</v>
      </c>
      <c r="C22" s="339" t="str">
        <f>VLOOKUP(A22,Jobmatch!A:E,2,0)</f>
        <v>Engenheiro de Software Full Stack Jr</v>
      </c>
      <c r="D22" s="339" t="str">
        <f>VLOOKUP(B22,'Folha de Pagamento'!B:G,6,0)</f>
        <v>DEV</v>
      </c>
      <c r="E22" s="338" t="str">
        <f>VLOOKUP(A22,Jobmatch!A:E,4,0)</f>
        <v>Operacional</v>
      </c>
      <c r="F22" s="340">
        <f>VLOOKUP(A22,Jobmatch!A:F,5,0)</f>
        <v>1</v>
      </c>
      <c r="G22" s="339" t="str">
        <f>VLOOKUP(A22,Jobmatch!A:G,6,0)</f>
        <v>Desenvolvedor</v>
      </c>
      <c r="H22" s="341" t="str">
        <f>VLOOKUP(A22,Jobmatch!A:H,7,0)</f>
        <v>Júnior</v>
      </c>
      <c r="I22" s="342" t="str">
        <f t="shared" si="1"/>
        <v>1Júnior</v>
      </c>
      <c r="J22" s="343">
        <f>IFERROR(VLOOKUP(B22,'Folha de Pagamento'!B:I,8,0),"")</f>
        <v>2489.18</v>
      </c>
      <c r="K22" s="102">
        <f>IFERROR(VLOOKUP(I22,'C-01'!$D:$L,4,0),"")</f>
        <v>2030.9</v>
      </c>
      <c r="L22" s="103">
        <f>IFERROR(VLOOKUP(I22,'C-01'!$D:$L,5,0),"")</f>
        <v>2706.62</v>
      </c>
      <c r="M22" s="103">
        <f>IFERROR(VLOOKUP(I22,'C-01'!$D:$L,6,0),"")</f>
        <v>3370.79</v>
      </c>
      <c r="N22" s="103">
        <f>IFERROR(VLOOKUP(I22,'C-01'!$D:$L,7,0),"")</f>
        <v>3379.04</v>
      </c>
      <c r="O22" s="103">
        <f>IFERROR(VLOOKUP(I22,'C-01'!$D:$L,8,0),"")</f>
        <v>3870.49</v>
      </c>
      <c r="P22" s="102">
        <f>IFERROR(VLOOKUP(I22,'C-01'!$D:$L,9,0),"")</f>
        <v>5268.74</v>
      </c>
      <c r="Q22" s="104">
        <f>IFS('Painel Geral'!$B$5="Mediana",IFERROR(IF(OR(J22="",N22=0,N22=""),"",($J22/$N22)),""),'Painel Geral'!$B$5="Menor Salário",IFERROR(IF(OR(J22="",N22=0,N22=""),"",($J22/$K22)),""),'Painel Geral'!$B$5="1º Quartil",IFERROR(IF(OR(J22="",N22=0,N22=""),"",($J22/$L22)),""),'Painel Geral'!$B$5="Média",IFERROR(IF(OR(J22="",N22=0,N22=""),"",($J22/$M22)),""),'Painel Geral'!$B$5="3º Quartil",IFERROR(IF(OR(J22="",N22=0,N22=""),"",($J22/$O22)),""),'Painel Geral'!$B$5="Maior Salário",IFERROR(IF(OR(J22="",N22=0,N22=""),"",($J22/$P22)),""))</f>
        <v>0.7366530139</v>
      </c>
      <c r="R22" s="105" t="str">
        <f t="shared" si="2"/>
        <v>Muito Defasado</v>
      </c>
      <c r="S22" s="106">
        <f>IFERROR(VLOOKUP($I22,'C-02'!$D:$L,4,0),"")</f>
        <v>2468.17</v>
      </c>
      <c r="T22" s="106">
        <f>IFERROR(VLOOKUP($I22,'C-02'!$D:$L,5,FALSE),"")</f>
        <v>2944.09</v>
      </c>
      <c r="U22" s="106">
        <f>IFERROR(VLOOKUP($I22,'C-02'!$D:$L,6,FALSE),"")</f>
        <v>3642.17</v>
      </c>
      <c r="V22" s="106">
        <f>IFERROR(VLOOKUP($I22,'C-02'!$D:$L,7,FALSE),"")</f>
        <v>3493.9</v>
      </c>
      <c r="W22" s="106">
        <f>IFERROR(VLOOKUP($I22,'C-02'!$D:$L,8,FALSE),"")</f>
        <v>4224.13</v>
      </c>
      <c r="X22" s="106">
        <f>IFERROR(VLOOKUP($I22,'C-02'!$D:$L,9,FALSE),"")</f>
        <v>5456.83</v>
      </c>
      <c r="Y22" s="107">
        <f>IFS('Painel Geral'!$B$5="Mediana",IFERROR(IF(OR(J22="",V22=0,V22=""),"",($J22/$V22)),""),'Painel Geral'!$B$5="Menor Salário",IFERROR(IF(OR(J22="",V22=0,V22=""),"",($J22/$S22)),""),'Painel Geral'!$B$5="1º Quartil",IFERROR(IF(OR(J22="",V22=0,V22=""),"",($J22/$T22)),""),'Painel Geral'!$B$5="Média",IFERROR(IF(OR(J22="",V22=0,V22=""),"",($J22/$U22)),""),'Painel Geral'!$B$5="3º Quartil",IFERROR(IF(OR(J22="",V22=0,V22=""),"",($J22/$W22)),""),'Painel Geral'!$B$5="Maior Salário",IFERROR(IF(OR(J22="",V22=0,V22=""),"",($J22/$X22)),""))</f>
        <v>0.7124359598</v>
      </c>
      <c r="Z22" s="108" t="str">
        <f t="shared" si="3"/>
        <v>Muito Defasado</v>
      </c>
      <c r="AA22" s="344">
        <f>VLOOKUP(A22,'Cálculos Comparativos'!$A:$E,4,0)</f>
        <v>1</v>
      </c>
    </row>
    <row r="23" ht="15.75" customHeight="1">
      <c r="A23" s="94">
        <v>1.0</v>
      </c>
      <c r="B23" s="19">
        <v>22.0</v>
      </c>
      <c r="C23" s="339" t="str">
        <f>VLOOKUP(A23,Jobmatch!A:E,2,0)</f>
        <v>Engenheiro de Software Full Stack Jr</v>
      </c>
      <c r="D23" s="339" t="str">
        <f>VLOOKUP(B23,'Folha de Pagamento'!B:G,6,0)</f>
        <v>DEV</v>
      </c>
      <c r="E23" s="338" t="str">
        <f>VLOOKUP(A23,Jobmatch!A:E,4,0)</f>
        <v>Operacional</v>
      </c>
      <c r="F23" s="340">
        <f>VLOOKUP(A23,Jobmatch!A:F,5,0)</f>
        <v>1</v>
      </c>
      <c r="G23" s="339" t="str">
        <f>VLOOKUP(A23,Jobmatch!A:G,6,0)</f>
        <v>Desenvolvedor</v>
      </c>
      <c r="H23" s="341" t="str">
        <f>VLOOKUP(A23,Jobmatch!A:H,7,0)</f>
        <v>Júnior</v>
      </c>
      <c r="I23" s="342" t="str">
        <f t="shared" si="1"/>
        <v>1Júnior</v>
      </c>
      <c r="J23" s="343">
        <f>IFERROR(VLOOKUP(B23,'Folha de Pagamento'!B:I,8,0),"")</f>
        <v>2489.18</v>
      </c>
      <c r="K23" s="102">
        <f>IFERROR(VLOOKUP(I23,'C-01'!$D:$L,4,0),"")</f>
        <v>2030.9</v>
      </c>
      <c r="L23" s="103">
        <f>IFERROR(VLOOKUP(I23,'C-01'!$D:$L,5,0),"")</f>
        <v>2706.62</v>
      </c>
      <c r="M23" s="103">
        <f>IFERROR(VLOOKUP(I23,'C-01'!$D:$L,6,0),"")</f>
        <v>3370.79</v>
      </c>
      <c r="N23" s="103">
        <f>IFERROR(VLOOKUP(I23,'C-01'!$D:$L,7,0),"")</f>
        <v>3379.04</v>
      </c>
      <c r="O23" s="103">
        <f>IFERROR(VLOOKUP(I23,'C-01'!$D:$L,8,0),"")</f>
        <v>3870.49</v>
      </c>
      <c r="P23" s="102">
        <f>IFERROR(VLOOKUP(I23,'C-01'!$D:$L,9,0),"")</f>
        <v>5268.74</v>
      </c>
      <c r="Q23" s="104">
        <f>IFS('Painel Geral'!$B$5="Mediana",IFERROR(IF(OR(J23="",N23=0,N23=""),"",($J23/$N23)),""),'Painel Geral'!$B$5="Menor Salário",IFERROR(IF(OR(J23="",N23=0,N23=""),"",($J23/$K23)),""),'Painel Geral'!$B$5="1º Quartil",IFERROR(IF(OR(J23="",N23=0,N23=""),"",($J23/$L23)),""),'Painel Geral'!$B$5="Média",IFERROR(IF(OR(J23="",N23=0,N23=""),"",($J23/$M23)),""),'Painel Geral'!$B$5="3º Quartil",IFERROR(IF(OR(J23="",N23=0,N23=""),"",($J23/$O23)),""),'Painel Geral'!$B$5="Maior Salário",IFERROR(IF(OR(J23="",N23=0,N23=""),"",($J23/$P23)),""))</f>
        <v>0.7366530139</v>
      </c>
      <c r="R23" s="105" t="str">
        <f t="shared" si="2"/>
        <v>Muito Defasado</v>
      </c>
      <c r="S23" s="106">
        <f>IFERROR(VLOOKUP($I23,'C-02'!$D:$L,4,0),"")</f>
        <v>2468.17</v>
      </c>
      <c r="T23" s="106">
        <f>IFERROR(VLOOKUP($I23,'C-02'!$D:$L,5,FALSE),"")</f>
        <v>2944.09</v>
      </c>
      <c r="U23" s="106">
        <f>IFERROR(VLOOKUP($I23,'C-02'!$D:$L,6,FALSE),"")</f>
        <v>3642.17</v>
      </c>
      <c r="V23" s="106">
        <f>IFERROR(VLOOKUP($I23,'C-02'!$D:$L,7,FALSE),"")</f>
        <v>3493.9</v>
      </c>
      <c r="W23" s="106">
        <f>IFERROR(VLOOKUP($I23,'C-02'!$D:$L,8,FALSE),"")</f>
        <v>4224.13</v>
      </c>
      <c r="X23" s="106">
        <f>IFERROR(VLOOKUP($I23,'C-02'!$D:$L,9,FALSE),"")</f>
        <v>5456.83</v>
      </c>
      <c r="Y23" s="107">
        <f>IFS('Painel Geral'!$B$5="Mediana",IFERROR(IF(OR(J23="",V23=0,V23=""),"",($J23/$V23)),""),'Painel Geral'!$B$5="Menor Salário",IFERROR(IF(OR(J23="",V23=0,V23=""),"",($J23/$S23)),""),'Painel Geral'!$B$5="1º Quartil",IFERROR(IF(OR(J23="",V23=0,V23=""),"",($J23/$T23)),""),'Painel Geral'!$B$5="Média",IFERROR(IF(OR(J23="",V23=0,V23=""),"",($J23/$U23)),""),'Painel Geral'!$B$5="3º Quartil",IFERROR(IF(OR(J23="",V23=0,V23=""),"",($J23/$W23)),""),'Painel Geral'!$B$5="Maior Salário",IFERROR(IF(OR(J23="",V23=0,V23=""),"",($J23/$X23)),""))</f>
        <v>0.7124359598</v>
      </c>
      <c r="Z23" s="108" t="str">
        <f t="shared" si="3"/>
        <v>Muito Defasado</v>
      </c>
      <c r="AA23" s="344">
        <f>VLOOKUP(A23,'Cálculos Comparativos'!$A:$E,4,0)</f>
        <v>1</v>
      </c>
    </row>
    <row r="24" ht="15.75" customHeight="1">
      <c r="A24" s="94">
        <v>1.0</v>
      </c>
      <c r="B24" s="19">
        <v>1.0</v>
      </c>
      <c r="C24" s="339" t="str">
        <f>VLOOKUP(A24,Jobmatch!A:E,2,0)</f>
        <v>Engenheiro de Software Full Stack Jr</v>
      </c>
      <c r="D24" s="339" t="str">
        <f>VLOOKUP(B24,'Folha de Pagamento'!B:G,6,0)</f>
        <v>DEV</v>
      </c>
      <c r="E24" s="338" t="str">
        <f>VLOOKUP(A24,Jobmatch!A:E,4,0)</f>
        <v>Operacional</v>
      </c>
      <c r="F24" s="340">
        <f>VLOOKUP(A24,Jobmatch!A:F,5,0)</f>
        <v>1</v>
      </c>
      <c r="G24" s="339" t="str">
        <f>VLOOKUP(A24,Jobmatch!A:G,6,0)</f>
        <v>Desenvolvedor</v>
      </c>
      <c r="H24" s="341" t="str">
        <f>VLOOKUP(A24,Jobmatch!A:H,7,0)</f>
        <v>Júnior</v>
      </c>
      <c r="I24" s="342" t="str">
        <f t="shared" si="1"/>
        <v>1Júnior</v>
      </c>
      <c r="J24" s="343">
        <f>IFERROR(VLOOKUP(B24,'Folha de Pagamento'!B:I,8,0),"")</f>
        <v>2489.18</v>
      </c>
      <c r="K24" s="102">
        <f>IFERROR(VLOOKUP(I24,'C-01'!$D:$L,4,0),"")</f>
        <v>2030.9</v>
      </c>
      <c r="L24" s="103">
        <f>IFERROR(VLOOKUP(I24,'C-01'!$D:$L,5,0),"")</f>
        <v>2706.62</v>
      </c>
      <c r="M24" s="103">
        <f>IFERROR(VLOOKUP(I24,'C-01'!$D:$L,6,0),"")</f>
        <v>3370.79</v>
      </c>
      <c r="N24" s="103">
        <f>IFERROR(VLOOKUP(I24,'C-01'!$D:$L,7,0),"")</f>
        <v>3379.04</v>
      </c>
      <c r="O24" s="103">
        <f>IFERROR(VLOOKUP(I24,'C-01'!$D:$L,8,0),"")</f>
        <v>3870.49</v>
      </c>
      <c r="P24" s="102">
        <f>IFERROR(VLOOKUP(I24,'C-01'!$D:$L,9,0),"")</f>
        <v>5268.74</v>
      </c>
      <c r="Q24" s="104">
        <f>IFS('Painel Geral'!$B$5="Mediana",IFERROR(IF(OR(J24="",N24=0,N24=""),"",($J24/$N24)),""),'Painel Geral'!$B$5="Menor Salário",IFERROR(IF(OR(J24="",N24=0,N24=""),"",($J24/$K24)),""),'Painel Geral'!$B$5="1º Quartil",IFERROR(IF(OR(J24="",N24=0,N24=""),"",($J24/$L24)),""),'Painel Geral'!$B$5="Média",IFERROR(IF(OR(J24="",N24=0,N24=""),"",($J24/$M24)),""),'Painel Geral'!$B$5="3º Quartil",IFERROR(IF(OR(J24="",N24=0,N24=""),"",($J24/$O24)),""),'Painel Geral'!$B$5="Maior Salário",IFERROR(IF(OR(J24="",N24=0,N24=""),"",($J24/$P24)),""))</f>
        <v>0.7366530139</v>
      </c>
      <c r="R24" s="105" t="str">
        <f t="shared" si="2"/>
        <v>Muito Defasado</v>
      </c>
      <c r="S24" s="106">
        <f>IFERROR(VLOOKUP($I24,'C-02'!$D:$L,4,0),"")</f>
        <v>2468.17</v>
      </c>
      <c r="T24" s="106">
        <f>IFERROR(VLOOKUP($I24,'C-02'!$D:$L,5,FALSE),"")</f>
        <v>2944.09</v>
      </c>
      <c r="U24" s="106">
        <f>IFERROR(VLOOKUP($I24,'C-02'!$D:$L,6,FALSE),"")</f>
        <v>3642.17</v>
      </c>
      <c r="V24" s="106">
        <f>IFERROR(VLOOKUP($I24,'C-02'!$D:$L,7,FALSE),"")</f>
        <v>3493.9</v>
      </c>
      <c r="W24" s="106">
        <f>IFERROR(VLOOKUP($I24,'C-02'!$D:$L,8,FALSE),"")</f>
        <v>4224.13</v>
      </c>
      <c r="X24" s="106">
        <f>IFERROR(VLOOKUP($I24,'C-02'!$D:$L,9,FALSE),"")</f>
        <v>5456.83</v>
      </c>
      <c r="Y24" s="107">
        <f>IFS('Painel Geral'!$B$5="Mediana",IFERROR(IF(OR(J24="",V24=0,V24=""),"",($J24/$V24)),""),'Painel Geral'!$B$5="Menor Salário",IFERROR(IF(OR(J24="",V24=0,V24=""),"",($J24/$S24)),""),'Painel Geral'!$B$5="1º Quartil",IFERROR(IF(OR(J24="",V24=0,V24=""),"",($J24/$T24)),""),'Painel Geral'!$B$5="Média",IFERROR(IF(OR(J24="",V24=0,V24=""),"",($J24/$U24)),""),'Painel Geral'!$B$5="3º Quartil",IFERROR(IF(OR(J24="",V24=0,V24=""),"",($J24/$W24)),""),'Painel Geral'!$B$5="Maior Salário",IFERROR(IF(OR(J24="",V24=0,V24=""),"",($J24/$X24)),""))</f>
        <v>0.7124359598</v>
      </c>
      <c r="Z24" s="108" t="str">
        <f t="shared" si="3"/>
        <v>Muito Defasado</v>
      </c>
      <c r="AA24" s="344">
        <f>VLOOKUP(A24,'Cálculos Comparativos'!$A:$E,4,0)</f>
        <v>1</v>
      </c>
    </row>
    <row r="25" ht="15.75" customHeight="1">
      <c r="A25" s="94">
        <v>1.0</v>
      </c>
      <c r="B25" s="19">
        <v>9.0</v>
      </c>
      <c r="C25" s="339" t="str">
        <f>VLOOKUP(A25,Jobmatch!A:E,2,0)</f>
        <v>Engenheiro de Software Full Stack Jr</v>
      </c>
      <c r="D25" s="339" t="str">
        <f>VLOOKUP(B25,'Folha de Pagamento'!B:G,6,0)</f>
        <v>DEV</v>
      </c>
      <c r="E25" s="338" t="str">
        <f>VLOOKUP(A25,Jobmatch!A:E,4,0)</f>
        <v>Operacional</v>
      </c>
      <c r="F25" s="340">
        <f>VLOOKUP(A25,Jobmatch!A:F,5,0)</f>
        <v>1</v>
      </c>
      <c r="G25" s="339" t="str">
        <f>VLOOKUP(A25,Jobmatch!A:G,6,0)</f>
        <v>Desenvolvedor</v>
      </c>
      <c r="H25" s="341" t="str">
        <f>VLOOKUP(A25,Jobmatch!A:H,7,0)</f>
        <v>Júnior</v>
      </c>
      <c r="I25" s="342" t="str">
        <f t="shared" si="1"/>
        <v>1Júnior</v>
      </c>
      <c r="J25" s="343">
        <f>IFERROR(VLOOKUP(B25,'Folha de Pagamento'!B:I,8,0),"")</f>
        <v>2489.18</v>
      </c>
      <c r="K25" s="102">
        <f>IFERROR(VLOOKUP(I25,'C-01'!$D:$L,4,0),"")</f>
        <v>2030.9</v>
      </c>
      <c r="L25" s="103">
        <f>IFERROR(VLOOKUP(I25,'C-01'!$D:$L,5,0),"")</f>
        <v>2706.62</v>
      </c>
      <c r="M25" s="103">
        <f>IFERROR(VLOOKUP(I25,'C-01'!$D:$L,6,0),"")</f>
        <v>3370.79</v>
      </c>
      <c r="N25" s="103">
        <f>IFERROR(VLOOKUP(I25,'C-01'!$D:$L,7,0),"")</f>
        <v>3379.04</v>
      </c>
      <c r="O25" s="103">
        <f>IFERROR(VLOOKUP(I25,'C-01'!$D:$L,8,0),"")</f>
        <v>3870.49</v>
      </c>
      <c r="P25" s="102">
        <f>IFERROR(VLOOKUP(I25,'C-01'!$D:$L,9,0),"")</f>
        <v>5268.74</v>
      </c>
      <c r="Q25" s="104">
        <f>IFS('Painel Geral'!$B$5="Mediana",IFERROR(IF(OR(J25="",N25=0,N25=""),"",($J25/$N25)),""),'Painel Geral'!$B$5="Menor Salário",IFERROR(IF(OR(J25="",N25=0,N25=""),"",($J25/$K25)),""),'Painel Geral'!$B$5="1º Quartil",IFERROR(IF(OR(J25="",N25=0,N25=""),"",($J25/$L25)),""),'Painel Geral'!$B$5="Média",IFERROR(IF(OR(J25="",N25=0,N25=""),"",($J25/$M25)),""),'Painel Geral'!$B$5="3º Quartil",IFERROR(IF(OR(J25="",N25=0,N25=""),"",($J25/$O25)),""),'Painel Geral'!$B$5="Maior Salário",IFERROR(IF(OR(J25="",N25=0,N25=""),"",($J25/$P25)),""))</f>
        <v>0.7366530139</v>
      </c>
      <c r="R25" s="105" t="str">
        <f t="shared" si="2"/>
        <v>Muito Defasado</v>
      </c>
      <c r="S25" s="106">
        <f>IFERROR(VLOOKUP($I25,'C-02'!$D:$L,4,0),"")</f>
        <v>2468.17</v>
      </c>
      <c r="T25" s="106">
        <f>IFERROR(VLOOKUP($I25,'C-02'!$D:$L,5,FALSE),"")</f>
        <v>2944.09</v>
      </c>
      <c r="U25" s="106">
        <f>IFERROR(VLOOKUP($I25,'C-02'!$D:$L,6,FALSE),"")</f>
        <v>3642.17</v>
      </c>
      <c r="V25" s="106">
        <f>IFERROR(VLOOKUP($I25,'C-02'!$D:$L,7,FALSE),"")</f>
        <v>3493.9</v>
      </c>
      <c r="W25" s="106">
        <f>IFERROR(VLOOKUP($I25,'C-02'!$D:$L,8,FALSE),"")</f>
        <v>4224.13</v>
      </c>
      <c r="X25" s="106">
        <f>IFERROR(VLOOKUP($I25,'C-02'!$D:$L,9,FALSE),"")</f>
        <v>5456.83</v>
      </c>
      <c r="Y25" s="107">
        <f>IFS('Painel Geral'!$B$5="Mediana",IFERROR(IF(OR(J25="",V25=0,V25=""),"",($J25/$V25)),""),'Painel Geral'!$B$5="Menor Salário",IFERROR(IF(OR(J25="",V25=0,V25=""),"",($J25/$S25)),""),'Painel Geral'!$B$5="1º Quartil",IFERROR(IF(OR(J25="",V25=0,V25=""),"",($J25/$T25)),""),'Painel Geral'!$B$5="Média",IFERROR(IF(OR(J25="",V25=0,V25=""),"",($J25/$U25)),""),'Painel Geral'!$B$5="3º Quartil",IFERROR(IF(OR(J25="",V25=0,V25=""),"",($J25/$W25)),""),'Painel Geral'!$B$5="Maior Salário",IFERROR(IF(OR(J25="",V25=0,V25=""),"",($J25/$X25)),""))</f>
        <v>0.7124359598</v>
      </c>
      <c r="Z25" s="108" t="str">
        <f t="shared" si="3"/>
        <v>Muito Defasado</v>
      </c>
      <c r="AA25" s="344">
        <f>VLOOKUP(A25,'Cálculos Comparativos'!$A:$E,4,0)</f>
        <v>1</v>
      </c>
    </row>
    <row r="26" ht="15.75" customHeight="1">
      <c r="A26" s="94">
        <v>1.0</v>
      </c>
      <c r="B26" s="19">
        <v>2.0</v>
      </c>
      <c r="C26" s="339" t="str">
        <f>VLOOKUP(A26,Jobmatch!A:E,2,0)</f>
        <v>Engenheiro de Software Full Stack Jr</v>
      </c>
      <c r="D26" s="339" t="str">
        <f>VLOOKUP(B26,'Folha de Pagamento'!B:G,6,0)</f>
        <v>DEV</v>
      </c>
      <c r="E26" s="338" t="str">
        <f>VLOOKUP(A26,Jobmatch!A:E,4,0)</f>
        <v>Operacional</v>
      </c>
      <c r="F26" s="340">
        <f>VLOOKUP(A26,Jobmatch!A:F,5,0)</f>
        <v>1</v>
      </c>
      <c r="G26" s="339" t="str">
        <f>VLOOKUP(A26,Jobmatch!A:G,6,0)</f>
        <v>Desenvolvedor</v>
      </c>
      <c r="H26" s="341" t="str">
        <f>VLOOKUP(A26,Jobmatch!A:H,7,0)</f>
        <v>Júnior</v>
      </c>
      <c r="I26" s="342" t="str">
        <f t="shared" si="1"/>
        <v>1Júnior</v>
      </c>
      <c r="J26" s="343">
        <f>IFERROR(VLOOKUP(B26,'Folha de Pagamento'!B:I,8,0),"")</f>
        <v>2489.18</v>
      </c>
      <c r="K26" s="102">
        <f>IFERROR(VLOOKUP(I26,'C-01'!$D:$L,4,0),"")</f>
        <v>2030.9</v>
      </c>
      <c r="L26" s="103">
        <f>IFERROR(VLOOKUP(I26,'C-01'!$D:$L,5,0),"")</f>
        <v>2706.62</v>
      </c>
      <c r="M26" s="103">
        <f>IFERROR(VLOOKUP(I26,'C-01'!$D:$L,6,0),"")</f>
        <v>3370.79</v>
      </c>
      <c r="N26" s="103">
        <f>IFERROR(VLOOKUP(I26,'C-01'!$D:$L,7,0),"")</f>
        <v>3379.04</v>
      </c>
      <c r="O26" s="103">
        <f>IFERROR(VLOOKUP(I26,'C-01'!$D:$L,8,0),"")</f>
        <v>3870.49</v>
      </c>
      <c r="P26" s="102">
        <f>IFERROR(VLOOKUP(I26,'C-01'!$D:$L,9,0),"")</f>
        <v>5268.74</v>
      </c>
      <c r="Q26" s="104">
        <f>IFS('Painel Geral'!$B$5="Mediana",IFERROR(IF(OR(J26="",N26=0,N26=""),"",($J26/$N26)),""),'Painel Geral'!$B$5="Menor Salário",IFERROR(IF(OR(J26="",N26=0,N26=""),"",($J26/$K26)),""),'Painel Geral'!$B$5="1º Quartil",IFERROR(IF(OR(J26="",N26=0,N26=""),"",($J26/$L26)),""),'Painel Geral'!$B$5="Média",IFERROR(IF(OR(J26="",N26=0,N26=""),"",($J26/$M26)),""),'Painel Geral'!$B$5="3º Quartil",IFERROR(IF(OR(J26="",N26=0,N26=""),"",($J26/$O26)),""),'Painel Geral'!$B$5="Maior Salário",IFERROR(IF(OR(J26="",N26=0,N26=""),"",($J26/$P26)),""))</f>
        <v>0.7366530139</v>
      </c>
      <c r="R26" s="105" t="str">
        <f t="shared" si="2"/>
        <v>Muito Defasado</v>
      </c>
      <c r="S26" s="106">
        <f>IFERROR(VLOOKUP($I26,'C-02'!$D:$L,4,0),"")</f>
        <v>2468.17</v>
      </c>
      <c r="T26" s="106">
        <f>IFERROR(VLOOKUP($I26,'C-02'!$D:$L,5,FALSE),"")</f>
        <v>2944.09</v>
      </c>
      <c r="U26" s="106">
        <f>IFERROR(VLOOKUP($I26,'C-02'!$D:$L,6,FALSE),"")</f>
        <v>3642.17</v>
      </c>
      <c r="V26" s="106">
        <f>IFERROR(VLOOKUP($I26,'C-02'!$D:$L,7,FALSE),"")</f>
        <v>3493.9</v>
      </c>
      <c r="W26" s="106">
        <f>IFERROR(VLOOKUP($I26,'C-02'!$D:$L,8,FALSE),"")</f>
        <v>4224.13</v>
      </c>
      <c r="X26" s="106">
        <f>IFERROR(VLOOKUP($I26,'C-02'!$D:$L,9,FALSE),"")</f>
        <v>5456.83</v>
      </c>
      <c r="Y26" s="107">
        <f>IFS('Painel Geral'!$B$5="Mediana",IFERROR(IF(OR(J26="",V26=0,V26=""),"",($J26/$V26)),""),'Painel Geral'!$B$5="Menor Salário",IFERROR(IF(OR(J26="",V26=0,V26=""),"",($J26/$S26)),""),'Painel Geral'!$B$5="1º Quartil",IFERROR(IF(OR(J26="",V26=0,V26=""),"",($J26/$T26)),""),'Painel Geral'!$B$5="Média",IFERROR(IF(OR(J26="",V26=0,V26=""),"",($J26/$U26)),""),'Painel Geral'!$B$5="3º Quartil",IFERROR(IF(OR(J26="",V26=0,V26=""),"",($J26/$W26)),""),'Painel Geral'!$B$5="Maior Salário",IFERROR(IF(OR(J26="",V26=0,V26=""),"",($J26/$X26)),""))</f>
        <v>0.7124359598</v>
      </c>
      <c r="Z26" s="108" t="str">
        <f t="shared" si="3"/>
        <v>Muito Defasado</v>
      </c>
      <c r="AA26" s="344">
        <f>VLOOKUP(A26,'Cálculos Comparativos'!$A:$E,4,0)</f>
        <v>1</v>
      </c>
    </row>
    <row r="27" ht="15.75" customHeight="1">
      <c r="A27" s="94">
        <v>1.0</v>
      </c>
      <c r="B27" s="19">
        <v>43.0</v>
      </c>
      <c r="C27" s="339" t="str">
        <f>VLOOKUP(A27,Jobmatch!A:E,2,0)</f>
        <v>Engenheiro de Software Full Stack Jr</v>
      </c>
      <c r="D27" s="339" t="str">
        <f>VLOOKUP(B27,'Folha de Pagamento'!B:G,6,0)</f>
        <v>DEV</v>
      </c>
      <c r="E27" s="338" t="str">
        <f>VLOOKUP(A27,Jobmatch!A:E,4,0)</f>
        <v>Operacional</v>
      </c>
      <c r="F27" s="340">
        <f>VLOOKUP(A27,Jobmatch!A:F,5,0)</f>
        <v>1</v>
      </c>
      <c r="G27" s="339" t="str">
        <f>VLOOKUP(A27,Jobmatch!A:G,6,0)</f>
        <v>Desenvolvedor</v>
      </c>
      <c r="H27" s="341" t="str">
        <f>VLOOKUP(A27,Jobmatch!A:H,7,0)</f>
        <v>Júnior</v>
      </c>
      <c r="I27" s="342" t="str">
        <f t="shared" si="1"/>
        <v>1Júnior</v>
      </c>
      <c r="J27" s="343">
        <f>IFERROR(VLOOKUP(B27,'Folha de Pagamento'!B:I,8,0),"")</f>
        <v>2489.18</v>
      </c>
      <c r="K27" s="102">
        <f>IFERROR(VLOOKUP(I27,'C-01'!$D:$L,4,0),"")</f>
        <v>2030.9</v>
      </c>
      <c r="L27" s="103">
        <f>IFERROR(VLOOKUP(I27,'C-01'!$D:$L,5,0),"")</f>
        <v>2706.62</v>
      </c>
      <c r="M27" s="103">
        <f>IFERROR(VLOOKUP(I27,'C-01'!$D:$L,6,0),"")</f>
        <v>3370.79</v>
      </c>
      <c r="N27" s="103">
        <f>IFERROR(VLOOKUP(I27,'C-01'!$D:$L,7,0),"")</f>
        <v>3379.04</v>
      </c>
      <c r="O27" s="103">
        <f>IFERROR(VLOOKUP(I27,'C-01'!$D:$L,8,0),"")</f>
        <v>3870.49</v>
      </c>
      <c r="P27" s="102">
        <f>IFERROR(VLOOKUP(I27,'C-01'!$D:$L,9,0),"")</f>
        <v>5268.74</v>
      </c>
      <c r="Q27" s="104">
        <f>IFS('Painel Geral'!$B$5="Mediana",IFERROR(IF(OR(J27="",N27=0,N27=""),"",($J27/$N27)),""),'Painel Geral'!$B$5="Menor Salário",IFERROR(IF(OR(J27="",N27=0,N27=""),"",($J27/$K27)),""),'Painel Geral'!$B$5="1º Quartil",IFERROR(IF(OR(J27="",N27=0,N27=""),"",($J27/$L27)),""),'Painel Geral'!$B$5="Média",IFERROR(IF(OR(J27="",N27=0,N27=""),"",($J27/$M27)),""),'Painel Geral'!$B$5="3º Quartil",IFERROR(IF(OR(J27="",N27=0,N27=""),"",($J27/$O27)),""),'Painel Geral'!$B$5="Maior Salário",IFERROR(IF(OR(J27="",N27=0,N27=""),"",($J27/$P27)),""))</f>
        <v>0.7366530139</v>
      </c>
      <c r="R27" s="105" t="str">
        <f t="shared" si="2"/>
        <v>Muito Defasado</v>
      </c>
      <c r="S27" s="106">
        <f>IFERROR(VLOOKUP($I27,'C-02'!$D:$L,4,0),"")</f>
        <v>2468.17</v>
      </c>
      <c r="T27" s="106">
        <f>IFERROR(VLOOKUP($I27,'C-02'!$D:$L,5,FALSE),"")</f>
        <v>2944.09</v>
      </c>
      <c r="U27" s="106">
        <f>IFERROR(VLOOKUP($I27,'C-02'!$D:$L,6,FALSE),"")</f>
        <v>3642.17</v>
      </c>
      <c r="V27" s="106">
        <f>IFERROR(VLOOKUP($I27,'C-02'!$D:$L,7,FALSE),"")</f>
        <v>3493.9</v>
      </c>
      <c r="W27" s="106">
        <f>IFERROR(VLOOKUP($I27,'C-02'!$D:$L,8,FALSE),"")</f>
        <v>4224.13</v>
      </c>
      <c r="X27" s="106">
        <f>IFERROR(VLOOKUP($I27,'C-02'!$D:$L,9,FALSE),"")</f>
        <v>5456.83</v>
      </c>
      <c r="Y27" s="107">
        <f>IFS('Painel Geral'!$B$5="Mediana",IFERROR(IF(OR(J27="",V27=0,V27=""),"",($J27/$V27)),""),'Painel Geral'!$B$5="Menor Salário",IFERROR(IF(OR(J27="",V27=0,V27=""),"",($J27/$S27)),""),'Painel Geral'!$B$5="1º Quartil",IFERROR(IF(OR(J27="",V27=0,V27=""),"",($J27/$T27)),""),'Painel Geral'!$B$5="Média",IFERROR(IF(OR(J27="",V27=0,V27=""),"",($J27/$U27)),""),'Painel Geral'!$B$5="3º Quartil",IFERROR(IF(OR(J27="",V27=0,V27=""),"",($J27/$W27)),""),'Painel Geral'!$B$5="Maior Salário",IFERROR(IF(OR(J27="",V27=0,V27=""),"",($J27/$X27)),""))</f>
        <v>0.7124359598</v>
      </c>
      <c r="Z27" s="108" t="str">
        <f t="shared" si="3"/>
        <v>Muito Defasado</v>
      </c>
      <c r="AA27" s="344">
        <f>VLOOKUP(A27,'Cálculos Comparativos'!$A:$E,4,0)</f>
        <v>1</v>
      </c>
    </row>
    <row r="28" ht="15.75" customHeight="1">
      <c r="A28" s="94">
        <v>1.0</v>
      </c>
      <c r="B28" s="19">
        <v>44.0</v>
      </c>
      <c r="C28" s="339" t="str">
        <f>VLOOKUP(A28,Jobmatch!A:E,2,0)</f>
        <v>Engenheiro de Software Full Stack Jr</v>
      </c>
      <c r="D28" s="339" t="str">
        <f>VLOOKUP(B28,'Folha de Pagamento'!B:G,6,0)</f>
        <v>DEV</v>
      </c>
      <c r="E28" s="338" t="str">
        <f>VLOOKUP(A28,Jobmatch!A:E,4,0)</f>
        <v>Operacional</v>
      </c>
      <c r="F28" s="340">
        <f>VLOOKUP(A28,Jobmatch!A:F,5,0)</f>
        <v>1</v>
      </c>
      <c r="G28" s="339" t="str">
        <f>VLOOKUP(A28,Jobmatch!A:G,6,0)</f>
        <v>Desenvolvedor</v>
      </c>
      <c r="H28" s="341" t="str">
        <f>VLOOKUP(A28,Jobmatch!A:H,7,0)</f>
        <v>Júnior</v>
      </c>
      <c r="I28" s="342" t="str">
        <f t="shared" si="1"/>
        <v>1Júnior</v>
      </c>
      <c r="J28" s="343">
        <f>IFERROR(VLOOKUP(B28,'Folha de Pagamento'!B:I,8,0),"")</f>
        <v>2489.18</v>
      </c>
      <c r="K28" s="102">
        <f>IFERROR(VLOOKUP(I28,'C-01'!$D:$L,4,0),"")</f>
        <v>2030.9</v>
      </c>
      <c r="L28" s="103">
        <f>IFERROR(VLOOKUP(I28,'C-01'!$D:$L,5,0),"")</f>
        <v>2706.62</v>
      </c>
      <c r="M28" s="103">
        <f>IFERROR(VLOOKUP(I28,'C-01'!$D:$L,6,0),"")</f>
        <v>3370.79</v>
      </c>
      <c r="N28" s="103">
        <f>IFERROR(VLOOKUP(I28,'C-01'!$D:$L,7,0),"")</f>
        <v>3379.04</v>
      </c>
      <c r="O28" s="103">
        <f>IFERROR(VLOOKUP(I28,'C-01'!$D:$L,8,0),"")</f>
        <v>3870.49</v>
      </c>
      <c r="P28" s="102">
        <f>IFERROR(VLOOKUP(I28,'C-01'!$D:$L,9,0),"")</f>
        <v>5268.74</v>
      </c>
      <c r="Q28" s="104">
        <f>IFS('Painel Geral'!$B$5="Mediana",IFERROR(IF(OR(J28="",N28=0,N28=""),"",($J28/$N28)),""),'Painel Geral'!$B$5="Menor Salário",IFERROR(IF(OR(J28="",N28=0,N28=""),"",($J28/$K28)),""),'Painel Geral'!$B$5="1º Quartil",IFERROR(IF(OR(J28="",N28=0,N28=""),"",($J28/$L28)),""),'Painel Geral'!$B$5="Média",IFERROR(IF(OR(J28="",N28=0,N28=""),"",($J28/$M28)),""),'Painel Geral'!$B$5="3º Quartil",IFERROR(IF(OR(J28="",N28=0,N28=""),"",($J28/$O28)),""),'Painel Geral'!$B$5="Maior Salário",IFERROR(IF(OR(J28="",N28=0,N28=""),"",($J28/$P28)),""))</f>
        <v>0.7366530139</v>
      </c>
      <c r="R28" s="105" t="str">
        <f t="shared" si="2"/>
        <v>Muito Defasado</v>
      </c>
      <c r="S28" s="106">
        <f>IFERROR(VLOOKUP($I28,'C-02'!$D:$L,4,0),"")</f>
        <v>2468.17</v>
      </c>
      <c r="T28" s="106">
        <f>IFERROR(VLOOKUP($I28,'C-02'!$D:$L,5,FALSE),"")</f>
        <v>2944.09</v>
      </c>
      <c r="U28" s="106">
        <f>IFERROR(VLOOKUP($I28,'C-02'!$D:$L,6,FALSE),"")</f>
        <v>3642.17</v>
      </c>
      <c r="V28" s="106">
        <f>IFERROR(VLOOKUP($I28,'C-02'!$D:$L,7,FALSE),"")</f>
        <v>3493.9</v>
      </c>
      <c r="W28" s="106">
        <f>IFERROR(VLOOKUP($I28,'C-02'!$D:$L,8,FALSE),"")</f>
        <v>4224.13</v>
      </c>
      <c r="X28" s="106">
        <f>IFERROR(VLOOKUP($I28,'C-02'!$D:$L,9,FALSE),"")</f>
        <v>5456.83</v>
      </c>
      <c r="Y28" s="107">
        <f>IFS('Painel Geral'!$B$5="Mediana",IFERROR(IF(OR(J28="",V28=0,V28=""),"",($J28/$V28)),""),'Painel Geral'!$B$5="Menor Salário",IFERROR(IF(OR(J28="",V28=0,V28=""),"",($J28/$S28)),""),'Painel Geral'!$B$5="1º Quartil",IFERROR(IF(OR(J28="",V28=0,V28=""),"",($J28/$T28)),""),'Painel Geral'!$B$5="Média",IFERROR(IF(OR(J28="",V28=0,V28=""),"",($J28/$U28)),""),'Painel Geral'!$B$5="3º Quartil",IFERROR(IF(OR(J28="",V28=0,V28=""),"",($J28/$W28)),""),'Painel Geral'!$B$5="Maior Salário",IFERROR(IF(OR(J28="",V28=0,V28=""),"",($J28/$X28)),""))</f>
        <v>0.7124359598</v>
      </c>
      <c r="Z28" s="108" t="str">
        <f t="shared" si="3"/>
        <v>Muito Defasado</v>
      </c>
      <c r="AA28" s="344">
        <f>VLOOKUP(A28,'Cálculos Comparativos'!$A:$E,4,0)</f>
        <v>1</v>
      </c>
    </row>
    <row r="29" ht="15.75" customHeight="1">
      <c r="A29" s="94">
        <v>1.0</v>
      </c>
      <c r="B29" s="19">
        <v>24.0</v>
      </c>
      <c r="C29" s="339" t="str">
        <f>VLOOKUP(A29,Jobmatch!A:E,2,0)</f>
        <v>Engenheiro de Software Full Stack Jr</v>
      </c>
      <c r="D29" s="339" t="str">
        <f>VLOOKUP(B29,'Folha de Pagamento'!B:G,6,0)</f>
        <v>DEV</v>
      </c>
      <c r="E29" s="338" t="str">
        <f>VLOOKUP(A29,Jobmatch!A:E,4,0)</f>
        <v>Operacional</v>
      </c>
      <c r="F29" s="340">
        <f>VLOOKUP(A29,Jobmatch!A:F,5,0)</f>
        <v>1</v>
      </c>
      <c r="G29" s="339" t="str">
        <f>VLOOKUP(A29,Jobmatch!A:G,6,0)</f>
        <v>Desenvolvedor</v>
      </c>
      <c r="H29" s="341" t="str">
        <f>VLOOKUP(A29,Jobmatch!A:H,7,0)</f>
        <v>Júnior</v>
      </c>
      <c r="I29" s="342" t="str">
        <f t="shared" si="1"/>
        <v>1Júnior</v>
      </c>
      <c r="J29" s="343">
        <f>IFERROR(VLOOKUP(B29,'Folha de Pagamento'!B:I,8,0),"")</f>
        <v>2489.18</v>
      </c>
      <c r="K29" s="102">
        <f>IFERROR(VLOOKUP(I29,'C-01'!$D:$L,4,0),"")</f>
        <v>2030.9</v>
      </c>
      <c r="L29" s="103">
        <f>IFERROR(VLOOKUP(I29,'C-01'!$D:$L,5,0),"")</f>
        <v>2706.62</v>
      </c>
      <c r="M29" s="103">
        <f>IFERROR(VLOOKUP(I29,'C-01'!$D:$L,6,0),"")</f>
        <v>3370.79</v>
      </c>
      <c r="N29" s="103">
        <f>IFERROR(VLOOKUP(I29,'C-01'!$D:$L,7,0),"")</f>
        <v>3379.04</v>
      </c>
      <c r="O29" s="103">
        <f>IFERROR(VLOOKUP(I29,'C-01'!$D:$L,8,0),"")</f>
        <v>3870.49</v>
      </c>
      <c r="P29" s="102">
        <f>IFERROR(VLOOKUP(I29,'C-01'!$D:$L,9,0),"")</f>
        <v>5268.74</v>
      </c>
      <c r="Q29" s="104">
        <f>IFS('Painel Geral'!$B$5="Mediana",IFERROR(IF(OR(J29="",N29=0,N29=""),"",($J29/$N29)),""),'Painel Geral'!$B$5="Menor Salário",IFERROR(IF(OR(J29="",N29=0,N29=""),"",($J29/$K29)),""),'Painel Geral'!$B$5="1º Quartil",IFERROR(IF(OR(J29="",N29=0,N29=""),"",($J29/$L29)),""),'Painel Geral'!$B$5="Média",IFERROR(IF(OR(J29="",N29=0,N29=""),"",($J29/$M29)),""),'Painel Geral'!$B$5="3º Quartil",IFERROR(IF(OR(J29="",N29=0,N29=""),"",($J29/$O29)),""),'Painel Geral'!$B$5="Maior Salário",IFERROR(IF(OR(J29="",N29=0,N29=""),"",($J29/$P29)),""))</f>
        <v>0.7366530139</v>
      </c>
      <c r="R29" s="105" t="str">
        <f t="shared" si="2"/>
        <v>Muito Defasado</v>
      </c>
      <c r="S29" s="106">
        <f>IFERROR(VLOOKUP($I29,'C-02'!$D:$L,4,0),"")</f>
        <v>2468.17</v>
      </c>
      <c r="T29" s="106">
        <f>IFERROR(VLOOKUP($I29,'C-02'!$D:$L,5,FALSE),"")</f>
        <v>2944.09</v>
      </c>
      <c r="U29" s="106">
        <f>IFERROR(VLOOKUP($I29,'C-02'!$D:$L,6,FALSE),"")</f>
        <v>3642.17</v>
      </c>
      <c r="V29" s="106">
        <f>IFERROR(VLOOKUP($I29,'C-02'!$D:$L,7,FALSE),"")</f>
        <v>3493.9</v>
      </c>
      <c r="W29" s="106">
        <f>IFERROR(VLOOKUP($I29,'C-02'!$D:$L,8,FALSE),"")</f>
        <v>4224.13</v>
      </c>
      <c r="X29" s="106">
        <f>IFERROR(VLOOKUP($I29,'C-02'!$D:$L,9,FALSE),"")</f>
        <v>5456.83</v>
      </c>
      <c r="Y29" s="107">
        <f>IFS('Painel Geral'!$B$5="Mediana",IFERROR(IF(OR(J29="",V29=0,V29=""),"",($J29/$V29)),""),'Painel Geral'!$B$5="Menor Salário",IFERROR(IF(OR(J29="",V29=0,V29=""),"",($J29/$S29)),""),'Painel Geral'!$B$5="1º Quartil",IFERROR(IF(OR(J29="",V29=0,V29=""),"",($J29/$T29)),""),'Painel Geral'!$B$5="Média",IFERROR(IF(OR(J29="",V29=0,V29=""),"",($J29/$U29)),""),'Painel Geral'!$B$5="3º Quartil",IFERROR(IF(OR(J29="",V29=0,V29=""),"",($J29/$W29)),""),'Painel Geral'!$B$5="Maior Salário",IFERROR(IF(OR(J29="",V29=0,V29=""),"",($J29/$X29)),""))</f>
        <v>0.7124359598</v>
      </c>
      <c r="Z29" s="108" t="str">
        <f t="shared" si="3"/>
        <v>Muito Defasado</v>
      </c>
      <c r="AA29" s="344">
        <f>VLOOKUP(A29,'Cálculos Comparativos'!$A:$E,4,0)</f>
        <v>1</v>
      </c>
    </row>
    <row r="30" ht="15.75" customHeight="1">
      <c r="A30" s="94">
        <v>1.0</v>
      </c>
      <c r="B30" s="19">
        <v>4.0</v>
      </c>
      <c r="C30" s="339" t="str">
        <f>VLOOKUP(A30,Jobmatch!A:E,2,0)</f>
        <v>Engenheiro de Software Full Stack Jr</v>
      </c>
      <c r="D30" s="339" t="str">
        <f>VLOOKUP(B30,'Folha de Pagamento'!B:G,6,0)</f>
        <v>DEV</v>
      </c>
      <c r="E30" s="338" t="str">
        <f>VLOOKUP(A30,Jobmatch!A:E,4,0)</f>
        <v>Operacional</v>
      </c>
      <c r="F30" s="340">
        <f>VLOOKUP(A30,Jobmatch!A:F,5,0)</f>
        <v>1</v>
      </c>
      <c r="G30" s="339" t="str">
        <f>VLOOKUP(A30,Jobmatch!A:G,6,0)</f>
        <v>Desenvolvedor</v>
      </c>
      <c r="H30" s="341" t="str">
        <f>VLOOKUP(A30,Jobmatch!A:H,7,0)</f>
        <v>Júnior</v>
      </c>
      <c r="I30" s="342" t="str">
        <f t="shared" si="1"/>
        <v>1Júnior</v>
      </c>
      <c r="J30" s="343">
        <f>IFERROR(VLOOKUP(B30,'Folha de Pagamento'!B:I,8,0),"")</f>
        <v>2489.18</v>
      </c>
      <c r="K30" s="102">
        <f>IFERROR(VLOOKUP(I30,'C-01'!$D:$L,4,0),"")</f>
        <v>2030.9</v>
      </c>
      <c r="L30" s="103">
        <f>IFERROR(VLOOKUP(I30,'C-01'!$D:$L,5,0),"")</f>
        <v>2706.62</v>
      </c>
      <c r="M30" s="103">
        <f>IFERROR(VLOOKUP(I30,'C-01'!$D:$L,6,0),"")</f>
        <v>3370.79</v>
      </c>
      <c r="N30" s="103">
        <f>IFERROR(VLOOKUP(I30,'C-01'!$D:$L,7,0),"")</f>
        <v>3379.04</v>
      </c>
      <c r="O30" s="103">
        <f>IFERROR(VLOOKUP(I30,'C-01'!$D:$L,8,0),"")</f>
        <v>3870.49</v>
      </c>
      <c r="P30" s="102">
        <f>IFERROR(VLOOKUP(I30,'C-01'!$D:$L,9,0),"")</f>
        <v>5268.74</v>
      </c>
      <c r="Q30" s="104">
        <f>IFS('Painel Geral'!$B$5="Mediana",IFERROR(IF(OR(J30="",N30=0,N30=""),"",($J30/$N30)),""),'Painel Geral'!$B$5="Menor Salário",IFERROR(IF(OR(J30="",N30=0,N30=""),"",($J30/$K30)),""),'Painel Geral'!$B$5="1º Quartil",IFERROR(IF(OR(J30="",N30=0,N30=""),"",($J30/$L30)),""),'Painel Geral'!$B$5="Média",IFERROR(IF(OR(J30="",N30=0,N30=""),"",($J30/$M30)),""),'Painel Geral'!$B$5="3º Quartil",IFERROR(IF(OR(J30="",N30=0,N30=""),"",($J30/$O30)),""),'Painel Geral'!$B$5="Maior Salário",IFERROR(IF(OR(J30="",N30=0,N30=""),"",($J30/$P30)),""))</f>
        <v>0.7366530139</v>
      </c>
      <c r="R30" s="105" t="str">
        <f t="shared" si="2"/>
        <v>Muito Defasado</v>
      </c>
      <c r="S30" s="106">
        <f>IFERROR(VLOOKUP($I30,'C-02'!$D:$L,4,0),"")</f>
        <v>2468.17</v>
      </c>
      <c r="T30" s="106">
        <f>IFERROR(VLOOKUP($I30,'C-02'!$D:$L,5,FALSE),"")</f>
        <v>2944.09</v>
      </c>
      <c r="U30" s="106">
        <f>IFERROR(VLOOKUP($I30,'C-02'!$D:$L,6,FALSE),"")</f>
        <v>3642.17</v>
      </c>
      <c r="V30" s="106">
        <f>IFERROR(VLOOKUP($I30,'C-02'!$D:$L,7,FALSE),"")</f>
        <v>3493.9</v>
      </c>
      <c r="W30" s="106">
        <f>IFERROR(VLOOKUP($I30,'C-02'!$D:$L,8,FALSE),"")</f>
        <v>4224.13</v>
      </c>
      <c r="X30" s="106">
        <f>IFERROR(VLOOKUP($I30,'C-02'!$D:$L,9,FALSE),"")</f>
        <v>5456.83</v>
      </c>
      <c r="Y30" s="107">
        <f>IFS('Painel Geral'!$B$5="Mediana",IFERROR(IF(OR(J30="",V30=0,V30=""),"",($J30/$V30)),""),'Painel Geral'!$B$5="Menor Salário",IFERROR(IF(OR(J30="",V30=0,V30=""),"",($J30/$S30)),""),'Painel Geral'!$B$5="1º Quartil",IFERROR(IF(OR(J30="",V30=0,V30=""),"",($J30/$T30)),""),'Painel Geral'!$B$5="Média",IFERROR(IF(OR(J30="",V30=0,V30=""),"",($J30/$U30)),""),'Painel Geral'!$B$5="3º Quartil",IFERROR(IF(OR(J30="",V30=0,V30=""),"",($J30/$W30)),""),'Painel Geral'!$B$5="Maior Salário",IFERROR(IF(OR(J30="",V30=0,V30=""),"",($J30/$X30)),""))</f>
        <v>0.7124359598</v>
      </c>
      <c r="Z30" s="108" t="str">
        <f t="shared" si="3"/>
        <v>Muito Defasado</v>
      </c>
      <c r="AA30" s="344">
        <f>VLOOKUP(A30,'Cálculos Comparativos'!$A:$E,4,0)</f>
        <v>1</v>
      </c>
    </row>
    <row r="31" ht="15.75" customHeight="1">
      <c r="A31" s="94">
        <v>1.0</v>
      </c>
      <c r="B31" s="19">
        <v>27.0</v>
      </c>
      <c r="C31" s="339" t="str">
        <f>VLOOKUP(A31,Jobmatch!A:E,2,0)</f>
        <v>Engenheiro de Software Full Stack Jr</v>
      </c>
      <c r="D31" s="339" t="str">
        <f>VLOOKUP(B31,'Folha de Pagamento'!B:G,6,0)</f>
        <v>DEV</v>
      </c>
      <c r="E31" s="338" t="str">
        <f>VLOOKUP(A31,Jobmatch!A:E,4,0)</f>
        <v>Operacional</v>
      </c>
      <c r="F31" s="340">
        <f>VLOOKUP(A31,Jobmatch!A:F,5,0)</f>
        <v>1</v>
      </c>
      <c r="G31" s="339" t="str">
        <f>VLOOKUP(A31,Jobmatch!A:G,6,0)</f>
        <v>Desenvolvedor</v>
      </c>
      <c r="H31" s="341" t="str">
        <f>VLOOKUP(A31,Jobmatch!A:H,7,0)</f>
        <v>Júnior</v>
      </c>
      <c r="I31" s="342" t="str">
        <f t="shared" si="1"/>
        <v>1Júnior</v>
      </c>
      <c r="J31" s="343">
        <f>IFERROR(VLOOKUP(B31,'Folha de Pagamento'!B:I,8,0),"")</f>
        <v>2489.18</v>
      </c>
      <c r="K31" s="102">
        <f>IFERROR(VLOOKUP(I31,'C-01'!$D:$L,4,0),"")</f>
        <v>2030.9</v>
      </c>
      <c r="L31" s="103">
        <f>IFERROR(VLOOKUP(I31,'C-01'!$D:$L,5,0),"")</f>
        <v>2706.62</v>
      </c>
      <c r="M31" s="103">
        <f>IFERROR(VLOOKUP(I31,'C-01'!$D:$L,6,0),"")</f>
        <v>3370.79</v>
      </c>
      <c r="N31" s="103">
        <f>IFERROR(VLOOKUP(I31,'C-01'!$D:$L,7,0),"")</f>
        <v>3379.04</v>
      </c>
      <c r="O31" s="103">
        <f>IFERROR(VLOOKUP(I31,'C-01'!$D:$L,8,0),"")</f>
        <v>3870.49</v>
      </c>
      <c r="P31" s="102">
        <f>IFERROR(VLOOKUP(I31,'C-01'!$D:$L,9,0),"")</f>
        <v>5268.74</v>
      </c>
      <c r="Q31" s="104">
        <f>IFS('Painel Geral'!$B$5="Mediana",IFERROR(IF(OR(J31="",N31=0,N31=""),"",($J31/$N31)),""),'Painel Geral'!$B$5="Menor Salário",IFERROR(IF(OR(J31="",N31=0,N31=""),"",($J31/$K31)),""),'Painel Geral'!$B$5="1º Quartil",IFERROR(IF(OR(J31="",N31=0,N31=""),"",($J31/$L31)),""),'Painel Geral'!$B$5="Média",IFERROR(IF(OR(J31="",N31=0,N31=""),"",($J31/$M31)),""),'Painel Geral'!$B$5="3º Quartil",IFERROR(IF(OR(J31="",N31=0,N31=""),"",($J31/$O31)),""),'Painel Geral'!$B$5="Maior Salário",IFERROR(IF(OR(J31="",N31=0,N31=""),"",($J31/$P31)),""))</f>
        <v>0.7366530139</v>
      </c>
      <c r="R31" s="105" t="str">
        <f t="shared" si="2"/>
        <v>Muito Defasado</v>
      </c>
      <c r="S31" s="106">
        <f>IFERROR(VLOOKUP($I31,'C-02'!$D:$L,4,0),"")</f>
        <v>2468.17</v>
      </c>
      <c r="T31" s="106">
        <f>IFERROR(VLOOKUP($I31,'C-02'!$D:$L,5,FALSE),"")</f>
        <v>2944.09</v>
      </c>
      <c r="U31" s="106">
        <f>IFERROR(VLOOKUP($I31,'C-02'!$D:$L,6,FALSE),"")</f>
        <v>3642.17</v>
      </c>
      <c r="V31" s="106">
        <f>IFERROR(VLOOKUP($I31,'C-02'!$D:$L,7,FALSE),"")</f>
        <v>3493.9</v>
      </c>
      <c r="W31" s="106">
        <f>IFERROR(VLOOKUP($I31,'C-02'!$D:$L,8,FALSE),"")</f>
        <v>4224.13</v>
      </c>
      <c r="X31" s="106">
        <f>IFERROR(VLOOKUP($I31,'C-02'!$D:$L,9,FALSE),"")</f>
        <v>5456.83</v>
      </c>
      <c r="Y31" s="107">
        <f>IFS('Painel Geral'!$B$5="Mediana",IFERROR(IF(OR(J31="",V31=0,V31=""),"",($J31/$V31)),""),'Painel Geral'!$B$5="Menor Salário",IFERROR(IF(OR(J31="",V31=0,V31=""),"",($J31/$S31)),""),'Painel Geral'!$B$5="1º Quartil",IFERROR(IF(OR(J31="",V31=0,V31=""),"",($J31/$T31)),""),'Painel Geral'!$B$5="Média",IFERROR(IF(OR(J31="",V31=0,V31=""),"",($J31/$U31)),""),'Painel Geral'!$B$5="3º Quartil",IFERROR(IF(OR(J31="",V31=0,V31=""),"",($J31/$W31)),""),'Painel Geral'!$B$5="Maior Salário",IFERROR(IF(OR(J31="",V31=0,V31=""),"",($J31/$X31)),""))</f>
        <v>0.7124359598</v>
      </c>
      <c r="Z31" s="108" t="str">
        <f t="shared" si="3"/>
        <v>Muito Defasado</v>
      </c>
      <c r="AA31" s="344"/>
    </row>
    <row r="32" ht="15.75" customHeight="1">
      <c r="A32" s="94">
        <v>1.0</v>
      </c>
      <c r="B32" s="19">
        <v>381.0</v>
      </c>
      <c r="C32" s="339" t="str">
        <f>VLOOKUP(A32,Jobmatch!A:E,2,0)</f>
        <v>Engenheiro de Software Full Stack Jr</v>
      </c>
      <c r="D32" s="339" t="str">
        <f>VLOOKUP(B32,'Folha de Pagamento'!B:G,6,0)</f>
        <v>DEV</v>
      </c>
      <c r="E32" s="338" t="str">
        <f>VLOOKUP(A32,Jobmatch!A:E,4,0)</f>
        <v>Operacional</v>
      </c>
      <c r="F32" s="340">
        <f>VLOOKUP(A32,Jobmatch!A:F,5,0)</f>
        <v>1</v>
      </c>
      <c r="G32" s="339" t="str">
        <f>VLOOKUP(A32,Jobmatch!A:G,6,0)</f>
        <v>Desenvolvedor</v>
      </c>
      <c r="H32" s="341" t="str">
        <f>VLOOKUP(A32,Jobmatch!A:H,7,0)</f>
        <v>Júnior</v>
      </c>
      <c r="I32" s="342" t="str">
        <f t="shared" si="1"/>
        <v>1Júnior</v>
      </c>
      <c r="J32" s="343">
        <f>IFERROR(VLOOKUP(B32,'Folha de Pagamento'!B:I,8,0),"")</f>
        <v>2489.18</v>
      </c>
      <c r="K32" s="102">
        <f>IFERROR(VLOOKUP(I32,'C-01'!$D:$L,4,0),"")</f>
        <v>2030.9</v>
      </c>
      <c r="L32" s="103">
        <f>IFERROR(VLOOKUP(I32,'C-01'!$D:$L,5,0),"")</f>
        <v>2706.62</v>
      </c>
      <c r="M32" s="103">
        <f>IFERROR(VLOOKUP(I32,'C-01'!$D:$L,6,0),"")</f>
        <v>3370.79</v>
      </c>
      <c r="N32" s="103">
        <f>IFERROR(VLOOKUP(I32,'C-01'!$D:$L,7,0),"")</f>
        <v>3379.04</v>
      </c>
      <c r="O32" s="103">
        <f>IFERROR(VLOOKUP(I32,'C-01'!$D:$L,8,0),"")</f>
        <v>3870.49</v>
      </c>
      <c r="P32" s="102">
        <f>IFERROR(VLOOKUP(I32,'C-01'!$D:$L,9,0),"")</f>
        <v>5268.74</v>
      </c>
      <c r="Q32" s="104">
        <f>IFS('Painel Geral'!$B$5="Mediana",IFERROR(IF(OR(J32="",N32=0,N32=""),"",($J32/$N32)),""),'Painel Geral'!$B$5="Menor Salário",IFERROR(IF(OR(J32="",N32=0,N32=""),"",($J32/$K32)),""),'Painel Geral'!$B$5="1º Quartil",IFERROR(IF(OR(J32="",N32=0,N32=""),"",($J32/$L32)),""),'Painel Geral'!$B$5="Média",IFERROR(IF(OR(J32="",N32=0,N32=""),"",($J32/$M32)),""),'Painel Geral'!$B$5="3º Quartil",IFERROR(IF(OR(J32="",N32=0,N32=""),"",($J32/$O32)),""),'Painel Geral'!$B$5="Maior Salário",IFERROR(IF(OR(J32="",N32=0,N32=""),"",($J32/$P32)),""))</f>
        <v>0.7366530139</v>
      </c>
      <c r="R32" s="105" t="str">
        <f t="shared" si="2"/>
        <v>Muito Defasado</v>
      </c>
      <c r="S32" s="106">
        <f>IFERROR(VLOOKUP($I32,'C-02'!$D:$L,4,0),"")</f>
        <v>2468.17</v>
      </c>
      <c r="T32" s="106">
        <f>IFERROR(VLOOKUP($I32,'C-02'!$D:$L,5,FALSE),"")</f>
        <v>2944.09</v>
      </c>
      <c r="U32" s="106">
        <f>IFERROR(VLOOKUP($I32,'C-02'!$D:$L,6,FALSE),"")</f>
        <v>3642.17</v>
      </c>
      <c r="V32" s="106">
        <f>IFERROR(VLOOKUP($I32,'C-02'!$D:$L,7,FALSE),"")</f>
        <v>3493.9</v>
      </c>
      <c r="W32" s="106">
        <f>IFERROR(VLOOKUP($I32,'C-02'!$D:$L,8,FALSE),"")</f>
        <v>4224.13</v>
      </c>
      <c r="X32" s="106">
        <f>IFERROR(VLOOKUP($I32,'C-02'!$D:$L,9,FALSE),"")</f>
        <v>5456.83</v>
      </c>
      <c r="Y32" s="107">
        <f>IFS('Painel Geral'!$B$5="Mediana",IFERROR(IF(OR(J32="",V32=0,V32=""),"",($J32/$V32)),""),'Painel Geral'!$B$5="Menor Salário",IFERROR(IF(OR(J32="",V32=0,V32=""),"",($J32/$S32)),""),'Painel Geral'!$B$5="1º Quartil",IFERROR(IF(OR(J32="",V32=0,V32=""),"",($J32/$T32)),""),'Painel Geral'!$B$5="Média",IFERROR(IF(OR(J32="",V32=0,V32=""),"",($J32/$U32)),""),'Painel Geral'!$B$5="3º Quartil",IFERROR(IF(OR(J32="",V32=0,V32=""),"",($J32/$W32)),""),'Painel Geral'!$B$5="Maior Salário",IFERROR(IF(OR(J32="",V32=0,V32=""),"",($J32/$X32)),""))</f>
        <v>0.7124359598</v>
      </c>
      <c r="Z32" s="108" t="str">
        <f t="shared" si="3"/>
        <v>Muito Defasado</v>
      </c>
      <c r="AA32" s="344"/>
    </row>
    <row r="33" ht="15.75" customHeight="1">
      <c r="A33" s="94">
        <v>1.0</v>
      </c>
      <c r="B33" s="19">
        <v>34.0</v>
      </c>
      <c r="C33" s="339" t="str">
        <f>VLOOKUP(A33,Jobmatch!A:E,2,0)</f>
        <v>Engenheiro de Software Full Stack Jr</v>
      </c>
      <c r="D33" s="339" t="str">
        <f>VLOOKUP(B33,'Folha de Pagamento'!B:G,6,0)</f>
        <v>DEV</v>
      </c>
      <c r="E33" s="338" t="str">
        <f>VLOOKUP(A33,Jobmatch!A:E,4,0)</f>
        <v>Operacional</v>
      </c>
      <c r="F33" s="340">
        <f>VLOOKUP(A33,Jobmatch!A:F,5,0)</f>
        <v>1</v>
      </c>
      <c r="G33" s="339" t="str">
        <f>VLOOKUP(A33,Jobmatch!A:G,6,0)</f>
        <v>Desenvolvedor</v>
      </c>
      <c r="H33" s="341" t="str">
        <f>VLOOKUP(A33,Jobmatch!A:H,7,0)</f>
        <v>Júnior</v>
      </c>
      <c r="I33" s="342" t="str">
        <f t="shared" si="1"/>
        <v>1Júnior</v>
      </c>
      <c r="J33" s="343">
        <f>IFERROR(VLOOKUP(B33,'Folha de Pagamento'!B:I,8,0),"")</f>
        <v>2489.18</v>
      </c>
      <c r="K33" s="102">
        <f>IFERROR(VLOOKUP(I33,'C-01'!$D:$L,4,0),"")</f>
        <v>2030.9</v>
      </c>
      <c r="L33" s="103">
        <f>IFERROR(VLOOKUP(I33,'C-01'!$D:$L,5,0),"")</f>
        <v>2706.62</v>
      </c>
      <c r="M33" s="103">
        <f>IFERROR(VLOOKUP(I33,'C-01'!$D:$L,6,0),"")</f>
        <v>3370.79</v>
      </c>
      <c r="N33" s="103">
        <f>IFERROR(VLOOKUP(I33,'C-01'!$D:$L,7,0),"")</f>
        <v>3379.04</v>
      </c>
      <c r="O33" s="103">
        <f>IFERROR(VLOOKUP(I33,'C-01'!$D:$L,8,0),"")</f>
        <v>3870.49</v>
      </c>
      <c r="P33" s="102">
        <f>IFERROR(VLOOKUP(I33,'C-01'!$D:$L,9,0),"")</f>
        <v>5268.74</v>
      </c>
      <c r="Q33" s="104">
        <f>IFS('Painel Geral'!$B$5="Mediana",IFERROR(IF(OR(J33="",N33=0,N33=""),"",($J33/$N33)),""),'Painel Geral'!$B$5="Menor Salário",IFERROR(IF(OR(J33="",N33=0,N33=""),"",($J33/$K33)),""),'Painel Geral'!$B$5="1º Quartil",IFERROR(IF(OR(J33="",N33=0,N33=""),"",($J33/$L33)),""),'Painel Geral'!$B$5="Média",IFERROR(IF(OR(J33="",N33=0,N33=""),"",($J33/$M33)),""),'Painel Geral'!$B$5="3º Quartil",IFERROR(IF(OR(J33="",N33=0,N33=""),"",($J33/$O33)),""),'Painel Geral'!$B$5="Maior Salário",IFERROR(IF(OR(J33="",N33=0,N33=""),"",($J33/$P33)),""))</f>
        <v>0.7366530139</v>
      </c>
      <c r="R33" s="105" t="str">
        <f t="shared" si="2"/>
        <v>Muito Defasado</v>
      </c>
      <c r="S33" s="106">
        <f>IFERROR(VLOOKUP($I33,'C-02'!$D:$L,4,0),"")</f>
        <v>2468.17</v>
      </c>
      <c r="T33" s="106">
        <f>IFERROR(VLOOKUP($I33,'C-02'!$D:$L,5,FALSE),"")</f>
        <v>2944.09</v>
      </c>
      <c r="U33" s="106">
        <f>IFERROR(VLOOKUP($I33,'C-02'!$D:$L,6,FALSE),"")</f>
        <v>3642.17</v>
      </c>
      <c r="V33" s="106">
        <f>IFERROR(VLOOKUP($I33,'C-02'!$D:$L,7,FALSE),"")</f>
        <v>3493.9</v>
      </c>
      <c r="W33" s="106">
        <f>IFERROR(VLOOKUP($I33,'C-02'!$D:$L,8,FALSE),"")</f>
        <v>4224.13</v>
      </c>
      <c r="X33" s="106">
        <f>IFERROR(VLOOKUP($I33,'C-02'!$D:$L,9,FALSE),"")</f>
        <v>5456.83</v>
      </c>
      <c r="Y33" s="107">
        <f>IFS('Painel Geral'!$B$5="Mediana",IFERROR(IF(OR(J33="",V33=0,V33=""),"",($J33/$V33)),""),'Painel Geral'!$B$5="Menor Salário",IFERROR(IF(OR(J33="",V33=0,V33=""),"",($J33/$S33)),""),'Painel Geral'!$B$5="1º Quartil",IFERROR(IF(OR(J33="",V33=0,V33=""),"",($J33/$T33)),""),'Painel Geral'!$B$5="Média",IFERROR(IF(OR(J33="",V33=0,V33=""),"",($J33/$U33)),""),'Painel Geral'!$B$5="3º Quartil",IFERROR(IF(OR(J33="",V33=0,V33=""),"",($J33/$W33)),""),'Painel Geral'!$B$5="Maior Salário",IFERROR(IF(OR(J33="",V33=0,V33=""),"",($J33/$X33)),""))</f>
        <v>0.7124359598</v>
      </c>
      <c r="Z33" s="108" t="str">
        <f t="shared" si="3"/>
        <v>Muito Defasado</v>
      </c>
      <c r="AA33" s="344"/>
    </row>
    <row r="34" ht="15.75" customHeight="1">
      <c r="A34" s="94">
        <v>4.0</v>
      </c>
      <c r="B34" s="19">
        <v>33.0</v>
      </c>
      <c r="C34" s="338" t="str">
        <f>VLOOKUP(A34,Jobmatch!A:E,2,0)</f>
        <v>Analista de Requisitos</v>
      </c>
      <c r="D34" s="339" t="str">
        <f>VLOOKUP(B34,'Folha de Pagamento'!B:G,6,0)</f>
        <v>DEV</v>
      </c>
      <c r="E34" s="338" t="str">
        <f>VLOOKUP(A34,Jobmatch!A:E,4,0)</f>
        <v>Operacional</v>
      </c>
      <c r="F34" s="340">
        <f>VLOOKUP(A34,Jobmatch!A:F,5,0)</f>
        <v>796</v>
      </c>
      <c r="G34" s="339" t="str">
        <f>VLOOKUP(A34,Jobmatch!A:G,6,0)</f>
        <v>Analista de Requisitos</v>
      </c>
      <c r="H34" s="341" t="str">
        <f>VLOOKUP(A34,Jobmatch!A:H,7,0)</f>
        <v>Júnior</v>
      </c>
      <c r="I34" s="342" t="str">
        <f t="shared" si="1"/>
        <v>796Júnior</v>
      </c>
      <c r="J34" s="343">
        <f>IFERROR(VLOOKUP(B34,'Folha de Pagamento'!B:I,8,0),"")</f>
        <v>2489.18</v>
      </c>
      <c r="K34" s="102">
        <f>IFERROR(VLOOKUP(I34,'C-01'!$D:$L,4,0),"")</f>
        <v>2626.68</v>
      </c>
      <c r="L34" s="103">
        <f>IFERROR(VLOOKUP(I34,'C-01'!$D:$L,5,0),"")</f>
        <v>3508.61</v>
      </c>
      <c r="M34" s="103">
        <f>IFERROR(VLOOKUP(I34,'C-01'!$D:$L,6,0),"")</f>
        <v>4174.12</v>
      </c>
      <c r="N34" s="103">
        <f>IFERROR(VLOOKUP(I34,'C-01'!$D:$L,7,0),"")</f>
        <v>3618.72</v>
      </c>
      <c r="O34" s="103">
        <f>IFERROR(VLOOKUP(I34,'C-01'!$D:$L,8,0),"")</f>
        <v>5081.15</v>
      </c>
      <c r="P34" s="102">
        <f>IFERROR(VLOOKUP(I34,'C-01'!$D:$L,9,0),"")</f>
        <v>5977.75</v>
      </c>
      <c r="Q34" s="104">
        <f>IFS('Painel Geral'!$B$5="Mediana",IFERROR(IF(OR(J34="",N34=0,N34=""),"",($J34/$N34)),""),'Painel Geral'!$B$5="Menor Salário",IFERROR(IF(OR(J34="",N34=0,N34=""),"",($J34/$K34)),""),'Painel Geral'!$B$5="1º Quartil",IFERROR(IF(OR(J34="",N34=0,N34=""),"",($J34/$L34)),""),'Painel Geral'!$B$5="Média",IFERROR(IF(OR(J34="",N34=0,N34=""),"",($J34/$M34)),""),'Painel Geral'!$B$5="3º Quartil",IFERROR(IF(OR(J34="",N34=0,N34=""),"",($J34/$O34)),""),'Painel Geral'!$B$5="Maior Salário",IFERROR(IF(OR(J34="",N34=0,N34=""),"",($J34/$P34)),""))</f>
        <v>0.6878620065</v>
      </c>
      <c r="R34" s="105" t="str">
        <f t="shared" si="2"/>
        <v>Muito Defasado</v>
      </c>
      <c r="S34" s="106">
        <f>IFERROR(VLOOKUP($I34,'C-02'!$D:$L,4,0),"")</f>
        <v>0</v>
      </c>
      <c r="T34" s="106">
        <f>IFERROR(VLOOKUP($I34,'C-02'!$D:$L,5,FALSE),"")</f>
        <v>0</v>
      </c>
      <c r="U34" s="106">
        <f>IFERROR(VLOOKUP($I34,'C-02'!$D:$L,6,FALSE),"")</f>
        <v>0</v>
      </c>
      <c r="V34" s="106">
        <f>IFERROR(VLOOKUP($I34,'C-02'!$D:$L,7,FALSE),"")</f>
        <v>0</v>
      </c>
      <c r="W34" s="106">
        <f>IFERROR(VLOOKUP($I34,'C-02'!$D:$L,8,FALSE),"")</f>
        <v>0</v>
      </c>
      <c r="X34" s="106">
        <f>IFERROR(VLOOKUP($I34,'C-02'!$D:$L,9,FALSE),"")</f>
        <v>0</v>
      </c>
      <c r="Y34" s="107" t="str">
        <f>IFS('Painel Geral'!$B$5="Mediana",IFERROR(IF(OR(J34="",V34=0,V34=""),"",($J34/$V34)),""),'Painel Geral'!$B$5="Menor Salário",IFERROR(IF(OR(J34="",V34=0,V34=""),"",($J34/$S34)),""),'Painel Geral'!$B$5="1º Quartil",IFERROR(IF(OR(J34="",V34=0,V34=""),"",($J34/$T34)),""),'Painel Geral'!$B$5="Média",IFERROR(IF(OR(J34="",V34=0,V34=""),"",($J34/$U34)),""),'Painel Geral'!$B$5="3º Quartil",IFERROR(IF(OR(J34="",V34=0,V34=""),"",($J34/$W34)),""),'Painel Geral'!$B$5="Maior Salário",IFERROR(IF(OR(J34="",V34=0,V34=""),"",($J34/$X34)),""))</f>
        <v/>
      </c>
      <c r="Z34" s="108" t="str">
        <f t="shared" si="3"/>
        <v/>
      </c>
      <c r="AA34" s="344"/>
    </row>
    <row r="35" ht="15.75" customHeight="1">
      <c r="A35" s="94">
        <v>4.0</v>
      </c>
      <c r="B35" s="19">
        <v>49.0</v>
      </c>
      <c r="C35" s="338" t="str">
        <f>VLOOKUP(A35,Jobmatch!A:E,2,0)</f>
        <v>Analista de Requisitos</v>
      </c>
      <c r="D35" s="339" t="str">
        <f>VLOOKUP(B35,'Folha de Pagamento'!B:G,6,0)</f>
        <v>DEV</v>
      </c>
      <c r="E35" s="338" t="str">
        <f>VLOOKUP(A35,Jobmatch!A:E,4,0)</f>
        <v>Operacional</v>
      </c>
      <c r="F35" s="340">
        <f>VLOOKUP(A35,Jobmatch!A:F,5,0)</f>
        <v>796</v>
      </c>
      <c r="G35" s="339" t="str">
        <f>VLOOKUP(A35,Jobmatch!A:G,6,0)</f>
        <v>Analista de Requisitos</v>
      </c>
      <c r="H35" s="341" t="str">
        <f>VLOOKUP(A35,Jobmatch!A:H,7,0)</f>
        <v>Júnior</v>
      </c>
      <c r="I35" s="342" t="str">
        <f t="shared" si="1"/>
        <v>796Júnior</v>
      </c>
      <c r="J35" s="343">
        <f>IFERROR(VLOOKUP(B35,'Folha de Pagamento'!B:I,8,0),"")</f>
        <v>3229.2</v>
      </c>
      <c r="K35" s="102">
        <f>IFERROR(VLOOKUP(I35,'C-01'!$D:$L,4,0),"")</f>
        <v>2626.68</v>
      </c>
      <c r="L35" s="103">
        <f>IFERROR(VLOOKUP(I35,'C-01'!$D:$L,5,0),"")</f>
        <v>3508.61</v>
      </c>
      <c r="M35" s="103">
        <f>IFERROR(VLOOKUP(I35,'C-01'!$D:$L,6,0),"")</f>
        <v>4174.12</v>
      </c>
      <c r="N35" s="103">
        <f>IFERROR(VLOOKUP(I35,'C-01'!$D:$L,7,0),"")</f>
        <v>3618.72</v>
      </c>
      <c r="O35" s="103">
        <f>IFERROR(VLOOKUP(I35,'C-01'!$D:$L,8,0),"")</f>
        <v>5081.15</v>
      </c>
      <c r="P35" s="102">
        <f>IFERROR(VLOOKUP(I35,'C-01'!$D:$L,9,0),"")</f>
        <v>5977.75</v>
      </c>
      <c r="Q35" s="104">
        <f>IFS('Painel Geral'!$B$5="Mediana",IFERROR(IF(OR(J35="",N35=0,N35=""),"",($J35/$N35)),""),'Painel Geral'!$B$5="Menor Salário",IFERROR(IF(OR(J35="",N35=0,N35=""),"",($J35/$K35)),""),'Painel Geral'!$B$5="1º Quartil",IFERROR(IF(OR(J35="",N35=0,N35=""),"",($J35/$L35)),""),'Painel Geral'!$B$5="Média",IFERROR(IF(OR(J35="",N35=0,N35=""),"",($J35/$M35)),""),'Painel Geral'!$B$5="3º Quartil",IFERROR(IF(OR(J35="",N35=0,N35=""),"",($J35/$O35)),""),'Painel Geral'!$B$5="Maior Salário",IFERROR(IF(OR(J35="",N35=0,N35=""),"",($J35/$P35)),""))</f>
        <v>0.8923597294</v>
      </c>
      <c r="R35" s="105" t="str">
        <f t="shared" si="2"/>
        <v>Defasado</v>
      </c>
      <c r="S35" s="106">
        <f>IFERROR(VLOOKUP($I35,'C-02'!$D:$L,4,0),"")</f>
        <v>0</v>
      </c>
      <c r="T35" s="106">
        <f>IFERROR(VLOOKUP($I35,'C-02'!$D:$L,5,FALSE),"")</f>
        <v>0</v>
      </c>
      <c r="U35" s="106">
        <f>IFERROR(VLOOKUP($I35,'C-02'!$D:$L,6,FALSE),"")</f>
        <v>0</v>
      </c>
      <c r="V35" s="106">
        <f>IFERROR(VLOOKUP($I35,'C-02'!$D:$L,7,FALSE),"")</f>
        <v>0</v>
      </c>
      <c r="W35" s="106">
        <f>IFERROR(VLOOKUP($I35,'C-02'!$D:$L,8,FALSE),"")</f>
        <v>0</v>
      </c>
      <c r="X35" s="106">
        <f>IFERROR(VLOOKUP($I35,'C-02'!$D:$L,9,FALSE),"")</f>
        <v>0</v>
      </c>
      <c r="Y35" s="107" t="str">
        <f>IFS('Painel Geral'!$B$5="Mediana",IFERROR(IF(OR(J35="",V35=0,V35=""),"",($J35/$V35)),""),'Painel Geral'!$B$5="Menor Salário",IFERROR(IF(OR(J35="",V35=0,V35=""),"",($J35/$S35)),""),'Painel Geral'!$B$5="1º Quartil",IFERROR(IF(OR(J35="",V35=0,V35=""),"",($J35/$T35)),""),'Painel Geral'!$B$5="Média",IFERROR(IF(OR(J35="",V35=0,V35=""),"",($J35/$U35)),""),'Painel Geral'!$B$5="3º Quartil",IFERROR(IF(OR(J35="",V35=0,V35=""),"",($J35/$W35)),""),'Painel Geral'!$B$5="Maior Salário",IFERROR(IF(OR(J35="",V35=0,V35=""),"",($J35/$X35)),""))</f>
        <v/>
      </c>
      <c r="Z35" s="108" t="str">
        <f t="shared" si="3"/>
        <v/>
      </c>
      <c r="AA35" s="344"/>
    </row>
    <row r="36" ht="15.75" customHeight="1">
      <c r="A36" s="94">
        <v>5.0</v>
      </c>
      <c r="B36" s="19">
        <v>3.0</v>
      </c>
      <c r="C36" s="338" t="str">
        <f>VLOOKUP(A36,Jobmatch!A:E,2,0)</f>
        <v>Lider</v>
      </c>
      <c r="D36" s="339" t="str">
        <f>VLOOKUP(B36,'Folha de Pagamento'!B:G,6,0)</f>
        <v>DEV</v>
      </c>
      <c r="E36" s="338" t="str">
        <f>VLOOKUP(A36,Jobmatch!A:E,4,0)</f>
        <v>Estratégico</v>
      </c>
      <c r="F36" s="340">
        <f>VLOOKUP(A36,Jobmatch!A:F,5,0)</f>
        <v>1016</v>
      </c>
      <c r="G36" s="339" t="str">
        <f>VLOOKUP(A36,Jobmatch!A:G,6,0)</f>
        <v>Líder Técnico</v>
      </c>
      <c r="H36" s="341" t="str">
        <f>VLOOKUP(A36,Jobmatch!A:H,7,0)</f>
        <v>Indiferente</v>
      </c>
      <c r="I36" s="342" t="str">
        <f t="shared" si="1"/>
        <v>1016Indiferente</v>
      </c>
      <c r="J36" s="343">
        <f>IFERROR(VLOOKUP(B36,'Folha de Pagamento'!B:I,8,0),"")</f>
        <v>8611.2</v>
      </c>
      <c r="K36" s="102">
        <f>IFERROR(VLOOKUP(I36,'C-01'!$D:$L,4,0),"")</f>
        <v>5639.53</v>
      </c>
      <c r="L36" s="103">
        <f>IFERROR(VLOOKUP(I36,'C-01'!$D:$L,5,0),"")</f>
        <v>7452.03</v>
      </c>
      <c r="M36" s="103">
        <f>IFERROR(VLOOKUP(I36,'C-01'!$D:$L,6,0),"")</f>
        <v>8919.44</v>
      </c>
      <c r="N36" s="103">
        <f>IFERROR(VLOOKUP(I36,'C-01'!$D:$L,7,0),"")</f>
        <v>8929.22</v>
      </c>
      <c r="O36" s="103">
        <f>IFERROR(VLOOKUP(I36,'C-01'!$D:$L,8,0),"")</f>
        <v>10057.47</v>
      </c>
      <c r="P36" s="102">
        <f>IFERROR(VLOOKUP(I36,'C-01'!$D:$L,9,0),"")</f>
        <v>12817.68</v>
      </c>
      <c r="Q36" s="104">
        <f>IFS('Painel Geral'!$B$5="Mediana",IFERROR(IF(OR(J36="",N36=0,N36=""),"",($J36/$N36)),""),'Painel Geral'!$B$5="Menor Salário",IFERROR(IF(OR(J36="",N36=0,N36=""),"",($J36/$K36)),""),'Painel Geral'!$B$5="1º Quartil",IFERROR(IF(OR(J36="",N36=0,N36=""),"",($J36/$L36)),""),'Painel Geral'!$B$5="Média",IFERROR(IF(OR(J36="",N36=0,N36=""),"",($J36/$M36)),""),'Painel Geral'!$B$5="3º Quartil",IFERROR(IF(OR(J36="",N36=0,N36=""),"",($J36/$O36)),""),'Painel Geral'!$B$5="Maior Salário",IFERROR(IF(OR(J36="",N36=0,N36=""),"",($J36/$P36)),""))</f>
        <v>0.9643843471</v>
      </c>
      <c r="R36" s="105" t="str">
        <f t="shared" si="2"/>
        <v>Na Média</v>
      </c>
      <c r="S36" s="106">
        <f>IFERROR(VLOOKUP($I36,'C-02'!$D:$L,4,0),"")</f>
        <v>5288.93</v>
      </c>
      <c r="T36" s="106">
        <f>IFERROR(VLOOKUP($I36,'C-02'!$D:$L,5,FALSE),"")</f>
        <v>7107.92</v>
      </c>
      <c r="U36" s="106">
        <f>IFERROR(VLOOKUP($I36,'C-02'!$D:$L,6,FALSE),"")</f>
        <v>8904.46</v>
      </c>
      <c r="V36" s="106">
        <f>IFERROR(VLOOKUP($I36,'C-02'!$D:$L,7,FALSE),"")</f>
        <v>9047.66</v>
      </c>
      <c r="W36" s="106">
        <f>IFERROR(VLOOKUP($I36,'C-02'!$D:$L,8,FALSE),"")</f>
        <v>10074.15</v>
      </c>
      <c r="X36" s="106">
        <f>IFERROR(VLOOKUP($I36,'C-02'!$D:$L,9,FALSE),"")</f>
        <v>12817.68</v>
      </c>
      <c r="Y36" s="107">
        <f>IFS('Painel Geral'!$B$5="Mediana",IFERROR(IF(OR(J36="",V36=0,V36=""),"",($J36/$V36)),""),'Painel Geral'!$B$5="Menor Salário",IFERROR(IF(OR(J36="",V36=0,V36=""),"",($J36/$S36)),""),'Painel Geral'!$B$5="1º Quartil",IFERROR(IF(OR(J36="",V36=0,V36=""),"",($J36/$T36)),""),'Painel Geral'!$B$5="Média",IFERROR(IF(OR(J36="",V36=0,V36=""),"",($J36/$U36)),""),'Painel Geral'!$B$5="3º Quartil",IFERROR(IF(OR(J36="",V36=0,V36=""),"",($J36/$W36)),""),'Painel Geral'!$B$5="Maior Salário",IFERROR(IF(OR(J36="",V36=0,V36=""),"",($J36/$X36)),""))</f>
        <v>0.9517599026</v>
      </c>
      <c r="Z36" s="108" t="str">
        <f t="shared" si="3"/>
        <v>Na Média</v>
      </c>
      <c r="AA36" s="34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A$36"/>
  <customSheetViews>
    <customSheetView guid="{78E8F05D-0080-488D-908C-3158FEB1729F}" filter="1" showAutoFilter="1">
      <autoFilter ref="$A$3:$R$3"/>
      <extLst>
        <ext uri="GoogleSheetsCustomDataVersion1">
          <go:sheetsCustomData xmlns:go="http://customooxmlschemas.google.com/" filterViewId="1066977001"/>
        </ext>
      </extLst>
    </customSheetView>
    <customSheetView guid="{EE9F01A5-0436-48C6-B742-C4022DB527FD}" filter="1" showAutoFilter="1">
      <autoFilter ref="$A$3:$R$3"/>
      <extLst>
        <ext uri="GoogleSheetsCustomDataVersion1">
          <go:sheetsCustomData xmlns:go="http://customooxmlschemas.google.com/" filterViewId="126457185"/>
        </ext>
      </extLst>
    </customSheetView>
    <customSheetView guid="{A1F457B6-5FCF-40EF-A04C-19D6DF5C42FB}" filter="1" showAutoFilter="1">
      <autoFilter ref="$A$1:$R$1"/>
      <extLst>
        <ext uri="GoogleSheetsCustomDataVersion1">
          <go:sheetsCustomData xmlns:go="http://customooxmlschemas.google.com/" filterViewId="1469146256"/>
        </ext>
      </extLst>
    </customSheetView>
    <customSheetView guid="{54B4D6D9-2A38-479D-8BE6-B602A9EAF984}" filter="1" showAutoFilter="1">
      <autoFilter ref="$A$3:$R$3"/>
      <extLst>
        <ext uri="GoogleSheetsCustomDataVersion1">
          <go:sheetsCustomData xmlns:go="http://customooxmlschemas.google.com/" filterViewId="1832137420"/>
        </ext>
      </extLst>
    </customSheetView>
    <customSheetView guid="{467239E0-E671-4976-8A46-FD655DE95EE1}" filter="1" showAutoFilter="1">
      <autoFilter ref="$A$3:$R$3"/>
      <extLst>
        <ext uri="GoogleSheetsCustomDataVersion1">
          <go:sheetsCustomData xmlns:go="http://customooxmlschemas.google.com/" filterViewId="1917664085"/>
        </ext>
      </extLst>
    </customSheetView>
    <customSheetView guid="{22391ECF-48A7-4EAB-BDE6-2A1198107D8A}" filter="1" showAutoFilter="1">
      <autoFilter ref="$A$3:$R$3"/>
      <extLst>
        <ext uri="GoogleSheetsCustomDataVersion1">
          <go:sheetsCustomData xmlns:go="http://customooxmlschemas.google.com/" filterViewId="454507135"/>
        </ext>
      </extLst>
    </customSheetView>
    <customSheetView guid="{73B74B80-3E82-4F85-B5CD-7B8C53BEB6D2}" filter="1" showAutoFilter="1">
      <autoFilter ref="$A$3:$R$3"/>
      <extLst>
        <ext uri="GoogleSheetsCustomDataVersion1">
          <go:sheetsCustomData xmlns:go="http://customooxmlschemas.google.com/" filterViewId="928111511"/>
        </ext>
      </extLst>
    </customSheetView>
  </customSheetViews>
  <mergeCells count="3">
    <mergeCell ref="A1:J1"/>
    <mergeCell ref="K1:P1"/>
    <mergeCell ref="S1:X1"/>
  </mergeCells>
  <printOptions/>
  <pageMargins bottom="0.787401575" footer="0.0" header="0.0" left="0.511811024" right="0.511811024" top="0.787401575"/>
  <pageSetup orientation="landscape"/>
  <drawing r:id="rId1"/>
</worksheet>
</file>